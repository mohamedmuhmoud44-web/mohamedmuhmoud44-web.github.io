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BC086169-1F06-4606-BDDA-C093AC91F346}" xr6:coauthVersionLast="47" xr6:coauthVersionMax="47" xr10:uidLastSave="{00000000-0000-0000-0000-000000000000}"/>
  <bookViews>
    <workbookView xWindow="-108" yWindow="-108" windowWidth="23256" windowHeight="12576" xr2:uid="{4A388EB0-F4A2-42CC-89DC-47FA2A39C604}"/>
  </bookViews>
  <sheets>
    <sheet name="Graphs" sheetId="7" r:id="rId1"/>
    <sheet name="pivot table " sheetId="8" r:id="rId2"/>
    <sheet name="sales_pipeline" sheetId="1" r:id="rId3"/>
    <sheet name="sales_teams" sheetId="3" r:id="rId4"/>
  </sheets>
  <externalReferences>
    <externalReference r:id="rId5"/>
  </externalReferences>
  <definedNames>
    <definedName name="_xlnm._FilterDatabase" localSheetId="2" hidden="1">sales_pipeline!$A$1:$J$1</definedName>
    <definedName name="Slicer_manager">#N/A</definedName>
    <definedName name="Slicer_regional_offic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801" i="1" l="1"/>
  <c r="C8801" i="1"/>
  <c r="D8800" i="1"/>
  <c r="C8800" i="1"/>
  <c r="D8799" i="1"/>
  <c r="C8799" i="1"/>
  <c r="D8798" i="1"/>
  <c r="C8798" i="1"/>
  <c r="D8797" i="1"/>
  <c r="C8797" i="1"/>
  <c r="D8796" i="1"/>
  <c r="C8796" i="1"/>
  <c r="D8795" i="1"/>
  <c r="C8795" i="1"/>
  <c r="D8794" i="1"/>
  <c r="C8794" i="1"/>
  <c r="D8793" i="1"/>
  <c r="C8793" i="1"/>
  <c r="D8792" i="1"/>
  <c r="C8792" i="1"/>
  <c r="D8791" i="1"/>
  <c r="C8791" i="1"/>
  <c r="D8790" i="1"/>
  <c r="C8790" i="1"/>
  <c r="D8789" i="1"/>
  <c r="C8789" i="1"/>
  <c r="D8788" i="1"/>
  <c r="C8788" i="1"/>
  <c r="D8787" i="1"/>
  <c r="C8787" i="1"/>
  <c r="D8786" i="1"/>
  <c r="C8786" i="1"/>
  <c r="D8785" i="1"/>
  <c r="C8785" i="1"/>
  <c r="D8784" i="1"/>
  <c r="C8784" i="1"/>
  <c r="D8783" i="1"/>
  <c r="C8783" i="1"/>
  <c r="D8782" i="1"/>
  <c r="C8782" i="1"/>
  <c r="D8781" i="1"/>
  <c r="C8781" i="1"/>
  <c r="D8780" i="1"/>
  <c r="C8780" i="1"/>
  <c r="D8779" i="1"/>
  <c r="C8779" i="1"/>
  <c r="D8778" i="1"/>
  <c r="C8778" i="1"/>
  <c r="D8777" i="1"/>
  <c r="C8777" i="1"/>
  <c r="D8776" i="1"/>
  <c r="C8776" i="1"/>
  <c r="D8775" i="1"/>
  <c r="C8775" i="1"/>
  <c r="D8774" i="1"/>
  <c r="C8774" i="1"/>
  <c r="D8773" i="1"/>
  <c r="C8773" i="1"/>
  <c r="D8772" i="1"/>
  <c r="C8772" i="1"/>
  <c r="D8771" i="1"/>
  <c r="C8771" i="1"/>
  <c r="D8770" i="1"/>
  <c r="C8770" i="1"/>
  <c r="D8769" i="1"/>
  <c r="C8769" i="1"/>
  <c r="D8768" i="1"/>
  <c r="C8768" i="1"/>
  <c r="D8767" i="1"/>
  <c r="C8767" i="1"/>
  <c r="D8766" i="1"/>
  <c r="C8766" i="1"/>
  <c r="D8765" i="1"/>
  <c r="C8765" i="1"/>
  <c r="D8764" i="1"/>
  <c r="C8764" i="1"/>
  <c r="D8763" i="1"/>
  <c r="C8763" i="1"/>
  <c r="D8762" i="1"/>
  <c r="C8762" i="1"/>
  <c r="D8761" i="1"/>
  <c r="C8761" i="1"/>
  <c r="D8760" i="1"/>
  <c r="C8760" i="1"/>
  <c r="D8759" i="1"/>
  <c r="C8759" i="1"/>
  <c r="D8758" i="1"/>
  <c r="C8758" i="1"/>
  <c r="D8757" i="1"/>
  <c r="C8757" i="1"/>
  <c r="D8756" i="1"/>
  <c r="C8756" i="1"/>
  <c r="D8755" i="1"/>
  <c r="C8755" i="1"/>
  <c r="D8754" i="1"/>
  <c r="C8754" i="1"/>
  <c r="D8753" i="1"/>
  <c r="C8753" i="1"/>
  <c r="D8752" i="1"/>
  <c r="C8752" i="1"/>
  <c r="D8751" i="1"/>
  <c r="C8751" i="1"/>
  <c r="D8750" i="1"/>
  <c r="C8750" i="1"/>
  <c r="D8749" i="1"/>
  <c r="C8749" i="1"/>
  <c r="D8748" i="1"/>
  <c r="C8748" i="1"/>
  <c r="D8747" i="1"/>
  <c r="C8747" i="1"/>
  <c r="D8746" i="1"/>
  <c r="C8746" i="1"/>
  <c r="D8745" i="1"/>
  <c r="C8745" i="1"/>
  <c r="D8744" i="1"/>
  <c r="C8744" i="1"/>
  <c r="D8743" i="1"/>
  <c r="C8743" i="1"/>
  <c r="D8742" i="1"/>
  <c r="C8742" i="1"/>
  <c r="D8741" i="1"/>
  <c r="C8741" i="1"/>
  <c r="D8740" i="1"/>
  <c r="C8740" i="1"/>
  <c r="D8739" i="1"/>
  <c r="C8739" i="1"/>
  <c r="D8738" i="1"/>
  <c r="C8738" i="1"/>
  <c r="D8737" i="1"/>
  <c r="C8737" i="1"/>
  <c r="D8736" i="1"/>
  <c r="C8736" i="1"/>
  <c r="D8735" i="1"/>
  <c r="C8735" i="1"/>
  <c r="D8734" i="1"/>
  <c r="C8734" i="1"/>
  <c r="D8733" i="1"/>
  <c r="C8733" i="1"/>
  <c r="D8732" i="1"/>
  <c r="C8732" i="1"/>
  <c r="D8731" i="1"/>
  <c r="C8731" i="1"/>
  <c r="D8730" i="1"/>
  <c r="C8730" i="1"/>
  <c r="D8729" i="1"/>
  <c r="C8729" i="1"/>
  <c r="D8728" i="1"/>
  <c r="C8728" i="1"/>
  <c r="D8727" i="1"/>
  <c r="C8727" i="1"/>
  <c r="D8726" i="1"/>
  <c r="C8726" i="1"/>
  <c r="D8725" i="1"/>
  <c r="C8725" i="1"/>
  <c r="D8724" i="1"/>
  <c r="C8724" i="1"/>
  <c r="D8723" i="1"/>
  <c r="C8723" i="1"/>
  <c r="D8722" i="1"/>
  <c r="C8722" i="1"/>
  <c r="D8721" i="1"/>
  <c r="C8721" i="1"/>
  <c r="D8720" i="1"/>
  <c r="C8720" i="1"/>
  <c r="D8719" i="1"/>
  <c r="C8719" i="1"/>
  <c r="D8718" i="1"/>
  <c r="C8718" i="1"/>
  <c r="D8717" i="1"/>
  <c r="C8717" i="1"/>
  <c r="D8716" i="1"/>
  <c r="C8716" i="1"/>
  <c r="D8715" i="1"/>
  <c r="C8715" i="1"/>
  <c r="D8714" i="1"/>
  <c r="C8714" i="1"/>
  <c r="D8713" i="1"/>
  <c r="C8713" i="1"/>
  <c r="D8712" i="1"/>
  <c r="C8712" i="1"/>
  <c r="D8711" i="1"/>
  <c r="C8711" i="1"/>
  <c r="D8710" i="1"/>
  <c r="C8710" i="1"/>
  <c r="D8709" i="1"/>
  <c r="C8709" i="1"/>
  <c r="D8708" i="1"/>
  <c r="C8708" i="1"/>
  <c r="D8707" i="1"/>
  <c r="C8707" i="1"/>
  <c r="D8706" i="1"/>
  <c r="C8706" i="1"/>
  <c r="D8705" i="1"/>
  <c r="C8705" i="1"/>
  <c r="D8704" i="1"/>
  <c r="C8704" i="1"/>
  <c r="D8703" i="1"/>
  <c r="C8703" i="1"/>
  <c r="D8702" i="1"/>
  <c r="C8702" i="1"/>
  <c r="D8701" i="1"/>
  <c r="C8701" i="1"/>
  <c r="D8700" i="1"/>
  <c r="C8700" i="1"/>
  <c r="D8699" i="1"/>
  <c r="C8699" i="1"/>
  <c r="D8698" i="1"/>
  <c r="C8698" i="1"/>
  <c r="D8697" i="1"/>
  <c r="C8697" i="1"/>
  <c r="D8696" i="1"/>
  <c r="C8696" i="1"/>
  <c r="D8695" i="1"/>
  <c r="C8695" i="1"/>
  <c r="D8694" i="1"/>
  <c r="C8694" i="1"/>
  <c r="D8693" i="1"/>
  <c r="C8693" i="1"/>
  <c r="D8692" i="1"/>
  <c r="C8692" i="1"/>
  <c r="D8691" i="1"/>
  <c r="C8691" i="1"/>
  <c r="D8690" i="1"/>
  <c r="C8690" i="1"/>
  <c r="D8689" i="1"/>
  <c r="C8689" i="1"/>
  <c r="D8688" i="1"/>
  <c r="C8688" i="1"/>
  <c r="D8687" i="1"/>
  <c r="C8687" i="1"/>
  <c r="D8686" i="1"/>
  <c r="C8686" i="1"/>
  <c r="D8685" i="1"/>
  <c r="C8685" i="1"/>
  <c r="D8684" i="1"/>
  <c r="C8684" i="1"/>
  <c r="D8683" i="1"/>
  <c r="C8683" i="1"/>
  <c r="D8682" i="1"/>
  <c r="C8682" i="1"/>
  <c r="D8681" i="1"/>
  <c r="C8681" i="1"/>
  <c r="D8680" i="1"/>
  <c r="C8680" i="1"/>
  <c r="D8679" i="1"/>
  <c r="C8679" i="1"/>
  <c r="D8678" i="1"/>
  <c r="C8678" i="1"/>
  <c r="D8677" i="1"/>
  <c r="C8677" i="1"/>
  <c r="D8676" i="1"/>
  <c r="C8676" i="1"/>
  <c r="D8675" i="1"/>
  <c r="C8675" i="1"/>
  <c r="D8674" i="1"/>
  <c r="C8674" i="1"/>
  <c r="D8673" i="1"/>
  <c r="C8673" i="1"/>
  <c r="D8672" i="1"/>
  <c r="C8672" i="1"/>
  <c r="D8671" i="1"/>
  <c r="C8671" i="1"/>
  <c r="D8670" i="1"/>
  <c r="C8670" i="1"/>
  <c r="D8669" i="1"/>
  <c r="C8669" i="1"/>
  <c r="D8668" i="1"/>
  <c r="C8668" i="1"/>
  <c r="D8667" i="1"/>
  <c r="C8667" i="1"/>
  <c r="D8666" i="1"/>
  <c r="C8666" i="1"/>
  <c r="D8665" i="1"/>
  <c r="C8665" i="1"/>
  <c r="D8664" i="1"/>
  <c r="C8664" i="1"/>
  <c r="D8663" i="1"/>
  <c r="C8663" i="1"/>
  <c r="D8662" i="1"/>
  <c r="C8662" i="1"/>
  <c r="D8661" i="1"/>
  <c r="C8661" i="1"/>
  <c r="D8660" i="1"/>
  <c r="C8660" i="1"/>
  <c r="D8659" i="1"/>
  <c r="C8659" i="1"/>
  <c r="D8658" i="1"/>
  <c r="C8658" i="1"/>
  <c r="D8657" i="1"/>
  <c r="C8657" i="1"/>
  <c r="D8656" i="1"/>
  <c r="C8656" i="1"/>
  <c r="D8655" i="1"/>
  <c r="C8655" i="1"/>
  <c r="D8654" i="1"/>
  <c r="C8654" i="1"/>
  <c r="D8653" i="1"/>
  <c r="C8653" i="1"/>
  <c r="D8652" i="1"/>
  <c r="C8652" i="1"/>
  <c r="D8651" i="1"/>
  <c r="C8651" i="1"/>
  <c r="D8650" i="1"/>
  <c r="C8650" i="1"/>
  <c r="D8649" i="1"/>
  <c r="C8649" i="1"/>
  <c r="D8648" i="1"/>
  <c r="C8648" i="1"/>
  <c r="D8647" i="1"/>
  <c r="C8647" i="1"/>
  <c r="D8646" i="1"/>
  <c r="C8646" i="1"/>
  <c r="D8645" i="1"/>
  <c r="C8645" i="1"/>
  <c r="D8644" i="1"/>
  <c r="C8644" i="1"/>
  <c r="D8643" i="1"/>
  <c r="C8643" i="1"/>
  <c r="D8642" i="1"/>
  <c r="C8642" i="1"/>
  <c r="D8641" i="1"/>
  <c r="C8641" i="1"/>
  <c r="D8640" i="1"/>
  <c r="C8640" i="1"/>
  <c r="D8639" i="1"/>
  <c r="C8639" i="1"/>
  <c r="D8638" i="1"/>
  <c r="C8638" i="1"/>
  <c r="D8637" i="1"/>
  <c r="C8637" i="1"/>
  <c r="D8636" i="1"/>
  <c r="C8636" i="1"/>
  <c r="D8635" i="1"/>
  <c r="C8635" i="1"/>
  <c r="D8634" i="1"/>
  <c r="C8634" i="1"/>
  <c r="D8633" i="1"/>
  <c r="C8633" i="1"/>
  <c r="D8632" i="1"/>
  <c r="C8632" i="1"/>
  <c r="D8631" i="1"/>
  <c r="C8631" i="1"/>
  <c r="D8630" i="1"/>
  <c r="C8630" i="1"/>
  <c r="D8629" i="1"/>
  <c r="C8629" i="1"/>
  <c r="D8628" i="1"/>
  <c r="C8628" i="1"/>
  <c r="D8627" i="1"/>
  <c r="C8627" i="1"/>
  <c r="D8626" i="1"/>
  <c r="C8626" i="1"/>
  <c r="D8625" i="1"/>
  <c r="C8625" i="1"/>
  <c r="D8624" i="1"/>
  <c r="C8624" i="1"/>
  <c r="D8623" i="1"/>
  <c r="C8623" i="1"/>
  <c r="D8622" i="1"/>
  <c r="C8622" i="1"/>
  <c r="D8621" i="1"/>
  <c r="C8621" i="1"/>
  <c r="D8620" i="1"/>
  <c r="C8620" i="1"/>
  <c r="D8619" i="1"/>
  <c r="C8619" i="1"/>
  <c r="D8618" i="1"/>
  <c r="C8618" i="1"/>
  <c r="D8617" i="1"/>
  <c r="C8617" i="1"/>
  <c r="D8616" i="1"/>
  <c r="C8616" i="1"/>
  <c r="D8615" i="1"/>
  <c r="C8615" i="1"/>
  <c r="D8614" i="1"/>
  <c r="C8614" i="1"/>
  <c r="D8613" i="1"/>
  <c r="C8613" i="1"/>
  <c r="D8612" i="1"/>
  <c r="C8612" i="1"/>
  <c r="D8611" i="1"/>
  <c r="C8611" i="1"/>
  <c r="D8610" i="1"/>
  <c r="C8610" i="1"/>
  <c r="D8609" i="1"/>
  <c r="C8609" i="1"/>
  <c r="D8608" i="1"/>
  <c r="C8608" i="1"/>
  <c r="D8607" i="1"/>
  <c r="C8607" i="1"/>
  <c r="D8606" i="1"/>
  <c r="C8606" i="1"/>
  <c r="D8605" i="1"/>
  <c r="C8605" i="1"/>
  <c r="D8604" i="1"/>
  <c r="C8604" i="1"/>
  <c r="D8603" i="1"/>
  <c r="C8603" i="1"/>
  <c r="D8602" i="1"/>
  <c r="C8602" i="1"/>
  <c r="D8601" i="1"/>
  <c r="C8601" i="1"/>
  <c r="D8600" i="1"/>
  <c r="C8600" i="1"/>
  <c r="D8599" i="1"/>
  <c r="C8599" i="1"/>
  <c r="D8598" i="1"/>
  <c r="C8598" i="1"/>
  <c r="D8597" i="1"/>
  <c r="C8597" i="1"/>
  <c r="D8596" i="1"/>
  <c r="C8596" i="1"/>
  <c r="D8595" i="1"/>
  <c r="C8595" i="1"/>
  <c r="D8594" i="1"/>
  <c r="C8594" i="1"/>
  <c r="D8593" i="1"/>
  <c r="C8593" i="1"/>
  <c r="D8592" i="1"/>
  <c r="C8592" i="1"/>
  <c r="D8591" i="1"/>
  <c r="C8591" i="1"/>
  <c r="D8590" i="1"/>
  <c r="C8590" i="1"/>
  <c r="D8589" i="1"/>
  <c r="C8589" i="1"/>
  <c r="D8588" i="1"/>
  <c r="C8588" i="1"/>
  <c r="D8587" i="1"/>
  <c r="C8587" i="1"/>
  <c r="D8586" i="1"/>
  <c r="C8586" i="1"/>
  <c r="D8585" i="1"/>
  <c r="C8585" i="1"/>
  <c r="D8584" i="1"/>
  <c r="C8584" i="1"/>
  <c r="D8583" i="1"/>
  <c r="C8583" i="1"/>
  <c r="D8582" i="1"/>
  <c r="C8582" i="1"/>
  <c r="D8581" i="1"/>
  <c r="C8581" i="1"/>
  <c r="D8580" i="1"/>
  <c r="C8580" i="1"/>
  <c r="D8579" i="1"/>
  <c r="C8579" i="1"/>
  <c r="D8578" i="1"/>
  <c r="C8578" i="1"/>
  <c r="D8577" i="1"/>
  <c r="C8577" i="1"/>
  <c r="D8576" i="1"/>
  <c r="C8576" i="1"/>
  <c r="D8575" i="1"/>
  <c r="C8575" i="1"/>
  <c r="D8574" i="1"/>
  <c r="C8574" i="1"/>
  <c r="D8573" i="1"/>
  <c r="C8573" i="1"/>
  <c r="D8572" i="1"/>
  <c r="C8572" i="1"/>
  <c r="D8571" i="1"/>
  <c r="C8571" i="1"/>
  <c r="D8570" i="1"/>
  <c r="C8570" i="1"/>
  <c r="D8569" i="1"/>
  <c r="C8569" i="1"/>
  <c r="D8568" i="1"/>
  <c r="C8568" i="1"/>
  <c r="D8567" i="1"/>
  <c r="C8567" i="1"/>
  <c r="D8566" i="1"/>
  <c r="C8566" i="1"/>
  <c r="D8565" i="1"/>
  <c r="C8565" i="1"/>
  <c r="D8564" i="1"/>
  <c r="C8564" i="1"/>
  <c r="D8563" i="1"/>
  <c r="C8563" i="1"/>
  <c r="D8562" i="1"/>
  <c r="C8562" i="1"/>
  <c r="D8561" i="1"/>
  <c r="C8561" i="1"/>
  <c r="D8560" i="1"/>
  <c r="C8560" i="1"/>
  <c r="D8559" i="1"/>
  <c r="C8559" i="1"/>
  <c r="D8558" i="1"/>
  <c r="C8558" i="1"/>
  <c r="D8557" i="1"/>
  <c r="C8557" i="1"/>
  <c r="D8556" i="1"/>
  <c r="C8556" i="1"/>
  <c r="D8555" i="1"/>
  <c r="C8555" i="1"/>
  <c r="D8554" i="1"/>
  <c r="C8554" i="1"/>
  <c r="D8553" i="1"/>
  <c r="C8553" i="1"/>
  <c r="D8552" i="1"/>
  <c r="C8552" i="1"/>
  <c r="D8551" i="1"/>
  <c r="C8551" i="1"/>
  <c r="D8550" i="1"/>
  <c r="C8550" i="1"/>
  <c r="D8549" i="1"/>
  <c r="C8549" i="1"/>
  <c r="D8548" i="1"/>
  <c r="C8548" i="1"/>
  <c r="D8547" i="1"/>
  <c r="C8547" i="1"/>
  <c r="D8546" i="1"/>
  <c r="C8546" i="1"/>
  <c r="D8545" i="1"/>
  <c r="C8545" i="1"/>
  <c r="D8544" i="1"/>
  <c r="C8544" i="1"/>
  <c r="D8543" i="1"/>
  <c r="C8543" i="1"/>
  <c r="D8542" i="1"/>
  <c r="C8542" i="1"/>
  <c r="D8541" i="1"/>
  <c r="C8541" i="1"/>
  <c r="D8540" i="1"/>
  <c r="C8540" i="1"/>
  <c r="D8539" i="1"/>
  <c r="C8539" i="1"/>
  <c r="D8538" i="1"/>
  <c r="C8538" i="1"/>
  <c r="D8537" i="1"/>
  <c r="C8537" i="1"/>
  <c r="D8536" i="1"/>
  <c r="C8536" i="1"/>
  <c r="D8535" i="1"/>
  <c r="C8535" i="1"/>
  <c r="D8534" i="1"/>
  <c r="C8534" i="1"/>
  <c r="D8533" i="1"/>
  <c r="C8533" i="1"/>
  <c r="D8532" i="1"/>
  <c r="C8532" i="1"/>
  <c r="D8531" i="1"/>
  <c r="C8531" i="1"/>
  <c r="D8530" i="1"/>
  <c r="C8530" i="1"/>
  <c r="D8529" i="1"/>
  <c r="C8529" i="1"/>
  <c r="D8528" i="1"/>
  <c r="C8528" i="1"/>
  <c r="D8527" i="1"/>
  <c r="C8527" i="1"/>
  <c r="D8526" i="1"/>
  <c r="C8526" i="1"/>
  <c r="D8525" i="1"/>
  <c r="C8525" i="1"/>
  <c r="D8524" i="1"/>
  <c r="C8524" i="1"/>
  <c r="D8523" i="1"/>
  <c r="C8523" i="1"/>
  <c r="D8522" i="1"/>
  <c r="C8522" i="1"/>
  <c r="D8521" i="1"/>
  <c r="C8521" i="1"/>
  <c r="D8520" i="1"/>
  <c r="C8520" i="1"/>
  <c r="D8519" i="1"/>
  <c r="C8519" i="1"/>
  <c r="D8518" i="1"/>
  <c r="C8518" i="1"/>
  <c r="D8517" i="1"/>
  <c r="C8517" i="1"/>
  <c r="D8516" i="1"/>
  <c r="C8516" i="1"/>
  <c r="D8515" i="1"/>
  <c r="C8515" i="1"/>
  <c r="D8514" i="1"/>
  <c r="C8514" i="1"/>
  <c r="D8513" i="1"/>
  <c r="C8513" i="1"/>
  <c r="D8512" i="1"/>
  <c r="C8512" i="1"/>
  <c r="D8511" i="1"/>
  <c r="C8511" i="1"/>
  <c r="D8510" i="1"/>
  <c r="C8510" i="1"/>
  <c r="D8509" i="1"/>
  <c r="C8509" i="1"/>
  <c r="D8508" i="1"/>
  <c r="C8508" i="1"/>
  <c r="D8507" i="1"/>
  <c r="C8507" i="1"/>
  <c r="D8506" i="1"/>
  <c r="C8506" i="1"/>
  <c r="D8505" i="1"/>
  <c r="C8505" i="1"/>
  <c r="D8504" i="1"/>
  <c r="C8504" i="1"/>
  <c r="D8503" i="1"/>
  <c r="C8503" i="1"/>
  <c r="D8502" i="1"/>
  <c r="C8502" i="1"/>
  <c r="D8501" i="1"/>
  <c r="C8501" i="1"/>
  <c r="D8500" i="1"/>
  <c r="C8500" i="1"/>
  <c r="D8499" i="1"/>
  <c r="C8499" i="1"/>
  <c r="D8498" i="1"/>
  <c r="C8498" i="1"/>
  <c r="D8497" i="1"/>
  <c r="C8497" i="1"/>
  <c r="D8496" i="1"/>
  <c r="C8496" i="1"/>
  <c r="D8495" i="1"/>
  <c r="C8495" i="1"/>
  <c r="D8494" i="1"/>
  <c r="C8494" i="1"/>
  <c r="D8493" i="1"/>
  <c r="C8493" i="1"/>
  <c r="D8492" i="1"/>
  <c r="C8492" i="1"/>
  <c r="D8491" i="1"/>
  <c r="C8491" i="1"/>
  <c r="D8490" i="1"/>
  <c r="C8490" i="1"/>
  <c r="D8489" i="1"/>
  <c r="C8489" i="1"/>
  <c r="D8488" i="1"/>
  <c r="C8488" i="1"/>
  <c r="D8487" i="1"/>
  <c r="C8487" i="1"/>
  <c r="D8486" i="1"/>
  <c r="C8486" i="1"/>
  <c r="D8485" i="1"/>
  <c r="C8485" i="1"/>
  <c r="D8484" i="1"/>
  <c r="C8484" i="1"/>
  <c r="D8483" i="1"/>
  <c r="C8483" i="1"/>
  <c r="D8482" i="1"/>
  <c r="C8482" i="1"/>
  <c r="D8481" i="1"/>
  <c r="C8481" i="1"/>
  <c r="D8480" i="1"/>
  <c r="C8480" i="1"/>
  <c r="D8479" i="1"/>
  <c r="C8479" i="1"/>
  <c r="D8478" i="1"/>
  <c r="C8478" i="1"/>
  <c r="D8477" i="1"/>
  <c r="C8477" i="1"/>
  <c r="D8476" i="1"/>
  <c r="C8476" i="1"/>
  <c r="D8475" i="1"/>
  <c r="C8475" i="1"/>
  <c r="D8474" i="1"/>
  <c r="C8474" i="1"/>
  <c r="D8473" i="1"/>
  <c r="C8473" i="1"/>
  <c r="D8472" i="1"/>
  <c r="C8472" i="1"/>
  <c r="D8471" i="1"/>
  <c r="C8471" i="1"/>
  <c r="D8470" i="1"/>
  <c r="C8470" i="1"/>
  <c r="D8469" i="1"/>
  <c r="C8469" i="1"/>
  <c r="D8468" i="1"/>
  <c r="C8468" i="1"/>
  <c r="D8467" i="1"/>
  <c r="C8467" i="1"/>
  <c r="D8466" i="1"/>
  <c r="C8466" i="1"/>
  <c r="D8465" i="1"/>
  <c r="C8465" i="1"/>
  <c r="D8464" i="1"/>
  <c r="C8464" i="1"/>
  <c r="D8463" i="1"/>
  <c r="C8463" i="1"/>
  <c r="D8462" i="1"/>
  <c r="C8462" i="1"/>
  <c r="D8461" i="1"/>
  <c r="C8461" i="1"/>
  <c r="D8460" i="1"/>
  <c r="C8460" i="1"/>
  <c r="D8459" i="1"/>
  <c r="C8459" i="1"/>
  <c r="D8458" i="1"/>
  <c r="C8458" i="1"/>
  <c r="D8457" i="1"/>
  <c r="C8457" i="1"/>
  <c r="D8456" i="1"/>
  <c r="C8456" i="1"/>
  <c r="D8455" i="1"/>
  <c r="C8455" i="1"/>
  <c r="D8454" i="1"/>
  <c r="C8454" i="1"/>
  <c r="D8453" i="1"/>
  <c r="C8453" i="1"/>
  <c r="D8452" i="1"/>
  <c r="C8452" i="1"/>
  <c r="D8451" i="1"/>
  <c r="C8451" i="1"/>
  <c r="D8450" i="1"/>
  <c r="C8450" i="1"/>
  <c r="D8449" i="1"/>
  <c r="C8449" i="1"/>
  <c r="D8448" i="1"/>
  <c r="C8448" i="1"/>
  <c r="D8447" i="1"/>
  <c r="C8447" i="1"/>
  <c r="D8446" i="1"/>
  <c r="C8446" i="1"/>
  <c r="D8445" i="1"/>
  <c r="C8445" i="1"/>
  <c r="D8444" i="1"/>
  <c r="C8444" i="1"/>
  <c r="D8443" i="1"/>
  <c r="C8443" i="1"/>
  <c r="D8442" i="1"/>
  <c r="C8442" i="1"/>
  <c r="D8441" i="1"/>
  <c r="C8441" i="1"/>
  <c r="D8440" i="1"/>
  <c r="C8440" i="1"/>
  <c r="D8439" i="1"/>
  <c r="C8439" i="1"/>
  <c r="D8438" i="1"/>
  <c r="C8438" i="1"/>
  <c r="D8437" i="1"/>
  <c r="C8437" i="1"/>
  <c r="D8436" i="1"/>
  <c r="C8436" i="1"/>
  <c r="D8435" i="1"/>
  <c r="C8435" i="1"/>
  <c r="D8434" i="1"/>
  <c r="C8434" i="1"/>
  <c r="D8433" i="1"/>
  <c r="C8433" i="1"/>
  <c r="D8432" i="1"/>
  <c r="C8432" i="1"/>
  <c r="D8431" i="1"/>
  <c r="C8431" i="1"/>
  <c r="D8430" i="1"/>
  <c r="C8430" i="1"/>
  <c r="D8429" i="1"/>
  <c r="C8429" i="1"/>
  <c r="D8428" i="1"/>
  <c r="C8428" i="1"/>
  <c r="D8427" i="1"/>
  <c r="C8427" i="1"/>
  <c r="D8426" i="1"/>
  <c r="C8426" i="1"/>
  <c r="D8425" i="1"/>
  <c r="C8425" i="1"/>
  <c r="D8424" i="1"/>
  <c r="C8424" i="1"/>
  <c r="D8423" i="1"/>
  <c r="C8423" i="1"/>
  <c r="D8422" i="1"/>
  <c r="C8422" i="1"/>
  <c r="D8421" i="1"/>
  <c r="C8421" i="1"/>
  <c r="D8420" i="1"/>
  <c r="C8420" i="1"/>
  <c r="D8419" i="1"/>
  <c r="C8419" i="1"/>
  <c r="D8418" i="1"/>
  <c r="C8418" i="1"/>
  <c r="D8417" i="1"/>
  <c r="C8417" i="1"/>
  <c r="D8416" i="1"/>
  <c r="C8416" i="1"/>
  <c r="D8415" i="1"/>
  <c r="C8415" i="1"/>
  <c r="D8414" i="1"/>
  <c r="C8414" i="1"/>
  <c r="D8413" i="1"/>
  <c r="C8413" i="1"/>
  <c r="D8412" i="1"/>
  <c r="C8412" i="1"/>
  <c r="D8411" i="1"/>
  <c r="C8411" i="1"/>
  <c r="D8410" i="1"/>
  <c r="C8410" i="1"/>
  <c r="D8409" i="1"/>
  <c r="C8409" i="1"/>
  <c r="D8408" i="1"/>
  <c r="C8408" i="1"/>
  <c r="D8407" i="1"/>
  <c r="C8407" i="1"/>
  <c r="D8406" i="1"/>
  <c r="C8406" i="1"/>
  <c r="D8405" i="1"/>
  <c r="C8405" i="1"/>
  <c r="D8404" i="1"/>
  <c r="C8404" i="1"/>
  <c r="D8403" i="1"/>
  <c r="C8403" i="1"/>
  <c r="D8402" i="1"/>
  <c r="C8402" i="1"/>
  <c r="D8401" i="1"/>
  <c r="C8401" i="1"/>
  <c r="D8400" i="1"/>
  <c r="C8400" i="1"/>
  <c r="D8399" i="1"/>
  <c r="C8399" i="1"/>
  <c r="D8398" i="1"/>
  <c r="C8398" i="1"/>
  <c r="D8397" i="1"/>
  <c r="C8397" i="1"/>
  <c r="D8396" i="1"/>
  <c r="C8396" i="1"/>
  <c r="D8395" i="1"/>
  <c r="C8395" i="1"/>
  <c r="D8394" i="1"/>
  <c r="C8394" i="1"/>
  <c r="D8393" i="1"/>
  <c r="C8393" i="1"/>
  <c r="D8392" i="1"/>
  <c r="C8392" i="1"/>
  <c r="D8391" i="1"/>
  <c r="C8391" i="1"/>
  <c r="D8390" i="1"/>
  <c r="C8390" i="1"/>
  <c r="D8389" i="1"/>
  <c r="C8389" i="1"/>
  <c r="D8388" i="1"/>
  <c r="C8388" i="1"/>
  <c r="D8387" i="1"/>
  <c r="C8387" i="1"/>
  <c r="D8386" i="1"/>
  <c r="C8386" i="1"/>
  <c r="D8385" i="1"/>
  <c r="C8385" i="1"/>
  <c r="D8384" i="1"/>
  <c r="C8384" i="1"/>
  <c r="D8383" i="1"/>
  <c r="C8383" i="1"/>
  <c r="D8382" i="1"/>
  <c r="C8382" i="1"/>
  <c r="D8381" i="1"/>
  <c r="C8381" i="1"/>
  <c r="D8380" i="1"/>
  <c r="C8380" i="1"/>
  <c r="D8379" i="1"/>
  <c r="C8379" i="1"/>
  <c r="D8378" i="1"/>
  <c r="C8378" i="1"/>
  <c r="D8377" i="1"/>
  <c r="C8377" i="1"/>
  <c r="D8376" i="1"/>
  <c r="C8376" i="1"/>
  <c r="D8375" i="1"/>
  <c r="C8375" i="1"/>
  <c r="D8374" i="1"/>
  <c r="C8374" i="1"/>
  <c r="D8373" i="1"/>
  <c r="C8373" i="1"/>
  <c r="D8372" i="1"/>
  <c r="C8372" i="1"/>
  <c r="D8371" i="1"/>
  <c r="C8371" i="1"/>
  <c r="D8370" i="1"/>
  <c r="C8370" i="1"/>
  <c r="D8369" i="1"/>
  <c r="C8369" i="1"/>
  <c r="D8368" i="1"/>
  <c r="C8368" i="1"/>
  <c r="D8367" i="1"/>
  <c r="C8367" i="1"/>
  <c r="D8366" i="1"/>
  <c r="C8366" i="1"/>
  <c r="D8365" i="1"/>
  <c r="C8365" i="1"/>
  <c r="D8364" i="1"/>
  <c r="C8364" i="1"/>
  <c r="D8363" i="1"/>
  <c r="C8363" i="1"/>
  <c r="D8362" i="1"/>
  <c r="C8362" i="1"/>
  <c r="D8361" i="1"/>
  <c r="C8361" i="1"/>
  <c r="D8360" i="1"/>
  <c r="C8360" i="1"/>
  <c r="D8359" i="1"/>
  <c r="C8359" i="1"/>
  <c r="D8358" i="1"/>
  <c r="C8358" i="1"/>
  <c r="D8357" i="1"/>
  <c r="C8357" i="1"/>
  <c r="D8356" i="1"/>
  <c r="C8356" i="1"/>
  <c r="D8355" i="1"/>
  <c r="C8355" i="1"/>
  <c r="D8354" i="1"/>
  <c r="C8354" i="1"/>
  <c r="D8353" i="1"/>
  <c r="C8353" i="1"/>
  <c r="D8352" i="1"/>
  <c r="C8352" i="1"/>
  <c r="D8351" i="1"/>
  <c r="C8351" i="1"/>
  <c r="D8350" i="1"/>
  <c r="C8350" i="1"/>
  <c r="D8349" i="1"/>
  <c r="C8349" i="1"/>
  <c r="D8348" i="1"/>
  <c r="C8348" i="1"/>
  <c r="D8347" i="1"/>
  <c r="C8347" i="1"/>
  <c r="D8346" i="1"/>
  <c r="C8346" i="1"/>
  <c r="D8345" i="1"/>
  <c r="C8345" i="1"/>
  <c r="D8344" i="1"/>
  <c r="C8344" i="1"/>
  <c r="D8343" i="1"/>
  <c r="C8343" i="1"/>
  <c r="D8342" i="1"/>
  <c r="C8342" i="1"/>
  <c r="D8341" i="1"/>
  <c r="C8341" i="1"/>
  <c r="D8340" i="1"/>
  <c r="C8340" i="1"/>
  <c r="D8339" i="1"/>
  <c r="C8339" i="1"/>
  <c r="D8338" i="1"/>
  <c r="C8338" i="1"/>
  <c r="D8337" i="1"/>
  <c r="C8337" i="1"/>
  <c r="D8336" i="1"/>
  <c r="C8336" i="1"/>
  <c r="D8335" i="1"/>
  <c r="C8335" i="1"/>
  <c r="D8334" i="1"/>
  <c r="C8334" i="1"/>
  <c r="D8333" i="1"/>
  <c r="C8333" i="1"/>
  <c r="D8332" i="1"/>
  <c r="C8332" i="1"/>
  <c r="D8331" i="1"/>
  <c r="C8331" i="1"/>
  <c r="D8330" i="1"/>
  <c r="C8330" i="1"/>
  <c r="D8329" i="1"/>
  <c r="C8329" i="1"/>
  <c r="D8328" i="1"/>
  <c r="C8328" i="1"/>
  <c r="D8327" i="1"/>
  <c r="C8327" i="1"/>
  <c r="D8326" i="1"/>
  <c r="C8326" i="1"/>
  <c r="D8325" i="1"/>
  <c r="C8325" i="1"/>
  <c r="D8324" i="1"/>
  <c r="C8324" i="1"/>
  <c r="D8323" i="1"/>
  <c r="C8323" i="1"/>
  <c r="D8322" i="1"/>
  <c r="C8322" i="1"/>
  <c r="D8321" i="1"/>
  <c r="C8321" i="1"/>
  <c r="D8320" i="1"/>
  <c r="C8320" i="1"/>
  <c r="D8319" i="1"/>
  <c r="C8319" i="1"/>
  <c r="D8318" i="1"/>
  <c r="C8318" i="1"/>
  <c r="D8317" i="1"/>
  <c r="C8317" i="1"/>
  <c r="D8316" i="1"/>
  <c r="C8316" i="1"/>
  <c r="D8315" i="1"/>
  <c r="C8315" i="1"/>
  <c r="D8314" i="1"/>
  <c r="C8314" i="1"/>
  <c r="D8313" i="1"/>
  <c r="C8313" i="1"/>
  <c r="D8312" i="1"/>
  <c r="C8312" i="1"/>
  <c r="D8311" i="1"/>
  <c r="C8311" i="1"/>
  <c r="D8310" i="1"/>
  <c r="C8310" i="1"/>
  <c r="D8309" i="1"/>
  <c r="C8309" i="1"/>
  <c r="D8308" i="1"/>
  <c r="C8308" i="1"/>
  <c r="D8307" i="1"/>
  <c r="C8307" i="1"/>
  <c r="D8306" i="1"/>
  <c r="C8306" i="1"/>
  <c r="D8305" i="1"/>
  <c r="C8305" i="1"/>
  <c r="D8304" i="1"/>
  <c r="C8304" i="1"/>
  <c r="D8303" i="1"/>
  <c r="C8303" i="1"/>
  <c r="D8302" i="1"/>
  <c r="C8302" i="1"/>
  <c r="D8301" i="1"/>
  <c r="C8301" i="1"/>
  <c r="D8300" i="1"/>
  <c r="C8300" i="1"/>
  <c r="D8299" i="1"/>
  <c r="C8299" i="1"/>
  <c r="D8298" i="1"/>
  <c r="C8298" i="1"/>
  <c r="D8297" i="1"/>
  <c r="C8297" i="1"/>
  <c r="D8296" i="1"/>
  <c r="C8296" i="1"/>
  <c r="D8295" i="1"/>
  <c r="C8295" i="1"/>
  <c r="D8294" i="1"/>
  <c r="C8294" i="1"/>
  <c r="D8293" i="1"/>
  <c r="C8293" i="1"/>
  <c r="D8292" i="1"/>
  <c r="C8292" i="1"/>
  <c r="D8291" i="1"/>
  <c r="C8291" i="1"/>
  <c r="D8290" i="1"/>
  <c r="C8290" i="1"/>
  <c r="D8289" i="1"/>
  <c r="C8289" i="1"/>
  <c r="D8288" i="1"/>
  <c r="C8288" i="1"/>
  <c r="D8287" i="1"/>
  <c r="C8287" i="1"/>
  <c r="D8286" i="1"/>
  <c r="C8286" i="1"/>
  <c r="D8285" i="1"/>
  <c r="C8285" i="1"/>
  <c r="D8284" i="1"/>
  <c r="C8284" i="1"/>
  <c r="D8283" i="1"/>
  <c r="C8283" i="1"/>
  <c r="D8282" i="1"/>
  <c r="C8282" i="1"/>
  <c r="D8281" i="1"/>
  <c r="C8281" i="1"/>
  <c r="D8280" i="1"/>
  <c r="C8280" i="1"/>
  <c r="D8279" i="1"/>
  <c r="C8279" i="1"/>
  <c r="D8278" i="1"/>
  <c r="C8278" i="1"/>
  <c r="D8277" i="1"/>
  <c r="C8277" i="1"/>
  <c r="D8276" i="1"/>
  <c r="C8276" i="1"/>
  <c r="D8275" i="1"/>
  <c r="C8275" i="1"/>
  <c r="D8274" i="1"/>
  <c r="C8274" i="1"/>
  <c r="D8273" i="1"/>
  <c r="C8273" i="1"/>
  <c r="D8272" i="1"/>
  <c r="C8272" i="1"/>
  <c r="D8271" i="1"/>
  <c r="C8271" i="1"/>
  <c r="D8270" i="1"/>
  <c r="C8270" i="1"/>
  <c r="D8269" i="1"/>
  <c r="C8269" i="1"/>
  <c r="D8268" i="1"/>
  <c r="C8268" i="1"/>
  <c r="D8267" i="1"/>
  <c r="C8267" i="1"/>
  <c r="D8266" i="1"/>
  <c r="C8266" i="1"/>
  <c r="D8265" i="1"/>
  <c r="C8265" i="1"/>
  <c r="D8264" i="1"/>
  <c r="C8264" i="1"/>
  <c r="D8263" i="1"/>
  <c r="C8263" i="1"/>
  <c r="D8262" i="1"/>
  <c r="C8262" i="1"/>
  <c r="D8261" i="1"/>
  <c r="C8261" i="1"/>
  <c r="D8260" i="1"/>
  <c r="C8260" i="1"/>
  <c r="D8259" i="1"/>
  <c r="C8259" i="1"/>
  <c r="D8258" i="1"/>
  <c r="C8258" i="1"/>
  <c r="D8257" i="1"/>
  <c r="C8257" i="1"/>
  <c r="D8256" i="1"/>
  <c r="C8256" i="1"/>
  <c r="D8255" i="1"/>
  <c r="C8255" i="1"/>
  <c r="D8254" i="1"/>
  <c r="C8254" i="1"/>
  <c r="D8253" i="1"/>
  <c r="C8253" i="1"/>
  <c r="D8252" i="1"/>
  <c r="C8252" i="1"/>
  <c r="D8251" i="1"/>
  <c r="C8251" i="1"/>
  <c r="D8250" i="1"/>
  <c r="C8250" i="1"/>
  <c r="D8249" i="1"/>
  <c r="C8249" i="1"/>
  <c r="D8248" i="1"/>
  <c r="C8248" i="1"/>
  <c r="D8247" i="1"/>
  <c r="C8247" i="1"/>
  <c r="D8246" i="1"/>
  <c r="C8246" i="1"/>
  <c r="D8245" i="1"/>
  <c r="C8245" i="1"/>
  <c r="D8244" i="1"/>
  <c r="C8244" i="1"/>
  <c r="D8243" i="1"/>
  <c r="C8243" i="1"/>
  <c r="D8242" i="1"/>
  <c r="C8242" i="1"/>
  <c r="D8241" i="1"/>
  <c r="C8241" i="1"/>
  <c r="D8240" i="1"/>
  <c r="C8240" i="1"/>
  <c r="D8239" i="1"/>
  <c r="C8239" i="1"/>
  <c r="D8238" i="1"/>
  <c r="C8238" i="1"/>
  <c r="D8237" i="1"/>
  <c r="C8237" i="1"/>
  <c r="D8236" i="1"/>
  <c r="C8236" i="1"/>
  <c r="D8235" i="1"/>
  <c r="C8235" i="1"/>
  <c r="D8234" i="1"/>
  <c r="C8234" i="1"/>
  <c r="D8233" i="1"/>
  <c r="C8233" i="1"/>
  <c r="D8232" i="1"/>
  <c r="C8232" i="1"/>
  <c r="D8231" i="1"/>
  <c r="C8231" i="1"/>
  <c r="D8230" i="1"/>
  <c r="C8230" i="1"/>
  <c r="D8229" i="1"/>
  <c r="C8229" i="1"/>
  <c r="D8228" i="1"/>
  <c r="C8228" i="1"/>
  <c r="D8227" i="1"/>
  <c r="C8227" i="1"/>
  <c r="D8226" i="1"/>
  <c r="C8226" i="1"/>
  <c r="D8225" i="1"/>
  <c r="C8225" i="1"/>
  <c r="D8224" i="1"/>
  <c r="C8224" i="1"/>
  <c r="D8223" i="1"/>
  <c r="C8223" i="1"/>
  <c r="D8222" i="1"/>
  <c r="C8222" i="1"/>
  <c r="D8221" i="1"/>
  <c r="C8221" i="1"/>
  <c r="D8220" i="1"/>
  <c r="C8220" i="1"/>
  <c r="D8219" i="1"/>
  <c r="C8219" i="1"/>
  <c r="D8218" i="1"/>
  <c r="C8218" i="1"/>
  <c r="D8217" i="1"/>
  <c r="C8217" i="1"/>
  <c r="D8216" i="1"/>
  <c r="C8216" i="1"/>
  <c r="D8215" i="1"/>
  <c r="C8215" i="1"/>
  <c r="D8214" i="1"/>
  <c r="C8214" i="1"/>
  <c r="D8213" i="1"/>
  <c r="C8213" i="1"/>
  <c r="D8212" i="1"/>
  <c r="C8212" i="1"/>
  <c r="D8211" i="1"/>
  <c r="C8211" i="1"/>
  <c r="D8210" i="1"/>
  <c r="C8210" i="1"/>
  <c r="D8209" i="1"/>
  <c r="C8209" i="1"/>
  <c r="D8208" i="1"/>
  <c r="C8208" i="1"/>
  <c r="D8207" i="1"/>
  <c r="C8207" i="1"/>
  <c r="D8206" i="1"/>
  <c r="C8206" i="1"/>
  <c r="D8205" i="1"/>
  <c r="C8205" i="1"/>
  <c r="D8204" i="1"/>
  <c r="C8204" i="1"/>
  <c r="D8203" i="1"/>
  <c r="C8203" i="1"/>
  <c r="D8202" i="1"/>
  <c r="C8202" i="1"/>
  <c r="D8201" i="1"/>
  <c r="C8201" i="1"/>
  <c r="D8200" i="1"/>
  <c r="C8200" i="1"/>
  <c r="D8199" i="1"/>
  <c r="C8199" i="1"/>
  <c r="D8198" i="1"/>
  <c r="C8198" i="1"/>
  <c r="D8197" i="1"/>
  <c r="C8197" i="1"/>
  <c r="D8196" i="1"/>
  <c r="C8196" i="1"/>
  <c r="D8195" i="1"/>
  <c r="C8195" i="1"/>
  <c r="D8194" i="1"/>
  <c r="C8194" i="1"/>
  <c r="D8193" i="1"/>
  <c r="C8193" i="1"/>
  <c r="D8192" i="1"/>
  <c r="C8192" i="1"/>
  <c r="D8191" i="1"/>
  <c r="C8191" i="1"/>
  <c r="D8190" i="1"/>
  <c r="C8190" i="1"/>
  <c r="D8189" i="1"/>
  <c r="C8189" i="1"/>
  <c r="D8188" i="1"/>
  <c r="C8188" i="1"/>
  <c r="D8187" i="1"/>
  <c r="C8187" i="1"/>
  <c r="D8186" i="1"/>
  <c r="C8186" i="1"/>
  <c r="D8185" i="1"/>
  <c r="C8185" i="1"/>
  <c r="D8184" i="1"/>
  <c r="C8184" i="1"/>
  <c r="D8183" i="1"/>
  <c r="C8183" i="1"/>
  <c r="D8182" i="1"/>
  <c r="C8182" i="1"/>
  <c r="D8181" i="1"/>
  <c r="C8181" i="1"/>
  <c r="D8180" i="1"/>
  <c r="C8180" i="1"/>
  <c r="D8179" i="1"/>
  <c r="C8179" i="1"/>
  <c r="D8178" i="1"/>
  <c r="C8178" i="1"/>
  <c r="D8177" i="1"/>
  <c r="C8177" i="1"/>
  <c r="D8176" i="1"/>
  <c r="C8176" i="1"/>
  <c r="D8175" i="1"/>
  <c r="C8175" i="1"/>
  <c r="D8174" i="1"/>
  <c r="C8174" i="1"/>
  <c r="D8173" i="1"/>
  <c r="C8173" i="1"/>
  <c r="D8172" i="1"/>
  <c r="C8172" i="1"/>
  <c r="D8171" i="1"/>
  <c r="C8171" i="1"/>
  <c r="D8170" i="1"/>
  <c r="C8170" i="1"/>
  <c r="D8169" i="1"/>
  <c r="C8169" i="1"/>
  <c r="D8168" i="1"/>
  <c r="C8168" i="1"/>
  <c r="D8167" i="1"/>
  <c r="C8167" i="1"/>
  <c r="D8166" i="1"/>
  <c r="C8166" i="1"/>
  <c r="D8165" i="1"/>
  <c r="C8165" i="1"/>
  <c r="D8164" i="1"/>
  <c r="C8164" i="1"/>
  <c r="D8163" i="1"/>
  <c r="C8163" i="1"/>
  <c r="D8162" i="1"/>
  <c r="C8162" i="1"/>
  <c r="D8161" i="1"/>
  <c r="C8161" i="1"/>
  <c r="D8160" i="1"/>
  <c r="C8160" i="1"/>
  <c r="D8159" i="1"/>
  <c r="C8159" i="1"/>
  <c r="D8158" i="1"/>
  <c r="C8158" i="1"/>
  <c r="D8157" i="1"/>
  <c r="C8157" i="1"/>
  <c r="D8156" i="1"/>
  <c r="C8156" i="1"/>
  <c r="D8155" i="1"/>
  <c r="C8155" i="1"/>
  <c r="D8154" i="1"/>
  <c r="C8154" i="1"/>
  <c r="D8153" i="1"/>
  <c r="C8153" i="1"/>
  <c r="D8152" i="1"/>
  <c r="C8152" i="1"/>
  <c r="D8151" i="1"/>
  <c r="C8151" i="1"/>
  <c r="D8150" i="1"/>
  <c r="C8150" i="1"/>
  <c r="D8149" i="1"/>
  <c r="C8149" i="1"/>
  <c r="D8148" i="1"/>
  <c r="C8148" i="1"/>
  <c r="D8147" i="1"/>
  <c r="C8147" i="1"/>
  <c r="D8146" i="1"/>
  <c r="C8146" i="1"/>
  <c r="D8145" i="1"/>
  <c r="C8145" i="1"/>
  <c r="D8144" i="1"/>
  <c r="C8144" i="1"/>
  <c r="D8143" i="1"/>
  <c r="C8143" i="1"/>
  <c r="D8142" i="1"/>
  <c r="C8142" i="1"/>
  <c r="D8141" i="1"/>
  <c r="C8141" i="1"/>
  <c r="D8140" i="1"/>
  <c r="C8140" i="1"/>
  <c r="D8139" i="1"/>
  <c r="C8139" i="1"/>
  <c r="D8138" i="1"/>
  <c r="C8138" i="1"/>
  <c r="D8137" i="1"/>
  <c r="C8137" i="1"/>
  <c r="D8136" i="1"/>
  <c r="C8136" i="1"/>
  <c r="D8135" i="1"/>
  <c r="C8135" i="1"/>
  <c r="D8134" i="1"/>
  <c r="C8134" i="1"/>
  <c r="D8133" i="1"/>
  <c r="C8133" i="1"/>
  <c r="D8132" i="1"/>
  <c r="C8132" i="1"/>
  <c r="D8131" i="1"/>
  <c r="C8131" i="1"/>
  <c r="D8130" i="1"/>
  <c r="C8130" i="1"/>
  <c r="D8129" i="1"/>
  <c r="C8129" i="1"/>
  <c r="D8128" i="1"/>
  <c r="C8128" i="1"/>
  <c r="D8127" i="1"/>
  <c r="C8127" i="1"/>
  <c r="D8126" i="1"/>
  <c r="C8126" i="1"/>
  <c r="D8125" i="1"/>
  <c r="C8125" i="1"/>
  <c r="D8124" i="1"/>
  <c r="C8124" i="1"/>
  <c r="D8123" i="1"/>
  <c r="C8123" i="1"/>
  <c r="D8122" i="1"/>
  <c r="C8122" i="1"/>
  <c r="D8121" i="1"/>
  <c r="C8121" i="1"/>
  <c r="D8120" i="1"/>
  <c r="C8120" i="1"/>
  <c r="D8119" i="1"/>
  <c r="C8119" i="1"/>
  <c r="D8118" i="1"/>
  <c r="C8118" i="1"/>
  <c r="D8117" i="1"/>
  <c r="C8117" i="1"/>
  <c r="D8116" i="1"/>
  <c r="C8116" i="1"/>
  <c r="D8115" i="1"/>
  <c r="C8115" i="1"/>
  <c r="D8114" i="1"/>
  <c r="C8114" i="1"/>
  <c r="D8113" i="1"/>
  <c r="C8113" i="1"/>
  <c r="D8112" i="1"/>
  <c r="C8112" i="1"/>
  <c r="D8111" i="1"/>
  <c r="C8111" i="1"/>
  <c r="D8110" i="1"/>
  <c r="C8110" i="1"/>
  <c r="D8109" i="1"/>
  <c r="C8109" i="1"/>
  <c r="D8108" i="1"/>
  <c r="C8108" i="1"/>
  <c r="D8107" i="1"/>
  <c r="C8107" i="1"/>
  <c r="D8106" i="1"/>
  <c r="C8106" i="1"/>
  <c r="D8105" i="1"/>
  <c r="C8105" i="1"/>
  <c r="D8104" i="1"/>
  <c r="C8104" i="1"/>
  <c r="D8103" i="1"/>
  <c r="C8103" i="1"/>
  <c r="D8102" i="1"/>
  <c r="C8102" i="1"/>
  <c r="D8101" i="1"/>
  <c r="C8101" i="1"/>
  <c r="D8100" i="1"/>
  <c r="C8100" i="1"/>
  <c r="D8099" i="1"/>
  <c r="C8099" i="1"/>
  <c r="D8098" i="1"/>
  <c r="C8098" i="1"/>
  <c r="D8097" i="1"/>
  <c r="C8097" i="1"/>
  <c r="D8096" i="1"/>
  <c r="C8096" i="1"/>
  <c r="D8095" i="1"/>
  <c r="C8095" i="1"/>
  <c r="D8094" i="1"/>
  <c r="C8094" i="1"/>
  <c r="D8093" i="1"/>
  <c r="C8093" i="1"/>
  <c r="D8092" i="1"/>
  <c r="C8092" i="1"/>
  <c r="D8091" i="1"/>
  <c r="C8091" i="1"/>
  <c r="D8090" i="1"/>
  <c r="C8090" i="1"/>
  <c r="D8089" i="1"/>
  <c r="C8089" i="1"/>
  <c r="D8088" i="1"/>
  <c r="C8088" i="1"/>
  <c r="D8087" i="1"/>
  <c r="C8087" i="1"/>
  <c r="D8086" i="1"/>
  <c r="C8086" i="1"/>
  <c r="D8085" i="1"/>
  <c r="C8085" i="1"/>
  <c r="D8084" i="1"/>
  <c r="C8084" i="1"/>
  <c r="D8083" i="1"/>
  <c r="C8083" i="1"/>
  <c r="D8082" i="1"/>
  <c r="C8082" i="1"/>
  <c r="D8081" i="1"/>
  <c r="C8081" i="1"/>
  <c r="D8080" i="1"/>
  <c r="C8080" i="1"/>
  <c r="D8079" i="1"/>
  <c r="C8079" i="1"/>
  <c r="D8078" i="1"/>
  <c r="C8078" i="1"/>
  <c r="D8077" i="1"/>
  <c r="C8077" i="1"/>
  <c r="D8076" i="1"/>
  <c r="C8076" i="1"/>
  <c r="D8075" i="1"/>
  <c r="C8075" i="1"/>
  <c r="D8074" i="1"/>
  <c r="C8074" i="1"/>
  <c r="D8073" i="1"/>
  <c r="C8073" i="1"/>
  <c r="D8072" i="1"/>
  <c r="C8072" i="1"/>
  <c r="D8071" i="1"/>
  <c r="C8071" i="1"/>
  <c r="D8070" i="1"/>
  <c r="C8070" i="1"/>
  <c r="D8069" i="1"/>
  <c r="C8069" i="1"/>
  <c r="D8068" i="1"/>
  <c r="C8068" i="1"/>
  <c r="D8067" i="1"/>
  <c r="C8067" i="1"/>
  <c r="D8066" i="1"/>
  <c r="C8066" i="1"/>
  <c r="D8065" i="1"/>
  <c r="C8065" i="1"/>
  <c r="D8064" i="1"/>
  <c r="C8064" i="1"/>
  <c r="D8063" i="1"/>
  <c r="C8063" i="1"/>
  <c r="D8062" i="1"/>
  <c r="C8062" i="1"/>
  <c r="D8061" i="1"/>
  <c r="C8061" i="1"/>
  <c r="D8060" i="1"/>
  <c r="C8060" i="1"/>
  <c r="D8059" i="1"/>
  <c r="C8059" i="1"/>
  <c r="D8058" i="1"/>
  <c r="C8058" i="1"/>
  <c r="D8057" i="1"/>
  <c r="C8057" i="1"/>
  <c r="D8056" i="1"/>
  <c r="C8056" i="1"/>
  <c r="D8055" i="1"/>
  <c r="C8055" i="1"/>
  <c r="D8054" i="1"/>
  <c r="C8054" i="1"/>
  <c r="D8053" i="1"/>
  <c r="C8053" i="1"/>
  <c r="D8052" i="1"/>
  <c r="C8052" i="1"/>
  <c r="D8051" i="1"/>
  <c r="C8051" i="1"/>
  <c r="D8050" i="1"/>
  <c r="C8050" i="1"/>
  <c r="D8049" i="1"/>
  <c r="C8049" i="1"/>
  <c r="D8048" i="1"/>
  <c r="C8048" i="1"/>
  <c r="D8047" i="1"/>
  <c r="C8047" i="1"/>
  <c r="D8046" i="1"/>
  <c r="C8046" i="1"/>
  <c r="D8045" i="1"/>
  <c r="C8045" i="1"/>
  <c r="D8044" i="1"/>
  <c r="C8044" i="1"/>
  <c r="D8043" i="1"/>
  <c r="C8043" i="1"/>
  <c r="D8042" i="1"/>
  <c r="C8042" i="1"/>
  <c r="D8041" i="1"/>
  <c r="C8041" i="1"/>
  <c r="D8040" i="1"/>
  <c r="C8040" i="1"/>
  <c r="D8039" i="1"/>
  <c r="C8039" i="1"/>
  <c r="D8038" i="1"/>
  <c r="C8038" i="1"/>
  <c r="D8037" i="1"/>
  <c r="C8037" i="1"/>
  <c r="D8036" i="1"/>
  <c r="C8036" i="1"/>
  <c r="D8035" i="1"/>
  <c r="C8035" i="1"/>
  <c r="D8034" i="1"/>
  <c r="C8034" i="1"/>
  <c r="D8033" i="1"/>
  <c r="C8033" i="1"/>
  <c r="D8032" i="1"/>
  <c r="C8032" i="1"/>
  <c r="D8031" i="1"/>
  <c r="C8031" i="1"/>
  <c r="D8030" i="1"/>
  <c r="C8030" i="1"/>
  <c r="D8029" i="1"/>
  <c r="C8029" i="1"/>
  <c r="D8028" i="1"/>
  <c r="C8028" i="1"/>
  <c r="D8027" i="1"/>
  <c r="C8027" i="1"/>
  <c r="D8026" i="1"/>
  <c r="C8026" i="1"/>
  <c r="D8025" i="1"/>
  <c r="C8025" i="1"/>
  <c r="D8024" i="1"/>
  <c r="C8024" i="1"/>
  <c r="D8023" i="1"/>
  <c r="C8023" i="1"/>
  <c r="D8022" i="1"/>
  <c r="C8022" i="1"/>
  <c r="D8021" i="1"/>
  <c r="C8021" i="1"/>
  <c r="D8020" i="1"/>
  <c r="C8020" i="1"/>
  <c r="D8019" i="1"/>
  <c r="C8019" i="1"/>
  <c r="D8018" i="1"/>
  <c r="C8018" i="1"/>
  <c r="D8017" i="1"/>
  <c r="C8017" i="1"/>
  <c r="D8016" i="1"/>
  <c r="C8016" i="1"/>
  <c r="D8015" i="1"/>
  <c r="C8015" i="1"/>
  <c r="D8014" i="1"/>
  <c r="C8014" i="1"/>
  <c r="D8013" i="1"/>
  <c r="C8013" i="1"/>
  <c r="D8012" i="1"/>
  <c r="C8012" i="1"/>
  <c r="D8011" i="1"/>
  <c r="C8011" i="1"/>
  <c r="D8010" i="1"/>
  <c r="C8010" i="1"/>
  <c r="D8009" i="1"/>
  <c r="C8009" i="1"/>
  <c r="D8008" i="1"/>
  <c r="C8008" i="1"/>
  <c r="D8007" i="1"/>
  <c r="C8007" i="1"/>
  <c r="D8006" i="1"/>
  <c r="C8006" i="1"/>
  <c r="D8005" i="1"/>
  <c r="C8005" i="1"/>
  <c r="D8004" i="1"/>
  <c r="C8004" i="1"/>
  <c r="D8003" i="1"/>
  <c r="C8003" i="1"/>
  <c r="D8002" i="1"/>
  <c r="C8002" i="1"/>
  <c r="D8001" i="1"/>
  <c r="C8001" i="1"/>
  <c r="D8000" i="1"/>
  <c r="C8000" i="1"/>
  <c r="D7999" i="1"/>
  <c r="C7999" i="1"/>
  <c r="D7998" i="1"/>
  <c r="C7998" i="1"/>
  <c r="D7997" i="1"/>
  <c r="C7997" i="1"/>
  <c r="D7996" i="1"/>
  <c r="C7996" i="1"/>
  <c r="D7995" i="1"/>
  <c r="C7995" i="1"/>
  <c r="D7994" i="1"/>
  <c r="C7994" i="1"/>
  <c r="D7993" i="1"/>
  <c r="C7993" i="1"/>
  <c r="D7992" i="1"/>
  <c r="C7992" i="1"/>
  <c r="D7991" i="1"/>
  <c r="C7991" i="1"/>
  <c r="D7990" i="1"/>
  <c r="C7990" i="1"/>
  <c r="D7989" i="1"/>
  <c r="C7989" i="1"/>
  <c r="D7988" i="1"/>
  <c r="C7988" i="1"/>
  <c r="D7987" i="1"/>
  <c r="C7987" i="1"/>
  <c r="D7986" i="1"/>
  <c r="C7986" i="1"/>
  <c r="D7985" i="1"/>
  <c r="C7985" i="1"/>
  <c r="D7984" i="1"/>
  <c r="C7984" i="1"/>
  <c r="D7983" i="1"/>
  <c r="C7983" i="1"/>
  <c r="D7982" i="1"/>
  <c r="C7982" i="1"/>
  <c r="D7981" i="1"/>
  <c r="C7981" i="1"/>
  <c r="D7980" i="1"/>
  <c r="C7980" i="1"/>
  <c r="D7979" i="1"/>
  <c r="C7979" i="1"/>
  <c r="D7978" i="1"/>
  <c r="C7978" i="1"/>
  <c r="D7977" i="1"/>
  <c r="C7977" i="1"/>
  <c r="D7976" i="1"/>
  <c r="C7976" i="1"/>
  <c r="D7975" i="1"/>
  <c r="C7975" i="1"/>
  <c r="D7974" i="1"/>
  <c r="C7974" i="1"/>
  <c r="D7973" i="1"/>
  <c r="C7973" i="1"/>
  <c r="D7972" i="1"/>
  <c r="C7972" i="1"/>
  <c r="D7971" i="1"/>
  <c r="C7971" i="1"/>
  <c r="D7970" i="1"/>
  <c r="C7970" i="1"/>
  <c r="D7969" i="1"/>
  <c r="C7969" i="1"/>
  <c r="D7968" i="1"/>
  <c r="C7968" i="1"/>
  <c r="D7967" i="1"/>
  <c r="C7967" i="1"/>
  <c r="D7966" i="1"/>
  <c r="C7966" i="1"/>
  <c r="D7965" i="1"/>
  <c r="C7965" i="1"/>
  <c r="D7964" i="1"/>
  <c r="C7964" i="1"/>
  <c r="D7963" i="1"/>
  <c r="C7963" i="1"/>
  <c r="D7962" i="1"/>
  <c r="C7962" i="1"/>
  <c r="D7961" i="1"/>
  <c r="C7961" i="1"/>
  <c r="D7960" i="1"/>
  <c r="C7960" i="1"/>
  <c r="D7959" i="1"/>
  <c r="C7959" i="1"/>
  <c r="D7958" i="1"/>
  <c r="C7958" i="1"/>
  <c r="D7957" i="1"/>
  <c r="C7957" i="1"/>
  <c r="D7956" i="1"/>
  <c r="C7956" i="1"/>
  <c r="D7955" i="1"/>
  <c r="C7955" i="1"/>
  <c r="D7954" i="1"/>
  <c r="C7954" i="1"/>
  <c r="D7953" i="1"/>
  <c r="C7953" i="1"/>
  <c r="D7952" i="1"/>
  <c r="C7952" i="1"/>
  <c r="D7951" i="1"/>
  <c r="C7951" i="1"/>
  <c r="D7950" i="1"/>
  <c r="C7950" i="1"/>
  <c r="D7949" i="1"/>
  <c r="C7949" i="1"/>
  <c r="D7948" i="1"/>
  <c r="C7948" i="1"/>
  <c r="D7947" i="1"/>
  <c r="C7947" i="1"/>
  <c r="D7946" i="1"/>
  <c r="C7946" i="1"/>
  <c r="D7945" i="1"/>
  <c r="C7945" i="1"/>
  <c r="D7944" i="1"/>
  <c r="C7944" i="1"/>
  <c r="D7943" i="1"/>
  <c r="C7943" i="1"/>
  <c r="D7942" i="1"/>
  <c r="C7942" i="1"/>
  <c r="D7941" i="1"/>
  <c r="C7941" i="1"/>
  <c r="D7940" i="1"/>
  <c r="C7940" i="1"/>
  <c r="D7939" i="1"/>
  <c r="C7939" i="1"/>
  <c r="D7938" i="1"/>
  <c r="C7938" i="1"/>
  <c r="D7937" i="1"/>
  <c r="C7937" i="1"/>
  <c r="D7936" i="1"/>
  <c r="C7936" i="1"/>
  <c r="D7935" i="1"/>
  <c r="C7935" i="1"/>
  <c r="D7934" i="1"/>
  <c r="C7934" i="1"/>
  <c r="D7933" i="1"/>
  <c r="C7933" i="1"/>
  <c r="D7932" i="1"/>
  <c r="C7932" i="1"/>
  <c r="D7931" i="1"/>
  <c r="C7931" i="1"/>
  <c r="D7930" i="1"/>
  <c r="C7930" i="1"/>
  <c r="D7929" i="1"/>
  <c r="C7929" i="1"/>
  <c r="D7928" i="1"/>
  <c r="C7928" i="1"/>
  <c r="D7927" i="1"/>
  <c r="C7927" i="1"/>
  <c r="D7926" i="1"/>
  <c r="C7926" i="1"/>
  <c r="D7925" i="1"/>
  <c r="C7925" i="1"/>
  <c r="D7924" i="1"/>
  <c r="C7924" i="1"/>
  <c r="D7923" i="1"/>
  <c r="C7923" i="1"/>
  <c r="D7922" i="1"/>
  <c r="C7922" i="1"/>
  <c r="D7921" i="1"/>
  <c r="C7921" i="1"/>
  <c r="D7920" i="1"/>
  <c r="C7920" i="1"/>
  <c r="D7919" i="1"/>
  <c r="C7919" i="1"/>
  <c r="D7918" i="1"/>
  <c r="C7918" i="1"/>
  <c r="D7917" i="1"/>
  <c r="C7917" i="1"/>
  <c r="D7916" i="1"/>
  <c r="C7916" i="1"/>
  <c r="D7915" i="1"/>
  <c r="C7915" i="1"/>
  <c r="D7914" i="1"/>
  <c r="C7914" i="1"/>
  <c r="D7913" i="1"/>
  <c r="C7913" i="1"/>
  <c r="D7912" i="1"/>
  <c r="C7912" i="1"/>
  <c r="D7911" i="1"/>
  <c r="C7911" i="1"/>
  <c r="D7910" i="1"/>
  <c r="C7910" i="1"/>
  <c r="D7909" i="1"/>
  <c r="C7909" i="1"/>
  <c r="D7908" i="1"/>
  <c r="C7908" i="1"/>
  <c r="D7907" i="1"/>
  <c r="C7907" i="1"/>
  <c r="D7906" i="1"/>
  <c r="C7906" i="1"/>
  <c r="D7905" i="1"/>
  <c r="C7905" i="1"/>
  <c r="D7904" i="1"/>
  <c r="C7904" i="1"/>
  <c r="D7903" i="1"/>
  <c r="C7903" i="1"/>
  <c r="D7902" i="1"/>
  <c r="C7902" i="1"/>
  <c r="D7901" i="1"/>
  <c r="C7901" i="1"/>
  <c r="D7900" i="1"/>
  <c r="C7900" i="1"/>
  <c r="D7899" i="1"/>
  <c r="C7899" i="1"/>
  <c r="D7898" i="1"/>
  <c r="C7898" i="1"/>
  <c r="D7897" i="1"/>
  <c r="C7897" i="1"/>
  <c r="D7896" i="1"/>
  <c r="C7896" i="1"/>
  <c r="D7895" i="1"/>
  <c r="C7895" i="1"/>
  <c r="D7894" i="1"/>
  <c r="C7894" i="1"/>
  <c r="D7893" i="1"/>
  <c r="C7893" i="1"/>
  <c r="D7892" i="1"/>
  <c r="C7892" i="1"/>
  <c r="D7891" i="1"/>
  <c r="C7891" i="1"/>
  <c r="D7890" i="1"/>
  <c r="C7890" i="1"/>
  <c r="D7889" i="1"/>
  <c r="C7889" i="1"/>
  <c r="D7888" i="1"/>
  <c r="C7888" i="1"/>
  <c r="D7887" i="1"/>
  <c r="C7887" i="1"/>
  <c r="D7886" i="1"/>
  <c r="C7886" i="1"/>
  <c r="D7885" i="1"/>
  <c r="C7885" i="1"/>
  <c r="D7884" i="1"/>
  <c r="C7884" i="1"/>
  <c r="D7883" i="1"/>
  <c r="C7883" i="1"/>
  <c r="D7882" i="1"/>
  <c r="C7882" i="1"/>
  <c r="D7881" i="1"/>
  <c r="C7881" i="1"/>
  <c r="D7880" i="1"/>
  <c r="C7880" i="1"/>
  <c r="D7879" i="1"/>
  <c r="C7879" i="1"/>
  <c r="D7878" i="1"/>
  <c r="C7878" i="1"/>
  <c r="D7877" i="1"/>
  <c r="C7877" i="1"/>
  <c r="D7876" i="1"/>
  <c r="C7876" i="1"/>
  <c r="D7875" i="1"/>
  <c r="C7875" i="1"/>
  <c r="D7874" i="1"/>
  <c r="C7874" i="1"/>
  <c r="D7873" i="1"/>
  <c r="C7873" i="1"/>
  <c r="D7872" i="1"/>
  <c r="C7872" i="1"/>
  <c r="D7871" i="1"/>
  <c r="C7871" i="1"/>
  <c r="D7870" i="1"/>
  <c r="C7870" i="1"/>
  <c r="D7869" i="1"/>
  <c r="C7869" i="1"/>
  <c r="D7868" i="1"/>
  <c r="C7868" i="1"/>
  <c r="D7867" i="1"/>
  <c r="C7867" i="1"/>
  <c r="D7866" i="1"/>
  <c r="C7866" i="1"/>
  <c r="D7865" i="1"/>
  <c r="C7865" i="1"/>
  <c r="D7864" i="1"/>
  <c r="C7864" i="1"/>
  <c r="D7863" i="1"/>
  <c r="C7863" i="1"/>
  <c r="D7862" i="1"/>
  <c r="C7862" i="1"/>
  <c r="D7861" i="1"/>
  <c r="C7861" i="1"/>
  <c r="D7860" i="1"/>
  <c r="C7860" i="1"/>
  <c r="D7859" i="1"/>
  <c r="C7859" i="1"/>
  <c r="D7858" i="1"/>
  <c r="C7858" i="1"/>
  <c r="D7857" i="1"/>
  <c r="C7857" i="1"/>
  <c r="D7856" i="1"/>
  <c r="C7856" i="1"/>
  <c r="D7855" i="1"/>
  <c r="C7855" i="1"/>
  <c r="D7854" i="1"/>
  <c r="C7854" i="1"/>
  <c r="D7853" i="1"/>
  <c r="C7853" i="1"/>
  <c r="D7852" i="1"/>
  <c r="C7852" i="1"/>
  <c r="D7851" i="1"/>
  <c r="C7851" i="1"/>
  <c r="D7850" i="1"/>
  <c r="C7850" i="1"/>
  <c r="D7849" i="1"/>
  <c r="C7849" i="1"/>
  <c r="D7848" i="1"/>
  <c r="C7848" i="1"/>
  <c r="D7847" i="1"/>
  <c r="C7847" i="1"/>
  <c r="D7846" i="1"/>
  <c r="C7846" i="1"/>
  <c r="D7845" i="1"/>
  <c r="C7845" i="1"/>
  <c r="D7844" i="1"/>
  <c r="C7844" i="1"/>
  <c r="D7843" i="1"/>
  <c r="C7843" i="1"/>
  <c r="D7842" i="1"/>
  <c r="C7842" i="1"/>
  <c r="D7841" i="1"/>
  <c r="C7841" i="1"/>
  <c r="D7840" i="1"/>
  <c r="C7840" i="1"/>
  <c r="D7839" i="1"/>
  <c r="C7839" i="1"/>
  <c r="D7838" i="1"/>
  <c r="C7838" i="1"/>
  <c r="D7837" i="1"/>
  <c r="C7837" i="1"/>
  <c r="D7836" i="1"/>
  <c r="C7836" i="1"/>
  <c r="D7835" i="1"/>
  <c r="C7835" i="1"/>
  <c r="D7834" i="1"/>
  <c r="C7834" i="1"/>
  <c r="D7833" i="1"/>
  <c r="C7833" i="1"/>
  <c r="D7832" i="1"/>
  <c r="C7832" i="1"/>
  <c r="D7831" i="1"/>
  <c r="C7831" i="1"/>
  <c r="D7830" i="1"/>
  <c r="C7830" i="1"/>
  <c r="D7829" i="1"/>
  <c r="C7829" i="1"/>
  <c r="D7828" i="1"/>
  <c r="C7828" i="1"/>
  <c r="D7827" i="1"/>
  <c r="C7827" i="1"/>
  <c r="D7826" i="1"/>
  <c r="C7826" i="1"/>
  <c r="D7825" i="1"/>
  <c r="C7825" i="1"/>
  <c r="D7824" i="1"/>
  <c r="C7824" i="1"/>
  <c r="D7823" i="1"/>
  <c r="C7823" i="1"/>
  <c r="D7822" i="1"/>
  <c r="C7822" i="1"/>
  <c r="D7821" i="1"/>
  <c r="C7821" i="1"/>
  <c r="D7820" i="1"/>
  <c r="C7820" i="1"/>
  <c r="D7819" i="1"/>
  <c r="C7819" i="1"/>
  <c r="D7818" i="1"/>
  <c r="C7818" i="1"/>
  <c r="D7817" i="1"/>
  <c r="C7817" i="1"/>
  <c r="D7816" i="1"/>
  <c r="C7816" i="1"/>
  <c r="D7815" i="1"/>
  <c r="C7815" i="1"/>
  <c r="D7814" i="1"/>
  <c r="C7814" i="1"/>
  <c r="D7813" i="1"/>
  <c r="C7813" i="1"/>
  <c r="D7812" i="1"/>
  <c r="C7812" i="1"/>
  <c r="D7811" i="1"/>
  <c r="C7811" i="1"/>
  <c r="D7810" i="1"/>
  <c r="C7810" i="1"/>
  <c r="D7809" i="1"/>
  <c r="C7809" i="1"/>
  <c r="D7808" i="1"/>
  <c r="C7808" i="1"/>
  <c r="D7807" i="1"/>
  <c r="C7807" i="1"/>
  <c r="D7806" i="1"/>
  <c r="C7806" i="1"/>
  <c r="D7805" i="1"/>
  <c r="C7805" i="1"/>
  <c r="D7804" i="1"/>
  <c r="C7804" i="1"/>
  <c r="D7803" i="1"/>
  <c r="C7803" i="1"/>
  <c r="D7802" i="1"/>
  <c r="C7802" i="1"/>
  <c r="D7801" i="1"/>
  <c r="C7801" i="1"/>
  <c r="D7800" i="1"/>
  <c r="C7800" i="1"/>
  <c r="D7799" i="1"/>
  <c r="C7799" i="1"/>
  <c r="D7798" i="1"/>
  <c r="C7798" i="1"/>
  <c r="D7797" i="1"/>
  <c r="C7797" i="1"/>
  <c r="D7796" i="1"/>
  <c r="C7796" i="1"/>
  <c r="D7795" i="1"/>
  <c r="C7795" i="1"/>
  <c r="D7794" i="1"/>
  <c r="C7794" i="1"/>
  <c r="D7793" i="1"/>
  <c r="C7793" i="1"/>
  <c r="D7792" i="1"/>
  <c r="C7792" i="1"/>
  <c r="D7791" i="1"/>
  <c r="C7791" i="1"/>
  <c r="D7790" i="1"/>
  <c r="C7790" i="1"/>
  <c r="D7789" i="1"/>
  <c r="C7789" i="1"/>
  <c r="D7788" i="1"/>
  <c r="C7788" i="1"/>
  <c r="D7787" i="1"/>
  <c r="C7787" i="1"/>
  <c r="D7786" i="1"/>
  <c r="C7786" i="1"/>
  <c r="D7785" i="1"/>
  <c r="C7785" i="1"/>
  <c r="D7784" i="1"/>
  <c r="C7784" i="1"/>
  <c r="D7783" i="1"/>
  <c r="C7783" i="1"/>
  <c r="D7782" i="1"/>
  <c r="C7782" i="1"/>
  <c r="D7781" i="1"/>
  <c r="C7781" i="1"/>
  <c r="D7780" i="1"/>
  <c r="C7780" i="1"/>
  <c r="D7779" i="1"/>
  <c r="C7779" i="1"/>
  <c r="D7778" i="1"/>
  <c r="C7778" i="1"/>
  <c r="D7777" i="1"/>
  <c r="C7777" i="1"/>
  <c r="D7776" i="1"/>
  <c r="C7776" i="1"/>
  <c r="D7775" i="1"/>
  <c r="C7775" i="1"/>
  <c r="D7774" i="1"/>
  <c r="C7774" i="1"/>
  <c r="D7773" i="1"/>
  <c r="C7773" i="1"/>
  <c r="D7772" i="1"/>
  <c r="C7772" i="1"/>
  <c r="D7771" i="1"/>
  <c r="C7771" i="1"/>
  <c r="D7770" i="1"/>
  <c r="C7770" i="1"/>
  <c r="D7769" i="1"/>
  <c r="C7769" i="1"/>
  <c r="D7768" i="1"/>
  <c r="C7768" i="1"/>
  <c r="D7767" i="1"/>
  <c r="C7767" i="1"/>
  <c r="D7766" i="1"/>
  <c r="C7766" i="1"/>
  <c r="D7765" i="1"/>
  <c r="C7765" i="1"/>
  <c r="D7764" i="1"/>
  <c r="C7764" i="1"/>
  <c r="D7763" i="1"/>
  <c r="C7763" i="1"/>
  <c r="D7762" i="1"/>
  <c r="C7762" i="1"/>
  <c r="D7761" i="1"/>
  <c r="C7761" i="1"/>
  <c r="D7760" i="1"/>
  <c r="C7760" i="1"/>
  <c r="D7759" i="1"/>
  <c r="C7759" i="1"/>
  <c r="D7758" i="1"/>
  <c r="C7758" i="1"/>
  <c r="D7757" i="1"/>
  <c r="C7757" i="1"/>
  <c r="D7756" i="1"/>
  <c r="C7756" i="1"/>
  <c r="D7755" i="1"/>
  <c r="C7755" i="1"/>
  <c r="D7754" i="1"/>
  <c r="C7754" i="1"/>
  <c r="D7753" i="1"/>
  <c r="C7753" i="1"/>
  <c r="D7752" i="1"/>
  <c r="C7752" i="1"/>
  <c r="D7751" i="1"/>
  <c r="C7751" i="1"/>
  <c r="D7750" i="1"/>
  <c r="C7750" i="1"/>
  <c r="D7749" i="1"/>
  <c r="C7749" i="1"/>
  <c r="D7748" i="1"/>
  <c r="C7748" i="1"/>
  <c r="D7747" i="1"/>
  <c r="C7747" i="1"/>
  <c r="D7746" i="1"/>
  <c r="C7746" i="1"/>
  <c r="D7745" i="1"/>
  <c r="C7745" i="1"/>
  <c r="D7744" i="1"/>
  <c r="C7744" i="1"/>
  <c r="D7743" i="1"/>
  <c r="C7743" i="1"/>
  <c r="D7742" i="1"/>
  <c r="C7742" i="1"/>
  <c r="D7741" i="1"/>
  <c r="C7741" i="1"/>
  <c r="D7740" i="1"/>
  <c r="C7740" i="1"/>
  <c r="D7739" i="1"/>
  <c r="C7739" i="1"/>
  <c r="D7738" i="1"/>
  <c r="C7738" i="1"/>
  <c r="D7737" i="1"/>
  <c r="C7737" i="1"/>
  <c r="D7736" i="1"/>
  <c r="C7736" i="1"/>
  <c r="D7735" i="1"/>
  <c r="C7735" i="1"/>
  <c r="D7734" i="1"/>
  <c r="C7734" i="1"/>
  <c r="D7733" i="1"/>
  <c r="C7733" i="1"/>
  <c r="D7732" i="1"/>
  <c r="C7732" i="1"/>
  <c r="D7731" i="1"/>
  <c r="C7731" i="1"/>
  <c r="D7730" i="1"/>
  <c r="C7730" i="1"/>
  <c r="D7729" i="1"/>
  <c r="C7729" i="1"/>
  <c r="D7728" i="1"/>
  <c r="C7728" i="1"/>
  <c r="D7727" i="1"/>
  <c r="C7727" i="1"/>
  <c r="D7726" i="1"/>
  <c r="C7726" i="1"/>
  <c r="D7725" i="1"/>
  <c r="C7725" i="1"/>
  <c r="D7724" i="1"/>
  <c r="C7724" i="1"/>
  <c r="D7723" i="1"/>
  <c r="C7723" i="1"/>
  <c r="D7722" i="1"/>
  <c r="C7722" i="1"/>
  <c r="D7721" i="1"/>
  <c r="C7721" i="1"/>
  <c r="D7720" i="1"/>
  <c r="C7720" i="1"/>
  <c r="D7719" i="1"/>
  <c r="C7719" i="1"/>
  <c r="D7718" i="1"/>
  <c r="C7718" i="1"/>
  <c r="D7717" i="1"/>
  <c r="C7717" i="1"/>
  <c r="D7716" i="1"/>
  <c r="C7716" i="1"/>
  <c r="D7715" i="1"/>
  <c r="C7715" i="1"/>
  <c r="D7714" i="1"/>
  <c r="C7714" i="1"/>
  <c r="D7713" i="1"/>
  <c r="C7713" i="1"/>
  <c r="D7712" i="1"/>
  <c r="C7712" i="1"/>
  <c r="D7711" i="1"/>
  <c r="C7711" i="1"/>
  <c r="D7710" i="1"/>
  <c r="C7710" i="1"/>
  <c r="D7709" i="1"/>
  <c r="C7709" i="1"/>
  <c r="D7708" i="1"/>
  <c r="C7708" i="1"/>
  <c r="D7707" i="1"/>
  <c r="C7707" i="1"/>
  <c r="D7706" i="1"/>
  <c r="C7706" i="1"/>
  <c r="D7705" i="1"/>
  <c r="C7705" i="1"/>
  <c r="D7704" i="1"/>
  <c r="C7704" i="1"/>
  <c r="D7703" i="1"/>
  <c r="C7703" i="1"/>
  <c r="D7702" i="1"/>
  <c r="C7702" i="1"/>
  <c r="D7701" i="1"/>
  <c r="C7701" i="1"/>
  <c r="D7700" i="1"/>
  <c r="C7700" i="1"/>
  <c r="D7699" i="1"/>
  <c r="C7699" i="1"/>
  <c r="D7698" i="1"/>
  <c r="C7698" i="1"/>
  <c r="D7697" i="1"/>
  <c r="C7697" i="1"/>
  <c r="D7696" i="1"/>
  <c r="C7696" i="1"/>
  <c r="D7695" i="1"/>
  <c r="C7695" i="1"/>
  <c r="D7694" i="1"/>
  <c r="C7694" i="1"/>
  <c r="D7693" i="1"/>
  <c r="C7693" i="1"/>
  <c r="D7692" i="1"/>
  <c r="C7692" i="1"/>
  <c r="D7691" i="1"/>
  <c r="C7691" i="1"/>
  <c r="D7690" i="1"/>
  <c r="C7690" i="1"/>
  <c r="D7689" i="1"/>
  <c r="C7689" i="1"/>
  <c r="D7688" i="1"/>
  <c r="C7688" i="1"/>
  <c r="D7687" i="1"/>
  <c r="C7687" i="1"/>
  <c r="D7686" i="1"/>
  <c r="C7686" i="1"/>
  <c r="D7685" i="1"/>
  <c r="C7685" i="1"/>
  <c r="D7684" i="1"/>
  <c r="C7684" i="1"/>
  <c r="D7683" i="1"/>
  <c r="C7683" i="1"/>
  <c r="D7682" i="1"/>
  <c r="C7682" i="1"/>
  <c r="D7681" i="1"/>
  <c r="C7681" i="1"/>
  <c r="D7680" i="1"/>
  <c r="C7680" i="1"/>
  <c r="D7679" i="1"/>
  <c r="C7679" i="1"/>
  <c r="D7678" i="1"/>
  <c r="C7678" i="1"/>
  <c r="D7677" i="1"/>
  <c r="C7677" i="1"/>
  <c r="D7676" i="1"/>
  <c r="C7676" i="1"/>
  <c r="D7675" i="1"/>
  <c r="C7675" i="1"/>
  <c r="D7674" i="1"/>
  <c r="C7674" i="1"/>
  <c r="D7673" i="1"/>
  <c r="C7673" i="1"/>
  <c r="D7672" i="1"/>
  <c r="C7672" i="1"/>
  <c r="D7671" i="1"/>
  <c r="C7671" i="1"/>
  <c r="D7670" i="1"/>
  <c r="C7670" i="1"/>
  <c r="D7669" i="1"/>
  <c r="C7669" i="1"/>
  <c r="D7668" i="1"/>
  <c r="C7668" i="1"/>
  <c r="D7667" i="1"/>
  <c r="C7667" i="1"/>
  <c r="D7666" i="1"/>
  <c r="C7666" i="1"/>
  <c r="D7665" i="1"/>
  <c r="C7665" i="1"/>
  <c r="D7664" i="1"/>
  <c r="C7664" i="1"/>
  <c r="D7663" i="1"/>
  <c r="C7663" i="1"/>
  <c r="D7662" i="1"/>
  <c r="C7662" i="1"/>
  <c r="D7661" i="1"/>
  <c r="C7661" i="1"/>
  <c r="D7660" i="1"/>
  <c r="C7660" i="1"/>
  <c r="D7659" i="1"/>
  <c r="C7659" i="1"/>
  <c r="D7658" i="1"/>
  <c r="C7658" i="1"/>
  <c r="D7657" i="1"/>
  <c r="C7657" i="1"/>
  <c r="D7656" i="1"/>
  <c r="C7656" i="1"/>
  <c r="D7655" i="1"/>
  <c r="C7655" i="1"/>
  <c r="D7654" i="1"/>
  <c r="C7654" i="1"/>
  <c r="D7653" i="1"/>
  <c r="C7653" i="1"/>
  <c r="D7652" i="1"/>
  <c r="C7652" i="1"/>
  <c r="D7651" i="1"/>
  <c r="C7651" i="1"/>
  <c r="D7650" i="1"/>
  <c r="C7650" i="1"/>
  <c r="D7649" i="1"/>
  <c r="C7649" i="1"/>
  <c r="D7648" i="1"/>
  <c r="C7648" i="1"/>
  <c r="D7647" i="1"/>
  <c r="C7647" i="1"/>
  <c r="D7646" i="1"/>
  <c r="C7646" i="1"/>
  <c r="D7645" i="1"/>
  <c r="C7645" i="1"/>
  <c r="D7644" i="1"/>
  <c r="C7644" i="1"/>
  <c r="D7643" i="1"/>
  <c r="C7643" i="1"/>
  <c r="D7642" i="1"/>
  <c r="C7642" i="1"/>
  <c r="D7641" i="1"/>
  <c r="C7641" i="1"/>
  <c r="D7640" i="1"/>
  <c r="C7640" i="1"/>
  <c r="D7639" i="1"/>
  <c r="C7639" i="1"/>
  <c r="D7638" i="1"/>
  <c r="C7638" i="1"/>
  <c r="D7637" i="1"/>
  <c r="C7637" i="1"/>
  <c r="D7636" i="1"/>
  <c r="C7636" i="1"/>
  <c r="D7635" i="1"/>
  <c r="C7635" i="1"/>
  <c r="D7634" i="1"/>
  <c r="C7634" i="1"/>
  <c r="D7633" i="1"/>
  <c r="C7633" i="1"/>
  <c r="D7632" i="1"/>
  <c r="C7632" i="1"/>
  <c r="D7631" i="1"/>
  <c r="C7631" i="1"/>
  <c r="D7630" i="1"/>
  <c r="C7630" i="1"/>
  <c r="D7629" i="1"/>
  <c r="C7629" i="1"/>
  <c r="D7628" i="1"/>
  <c r="C7628" i="1"/>
  <c r="D7627" i="1"/>
  <c r="C7627" i="1"/>
  <c r="D7626" i="1"/>
  <c r="C7626" i="1"/>
  <c r="D7625" i="1"/>
  <c r="C7625" i="1"/>
  <c r="D7624" i="1"/>
  <c r="C7624" i="1"/>
  <c r="D7623" i="1"/>
  <c r="C7623" i="1"/>
  <c r="D7622" i="1"/>
  <c r="C7622" i="1"/>
  <c r="D7621" i="1"/>
  <c r="C7621" i="1"/>
  <c r="D7620" i="1"/>
  <c r="C7620" i="1"/>
  <c r="D7619" i="1"/>
  <c r="C7619" i="1"/>
  <c r="D7618" i="1"/>
  <c r="C7618" i="1"/>
  <c r="D7617" i="1"/>
  <c r="C7617" i="1"/>
  <c r="D7616" i="1"/>
  <c r="C7616" i="1"/>
  <c r="D7615" i="1"/>
  <c r="C7615" i="1"/>
  <c r="D7614" i="1"/>
  <c r="C7614" i="1"/>
  <c r="D7613" i="1"/>
  <c r="C7613" i="1"/>
  <c r="D7612" i="1"/>
  <c r="C7612" i="1"/>
  <c r="D7611" i="1"/>
  <c r="C7611" i="1"/>
  <c r="D7610" i="1"/>
  <c r="C7610" i="1"/>
  <c r="D7609" i="1"/>
  <c r="C7609" i="1"/>
  <c r="D7608" i="1"/>
  <c r="C7608" i="1"/>
  <c r="D7607" i="1"/>
  <c r="C7607" i="1"/>
  <c r="D7606" i="1"/>
  <c r="C7606" i="1"/>
  <c r="D7605" i="1"/>
  <c r="C7605" i="1"/>
  <c r="D7604" i="1"/>
  <c r="C7604" i="1"/>
  <c r="D7603" i="1"/>
  <c r="C7603" i="1"/>
  <c r="D7602" i="1"/>
  <c r="C7602" i="1"/>
  <c r="D7601" i="1"/>
  <c r="C7601" i="1"/>
  <c r="D7600" i="1"/>
  <c r="C7600" i="1"/>
  <c r="D7599" i="1"/>
  <c r="C7599" i="1"/>
  <c r="D7598" i="1"/>
  <c r="C7598" i="1"/>
  <c r="D7597" i="1"/>
  <c r="C7597" i="1"/>
  <c r="D7596" i="1"/>
  <c r="C7596" i="1"/>
  <c r="D7595" i="1"/>
  <c r="C7595" i="1"/>
  <c r="D7594" i="1"/>
  <c r="C7594" i="1"/>
  <c r="D7593" i="1"/>
  <c r="C7593" i="1"/>
  <c r="D7592" i="1"/>
  <c r="C7592" i="1"/>
  <c r="D7591" i="1"/>
  <c r="C7591" i="1"/>
  <c r="D7590" i="1"/>
  <c r="C7590" i="1"/>
  <c r="D7589" i="1"/>
  <c r="C7589" i="1"/>
  <c r="D7588" i="1"/>
  <c r="C7588" i="1"/>
  <c r="D7587" i="1"/>
  <c r="C7587" i="1"/>
  <c r="D7586" i="1"/>
  <c r="C7586" i="1"/>
  <c r="D7585" i="1"/>
  <c r="C7585" i="1"/>
  <c r="D7584" i="1"/>
  <c r="C7584" i="1"/>
  <c r="D7583" i="1"/>
  <c r="C7583" i="1"/>
  <c r="D7582" i="1"/>
  <c r="C7582" i="1"/>
  <c r="D7581" i="1"/>
  <c r="C7581" i="1"/>
  <c r="D7580" i="1"/>
  <c r="C7580" i="1"/>
  <c r="D7579" i="1"/>
  <c r="C7579" i="1"/>
  <c r="D7578" i="1"/>
  <c r="C7578" i="1"/>
  <c r="D7577" i="1"/>
  <c r="C7577" i="1"/>
  <c r="D7576" i="1"/>
  <c r="C7576" i="1"/>
  <c r="D7575" i="1"/>
  <c r="C7575" i="1"/>
  <c r="D7574" i="1"/>
  <c r="C7574" i="1"/>
  <c r="D7573" i="1"/>
  <c r="C7573" i="1"/>
  <c r="D7572" i="1"/>
  <c r="C7572" i="1"/>
  <c r="D7571" i="1"/>
  <c r="C7571" i="1"/>
  <c r="D7570" i="1"/>
  <c r="C7570" i="1"/>
  <c r="D7569" i="1"/>
  <c r="C7569" i="1"/>
  <c r="D7568" i="1"/>
  <c r="C7568" i="1"/>
  <c r="D7567" i="1"/>
  <c r="C7567" i="1"/>
  <c r="D7566" i="1"/>
  <c r="C7566" i="1"/>
  <c r="D7565" i="1"/>
  <c r="C7565" i="1"/>
  <c r="D7564" i="1"/>
  <c r="C7564" i="1"/>
  <c r="D7563" i="1"/>
  <c r="C7563" i="1"/>
  <c r="D7562" i="1"/>
  <c r="C7562" i="1"/>
  <c r="D7561" i="1"/>
  <c r="C7561" i="1"/>
  <c r="D7560" i="1"/>
  <c r="C7560" i="1"/>
  <c r="D7559" i="1"/>
  <c r="C7559" i="1"/>
  <c r="D7558" i="1"/>
  <c r="C7558" i="1"/>
  <c r="D7557" i="1"/>
  <c r="C7557" i="1"/>
  <c r="D7556" i="1"/>
  <c r="C7556" i="1"/>
  <c r="D7555" i="1"/>
  <c r="C7555" i="1"/>
  <c r="D7554" i="1"/>
  <c r="C7554" i="1"/>
  <c r="D7553" i="1"/>
  <c r="C7553" i="1"/>
  <c r="D7552" i="1"/>
  <c r="C7552" i="1"/>
  <c r="D7551" i="1"/>
  <c r="C7551" i="1"/>
  <c r="D7550" i="1"/>
  <c r="C7550" i="1"/>
  <c r="D7549" i="1"/>
  <c r="C7549" i="1"/>
  <c r="D7548" i="1"/>
  <c r="C7548" i="1"/>
  <c r="D7547" i="1"/>
  <c r="C7547" i="1"/>
  <c r="D7546" i="1"/>
  <c r="C7546" i="1"/>
  <c r="D7545" i="1"/>
  <c r="C7545" i="1"/>
  <c r="D7544" i="1"/>
  <c r="C7544" i="1"/>
  <c r="D7543" i="1"/>
  <c r="C7543" i="1"/>
  <c r="D7542" i="1"/>
  <c r="C7542" i="1"/>
  <c r="D7541" i="1"/>
  <c r="C7541" i="1"/>
  <c r="D7540" i="1"/>
  <c r="C7540" i="1"/>
  <c r="D7539" i="1"/>
  <c r="C7539" i="1"/>
  <c r="D7538" i="1"/>
  <c r="C7538" i="1"/>
  <c r="D7537" i="1"/>
  <c r="C7537" i="1"/>
  <c r="D7536" i="1"/>
  <c r="C7536" i="1"/>
  <c r="D7535" i="1"/>
  <c r="C7535" i="1"/>
  <c r="D7534" i="1"/>
  <c r="C7534" i="1"/>
  <c r="D7533" i="1"/>
  <c r="C7533" i="1"/>
  <c r="D7532" i="1"/>
  <c r="C7532" i="1"/>
  <c r="D7531" i="1"/>
  <c r="C7531" i="1"/>
  <c r="D7530" i="1"/>
  <c r="C7530" i="1"/>
  <c r="D7529" i="1"/>
  <c r="C7529" i="1"/>
  <c r="D7528" i="1"/>
  <c r="C7528" i="1"/>
  <c r="D7527" i="1"/>
  <c r="C7527" i="1"/>
  <c r="D7526" i="1"/>
  <c r="C7526" i="1"/>
  <c r="D7525" i="1"/>
  <c r="C7525" i="1"/>
  <c r="D7524" i="1"/>
  <c r="C7524" i="1"/>
  <c r="D7523" i="1"/>
  <c r="C7523" i="1"/>
  <c r="D7522" i="1"/>
  <c r="C7522" i="1"/>
  <c r="D7521" i="1"/>
  <c r="C7521" i="1"/>
  <c r="D7520" i="1"/>
  <c r="C7520" i="1"/>
  <c r="D7519" i="1"/>
  <c r="C7519" i="1"/>
  <c r="D7518" i="1"/>
  <c r="C7518" i="1"/>
  <c r="D7517" i="1"/>
  <c r="C7517" i="1"/>
  <c r="D7516" i="1"/>
  <c r="C7516" i="1"/>
  <c r="D7515" i="1"/>
  <c r="C7515" i="1"/>
  <c r="D7514" i="1"/>
  <c r="C7514" i="1"/>
  <c r="D7513" i="1"/>
  <c r="C7513" i="1"/>
  <c r="D7512" i="1"/>
  <c r="C7512" i="1"/>
  <c r="D7511" i="1"/>
  <c r="C7511" i="1"/>
  <c r="D7510" i="1"/>
  <c r="C7510" i="1"/>
  <c r="D7509" i="1"/>
  <c r="C7509" i="1"/>
  <c r="D7508" i="1"/>
  <c r="C7508" i="1"/>
  <c r="D7507" i="1"/>
  <c r="C7507" i="1"/>
  <c r="D7506" i="1"/>
  <c r="C7506" i="1"/>
  <c r="D7505" i="1"/>
  <c r="C7505" i="1"/>
  <c r="D7504" i="1"/>
  <c r="C7504" i="1"/>
  <c r="D7503" i="1"/>
  <c r="C7503" i="1"/>
  <c r="D7502" i="1"/>
  <c r="C7502" i="1"/>
  <c r="D7501" i="1"/>
  <c r="C7501" i="1"/>
  <c r="D7500" i="1"/>
  <c r="C7500" i="1"/>
  <c r="D7499" i="1"/>
  <c r="C7499" i="1"/>
  <c r="D7498" i="1"/>
  <c r="C7498" i="1"/>
  <c r="D7497" i="1"/>
  <c r="C7497" i="1"/>
  <c r="D7496" i="1"/>
  <c r="C7496" i="1"/>
  <c r="D7495" i="1"/>
  <c r="C7495" i="1"/>
  <c r="D7494" i="1"/>
  <c r="C7494" i="1"/>
  <c r="D7493" i="1"/>
  <c r="C7493" i="1"/>
  <c r="D7492" i="1"/>
  <c r="C7492" i="1"/>
  <c r="D7491" i="1"/>
  <c r="C7491" i="1"/>
  <c r="D7490" i="1"/>
  <c r="C7490" i="1"/>
  <c r="D7489" i="1"/>
  <c r="C7489" i="1"/>
  <c r="D7488" i="1"/>
  <c r="C7488" i="1"/>
  <c r="D7487" i="1"/>
  <c r="C7487" i="1"/>
  <c r="D7486" i="1"/>
  <c r="C7486" i="1"/>
  <c r="D7485" i="1"/>
  <c r="C7485" i="1"/>
  <c r="D7484" i="1"/>
  <c r="C7484" i="1"/>
  <c r="D7483" i="1"/>
  <c r="C7483" i="1"/>
  <c r="D7482" i="1"/>
  <c r="C7482" i="1"/>
  <c r="D7481" i="1"/>
  <c r="C7481" i="1"/>
  <c r="D7480" i="1"/>
  <c r="C7480" i="1"/>
  <c r="D7479" i="1"/>
  <c r="C7479" i="1"/>
  <c r="D7478" i="1"/>
  <c r="C7478" i="1"/>
  <c r="D7477" i="1"/>
  <c r="C7477" i="1"/>
  <c r="D7476" i="1"/>
  <c r="C7476" i="1"/>
  <c r="D7475" i="1"/>
  <c r="C7475" i="1"/>
  <c r="D7474" i="1"/>
  <c r="C7474" i="1"/>
  <c r="D7473" i="1"/>
  <c r="C7473" i="1"/>
  <c r="D7472" i="1"/>
  <c r="C7472" i="1"/>
  <c r="D7471" i="1"/>
  <c r="C7471" i="1"/>
  <c r="D7470" i="1"/>
  <c r="C7470" i="1"/>
  <c r="D7469" i="1"/>
  <c r="C7469" i="1"/>
  <c r="D7468" i="1"/>
  <c r="C7468" i="1"/>
  <c r="D7467" i="1"/>
  <c r="C7467" i="1"/>
  <c r="D7466" i="1"/>
  <c r="C7466" i="1"/>
  <c r="D7465" i="1"/>
  <c r="C7465" i="1"/>
  <c r="D7464" i="1"/>
  <c r="C7464" i="1"/>
  <c r="D7463" i="1"/>
  <c r="C7463" i="1"/>
  <c r="D7462" i="1"/>
  <c r="C7462" i="1"/>
  <c r="D7461" i="1"/>
  <c r="C7461" i="1"/>
  <c r="D7460" i="1"/>
  <c r="C7460" i="1"/>
  <c r="D7459" i="1"/>
  <c r="C7459" i="1"/>
  <c r="D7458" i="1"/>
  <c r="C7458" i="1"/>
  <c r="D7457" i="1"/>
  <c r="C7457" i="1"/>
  <c r="D7456" i="1"/>
  <c r="C7456" i="1"/>
  <c r="D7455" i="1"/>
  <c r="C7455" i="1"/>
  <c r="D7454" i="1"/>
  <c r="C7454" i="1"/>
  <c r="D7453" i="1"/>
  <c r="C7453" i="1"/>
  <c r="D7452" i="1"/>
  <c r="C7452" i="1"/>
  <c r="D7451" i="1"/>
  <c r="C7451" i="1"/>
  <c r="D7450" i="1"/>
  <c r="C7450" i="1"/>
  <c r="D7449" i="1"/>
  <c r="C7449" i="1"/>
  <c r="D7448" i="1"/>
  <c r="C7448" i="1"/>
  <c r="D7447" i="1"/>
  <c r="C7447" i="1"/>
  <c r="D7446" i="1"/>
  <c r="C7446" i="1"/>
  <c r="D7445" i="1"/>
  <c r="C7445" i="1"/>
  <c r="D7444" i="1"/>
  <c r="C7444" i="1"/>
  <c r="D7443" i="1"/>
  <c r="C7443" i="1"/>
  <c r="D7442" i="1"/>
  <c r="C7442" i="1"/>
  <c r="D7441" i="1"/>
  <c r="C7441" i="1"/>
  <c r="D7440" i="1"/>
  <c r="C7440" i="1"/>
  <c r="D7439" i="1"/>
  <c r="C7439" i="1"/>
  <c r="D7438" i="1"/>
  <c r="C7438" i="1"/>
  <c r="D7437" i="1"/>
  <c r="C7437" i="1"/>
  <c r="D7436" i="1"/>
  <c r="C7436" i="1"/>
  <c r="D7435" i="1"/>
  <c r="C7435" i="1"/>
  <c r="D7434" i="1"/>
  <c r="C7434" i="1"/>
  <c r="D7433" i="1"/>
  <c r="C7433" i="1"/>
  <c r="D7432" i="1"/>
  <c r="C7432" i="1"/>
  <c r="D7431" i="1"/>
  <c r="C7431" i="1"/>
  <c r="D7430" i="1"/>
  <c r="C7430" i="1"/>
  <c r="D7429" i="1"/>
  <c r="C7429" i="1"/>
  <c r="D7428" i="1"/>
  <c r="C7428" i="1"/>
  <c r="D7427" i="1"/>
  <c r="C7427" i="1"/>
  <c r="D7426" i="1"/>
  <c r="C7426" i="1"/>
  <c r="D7425" i="1"/>
  <c r="C7425" i="1"/>
  <c r="D7424" i="1"/>
  <c r="C7424" i="1"/>
  <c r="D7423" i="1"/>
  <c r="C7423" i="1"/>
  <c r="D7422" i="1"/>
  <c r="C7422" i="1"/>
  <c r="D7421" i="1"/>
  <c r="C7421" i="1"/>
  <c r="D7420" i="1"/>
  <c r="C7420" i="1"/>
  <c r="D7419" i="1"/>
  <c r="C7419" i="1"/>
  <c r="D7418" i="1"/>
  <c r="C7418" i="1"/>
  <c r="D7417" i="1"/>
  <c r="C7417" i="1"/>
  <c r="D7416" i="1"/>
  <c r="C7416" i="1"/>
  <c r="D7415" i="1"/>
  <c r="C7415" i="1"/>
  <c r="D7414" i="1"/>
  <c r="C7414" i="1"/>
  <c r="D7413" i="1"/>
  <c r="C7413" i="1"/>
  <c r="D7412" i="1"/>
  <c r="C7412" i="1"/>
  <c r="D7411" i="1"/>
  <c r="C7411" i="1"/>
  <c r="D7410" i="1"/>
  <c r="C7410" i="1"/>
  <c r="D7409" i="1"/>
  <c r="C7409" i="1"/>
  <c r="D7408" i="1"/>
  <c r="C7408" i="1"/>
  <c r="D7407" i="1"/>
  <c r="C7407" i="1"/>
  <c r="D7406" i="1"/>
  <c r="C7406" i="1"/>
  <c r="D7405" i="1"/>
  <c r="C7405" i="1"/>
  <c r="D7404" i="1"/>
  <c r="C7404" i="1"/>
  <c r="D7403" i="1"/>
  <c r="C7403" i="1"/>
  <c r="D7402" i="1"/>
  <c r="C7402" i="1"/>
  <c r="D7401" i="1"/>
  <c r="C7401" i="1"/>
  <c r="D7400" i="1"/>
  <c r="C7400" i="1"/>
  <c r="D7399" i="1"/>
  <c r="C7399" i="1"/>
  <c r="D7398" i="1"/>
  <c r="C7398" i="1"/>
  <c r="D7397" i="1"/>
  <c r="C7397" i="1"/>
  <c r="D7396" i="1"/>
  <c r="C7396" i="1"/>
  <c r="D7395" i="1"/>
  <c r="C7395" i="1"/>
  <c r="D7394" i="1"/>
  <c r="C7394" i="1"/>
  <c r="D7393" i="1"/>
  <c r="C7393" i="1"/>
  <c r="D7392" i="1"/>
  <c r="C7392" i="1"/>
  <c r="D7391" i="1"/>
  <c r="C7391" i="1"/>
  <c r="D7390" i="1"/>
  <c r="C7390" i="1"/>
  <c r="D7389" i="1"/>
  <c r="C7389" i="1"/>
  <c r="D7388" i="1"/>
  <c r="C7388" i="1"/>
  <c r="D7387" i="1"/>
  <c r="C7387" i="1"/>
  <c r="D7386" i="1"/>
  <c r="C7386" i="1"/>
  <c r="D7385" i="1"/>
  <c r="C7385" i="1"/>
  <c r="D7384" i="1"/>
  <c r="C7384" i="1"/>
  <c r="D7383" i="1"/>
  <c r="C7383" i="1"/>
  <c r="D7382" i="1"/>
  <c r="C7382" i="1"/>
  <c r="D7381" i="1"/>
  <c r="C7381" i="1"/>
  <c r="D7380" i="1"/>
  <c r="C7380" i="1"/>
  <c r="D7379" i="1"/>
  <c r="C7379" i="1"/>
  <c r="D7378" i="1"/>
  <c r="C7378" i="1"/>
  <c r="D7377" i="1"/>
  <c r="C7377" i="1"/>
  <c r="D7376" i="1"/>
  <c r="C7376" i="1"/>
  <c r="D7375" i="1"/>
  <c r="C7375" i="1"/>
  <c r="D7374" i="1"/>
  <c r="C7374" i="1"/>
  <c r="D7373" i="1"/>
  <c r="C7373" i="1"/>
  <c r="D7372" i="1"/>
  <c r="C7372" i="1"/>
  <c r="D7371" i="1"/>
  <c r="C7371" i="1"/>
  <c r="D7370" i="1"/>
  <c r="C7370" i="1"/>
  <c r="D7369" i="1"/>
  <c r="C7369" i="1"/>
  <c r="D7368" i="1"/>
  <c r="C7368" i="1"/>
  <c r="D7367" i="1"/>
  <c r="C7367" i="1"/>
  <c r="D7366" i="1"/>
  <c r="C7366" i="1"/>
  <c r="D7365" i="1"/>
  <c r="C7365" i="1"/>
  <c r="D7364" i="1"/>
  <c r="C7364" i="1"/>
  <c r="D7363" i="1"/>
  <c r="C7363" i="1"/>
  <c r="D7362" i="1"/>
  <c r="C7362" i="1"/>
  <c r="D7361" i="1"/>
  <c r="C7361" i="1"/>
  <c r="D7360" i="1"/>
  <c r="C7360" i="1"/>
  <c r="D7359" i="1"/>
  <c r="C7359" i="1"/>
  <c r="D7358" i="1"/>
  <c r="C7358" i="1"/>
  <c r="D7357" i="1"/>
  <c r="C7357" i="1"/>
  <c r="D7356" i="1"/>
  <c r="C7356" i="1"/>
  <c r="D7355" i="1"/>
  <c r="C7355" i="1"/>
  <c r="D7354" i="1"/>
  <c r="C7354" i="1"/>
  <c r="D7353" i="1"/>
  <c r="C7353" i="1"/>
  <c r="D7352" i="1"/>
  <c r="C7352" i="1"/>
  <c r="D7351" i="1"/>
  <c r="C7351" i="1"/>
  <c r="D7350" i="1"/>
  <c r="C7350" i="1"/>
  <c r="D7349" i="1"/>
  <c r="C7349" i="1"/>
  <c r="D7348" i="1"/>
  <c r="C7348" i="1"/>
  <c r="D7347" i="1"/>
  <c r="C7347" i="1"/>
  <c r="D7346" i="1"/>
  <c r="C7346" i="1"/>
  <c r="D7345" i="1"/>
  <c r="C7345" i="1"/>
  <c r="D7344" i="1"/>
  <c r="C7344" i="1"/>
  <c r="D7343" i="1"/>
  <c r="C7343" i="1"/>
  <c r="D7342" i="1"/>
  <c r="C7342" i="1"/>
  <c r="D7341" i="1"/>
  <c r="C7341" i="1"/>
  <c r="D7340" i="1"/>
  <c r="C7340" i="1"/>
  <c r="D7339" i="1"/>
  <c r="C7339" i="1"/>
  <c r="D7338" i="1"/>
  <c r="C7338" i="1"/>
  <c r="D7337" i="1"/>
  <c r="C7337" i="1"/>
  <c r="D7336" i="1"/>
  <c r="C7336" i="1"/>
  <c r="D7335" i="1"/>
  <c r="C7335" i="1"/>
  <c r="D7334" i="1"/>
  <c r="C7334" i="1"/>
  <c r="D7333" i="1"/>
  <c r="C7333" i="1"/>
  <c r="D7332" i="1"/>
  <c r="C7332" i="1"/>
  <c r="D7331" i="1"/>
  <c r="C7331" i="1"/>
  <c r="D7330" i="1"/>
  <c r="C7330" i="1"/>
  <c r="D7329" i="1"/>
  <c r="C7329" i="1"/>
  <c r="D7328" i="1"/>
  <c r="C7328" i="1"/>
  <c r="D7327" i="1"/>
  <c r="C7327" i="1"/>
  <c r="D7326" i="1"/>
  <c r="C7326" i="1"/>
  <c r="D7325" i="1"/>
  <c r="C7325" i="1"/>
  <c r="D7324" i="1"/>
  <c r="C7324" i="1"/>
  <c r="D7323" i="1"/>
  <c r="C7323" i="1"/>
  <c r="D7322" i="1"/>
  <c r="C7322" i="1"/>
  <c r="D7321" i="1"/>
  <c r="C7321" i="1"/>
  <c r="D7320" i="1"/>
  <c r="C7320" i="1"/>
  <c r="D7319" i="1"/>
  <c r="C7319" i="1"/>
  <c r="D7318" i="1"/>
  <c r="C7318" i="1"/>
  <c r="D7317" i="1"/>
  <c r="C7317" i="1"/>
  <c r="D7316" i="1"/>
  <c r="C7316" i="1"/>
  <c r="D7315" i="1"/>
  <c r="C7315" i="1"/>
  <c r="D7314" i="1"/>
  <c r="C7314" i="1"/>
  <c r="D7313" i="1"/>
  <c r="C7313" i="1"/>
  <c r="D7312" i="1"/>
  <c r="C7312" i="1"/>
  <c r="D7311" i="1"/>
  <c r="C7311" i="1"/>
  <c r="D7310" i="1"/>
  <c r="C7310" i="1"/>
  <c r="D7309" i="1"/>
  <c r="C7309" i="1"/>
  <c r="D7308" i="1"/>
  <c r="C7308" i="1"/>
  <c r="D7307" i="1"/>
  <c r="C7307" i="1"/>
  <c r="D7306" i="1"/>
  <c r="C7306" i="1"/>
  <c r="D7305" i="1"/>
  <c r="C7305" i="1"/>
  <c r="D7304" i="1"/>
  <c r="C7304" i="1"/>
  <c r="D7303" i="1"/>
  <c r="C7303" i="1"/>
  <c r="D7302" i="1"/>
  <c r="C7302" i="1"/>
  <c r="D7301" i="1"/>
  <c r="C7301" i="1"/>
  <c r="D7300" i="1"/>
  <c r="C7300" i="1"/>
  <c r="D7299" i="1"/>
  <c r="C7299" i="1"/>
  <c r="D7298" i="1"/>
  <c r="C7298" i="1"/>
  <c r="D7297" i="1"/>
  <c r="C7297" i="1"/>
  <c r="D7296" i="1"/>
  <c r="C7296" i="1"/>
  <c r="D7295" i="1"/>
  <c r="C7295" i="1"/>
  <c r="D7294" i="1"/>
  <c r="C7294" i="1"/>
  <c r="D7293" i="1"/>
  <c r="C7293" i="1"/>
  <c r="D7292" i="1"/>
  <c r="C7292" i="1"/>
  <c r="D7291" i="1"/>
  <c r="C7291" i="1"/>
  <c r="D7290" i="1"/>
  <c r="C7290" i="1"/>
  <c r="D7289" i="1"/>
  <c r="C7289" i="1"/>
  <c r="D7288" i="1"/>
  <c r="C7288" i="1"/>
  <c r="D7287" i="1"/>
  <c r="C7287" i="1"/>
  <c r="D7286" i="1"/>
  <c r="C7286" i="1"/>
  <c r="D7285" i="1"/>
  <c r="C7285" i="1"/>
  <c r="D7284" i="1"/>
  <c r="C7284" i="1"/>
  <c r="D7283" i="1"/>
  <c r="C7283" i="1"/>
  <c r="D7282" i="1"/>
  <c r="C7282" i="1"/>
  <c r="D7281" i="1"/>
  <c r="C7281" i="1"/>
  <c r="D7280" i="1"/>
  <c r="C7280" i="1"/>
  <c r="D7279" i="1"/>
  <c r="C7279" i="1"/>
  <c r="D7278" i="1"/>
  <c r="C7278" i="1"/>
  <c r="D7277" i="1"/>
  <c r="C7277" i="1"/>
  <c r="D7276" i="1"/>
  <c r="C7276" i="1"/>
  <c r="D7275" i="1"/>
  <c r="C7275" i="1"/>
  <c r="D7274" i="1"/>
  <c r="C7274" i="1"/>
  <c r="D7273" i="1"/>
  <c r="C7273" i="1"/>
  <c r="D7272" i="1"/>
  <c r="C7272" i="1"/>
  <c r="D7271" i="1"/>
  <c r="C7271" i="1"/>
  <c r="D7270" i="1"/>
  <c r="C7270" i="1"/>
  <c r="D7269" i="1"/>
  <c r="C7269" i="1"/>
  <c r="D7268" i="1"/>
  <c r="C7268" i="1"/>
  <c r="D7267" i="1"/>
  <c r="C7267" i="1"/>
  <c r="D7266" i="1"/>
  <c r="C7266" i="1"/>
  <c r="D7265" i="1"/>
  <c r="C7265" i="1"/>
  <c r="D7264" i="1"/>
  <c r="C7264" i="1"/>
  <c r="D7263" i="1"/>
  <c r="C7263" i="1"/>
  <c r="D7262" i="1"/>
  <c r="C7262" i="1"/>
  <c r="D7261" i="1"/>
  <c r="C7261" i="1"/>
  <c r="D7260" i="1"/>
  <c r="C7260" i="1"/>
  <c r="D7259" i="1"/>
  <c r="C7259" i="1"/>
  <c r="D7258" i="1"/>
  <c r="C7258" i="1"/>
  <c r="D7257" i="1"/>
  <c r="C7257" i="1"/>
  <c r="D7256" i="1"/>
  <c r="C7256" i="1"/>
  <c r="D7255" i="1"/>
  <c r="C7255" i="1"/>
  <c r="D7254" i="1"/>
  <c r="C7254" i="1"/>
  <c r="D7253" i="1"/>
  <c r="C7253" i="1"/>
  <c r="D7252" i="1"/>
  <c r="C7252" i="1"/>
  <c r="D7251" i="1"/>
  <c r="C7251" i="1"/>
  <c r="D7250" i="1"/>
  <c r="C7250" i="1"/>
  <c r="D7249" i="1"/>
  <c r="C7249" i="1"/>
  <c r="D7248" i="1"/>
  <c r="C7248" i="1"/>
  <c r="D7247" i="1"/>
  <c r="C7247" i="1"/>
  <c r="D7246" i="1"/>
  <c r="C7246" i="1"/>
  <c r="D7245" i="1"/>
  <c r="C7245" i="1"/>
  <c r="D7244" i="1"/>
  <c r="C7244" i="1"/>
  <c r="D7243" i="1"/>
  <c r="C7243" i="1"/>
  <c r="D7242" i="1"/>
  <c r="C7242" i="1"/>
  <c r="D7241" i="1"/>
  <c r="C7241" i="1"/>
  <c r="D7240" i="1"/>
  <c r="C7240" i="1"/>
  <c r="D7239" i="1"/>
  <c r="C7239" i="1"/>
  <c r="D7238" i="1"/>
  <c r="C7238" i="1"/>
  <c r="D7237" i="1"/>
  <c r="C7237" i="1"/>
  <c r="D7236" i="1"/>
  <c r="C7236" i="1"/>
  <c r="D7235" i="1"/>
  <c r="C7235" i="1"/>
  <c r="D7234" i="1"/>
  <c r="C7234" i="1"/>
  <c r="D7233" i="1"/>
  <c r="C7233" i="1"/>
  <c r="D7232" i="1"/>
  <c r="C7232" i="1"/>
  <c r="D7231" i="1"/>
  <c r="C7231" i="1"/>
  <c r="D7230" i="1"/>
  <c r="C7230" i="1"/>
  <c r="D7229" i="1"/>
  <c r="C7229" i="1"/>
  <c r="D7228" i="1"/>
  <c r="C7228" i="1"/>
  <c r="D7227" i="1"/>
  <c r="C7227" i="1"/>
  <c r="D7226" i="1"/>
  <c r="C7226" i="1"/>
  <c r="D7225" i="1"/>
  <c r="C7225" i="1"/>
  <c r="D7224" i="1"/>
  <c r="C7224" i="1"/>
  <c r="D7223" i="1"/>
  <c r="C7223" i="1"/>
  <c r="D7222" i="1"/>
  <c r="C7222" i="1"/>
  <c r="D7221" i="1"/>
  <c r="C7221" i="1"/>
  <c r="D7220" i="1"/>
  <c r="C7220" i="1"/>
  <c r="D7219" i="1"/>
  <c r="C7219" i="1"/>
  <c r="D7218" i="1"/>
  <c r="C7218" i="1"/>
  <c r="D7217" i="1"/>
  <c r="C7217" i="1"/>
  <c r="D7216" i="1"/>
  <c r="C7216" i="1"/>
  <c r="D7215" i="1"/>
  <c r="C7215" i="1"/>
  <c r="D7214" i="1"/>
  <c r="C7214" i="1"/>
  <c r="D7213" i="1"/>
  <c r="C7213" i="1"/>
  <c r="D7212" i="1"/>
  <c r="C7212" i="1"/>
  <c r="D7211" i="1"/>
  <c r="C7211" i="1"/>
  <c r="D7210" i="1"/>
  <c r="C7210" i="1"/>
  <c r="D7209" i="1"/>
  <c r="C7209" i="1"/>
  <c r="D7208" i="1"/>
  <c r="C7208" i="1"/>
  <c r="D7207" i="1"/>
  <c r="C7207" i="1"/>
  <c r="D7206" i="1"/>
  <c r="C7206" i="1"/>
  <c r="D7205" i="1"/>
  <c r="C7205" i="1"/>
  <c r="D7204" i="1"/>
  <c r="C7204" i="1"/>
  <c r="D7203" i="1"/>
  <c r="C7203" i="1"/>
  <c r="D7202" i="1"/>
  <c r="C7202" i="1"/>
  <c r="D7201" i="1"/>
  <c r="C7201" i="1"/>
  <c r="D7200" i="1"/>
  <c r="C7200" i="1"/>
  <c r="D7199" i="1"/>
  <c r="C7199" i="1"/>
  <c r="D7198" i="1"/>
  <c r="C7198" i="1"/>
  <c r="D7197" i="1"/>
  <c r="C7197" i="1"/>
  <c r="D7196" i="1"/>
  <c r="C7196" i="1"/>
  <c r="D7195" i="1"/>
  <c r="C7195" i="1"/>
  <c r="D7194" i="1"/>
  <c r="C7194" i="1"/>
  <c r="D7193" i="1"/>
  <c r="C7193" i="1"/>
  <c r="D7192" i="1"/>
  <c r="C7192" i="1"/>
  <c r="D7191" i="1"/>
  <c r="C7191" i="1"/>
  <c r="D7190" i="1"/>
  <c r="C7190" i="1"/>
  <c r="D7189" i="1"/>
  <c r="C7189" i="1"/>
  <c r="D7188" i="1"/>
  <c r="C7188" i="1"/>
  <c r="D7187" i="1"/>
  <c r="C7187" i="1"/>
  <c r="D7186" i="1"/>
  <c r="C7186" i="1"/>
  <c r="D7185" i="1"/>
  <c r="C7185" i="1"/>
  <c r="D7184" i="1"/>
  <c r="C7184" i="1"/>
  <c r="D7183" i="1"/>
  <c r="C7183" i="1"/>
  <c r="D7182" i="1"/>
  <c r="C7182" i="1"/>
  <c r="D7181" i="1"/>
  <c r="C7181" i="1"/>
  <c r="D7180" i="1"/>
  <c r="C7180" i="1"/>
  <c r="D7179" i="1"/>
  <c r="C7179" i="1"/>
  <c r="D7178" i="1"/>
  <c r="C7178" i="1"/>
  <c r="D7177" i="1"/>
  <c r="C7177" i="1"/>
  <c r="D7176" i="1"/>
  <c r="C7176" i="1"/>
  <c r="D7175" i="1"/>
  <c r="C7175" i="1"/>
  <c r="D7174" i="1"/>
  <c r="C7174" i="1"/>
  <c r="D7173" i="1"/>
  <c r="C7173" i="1"/>
  <c r="D7172" i="1"/>
  <c r="C7172" i="1"/>
  <c r="D7171" i="1"/>
  <c r="C7171" i="1"/>
  <c r="D7170" i="1"/>
  <c r="C7170" i="1"/>
  <c r="D7169" i="1"/>
  <c r="C7169" i="1"/>
  <c r="D7168" i="1"/>
  <c r="C7168" i="1"/>
  <c r="D7167" i="1"/>
  <c r="C7167" i="1"/>
  <c r="D7166" i="1"/>
  <c r="C7166" i="1"/>
  <c r="D7165" i="1"/>
  <c r="C7165" i="1"/>
  <c r="D7164" i="1"/>
  <c r="C7164" i="1"/>
  <c r="D7163" i="1"/>
  <c r="C7163" i="1"/>
  <c r="D7162" i="1"/>
  <c r="C7162" i="1"/>
  <c r="D7161" i="1"/>
  <c r="C7161" i="1"/>
  <c r="D7160" i="1"/>
  <c r="C7160" i="1"/>
  <c r="D7159" i="1"/>
  <c r="C7159" i="1"/>
  <c r="D7158" i="1"/>
  <c r="C7158" i="1"/>
  <c r="D7157" i="1"/>
  <c r="C7157" i="1"/>
  <c r="D7156" i="1"/>
  <c r="C7156" i="1"/>
  <c r="D7155" i="1"/>
  <c r="C7155" i="1"/>
  <c r="D7154" i="1"/>
  <c r="C7154" i="1"/>
  <c r="D7153" i="1"/>
  <c r="C7153" i="1"/>
  <c r="D7152" i="1"/>
  <c r="C7152" i="1"/>
  <c r="D7151" i="1"/>
  <c r="C7151" i="1"/>
  <c r="D7150" i="1"/>
  <c r="C7150" i="1"/>
  <c r="D7149" i="1"/>
  <c r="C7149" i="1"/>
  <c r="D7148" i="1"/>
  <c r="C7148" i="1"/>
  <c r="D7147" i="1"/>
  <c r="C7147" i="1"/>
  <c r="D7146" i="1"/>
  <c r="C7146" i="1"/>
  <c r="D7145" i="1"/>
  <c r="C7145" i="1"/>
  <c r="D7144" i="1"/>
  <c r="C7144" i="1"/>
  <c r="D7143" i="1"/>
  <c r="C7143" i="1"/>
  <c r="D7142" i="1"/>
  <c r="C7142" i="1"/>
  <c r="D7141" i="1"/>
  <c r="C7141" i="1"/>
  <c r="D7140" i="1"/>
  <c r="C7140" i="1"/>
  <c r="D7139" i="1"/>
  <c r="C7139" i="1"/>
  <c r="D7138" i="1"/>
  <c r="C7138" i="1"/>
  <c r="D7137" i="1"/>
  <c r="C7137" i="1"/>
  <c r="D7136" i="1"/>
  <c r="C7136" i="1"/>
  <c r="D7135" i="1"/>
  <c r="C7135" i="1"/>
  <c r="D7134" i="1"/>
  <c r="C7134" i="1"/>
  <c r="D7133" i="1"/>
  <c r="C7133" i="1"/>
  <c r="D7132" i="1"/>
  <c r="C7132" i="1"/>
  <c r="D7131" i="1"/>
  <c r="C7131" i="1"/>
  <c r="D7130" i="1"/>
  <c r="C7130" i="1"/>
  <c r="D7129" i="1"/>
  <c r="C7129" i="1"/>
  <c r="D7128" i="1"/>
  <c r="C7128" i="1"/>
  <c r="D7127" i="1"/>
  <c r="C7127" i="1"/>
  <c r="D7126" i="1"/>
  <c r="C7126" i="1"/>
  <c r="D7125" i="1"/>
  <c r="C7125" i="1"/>
  <c r="D7124" i="1"/>
  <c r="C7124" i="1"/>
  <c r="D7123" i="1"/>
  <c r="C7123" i="1"/>
  <c r="D7122" i="1"/>
  <c r="C7122" i="1"/>
  <c r="D7121" i="1"/>
  <c r="C7121" i="1"/>
  <c r="D7120" i="1"/>
  <c r="C7120" i="1"/>
  <c r="D7119" i="1"/>
  <c r="C7119" i="1"/>
  <c r="D7118" i="1"/>
  <c r="C7118" i="1"/>
  <c r="D7117" i="1"/>
  <c r="C7117" i="1"/>
  <c r="D7116" i="1"/>
  <c r="C7116" i="1"/>
  <c r="D7115" i="1"/>
  <c r="C7115" i="1"/>
  <c r="D7114" i="1"/>
  <c r="C7114" i="1"/>
  <c r="D7113" i="1"/>
  <c r="C7113" i="1"/>
  <c r="D7112" i="1"/>
  <c r="C7112" i="1"/>
  <c r="D7111" i="1"/>
  <c r="C7111" i="1"/>
  <c r="D7110" i="1"/>
  <c r="C7110" i="1"/>
  <c r="D7109" i="1"/>
  <c r="C7109" i="1"/>
  <c r="D7108" i="1"/>
  <c r="C7108" i="1"/>
  <c r="D7107" i="1"/>
  <c r="C7107" i="1"/>
  <c r="D7106" i="1"/>
  <c r="C7106" i="1"/>
  <c r="D7105" i="1"/>
  <c r="C7105" i="1"/>
  <c r="D7104" i="1"/>
  <c r="C7104" i="1"/>
  <c r="D7103" i="1"/>
  <c r="C7103" i="1"/>
  <c r="D7102" i="1"/>
  <c r="C7102" i="1"/>
  <c r="D7101" i="1"/>
  <c r="C7101" i="1"/>
  <c r="D7100" i="1"/>
  <c r="C7100" i="1"/>
  <c r="D7099" i="1"/>
  <c r="C7099" i="1"/>
  <c r="D7098" i="1"/>
  <c r="C7098" i="1"/>
  <c r="D7097" i="1"/>
  <c r="C7097" i="1"/>
  <c r="D7096" i="1"/>
  <c r="C7096" i="1"/>
  <c r="D7095" i="1"/>
  <c r="C7095" i="1"/>
  <c r="D7094" i="1"/>
  <c r="C7094" i="1"/>
  <c r="D7093" i="1"/>
  <c r="C7093" i="1"/>
  <c r="D7092" i="1"/>
  <c r="C7092" i="1"/>
  <c r="D7091" i="1"/>
  <c r="C7091" i="1"/>
  <c r="D7090" i="1"/>
  <c r="C7090" i="1"/>
  <c r="D7089" i="1"/>
  <c r="C7089" i="1"/>
  <c r="D7088" i="1"/>
  <c r="C7088" i="1"/>
  <c r="D7087" i="1"/>
  <c r="C7087" i="1"/>
  <c r="D7086" i="1"/>
  <c r="C7086" i="1"/>
  <c r="D7085" i="1"/>
  <c r="C7085" i="1"/>
  <c r="D7084" i="1"/>
  <c r="C7084" i="1"/>
  <c r="D7083" i="1"/>
  <c r="C7083" i="1"/>
  <c r="D7082" i="1"/>
  <c r="C7082" i="1"/>
  <c r="D7081" i="1"/>
  <c r="C7081" i="1"/>
  <c r="D7080" i="1"/>
  <c r="C7080" i="1"/>
  <c r="D7079" i="1"/>
  <c r="C7079" i="1"/>
  <c r="D7078" i="1"/>
  <c r="C7078" i="1"/>
  <c r="D7077" i="1"/>
  <c r="C7077" i="1"/>
  <c r="D7076" i="1"/>
  <c r="C7076" i="1"/>
  <c r="D7075" i="1"/>
  <c r="C7075" i="1"/>
  <c r="D7074" i="1"/>
  <c r="C7074" i="1"/>
  <c r="D7073" i="1"/>
  <c r="C7073" i="1"/>
  <c r="D7072" i="1"/>
  <c r="C7072" i="1"/>
  <c r="D7071" i="1"/>
  <c r="C7071" i="1"/>
  <c r="D7070" i="1"/>
  <c r="C7070" i="1"/>
  <c r="D7069" i="1"/>
  <c r="C7069" i="1"/>
  <c r="D7068" i="1"/>
  <c r="C7068" i="1"/>
  <c r="D7067" i="1"/>
  <c r="C7067" i="1"/>
  <c r="D7066" i="1"/>
  <c r="C7066" i="1"/>
  <c r="D7065" i="1"/>
  <c r="C7065" i="1"/>
  <c r="D7064" i="1"/>
  <c r="C7064" i="1"/>
  <c r="D7063" i="1"/>
  <c r="C7063" i="1"/>
  <c r="D7062" i="1"/>
  <c r="C7062" i="1"/>
  <c r="D7061" i="1"/>
  <c r="C7061" i="1"/>
  <c r="D7060" i="1"/>
  <c r="C7060" i="1"/>
  <c r="D7059" i="1"/>
  <c r="C7059" i="1"/>
  <c r="D7058" i="1"/>
  <c r="C7058" i="1"/>
  <c r="D7057" i="1"/>
  <c r="C7057" i="1"/>
  <c r="D7056" i="1"/>
  <c r="C7056" i="1"/>
  <c r="D7055" i="1"/>
  <c r="C7055" i="1"/>
  <c r="D7054" i="1"/>
  <c r="C7054" i="1"/>
  <c r="D7053" i="1"/>
  <c r="C7053" i="1"/>
  <c r="D7052" i="1"/>
  <c r="C7052" i="1"/>
  <c r="D7051" i="1"/>
  <c r="C7051" i="1"/>
  <c r="D7050" i="1"/>
  <c r="C7050" i="1"/>
  <c r="D7049" i="1"/>
  <c r="C7049" i="1"/>
  <c r="D7048" i="1"/>
  <c r="C7048" i="1"/>
  <c r="D7047" i="1"/>
  <c r="C7047" i="1"/>
  <c r="D7046" i="1"/>
  <c r="C7046" i="1"/>
  <c r="D7045" i="1"/>
  <c r="C7045" i="1"/>
  <c r="D7044" i="1"/>
  <c r="C7044" i="1"/>
  <c r="D7043" i="1"/>
  <c r="C7043" i="1"/>
  <c r="D7042" i="1"/>
  <c r="C7042" i="1"/>
  <c r="D7041" i="1"/>
  <c r="C7041" i="1"/>
  <c r="D7040" i="1"/>
  <c r="C7040" i="1"/>
  <c r="D7039" i="1"/>
  <c r="C7039" i="1"/>
  <c r="D7038" i="1"/>
  <c r="C7038" i="1"/>
  <c r="D7037" i="1"/>
  <c r="C7037" i="1"/>
  <c r="D7036" i="1"/>
  <c r="C7036" i="1"/>
  <c r="D7035" i="1"/>
  <c r="C7035" i="1"/>
  <c r="D7034" i="1"/>
  <c r="C7034" i="1"/>
  <c r="D7033" i="1"/>
  <c r="C7033" i="1"/>
  <c r="D7032" i="1"/>
  <c r="C7032" i="1"/>
  <c r="D7031" i="1"/>
  <c r="C7031" i="1"/>
  <c r="D7030" i="1"/>
  <c r="C7030" i="1"/>
  <c r="D7029" i="1"/>
  <c r="C7029" i="1"/>
  <c r="D7028" i="1"/>
  <c r="C7028" i="1"/>
  <c r="D7027" i="1"/>
  <c r="C7027" i="1"/>
  <c r="D7026" i="1"/>
  <c r="C7026" i="1"/>
  <c r="D7025" i="1"/>
  <c r="C7025" i="1"/>
  <c r="D7024" i="1"/>
  <c r="C7024" i="1"/>
  <c r="D7023" i="1"/>
  <c r="C7023" i="1"/>
  <c r="D7022" i="1"/>
  <c r="C7022" i="1"/>
  <c r="D7021" i="1"/>
  <c r="C7021" i="1"/>
  <c r="D7020" i="1"/>
  <c r="C7020" i="1"/>
  <c r="D7019" i="1"/>
  <c r="C7019" i="1"/>
  <c r="D7018" i="1"/>
  <c r="C7018" i="1"/>
  <c r="D7017" i="1"/>
  <c r="C7017" i="1"/>
  <c r="D7016" i="1"/>
  <c r="C7016" i="1"/>
  <c r="D7015" i="1"/>
  <c r="C7015" i="1"/>
  <c r="D7014" i="1"/>
  <c r="C7014" i="1"/>
  <c r="D7013" i="1"/>
  <c r="C7013" i="1"/>
  <c r="D7012" i="1"/>
  <c r="C7012" i="1"/>
  <c r="D7011" i="1"/>
  <c r="C7011" i="1"/>
  <c r="D7010" i="1"/>
  <c r="C7010" i="1"/>
  <c r="D7009" i="1"/>
  <c r="C7009" i="1"/>
  <c r="D7008" i="1"/>
  <c r="C7008" i="1"/>
  <c r="D7007" i="1"/>
  <c r="C7007" i="1"/>
  <c r="D7006" i="1"/>
  <c r="C7006" i="1"/>
  <c r="D7005" i="1"/>
  <c r="C7005" i="1"/>
  <c r="D7004" i="1"/>
  <c r="C7004" i="1"/>
  <c r="D7003" i="1"/>
  <c r="C7003" i="1"/>
  <c r="D7002" i="1"/>
  <c r="C7002" i="1"/>
  <c r="D7001" i="1"/>
  <c r="C7001" i="1"/>
  <c r="D7000" i="1"/>
  <c r="C7000" i="1"/>
  <c r="D6999" i="1"/>
  <c r="C6999" i="1"/>
  <c r="D6998" i="1"/>
  <c r="C6998" i="1"/>
  <c r="D6997" i="1"/>
  <c r="C6997" i="1"/>
  <c r="D6996" i="1"/>
  <c r="C6996" i="1"/>
  <c r="D6995" i="1"/>
  <c r="C6995" i="1"/>
  <c r="D6994" i="1"/>
  <c r="C6994" i="1"/>
  <c r="D6993" i="1"/>
  <c r="C6993" i="1"/>
  <c r="D6992" i="1"/>
  <c r="C6992" i="1"/>
  <c r="D6991" i="1"/>
  <c r="C6991" i="1"/>
  <c r="D6990" i="1"/>
  <c r="C6990" i="1"/>
  <c r="D6989" i="1"/>
  <c r="C6989" i="1"/>
  <c r="D6988" i="1"/>
  <c r="C6988" i="1"/>
  <c r="D6987" i="1"/>
  <c r="C6987" i="1"/>
  <c r="D6986" i="1"/>
  <c r="C6986" i="1"/>
  <c r="D6985" i="1"/>
  <c r="C6985" i="1"/>
  <c r="D6984" i="1"/>
  <c r="C6984" i="1"/>
  <c r="D6983" i="1"/>
  <c r="C6983" i="1"/>
  <c r="D6982" i="1"/>
  <c r="C6982" i="1"/>
  <c r="D6981" i="1"/>
  <c r="C6981" i="1"/>
  <c r="D6980" i="1"/>
  <c r="C6980" i="1"/>
  <c r="D6979" i="1"/>
  <c r="C6979" i="1"/>
  <c r="D6978" i="1"/>
  <c r="C6978" i="1"/>
  <c r="D6977" i="1"/>
  <c r="C6977" i="1"/>
  <c r="D6976" i="1"/>
  <c r="C6976" i="1"/>
  <c r="D6975" i="1"/>
  <c r="C6975" i="1"/>
  <c r="D6974" i="1"/>
  <c r="C6974" i="1"/>
  <c r="D6973" i="1"/>
  <c r="C6973" i="1"/>
  <c r="D6972" i="1"/>
  <c r="C6972" i="1"/>
  <c r="D6971" i="1"/>
  <c r="C6971" i="1"/>
  <c r="D6970" i="1"/>
  <c r="C6970" i="1"/>
  <c r="D6969" i="1"/>
  <c r="C6969" i="1"/>
  <c r="D6968" i="1"/>
  <c r="C6968" i="1"/>
  <c r="D6967" i="1"/>
  <c r="C6967" i="1"/>
  <c r="D6966" i="1"/>
  <c r="C6966" i="1"/>
  <c r="D6965" i="1"/>
  <c r="C6965" i="1"/>
  <c r="D6964" i="1"/>
  <c r="C6964" i="1"/>
  <c r="D6963" i="1"/>
  <c r="C6963" i="1"/>
  <c r="D6962" i="1"/>
  <c r="C6962" i="1"/>
  <c r="D6961" i="1"/>
  <c r="C6961" i="1"/>
  <c r="D6960" i="1"/>
  <c r="C6960" i="1"/>
  <c r="D6959" i="1"/>
  <c r="C6959" i="1"/>
  <c r="D6958" i="1"/>
  <c r="C6958" i="1"/>
  <c r="D6957" i="1"/>
  <c r="C6957" i="1"/>
  <c r="D6956" i="1"/>
  <c r="C6956" i="1"/>
  <c r="D6955" i="1"/>
  <c r="C6955" i="1"/>
  <c r="D6954" i="1"/>
  <c r="C6954" i="1"/>
  <c r="D6953" i="1"/>
  <c r="C6953" i="1"/>
  <c r="D6952" i="1"/>
  <c r="C6952" i="1"/>
  <c r="D6951" i="1"/>
  <c r="C6951" i="1"/>
  <c r="D6950" i="1"/>
  <c r="C6950" i="1"/>
  <c r="D6949" i="1"/>
  <c r="C6949" i="1"/>
  <c r="D6948" i="1"/>
  <c r="C6948" i="1"/>
  <c r="D6947" i="1"/>
  <c r="C6947" i="1"/>
  <c r="D6946" i="1"/>
  <c r="C6946" i="1"/>
  <c r="D6945" i="1"/>
  <c r="C6945" i="1"/>
  <c r="D6944" i="1"/>
  <c r="C6944" i="1"/>
  <c r="D6943" i="1"/>
  <c r="C6943" i="1"/>
  <c r="D6942" i="1"/>
  <c r="C6942" i="1"/>
  <c r="D6941" i="1"/>
  <c r="C6941" i="1"/>
  <c r="D6940" i="1"/>
  <c r="C6940" i="1"/>
  <c r="D6939" i="1"/>
  <c r="C6939" i="1"/>
  <c r="D6938" i="1"/>
  <c r="C6938" i="1"/>
  <c r="D6937" i="1"/>
  <c r="C6937" i="1"/>
  <c r="D6936" i="1"/>
  <c r="C6936" i="1"/>
  <c r="D6935" i="1"/>
  <c r="C6935" i="1"/>
  <c r="D6934" i="1"/>
  <c r="C6934" i="1"/>
  <c r="D6933" i="1"/>
  <c r="C6933" i="1"/>
  <c r="D6932" i="1"/>
  <c r="C6932" i="1"/>
  <c r="D6931" i="1"/>
  <c r="C6931" i="1"/>
  <c r="D6930" i="1"/>
  <c r="C6930" i="1"/>
  <c r="D6929" i="1"/>
  <c r="C6929" i="1"/>
  <c r="D6928" i="1"/>
  <c r="C6928" i="1"/>
  <c r="D6927" i="1"/>
  <c r="C6927" i="1"/>
  <c r="D6926" i="1"/>
  <c r="C6926" i="1"/>
  <c r="D6925" i="1"/>
  <c r="C6925" i="1"/>
  <c r="D6924" i="1"/>
  <c r="C6924" i="1"/>
  <c r="D6923" i="1"/>
  <c r="C6923" i="1"/>
  <c r="D6922" i="1"/>
  <c r="C6922" i="1"/>
  <c r="D6921" i="1"/>
  <c r="C6921" i="1"/>
  <c r="D6920" i="1"/>
  <c r="C6920" i="1"/>
  <c r="D6919" i="1"/>
  <c r="C6919" i="1"/>
  <c r="D6918" i="1"/>
  <c r="C6918" i="1"/>
  <c r="D6917" i="1"/>
  <c r="C6917" i="1"/>
  <c r="D6916" i="1"/>
  <c r="C6916" i="1"/>
  <c r="D6915" i="1"/>
  <c r="C6915" i="1"/>
  <c r="D6914" i="1"/>
  <c r="C6914" i="1"/>
  <c r="D6913" i="1"/>
  <c r="C6913" i="1"/>
  <c r="D6912" i="1"/>
  <c r="C6912" i="1"/>
  <c r="D6911" i="1"/>
  <c r="C6911" i="1"/>
  <c r="D6910" i="1"/>
  <c r="C6910" i="1"/>
  <c r="D6909" i="1"/>
  <c r="C6909" i="1"/>
  <c r="D6908" i="1"/>
  <c r="C6908" i="1"/>
  <c r="D6907" i="1"/>
  <c r="C6907" i="1"/>
  <c r="D6906" i="1"/>
  <c r="C6906" i="1"/>
  <c r="D6905" i="1"/>
  <c r="C6905" i="1"/>
  <c r="D6904" i="1"/>
  <c r="C6904" i="1"/>
  <c r="D6903" i="1"/>
  <c r="C6903" i="1"/>
  <c r="D6902" i="1"/>
  <c r="C6902" i="1"/>
  <c r="D6901" i="1"/>
  <c r="C6901" i="1"/>
  <c r="D6900" i="1"/>
  <c r="C6900" i="1"/>
  <c r="D6899" i="1"/>
  <c r="C6899" i="1"/>
  <c r="D6898" i="1"/>
  <c r="C6898" i="1"/>
  <c r="D6897" i="1"/>
  <c r="C6897" i="1"/>
  <c r="D6896" i="1"/>
  <c r="C6896" i="1"/>
  <c r="D6895" i="1"/>
  <c r="C6895" i="1"/>
  <c r="D6894" i="1"/>
  <c r="C6894" i="1"/>
  <c r="D6893" i="1"/>
  <c r="C6893" i="1"/>
  <c r="D6892" i="1"/>
  <c r="C6892" i="1"/>
  <c r="D6891" i="1"/>
  <c r="C6891" i="1"/>
  <c r="D6890" i="1"/>
  <c r="C6890" i="1"/>
  <c r="D6889" i="1"/>
  <c r="C6889" i="1"/>
  <c r="D6888" i="1"/>
  <c r="C6888" i="1"/>
  <c r="D6887" i="1"/>
  <c r="C6887" i="1"/>
  <c r="D6886" i="1"/>
  <c r="C6886" i="1"/>
  <c r="D6885" i="1"/>
  <c r="C6885" i="1"/>
  <c r="D6884" i="1"/>
  <c r="C6884" i="1"/>
  <c r="D6883" i="1"/>
  <c r="C6883" i="1"/>
  <c r="D6882" i="1"/>
  <c r="C6882" i="1"/>
  <c r="D6881" i="1"/>
  <c r="C6881" i="1"/>
  <c r="D6880" i="1"/>
  <c r="C6880" i="1"/>
  <c r="D6879" i="1"/>
  <c r="C6879" i="1"/>
  <c r="D6878" i="1"/>
  <c r="C6878" i="1"/>
  <c r="D6877" i="1"/>
  <c r="C6877" i="1"/>
  <c r="D6876" i="1"/>
  <c r="C6876" i="1"/>
  <c r="D6875" i="1"/>
  <c r="C6875" i="1"/>
  <c r="D6874" i="1"/>
  <c r="C6874" i="1"/>
  <c r="D6873" i="1"/>
  <c r="C6873" i="1"/>
  <c r="D6872" i="1"/>
  <c r="C6872" i="1"/>
  <c r="D6871" i="1"/>
  <c r="C6871" i="1"/>
  <c r="D6870" i="1"/>
  <c r="C6870" i="1"/>
  <c r="D6869" i="1"/>
  <c r="C6869" i="1"/>
  <c r="D6868" i="1"/>
  <c r="C6868" i="1"/>
  <c r="D6867" i="1"/>
  <c r="C6867" i="1"/>
  <c r="D6866" i="1"/>
  <c r="C6866" i="1"/>
  <c r="D6865" i="1"/>
  <c r="C6865" i="1"/>
  <c r="D6864" i="1"/>
  <c r="C6864" i="1"/>
  <c r="D6863" i="1"/>
  <c r="C6863" i="1"/>
  <c r="D6862" i="1"/>
  <c r="C6862" i="1"/>
  <c r="D6861" i="1"/>
  <c r="C6861" i="1"/>
  <c r="D6860" i="1"/>
  <c r="C6860" i="1"/>
  <c r="D6859" i="1"/>
  <c r="C6859" i="1"/>
  <c r="D6858" i="1"/>
  <c r="C6858" i="1"/>
  <c r="D6857" i="1"/>
  <c r="C6857" i="1"/>
  <c r="D6856" i="1"/>
  <c r="C6856" i="1"/>
  <c r="D6855" i="1"/>
  <c r="C6855" i="1"/>
  <c r="D6854" i="1"/>
  <c r="C6854" i="1"/>
  <c r="D6853" i="1"/>
  <c r="C6853" i="1"/>
  <c r="D6852" i="1"/>
  <c r="C6852" i="1"/>
  <c r="D6851" i="1"/>
  <c r="C6851" i="1"/>
  <c r="D6850" i="1"/>
  <c r="C6850" i="1"/>
  <c r="D6849" i="1"/>
  <c r="C6849" i="1"/>
  <c r="D6848" i="1"/>
  <c r="C6848" i="1"/>
  <c r="D6847" i="1"/>
  <c r="C6847" i="1"/>
  <c r="D6846" i="1"/>
  <c r="C6846" i="1"/>
  <c r="D6845" i="1"/>
  <c r="C6845" i="1"/>
  <c r="D6844" i="1"/>
  <c r="C6844" i="1"/>
  <c r="D6843" i="1"/>
  <c r="C6843" i="1"/>
  <c r="D6842" i="1"/>
  <c r="C6842" i="1"/>
  <c r="D6841" i="1"/>
  <c r="C6841" i="1"/>
  <c r="D6840" i="1"/>
  <c r="C6840" i="1"/>
  <c r="D6839" i="1"/>
  <c r="C6839" i="1"/>
  <c r="D6838" i="1"/>
  <c r="C6838" i="1"/>
  <c r="D6837" i="1"/>
  <c r="C6837" i="1"/>
  <c r="D6836" i="1"/>
  <c r="C6836" i="1"/>
  <c r="D6835" i="1"/>
  <c r="C6835" i="1"/>
  <c r="D6834" i="1"/>
  <c r="C6834" i="1"/>
  <c r="D6833" i="1"/>
  <c r="C6833" i="1"/>
  <c r="D6832" i="1"/>
  <c r="C6832" i="1"/>
  <c r="D6831" i="1"/>
  <c r="C6831" i="1"/>
  <c r="D6830" i="1"/>
  <c r="C6830" i="1"/>
  <c r="D6829" i="1"/>
  <c r="C6829" i="1"/>
  <c r="D6828" i="1"/>
  <c r="C6828" i="1"/>
  <c r="D6827" i="1"/>
  <c r="C6827" i="1"/>
  <c r="D6826" i="1"/>
  <c r="C6826" i="1"/>
  <c r="D6825" i="1"/>
  <c r="C6825" i="1"/>
  <c r="D6824" i="1"/>
  <c r="C6824" i="1"/>
  <c r="D6823" i="1"/>
  <c r="C6823" i="1"/>
  <c r="D6822" i="1"/>
  <c r="C6822" i="1"/>
  <c r="D6821" i="1"/>
  <c r="C6821" i="1"/>
  <c r="D6820" i="1"/>
  <c r="C6820" i="1"/>
  <c r="D6819" i="1"/>
  <c r="C6819" i="1"/>
  <c r="D6818" i="1"/>
  <c r="C6818" i="1"/>
  <c r="D6817" i="1"/>
  <c r="C6817" i="1"/>
  <c r="D6816" i="1"/>
  <c r="C6816" i="1"/>
  <c r="D6815" i="1"/>
  <c r="C6815" i="1"/>
  <c r="D6814" i="1"/>
  <c r="C6814" i="1"/>
  <c r="D6813" i="1"/>
  <c r="C6813" i="1"/>
  <c r="D6812" i="1"/>
  <c r="C6812" i="1"/>
  <c r="D6811" i="1"/>
  <c r="C6811" i="1"/>
  <c r="D6810" i="1"/>
  <c r="C6810" i="1"/>
  <c r="D6809" i="1"/>
  <c r="C6809" i="1"/>
  <c r="D6808" i="1"/>
  <c r="C6808" i="1"/>
  <c r="D6807" i="1"/>
  <c r="C6807" i="1"/>
  <c r="D6806" i="1"/>
  <c r="C6806" i="1"/>
  <c r="D6805" i="1"/>
  <c r="C6805" i="1"/>
  <c r="D6804" i="1"/>
  <c r="C6804" i="1"/>
  <c r="D6803" i="1"/>
  <c r="C6803" i="1"/>
  <c r="D6802" i="1"/>
  <c r="C6802" i="1"/>
  <c r="D6801" i="1"/>
  <c r="C6801" i="1"/>
  <c r="D6800" i="1"/>
  <c r="C6800" i="1"/>
  <c r="D6799" i="1"/>
  <c r="C6799" i="1"/>
  <c r="D6798" i="1"/>
  <c r="C6798" i="1"/>
  <c r="D6797" i="1"/>
  <c r="C6797" i="1"/>
  <c r="D6796" i="1"/>
  <c r="C6796" i="1"/>
  <c r="D6795" i="1"/>
  <c r="C6795" i="1"/>
  <c r="D6794" i="1"/>
  <c r="C6794" i="1"/>
  <c r="D6793" i="1"/>
  <c r="C6793" i="1"/>
  <c r="D6792" i="1"/>
  <c r="C6792" i="1"/>
  <c r="D6791" i="1"/>
  <c r="C6791" i="1"/>
  <c r="D6790" i="1"/>
  <c r="C6790" i="1"/>
  <c r="D6789" i="1"/>
  <c r="C6789" i="1"/>
  <c r="D6788" i="1"/>
  <c r="C6788" i="1"/>
  <c r="D6787" i="1"/>
  <c r="C6787" i="1"/>
  <c r="D6786" i="1"/>
  <c r="C6786" i="1"/>
  <c r="D6785" i="1"/>
  <c r="C6785" i="1"/>
  <c r="D6784" i="1"/>
  <c r="C6784" i="1"/>
  <c r="D6783" i="1"/>
  <c r="C6783" i="1"/>
  <c r="D6782" i="1"/>
  <c r="C6782" i="1"/>
  <c r="D6781" i="1"/>
  <c r="C6781" i="1"/>
  <c r="D6780" i="1"/>
  <c r="C6780" i="1"/>
  <c r="D6779" i="1"/>
  <c r="C6779" i="1"/>
  <c r="D6778" i="1"/>
  <c r="C6778" i="1"/>
  <c r="D6777" i="1"/>
  <c r="C6777" i="1"/>
  <c r="D6776" i="1"/>
  <c r="C6776" i="1"/>
  <c r="D6775" i="1"/>
  <c r="C6775" i="1"/>
  <c r="D6774" i="1"/>
  <c r="C6774" i="1"/>
  <c r="D6773" i="1"/>
  <c r="C6773" i="1"/>
  <c r="D6772" i="1"/>
  <c r="C6772" i="1"/>
  <c r="D6771" i="1"/>
  <c r="C6771" i="1"/>
  <c r="D6770" i="1"/>
  <c r="C6770" i="1"/>
  <c r="D6769" i="1"/>
  <c r="C6769" i="1"/>
  <c r="D6768" i="1"/>
  <c r="C6768" i="1"/>
  <c r="D6767" i="1"/>
  <c r="C6767" i="1"/>
  <c r="D6766" i="1"/>
  <c r="C6766" i="1"/>
  <c r="D6765" i="1"/>
  <c r="C6765" i="1"/>
  <c r="D6764" i="1"/>
  <c r="C6764" i="1"/>
  <c r="D6763" i="1"/>
  <c r="C6763" i="1"/>
  <c r="D6762" i="1"/>
  <c r="C6762" i="1"/>
  <c r="D6761" i="1"/>
  <c r="C6761" i="1"/>
  <c r="D6760" i="1"/>
  <c r="C6760" i="1"/>
  <c r="D6759" i="1"/>
  <c r="C6759" i="1"/>
  <c r="D6758" i="1"/>
  <c r="C6758" i="1"/>
  <c r="D6757" i="1"/>
  <c r="C6757" i="1"/>
  <c r="D6756" i="1"/>
  <c r="C6756" i="1"/>
  <c r="D6755" i="1"/>
  <c r="C6755" i="1"/>
  <c r="D6754" i="1"/>
  <c r="C6754" i="1"/>
  <c r="D6753" i="1"/>
  <c r="C6753" i="1"/>
  <c r="D6752" i="1"/>
  <c r="C6752" i="1"/>
  <c r="D6751" i="1"/>
  <c r="C6751" i="1"/>
  <c r="D6750" i="1"/>
  <c r="C6750" i="1"/>
  <c r="D6749" i="1"/>
  <c r="C6749" i="1"/>
  <c r="D6748" i="1"/>
  <c r="C6748" i="1"/>
  <c r="D6747" i="1"/>
  <c r="C6747" i="1"/>
  <c r="D6746" i="1"/>
  <c r="C6746" i="1"/>
  <c r="D6745" i="1"/>
  <c r="C6745" i="1"/>
  <c r="D6744" i="1"/>
  <c r="C6744" i="1"/>
  <c r="D6743" i="1"/>
  <c r="C6743" i="1"/>
  <c r="D6742" i="1"/>
  <c r="C6742" i="1"/>
  <c r="D6741" i="1"/>
  <c r="C6741" i="1"/>
  <c r="D6740" i="1"/>
  <c r="C6740" i="1"/>
  <c r="D6739" i="1"/>
  <c r="C6739" i="1"/>
  <c r="D6738" i="1"/>
  <c r="C6738" i="1"/>
  <c r="D6737" i="1"/>
  <c r="C6737" i="1"/>
  <c r="D6736" i="1"/>
  <c r="C6736" i="1"/>
  <c r="D6735" i="1"/>
  <c r="C6735" i="1"/>
  <c r="D6734" i="1"/>
  <c r="C6734" i="1"/>
  <c r="D6733" i="1"/>
  <c r="C6733" i="1"/>
  <c r="D6732" i="1"/>
  <c r="C6732" i="1"/>
  <c r="D6731" i="1"/>
  <c r="C6731" i="1"/>
  <c r="D6730" i="1"/>
  <c r="C6730" i="1"/>
  <c r="D6729" i="1"/>
  <c r="C6729" i="1"/>
  <c r="D6728" i="1"/>
  <c r="C6728" i="1"/>
  <c r="D6727" i="1"/>
  <c r="C6727" i="1"/>
  <c r="D6726" i="1"/>
  <c r="C6726" i="1"/>
  <c r="D6725" i="1"/>
  <c r="C6725" i="1"/>
  <c r="D6724" i="1"/>
  <c r="C6724" i="1"/>
  <c r="D6723" i="1"/>
  <c r="C6723" i="1"/>
  <c r="D6722" i="1"/>
  <c r="C6722" i="1"/>
  <c r="D6721" i="1"/>
  <c r="C6721" i="1"/>
  <c r="D6720" i="1"/>
  <c r="C6720" i="1"/>
  <c r="D6719" i="1"/>
  <c r="C6719" i="1"/>
  <c r="D6718" i="1"/>
  <c r="C6718" i="1"/>
  <c r="D6717" i="1"/>
  <c r="C6717" i="1"/>
  <c r="D6716" i="1"/>
  <c r="C6716" i="1"/>
  <c r="D6715" i="1"/>
  <c r="C6715" i="1"/>
  <c r="D6714" i="1"/>
  <c r="C6714" i="1"/>
  <c r="D6713" i="1"/>
  <c r="C6713" i="1"/>
  <c r="D6712" i="1"/>
  <c r="C6712" i="1"/>
  <c r="D6711" i="1"/>
  <c r="C6711" i="1"/>
  <c r="D6710" i="1"/>
  <c r="C6710" i="1"/>
  <c r="D6709" i="1"/>
  <c r="C6709" i="1"/>
  <c r="D6708" i="1"/>
  <c r="C6708" i="1"/>
  <c r="D6707" i="1"/>
  <c r="C6707" i="1"/>
  <c r="D6706" i="1"/>
  <c r="C6706" i="1"/>
  <c r="D6705" i="1"/>
  <c r="C6705" i="1"/>
  <c r="D6704" i="1"/>
  <c r="C6704" i="1"/>
  <c r="D6703" i="1"/>
  <c r="C6703" i="1"/>
  <c r="D6702" i="1"/>
  <c r="C6702" i="1"/>
  <c r="D6701" i="1"/>
  <c r="C6701" i="1"/>
  <c r="D6700" i="1"/>
  <c r="C6700" i="1"/>
  <c r="D6699" i="1"/>
  <c r="C6699" i="1"/>
  <c r="D6698" i="1"/>
  <c r="C6698" i="1"/>
  <c r="D6697" i="1"/>
  <c r="C6697" i="1"/>
  <c r="D6696" i="1"/>
  <c r="C6696" i="1"/>
  <c r="D6695" i="1"/>
  <c r="C6695" i="1"/>
  <c r="D6694" i="1"/>
  <c r="C6694" i="1"/>
  <c r="D6693" i="1"/>
  <c r="C6693" i="1"/>
  <c r="D6692" i="1"/>
  <c r="C6692" i="1"/>
  <c r="D6691" i="1"/>
  <c r="C6691" i="1"/>
  <c r="D6690" i="1"/>
  <c r="C6690" i="1"/>
  <c r="D6689" i="1"/>
  <c r="C6689" i="1"/>
  <c r="D6688" i="1"/>
  <c r="C6688" i="1"/>
  <c r="D6687" i="1"/>
  <c r="C6687" i="1"/>
  <c r="D6686" i="1"/>
  <c r="C6686" i="1"/>
  <c r="D6685" i="1"/>
  <c r="C6685" i="1"/>
  <c r="D6684" i="1"/>
  <c r="C6684" i="1"/>
  <c r="D6683" i="1"/>
  <c r="C6683" i="1"/>
  <c r="D6682" i="1"/>
  <c r="C6682" i="1"/>
  <c r="D6681" i="1"/>
  <c r="C6681" i="1"/>
  <c r="D6680" i="1"/>
  <c r="C6680" i="1"/>
  <c r="D6679" i="1"/>
  <c r="C6679" i="1"/>
  <c r="D6678" i="1"/>
  <c r="C6678" i="1"/>
  <c r="D6677" i="1"/>
  <c r="C6677" i="1"/>
  <c r="D6676" i="1"/>
  <c r="C6676" i="1"/>
  <c r="D6675" i="1"/>
  <c r="C6675" i="1"/>
  <c r="D6674" i="1"/>
  <c r="C6674" i="1"/>
  <c r="D6673" i="1"/>
  <c r="C6673" i="1"/>
  <c r="D6672" i="1"/>
  <c r="C6672" i="1"/>
  <c r="D6671" i="1"/>
  <c r="C6671" i="1"/>
  <c r="D6670" i="1"/>
  <c r="C6670" i="1"/>
  <c r="D6669" i="1"/>
  <c r="C6669" i="1"/>
  <c r="D6668" i="1"/>
  <c r="C6668" i="1"/>
  <c r="D6667" i="1"/>
  <c r="C6667" i="1"/>
  <c r="D6666" i="1"/>
  <c r="C6666" i="1"/>
  <c r="D6665" i="1"/>
  <c r="C6665" i="1"/>
  <c r="D6664" i="1"/>
  <c r="C6664" i="1"/>
  <c r="D6663" i="1"/>
  <c r="C6663" i="1"/>
  <c r="D6662" i="1"/>
  <c r="C6662" i="1"/>
  <c r="D6661" i="1"/>
  <c r="C6661" i="1"/>
  <c r="D6660" i="1"/>
  <c r="C6660" i="1"/>
  <c r="D6659" i="1"/>
  <c r="C6659" i="1"/>
  <c r="D6658" i="1"/>
  <c r="C6658" i="1"/>
  <c r="D6657" i="1"/>
  <c r="C6657" i="1"/>
  <c r="D6656" i="1"/>
  <c r="C6656" i="1"/>
  <c r="D6655" i="1"/>
  <c r="C6655" i="1"/>
  <c r="D6654" i="1"/>
  <c r="C6654" i="1"/>
  <c r="D6653" i="1"/>
  <c r="C6653" i="1"/>
  <c r="D6652" i="1"/>
  <c r="C6652" i="1"/>
  <c r="D6651" i="1"/>
  <c r="C6651" i="1"/>
  <c r="D6650" i="1"/>
  <c r="C6650" i="1"/>
  <c r="D6649" i="1"/>
  <c r="C6649" i="1"/>
  <c r="D6648" i="1"/>
  <c r="C6648" i="1"/>
  <c r="D6647" i="1"/>
  <c r="C6647" i="1"/>
  <c r="D6646" i="1"/>
  <c r="C6646" i="1"/>
  <c r="D6645" i="1"/>
  <c r="C6645" i="1"/>
  <c r="D6644" i="1"/>
  <c r="C6644" i="1"/>
  <c r="D6643" i="1"/>
  <c r="C6643" i="1"/>
  <c r="D6642" i="1"/>
  <c r="C6642" i="1"/>
  <c r="D6641" i="1"/>
  <c r="C6641" i="1"/>
  <c r="D6640" i="1"/>
  <c r="C6640" i="1"/>
  <c r="D6639" i="1"/>
  <c r="C6639" i="1"/>
  <c r="D6638" i="1"/>
  <c r="C6638" i="1"/>
  <c r="D6637" i="1"/>
  <c r="C6637" i="1"/>
  <c r="D6636" i="1"/>
  <c r="C6636" i="1"/>
  <c r="D6635" i="1"/>
  <c r="C6635" i="1"/>
  <c r="D6634" i="1"/>
  <c r="C6634" i="1"/>
  <c r="D6633" i="1"/>
  <c r="C6633" i="1"/>
  <c r="D6632" i="1"/>
  <c r="C6632" i="1"/>
  <c r="D6631" i="1"/>
  <c r="C6631" i="1"/>
  <c r="D6630" i="1"/>
  <c r="C6630" i="1"/>
  <c r="D6629" i="1"/>
  <c r="C6629" i="1"/>
  <c r="D6628" i="1"/>
  <c r="C6628" i="1"/>
  <c r="D6627" i="1"/>
  <c r="C6627" i="1"/>
  <c r="D6626" i="1"/>
  <c r="C6626" i="1"/>
  <c r="D6625" i="1"/>
  <c r="C6625" i="1"/>
  <c r="D6624" i="1"/>
  <c r="C6624" i="1"/>
  <c r="D6623" i="1"/>
  <c r="C6623" i="1"/>
  <c r="D6622" i="1"/>
  <c r="C6622" i="1"/>
  <c r="D6621" i="1"/>
  <c r="C6621" i="1"/>
  <c r="D6620" i="1"/>
  <c r="C6620" i="1"/>
  <c r="D6619" i="1"/>
  <c r="C6619" i="1"/>
  <c r="D6618" i="1"/>
  <c r="C6618" i="1"/>
  <c r="D6617" i="1"/>
  <c r="C6617" i="1"/>
  <c r="D6616" i="1"/>
  <c r="C6616" i="1"/>
  <c r="D6615" i="1"/>
  <c r="C6615" i="1"/>
  <c r="D6614" i="1"/>
  <c r="C6614" i="1"/>
  <c r="D6613" i="1"/>
  <c r="C6613" i="1"/>
  <c r="D6612" i="1"/>
  <c r="C6612" i="1"/>
  <c r="D6611" i="1"/>
  <c r="C6611" i="1"/>
  <c r="D6610" i="1"/>
  <c r="C6610" i="1"/>
  <c r="D6609" i="1"/>
  <c r="C6609" i="1"/>
  <c r="D6608" i="1"/>
  <c r="C6608" i="1"/>
  <c r="D6607" i="1"/>
  <c r="C6607" i="1"/>
  <c r="D6606" i="1"/>
  <c r="C6606" i="1"/>
  <c r="D6605" i="1"/>
  <c r="C6605" i="1"/>
  <c r="D6604" i="1"/>
  <c r="C6604" i="1"/>
  <c r="D6603" i="1"/>
  <c r="C6603" i="1"/>
  <c r="D6602" i="1"/>
  <c r="C6602" i="1"/>
  <c r="D6601" i="1"/>
  <c r="C6601" i="1"/>
  <c r="D6600" i="1"/>
  <c r="C6600" i="1"/>
  <c r="D6599" i="1"/>
  <c r="C6599" i="1"/>
  <c r="D6598" i="1"/>
  <c r="C6598" i="1"/>
  <c r="D6597" i="1"/>
  <c r="C6597" i="1"/>
  <c r="D6596" i="1"/>
  <c r="C6596" i="1"/>
  <c r="D6595" i="1"/>
  <c r="C6595" i="1"/>
  <c r="D6594" i="1"/>
  <c r="C6594" i="1"/>
  <c r="D6593" i="1"/>
  <c r="C6593" i="1"/>
  <c r="D6592" i="1"/>
  <c r="C6592" i="1"/>
  <c r="D6591" i="1"/>
  <c r="C6591" i="1"/>
  <c r="D6590" i="1"/>
  <c r="C6590" i="1"/>
  <c r="D6589" i="1"/>
  <c r="C6589" i="1"/>
  <c r="D6588" i="1"/>
  <c r="C6588" i="1"/>
  <c r="D6587" i="1"/>
  <c r="C6587" i="1"/>
  <c r="D6586" i="1"/>
  <c r="C6586" i="1"/>
  <c r="D6585" i="1"/>
  <c r="C6585" i="1"/>
  <c r="D6584" i="1"/>
  <c r="C6584" i="1"/>
  <c r="D6583" i="1"/>
  <c r="C6583" i="1"/>
  <c r="D6582" i="1"/>
  <c r="C6582" i="1"/>
  <c r="D6581" i="1"/>
  <c r="C6581" i="1"/>
  <c r="D6580" i="1"/>
  <c r="C6580" i="1"/>
  <c r="D6579" i="1"/>
  <c r="C6579" i="1"/>
  <c r="D6578" i="1"/>
  <c r="C6578" i="1"/>
  <c r="D6577" i="1"/>
  <c r="C6577" i="1"/>
  <c r="D6576" i="1"/>
  <c r="C6576" i="1"/>
  <c r="D6575" i="1"/>
  <c r="C6575" i="1"/>
  <c r="D6574" i="1"/>
  <c r="C6574" i="1"/>
  <c r="D6573" i="1"/>
  <c r="C6573" i="1"/>
  <c r="D6572" i="1"/>
  <c r="C6572" i="1"/>
  <c r="D6571" i="1"/>
  <c r="C6571" i="1"/>
  <c r="D6570" i="1"/>
  <c r="C6570" i="1"/>
  <c r="D6569" i="1"/>
  <c r="C6569" i="1"/>
  <c r="D6568" i="1"/>
  <c r="C6568" i="1"/>
  <c r="D6567" i="1"/>
  <c r="C6567" i="1"/>
  <c r="D6566" i="1"/>
  <c r="C6566" i="1"/>
  <c r="D6565" i="1"/>
  <c r="C6565" i="1"/>
  <c r="D6564" i="1"/>
  <c r="C6564" i="1"/>
  <c r="D6563" i="1"/>
  <c r="C6563" i="1"/>
  <c r="D6562" i="1"/>
  <c r="C6562" i="1"/>
  <c r="D6561" i="1"/>
  <c r="C6561" i="1"/>
  <c r="D6560" i="1"/>
  <c r="C6560" i="1"/>
  <c r="D6559" i="1"/>
  <c r="C6559" i="1"/>
  <c r="D6558" i="1"/>
  <c r="C6558" i="1"/>
  <c r="D6557" i="1"/>
  <c r="C6557" i="1"/>
  <c r="D6556" i="1"/>
  <c r="C6556" i="1"/>
  <c r="D6555" i="1"/>
  <c r="C6555" i="1"/>
  <c r="D6554" i="1"/>
  <c r="C6554" i="1"/>
  <c r="D6553" i="1"/>
  <c r="C6553" i="1"/>
  <c r="D6552" i="1"/>
  <c r="C6552" i="1"/>
  <c r="D6551" i="1"/>
  <c r="C6551" i="1"/>
  <c r="D6550" i="1"/>
  <c r="C6550" i="1"/>
  <c r="D6549" i="1"/>
  <c r="C6549" i="1"/>
  <c r="D6548" i="1"/>
  <c r="C6548" i="1"/>
  <c r="D6547" i="1"/>
  <c r="C6547" i="1"/>
  <c r="D6546" i="1"/>
  <c r="C6546" i="1"/>
  <c r="D6545" i="1"/>
  <c r="C6545" i="1"/>
  <c r="D6544" i="1"/>
  <c r="C6544" i="1"/>
  <c r="D6543" i="1"/>
  <c r="C6543" i="1"/>
  <c r="D6542" i="1"/>
  <c r="C6542" i="1"/>
  <c r="D6541" i="1"/>
  <c r="C6541" i="1"/>
  <c r="D6540" i="1"/>
  <c r="C6540" i="1"/>
  <c r="D6539" i="1"/>
  <c r="C6539" i="1"/>
  <c r="D6538" i="1"/>
  <c r="C6538" i="1"/>
  <c r="D6537" i="1"/>
  <c r="C6537" i="1"/>
  <c r="D6536" i="1"/>
  <c r="C6536" i="1"/>
  <c r="D6535" i="1"/>
  <c r="C6535" i="1"/>
  <c r="D6534" i="1"/>
  <c r="C6534" i="1"/>
  <c r="D6533" i="1"/>
  <c r="C6533" i="1"/>
  <c r="D6532" i="1"/>
  <c r="C6532" i="1"/>
  <c r="D6531" i="1"/>
  <c r="C6531" i="1"/>
  <c r="D6530" i="1"/>
  <c r="C6530" i="1"/>
  <c r="D6529" i="1"/>
  <c r="C6529" i="1"/>
  <c r="D6528" i="1"/>
  <c r="C6528" i="1"/>
  <c r="D6527" i="1"/>
  <c r="C6527" i="1"/>
  <c r="D6526" i="1"/>
  <c r="C6526" i="1"/>
  <c r="D6525" i="1"/>
  <c r="C6525" i="1"/>
  <c r="D6524" i="1"/>
  <c r="C6524" i="1"/>
  <c r="D6523" i="1"/>
  <c r="C6523" i="1"/>
  <c r="D6522" i="1"/>
  <c r="C6522" i="1"/>
  <c r="D6521" i="1"/>
  <c r="C6521" i="1"/>
  <c r="D6520" i="1"/>
  <c r="C6520" i="1"/>
  <c r="D6519" i="1"/>
  <c r="C6519" i="1"/>
  <c r="D6518" i="1"/>
  <c r="C6518" i="1"/>
  <c r="D6517" i="1"/>
  <c r="C6517" i="1"/>
  <c r="D6516" i="1"/>
  <c r="C6516" i="1"/>
  <c r="D6515" i="1"/>
  <c r="C6515" i="1"/>
  <c r="D6514" i="1"/>
  <c r="C6514" i="1"/>
  <c r="D6513" i="1"/>
  <c r="C6513" i="1"/>
  <c r="D6512" i="1"/>
  <c r="C6512" i="1"/>
  <c r="D6511" i="1"/>
  <c r="C6511" i="1"/>
  <c r="D6510" i="1"/>
  <c r="C6510" i="1"/>
  <c r="D6509" i="1"/>
  <c r="C6509" i="1"/>
  <c r="D6508" i="1"/>
  <c r="C6508" i="1"/>
  <c r="D6507" i="1"/>
  <c r="C6507" i="1"/>
  <c r="D6506" i="1"/>
  <c r="C6506" i="1"/>
  <c r="D6505" i="1"/>
  <c r="C6505" i="1"/>
  <c r="D6504" i="1"/>
  <c r="C6504" i="1"/>
  <c r="D6503" i="1"/>
  <c r="C6503" i="1"/>
  <c r="D6502" i="1"/>
  <c r="C6502" i="1"/>
  <c r="D6501" i="1"/>
  <c r="C6501" i="1"/>
  <c r="D6500" i="1"/>
  <c r="C6500" i="1"/>
  <c r="D6499" i="1"/>
  <c r="C6499" i="1"/>
  <c r="D6498" i="1"/>
  <c r="C6498" i="1"/>
  <c r="D6497" i="1"/>
  <c r="C6497" i="1"/>
  <c r="D6496" i="1"/>
  <c r="C6496" i="1"/>
  <c r="D6495" i="1"/>
  <c r="C6495" i="1"/>
  <c r="D6494" i="1"/>
  <c r="C6494" i="1"/>
  <c r="D6493" i="1"/>
  <c r="C6493" i="1"/>
  <c r="D6492" i="1"/>
  <c r="C6492" i="1"/>
  <c r="D6491" i="1"/>
  <c r="C6491" i="1"/>
  <c r="D6490" i="1"/>
  <c r="C6490" i="1"/>
  <c r="D6489" i="1"/>
  <c r="C6489" i="1"/>
  <c r="D6488" i="1"/>
  <c r="C6488" i="1"/>
  <c r="D6487" i="1"/>
  <c r="C6487" i="1"/>
  <c r="D6486" i="1"/>
  <c r="C6486" i="1"/>
  <c r="D6485" i="1"/>
  <c r="C6485" i="1"/>
  <c r="D6484" i="1"/>
  <c r="C6484" i="1"/>
  <c r="D6483" i="1"/>
  <c r="C6483" i="1"/>
  <c r="D6482" i="1"/>
  <c r="C6482" i="1"/>
  <c r="D6481" i="1"/>
  <c r="C6481" i="1"/>
  <c r="D6480" i="1"/>
  <c r="C6480" i="1"/>
  <c r="D6479" i="1"/>
  <c r="C6479" i="1"/>
  <c r="D6478" i="1"/>
  <c r="C6478" i="1"/>
  <c r="D6477" i="1"/>
  <c r="C6477" i="1"/>
  <c r="D6476" i="1"/>
  <c r="C6476" i="1"/>
  <c r="D6475" i="1"/>
  <c r="C6475" i="1"/>
  <c r="D6474" i="1"/>
  <c r="C6474" i="1"/>
  <c r="D6473" i="1"/>
  <c r="C6473" i="1"/>
  <c r="D6472" i="1"/>
  <c r="C6472" i="1"/>
  <c r="D6471" i="1"/>
  <c r="C6471" i="1"/>
  <c r="D6470" i="1"/>
  <c r="C6470" i="1"/>
  <c r="D6469" i="1"/>
  <c r="C6469" i="1"/>
  <c r="D6468" i="1"/>
  <c r="C6468" i="1"/>
  <c r="D6467" i="1"/>
  <c r="C6467" i="1"/>
  <c r="D6466" i="1"/>
  <c r="C6466" i="1"/>
  <c r="D6465" i="1"/>
  <c r="C6465" i="1"/>
  <c r="D6464" i="1"/>
  <c r="C6464" i="1"/>
  <c r="D6463" i="1"/>
  <c r="C6463" i="1"/>
  <c r="D6462" i="1"/>
  <c r="C6462" i="1"/>
  <c r="D6461" i="1"/>
  <c r="C6461" i="1"/>
  <c r="D6460" i="1"/>
  <c r="C6460" i="1"/>
  <c r="D6459" i="1"/>
  <c r="C6459" i="1"/>
  <c r="D6458" i="1"/>
  <c r="C6458" i="1"/>
  <c r="D6457" i="1"/>
  <c r="C6457" i="1"/>
  <c r="D6456" i="1"/>
  <c r="C6456" i="1"/>
  <c r="D6455" i="1"/>
  <c r="C6455" i="1"/>
  <c r="D6454" i="1"/>
  <c r="C6454" i="1"/>
  <c r="D6453" i="1"/>
  <c r="C6453" i="1"/>
  <c r="D6452" i="1"/>
  <c r="C6452" i="1"/>
  <c r="D6451" i="1"/>
  <c r="C6451" i="1"/>
  <c r="D6450" i="1"/>
  <c r="C6450" i="1"/>
  <c r="D6449" i="1"/>
  <c r="C6449" i="1"/>
  <c r="D6448" i="1"/>
  <c r="C6448" i="1"/>
  <c r="D6447" i="1"/>
  <c r="C6447" i="1"/>
  <c r="D6446" i="1"/>
  <c r="C6446" i="1"/>
  <c r="D6445" i="1"/>
  <c r="C6445" i="1"/>
  <c r="D6444" i="1"/>
  <c r="C6444" i="1"/>
  <c r="D6443" i="1"/>
  <c r="C6443" i="1"/>
  <c r="D6442" i="1"/>
  <c r="C6442" i="1"/>
  <c r="D6441" i="1"/>
  <c r="C6441" i="1"/>
  <c r="D6440" i="1"/>
  <c r="C6440" i="1"/>
  <c r="D6439" i="1"/>
  <c r="C6439" i="1"/>
  <c r="D6438" i="1"/>
  <c r="C6438" i="1"/>
  <c r="D6437" i="1"/>
  <c r="C6437" i="1"/>
  <c r="D6436" i="1"/>
  <c r="C6436" i="1"/>
  <c r="D6435" i="1"/>
  <c r="C6435" i="1"/>
  <c r="D6434" i="1"/>
  <c r="C6434" i="1"/>
  <c r="D6433" i="1"/>
  <c r="C6433" i="1"/>
  <c r="D6432" i="1"/>
  <c r="C6432" i="1"/>
  <c r="D6431" i="1"/>
  <c r="C6431" i="1"/>
  <c r="D6430" i="1"/>
  <c r="C6430" i="1"/>
  <c r="D6429" i="1"/>
  <c r="C6429" i="1"/>
  <c r="D6428" i="1"/>
  <c r="C6428" i="1"/>
  <c r="D6427" i="1"/>
  <c r="C6427" i="1"/>
  <c r="D6426" i="1"/>
  <c r="C6426" i="1"/>
  <c r="D6425" i="1"/>
  <c r="C6425" i="1"/>
  <c r="D6424" i="1"/>
  <c r="C6424" i="1"/>
  <c r="D6423" i="1"/>
  <c r="C6423" i="1"/>
  <c r="D6422" i="1"/>
  <c r="C6422" i="1"/>
  <c r="D6421" i="1"/>
  <c r="C6421" i="1"/>
  <c r="D6420" i="1"/>
  <c r="C6420" i="1"/>
  <c r="D6419" i="1"/>
  <c r="C6419" i="1"/>
  <c r="D6418" i="1"/>
  <c r="C6418" i="1"/>
  <c r="D6417" i="1"/>
  <c r="C6417" i="1"/>
  <c r="D6416" i="1"/>
  <c r="C6416" i="1"/>
  <c r="D6415" i="1"/>
  <c r="C6415" i="1"/>
  <c r="D6414" i="1"/>
  <c r="C6414" i="1"/>
  <c r="D6413" i="1"/>
  <c r="C6413" i="1"/>
  <c r="D6412" i="1"/>
  <c r="C6412" i="1"/>
  <c r="D6411" i="1"/>
  <c r="C6411" i="1"/>
  <c r="D6410" i="1"/>
  <c r="C6410" i="1"/>
  <c r="D6409" i="1"/>
  <c r="C6409" i="1"/>
  <c r="D6408" i="1"/>
  <c r="C6408" i="1"/>
  <c r="D6407" i="1"/>
  <c r="C6407" i="1"/>
  <c r="D6406" i="1"/>
  <c r="C6406" i="1"/>
  <c r="D6405" i="1"/>
  <c r="C6405" i="1"/>
  <c r="D6404" i="1"/>
  <c r="C6404" i="1"/>
  <c r="D6403" i="1"/>
  <c r="C6403" i="1"/>
  <c r="D6402" i="1"/>
  <c r="C6402" i="1"/>
  <c r="D6401" i="1"/>
  <c r="C6401" i="1"/>
  <c r="D6400" i="1"/>
  <c r="C6400" i="1"/>
  <c r="D6399" i="1"/>
  <c r="C6399" i="1"/>
  <c r="D6398" i="1"/>
  <c r="C6398" i="1"/>
  <c r="D6397" i="1"/>
  <c r="C6397" i="1"/>
  <c r="D6396" i="1"/>
  <c r="C6396" i="1"/>
  <c r="D6395" i="1"/>
  <c r="C6395" i="1"/>
  <c r="D6394" i="1"/>
  <c r="C6394" i="1"/>
  <c r="D6393" i="1"/>
  <c r="C6393" i="1"/>
  <c r="D6392" i="1"/>
  <c r="C6392" i="1"/>
  <c r="D6391" i="1"/>
  <c r="C6391" i="1"/>
  <c r="D6390" i="1"/>
  <c r="C6390" i="1"/>
  <c r="D6389" i="1"/>
  <c r="C6389" i="1"/>
  <c r="D6388" i="1"/>
  <c r="C6388" i="1"/>
  <c r="D6387" i="1"/>
  <c r="C6387" i="1"/>
  <c r="D6386" i="1"/>
  <c r="C6386" i="1"/>
  <c r="D6385" i="1"/>
  <c r="C6385" i="1"/>
  <c r="D6384" i="1"/>
  <c r="C6384" i="1"/>
  <c r="D6383" i="1"/>
  <c r="C6383" i="1"/>
  <c r="D6382" i="1"/>
  <c r="C6382" i="1"/>
  <c r="D6381" i="1"/>
  <c r="C6381" i="1"/>
  <c r="D6380" i="1"/>
  <c r="C6380" i="1"/>
  <c r="D6379" i="1"/>
  <c r="C6379" i="1"/>
  <c r="D6378" i="1"/>
  <c r="C6378" i="1"/>
  <c r="D6377" i="1"/>
  <c r="C6377" i="1"/>
  <c r="D6376" i="1"/>
  <c r="C6376" i="1"/>
  <c r="D6375" i="1"/>
  <c r="C6375" i="1"/>
  <c r="D6374" i="1"/>
  <c r="C6374" i="1"/>
  <c r="D6373" i="1"/>
  <c r="C6373" i="1"/>
  <c r="D6372" i="1"/>
  <c r="C6372" i="1"/>
  <c r="D6371" i="1"/>
  <c r="C6371" i="1"/>
  <c r="D6370" i="1"/>
  <c r="C6370" i="1"/>
  <c r="D6369" i="1"/>
  <c r="C6369" i="1"/>
  <c r="D6368" i="1"/>
  <c r="C6368" i="1"/>
  <c r="D6367" i="1"/>
  <c r="C6367" i="1"/>
  <c r="D6366" i="1"/>
  <c r="C6366" i="1"/>
  <c r="D6365" i="1"/>
  <c r="C6365" i="1"/>
  <c r="D6364" i="1"/>
  <c r="C6364" i="1"/>
  <c r="D6363" i="1"/>
  <c r="C6363" i="1"/>
  <c r="D6362" i="1"/>
  <c r="C6362" i="1"/>
  <c r="D6361" i="1"/>
  <c r="C6361" i="1"/>
  <c r="D6360" i="1"/>
  <c r="C6360" i="1"/>
  <c r="D6359" i="1"/>
  <c r="C6359" i="1"/>
  <c r="D6358" i="1"/>
  <c r="C6358" i="1"/>
  <c r="D6357" i="1"/>
  <c r="C6357" i="1"/>
  <c r="D6356" i="1"/>
  <c r="C6356" i="1"/>
  <c r="D6355" i="1"/>
  <c r="C6355" i="1"/>
  <c r="D6354" i="1"/>
  <c r="C6354" i="1"/>
  <c r="D6353" i="1"/>
  <c r="C6353" i="1"/>
  <c r="D6352" i="1"/>
  <c r="C6352" i="1"/>
  <c r="D6351" i="1"/>
  <c r="C6351" i="1"/>
  <c r="D6350" i="1"/>
  <c r="C6350" i="1"/>
  <c r="D6349" i="1"/>
  <c r="C6349" i="1"/>
  <c r="D6348" i="1"/>
  <c r="C6348" i="1"/>
  <c r="D6347" i="1"/>
  <c r="C6347" i="1"/>
  <c r="D6346" i="1"/>
  <c r="C6346" i="1"/>
  <c r="D6345" i="1"/>
  <c r="C6345" i="1"/>
  <c r="D6344" i="1"/>
  <c r="C6344" i="1"/>
  <c r="D6343" i="1"/>
  <c r="C6343" i="1"/>
  <c r="D6342" i="1"/>
  <c r="C6342" i="1"/>
  <c r="D6341" i="1"/>
  <c r="C6341" i="1"/>
  <c r="D6340" i="1"/>
  <c r="C6340" i="1"/>
  <c r="D6339" i="1"/>
  <c r="C6339" i="1"/>
  <c r="D6338" i="1"/>
  <c r="C6338" i="1"/>
  <c r="D6337" i="1"/>
  <c r="C6337" i="1"/>
  <c r="D6336" i="1"/>
  <c r="C6336" i="1"/>
  <c r="D6335" i="1"/>
  <c r="C6335" i="1"/>
  <c r="D6334" i="1"/>
  <c r="C6334" i="1"/>
  <c r="D6333" i="1"/>
  <c r="C6333" i="1"/>
  <c r="D6332" i="1"/>
  <c r="C6332" i="1"/>
  <c r="D6331" i="1"/>
  <c r="C6331" i="1"/>
  <c r="D6330" i="1"/>
  <c r="C6330" i="1"/>
  <c r="D6329" i="1"/>
  <c r="C6329" i="1"/>
  <c r="D6328" i="1"/>
  <c r="C6328" i="1"/>
  <c r="D6327" i="1"/>
  <c r="C6327" i="1"/>
  <c r="D6326" i="1"/>
  <c r="C6326" i="1"/>
  <c r="D6325" i="1"/>
  <c r="C6325" i="1"/>
  <c r="D6324" i="1"/>
  <c r="C6324" i="1"/>
  <c r="D6323" i="1"/>
  <c r="C6323" i="1"/>
  <c r="D6322" i="1"/>
  <c r="C6322" i="1"/>
  <c r="D6321" i="1"/>
  <c r="C6321" i="1"/>
  <c r="D6320" i="1"/>
  <c r="C6320" i="1"/>
  <c r="D6319" i="1"/>
  <c r="C6319" i="1"/>
  <c r="D6318" i="1"/>
  <c r="C6318" i="1"/>
  <c r="D6317" i="1"/>
  <c r="C6317" i="1"/>
  <c r="D6316" i="1"/>
  <c r="C6316" i="1"/>
  <c r="D6315" i="1"/>
  <c r="C6315" i="1"/>
  <c r="D6314" i="1"/>
  <c r="C6314" i="1"/>
  <c r="D6313" i="1"/>
  <c r="C6313" i="1"/>
  <c r="D6312" i="1"/>
  <c r="C6312" i="1"/>
  <c r="D6311" i="1"/>
  <c r="C6311" i="1"/>
  <c r="D6310" i="1"/>
  <c r="C6310" i="1"/>
  <c r="D6309" i="1"/>
  <c r="C6309" i="1"/>
  <c r="D6308" i="1"/>
  <c r="C6308" i="1"/>
  <c r="D6307" i="1"/>
  <c r="C6307" i="1"/>
  <c r="D6306" i="1"/>
  <c r="C6306" i="1"/>
  <c r="D6305" i="1"/>
  <c r="C6305" i="1"/>
  <c r="D6304" i="1"/>
  <c r="C6304" i="1"/>
  <c r="D6303" i="1"/>
  <c r="C6303" i="1"/>
  <c r="D6302" i="1"/>
  <c r="C6302" i="1"/>
  <c r="D6301" i="1"/>
  <c r="C6301" i="1"/>
  <c r="D6300" i="1"/>
  <c r="C6300" i="1"/>
  <c r="D6299" i="1"/>
  <c r="C6299" i="1"/>
  <c r="D6298" i="1"/>
  <c r="C6298" i="1"/>
  <c r="D6297" i="1"/>
  <c r="C6297" i="1"/>
  <c r="D6296" i="1"/>
  <c r="C6296" i="1"/>
  <c r="D6295" i="1"/>
  <c r="C6295" i="1"/>
  <c r="D6294" i="1"/>
  <c r="C6294" i="1"/>
  <c r="D6293" i="1"/>
  <c r="C6293" i="1"/>
  <c r="D6292" i="1"/>
  <c r="C6292" i="1"/>
  <c r="D6291" i="1"/>
  <c r="C6291" i="1"/>
  <c r="D6290" i="1"/>
  <c r="C6290" i="1"/>
  <c r="D6289" i="1"/>
  <c r="C6289" i="1"/>
  <c r="D6288" i="1"/>
  <c r="C6288" i="1"/>
  <c r="D6287" i="1"/>
  <c r="C6287" i="1"/>
  <c r="D6286" i="1"/>
  <c r="C6286" i="1"/>
  <c r="D6285" i="1"/>
  <c r="C6285" i="1"/>
  <c r="D6284" i="1"/>
  <c r="C6284" i="1"/>
  <c r="D6283" i="1"/>
  <c r="C6283" i="1"/>
  <c r="D6282" i="1"/>
  <c r="C6282" i="1"/>
  <c r="D6281" i="1"/>
  <c r="C6281" i="1"/>
  <c r="D6280" i="1"/>
  <c r="C6280" i="1"/>
  <c r="D6279" i="1"/>
  <c r="C6279" i="1"/>
  <c r="D6278" i="1"/>
  <c r="C6278" i="1"/>
  <c r="D6277" i="1"/>
  <c r="C6277" i="1"/>
  <c r="D6276" i="1"/>
  <c r="C6276" i="1"/>
  <c r="D6275" i="1"/>
  <c r="C6275" i="1"/>
  <c r="D6274" i="1"/>
  <c r="C6274" i="1"/>
  <c r="D6273" i="1"/>
  <c r="C6273" i="1"/>
  <c r="D6272" i="1"/>
  <c r="C6272" i="1"/>
  <c r="D6271" i="1"/>
  <c r="C6271" i="1"/>
  <c r="D6270" i="1"/>
  <c r="C6270" i="1"/>
  <c r="D6269" i="1"/>
  <c r="C6269" i="1"/>
  <c r="D6268" i="1"/>
  <c r="C6268" i="1"/>
  <c r="D6267" i="1"/>
  <c r="C6267" i="1"/>
  <c r="D6266" i="1"/>
  <c r="C6266" i="1"/>
  <c r="D6265" i="1"/>
  <c r="C6265" i="1"/>
  <c r="D6264" i="1"/>
  <c r="C6264" i="1"/>
  <c r="D6263" i="1"/>
  <c r="C6263" i="1"/>
  <c r="D6262" i="1"/>
  <c r="C6262" i="1"/>
  <c r="D6261" i="1"/>
  <c r="C6261" i="1"/>
  <c r="D6260" i="1"/>
  <c r="C6260" i="1"/>
  <c r="D6259" i="1"/>
  <c r="C6259" i="1"/>
  <c r="D6258" i="1"/>
  <c r="C6258" i="1"/>
  <c r="D6257" i="1"/>
  <c r="C6257" i="1"/>
  <c r="D6256" i="1"/>
  <c r="C6256" i="1"/>
  <c r="D6255" i="1"/>
  <c r="C6255" i="1"/>
  <c r="D6254" i="1"/>
  <c r="C6254" i="1"/>
  <c r="D6253" i="1"/>
  <c r="C6253" i="1"/>
  <c r="D6252" i="1"/>
  <c r="C6252" i="1"/>
  <c r="D6251" i="1"/>
  <c r="C6251" i="1"/>
  <c r="D6250" i="1"/>
  <c r="C6250" i="1"/>
  <c r="D6249" i="1"/>
  <c r="C6249" i="1"/>
  <c r="D6248" i="1"/>
  <c r="C6248" i="1"/>
  <c r="D6247" i="1"/>
  <c r="C6247" i="1"/>
  <c r="D6246" i="1"/>
  <c r="C6246" i="1"/>
  <c r="D6245" i="1"/>
  <c r="C6245" i="1"/>
  <c r="D6244" i="1"/>
  <c r="C6244" i="1"/>
  <c r="D6243" i="1"/>
  <c r="C6243" i="1"/>
  <c r="D6242" i="1"/>
  <c r="C6242" i="1"/>
  <c r="D6241" i="1"/>
  <c r="C6241" i="1"/>
  <c r="D6240" i="1"/>
  <c r="C6240" i="1"/>
  <c r="D6239" i="1"/>
  <c r="C6239" i="1"/>
  <c r="D6238" i="1"/>
  <c r="C6238" i="1"/>
  <c r="D6237" i="1"/>
  <c r="C6237" i="1"/>
  <c r="D6236" i="1"/>
  <c r="C6236" i="1"/>
  <c r="D6235" i="1"/>
  <c r="C6235" i="1"/>
  <c r="D6234" i="1"/>
  <c r="C6234" i="1"/>
  <c r="D6233" i="1"/>
  <c r="C6233" i="1"/>
  <c r="D6232" i="1"/>
  <c r="C6232" i="1"/>
  <c r="D6231" i="1"/>
  <c r="C6231" i="1"/>
  <c r="D6230" i="1"/>
  <c r="C6230" i="1"/>
  <c r="D6229" i="1"/>
  <c r="C6229" i="1"/>
  <c r="D6228" i="1"/>
  <c r="C6228" i="1"/>
  <c r="D6227" i="1"/>
  <c r="C6227" i="1"/>
  <c r="D6226" i="1"/>
  <c r="C6226" i="1"/>
  <c r="D6225" i="1"/>
  <c r="C6225" i="1"/>
  <c r="D6224" i="1"/>
  <c r="C6224" i="1"/>
  <c r="D6223" i="1"/>
  <c r="C6223" i="1"/>
  <c r="D6222" i="1"/>
  <c r="C6222" i="1"/>
  <c r="D6221" i="1"/>
  <c r="C6221" i="1"/>
  <c r="D6220" i="1"/>
  <c r="C6220" i="1"/>
  <c r="D6219" i="1"/>
  <c r="C6219" i="1"/>
  <c r="D6218" i="1"/>
  <c r="C6218" i="1"/>
  <c r="D6217" i="1"/>
  <c r="C6217" i="1"/>
  <c r="D6216" i="1"/>
  <c r="C6216" i="1"/>
  <c r="D6215" i="1"/>
  <c r="C6215" i="1"/>
  <c r="D6214" i="1"/>
  <c r="C6214" i="1"/>
  <c r="D6213" i="1"/>
  <c r="C6213" i="1"/>
  <c r="D6212" i="1"/>
  <c r="C6212" i="1"/>
  <c r="D6211" i="1"/>
  <c r="C6211" i="1"/>
  <c r="D6210" i="1"/>
  <c r="C6210" i="1"/>
  <c r="D6209" i="1"/>
  <c r="C6209" i="1"/>
  <c r="D6208" i="1"/>
  <c r="C6208" i="1"/>
  <c r="D6207" i="1"/>
  <c r="C6207" i="1"/>
  <c r="D6206" i="1"/>
  <c r="C6206" i="1"/>
  <c r="D6205" i="1"/>
  <c r="C6205" i="1"/>
  <c r="D6204" i="1"/>
  <c r="C6204" i="1"/>
  <c r="D6203" i="1"/>
  <c r="C6203" i="1"/>
  <c r="D6202" i="1"/>
  <c r="C6202" i="1"/>
  <c r="D6201" i="1"/>
  <c r="C6201" i="1"/>
  <c r="D6200" i="1"/>
  <c r="C6200" i="1"/>
  <c r="D6199" i="1"/>
  <c r="C6199" i="1"/>
  <c r="D6198" i="1"/>
  <c r="C6198" i="1"/>
  <c r="D6197" i="1"/>
  <c r="C6197" i="1"/>
  <c r="D6196" i="1"/>
  <c r="C6196" i="1"/>
  <c r="D6195" i="1"/>
  <c r="C6195" i="1"/>
  <c r="D6194" i="1"/>
  <c r="C6194" i="1"/>
  <c r="D6193" i="1"/>
  <c r="C6193" i="1"/>
  <c r="D6192" i="1"/>
  <c r="C6192" i="1"/>
  <c r="D6191" i="1"/>
  <c r="C6191" i="1"/>
  <c r="D6190" i="1"/>
  <c r="C6190" i="1"/>
  <c r="D6189" i="1"/>
  <c r="C6189" i="1"/>
  <c r="D6188" i="1"/>
  <c r="C6188" i="1"/>
  <c r="D6187" i="1"/>
  <c r="C6187" i="1"/>
  <c r="D6186" i="1"/>
  <c r="C6186" i="1"/>
  <c r="D6185" i="1"/>
  <c r="C6185" i="1"/>
  <c r="D6184" i="1"/>
  <c r="C6184" i="1"/>
  <c r="D6183" i="1"/>
  <c r="C6183" i="1"/>
  <c r="D6182" i="1"/>
  <c r="C6182" i="1"/>
  <c r="D6181" i="1"/>
  <c r="C6181" i="1"/>
  <c r="D6180" i="1"/>
  <c r="C6180" i="1"/>
  <c r="D6179" i="1"/>
  <c r="C6179" i="1"/>
  <c r="D6178" i="1"/>
  <c r="C6178" i="1"/>
  <c r="D6177" i="1"/>
  <c r="C6177" i="1"/>
  <c r="D6176" i="1"/>
  <c r="C6176" i="1"/>
  <c r="D6175" i="1"/>
  <c r="C6175" i="1"/>
  <c r="D6174" i="1"/>
  <c r="C6174" i="1"/>
  <c r="D6173" i="1"/>
  <c r="C6173" i="1"/>
  <c r="D6172" i="1"/>
  <c r="C6172" i="1"/>
  <c r="D6171" i="1"/>
  <c r="C6171" i="1"/>
  <c r="D6170" i="1"/>
  <c r="C6170" i="1"/>
  <c r="D6169" i="1"/>
  <c r="C6169" i="1"/>
  <c r="D6168" i="1"/>
  <c r="C6168" i="1"/>
  <c r="D6167" i="1"/>
  <c r="C6167" i="1"/>
  <c r="D6166" i="1"/>
  <c r="C6166" i="1"/>
  <c r="D6165" i="1"/>
  <c r="C6165" i="1"/>
  <c r="D6164" i="1"/>
  <c r="C6164" i="1"/>
  <c r="D6163" i="1"/>
  <c r="C6163" i="1"/>
  <c r="D6162" i="1"/>
  <c r="C6162" i="1"/>
  <c r="D6161" i="1"/>
  <c r="C6161" i="1"/>
  <c r="D6160" i="1"/>
  <c r="C6160" i="1"/>
  <c r="D6159" i="1"/>
  <c r="C6159" i="1"/>
  <c r="D6158" i="1"/>
  <c r="C6158" i="1"/>
  <c r="D6157" i="1"/>
  <c r="C6157" i="1"/>
  <c r="D6156" i="1"/>
  <c r="C6156" i="1"/>
  <c r="D6155" i="1"/>
  <c r="C6155" i="1"/>
  <c r="D6154" i="1"/>
  <c r="C6154" i="1"/>
  <c r="D6153" i="1"/>
  <c r="C6153" i="1"/>
  <c r="D6152" i="1"/>
  <c r="C6152" i="1"/>
  <c r="D6151" i="1"/>
  <c r="C6151" i="1"/>
  <c r="D6150" i="1"/>
  <c r="C6150" i="1"/>
  <c r="D6149" i="1"/>
  <c r="C6149" i="1"/>
  <c r="D6148" i="1"/>
  <c r="C6148" i="1"/>
  <c r="D6147" i="1"/>
  <c r="C6147" i="1"/>
  <c r="D6146" i="1"/>
  <c r="C6146" i="1"/>
  <c r="D6145" i="1"/>
  <c r="C6145" i="1"/>
  <c r="D6144" i="1"/>
  <c r="C6144" i="1"/>
  <c r="D6143" i="1"/>
  <c r="C6143" i="1"/>
  <c r="D6142" i="1"/>
  <c r="C6142" i="1"/>
  <c r="D6141" i="1"/>
  <c r="C6141" i="1"/>
  <c r="D6140" i="1"/>
  <c r="C6140" i="1"/>
  <c r="D6139" i="1"/>
  <c r="C6139" i="1"/>
  <c r="D6138" i="1"/>
  <c r="C6138" i="1"/>
  <c r="D6137" i="1"/>
  <c r="C6137" i="1"/>
  <c r="D6136" i="1"/>
  <c r="C6136" i="1"/>
  <c r="D6135" i="1"/>
  <c r="C6135" i="1"/>
  <c r="D6134" i="1"/>
  <c r="C6134" i="1"/>
  <c r="D6133" i="1"/>
  <c r="C6133" i="1"/>
  <c r="D6132" i="1"/>
  <c r="C6132" i="1"/>
  <c r="D6131" i="1"/>
  <c r="C6131" i="1"/>
  <c r="D6130" i="1"/>
  <c r="C6130" i="1"/>
  <c r="D6129" i="1"/>
  <c r="C6129" i="1"/>
  <c r="D6128" i="1"/>
  <c r="C6128" i="1"/>
  <c r="D6127" i="1"/>
  <c r="C6127" i="1"/>
  <c r="D6126" i="1"/>
  <c r="C6126" i="1"/>
  <c r="D6125" i="1"/>
  <c r="C6125" i="1"/>
  <c r="D6124" i="1"/>
  <c r="C6124" i="1"/>
  <c r="D6123" i="1"/>
  <c r="C6123" i="1"/>
  <c r="D6122" i="1"/>
  <c r="C6122" i="1"/>
  <c r="D6121" i="1"/>
  <c r="C6121" i="1"/>
  <c r="D6120" i="1"/>
  <c r="C6120" i="1"/>
  <c r="D6119" i="1"/>
  <c r="C6119" i="1"/>
  <c r="D6118" i="1"/>
  <c r="C6118" i="1"/>
  <c r="D6117" i="1"/>
  <c r="C6117" i="1"/>
  <c r="D6116" i="1"/>
  <c r="C6116" i="1"/>
  <c r="D6115" i="1"/>
  <c r="C6115" i="1"/>
  <c r="D6114" i="1"/>
  <c r="C6114" i="1"/>
  <c r="D6113" i="1"/>
  <c r="C6113" i="1"/>
  <c r="D6112" i="1"/>
  <c r="C6112" i="1"/>
  <c r="D6111" i="1"/>
  <c r="C6111" i="1"/>
  <c r="D6110" i="1"/>
  <c r="C6110" i="1"/>
  <c r="D6109" i="1"/>
  <c r="C6109" i="1"/>
  <c r="D6108" i="1"/>
  <c r="C6108" i="1"/>
  <c r="D6107" i="1"/>
  <c r="C6107" i="1"/>
  <c r="D6106" i="1"/>
  <c r="C6106" i="1"/>
  <c r="D6105" i="1"/>
  <c r="C6105" i="1"/>
  <c r="D6104" i="1"/>
  <c r="C6104" i="1"/>
  <c r="D6103" i="1"/>
  <c r="C6103" i="1"/>
  <c r="D6102" i="1"/>
  <c r="C6102" i="1"/>
  <c r="D6101" i="1"/>
  <c r="C6101" i="1"/>
  <c r="D6100" i="1"/>
  <c r="C6100" i="1"/>
  <c r="D6099" i="1"/>
  <c r="C6099" i="1"/>
  <c r="D6098" i="1"/>
  <c r="C6098" i="1"/>
  <c r="D6097" i="1"/>
  <c r="C6097" i="1"/>
  <c r="D6096" i="1"/>
  <c r="C6096" i="1"/>
  <c r="D6095" i="1"/>
  <c r="C6095" i="1"/>
  <c r="D6094" i="1"/>
  <c r="C6094" i="1"/>
  <c r="D6093" i="1"/>
  <c r="C6093" i="1"/>
  <c r="D6092" i="1"/>
  <c r="C6092" i="1"/>
  <c r="D6091" i="1"/>
  <c r="C6091" i="1"/>
  <c r="D6090" i="1"/>
  <c r="C6090" i="1"/>
  <c r="D6089" i="1"/>
  <c r="C6089" i="1"/>
  <c r="D6088" i="1"/>
  <c r="C6088" i="1"/>
  <c r="D6087" i="1"/>
  <c r="C6087" i="1"/>
  <c r="D6086" i="1"/>
  <c r="C6086" i="1"/>
  <c r="D6085" i="1"/>
  <c r="C6085" i="1"/>
  <c r="D6084" i="1"/>
  <c r="C6084" i="1"/>
  <c r="D6083" i="1"/>
  <c r="C6083" i="1"/>
  <c r="D6082" i="1"/>
  <c r="C6082" i="1"/>
  <c r="D6081" i="1"/>
  <c r="C6081" i="1"/>
  <c r="D6080" i="1"/>
  <c r="C6080" i="1"/>
  <c r="D6079" i="1"/>
  <c r="C6079" i="1"/>
  <c r="D6078" i="1"/>
  <c r="C6078" i="1"/>
  <c r="D6077" i="1"/>
  <c r="C6077" i="1"/>
  <c r="D6076" i="1"/>
  <c r="C6076" i="1"/>
  <c r="D6075" i="1"/>
  <c r="C6075" i="1"/>
  <c r="D6074" i="1"/>
  <c r="C6074" i="1"/>
  <c r="D6073" i="1"/>
  <c r="C6073" i="1"/>
  <c r="D6072" i="1"/>
  <c r="C6072" i="1"/>
  <c r="D6071" i="1"/>
  <c r="C6071" i="1"/>
  <c r="D6070" i="1"/>
  <c r="C6070" i="1"/>
  <c r="D6069" i="1"/>
  <c r="C6069" i="1"/>
  <c r="D6068" i="1"/>
  <c r="C6068" i="1"/>
  <c r="D6067" i="1"/>
  <c r="C6067" i="1"/>
  <c r="D6066" i="1"/>
  <c r="C6066" i="1"/>
  <c r="D6065" i="1"/>
  <c r="C6065" i="1"/>
  <c r="D6064" i="1"/>
  <c r="C6064" i="1"/>
  <c r="D6063" i="1"/>
  <c r="C6063" i="1"/>
  <c r="D6062" i="1"/>
  <c r="C6062" i="1"/>
  <c r="D6061" i="1"/>
  <c r="C6061" i="1"/>
  <c r="D6060" i="1"/>
  <c r="C6060" i="1"/>
  <c r="D6059" i="1"/>
  <c r="C6059" i="1"/>
  <c r="D6058" i="1"/>
  <c r="C6058" i="1"/>
  <c r="D6057" i="1"/>
  <c r="C6057" i="1"/>
  <c r="D6056" i="1"/>
  <c r="C6056" i="1"/>
  <c r="D6055" i="1"/>
  <c r="C6055" i="1"/>
  <c r="D6054" i="1"/>
  <c r="C6054" i="1"/>
  <c r="D6053" i="1"/>
  <c r="C6053" i="1"/>
  <c r="D6052" i="1"/>
  <c r="C6052" i="1"/>
  <c r="D6051" i="1"/>
  <c r="C6051" i="1"/>
  <c r="D6050" i="1"/>
  <c r="C6050" i="1"/>
  <c r="D6049" i="1"/>
  <c r="C6049" i="1"/>
  <c r="D6048" i="1"/>
  <c r="C6048" i="1"/>
  <c r="D6047" i="1"/>
  <c r="C6047" i="1"/>
  <c r="D6046" i="1"/>
  <c r="C6046" i="1"/>
  <c r="D6045" i="1"/>
  <c r="C6045" i="1"/>
  <c r="D6044" i="1"/>
  <c r="C6044" i="1"/>
  <c r="D6043" i="1"/>
  <c r="C6043" i="1"/>
  <c r="D6042" i="1"/>
  <c r="C6042" i="1"/>
  <c r="D6041" i="1"/>
  <c r="C6041" i="1"/>
  <c r="D6040" i="1"/>
  <c r="C6040" i="1"/>
  <c r="D6039" i="1"/>
  <c r="C6039" i="1"/>
  <c r="D6038" i="1"/>
  <c r="C6038" i="1"/>
  <c r="D6037" i="1"/>
  <c r="C6037" i="1"/>
  <c r="D6036" i="1"/>
  <c r="C6036" i="1"/>
  <c r="D6035" i="1"/>
  <c r="C6035" i="1"/>
  <c r="D6034" i="1"/>
  <c r="C6034" i="1"/>
  <c r="D6033" i="1"/>
  <c r="C6033" i="1"/>
  <c r="D6032" i="1"/>
  <c r="C6032" i="1"/>
  <c r="D6031" i="1"/>
  <c r="C6031" i="1"/>
  <c r="D6030" i="1"/>
  <c r="C6030" i="1"/>
  <c r="D6029" i="1"/>
  <c r="C6029" i="1"/>
  <c r="D6028" i="1"/>
  <c r="C6028" i="1"/>
  <c r="D6027" i="1"/>
  <c r="C6027" i="1"/>
  <c r="D6026" i="1"/>
  <c r="C6026" i="1"/>
  <c r="D6025" i="1"/>
  <c r="C6025" i="1"/>
  <c r="D6024" i="1"/>
  <c r="C6024" i="1"/>
  <c r="D6023" i="1"/>
  <c r="C6023" i="1"/>
  <c r="D6022" i="1"/>
  <c r="C6022" i="1"/>
  <c r="D6021" i="1"/>
  <c r="C6021" i="1"/>
  <c r="D6020" i="1"/>
  <c r="C6020" i="1"/>
  <c r="D6019" i="1"/>
  <c r="C6019" i="1"/>
  <c r="D6018" i="1"/>
  <c r="C6018" i="1"/>
  <c r="D6017" i="1"/>
  <c r="C6017" i="1"/>
  <c r="D6016" i="1"/>
  <c r="C6016" i="1"/>
  <c r="D6015" i="1"/>
  <c r="C6015" i="1"/>
  <c r="D6014" i="1"/>
  <c r="C6014" i="1"/>
  <c r="D6013" i="1"/>
  <c r="C6013" i="1"/>
  <c r="D6012" i="1"/>
  <c r="C6012" i="1"/>
  <c r="D6011" i="1"/>
  <c r="C6011" i="1"/>
  <c r="D6010" i="1"/>
  <c r="C6010" i="1"/>
  <c r="D6009" i="1"/>
  <c r="C6009" i="1"/>
  <c r="D6008" i="1"/>
  <c r="C6008" i="1"/>
  <c r="D6007" i="1"/>
  <c r="C6007" i="1"/>
  <c r="D6006" i="1"/>
  <c r="C6006" i="1"/>
  <c r="D6005" i="1"/>
  <c r="C6005" i="1"/>
  <c r="D6004" i="1"/>
  <c r="C6004" i="1"/>
  <c r="D6003" i="1"/>
  <c r="C6003" i="1"/>
  <c r="D6002" i="1"/>
  <c r="C6002" i="1"/>
  <c r="D6001" i="1"/>
  <c r="C6001" i="1"/>
  <c r="D6000" i="1"/>
  <c r="C6000" i="1"/>
  <c r="D5999" i="1"/>
  <c r="C5999" i="1"/>
  <c r="D5998" i="1"/>
  <c r="C5998" i="1"/>
  <c r="D5997" i="1"/>
  <c r="C5997" i="1"/>
  <c r="D5996" i="1"/>
  <c r="C5996" i="1"/>
  <c r="D5995" i="1"/>
  <c r="C5995" i="1"/>
  <c r="D5994" i="1"/>
  <c r="C5994" i="1"/>
  <c r="D5993" i="1"/>
  <c r="C5993" i="1"/>
  <c r="D5992" i="1"/>
  <c r="C5992" i="1"/>
  <c r="D5991" i="1"/>
  <c r="C5991" i="1"/>
  <c r="D5990" i="1"/>
  <c r="C5990" i="1"/>
  <c r="D5989" i="1"/>
  <c r="C5989" i="1"/>
  <c r="D5988" i="1"/>
  <c r="C5988" i="1"/>
  <c r="D5987" i="1"/>
  <c r="C5987" i="1"/>
  <c r="D5986" i="1"/>
  <c r="C5986" i="1"/>
  <c r="D5985" i="1"/>
  <c r="C5985" i="1"/>
  <c r="D5984" i="1"/>
  <c r="C5984" i="1"/>
  <c r="D5983" i="1"/>
  <c r="C5983" i="1"/>
  <c r="D5982" i="1"/>
  <c r="C5982" i="1"/>
  <c r="D5981" i="1"/>
  <c r="C5981" i="1"/>
  <c r="D5980" i="1"/>
  <c r="C5980" i="1"/>
  <c r="D5979" i="1"/>
  <c r="C5979" i="1"/>
  <c r="D5978" i="1"/>
  <c r="C5978" i="1"/>
  <c r="D5977" i="1"/>
  <c r="C5977" i="1"/>
  <c r="D5976" i="1"/>
  <c r="C5976" i="1"/>
  <c r="D5975" i="1"/>
  <c r="C5975" i="1"/>
  <c r="D5974" i="1"/>
  <c r="C5974" i="1"/>
  <c r="D5973" i="1"/>
  <c r="C5973" i="1"/>
  <c r="D5972" i="1"/>
  <c r="C5972" i="1"/>
  <c r="D5971" i="1"/>
  <c r="C5971" i="1"/>
  <c r="D5970" i="1"/>
  <c r="C5970" i="1"/>
  <c r="D5969" i="1"/>
  <c r="C5969" i="1"/>
  <c r="D5968" i="1"/>
  <c r="C5968" i="1"/>
  <c r="D5967" i="1"/>
  <c r="C5967" i="1"/>
  <c r="D5966" i="1"/>
  <c r="C5966" i="1"/>
  <c r="D5965" i="1"/>
  <c r="C5965" i="1"/>
  <c r="D5964" i="1"/>
  <c r="C5964" i="1"/>
  <c r="D5963" i="1"/>
  <c r="C5963" i="1"/>
  <c r="D5962" i="1"/>
  <c r="C5962" i="1"/>
  <c r="D5961" i="1"/>
  <c r="C5961" i="1"/>
  <c r="D5960" i="1"/>
  <c r="C5960" i="1"/>
  <c r="D5959" i="1"/>
  <c r="C5959" i="1"/>
  <c r="D5958" i="1"/>
  <c r="C5958" i="1"/>
  <c r="D5957" i="1"/>
  <c r="C5957" i="1"/>
  <c r="D5956" i="1"/>
  <c r="C5956" i="1"/>
  <c r="D5955" i="1"/>
  <c r="C5955" i="1"/>
  <c r="D5954" i="1"/>
  <c r="C5954" i="1"/>
  <c r="D5953" i="1"/>
  <c r="C5953" i="1"/>
  <c r="D5952" i="1"/>
  <c r="C5952" i="1"/>
  <c r="D5951" i="1"/>
  <c r="C5951" i="1"/>
  <c r="D5950" i="1"/>
  <c r="C5950" i="1"/>
  <c r="D5949" i="1"/>
  <c r="C5949" i="1"/>
  <c r="D5948" i="1"/>
  <c r="C5948" i="1"/>
  <c r="D5947" i="1"/>
  <c r="C5947" i="1"/>
  <c r="D5946" i="1"/>
  <c r="C5946" i="1"/>
  <c r="D5945" i="1"/>
  <c r="C5945" i="1"/>
  <c r="D5944" i="1"/>
  <c r="C5944" i="1"/>
  <c r="D5943" i="1"/>
  <c r="C5943" i="1"/>
  <c r="D5942" i="1"/>
  <c r="C5942" i="1"/>
  <c r="D5941" i="1"/>
  <c r="C5941" i="1"/>
  <c r="D5940" i="1"/>
  <c r="C5940" i="1"/>
  <c r="D5939" i="1"/>
  <c r="C5939" i="1"/>
  <c r="D5938" i="1"/>
  <c r="C5938" i="1"/>
  <c r="D5937" i="1"/>
  <c r="C5937" i="1"/>
  <c r="D5936" i="1"/>
  <c r="C5936" i="1"/>
  <c r="D5935" i="1"/>
  <c r="C5935" i="1"/>
  <c r="D5934" i="1"/>
  <c r="C5934" i="1"/>
  <c r="D5933" i="1"/>
  <c r="C5933" i="1"/>
  <c r="D5932" i="1"/>
  <c r="C5932" i="1"/>
  <c r="D5931" i="1"/>
  <c r="C5931" i="1"/>
  <c r="D5930" i="1"/>
  <c r="C5930" i="1"/>
  <c r="D5929" i="1"/>
  <c r="C5929" i="1"/>
  <c r="D5928" i="1"/>
  <c r="C5928" i="1"/>
  <c r="D5927" i="1"/>
  <c r="C5927" i="1"/>
  <c r="D5926" i="1"/>
  <c r="C5926" i="1"/>
  <c r="D5925" i="1"/>
  <c r="C5925" i="1"/>
  <c r="D5924" i="1"/>
  <c r="C5924" i="1"/>
  <c r="D5923" i="1"/>
  <c r="C5923" i="1"/>
  <c r="D5922" i="1"/>
  <c r="C5922" i="1"/>
  <c r="D5921" i="1"/>
  <c r="C5921" i="1"/>
  <c r="D5920" i="1"/>
  <c r="C5920" i="1"/>
  <c r="D5919" i="1"/>
  <c r="C5919" i="1"/>
  <c r="D5918" i="1"/>
  <c r="C5918" i="1"/>
  <c r="D5917" i="1"/>
  <c r="C5917" i="1"/>
  <c r="D5916" i="1"/>
  <c r="C5916" i="1"/>
  <c r="D5915" i="1"/>
  <c r="C5915" i="1"/>
  <c r="D5914" i="1"/>
  <c r="C5914" i="1"/>
  <c r="D5913" i="1"/>
  <c r="C5913" i="1"/>
  <c r="D5912" i="1"/>
  <c r="C5912" i="1"/>
  <c r="D5911" i="1"/>
  <c r="C5911" i="1"/>
  <c r="D5910" i="1"/>
  <c r="C5910" i="1"/>
  <c r="D5909" i="1"/>
  <c r="C5909" i="1"/>
  <c r="D5908" i="1"/>
  <c r="C5908" i="1"/>
  <c r="D5907" i="1"/>
  <c r="C5907" i="1"/>
  <c r="D5906" i="1"/>
  <c r="C5906" i="1"/>
  <c r="D5905" i="1"/>
  <c r="C5905" i="1"/>
  <c r="D5904" i="1"/>
  <c r="C5904" i="1"/>
  <c r="D5903" i="1"/>
  <c r="C5903" i="1"/>
  <c r="D5902" i="1"/>
  <c r="C5902" i="1"/>
  <c r="D5901" i="1"/>
  <c r="C5901" i="1"/>
  <c r="D5900" i="1"/>
  <c r="C5900" i="1"/>
  <c r="D5899" i="1"/>
  <c r="C5899" i="1"/>
  <c r="D5898" i="1"/>
  <c r="C5898" i="1"/>
  <c r="D5897" i="1"/>
  <c r="C5897" i="1"/>
  <c r="D5896" i="1"/>
  <c r="C5896" i="1"/>
  <c r="D5895" i="1"/>
  <c r="C5895" i="1"/>
  <c r="D5894" i="1"/>
  <c r="C5894" i="1"/>
  <c r="D5893" i="1"/>
  <c r="C5893" i="1"/>
  <c r="D5892" i="1"/>
  <c r="C5892" i="1"/>
  <c r="D5891" i="1"/>
  <c r="C5891" i="1"/>
  <c r="D5890" i="1"/>
  <c r="C5890" i="1"/>
  <c r="D5889" i="1"/>
  <c r="C5889" i="1"/>
  <c r="D5888" i="1"/>
  <c r="C5888" i="1"/>
  <c r="D5887" i="1"/>
  <c r="C5887" i="1"/>
  <c r="D5886" i="1"/>
  <c r="C5886" i="1"/>
  <c r="D5885" i="1"/>
  <c r="C5885" i="1"/>
  <c r="D5884" i="1"/>
  <c r="C5884" i="1"/>
  <c r="D5883" i="1"/>
  <c r="C5883" i="1"/>
  <c r="D5882" i="1"/>
  <c r="C5882" i="1"/>
  <c r="D5881" i="1"/>
  <c r="C5881" i="1"/>
  <c r="D5880" i="1"/>
  <c r="C5880" i="1"/>
  <c r="D5879" i="1"/>
  <c r="C5879" i="1"/>
  <c r="D5878" i="1"/>
  <c r="C5878" i="1"/>
  <c r="D5877" i="1"/>
  <c r="C5877" i="1"/>
  <c r="D5876" i="1"/>
  <c r="C5876" i="1"/>
  <c r="D5875" i="1"/>
  <c r="C5875" i="1"/>
  <c r="D5874" i="1"/>
  <c r="C5874" i="1"/>
  <c r="D5873" i="1"/>
  <c r="C5873" i="1"/>
  <c r="D5872" i="1"/>
  <c r="C5872" i="1"/>
  <c r="D5871" i="1"/>
  <c r="C5871" i="1"/>
  <c r="D5870" i="1"/>
  <c r="C5870" i="1"/>
  <c r="D5869" i="1"/>
  <c r="C5869" i="1"/>
  <c r="D5868" i="1"/>
  <c r="C5868" i="1"/>
  <c r="D5867" i="1"/>
  <c r="C5867" i="1"/>
  <c r="D5866" i="1"/>
  <c r="C5866" i="1"/>
  <c r="D5865" i="1"/>
  <c r="C5865" i="1"/>
  <c r="D5864" i="1"/>
  <c r="C5864" i="1"/>
  <c r="D5863" i="1"/>
  <c r="C5863" i="1"/>
  <c r="D5862" i="1"/>
  <c r="C5862" i="1"/>
  <c r="D5861" i="1"/>
  <c r="C5861" i="1"/>
  <c r="D5860" i="1"/>
  <c r="C5860" i="1"/>
  <c r="D5859" i="1"/>
  <c r="C5859" i="1"/>
  <c r="D5858" i="1"/>
  <c r="C5858" i="1"/>
  <c r="D5857" i="1"/>
  <c r="C5857" i="1"/>
  <c r="D5856" i="1"/>
  <c r="C5856" i="1"/>
  <c r="D5855" i="1"/>
  <c r="C5855" i="1"/>
  <c r="D5854" i="1"/>
  <c r="C5854" i="1"/>
  <c r="D5853" i="1"/>
  <c r="C5853" i="1"/>
  <c r="D5852" i="1"/>
  <c r="C5852" i="1"/>
  <c r="D5851" i="1"/>
  <c r="C5851" i="1"/>
  <c r="D5850" i="1"/>
  <c r="C5850" i="1"/>
  <c r="D5849" i="1"/>
  <c r="C5849" i="1"/>
  <c r="D5848" i="1"/>
  <c r="C5848" i="1"/>
  <c r="D5847" i="1"/>
  <c r="C5847" i="1"/>
  <c r="D5846" i="1"/>
  <c r="C5846" i="1"/>
  <c r="D5845" i="1"/>
  <c r="C5845" i="1"/>
  <c r="D5844" i="1"/>
  <c r="C5844" i="1"/>
  <c r="D5843" i="1"/>
  <c r="C5843" i="1"/>
  <c r="D5842" i="1"/>
  <c r="C5842" i="1"/>
  <c r="D5841" i="1"/>
  <c r="C5841" i="1"/>
  <c r="D5840" i="1"/>
  <c r="C5840" i="1"/>
  <c r="D5839" i="1"/>
  <c r="C5839" i="1"/>
  <c r="D5838" i="1"/>
  <c r="C5838" i="1"/>
  <c r="D5837" i="1"/>
  <c r="C5837" i="1"/>
  <c r="D5836" i="1"/>
  <c r="C5836" i="1"/>
  <c r="D5835" i="1"/>
  <c r="C5835" i="1"/>
  <c r="D5834" i="1"/>
  <c r="C5834" i="1"/>
  <c r="D5833" i="1"/>
  <c r="C5833" i="1"/>
  <c r="D5832" i="1"/>
  <c r="C5832" i="1"/>
  <c r="D5831" i="1"/>
  <c r="C5831" i="1"/>
  <c r="D5830" i="1"/>
  <c r="C5830" i="1"/>
  <c r="D5829" i="1"/>
  <c r="C5829" i="1"/>
  <c r="D5828" i="1"/>
  <c r="C5828" i="1"/>
  <c r="D5827" i="1"/>
  <c r="C5827" i="1"/>
  <c r="D5826" i="1"/>
  <c r="C5826" i="1"/>
  <c r="D5825" i="1"/>
  <c r="C5825" i="1"/>
  <c r="D5824" i="1"/>
  <c r="C5824" i="1"/>
  <c r="D5823" i="1"/>
  <c r="C5823" i="1"/>
  <c r="D5822" i="1"/>
  <c r="C5822" i="1"/>
  <c r="D5821" i="1"/>
  <c r="C5821" i="1"/>
  <c r="D5820" i="1"/>
  <c r="C5820" i="1"/>
  <c r="D5819" i="1"/>
  <c r="C5819" i="1"/>
  <c r="D5818" i="1"/>
  <c r="C5818" i="1"/>
  <c r="D5817" i="1"/>
  <c r="C5817" i="1"/>
  <c r="D5816" i="1"/>
  <c r="C5816" i="1"/>
  <c r="D5815" i="1"/>
  <c r="C5815" i="1"/>
  <c r="D5814" i="1"/>
  <c r="C5814" i="1"/>
  <c r="D5813" i="1"/>
  <c r="C5813" i="1"/>
  <c r="D5812" i="1"/>
  <c r="C5812" i="1"/>
  <c r="D5811" i="1"/>
  <c r="C5811" i="1"/>
  <c r="D5810" i="1"/>
  <c r="C5810" i="1"/>
  <c r="D5809" i="1"/>
  <c r="C5809" i="1"/>
  <c r="D5808" i="1"/>
  <c r="C5808" i="1"/>
  <c r="D5807" i="1"/>
  <c r="C5807" i="1"/>
  <c r="D5806" i="1"/>
  <c r="C5806" i="1"/>
  <c r="D5805" i="1"/>
  <c r="C5805" i="1"/>
  <c r="D5804" i="1"/>
  <c r="C5804" i="1"/>
  <c r="D5803" i="1"/>
  <c r="C5803" i="1"/>
  <c r="D5802" i="1"/>
  <c r="C5802" i="1"/>
  <c r="D5801" i="1"/>
  <c r="C5801" i="1"/>
  <c r="D5800" i="1"/>
  <c r="C5800" i="1"/>
  <c r="D5799" i="1"/>
  <c r="C5799" i="1"/>
  <c r="D5798" i="1"/>
  <c r="C5798" i="1"/>
  <c r="D5797" i="1"/>
  <c r="C5797" i="1"/>
  <c r="D5796" i="1"/>
  <c r="C5796" i="1"/>
  <c r="D5795" i="1"/>
  <c r="C5795" i="1"/>
  <c r="D5794" i="1"/>
  <c r="C5794" i="1"/>
  <c r="D5793" i="1"/>
  <c r="C5793" i="1"/>
  <c r="D5792" i="1"/>
  <c r="C5792" i="1"/>
  <c r="D5791" i="1"/>
  <c r="C5791" i="1"/>
  <c r="D5790" i="1"/>
  <c r="C5790" i="1"/>
  <c r="D5789" i="1"/>
  <c r="C5789" i="1"/>
  <c r="D5788" i="1"/>
  <c r="C5788" i="1"/>
  <c r="D5787" i="1"/>
  <c r="C5787" i="1"/>
  <c r="D5786" i="1"/>
  <c r="C5786" i="1"/>
  <c r="D5785" i="1"/>
  <c r="C5785" i="1"/>
  <c r="D5784" i="1"/>
  <c r="C5784" i="1"/>
  <c r="D5783" i="1"/>
  <c r="C5783" i="1"/>
  <c r="D5782" i="1"/>
  <c r="C5782" i="1"/>
  <c r="D5781" i="1"/>
  <c r="C5781" i="1"/>
  <c r="D5780" i="1"/>
  <c r="C5780" i="1"/>
  <c r="D5779" i="1"/>
  <c r="C5779" i="1"/>
  <c r="D5778" i="1"/>
  <c r="C5778" i="1"/>
  <c r="D5777" i="1"/>
  <c r="C5777" i="1"/>
  <c r="D5776" i="1"/>
  <c r="C5776" i="1"/>
  <c r="D5775" i="1"/>
  <c r="C5775" i="1"/>
  <c r="D5774" i="1"/>
  <c r="C5774" i="1"/>
  <c r="D5773" i="1"/>
  <c r="C5773" i="1"/>
  <c r="D5772" i="1"/>
  <c r="C5772" i="1"/>
  <c r="D5771" i="1"/>
  <c r="C5771" i="1"/>
  <c r="D5770" i="1"/>
  <c r="C5770" i="1"/>
  <c r="D5769" i="1"/>
  <c r="C5769" i="1"/>
  <c r="D5768" i="1"/>
  <c r="C5768" i="1"/>
  <c r="D5767" i="1"/>
  <c r="C5767" i="1"/>
  <c r="D5766" i="1"/>
  <c r="C5766" i="1"/>
  <c r="D5765" i="1"/>
  <c r="C5765" i="1"/>
  <c r="D5764" i="1"/>
  <c r="C5764" i="1"/>
  <c r="D5763" i="1"/>
  <c r="C5763" i="1"/>
  <c r="D5762" i="1"/>
  <c r="C5762" i="1"/>
  <c r="D5761" i="1"/>
  <c r="C5761" i="1"/>
  <c r="D5760" i="1"/>
  <c r="C5760" i="1"/>
  <c r="D5759" i="1"/>
  <c r="C5759" i="1"/>
  <c r="D5758" i="1"/>
  <c r="C5758" i="1"/>
  <c r="D5757" i="1"/>
  <c r="C5757" i="1"/>
  <c r="D5756" i="1"/>
  <c r="C5756" i="1"/>
  <c r="D5755" i="1"/>
  <c r="C5755" i="1"/>
  <c r="D5754" i="1"/>
  <c r="C5754" i="1"/>
  <c r="D5753" i="1"/>
  <c r="C5753" i="1"/>
  <c r="D5752" i="1"/>
  <c r="C5752" i="1"/>
  <c r="D5751" i="1"/>
  <c r="C5751" i="1"/>
  <c r="D5750" i="1"/>
  <c r="C5750" i="1"/>
  <c r="D5749" i="1"/>
  <c r="C5749" i="1"/>
  <c r="D5748" i="1"/>
  <c r="C5748" i="1"/>
  <c r="D5747" i="1"/>
  <c r="C5747" i="1"/>
  <c r="D5746" i="1"/>
  <c r="C5746" i="1"/>
  <c r="D5745" i="1"/>
  <c r="C5745" i="1"/>
  <c r="D5744" i="1"/>
  <c r="C5744" i="1"/>
  <c r="D5743" i="1"/>
  <c r="C5743" i="1"/>
  <c r="D5742" i="1"/>
  <c r="C5742" i="1"/>
  <c r="D5741" i="1"/>
  <c r="C5741" i="1"/>
  <c r="D5740" i="1"/>
  <c r="C5740" i="1"/>
  <c r="D5739" i="1"/>
  <c r="C5739" i="1"/>
  <c r="D5738" i="1"/>
  <c r="C5738" i="1"/>
  <c r="D5737" i="1"/>
  <c r="C5737" i="1"/>
  <c r="D5736" i="1"/>
  <c r="C5736" i="1"/>
  <c r="D5735" i="1"/>
  <c r="C5735" i="1"/>
  <c r="D5734" i="1"/>
  <c r="C5734" i="1"/>
  <c r="D5733" i="1"/>
  <c r="C5733" i="1"/>
  <c r="D5732" i="1"/>
  <c r="C5732" i="1"/>
  <c r="D5731" i="1"/>
  <c r="C5731" i="1"/>
  <c r="D5730" i="1"/>
  <c r="C5730" i="1"/>
  <c r="D5729" i="1"/>
  <c r="C5729" i="1"/>
  <c r="D5728" i="1"/>
  <c r="C5728" i="1"/>
  <c r="D5727" i="1"/>
  <c r="C5727" i="1"/>
  <c r="D5726" i="1"/>
  <c r="C5726" i="1"/>
  <c r="D5725" i="1"/>
  <c r="C5725" i="1"/>
  <c r="D5724" i="1"/>
  <c r="C5724" i="1"/>
  <c r="D5723" i="1"/>
  <c r="C5723" i="1"/>
  <c r="D5722" i="1"/>
  <c r="C5722" i="1"/>
  <c r="D5721" i="1"/>
  <c r="C5721" i="1"/>
  <c r="D5720" i="1"/>
  <c r="C5720" i="1"/>
  <c r="D5719" i="1"/>
  <c r="C5719" i="1"/>
  <c r="D5718" i="1"/>
  <c r="C5718" i="1"/>
  <c r="D5717" i="1"/>
  <c r="C5717" i="1"/>
  <c r="D5716" i="1"/>
  <c r="C5716" i="1"/>
  <c r="D5715" i="1"/>
  <c r="C5715" i="1"/>
  <c r="D5714" i="1"/>
  <c r="C5714" i="1"/>
  <c r="D5713" i="1"/>
  <c r="C5713" i="1"/>
  <c r="D5712" i="1"/>
  <c r="C5712" i="1"/>
  <c r="D5711" i="1"/>
  <c r="C5711" i="1"/>
  <c r="D5710" i="1"/>
  <c r="C5710" i="1"/>
  <c r="D5709" i="1"/>
  <c r="C5709" i="1"/>
  <c r="D5708" i="1"/>
  <c r="C5708" i="1"/>
  <c r="D5707" i="1"/>
  <c r="C5707" i="1"/>
  <c r="D5706" i="1"/>
  <c r="C5706" i="1"/>
  <c r="D5705" i="1"/>
  <c r="C5705" i="1"/>
  <c r="D5704" i="1"/>
  <c r="C5704" i="1"/>
  <c r="D5703" i="1"/>
  <c r="C5703" i="1"/>
  <c r="D5702" i="1"/>
  <c r="C5702" i="1"/>
  <c r="D5701" i="1"/>
  <c r="C5701" i="1"/>
  <c r="D5700" i="1"/>
  <c r="C5700" i="1"/>
  <c r="D5699" i="1"/>
  <c r="C5699" i="1"/>
  <c r="D5698" i="1"/>
  <c r="C5698" i="1"/>
  <c r="D5697" i="1"/>
  <c r="C5697" i="1"/>
  <c r="D5696" i="1"/>
  <c r="C5696" i="1"/>
  <c r="D5695" i="1"/>
  <c r="C5695" i="1"/>
  <c r="D5694" i="1"/>
  <c r="C5694" i="1"/>
  <c r="D5693" i="1"/>
  <c r="C5693" i="1"/>
  <c r="D5692" i="1"/>
  <c r="C5692" i="1"/>
  <c r="D5691" i="1"/>
  <c r="C5691" i="1"/>
  <c r="D5690" i="1"/>
  <c r="C5690" i="1"/>
  <c r="D5689" i="1"/>
  <c r="C5689" i="1"/>
  <c r="D5688" i="1"/>
  <c r="C5688" i="1"/>
  <c r="D5687" i="1"/>
  <c r="C5687" i="1"/>
  <c r="D5686" i="1"/>
  <c r="C5686" i="1"/>
  <c r="D5685" i="1"/>
  <c r="C5685" i="1"/>
  <c r="D5684" i="1"/>
  <c r="C5684" i="1"/>
  <c r="D5683" i="1"/>
  <c r="C5683" i="1"/>
  <c r="D5682" i="1"/>
  <c r="C5682" i="1"/>
  <c r="D5681" i="1"/>
  <c r="C5681" i="1"/>
  <c r="D5680" i="1"/>
  <c r="C5680" i="1"/>
  <c r="D5679" i="1"/>
  <c r="C5679" i="1"/>
  <c r="D5678" i="1"/>
  <c r="C5678" i="1"/>
  <c r="D5677" i="1"/>
  <c r="C5677" i="1"/>
  <c r="D5676" i="1"/>
  <c r="C5676" i="1"/>
  <c r="D5675" i="1"/>
  <c r="C5675" i="1"/>
  <c r="D5674" i="1"/>
  <c r="C5674" i="1"/>
  <c r="D5673" i="1"/>
  <c r="C5673" i="1"/>
  <c r="D5672" i="1"/>
  <c r="C5672" i="1"/>
  <c r="D5671" i="1"/>
  <c r="C5671" i="1"/>
  <c r="D5670" i="1"/>
  <c r="C5670" i="1"/>
  <c r="D5669" i="1"/>
  <c r="C5669" i="1"/>
  <c r="D5668" i="1"/>
  <c r="C5668" i="1"/>
  <c r="D5667" i="1"/>
  <c r="C5667" i="1"/>
  <c r="D5666" i="1"/>
  <c r="C5666" i="1"/>
  <c r="D5665" i="1"/>
  <c r="C5665" i="1"/>
  <c r="D5664" i="1"/>
  <c r="C5664" i="1"/>
  <c r="D5663" i="1"/>
  <c r="C5663" i="1"/>
  <c r="D5662" i="1"/>
  <c r="C5662" i="1"/>
  <c r="D5661" i="1"/>
  <c r="C5661" i="1"/>
  <c r="D5660" i="1"/>
  <c r="C5660" i="1"/>
  <c r="D5659" i="1"/>
  <c r="C5659" i="1"/>
  <c r="D5658" i="1"/>
  <c r="C5658" i="1"/>
  <c r="D5657" i="1"/>
  <c r="C5657" i="1"/>
  <c r="D5656" i="1"/>
  <c r="C5656" i="1"/>
  <c r="D5655" i="1"/>
  <c r="C5655" i="1"/>
  <c r="D5654" i="1"/>
  <c r="C5654" i="1"/>
  <c r="D5653" i="1"/>
  <c r="C5653" i="1"/>
  <c r="D5652" i="1"/>
  <c r="C5652" i="1"/>
  <c r="D5651" i="1"/>
  <c r="C5651" i="1"/>
  <c r="D5650" i="1"/>
  <c r="C5650" i="1"/>
  <c r="D5649" i="1"/>
  <c r="C5649" i="1"/>
  <c r="D5648" i="1"/>
  <c r="C5648" i="1"/>
  <c r="D5647" i="1"/>
  <c r="C5647" i="1"/>
  <c r="D5646" i="1"/>
  <c r="C5646" i="1"/>
  <c r="D5645" i="1"/>
  <c r="C5645" i="1"/>
  <c r="D5644" i="1"/>
  <c r="C5644" i="1"/>
  <c r="D5643" i="1"/>
  <c r="C5643" i="1"/>
  <c r="D5642" i="1"/>
  <c r="C5642" i="1"/>
  <c r="D5641" i="1"/>
  <c r="C5641" i="1"/>
  <c r="D5640" i="1"/>
  <c r="C5640" i="1"/>
  <c r="D5639" i="1"/>
  <c r="C5639" i="1"/>
  <c r="D5638" i="1"/>
  <c r="C5638" i="1"/>
  <c r="D5637" i="1"/>
  <c r="C5637" i="1"/>
  <c r="D5636" i="1"/>
  <c r="C5636" i="1"/>
  <c r="D5635" i="1"/>
  <c r="C5635" i="1"/>
  <c r="D5634" i="1"/>
  <c r="C5634" i="1"/>
  <c r="D5633" i="1"/>
  <c r="C5633" i="1"/>
  <c r="D5632" i="1"/>
  <c r="C5632" i="1"/>
  <c r="D5631" i="1"/>
  <c r="C5631" i="1"/>
  <c r="D5630" i="1"/>
  <c r="C5630" i="1"/>
  <c r="D5629" i="1"/>
  <c r="C5629" i="1"/>
  <c r="D5628" i="1"/>
  <c r="C5628" i="1"/>
  <c r="D5627" i="1"/>
  <c r="C5627" i="1"/>
  <c r="D5626" i="1"/>
  <c r="C5626" i="1"/>
  <c r="D5625" i="1"/>
  <c r="C5625" i="1"/>
  <c r="D5624" i="1"/>
  <c r="C5624" i="1"/>
  <c r="D5623" i="1"/>
  <c r="C5623" i="1"/>
  <c r="D5622" i="1"/>
  <c r="C5622" i="1"/>
  <c r="D5621" i="1"/>
  <c r="C5621" i="1"/>
  <c r="D5620" i="1"/>
  <c r="C5620" i="1"/>
  <c r="D5619" i="1"/>
  <c r="C5619" i="1"/>
  <c r="D5618" i="1"/>
  <c r="C5618" i="1"/>
  <c r="D5617" i="1"/>
  <c r="C5617" i="1"/>
  <c r="D5616" i="1"/>
  <c r="C5616" i="1"/>
  <c r="D5615" i="1"/>
  <c r="C5615" i="1"/>
  <c r="D5614" i="1"/>
  <c r="C5614" i="1"/>
  <c r="D5613" i="1"/>
  <c r="C5613" i="1"/>
  <c r="D5612" i="1"/>
  <c r="C5612" i="1"/>
  <c r="D5611" i="1"/>
  <c r="C5611" i="1"/>
  <c r="D5610" i="1"/>
  <c r="C5610" i="1"/>
  <c r="D5609" i="1"/>
  <c r="C5609" i="1"/>
  <c r="D5608" i="1"/>
  <c r="C5608" i="1"/>
  <c r="D5607" i="1"/>
  <c r="C5607" i="1"/>
  <c r="D5606" i="1"/>
  <c r="C5606" i="1"/>
  <c r="D5605" i="1"/>
  <c r="C5605" i="1"/>
  <c r="D5604" i="1"/>
  <c r="C5604" i="1"/>
  <c r="D5603" i="1"/>
  <c r="C5603" i="1"/>
  <c r="D5602" i="1"/>
  <c r="C5602" i="1"/>
  <c r="D5601" i="1"/>
  <c r="C5601" i="1"/>
  <c r="D5600" i="1"/>
  <c r="C5600" i="1"/>
  <c r="D5599" i="1"/>
  <c r="C5599" i="1"/>
  <c r="D5598" i="1"/>
  <c r="C5598" i="1"/>
  <c r="D5597" i="1"/>
  <c r="C5597" i="1"/>
  <c r="D5596" i="1"/>
  <c r="C5596" i="1"/>
  <c r="D5595" i="1"/>
  <c r="C5595" i="1"/>
  <c r="D5594" i="1"/>
  <c r="C5594" i="1"/>
  <c r="D5593" i="1"/>
  <c r="C5593" i="1"/>
  <c r="D5592" i="1"/>
  <c r="C5592" i="1"/>
  <c r="D5591" i="1"/>
  <c r="C5591" i="1"/>
  <c r="D5590" i="1"/>
  <c r="C5590" i="1"/>
  <c r="D5589" i="1"/>
  <c r="C5589" i="1"/>
  <c r="D5588" i="1"/>
  <c r="C5588" i="1"/>
  <c r="D5587" i="1"/>
  <c r="C5587" i="1"/>
  <c r="D5586" i="1"/>
  <c r="C5586" i="1"/>
  <c r="D5585" i="1"/>
  <c r="C5585" i="1"/>
  <c r="D5584" i="1"/>
  <c r="C5584" i="1"/>
  <c r="D5583" i="1"/>
  <c r="C5583" i="1"/>
  <c r="D5582" i="1"/>
  <c r="C5582" i="1"/>
  <c r="D5581" i="1"/>
  <c r="C5581" i="1"/>
  <c r="D5580" i="1"/>
  <c r="C5580" i="1"/>
  <c r="D5579" i="1"/>
  <c r="C5579" i="1"/>
  <c r="D5578" i="1"/>
  <c r="C5578" i="1"/>
  <c r="D5577" i="1"/>
  <c r="C5577" i="1"/>
  <c r="D5576" i="1"/>
  <c r="C5576" i="1"/>
  <c r="D5575" i="1"/>
  <c r="C5575" i="1"/>
  <c r="D5574" i="1"/>
  <c r="C5574" i="1"/>
  <c r="D5573" i="1"/>
  <c r="C5573" i="1"/>
  <c r="D5572" i="1"/>
  <c r="C5572" i="1"/>
  <c r="D5571" i="1"/>
  <c r="C5571" i="1"/>
  <c r="D5570" i="1"/>
  <c r="C5570" i="1"/>
  <c r="D5569" i="1"/>
  <c r="C5569" i="1"/>
  <c r="D5568" i="1"/>
  <c r="C5568" i="1"/>
  <c r="D5567" i="1"/>
  <c r="C5567" i="1"/>
  <c r="D5566" i="1"/>
  <c r="C5566" i="1"/>
  <c r="D5565" i="1"/>
  <c r="C5565" i="1"/>
  <c r="D5564" i="1"/>
  <c r="C5564" i="1"/>
  <c r="D5563" i="1"/>
  <c r="C5563" i="1"/>
  <c r="D5562" i="1"/>
  <c r="C5562" i="1"/>
  <c r="D5561" i="1"/>
  <c r="C5561" i="1"/>
  <c r="D5560" i="1"/>
  <c r="C5560" i="1"/>
  <c r="D5559" i="1"/>
  <c r="C5559" i="1"/>
  <c r="D5558" i="1"/>
  <c r="C5558" i="1"/>
  <c r="D5557" i="1"/>
  <c r="C5557" i="1"/>
  <c r="D5556" i="1"/>
  <c r="C5556" i="1"/>
  <c r="D5555" i="1"/>
  <c r="C5555" i="1"/>
  <c r="D5554" i="1"/>
  <c r="C5554" i="1"/>
  <c r="D5553" i="1"/>
  <c r="C5553" i="1"/>
  <c r="D5552" i="1"/>
  <c r="C5552" i="1"/>
  <c r="D5551" i="1"/>
  <c r="C5551" i="1"/>
  <c r="D5550" i="1"/>
  <c r="C5550" i="1"/>
  <c r="D5549" i="1"/>
  <c r="C5549" i="1"/>
  <c r="D5548" i="1"/>
  <c r="C5548" i="1"/>
  <c r="D5547" i="1"/>
  <c r="C5547" i="1"/>
  <c r="D5546" i="1"/>
  <c r="C5546" i="1"/>
  <c r="D5545" i="1"/>
  <c r="C5545" i="1"/>
  <c r="D5544" i="1"/>
  <c r="C5544" i="1"/>
  <c r="D5543" i="1"/>
  <c r="C5543" i="1"/>
  <c r="D5542" i="1"/>
  <c r="C5542" i="1"/>
  <c r="D5541" i="1"/>
  <c r="C5541" i="1"/>
  <c r="D5540" i="1"/>
  <c r="C5540" i="1"/>
  <c r="D5539" i="1"/>
  <c r="C5539" i="1"/>
  <c r="D5538" i="1"/>
  <c r="C5538" i="1"/>
  <c r="D5537" i="1"/>
  <c r="C5537" i="1"/>
  <c r="D5536" i="1"/>
  <c r="C5536" i="1"/>
  <c r="D5535" i="1"/>
  <c r="C5535" i="1"/>
  <c r="D5534" i="1"/>
  <c r="C5534" i="1"/>
  <c r="D5533" i="1"/>
  <c r="C5533" i="1"/>
  <c r="D5532" i="1"/>
  <c r="C5532" i="1"/>
  <c r="D5531" i="1"/>
  <c r="C5531" i="1"/>
  <c r="D5530" i="1"/>
  <c r="C5530" i="1"/>
  <c r="D5529" i="1"/>
  <c r="C5529" i="1"/>
  <c r="D5528" i="1"/>
  <c r="C5528" i="1"/>
  <c r="D5527" i="1"/>
  <c r="C5527" i="1"/>
  <c r="D5526" i="1"/>
  <c r="C5526" i="1"/>
  <c r="D5525" i="1"/>
  <c r="C5525" i="1"/>
  <c r="D5524" i="1"/>
  <c r="C5524" i="1"/>
  <c r="D5523" i="1"/>
  <c r="C5523" i="1"/>
  <c r="D5522" i="1"/>
  <c r="C5522" i="1"/>
  <c r="D5521" i="1"/>
  <c r="C5521" i="1"/>
  <c r="D5520" i="1"/>
  <c r="C5520" i="1"/>
  <c r="D5519" i="1"/>
  <c r="C5519" i="1"/>
  <c r="D5518" i="1"/>
  <c r="C5518" i="1"/>
  <c r="D5517" i="1"/>
  <c r="C5517" i="1"/>
  <c r="D5516" i="1"/>
  <c r="C5516" i="1"/>
  <c r="D5515" i="1"/>
  <c r="C5515" i="1"/>
  <c r="D5514" i="1"/>
  <c r="C5514" i="1"/>
  <c r="D5513" i="1"/>
  <c r="C5513" i="1"/>
  <c r="D5512" i="1"/>
  <c r="C5512" i="1"/>
  <c r="D5511" i="1"/>
  <c r="C5511" i="1"/>
  <c r="D5510" i="1"/>
  <c r="C5510" i="1"/>
  <c r="D5509" i="1"/>
  <c r="C5509" i="1"/>
  <c r="D5508" i="1"/>
  <c r="C5508" i="1"/>
  <c r="D5507" i="1"/>
  <c r="C5507" i="1"/>
  <c r="D5506" i="1"/>
  <c r="C5506" i="1"/>
  <c r="D5505" i="1"/>
  <c r="C5505" i="1"/>
  <c r="D5504" i="1"/>
  <c r="C5504" i="1"/>
  <c r="D5503" i="1"/>
  <c r="C5503" i="1"/>
  <c r="D5502" i="1"/>
  <c r="C5502" i="1"/>
  <c r="D5501" i="1"/>
  <c r="C5501" i="1"/>
  <c r="D5500" i="1"/>
  <c r="C5500" i="1"/>
  <c r="D5499" i="1"/>
  <c r="C5499" i="1"/>
  <c r="D5498" i="1"/>
  <c r="C5498" i="1"/>
  <c r="D5497" i="1"/>
  <c r="C5497" i="1"/>
  <c r="D5496" i="1"/>
  <c r="C5496" i="1"/>
  <c r="D5495" i="1"/>
  <c r="C5495" i="1"/>
  <c r="D5494" i="1"/>
  <c r="C5494" i="1"/>
  <c r="D5493" i="1"/>
  <c r="C5493" i="1"/>
  <c r="D5492" i="1"/>
  <c r="C5492" i="1"/>
  <c r="D5491" i="1"/>
  <c r="C5491" i="1"/>
  <c r="D5490" i="1"/>
  <c r="C5490" i="1"/>
  <c r="D5489" i="1"/>
  <c r="C5489" i="1"/>
  <c r="D5488" i="1"/>
  <c r="C5488" i="1"/>
  <c r="D5487" i="1"/>
  <c r="C5487" i="1"/>
  <c r="D5486" i="1"/>
  <c r="C5486" i="1"/>
  <c r="D5485" i="1"/>
  <c r="C5485" i="1"/>
  <c r="D5484" i="1"/>
  <c r="C5484" i="1"/>
  <c r="D5483" i="1"/>
  <c r="C5483" i="1"/>
  <c r="D5482" i="1"/>
  <c r="C5482" i="1"/>
  <c r="D5481" i="1"/>
  <c r="C5481" i="1"/>
  <c r="D5480" i="1"/>
  <c r="C5480" i="1"/>
  <c r="D5479" i="1"/>
  <c r="C5479" i="1"/>
  <c r="D5478" i="1"/>
  <c r="C5478" i="1"/>
  <c r="D5477" i="1"/>
  <c r="C5477" i="1"/>
  <c r="D5476" i="1"/>
  <c r="C5476" i="1"/>
  <c r="D5475" i="1"/>
  <c r="C5475" i="1"/>
  <c r="D5474" i="1"/>
  <c r="C5474" i="1"/>
  <c r="D5473" i="1"/>
  <c r="C5473" i="1"/>
  <c r="D5472" i="1"/>
  <c r="C5472" i="1"/>
  <c r="D5471" i="1"/>
  <c r="C5471" i="1"/>
  <c r="D5470" i="1"/>
  <c r="C5470" i="1"/>
  <c r="D5469" i="1"/>
  <c r="C5469" i="1"/>
  <c r="D5468" i="1"/>
  <c r="C5468" i="1"/>
  <c r="D5467" i="1"/>
  <c r="C5467" i="1"/>
  <c r="D5466" i="1"/>
  <c r="C5466" i="1"/>
  <c r="D5465" i="1"/>
  <c r="C5465" i="1"/>
  <c r="D5464" i="1"/>
  <c r="C5464" i="1"/>
  <c r="D5463" i="1"/>
  <c r="C5463" i="1"/>
  <c r="D5462" i="1"/>
  <c r="C5462" i="1"/>
  <c r="D5461" i="1"/>
  <c r="C5461" i="1"/>
  <c r="D5460" i="1"/>
  <c r="C5460" i="1"/>
  <c r="D5459" i="1"/>
  <c r="C5459" i="1"/>
  <c r="D5458" i="1"/>
  <c r="C5458" i="1"/>
  <c r="D5457" i="1"/>
  <c r="C5457" i="1"/>
  <c r="D5456" i="1"/>
  <c r="C5456" i="1"/>
  <c r="D5455" i="1"/>
  <c r="C5455" i="1"/>
  <c r="D5454" i="1"/>
  <c r="C5454" i="1"/>
  <c r="D5453" i="1"/>
  <c r="C5453" i="1"/>
  <c r="D5452" i="1"/>
  <c r="C5452" i="1"/>
  <c r="D5451" i="1"/>
  <c r="C5451" i="1"/>
  <c r="D5450" i="1"/>
  <c r="C5450" i="1"/>
  <c r="D5449" i="1"/>
  <c r="C5449" i="1"/>
  <c r="D5448" i="1"/>
  <c r="C5448" i="1"/>
  <c r="D5447" i="1"/>
  <c r="C5447" i="1"/>
  <c r="D5446" i="1"/>
  <c r="C5446" i="1"/>
  <c r="D5445" i="1"/>
  <c r="C5445" i="1"/>
  <c r="D5444" i="1"/>
  <c r="C5444" i="1"/>
  <c r="D5443" i="1"/>
  <c r="C5443" i="1"/>
  <c r="D5442" i="1"/>
  <c r="C5442" i="1"/>
  <c r="D5441" i="1"/>
  <c r="C5441" i="1"/>
  <c r="D5440" i="1"/>
  <c r="C5440" i="1"/>
  <c r="D5439" i="1"/>
  <c r="C5439" i="1"/>
  <c r="D5438" i="1"/>
  <c r="C5438" i="1"/>
  <c r="D5437" i="1"/>
  <c r="C5437" i="1"/>
  <c r="D5436" i="1"/>
  <c r="C5436" i="1"/>
  <c r="D5435" i="1"/>
  <c r="C5435" i="1"/>
  <c r="D5434" i="1"/>
  <c r="C5434" i="1"/>
  <c r="D5433" i="1"/>
  <c r="C5433" i="1"/>
  <c r="D5432" i="1"/>
  <c r="C5432" i="1"/>
  <c r="D5431" i="1"/>
  <c r="C5431" i="1"/>
  <c r="D5430" i="1"/>
  <c r="C5430" i="1"/>
  <c r="D5429" i="1"/>
  <c r="C5429" i="1"/>
  <c r="D5428" i="1"/>
  <c r="C5428" i="1"/>
  <c r="D5427" i="1"/>
  <c r="C5427" i="1"/>
  <c r="D5426" i="1"/>
  <c r="C5426" i="1"/>
  <c r="D5425" i="1"/>
  <c r="C5425" i="1"/>
  <c r="D5424" i="1"/>
  <c r="C5424" i="1"/>
  <c r="D5423" i="1"/>
  <c r="C5423" i="1"/>
  <c r="D5422" i="1"/>
  <c r="C5422" i="1"/>
  <c r="D5421" i="1"/>
  <c r="C5421" i="1"/>
  <c r="D5420" i="1"/>
  <c r="C5420" i="1"/>
  <c r="D5419" i="1"/>
  <c r="C5419" i="1"/>
  <c r="D5418" i="1"/>
  <c r="C5418" i="1"/>
  <c r="D5417" i="1"/>
  <c r="C5417" i="1"/>
  <c r="D5416" i="1"/>
  <c r="C5416" i="1"/>
  <c r="D5415" i="1"/>
  <c r="C5415" i="1"/>
  <c r="D5414" i="1"/>
  <c r="C5414" i="1"/>
  <c r="D5413" i="1"/>
  <c r="C5413" i="1"/>
  <c r="D5412" i="1"/>
  <c r="C5412" i="1"/>
  <c r="D5411" i="1"/>
  <c r="C5411" i="1"/>
  <c r="D5410" i="1"/>
  <c r="C5410" i="1"/>
  <c r="D5409" i="1"/>
  <c r="C5409" i="1"/>
  <c r="D5408" i="1"/>
  <c r="C5408" i="1"/>
  <c r="D5407" i="1"/>
  <c r="C5407" i="1"/>
  <c r="D5406" i="1"/>
  <c r="C5406" i="1"/>
  <c r="D5405" i="1"/>
  <c r="C5405" i="1"/>
  <c r="D5404" i="1"/>
  <c r="C5404" i="1"/>
  <c r="D5403" i="1"/>
  <c r="C5403" i="1"/>
  <c r="D5402" i="1"/>
  <c r="C5402" i="1"/>
  <c r="D5401" i="1"/>
  <c r="C5401" i="1"/>
  <c r="D5400" i="1"/>
  <c r="C5400" i="1"/>
  <c r="D5399" i="1"/>
  <c r="C5399" i="1"/>
  <c r="D5398" i="1"/>
  <c r="C5398" i="1"/>
  <c r="D5397" i="1"/>
  <c r="C5397" i="1"/>
  <c r="D5396" i="1"/>
  <c r="C5396" i="1"/>
  <c r="D5395" i="1"/>
  <c r="C5395" i="1"/>
  <c r="D5394" i="1"/>
  <c r="C5394" i="1"/>
  <c r="D5393" i="1"/>
  <c r="C5393" i="1"/>
  <c r="D5392" i="1"/>
  <c r="C5392" i="1"/>
  <c r="D5391" i="1"/>
  <c r="C5391" i="1"/>
  <c r="D5390" i="1"/>
  <c r="C5390" i="1"/>
  <c r="D5389" i="1"/>
  <c r="C5389" i="1"/>
  <c r="D5388" i="1"/>
  <c r="C5388" i="1"/>
  <c r="D5387" i="1"/>
  <c r="C5387" i="1"/>
  <c r="D5386" i="1"/>
  <c r="C5386" i="1"/>
  <c r="D5385" i="1"/>
  <c r="C5385" i="1"/>
  <c r="D5384" i="1"/>
  <c r="C5384" i="1"/>
  <c r="D5383" i="1"/>
  <c r="C5383" i="1"/>
  <c r="D5382" i="1"/>
  <c r="C5382" i="1"/>
  <c r="D5381" i="1"/>
  <c r="C5381" i="1"/>
  <c r="D5380" i="1"/>
  <c r="C5380" i="1"/>
  <c r="D5379" i="1"/>
  <c r="C5379" i="1"/>
  <c r="D5378" i="1"/>
  <c r="C5378" i="1"/>
  <c r="D5377" i="1"/>
  <c r="C5377" i="1"/>
  <c r="D5376" i="1"/>
  <c r="C5376" i="1"/>
  <c r="D5375" i="1"/>
  <c r="C5375" i="1"/>
  <c r="D5374" i="1"/>
  <c r="C5374" i="1"/>
  <c r="D5373" i="1"/>
  <c r="C5373" i="1"/>
  <c r="D5372" i="1"/>
  <c r="C5372" i="1"/>
  <c r="D5371" i="1"/>
  <c r="C5371" i="1"/>
  <c r="D5370" i="1"/>
  <c r="C5370" i="1"/>
  <c r="D5369" i="1"/>
  <c r="C5369" i="1"/>
  <c r="D5368" i="1"/>
  <c r="C5368" i="1"/>
  <c r="D5367" i="1"/>
  <c r="C5367" i="1"/>
  <c r="D5366" i="1"/>
  <c r="C5366" i="1"/>
  <c r="D5365" i="1"/>
  <c r="C5365" i="1"/>
  <c r="D5364" i="1"/>
  <c r="C5364" i="1"/>
  <c r="D5363" i="1"/>
  <c r="C5363" i="1"/>
  <c r="D5362" i="1"/>
  <c r="C5362" i="1"/>
  <c r="D5361" i="1"/>
  <c r="C5361" i="1"/>
  <c r="D5360" i="1"/>
  <c r="C5360" i="1"/>
  <c r="D5359" i="1"/>
  <c r="C5359" i="1"/>
  <c r="D5358" i="1"/>
  <c r="C5358" i="1"/>
  <c r="D5357" i="1"/>
  <c r="C5357" i="1"/>
  <c r="D5356" i="1"/>
  <c r="C5356" i="1"/>
  <c r="D5355" i="1"/>
  <c r="C5355" i="1"/>
  <c r="D5354" i="1"/>
  <c r="C5354" i="1"/>
  <c r="D5353" i="1"/>
  <c r="C5353" i="1"/>
  <c r="D5352" i="1"/>
  <c r="C5352" i="1"/>
  <c r="D5351" i="1"/>
  <c r="C5351" i="1"/>
  <c r="D5350" i="1"/>
  <c r="C5350" i="1"/>
  <c r="D5349" i="1"/>
  <c r="C5349" i="1"/>
  <c r="D5348" i="1"/>
  <c r="C5348" i="1"/>
  <c r="D5347" i="1"/>
  <c r="C5347" i="1"/>
  <c r="D5346" i="1"/>
  <c r="C5346" i="1"/>
  <c r="D5345" i="1"/>
  <c r="C5345" i="1"/>
  <c r="D5344" i="1"/>
  <c r="C5344" i="1"/>
  <c r="D5343" i="1"/>
  <c r="C5343" i="1"/>
  <c r="D5342" i="1"/>
  <c r="C5342" i="1"/>
  <c r="D5341" i="1"/>
  <c r="C5341" i="1"/>
  <c r="D5340" i="1"/>
  <c r="C5340" i="1"/>
  <c r="D5339" i="1"/>
  <c r="C5339" i="1"/>
  <c r="D5338" i="1"/>
  <c r="C5338" i="1"/>
  <c r="D5337" i="1"/>
  <c r="C5337" i="1"/>
  <c r="D5336" i="1"/>
  <c r="C5336" i="1"/>
  <c r="D5335" i="1"/>
  <c r="C5335" i="1"/>
  <c r="D5334" i="1"/>
  <c r="C5334" i="1"/>
  <c r="D5333" i="1"/>
  <c r="C5333" i="1"/>
  <c r="D5332" i="1"/>
  <c r="C5332" i="1"/>
  <c r="D5331" i="1"/>
  <c r="C5331" i="1"/>
  <c r="D5330" i="1"/>
  <c r="C5330" i="1"/>
  <c r="D5329" i="1"/>
  <c r="C5329" i="1"/>
  <c r="D5328" i="1"/>
  <c r="C5328" i="1"/>
  <c r="D5327" i="1"/>
  <c r="C5327" i="1"/>
  <c r="D5326" i="1"/>
  <c r="C5326" i="1"/>
  <c r="D5325" i="1"/>
  <c r="C5325" i="1"/>
  <c r="D5324" i="1"/>
  <c r="C5324" i="1"/>
  <c r="D5323" i="1"/>
  <c r="C5323" i="1"/>
  <c r="D5322" i="1"/>
  <c r="C5322" i="1"/>
  <c r="D5321" i="1"/>
  <c r="C5321" i="1"/>
  <c r="D5320" i="1"/>
  <c r="C5320" i="1"/>
  <c r="D5319" i="1"/>
  <c r="C5319" i="1"/>
  <c r="D5318" i="1"/>
  <c r="C5318" i="1"/>
  <c r="D5317" i="1"/>
  <c r="C5317" i="1"/>
  <c r="D5316" i="1"/>
  <c r="C5316" i="1"/>
  <c r="D5315" i="1"/>
  <c r="C5315" i="1"/>
  <c r="D5314" i="1"/>
  <c r="C5314" i="1"/>
  <c r="D5313" i="1"/>
  <c r="C5313" i="1"/>
  <c r="D5312" i="1"/>
  <c r="C5312" i="1"/>
  <c r="D5311" i="1"/>
  <c r="C5311" i="1"/>
  <c r="D5310" i="1"/>
  <c r="C5310" i="1"/>
  <c r="D5309" i="1"/>
  <c r="C5309" i="1"/>
  <c r="D5308" i="1"/>
  <c r="C5308" i="1"/>
  <c r="D5307" i="1"/>
  <c r="C5307" i="1"/>
  <c r="D5306" i="1"/>
  <c r="C5306" i="1"/>
  <c r="D5305" i="1"/>
  <c r="C5305" i="1"/>
  <c r="D5304" i="1"/>
  <c r="C5304" i="1"/>
  <c r="D5303" i="1"/>
  <c r="C5303" i="1"/>
  <c r="D5302" i="1"/>
  <c r="C5302" i="1"/>
  <c r="D5301" i="1"/>
  <c r="C5301" i="1"/>
  <c r="D5300" i="1"/>
  <c r="C5300" i="1"/>
  <c r="D5299" i="1"/>
  <c r="C5299" i="1"/>
  <c r="D5298" i="1"/>
  <c r="C5298" i="1"/>
  <c r="D5297" i="1"/>
  <c r="C5297" i="1"/>
  <c r="D5296" i="1"/>
  <c r="C5296" i="1"/>
  <c r="D5295" i="1"/>
  <c r="C5295" i="1"/>
  <c r="D5294" i="1"/>
  <c r="C5294" i="1"/>
  <c r="D5293" i="1"/>
  <c r="C5293" i="1"/>
  <c r="D5292" i="1"/>
  <c r="C5292" i="1"/>
  <c r="D5291" i="1"/>
  <c r="C5291" i="1"/>
  <c r="D5290" i="1"/>
  <c r="C5290" i="1"/>
  <c r="D5289" i="1"/>
  <c r="C5289" i="1"/>
  <c r="D5288" i="1"/>
  <c r="C5288" i="1"/>
  <c r="D5287" i="1"/>
  <c r="C5287" i="1"/>
  <c r="D5286" i="1"/>
  <c r="C5286" i="1"/>
  <c r="D5285" i="1"/>
  <c r="C5285" i="1"/>
  <c r="D5284" i="1"/>
  <c r="C5284" i="1"/>
  <c r="D5283" i="1"/>
  <c r="C5283" i="1"/>
  <c r="D5282" i="1"/>
  <c r="C5282" i="1"/>
  <c r="D5281" i="1"/>
  <c r="C5281" i="1"/>
  <c r="D5280" i="1"/>
  <c r="C5280" i="1"/>
  <c r="D5279" i="1"/>
  <c r="C5279" i="1"/>
  <c r="D5278" i="1"/>
  <c r="C5278" i="1"/>
  <c r="D5277" i="1"/>
  <c r="C5277" i="1"/>
  <c r="D5276" i="1"/>
  <c r="C5276" i="1"/>
  <c r="D5275" i="1"/>
  <c r="C5275" i="1"/>
  <c r="D5274" i="1"/>
  <c r="C5274" i="1"/>
  <c r="D5273" i="1"/>
  <c r="C5273" i="1"/>
  <c r="D5272" i="1"/>
  <c r="C5272" i="1"/>
  <c r="D5271" i="1"/>
  <c r="C5271" i="1"/>
  <c r="D5270" i="1"/>
  <c r="C5270" i="1"/>
  <c r="D5269" i="1"/>
  <c r="C5269" i="1"/>
  <c r="D5268" i="1"/>
  <c r="C5268" i="1"/>
  <c r="D5267" i="1"/>
  <c r="C5267" i="1"/>
  <c r="D5266" i="1"/>
  <c r="C5266" i="1"/>
  <c r="D5265" i="1"/>
  <c r="C5265" i="1"/>
  <c r="D5264" i="1"/>
  <c r="C5264" i="1"/>
  <c r="D5263" i="1"/>
  <c r="C5263" i="1"/>
  <c r="D5262" i="1"/>
  <c r="C5262" i="1"/>
  <c r="D5261" i="1"/>
  <c r="C5261" i="1"/>
  <c r="D5260" i="1"/>
  <c r="C5260" i="1"/>
  <c r="D5259" i="1"/>
  <c r="C5259" i="1"/>
  <c r="D5258" i="1"/>
  <c r="C5258" i="1"/>
  <c r="D5257" i="1"/>
  <c r="C5257" i="1"/>
  <c r="D5256" i="1"/>
  <c r="C5256" i="1"/>
  <c r="D5255" i="1"/>
  <c r="C5255" i="1"/>
  <c r="D5254" i="1"/>
  <c r="C5254" i="1"/>
  <c r="D5253" i="1"/>
  <c r="C5253" i="1"/>
  <c r="D5252" i="1"/>
  <c r="C5252" i="1"/>
  <c r="D5251" i="1"/>
  <c r="C5251" i="1"/>
  <c r="D5250" i="1"/>
  <c r="C5250" i="1"/>
  <c r="D5249" i="1"/>
  <c r="C5249" i="1"/>
  <c r="D5248" i="1"/>
  <c r="C5248" i="1"/>
  <c r="D5247" i="1"/>
  <c r="C5247" i="1"/>
  <c r="D5246" i="1"/>
  <c r="C5246" i="1"/>
  <c r="D5245" i="1"/>
  <c r="C5245" i="1"/>
  <c r="D5244" i="1"/>
  <c r="C5244" i="1"/>
  <c r="D5243" i="1"/>
  <c r="C5243" i="1"/>
  <c r="D5242" i="1"/>
  <c r="C5242" i="1"/>
  <c r="D5241" i="1"/>
  <c r="C5241" i="1"/>
  <c r="D5240" i="1"/>
  <c r="C5240" i="1"/>
  <c r="D5239" i="1"/>
  <c r="C5239" i="1"/>
  <c r="D5238" i="1"/>
  <c r="C5238" i="1"/>
  <c r="D5237" i="1"/>
  <c r="C5237" i="1"/>
  <c r="D5236" i="1"/>
  <c r="C5236" i="1"/>
  <c r="D5235" i="1"/>
  <c r="C5235" i="1"/>
  <c r="D5234" i="1"/>
  <c r="C5234" i="1"/>
  <c r="D5233" i="1"/>
  <c r="C5233" i="1"/>
  <c r="D5232" i="1"/>
  <c r="C5232" i="1"/>
  <c r="D5231" i="1"/>
  <c r="C5231" i="1"/>
  <c r="D5230" i="1"/>
  <c r="C5230" i="1"/>
  <c r="D5229" i="1"/>
  <c r="C5229" i="1"/>
  <c r="D5228" i="1"/>
  <c r="C5228" i="1"/>
  <c r="D5227" i="1"/>
  <c r="C5227" i="1"/>
  <c r="D5226" i="1"/>
  <c r="C5226" i="1"/>
  <c r="D5225" i="1"/>
  <c r="C5225" i="1"/>
  <c r="D5224" i="1"/>
  <c r="C5224" i="1"/>
  <c r="D5223" i="1"/>
  <c r="C5223" i="1"/>
  <c r="D5222" i="1"/>
  <c r="C5222" i="1"/>
  <c r="D5221" i="1"/>
  <c r="C5221" i="1"/>
  <c r="D5220" i="1"/>
  <c r="C5220" i="1"/>
  <c r="D5219" i="1"/>
  <c r="C5219" i="1"/>
  <c r="D5218" i="1"/>
  <c r="C5218" i="1"/>
  <c r="D5217" i="1"/>
  <c r="C5217" i="1"/>
  <c r="D5216" i="1"/>
  <c r="C5216" i="1"/>
  <c r="D5215" i="1"/>
  <c r="C5215" i="1"/>
  <c r="D5214" i="1"/>
  <c r="C5214" i="1"/>
  <c r="D5213" i="1"/>
  <c r="C5213" i="1"/>
  <c r="D5212" i="1"/>
  <c r="C5212" i="1"/>
  <c r="D5211" i="1"/>
  <c r="C5211" i="1"/>
  <c r="D5210" i="1"/>
  <c r="C5210" i="1"/>
  <c r="D5209" i="1"/>
  <c r="C5209" i="1"/>
  <c r="D5208" i="1"/>
  <c r="C5208" i="1"/>
  <c r="D5207" i="1"/>
  <c r="C5207" i="1"/>
  <c r="D5206" i="1"/>
  <c r="C5206" i="1"/>
  <c r="D5205" i="1"/>
  <c r="C5205" i="1"/>
  <c r="D5204" i="1"/>
  <c r="C5204" i="1"/>
  <c r="D5203" i="1"/>
  <c r="C5203" i="1"/>
  <c r="D5202" i="1"/>
  <c r="C5202" i="1"/>
  <c r="D5201" i="1"/>
  <c r="C5201" i="1"/>
  <c r="D5200" i="1"/>
  <c r="C5200" i="1"/>
  <c r="D5199" i="1"/>
  <c r="C5199" i="1"/>
  <c r="D5198" i="1"/>
  <c r="C5198" i="1"/>
  <c r="D5197" i="1"/>
  <c r="C5197" i="1"/>
  <c r="D5196" i="1"/>
  <c r="C5196" i="1"/>
  <c r="D5195" i="1"/>
  <c r="C5195" i="1"/>
  <c r="D5194" i="1"/>
  <c r="C5194" i="1"/>
  <c r="D5193" i="1"/>
  <c r="C5193" i="1"/>
  <c r="D5192" i="1"/>
  <c r="C5192" i="1"/>
  <c r="D5191" i="1"/>
  <c r="C5191" i="1"/>
  <c r="D5190" i="1"/>
  <c r="C5190" i="1"/>
  <c r="D5189" i="1"/>
  <c r="C5189" i="1"/>
  <c r="D5188" i="1"/>
  <c r="C5188" i="1"/>
  <c r="D5187" i="1"/>
  <c r="C5187" i="1"/>
  <c r="D5186" i="1"/>
  <c r="C5186" i="1"/>
  <c r="D5185" i="1"/>
  <c r="C5185" i="1"/>
  <c r="D5184" i="1"/>
  <c r="C5184" i="1"/>
  <c r="D5183" i="1"/>
  <c r="C5183" i="1"/>
  <c r="D5182" i="1"/>
  <c r="C5182" i="1"/>
  <c r="D5181" i="1"/>
  <c r="C5181" i="1"/>
  <c r="D5180" i="1"/>
  <c r="C5180" i="1"/>
  <c r="D5179" i="1"/>
  <c r="C5179" i="1"/>
  <c r="D5178" i="1"/>
  <c r="C5178" i="1"/>
  <c r="D5177" i="1"/>
  <c r="C5177" i="1"/>
  <c r="D5176" i="1"/>
  <c r="C5176" i="1"/>
  <c r="D5175" i="1"/>
  <c r="C5175" i="1"/>
  <c r="D5174" i="1"/>
  <c r="C5174" i="1"/>
  <c r="D5173" i="1"/>
  <c r="C5173" i="1"/>
  <c r="D5172" i="1"/>
  <c r="C5172" i="1"/>
  <c r="D5171" i="1"/>
  <c r="C5171" i="1"/>
  <c r="D5170" i="1"/>
  <c r="C5170" i="1"/>
  <c r="D5169" i="1"/>
  <c r="C5169" i="1"/>
  <c r="D5168" i="1"/>
  <c r="C5168" i="1"/>
  <c r="D5167" i="1"/>
  <c r="C5167" i="1"/>
  <c r="D5166" i="1"/>
  <c r="C5166" i="1"/>
  <c r="D5165" i="1"/>
  <c r="C5165" i="1"/>
  <c r="D5164" i="1"/>
  <c r="C5164" i="1"/>
  <c r="D5163" i="1"/>
  <c r="C5163" i="1"/>
  <c r="D5162" i="1"/>
  <c r="C5162" i="1"/>
  <c r="D5161" i="1"/>
  <c r="C5161" i="1"/>
  <c r="D5160" i="1"/>
  <c r="C5160" i="1"/>
  <c r="D5159" i="1"/>
  <c r="C5159" i="1"/>
  <c r="D5158" i="1"/>
  <c r="C5158" i="1"/>
  <c r="D5157" i="1"/>
  <c r="C5157" i="1"/>
  <c r="D5156" i="1"/>
  <c r="C5156" i="1"/>
  <c r="D5155" i="1"/>
  <c r="C5155" i="1"/>
  <c r="D5154" i="1"/>
  <c r="C5154" i="1"/>
  <c r="D5153" i="1"/>
  <c r="C5153" i="1"/>
  <c r="D5152" i="1"/>
  <c r="C5152" i="1"/>
  <c r="D5151" i="1"/>
  <c r="C5151" i="1"/>
  <c r="D5150" i="1"/>
  <c r="C5150" i="1"/>
  <c r="D5149" i="1"/>
  <c r="C5149" i="1"/>
  <c r="D5148" i="1"/>
  <c r="C5148" i="1"/>
  <c r="D5147" i="1"/>
  <c r="C5147" i="1"/>
  <c r="D5146" i="1"/>
  <c r="C5146" i="1"/>
  <c r="D5145" i="1"/>
  <c r="C5145" i="1"/>
  <c r="D5144" i="1"/>
  <c r="C5144" i="1"/>
  <c r="D5143" i="1"/>
  <c r="C5143" i="1"/>
  <c r="D5142" i="1"/>
  <c r="C5142" i="1"/>
  <c r="D5141" i="1"/>
  <c r="C5141" i="1"/>
  <c r="D5140" i="1"/>
  <c r="C5140" i="1"/>
  <c r="D5139" i="1"/>
  <c r="C5139" i="1"/>
  <c r="D5138" i="1"/>
  <c r="C5138" i="1"/>
  <c r="D5137" i="1"/>
  <c r="C5137" i="1"/>
  <c r="D5136" i="1"/>
  <c r="C5136" i="1"/>
  <c r="D5135" i="1"/>
  <c r="C5135" i="1"/>
  <c r="D5134" i="1"/>
  <c r="C5134" i="1"/>
  <c r="D5133" i="1"/>
  <c r="C5133" i="1"/>
  <c r="D5132" i="1"/>
  <c r="C5132" i="1"/>
  <c r="D5131" i="1"/>
  <c r="C5131" i="1"/>
  <c r="D5130" i="1"/>
  <c r="C5130" i="1"/>
  <c r="D5129" i="1"/>
  <c r="C5129" i="1"/>
  <c r="D5128" i="1"/>
  <c r="C5128" i="1"/>
  <c r="D5127" i="1"/>
  <c r="C5127" i="1"/>
  <c r="D5126" i="1"/>
  <c r="C5126" i="1"/>
  <c r="D5125" i="1"/>
  <c r="C5125" i="1"/>
  <c r="D5124" i="1"/>
  <c r="C5124" i="1"/>
  <c r="D5123" i="1"/>
  <c r="C5123" i="1"/>
  <c r="D5122" i="1"/>
  <c r="C5122" i="1"/>
  <c r="D5121" i="1"/>
  <c r="C5121" i="1"/>
  <c r="D5120" i="1"/>
  <c r="C5120" i="1"/>
  <c r="D5119" i="1"/>
  <c r="C5119" i="1"/>
  <c r="D5118" i="1"/>
  <c r="C5118" i="1"/>
  <c r="D5117" i="1"/>
  <c r="C5117" i="1"/>
  <c r="D5116" i="1"/>
  <c r="C5116" i="1"/>
  <c r="D5115" i="1"/>
  <c r="C5115" i="1"/>
  <c r="D5114" i="1"/>
  <c r="C5114" i="1"/>
  <c r="D5113" i="1"/>
  <c r="C5113" i="1"/>
  <c r="D5112" i="1"/>
  <c r="C5112" i="1"/>
  <c r="D5111" i="1"/>
  <c r="C5111" i="1"/>
  <c r="D5110" i="1"/>
  <c r="C5110" i="1"/>
  <c r="D5109" i="1"/>
  <c r="C5109" i="1"/>
  <c r="D5108" i="1"/>
  <c r="C5108" i="1"/>
  <c r="D5107" i="1"/>
  <c r="C5107" i="1"/>
  <c r="D5106" i="1"/>
  <c r="C5106" i="1"/>
  <c r="D5105" i="1"/>
  <c r="C5105" i="1"/>
  <c r="D5104" i="1"/>
  <c r="C5104" i="1"/>
  <c r="D5103" i="1"/>
  <c r="C5103" i="1"/>
  <c r="D5102" i="1"/>
  <c r="C5102" i="1"/>
  <c r="D5101" i="1"/>
  <c r="C5101" i="1"/>
  <c r="D5100" i="1"/>
  <c r="C5100" i="1"/>
  <c r="D5099" i="1"/>
  <c r="C5099" i="1"/>
  <c r="D5098" i="1"/>
  <c r="C5098" i="1"/>
  <c r="D5097" i="1"/>
  <c r="C5097" i="1"/>
  <c r="D5096" i="1"/>
  <c r="C5096" i="1"/>
  <c r="D5095" i="1"/>
  <c r="C5095" i="1"/>
  <c r="D5094" i="1"/>
  <c r="C5094" i="1"/>
  <c r="D5093" i="1"/>
  <c r="C5093" i="1"/>
  <c r="D5092" i="1"/>
  <c r="C5092" i="1"/>
  <c r="D5091" i="1"/>
  <c r="C5091" i="1"/>
  <c r="D5090" i="1"/>
  <c r="C5090" i="1"/>
  <c r="D5089" i="1"/>
  <c r="C5089" i="1"/>
  <c r="D5088" i="1"/>
  <c r="C5088" i="1"/>
  <c r="D5087" i="1"/>
  <c r="C5087" i="1"/>
  <c r="D5086" i="1"/>
  <c r="C5086" i="1"/>
  <c r="D5085" i="1"/>
  <c r="C5085" i="1"/>
  <c r="D5084" i="1"/>
  <c r="C5084" i="1"/>
  <c r="D5083" i="1"/>
  <c r="C5083" i="1"/>
  <c r="D5082" i="1"/>
  <c r="C5082" i="1"/>
  <c r="D5081" i="1"/>
  <c r="C5081" i="1"/>
  <c r="D5080" i="1"/>
  <c r="C5080" i="1"/>
  <c r="D5079" i="1"/>
  <c r="C5079" i="1"/>
  <c r="D5078" i="1"/>
  <c r="C5078" i="1"/>
  <c r="D5077" i="1"/>
  <c r="C5077" i="1"/>
  <c r="D5076" i="1"/>
  <c r="C5076" i="1"/>
  <c r="D5075" i="1"/>
  <c r="C5075" i="1"/>
  <c r="D5074" i="1"/>
  <c r="C5074" i="1"/>
  <c r="D5073" i="1"/>
  <c r="C5073" i="1"/>
  <c r="D5072" i="1"/>
  <c r="C5072" i="1"/>
  <c r="D5071" i="1"/>
  <c r="C5071" i="1"/>
  <c r="D5070" i="1"/>
  <c r="C5070" i="1"/>
  <c r="D5069" i="1"/>
  <c r="C5069" i="1"/>
  <c r="D5068" i="1"/>
  <c r="C5068" i="1"/>
  <c r="D5067" i="1"/>
  <c r="C5067" i="1"/>
  <c r="D5066" i="1"/>
  <c r="C5066" i="1"/>
  <c r="D5065" i="1"/>
  <c r="C5065" i="1"/>
  <c r="D5064" i="1"/>
  <c r="C5064" i="1"/>
  <c r="D5063" i="1"/>
  <c r="C5063" i="1"/>
  <c r="D5062" i="1"/>
  <c r="C5062" i="1"/>
  <c r="D5061" i="1"/>
  <c r="C5061" i="1"/>
  <c r="D5060" i="1"/>
  <c r="C5060" i="1"/>
  <c r="D5059" i="1"/>
  <c r="C5059" i="1"/>
  <c r="D5058" i="1"/>
  <c r="C5058" i="1"/>
  <c r="D5057" i="1"/>
  <c r="C5057" i="1"/>
  <c r="D5056" i="1"/>
  <c r="C5056" i="1"/>
  <c r="D5055" i="1"/>
  <c r="C5055" i="1"/>
  <c r="D5054" i="1"/>
  <c r="C5054" i="1"/>
  <c r="D5053" i="1"/>
  <c r="C5053" i="1"/>
  <c r="D5052" i="1"/>
  <c r="C5052" i="1"/>
  <c r="D5051" i="1"/>
  <c r="C5051" i="1"/>
  <c r="D5050" i="1"/>
  <c r="C5050" i="1"/>
  <c r="D5049" i="1"/>
  <c r="C5049" i="1"/>
  <c r="D5048" i="1"/>
  <c r="C5048" i="1"/>
  <c r="D5047" i="1"/>
  <c r="C5047" i="1"/>
  <c r="D5046" i="1"/>
  <c r="C5046" i="1"/>
  <c r="D5045" i="1"/>
  <c r="C5045" i="1"/>
  <c r="D5044" i="1"/>
  <c r="C5044" i="1"/>
  <c r="D5043" i="1"/>
  <c r="C5043" i="1"/>
  <c r="D5042" i="1"/>
  <c r="C5042" i="1"/>
  <c r="D5041" i="1"/>
  <c r="C5041" i="1"/>
  <c r="D5040" i="1"/>
  <c r="C5040" i="1"/>
  <c r="D5039" i="1"/>
  <c r="C5039" i="1"/>
  <c r="D5038" i="1"/>
  <c r="C5038" i="1"/>
  <c r="D5037" i="1"/>
  <c r="C5037" i="1"/>
  <c r="D5036" i="1"/>
  <c r="C5036" i="1"/>
  <c r="D5035" i="1"/>
  <c r="C5035" i="1"/>
  <c r="D5034" i="1"/>
  <c r="C5034" i="1"/>
  <c r="D5033" i="1"/>
  <c r="C5033" i="1"/>
  <c r="D5032" i="1"/>
  <c r="C5032" i="1"/>
  <c r="D5031" i="1"/>
  <c r="C5031" i="1"/>
  <c r="D5030" i="1"/>
  <c r="C5030" i="1"/>
  <c r="D5029" i="1"/>
  <c r="C5029" i="1"/>
  <c r="D5028" i="1"/>
  <c r="C5028" i="1"/>
  <c r="D5027" i="1"/>
  <c r="C5027" i="1"/>
  <c r="D5026" i="1"/>
  <c r="C5026" i="1"/>
  <c r="D5025" i="1"/>
  <c r="C5025" i="1"/>
  <c r="D5024" i="1"/>
  <c r="C5024" i="1"/>
  <c r="D5023" i="1"/>
  <c r="C5023" i="1"/>
  <c r="D5022" i="1"/>
  <c r="C5022" i="1"/>
  <c r="D5021" i="1"/>
  <c r="C5021" i="1"/>
  <c r="D5020" i="1"/>
  <c r="C5020" i="1"/>
  <c r="D5019" i="1"/>
  <c r="C5019" i="1"/>
  <c r="D5018" i="1"/>
  <c r="C5018" i="1"/>
  <c r="D5017" i="1"/>
  <c r="C5017" i="1"/>
  <c r="D5016" i="1"/>
  <c r="C5016" i="1"/>
  <c r="D5015" i="1"/>
  <c r="C5015" i="1"/>
  <c r="D5014" i="1"/>
  <c r="C5014" i="1"/>
  <c r="D5013" i="1"/>
  <c r="C5013" i="1"/>
  <c r="D5012" i="1"/>
  <c r="C5012" i="1"/>
  <c r="D5011" i="1"/>
  <c r="C5011" i="1"/>
  <c r="D5010" i="1"/>
  <c r="C5010" i="1"/>
  <c r="D5009" i="1"/>
  <c r="C5009" i="1"/>
  <c r="D5008" i="1"/>
  <c r="C5008" i="1"/>
  <c r="D5007" i="1"/>
  <c r="C5007" i="1"/>
  <c r="D5006" i="1"/>
  <c r="C5006" i="1"/>
  <c r="D5005" i="1"/>
  <c r="C5005" i="1"/>
  <c r="D5004" i="1"/>
  <c r="C5004" i="1"/>
  <c r="D5003" i="1"/>
  <c r="C5003" i="1"/>
  <c r="D5002" i="1"/>
  <c r="C5002" i="1"/>
  <c r="D5001" i="1"/>
  <c r="C5001" i="1"/>
  <c r="D5000" i="1"/>
  <c r="C5000" i="1"/>
  <c r="D4999" i="1"/>
  <c r="C4999" i="1"/>
  <c r="D4998" i="1"/>
  <c r="C4998" i="1"/>
  <c r="D4997" i="1"/>
  <c r="C4997" i="1"/>
  <c r="D4996" i="1"/>
  <c r="C4996" i="1"/>
  <c r="D4995" i="1"/>
  <c r="C4995" i="1"/>
  <c r="D4994" i="1"/>
  <c r="C4994" i="1"/>
  <c r="D4993" i="1"/>
  <c r="C4993" i="1"/>
  <c r="D4992" i="1"/>
  <c r="C4992" i="1"/>
  <c r="D4991" i="1"/>
  <c r="C4991" i="1"/>
  <c r="D4990" i="1"/>
  <c r="C4990" i="1"/>
  <c r="D4989" i="1"/>
  <c r="C4989" i="1"/>
  <c r="D4988" i="1"/>
  <c r="C4988" i="1"/>
  <c r="D4987" i="1"/>
  <c r="C4987" i="1"/>
  <c r="D4986" i="1"/>
  <c r="C4986" i="1"/>
  <c r="D4985" i="1"/>
  <c r="C4985" i="1"/>
  <c r="D4984" i="1"/>
  <c r="C4984" i="1"/>
  <c r="D4983" i="1"/>
  <c r="C4983" i="1"/>
  <c r="D4982" i="1"/>
  <c r="C4982" i="1"/>
  <c r="D4981" i="1"/>
  <c r="C4981" i="1"/>
  <c r="D4980" i="1"/>
  <c r="C4980" i="1"/>
  <c r="D4979" i="1"/>
  <c r="C4979" i="1"/>
  <c r="D4978" i="1"/>
  <c r="C4978" i="1"/>
  <c r="D4977" i="1"/>
  <c r="C4977" i="1"/>
  <c r="D4976" i="1"/>
  <c r="C4976" i="1"/>
  <c r="D4975" i="1"/>
  <c r="C4975" i="1"/>
  <c r="D4974" i="1"/>
  <c r="C4974" i="1"/>
  <c r="D4973" i="1"/>
  <c r="C4973" i="1"/>
  <c r="D4972" i="1"/>
  <c r="C4972" i="1"/>
  <c r="D4971" i="1"/>
  <c r="C4971" i="1"/>
  <c r="D4970" i="1"/>
  <c r="C4970" i="1"/>
  <c r="D4969" i="1"/>
  <c r="C4969" i="1"/>
  <c r="D4968" i="1"/>
  <c r="C4968" i="1"/>
  <c r="D4967" i="1"/>
  <c r="C4967" i="1"/>
  <c r="D4966" i="1"/>
  <c r="C4966" i="1"/>
  <c r="D4965" i="1"/>
  <c r="C4965" i="1"/>
  <c r="D4964" i="1"/>
  <c r="C4964" i="1"/>
  <c r="D4963" i="1"/>
  <c r="C4963" i="1"/>
  <c r="D4962" i="1"/>
  <c r="C4962" i="1"/>
  <c r="D4961" i="1"/>
  <c r="C4961" i="1"/>
  <c r="D4960" i="1"/>
  <c r="C4960" i="1"/>
  <c r="D4959" i="1"/>
  <c r="C4959" i="1"/>
  <c r="D4958" i="1"/>
  <c r="C4958" i="1"/>
  <c r="D4957" i="1"/>
  <c r="C4957" i="1"/>
  <c r="D4956" i="1"/>
  <c r="C4956" i="1"/>
  <c r="D4955" i="1"/>
  <c r="C4955" i="1"/>
  <c r="D4954" i="1"/>
  <c r="C4954" i="1"/>
  <c r="D4953" i="1"/>
  <c r="C4953" i="1"/>
  <c r="D4952" i="1"/>
  <c r="C4952" i="1"/>
  <c r="D4951" i="1"/>
  <c r="C4951" i="1"/>
  <c r="D4950" i="1"/>
  <c r="C4950" i="1"/>
  <c r="D4949" i="1"/>
  <c r="C4949" i="1"/>
  <c r="D4948" i="1"/>
  <c r="C4948" i="1"/>
  <c r="D4947" i="1"/>
  <c r="C4947" i="1"/>
  <c r="D4946" i="1"/>
  <c r="C4946" i="1"/>
  <c r="D4945" i="1"/>
  <c r="C4945" i="1"/>
  <c r="D4944" i="1"/>
  <c r="C4944" i="1"/>
  <c r="D4943" i="1"/>
  <c r="C4943" i="1"/>
  <c r="D4942" i="1"/>
  <c r="C4942" i="1"/>
  <c r="D4941" i="1"/>
  <c r="C4941" i="1"/>
  <c r="D4940" i="1"/>
  <c r="C4940" i="1"/>
  <c r="D4939" i="1"/>
  <c r="C4939" i="1"/>
  <c r="D4938" i="1"/>
  <c r="C4938" i="1"/>
  <c r="D4937" i="1"/>
  <c r="C4937" i="1"/>
  <c r="D4936" i="1"/>
  <c r="C4936" i="1"/>
  <c r="D4935" i="1"/>
  <c r="C4935" i="1"/>
  <c r="D4934" i="1"/>
  <c r="C4934" i="1"/>
  <c r="D4933" i="1"/>
  <c r="C4933" i="1"/>
  <c r="D4932" i="1"/>
  <c r="C4932" i="1"/>
  <c r="D4931" i="1"/>
  <c r="C4931" i="1"/>
  <c r="D4930" i="1"/>
  <c r="C4930" i="1"/>
  <c r="D4929" i="1"/>
  <c r="C4929" i="1"/>
  <c r="D4928" i="1"/>
  <c r="C4928" i="1"/>
  <c r="D4927" i="1"/>
  <c r="C4927" i="1"/>
  <c r="D4926" i="1"/>
  <c r="C4926" i="1"/>
  <c r="D4925" i="1"/>
  <c r="C4925" i="1"/>
  <c r="D4924" i="1"/>
  <c r="C4924" i="1"/>
  <c r="D4923" i="1"/>
  <c r="C4923" i="1"/>
  <c r="D4922" i="1"/>
  <c r="C4922" i="1"/>
  <c r="D4921" i="1"/>
  <c r="C4921" i="1"/>
  <c r="D4920" i="1"/>
  <c r="C4920" i="1"/>
  <c r="D4919" i="1"/>
  <c r="C4919" i="1"/>
  <c r="D4918" i="1"/>
  <c r="C4918" i="1"/>
  <c r="D4917" i="1"/>
  <c r="C4917" i="1"/>
  <c r="D4916" i="1"/>
  <c r="C4916" i="1"/>
  <c r="D4915" i="1"/>
  <c r="C4915" i="1"/>
  <c r="D4914" i="1"/>
  <c r="C4914" i="1"/>
  <c r="D4913" i="1"/>
  <c r="C4913" i="1"/>
  <c r="D4912" i="1"/>
  <c r="C4912" i="1"/>
  <c r="D4911" i="1"/>
  <c r="C4911" i="1"/>
  <c r="D4910" i="1"/>
  <c r="C4910" i="1"/>
  <c r="D4909" i="1"/>
  <c r="C4909" i="1"/>
  <c r="D4908" i="1"/>
  <c r="C4908" i="1"/>
  <c r="D4907" i="1"/>
  <c r="C4907" i="1"/>
  <c r="D4906" i="1"/>
  <c r="C4906" i="1"/>
  <c r="D4905" i="1"/>
  <c r="C4905" i="1"/>
  <c r="D4904" i="1"/>
  <c r="C4904" i="1"/>
  <c r="D4903" i="1"/>
  <c r="C4903" i="1"/>
  <c r="D4902" i="1"/>
  <c r="C4902" i="1"/>
  <c r="D4901" i="1"/>
  <c r="C4901" i="1"/>
  <c r="D4900" i="1"/>
  <c r="C4900" i="1"/>
  <c r="D4899" i="1"/>
  <c r="C4899" i="1"/>
  <c r="D4898" i="1"/>
  <c r="C4898" i="1"/>
  <c r="D4897" i="1"/>
  <c r="C4897" i="1"/>
  <c r="D4896" i="1"/>
  <c r="C4896" i="1"/>
  <c r="D4895" i="1"/>
  <c r="C4895" i="1"/>
  <c r="D4894" i="1"/>
  <c r="C4894" i="1"/>
  <c r="D4893" i="1"/>
  <c r="C4893" i="1"/>
  <c r="D4892" i="1"/>
  <c r="C4892" i="1"/>
  <c r="D4891" i="1"/>
  <c r="C4891" i="1"/>
  <c r="D4890" i="1"/>
  <c r="C4890" i="1"/>
  <c r="D4889" i="1"/>
  <c r="C4889" i="1"/>
  <c r="D4888" i="1"/>
  <c r="C4888" i="1"/>
  <c r="D4887" i="1"/>
  <c r="C4887" i="1"/>
  <c r="D4886" i="1"/>
  <c r="C4886" i="1"/>
  <c r="D4885" i="1"/>
  <c r="C4885" i="1"/>
  <c r="D4884" i="1"/>
  <c r="C4884" i="1"/>
  <c r="D4883" i="1"/>
  <c r="C4883" i="1"/>
  <c r="D4882" i="1"/>
  <c r="C4882" i="1"/>
  <c r="D4881" i="1"/>
  <c r="C4881" i="1"/>
  <c r="D4880" i="1"/>
  <c r="C4880" i="1"/>
  <c r="D4879" i="1"/>
  <c r="C4879" i="1"/>
  <c r="D4878" i="1"/>
  <c r="C4878" i="1"/>
  <c r="D4877" i="1"/>
  <c r="C4877" i="1"/>
  <c r="D4876" i="1"/>
  <c r="C4876" i="1"/>
  <c r="D4875" i="1"/>
  <c r="C4875" i="1"/>
  <c r="D4874" i="1"/>
  <c r="C4874" i="1"/>
  <c r="D4873" i="1"/>
  <c r="C4873" i="1"/>
  <c r="D4872" i="1"/>
  <c r="C4872" i="1"/>
  <c r="D4871" i="1"/>
  <c r="C4871" i="1"/>
  <c r="D4870" i="1"/>
  <c r="C4870" i="1"/>
  <c r="D4869" i="1"/>
  <c r="C4869" i="1"/>
  <c r="D4868" i="1"/>
  <c r="C4868" i="1"/>
  <c r="D4867" i="1"/>
  <c r="C4867" i="1"/>
  <c r="D4866" i="1"/>
  <c r="C4866" i="1"/>
  <c r="D4865" i="1"/>
  <c r="C4865" i="1"/>
  <c r="D4864" i="1"/>
  <c r="C4864" i="1"/>
  <c r="D4863" i="1"/>
  <c r="C4863" i="1"/>
  <c r="D4862" i="1"/>
  <c r="C4862" i="1"/>
  <c r="D4861" i="1"/>
  <c r="C4861" i="1"/>
  <c r="D4860" i="1"/>
  <c r="C4860" i="1"/>
  <c r="D4859" i="1"/>
  <c r="C4859" i="1"/>
  <c r="D4858" i="1"/>
  <c r="C4858" i="1"/>
  <c r="D4857" i="1"/>
  <c r="C4857" i="1"/>
  <c r="D4856" i="1"/>
  <c r="C4856" i="1"/>
  <c r="D4855" i="1"/>
  <c r="C4855" i="1"/>
  <c r="D4854" i="1"/>
  <c r="C4854" i="1"/>
  <c r="D4853" i="1"/>
  <c r="C4853" i="1"/>
  <c r="D4852" i="1"/>
  <c r="C4852" i="1"/>
  <c r="D4851" i="1"/>
  <c r="C4851" i="1"/>
  <c r="D4850" i="1"/>
  <c r="C4850" i="1"/>
  <c r="D4849" i="1"/>
  <c r="C4849" i="1"/>
  <c r="D4848" i="1"/>
  <c r="C4848" i="1"/>
  <c r="D4847" i="1"/>
  <c r="C4847" i="1"/>
  <c r="D4846" i="1"/>
  <c r="C4846" i="1"/>
  <c r="D4845" i="1"/>
  <c r="C4845" i="1"/>
  <c r="D4844" i="1"/>
  <c r="C4844" i="1"/>
  <c r="D4843" i="1"/>
  <c r="C4843" i="1"/>
  <c r="D4842" i="1"/>
  <c r="C4842" i="1"/>
  <c r="D4841" i="1"/>
  <c r="C4841" i="1"/>
  <c r="D4840" i="1"/>
  <c r="C4840" i="1"/>
  <c r="D4839" i="1"/>
  <c r="C4839" i="1"/>
  <c r="D4838" i="1"/>
  <c r="C4838" i="1"/>
  <c r="D4837" i="1"/>
  <c r="C4837" i="1"/>
  <c r="D4836" i="1"/>
  <c r="C4836" i="1"/>
  <c r="D4835" i="1"/>
  <c r="C4835" i="1"/>
  <c r="D4834" i="1"/>
  <c r="C4834" i="1"/>
  <c r="D4833" i="1"/>
  <c r="C4833" i="1"/>
  <c r="D4832" i="1"/>
  <c r="C4832" i="1"/>
  <c r="D4831" i="1"/>
  <c r="C4831" i="1"/>
  <c r="D4830" i="1"/>
  <c r="C4830" i="1"/>
  <c r="D4829" i="1"/>
  <c r="C4829" i="1"/>
  <c r="D4828" i="1"/>
  <c r="C4828" i="1"/>
  <c r="D4827" i="1"/>
  <c r="C4827" i="1"/>
  <c r="D4826" i="1"/>
  <c r="C4826" i="1"/>
  <c r="D4825" i="1"/>
  <c r="C4825" i="1"/>
  <c r="D4824" i="1"/>
  <c r="C4824" i="1"/>
  <c r="D4823" i="1"/>
  <c r="C4823" i="1"/>
  <c r="D4822" i="1"/>
  <c r="C4822" i="1"/>
  <c r="D4821" i="1"/>
  <c r="C4821" i="1"/>
  <c r="D4820" i="1"/>
  <c r="C4820" i="1"/>
  <c r="D4819" i="1"/>
  <c r="C4819" i="1"/>
  <c r="D4818" i="1"/>
  <c r="C4818" i="1"/>
  <c r="D4817" i="1"/>
  <c r="C4817" i="1"/>
  <c r="D4816" i="1"/>
  <c r="C4816" i="1"/>
  <c r="D4815" i="1"/>
  <c r="C4815" i="1"/>
  <c r="D4814" i="1"/>
  <c r="C4814" i="1"/>
  <c r="D4813" i="1"/>
  <c r="C4813" i="1"/>
  <c r="D4812" i="1"/>
  <c r="C4812" i="1"/>
  <c r="D4811" i="1"/>
  <c r="C4811" i="1"/>
  <c r="D4810" i="1"/>
  <c r="C4810" i="1"/>
  <c r="D4809" i="1"/>
  <c r="C4809" i="1"/>
  <c r="D4808" i="1"/>
  <c r="C4808" i="1"/>
  <c r="D4807" i="1"/>
  <c r="C4807" i="1"/>
  <c r="D4806" i="1"/>
  <c r="C4806" i="1"/>
  <c r="D4805" i="1"/>
  <c r="C4805" i="1"/>
  <c r="D4804" i="1"/>
  <c r="C4804" i="1"/>
  <c r="D4803" i="1"/>
  <c r="C4803" i="1"/>
  <c r="D4802" i="1"/>
  <c r="C4802" i="1"/>
  <c r="D4801" i="1"/>
  <c r="C4801" i="1"/>
  <c r="D4800" i="1"/>
  <c r="C4800" i="1"/>
  <c r="D4799" i="1"/>
  <c r="C4799" i="1"/>
  <c r="D4798" i="1"/>
  <c r="C4798" i="1"/>
  <c r="D4797" i="1"/>
  <c r="C4797" i="1"/>
  <c r="D4796" i="1"/>
  <c r="C4796" i="1"/>
  <c r="D4795" i="1"/>
  <c r="C4795" i="1"/>
  <c r="D4794" i="1"/>
  <c r="C4794" i="1"/>
  <c r="D4793" i="1"/>
  <c r="C4793" i="1"/>
  <c r="D4792" i="1"/>
  <c r="C4792" i="1"/>
  <c r="D4791" i="1"/>
  <c r="C4791" i="1"/>
  <c r="D4790" i="1"/>
  <c r="C4790" i="1"/>
  <c r="D4789" i="1"/>
  <c r="C4789" i="1"/>
  <c r="D4788" i="1"/>
  <c r="C4788" i="1"/>
  <c r="D4787" i="1"/>
  <c r="C4787" i="1"/>
  <c r="D4786" i="1"/>
  <c r="C4786" i="1"/>
  <c r="D4785" i="1"/>
  <c r="C4785" i="1"/>
  <c r="D4784" i="1"/>
  <c r="C4784" i="1"/>
  <c r="D4783" i="1"/>
  <c r="C4783" i="1"/>
  <c r="D4782" i="1"/>
  <c r="C4782" i="1"/>
  <c r="D4781" i="1"/>
  <c r="C4781" i="1"/>
  <c r="D4780" i="1"/>
  <c r="C4780" i="1"/>
  <c r="D4779" i="1"/>
  <c r="C4779" i="1"/>
  <c r="D4778" i="1"/>
  <c r="C4778" i="1"/>
  <c r="D4777" i="1"/>
  <c r="C4777" i="1"/>
  <c r="D4776" i="1"/>
  <c r="C4776" i="1"/>
  <c r="D4775" i="1"/>
  <c r="C4775" i="1"/>
  <c r="D4774" i="1"/>
  <c r="C4774" i="1"/>
  <c r="D4773" i="1"/>
  <c r="C4773" i="1"/>
  <c r="D4772" i="1"/>
  <c r="C4772" i="1"/>
  <c r="D4771" i="1"/>
  <c r="C4771" i="1"/>
  <c r="D4770" i="1"/>
  <c r="C4770" i="1"/>
  <c r="D4769" i="1"/>
  <c r="C4769" i="1"/>
  <c r="D4768" i="1"/>
  <c r="C4768" i="1"/>
  <c r="D4767" i="1"/>
  <c r="C4767" i="1"/>
  <c r="D4766" i="1"/>
  <c r="C4766" i="1"/>
  <c r="D4765" i="1"/>
  <c r="C4765" i="1"/>
  <c r="D4764" i="1"/>
  <c r="C4764" i="1"/>
  <c r="D4763" i="1"/>
  <c r="C4763" i="1"/>
  <c r="D4762" i="1"/>
  <c r="C4762" i="1"/>
  <c r="D4761" i="1"/>
  <c r="C4761" i="1"/>
  <c r="D4760" i="1"/>
  <c r="C4760" i="1"/>
  <c r="D4759" i="1"/>
  <c r="C4759" i="1"/>
  <c r="D4758" i="1"/>
  <c r="C4758" i="1"/>
  <c r="D4757" i="1"/>
  <c r="C4757" i="1"/>
  <c r="D4756" i="1"/>
  <c r="C4756" i="1"/>
  <c r="D4755" i="1"/>
  <c r="C4755" i="1"/>
  <c r="D4754" i="1"/>
  <c r="C4754" i="1"/>
  <c r="D4753" i="1"/>
  <c r="C4753" i="1"/>
  <c r="D4752" i="1"/>
  <c r="C4752" i="1"/>
  <c r="D4751" i="1"/>
  <c r="C4751" i="1"/>
  <c r="D4750" i="1"/>
  <c r="C4750" i="1"/>
  <c r="D4749" i="1"/>
  <c r="C4749" i="1"/>
  <c r="D4748" i="1"/>
  <c r="C4748" i="1"/>
  <c r="D4747" i="1"/>
  <c r="C4747" i="1"/>
  <c r="D4746" i="1"/>
  <c r="C4746" i="1"/>
  <c r="D4745" i="1"/>
  <c r="C4745" i="1"/>
  <c r="D4744" i="1"/>
  <c r="C4744" i="1"/>
  <c r="D4743" i="1"/>
  <c r="C4743" i="1"/>
  <c r="D4742" i="1"/>
  <c r="C4742" i="1"/>
  <c r="D4741" i="1"/>
  <c r="C4741" i="1"/>
  <c r="D4740" i="1"/>
  <c r="C4740" i="1"/>
  <c r="D4739" i="1"/>
  <c r="C4739" i="1"/>
  <c r="D4738" i="1"/>
  <c r="C4738" i="1"/>
  <c r="D4737" i="1"/>
  <c r="C4737" i="1"/>
  <c r="D4736" i="1"/>
  <c r="C4736" i="1"/>
  <c r="D4735" i="1"/>
  <c r="C4735" i="1"/>
  <c r="D4734" i="1"/>
  <c r="C4734" i="1"/>
  <c r="D4733" i="1"/>
  <c r="C4733" i="1"/>
  <c r="D4732" i="1"/>
  <c r="C4732" i="1"/>
  <c r="D4731" i="1"/>
  <c r="C4731" i="1"/>
  <c r="D4730" i="1"/>
  <c r="C4730" i="1"/>
  <c r="D4729" i="1"/>
  <c r="C4729" i="1"/>
  <c r="D4728" i="1"/>
  <c r="C4728" i="1"/>
  <c r="D4727" i="1"/>
  <c r="C4727" i="1"/>
  <c r="D4726" i="1"/>
  <c r="C4726" i="1"/>
  <c r="D4725" i="1"/>
  <c r="C4725" i="1"/>
  <c r="D4724" i="1"/>
  <c r="C4724" i="1"/>
  <c r="D4723" i="1"/>
  <c r="C4723" i="1"/>
  <c r="D4722" i="1"/>
  <c r="C4722" i="1"/>
  <c r="D4721" i="1"/>
  <c r="C4721" i="1"/>
  <c r="D4720" i="1"/>
  <c r="C4720" i="1"/>
  <c r="D4719" i="1"/>
  <c r="C4719" i="1"/>
  <c r="D4718" i="1"/>
  <c r="C4718" i="1"/>
  <c r="D4717" i="1"/>
  <c r="C4717" i="1"/>
  <c r="D4716" i="1"/>
  <c r="C4716" i="1"/>
  <c r="D4715" i="1"/>
  <c r="C4715" i="1"/>
  <c r="D4714" i="1"/>
  <c r="C4714" i="1"/>
  <c r="D4713" i="1"/>
  <c r="C4713" i="1"/>
  <c r="D4712" i="1"/>
  <c r="C4712" i="1"/>
  <c r="D4711" i="1"/>
  <c r="C4711" i="1"/>
  <c r="D4710" i="1"/>
  <c r="C4710" i="1"/>
  <c r="D4709" i="1"/>
  <c r="C4709" i="1"/>
  <c r="D4708" i="1"/>
  <c r="C4708" i="1"/>
  <c r="D4707" i="1"/>
  <c r="C4707" i="1"/>
  <c r="D4706" i="1"/>
  <c r="C4706" i="1"/>
  <c r="D4705" i="1"/>
  <c r="C4705" i="1"/>
  <c r="D4704" i="1"/>
  <c r="C4704" i="1"/>
  <c r="D4703" i="1"/>
  <c r="C4703" i="1"/>
  <c r="D4702" i="1"/>
  <c r="C4702" i="1"/>
  <c r="D4701" i="1"/>
  <c r="C4701" i="1"/>
  <c r="D4700" i="1"/>
  <c r="C4700" i="1"/>
  <c r="D4699" i="1"/>
  <c r="C4699" i="1"/>
  <c r="D4698" i="1"/>
  <c r="C4698" i="1"/>
  <c r="D4697" i="1"/>
  <c r="C4697" i="1"/>
  <c r="D4696" i="1"/>
  <c r="C4696" i="1"/>
  <c r="D4695" i="1"/>
  <c r="C4695" i="1"/>
  <c r="D4694" i="1"/>
  <c r="C4694" i="1"/>
  <c r="D4693" i="1"/>
  <c r="C4693" i="1"/>
  <c r="D4692" i="1"/>
  <c r="C4692" i="1"/>
  <c r="D4691" i="1"/>
  <c r="C4691" i="1"/>
  <c r="D4690" i="1"/>
  <c r="C4690" i="1"/>
  <c r="D4689" i="1"/>
  <c r="C4689" i="1"/>
  <c r="D4688" i="1"/>
  <c r="C4688" i="1"/>
  <c r="D4687" i="1"/>
  <c r="C4687" i="1"/>
  <c r="D4686" i="1"/>
  <c r="C4686" i="1"/>
  <c r="D4685" i="1"/>
  <c r="C4685" i="1"/>
  <c r="D4684" i="1"/>
  <c r="C4684" i="1"/>
  <c r="D4683" i="1"/>
  <c r="C4683" i="1"/>
  <c r="D4682" i="1"/>
  <c r="C4682" i="1"/>
  <c r="D4681" i="1"/>
  <c r="C4681" i="1"/>
  <c r="D4680" i="1"/>
  <c r="C4680" i="1"/>
  <c r="D4679" i="1"/>
  <c r="C4679" i="1"/>
  <c r="D4678" i="1"/>
  <c r="C4678" i="1"/>
  <c r="D4677" i="1"/>
  <c r="C4677" i="1"/>
  <c r="D4676" i="1"/>
  <c r="C4676" i="1"/>
  <c r="D4675" i="1"/>
  <c r="C4675" i="1"/>
  <c r="D4674" i="1"/>
  <c r="C4674" i="1"/>
  <c r="D4673" i="1"/>
  <c r="C4673" i="1"/>
  <c r="D4672" i="1"/>
  <c r="C4672" i="1"/>
  <c r="D4671" i="1"/>
  <c r="C4671" i="1"/>
  <c r="D4670" i="1"/>
  <c r="C4670" i="1"/>
  <c r="D4669" i="1"/>
  <c r="C4669" i="1"/>
  <c r="D4668" i="1"/>
  <c r="C4668" i="1"/>
  <c r="D4667" i="1"/>
  <c r="C4667" i="1"/>
  <c r="D4666" i="1"/>
  <c r="C4666" i="1"/>
  <c r="D4665" i="1"/>
  <c r="C4665" i="1"/>
  <c r="D4664" i="1"/>
  <c r="C4664" i="1"/>
  <c r="D4663" i="1"/>
  <c r="C4663" i="1"/>
  <c r="D4662" i="1"/>
  <c r="C4662" i="1"/>
  <c r="D4661" i="1"/>
  <c r="C4661" i="1"/>
  <c r="D4660" i="1"/>
  <c r="C4660" i="1"/>
  <c r="D4659" i="1"/>
  <c r="C4659" i="1"/>
  <c r="D4658" i="1"/>
  <c r="C4658" i="1"/>
  <c r="D4657" i="1"/>
  <c r="C4657" i="1"/>
  <c r="D4656" i="1"/>
  <c r="C4656" i="1"/>
  <c r="D4655" i="1"/>
  <c r="C4655" i="1"/>
  <c r="D4654" i="1"/>
  <c r="C4654" i="1"/>
  <c r="D4653" i="1"/>
  <c r="C4653" i="1"/>
  <c r="D4652" i="1"/>
  <c r="C4652" i="1"/>
  <c r="D4651" i="1"/>
  <c r="C4651" i="1"/>
  <c r="D4650" i="1"/>
  <c r="C4650" i="1"/>
  <c r="D4649" i="1"/>
  <c r="C4649" i="1"/>
  <c r="D4648" i="1"/>
  <c r="C4648" i="1"/>
  <c r="D4647" i="1"/>
  <c r="C4647" i="1"/>
  <c r="D4646" i="1"/>
  <c r="C4646" i="1"/>
  <c r="D4645" i="1"/>
  <c r="C4645" i="1"/>
  <c r="D4644" i="1"/>
  <c r="C4644" i="1"/>
  <c r="D4643" i="1"/>
  <c r="C4643" i="1"/>
  <c r="D4642" i="1"/>
  <c r="C4642" i="1"/>
  <c r="D4641" i="1"/>
  <c r="C4641" i="1"/>
  <c r="D4640" i="1"/>
  <c r="C4640" i="1"/>
  <c r="D4639" i="1"/>
  <c r="C4639" i="1"/>
  <c r="D4638" i="1"/>
  <c r="C4638" i="1"/>
  <c r="D4637" i="1"/>
  <c r="C4637" i="1"/>
  <c r="D4636" i="1"/>
  <c r="C4636" i="1"/>
  <c r="D4635" i="1"/>
  <c r="C4635" i="1"/>
  <c r="D4634" i="1"/>
  <c r="C4634" i="1"/>
  <c r="D4633" i="1"/>
  <c r="C4633" i="1"/>
  <c r="D4632" i="1"/>
  <c r="C4632" i="1"/>
  <c r="D4631" i="1"/>
  <c r="C4631" i="1"/>
  <c r="D4630" i="1"/>
  <c r="C4630" i="1"/>
  <c r="D4629" i="1"/>
  <c r="C4629" i="1"/>
  <c r="D4628" i="1"/>
  <c r="C4628" i="1"/>
  <c r="D4627" i="1"/>
  <c r="C4627" i="1"/>
  <c r="D4626" i="1"/>
  <c r="C4626" i="1"/>
  <c r="D4625" i="1"/>
  <c r="C4625" i="1"/>
  <c r="D4624" i="1"/>
  <c r="C4624" i="1"/>
  <c r="D4623" i="1"/>
  <c r="C4623" i="1"/>
  <c r="D4622" i="1"/>
  <c r="C4622" i="1"/>
  <c r="D4621" i="1"/>
  <c r="C4621" i="1"/>
  <c r="D4620" i="1"/>
  <c r="C4620" i="1"/>
  <c r="D4619" i="1"/>
  <c r="C4619" i="1"/>
  <c r="D4618" i="1"/>
  <c r="C4618" i="1"/>
  <c r="D4617" i="1"/>
  <c r="C4617" i="1"/>
  <c r="D4616" i="1"/>
  <c r="C4616" i="1"/>
  <c r="D4615" i="1"/>
  <c r="C4615" i="1"/>
  <c r="D4614" i="1"/>
  <c r="C4614" i="1"/>
  <c r="D4613" i="1"/>
  <c r="C4613" i="1"/>
  <c r="D4612" i="1"/>
  <c r="C4612" i="1"/>
  <c r="D4611" i="1"/>
  <c r="C4611" i="1"/>
  <c r="D4610" i="1"/>
  <c r="C4610" i="1"/>
  <c r="D4609" i="1"/>
  <c r="C4609" i="1"/>
  <c r="D4608" i="1"/>
  <c r="C4608" i="1"/>
  <c r="D4607" i="1"/>
  <c r="C4607" i="1"/>
  <c r="D4606" i="1"/>
  <c r="C4606" i="1"/>
  <c r="D4605" i="1"/>
  <c r="C4605" i="1"/>
  <c r="D4604" i="1"/>
  <c r="C4604" i="1"/>
  <c r="D4603" i="1"/>
  <c r="C4603" i="1"/>
  <c r="D4602" i="1"/>
  <c r="C4602" i="1"/>
  <c r="D4601" i="1"/>
  <c r="C4601" i="1"/>
  <c r="D4600" i="1"/>
  <c r="C4600" i="1"/>
  <c r="D4599" i="1"/>
  <c r="C4599" i="1"/>
  <c r="D4598" i="1"/>
  <c r="C4598" i="1"/>
  <c r="D4597" i="1"/>
  <c r="C4597" i="1"/>
  <c r="D4596" i="1"/>
  <c r="C4596" i="1"/>
  <c r="D4595" i="1"/>
  <c r="C4595" i="1"/>
  <c r="D4594" i="1"/>
  <c r="C4594" i="1"/>
  <c r="D4593" i="1"/>
  <c r="C4593" i="1"/>
  <c r="D4592" i="1"/>
  <c r="C4592" i="1"/>
  <c r="D4591" i="1"/>
  <c r="C4591" i="1"/>
  <c r="D4590" i="1"/>
  <c r="C4590" i="1"/>
  <c r="D4589" i="1"/>
  <c r="C4589" i="1"/>
  <c r="D4588" i="1"/>
  <c r="C4588" i="1"/>
  <c r="D4587" i="1"/>
  <c r="C4587" i="1"/>
  <c r="D4586" i="1"/>
  <c r="C4586" i="1"/>
  <c r="D4585" i="1"/>
  <c r="C4585" i="1"/>
  <c r="D4584" i="1"/>
  <c r="C4584" i="1"/>
  <c r="D4583" i="1"/>
  <c r="C4583" i="1"/>
  <c r="D4582" i="1"/>
  <c r="C4582" i="1"/>
  <c r="D4581" i="1"/>
  <c r="C4581" i="1"/>
  <c r="D4580" i="1"/>
  <c r="C4580" i="1"/>
  <c r="D4579" i="1"/>
  <c r="C4579" i="1"/>
  <c r="D4578" i="1"/>
  <c r="C4578" i="1"/>
  <c r="D4577" i="1"/>
  <c r="C4577" i="1"/>
  <c r="D4576" i="1"/>
  <c r="C4576" i="1"/>
  <c r="D4575" i="1"/>
  <c r="C4575" i="1"/>
  <c r="D4574" i="1"/>
  <c r="C4574" i="1"/>
  <c r="D4573" i="1"/>
  <c r="C4573" i="1"/>
  <c r="D4572" i="1"/>
  <c r="C4572" i="1"/>
  <c r="D4571" i="1"/>
  <c r="C4571" i="1"/>
  <c r="D4570" i="1"/>
  <c r="C4570" i="1"/>
  <c r="D4569" i="1"/>
  <c r="C4569" i="1"/>
  <c r="D4568" i="1"/>
  <c r="C4568" i="1"/>
  <c r="D4567" i="1"/>
  <c r="C4567" i="1"/>
  <c r="D4566" i="1"/>
  <c r="C4566" i="1"/>
  <c r="D4565" i="1"/>
  <c r="C4565" i="1"/>
  <c r="D4564" i="1"/>
  <c r="C4564" i="1"/>
  <c r="D4563" i="1"/>
  <c r="C4563" i="1"/>
  <c r="D4562" i="1"/>
  <c r="C4562" i="1"/>
  <c r="D4561" i="1"/>
  <c r="C4561" i="1"/>
  <c r="D4560" i="1"/>
  <c r="C4560" i="1"/>
  <c r="D4559" i="1"/>
  <c r="C4559" i="1"/>
  <c r="D4558" i="1"/>
  <c r="C4558" i="1"/>
  <c r="D4557" i="1"/>
  <c r="C4557" i="1"/>
  <c r="D4556" i="1"/>
  <c r="C4556" i="1"/>
  <c r="D4555" i="1"/>
  <c r="C4555" i="1"/>
  <c r="D4554" i="1"/>
  <c r="C4554" i="1"/>
  <c r="D4553" i="1"/>
  <c r="C4553" i="1"/>
  <c r="D4552" i="1"/>
  <c r="C4552" i="1"/>
  <c r="D4551" i="1"/>
  <c r="C4551" i="1"/>
  <c r="D4550" i="1"/>
  <c r="C4550" i="1"/>
  <c r="D4549" i="1"/>
  <c r="C4549" i="1"/>
  <c r="D4548" i="1"/>
  <c r="C4548" i="1"/>
  <c r="D4547" i="1"/>
  <c r="C4547" i="1"/>
  <c r="D4546" i="1"/>
  <c r="C4546" i="1"/>
  <c r="D4545" i="1"/>
  <c r="C4545" i="1"/>
  <c r="D4544" i="1"/>
  <c r="C4544" i="1"/>
  <c r="D4543" i="1"/>
  <c r="C4543" i="1"/>
  <c r="D4542" i="1"/>
  <c r="C4542" i="1"/>
  <c r="D4541" i="1"/>
  <c r="C4541" i="1"/>
  <c r="D4540" i="1"/>
  <c r="C4540" i="1"/>
  <c r="D4539" i="1"/>
  <c r="C4539" i="1"/>
  <c r="D4538" i="1"/>
  <c r="C4538" i="1"/>
  <c r="D4537" i="1"/>
  <c r="C4537" i="1"/>
  <c r="D4536" i="1"/>
  <c r="C4536" i="1"/>
  <c r="D4535" i="1"/>
  <c r="C4535" i="1"/>
  <c r="D4534" i="1"/>
  <c r="C4534" i="1"/>
  <c r="D4533" i="1"/>
  <c r="C4533" i="1"/>
  <c r="D4532" i="1"/>
  <c r="C4532" i="1"/>
  <c r="D4531" i="1"/>
  <c r="C4531" i="1"/>
  <c r="D4530" i="1"/>
  <c r="C4530" i="1"/>
  <c r="D4529" i="1"/>
  <c r="C4529" i="1"/>
  <c r="D4528" i="1"/>
  <c r="C4528" i="1"/>
  <c r="D4527" i="1"/>
  <c r="C4527" i="1"/>
  <c r="D4526" i="1"/>
  <c r="C4526" i="1"/>
  <c r="D4525" i="1"/>
  <c r="C4525" i="1"/>
  <c r="D4524" i="1"/>
  <c r="C4524" i="1"/>
  <c r="D4523" i="1"/>
  <c r="C4523" i="1"/>
  <c r="D4522" i="1"/>
  <c r="C4522" i="1"/>
  <c r="D4521" i="1"/>
  <c r="C4521" i="1"/>
  <c r="D4520" i="1"/>
  <c r="C4520" i="1"/>
  <c r="D4519" i="1"/>
  <c r="C4519" i="1"/>
  <c r="D4518" i="1"/>
  <c r="C4518" i="1"/>
  <c r="D4517" i="1"/>
  <c r="C4517" i="1"/>
  <c r="D4516" i="1"/>
  <c r="C4516" i="1"/>
  <c r="D4515" i="1"/>
  <c r="C4515" i="1"/>
  <c r="D4514" i="1"/>
  <c r="C4514" i="1"/>
  <c r="D4513" i="1"/>
  <c r="C4513" i="1"/>
  <c r="D4512" i="1"/>
  <c r="C4512" i="1"/>
  <c r="D4511" i="1"/>
  <c r="C4511" i="1"/>
  <c r="D4510" i="1"/>
  <c r="C4510" i="1"/>
  <c r="D4509" i="1"/>
  <c r="C4509" i="1"/>
  <c r="D4508" i="1"/>
  <c r="C4508" i="1"/>
  <c r="D4507" i="1"/>
  <c r="C4507" i="1"/>
  <c r="D4506" i="1"/>
  <c r="C4506" i="1"/>
  <c r="D4505" i="1"/>
  <c r="C4505" i="1"/>
  <c r="D4504" i="1"/>
  <c r="C4504" i="1"/>
  <c r="D4503" i="1"/>
  <c r="C4503" i="1"/>
  <c r="D4502" i="1"/>
  <c r="C4502" i="1"/>
  <c r="D4501" i="1"/>
  <c r="C4501" i="1"/>
  <c r="D4500" i="1"/>
  <c r="C4500" i="1"/>
  <c r="D4499" i="1"/>
  <c r="C4499" i="1"/>
  <c r="D4498" i="1"/>
  <c r="C4498" i="1"/>
  <c r="D4497" i="1"/>
  <c r="C4497" i="1"/>
  <c r="D4496" i="1"/>
  <c r="C4496" i="1"/>
  <c r="D4495" i="1"/>
  <c r="C4495" i="1"/>
  <c r="D4494" i="1"/>
  <c r="C4494" i="1"/>
  <c r="D4493" i="1"/>
  <c r="C4493" i="1"/>
  <c r="D4492" i="1"/>
  <c r="C4492" i="1"/>
  <c r="D4491" i="1"/>
  <c r="C4491" i="1"/>
  <c r="D4490" i="1"/>
  <c r="C4490" i="1"/>
  <c r="D4489" i="1"/>
  <c r="C4489" i="1"/>
  <c r="D4488" i="1"/>
  <c r="C4488" i="1"/>
  <c r="D4487" i="1"/>
  <c r="C4487" i="1"/>
  <c r="D4486" i="1"/>
  <c r="C4486" i="1"/>
  <c r="D4485" i="1"/>
  <c r="C4485" i="1"/>
  <c r="D4484" i="1"/>
  <c r="C4484" i="1"/>
  <c r="D4483" i="1"/>
  <c r="C4483" i="1"/>
  <c r="D4482" i="1"/>
  <c r="C4482" i="1"/>
  <c r="D4481" i="1"/>
  <c r="C4481" i="1"/>
  <c r="D4480" i="1"/>
  <c r="C4480" i="1"/>
  <c r="D4479" i="1"/>
  <c r="C4479" i="1"/>
  <c r="D4478" i="1"/>
  <c r="C4478" i="1"/>
  <c r="D4477" i="1"/>
  <c r="C4477" i="1"/>
  <c r="D4476" i="1"/>
  <c r="C4476" i="1"/>
  <c r="D4475" i="1"/>
  <c r="C4475" i="1"/>
  <c r="D4474" i="1"/>
  <c r="C4474" i="1"/>
  <c r="D4473" i="1"/>
  <c r="C4473" i="1"/>
  <c r="D4472" i="1"/>
  <c r="C4472" i="1"/>
  <c r="D4471" i="1"/>
  <c r="C4471" i="1"/>
  <c r="D4470" i="1"/>
  <c r="C4470" i="1"/>
  <c r="D4469" i="1"/>
  <c r="C4469" i="1"/>
  <c r="D4468" i="1"/>
  <c r="C4468" i="1"/>
  <c r="D4467" i="1"/>
  <c r="C4467" i="1"/>
  <c r="D4466" i="1"/>
  <c r="C4466" i="1"/>
  <c r="D4465" i="1"/>
  <c r="C4465" i="1"/>
  <c r="D4464" i="1"/>
  <c r="C4464" i="1"/>
  <c r="D4463" i="1"/>
  <c r="C4463" i="1"/>
  <c r="D4462" i="1"/>
  <c r="C4462" i="1"/>
  <c r="D4461" i="1"/>
  <c r="C4461" i="1"/>
  <c r="D4460" i="1"/>
  <c r="C4460" i="1"/>
  <c r="D4459" i="1"/>
  <c r="C4459" i="1"/>
  <c r="D4458" i="1"/>
  <c r="C4458" i="1"/>
  <c r="D4457" i="1"/>
  <c r="C4457" i="1"/>
  <c r="D4456" i="1"/>
  <c r="C4456" i="1"/>
  <c r="D4455" i="1"/>
  <c r="C4455" i="1"/>
  <c r="D4454" i="1"/>
  <c r="C4454" i="1"/>
  <c r="D4453" i="1"/>
  <c r="C4453" i="1"/>
  <c r="D4452" i="1"/>
  <c r="C4452" i="1"/>
  <c r="D4451" i="1"/>
  <c r="C4451" i="1"/>
  <c r="D4450" i="1"/>
  <c r="C4450" i="1"/>
  <c r="D4449" i="1"/>
  <c r="C4449" i="1"/>
  <c r="D4448" i="1"/>
  <c r="C4448" i="1"/>
  <c r="D4447" i="1"/>
  <c r="C4447" i="1"/>
  <c r="D4446" i="1"/>
  <c r="C4446" i="1"/>
  <c r="D4445" i="1"/>
  <c r="C4445" i="1"/>
  <c r="D4444" i="1"/>
  <c r="C4444" i="1"/>
  <c r="D4443" i="1"/>
  <c r="C4443" i="1"/>
  <c r="D4442" i="1"/>
  <c r="C4442" i="1"/>
  <c r="D4441" i="1"/>
  <c r="C4441" i="1"/>
  <c r="D4440" i="1"/>
  <c r="C4440" i="1"/>
  <c r="D4439" i="1"/>
  <c r="C4439" i="1"/>
  <c r="D4438" i="1"/>
  <c r="C4438" i="1"/>
  <c r="D4437" i="1"/>
  <c r="C4437" i="1"/>
  <c r="D4436" i="1"/>
  <c r="C4436" i="1"/>
  <c r="D4435" i="1"/>
  <c r="C4435" i="1"/>
  <c r="D4434" i="1"/>
  <c r="C4434" i="1"/>
  <c r="D4433" i="1"/>
  <c r="C4433" i="1"/>
  <c r="D4432" i="1"/>
  <c r="C4432" i="1"/>
  <c r="D4431" i="1"/>
  <c r="C4431" i="1"/>
  <c r="D4430" i="1"/>
  <c r="C4430" i="1"/>
  <c r="D4429" i="1"/>
  <c r="C4429" i="1"/>
  <c r="D4428" i="1"/>
  <c r="C4428" i="1"/>
  <c r="D4427" i="1"/>
  <c r="C4427" i="1"/>
  <c r="D4426" i="1"/>
  <c r="C4426" i="1"/>
  <c r="D4425" i="1"/>
  <c r="C4425" i="1"/>
  <c r="D4424" i="1"/>
  <c r="C4424" i="1"/>
  <c r="D4423" i="1"/>
  <c r="C4423" i="1"/>
  <c r="D4422" i="1"/>
  <c r="C4422" i="1"/>
  <c r="D4421" i="1"/>
  <c r="C4421" i="1"/>
  <c r="D4420" i="1"/>
  <c r="C4420" i="1"/>
  <c r="D4419" i="1"/>
  <c r="C4419" i="1"/>
  <c r="D4418" i="1"/>
  <c r="C4418" i="1"/>
  <c r="D4417" i="1"/>
  <c r="C4417" i="1"/>
  <c r="D4416" i="1"/>
  <c r="C4416" i="1"/>
  <c r="D4415" i="1"/>
  <c r="C4415" i="1"/>
  <c r="D4414" i="1"/>
  <c r="C4414" i="1"/>
  <c r="D4413" i="1"/>
  <c r="C4413" i="1"/>
  <c r="D4412" i="1"/>
  <c r="C4412" i="1"/>
  <c r="D4411" i="1"/>
  <c r="C4411" i="1"/>
  <c r="D4410" i="1"/>
  <c r="C4410" i="1"/>
  <c r="D4409" i="1"/>
  <c r="C4409" i="1"/>
  <c r="D4408" i="1"/>
  <c r="C4408" i="1"/>
  <c r="D4407" i="1"/>
  <c r="C4407" i="1"/>
  <c r="D4406" i="1"/>
  <c r="C4406" i="1"/>
  <c r="D4405" i="1"/>
  <c r="C4405" i="1"/>
  <c r="D4404" i="1"/>
  <c r="C4404" i="1"/>
  <c r="D4403" i="1"/>
  <c r="C4403" i="1"/>
  <c r="D4402" i="1"/>
  <c r="C4402" i="1"/>
  <c r="D4401" i="1"/>
  <c r="C4401" i="1"/>
  <c r="D4400" i="1"/>
  <c r="C4400" i="1"/>
  <c r="D4399" i="1"/>
  <c r="C4399" i="1"/>
  <c r="D4398" i="1"/>
  <c r="C4398" i="1"/>
  <c r="D4397" i="1"/>
  <c r="C4397" i="1"/>
  <c r="D4396" i="1"/>
  <c r="C4396" i="1"/>
  <c r="D4395" i="1"/>
  <c r="C4395" i="1"/>
  <c r="D4394" i="1"/>
  <c r="C4394" i="1"/>
  <c r="D4393" i="1"/>
  <c r="C4393" i="1"/>
  <c r="D4392" i="1"/>
  <c r="C4392" i="1"/>
  <c r="D4391" i="1"/>
  <c r="C4391" i="1"/>
  <c r="D4390" i="1"/>
  <c r="C4390" i="1"/>
  <c r="D4389" i="1"/>
  <c r="C4389" i="1"/>
  <c r="D4388" i="1"/>
  <c r="C4388" i="1"/>
  <c r="D4387" i="1"/>
  <c r="C4387" i="1"/>
  <c r="D4386" i="1"/>
  <c r="C4386" i="1"/>
  <c r="D4385" i="1"/>
  <c r="C4385" i="1"/>
  <c r="D4384" i="1"/>
  <c r="C4384" i="1"/>
  <c r="D4383" i="1"/>
  <c r="C4383" i="1"/>
  <c r="D4382" i="1"/>
  <c r="C4382" i="1"/>
  <c r="D4381" i="1"/>
  <c r="C4381" i="1"/>
  <c r="D4380" i="1"/>
  <c r="C4380" i="1"/>
  <c r="D4379" i="1"/>
  <c r="C4379" i="1"/>
  <c r="D4378" i="1"/>
  <c r="C4378" i="1"/>
  <c r="D4377" i="1"/>
  <c r="C4377" i="1"/>
  <c r="D4376" i="1"/>
  <c r="C4376" i="1"/>
  <c r="D4375" i="1"/>
  <c r="C4375" i="1"/>
  <c r="D4374" i="1"/>
  <c r="C4374" i="1"/>
  <c r="D4373" i="1"/>
  <c r="C4373" i="1"/>
  <c r="D4372" i="1"/>
  <c r="C4372" i="1"/>
  <c r="D4371" i="1"/>
  <c r="C4371" i="1"/>
  <c r="D4370" i="1"/>
  <c r="C4370" i="1"/>
  <c r="D4369" i="1"/>
  <c r="C4369" i="1"/>
  <c r="D4368" i="1"/>
  <c r="C4368" i="1"/>
  <c r="D4367" i="1"/>
  <c r="C4367" i="1"/>
  <c r="D4366" i="1"/>
  <c r="C4366" i="1"/>
  <c r="D4365" i="1"/>
  <c r="C4365" i="1"/>
  <c r="D4364" i="1"/>
  <c r="C4364" i="1"/>
  <c r="D4363" i="1"/>
  <c r="C4363" i="1"/>
  <c r="D4362" i="1"/>
  <c r="C4362" i="1"/>
  <c r="D4361" i="1"/>
  <c r="C4361" i="1"/>
  <c r="D4360" i="1"/>
  <c r="C4360" i="1"/>
  <c r="D4359" i="1"/>
  <c r="C4359" i="1"/>
  <c r="D4358" i="1"/>
  <c r="C4358" i="1"/>
  <c r="D4357" i="1"/>
  <c r="C4357" i="1"/>
  <c r="D4356" i="1"/>
  <c r="C4356" i="1"/>
  <c r="D4355" i="1"/>
  <c r="C4355" i="1"/>
  <c r="D4354" i="1"/>
  <c r="C4354" i="1"/>
  <c r="D4353" i="1"/>
  <c r="C4353" i="1"/>
  <c r="D4352" i="1"/>
  <c r="C4352" i="1"/>
  <c r="D4351" i="1"/>
  <c r="C4351" i="1"/>
  <c r="D4350" i="1"/>
  <c r="C4350" i="1"/>
  <c r="D4349" i="1"/>
  <c r="C4349" i="1"/>
  <c r="D4348" i="1"/>
  <c r="C4348" i="1"/>
  <c r="D4347" i="1"/>
  <c r="C4347" i="1"/>
  <c r="D4346" i="1"/>
  <c r="C4346" i="1"/>
  <c r="D4345" i="1"/>
  <c r="C4345" i="1"/>
  <c r="D4344" i="1"/>
  <c r="C4344" i="1"/>
  <c r="D4343" i="1"/>
  <c r="C4343" i="1"/>
  <c r="D4342" i="1"/>
  <c r="C4342" i="1"/>
  <c r="D4341" i="1"/>
  <c r="C4341" i="1"/>
  <c r="D4340" i="1"/>
  <c r="C4340" i="1"/>
  <c r="D4339" i="1"/>
  <c r="C4339" i="1"/>
  <c r="D4338" i="1"/>
  <c r="C4338" i="1"/>
  <c r="D4337" i="1"/>
  <c r="C4337" i="1"/>
  <c r="D4336" i="1"/>
  <c r="C4336" i="1"/>
  <c r="D4335" i="1"/>
  <c r="C4335" i="1"/>
  <c r="D4334" i="1"/>
  <c r="C4334" i="1"/>
  <c r="D4333" i="1"/>
  <c r="C4333" i="1"/>
  <c r="D4332" i="1"/>
  <c r="C4332" i="1"/>
  <c r="D4331" i="1"/>
  <c r="C4331" i="1"/>
  <c r="D4330" i="1"/>
  <c r="C4330" i="1"/>
  <c r="D4329" i="1"/>
  <c r="C4329" i="1"/>
  <c r="D4328" i="1"/>
  <c r="C4328" i="1"/>
  <c r="D4327" i="1"/>
  <c r="C4327" i="1"/>
  <c r="D4326" i="1"/>
  <c r="C4326" i="1"/>
  <c r="D4325" i="1"/>
  <c r="C4325" i="1"/>
  <c r="D4324" i="1"/>
  <c r="C4324" i="1"/>
  <c r="D4323" i="1"/>
  <c r="C4323" i="1"/>
  <c r="D4322" i="1"/>
  <c r="C4322" i="1"/>
  <c r="D4321" i="1"/>
  <c r="C4321" i="1"/>
  <c r="D4320" i="1"/>
  <c r="C4320" i="1"/>
  <c r="D4319" i="1"/>
  <c r="C4319" i="1"/>
  <c r="D4318" i="1"/>
  <c r="C4318" i="1"/>
  <c r="D4317" i="1"/>
  <c r="C4317" i="1"/>
  <c r="D4316" i="1"/>
  <c r="C4316" i="1"/>
  <c r="D4315" i="1"/>
  <c r="C4315" i="1"/>
  <c r="D4314" i="1"/>
  <c r="C4314" i="1"/>
  <c r="D4313" i="1"/>
  <c r="C4313" i="1"/>
  <c r="D4312" i="1"/>
  <c r="C4312" i="1"/>
  <c r="D4311" i="1"/>
  <c r="C4311" i="1"/>
  <c r="D4310" i="1"/>
  <c r="C4310" i="1"/>
  <c r="D4309" i="1"/>
  <c r="C4309" i="1"/>
  <c r="D4308" i="1"/>
  <c r="C4308" i="1"/>
  <c r="D4307" i="1"/>
  <c r="C4307" i="1"/>
  <c r="D4306" i="1"/>
  <c r="C4306" i="1"/>
  <c r="D4305" i="1"/>
  <c r="C4305" i="1"/>
  <c r="D4304" i="1"/>
  <c r="C4304" i="1"/>
  <c r="D4303" i="1"/>
  <c r="C4303" i="1"/>
  <c r="D4302" i="1"/>
  <c r="C4302" i="1"/>
  <c r="D4301" i="1"/>
  <c r="C4301" i="1"/>
  <c r="D4300" i="1"/>
  <c r="C4300" i="1"/>
  <c r="D4299" i="1"/>
  <c r="C4299" i="1"/>
  <c r="D4298" i="1"/>
  <c r="C4298" i="1"/>
  <c r="D4297" i="1"/>
  <c r="C4297" i="1"/>
  <c r="D4296" i="1"/>
  <c r="C4296" i="1"/>
  <c r="D4295" i="1"/>
  <c r="C4295" i="1"/>
  <c r="D4294" i="1"/>
  <c r="C4294" i="1"/>
  <c r="D4293" i="1"/>
  <c r="C4293" i="1"/>
  <c r="D4292" i="1"/>
  <c r="C4292" i="1"/>
  <c r="D4291" i="1"/>
  <c r="C4291" i="1"/>
  <c r="D4290" i="1"/>
  <c r="C4290" i="1"/>
  <c r="D4289" i="1"/>
  <c r="C4289" i="1"/>
  <c r="D4288" i="1"/>
  <c r="C4288" i="1"/>
  <c r="D4287" i="1"/>
  <c r="C4287" i="1"/>
  <c r="D4286" i="1"/>
  <c r="C4286" i="1"/>
  <c r="D4285" i="1"/>
  <c r="C4285" i="1"/>
  <c r="D4284" i="1"/>
  <c r="C4284" i="1"/>
  <c r="D4283" i="1"/>
  <c r="C4283" i="1"/>
  <c r="D4282" i="1"/>
  <c r="C4282" i="1"/>
  <c r="D4281" i="1"/>
  <c r="C4281" i="1"/>
  <c r="D4280" i="1"/>
  <c r="C4280" i="1"/>
  <c r="D4279" i="1"/>
  <c r="C4279" i="1"/>
  <c r="D4278" i="1"/>
  <c r="C4278" i="1"/>
  <c r="D4277" i="1"/>
  <c r="C4277" i="1"/>
  <c r="D4276" i="1"/>
  <c r="C4276" i="1"/>
  <c r="D4275" i="1"/>
  <c r="C4275" i="1"/>
  <c r="D4274" i="1"/>
  <c r="C4274" i="1"/>
  <c r="D4273" i="1"/>
  <c r="C4273" i="1"/>
  <c r="D4272" i="1"/>
  <c r="C4272" i="1"/>
  <c r="D4271" i="1"/>
  <c r="C4271" i="1"/>
  <c r="D4270" i="1"/>
  <c r="C4270" i="1"/>
  <c r="D4269" i="1"/>
  <c r="C4269" i="1"/>
  <c r="D4268" i="1"/>
  <c r="C4268" i="1"/>
  <c r="D4267" i="1"/>
  <c r="C4267" i="1"/>
  <c r="D4266" i="1"/>
  <c r="C4266" i="1"/>
  <c r="D4265" i="1"/>
  <c r="C4265" i="1"/>
  <c r="D4264" i="1"/>
  <c r="C4264" i="1"/>
  <c r="D4263" i="1"/>
  <c r="C4263" i="1"/>
  <c r="D4262" i="1"/>
  <c r="C4262" i="1"/>
  <c r="D4261" i="1"/>
  <c r="C4261" i="1"/>
  <c r="D4260" i="1"/>
  <c r="C4260" i="1"/>
  <c r="D4259" i="1"/>
  <c r="C4259" i="1"/>
  <c r="D4258" i="1"/>
  <c r="C4258" i="1"/>
  <c r="D4257" i="1"/>
  <c r="C4257" i="1"/>
  <c r="D4256" i="1"/>
  <c r="C4256" i="1"/>
  <c r="D4255" i="1"/>
  <c r="C4255" i="1"/>
  <c r="D4254" i="1"/>
  <c r="C4254" i="1"/>
  <c r="D4253" i="1"/>
  <c r="C4253" i="1"/>
  <c r="D4252" i="1"/>
  <c r="C4252" i="1"/>
  <c r="D4251" i="1"/>
  <c r="C4251" i="1"/>
  <c r="D4250" i="1"/>
  <c r="C4250" i="1"/>
  <c r="D4249" i="1"/>
  <c r="C4249" i="1"/>
  <c r="D4248" i="1"/>
  <c r="C4248" i="1"/>
  <c r="D4247" i="1"/>
  <c r="C4247" i="1"/>
  <c r="D4246" i="1"/>
  <c r="C4246" i="1"/>
  <c r="D4245" i="1"/>
  <c r="C4245" i="1"/>
  <c r="D4244" i="1"/>
  <c r="C4244" i="1"/>
  <c r="D4243" i="1"/>
  <c r="C4243" i="1"/>
  <c r="D4242" i="1"/>
  <c r="C4242" i="1"/>
  <c r="D4241" i="1"/>
  <c r="C4241" i="1"/>
  <c r="D4240" i="1"/>
  <c r="C4240" i="1"/>
  <c r="D4239" i="1"/>
  <c r="C4239" i="1"/>
  <c r="D4238" i="1"/>
  <c r="C4238" i="1"/>
  <c r="D4237" i="1"/>
  <c r="C4237" i="1"/>
  <c r="D4236" i="1"/>
  <c r="C4236" i="1"/>
  <c r="D4235" i="1"/>
  <c r="C4235" i="1"/>
  <c r="D4234" i="1"/>
  <c r="C4234" i="1"/>
  <c r="D4233" i="1"/>
  <c r="C4233" i="1"/>
  <c r="D4232" i="1"/>
  <c r="C4232" i="1"/>
  <c r="D4231" i="1"/>
  <c r="C4231" i="1"/>
  <c r="D4230" i="1"/>
  <c r="C4230" i="1"/>
  <c r="D4229" i="1"/>
  <c r="C4229" i="1"/>
  <c r="D4228" i="1"/>
  <c r="C4228" i="1"/>
  <c r="D4227" i="1"/>
  <c r="C4227" i="1"/>
  <c r="D4226" i="1"/>
  <c r="C4226" i="1"/>
  <c r="D4225" i="1"/>
  <c r="C4225" i="1"/>
  <c r="D4224" i="1"/>
  <c r="C4224" i="1"/>
  <c r="D4223" i="1"/>
  <c r="C4223" i="1"/>
  <c r="D4222" i="1"/>
  <c r="C4222" i="1"/>
  <c r="D4221" i="1"/>
  <c r="C4221" i="1"/>
  <c r="D4220" i="1"/>
  <c r="C4220" i="1"/>
  <c r="D4219" i="1"/>
  <c r="C4219" i="1"/>
  <c r="D4218" i="1"/>
  <c r="C4218" i="1"/>
  <c r="D4217" i="1"/>
  <c r="C4217" i="1"/>
  <c r="D4216" i="1"/>
  <c r="C4216" i="1"/>
  <c r="D4215" i="1"/>
  <c r="C4215" i="1"/>
  <c r="D4214" i="1"/>
  <c r="C4214" i="1"/>
  <c r="D4213" i="1"/>
  <c r="C4213" i="1"/>
  <c r="D4212" i="1"/>
  <c r="C4212" i="1"/>
  <c r="D4211" i="1"/>
  <c r="C4211" i="1"/>
  <c r="D4210" i="1"/>
  <c r="C4210" i="1"/>
  <c r="D4209" i="1"/>
  <c r="C4209" i="1"/>
  <c r="D4208" i="1"/>
  <c r="C4208" i="1"/>
  <c r="D4207" i="1"/>
  <c r="C4207" i="1"/>
  <c r="D4206" i="1"/>
  <c r="C4206" i="1"/>
  <c r="D4205" i="1"/>
  <c r="C4205" i="1"/>
  <c r="D4204" i="1"/>
  <c r="C4204" i="1"/>
  <c r="D4203" i="1"/>
  <c r="C4203" i="1"/>
  <c r="D4202" i="1"/>
  <c r="C4202" i="1"/>
  <c r="D4201" i="1"/>
  <c r="C4201" i="1"/>
  <c r="D4200" i="1"/>
  <c r="C4200" i="1"/>
  <c r="D4199" i="1"/>
  <c r="C4199" i="1"/>
  <c r="D4198" i="1"/>
  <c r="C4198" i="1"/>
  <c r="D4197" i="1"/>
  <c r="C4197" i="1"/>
  <c r="D4196" i="1"/>
  <c r="C4196" i="1"/>
  <c r="D4195" i="1"/>
  <c r="C4195" i="1"/>
  <c r="D4194" i="1"/>
  <c r="C4194" i="1"/>
  <c r="D4193" i="1"/>
  <c r="C4193" i="1"/>
  <c r="D4192" i="1"/>
  <c r="C4192" i="1"/>
  <c r="D4191" i="1"/>
  <c r="C4191" i="1"/>
  <c r="D4190" i="1"/>
  <c r="C4190" i="1"/>
  <c r="D4189" i="1"/>
  <c r="C4189" i="1"/>
  <c r="D4188" i="1"/>
  <c r="C4188" i="1"/>
  <c r="D4187" i="1"/>
  <c r="C4187" i="1"/>
  <c r="D4186" i="1"/>
  <c r="C4186" i="1"/>
  <c r="D4185" i="1"/>
  <c r="C4185" i="1"/>
  <c r="D4184" i="1"/>
  <c r="C4184" i="1"/>
  <c r="D4183" i="1"/>
  <c r="C4183" i="1"/>
  <c r="D4182" i="1"/>
  <c r="C4182" i="1"/>
  <c r="D4181" i="1"/>
  <c r="C4181" i="1"/>
  <c r="D4180" i="1"/>
  <c r="C4180" i="1"/>
  <c r="D4179" i="1"/>
  <c r="C4179" i="1"/>
  <c r="D4178" i="1"/>
  <c r="C4178" i="1"/>
  <c r="D4177" i="1"/>
  <c r="C4177" i="1"/>
  <c r="D4176" i="1"/>
  <c r="C4176" i="1"/>
  <c r="D4175" i="1"/>
  <c r="C4175" i="1"/>
  <c r="D4174" i="1"/>
  <c r="C4174" i="1"/>
  <c r="D4173" i="1"/>
  <c r="C4173" i="1"/>
  <c r="D4172" i="1"/>
  <c r="C4172" i="1"/>
  <c r="D4171" i="1"/>
  <c r="C4171" i="1"/>
  <c r="D4170" i="1"/>
  <c r="C4170" i="1"/>
  <c r="D4169" i="1"/>
  <c r="C4169" i="1"/>
  <c r="D4168" i="1"/>
  <c r="C4168" i="1"/>
  <c r="D4167" i="1"/>
  <c r="C4167" i="1"/>
  <c r="D4166" i="1"/>
  <c r="C4166" i="1"/>
  <c r="D4165" i="1"/>
  <c r="C4165" i="1"/>
  <c r="D4164" i="1"/>
  <c r="C4164" i="1"/>
  <c r="D4163" i="1"/>
  <c r="C4163" i="1"/>
  <c r="D4162" i="1"/>
  <c r="C4162" i="1"/>
  <c r="D4161" i="1"/>
  <c r="C4161" i="1"/>
  <c r="D4160" i="1"/>
  <c r="C4160" i="1"/>
  <c r="D4159" i="1"/>
  <c r="C4159" i="1"/>
  <c r="D4158" i="1"/>
  <c r="C4158" i="1"/>
  <c r="D4157" i="1"/>
  <c r="C4157" i="1"/>
  <c r="D4156" i="1"/>
  <c r="C4156" i="1"/>
  <c r="D4155" i="1"/>
  <c r="C4155" i="1"/>
  <c r="D4154" i="1"/>
  <c r="C4154" i="1"/>
  <c r="D4153" i="1"/>
  <c r="C4153" i="1"/>
  <c r="D4152" i="1"/>
  <c r="C4152" i="1"/>
  <c r="D4151" i="1"/>
  <c r="C4151" i="1"/>
  <c r="D4150" i="1"/>
  <c r="C4150" i="1"/>
  <c r="D4149" i="1"/>
  <c r="C4149" i="1"/>
  <c r="D4148" i="1"/>
  <c r="C4148" i="1"/>
  <c r="D4147" i="1"/>
  <c r="C4147" i="1"/>
  <c r="D4146" i="1"/>
  <c r="C4146" i="1"/>
  <c r="D4145" i="1"/>
  <c r="C4145" i="1"/>
  <c r="D4144" i="1"/>
  <c r="C4144" i="1"/>
  <c r="D4143" i="1"/>
  <c r="C4143" i="1"/>
  <c r="D4142" i="1"/>
  <c r="C4142" i="1"/>
  <c r="D4141" i="1"/>
  <c r="C4141" i="1"/>
  <c r="D4140" i="1"/>
  <c r="C4140" i="1"/>
  <c r="D4139" i="1"/>
  <c r="C4139" i="1"/>
  <c r="D4138" i="1"/>
  <c r="C4138" i="1"/>
  <c r="D4137" i="1"/>
  <c r="C4137" i="1"/>
  <c r="D4136" i="1"/>
  <c r="C4136" i="1"/>
  <c r="D4135" i="1"/>
  <c r="C4135" i="1"/>
  <c r="D4134" i="1"/>
  <c r="C4134" i="1"/>
  <c r="D4133" i="1"/>
  <c r="C4133" i="1"/>
  <c r="D4132" i="1"/>
  <c r="C4132" i="1"/>
  <c r="D4131" i="1"/>
  <c r="C4131" i="1"/>
  <c r="D4130" i="1"/>
  <c r="C4130" i="1"/>
  <c r="D4129" i="1"/>
  <c r="C4129" i="1"/>
  <c r="D4128" i="1"/>
  <c r="C4128" i="1"/>
  <c r="D4127" i="1"/>
  <c r="C4127" i="1"/>
  <c r="D4126" i="1"/>
  <c r="C4126" i="1"/>
  <c r="D4125" i="1"/>
  <c r="C4125" i="1"/>
  <c r="D4124" i="1"/>
  <c r="C4124" i="1"/>
  <c r="D4123" i="1"/>
  <c r="C4123" i="1"/>
  <c r="D4122" i="1"/>
  <c r="C4122" i="1"/>
  <c r="D4121" i="1"/>
  <c r="C4121" i="1"/>
  <c r="D4120" i="1"/>
  <c r="C4120" i="1"/>
  <c r="D4119" i="1"/>
  <c r="C4119" i="1"/>
  <c r="D4118" i="1"/>
  <c r="C4118" i="1"/>
  <c r="D4117" i="1"/>
  <c r="C4117" i="1"/>
  <c r="D4116" i="1"/>
  <c r="C4116" i="1"/>
  <c r="D4115" i="1"/>
  <c r="C4115" i="1"/>
  <c r="D4114" i="1"/>
  <c r="C4114" i="1"/>
  <c r="D4113" i="1"/>
  <c r="C4113" i="1"/>
  <c r="D4112" i="1"/>
  <c r="C4112" i="1"/>
  <c r="D4111" i="1"/>
  <c r="C4111" i="1"/>
  <c r="D4110" i="1"/>
  <c r="C4110" i="1"/>
  <c r="D4109" i="1"/>
  <c r="C4109" i="1"/>
  <c r="D4108" i="1"/>
  <c r="C4108" i="1"/>
  <c r="D4107" i="1"/>
  <c r="C4107" i="1"/>
  <c r="D4106" i="1"/>
  <c r="C4106" i="1"/>
  <c r="D4105" i="1"/>
  <c r="C4105" i="1"/>
  <c r="D4104" i="1"/>
  <c r="C4104" i="1"/>
  <c r="D4103" i="1"/>
  <c r="C4103" i="1"/>
  <c r="D4102" i="1"/>
  <c r="C4102" i="1"/>
  <c r="D4101" i="1"/>
  <c r="C4101" i="1"/>
  <c r="D4100" i="1"/>
  <c r="C4100" i="1"/>
  <c r="D4099" i="1"/>
  <c r="C4099" i="1"/>
  <c r="D4098" i="1"/>
  <c r="C4098" i="1"/>
  <c r="D4097" i="1"/>
  <c r="C4097" i="1"/>
  <c r="D4096" i="1"/>
  <c r="C4096" i="1"/>
  <c r="D4095" i="1"/>
  <c r="C4095" i="1"/>
  <c r="D4094" i="1"/>
  <c r="C4094" i="1"/>
  <c r="D4093" i="1"/>
  <c r="C4093" i="1"/>
  <c r="D4092" i="1"/>
  <c r="C4092" i="1"/>
  <c r="D4091" i="1"/>
  <c r="C4091" i="1"/>
  <c r="D4090" i="1"/>
  <c r="C4090" i="1"/>
  <c r="D4089" i="1"/>
  <c r="C4089" i="1"/>
  <c r="D4088" i="1"/>
  <c r="C4088" i="1"/>
  <c r="D4087" i="1"/>
  <c r="C4087" i="1"/>
  <c r="D4086" i="1"/>
  <c r="C4086" i="1"/>
  <c r="D4085" i="1"/>
  <c r="C4085" i="1"/>
  <c r="D4084" i="1"/>
  <c r="C4084" i="1"/>
  <c r="D4083" i="1"/>
  <c r="C4083" i="1"/>
  <c r="D4082" i="1"/>
  <c r="C4082" i="1"/>
  <c r="D4081" i="1"/>
  <c r="C4081" i="1"/>
  <c r="D4080" i="1"/>
  <c r="C4080" i="1"/>
  <c r="D4079" i="1"/>
  <c r="C4079" i="1"/>
  <c r="D4078" i="1"/>
  <c r="C4078" i="1"/>
  <c r="D4077" i="1"/>
  <c r="C4077" i="1"/>
  <c r="D4076" i="1"/>
  <c r="C4076" i="1"/>
  <c r="D4075" i="1"/>
  <c r="C4075" i="1"/>
  <c r="D4074" i="1"/>
  <c r="C4074" i="1"/>
  <c r="D4073" i="1"/>
  <c r="C4073" i="1"/>
  <c r="D4072" i="1"/>
  <c r="C4072" i="1"/>
  <c r="D4071" i="1"/>
  <c r="C4071" i="1"/>
  <c r="D4070" i="1"/>
  <c r="C4070" i="1"/>
  <c r="D4069" i="1"/>
  <c r="C4069" i="1"/>
  <c r="D4068" i="1"/>
  <c r="C4068" i="1"/>
  <c r="D4067" i="1"/>
  <c r="C4067" i="1"/>
  <c r="D4066" i="1"/>
  <c r="C4066" i="1"/>
  <c r="D4065" i="1"/>
  <c r="C4065" i="1"/>
  <c r="D4064" i="1"/>
  <c r="C4064" i="1"/>
  <c r="D4063" i="1"/>
  <c r="C4063" i="1"/>
  <c r="D4062" i="1"/>
  <c r="C4062" i="1"/>
  <c r="D4061" i="1"/>
  <c r="C4061" i="1"/>
  <c r="D4060" i="1"/>
  <c r="C4060" i="1"/>
  <c r="D4059" i="1"/>
  <c r="C4059" i="1"/>
  <c r="D4058" i="1"/>
  <c r="C4058" i="1"/>
  <c r="D4057" i="1"/>
  <c r="C4057" i="1"/>
  <c r="D4056" i="1"/>
  <c r="C4056" i="1"/>
  <c r="D4055" i="1"/>
  <c r="C4055" i="1"/>
  <c r="D4054" i="1"/>
  <c r="C4054" i="1"/>
  <c r="D4053" i="1"/>
  <c r="C4053" i="1"/>
  <c r="D4052" i="1"/>
  <c r="C4052" i="1"/>
  <c r="D4051" i="1"/>
  <c r="C4051" i="1"/>
  <c r="D4050" i="1"/>
  <c r="C4050" i="1"/>
  <c r="D4049" i="1"/>
  <c r="C4049" i="1"/>
  <c r="D4048" i="1"/>
  <c r="C4048" i="1"/>
  <c r="D4047" i="1"/>
  <c r="C4047" i="1"/>
  <c r="D4046" i="1"/>
  <c r="C4046" i="1"/>
  <c r="D4045" i="1"/>
  <c r="C4045" i="1"/>
  <c r="D4044" i="1"/>
  <c r="C4044" i="1"/>
  <c r="D4043" i="1"/>
  <c r="C4043" i="1"/>
  <c r="D4042" i="1"/>
  <c r="C4042" i="1"/>
  <c r="D4041" i="1"/>
  <c r="C4041" i="1"/>
  <c r="D4040" i="1"/>
  <c r="C4040" i="1"/>
  <c r="D4039" i="1"/>
  <c r="C4039" i="1"/>
  <c r="D4038" i="1"/>
  <c r="C4038" i="1"/>
  <c r="D4037" i="1"/>
  <c r="C4037" i="1"/>
  <c r="D4036" i="1"/>
  <c r="C4036" i="1"/>
  <c r="D4035" i="1"/>
  <c r="C4035" i="1"/>
  <c r="D4034" i="1"/>
  <c r="C4034" i="1"/>
  <c r="D4033" i="1"/>
  <c r="C4033" i="1"/>
  <c r="D4032" i="1"/>
  <c r="C4032" i="1"/>
  <c r="D4031" i="1"/>
  <c r="C4031" i="1"/>
  <c r="D4030" i="1"/>
  <c r="C4030" i="1"/>
  <c r="D4029" i="1"/>
  <c r="C4029" i="1"/>
  <c r="D4028" i="1"/>
  <c r="C4028" i="1"/>
  <c r="D4027" i="1"/>
  <c r="C4027" i="1"/>
  <c r="D4026" i="1"/>
  <c r="C4026" i="1"/>
  <c r="D4025" i="1"/>
  <c r="C4025" i="1"/>
  <c r="D4024" i="1"/>
  <c r="C4024" i="1"/>
  <c r="D4023" i="1"/>
  <c r="C4023" i="1"/>
  <c r="D4022" i="1"/>
  <c r="C4022" i="1"/>
  <c r="D4021" i="1"/>
  <c r="C4021" i="1"/>
  <c r="D4020" i="1"/>
  <c r="C4020" i="1"/>
  <c r="D4019" i="1"/>
  <c r="C4019" i="1"/>
  <c r="D4018" i="1"/>
  <c r="C4018" i="1"/>
  <c r="D4017" i="1"/>
  <c r="C4017" i="1"/>
  <c r="D4016" i="1"/>
  <c r="C4016" i="1"/>
  <c r="D4015" i="1"/>
  <c r="C4015" i="1"/>
  <c r="D4014" i="1"/>
  <c r="C4014" i="1"/>
  <c r="D4013" i="1"/>
  <c r="C4013" i="1"/>
  <c r="D4012" i="1"/>
  <c r="C4012" i="1"/>
  <c r="D4011" i="1"/>
  <c r="C4011" i="1"/>
  <c r="D4010" i="1"/>
  <c r="C4010" i="1"/>
  <c r="D4009" i="1"/>
  <c r="C4009" i="1"/>
  <c r="D4008" i="1"/>
  <c r="C4008" i="1"/>
  <c r="D4007" i="1"/>
  <c r="C4007" i="1"/>
  <c r="D4006" i="1"/>
  <c r="C4006" i="1"/>
  <c r="D4005" i="1"/>
  <c r="C4005" i="1"/>
  <c r="D4004" i="1"/>
  <c r="C4004" i="1"/>
  <c r="D4003" i="1"/>
  <c r="C4003" i="1"/>
  <c r="D4002" i="1"/>
  <c r="C4002" i="1"/>
  <c r="D4001" i="1"/>
  <c r="C4001" i="1"/>
  <c r="D4000" i="1"/>
  <c r="C4000" i="1"/>
  <c r="D3999" i="1"/>
  <c r="C3999" i="1"/>
  <c r="D3998" i="1"/>
  <c r="C3998" i="1"/>
  <c r="D3997" i="1"/>
  <c r="C3997" i="1"/>
  <c r="D3996" i="1"/>
  <c r="C3996" i="1"/>
  <c r="D3995" i="1"/>
  <c r="C3995" i="1"/>
  <c r="D3994" i="1"/>
  <c r="C3994" i="1"/>
  <c r="D3993" i="1"/>
  <c r="C3993" i="1"/>
  <c r="D3992" i="1"/>
  <c r="C3992" i="1"/>
  <c r="D3991" i="1"/>
  <c r="C3991" i="1"/>
  <c r="D3990" i="1"/>
  <c r="C3990" i="1"/>
  <c r="D3989" i="1"/>
  <c r="C3989" i="1"/>
  <c r="D3988" i="1"/>
  <c r="C3988" i="1"/>
  <c r="D3987" i="1"/>
  <c r="C3987" i="1"/>
  <c r="D3986" i="1"/>
  <c r="C3986" i="1"/>
  <c r="D3985" i="1"/>
  <c r="C3985" i="1"/>
  <c r="D3984" i="1"/>
  <c r="C3984" i="1"/>
  <c r="D3983" i="1"/>
  <c r="C3983" i="1"/>
  <c r="D3982" i="1"/>
  <c r="C3982" i="1"/>
  <c r="D3981" i="1"/>
  <c r="C3981" i="1"/>
  <c r="D3980" i="1"/>
  <c r="C3980" i="1"/>
  <c r="D3979" i="1"/>
  <c r="C3979" i="1"/>
  <c r="D3978" i="1"/>
  <c r="C3978" i="1"/>
  <c r="D3977" i="1"/>
  <c r="C3977" i="1"/>
  <c r="D3976" i="1"/>
  <c r="C3976" i="1"/>
  <c r="D3975" i="1"/>
  <c r="C3975" i="1"/>
  <c r="D3974" i="1"/>
  <c r="C3974" i="1"/>
  <c r="D3973" i="1"/>
  <c r="C3973" i="1"/>
  <c r="D3972" i="1"/>
  <c r="C3972" i="1"/>
  <c r="D3971" i="1"/>
  <c r="C3971" i="1"/>
  <c r="D3970" i="1"/>
  <c r="C3970" i="1"/>
  <c r="D3969" i="1"/>
  <c r="C3969" i="1"/>
  <c r="D3968" i="1"/>
  <c r="C3968" i="1"/>
  <c r="D3967" i="1"/>
  <c r="C3967" i="1"/>
  <c r="D3966" i="1"/>
  <c r="C3966" i="1"/>
  <c r="D3965" i="1"/>
  <c r="C3965" i="1"/>
  <c r="D3964" i="1"/>
  <c r="C3964" i="1"/>
  <c r="D3963" i="1"/>
  <c r="C3963" i="1"/>
  <c r="D3962" i="1"/>
  <c r="C3962" i="1"/>
  <c r="D3961" i="1"/>
  <c r="C3961" i="1"/>
  <c r="D3960" i="1"/>
  <c r="C3960" i="1"/>
  <c r="D3959" i="1"/>
  <c r="C3959" i="1"/>
  <c r="D3958" i="1"/>
  <c r="C3958" i="1"/>
  <c r="D3957" i="1"/>
  <c r="C3957" i="1"/>
  <c r="D3956" i="1"/>
  <c r="C3956" i="1"/>
  <c r="D3955" i="1"/>
  <c r="C3955" i="1"/>
  <c r="D3954" i="1"/>
  <c r="C3954" i="1"/>
  <c r="D3953" i="1"/>
  <c r="C3953" i="1"/>
  <c r="D3952" i="1"/>
  <c r="C3952" i="1"/>
  <c r="D3951" i="1"/>
  <c r="C3951" i="1"/>
  <c r="D3950" i="1"/>
  <c r="C3950" i="1"/>
  <c r="D3949" i="1"/>
  <c r="C3949" i="1"/>
  <c r="D3948" i="1"/>
  <c r="C3948" i="1"/>
  <c r="D3947" i="1"/>
  <c r="C3947" i="1"/>
  <c r="D3946" i="1"/>
  <c r="C3946" i="1"/>
  <c r="D3945" i="1"/>
  <c r="C3945" i="1"/>
  <c r="D3944" i="1"/>
  <c r="C3944" i="1"/>
  <c r="D3943" i="1"/>
  <c r="C3943" i="1"/>
  <c r="D3942" i="1"/>
  <c r="C3942" i="1"/>
  <c r="D3941" i="1"/>
  <c r="C3941" i="1"/>
  <c r="D3940" i="1"/>
  <c r="C3940" i="1"/>
  <c r="D3939" i="1"/>
  <c r="C3939" i="1"/>
  <c r="D3938" i="1"/>
  <c r="C3938" i="1"/>
  <c r="D3937" i="1"/>
  <c r="C3937" i="1"/>
  <c r="D3936" i="1"/>
  <c r="C3936" i="1"/>
  <c r="D3935" i="1"/>
  <c r="C3935" i="1"/>
  <c r="D3934" i="1"/>
  <c r="C3934" i="1"/>
  <c r="D3933" i="1"/>
  <c r="C3933" i="1"/>
  <c r="D3932" i="1"/>
  <c r="C3932" i="1"/>
  <c r="D3931" i="1"/>
  <c r="C3931" i="1"/>
  <c r="D3930" i="1"/>
  <c r="C3930" i="1"/>
  <c r="D3929" i="1"/>
  <c r="C3929" i="1"/>
  <c r="D3928" i="1"/>
  <c r="C3928" i="1"/>
  <c r="D3927" i="1"/>
  <c r="C3927" i="1"/>
  <c r="D3926" i="1"/>
  <c r="C3926" i="1"/>
  <c r="D3925" i="1"/>
  <c r="C3925" i="1"/>
  <c r="D3924" i="1"/>
  <c r="C3924" i="1"/>
  <c r="D3923" i="1"/>
  <c r="C3923" i="1"/>
  <c r="D3922" i="1"/>
  <c r="C3922" i="1"/>
  <c r="D3921" i="1"/>
  <c r="C3921" i="1"/>
  <c r="D3920" i="1"/>
  <c r="C3920" i="1"/>
  <c r="D3919" i="1"/>
  <c r="C3919" i="1"/>
  <c r="D3918" i="1"/>
  <c r="C3918" i="1"/>
  <c r="D3917" i="1"/>
  <c r="C3917" i="1"/>
  <c r="D3916" i="1"/>
  <c r="C3916" i="1"/>
  <c r="D3915" i="1"/>
  <c r="C3915" i="1"/>
  <c r="D3914" i="1"/>
  <c r="C3914" i="1"/>
  <c r="D3913" i="1"/>
  <c r="C3913" i="1"/>
  <c r="D3912" i="1"/>
  <c r="C3912" i="1"/>
  <c r="D3911" i="1"/>
  <c r="C3911" i="1"/>
  <c r="D3910" i="1"/>
  <c r="C3910" i="1"/>
  <c r="D3909" i="1"/>
  <c r="C3909" i="1"/>
  <c r="D3908" i="1"/>
  <c r="C3908" i="1"/>
  <c r="D3907" i="1"/>
  <c r="C3907" i="1"/>
  <c r="D3906" i="1"/>
  <c r="C3906" i="1"/>
  <c r="D3905" i="1"/>
  <c r="C3905" i="1"/>
  <c r="D3904" i="1"/>
  <c r="C3904" i="1"/>
  <c r="D3903" i="1"/>
  <c r="C3903" i="1"/>
  <c r="D3902" i="1"/>
  <c r="C3902" i="1"/>
  <c r="D3901" i="1"/>
  <c r="C3901" i="1"/>
  <c r="D3900" i="1"/>
  <c r="C3900" i="1"/>
  <c r="D3899" i="1"/>
  <c r="C3899" i="1"/>
  <c r="D3898" i="1"/>
  <c r="C3898" i="1"/>
  <c r="D3897" i="1"/>
  <c r="C3897" i="1"/>
  <c r="D3896" i="1"/>
  <c r="C3896" i="1"/>
  <c r="D3895" i="1"/>
  <c r="C3895" i="1"/>
  <c r="D3894" i="1"/>
  <c r="C3894" i="1"/>
  <c r="D3893" i="1"/>
  <c r="C3893" i="1"/>
  <c r="D3892" i="1"/>
  <c r="C3892" i="1"/>
  <c r="D3891" i="1"/>
  <c r="C3891" i="1"/>
  <c r="D3890" i="1"/>
  <c r="C3890" i="1"/>
  <c r="D3889" i="1"/>
  <c r="C3889" i="1"/>
  <c r="D3888" i="1"/>
  <c r="C3888" i="1"/>
  <c r="D3887" i="1"/>
  <c r="C3887" i="1"/>
  <c r="D3886" i="1"/>
  <c r="C3886" i="1"/>
  <c r="D3885" i="1"/>
  <c r="C3885" i="1"/>
  <c r="D3884" i="1"/>
  <c r="C3884" i="1"/>
  <c r="D3883" i="1"/>
  <c r="C3883" i="1"/>
  <c r="D3882" i="1"/>
  <c r="C3882" i="1"/>
  <c r="D3881" i="1"/>
  <c r="C3881" i="1"/>
  <c r="D3880" i="1"/>
  <c r="C3880" i="1"/>
  <c r="D3879" i="1"/>
  <c r="C3879" i="1"/>
  <c r="D3878" i="1"/>
  <c r="C3878" i="1"/>
  <c r="D3877" i="1"/>
  <c r="C3877" i="1"/>
  <c r="D3876" i="1"/>
  <c r="C3876" i="1"/>
  <c r="D3875" i="1"/>
  <c r="C3875" i="1"/>
  <c r="D3874" i="1"/>
  <c r="C3874" i="1"/>
  <c r="D3873" i="1"/>
  <c r="C3873" i="1"/>
  <c r="D3872" i="1"/>
  <c r="C3872" i="1"/>
  <c r="D3871" i="1"/>
  <c r="C3871" i="1"/>
  <c r="D3870" i="1"/>
  <c r="C3870" i="1"/>
  <c r="D3869" i="1"/>
  <c r="C3869" i="1"/>
  <c r="D3868" i="1"/>
  <c r="C3868" i="1"/>
  <c r="D3867" i="1"/>
  <c r="C3867" i="1"/>
  <c r="D3866" i="1"/>
  <c r="C3866" i="1"/>
  <c r="D3865" i="1"/>
  <c r="C3865" i="1"/>
  <c r="D3864" i="1"/>
  <c r="C3864" i="1"/>
  <c r="D3863" i="1"/>
  <c r="C3863" i="1"/>
  <c r="D3862" i="1"/>
  <c r="C3862" i="1"/>
  <c r="D3861" i="1"/>
  <c r="C3861" i="1"/>
  <c r="D3860" i="1"/>
  <c r="C3860" i="1"/>
  <c r="D3859" i="1"/>
  <c r="C3859" i="1"/>
  <c r="D3858" i="1"/>
  <c r="C3858" i="1"/>
  <c r="D3857" i="1"/>
  <c r="C3857" i="1"/>
  <c r="D3856" i="1"/>
  <c r="C3856" i="1"/>
  <c r="D3855" i="1"/>
  <c r="C3855" i="1"/>
  <c r="D3854" i="1"/>
  <c r="C3854" i="1"/>
  <c r="D3853" i="1"/>
  <c r="C3853" i="1"/>
  <c r="D3852" i="1"/>
  <c r="C3852" i="1"/>
  <c r="D3851" i="1"/>
  <c r="C3851" i="1"/>
  <c r="D3850" i="1"/>
  <c r="C3850" i="1"/>
  <c r="D3849" i="1"/>
  <c r="C3849" i="1"/>
  <c r="D3848" i="1"/>
  <c r="C3848" i="1"/>
  <c r="D3847" i="1"/>
  <c r="C3847" i="1"/>
  <c r="D3846" i="1"/>
  <c r="C3846" i="1"/>
  <c r="D3845" i="1"/>
  <c r="C3845" i="1"/>
  <c r="D3844" i="1"/>
  <c r="C3844" i="1"/>
  <c r="D3843" i="1"/>
  <c r="C3843" i="1"/>
  <c r="D3842" i="1"/>
  <c r="C3842" i="1"/>
  <c r="D3841" i="1"/>
  <c r="C3841" i="1"/>
  <c r="D3840" i="1"/>
  <c r="C3840" i="1"/>
  <c r="D3839" i="1"/>
  <c r="C3839" i="1"/>
  <c r="D3838" i="1"/>
  <c r="C3838" i="1"/>
  <c r="D3837" i="1"/>
  <c r="C3837" i="1"/>
  <c r="D3836" i="1"/>
  <c r="C3836" i="1"/>
  <c r="D3835" i="1"/>
  <c r="C3835" i="1"/>
  <c r="D3834" i="1"/>
  <c r="C3834" i="1"/>
  <c r="D3833" i="1"/>
  <c r="C3833" i="1"/>
  <c r="D3832" i="1"/>
  <c r="C3832" i="1"/>
  <c r="D3831" i="1"/>
  <c r="C3831" i="1"/>
  <c r="D3830" i="1"/>
  <c r="C3830" i="1"/>
  <c r="D3829" i="1"/>
  <c r="C3829" i="1"/>
  <c r="D3828" i="1"/>
  <c r="C3828" i="1"/>
  <c r="D3827" i="1"/>
  <c r="C3827" i="1"/>
  <c r="D3826" i="1"/>
  <c r="C3826" i="1"/>
  <c r="D3825" i="1"/>
  <c r="C3825" i="1"/>
  <c r="D3824" i="1"/>
  <c r="C3824" i="1"/>
  <c r="D3823" i="1"/>
  <c r="C3823" i="1"/>
  <c r="D3822" i="1"/>
  <c r="C3822" i="1"/>
  <c r="D3821" i="1"/>
  <c r="C3821" i="1"/>
  <c r="D3820" i="1"/>
  <c r="C3820" i="1"/>
  <c r="D3819" i="1"/>
  <c r="C3819" i="1"/>
  <c r="D3818" i="1"/>
  <c r="C3818" i="1"/>
  <c r="D3817" i="1"/>
  <c r="C3817" i="1"/>
  <c r="D3816" i="1"/>
  <c r="C3816" i="1"/>
  <c r="D3815" i="1"/>
  <c r="C3815" i="1"/>
  <c r="D3814" i="1"/>
  <c r="C3814" i="1"/>
  <c r="D3813" i="1"/>
  <c r="C3813" i="1"/>
  <c r="D3812" i="1"/>
  <c r="C3812" i="1"/>
  <c r="D3811" i="1"/>
  <c r="C3811" i="1"/>
  <c r="D3810" i="1"/>
  <c r="C3810" i="1"/>
  <c r="D3809" i="1"/>
  <c r="C3809" i="1"/>
  <c r="D3808" i="1"/>
  <c r="C3808" i="1"/>
  <c r="D3807" i="1"/>
  <c r="C3807" i="1"/>
  <c r="D3806" i="1"/>
  <c r="C3806" i="1"/>
  <c r="D3805" i="1"/>
  <c r="C3805" i="1"/>
  <c r="D3804" i="1"/>
  <c r="C3804" i="1"/>
  <c r="D3803" i="1"/>
  <c r="C3803" i="1"/>
  <c r="D3802" i="1"/>
  <c r="C3802" i="1"/>
  <c r="D3801" i="1"/>
  <c r="C3801" i="1"/>
  <c r="D3800" i="1"/>
  <c r="C3800" i="1"/>
  <c r="D3799" i="1"/>
  <c r="C3799" i="1"/>
  <c r="D3798" i="1"/>
  <c r="C3798" i="1"/>
  <c r="D3797" i="1"/>
  <c r="C3797" i="1"/>
  <c r="D3796" i="1"/>
  <c r="C3796" i="1"/>
  <c r="D3795" i="1"/>
  <c r="C3795" i="1"/>
  <c r="D3794" i="1"/>
  <c r="C3794" i="1"/>
  <c r="D3793" i="1"/>
  <c r="C3793" i="1"/>
  <c r="D3792" i="1"/>
  <c r="C3792" i="1"/>
  <c r="D3791" i="1"/>
  <c r="C3791" i="1"/>
  <c r="D3790" i="1"/>
  <c r="C3790" i="1"/>
  <c r="D3789" i="1"/>
  <c r="C3789" i="1"/>
  <c r="D3788" i="1"/>
  <c r="C3788" i="1"/>
  <c r="D3787" i="1"/>
  <c r="C3787" i="1"/>
  <c r="D3786" i="1"/>
  <c r="C3786" i="1"/>
  <c r="D3785" i="1"/>
  <c r="C3785" i="1"/>
  <c r="D3784" i="1"/>
  <c r="C3784" i="1"/>
  <c r="D3783" i="1"/>
  <c r="C3783" i="1"/>
  <c r="D3782" i="1"/>
  <c r="C3782" i="1"/>
  <c r="D3781" i="1"/>
  <c r="C3781" i="1"/>
  <c r="D3780" i="1"/>
  <c r="C3780" i="1"/>
  <c r="D3779" i="1"/>
  <c r="C3779" i="1"/>
  <c r="D3778" i="1"/>
  <c r="C3778" i="1"/>
  <c r="D3777" i="1"/>
  <c r="C3777" i="1"/>
  <c r="D3776" i="1"/>
  <c r="C3776" i="1"/>
  <c r="D3775" i="1"/>
  <c r="C3775" i="1"/>
  <c r="D3774" i="1"/>
  <c r="C3774" i="1"/>
  <c r="D3773" i="1"/>
  <c r="C3773" i="1"/>
  <c r="D3772" i="1"/>
  <c r="C3772" i="1"/>
  <c r="D3771" i="1"/>
  <c r="C3771" i="1"/>
  <c r="D3770" i="1"/>
  <c r="C3770" i="1"/>
  <c r="D3769" i="1"/>
  <c r="C3769" i="1"/>
  <c r="D3768" i="1"/>
  <c r="C3768" i="1"/>
  <c r="D3767" i="1"/>
  <c r="C3767" i="1"/>
  <c r="D3766" i="1"/>
  <c r="C3766" i="1"/>
  <c r="D3765" i="1"/>
  <c r="C3765" i="1"/>
  <c r="D3764" i="1"/>
  <c r="C3764" i="1"/>
  <c r="D3763" i="1"/>
  <c r="C3763" i="1"/>
  <c r="D3762" i="1"/>
  <c r="C3762" i="1"/>
  <c r="D3761" i="1"/>
  <c r="C3761" i="1"/>
  <c r="D3760" i="1"/>
  <c r="C3760" i="1"/>
  <c r="D3759" i="1"/>
  <c r="C3759" i="1"/>
  <c r="D3758" i="1"/>
  <c r="C3758" i="1"/>
  <c r="D3757" i="1"/>
  <c r="C3757" i="1"/>
  <c r="D3756" i="1"/>
  <c r="C3756" i="1"/>
  <c r="D3755" i="1"/>
  <c r="C3755" i="1"/>
  <c r="D3754" i="1"/>
  <c r="C3754" i="1"/>
  <c r="D3753" i="1"/>
  <c r="C3753" i="1"/>
  <c r="D3752" i="1"/>
  <c r="C3752" i="1"/>
  <c r="D3751" i="1"/>
  <c r="C3751" i="1"/>
  <c r="D3750" i="1"/>
  <c r="C3750" i="1"/>
  <c r="D3749" i="1"/>
  <c r="C3749" i="1"/>
  <c r="D3748" i="1"/>
  <c r="C3748" i="1"/>
  <c r="D3747" i="1"/>
  <c r="C3747" i="1"/>
  <c r="D3746" i="1"/>
  <c r="C3746" i="1"/>
  <c r="D3745" i="1"/>
  <c r="C3745" i="1"/>
  <c r="D3744" i="1"/>
  <c r="C3744" i="1"/>
  <c r="D3743" i="1"/>
  <c r="C3743" i="1"/>
  <c r="D3742" i="1"/>
  <c r="C3742" i="1"/>
  <c r="D3741" i="1"/>
  <c r="C3741" i="1"/>
  <c r="D3740" i="1"/>
  <c r="C3740" i="1"/>
  <c r="D3739" i="1"/>
  <c r="C3739" i="1"/>
  <c r="D3738" i="1"/>
  <c r="C3738" i="1"/>
  <c r="D3737" i="1"/>
  <c r="C3737" i="1"/>
  <c r="D3736" i="1"/>
  <c r="C3736" i="1"/>
  <c r="D3735" i="1"/>
  <c r="C3735" i="1"/>
  <c r="D3734" i="1"/>
  <c r="C3734" i="1"/>
  <c r="D3733" i="1"/>
  <c r="C3733" i="1"/>
  <c r="D3732" i="1"/>
  <c r="C3732" i="1"/>
  <c r="D3731" i="1"/>
  <c r="C3731" i="1"/>
  <c r="D3730" i="1"/>
  <c r="C3730" i="1"/>
  <c r="D3729" i="1"/>
  <c r="C3729" i="1"/>
  <c r="D3728" i="1"/>
  <c r="C3728" i="1"/>
  <c r="D3727" i="1"/>
  <c r="C3727" i="1"/>
  <c r="D3726" i="1"/>
  <c r="C3726" i="1"/>
  <c r="D3725" i="1"/>
  <c r="C3725" i="1"/>
  <c r="D3724" i="1"/>
  <c r="C3724" i="1"/>
  <c r="D3723" i="1"/>
  <c r="C3723" i="1"/>
  <c r="D3722" i="1"/>
  <c r="C3722" i="1"/>
  <c r="D3721" i="1"/>
  <c r="C3721" i="1"/>
  <c r="D3720" i="1"/>
  <c r="C3720" i="1"/>
  <c r="D3719" i="1"/>
  <c r="C3719" i="1"/>
  <c r="D3718" i="1"/>
  <c r="C3718" i="1"/>
  <c r="D3717" i="1"/>
  <c r="C3717" i="1"/>
  <c r="D3716" i="1"/>
  <c r="C3716" i="1"/>
  <c r="D3715" i="1"/>
  <c r="C3715" i="1"/>
  <c r="D3714" i="1"/>
  <c r="C3714" i="1"/>
  <c r="D3713" i="1"/>
  <c r="C3713" i="1"/>
  <c r="D3712" i="1"/>
  <c r="C3712" i="1"/>
  <c r="D3711" i="1"/>
  <c r="C3711" i="1"/>
  <c r="D3710" i="1"/>
  <c r="C3710" i="1"/>
  <c r="D3709" i="1"/>
  <c r="C3709" i="1"/>
  <c r="D3708" i="1"/>
  <c r="C3708" i="1"/>
  <c r="D3707" i="1"/>
  <c r="C3707" i="1"/>
  <c r="D3706" i="1"/>
  <c r="C3706" i="1"/>
  <c r="D3705" i="1"/>
  <c r="C3705" i="1"/>
  <c r="D3704" i="1"/>
  <c r="C3704" i="1"/>
  <c r="D3703" i="1"/>
  <c r="C3703" i="1"/>
  <c r="D3702" i="1"/>
  <c r="C3702" i="1"/>
  <c r="D3701" i="1"/>
  <c r="C3701" i="1"/>
  <c r="D3700" i="1"/>
  <c r="C3700" i="1"/>
  <c r="D3699" i="1"/>
  <c r="C3699" i="1"/>
  <c r="D3698" i="1"/>
  <c r="C3698" i="1"/>
  <c r="D3697" i="1"/>
  <c r="C3697" i="1"/>
  <c r="D3696" i="1"/>
  <c r="C3696" i="1"/>
  <c r="D3695" i="1"/>
  <c r="C3695" i="1"/>
  <c r="D3694" i="1"/>
  <c r="C3694" i="1"/>
  <c r="D3693" i="1"/>
  <c r="C3693" i="1"/>
  <c r="D3692" i="1"/>
  <c r="C3692" i="1"/>
  <c r="D3691" i="1"/>
  <c r="C3691" i="1"/>
  <c r="D3690" i="1"/>
  <c r="C3690" i="1"/>
  <c r="D3689" i="1"/>
  <c r="C3689" i="1"/>
  <c r="D3688" i="1"/>
  <c r="C3688" i="1"/>
  <c r="D3687" i="1"/>
  <c r="C3687" i="1"/>
  <c r="D3686" i="1"/>
  <c r="C3686" i="1"/>
  <c r="D3685" i="1"/>
  <c r="C3685" i="1"/>
  <c r="D3684" i="1"/>
  <c r="C3684" i="1"/>
  <c r="D3683" i="1"/>
  <c r="C3683" i="1"/>
  <c r="D3682" i="1"/>
  <c r="C3682" i="1"/>
  <c r="D3681" i="1"/>
  <c r="C3681" i="1"/>
  <c r="D3680" i="1"/>
  <c r="C3680" i="1"/>
  <c r="D3679" i="1"/>
  <c r="C3679" i="1"/>
  <c r="D3678" i="1"/>
  <c r="C3678" i="1"/>
  <c r="D3677" i="1"/>
  <c r="C3677" i="1"/>
  <c r="D3676" i="1"/>
  <c r="C3676" i="1"/>
  <c r="D3675" i="1"/>
  <c r="C3675" i="1"/>
  <c r="D3674" i="1"/>
  <c r="C3674" i="1"/>
  <c r="D3673" i="1"/>
  <c r="C3673" i="1"/>
  <c r="D3672" i="1"/>
  <c r="C3672" i="1"/>
  <c r="D3671" i="1"/>
  <c r="C3671" i="1"/>
  <c r="D3670" i="1"/>
  <c r="C3670" i="1"/>
  <c r="D3669" i="1"/>
  <c r="C3669" i="1"/>
  <c r="D3668" i="1"/>
  <c r="C3668" i="1"/>
  <c r="D3667" i="1"/>
  <c r="C3667" i="1"/>
  <c r="D3666" i="1"/>
  <c r="C3666" i="1"/>
  <c r="D3665" i="1"/>
  <c r="C3665" i="1"/>
  <c r="D3664" i="1"/>
  <c r="C3664" i="1"/>
  <c r="D3663" i="1"/>
  <c r="C3663" i="1"/>
  <c r="D3662" i="1"/>
  <c r="C3662" i="1"/>
  <c r="D3661" i="1"/>
  <c r="C3661" i="1"/>
  <c r="D3660" i="1"/>
  <c r="C3660" i="1"/>
  <c r="D3659" i="1"/>
  <c r="C3659" i="1"/>
  <c r="D3658" i="1"/>
  <c r="C3658" i="1"/>
  <c r="D3657" i="1"/>
  <c r="C3657" i="1"/>
  <c r="D3656" i="1"/>
  <c r="C3656" i="1"/>
  <c r="D3655" i="1"/>
  <c r="C3655" i="1"/>
  <c r="D3654" i="1"/>
  <c r="C3654" i="1"/>
  <c r="D3653" i="1"/>
  <c r="C3653" i="1"/>
  <c r="D3652" i="1"/>
  <c r="C3652" i="1"/>
  <c r="D3651" i="1"/>
  <c r="C3651" i="1"/>
  <c r="D3650" i="1"/>
  <c r="C3650" i="1"/>
  <c r="D3649" i="1"/>
  <c r="C3649" i="1"/>
  <c r="D3648" i="1"/>
  <c r="C3648" i="1"/>
  <c r="D3647" i="1"/>
  <c r="C3647" i="1"/>
  <c r="D3646" i="1"/>
  <c r="C3646" i="1"/>
  <c r="D3645" i="1"/>
  <c r="C3645" i="1"/>
  <c r="D3644" i="1"/>
  <c r="C3644" i="1"/>
  <c r="D3643" i="1"/>
  <c r="C3643" i="1"/>
  <c r="D3642" i="1"/>
  <c r="C3642" i="1"/>
  <c r="D3641" i="1"/>
  <c r="C3641" i="1"/>
  <c r="D3640" i="1"/>
  <c r="C3640" i="1"/>
  <c r="D3639" i="1"/>
  <c r="C3639" i="1"/>
  <c r="D3638" i="1"/>
  <c r="C3638" i="1"/>
  <c r="D3637" i="1"/>
  <c r="C3637" i="1"/>
  <c r="D3636" i="1"/>
  <c r="C3636" i="1"/>
  <c r="D3635" i="1"/>
  <c r="C3635" i="1"/>
  <c r="D3634" i="1"/>
  <c r="C3634" i="1"/>
  <c r="D3633" i="1"/>
  <c r="C3633" i="1"/>
  <c r="D3632" i="1"/>
  <c r="C3632" i="1"/>
  <c r="D3631" i="1"/>
  <c r="C3631" i="1"/>
  <c r="D3630" i="1"/>
  <c r="C3630" i="1"/>
  <c r="D3629" i="1"/>
  <c r="C3629" i="1"/>
  <c r="D3628" i="1"/>
  <c r="C3628" i="1"/>
  <c r="D3627" i="1"/>
  <c r="C3627" i="1"/>
  <c r="D3626" i="1"/>
  <c r="C3626" i="1"/>
  <c r="D3625" i="1"/>
  <c r="C3625" i="1"/>
  <c r="D3624" i="1"/>
  <c r="C3624" i="1"/>
  <c r="D3623" i="1"/>
  <c r="C3623" i="1"/>
  <c r="D3622" i="1"/>
  <c r="C3622" i="1"/>
  <c r="D3621" i="1"/>
  <c r="C3621" i="1"/>
  <c r="D3620" i="1"/>
  <c r="C3620" i="1"/>
  <c r="D3619" i="1"/>
  <c r="C3619" i="1"/>
  <c r="D3618" i="1"/>
  <c r="C3618" i="1"/>
  <c r="D3617" i="1"/>
  <c r="C3617" i="1"/>
  <c r="D3616" i="1"/>
  <c r="C3616" i="1"/>
  <c r="D3615" i="1"/>
  <c r="C3615" i="1"/>
  <c r="D3614" i="1"/>
  <c r="C3614" i="1"/>
  <c r="D3613" i="1"/>
  <c r="C3613" i="1"/>
  <c r="D3612" i="1"/>
  <c r="C3612" i="1"/>
  <c r="D3611" i="1"/>
  <c r="C3611" i="1"/>
  <c r="D3610" i="1"/>
  <c r="C3610" i="1"/>
  <c r="D3609" i="1"/>
  <c r="C3609" i="1"/>
  <c r="D3608" i="1"/>
  <c r="C3608" i="1"/>
  <c r="D3607" i="1"/>
  <c r="C3607" i="1"/>
  <c r="D3606" i="1"/>
  <c r="C3606" i="1"/>
  <c r="D3605" i="1"/>
  <c r="C3605" i="1"/>
  <c r="D3604" i="1"/>
  <c r="C3604" i="1"/>
  <c r="D3603" i="1"/>
  <c r="C3603" i="1"/>
  <c r="D3602" i="1"/>
  <c r="C3602" i="1"/>
  <c r="D3601" i="1"/>
  <c r="C3601" i="1"/>
  <c r="D3600" i="1"/>
  <c r="C3600" i="1"/>
  <c r="D3599" i="1"/>
  <c r="C3599" i="1"/>
  <c r="D3598" i="1"/>
  <c r="C3598" i="1"/>
  <c r="D3597" i="1"/>
  <c r="C3597" i="1"/>
  <c r="D3596" i="1"/>
  <c r="C3596" i="1"/>
  <c r="D3595" i="1"/>
  <c r="C3595" i="1"/>
  <c r="D3594" i="1"/>
  <c r="C3594" i="1"/>
  <c r="D3593" i="1"/>
  <c r="C3593" i="1"/>
  <c r="D3592" i="1"/>
  <c r="C3592" i="1"/>
  <c r="D3591" i="1"/>
  <c r="C3591" i="1"/>
  <c r="D3590" i="1"/>
  <c r="C3590" i="1"/>
  <c r="D3589" i="1"/>
  <c r="C3589" i="1"/>
  <c r="D3588" i="1"/>
  <c r="C3588" i="1"/>
  <c r="D3587" i="1"/>
  <c r="C3587" i="1"/>
  <c r="D3586" i="1"/>
  <c r="C3586" i="1"/>
  <c r="D3585" i="1"/>
  <c r="C3585" i="1"/>
  <c r="D3584" i="1"/>
  <c r="C3584" i="1"/>
  <c r="D3583" i="1"/>
  <c r="C3583" i="1"/>
  <c r="D3582" i="1"/>
  <c r="C3582" i="1"/>
  <c r="D3581" i="1"/>
  <c r="C3581" i="1"/>
  <c r="D3580" i="1"/>
  <c r="C3580" i="1"/>
  <c r="D3579" i="1"/>
  <c r="C3579" i="1"/>
  <c r="D3578" i="1"/>
  <c r="C3578" i="1"/>
  <c r="D3577" i="1"/>
  <c r="C3577" i="1"/>
  <c r="D3576" i="1"/>
  <c r="C3576" i="1"/>
  <c r="D3575" i="1"/>
  <c r="C3575" i="1"/>
  <c r="D3574" i="1"/>
  <c r="C3574" i="1"/>
  <c r="D3573" i="1"/>
  <c r="C3573" i="1"/>
  <c r="D3572" i="1"/>
  <c r="C3572" i="1"/>
  <c r="D3571" i="1"/>
  <c r="C3571" i="1"/>
  <c r="D3570" i="1"/>
  <c r="C3570" i="1"/>
  <c r="D3569" i="1"/>
  <c r="C3569" i="1"/>
  <c r="D3568" i="1"/>
  <c r="C3568" i="1"/>
  <c r="D3567" i="1"/>
  <c r="C3567" i="1"/>
  <c r="D3566" i="1"/>
  <c r="C3566" i="1"/>
  <c r="D3565" i="1"/>
  <c r="C3565" i="1"/>
  <c r="D3564" i="1"/>
  <c r="C3564" i="1"/>
  <c r="D3563" i="1"/>
  <c r="C3563" i="1"/>
  <c r="D3562" i="1"/>
  <c r="C3562" i="1"/>
  <c r="D3561" i="1"/>
  <c r="C3561" i="1"/>
  <c r="D3560" i="1"/>
  <c r="C3560" i="1"/>
  <c r="D3559" i="1"/>
  <c r="C3559" i="1"/>
  <c r="D3558" i="1"/>
  <c r="C3558" i="1"/>
  <c r="D3557" i="1"/>
  <c r="C3557" i="1"/>
  <c r="D3556" i="1"/>
  <c r="C3556" i="1"/>
  <c r="D3555" i="1"/>
  <c r="C3555" i="1"/>
  <c r="D3554" i="1"/>
  <c r="C3554" i="1"/>
  <c r="D3553" i="1"/>
  <c r="C3553" i="1"/>
  <c r="D3552" i="1"/>
  <c r="C3552" i="1"/>
  <c r="D3551" i="1"/>
  <c r="C3551" i="1"/>
  <c r="D3550" i="1"/>
  <c r="C3550" i="1"/>
  <c r="D3549" i="1"/>
  <c r="C3549" i="1"/>
  <c r="D3548" i="1"/>
  <c r="C3548" i="1"/>
  <c r="D3547" i="1"/>
  <c r="C3547" i="1"/>
  <c r="D3546" i="1"/>
  <c r="C3546" i="1"/>
  <c r="D3545" i="1"/>
  <c r="C3545" i="1"/>
  <c r="D3544" i="1"/>
  <c r="C3544" i="1"/>
  <c r="D3543" i="1"/>
  <c r="C3543" i="1"/>
  <c r="D3542" i="1"/>
  <c r="C3542" i="1"/>
  <c r="D3541" i="1"/>
  <c r="C3541" i="1"/>
  <c r="D3540" i="1"/>
  <c r="C3540" i="1"/>
  <c r="D3539" i="1"/>
  <c r="C3539" i="1"/>
  <c r="D3538" i="1"/>
  <c r="C3538" i="1"/>
  <c r="D3537" i="1"/>
  <c r="C3537" i="1"/>
  <c r="D3536" i="1"/>
  <c r="C3536" i="1"/>
  <c r="D3535" i="1"/>
  <c r="C3535" i="1"/>
  <c r="D3534" i="1"/>
  <c r="C3534" i="1"/>
  <c r="D3533" i="1"/>
  <c r="C3533" i="1"/>
  <c r="D3532" i="1"/>
  <c r="C3532" i="1"/>
  <c r="D3531" i="1"/>
  <c r="C3531" i="1"/>
  <c r="D3530" i="1"/>
  <c r="C3530" i="1"/>
  <c r="D3529" i="1"/>
  <c r="C3529" i="1"/>
  <c r="D3528" i="1"/>
  <c r="C3528" i="1"/>
  <c r="D3527" i="1"/>
  <c r="C3527" i="1"/>
  <c r="D3526" i="1"/>
  <c r="C3526" i="1"/>
  <c r="D3525" i="1"/>
  <c r="C3525" i="1"/>
  <c r="D3524" i="1"/>
  <c r="C3524" i="1"/>
  <c r="D3523" i="1"/>
  <c r="C3523" i="1"/>
  <c r="D3522" i="1"/>
  <c r="C3522" i="1"/>
  <c r="D3521" i="1"/>
  <c r="C3521" i="1"/>
  <c r="D3520" i="1"/>
  <c r="C3520" i="1"/>
  <c r="D3519" i="1"/>
  <c r="C3519" i="1"/>
  <c r="D3518" i="1"/>
  <c r="C3518" i="1"/>
  <c r="D3517" i="1"/>
  <c r="C3517" i="1"/>
  <c r="D3516" i="1"/>
  <c r="C3516" i="1"/>
  <c r="D3515" i="1"/>
  <c r="C3515" i="1"/>
  <c r="D3514" i="1"/>
  <c r="C3514" i="1"/>
  <c r="D3513" i="1"/>
  <c r="C3513" i="1"/>
  <c r="D3512" i="1"/>
  <c r="C3512" i="1"/>
  <c r="D3511" i="1"/>
  <c r="C3511" i="1"/>
  <c r="D3510" i="1"/>
  <c r="C3510" i="1"/>
  <c r="D3509" i="1"/>
  <c r="C3509" i="1"/>
  <c r="D3508" i="1"/>
  <c r="C3508" i="1"/>
  <c r="D3507" i="1"/>
  <c r="C3507" i="1"/>
  <c r="D3506" i="1"/>
  <c r="C3506" i="1"/>
  <c r="D3505" i="1"/>
  <c r="C3505" i="1"/>
  <c r="D3504" i="1"/>
  <c r="C3504" i="1"/>
  <c r="D3503" i="1"/>
  <c r="C3503" i="1"/>
  <c r="D3502" i="1"/>
  <c r="C3502" i="1"/>
  <c r="D3501" i="1"/>
  <c r="C3501" i="1"/>
  <c r="D3500" i="1"/>
  <c r="C3500" i="1"/>
  <c r="D3499" i="1"/>
  <c r="C3499" i="1"/>
  <c r="D3498" i="1"/>
  <c r="C3498" i="1"/>
  <c r="D3497" i="1"/>
  <c r="C3497" i="1"/>
  <c r="D3496" i="1"/>
  <c r="C3496" i="1"/>
  <c r="D3495" i="1"/>
  <c r="C3495" i="1"/>
  <c r="D3494" i="1"/>
  <c r="C3494" i="1"/>
  <c r="D3493" i="1"/>
  <c r="C3493" i="1"/>
  <c r="D3492" i="1"/>
  <c r="C3492" i="1"/>
  <c r="D3491" i="1"/>
  <c r="C3491" i="1"/>
  <c r="D3490" i="1"/>
  <c r="C3490" i="1"/>
  <c r="D3489" i="1"/>
  <c r="C3489" i="1"/>
  <c r="D3488" i="1"/>
  <c r="C3488" i="1"/>
  <c r="D3487" i="1"/>
  <c r="C3487" i="1"/>
  <c r="D3486" i="1"/>
  <c r="C3486" i="1"/>
  <c r="D3485" i="1"/>
  <c r="C3485" i="1"/>
  <c r="D3484" i="1"/>
  <c r="C3484" i="1"/>
  <c r="D3483" i="1"/>
  <c r="C3483" i="1"/>
  <c r="D3482" i="1"/>
  <c r="C3482" i="1"/>
  <c r="D3481" i="1"/>
  <c r="C3481" i="1"/>
  <c r="D3480" i="1"/>
  <c r="C3480" i="1"/>
  <c r="D3479" i="1"/>
  <c r="C3479" i="1"/>
  <c r="D3478" i="1"/>
  <c r="C3478" i="1"/>
  <c r="D3477" i="1"/>
  <c r="C3477" i="1"/>
  <c r="D3476" i="1"/>
  <c r="C3476" i="1"/>
  <c r="D3475" i="1"/>
  <c r="C3475" i="1"/>
  <c r="D3474" i="1"/>
  <c r="C3474" i="1"/>
  <c r="D3473" i="1"/>
  <c r="C3473" i="1"/>
  <c r="D3472" i="1"/>
  <c r="C3472" i="1"/>
  <c r="D3471" i="1"/>
  <c r="C3471" i="1"/>
  <c r="D3470" i="1"/>
  <c r="C3470" i="1"/>
  <c r="D3469" i="1"/>
  <c r="C3469" i="1"/>
  <c r="D3468" i="1"/>
  <c r="C3468" i="1"/>
  <c r="D3467" i="1"/>
  <c r="C3467" i="1"/>
  <c r="D3466" i="1"/>
  <c r="C3466" i="1"/>
  <c r="D3465" i="1"/>
  <c r="C3465" i="1"/>
  <c r="D3464" i="1"/>
  <c r="C3464" i="1"/>
  <c r="D3463" i="1"/>
  <c r="C3463" i="1"/>
  <c r="D3462" i="1"/>
  <c r="C3462" i="1"/>
  <c r="D3461" i="1"/>
  <c r="C3461" i="1"/>
  <c r="D3460" i="1"/>
  <c r="C3460" i="1"/>
  <c r="D3459" i="1"/>
  <c r="C3459" i="1"/>
  <c r="D3458" i="1"/>
  <c r="C3458" i="1"/>
  <c r="D3457" i="1"/>
  <c r="C3457" i="1"/>
  <c r="D3456" i="1"/>
  <c r="C3456" i="1"/>
  <c r="D3455" i="1"/>
  <c r="C3455" i="1"/>
  <c r="D3454" i="1"/>
  <c r="C3454" i="1"/>
  <c r="D3453" i="1"/>
  <c r="C3453" i="1"/>
  <c r="D3452" i="1"/>
  <c r="C3452" i="1"/>
  <c r="D3451" i="1"/>
  <c r="C3451" i="1"/>
  <c r="D3450" i="1"/>
  <c r="C3450" i="1"/>
  <c r="D3449" i="1"/>
  <c r="C3449" i="1"/>
  <c r="D3448" i="1"/>
  <c r="C3448" i="1"/>
  <c r="D3447" i="1"/>
  <c r="C3447" i="1"/>
  <c r="D3446" i="1"/>
  <c r="C3446" i="1"/>
  <c r="D3445" i="1"/>
  <c r="C3445" i="1"/>
  <c r="D3444" i="1"/>
  <c r="C3444" i="1"/>
  <c r="D3443" i="1"/>
  <c r="C3443" i="1"/>
  <c r="D3442" i="1"/>
  <c r="C3442" i="1"/>
  <c r="D3441" i="1"/>
  <c r="C3441" i="1"/>
  <c r="D3440" i="1"/>
  <c r="C3440" i="1"/>
  <c r="D3439" i="1"/>
  <c r="C3439" i="1"/>
  <c r="D3438" i="1"/>
  <c r="C3438" i="1"/>
  <c r="D3437" i="1"/>
  <c r="C3437" i="1"/>
  <c r="D3436" i="1"/>
  <c r="C3436" i="1"/>
  <c r="D3435" i="1"/>
  <c r="C3435" i="1"/>
  <c r="D3434" i="1"/>
  <c r="C3434" i="1"/>
  <c r="D3433" i="1"/>
  <c r="C3433" i="1"/>
  <c r="D3432" i="1"/>
  <c r="C3432" i="1"/>
  <c r="D3431" i="1"/>
  <c r="C3431" i="1"/>
  <c r="D3430" i="1"/>
  <c r="C3430" i="1"/>
  <c r="D3429" i="1"/>
  <c r="C3429" i="1"/>
  <c r="D3428" i="1"/>
  <c r="C3428" i="1"/>
  <c r="D3427" i="1"/>
  <c r="C3427" i="1"/>
  <c r="D3426" i="1"/>
  <c r="C3426" i="1"/>
  <c r="D3425" i="1"/>
  <c r="C3425" i="1"/>
  <c r="D3424" i="1"/>
  <c r="C3424" i="1"/>
  <c r="D3423" i="1"/>
  <c r="C3423" i="1"/>
  <c r="D3422" i="1"/>
  <c r="C3422" i="1"/>
  <c r="D3421" i="1"/>
  <c r="C3421" i="1"/>
  <c r="D3420" i="1"/>
  <c r="C3420" i="1"/>
  <c r="D3419" i="1"/>
  <c r="C3419" i="1"/>
  <c r="D3418" i="1"/>
  <c r="C3418" i="1"/>
  <c r="D3417" i="1"/>
  <c r="C3417" i="1"/>
  <c r="D3416" i="1"/>
  <c r="C3416" i="1"/>
  <c r="D3415" i="1"/>
  <c r="C3415" i="1"/>
  <c r="D3414" i="1"/>
  <c r="C3414" i="1"/>
  <c r="D3413" i="1"/>
  <c r="C3413" i="1"/>
  <c r="D3412" i="1"/>
  <c r="C3412" i="1"/>
  <c r="D3411" i="1"/>
  <c r="C3411" i="1"/>
  <c r="D3410" i="1"/>
  <c r="C3410" i="1"/>
  <c r="D3409" i="1"/>
  <c r="C3409" i="1"/>
  <c r="D3408" i="1"/>
  <c r="C3408" i="1"/>
  <c r="D3407" i="1"/>
  <c r="C3407" i="1"/>
  <c r="D3406" i="1"/>
  <c r="C3406" i="1"/>
  <c r="D3405" i="1"/>
  <c r="C3405" i="1"/>
  <c r="D3404" i="1"/>
  <c r="C3404" i="1"/>
  <c r="D3403" i="1"/>
  <c r="C3403" i="1"/>
  <c r="D3402" i="1"/>
  <c r="C3402" i="1"/>
  <c r="D3401" i="1"/>
  <c r="C3401" i="1"/>
  <c r="D3400" i="1"/>
  <c r="C3400" i="1"/>
  <c r="D3399" i="1"/>
  <c r="C3399" i="1"/>
  <c r="D3398" i="1"/>
  <c r="C3398" i="1"/>
  <c r="D3397" i="1"/>
  <c r="C3397" i="1"/>
  <c r="D3396" i="1"/>
  <c r="C3396" i="1"/>
  <c r="D3395" i="1"/>
  <c r="C3395" i="1"/>
  <c r="D3394" i="1"/>
  <c r="C3394" i="1"/>
  <c r="D3393" i="1"/>
  <c r="C3393" i="1"/>
  <c r="D3392" i="1"/>
  <c r="C3392" i="1"/>
  <c r="D3391" i="1"/>
  <c r="C3391" i="1"/>
  <c r="D3390" i="1"/>
  <c r="C3390" i="1"/>
  <c r="D3389" i="1"/>
  <c r="C3389" i="1"/>
  <c r="D3388" i="1"/>
  <c r="C3388" i="1"/>
  <c r="D3387" i="1"/>
  <c r="C3387" i="1"/>
  <c r="D3386" i="1"/>
  <c r="C3386" i="1"/>
  <c r="D3385" i="1"/>
  <c r="C3385" i="1"/>
  <c r="D3384" i="1"/>
  <c r="C3384" i="1"/>
  <c r="D3383" i="1"/>
  <c r="C3383" i="1"/>
  <c r="D3382" i="1"/>
  <c r="C3382" i="1"/>
  <c r="D3381" i="1"/>
  <c r="C3381" i="1"/>
  <c r="D3380" i="1"/>
  <c r="C3380" i="1"/>
  <c r="D3379" i="1"/>
  <c r="C3379" i="1"/>
  <c r="D3378" i="1"/>
  <c r="C3378" i="1"/>
  <c r="D3377" i="1"/>
  <c r="C3377" i="1"/>
  <c r="D3376" i="1"/>
  <c r="C3376" i="1"/>
  <c r="D3375" i="1"/>
  <c r="C3375" i="1"/>
  <c r="D3374" i="1"/>
  <c r="C3374" i="1"/>
  <c r="D3373" i="1"/>
  <c r="C3373" i="1"/>
  <c r="D3372" i="1"/>
  <c r="C3372" i="1"/>
  <c r="D3371" i="1"/>
  <c r="C3371" i="1"/>
  <c r="D3370" i="1"/>
  <c r="C3370" i="1"/>
  <c r="D3369" i="1"/>
  <c r="C3369" i="1"/>
  <c r="D3368" i="1"/>
  <c r="C3368" i="1"/>
  <c r="D3367" i="1"/>
  <c r="C3367" i="1"/>
  <c r="D3366" i="1"/>
  <c r="C3366" i="1"/>
  <c r="D3365" i="1"/>
  <c r="C3365" i="1"/>
  <c r="D3364" i="1"/>
  <c r="C3364" i="1"/>
  <c r="D3363" i="1"/>
  <c r="C3363" i="1"/>
  <c r="D3362" i="1"/>
  <c r="C3362" i="1"/>
  <c r="D3361" i="1"/>
  <c r="C3361" i="1"/>
  <c r="D3360" i="1"/>
  <c r="C3360" i="1"/>
  <c r="D3359" i="1"/>
  <c r="C3359" i="1"/>
  <c r="D3358" i="1"/>
  <c r="C3358" i="1"/>
  <c r="D3357" i="1"/>
  <c r="C3357" i="1"/>
  <c r="D3356" i="1"/>
  <c r="C3356" i="1"/>
  <c r="D3355" i="1"/>
  <c r="C3355" i="1"/>
  <c r="D3354" i="1"/>
  <c r="C3354" i="1"/>
  <c r="D3353" i="1"/>
  <c r="C3353" i="1"/>
  <c r="D3352" i="1"/>
  <c r="C3352" i="1"/>
  <c r="D3351" i="1"/>
  <c r="C3351" i="1"/>
  <c r="D3350" i="1"/>
  <c r="C3350" i="1"/>
  <c r="D3349" i="1"/>
  <c r="C3349" i="1"/>
  <c r="D3348" i="1"/>
  <c r="C3348" i="1"/>
  <c r="D3347" i="1"/>
  <c r="C3347" i="1"/>
  <c r="D3346" i="1"/>
  <c r="C3346" i="1"/>
  <c r="D3345" i="1"/>
  <c r="C3345" i="1"/>
  <c r="D3344" i="1"/>
  <c r="C3344" i="1"/>
  <c r="D3343" i="1"/>
  <c r="C3343" i="1"/>
  <c r="D3342" i="1"/>
  <c r="C3342" i="1"/>
  <c r="D3341" i="1"/>
  <c r="C3341" i="1"/>
  <c r="D3340" i="1"/>
  <c r="C3340" i="1"/>
  <c r="D3339" i="1"/>
  <c r="C3339" i="1"/>
  <c r="D3338" i="1"/>
  <c r="C3338" i="1"/>
  <c r="D3337" i="1"/>
  <c r="C3337" i="1"/>
  <c r="D3336" i="1"/>
  <c r="C3336" i="1"/>
  <c r="D3335" i="1"/>
  <c r="C3335" i="1"/>
  <c r="D3334" i="1"/>
  <c r="C3334" i="1"/>
  <c r="D3333" i="1"/>
  <c r="C3333" i="1"/>
  <c r="D3332" i="1"/>
  <c r="C3332" i="1"/>
  <c r="D3331" i="1"/>
  <c r="C3331" i="1"/>
  <c r="D3330" i="1"/>
  <c r="C3330" i="1"/>
  <c r="D3329" i="1"/>
  <c r="C3329" i="1"/>
  <c r="D3328" i="1"/>
  <c r="C3328" i="1"/>
  <c r="D3327" i="1"/>
  <c r="C3327" i="1"/>
  <c r="D3326" i="1"/>
  <c r="C3326" i="1"/>
  <c r="D3325" i="1"/>
  <c r="C3325" i="1"/>
  <c r="D3324" i="1"/>
  <c r="C3324" i="1"/>
  <c r="D3323" i="1"/>
  <c r="C3323" i="1"/>
  <c r="D3322" i="1"/>
  <c r="C3322" i="1"/>
  <c r="D3321" i="1"/>
  <c r="C3321" i="1"/>
  <c r="D3320" i="1"/>
  <c r="C3320" i="1"/>
  <c r="D3319" i="1"/>
  <c r="C3319" i="1"/>
  <c r="D3318" i="1"/>
  <c r="C3318" i="1"/>
  <c r="D3317" i="1"/>
  <c r="C3317" i="1"/>
  <c r="D3316" i="1"/>
  <c r="C3316" i="1"/>
  <c r="D3315" i="1"/>
  <c r="C3315" i="1"/>
  <c r="D3314" i="1"/>
  <c r="C3314" i="1"/>
  <c r="D3313" i="1"/>
  <c r="C3313" i="1"/>
  <c r="D3312" i="1"/>
  <c r="C3312" i="1"/>
  <c r="D3311" i="1"/>
  <c r="C3311" i="1"/>
  <c r="D3310" i="1"/>
  <c r="C3310" i="1"/>
  <c r="D3309" i="1"/>
  <c r="C3309" i="1"/>
  <c r="D3308" i="1"/>
  <c r="C3308" i="1"/>
  <c r="D3307" i="1"/>
  <c r="C3307" i="1"/>
  <c r="D3306" i="1"/>
  <c r="C3306" i="1"/>
  <c r="D3305" i="1"/>
  <c r="C3305" i="1"/>
  <c r="D3304" i="1"/>
  <c r="C3304" i="1"/>
  <c r="D3303" i="1"/>
  <c r="C3303" i="1"/>
  <c r="D3302" i="1"/>
  <c r="C3302" i="1"/>
  <c r="D3301" i="1"/>
  <c r="C3301" i="1"/>
  <c r="D3300" i="1"/>
  <c r="C3300" i="1"/>
  <c r="D3299" i="1"/>
  <c r="C3299" i="1"/>
  <c r="D3298" i="1"/>
  <c r="C3298" i="1"/>
  <c r="D3297" i="1"/>
  <c r="C3297" i="1"/>
  <c r="D3296" i="1"/>
  <c r="C3296" i="1"/>
  <c r="D3295" i="1"/>
  <c r="C3295" i="1"/>
  <c r="D3294" i="1"/>
  <c r="C3294" i="1"/>
  <c r="D3293" i="1"/>
  <c r="C3293" i="1"/>
  <c r="D3292" i="1"/>
  <c r="C3292" i="1"/>
  <c r="D3291" i="1"/>
  <c r="C3291" i="1"/>
  <c r="D3290" i="1"/>
  <c r="C3290" i="1"/>
  <c r="D3289" i="1"/>
  <c r="C3289" i="1"/>
  <c r="D3288" i="1"/>
  <c r="C3288" i="1"/>
  <c r="D3287" i="1"/>
  <c r="C3287" i="1"/>
  <c r="D3286" i="1"/>
  <c r="C3286" i="1"/>
  <c r="D3285" i="1"/>
  <c r="C3285" i="1"/>
  <c r="D3284" i="1"/>
  <c r="C3284" i="1"/>
  <c r="D3283" i="1"/>
  <c r="C3283" i="1"/>
  <c r="D3282" i="1"/>
  <c r="C3282" i="1"/>
  <c r="D3281" i="1"/>
  <c r="C3281" i="1"/>
  <c r="D3280" i="1"/>
  <c r="C3280" i="1"/>
  <c r="D3279" i="1"/>
  <c r="C3279" i="1"/>
  <c r="D3278" i="1"/>
  <c r="C3278" i="1"/>
  <c r="D3277" i="1"/>
  <c r="C3277" i="1"/>
  <c r="D3276" i="1"/>
  <c r="C3276" i="1"/>
  <c r="D3275" i="1"/>
  <c r="C3275" i="1"/>
  <c r="D3274" i="1"/>
  <c r="C3274" i="1"/>
  <c r="D3273" i="1"/>
  <c r="C3273" i="1"/>
  <c r="D3272" i="1"/>
  <c r="C3272" i="1"/>
  <c r="D3271" i="1"/>
  <c r="C3271" i="1"/>
  <c r="D3270" i="1"/>
  <c r="C3270" i="1"/>
  <c r="D3269" i="1"/>
  <c r="C3269" i="1"/>
  <c r="D3268" i="1"/>
  <c r="C3268" i="1"/>
  <c r="D3267" i="1"/>
  <c r="C3267" i="1"/>
  <c r="D3266" i="1"/>
  <c r="C3266" i="1"/>
  <c r="D3265" i="1"/>
  <c r="C3265" i="1"/>
  <c r="D3264" i="1"/>
  <c r="C3264" i="1"/>
  <c r="D3263" i="1"/>
  <c r="C3263" i="1"/>
  <c r="D3262" i="1"/>
  <c r="C3262" i="1"/>
  <c r="D3261" i="1"/>
  <c r="C3261" i="1"/>
  <c r="D3260" i="1"/>
  <c r="C3260" i="1"/>
  <c r="D3259" i="1"/>
  <c r="C3259" i="1"/>
  <c r="D3258" i="1"/>
  <c r="C3258" i="1"/>
  <c r="D3257" i="1"/>
  <c r="C3257" i="1"/>
  <c r="D3256" i="1"/>
  <c r="C3256" i="1"/>
  <c r="D3255" i="1"/>
  <c r="C3255" i="1"/>
  <c r="D3254" i="1"/>
  <c r="C3254" i="1"/>
  <c r="D3253" i="1"/>
  <c r="C3253" i="1"/>
  <c r="D3252" i="1"/>
  <c r="C3252" i="1"/>
  <c r="D3251" i="1"/>
  <c r="C3251" i="1"/>
  <c r="D3250" i="1"/>
  <c r="C3250" i="1"/>
  <c r="D3249" i="1"/>
  <c r="C3249" i="1"/>
  <c r="D3248" i="1"/>
  <c r="C3248" i="1"/>
  <c r="D3247" i="1"/>
  <c r="C3247" i="1"/>
  <c r="D3246" i="1"/>
  <c r="C3246" i="1"/>
  <c r="D3245" i="1"/>
  <c r="C3245" i="1"/>
  <c r="D3244" i="1"/>
  <c r="C3244" i="1"/>
  <c r="D3243" i="1"/>
  <c r="C3243" i="1"/>
  <c r="D3242" i="1"/>
  <c r="C3242" i="1"/>
  <c r="D3241" i="1"/>
  <c r="C3241" i="1"/>
  <c r="D3240" i="1"/>
  <c r="C3240" i="1"/>
  <c r="D3239" i="1"/>
  <c r="C3239" i="1"/>
  <c r="D3238" i="1"/>
  <c r="C3238" i="1"/>
  <c r="D3237" i="1"/>
  <c r="C3237" i="1"/>
  <c r="D3236" i="1"/>
  <c r="C3236" i="1"/>
  <c r="D3235" i="1"/>
  <c r="C3235" i="1"/>
  <c r="D3234" i="1"/>
  <c r="C3234" i="1"/>
  <c r="D3233" i="1"/>
  <c r="C3233" i="1"/>
  <c r="D3232" i="1"/>
  <c r="C3232" i="1"/>
  <c r="D3231" i="1"/>
  <c r="C3231" i="1"/>
  <c r="D3230" i="1"/>
  <c r="C3230" i="1"/>
  <c r="D3229" i="1"/>
  <c r="C3229" i="1"/>
  <c r="D3228" i="1"/>
  <c r="C3228" i="1"/>
  <c r="D3227" i="1"/>
  <c r="C3227" i="1"/>
  <c r="D3226" i="1"/>
  <c r="C3226" i="1"/>
  <c r="D3225" i="1"/>
  <c r="C3225" i="1"/>
  <c r="D3224" i="1"/>
  <c r="C3224" i="1"/>
  <c r="D3223" i="1"/>
  <c r="C3223" i="1"/>
  <c r="D3222" i="1"/>
  <c r="C3222" i="1"/>
  <c r="D3221" i="1"/>
  <c r="C3221" i="1"/>
  <c r="D3220" i="1"/>
  <c r="C3220" i="1"/>
  <c r="D3219" i="1"/>
  <c r="C3219" i="1"/>
  <c r="D3218" i="1"/>
  <c r="C3218" i="1"/>
  <c r="D3217" i="1"/>
  <c r="C3217" i="1"/>
  <c r="D3216" i="1"/>
  <c r="C3216" i="1"/>
  <c r="D3215" i="1"/>
  <c r="C3215" i="1"/>
  <c r="D3214" i="1"/>
  <c r="C3214" i="1"/>
  <c r="D3213" i="1"/>
  <c r="C3213" i="1"/>
  <c r="D3212" i="1"/>
  <c r="C3212" i="1"/>
  <c r="D3211" i="1"/>
  <c r="C3211" i="1"/>
  <c r="D3210" i="1"/>
  <c r="C3210" i="1"/>
  <c r="D3209" i="1"/>
  <c r="C3209" i="1"/>
  <c r="D3208" i="1"/>
  <c r="C3208" i="1"/>
  <c r="D3207" i="1"/>
  <c r="C3207" i="1"/>
  <c r="D3206" i="1"/>
  <c r="C3206" i="1"/>
  <c r="D3205" i="1"/>
  <c r="C3205" i="1"/>
  <c r="D3204" i="1"/>
  <c r="C3204" i="1"/>
  <c r="D3203" i="1"/>
  <c r="C3203" i="1"/>
  <c r="D3202" i="1"/>
  <c r="C3202" i="1"/>
  <c r="D3201" i="1"/>
  <c r="C3201" i="1"/>
  <c r="D3200" i="1"/>
  <c r="C3200" i="1"/>
  <c r="D3199" i="1"/>
  <c r="C3199" i="1"/>
  <c r="D3198" i="1"/>
  <c r="C3198" i="1"/>
  <c r="D3197" i="1"/>
  <c r="C3197" i="1"/>
  <c r="D3196" i="1"/>
  <c r="C3196" i="1"/>
  <c r="D3195" i="1"/>
  <c r="C3195" i="1"/>
  <c r="D3194" i="1"/>
  <c r="C3194" i="1"/>
  <c r="D3193" i="1"/>
  <c r="C3193" i="1"/>
  <c r="D3192" i="1"/>
  <c r="C3192" i="1"/>
  <c r="D3191" i="1"/>
  <c r="C3191" i="1"/>
  <c r="D3190" i="1"/>
  <c r="C3190" i="1"/>
  <c r="D3189" i="1"/>
  <c r="C3189" i="1"/>
  <c r="D3188" i="1"/>
  <c r="C3188" i="1"/>
  <c r="D3187" i="1"/>
  <c r="C3187" i="1"/>
  <c r="D3186" i="1"/>
  <c r="C3186" i="1"/>
  <c r="D3185" i="1"/>
  <c r="C3185" i="1"/>
  <c r="D3184" i="1"/>
  <c r="C3184" i="1"/>
  <c r="D3183" i="1"/>
  <c r="C3183" i="1"/>
  <c r="D3182" i="1"/>
  <c r="C3182" i="1"/>
  <c r="D3181" i="1"/>
  <c r="C3181" i="1"/>
  <c r="D3180" i="1"/>
  <c r="C3180" i="1"/>
  <c r="D3179" i="1"/>
  <c r="C3179" i="1"/>
  <c r="D3178" i="1"/>
  <c r="C3178" i="1"/>
  <c r="D3177" i="1"/>
  <c r="C3177" i="1"/>
  <c r="D3176" i="1"/>
  <c r="C3176" i="1"/>
  <c r="D3175" i="1"/>
  <c r="C3175" i="1"/>
  <c r="D3174" i="1"/>
  <c r="C3174" i="1"/>
  <c r="D3173" i="1"/>
  <c r="C3173" i="1"/>
  <c r="D3172" i="1"/>
  <c r="C3172" i="1"/>
  <c r="D3171" i="1"/>
  <c r="C3171" i="1"/>
  <c r="D3170" i="1"/>
  <c r="C3170" i="1"/>
  <c r="D3169" i="1"/>
  <c r="C3169" i="1"/>
  <c r="D3168" i="1"/>
  <c r="C3168" i="1"/>
  <c r="D3167" i="1"/>
  <c r="C3167" i="1"/>
  <c r="D3166" i="1"/>
  <c r="C3166" i="1"/>
  <c r="D3165" i="1"/>
  <c r="C3165" i="1"/>
  <c r="D3164" i="1"/>
  <c r="C3164" i="1"/>
  <c r="D3163" i="1"/>
  <c r="C3163" i="1"/>
  <c r="D3162" i="1"/>
  <c r="C3162" i="1"/>
  <c r="D3161" i="1"/>
  <c r="C3161" i="1"/>
  <c r="D3160" i="1"/>
  <c r="C3160" i="1"/>
  <c r="D3159" i="1"/>
  <c r="C3159" i="1"/>
  <c r="D3158" i="1"/>
  <c r="C3158" i="1"/>
  <c r="D3157" i="1"/>
  <c r="C3157" i="1"/>
  <c r="D3156" i="1"/>
  <c r="C3156" i="1"/>
  <c r="D3155" i="1"/>
  <c r="C3155" i="1"/>
  <c r="D3154" i="1"/>
  <c r="C3154" i="1"/>
  <c r="D3153" i="1"/>
  <c r="C3153" i="1"/>
  <c r="D3152" i="1"/>
  <c r="C3152" i="1"/>
  <c r="D3151" i="1"/>
  <c r="C3151" i="1"/>
  <c r="D3150" i="1"/>
  <c r="C3150" i="1"/>
  <c r="D3149" i="1"/>
  <c r="C3149" i="1"/>
  <c r="D3148" i="1"/>
  <c r="C3148" i="1"/>
  <c r="D3147" i="1"/>
  <c r="C3147" i="1"/>
  <c r="D3146" i="1"/>
  <c r="C3146" i="1"/>
  <c r="D3145" i="1"/>
  <c r="C3145" i="1"/>
  <c r="D3144" i="1"/>
  <c r="C3144" i="1"/>
  <c r="D3143" i="1"/>
  <c r="C3143" i="1"/>
  <c r="D3142" i="1"/>
  <c r="C3142" i="1"/>
  <c r="D3141" i="1"/>
  <c r="C3141" i="1"/>
  <c r="D3140" i="1"/>
  <c r="C3140" i="1"/>
  <c r="D3139" i="1"/>
  <c r="C3139" i="1"/>
  <c r="D3138" i="1"/>
  <c r="C3138" i="1"/>
  <c r="D3137" i="1"/>
  <c r="C3137" i="1"/>
  <c r="D3136" i="1"/>
  <c r="C3136" i="1"/>
  <c r="D3135" i="1"/>
  <c r="C3135" i="1"/>
  <c r="D3134" i="1"/>
  <c r="C3134" i="1"/>
  <c r="D3133" i="1"/>
  <c r="C3133" i="1"/>
  <c r="D3132" i="1"/>
  <c r="C3132" i="1"/>
  <c r="D3131" i="1"/>
  <c r="C3131" i="1"/>
  <c r="D3130" i="1"/>
  <c r="C3130" i="1"/>
  <c r="D3129" i="1"/>
  <c r="C3129" i="1"/>
  <c r="D3128" i="1"/>
  <c r="C3128" i="1"/>
  <c r="D3127" i="1"/>
  <c r="C3127" i="1"/>
  <c r="D3126" i="1"/>
  <c r="C3126" i="1"/>
  <c r="D3125" i="1"/>
  <c r="C3125" i="1"/>
  <c r="D3124" i="1"/>
  <c r="C3124" i="1"/>
  <c r="D3123" i="1"/>
  <c r="C3123" i="1"/>
  <c r="D3122" i="1"/>
  <c r="C3122" i="1"/>
  <c r="D3121" i="1"/>
  <c r="C3121" i="1"/>
  <c r="D3120" i="1"/>
  <c r="C3120" i="1"/>
  <c r="D3119" i="1"/>
  <c r="C3119" i="1"/>
  <c r="D3118" i="1"/>
  <c r="C3118" i="1"/>
  <c r="D3117" i="1"/>
  <c r="C3117" i="1"/>
  <c r="D3116" i="1"/>
  <c r="C3116" i="1"/>
  <c r="D3115" i="1"/>
  <c r="C3115" i="1"/>
  <c r="D3114" i="1"/>
  <c r="C3114" i="1"/>
  <c r="D3113" i="1"/>
  <c r="C3113" i="1"/>
  <c r="D3112" i="1"/>
  <c r="C3112" i="1"/>
  <c r="D3111" i="1"/>
  <c r="C3111" i="1"/>
  <c r="D3110" i="1"/>
  <c r="C3110" i="1"/>
  <c r="D3109" i="1"/>
  <c r="C3109" i="1"/>
  <c r="D3108" i="1"/>
  <c r="C3108" i="1"/>
  <c r="D3107" i="1"/>
  <c r="C3107" i="1"/>
  <c r="D3106" i="1"/>
  <c r="C3106" i="1"/>
  <c r="D3105" i="1"/>
  <c r="C3105" i="1"/>
  <c r="D3104" i="1"/>
  <c r="C3104" i="1"/>
  <c r="D3103" i="1"/>
  <c r="C3103" i="1"/>
  <c r="D3102" i="1"/>
  <c r="C3102" i="1"/>
  <c r="D3101" i="1"/>
  <c r="C3101" i="1"/>
  <c r="D3100" i="1"/>
  <c r="C3100" i="1"/>
  <c r="D3099" i="1"/>
  <c r="C3099" i="1"/>
  <c r="D3098" i="1"/>
  <c r="C3098" i="1"/>
  <c r="D3097" i="1"/>
  <c r="C3097" i="1"/>
  <c r="D3096" i="1"/>
  <c r="C3096" i="1"/>
  <c r="D3095" i="1"/>
  <c r="C3095" i="1"/>
  <c r="D3094" i="1"/>
  <c r="C3094" i="1"/>
  <c r="D3093" i="1"/>
  <c r="C3093" i="1"/>
  <c r="D3092" i="1"/>
  <c r="C3092" i="1"/>
  <c r="D3091" i="1"/>
  <c r="C3091" i="1"/>
  <c r="D3090" i="1"/>
  <c r="C3090" i="1"/>
  <c r="D3089" i="1"/>
  <c r="C3089" i="1"/>
  <c r="D3088" i="1"/>
  <c r="C3088" i="1"/>
  <c r="D3087" i="1"/>
  <c r="C3087" i="1"/>
  <c r="D3086" i="1"/>
  <c r="C3086" i="1"/>
  <c r="D3085" i="1"/>
  <c r="C3085" i="1"/>
  <c r="D3084" i="1"/>
  <c r="C3084" i="1"/>
  <c r="D3083" i="1"/>
  <c r="C3083" i="1"/>
  <c r="D3082" i="1"/>
  <c r="C3082" i="1"/>
  <c r="D3081" i="1"/>
  <c r="C3081" i="1"/>
  <c r="D3080" i="1"/>
  <c r="C3080" i="1"/>
  <c r="D3079" i="1"/>
  <c r="C3079" i="1"/>
  <c r="D3078" i="1"/>
  <c r="C3078" i="1"/>
  <c r="D3077" i="1"/>
  <c r="C3077" i="1"/>
  <c r="D3076" i="1"/>
  <c r="C3076" i="1"/>
  <c r="D3075" i="1"/>
  <c r="C3075" i="1"/>
  <c r="D3074" i="1"/>
  <c r="C3074" i="1"/>
  <c r="D3073" i="1"/>
  <c r="C3073" i="1"/>
  <c r="D3072" i="1"/>
  <c r="C3072" i="1"/>
  <c r="D3071" i="1"/>
  <c r="C3071" i="1"/>
  <c r="D3070" i="1"/>
  <c r="C3070" i="1"/>
  <c r="D3069" i="1"/>
  <c r="C3069" i="1"/>
  <c r="D3068" i="1"/>
  <c r="C3068" i="1"/>
  <c r="D3067" i="1"/>
  <c r="C3067" i="1"/>
  <c r="D3066" i="1"/>
  <c r="C3066" i="1"/>
  <c r="D3065" i="1"/>
  <c r="C3065" i="1"/>
  <c r="D3064" i="1"/>
  <c r="C3064" i="1"/>
  <c r="D3063" i="1"/>
  <c r="C3063" i="1"/>
  <c r="D3062" i="1"/>
  <c r="C3062" i="1"/>
  <c r="D3061" i="1"/>
  <c r="C3061" i="1"/>
  <c r="D3060" i="1"/>
  <c r="C3060" i="1"/>
  <c r="D3059" i="1"/>
  <c r="C3059" i="1"/>
  <c r="D3058" i="1"/>
  <c r="C3058" i="1"/>
  <c r="D3057" i="1"/>
  <c r="C3057" i="1"/>
  <c r="D3056" i="1"/>
  <c r="C3056" i="1"/>
  <c r="D3055" i="1"/>
  <c r="C3055" i="1"/>
  <c r="D3054" i="1"/>
  <c r="C3054" i="1"/>
  <c r="D3053" i="1"/>
  <c r="C3053" i="1"/>
  <c r="D3052" i="1"/>
  <c r="C3052" i="1"/>
  <c r="D3051" i="1"/>
  <c r="C3051" i="1"/>
  <c r="D3050" i="1"/>
  <c r="C3050" i="1"/>
  <c r="D3049" i="1"/>
  <c r="C3049" i="1"/>
  <c r="D3048" i="1"/>
  <c r="C3048" i="1"/>
  <c r="D3047" i="1"/>
  <c r="C3047" i="1"/>
  <c r="D3046" i="1"/>
  <c r="C3046" i="1"/>
  <c r="D3045" i="1"/>
  <c r="C3045" i="1"/>
  <c r="D3044" i="1"/>
  <c r="C3044" i="1"/>
  <c r="D3043" i="1"/>
  <c r="C3043" i="1"/>
  <c r="D3042" i="1"/>
  <c r="C3042" i="1"/>
  <c r="D3041" i="1"/>
  <c r="C3041" i="1"/>
  <c r="D3040" i="1"/>
  <c r="C3040" i="1"/>
  <c r="D3039" i="1"/>
  <c r="C3039" i="1"/>
  <c r="D3038" i="1"/>
  <c r="C3038" i="1"/>
  <c r="D3037" i="1"/>
  <c r="C3037" i="1"/>
  <c r="D3036" i="1"/>
  <c r="C3036" i="1"/>
  <c r="D3035" i="1"/>
  <c r="C3035" i="1"/>
  <c r="D3034" i="1"/>
  <c r="C3034" i="1"/>
  <c r="D3033" i="1"/>
  <c r="C3033" i="1"/>
  <c r="D3032" i="1"/>
  <c r="C3032" i="1"/>
  <c r="D3031" i="1"/>
  <c r="C3031" i="1"/>
  <c r="D3030" i="1"/>
  <c r="C3030" i="1"/>
  <c r="D3029" i="1"/>
  <c r="C3029" i="1"/>
  <c r="D3028" i="1"/>
  <c r="C3028" i="1"/>
  <c r="D3027" i="1"/>
  <c r="C3027" i="1"/>
  <c r="D3026" i="1"/>
  <c r="C3026" i="1"/>
  <c r="D3025" i="1"/>
  <c r="C3025" i="1"/>
  <c r="D3024" i="1"/>
  <c r="C3024" i="1"/>
  <c r="D3023" i="1"/>
  <c r="C3023" i="1"/>
  <c r="D3022" i="1"/>
  <c r="C3022" i="1"/>
  <c r="D3021" i="1"/>
  <c r="C3021" i="1"/>
  <c r="D3020" i="1"/>
  <c r="C3020" i="1"/>
  <c r="D3019" i="1"/>
  <c r="C3019" i="1"/>
  <c r="D3018" i="1"/>
  <c r="C3018" i="1"/>
  <c r="D3017" i="1"/>
  <c r="C3017" i="1"/>
  <c r="D3016" i="1"/>
  <c r="C3016" i="1"/>
  <c r="D3015" i="1"/>
  <c r="C3015" i="1"/>
  <c r="D3014" i="1"/>
  <c r="C3014" i="1"/>
  <c r="D3013" i="1"/>
  <c r="C3013" i="1"/>
  <c r="D3012" i="1"/>
  <c r="C3012" i="1"/>
  <c r="D3011" i="1"/>
  <c r="C3011" i="1"/>
  <c r="D3010" i="1"/>
  <c r="C3010" i="1"/>
  <c r="D3009" i="1"/>
  <c r="C3009" i="1"/>
  <c r="D3008" i="1"/>
  <c r="C3008" i="1"/>
  <c r="D3007" i="1"/>
  <c r="C3007" i="1"/>
  <c r="D3006" i="1"/>
  <c r="C3006" i="1"/>
  <c r="D3005" i="1"/>
  <c r="C3005" i="1"/>
  <c r="D3004" i="1"/>
  <c r="C3004" i="1"/>
  <c r="D3003" i="1"/>
  <c r="C3003" i="1"/>
  <c r="D3002" i="1"/>
  <c r="C3002" i="1"/>
  <c r="D3001" i="1"/>
  <c r="C3001" i="1"/>
  <c r="D3000" i="1"/>
  <c r="C3000" i="1"/>
  <c r="D2999" i="1"/>
  <c r="C2999" i="1"/>
  <c r="D2998" i="1"/>
  <c r="C2998" i="1"/>
  <c r="D2997" i="1"/>
  <c r="C2997" i="1"/>
  <c r="D2996" i="1"/>
  <c r="C2996" i="1"/>
  <c r="D2995" i="1"/>
  <c r="C2995" i="1"/>
  <c r="D2994" i="1"/>
  <c r="C2994" i="1"/>
  <c r="D2993" i="1"/>
  <c r="C2993" i="1"/>
  <c r="D2992" i="1"/>
  <c r="C2992" i="1"/>
  <c r="D2991" i="1"/>
  <c r="C2991" i="1"/>
  <c r="D2990" i="1"/>
  <c r="C2990" i="1"/>
  <c r="D2989" i="1"/>
  <c r="C2989" i="1"/>
  <c r="D2988" i="1"/>
  <c r="C2988" i="1"/>
  <c r="D2987" i="1"/>
  <c r="C2987" i="1"/>
  <c r="D2986" i="1"/>
  <c r="C2986" i="1"/>
  <c r="D2985" i="1"/>
  <c r="C2985" i="1"/>
  <c r="D2984" i="1"/>
  <c r="C2984" i="1"/>
  <c r="D2983" i="1"/>
  <c r="C2983" i="1"/>
  <c r="D2982" i="1"/>
  <c r="C2982" i="1"/>
  <c r="D2981" i="1"/>
  <c r="C2981" i="1"/>
  <c r="D2980" i="1"/>
  <c r="C2980" i="1"/>
  <c r="D2979" i="1"/>
  <c r="C2979" i="1"/>
  <c r="D2978" i="1"/>
  <c r="C2978" i="1"/>
  <c r="D2977" i="1"/>
  <c r="C2977" i="1"/>
  <c r="D2976" i="1"/>
  <c r="C2976" i="1"/>
  <c r="D2975" i="1"/>
  <c r="C2975" i="1"/>
  <c r="D2974" i="1"/>
  <c r="C2974" i="1"/>
  <c r="D2973" i="1"/>
  <c r="C2973" i="1"/>
  <c r="D2972" i="1"/>
  <c r="C2972" i="1"/>
  <c r="D2971" i="1"/>
  <c r="C2971" i="1"/>
  <c r="D2970" i="1"/>
  <c r="C2970" i="1"/>
  <c r="D2969" i="1"/>
  <c r="C2969" i="1"/>
  <c r="D2968" i="1"/>
  <c r="C2968" i="1"/>
  <c r="D2967" i="1"/>
  <c r="C2967" i="1"/>
  <c r="D2966" i="1"/>
  <c r="C2966" i="1"/>
  <c r="D2965" i="1"/>
  <c r="C2965" i="1"/>
  <c r="D2964" i="1"/>
  <c r="C2964" i="1"/>
  <c r="D2963" i="1"/>
  <c r="C2963" i="1"/>
  <c r="D2962" i="1"/>
  <c r="C2962" i="1"/>
  <c r="D2961" i="1"/>
  <c r="C2961" i="1"/>
  <c r="D2960" i="1"/>
  <c r="C2960" i="1"/>
  <c r="D2959" i="1"/>
  <c r="C2959" i="1"/>
  <c r="D2958" i="1"/>
  <c r="C2958" i="1"/>
  <c r="D2957" i="1"/>
  <c r="C2957" i="1"/>
  <c r="D2956" i="1"/>
  <c r="C2956" i="1"/>
  <c r="D2955" i="1"/>
  <c r="C2955" i="1"/>
  <c r="D2954" i="1"/>
  <c r="C2954" i="1"/>
  <c r="D2953" i="1"/>
  <c r="C2953" i="1"/>
  <c r="D2952" i="1"/>
  <c r="C2952" i="1"/>
  <c r="D2951" i="1"/>
  <c r="C2951" i="1"/>
  <c r="D2950" i="1"/>
  <c r="C2950" i="1"/>
  <c r="D2949" i="1"/>
  <c r="C2949" i="1"/>
  <c r="D2948" i="1"/>
  <c r="C2948" i="1"/>
  <c r="D2947" i="1"/>
  <c r="C2947" i="1"/>
  <c r="D2946" i="1"/>
  <c r="C2946" i="1"/>
  <c r="D2945" i="1"/>
  <c r="C2945" i="1"/>
  <c r="D2944" i="1"/>
  <c r="C2944" i="1"/>
  <c r="D2943" i="1"/>
  <c r="C2943" i="1"/>
  <c r="D2942" i="1"/>
  <c r="C2942" i="1"/>
  <c r="D2941" i="1"/>
  <c r="C2941" i="1"/>
  <c r="D2940" i="1"/>
  <c r="C2940" i="1"/>
  <c r="D2939" i="1"/>
  <c r="C2939" i="1"/>
  <c r="D2938" i="1"/>
  <c r="C2938" i="1"/>
  <c r="D2937" i="1"/>
  <c r="C2937" i="1"/>
  <c r="D2936" i="1"/>
  <c r="C2936" i="1"/>
  <c r="D2935" i="1"/>
  <c r="C2935" i="1"/>
  <c r="D2934" i="1"/>
  <c r="C2934" i="1"/>
  <c r="D2933" i="1"/>
  <c r="C2933" i="1"/>
  <c r="D2932" i="1"/>
  <c r="C2932" i="1"/>
  <c r="D2931" i="1"/>
  <c r="C2931" i="1"/>
  <c r="D2930" i="1"/>
  <c r="C2930" i="1"/>
  <c r="D2929" i="1"/>
  <c r="C2929" i="1"/>
  <c r="D2928" i="1"/>
  <c r="C2928" i="1"/>
  <c r="D2927" i="1"/>
  <c r="C2927" i="1"/>
  <c r="D2926" i="1"/>
  <c r="C2926" i="1"/>
  <c r="D2925" i="1"/>
  <c r="C2925" i="1"/>
  <c r="D2924" i="1"/>
  <c r="C2924" i="1"/>
  <c r="D2923" i="1"/>
  <c r="C2923" i="1"/>
  <c r="D2922" i="1"/>
  <c r="C2922" i="1"/>
  <c r="D2921" i="1"/>
  <c r="C2921" i="1"/>
  <c r="D2920" i="1"/>
  <c r="C2920" i="1"/>
  <c r="D2919" i="1"/>
  <c r="C2919" i="1"/>
  <c r="D2918" i="1"/>
  <c r="C2918" i="1"/>
  <c r="D2917" i="1"/>
  <c r="C2917" i="1"/>
  <c r="D2916" i="1"/>
  <c r="C2916" i="1"/>
  <c r="D2915" i="1"/>
  <c r="C2915" i="1"/>
  <c r="D2914" i="1"/>
  <c r="C2914" i="1"/>
  <c r="D2913" i="1"/>
  <c r="C2913" i="1"/>
  <c r="D2912" i="1"/>
  <c r="C2912" i="1"/>
  <c r="D2911" i="1"/>
  <c r="C2911" i="1"/>
  <c r="D2910" i="1"/>
  <c r="C2910" i="1"/>
  <c r="D2909" i="1"/>
  <c r="C2909" i="1"/>
  <c r="D2908" i="1"/>
  <c r="C2908" i="1"/>
  <c r="D2907" i="1"/>
  <c r="C2907" i="1"/>
  <c r="D2906" i="1"/>
  <c r="C2906" i="1"/>
  <c r="D2905" i="1"/>
  <c r="C2905" i="1"/>
  <c r="D2904" i="1"/>
  <c r="C2904" i="1"/>
  <c r="D2903" i="1"/>
  <c r="C2903" i="1"/>
  <c r="D2902" i="1"/>
  <c r="C2902" i="1"/>
  <c r="D2901" i="1"/>
  <c r="C2901" i="1"/>
  <c r="D2900" i="1"/>
  <c r="C2900" i="1"/>
  <c r="D2899" i="1"/>
  <c r="C2899" i="1"/>
  <c r="D2898" i="1"/>
  <c r="C2898" i="1"/>
  <c r="D2897" i="1"/>
  <c r="C2897" i="1"/>
  <c r="D2896" i="1"/>
  <c r="C2896" i="1"/>
  <c r="D2895" i="1"/>
  <c r="C2895" i="1"/>
  <c r="D2894" i="1"/>
  <c r="C2894" i="1"/>
  <c r="D2893" i="1"/>
  <c r="C2893" i="1"/>
  <c r="D2892" i="1"/>
  <c r="C2892" i="1"/>
  <c r="D2891" i="1"/>
  <c r="C2891" i="1"/>
  <c r="D2890" i="1"/>
  <c r="C2890" i="1"/>
  <c r="D2889" i="1"/>
  <c r="C2889" i="1"/>
  <c r="D2888" i="1"/>
  <c r="C2888" i="1"/>
  <c r="D2887" i="1"/>
  <c r="C2887" i="1"/>
  <c r="D2886" i="1"/>
  <c r="C2886" i="1"/>
  <c r="D2885" i="1"/>
  <c r="C2885" i="1"/>
  <c r="D2884" i="1"/>
  <c r="C2884" i="1"/>
  <c r="D2883" i="1"/>
  <c r="C2883" i="1"/>
  <c r="D2882" i="1"/>
  <c r="C2882" i="1"/>
  <c r="D2881" i="1"/>
  <c r="C2881" i="1"/>
  <c r="D2880" i="1"/>
  <c r="C2880" i="1"/>
  <c r="D2879" i="1"/>
  <c r="C2879" i="1"/>
  <c r="D2878" i="1"/>
  <c r="C2878" i="1"/>
  <c r="D2877" i="1"/>
  <c r="C2877" i="1"/>
  <c r="D2876" i="1"/>
  <c r="C2876" i="1"/>
  <c r="D2875" i="1"/>
  <c r="C2875" i="1"/>
  <c r="D2874" i="1"/>
  <c r="C2874" i="1"/>
  <c r="D2873" i="1"/>
  <c r="C2873" i="1"/>
  <c r="D2872" i="1"/>
  <c r="C2872" i="1"/>
  <c r="D2871" i="1"/>
  <c r="C2871" i="1"/>
  <c r="D2870" i="1"/>
  <c r="C2870" i="1"/>
  <c r="D2869" i="1"/>
  <c r="C2869" i="1"/>
  <c r="D2868" i="1"/>
  <c r="C2868" i="1"/>
  <c r="D2867" i="1"/>
  <c r="C2867" i="1"/>
  <c r="D2866" i="1"/>
  <c r="C2866" i="1"/>
  <c r="D2865" i="1"/>
  <c r="C2865" i="1"/>
  <c r="D2864" i="1"/>
  <c r="C2864" i="1"/>
  <c r="D2863" i="1"/>
  <c r="C2863" i="1"/>
  <c r="D2862" i="1"/>
  <c r="C2862" i="1"/>
  <c r="D2861" i="1"/>
  <c r="C2861" i="1"/>
  <c r="D2860" i="1"/>
  <c r="C2860" i="1"/>
  <c r="D2859" i="1"/>
  <c r="C2859" i="1"/>
  <c r="D2858" i="1"/>
  <c r="C2858" i="1"/>
  <c r="D2857" i="1"/>
  <c r="C2857" i="1"/>
  <c r="D2856" i="1"/>
  <c r="C2856" i="1"/>
  <c r="D2855" i="1"/>
  <c r="C2855" i="1"/>
  <c r="D2854" i="1"/>
  <c r="C2854" i="1"/>
  <c r="D2853" i="1"/>
  <c r="C2853" i="1"/>
  <c r="D2852" i="1"/>
  <c r="C2852" i="1"/>
  <c r="D2851" i="1"/>
  <c r="C2851" i="1"/>
  <c r="D2850" i="1"/>
  <c r="C2850" i="1"/>
  <c r="D2849" i="1"/>
  <c r="C2849" i="1"/>
  <c r="D2848" i="1"/>
  <c r="C2848" i="1"/>
  <c r="D2847" i="1"/>
  <c r="C2847" i="1"/>
  <c r="D2846" i="1"/>
  <c r="C2846" i="1"/>
  <c r="D2845" i="1"/>
  <c r="C2845" i="1"/>
  <c r="D2844" i="1"/>
  <c r="C2844" i="1"/>
  <c r="D2843" i="1"/>
  <c r="C2843" i="1"/>
  <c r="D2842" i="1"/>
  <c r="C2842" i="1"/>
  <c r="D2841" i="1"/>
  <c r="C2841" i="1"/>
  <c r="D2840" i="1"/>
  <c r="C2840" i="1"/>
  <c r="D2839" i="1"/>
  <c r="C2839" i="1"/>
  <c r="D2838" i="1"/>
  <c r="C2838" i="1"/>
  <c r="D2837" i="1"/>
  <c r="C2837" i="1"/>
  <c r="D2836" i="1"/>
  <c r="C2836" i="1"/>
  <c r="D2835" i="1"/>
  <c r="C2835" i="1"/>
  <c r="D2834" i="1"/>
  <c r="C2834" i="1"/>
  <c r="D2833" i="1"/>
  <c r="C2833" i="1"/>
  <c r="D2832" i="1"/>
  <c r="C2832" i="1"/>
  <c r="D2831" i="1"/>
  <c r="C2831" i="1"/>
  <c r="D2830" i="1"/>
  <c r="C2830" i="1"/>
  <c r="D2829" i="1"/>
  <c r="C2829" i="1"/>
  <c r="D2828" i="1"/>
  <c r="C2828" i="1"/>
  <c r="D2827" i="1"/>
  <c r="C2827" i="1"/>
  <c r="D2826" i="1"/>
  <c r="C2826" i="1"/>
  <c r="D2825" i="1"/>
  <c r="C2825" i="1"/>
  <c r="D2824" i="1"/>
  <c r="C2824" i="1"/>
  <c r="D2823" i="1"/>
  <c r="C2823" i="1"/>
  <c r="D2822" i="1"/>
  <c r="C2822" i="1"/>
  <c r="D2821" i="1"/>
  <c r="C2821" i="1"/>
  <c r="D2820" i="1"/>
  <c r="C2820" i="1"/>
  <c r="D2819" i="1"/>
  <c r="C2819" i="1"/>
  <c r="D2818" i="1"/>
  <c r="C2818" i="1"/>
  <c r="D2817" i="1"/>
  <c r="C2817" i="1"/>
  <c r="D2816" i="1"/>
  <c r="C2816" i="1"/>
  <c r="D2815" i="1"/>
  <c r="C2815" i="1"/>
  <c r="D2814" i="1"/>
  <c r="C2814" i="1"/>
  <c r="D2813" i="1"/>
  <c r="C2813" i="1"/>
  <c r="D2812" i="1"/>
  <c r="C2812" i="1"/>
  <c r="D2811" i="1"/>
  <c r="C2811" i="1"/>
  <c r="D2810" i="1"/>
  <c r="C2810" i="1"/>
  <c r="D2809" i="1"/>
  <c r="C2809" i="1"/>
  <c r="D2808" i="1"/>
  <c r="C2808" i="1"/>
  <c r="D2807" i="1"/>
  <c r="C2807" i="1"/>
  <c r="D2806" i="1"/>
  <c r="C2806" i="1"/>
  <c r="D2805" i="1"/>
  <c r="C2805" i="1"/>
  <c r="D2804" i="1"/>
  <c r="C2804" i="1"/>
  <c r="D2803" i="1"/>
  <c r="C2803" i="1"/>
  <c r="D2802" i="1"/>
  <c r="C2802" i="1"/>
  <c r="D2801" i="1"/>
  <c r="C2801" i="1"/>
  <c r="D2800" i="1"/>
  <c r="C2800" i="1"/>
  <c r="D2799" i="1"/>
  <c r="C2799" i="1"/>
  <c r="D2798" i="1"/>
  <c r="C2798" i="1"/>
  <c r="D2797" i="1"/>
  <c r="C2797" i="1"/>
  <c r="D2796" i="1"/>
  <c r="C2796" i="1"/>
  <c r="D2795" i="1"/>
  <c r="C2795" i="1"/>
  <c r="D2794" i="1"/>
  <c r="C2794" i="1"/>
  <c r="D2793" i="1"/>
  <c r="C2793" i="1"/>
  <c r="D2792" i="1"/>
  <c r="C2792" i="1"/>
  <c r="D2791" i="1"/>
  <c r="C2791" i="1"/>
  <c r="D2790" i="1"/>
  <c r="C2790" i="1"/>
  <c r="D2789" i="1"/>
  <c r="C2789" i="1"/>
  <c r="D2788" i="1"/>
  <c r="C2788" i="1"/>
  <c r="D2787" i="1"/>
  <c r="C2787" i="1"/>
  <c r="D2786" i="1"/>
  <c r="C2786" i="1"/>
  <c r="D2785" i="1"/>
  <c r="C2785" i="1"/>
  <c r="D2784" i="1"/>
  <c r="C2784" i="1"/>
  <c r="D2783" i="1"/>
  <c r="C2783" i="1"/>
  <c r="D2782" i="1"/>
  <c r="C2782" i="1"/>
  <c r="D2781" i="1"/>
  <c r="C2781" i="1"/>
  <c r="D2780" i="1"/>
  <c r="C2780" i="1"/>
  <c r="D2779" i="1"/>
  <c r="C2779" i="1"/>
  <c r="D2778" i="1"/>
  <c r="C2778" i="1"/>
  <c r="D2777" i="1"/>
  <c r="C2777" i="1"/>
  <c r="D2776" i="1"/>
  <c r="C2776" i="1"/>
  <c r="D2775" i="1"/>
  <c r="C2775" i="1"/>
  <c r="D2774" i="1"/>
  <c r="C2774" i="1"/>
  <c r="D2773" i="1"/>
  <c r="C2773" i="1"/>
  <c r="D2772" i="1"/>
  <c r="C2772" i="1"/>
  <c r="D2771" i="1"/>
  <c r="C2771" i="1"/>
  <c r="D2770" i="1"/>
  <c r="C2770" i="1"/>
  <c r="D2769" i="1"/>
  <c r="C2769" i="1"/>
  <c r="D2768" i="1"/>
  <c r="C2768" i="1"/>
  <c r="D2767" i="1"/>
  <c r="C2767" i="1"/>
  <c r="D2766" i="1"/>
  <c r="C2766" i="1"/>
  <c r="D2765" i="1"/>
  <c r="C2765" i="1"/>
  <c r="D2764" i="1"/>
  <c r="C2764" i="1"/>
  <c r="D2763" i="1"/>
  <c r="C2763" i="1"/>
  <c r="D2762" i="1"/>
  <c r="C2762" i="1"/>
  <c r="D2761" i="1"/>
  <c r="C2761" i="1"/>
  <c r="D2760" i="1"/>
  <c r="C2760" i="1"/>
  <c r="D2759" i="1"/>
  <c r="C2759" i="1"/>
  <c r="D2758" i="1"/>
  <c r="C2758" i="1"/>
  <c r="D2757" i="1"/>
  <c r="C2757" i="1"/>
  <c r="D2756" i="1"/>
  <c r="C2756" i="1"/>
  <c r="D2755" i="1"/>
  <c r="C2755" i="1"/>
  <c r="D2754" i="1"/>
  <c r="C2754" i="1"/>
  <c r="D2753" i="1"/>
  <c r="C2753" i="1"/>
  <c r="D2752" i="1"/>
  <c r="C2752" i="1"/>
  <c r="D2751" i="1"/>
  <c r="C2751" i="1"/>
  <c r="D2750" i="1"/>
  <c r="C2750" i="1"/>
  <c r="D2749" i="1"/>
  <c r="C2749" i="1"/>
  <c r="D2748" i="1"/>
  <c r="C2748" i="1"/>
  <c r="D2747" i="1"/>
  <c r="C2747" i="1"/>
  <c r="D2746" i="1"/>
  <c r="C2746" i="1"/>
  <c r="D2745" i="1"/>
  <c r="C2745" i="1"/>
  <c r="D2744" i="1"/>
  <c r="C2744" i="1"/>
  <c r="D2743" i="1"/>
  <c r="C2743" i="1"/>
  <c r="D2742" i="1"/>
  <c r="C2742" i="1"/>
  <c r="D2741" i="1"/>
  <c r="C2741" i="1"/>
  <c r="D2740" i="1"/>
  <c r="C2740" i="1"/>
  <c r="D2739" i="1"/>
  <c r="C2739" i="1"/>
  <c r="D2738" i="1"/>
  <c r="C2738" i="1"/>
  <c r="D2737" i="1"/>
  <c r="C2737" i="1"/>
  <c r="D2736" i="1"/>
  <c r="C2736" i="1"/>
  <c r="D2735" i="1"/>
  <c r="C2735" i="1"/>
  <c r="D2734" i="1"/>
  <c r="C2734" i="1"/>
  <c r="D2733" i="1"/>
  <c r="C2733" i="1"/>
  <c r="D2732" i="1"/>
  <c r="C2732" i="1"/>
  <c r="D2731" i="1"/>
  <c r="C2731" i="1"/>
  <c r="D2730" i="1"/>
  <c r="C2730" i="1"/>
  <c r="D2729" i="1"/>
  <c r="C2729" i="1"/>
  <c r="D2728" i="1"/>
  <c r="C2728" i="1"/>
  <c r="D2727" i="1"/>
  <c r="C2727" i="1"/>
  <c r="D2726" i="1"/>
  <c r="C2726" i="1"/>
  <c r="D2725" i="1"/>
  <c r="C2725" i="1"/>
  <c r="D2724" i="1"/>
  <c r="C2724" i="1"/>
  <c r="D2723" i="1"/>
  <c r="C2723" i="1"/>
  <c r="D2722" i="1"/>
  <c r="C2722" i="1"/>
  <c r="D2721" i="1"/>
  <c r="C2721" i="1"/>
  <c r="D2720" i="1"/>
  <c r="C2720" i="1"/>
  <c r="D2719" i="1"/>
  <c r="C2719" i="1"/>
  <c r="D2718" i="1"/>
  <c r="C2718" i="1"/>
  <c r="D2717" i="1"/>
  <c r="C2717" i="1"/>
  <c r="D2716" i="1"/>
  <c r="C2716" i="1"/>
  <c r="D2715" i="1"/>
  <c r="C2715" i="1"/>
  <c r="D2714" i="1"/>
  <c r="C2714" i="1"/>
  <c r="D2713" i="1"/>
  <c r="C2713" i="1"/>
  <c r="D2712" i="1"/>
  <c r="C2712" i="1"/>
  <c r="D2711" i="1"/>
  <c r="C2711" i="1"/>
  <c r="D2710" i="1"/>
  <c r="C2710" i="1"/>
  <c r="D2709" i="1"/>
  <c r="C2709" i="1"/>
  <c r="D2708" i="1"/>
  <c r="C2708" i="1"/>
  <c r="D2707" i="1"/>
  <c r="C2707" i="1"/>
  <c r="D2706" i="1"/>
  <c r="C2706" i="1"/>
  <c r="D2705" i="1"/>
  <c r="C2705" i="1"/>
  <c r="D2704" i="1"/>
  <c r="C2704" i="1"/>
  <c r="D2703" i="1"/>
  <c r="C2703" i="1"/>
  <c r="D2702" i="1"/>
  <c r="C2702" i="1"/>
  <c r="D2701" i="1"/>
  <c r="C2701" i="1"/>
  <c r="D2700" i="1"/>
  <c r="C2700" i="1"/>
  <c r="D2699" i="1"/>
  <c r="C2699" i="1"/>
  <c r="D2698" i="1"/>
  <c r="C2698" i="1"/>
  <c r="D2697" i="1"/>
  <c r="C2697" i="1"/>
  <c r="D2696" i="1"/>
  <c r="C2696" i="1"/>
  <c r="D2695" i="1"/>
  <c r="C2695" i="1"/>
  <c r="D2694" i="1"/>
  <c r="C2694" i="1"/>
  <c r="D2693" i="1"/>
  <c r="C2693" i="1"/>
  <c r="D2692" i="1"/>
  <c r="C2692" i="1"/>
  <c r="D2691" i="1"/>
  <c r="C2691" i="1"/>
  <c r="D2690" i="1"/>
  <c r="C2690" i="1"/>
  <c r="D2689" i="1"/>
  <c r="C2689" i="1"/>
  <c r="D2688" i="1"/>
  <c r="C2688" i="1"/>
  <c r="D2687" i="1"/>
  <c r="C2687" i="1"/>
  <c r="D2686" i="1"/>
  <c r="C2686" i="1"/>
  <c r="D2685" i="1"/>
  <c r="C2685" i="1"/>
  <c r="D2684" i="1"/>
  <c r="C2684" i="1"/>
  <c r="D2683" i="1"/>
  <c r="C2683" i="1"/>
  <c r="D2682" i="1"/>
  <c r="C2682" i="1"/>
  <c r="D2681" i="1"/>
  <c r="C2681" i="1"/>
  <c r="D2680" i="1"/>
  <c r="C2680" i="1"/>
  <c r="D2679" i="1"/>
  <c r="C2679" i="1"/>
  <c r="D2678" i="1"/>
  <c r="C2678" i="1"/>
  <c r="D2677" i="1"/>
  <c r="C2677" i="1"/>
  <c r="D2676" i="1"/>
  <c r="C2676" i="1"/>
  <c r="D2675" i="1"/>
  <c r="C2675" i="1"/>
  <c r="D2674" i="1"/>
  <c r="C2674" i="1"/>
  <c r="D2673" i="1"/>
  <c r="C2673" i="1"/>
  <c r="D2672" i="1"/>
  <c r="C2672" i="1"/>
  <c r="D2671" i="1"/>
  <c r="C2671" i="1"/>
  <c r="D2670" i="1"/>
  <c r="C2670" i="1"/>
  <c r="D2669" i="1"/>
  <c r="C2669" i="1"/>
  <c r="D2668" i="1"/>
  <c r="C2668" i="1"/>
  <c r="D2667" i="1"/>
  <c r="C2667" i="1"/>
  <c r="D2666" i="1"/>
  <c r="C2666" i="1"/>
  <c r="D2665" i="1"/>
  <c r="C2665" i="1"/>
  <c r="D2664" i="1"/>
  <c r="C2664" i="1"/>
  <c r="D2663" i="1"/>
  <c r="C2663" i="1"/>
  <c r="D2662" i="1"/>
  <c r="C2662" i="1"/>
  <c r="D2661" i="1"/>
  <c r="C2661" i="1"/>
  <c r="D2660" i="1"/>
  <c r="C2660" i="1"/>
  <c r="D2659" i="1"/>
  <c r="C2659" i="1"/>
  <c r="D2658" i="1"/>
  <c r="C2658" i="1"/>
  <c r="D2657" i="1"/>
  <c r="C2657" i="1"/>
  <c r="D2656" i="1"/>
  <c r="C2656" i="1"/>
  <c r="D2655" i="1"/>
  <c r="C2655" i="1"/>
  <c r="D2654" i="1"/>
  <c r="C2654" i="1"/>
  <c r="D2653" i="1"/>
  <c r="C2653" i="1"/>
  <c r="D2652" i="1"/>
  <c r="C2652" i="1"/>
  <c r="D2651" i="1"/>
  <c r="C2651" i="1"/>
  <c r="D2650" i="1"/>
  <c r="C2650" i="1"/>
  <c r="D2649" i="1"/>
  <c r="C2649" i="1"/>
  <c r="D2648" i="1"/>
  <c r="C2648" i="1"/>
  <c r="D2647" i="1"/>
  <c r="C2647" i="1"/>
  <c r="D2646" i="1"/>
  <c r="C2646" i="1"/>
  <c r="D2645" i="1"/>
  <c r="C2645" i="1"/>
  <c r="D2644" i="1"/>
  <c r="C2644" i="1"/>
  <c r="D2643" i="1"/>
  <c r="C2643" i="1"/>
  <c r="D2642" i="1"/>
  <c r="C2642" i="1"/>
  <c r="D2641" i="1"/>
  <c r="C2641" i="1"/>
  <c r="D2640" i="1"/>
  <c r="C2640" i="1"/>
  <c r="D2639" i="1"/>
  <c r="C2639" i="1"/>
  <c r="D2638" i="1"/>
  <c r="C2638" i="1"/>
  <c r="D2637" i="1"/>
  <c r="C2637" i="1"/>
  <c r="D2636" i="1"/>
  <c r="C2636" i="1"/>
  <c r="D2635" i="1"/>
  <c r="C2635" i="1"/>
  <c r="D2634" i="1"/>
  <c r="C2634" i="1"/>
  <c r="D2633" i="1"/>
  <c r="C2633" i="1"/>
  <c r="D2632" i="1"/>
  <c r="C2632" i="1"/>
  <c r="D2631" i="1"/>
  <c r="C2631" i="1"/>
  <c r="D2630" i="1"/>
  <c r="C2630" i="1"/>
  <c r="D2629" i="1"/>
  <c r="C2629" i="1"/>
  <c r="D2628" i="1"/>
  <c r="C2628" i="1"/>
  <c r="D2627" i="1"/>
  <c r="C2627" i="1"/>
  <c r="D2626" i="1"/>
  <c r="C2626" i="1"/>
  <c r="D2625" i="1"/>
  <c r="C2625" i="1"/>
  <c r="D2624" i="1"/>
  <c r="C2624" i="1"/>
  <c r="D2623" i="1"/>
  <c r="C2623" i="1"/>
  <c r="D2622" i="1"/>
  <c r="C2622" i="1"/>
  <c r="D2621" i="1"/>
  <c r="C2621" i="1"/>
  <c r="D2620" i="1"/>
  <c r="C2620" i="1"/>
  <c r="D2619" i="1"/>
  <c r="C2619" i="1"/>
  <c r="D2618" i="1"/>
  <c r="C2618" i="1"/>
  <c r="D2617" i="1"/>
  <c r="C2617" i="1"/>
  <c r="D2616" i="1"/>
  <c r="C2616" i="1"/>
  <c r="D2615" i="1"/>
  <c r="C2615" i="1"/>
  <c r="D2614" i="1"/>
  <c r="C2614" i="1"/>
  <c r="D2613" i="1"/>
  <c r="C2613" i="1"/>
  <c r="D2612" i="1"/>
  <c r="C2612" i="1"/>
  <c r="D2611" i="1"/>
  <c r="C2611" i="1"/>
  <c r="D2610" i="1"/>
  <c r="C2610" i="1"/>
  <c r="D2609" i="1"/>
  <c r="C2609" i="1"/>
  <c r="D2608" i="1"/>
  <c r="C2608" i="1"/>
  <c r="D2607" i="1"/>
  <c r="C2607" i="1"/>
  <c r="D2606" i="1"/>
  <c r="C2606" i="1"/>
  <c r="D2605" i="1"/>
  <c r="C2605" i="1"/>
  <c r="D2604" i="1"/>
  <c r="C2604" i="1"/>
  <c r="D2603" i="1"/>
  <c r="C2603" i="1"/>
  <c r="D2602" i="1"/>
  <c r="C2602" i="1"/>
  <c r="D2601" i="1"/>
  <c r="C2601" i="1"/>
  <c r="D2600" i="1"/>
  <c r="C2600" i="1"/>
  <c r="D2599" i="1"/>
  <c r="C2599" i="1"/>
  <c r="D2598" i="1"/>
  <c r="C2598" i="1"/>
  <c r="D2597" i="1"/>
  <c r="C2597" i="1"/>
  <c r="D2596" i="1"/>
  <c r="C2596" i="1"/>
  <c r="D2595" i="1"/>
  <c r="C2595" i="1"/>
  <c r="D2594" i="1"/>
  <c r="C2594" i="1"/>
  <c r="D2593" i="1"/>
  <c r="C2593" i="1"/>
  <c r="D2592" i="1"/>
  <c r="C2592" i="1"/>
  <c r="D2591" i="1"/>
  <c r="C2591" i="1"/>
  <c r="D2590" i="1"/>
  <c r="C2590" i="1"/>
  <c r="D2589" i="1"/>
  <c r="C2589" i="1"/>
  <c r="D2588" i="1"/>
  <c r="C2588" i="1"/>
  <c r="D2587" i="1"/>
  <c r="C2587" i="1"/>
  <c r="D2586" i="1"/>
  <c r="C2586" i="1"/>
  <c r="D2585" i="1"/>
  <c r="C2585" i="1"/>
  <c r="D2584" i="1"/>
  <c r="C2584" i="1"/>
  <c r="D2583" i="1"/>
  <c r="C2583" i="1"/>
  <c r="D2582" i="1"/>
  <c r="C2582" i="1"/>
  <c r="D2581" i="1"/>
  <c r="C2581" i="1"/>
  <c r="D2580" i="1"/>
  <c r="C2580" i="1"/>
  <c r="D2579" i="1"/>
  <c r="C2579" i="1"/>
  <c r="D2578" i="1"/>
  <c r="C2578" i="1"/>
  <c r="D2577" i="1"/>
  <c r="C2577" i="1"/>
  <c r="D2576" i="1"/>
  <c r="C2576" i="1"/>
  <c r="D2575" i="1"/>
  <c r="C2575" i="1"/>
  <c r="D2574" i="1"/>
  <c r="C2574" i="1"/>
  <c r="D2573" i="1"/>
  <c r="C2573" i="1"/>
  <c r="D2572" i="1"/>
  <c r="C2572" i="1"/>
  <c r="D2571" i="1"/>
  <c r="C2571" i="1"/>
  <c r="D2570" i="1"/>
  <c r="C2570" i="1"/>
  <c r="D2569" i="1"/>
  <c r="C2569" i="1"/>
  <c r="D2568" i="1"/>
  <c r="C2568" i="1"/>
  <c r="D2567" i="1"/>
  <c r="C2567" i="1"/>
  <c r="D2566" i="1"/>
  <c r="C2566" i="1"/>
  <c r="D2565" i="1"/>
  <c r="C2565" i="1"/>
  <c r="D2564" i="1"/>
  <c r="C2564" i="1"/>
  <c r="D2563" i="1"/>
  <c r="C2563" i="1"/>
  <c r="D2562" i="1"/>
  <c r="C2562" i="1"/>
  <c r="D2561" i="1"/>
  <c r="C2561" i="1"/>
  <c r="D2560" i="1"/>
  <c r="C2560" i="1"/>
  <c r="D2559" i="1"/>
  <c r="C2559" i="1"/>
  <c r="D2558" i="1"/>
  <c r="C2558" i="1"/>
  <c r="D2557" i="1"/>
  <c r="C2557" i="1"/>
  <c r="D2556" i="1"/>
  <c r="C2556" i="1"/>
  <c r="D2555" i="1"/>
  <c r="C2555" i="1"/>
  <c r="D2554" i="1"/>
  <c r="C2554" i="1"/>
  <c r="D2553" i="1"/>
  <c r="C2553" i="1"/>
  <c r="D2552" i="1"/>
  <c r="C2552" i="1"/>
  <c r="D2551" i="1"/>
  <c r="C2551" i="1"/>
  <c r="D2550" i="1"/>
  <c r="C2550" i="1"/>
  <c r="D2549" i="1"/>
  <c r="C2549" i="1"/>
  <c r="D2548" i="1"/>
  <c r="C2548" i="1"/>
  <c r="D2547" i="1"/>
  <c r="C2547" i="1"/>
  <c r="D2546" i="1"/>
  <c r="C2546" i="1"/>
  <c r="D2545" i="1"/>
  <c r="C2545" i="1"/>
  <c r="D2544" i="1"/>
  <c r="C2544" i="1"/>
  <c r="D2543" i="1"/>
  <c r="C2543" i="1"/>
  <c r="D2542" i="1"/>
  <c r="C2542" i="1"/>
  <c r="D2541" i="1"/>
  <c r="C2541" i="1"/>
  <c r="D2540" i="1"/>
  <c r="C2540" i="1"/>
  <c r="D2539" i="1"/>
  <c r="C2539" i="1"/>
  <c r="D2538" i="1"/>
  <c r="C2538" i="1"/>
  <c r="D2537" i="1"/>
  <c r="C2537" i="1"/>
  <c r="D2536" i="1"/>
  <c r="C2536" i="1"/>
  <c r="D2535" i="1"/>
  <c r="C2535" i="1"/>
  <c r="D2534" i="1"/>
  <c r="C2534" i="1"/>
  <c r="D2533" i="1"/>
  <c r="C2533" i="1"/>
  <c r="D2532" i="1"/>
  <c r="C2532" i="1"/>
  <c r="D2531" i="1"/>
  <c r="C2531" i="1"/>
  <c r="D2530" i="1"/>
  <c r="C2530" i="1"/>
  <c r="D2529" i="1"/>
  <c r="C2529" i="1"/>
  <c r="D2528" i="1"/>
  <c r="C2528" i="1"/>
  <c r="D2527" i="1"/>
  <c r="C2527" i="1"/>
  <c r="D2526" i="1"/>
  <c r="C2526" i="1"/>
  <c r="D2525" i="1"/>
  <c r="C2525" i="1"/>
  <c r="D2524" i="1"/>
  <c r="C2524" i="1"/>
  <c r="D2523" i="1"/>
  <c r="C2523" i="1"/>
  <c r="D2522" i="1"/>
  <c r="C2522" i="1"/>
  <c r="D2521" i="1"/>
  <c r="C2521" i="1"/>
  <c r="D2520" i="1"/>
  <c r="C2520" i="1"/>
  <c r="D2519" i="1"/>
  <c r="C2519" i="1"/>
  <c r="D2518" i="1"/>
  <c r="C2518" i="1"/>
  <c r="D2517" i="1"/>
  <c r="C2517" i="1"/>
  <c r="D2516" i="1"/>
  <c r="C2516" i="1"/>
  <c r="D2515" i="1"/>
  <c r="C2515" i="1"/>
  <c r="D2514" i="1"/>
  <c r="C2514" i="1"/>
  <c r="D2513" i="1"/>
  <c r="C2513" i="1"/>
  <c r="D2512" i="1"/>
  <c r="C2512" i="1"/>
  <c r="D2511" i="1"/>
  <c r="C2511" i="1"/>
  <c r="D2510" i="1"/>
  <c r="C2510" i="1"/>
  <c r="D2509" i="1"/>
  <c r="C2509" i="1"/>
  <c r="D2508" i="1"/>
  <c r="C2508" i="1"/>
  <c r="D2507" i="1"/>
  <c r="C2507" i="1"/>
  <c r="D2506" i="1"/>
  <c r="C2506" i="1"/>
  <c r="D2505" i="1"/>
  <c r="C2505" i="1"/>
  <c r="D2504" i="1"/>
  <c r="C2504" i="1"/>
  <c r="D2503" i="1"/>
  <c r="C2503" i="1"/>
  <c r="D2502" i="1"/>
  <c r="C2502" i="1"/>
  <c r="D2501" i="1"/>
  <c r="C2501" i="1"/>
  <c r="D2500" i="1"/>
  <c r="C2500" i="1"/>
  <c r="D2499" i="1"/>
  <c r="C2499" i="1"/>
  <c r="D2498" i="1"/>
  <c r="C2498" i="1"/>
  <c r="D2497" i="1"/>
  <c r="C2497" i="1"/>
  <c r="D2496" i="1"/>
  <c r="C2496" i="1"/>
  <c r="D2495" i="1"/>
  <c r="C2495" i="1"/>
  <c r="D2494" i="1"/>
  <c r="C2494" i="1"/>
  <c r="D2493" i="1"/>
  <c r="C2493" i="1"/>
  <c r="D2492" i="1"/>
  <c r="C2492" i="1"/>
  <c r="D2491" i="1"/>
  <c r="C2491" i="1"/>
  <c r="D2490" i="1"/>
  <c r="C2490" i="1"/>
  <c r="D2489" i="1"/>
  <c r="C2489" i="1"/>
  <c r="D2488" i="1"/>
  <c r="C2488" i="1"/>
  <c r="D2487" i="1"/>
  <c r="C2487" i="1"/>
  <c r="D2486" i="1"/>
  <c r="C2486" i="1"/>
  <c r="D2485" i="1"/>
  <c r="C2485" i="1"/>
  <c r="D2484" i="1"/>
  <c r="C2484" i="1"/>
  <c r="D2483" i="1"/>
  <c r="C2483" i="1"/>
  <c r="D2482" i="1"/>
  <c r="C2482" i="1"/>
  <c r="D2481" i="1"/>
  <c r="C2481" i="1"/>
  <c r="D2480" i="1"/>
  <c r="C2480" i="1"/>
  <c r="D2479" i="1"/>
  <c r="C2479" i="1"/>
  <c r="D2478" i="1"/>
  <c r="C2478" i="1"/>
  <c r="D2477" i="1"/>
  <c r="C2477" i="1"/>
  <c r="D2476" i="1"/>
  <c r="C2476" i="1"/>
  <c r="D2475" i="1"/>
  <c r="C2475" i="1"/>
  <c r="D2474" i="1"/>
  <c r="C2474" i="1"/>
  <c r="D2473" i="1"/>
  <c r="C2473" i="1"/>
  <c r="D2472" i="1"/>
  <c r="C2472" i="1"/>
  <c r="D2471" i="1"/>
  <c r="C2471" i="1"/>
  <c r="D2470" i="1"/>
  <c r="C2470" i="1"/>
  <c r="D2469" i="1"/>
  <c r="C2469" i="1"/>
  <c r="D2468" i="1"/>
  <c r="C2468" i="1"/>
  <c r="D2467" i="1"/>
  <c r="C2467" i="1"/>
  <c r="D2466" i="1"/>
  <c r="C2466" i="1"/>
  <c r="D2465" i="1"/>
  <c r="C2465" i="1"/>
  <c r="D2464" i="1"/>
  <c r="C2464" i="1"/>
  <c r="D2463" i="1"/>
  <c r="C2463" i="1"/>
  <c r="D2462" i="1"/>
  <c r="C2462" i="1"/>
  <c r="D2461" i="1"/>
  <c r="C2461" i="1"/>
  <c r="D2460" i="1"/>
  <c r="C2460" i="1"/>
  <c r="D2459" i="1"/>
  <c r="C2459" i="1"/>
  <c r="D2458" i="1"/>
  <c r="C2458" i="1"/>
  <c r="D2457" i="1"/>
  <c r="C2457" i="1"/>
  <c r="D2456" i="1"/>
  <c r="C2456" i="1"/>
  <c r="D2455" i="1"/>
  <c r="C2455" i="1"/>
  <c r="D2454" i="1"/>
  <c r="C2454" i="1"/>
  <c r="D2453" i="1"/>
  <c r="C2453" i="1"/>
  <c r="D2452" i="1"/>
  <c r="C2452" i="1"/>
  <c r="D2451" i="1"/>
  <c r="C2451" i="1"/>
  <c r="D2450" i="1"/>
  <c r="C2450" i="1"/>
  <c r="D2449" i="1"/>
  <c r="C2449" i="1"/>
  <c r="D2448" i="1"/>
  <c r="C2448" i="1"/>
  <c r="D2447" i="1"/>
  <c r="C2447" i="1"/>
  <c r="D2446" i="1"/>
  <c r="C2446" i="1"/>
  <c r="D2445" i="1"/>
  <c r="C2445" i="1"/>
  <c r="D2444" i="1"/>
  <c r="C2444" i="1"/>
  <c r="D2443" i="1"/>
  <c r="C2443" i="1"/>
  <c r="D2442" i="1"/>
  <c r="C2442" i="1"/>
  <c r="D2441" i="1"/>
  <c r="C2441" i="1"/>
  <c r="D2440" i="1"/>
  <c r="C2440" i="1"/>
  <c r="D2439" i="1"/>
  <c r="C2439" i="1"/>
  <c r="D2438" i="1"/>
  <c r="C2438" i="1"/>
  <c r="D2437" i="1"/>
  <c r="C2437" i="1"/>
  <c r="D2436" i="1"/>
  <c r="C2436" i="1"/>
  <c r="D2435" i="1"/>
  <c r="C2435" i="1"/>
  <c r="D2434" i="1"/>
  <c r="C2434" i="1"/>
  <c r="D2433" i="1"/>
  <c r="C2433" i="1"/>
  <c r="D2432" i="1"/>
  <c r="C2432" i="1"/>
  <c r="D2431" i="1"/>
  <c r="C2431" i="1"/>
  <c r="D2430" i="1"/>
  <c r="C2430" i="1"/>
  <c r="D2429" i="1"/>
  <c r="C2429" i="1"/>
  <c r="D2428" i="1"/>
  <c r="C2428" i="1"/>
  <c r="D2427" i="1"/>
  <c r="C2427" i="1"/>
  <c r="D2426" i="1"/>
  <c r="C2426" i="1"/>
  <c r="D2425" i="1"/>
  <c r="C2425" i="1"/>
  <c r="D2424" i="1"/>
  <c r="C2424" i="1"/>
  <c r="D2423" i="1"/>
  <c r="C2423" i="1"/>
  <c r="D2422" i="1"/>
  <c r="C2422" i="1"/>
  <c r="D2421" i="1"/>
  <c r="C2421" i="1"/>
  <c r="D2420" i="1"/>
  <c r="C2420" i="1"/>
  <c r="D2419" i="1"/>
  <c r="C2419" i="1"/>
  <c r="D2418" i="1"/>
  <c r="C2418" i="1"/>
  <c r="D2417" i="1"/>
  <c r="C2417" i="1"/>
  <c r="D2416" i="1"/>
  <c r="C2416" i="1"/>
  <c r="D2415" i="1"/>
  <c r="C2415" i="1"/>
  <c r="D2414" i="1"/>
  <c r="C2414" i="1"/>
  <c r="D2413" i="1"/>
  <c r="C2413" i="1"/>
  <c r="D2412" i="1"/>
  <c r="C2412" i="1"/>
  <c r="D2411" i="1"/>
  <c r="C2411" i="1"/>
  <c r="D2410" i="1"/>
  <c r="C2410" i="1"/>
  <c r="D2409" i="1"/>
  <c r="C2409" i="1"/>
  <c r="D2408" i="1"/>
  <c r="C2408" i="1"/>
  <c r="D2407" i="1"/>
  <c r="C2407" i="1"/>
  <c r="D2406" i="1"/>
  <c r="C2406" i="1"/>
  <c r="D2405" i="1"/>
  <c r="C2405" i="1"/>
  <c r="D2404" i="1"/>
  <c r="C2404" i="1"/>
  <c r="D2403" i="1"/>
  <c r="C2403" i="1"/>
  <c r="D2402" i="1"/>
  <c r="C2402" i="1"/>
  <c r="D2401" i="1"/>
  <c r="C2401" i="1"/>
  <c r="D2400" i="1"/>
  <c r="C2400" i="1"/>
  <c r="D2399" i="1"/>
  <c r="C2399" i="1"/>
  <c r="D2398" i="1"/>
  <c r="C2398" i="1"/>
  <c r="D2397" i="1"/>
  <c r="C2397" i="1"/>
  <c r="D2396" i="1"/>
  <c r="C2396" i="1"/>
  <c r="D2395" i="1"/>
  <c r="C2395" i="1"/>
  <c r="D2394" i="1"/>
  <c r="C2394" i="1"/>
  <c r="D2393" i="1"/>
  <c r="C2393" i="1"/>
  <c r="D2392" i="1"/>
  <c r="C2392" i="1"/>
  <c r="D2391" i="1"/>
  <c r="C2391" i="1"/>
  <c r="D2390" i="1"/>
  <c r="C2390" i="1"/>
  <c r="D2389" i="1"/>
  <c r="C2389" i="1"/>
  <c r="D2388" i="1"/>
  <c r="C2388" i="1"/>
  <c r="D2387" i="1"/>
  <c r="C2387" i="1"/>
  <c r="D2386" i="1"/>
  <c r="C2386" i="1"/>
  <c r="D2385" i="1"/>
  <c r="C2385" i="1"/>
  <c r="D2384" i="1"/>
  <c r="C2384" i="1"/>
  <c r="D2383" i="1"/>
  <c r="C2383" i="1"/>
  <c r="D2382" i="1"/>
  <c r="C2382" i="1"/>
  <c r="D2381" i="1"/>
  <c r="C2381" i="1"/>
  <c r="D2380" i="1"/>
  <c r="C2380" i="1"/>
  <c r="D2379" i="1"/>
  <c r="C2379" i="1"/>
  <c r="D2378" i="1"/>
  <c r="C2378" i="1"/>
  <c r="D2377" i="1"/>
  <c r="C2377" i="1"/>
  <c r="D2376" i="1"/>
  <c r="C2376" i="1"/>
  <c r="D2375" i="1"/>
  <c r="C2375" i="1"/>
  <c r="D2374" i="1"/>
  <c r="C2374" i="1"/>
  <c r="D2373" i="1"/>
  <c r="C2373" i="1"/>
  <c r="D2372" i="1"/>
  <c r="C2372" i="1"/>
  <c r="D2371" i="1"/>
  <c r="C2371" i="1"/>
  <c r="D2370" i="1"/>
  <c r="C2370" i="1"/>
  <c r="D2369" i="1"/>
  <c r="C2369" i="1"/>
  <c r="D2368" i="1"/>
  <c r="C2368" i="1"/>
  <c r="D2367" i="1"/>
  <c r="C2367" i="1"/>
  <c r="D2366" i="1"/>
  <c r="C2366" i="1"/>
  <c r="D2365" i="1"/>
  <c r="C2365" i="1"/>
  <c r="D2364" i="1"/>
  <c r="C2364" i="1"/>
  <c r="D2363" i="1"/>
  <c r="C2363" i="1"/>
  <c r="D2362" i="1"/>
  <c r="C2362" i="1"/>
  <c r="D2361" i="1"/>
  <c r="C2361" i="1"/>
  <c r="D2360" i="1"/>
  <c r="C2360" i="1"/>
  <c r="D2359" i="1"/>
  <c r="C2359" i="1"/>
  <c r="D2358" i="1"/>
  <c r="C2358" i="1"/>
  <c r="D2357" i="1"/>
  <c r="C2357" i="1"/>
  <c r="D2356" i="1"/>
  <c r="C2356" i="1"/>
  <c r="D2355" i="1"/>
  <c r="C2355" i="1"/>
  <c r="D2354" i="1"/>
  <c r="C2354" i="1"/>
  <c r="D2353" i="1"/>
  <c r="C2353" i="1"/>
  <c r="D2352" i="1"/>
  <c r="C2352" i="1"/>
  <c r="D2351" i="1"/>
  <c r="C2351" i="1"/>
  <c r="D2350" i="1"/>
  <c r="C2350" i="1"/>
  <c r="D2349" i="1"/>
  <c r="C2349" i="1"/>
  <c r="D2348" i="1"/>
  <c r="C2348" i="1"/>
  <c r="D2347" i="1"/>
  <c r="C2347" i="1"/>
  <c r="D2346" i="1"/>
  <c r="C2346" i="1"/>
  <c r="D2345" i="1"/>
  <c r="C2345" i="1"/>
  <c r="D2344" i="1"/>
  <c r="C2344" i="1"/>
  <c r="D2343" i="1"/>
  <c r="C2343" i="1"/>
  <c r="D2342" i="1"/>
  <c r="C2342" i="1"/>
  <c r="D2341" i="1"/>
  <c r="C2341" i="1"/>
  <c r="D2340" i="1"/>
  <c r="C2340" i="1"/>
  <c r="D2339" i="1"/>
  <c r="C2339" i="1"/>
  <c r="D2338" i="1"/>
  <c r="C2338" i="1"/>
  <c r="D2337" i="1"/>
  <c r="C2337" i="1"/>
  <c r="D2336" i="1"/>
  <c r="C2336" i="1"/>
  <c r="D2335" i="1"/>
  <c r="C2335" i="1"/>
  <c r="D2334" i="1"/>
  <c r="C2334" i="1"/>
  <c r="D2333" i="1"/>
  <c r="C2333" i="1"/>
  <c r="D2332" i="1"/>
  <c r="C2332" i="1"/>
  <c r="D2331" i="1"/>
  <c r="C2331" i="1"/>
  <c r="D2330" i="1"/>
  <c r="C2330" i="1"/>
  <c r="D2329" i="1"/>
  <c r="C2329" i="1"/>
  <c r="D2328" i="1"/>
  <c r="C2328" i="1"/>
  <c r="D2327" i="1"/>
  <c r="C2327" i="1"/>
  <c r="D2326" i="1"/>
  <c r="C2326" i="1"/>
  <c r="D2325" i="1"/>
  <c r="C2325" i="1"/>
  <c r="D2324" i="1"/>
  <c r="C2324" i="1"/>
  <c r="D2323" i="1"/>
  <c r="C2323" i="1"/>
  <c r="D2322" i="1"/>
  <c r="C2322" i="1"/>
  <c r="D2321" i="1"/>
  <c r="C2321" i="1"/>
  <c r="D2320" i="1"/>
  <c r="C2320" i="1"/>
  <c r="D2319" i="1"/>
  <c r="C2319" i="1"/>
  <c r="D2318" i="1"/>
  <c r="C2318" i="1"/>
  <c r="D2317" i="1"/>
  <c r="C2317" i="1"/>
  <c r="D2316" i="1"/>
  <c r="C2316" i="1"/>
  <c r="D2315" i="1"/>
  <c r="C2315" i="1"/>
  <c r="D2314" i="1"/>
  <c r="C2314" i="1"/>
  <c r="D2313" i="1"/>
  <c r="C2313" i="1"/>
  <c r="D2312" i="1"/>
  <c r="C2312" i="1"/>
  <c r="D2311" i="1"/>
  <c r="C2311" i="1"/>
  <c r="D2310" i="1"/>
  <c r="C2310" i="1"/>
  <c r="D2309" i="1"/>
  <c r="C2309" i="1"/>
  <c r="D2308" i="1"/>
  <c r="C2308" i="1"/>
  <c r="D2307" i="1"/>
  <c r="C2307" i="1"/>
  <c r="D2306" i="1"/>
  <c r="C2306" i="1"/>
  <c r="D2305" i="1"/>
  <c r="C2305" i="1"/>
  <c r="D2304" i="1"/>
  <c r="C2304" i="1"/>
  <c r="D2303" i="1"/>
  <c r="C2303" i="1"/>
  <c r="D2302" i="1"/>
  <c r="C2302" i="1"/>
  <c r="D2301" i="1"/>
  <c r="C2301" i="1"/>
  <c r="D2300" i="1"/>
  <c r="C2300" i="1"/>
  <c r="D2299" i="1"/>
  <c r="C2299" i="1"/>
  <c r="D2298" i="1"/>
  <c r="C2298" i="1"/>
  <c r="D2297" i="1"/>
  <c r="C2297" i="1"/>
  <c r="D2296" i="1"/>
  <c r="C2296" i="1"/>
  <c r="D2295" i="1"/>
  <c r="C2295" i="1"/>
  <c r="D2294" i="1"/>
  <c r="C2294" i="1"/>
  <c r="D2293" i="1"/>
  <c r="C2293" i="1"/>
  <c r="D2292" i="1"/>
  <c r="C2292" i="1"/>
  <c r="D2291" i="1"/>
  <c r="C2291" i="1"/>
  <c r="D2290" i="1"/>
  <c r="C2290" i="1"/>
  <c r="D2289" i="1"/>
  <c r="C2289" i="1"/>
  <c r="D2288" i="1"/>
  <c r="C2288" i="1"/>
  <c r="D2287" i="1"/>
  <c r="C2287" i="1"/>
  <c r="D2286" i="1"/>
  <c r="C2286" i="1"/>
  <c r="D2285" i="1"/>
  <c r="C2285" i="1"/>
  <c r="D2284" i="1"/>
  <c r="C2284" i="1"/>
  <c r="D2283" i="1"/>
  <c r="C2283" i="1"/>
  <c r="D2282" i="1"/>
  <c r="C2282" i="1"/>
  <c r="D2281" i="1"/>
  <c r="C2281" i="1"/>
  <c r="D2280" i="1"/>
  <c r="C2280" i="1"/>
  <c r="D2279" i="1"/>
  <c r="C2279" i="1"/>
  <c r="D2278" i="1"/>
  <c r="C2278" i="1"/>
  <c r="D2277" i="1"/>
  <c r="C2277" i="1"/>
  <c r="D2276" i="1"/>
  <c r="C2276" i="1"/>
  <c r="D2275" i="1"/>
  <c r="C2275" i="1"/>
  <c r="D2274" i="1"/>
  <c r="C2274" i="1"/>
  <c r="D2273" i="1"/>
  <c r="C2273" i="1"/>
  <c r="D2272" i="1"/>
  <c r="C2272" i="1"/>
  <c r="D2271" i="1"/>
  <c r="C2271" i="1"/>
  <c r="D2270" i="1"/>
  <c r="C2270" i="1"/>
  <c r="D2269" i="1"/>
  <c r="C2269" i="1"/>
  <c r="D2268" i="1"/>
  <c r="C2268" i="1"/>
  <c r="D2267" i="1"/>
  <c r="C2267" i="1"/>
  <c r="D2266" i="1"/>
  <c r="C2266" i="1"/>
  <c r="D2265" i="1"/>
  <c r="C2265" i="1"/>
  <c r="D2264" i="1"/>
  <c r="C2264" i="1"/>
  <c r="D2263" i="1"/>
  <c r="C2263" i="1"/>
  <c r="D2262" i="1"/>
  <c r="C2262" i="1"/>
  <c r="D2261" i="1"/>
  <c r="C2261" i="1"/>
  <c r="D2260" i="1"/>
  <c r="C2260" i="1"/>
  <c r="D2259" i="1"/>
  <c r="C2259" i="1"/>
  <c r="D2258" i="1"/>
  <c r="C2258" i="1"/>
  <c r="D2257" i="1"/>
  <c r="C2257" i="1"/>
  <c r="D2256" i="1"/>
  <c r="C2256" i="1"/>
  <c r="D2255" i="1"/>
  <c r="C2255" i="1"/>
  <c r="D2254" i="1"/>
  <c r="C2254" i="1"/>
  <c r="D2253" i="1"/>
  <c r="C2253" i="1"/>
  <c r="D2252" i="1"/>
  <c r="C2252" i="1"/>
  <c r="D2251" i="1"/>
  <c r="C2251" i="1"/>
  <c r="D2250" i="1"/>
  <c r="C2250" i="1"/>
  <c r="D2249" i="1"/>
  <c r="C2249" i="1"/>
  <c r="D2248" i="1"/>
  <c r="C2248" i="1"/>
  <c r="D2247" i="1"/>
  <c r="C2247" i="1"/>
  <c r="D2246" i="1"/>
  <c r="C2246" i="1"/>
  <c r="D2245" i="1"/>
  <c r="C2245" i="1"/>
  <c r="D2244" i="1"/>
  <c r="C2244" i="1"/>
  <c r="D2243" i="1"/>
  <c r="C2243" i="1"/>
  <c r="D2242" i="1"/>
  <c r="C2242" i="1"/>
  <c r="D2241" i="1"/>
  <c r="C2241" i="1"/>
  <c r="D2240" i="1"/>
  <c r="C2240" i="1"/>
  <c r="D2239" i="1"/>
  <c r="C2239" i="1"/>
  <c r="D2238" i="1"/>
  <c r="C2238" i="1"/>
  <c r="D2237" i="1"/>
  <c r="C2237" i="1"/>
  <c r="D2236" i="1"/>
  <c r="C2236" i="1"/>
  <c r="D2235" i="1"/>
  <c r="C2235" i="1"/>
  <c r="D2234" i="1"/>
  <c r="C2234" i="1"/>
  <c r="D2233" i="1"/>
  <c r="C2233" i="1"/>
  <c r="D2232" i="1"/>
  <c r="C2232" i="1"/>
  <c r="D2231" i="1"/>
  <c r="C2231" i="1"/>
  <c r="D2230" i="1"/>
  <c r="C2230" i="1"/>
  <c r="D2229" i="1"/>
  <c r="C2229" i="1"/>
  <c r="D2228" i="1"/>
  <c r="C2228" i="1"/>
  <c r="D2227" i="1"/>
  <c r="C2227" i="1"/>
  <c r="D2226" i="1"/>
  <c r="C2226" i="1"/>
  <c r="D2225" i="1"/>
  <c r="C2225" i="1"/>
  <c r="D2224" i="1"/>
  <c r="C2224" i="1"/>
  <c r="D2223" i="1"/>
  <c r="C2223" i="1"/>
  <c r="D2222" i="1"/>
  <c r="C2222" i="1"/>
  <c r="D2221" i="1"/>
  <c r="C2221" i="1"/>
  <c r="D2220" i="1"/>
  <c r="C2220" i="1"/>
  <c r="D2219" i="1"/>
  <c r="C2219" i="1"/>
  <c r="D2218" i="1"/>
  <c r="C2218" i="1"/>
  <c r="D2217" i="1"/>
  <c r="C2217" i="1"/>
  <c r="D2216" i="1"/>
  <c r="C2216" i="1"/>
  <c r="D2215" i="1"/>
  <c r="C2215" i="1"/>
  <c r="D2214" i="1"/>
  <c r="C2214" i="1"/>
  <c r="D2213" i="1"/>
  <c r="C2213" i="1"/>
  <c r="D2212" i="1"/>
  <c r="C2212" i="1"/>
  <c r="D2211" i="1"/>
  <c r="C2211" i="1"/>
  <c r="D2210" i="1"/>
  <c r="C2210" i="1"/>
  <c r="D2209" i="1"/>
  <c r="C2209" i="1"/>
  <c r="D2208" i="1"/>
  <c r="C2208" i="1"/>
  <c r="D2207" i="1"/>
  <c r="C2207" i="1"/>
  <c r="D2206" i="1"/>
  <c r="C2206" i="1"/>
  <c r="D2205" i="1"/>
  <c r="C2205" i="1"/>
  <c r="D2204" i="1"/>
  <c r="C2204" i="1"/>
  <c r="D2203" i="1"/>
  <c r="C2203" i="1"/>
  <c r="D2202" i="1"/>
  <c r="C2202" i="1"/>
  <c r="D2201" i="1"/>
  <c r="C2201" i="1"/>
  <c r="D2200" i="1"/>
  <c r="C2200" i="1"/>
  <c r="D2199" i="1"/>
  <c r="C2199" i="1"/>
  <c r="D2198" i="1"/>
  <c r="C2198" i="1"/>
  <c r="D2197" i="1"/>
  <c r="C2197" i="1"/>
  <c r="D2196" i="1"/>
  <c r="C2196" i="1"/>
  <c r="D2195" i="1"/>
  <c r="C2195" i="1"/>
  <c r="D2194" i="1"/>
  <c r="C2194" i="1"/>
  <c r="D2193" i="1"/>
  <c r="C2193" i="1"/>
  <c r="D2192" i="1"/>
  <c r="C2192" i="1"/>
  <c r="D2191" i="1"/>
  <c r="C2191" i="1"/>
  <c r="D2190" i="1"/>
  <c r="C2190" i="1"/>
  <c r="D2189" i="1"/>
  <c r="C2189" i="1"/>
  <c r="D2188" i="1"/>
  <c r="C2188" i="1"/>
  <c r="D2187" i="1"/>
  <c r="C2187" i="1"/>
  <c r="D2186" i="1"/>
  <c r="C2186" i="1"/>
  <c r="D2185" i="1"/>
  <c r="C2185" i="1"/>
  <c r="D2184" i="1"/>
  <c r="C2184" i="1"/>
  <c r="D2183" i="1"/>
  <c r="C2183" i="1"/>
  <c r="D2182" i="1"/>
  <c r="C2182" i="1"/>
  <c r="D2181" i="1"/>
  <c r="C2181" i="1"/>
  <c r="D2180" i="1"/>
  <c r="C2180" i="1"/>
  <c r="D2179" i="1"/>
  <c r="C2179" i="1"/>
  <c r="D2178" i="1"/>
  <c r="C2178" i="1"/>
  <c r="D2177" i="1"/>
  <c r="C2177" i="1"/>
  <c r="D2176" i="1"/>
  <c r="C2176" i="1"/>
  <c r="D2175" i="1"/>
  <c r="C2175" i="1"/>
  <c r="D2174" i="1"/>
  <c r="C2174" i="1"/>
  <c r="D2173" i="1"/>
  <c r="C2173" i="1"/>
  <c r="D2172" i="1"/>
  <c r="C2172" i="1"/>
  <c r="D2171" i="1"/>
  <c r="C2171" i="1"/>
  <c r="D2170" i="1"/>
  <c r="C2170" i="1"/>
  <c r="D2169" i="1"/>
  <c r="C2169" i="1"/>
  <c r="D2168" i="1"/>
  <c r="C2168" i="1"/>
  <c r="D2167" i="1"/>
  <c r="C2167" i="1"/>
  <c r="D2166" i="1"/>
  <c r="C2166" i="1"/>
  <c r="D2165" i="1"/>
  <c r="C2165" i="1"/>
  <c r="D2164" i="1"/>
  <c r="C2164" i="1"/>
  <c r="D2163" i="1"/>
  <c r="C2163" i="1"/>
  <c r="D2162" i="1"/>
  <c r="C2162" i="1"/>
  <c r="D2161" i="1"/>
  <c r="C2161" i="1"/>
  <c r="D2160" i="1"/>
  <c r="C2160" i="1"/>
  <c r="D2159" i="1"/>
  <c r="C2159" i="1"/>
  <c r="D2158" i="1"/>
  <c r="C2158" i="1"/>
  <c r="D2157" i="1"/>
  <c r="C2157" i="1"/>
  <c r="D2156" i="1"/>
  <c r="C2156" i="1"/>
  <c r="D2155" i="1"/>
  <c r="C2155" i="1"/>
  <c r="D2154" i="1"/>
  <c r="C2154" i="1"/>
  <c r="D2153" i="1"/>
  <c r="C2153" i="1"/>
  <c r="D2152" i="1"/>
  <c r="C2152" i="1"/>
  <c r="D2151" i="1"/>
  <c r="C2151" i="1"/>
  <c r="D2150" i="1"/>
  <c r="C2150" i="1"/>
  <c r="D2149" i="1"/>
  <c r="C2149" i="1"/>
  <c r="D2148" i="1"/>
  <c r="C2148" i="1"/>
  <c r="D2147" i="1"/>
  <c r="C2147" i="1"/>
  <c r="D2146" i="1"/>
  <c r="C2146" i="1"/>
  <c r="D2145" i="1"/>
  <c r="C2145" i="1"/>
  <c r="D2144" i="1"/>
  <c r="C2144" i="1"/>
  <c r="D2143" i="1"/>
  <c r="C2143" i="1"/>
  <c r="D2142" i="1"/>
  <c r="C2142" i="1"/>
  <c r="D2141" i="1"/>
  <c r="C2141" i="1"/>
  <c r="D2140" i="1"/>
  <c r="C2140" i="1"/>
  <c r="D2139" i="1"/>
  <c r="C2139" i="1"/>
  <c r="D2138" i="1"/>
  <c r="C2138" i="1"/>
  <c r="D2137" i="1"/>
  <c r="C2137" i="1"/>
  <c r="D2136" i="1"/>
  <c r="C2136" i="1"/>
  <c r="D2135" i="1"/>
  <c r="C2135" i="1"/>
  <c r="D2134" i="1"/>
  <c r="C2134" i="1"/>
  <c r="D2133" i="1"/>
  <c r="C2133" i="1"/>
  <c r="D2132" i="1"/>
  <c r="C2132" i="1"/>
  <c r="D2131" i="1"/>
  <c r="C2131" i="1"/>
  <c r="D2130" i="1"/>
  <c r="C2130" i="1"/>
  <c r="D2129" i="1"/>
  <c r="C2129" i="1"/>
  <c r="D2128" i="1"/>
  <c r="C2128" i="1"/>
  <c r="D2127" i="1"/>
  <c r="C2127" i="1"/>
  <c r="D2126" i="1"/>
  <c r="C2126" i="1"/>
  <c r="D2125" i="1"/>
  <c r="C2125" i="1"/>
  <c r="D2124" i="1"/>
  <c r="C2124" i="1"/>
  <c r="D2123" i="1"/>
  <c r="C2123" i="1"/>
  <c r="D2122" i="1"/>
  <c r="C2122" i="1"/>
  <c r="D2121" i="1"/>
  <c r="C2121" i="1"/>
  <c r="D2120" i="1"/>
  <c r="C2120" i="1"/>
  <c r="D2119" i="1"/>
  <c r="C2119" i="1"/>
  <c r="D2118" i="1"/>
  <c r="C2118" i="1"/>
  <c r="D2117" i="1"/>
  <c r="C2117" i="1"/>
  <c r="D2116" i="1"/>
  <c r="C2116" i="1"/>
  <c r="D2115" i="1"/>
  <c r="C2115" i="1"/>
  <c r="D2114" i="1"/>
  <c r="C2114" i="1"/>
  <c r="D2113" i="1"/>
  <c r="C2113" i="1"/>
  <c r="D2112" i="1"/>
  <c r="C2112" i="1"/>
  <c r="D2111" i="1"/>
  <c r="C2111" i="1"/>
  <c r="D2110" i="1"/>
  <c r="C2110" i="1"/>
  <c r="D2109" i="1"/>
  <c r="C2109" i="1"/>
  <c r="D2108" i="1"/>
  <c r="C2108" i="1"/>
  <c r="D2107" i="1"/>
  <c r="C2107" i="1"/>
  <c r="D2106" i="1"/>
  <c r="C2106" i="1"/>
  <c r="D2105" i="1"/>
  <c r="C2105" i="1"/>
  <c r="D2104" i="1"/>
  <c r="C2104" i="1"/>
  <c r="D2103" i="1"/>
  <c r="C2103" i="1"/>
  <c r="D2102" i="1"/>
  <c r="C2102" i="1"/>
  <c r="D2101" i="1"/>
  <c r="C2101" i="1"/>
  <c r="D2100" i="1"/>
  <c r="C2100" i="1"/>
  <c r="D2099" i="1"/>
  <c r="C2099" i="1"/>
  <c r="D2098" i="1"/>
  <c r="C2098" i="1"/>
  <c r="D2097" i="1"/>
  <c r="C2097" i="1"/>
  <c r="D2096" i="1"/>
  <c r="C2096" i="1"/>
  <c r="D2095" i="1"/>
  <c r="C2095" i="1"/>
  <c r="D2094" i="1"/>
  <c r="C2094" i="1"/>
  <c r="D2093" i="1"/>
  <c r="C2093" i="1"/>
  <c r="D2092" i="1"/>
  <c r="C2092" i="1"/>
  <c r="D2091" i="1"/>
  <c r="C2091" i="1"/>
  <c r="D2090" i="1"/>
  <c r="C2090" i="1"/>
  <c r="D2089" i="1"/>
  <c r="C2089" i="1"/>
  <c r="D2088" i="1"/>
  <c r="C2088" i="1"/>
  <c r="D2087" i="1"/>
  <c r="C2087" i="1"/>
  <c r="D2086" i="1"/>
  <c r="C2086" i="1"/>
  <c r="D2085" i="1"/>
  <c r="C2085" i="1"/>
  <c r="D2084" i="1"/>
  <c r="C2084" i="1"/>
  <c r="D2083" i="1"/>
  <c r="C2083" i="1"/>
  <c r="D2082" i="1"/>
  <c r="C2082" i="1"/>
  <c r="D2081" i="1"/>
  <c r="C2081" i="1"/>
  <c r="D2080" i="1"/>
  <c r="C2080" i="1"/>
  <c r="D2079" i="1"/>
  <c r="C2079" i="1"/>
  <c r="D2078" i="1"/>
  <c r="C2078" i="1"/>
  <c r="D2077" i="1"/>
  <c r="C2077" i="1"/>
  <c r="D2076" i="1"/>
  <c r="C2076" i="1"/>
  <c r="D2075" i="1"/>
  <c r="C2075" i="1"/>
  <c r="D2074" i="1"/>
  <c r="C2074" i="1"/>
  <c r="D2073" i="1"/>
  <c r="C2073" i="1"/>
  <c r="D2072" i="1"/>
  <c r="C2072" i="1"/>
  <c r="D2071" i="1"/>
  <c r="C2071" i="1"/>
  <c r="D2070" i="1"/>
  <c r="C2070" i="1"/>
  <c r="D2069" i="1"/>
  <c r="C2069" i="1"/>
  <c r="D2068" i="1"/>
  <c r="C2068" i="1"/>
  <c r="D2067" i="1"/>
  <c r="C2067" i="1"/>
  <c r="D2066" i="1"/>
  <c r="C2066" i="1"/>
  <c r="D2065" i="1"/>
  <c r="C2065" i="1"/>
  <c r="D2064" i="1"/>
  <c r="C2064" i="1"/>
  <c r="D2063" i="1"/>
  <c r="C2063" i="1"/>
  <c r="D2062" i="1"/>
  <c r="C2062" i="1"/>
  <c r="D2061" i="1"/>
  <c r="C2061" i="1"/>
  <c r="D2060" i="1"/>
  <c r="C2060" i="1"/>
  <c r="D2059" i="1"/>
  <c r="C2059" i="1"/>
  <c r="D2058" i="1"/>
  <c r="C2058" i="1"/>
  <c r="D2057" i="1"/>
  <c r="C2057" i="1"/>
  <c r="D2056" i="1"/>
  <c r="C2056" i="1"/>
  <c r="D2055" i="1"/>
  <c r="C2055" i="1"/>
  <c r="D2054" i="1"/>
  <c r="C2054" i="1"/>
  <c r="D2053" i="1"/>
  <c r="C2053" i="1"/>
  <c r="D2052" i="1"/>
  <c r="C2052" i="1"/>
  <c r="D2051" i="1"/>
  <c r="C2051" i="1"/>
  <c r="D2050" i="1"/>
  <c r="C2050" i="1"/>
  <c r="D2049" i="1"/>
  <c r="C2049" i="1"/>
  <c r="D2048" i="1"/>
  <c r="C2048" i="1"/>
  <c r="D2047" i="1"/>
  <c r="C2047" i="1"/>
  <c r="D2046" i="1"/>
  <c r="C2046" i="1"/>
  <c r="D2045" i="1"/>
  <c r="C2045" i="1"/>
  <c r="D2044" i="1"/>
  <c r="C2044" i="1"/>
  <c r="D2043" i="1"/>
  <c r="C2043" i="1"/>
  <c r="D2042" i="1"/>
  <c r="C2042" i="1"/>
  <c r="D2041" i="1"/>
  <c r="C2041" i="1"/>
  <c r="D2040" i="1"/>
  <c r="C2040" i="1"/>
  <c r="D2039" i="1"/>
  <c r="C2039" i="1"/>
  <c r="D2038" i="1"/>
  <c r="C2038" i="1"/>
  <c r="D2037" i="1"/>
  <c r="C2037" i="1"/>
  <c r="D2036" i="1"/>
  <c r="C2036" i="1"/>
  <c r="D2035" i="1"/>
  <c r="C2035" i="1"/>
  <c r="D2034" i="1"/>
  <c r="C2034" i="1"/>
  <c r="D2033" i="1"/>
  <c r="C2033" i="1"/>
  <c r="D2032" i="1"/>
  <c r="C2032" i="1"/>
  <c r="D2031" i="1"/>
  <c r="C2031" i="1"/>
  <c r="D2030" i="1"/>
  <c r="C2030" i="1"/>
  <c r="D2029" i="1"/>
  <c r="C2029" i="1"/>
  <c r="D2028" i="1"/>
  <c r="C2028" i="1"/>
  <c r="D2027" i="1"/>
  <c r="C2027" i="1"/>
  <c r="D2026" i="1"/>
  <c r="C2026" i="1"/>
  <c r="D2025" i="1"/>
  <c r="C2025" i="1"/>
  <c r="D2024" i="1"/>
  <c r="C2024" i="1"/>
  <c r="D2023" i="1"/>
  <c r="C2023" i="1"/>
  <c r="D2022" i="1"/>
  <c r="C2022" i="1"/>
  <c r="D2021" i="1"/>
  <c r="C2021" i="1"/>
  <c r="D2020" i="1"/>
  <c r="C2020" i="1"/>
  <c r="D2019" i="1"/>
  <c r="C2019" i="1"/>
  <c r="D2018" i="1"/>
  <c r="C2018" i="1"/>
  <c r="D2017" i="1"/>
  <c r="C2017" i="1"/>
  <c r="D2016" i="1"/>
  <c r="C2016" i="1"/>
  <c r="D2015" i="1"/>
  <c r="C2015" i="1"/>
  <c r="D2014" i="1"/>
  <c r="C2014" i="1"/>
  <c r="D2013" i="1"/>
  <c r="C2013" i="1"/>
  <c r="D2012" i="1"/>
  <c r="C2012" i="1"/>
  <c r="D2011" i="1"/>
  <c r="C2011" i="1"/>
  <c r="D2010" i="1"/>
  <c r="C2010" i="1"/>
  <c r="D2009" i="1"/>
  <c r="C2009" i="1"/>
  <c r="D2008" i="1"/>
  <c r="C2008" i="1"/>
  <c r="D2007" i="1"/>
  <c r="C2007" i="1"/>
  <c r="D2006" i="1"/>
  <c r="C2006" i="1"/>
  <c r="D2005" i="1"/>
  <c r="C2005" i="1"/>
  <c r="D2004" i="1"/>
  <c r="C2004" i="1"/>
  <c r="D2003" i="1"/>
  <c r="C2003" i="1"/>
  <c r="D2002" i="1"/>
  <c r="C2002" i="1"/>
  <c r="D2001" i="1"/>
  <c r="C2001" i="1"/>
  <c r="D2000" i="1"/>
  <c r="C2000" i="1"/>
  <c r="D1999" i="1"/>
  <c r="C1999" i="1"/>
  <c r="D1998" i="1"/>
  <c r="C1998" i="1"/>
  <c r="D1997" i="1"/>
  <c r="C1997" i="1"/>
  <c r="D1996" i="1"/>
  <c r="C1996" i="1"/>
  <c r="D1995" i="1"/>
  <c r="C1995" i="1"/>
  <c r="D1994" i="1"/>
  <c r="C1994" i="1"/>
  <c r="D1993" i="1"/>
  <c r="C1993" i="1"/>
  <c r="D1992" i="1"/>
  <c r="C1992" i="1"/>
  <c r="D1991" i="1"/>
  <c r="C1991" i="1"/>
  <c r="D1990" i="1"/>
  <c r="C1990" i="1"/>
  <c r="D1989" i="1"/>
  <c r="C1989" i="1"/>
  <c r="D1988" i="1"/>
  <c r="C1988" i="1"/>
  <c r="D1987" i="1"/>
  <c r="C1987" i="1"/>
  <c r="D1986" i="1"/>
  <c r="C1986" i="1"/>
  <c r="D1985" i="1"/>
  <c r="C1985" i="1"/>
  <c r="D1984" i="1"/>
  <c r="C1984" i="1"/>
  <c r="D1983" i="1"/>
  <c r="C1983" i="1"/>
  <c r="D1982" i="1"/>
  <c r="C1982" i="1"/>
  <c r="D1981" i="1"/>
  <c r="C1981" i="1"/>
  <c r="D1980" i="1"/>
  <c r="C1980" i="1"/>
  <c r="D1979" i="1"/>
  <c r="C1979" i="1"/>
  <c r="D1978" i="1"/>
  <c r="C1978" i="1"/>
  <c r="D1977" i="1"/>
  <c r="C1977" i="1"/>
  <c r="D1976" i="1"/>
  <c r="C1976" i="1"/>
  <c r="D1975" i="1"/>
  <c r="C1975" i="1"/>
  <c r="D1974" i="1"/>
  <c r="C1974" i="1"/>
  <c r="D1973" i="1"/>
  <c r="C1973" i="1"/>
  <c r="D1972" i="1"/>
  <c r="C1972" i="1"/>
  <c r="D1971" i="1"/>
  <c r="C1971" i="1"/>
  <c r="D1970" i="1"/>
  <c r="C1970" i="1"/>
  <c r="D1969" i="1"/>
  <c r="C1969" i="1"/>
  <c r="D1968" i="1"/>
  <c r="C1968" i="1"/>
  <c r="D1967" i="1"/>
  <c r="C1967" i="1"/>
  <c r="D1966" i="1"/>
  <c r="C1966" i="1"/>
  <c r="D1965" i="1"/>
  <c r="C1965" i="1"/>
  <c r="D1964" i="1"/>
  <c r="C1964" i="1"/>
  <c r="D1963" i="1"/>
  <c r="C1963" i="1"/>
  <c r="D1962" i="1"/>
  <c r="C1962" i="1"/>
  <c r="D1961" i="1"/>
  <c r="C1961" i="1"/>
  <c r="D1960" i="1"/>
  <c r="C1960" i="1"/>
  <c r="D1959" i="1"/>
  <c r="C1959" i="1"/>
  <c r="D1958" i="1"/>
  <c r="C1958" i="1"/>
  <c r="D1957" i="1"/>
  <c r="C1957" i="1"/>
  <c r="D1956" i="1"/>
  <c r="C1956" i="1"/>
  <c r="D1955" i="1"/>
  <c r="C1955" i="1"/>
  <c r="D1954" i="1"/>
  <c r="C1954" i="1"/>
  <c r="D1953" i="1"/>
  <c r="C1953" i="1"/>
  <c r="D1952" i="1"/>
  <c r="C1952" i="1"/>
  <c r="D1951" i="1"/>
  <c r="C1951" i="1"/>
  <c r="D1950" i="1"/>
  <c r="C1950" i="1"/>
  <c r="D1949" i="1"/>
  <c r="C1949" i="1"/>
  <c r="D1948" i="1"/>
  <c r="C1948" i="1"/>
  <c r="D1947" i="1"/>
  <c r="C1947" i="1"/>
  <c r="D1946" i="1"/>
  <c r="C1946" i="1"/>
  <c r="D1945" i="1"/>
  <c r="C1945" i="1"/>
  <c r="D1944" i="1"/>
  <c r="C1944" i="1"/>
  <c r="D1943" i="1"/>
  <c r="C1943" i="1"/>
  <c r="D1942" i="1"/>
  <c r="C1942" i="1"/>
  <c r="D1941" i="1"/>
  <c r="C1941" i="1"/>
  <c r="D1940" i="1"/>
  <c r="C1940" i="1"/>
  <c r="D1939" i="1"/>
  <c r="C1939" i="1"/>
  <c r="D1938" i="1"/>
  <c r="C1938" i="1"/>
  <c r="D1937" i="1"/>
  <c r="C1937" i="1"/>
  <c r="D1936" i="1"/>
  <c r="C1936" i="1"/>
  <c r="D1935" i="1"/>
  <c r="C1935" i="1"/>
  <c r="D1934" i="1"/>
  <c r="C1934" i="1"/>
  <c r="D1933" i="1"/>
  <c r="C1933" i="1"/>
  <c r="D1932" i="1"/>
  <c r="C1932" i="1"/>
  <c r="D1931" i="1"/>
  <c r="C1931" i="1"/>
  <c r="D1930" i="1"/>
  <c r="C1930" i="1"/>
  <c r="D1929" i="1"/>
  <c r="C1929" i="1"/>
  <c r="D1928" i="1"/>
  <c r="C1928" i="1"/>
  <c r="D1927" i="1"/>
  <c r="C1927" i="1"/>
  <c r="D1926" i="1"/>
  <c r="C1926" i="1"/>
  <c r="D1925" i="1"/>
  <c r="C1925" i="1"/>
  <c r="D1924" i="1"/>
  <c r="C1924" i="1"/>
  <c r="D1923" i="1"/>
  <c r="C1923" i="1"/>
  <c r="D1922" i="1"/>
  <c r="C1922" i="1"/>
  <c r="D1921" i="1"/>
  <c r="C1921" i="1"/>
  <c r="D1920" i="1"/>
  <c r="C1920" i="1"/>
  <c r="D1919" i="1"/>
  <c r="C1919" i="1"/>
  <c r="D1918" i="1"/>
  <c r="C1918" i="1"/>
  <c r="D1917" i="1"/>
  <c r="C1917" i="1"/>
  <c r="D1916" i="1"/>
  <c r="C1916" i="1"/>
  <c r="D1915" i="1"/>
  <c r="C1915" i="1"/>
  <c r="D1914" i="1"/>
  <c r="C1914" i="1"/>
  <c r="D1913" i="1"/>
  <c r="C1913" i="1"/>
  <c r="D1912" i="1"/>
  <c r="C1912" i="1"/>
  <c r="D1911" i="1"/>
  <c r="C1911" i="1"/>
  <c r="D1910" i="1"/>
  <c r="C1910" i="1"/>
  <c r="D1909" i="1"/>
  <c r="C1909" i="1"/>
  <c r="D1908" i="1"/>
  <c r="C1908" i="1"/>
  <c r="D1907" i="1"/>
  <c r="C1907" i="1"/>
  <c r="D1906" i="1"/>
  <c r="C1906" i="1"/>
  <c r="D1905" i="1"/>
  <c r="C1905" i="1"/>
  <c r="D1904" i="1"/>
  <c r="C1904" i="1"/>
  <c r="D1903" i="1"/>
  <c r="C1903" i="1"/>
  <c r="D1902" i="1"/>
  <c r="C1902" i="1"/>
  <c r="D1901" i="1"/>
  <c r="C1901" i="1"/>
  <c r="D1900" i="1"/>
  <c r="C1900" i="1"/>
  <c r="D1899" i="1"/>
  <c r="C1899" i="1"/>
  <c r="D1898" i="1"/>
  <c r="C1898" i="1"/>
  <c r="D1897" i="1"/>
  <c r="C1897" i="1"/>
  <c r="D1896" i="1"/>
  <c r="C1896" i="1"/>
  <c r="D1895" i="1"/>
  <c r="C1895" i="1"/>
  <c r="D1894" i="1"/>
  <c r="C1894" i="1"/>
  <c r="D1893" i="1"/>
  <c r="C1893" i="1"/>
  <c r="D1892" i="1"/>
  <c r="C1892" i="1"/>
  <c r="D1891" i="1"/>
  <c r="C1891" i="1"/>
  <c r="D1890" i="1"/>
  <c r="C1890" i="1"/>
  <c r="D1889" i="1"/>
  <c r="C1889" i="1"/>
  <c r="D1888" i="1"/>
  <c r="C1888" i="1"/>
  <c r="D1887" i="1"/>
  <c r="C1887" i="1"/>
  <c r="D1886" i="1"/>
  <c r="C1886" i="1"/>
  <c r="D1885" i="1"/>
  <c r="C1885" i="1"/>
  <c r="D1884" i="1"/>
  <c r="C1884" i="1"/>
  <c r="D1883" i="1"/>
  <c r="C1883" i="1"/>
  <c r="D1882" i="1"/>
  <c r="C1882" i="1"/>
  <c r="D1881" i="1"/>
  <c r="C1881" i="1"/>
  <c r="D1880" i="1"/>
  <c r="C1880" i="1"/>
  <c r="D1879" i="1"/>
  <c r="C1879" i="1"/>
  <c r="D1878" i="1"/>
  <c r="C1878" i="1"/>
  <c r="D1877" i="1"/>
  <c r="C1877" i="1"/>
  <c r="D1876" i="1"/>
  <c r="C1876" i="1"/>
  <c r="D1875" i="1"/>
  <c r="C1875" i="1"/>
  <c r="D1874" i="1"/>
  <c r="C1874" i="1"/>
  <c r="D1873" i="1"/>
  <c r="C1873" i="1"/>
  <c r="D1872" i="1"/>
  <c r="C1872" i="1"/>
  <c r="D1871" i="1"/>
  <c r="C1871" i="1"/>
  <c r="D1870" i="1"/>
  <c r="C1870" i="1"/>
  <c r="D1869" i="1"/>
  <c r="C1869" i="1"/>
  <c r="D1868" i="1"/>
  <c r="C1868" i="1"/>
  <c r="D1867" i="1"/>
  <c r="C1867" i="1"/>
  <c r="D1866" i="1"/>
  <c r="C1866" i="1"/>
  <c r="D1865" i="1"/>
  <c r="C1865" i="1"/>
  <c r="D1864" i="1"/>
  <c r="C1864" i="1"/>
  <c r="D1863" i="1"/>
  <c r="C1863" i="1"/>
  <c r="D1862" i="1"/>
  <c r="C1862" i="1"/>
  <c r="D1861" i="1"/>
  <c r="C1861" i="1"/>
  <c r="D1860" i="1"/>
  <c r="C1860" i="1"/>
  <c r="D1859" i="1"/>
  <c r="C1859" i="1"/>
  <c r="D1858" i="1"/>
  <c r="C1858" i="1"/>
  <c r="D1857" i="1"/>
  <c r="C1857" i="1"/>
  <c r="D1856" i="1"/>
  <c r="C1856" i="1"/>
  <c r="D1855" i="1"/>
  <c r="C1855" i="1"/>
  <c r="D1854" i="1"/>
  <c r="C1854" i="1"/>
  <c r="D1853" i="1"/>
  <c r="C1853" i="1"/>
  <c r="D1852" i="1"/>
  <c r="C1852" i="1"/>
  <c r="D1851" i="1"/>
  <c r="C1851" i="1"/>
  <c r="D1850" i="1"/>
  <c r="C1850" i="1"/>
  <c r="D1849" i="1"/>
  <c r="C1849" i="1"/>
  <c r="D1848" i="1"/>
  <c r="C1848" i="1"/>
  <c r="D1847" i="1"/>
  <c r="C1847" i="1"/>
  <c r="D1846" i="1"/>
  <c r="C1846" i="1"/>
  <c r="D1845" i="1"/>
  <c r="C1845" i="1"/>
  <c r="D1844" i="1"/>
  <c r="C1844" i="1"/>
  <c r="D1843" i="1"/>
  <c r="C1843" i="1"/>
  <c r="D1842" i="1"/>
  <c r="C1842" i="1"/>
  <c r="D1841" i="1"/>
  <c r="C1841" i="1"/>
  <c r="D1840" i="1"/>
  <c r="C1840" i="1"/>
  <c r="D1839" i="1"/>
  <c r="C1839" i="1"/>
  <c r="D1838" i="1"/>
  <c r="C1838" i="1"/>
  <c r="D1837" i="1"/>
  <c r="C1837" i="1"/>
  <c r="D1836" i="1"/>
  <c r="C1836" i="1"/>
  <c r="D1835" i="1"/>
  <c r="C1835" i="1"/>
  <c r="D1834" i="1"/>
  <c r="C1834" i="1"/>
  <c r="D1833" i="1"/>
  <c r="C1833" i="1"/>
  <c r="D1832" i="1"/>
  <c r="C1832" i="1"/>
  <c r="D1831" i="1"/>
  <c r="C1831" i="1"/>
  <c r="D1830" i="1"/>
  <c r="C1830" i="1"/>
  <c r="D1829" i="1"/>
  <c r="C1829" i="1"/>
  <c r="D1828" i="1"/>
  <c r="C1828" i="1"/>
  <c r="D1827" i="1"/>
  <c r="C1827" i="1"/>
  <c r="D1826" i="1"/>
  <c r="C1826" i="1"/>
  <c r="D1825" i="1"/>
  <c r="C1825" i="1"/>
  <c r="D1824" i="1"/>
  <c r="C1824" i="1"/>
  <c r="D1823" i="1"/>
  <c r="C1823" i="1"/>
  <c r="D1822" i="1"/>
  <c r="C1822" i="1"/>
  <c r="D1821" i="1"/>
  <c r="C1821" i="1"/>
  <c r="D1820" i="1"/>
  <c r="C1820" i="1"/>
  <c r="D1819" i="1"/>
  <c r="C1819" i="1"/>
  <c r="D1818" i="1"/>
  <c r="C1818" i="1"/>
  <c r="D1817" i="1"/>
  <c r="C1817" i="1"/>
  <c r="D1816" i="1"/>
  <c r="C1816" i="1"/>
  <c r="D1815" i="1"/>
  <c r="C1815" i="1"/>
  <c r="D1814" i="1"/>
  <c r="C1814" i="1"/>
  <c r="D1813" i="1"/>
  <c r="C1813" i="1"/>
  <c r="D1812" i="1"/>
  <c r="C1812" i="1"/>
  <c r="D1811" i="1"/>
  <c r="C1811" i="1"/>
  <c r="D1810" i="1"/>
  <c r="C1810" i="1"/>
  <c r="D1809" i="1"/>
  <c r="C1809" i="1"/>
  <c r="D1808" i="1"/>
  <c r="C1808" i="1"/>
  <c r="D1807" i="1"/>
  <c r="C1807" i="1"/>
  <c r="D1806" i="1"/>
  <c r="C1806" i="1"/>
  <c r="D1805" i="1"/>
  <c r="C1805" i="1"/>
  <c r="D1804" i="1"/>
  <c r="C1804" i="1"/>
  <c r="D1803" i="1"/>
  <c r="C1803" i="1"/>
  <c r="D1802" i="1"/>
  <c r="C1802" i="1"/>
  <c r="D1801" i="1"/>
  <c r="C1801" i="1"/>
  <c r="D1800" i="1"/>
  <c r="C1800" i="1"/>
  <c r="D1799" i="1"/>
  <c r="C1799" i="1"/>
  <c r="D1798" i="1"/>
  <c r="C1798" i="1"/>
  <c r="D1797" i="1"/>
  <c r="C1797" i="1"/>
  <c r="D1796" i="1"/>
  <c r="C1796" i="1"/>
  <c r="D1795" i="1"/>
  <c r="C1795" i="1"/>
  <c r="D1794" i="1"/>
  <c r="C1794" i="1"/>
  <c r="D1793" i="1"/>
  <c r="C1793" i="1"/>
  <c r="D1792" i="1"/>
  <c r="C1792" i="1"/>
  <c r="D1791" i="1"/>
  <c r="C1791" i="1"/>
  <c r="D1790" i="1"/>
  <c r="C1790" i="1"/>
  <c r="D1789" i="1"/>
  <c r="C1789" i="1"/>
  <c r="D1788" i="1"/>
  <c r="C1788" i="1"/>
  <c r="D1787" i="1"/>
  <c r="C1787" i="1"/>
  <c r="D1786" i="1"/>
  <c r="C1786" i="1"/>
  <c r="D1785" i="1"/>
  <c r="C1785" i="1"/>
  <c r="D1784" i="1"/>
  <c r="C1784" i="1"/>
  <c r="D1783" i="1"/>
  <c r="C1783" i="1"/>
  <c r="D1782" i="1"/>
  <c r="C1782" i="1"/>
  <c r="D1781" i="1"/>
  <c r="C1781" i="1"/>
  <c r="D1780" i="1"/>
  <c r="C1780" i="1"/>
  <c r="D1779" i="1"/>
  <c r="C1779" i="1"/>
  <c r="D1778" i="1"/>
  <c r="C1778" i="1"/>
  <c r="D1777" i="1"/>
  <c r="C1777" i="1"/>
  <c r="D1776" i="1"/>
  <c r="C1776" i="1"/>
  <c r="D1775" i="1"/>
  <c r="C1775" i="1"/>
  <c r="D1774" i="1"/>
  <c r="C1774" i="1"/>
  <c r="D1773" i="1"/>
  <c r="C1773" i="1"/>
  <c r="D1772" i="1"/>
  <c r="C1772" i="1"/>
  <c r="D1771" i="1"/>
  <c r="C1771" i="1"/>
  <c r="D1770" i="1"/>
  <c r="C1770" i="1"/>
  <c r="D1769" i="1"/>
  <c r="C1769" i="1"/>
  <c r="D1768" i="1"/>
  <c r="C1768" i="1"/>
  <c r="D1767" i="1"/>
  <c r="C1767" i="1"/>
  <c r="D1766" i="1"/>
  <c r="C1766" i="1"/>
  <c r="D1765" i="1"/>
  <c r="C1765" i="1"/>
  <c r="D1764" i="1"/>
  <c r="C1764" i="1"/>
  <c r="D1763" i="1"/>
  <c r="C1763" i="1"/>
  <c r="D1762" i="1"/>
  <c r="C1762" i="1"/>
  <c r="D1761" i="1"/>
  <c r="C1761" i="1"/>
  <c r="D1760" i="1"/>
  <c r="C1760" i="1"/>
  <c r="D1759" i="1"/>
  <c r="C1759" i="1"/>
  <c r="D1758" i="1"/>
  <c r="C1758" i="1"/>
  <c r="D1757" i="1"/>
  <c r="C1757" i="1"/>
  <c r="D1756" i="1"/>
  <c r="C1756" i="1"/>
  <c r="D1755" i="1"/>
  <c r="C1755" i="1"/>
  <c r="D1754" i="1"/>
  <c r="C1754" i="1"/>
  <c r="D1753" i="1"/>
  <c r="C1753" i="1"/>
  <c r="D1752" i="1"/>
  <c r="C1752" i="1"/>
  <c r="D1751" i="1"/>
  <c r="C1751" i="1"/>
  <c r="D1750" i="1"/>
  <c r="C1750" i="1"/>
  <c r="D1749" i="1"/>
  <c r="C1749" i="1"/>
  <c r="D1748" i="1"/>
  <c r="C1748" i="1"/>
  <c r="D1747" i="1"/>
  <c r="C1747" i="1"/>
  <c r="D1746" i="1"/>
  <c r="C1746" i="1"/>
  <c r="D1745" i="1"/>
  <c r="C1745" i="1"/>
  <c r="D1744" i="1"/>
  <c r="C1744" i="1"/>
  <c r="D1743" i="1"/>
  <c r="C1743" i="1"/>
  <c r="D1742" i="1"/>
  <c r="C1742" i="1"/>
  <c r="D1741" i="1"/>
  <c r="C1741" i="1"/>
  <c r="D1740" i="1"/>
  <c r="C1740" i="1"/>
  <c r="D1739" i="1"/>
  <c r="C1739" i="1"/>
  <c r="D1738" i="1"/>
  <c r="C1738" i="1"/>
  <c r="D1737" i="1"/>
  <c r="C1737" i="1"/>
  <c r="D1736" i="1"/>
  <c r="C1736" i="1"/>
  <c r="D1735" i="1"/>
  <c r="C1735" i="1"/>
  <c r="D1734" i="1"/>
  <c r="C1734" i="1"/>
  <c r="D1733" i="1"/>
  <c r="C1733" i="1"/>
  <c r="D1732" i="1"/>
  <c r="C1732" i="1"/>
  <c r="D1731" i="1"/>
  <c r="C1731" i="1"/>
  <c r="D1730" i="1"/>
  <c r="C1730" i="1"/>
  <c r="D1729" i="1"/>
  <c r="C1729" i="1"/>
  <c r="D1728" i="1"/>
  <c r="C1728" i="1"/>
  <c r="D1727" i="1"/>
  <c r="C1727" i="1"/>
  <c r="D1726" i="1"/>
  <c r="C1726" i="1"/>
  <c r="D1725" i="1"/>
  <c r="C1725" i="1"/>
  <c r="D1724" i="1"/>
  <c r="C1724" i="1"/>
  <c r="D1723" i="1"/>
  <c r="C1723" i="1"/>
  <c r="D1722" i="1"/>
  <c r="C1722" i="1"/>
  <c r="D1721" i="1"/>
  <c r="C1721" i="1"/>
  <c r="D1720" i="1"/>
  <c r="C1720" i="1"/>
  <c r="D1719" i="1"/>
  <c r="C1719" i="1"/>
  <c r="D1718" i="1"/>
  <c r="C1718" i="1"/>
  <c r="D1717" i="1"/>
  <c r="C1717" i="1"/>
  <c r="D1716" i="1"/>
  <c r="C1716" i="1"/>
  <c r="D1715" i="1"/>
  <c r="C1715" i="1"/>
  <c r="D1714" i="1"/>
  <c r="C1714" i="1"/>
  <c r="D1713" i="1"/>
  <c r="C1713" i="1"/>
  <c r="D1712" i="1"/>
  <c r="C1712" i="1"/>
  <c r="D1711" i="1"/>
  <c r="C1711" i="1"/>
  <c r="D1710" i="1"/>
  <c r="C1710" i="1"/>
  <c r="D1709" i="1"/>
  <c r="C1709" i="1"/>
  <c r="D1708" i="1"/>
  <c r="C1708" i="1"/>
  <c r="D1707" i="1"/>
  <c r="C1707" i="1"/>
  <c r="D1706" i="1"/>
  <c r="C1706" i="1"/>
  <c r="D1705" i="1"/>
  <c r="C1705" i="1"/>
  <c r="D1704" i="1"/>
  <c r="C1704" i="1"/>
  <c r="D1703" i="1"/>
  <c r="C1703" i="1"/>
  <c r="D1702" i="1"/>
  <c r="C1702" i="1"/>
  <c r="D1701" i="1"/>
  <c r="C1701" i="1"/>
  <c r="D1700" i="1"/>
  <c r="C1700" i="1"/>
  <c r="D1699" i="1"/>
  <c r="C1699" i="1"/>
  <c r="D1698" i="1"/>
  <c r="C1698" i="1"/>
  <c r="D1697" i="1"/>
  <c r="C1697" i="1"/>
  <c r="D1696" i="1"/>
  <c r="C1696" i="1"/>
  <c r="D1695" i="1"/>
  <c r="C1695" i="1"/>
  <c r="D1694" i="1"/>
  <c r="C1694" i="1"/>
  <c r="D1693" i="1"/>
  <c r="C1693" i="1"/>
  <c r="D1692" i="1"/>
  <c r="C1692" i="1"/>
  <c r="D1691" i="1"/>
  <c r="C1691" i="1"/>
  <c r="D1690" i="1"/>
  <c r="C1690" i="1"/>
  <c r="D1689" i="1"/>
  <c r="C1689" i="1"/>
  <c r="D1688" i="1"/>
  <c r="C1688" i="1"/>
  <c r="D1687" i="1"/>
  <c r="C1687" i="1"/>
  <c r="D1686" i="1"/>
  <c r="C1686" i="1"/>
  <c r="D1685" i="1"/>
  <c r="C1685" i="1"/>
  <c r="D1684" i="1"/>
  <c r="C1684" i="1"/>
  <c r="D1683" i="1"/>
  <c r="C1683" i="1"/>
  <c r="D1682" i="1"/>
  <c r="C1682" i="1"/>
  <c r="D1681" i="1"/>
  <c r="C1681" i="1"/>
  <c r="D1680" i="1"/>
  <c r="C1680" i="1"/>
  <c r="D1679" i="1"/>
  <c r="C1679" i="1"/>
  <c r="D1678" i="1"/>
  <c r="C1678" i="1"/>
  <c r="D1677" i="1"/>
  <c r="C1677" i="1"/>
  <c r="D1676" i="1"/>
  <c r="C1676" i="1"/>
  <c r="D1675" i="1"/>
  <c r="C1675" i="1"/>
  <c r="D1674" i="1"/>
  <c r="C1674" i="1"/>
  <c r="D1673" i="1"/>
  <c r="C1673" i="1"/>
  <c r="D1672" i="1"/>
  <c r="C1672" i="1"/>
  <c r="D1671" i="1"/>
  <c r="C1671" i="1"/>
  <c r="D1670" i="1"/>
  <c r="C1670" i="1"/>
  <c r="D1669" i="1"/>
  <c r="C1669" i="1"/>
  <c r="D1668" i="1"/>
  <c r="C1668" i="1"/>
  <c r="D1667" i="1"/>
  <c r="C1667" i="1"/>
  <c r="D1666" i="1"/>
  <c r="C1666" i="1"/>
  <c r="D1665" i="1"/>
  <c r="C1665" i="1"/>
  <c r="D1664" i="1"/>
  <c r="C1664" i="1"/>
  <c r="D1663" i="1"/>
  <c r="C1663" i="1"/>
  <c r="D1662" i="1"/>
  <c r="C1662" i="1"/>
  <c r="D1661" i="1"/>
  <c r="C1661" i="1"/>
  <c r="D1660" i="1"/>
  <c r="C1660" i="1"/>
  <c r="D1659" i="1"/>
  <c r="C1659" i="1"/>
  <c r="D1658" i="1"/>
  <c r="C1658" i="1"/>
  <c r="D1657" i="1"/>
  <c r="C1657" i="1"/>
  <c r="D1656" i="1"/>
  <c r="C1656" i="1"/>
  <c r="D1655" i="1"/>
  <c r="C1655" i="1"/>
  <c r="D1654" i="1"/>
  <c r="C1654" i="1"/>
  <c r="D1653" i="1"/>
  <c r="C1653" i="1"/>
  <c r="D1652" i="1"/>
  <c r="C1652" i="1"/>
  <c r="D1651" i="1"/>
  <c r="C1651" i="1"/>
  <c r="D1650" i="1"/>
  <c r="C1650" i="1"/>
  <c r="D1649" i="1"/>
  <c r="C1649" i="1"/>
  <c r="D1648" i="1"/>
  <c r="C1648" i="1"/>
  <c r="D1647" i="1"/>
  <c r="C1647" i="1"/>
  <c r="D1646" i="1"/>
  <c r="C1646" i="1"/>
  <c r="D1645" i="1"/>
  <c r="C1645" i="1"/>
  <c r="D1644" i="1"/>
  <c r="C1644" i="1"/>
  <c r="D1643" i="1"/>
  <c r="C1643" i="1"/>
  <c r="D1642" i="1"/>
  <c r="C1642" i="1"/>
  <c r="D1641" i="1"/>
  <c r="C1641" i="1"/>
  <c r="D1640" i="1"/>
  <c r="C1640" i="1"/>
  <c r="D1639" i="1"/>
  <c r="C1639" i="1"/>
  <c r="D1638" i="1"/>
  <c r="C1638" i="1"/>
  <c r="D1637" i="1"/>
  <c r="C1637" i="1"/>
  <c r="D1636" i="1"/>
  <c r="C1636" i="1"/>
  <c r="D1635" i="1"/>
  <c r="C1635" i="1"/>
  <c r="D1634" i="1"/>
  <c r="C1634" i="1"/>
  <c r="D1633" i="1"/>
  <c r="C1633" i="1"/>
  <c r="D1632" i="1"/>
  <c r="C1632" i="1"/>
  <c r="D1631" i="1"/>
  <c r="C1631" i="1"/>
  <c r="D1630" i="1"/>
  <c r="C1630" i="1"/>
  <c r="D1629" i="1"/>
  <c r="C1629" i="1"/>
  <c r="D1628" i="1"/>
  <c r="C1628" i="1"/>
  <c r="D1627" i="1"/>
  <c r="C1627" i="1"/>
  <c r="D1626" i="1"/>
  <c r="C1626" i="1"/>
  <c r="D1625" i="1"/>
  <c r="C1625" i="1"/>
  <c r="D1624" i="1"/>
  <c r="C1624" i="1"/>
  <c r="D1623" i="1"/>
  <c r="C1623" i="1"/>
  <c r="D1622" i="1"/>
  <c r="C1622" i="1"/>
  <c r="D1621" i="1"/>
  <c r="C1621" i="1"/>
  <c r="D1620" i="1"/>
  <c r="C1620" i="1"/>
  <c r="D1619" i="1"/>
  <c r="C1619" i="1"/>
  <c r="D1618" i="1"/>
  <c r="C1618" i="1"/>
  <c r="D1617" i="1"/>
  <c r="C1617" i="1"/>
  <c r="D1616" i="1"/>
  <c r="C1616" i="1"/>
  <c r="D1615" i="1"/>
  <c r="C1615" i="1"/>
  <c r="D1614" i="1"/>
  <c r="C1614" i="1"/>
  <c r="D1613" i="1"/>
  <c r="C1613" i="1"/>
  <c r="D1612" i="1"/>
  <c r="C1612" i="1"/>
  <c r="D1611" i="1"/>
  <c r="C1611" i="1"/>
  <c r="D1610" i="1"/>
  <c r="C1610" i="1"/>
  <c r="D1609" i="1"/>
  <c r="C1609" i="1"/>
  <c r="D1608" i="1"/>
  <c r="C1608" i="1"/>
  <c r="D1607" i="1"/>
  <c r="C1607" i="1"/>
  <c r="D1606" i="1"/>
  <c r="C1606" i="1"/>
  <c r="D1605" i="1"/>
  <c r="C1605" i="1"/>
  <c r="D1604" i="1"/>
  <c r="C1604" i="1"/>
  <c r="D1603" i="1"/>
  <c r="C1603" i="1"/>
  <c r="D1602" i="1"/>
  <c r="C1602" i="1"/>
  <c r="D1601" i="1"/>
  <c r="C1601" i="1"/>
  <c r="D1600" i="1"/>
  <c r="C1600" i="1"/>
  <c r="D1599" i="1"/>
  <c r="C1599" i="1"/>
  <c r="D1598" i="1"/>
  <c r="C1598" i="1"/>
  <c r="D1597" i="1"/>
  <c r="C1597" i="1"/>
  <c r="D1596" i="1"/>
  <c r="C1596" i="1"/>
  <c r="D1595" i="1"/>
  <c r="C1595" i="1"/>
  <c r="D1594" i="1"/>
  <c r="C1594" i="1"/>
  <c r="D1593" i="1"/>
  <c r="C1593" i="1"/>
  <c r="D1592" i="1"/>
  <c r="C1592" i="1"/>
  <c r="D1591" i="1"/>
  <c r="C1591" i="1"/>
  <c r="D1590" i="1"/>
  <c r="C1590" i="1"/>
  <c r="D1589" i="1"/>
  <c r="C1589" i="1"/>
  <c r="D1588" i="1"/>
  <c r="C1588" i="1"/>
  <c r="D1587" i="1"/>
  <c r="C1587" i="1"/>
  <c r="D1586" i="1"/>
  <c r="C1586" i="1"/>
  <c r="D1585" i="1"/>
  <c r="C1585" i="1"/>
  <c r="D1584" i="1"/>
  <c r="C1584" i="1"/>
  <c r="D1583" i="1"/>
  <c r="C1583" i="1"/>
  <c r="D1582" i="1"/>
  <c r="C1582" i="1"/>
  <c r="D1581" i="1"/>
  <c r="C1581" i="1"/>
  <c r="D1580" i="1"/>
  <c r="C1580" i="1"/>
  <c r="D1579" i="1"/>
  <c r="C1579" i="1"/>
  <c r="D1578" i="1"/>
  <c r="C1578" i="1"/>
  <c r="D1577" i="1"/>
  <c r="C1577" i="1"/>
  <c r="D1576" i="1"/>
  <c r="C1576" i="1"/>
  <c r="D1575" i="1"/>
  <c r="C1575" i="1"/>
  <c r="D1574" i="1"/>
  <c r="C1574" i="1"/>
  <c r="D1573" i="1"/>
  <c r="C1573" i="1"/>
  <c r="D1572" i="1"/>
  <c r="C1572" i="1"/>
  <c r="D1571" i="1"/>
  <c r="C1571" i="1"/>
  <c r="D1570" i="1"/>
  <c r="C1570" i="1"/>
  <c r="D1569" i="1"/>
  <c r="C1569" i="1"/>
  <c r="D1568" i="1"/>
  <c r="C1568" i="1"/>
  <c r="D1567" i="1"/>
  <c r="C1567" i="1"/>
  <c r="D1566" i="1"/>
  <c r="C1566" i="1"/>
  <c r="D1565" i="1"/>
  <c r="C1565" i="1"/>
  <c r="D1564" i="1"/>
  <c r="C1564" i="1"/>
  <c r="D1563" i="1"/>
  <c r="C1563" i="1"/>
  <c r="D1562" i="1"/>
  <c r="C1562" i="1"/>
  <c r="D1561" i="1"/>
  <c r="C1561" i="1"/>
  <c r="D1560" i="1"/>
  <c r="C1560" i="1"/>
  <c r="D1559" i="1"/>
  <c r="C1559" i="1"/>
  <c r="D1558" i="1"/>
  <c r="C1558" i="1"/>
  <c r="D1557" i="1"/>
  <c r="C1557" i="1"/>
  <c r="D1556" i="1"/>
  <c r="C1556" i="1"/>
  <c r="D1555" i="1"/>
  <c r="C1555" i="1"/>
  <c r="D1554" i="1"/>
  <c r="C1554" i="1"/>
  <c r="D1553" i="1"/>
  <c r="C1553" i="1"/>
  <c r="D1552" i="1"/>
  <c r="C1552" i="1"/>
  <c r="D1551" i="1"/>
  <c r="C1551" i="1"/>
  <c r="D1550" i="1"/>
  <c r="C1550" i="1"/>
  <c r="D1549" i="1"/>
  <c r="C1549" i="1"/>
  <c r="D1548" i="1"/>
  <c r="C1548" i="1"/>
  <c r="D1547" i="1"/>
  <c r="C1547" i="1"/>
  <c r="D1546" i="1"/>
  <c r="C1546" i="1"/>
  <c r="D1545" i="1"/>
  <c r="C1545" i="1"/>
  <c r="D1544" i="1"/>
  <c r="C1544" i="1"/>
  <c r="D1543" i="1"/>
  <c r="C1543" i="1"/>
  <c r="D1542" i="1"/>
  <c r="C1542" i="1"/>
  <c r="D1541" i="1"/>
  <c r="C1541" i="1"/>
  <c r="D1540" i="1"/>
  <c r="C1540" i="1"/>
  <c r="D1539" i="1"/>
  <c r="C1539" i="1"/>
  <c r="D1538" i="1"/>
  <c r="C1538" i="1"/>
  <c r="D1537" i="1"/>
  <c r="C1537" i="1"/>
  <c r="D1536" i="1"/>
  <c r="C1536" i="1"/>
  <c r="D1535" i="1"/>
  <c r="C1535" i="1"/>
  <c r="D1534" i="1"/>
  <c r="C1534" i="1"/>
  <c r="D1533" i="1"/>
  <c r="C1533" i="1"/>
  <c r="D1532" i="1"/>
  <c r="C1532" i="1"/>
  <c r="D1531" i="1"/>
  <c r="C1531" i="1"/>
  <c r="D1530" i="1"/>
  <c r="C1530" i="1"/>
  <c r="D1529" i="1"/>
  <c r="C1529" i="1"/>
  <c r="D1528" i="1"/>
  <c r="C1528" i="1"/>
  <c r="D1527" i="1"/>
  <c r="C1527" i="1"/>
  <c r="D1526" i="1"/>
  <c r="C1526" i="1"/>
  <c r="D1525" i="1"/>
  <c r="C1525" i="1"/>
  <c r="D1524" i="1"/>
  <c r="C1524" i="1"/>
  <c r="D1523" i="1"/>
  <c r="C1523" i="1"/>
  <c r="D1522" i="1"/>
  <c r="C1522" i="1"/>
  <c r="D1521" i="1"/>
  <c r="C1521" i="1"/>
  <c r="D1520" i="1"/>
  <c r="C1520" i="1"/>
  <c r="D1519" i="1"/>
  <c r="C1519" i="1"/>
  <c r="D1518" i="1"/>
  <c r="C1518" i="1"/>
  <c r="D1517" i="1"/>
  <c r="C1517" i="1"/>
  <c r="D1516" i="1"/>
  <c r="C1516" i="1"/>
  <c r="D1515" i="1"/>
  <c r="C1515" i="1"/>
  <c r="D1514" i="1"/>
  <c r="C1514" i="1"/>
  <c r="D1513" i="1"/>
  <c r="C1513" i="1"/>
  <c r="D1512" i="1"/>
  <c r="C1512" i="1"/>
  <c r="D1511" i="1"/>
  <c r="C1511" i="1"/>
  <c r="D1510" i="1"/>
  <c r="C1510" i="1"/>
  <c r="D1509" i="1"/>
  <c r="C1509" i="1"/>
  <c r="D1508" i="1"/>
  <c r="C1508" i="1"/>
  <c r="D1507" i="1"/>
  <c r="C1507" i="1"/>
  <c r="D1506" i="1"/>
  <c r="C1506" i="1"/>
  <c r="D1505" i="1"/>
  <c r="C1505" i="1"/>
  <c r="D1504" i="1"/>
  <c r="C1504" i="1"/>
  <c r="D1503" i="1"/>
  <c r="C1503" i="1"/>
  <c r="D1502" i="1"/>
  <c r="C1502" i="1"/>
  <c r="D1501" i="1"/>
  <c r="C1501" i="1"/>
  <c r="D1500" i="1"/>
  <c r="C1500" i="1"/>
  <c r="D1499" i="1"/>
  <c r="C1499" i="1"/>
  <c r="D1498" i="1"/>
  <c r="C1498" i="1"/>
  <c r="D1497" i="1"/>
  <c r="C1497" i="1"/>
  <c r="D1496" i="1"/>
  <c r="C1496" i="1"/>
  <c r="D1495" i="1"/>
  <c r="C1495" i="1"/>
  <c r="D1494" i="1"/>
  <c r="C1494" i="1"/>
  <c r="D1493" i="1"/>
  <c r="C1493" i="1"/>
  <c r="D1492" i="1"/>
  <c r="C1492" i="1"/>
  <c r="D1491" i="1"/>
  <c r="C1491" i="1"/>
  <c r="D1490" i="1"/>
  <c r="C1490" i="1"/>
  <c r="D1489" i="1"/>
  <c r="C1489" i="1"/>
  <c r="D1488" i="1"/>
  <c r="C1488" i="1"/>
  <c r="D1487" i="1"/>
  <c r="C1487" i="1"/>
  <c r="D1486" i="1"/>
  <c r="C1486" i="1"/>
  <c r="D1485" i="1"/>
  <c r="C1485" i="1"/>
  <c r="D1484" i="1"/>
  <c r="C1484" i="1"/>
  <c r="D1483" i="1"/>
  <c r="C1483" i="1"/>
  <c r="D1482" i="1"/>
  <c r="C1482" i="1"/>
  <c r="D1481" i="1"/>
  <c r="C1481" i="1"/>
  <c r="D1480" i="1"/>
  <c r="C1480" i="1"/>
  <c r="D1479" i="1"/>
  <c r="C1479" i="1"/>
  <c r="D1478" i="1"/>
  <c r="C1478" i="1"/>
  <c r="D1477" i="1"/>
  <c r="C1477" i="1"/>
  <c r="D1476" i="1"/>
  <c r="C1476" i="1"/>
  <c r="D1475" i="1"/>
  <c r="C1475" i="1"/>
  <c r="D1474" i="1"/>
  <c r="C1474" i="1"/>
  <c r="D1473" i="1"/>
  <c r="C1473" i="1"/>
  <c r="D1472" i="1"/>
  <c r="C1472" i="1"/>
  <c r="D1471" i="1"/>
  <c r="C1471" i="1"/>
  <c r="D1470" i="1"/>
  <c r="C1470" i="1"/>
  <c r="D1469" i="1"/>
  <c r="C1469" i="1"/>
  <c r="D1468" i="1"/>
  <c r="C1468" i="1"/>
  <c r="D1467" i="1"/>
  <c r="C1467" i="1"/>
  <c r="D1466" i="1"/>
  <c r="C1466" i="1"/>
  <c r="D1465" i="1"/>
  <c r="C1465" i="1"/>
  <c r="D1464" i="1"/>
  <c r="C1464" i="1"/>
  <c r="D1463" i="1"/>
  <c r="C1463" i="1"/>
  <c r="D1462" i="1"/>
  <c r="C1462" i="1"/>
  <c r="D1461" i="1"/>
  <c r="C1461" i="1"/>
  <c r="D1460" i="1"/>
  <c r="C1460" i="1"/>
  <c r="D1459" i="1"/>
  <c r="C1459" i="1"/>
  <c r="D1458" i="1"/>
  <c r="C1458" i="1"/>
  <c r="D1457" i="1"/>
  <c r="C1457" i="1"/>
  <c r="D1456" i="1"/>
  <c r="C1456" i="1"/>
  <c r="D1455" i="1"/>
  <c r="C1455" i="1"/>
  <c r="D1454" i="1"/>
  <c r="C1454" i="1"/>
  <c r="D1453" i="1"/>
  <c r="C1453" i="1"/>
  <c r="D1452" i="1"/>
  <c r="C1452" i="1"/>
  <c r="D1451" i="1"/>
  <c r="C1451" i="1"/>
  <c r="D1450" i="1"/>
  <c r="C1450" i="1"/>
  <c r="D1449" i="1"/>
  <c r="C1449" i="1"/>
  <c r="D1448" i="1"/>
  <c r="C1448" i="1"/>
  <c r="D1447" i="1"/>
  <c r="C1447" i="1"/>
  <c r="D1446" i="1"/>
  <c r="C1446" i="1"/>
  <c r="D1445" i="1"/>
  <c r="C1445" i="1"/>
  <c r="D1444" i="1"/>
  <c r="C1444" i="1"/>
  <c r="D1443" i="1"/>
  <c r="C1443" i="1"/>
  <c r="D1442" i="1"/>
  <c r="C1442" i="1"/>
  <c r="D1441" i="1"/>
  <c r="C1441" i="1"/>
  <c r="D1440" i="1"/>
  <c r="C1440" i="1"/>
  <c r="D1439" i="1"/>
  <c r="C1439" i="1"/>
  <c r="D1438" i="1"/>
  <c r="C1438" i="1"/>
  <c r="D1437" i="1"/>
  <c r="C1437" i="1"/>
  <c r="D1436" i="1"/>
  <c r="C1436" i="1"/>
  <c r="D1435" i="1"/>
  <c r="C1435" i="1"/>
  <c r="D1434" i="1"/>
  <c r="C1434" i="1"/>
  <c r="D1433" i="1"/>
  <c r="C1433" i="1"/>
  <c r="D1432" i="1"/>
  <c r="C1432" i="1"/>
  <c r="D1431" i="1"/>
  <c r="C1431" i="1"/>
  <c r="D1430" i="1"/>
  <c r="C1430" i="1"/>
  <c r="D1429" i="1"/>
  <c r="C1429" i="1"/>
  <c r="D1428" i="1"/>
  <c r="C1428" i="1"/>
  <c r="D1427" i="1"/>
  <c r="C1427" i="1"/>
  <c r="D1426" i="1"/>
  <c r="C1426" i="1"/>
  <c r="D1425" i="1"/>
  <c r="C1425" i="1"/>
  <c r="D1424" i="1"/>
  <c r="C1424" i="1"/>
  <c r="D1423" i="1"/>
  <c r="C1423" i="1"/>
  <c r="D1422" i="1"/>
  <c r="C1422" i="1"/>
  <c r="D1421" i="1"/>
  <c r="C1421" i="1"/>
  <c r="D1420" i="1"/>
  <c r="C1420" i="1"/>
  <c r="D1419" i="1"/>
  <c r="C1419" i="1"/>
  <c r="D1418" i="1"/>
  <c r="C1418" i="1"/>
  <c r="D1417" i="1"/>
  <c r="C1417" i="1"/>
  <c r="D1416" i="1"/>
  <c r="C1416" i="1"/>
  <c r="D1415" i="1"/>
  <c r="C1415" i="1"/>
  <c r="D1414" i="1"/>
  <c r="C1414" i="1"/>
  <c r="D1413" i="1"/>
  <c r="C1413" i="1"/>
  <c r="D1412" i="1"/>
  <c r="C1412" i="1"/>
  <c r="D1411" i="1"/>
  <c r="C1411" i="1"/>
  <c r="D1410" i="1"/>
  <c r="C1410" i="1"/>
  <c r="D1409" i="1"/>
  <c r="C1409" i="1"/>
  <c r="D1408" i="1"/>
  <c r="C1408" i="1"/>
  <c r="D1407" i="1"/>
  <c r="C1407" i="1"/>
  <c r="D1406" i="1"/>
  <c r="C1406" i="1"/>
  <c r="D1405" i="1"/>
  <c r="C1405" i="1"/>
  <c r="D1404" i="1"/>
  <c r="C1404" i="1"/>
  <c r="D1403" i="1"/>
  <c r="C1403" i="1"/>
  <c r="D1402" i="1"/>
  <c r="C1402" i="1"/>
  <c r="D1401" i="1"/>
  <c r="C1401" i="1"/>
  <c r="D1400" i="1"/>
  <c r="C1400" i="1"/>
  <c r="D1399" i="1"/>
  <c r="C1399" i="1"/>
  <c r="D1398" i="1"/>
  <c r="C1398" i="1"/>
  <c r="D1397" i="1"/>
  <c r="C1397" i="1"/>
  <c r="D1396" i="1"/>
  <c r="C1396" i="1"/>
  <c r="D1395" i="1"/>
  <c r="C1395" i="1"/>
  <c r="D1394" i="1"/>
  <c r="C1394" i="1"/>
  <c r="D1393" i="1"/>
  <c r="C1393" i="1"/>
  <c r="D1392" i="1"/>
  <c r="C1392" i="1"/>
  <c r="D1391" i="1"/>
  <c r="C1391" i="1"/>
  <c r="D1390" i="1"/>
  <c r="C1390" i="1"/>
  <c r="D1389" i="1"/>
  <c r="C1389" i="1"/>
  <c r="D1388" i="1"/>
  <c r="C1388" i="1"/>
  <c r="D1387" i="1"/>
  <c r="C1387" i="1"/>
  <c r="D1386" i="1"/>
  <c r="C1386" i="1"/>
  <c r="D1385" i="1"/>
  <c r="C1385" i="1"/>
  <c r="D1384" i="1"/>
  <c r="C1384" i="1"/>
  <c r="D1383" i="1"/>
  <c r="C1383" i="1"/>
  <c r="D1382" i="1"/>
  <c r="C1382" i="1"/>
  <c r="D1381" i="1"/>
  <c r="C1381" i="1"/>
  <c r="D1380" i="1"/>
  <c r="C1380" i="1"/>
  <c r="D1379" i="1"/>
  <c r="C1379" i="1"/>
  <c r="D1378" i="1"/>
  <c r="C1378" i="1"/>
  <c r="D1377" i="1"/>
  <c r="C1377" i="1"/>
  <c r="D1376" i="1"/>
  <c r="C1376" i="1"/>
  <c r="D1375" i="1"/>
  <c r="C1375" i="1"/>
  <c r="D1374" i="1"/>
  <c r="C1374" i="1"/>
  <c r="D1373" i="1"/>
  <c r="C1373" i="1"/>
  <c r="D1372" i="1"/>
  <c r="C1372" i="1"/>
  <c r="D1371" i="1"/>
  <c r="C1371" i="1"/>
  <c r="D1370" i="1"/>
  <c r="C1370" i="1"/>
  <c r="D1369" i="1"/>
  <c r="C1369" i="1"/>
  <c r="D1368" i="1"/>
  <c r="C1368" i="1"/>
  <c r="D1367" i="1"/>
  <c r="C1367" i="1"/>
  <c r="D1366" i="1"/>
  <c r="C1366" i="1"/>
  <c r="D1365" i="1"/>
  <c r="C1365" i="1"/>
  <c r="D1364" i="1"/>
  <c r="C1364" i="1"/>
  <c r="D1363" i="1"/>
  <c r="C1363" i="1"/>
  <c r="D1362" i="1"/>
  <c r="C1362" i="1"/>
  <c r="D1361" i="1"/>
  <c r="C1361" i="1"/>
  <c r="D1360" i="1"/>
  <c r="C1360" i="1"/>
  <c r="D1359" i="1"/>
  <c r="C1359" i="1"/>
  <c r="D1358" i="1"/>
  <c r="C1358" i="1"/>
  <c r="D1357" i="1"/>
  <c r="C1357" i="1"/>
  <c r="D1356" i="1"/>
  <c r="C1356" i="1"/>
  <c r="D1355" i="1"/>
  <c r="C1355" i="1"/>
  <c r="D1354" i="1"/>
  <c r="C1354" i="1"/>
  <c r="D1353" i="1"/>
  <c r="C1353" i="1"/>
  <c r="D1352" i="1"/>
  <c r="C1352" i="1"/>
  <c r="D1351" i="1"/>
  <c r="C1351" i="1"/>
  <c r="D1350" i="1"/>
  <c r="C1350" i="1"/>
  <c r="D1349" i="1"/>
  <c r="C1349" i="1"/>
  <c r="D1348" i="1"/>
  <c r="C1348" i="1"/>
  <c r="D1347" i="1"/>
  <c r="C1347" i="1"/>
  <c r="D1346" i="1"/>
  <c r="C1346" i="1"/>
  <c r="D1345" i="1"/>
  <c r="C1345" i="1"/>
  <c r="D1344" i="1"/>
  <c r="C1344" i="1"/>
  <c r="D1343" i="1"/>
  <c r="C1343" i="1"/>
  <c r="D1342" i="1"/>
  <c r="C1342" i="1"/>
  <c r="D1341" i="1"/>
  <c r="C1341" i="1"/>
  <c r="D1340" i="1"/>
  <c r="C1340" i="1"/>
  <c r="D1339" i="1"/>
  <c r="C1339" i="1"/>
  <c r="D1338" i="1"/>
  <c r="C1338" i="1"/>
  <c r="D1337" i="1"/>
  <c r="C1337" i="1"/>
  <c r="D1336" i="1"/>
  <c r="C1336" i="1"/>
  <c r="D1335" i="1"/>
  <c r="C1335" i="1"/>
  <c r="D1334" i="1"/>
  <c r="C1334" i="1"/>
  <c r="D1333" i="1"/>
  <c r="C1333" i="1"/>
  <c r="D1332" i="1"/>
  <c r="C1332" i="1"/>
  <c r="D1331" i="1"/>
  <c r="C1331" i="1"/>
  <c r="D1330" i="1"/>
  <c r="C1330" i="1"/>
  <c r="D1329" i="1"/>
  <c r="C1329" i="1"/>
  <c r="D1328" i="1"/>
  <c r="C1328" i="1"/>
  <c r="D1327" i="1"/>
  <c r="C1327" i="1"/>
  <c r="D1326" i="1"/>
  <c r="C1326" i="1"/>
  <c r="D1325" i="1"/>
  <c r="C1325" i="1"/>
  <c r="D1324" i="1"/>
  <c r="C1324" i="1"/>
  <c r="D1323" i="1"/>
  <c r="C1323" i="1"/>
  <c r="D1322" i="1"/>
  <c r="C1322" i="1"/>
  <c r="D1321" i="1"/>
  <c r="C1321" i="1"/>
  <c r="D1320" i="1"/>
  <c r="C1320" i="1"/>
  <c r="D1319" i="1"/>
  <c r="C1319" i="1"/>
  <c r="D1318" i="1"/>
  <c r="C1318" i="1"/>
  <c r="D1317" i="1"/>
  <c r="C1317" i="1"/>
  <c r="D1316" i="1"/>
  <c r="C1316" i="1"/>
  <c r="D1315" i="1"/>
  <c r="C1315" i="1"/>
  <c r="D1314" i="1"/>
  <c r="C1314" i="1"/>
  <c r="D1313" i="1"/>
  <c r="C1313" i="1"/>
  <c r="D1312" i="1"/>
  <c r="C1312" i="1"/>
  <c r="D1311" i="1"/>
  <c r="C1311" i="1"/>
  <c r="D1310" i="1"/>
  <c r="C1310" i="1"/>
  <c r="D1309" i="1"/>
  <c r="C1309" i="1"/>
  <c r="D1308" i="1"/>
  <c r="C1308" i="1"/>
  <c r="D1307" i="1"/>
  <c r="C1307" i="1"/>
  <c r="D1306" i="1"/>
  <c r="C1306" i="1"/>
  <c r="D1305" i="1"/>
  <c r="C1305" i="1"/>
  <c r="D1304" i="1"/>
  <c r="C1304" i="1"/>
  <c r="D1303" i="1"/>
  <c r="C1303" i="1"/>
  <c r="D1302" i="1"/>
  <c r="C1302" i="1"/>
  <c r="D1301" i="1"/>
  <c r="C1301" i="1"/>
  <c r="D1300" i="1"/>
  <c r="C1300" i="1"/>
  <c r="D1299" i="1"/>
  <c r="C1299" i="1"/>
  <c r="D1298" i="1"/>
  <c r="C1298" i="1"/>
  <c r="D1297" i="1"/>
  <c r="C1297" i="1"/>
  <c r="D1296" i="1"/>
  <c r="C1296" i="1"/>
  <c r="D1295" i="1"/>
  <c r="C1295" i="1"/>
  <c r="D1294" i="1"/>
  <c r="C1294" i="1"/>
  <c r="D1293" i="1"/>
  <c r="C1293" i="1"/>
  <c r="D1292" i="1"/>
  <c r="C1292" i="1"/>
  <c r="D1291" i="1"/>
  <c r="C1291" i="1"/>
  <c r="D1290" i="1"/>
  <c r="C1290" i="1"/>
  <c r="D1289" i="1"/>
  <c r="C1289" i="1"/>
  <c r="D1288" i="1"/>
  <c r="C1288" i="1"/>
  <c r="D1287" i="1"/>
  <c r="C1287" i="1"/>
  <c r="D1286" i="1"/>
  <c r="C1286" i="1"/>
  <c r="D1285" i="1"/>
  <c r="C1285" i="1"/>
  <c r="D1284" i="1"/>
  <c r="C1284" i="1"/>
  <c r="D1283" i="1"/>
  <c r="C1283" i="1"/>
  <c r="D1282" i="1"/>
  <c r="C1282" i="1"/>
  <c r="D1281" i="1"/>
  <c r="C1281" i="1"/>
  <c r="D1280" i="1"/>
  <c r="C1280" i="1"/>
  <c r="D1279" i="1"/>
  <c r="C1279" i="1"/>
  <c r="D1278" i="1"/>
  <c r="C1278" i="1"/>
  <c r="D1277" i="1"/>
  <c r="C1277" i="1"/>
  <c r="D1276" i="1"/>
  <c r="C1276" i="1"/>
  <c r="D1275" i="1"/>
  <c r="C1275" i="1"/>
  <c r="D1274" i="1"/>
  <c r="C1274" i="1"/>
  <c r="D1273" i="1"/>
  <c r="C1273" i="1"/>
  <c r="D1272" i="1"/>
  <c r="C1272" i="1"/>
  <c r="D1271" i="1"/>
  <c r="C1271" i="1"/>
  <c r="D1270" i="1"/>
  <c r="C1270" i="1"/>
  <c r="D1269" i="1"/>
  <c r="C1269" i="1"/>
  <c r="D1268" i="1"/>
  <c r="C1268" i="1"/>
  <c r="D1267" i="1"/>
  <c r="C1267" i="1"/>
  <c r="D1266" i="1"/>
  <c r="C1266" i="1"/>
  <c r="D1265" i="1"/>
  <c r="C1265" i="1"/>
  <c r="D1264" i="1"/>
  <c r="C1264" i="1"/>
  <c r="D1263" i="1"/>
  <c r="C1263" i="1"/>
  <c r="D1262" i="1"/>
  <c r="C1262" i="1"/>
  <c r="D1261" i="1"/>
  <c r="C1261" i="1"/>
  <c r="D1260" i="1"/>
  <c r="C1260" i="1"/>
  <c r="D1259" i="1"/>
  <c r="C1259" i="1"/>
  <c r="D1258" i="1"/>
  <c r="C1258" i="1"/>
  <c r="D1257" i="1"/>
  <c r="C1257" i="1"/>
  <c r="D1256" i="1"/>
  <c r="C1256" i="1"/>
  <c r="D1255" i="1"/>
  <c r="C1255" i="1"/>
  <c r="D1254" i="1"/>
  <c r="C1254" i="1"/>
  <c r="D1253" i="1"/>
  <c r="C1253" i="1"/>
  <c r="D1252" i="1"/>
  <c r="C1252" i="1"/>
  <c r="D1251" i="1"/>
  <c r="C1251" i="1"/>
  <c r="D1250" i="1"/>
  <c r="C1250" i="1"/>
  <c r="D1249" i="1"/>
  <c r="C1249" i="1"/>
  <c r="D1248" i="1"/>
  <c r="C1248" i="1"/>
  <c r="D1247" i="1"/>
  <c r="C1247" i="1"/>
  <c r="D1246" i="1"/>
  <c r="C1246" i="1"/>
  <c r="D1245" i="1"/>
  <c r="C1245" i="1"/>
  <c r="D1244" i="1"/>
  <c r="C1244" i="1"/>
  <c r="D1243" i="1"/>
  <c r="C1243" i="1"/>
  <c r="D1242" i="1"/>
  <c r="C1242" i="1"/>
  <c r="D1241" i="1"/>
  <c r="C1241" i="1"/>
  <c r="D1240" i="1"/>
  <c r="C1240" i="1"/>
  <c r="D1239" i="1"/>
  <c r="C1239" i="1"/>
  <c r="D1238" i="1"/>
  <c r="C1238" i="1"/>
  <c r="D1237" i="1"/>
  <c r="C1237" i="1"/>
  <c r="D1236" i="1"/>
  <c r="C1236" i="1"/>
  <c r="D1235" i="1"/>
  <c r="C1235" i="1"/>
  <c r="D1234" i="1"/>
  <c r="C1234" i="1"/>
  <c r="D1233" i="1"/>
  <c r="C1233" i="1"/>
  <c r="D1232" i="1"/>
  <c r="C1232" i="1"/>
  <c r="D1231" i="1"/>
  <c r="C1231" i="1"/>
  <c r="D1230" i="1"/>
  <c r="C1230" i="1"/>
  <c r="D1229" i="1"/>
  <c r="C1229" i="1"/>
  <c r="D1228" i="1"/>
  <c r="C1228" i="1"/>
  <c r="D1227" i="1"/>
  <c r="C1227" i="1"/>
  <c r="D1226" i="1"/>
  <c r="C1226" i="1"/>
  <c r="D1225" i="1"/>
  <c r="C1225" i="1"/>
  <c r="D1224" i="1"/>
  <c r="C1224" i="1"/>
  <c r="D1223" i="1"/>
  <c r="C1223" i="1"/>
  <c r="D1222" i="1"/>
  <c r="C1222" i="1"/>
  <c r="D1221" i="1"/>
  <c r="C1221" i="1"/>
  <c r="D1220" i="1"/>
  <c r="C1220" i="1"/>
  <c r="D1219" i="1"/>
  <c r="C1219" i="1"/>
  <c r="D1218" i="1"/>
  <c r="C1218" i="1"/>
  <c r="D1217" i="1"/>
  <c r="C1217" i="1"/>
  <c r="D1216" i="1"/>
  <c r="C1216" i="1"/>
  <c r="D1215" i="1"/>
  <c r="C1215" i="1"/>
  <c r="D1214" i="1"/>
  <c r="C1214" i="1"/>
  <c r="D1213" i="1"/>
  <c r="C1213" i="1"/>
  <c r="D1212" i="1"/>
  <c r="C1212" i="1"/>
  <c r="D1211" i="1"/>
  <c r="C1211" i="1"/>
  <c r="D1210" i="1"/>
  <c r="C1210" i="1"/>
  <c r="D1209" i="1"/>
  <c r="C1209" i="1"/>
  <c r="D1208" i="1"/>
  <c r="C1208" i="1"/>
  <c r="D1207" i="1"/>
  <c r="C1207" i="1"/>
  <c r="D1206" i="1"/>
  <c r="C1206" i="1"/>
  <c r="D1205" i="1"/>
  <c r="C1205" i="1"/>
  <c r="D1204" i="1"/>
  <c r="C1204" i="1"/>
  <c r="D1203" i="1"/>
  <c r="C1203" i="1"/>
  <c r="D1202" i="1"/>
  <c r="C1202" i="1"/>
  <c r="D1201" i="1"/>
  <c r="C1201" i="1"/>
  <c r="D1200" i="1"/>
  <c r="C1200" i="1"/>
  <c r="D1199" i="1"/>
  <c r="C1199" i="1"/>
  <c r="D1198" i="1"/>
  <c r="C1198" i="1"/>
  <c r="D1197" i="1"/>
  <c r="C1197" i="1"/>
  <c r="D1196" i="1"/>
  <c r="C1196" i="1"/>
  <c r="D1195" i="1"/>
  <c r="C1195" i="1"/>
  <c r="D1194" i="1"/>
  <c r="C1194" i="1"/>
  <c r="D1193" i="1"/>
  <c r="C1193" i="1"/>
  <c r="D1192" i="1"/>
  <c r="C1192" i="1"/>
  <c r="D1191" i="1"/>
  <c r="C1191" i="1"/>
  <c r="D1190" i="1"/>
  <c r="C1190" i="1"/>
  <c r="D1189" i="1"/>
  <c r="C1189" i="1"/>
  <c r="D1188" i="1"/>
  <c r="C1188" i="1"/>
  <c r="D1187" i="1"/>
  <c r="C1187" i="1"/>
  <c r="D1186" i="1"/>
  <c r="C1186" i="1"/>
  <c r="D1185" i="1"/>
  <c r="C1185" i="1"/>
  <c r="D1184" i="1"/>
  <c r="C1184" i="1"/>
  <c r="D1183" i="1"/>
  <c r="C1183" i="1"/>
  <c r="D1182" i="1"/>
  <c r="C1182" i="1"/>
  <c r="D1181" i="1"/>
  <c r="C1181" i="1"/>
  <c r="D1180" i="1"/>
  <c r="C1180" i="1"/>
  <c r="D1179" i="1"/>
  <c r="C1179" i="1"/>
  <c r="D1178" i="1"/>
  <c r="C1178" i="1"/>
  <c r="D1177" i="1"/>
  <c r="C1177" i="1"/>
  <c r="D1176" i="1"/>
  <c r="C1176" i="1"/>
  <c r="D1175" i="1"/>
  <c r="C1175" i="1"/>
  <c r="D1174" i="1"/>
  <c r="C1174" i="1"/>
  <c r="D1173" i="1"/>
  <c r="C1173" i="1"/>
  <c r="D1172" i="1"/>
  <c r="C1172" i="1"/>
  <c r="D1171" i="1"/>
  <c r="C1171" i="1"/>
  <c r="D1170" i="1"/>
  <c r="C1170" i="1"/>
  <c r="D1169" i="1"/>
  <c r="C1169" i="1"/>
  <c r="D1168" i="1"/>
  <c r="C1168" i="1"/>
  <c r="D1167" i="1"/>
  <c r="C1167" i="1"/>
  <c r="D1166" i="1"/>
  <c r="C1166" i="1"/>
  <c r="D1165" i="1"/>
  <c r="C1165" i="1"/>
  <c r="D1164" i="1"/>
  <c r="C1164" i="1"/>
  <c r="D1163" i="1"/>
  <c r="C1163" i="1"/>
  <c r="D1162" i="1"/>
  <c r="C1162" i="1"/>
  <c r="D1161" i="1"/>
  <c r="C1161" i="1"/>
  <c r="D1160" i="1"/>
  <c r="C1160" i="1"/>
  <c r="D1159" i="1"/>
  <c r="C1159" i="1"/>
  <c r="D1158" i="1"/>
  <c r="C1158" i="1"/>
  <c r="D1157" i="1"/>
  <c r="C1157" i="1"/>
  <c r="D1156" i="1"/>
  <c r="C1156" i="1"/>
  <c r="D1155" i="1"/>
  <c r="C1155" i="1"/>
  <c r="D1154" i="1"/>
  <c r="C1154" i="1"/>
  <c r="D1153" i="1"/>
  <c r="C1153" i="1"/>
  <c r="D1152" i="1"/>
  <c r="C1152" i="1"/>
  <c r="D1151" i="1"/>
  <c r="C1151" i="1"/>
  <c r="D1150" i="1"/>
  <c r="C1150" i="1"/>
  <c r="D1149" i="1"/>
  <c r="C1149" i="1"/>
  <c r="D1148" i="1"/>
  <c r="C1148" i="1"/>
  <c r="D1147" i="1"/>
  <c r="C1147" i="1"/>
  <c r="D1146" i="1"/>
  <c r="C1146" i="1"/>
  <c r="D1145" i="1"/>
  <c r="C1145" i="1"/>
  <c r="D1144" i="1"/>
  <c r="C1144" i="1"/>
  <c r="D1143" i="1"/>
  <c r="C1143" i="1"/>
  <c r="D1142" i="1"/>
  <c r="C1142" i="1"/>
  <c r="D1141" i="1"/>
  <c r="C1141" i="1"/>
  <c r="D1140" i="1"/>
  <c r="C1140" i="1"/>
  <c r="D1139" i="1"/>
  <c r="C1139" i="1"/>
  <c r="D1138" i="1"/>
  <c r="C1138" i="1"/>
  <c r="D1137" i="1"/>
  <c r="C1137" i="1"/>
  <c r="D1136" i="1"/>
  <c r="C1136" i="1"/>
  <c r="D1135" i="1"/>
  <c r="C1135" i="1"/>
  <c r="D1134" i="1"/>
  <c r="C1134" i="1"/>
  <c r="D1133" i="1"/>
  <c r="C1133" i="1"/>
  <c r="D1132" i="1"/>
  <c r="C1132" i="1"/>
  <c r="D1131" i="1"/>
  <c r="C1131" i="1"/>
  <c r="D1130" i="1"/>
  <c r="C1130" i="1"/>
  <c r="D1129" i="1"/>
  <c r="C1129" i="1"/>
  <c r="D1128" i="1"/>
  <c r="C1128" i="1"/>
  <c r="D1127" i="1"/>
  <c r="C1127" i="1"/>
  <c r="D1126" i="1"/>
  <c r="C1126" i="1"/>
  <c r="D1125" i="1"/>
  <c r="C1125" i="1"/>
  <c r="D1124" i="1"/>
  <c r="C1124" i="1"/>
  <c r="D1123" i="1"/>
  <c r="C1123" i="1"/>
  <c r="D1122" i="1"/>
  <c r="C1122" i="1"/>
  <c r="D1121" i="1"/>
  <c r="C1121" i="1"/>
  <c r="D1120" i="1"/>
  <c r="C1120" i="1"/>
  <c r="D1119" i="1"/>
  <c r="C1119" i="1"/>
  <c r="D1118" i="1"/>
  <c r="C1118" i="1"/>
  <c r="D1117" i="1"/>
  <c r="C1117" i="1"/>
  <c r="D1116" i="1"/>
  <c r="C1116" i="1"/>
  <c r="D1115" i="1"/>
  <c r="C1115" i="1"/>
  <c r="D1114" i="1"/>
  <c r="C1114" i="1"/>
  <c r="D1113" i="1"/>
  <c r="C1113" i="1"/>
  <c r="D1112" i="1"/>
  <c r="C1112" i="1"/>
  <c r="D1111" i="1"/>
  <c r="C1111" i="1"/>
  <c r="D1110" i="1"/>
  <c r="C1110" i="1"/>
  <c r="D1109" i="1"/>
  <c r="C1109" i="1"/>
  <c r="D1108" i="1"/>
  <c r="C1108" i="1"/>
  <c r="D1107" i="1"/>
  <c r="C1107" i="1"/>
  <c r="D1106" i="1"/>
  <c r="C1106" i="1"/>
  <c r="D1105" i="1"/>
  <c r="C1105" i="1"/>
  <c r="D1104" i="1"/>
  <c r="C1104" i="1"/>
  <c r="D1103" i="1"/>
  <c r="C1103" i="1"/>
  <c r="D1102" i="1"/>
  <c r="C1102" i="1"/>
  <c r="D1101" i="1"/>
  <c r="C1101" i="1"/>
  <c r="D1100" i="1"/>
  <c r="C1100" i="1"/>
  <c r="D1099" i="1"/>
  <c r="C1099" i="1"/>
  <c r="D1098" i="1"/>
  <c r="C1098" i="1"/>
  <c r="D1097" i="1"/>
  <c r="C1097" i="1"/>
  <c r="D1096" i="1"/>
  <c r="C1096" i="1"/>
  <c r="D1095" i="1"/>
  <c r="C1095" i="1"/>
  <c r="D1094" i="1"/>
  <c r="C1094" i="1"/>
  <c r="D1093" i="1"/>
  <c r="C1093" i="1"/>
  <c r="D1092" i="1"/>
  <c r="C1092" i="1"/>
  <c r="D1091" i="1"/>
  <c r="C1091" i="1"/>
  <c r="D1090" i="1"/>
  <c r="C1090" i="1"/>
  <c r="D1089" i="1"/>
  <c r="C1089" i="1"/>
  <c r="D1088" i="1"/>
  <c r="C1088" i="1"/>
  <c r="D1087" i="1"/>
  <c r="C1087" i="1"/>
  <c r="D1086" i="1"/>
  <c r="C1086" i="1"/>
  <c r="D1085" i="1"/>
  <c r="C1085" i="1"/>
  <c r="D1084" i="1"/>
  <c r="C1084" i="1"/>
  <c r="D1083" i="1"/>
  <c r="C1083" i="1"/>
  <c r="D1082" i="1"/>
  <c r="C1082" i="1"/>
  <c r="D1081" i="1"/>
  <c r="C1081" i="1"/>
  <c r="D1080" i="1"/>
  <c r="C1080" i="1"/>
  <c r="D1079" i="1"/>
  <c r="C1079" i="1"/>
  <c r="D1078" i="1"/>
  <c r="C1078" i="1"/>
  <c r="D1077" i="1"/>
  <c r="C1077" i="1"/>
  <c r="D1076" i="1"/>
  <c r="C1076" i="1"/>
  <c r="D1075" i="1"/>
  <c r="C1075" i="1"/>
  <c r="D1074" i="1"/>
  <c r="C1074" i="1"/>
  <c r="D1073" i="1"/>
  <c r="C1073" i="1"/>
  <c r="D1072" i="1"/>
  <c r="C1072" i="1"/>
  <c r="D1071" i="1"/>
  <c r="C1071" i="1"/>
  <c r="D1070" i="1"/>
  <c r="C1070" i="1"/>
  <c r="D1069" i="1"/>
  <c r="C1069" i="1"/>
  <c r="D1068" i="1"/>
  <c r="C1068" i="1"/>
  <c r="D1067" i="1"/>
  <c r="C1067" i="1"/>
  <c r="D1066" i="1"/>
  <c r="C1066" i="1"/>
  <c r="D1065" i="1"/>
  <c r="C1065" i="1"/>
  <c r="D1064" i="1"/>
  <c r="C1064" i="1"/>
  <c r="D1063" i="1"/>
  <c r="C1063" i="1"/>
  <c r="D1062" i="1"/>
  <c r="C1062" i="1"/>
  <c r="D1061" i="1"/>
  <c r="C1061" i="1"/>
  <c r="D1060" i="1"/>
  <c r="C1060" i="1"/>
  <c r="D1059" i="1"/>
  <c r="C1059" i="1"/>
  <c r="D1058" i="1"/>
  <c r="C1058" i="1"/>
  <c r="D1057" i="1"/>
  <c r="C1057" i="1"/>
  <c r="D1056" i="1"/>
  <c r="C1056" i="1"/>
  <c r="D1055" i="1"/>
  <c r="C1055" i="1"/>
  <c r="D1054" i="1"/>
  <c r="C1054" i="1"/>
  <c r="D1053" i="1"/>
  <c r="C1053" i="1"/>
  <c r="D1052" i="1"/>
  <c r="C1052" i="1"/>
  <c r="D1051" i="1"/>
  <c r="C1051" i="1"/>
  <c r="D1050" i="1"/>
  <c r="C1050" i="1"/>
  <c r="D1049" i="1"/>
  <c r="C1049" i="1"/>
  <c r="D1048" i="1"/>
  <c r="C1048" i="1"/>
  <c r="D1047" i="1"/>
  <c r="C1047" i="1"/>
  <c r="D1046" i="1"/>
  <c r="C1046" i="1"/>
  <c r="D1045" i="1"/>
  <c r="C1045" i="1"/>
  <c r="D1044" i="1"/>
  <c r="C1044" i="1"/>
  <c r="D1043" i="1"/>
  <c r="C1043" i="1"/>
  <c r="D1042" i="1"/>
  <c r="C1042" i="1"/>
  <c r="D1041" i="1"/>
  <c r="C1041" i="1"/>
  <c r="D1040" i="1"/>
  <c r="C1040" i="1"/>
  <c r="D1039" i="1"/>
  <c r="C1039" i="1"/>
  <c r="D1038" i="1"/>
  <c r="C1038" i="1"/>
  <c r="D1037" i="1"/>
  <c r="C1037" i="1"/>
  <c r="D1036" i="1"/>
  <c r="C1036" i="1"/>
  <c r="D1035" i="1"/>
  <c r="C1035" i="1"/>
  <c r="D1034" i="1"/>
  <c r="C1034" i="1"/>
  <c r="D1033" i="1"/>
  <c r="C1033" i="1"/>
  <c r="D1032" i="1"/>
  <c r="C1032" i="1"/>
  <c r="D1031" i="1"/>
  <c r="C1031" i="1"/>
  <c r="D1030" i="1"/>
  <c r="C1030" i="1"/>
  <c r="D1029" i="1"/>
  <c r="C1029" i="1"/>
  <c r="D1028" i="1"/>
  <c r="C1028" i="1"/>
  <c r="D1027" i="1"/>
  <c r="C1027" i="1"/>
  <c r="D1026" i="1"/>
  <c r="C1026" i="1"/>
  <c r="D1025" i="1"/>
  <c r="C1025" i="1"/>
  <c r="D1024" i="1"/>
  <c r="C1024" i="1"/>
  <c r="D1023" i="1"/>
  <c r="C1023" i="1"/>
  <c r="D1022" i="1"/>
  <c r="C1022" i="1"/>
  <c r="D1021" i="1"/>
  <c r="C1021" i="1"/>
  <c r="D1020" i="1"/>
  <c r="C1020" i="1"/>
  <c r="D1019" i="1"/>
  <c r="C1019" i="1"/>
  <c r="D1018" i="1"/>
  <c r="C1018" i="1"/>
  <c r="D1017" i="1"/>
  <c r="C1017" i="1"/>
  <c r="D1016" i="1"/>
  <c r="C1016" i="1"/>
  <c r="D1015" i="1"/>
  <c r="C1015" i="1"/>
  <c r="D1014" i="1"/>
  <c r="C1014" i="1"/>
  <c r="D1013" i="1"/>
  <c r="C1013" i="1"/>
  <c r="D1012" i="1"/>
  <c r="C1012" i="1"/>
  <c r="D1011" i="1"/>
  <c r="C1011" i="1"/>
  <c r="D1010" i="1"/>
  <c r="C1010" i="1"/>
  <c r="D1009" i="1"/>
  <c r="C1009" i="1"/>
  <c r="D1008" i="1"/>
  <c r="C1008" i="1"/>
  <c r="D1007" i="1"/>
  <c r="C1007" i="1"/>
  <c r="D1006" i="1"/>
  <c r="C1006" i="1"/>
  <c r="D1005" i="1"/>
  <c r="C1005" i="1"/>
  <c r="D1004" i="1"/>
  <c r="C1004" i="1"/>
  <c r="D1003" i="1"/>
  <c r="C1003" i="1"/>
  <c r="D1002" i="1"/>
  <c r="C1002" i="1"/>
  <c r="D1001" i="1"/>
  <c r="C1001" i="1"/>
  <c r="D1000" i="1"/>
  <c r="C1000" i="1"/>
  <c r="D999" i="1"/>
  <c r="C999" i="1"/>
  <c r="D998" i="1"/>
  <c r="C998" i="1"/>
  <c r="D997" i="1"/>
  <c r="C997" i="1"/>
  <c r="D996" i="1"/>
  <c r="C996" i="1"/>
  <c r="D995" i="1"/>
  <c r="C995" i="1"/>
  <c r="D994" i="1"/>
  <c r="C994" i="1"/>
  <c r="D993" i="1"/>
  <c r="C993" i="1"/>
  <c r="D992" i="1"/>
  <c r="C992" i="1"/>
  <c r="D991" i="1"/>
  <c r="C991" i="1"/>
  <c r="D990" i="1"/>
  <c r="C990" i="1"/>
  <c r="D989" i="1"/>
  <c r="C989" i="1"/>
  <c r="D988" i="1"/>
  <c r="C988" i="1"/>
  <c r="D987" i="1"/>
  <c r="C987" i="1"/>
  <c r="D986" i="1"/>
  <c r="C986" i="1"/>
  <c r="D985" i="1"/>
  <c r="C985" i="1"/>
  <c r="D984" i="1"/>
  <c r="C984" i="1"/>
  <c r="D983" i="1"/>
  <c r="C983" i="1"/>
  <c r="D982" i="1"/>
  <c r="C982" i="1"/>
  <c r="D981" i="1"/>
  <c r="C981" i="1"/>
  <c r="D980" i="1"/>
  <c r="C980" i="1"/>
  <c r="D979" i="1"/>
  <c r="C979" i="1"/>
  <c r="D978" i="1"/>
  <c r="C978" i="1"/>
  <c r="D977" i="1"/>
  <c r="C977" i="1"/>
  <c r="D976" i="1"/>
  <c r="C976" i="1"/>
  <c r="D975" i="1"/>
  <c r="C975" i="1"/>
  <c r="D974" i="1"/>
  <c r="C974" i="1"/>
  <c r="D973" i="1"/>
  <c r="C973" i="1"/>
  <c r="D972" i="1"/>
  <c r="C972" i="1"/>
  <c r="D971" i="1"/>
  <c r="C971" i="1"/>
  <c r="D970" i="1"/>
  <c r="C970" i="1"/>
  <c r="D969" i="1"/>
  <c r="C969" i="1"/>
  <c r="D968" i="1"/>
  <c r="C968" i="1"/>
  <c r="D967" i="1"/>
  <c r="C967" i="1"/>
  <c r="D966" i="1"/>
  <c r="C966" i="1"/>
  <c r="D965" i="1"/>
  <c r="C965" i="1"/>
  <c r="D964" i="1"/>
  <c r="C964" i="1"/>
  <c r="D963" i="1"/>
  <c r="C963" i="1"/>
  <c r="D962" i="1"/>
  <c r="C962" i="1"/>
  <c r="D961" i="1"/>
  <c r="C961" i="1"/>
  <c r="D960" i="1"/>
  <c r="C960" i="1"/>
  <c r="D959" i="1"/>
  <c r="C959" i="1"/>
  <c r="D958" i="1"/>
  <c r="C958" i="1"/>
  <c r="D957" i="1"/>
  <c r="C957" i="1"/>
  <c r="D956" i="1"/>
  <c r="C956" i="1"/>
  <c r="D955" i="1"/>
  <c r="C955" i="1"/>
  <c r="D954" i="1"/>
  <c r="C954" i="1"/>
  <c r="D953" i="1"/>
  <c r="C953" i="1"/>
  <c r="D952" i="1"/>
  <c r="C952" i="1"/>
  <c r="D951" i="1"/>
  <c r="C951" i="1"/>
  <c r="D950" i="1"/>
  <c r="C950" i="1"/>
  <c r="D949" i="1"/>
  <c r="C949" i="1"/>
  <c r="D948" i="1"/>
  <c r="C948" i="1"/>
  <c r="D947" i="1"/>
  <c r="C947" i="1"/>
  <c r="D946" i="1"/>
  <c r="C946" i="1"/>
  <c r="D945" i="1"/>
  <c r="C945" i="1"/>
  <c r="D944" i="1"/>
  <c r="C944" i="1"/>
  <c r="D943" i="1"/>
  <c r="C943" i="1"/>
  <c r="D942" i="1"/>
  <c r="C942" i="1"/>
  <c r="D941" i="1"/>
  <c r="C941" i="1"/>
  <c r="D940" i="1"/>
  <c r="C940" i="1"/>
  <c r="D939" i="1"/>
  <c r="C939" i="1"/>
  <c r="D938" i="1"/>
  <c r="C938" i="1"/>
  <c r="D937" i="1"/>
  <c r="C937" i="1"/>
  <c r="D936" i="1"/>
  <c r="C936" i="1"/>
  <c r="D935" i="1"/>
  <c r="C935" i="1"/>
  <c r="D934" i="1"/>
  <c r="C934" i="1"/>
  <c r="D933" i="1"/>
  <c r="C933" i="1"/>
  <c r="D932" i="1"/>
  <c r="C932" i="1"/>
  <c r="D931" i="1"/>
  <c r="C931" i="1"/>
  <c r="D930" i="1"/>
  <c r="C930" i="1"/>
  <c r="D929" i="1"/>
  <c r="C929" i="1"/>
  <c r="D928" i="1"/>
  <c r="C928" i="1"/>
  <c r="D927" i="1"/>
  <c r="C927" i="1"/>
  <c r="D926" i="1"/>
  <c r="C926" i="1"/>
  <c r="D925" i="1"/>
  <c r="C925" i="1"/>
  <c r="D924" i="1"/>
  <c r="C924" i="1"/>
  <c r="D923" i="1"/>
  <c r="C923" i="1"/>
  <c r="D922" i="1"/>
  <c r="C922" i="1"/>
  <c r="D921" i="1"/>
  <c r="C921" i="1"/>
  <c r="D920" i="1"/>
  <c r="C920" i="1"/>
  <c r="D919" i="1"/>
  <c r="C919" i="1"/>
  <c r="D918" i="1"/>
  <c r="C918" i="1"/>
  <c r="D917" i="1"/>
  <c r="C917" i="1"/>
  <c r="D916" i="1"/>
  <c r="C916" i="1"/>
  <c r="D915" i="1"/>
  <c r="C915" i="1"/>
  <c r="D914" i="1"/>
  <c r="C914" i="1"/>
  <c r="D913" i="1"/>
  <c r="C913" i="1"/>
  <c r="D912" i="1"/>
  <c r="C912" i="1"/>
  <c r="D911" i="1"/>
  <c r="C911" i="1"/>
  <c r="D910" i="1"/>
  <c r="C910" i="1"/>
  <c r="D909" i="1"/>
  <c r="C909" i="1"/>
  <c r="D908" i="1"/>
  <c r="C908" i="1"/>
  <c r="D907" i="1"/>
  <c r="C907" i="1"/>
  <c r="D906" i="1"/>
  <c r="C906" i="1"/>
  <c r="D905" i="1"/>
  <c r="C905" i="1"/>
  <c r="D904" i="1"/>
  <c r="C904" i="1"/>
  <c r="D903" i="1"/>
  <c r="C903" i="1"/>
  <c r="D902" i="1"/>
  <c r="C902" i="1"/>
  <c r="D901" i="1"/>
  <c r="C901" i="1"/>
  <c r="D900" i="1"/>
  <c r="C900" i="1"/>
  <c r="D899" i="1"/>
  <c r="C899" i="1"/>
  <c r="D898" i="1"/>
  <c r="C898" i="1"/>
  <c r="D897" i="1"/>
  <c r="C897" i="1"/>
  <c r="D896" i="1"/>
  <c r="C896" i="1"/>
  <c r="D895" i="1"/>
  <c r="C895" i="1"/>
  <c r="D894" i="1"/>
  <c r="C894" i="1"/>
  <c r="D893" i="1"/>
  <c r="C893" i="1"/>
  <c r="D892" i="1"/>
  <c r="C892" i="1"/>
  <c r="D891" i="1"/>
  <c r="C891" i="1"/>
  <c r="D890" i="1"/>
  <c r="C890" i="1"/>
  <c r="D889" i="1"/>
  <c r="C889" i="1"/>
  <c r="D888" i="1"/>
  <c r="C888" i="1"/>
  <c r="D887" i="1"/>
  <c r="C887" i="1"/>
  <c r="D886" i="1"/>
  <c r="C886" i="1"/>
  <c r="D885" i="1"/>
  <c r="C885" i="1"/>
  <c r="D884" i="1"/>
  <c r="C884" i="1"/>
  <c r="D883" i="1"/>
  <c r="C883" i="1"/>
  <c r="D882" i="1"/>
  <c r="C882" i="1"/>
  <c r="D881" i="1"/>
  <c r="C881" i="1"/>
  <c r="D880" i="1"/>
  <c r="C880" i="1"/>
  <c r="D879" i="1"/>
  <c r="C879" i="1"/>
  <c r="D878" i="1"/>
  <c r="C878" i="1"/>
  <c r="D877" i="1"/>
  <c r="C877" i="1"/>
  <c r="D876" i="1"/>
  <c r="C876" i="1"/>
  <c r="D875" i="1"/>
  <c r="C875" i="1"/>
  <c r="D874" i="1"/>
  <c r="C874" i="1"/>
  <c r="D873" i="1"/>
  <c r="C873" i="1"/>
  <c r="D872" i="1"/>
  <c r="C872" i="1"/>
  <c r="D871" i="1"/>
  <c r="C871" i="1"/>
  <c r="D870" i="1"/>
  <c r="C870" i="1"/>
  <c r="D869" i="1"/>
  <c r="C869" i="1"/>
  <c r="D868" i="1"/>
  <c r="C868" i="1"/>
  <c r="D867" i="1"/>
  <c r="C867" i="1"/>
  <c r="D866" i="1"/>
  <c r="C866" i="1"/>
  <c r="D865" i="1"/>
  <c r="C865" i="1"/>
  <c r="D864" i="1"/>
  <c r="C864" i="1"/>
  <c r="D863" i="1"/>
  <c r="C863" i="1"/>
  <c r="D862" i="1"/>
  <c r="C862" i="1"/>
  <c r="D861" i="1"/>
  <c r="C861" i="1"/>
  <c r="D860" i="1"/>
  <c r="C860" i="1"/>
  <c r="D859" i="1"/>
  <c r="C859" i="1"/>
  <c r="D858" i="1"/>
  <c r="C858" i="1"/>
  <c r="D857" i="1"/>
  <c r="C857" i="1"/>
  <c r="D856" i="1"/>
  <c r="C856" i="1"/>
  <c r="D855" i="1"/>
  <c r="C855" i="1"/>
  <c r="D854" i="1"/>
  <c r="C854" i="1"/>
  <c r="D853" i="1"/>
  <c r="C853" i="1"/>
  <c r="D852" i="1"/>
  <c r="C852" i="1"/>
  <c r="D851" i="1"/>
  <c r="C851" i="1"/>
  <c r="D850" i="1"/>
  <c r="C850" i="1"/>
  <c r="D849" i="1"/>
  <c r="C849" i="1"/>
  <c r="D848" i="1"/>
  <c r="C848" i="1"/>
  <c r="D847" i="1"/>
  <c r="C847" i="1"/>
  <c r="D846" i="1"/>
  <c r="C846" i="1"/>
  <c r="D845" i="1"/>
  <c r="C845" i="1"/>
  <c r="D844" i="1"/>
  <c r="C844" i="1"/>
  <c r="D843" i="1"/>
  <c r="C843" i="1"/>
  <c r="D842" i="1"/>
  <c r="C842" i="1"/>
  <c r="D841" i="1"/>
  <c r="C841" i="1"/>
  <c r="D840" i="1"/>
  <c r="C840" i="1"/>
  <c r="D839" i="1"/>
  <c r="C839" i="1"/>
  <c r="D838" i="1"/>
  <c r="C838" i="1"/>
  <c r="D837" i="1"/>
  <c r="C837" i="1"/>
  <c r="D836" i="1"/>
  <c r="C836" i="1"/>
  <c r="D835" i="1"/>
  <c r="C835" i="1"/>
  <c r="D834" i="1"/>
  <c r="C834" i="1"/>
  <c r="D833" i="1"/>
  <c r="C833" i="1"/>
  <c r="D832" i="1"/>
  <c r="C832" i="1"/>
  <c r="D831" i="1"/>
  <c r="C831" i="1"/>
  <c r="D830" i="1"/>
  <c r="C830" i="1"/>
  <c r="D829" i="1"/>
  <c r="C829" i="1"/>
  <c r="D828" i="1"/>
  <c r="C828" i="1"/>
  <c r="D827" i="1"/>
  <c r="C827" i="1"/>
  <c r="D826" i="1"/>
  <c r="C826" i="1"/>
  <c r="D825" i="1"/>
  <c r="C825" i="1"/>
  <c r="D824" i="1"/>
  <c r="C824" i="1"/>
  <c r="D823" i="1"/>
  <c r="C823" i="1"/>
  <c r="D822" i="1"/>
  <c r="C822" i="1"/>
  <c r="D821" i="1"/>
  <c r="C821" i="1"/>
  <c r="D820" i="1"/>
  <c r="C820" i="1"/>
  <c r="D819" i="1"/>
  <c r="C819" i="1"/>
  <c r="D818" i="1"/>
  <c r="C818" i="1"/>
  <c r="D817" i="1"/>
  <c r="C817" i="1"/>
  <c r="D816" i="1"/>
  <c r="C816" i="1"/>
  <c r="D815" i="1"/>
  <c r="C815" i="1"/>
  <c r="D814" i="1"/>
  <c r="C814" i="1"/>
  <c r="D813" i="1"/>
  <c r="C813" i="1"/>
  <c r="D812" i="1"/>
  <c r="C812" i="1"/>
  <c r="D811" i="1"/>
  <c r="C811" i="1"/>
  <c r="D810" i="1"/>
  <c r="C810" i="1"/>
  <c r="D809" i="1"/>
  <c r="C809" i="1"/>
  <c r="D808" i="1"/>
  <c r="C808" i="1"/>
  <c r="D807" i="1"/>
  <c r="C807" i="1"/>
  <c r="D806" i="1"/>
  <c r="C806" i="1"/>
  <c r="D805" i="1"/>
  <c r="C805" i="1"/>
  <c r="D804" i="1"/>
  <c r="C804" i="1"/>
  <c r="D803" i="1"/>
  <c r="C803" i="1"/>
  <c r="D802" i="1"/>
  <c r="C802" i="1"/>
  <c r="D801" i="1"/>
  <c r="C801" i="1"/>
  <c r="D800" i="1"/>
  <c r="C800" i="1"/>
  <c r="D799" i="1"/>
  <c r="C799" i="1"/>
  <c r="D798" i="1"/>
  <c r="C798" i="1"/>
  <c r="D797" i="1"/>
  <c r="C797" i="1"/>
  <c r="D796" i="1"/>
  <c r="C796" i="1"/>
  <c r="D795" i="1"/>
  <c r="C795" i="1"/>
  <c r="D794" i="1"/>
  <c r="C794" i="1"/>
  <c r="D793" i="1"/>
  <c r="C793" i="1"/>
  <c r="D792" i="1"/>
  <c r="C792" i="1"/>
  <c r="D791" i="1"/>
  <c r="C791" i="1"/>
  <c r="D790" i="1"/>
  <c r="C790" i="1"/>
  <c r="D789" i="1"/>
  <c r="C789" i="1"/>
  <c r="D788" i="1"/>
  <c r="C788" i="1"/>
  <c r="D787" i="1"/>
  <c r="C787" i="1"/>
  <c r="D786" i="1"/>
  <c r="C786" i="1"/>
  <c r="D785" i="1"/>
  <c r="C785" i="1"/>
  <c r="D784" i="1"/>
  <c r="C784" i="1"/>
  <c r="D783" i="1"/>
  <c r="C783" i="1"/>
  <c r="D782" i="1"/>
  <c r="C782" i="1"/>
  <c r="D781" i="1"/>
  <c r="C781" i="1"/>
  <c r="D780" i="1"/>
  <c r="C780" i="1"/>
  <c r="D779" i="1"/>
  <c r="C779" i="1"/>
  <c r="D778" i="1"/>
  <c r="C778" i="1"/>
  <c r="D777" i="1"/>
  <c r="C777" i="1"/>
  <c r="D776" i="1"/>
  <c r="C776" i="1"/>
  <c r="D775" i="1"/>
  <c r="C775" i="1"/>
  <c r="D774" i="1"/>
  <c r="C774" i="1"/>
  <c r="D773" i="1"/>
  <c r="C773" i="1"/>
  <c r="D772" i="1"/>
  <c r="C772" i="1"/>
  <c r="D771" i="1"/>
  <c r="C771" i="1"/>
  <c r="D770" i="1"/>
  <c r="C770" i="1"/>
  <c r="D769" i="1"/>
  <c r="C769" i="1"/>
  <c r="D768" i="1"/>
  <c r="C768" i="1"/>
  <c r="D767" i="1"/>
  <c r="C767" i="1"/>
  <c r="D766" i="1"/>
  <c r="C766" i="1"/>
  <c r="D765" i="1"/>
  <c r="C765" i="1"/>
  <c r="D764" i="1"/>
  <c r="C764" i="1"/>
  <c r="D763" i="1"/>
  <c r="C763" i="1"/>
  <c r="D762" i="1"/>
  <c r="C762" i="1"/>
  <c r="D761" i="1"/>
  <c r="C761" i="1"/>
  <c r="D760" i="1"/>
  <c r="C760" i="1"/>
  <c r="D759" i="1"/>
  <c r="C759" i="1"/>
  <c r="D758" i="1"/>
  <c r="C758" i="1"/>
  <c r="D757" i="1"/>
  <c r="C757" i="1"/>
  <c r="D756" i="1"/>
  <c r="C756" i="1"/>
  <c r="D755" i="1"/>
  <c r="C755" i="1"/>
  <c r="D754" i="1"/>
  <c r="C754" i="1"/>
  <c r="D753" i="1"/>
  <c r="C753" i="1"/>
  <c r="D752" i="1"/>
  <c r="C752" i="1"/>
  <c r="D751" i="1"/>
  <c r="C751" i="1"/>
  <c r="D750" i="1"/>
  <c r="C750" i="1"/>
  <c r="D749" i="1"/>
  <c r="C749" i="1"/>
  <c r="D748" i="1"/>
  <c r="C748" i="1"/>
  <c r="D747" i="1"/>
  <c r="C747" i="1"/>
  <c r="D746" i="1"/>
  <c r="C746" i="1"/>
  <c r="D745" i="1"/>
  <c r="C745" i="1"/>
  <c r="D744" i="1"/>
  <c r="C744" i="1"/>
  <c r="D743" i="1"/>
  <c r="C743" i="1"/>
  <c r="D742" i="1"/>
  <c r="C742" i="1"/>
  <c r="D741" i="1"/>
  <c r="C741" i="1"/>
  <c r="D740" i="1"/>
  <c r="C740" i="1"/>
  <c r="D739" i="1"/>
  <c r="C739" i="1"/>
  <c r="D738" i="1"/>
  <c r="C738" i="1"/>
  <c r="D737" i="1"/>
  <c r="C737" i="1"/>
  <c r="D736" i="1"/>
  <c r="C736" i="1"/>
  <c r="D735" i="1"/>
  <c r="C735" i="1"/>
  <c r="D734" i="1"/>
  <c r="C734" i="1"/>
  <c r="D733" i="1"/>
  <c r="C733" i="1"/>
  <c r="D732" i="1"/>
  <c r="C732" i="1"/>
  <c r="D731" i="1"/>
  <c r="C731" i="1"/>
  <c r="D730" i="1"/>
  <c r="C730" i="1"/>
  <c r="D729" i="1"/>
  <c r="C729" i="1"/>
  <c r="D728" i="1"/>
  <c r="C728" i="1"/>
  <c r="D727" i="1"/>
  <c r="C727" i="1"/>
  <c r="D726" i="1"/>
  <c r="C726" i="1"/>
  <c r="D725" i="1"/>
  <c r="C725" i="1"/>
  <c r="D724" i="1"/>
  <c r="C724" i="1"/>
  <c r="D723" i="1"/>
  <c r="C723" i="1"/>
  <c r="D722" i="1"/>
  <c r="C722" i="1"/>
  <c r="D721" i="1"/>
  <c r="C721" i="1"/>
  <c r="D720" i="1"/>
  <c r="C720" i="1"/>
  <c r="D719" i="1"/>
  <c r="C719" i="1"/>
  <c r="D718" i="1"/>
  <c r="C718" i="1"/>
  <c r="D717" i="1"/>
  <c r="C717" i="1"/>
  <c r="D716" i="1"/>
  <c r="C716" i="1"/>
  <c r="D715" i="1"/>
  <c r="C715" i="1"/>
  <c r="D714" i="1"/>
  <c r="C714" i="1"/>
  <c r="D713" i="1"/>
  <c r="C713" i="1"/>
  <c r="D712" i="1"/>
  <c r="C712" i="1"/>
  <c r="D711" i="1"/>
  <c r="C711" i="1"/>
  <c r="D710" i="1"/>
  <c r="C710" i="1"/>
  <c r="D709" i="1"/>
  <c r="C709" i="1"/>
  <c r="D708" i="1"/>
  <c r="C708" i="1"/>
  <c r="D707" i="1"/>
  <c r="C707" i="1"/>
  <c r="D706" i="1"/>
  <c r="C706" i="1"/>
  <c r="D705" i="1"/>
  <c r="C705" i="1"/>
  <c r="D704" i="1"/>
  <c r="C704" i="1"/>
  <c r="D703" i="1"/>
  <c r="C703" i="1"/>
  <c r="D702" i="1"/>
  <c r="C702"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alcChain>
</file>

<file path=xl/sharedStrings.xml><?xml version="1.0" encoding="utf-8"?>
<sst xmlns="http://schemas.openxmlformats.org/spreadsheetml/2006/main" count="42750" uniqueCount="8969">
  <si>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</si>
  <si>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</si>
  <si>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</si>
  <si>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</si>
  <si>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</si>
  <si>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</si>
  <si>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</si>
  <si>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</si>
  <si>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</si>
  <si>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</si>
  <si>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</si>
  <si>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</si>
  <si>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</si>
  <si>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</si>
  <si>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</si>
  <si>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</si>
  <si>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</si>
  <si>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</si>
  <si>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</si>
  <si>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</si>
  <si>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</si>
  <si>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</si>
  <si>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</si>
  <si>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</si>
  <si>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</si>
  <si>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</si>
  <si>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</si>
  <si>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</si>
  <si>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</si>
  <si>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</si>
  <si>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</si>
  <si>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</si>
  <si>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</si>
  <si>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</si>
  <si>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</si>
  <si>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</si>
  <si>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</si>
  <si>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</si>
  <si>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</si>
  <si>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</si>
  <si>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</si>
  <si>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</si>
  <si>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</si>
  <si>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</si>
  <si>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</si>
  <si>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</si>
  <si>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</si>
  <si>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</si>
  <si>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</si>
  <si>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</si>
  <si>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</si>
  <si>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</si>
  <si>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</si>
  <si>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</si>
  <si>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</si>
  <si>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</si>
  <si>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</si>
  <si>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</si>
  <si>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</si>
  <si>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</si>
  <si>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</si>
  <si>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</si>
  <si>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</si>
  <si>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</si>
  <si>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</si>
  <si>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</si>
  <si>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</si>
  <si>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</si>
  <si>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</si>
  <si>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</si>
  <si>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</si>
  <si>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</si>
  <si>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</si>
  <si>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</si>
  <si>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</si>
  <si>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</si>
  <si>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</si>
  <si>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</si>
  <si>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</si>
  <si>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</si>
  <si>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</si>
  <si>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</si>
  <si>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</si>
  <si>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</si>
  <si>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</si>
  <si>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</si>
  <si>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</si>
  <si>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</si>
  <si>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</si>
  <si>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</si>
  <si>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</si>
  <si>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</si>
  <si>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</si>
  <si>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</si>
  <si>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</si>
  <si>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</si>
  <si>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</si>
  <si>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</si>
  <si>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</si>
  <si>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</si>
  <si>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</si>
  <si>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</si>
  <si>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</si>
  <si>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</si>
  <si>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</si>
  <si>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</si>
  <si>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</si>
  <si>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</si>
  <si>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</si>
  <si>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</si>
  <si>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</si>
  <si>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</si>
  <si>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</si>
  <si>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</si>
  <si>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</si>
  <si>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</si>
  <si>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</si>
  <si>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</si>
  <si>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</si>
  <si>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</si>
  <si>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</si>
  <si>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</si>
  <si>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</si>
  <si>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</si>
  <si>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</si>
  <si>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</si>
  <si>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</si>
  <si>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</si>
  <si>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</si>
  <si>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</si>
  <si>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</si>
  <si>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</si>
  <si>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</si>
  <si>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</si>
  <si>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</si>
  <si>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</si>
  <si>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</si>
  <si>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</si>
  <si>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</si>
  <si>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</si>
  <si>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</si>
  <si>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</si>
  <si>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</si>
  <si>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</si>
  <si>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</si>
  <si>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</si>
  <si>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</si>
  <si>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</si>
  <si>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</si>
  <si>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</si>
  <si>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</si>
  <si>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</si>
  <si>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</si>
  <si>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</si>
  <si>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</si>
  <si>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</si>
  <si>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</si>
  <si>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</si>
  <si>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</si>
  <si>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</si>
  <si>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</si>
  <si>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</si>
  <si>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</si>
  <si>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</si>
  <si>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</si>
  <si>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</si>
  <si>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</si>
  <si>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</si>
  <si>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</si>
  <si>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</si>
  <si>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</si>
  <si>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</si>
  <si>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</si>
  <si>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</si>
  <si>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</si>
  <si>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</si>
  <si>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</si>
  <si>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</si>
  <si>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</si>
  <si>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</si>
  <si>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</si>
  <si>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</si>
  <si>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</si>
  <si>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</si>
  <si>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</si>
  <si>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</si>
  <si>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</si>
  <si>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</si>
  <si>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</si>
  <si>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</si>
  <si>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</si>
  <si>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</si>
  <si>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</si>
  <si>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</si>
  <si>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</si>
  <si>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</si>
  <si>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</si>
  <si>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</si>
  <si>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</si>
  <si>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</si>
  <si>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</si>
  <si>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</si>
  <si>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</si>
  <si>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</si>
  <si>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</si>
  <si>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</si>
  <si>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</si>
  <si>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</si>
  <si>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</si>
  <si>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</si>
  <si>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</si>
  <si>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</si>
  <si>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</si>
  <si>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</si>
  <si>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</si>
  <si>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</si>
  <si>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</si>
  <si>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</si>
  <si>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</si>
  <si>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</si>
  <si>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</si>
  <si>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</si>
  <si>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</si>
  <si>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</si>
  <si>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</si>
  <si>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</si>
  <si>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</si>
  <si>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</si>
  <si>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</si>
  <si>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</si>
  <si>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</si>
  <si>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</si>
  <si>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</si>
  <si>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</si>
  <si>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</si>
  <si>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</si>
  <si>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</si>
  <si>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</si>
  <si>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</si>
  <si>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</si>
  <si>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</si>
  <si>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</si>
  <si>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</si>
  <si>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</si>
  <si>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</si>
  <si>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</si>
  <si>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</si>
  <si>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</si>
  <si>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</si>
  <si>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</si>
  <si>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</si>
  <si>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</si>
  <si>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</si>
  <si>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</si>
  <si>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</si>
  <si>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</si>
  <si>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</si>
  <si>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</si>
  <si>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</si>
  <si>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</si>
  <si>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</si>
  <si>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</si>
  <si>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</si>
  <si>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</si>
  <si>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</si>
  <si>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</si>
  <si>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</si>
  <si>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</si>
  <si>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</si>
  <si>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</si>
  <si>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</si>
  <si>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</si>
  <si>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</si>
  <si>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</si>
  <si>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</si>
  <si>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</si>
  <si>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</si>
  <si>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</si>
  <si>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</si>
  <si>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</si>
  <si>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</si>
  <si>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</si>
  <si>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</si>
  <si>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</si>
  <si>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</si>
  <si>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</si>
  <si>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</si>
  <si>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</si>
  <si>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</si>
  <si>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</si>
  <si>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</si>
  <si>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</si>
  <si>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</si>
  <si>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</si>
  <si>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</si>
  <si>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</si>
  <si>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</si>
  <si>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</si>
  <si>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</si>
  <si>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</si>
  <si>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</si>
  <si>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</si>
  <si>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</si>
  <si>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</si>
  <si>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</si>
  <si>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</si>
  <si>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</si>
  <si>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</si>
  <si>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</si>
  <si>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</si>
  <si>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</si>
  <si>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</si>
  <si>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</si>
  <si>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</si>
  <si>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</si>
  <si>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</si>
  <si>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</si>
  <si>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</si>
  <si>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</si>
  <si>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</si>
  <si>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</si>
  <si>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</si>
  <si>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</si>
  <si>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</si>
  <si>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</si>
  <si>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</si>
  <si>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</si>
  <si>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</si>
  <si>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</si>
  <si>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</si>
  <si>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</si>
  <si>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</si>
  <si>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</si>
  <si>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</si>
  <si>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</si>
  <si>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</si>
  <si>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</si>
  <si>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</si>
  <si>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</si>
  <si>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</si>
  <si>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</si>
  <si>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</si>
  <si>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</si>
  <si>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</si>
  <si>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</si>
  <si>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</si>
  <si>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</si>
  <si>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</si>
  <si>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</si>
  <si>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</si>
  <si>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</si>
  <si>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</si>
  <si>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</si>
  <si>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</si>
  <si>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</si>
  <si>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</si>
  <si>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</si>
  <si>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</si>
  <si>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</si>
  <si>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</si>
  <si>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</si>
  <si>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</si>
  <si>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</si>
  <si>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</si>
  <si>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</si>
  <si>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</si>
  <si>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</si>
  <si>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</si>
  <si>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</si>
  <si>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</si>
  <si>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</si>
  <si>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</si>
  <si>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</si>
  <si>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</si>
  <si>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</si>
  <si>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</si>
  <si>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</si>
  <si>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</si>
  <si>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</si>
  <si>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</si>
  <si>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</si>
  <si>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</si>
  <si>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</si>
  <si>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</si>
  <si>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</si>
  <si>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</si>
  <si>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</si>
  <si>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</si>
  <si>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</si>
  <si>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</si>
  <si>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</si>
  <si>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</si>
  <si>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</si>
  <si>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</si>
  <si>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</si>
  <si>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</si>
  <si>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</si>
  <si>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</si>
  <si>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</si>
  <si>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</si>
  <si>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</si>
  <si>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</si>
  <si>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</si>
  <si>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</si>
  <si>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</si>
  <si>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</si>
  <si>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</si>
  <si>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</si>
  <si>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</si>
  <si>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</si>
  <si>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</si>
  <si>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</si>
  <si>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</si>
  <si>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</si>
  <si>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</si>
  <si>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</si>
  <si>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</si>
  <si>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</si>
  <si>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</si>
  <si>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</si>
  <si>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</si>
  <si>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</si>
  <si>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</si>
  <si>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</si>
  <si>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</si>
  <si>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</si>
  <si>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</si>
  <si>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</si>
  <si>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</si>
  <si>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</si>
  <si>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</si>
  <si>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</si>
  <si>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</si>
  <si>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</si>
  <si>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</si>
  <si>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</si>
  <si>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</si>
  <si>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</si>
  <si>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</si>
  <si>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</si>
  <si>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</si>
  <si>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</si>
  <si>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</si>
  <si>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</si>
  <si>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</si>
  <si>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</si>
  <si>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</si>
  <si>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</si>
  <si>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</si>
  <si>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</si>
  <si>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</si>
  <si>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</si>
  <si>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</si>
  <si>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</si>
  <si>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</si>
  <si>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</si>
  <si>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</si>
  <si>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</si>
  <si>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</si>
  <si>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</si>
  <si>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</si>
  <si>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</si>
  <si>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</si>
  <si>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</si>
  <si>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</si>
  <si>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</si>
  <si>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</si>
  <si>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</si>
  <si>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</si>
  <si>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</si>
  <si>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</si>
  <si>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</si>
  <si>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</si>
  <si>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</si>
  <si>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</si>
  <si>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</si>
  <si>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</si>
  <si>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</si>
  <si>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</si>
  <si>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</si>
  <si>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</si>
  <si>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</si>
  <si>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</si>
  <si>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</si>
  <si>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</si>
  <si>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</si>
  <si>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</si>
  <si>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</si>
  <si>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</si>
  <si>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</si>
  <si>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</si>
  <si>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</si>
  <si>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</si>
  <si>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</si>
  <si>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</si>
  <si>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</si>
  <si>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</si>
  <si>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</si>
  <si>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</si>
  <si>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</si>
  <si>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</si>
  <si>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</si>
  <si>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</si>
  <si>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</si>
  <si>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</si>
  <si>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</si>
  <si>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</si>
  <si>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</si>
  <si>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</si>
  <si>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</si>
  <si>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</si>
  <si>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</si>
  <si>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</si>
  <si>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</si>
  <si>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</si>
  <si>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</si>
  <si>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</si>
  <si>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</si>
  <si>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</si>
  <si>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</si>
  <si>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</si>
  <si>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</si>
  <si>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</si>
  <si>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</si>
  <si>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</si>
  <si>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</si>
  <si>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</si>
  <si>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</si>
  <si>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</si>
  <si>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</si>
  <si>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</si>
  <si>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</si>
  <si>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</si>
  <si>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</si>
  <si>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</si>
  <si>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</si>
  <si>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</si>
  <si>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</si>
  <si>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</si>
  <si>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</si>
  <si>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</si>
  <si>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</si>
  <si>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</si>
  <si>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</si>
  <si>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</si>
  <si>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</si>
  <si>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</si>
  <si>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</si>
  <si>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</si>
  <si>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</si>
  <si>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</si>
  <si>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</si>
  <si>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</si>
  <si>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</si>
  <si>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</si>
  <si>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</si>
  <si>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</si>
  <si>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</si>
  <si>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</si>
  <si>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</si>
  <si>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</si>
  <si>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</si>
  <si>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</si>
  <si>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</si>
  <si>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</si>
  <si>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</si>
  <si>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</si>
  <si>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</si>
  <si>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</si>
  <si>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</si>
  <si>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</si>
  <si>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</si>
  <si>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</si>
  <si>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</si>
  <si>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</si>
  <si>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</si>
  <si>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</si>
  <si>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</si>
  <si>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</si>
  <si>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</si>
  <si>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</si>
  <si>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</si>
  <si>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</si>
  <si>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</si>
  <si>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</si>
  <si>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</si>
  <si>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</si>
  <si>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</si>
  <si>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</si>
  <si>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</si>
  <si>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</si>
  <si>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</si>
  <si>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</si>
  <si>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</si>
  <si>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</si>
  <si>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</si>
  <si>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</si>
  <si>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</si>
  <si>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</si>
  <si>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</si>
  <si>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</si>
  <si>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</si>
  <si>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</si>
  <si>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</si>
  <si>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</si>
  <si>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</si>
  <si>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</si>
  <si>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</si>
  <si>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</si>
  <si>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</si>
  <si>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</si>
  <si>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</si>
  <si>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</si>
  <si>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</si>
  <si>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</si>
  <si>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</si>
  <si>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</si>
  <si>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</si>
  <si>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</si>
  <si>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</si>
  <si>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</si>
  <si>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</si>
  <si>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</si>
  <si>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</si>
  <si>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</si>
  <si>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</si>
  <si>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</si>
  <si>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</si>
  <si>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</si>
  <si>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</si>
  <si>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</si>
  <si>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</si>
  <si>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</si>
  <si>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</si>
  <si>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</si>
  <si>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</si>
  <si>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</si>
  <si>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</si>
  <si>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</si>
  <si>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</si>
  <si>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</si>
  <si>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</si>
  <si>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</si>
  <si>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</si>
  <si>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</si>
  <si>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</si>
  <si>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</si>
  <si>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</si>
  <si>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</si>
  <si>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</si>
  <si>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</si>
  <si>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</si>
  <si>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</si>
  <si>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</si>
  <si>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</si>
  <si>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</si>
  <si>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</si>
  <si>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</si>
  <si>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</si>
  <si>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</si>
  <si>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</si>
  <si>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</si>
  <si>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</si>
  <si>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</si>
  <si>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</si>
  <si>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</si>
  <si>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</si>
  <si>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</si>
  <si>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</si>
  <si>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</si>
  <si>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</si>
  <si>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</si>
  <si>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</si>
  <si>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</si>
  <si>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</si>
  <si>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</si>
  <si>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</si>
  <si>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</si>
  <si>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</si>
  <si>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</si>
  <si>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</si>
  <si>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</si>
  <si>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</si>
  <si>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</si>
  <si>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</si>
  <si>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</si>
  <si>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</si>
  <si>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</si>
  <si>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</si>
  <si>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</si>
  <si>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</si>
  <si>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</si>
  <si>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</si>
  <si>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</si>
  <si>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</si>
  <si>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</si>
  <si>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</si>
  <si>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</si>
  <si>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</si>
  <si>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</si>
  <si>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</si>
  <si>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</si>
  <si>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</si>
  <si>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</si>
  <si>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</si>
  <si>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</si>
  <si>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</si>
  <si>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</si>
  <si>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</si>
  <si>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</si>
  <si>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</si>
  <si>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</si>
  <si>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</si>
  <si>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</si>
  <si>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</si>
  <si>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</si>
  <si>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</si>
  <si>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</si>
  <si>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</si>
  <si>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</si>
  <si>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</si>
  <si>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</si>
  <si>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</si>
  <si>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</si>
  <si>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</si>
  <si>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</si>
  <si>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</si>
  <si>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</si>
  <si>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</si>
  <si>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</si>
  <si>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</si>
  <si>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</si>
  <si>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</si>
  <si>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</si>
  <si>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</si>
  <si>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</si>
  <si>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</si>
  <si>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</si>
  <si>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</si>
  <si>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</si>
  <si>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</si>
  <si>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</si>
  <si>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</si>
  <si>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</si>
  <si>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</si>
  <si>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</si>
  <si>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</si>
  <si>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</si>
  <si>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</si>
  <si>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</si>
  <si>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</si>
  <si>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</si>
  <si>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</si>
  <si>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</si>
  <si>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</si>
  <si>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</si>
  <si>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</si>
  <si>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</si>
  <si>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</si>
  <si>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</si>
  <si>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</si>
  <si>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</si>
  <si>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</si>
  <si>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</si>
  <si>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</si>
  <si>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</si>
  <si>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</si>
  <si>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</si>
  <si>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</si>
  <si>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</si>
  <si>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</si>
  <si>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</si>
  <si>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</si>
  <si>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</si>
  <si>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</si>
  <si>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</si>
  <si>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</si>
  <si>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</si>
  <si>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</si>
  <si>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</si>
  <si>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</si>
  <si>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</si>
  <si>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</si>
  <si>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</si>
  <si>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</si>
  <si>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</si>
  <si>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</si>
  <si>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</si>
  <si>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</si>
  <si>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</si>
  <si>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</si>
  <si>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</si>
  <si>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</si>
  <si>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</si>
  <si>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</si>
  <si>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</si>
  <si>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</si>
  <si>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</si>
  <si>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</si>
  <si>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</si>
  <si>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</si>
  <si>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</si>
  <si>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</si>
  <si>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</si>
  <si>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</si>
  <si>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</si>
  <si>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</si>
  <si>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</si>
  <si>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</si>
  <si>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</si>
  <si>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</si>
  <si>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</si>
  <si>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</si>
  <si>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</si>
  <si>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</si>
  <si>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</si>
  <si>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</si>
  <si>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</si>
  <si>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</si>
  <si>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</si>
  <si>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</si>
  <si>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</si>
  <si>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</si>
  <si>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</si>
  <si>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</si>
  <si>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</si>
  <si>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</si>
  <si>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</si>
  <si>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</si>
  <si>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</si>
  <si>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</si>
  <si>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</si>
  <si>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</si>
  <si>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</si>
  <si>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</si>
  <si>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</si>
  <si>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</si>
  <si>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</si>
  <si>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</si>
  <si>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</si>
  <si>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</si>
  <si>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</si>
  <si>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</si>
  <si>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</si>
  <si>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</si>
  <si>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</si>
  <si>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</si>
  <si>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</si>
  <si>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</si>
  <si>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</si>
  <si>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</si>
  <si>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</si>
  <si>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</si>
  <si>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</si>
  <si>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</si>
  <si>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</si>
  <si>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</si>
  <si>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</si>
  <si>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</si>
  <si>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</si>
  <si>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</si>
  <si>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</si>
  <si>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</si>
  <si>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</si>
  <si>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</si>
  <si>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</si>
  <si>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</si>
  <si>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</si>
  <si>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</si>
  <si>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</si>
  <si>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</si>
  <si>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</si>
  <si>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</si>
  <si>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</si>
  <si>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</si>
  <si>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</si>
  <si>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</si>
  <si>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</si>
  <si>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</si>
  <si>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</si>
  <si>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</si>
  <si>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</si>
  <si>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</si>
  <si>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</si>
  <si>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</si>
  <si>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</si>
  <si>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</si>
  <si>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</si>
  <si>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</si>
  <si>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</si>
  <si>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</si>
  <si>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</si>
  <si>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</si>
  <si>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</si>
  <si>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</si>
  <si>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</si>
  <si>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</si>
  <si>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</si>
  <si>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</si>
  <si>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</si>
  <si>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</si>
  <si>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</si>
  <si>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</si>
  <si>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</si>
  <si>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</si>
  <si>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</si>
  <si>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</si>
  <si>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</si>
  <si>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</si>
  <si>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</si>
  <si>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</si>
  <si>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</si>
  <si>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</si>
  <si>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</si>
  <si>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</si>
  <si>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</si>
  <si>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</si>
  <si>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</si>
  <si>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</si>
  <si>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</si>
  <si>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</si>
  <si>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</si>
  <si>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</si>
  <si>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</si>
  <si>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</si>
  <si>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</si>
  <si>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</si>
  <si>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</si>
  <si>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</si>
  <si>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</si>
  <si>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</si>
  <si>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</si>
  <si>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</si>
  <si>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</si>
  <si>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</si>
  <si>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</si>
  <si>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</si>
  <si>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</si>
  <si>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</si>
  <si>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</si>
  <si>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</si>
  <si>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</si>
  <si>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</si>
  <si>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</si>
  <si>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</si>
  <si>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</si>
  <si>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</si>
  <si>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</si>
  <si>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</si>
  <si>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</si>
  <si>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</si>
  <si>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</si>
  <si>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</si>
  <si>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</si>
  <si>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</si>
  <si>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</si>
  <si>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</si>
  <si>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</si>
  <si>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</si>
  <si>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</si>
  <si>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</si>
  <si>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</si>
  <si>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</si>
  <si>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</si>
  <si>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</si>
  <si>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</si>
  <si>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</si>
  <si>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</si>
  <si>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</si>
  <si>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</si>
  <si>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</si>
  <si>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</si>
  <si>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</si>
  <si>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</si>
  <si>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</si>
  <si>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</si>
  <si>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</si>
  <si>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</si>
  <si>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</si>
  <si>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</si>
  <si>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</si>
  <si>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</si>
  <si>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</si>
  <si>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</si>
  <si>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</si>
  <si>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</si>
  <si>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</si>
  <si>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</si>
  <si>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</si>
  <si>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</si>
  <si>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</si>
  <si>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</si>
  <si>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</si>
  <si>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</si>
  <si>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</si>
  <si>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</si>
  <si>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</si>
  <si>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</si>
  <si>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</si>
  <si>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</si>
  <si>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</si>
  <si>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</si>
  <si>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</si>
  <si>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</si>
  <si>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</si>
  <si>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</si>
  <si>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</si>
  <si>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</si>
  <si>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</si>
  <si>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</si>
  <si>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</si>
  <si>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</si>
  <si>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</si>
  <si>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</si>
  <si>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</si>
  <si>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</si>
  <si>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</si>
  <si>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</si>
  <si>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</si>
  <si>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</si>
  <si>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</si>
  <si>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</si>
  <si>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</si>
  <si>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</si>
  <si>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</si>
  <si>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</si>
  <si>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</si>
  <si>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</si>
  <si>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</si>
  <si>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</si>
  <si>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</si>
  <si>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</si>
  <si>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</si>
  <si>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</si>
  <si>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</si>
  <si>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</si>
  <si>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</si>
  <si>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</si>
  <si>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</si>
  <si>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</si>
  <si>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</si>
  <si>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</si>
  <si>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</si>
  <si>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</si>
  <si>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</si>
  <si>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</si>
  <si>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</si>
  <si>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</si>
  <si>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</si>
  <si>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</si>
  <si>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</si>
  <si>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</si>
  <si>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</si>
  <si>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</si>
  <si>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</si>
  <si>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</si>
  <si>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</si>
  <si>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</si>
  <si>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</si>
  <si>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</si>
  <si>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</si>
  <si>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</si>
  <si>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</si>
  <si>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</si>
  <si>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</si>
  <si>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</si>
  <si>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</si>
  <si>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</si>
  <si>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</si>
  <si>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</si>
  <si>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</si>
  <si>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</si>
  <si>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</si>
  <si>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</si>
  <si>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</si>
  <si>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</si>
  <si>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</si>
  <si>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</si>
  <si>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</si>
  <si>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</si>
  <si>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</si>
  <si>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</si>
  <si>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</si>
  <si>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</si>
  <si>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</si>
  <si>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</si>
  <si>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</si>
  <si>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</si>
  <si>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</si>
  <si>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</si>
  <si>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</si>
  <si>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</si>
  <si>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</si>
  <si>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</si>
  <si>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</si>
  <si>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</si>
  <si>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</si>
  <si>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</si>
  <si>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</si>
  <si>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</si>
  <si>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</si>
  <si>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</si>
  <si>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</si>
  <si>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</si>
  <si>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</si>
  <si>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</si>
  <si>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</si>
  <si>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</si>
  <si>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</si>
  <si>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</si>
  <si>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</si>
  <si>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</si>
  <si>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</si>
  <si>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</si>
  <si>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</si>
  <si>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</si>
  <si>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</si>
  <si>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</si>
  <si>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</si>
  <si>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</si>
  <si>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</si>
  <si>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</si>
  <si>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</si>
  <si>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</si>
  <si>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</si>
  <si>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</si>
  <si>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</si>
  <si>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</si>
  <si>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</si>
  <si>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</si>
  <si>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</si>
  <si>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</si>
  <si>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</si>
  <si>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</si>
  <si>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</si>
  <si>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</si>
  <si>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</si>
  <si>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</si>
  <si>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</si>
  <si>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</si>
  <si>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</si>
  <si>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</si>
  <si>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</si>
  <si>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</si>
  <si>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</si>
  <si>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</si>
  <si>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</si>
  <si>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</si>
  <si>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</si>
  <si>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</si>
  <si>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</si>
  <si>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</si>
  <si>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</si>
  <si>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</si>
  <si>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</si>
  <si>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</si>
  <si>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</si>
  <si>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</si>
  <si>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</si>
  <si>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</si>
  <si>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</si>
  <si>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</si>
  <si>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</si>
  <si>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</si>
  <si>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</si>
  <si>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</si>
  <si>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</si>
  <si>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</si>
  <si>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</si>
  <si>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</si>
  <si>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</si>
  <si>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</si>
  <si>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</si>
  <si>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</si>
  <si>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</si>
  <si>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</si>
  <si>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</si>
  <si>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</si>
  <si>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</si>
  <si>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</si>
  <si>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</si>
  <si>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</si>
  <si>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</si>
  <si>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</si>
  <si>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</si>
  <si>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</si>
  <si>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</si>
  <si>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</si>
  <si>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</si>
  <si>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</si>
  <si>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</si>
  <si>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</si>
  <si>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</si>
  <si>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</si>
  <si>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</si>
  <si>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</si>
  <si>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</si>
  <si>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</si>
  <si>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</si>
  <si>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</si>
  <si>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</si>
  <si>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</si>
  <si>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</si>
  <si>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</si>
  <si>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</si>
  <si>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</si>
  <si>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</si>
  <si>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</si>
  <si>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</si>
  <si>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</si>
  <si>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</si>
  <si>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</si>
  <si>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</si>
  <si>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</si>
  <si>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</si>
  <si>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</si>
  <si>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</si>
  <si>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</si>
  <si>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</si>
  <si>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</si>
  <si>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</si>
  <si>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</si>
  <si>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</si>
  <si>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</si>
  <si>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</si>
  <si>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</si>
  <si>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</si>
  <si>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</si>
  <si>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</si>
  <si>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</si>
  <si>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</si>
  <si>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</si>
  <si>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</si>
  <si>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</si>
  <si>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</si>
  <si>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</si>
  <si>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</si>
  <si>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</si>
  <si>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</si>
  <si>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</si>
  <si>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</si>
  <si>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</si>
  <si>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</si>
  <si>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</si>
  <si>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</si>
  <si>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</si>
  <si>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</si>
  <si>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</si>
  <si>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</si>
  <si>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</si>
  <si>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</si>
  <si>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</si>
  <si>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</si>
  <si>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</si>
  <si>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</si>
  <si>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</si>
  <si>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</si>
  <si>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</si>
  <si>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</si>
  <si>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</si>
  <si>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</si>
  <si>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</si>
  <si>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</si>
  <si>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</si>
  <si>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</si>
  <si>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</si>
  <si>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</si>
  <si>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</si>
  <si>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</si>
  <si>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</si>
  <si>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</si>
  <si>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</si>
  <si>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</si>
  <si>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</si>
  <si>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</si>
  <si>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</si>
  <si>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</si>
  <si>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</si>
  <si>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</si>
  <si>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</si>
  <si>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</si>
  <si>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</si>
  <si>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</si>
  <si>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</si>
  <si>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</si>
  <si>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</si>
  <si>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</si>
  <si>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</si>
  <si>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</si>
  <si>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</si>
  <si>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</si>
  <si>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</si>
  <si>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</si>
  <si>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</si>
  <si>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</si>
  <si>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</si>
  <si>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</si>
  <si>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</si>
  <si>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</si>
  <si>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</si>
  <si>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</si>
  <si>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</si>
  <si>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</si>
  <si>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</si>
  <si>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</si>
  <si>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</si>
  <si>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</si>
  <si>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</si>
  <si>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</si>
  <si>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</si>
  <si>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</si>
  <si>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</si>
  <si>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</si>
  <si>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</si>
  <si>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</si>
  <si>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</si>
  <si>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</si>
  <si>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</si>
  <si>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</si>
  <si>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</si>
  <si>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</si>
  <si>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</si>
  <si>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</si>
  <si>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</si>
  <si>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</si>
  <si>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</si>
  <si>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</si>
  <si>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</si>
  <si>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</si>
  <si>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</si>
  <si>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</si>
  <si>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</si>
  <si>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</si>
  <si>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</si>
  <si>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</si>
  <si>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</si>
  <si>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</si>
  <si>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</si>
  <si>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</si>
  <si>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</si>
  <si>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</si>
  <si>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</si>
  <si>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</si>
  <si>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</si>
  <si>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</si>
  <si>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</si>
  <si>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</si>
  <si>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</si>
  <si>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</si>
  <si>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</si>
  <si>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</si>
  <si>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</si>
  <si>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</si>
  <si>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</si>
  <si>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</si>
  <si>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</si>
  <si>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</si>
  <si>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</si>
  <si>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</si>
  <si>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</si>
  <si>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</si>
  <si>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</si>
  <si>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</si>
  <si>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</si>
  <si>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</si>
  <si>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</si>
  <si>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</si>
  <si>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</si>
  <si>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</si>
  <si>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</si>
  <si>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</si>
  <si>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</si>
  <si>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</si>
  <si>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</si>
  <si>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</si>
  <si>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</si>
  <si>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</si>
  <si>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</si>
  <si>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</si>
  <si>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</si>
  <si>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</si>
  <si>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</si>
  <si>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</si>
  <si>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</si>
  <si>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</si>
  <si>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</si>
  <si>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</si>
  <si>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</si>
  <si>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</si>
  <si>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</si>
  <si>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</si>
  <si>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</si>
  <si>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</si>
  <si>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</si>
  <si>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</si>
  <si>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</si>
  <si>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</si>
  <si>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</si>
  <si>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</si>
  <si>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</si>
  <si>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</si>
  <si>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</si>
  <si>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</si>
  <si>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</si>
  <si>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</si>
  <si>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</si>
  <si>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</si>
  <si>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</si>
  <si>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</si>
  <si>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</si>
  <si>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</si>
  <si>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</si>
  <si>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</si>
  <si>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</si>
  <si>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</si>
  <si>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</si>
  <si>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</si>
  <si>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</si>
  <si>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</si>
  <si>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</si>
  <si>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</si>
  <si>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</si>
  <si>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</si>
  <si>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</si>
  <si>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</si>
  <si>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</si>
  <si>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</si>
  <si>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</si>
  <si>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</si>
  <si>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</si>
  <si>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</si>
  <si>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</si>
  <si>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</si>
  <si>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</si>
  <si>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</si>
  <si>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</si>
  <si>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</si>
  <si>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</si>
  <si>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</si>
  <si>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</si>
  <si>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</si>
  <si>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</si>
  <si>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</si>
  <si>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</si>
  <si>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</si>
  <si>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</si>
  <si>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</si>
  <si>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</si>
  <si>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</si>
  <si>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</si>
  <si>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</si>
  <si>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</si>
  <si>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</si>
  <si>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</si>
  <si>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</si>
  <si>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</si>
  <si>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</si>
  <si>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</si>
  <si>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</si>
  <si>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</si>
  <si>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</si>
  <si>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</si>
  <si>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</si>
  <si>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</si>
  <si>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</si>
  <si>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</si>
  <si>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</si>
  <si>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</si>
  <si>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</si>
  <si>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</si>
  <si>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</si>
  <si>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</si>
  <si>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</si>
  <si>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</si>
  <si>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</si>
  <si>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</si>
  <si>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</si>
  <si>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</si>
  <si>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</si>
  <si>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</si>
  <si>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</si>
  <si>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</si>
  <si>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</si>
  <si>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</si>
  <si>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</si>
  <si>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</si>
  <si>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</si>
  <si>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</si>
  <si>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</si>
  <si>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</si>
  <si>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</si>
  <si>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</si>
  <si>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</si>
  <si>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</si>
  <si>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</si>
  <si>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</si>
  <si>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</si>
  <si>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</si>
  <si>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</si>
  <si>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</si>
  <si>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</si>
  <si>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</si>
  <si>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</si>
  <si>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</si>
  <si>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</si>
  <si>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</si>
  <si>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</si>
  <si>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</si>
  <si>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</si>
  <si>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</si>
  <si>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</si>
  <si>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</si>
  <si>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</si>
  <si>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</si>
  <si>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</si>
  <si>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</si>
  <si>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</si>
  <si>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</si>
  <si>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</si>
  <si>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</si>
  <si>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</si>
  <si>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</si>
  <si>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</si>
  <si>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</si>
  <si>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</si>
  <si>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</si>
  <si>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</si>
  <si>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</si>
  <si>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</si>
  <si>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</si>
  <si>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</si>
  <si>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</si>
  <si>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</si>
  <si>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</si>
  <si>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</si>
  <si>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</si>
  <si>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</si>
  <si>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</si>
  <si>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</si>
  <si>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</si>
  <si>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</si>
  <si>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</si>
  <si>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</si>
  <si>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</si>
  <si>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</si>
  <si>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</si>
  <si>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</si>
  <si>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</si>
  <si>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</si>
  <si>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</si>
  <si>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</si>
  <si>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</si>
  <si>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</si>
  <si>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</si>
  <si>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</si>
  <si>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</si>
  <si>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</si>
  <si>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</si>
  <si>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</si>
  <si>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</si>
  <si>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</si>
  <si>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</si>
  <si>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</si>
  <si>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</si>
  <si>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</si>
  <si>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</si>
  <si>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</si>
  <si>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</si>
  <si>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</si>
  <si>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</si>
  <si>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</si>
  <si>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</si>
  <si>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</si>
  <si>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</si>
  <si>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</si>
  <si>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</si>
  <si>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</si>
  <si>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</si>
  <si>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</si>
  <si>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</si>
  <si>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</si>
  <si>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</si>
  <si>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</si>
  <si>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</si>
  <si>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</si>
  <si>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</si>
  <si>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</si>
  <si>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</si>
  <si>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</si>
  <si>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</si>
  <si>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</si>
  <si>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</si>
  <si>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</si>
  <si>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</si>
  <si>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</si>
  <si>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</si>
  <si>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</si>
  <si>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</si>
  <si>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</si>
  <si>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</si>
  <si>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</si>
  <si>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</si>
  <si>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</si>
  <si>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</si>
  <si>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</si>
  <si>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</si>
  <si>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</si>
  <si>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</si>
  <si>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</si>
  <si>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</si>
  <si>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</si>
  <si>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</si>
  <si>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</si>
  <si>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</si>
  <si>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</si>
  <si>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</si>
  <si>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</si>
  <si>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</si>
  <si>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</si>
  <si>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</si>
  <si>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</si>
  <si>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</si>
  <si>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</si>
  <si>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</si>
  <si>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</si>
  <si>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</si>
  <si>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</si>
  <si>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</si>
  <si>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</si>
  <si>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</si>
  <si>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</si>
  <si>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</si>
  <si>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</si>
  <si>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</si>
  <si>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</si>
  <si>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</si>
  <si>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</si>
  <si>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</si>
  <si>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</si>
  <si>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</si>
  <si>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</si>
  <si>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</si>
  <si>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</si>
  <si>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</si>
  <si>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</si>
  <si>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</si>
  <si>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</si>
  <si>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</si>
  <si>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</si>
  <si>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</si>
  <si>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</si>
  <si>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</si>
  <si>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</si>
  <si>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</si>
  <si>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</si>
  <si>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</si>
  <si>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</si>
  <si>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</si>
  <si>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</si>
  <si>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</si>
  <si>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</si>
  <si>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</si>
  <si>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</si>
  <si>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</si>
  <si>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</si>
  <si>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</si>
  <si>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</si>
  <si>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</si>
  <si>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</si>
  <si>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</si>
  <si>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</si>
  <si>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</si>
  <si>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</si>
  <si>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</si>
  <si>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</si>
  <si>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</si>
  <si>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</si>
  <si>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</si>
  <si>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</si>
  <si>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</si>
  <si>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</si>
  <si>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</si>
  <si>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</si>
  <si>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</si>
  <si>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</si>
  <si>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</si>
  <si>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</si>
  <si>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</si>
  <si>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</si>
  <si>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</si>
  <si>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</si>
  <si>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</si>
  <si>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</si>
  <si>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</si>
  <si>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</si>
  <si>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</si>
  <si>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</si>
  <si>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</si>
  <si>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</si>
  <si>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</si>
  <si>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</si>
  <si>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</si>
  <si>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</si>
  <si>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</si>
  <si>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</si>
  <si>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</si>
  <si>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</si>
  <si>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</si>
  <si>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</si>
  <si>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</si>
  <si>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</si>
  <si>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</si>
  <si>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</si>
  <si>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</si>
  <si>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</si>
  <si>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</si>
  <si>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</si>
  <si>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</si>
  <si>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</si>
  <si>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</si>
  <si>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</si>
  <si>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</si>
  <si>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</si>
  <si>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</si>
  <si>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</si>
  <si>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</si>
  <si>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</si>
  <si>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</si>
  <si>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</si>
  <si>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</si>
  <si>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</si>
  <si>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</si>
  <si>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</si>
  <si>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</si>
  <si>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</si>
  <si>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</si>
  <si>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</si>
  <si>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</si>
  <si>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</si>
  <si>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</si>
  <si>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</si>
  <si>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</si>
  <si>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</si>
  <si>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</si>
  <si>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</si>
  <si>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</si>
  <si>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</si>
  <si>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</si>
  <si>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</si>
  <si>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</si>
  <si>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</si>
  <si>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</si>
  <si>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</si>
  <si>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</si>
  <si>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</si>
  <si>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</si>
  <si>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</si>
  <si>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</si>
  <si>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</si>
  <si>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</si>
  <si>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</si>
  <si>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</si>
  <si>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</si>
  <si>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</si>
  <si>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</si>
  <si>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</si>
  <si>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</si>
  <si>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</si>
  <si>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</si>
  <si>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</si>
  <si>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</si>
  <si>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</si>
  <si>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</si>
  <si>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</si>
  <si>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</si>
  <si>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</si>
  <si>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</si>
  <si>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</si>
  <si>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</si>
  <si>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</si>
  <si>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</si>
  <si>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</si>
  <si>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</si>
  <si>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</si>
  <si>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</si>
  <si>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</si>
  <si>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</si>
  <si>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</si>
  <si>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</si>
  <si>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</si>
  <si>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</si>
  <si>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</si>
  <si>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</si>
  <si>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</si>
  <si>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</si>
  <si>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</si>
  <si>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</si>
  <si>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</si>
  <si>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</si>
  <si>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</si>
  <si>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</si>
  <si>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</si>
  <si>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</si>
  <si>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</si>
  <si>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</si>
  <si>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</si>
  <si>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</si>
  <si>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</si>
  <si>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</si>
  <si>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</si>
  <si>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</si>
  <si>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</si>
  <si>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</si>
  <si>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</si>
  <si>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</si>
  <si>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</si>
  <si>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</si>
  <si>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</si>
  <si>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</si>
  <si>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</si>
  <si>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</si>
  <si>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</si>
  <si>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</si>
  <si>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</si>
  <si>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</si>
  <si>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</si>
  <si>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</si>
  <si>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</si>
  <si>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</si>
  <si>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</si>
  <si>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</si>
  <si>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</si>
  <si>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</si>
  <si>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</si>
  <si>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</si>
  <si>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</si>
  <si>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</si>
  <si>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</si>
  <si>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</si>
  <si>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</si>
  <si>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</si>
  <si>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</si>
  <si>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</si>
  <si>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</si>
  <si>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</si>
  <si>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</si>
  <si>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</si>
  <si>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</si>
  <si>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</si>
  <si>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</si>
  <si>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</si>
  <si>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</si>
  <si>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</si>
  <si>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</si>
  <si>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</si>
  <si>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</si>
  <si>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</si>
  <si>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</si>
  <si>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</si>
  <si>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</si>
  <si>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</si>
  <si>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</si>
  <si>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</si>
  <si>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</si>
  <si>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</si>
  <si>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</si>
  <si>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</si>
  <si>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</si>
  <si>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</si>
  <si>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</si>
  <si>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</si>
  <si>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</si>
  <si>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</si>
  <si>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</si>
  <si>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</si>
  <si>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</si>
  <si>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</si>
  <si>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</si>
  <si>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</si>
  <si>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</si>
  <si>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</si>
  <si>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</si>
  <si>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</si>
  <si>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</si>
  <si>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</si>
  <si>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</si>
  <si>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</si>
  <si>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</si>
  <si>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</si>
  <si>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</si>
  <si>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</si>
  <si>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</si>
  <si>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</si>
  <si>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</si>
  <si>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</si>
  <si>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</si>
  <si>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</si>
  <si>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</si>
  <si>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</si>
  <si>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</si>
  <si>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</si>
  <si>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</si>
  <si>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</si>
  <si>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</si>
  <si>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</si>
  <si>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</si>
  <si>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</si>
  <si>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</si>
  <si>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</si>
  <si>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</si>
  <si>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</si>
  <si>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</si>
  <si>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</si>
  <si>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</si>
  <si>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</si>
  <si>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</si>
  <si>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</si>
  <si>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</si>
  <si>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</si>
  <si>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</si>
  <si>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</si>
  <si>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</si>
  <si>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</si>
  <si>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</si>
  <si>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</si>
  <si>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</si>
  <si>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</si>
  <si>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</si>
  <si>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</si>
  <si>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</si>
  <si>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</si>
  <si>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</si>
  <si>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</si>
  <si>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</si>
  <si>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</si>
  <si>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</si>
  <si>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</si>
  <si>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</si>
  <si>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</si>
  <si>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</si>
  <si>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</si>
  <si>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</si>
  <si>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</si>
  <si>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</si>
  <si>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</si>
  <si>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</si>
  <si>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</si>
  <si>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</si>
  <si>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</si>
  <si>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</si>
  <si>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</si>
  <si>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</si>
  <si>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</si>
  <si>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</si>
  <si>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</si>
  <si>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</si>
  <si>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</si>
  <si>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</si>
  <si>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</si>
  <si>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</si>
  <si>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</si>
  <si>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</si>
  <si>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</si>
  <si>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</si>
  <si>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</si>
  <si>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</si>
  <si>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</si>
  <si>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</si>
  <si>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</si>
  <si>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</si>
  <si>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</si>
  <si>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</si>
  <si>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</si>
  <si>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</si>
  <si>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</si>
  <si>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</si>
  <si>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</si>
  <si>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</si>
  <si>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</si>
  <si>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</si>
  <si>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</si>
  <si>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</si>
  <si>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</si>
  <si>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</si>
  <si>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</si>
  <si>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</si>
  <si>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</si>
  <si>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</si>
  <si>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</si>
  <si>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</si>
  <si>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</si>
  <si>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</si>
  <si>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</si>
  <si>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</si>
  <si>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</si>
  <si>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</si>
  <si>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</si>
  <si>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</si>
  <si>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</si>
  <si>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</si>
  <si>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</si>
  <si>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</si>
  <si>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</si>
  <si>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</si>
  <si>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</si>
  <si>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</si>
  <si>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</si>
  <si>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</si>
  <si>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</si>
  <si>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</si>
  <si>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</si>
  <si>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</si>
  <si>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</si>
  <si>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</si>
  <si>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</si>
  <si>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</si>
  <si>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</si>
  <si>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</si>
  <si>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</si>
  <si>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</si>
  <si>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</si>
  <si>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</si>
  <si>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</si>
  <si>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</si>
  <si>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</si>
  <si>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</si>
  <si>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</si>
  <si>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</si>
  <si>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</si>
  <si>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</si>
  <si>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</si>
  <si>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</si>
  <si>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</si>
  <si>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</si>
  <si>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</si>
  <si>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</si>
  <si>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</si>
  <si>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</si>
  <si>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</si>
  <si>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</si>
  <si>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</si>
  <si>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</si>
  <si>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</si>
  <si>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</si>
  <si>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</si>
  <si>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</si>
  <si>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</si>
  <si>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</si>
  <si>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</si>
  <si>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</si>
  <si>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</si>
  <si>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</si>
  <si>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</si>
  <si>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</si>
  <si>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</si>
  <si>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</si>
  <si>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</si>
  <si>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</si>
  <si>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</si>
  <si>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</si>
  <si>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</si>
  <si>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</si>
  <si>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</si>
  <si>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</si>
  <si>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</si>
  <si>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</si>
  <si>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</si>
  <si>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</si>
  <si>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</si>
  <si>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</si>
  <si>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</si>
  <si>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</si>
  <si>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</si>
  <si>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</si>
  <si>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</si>
  <si>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</si>
  <si>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</si>
  <si>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</si>
  <si>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</si>
  <si>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</si>
  <si>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</si>
  <si>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</si>
  <si>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</si>
  <si>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</si>
  <si>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</si>
  <si>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</si>
  <si>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</si>
  <si>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</si>
  <si>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</si>
  <si>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</si>
  <si>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</si>
  <si>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</si>
  <si>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</si>
  <si>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</si>
  <si>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</si>
  <si>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</si>
  <si>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</si>
  <si>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</si>
  <si>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</si>
  <si>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</si>
  <si>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</si>
  <si>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</si>
  <si>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</si>
  <si>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</si>
  <si>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</si>
  <si>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</si>
  <si>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</si>
  <si>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</si>
  <si>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</si>
  <si>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</si>
  <si>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</si>
  <si>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</si>
  <si>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</si>
  <si>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</si>
  <si>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</si>
  <si>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</si>
  <si>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</si>
  <si>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</si>
  <si>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</si>
  <si>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</si>
  <si>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</si>
  <si>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</si>
  <si>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</si>
  <si>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</si>
  <si>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</si>
  <si>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</si>
  <si>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</si>
  <si>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</si>
  <si>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</si>
  <si>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</si>
  <si>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</si>
  <si>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</si>
  <si>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</si>
  <si>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</si>
  <si>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</si>
  <si>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</si>
  <si>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</si>
  <si>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</si>
  <si>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</si>
  <si>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</si>
  <si>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</si>
  <si>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</si>
  <si>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</si>
  <si>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</si>
  <si>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</si>
  <si>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</si>
  <si>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</si>
  <si>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</si>
  <si>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</si>
  <si>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</si>
  <si>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</si>
  <si>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</si>
  <si>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</si>
  <si>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</si>
  <si>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</si>
  <si>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</si>
  <si>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</si>
  <si>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</si>
  <si>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</si>
  <si>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</si>
  <si>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</si>
  <si>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</si>
  <si>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</si>
  <si>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</si>
  <si>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</si>
  <si>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</si>
  <si>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</si>
  <si>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</si>
  <si>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</si>
  <si>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</si>
  <si>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</si>
  <si>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</si>
  <si>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</si>
  <si>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</si>
  <si>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</si>
  <si>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</si>
  <si>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</si>
  <si>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</si>
  <si>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</si>
  <si>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</si>
  <si>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</si>
  <si>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</si>
  <si>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</si>
  <si>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</si>
  <si>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</si>
  <si>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</si>
  <si>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</si>
  <si>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</si>
  <si>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</si>
  <si>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</si>
  <si>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</si>
  <si>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</si>
  <si>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</si>
  <si>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</si>
  <si>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</si>
  <si>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</si>
  <si>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</si>
  <si>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</si>
  <si>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</si>
  <si>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</si>
  <si>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</si>
  <si>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</si>
  <si>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</si>
  <si>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</si>
  <si>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</si>
  <si>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</si>
  <si>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</si>
  <si>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</si>
  <si>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</si>
  <si>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</si>
  <si>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</si>
  <si>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</si>
  <si>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</si>
  <si>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</si>
  <si>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</si>
  <si>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</si>
  <si>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</si>
  <si>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</si>
  <si>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</si>
  <si>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</si>
  <si>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</si>
  <si>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</si>
  <si>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</si>
  <si>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</si>
  <si>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</si>
  <si>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</si>
  <si>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</si>
  <si>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</si>
  <si>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</si>
  <si>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</si>
  <si>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</si>
  <si>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</si>
  <si>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</si>
  <si>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</si>
  <si>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</si>
  <si>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</si>
  <si>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</si>
  <si>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</si>
  <si>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</si>
  <si>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</si>
  <si>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</si>
  <si>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</si>
  <si>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</si>
  <si>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</si>
  <si>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</si>
  <si>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</si>
  <si>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</si>
  <si>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</si>
  <si>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</si>
  <si>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</si>
  <si>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</si>
  <si>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</si>
  <si>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</si>
  <si>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</si>
  <si>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</si>
  <si>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</si>
  <si>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</si>
  <si>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</si>
  <si>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</si>
  <si>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</si>
  <si>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</si>
  <si>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</si>
  <si>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</si>
  <si>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</si>
  <si>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</si>
  <si>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</si>
  <si>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</si>
  <si>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</si>
  <si>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</si>
  <si>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</si>
  <si>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</si>
  <si>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</si>
  <si>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</si>
  <si>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</si>
  <si>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</si>
  <si>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</si>
  <si>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</si>
  <si>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</si>
  <si>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</si>
  <si>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</si>
  <si>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</si>
  <si>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</si>
  <si>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</si>
  <si>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</si>
  <si>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</si>
  <si>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</si>
  <si>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</si>
  <si>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</si>
  <si>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</si>
  <si>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</si>
  <si>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</si>
  <si>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</si>
  <si>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</si>
  <si>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</si>
  <si>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</si>
  <si>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</si>
  <si>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</si>
  <si>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</si>
  <si>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</si>
  <si>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</si>
  <si>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</si>
  <si>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</si>
  <si>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</si>
  <si>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</si>
  <si>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</si>
  <si>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</si>
  <si>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</si>
  <si>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</si>
  <si>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</si>
  <si>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</si>
  <si>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</si>
  <si>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</si>
  <si>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</si>
  <si>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</si>
  <si>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</si>
  <si>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</si>
  <si>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</si>
  <si>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</si>
  <si>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</si>
  <si>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</si>
  <si>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</si>
  <si>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</si>
  <si>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</si>
  <si>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</si>
  <si>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</si>
  <si>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</si>
  <si>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</si>
  <si>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</si>
  <si>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</si>
  <si>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</si>
  <si>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</si>
  <si>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</si>
  <si>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</si>
  <si>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</si>
  <si>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</si>
  <si>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</si>
  <si>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</si>
  <si>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</si>
  <si>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</si>
  <si>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</si>
  <si>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</si>
  <si>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</si>
  <si>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</si>
  <si>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</si>
  <si>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</si>
  <si>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</si>
  <si>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</si>
  <si>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</si>
  <si>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</si>
  <si>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</si>
  <si>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</si>
  <si>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</si>
  <si>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</si>
  <si>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</si>
  <si>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</si>
  <si>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</si>
  <si>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</si>
  <si>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</si>
  <si>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</si>
  <si>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</si>
  <si>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</si>
  <si>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</si>
  <si>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</si>
  <si>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</si>
  <si>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</si>
  <si>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</si>
  <si>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</si>
  <si>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</si>
  <si>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</si>
  <si>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</si>
  <si>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</si>
  <si>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</si>
  <si>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</si>
  <si>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</si>
  <si>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</si>
  <si>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</si>
  <si>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</si>
  <si>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</si>
  <si>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</si>
  <si>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</si>
  <si>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</si>
  <si>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</si>
  <si>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</si>
  <si>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</si>
  <si>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</si>
  <si>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</si>
  <si>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</si>
  <si>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</si>
  <si>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</si>
  <si>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</si>
  <si>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</si>
  <si>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</si>
  <si>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</si>
  <si>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</si>
  <si>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</si>
  <si>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</si>
  <si>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</si>
  <si>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</si>
  <si>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</si>
  <si>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</si>
  <si>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</si>
  <si>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</si>
  <si>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</si>
  <si>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</si>
  <si>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</si>
  <si>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</si>
  <si>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</si>
  <si>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</si>
  <si>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</si>
  <si>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</si>
  <si>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</si>
  <si>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</si>
  <si>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</si>
  <si>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</si>
  <si>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</si>
  <si>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</si>
  <si>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</si>
  <si>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</si>
  <si>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</si>
  <si>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</si>
  <si>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</si>
  <si>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</si>
  <si>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</si>
  <si>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</si>
  <si>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</si>
  <si>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</si>
  <si>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</si>
  <si>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</si>
  <si>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</si>
  <si>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</si>
  <si>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</si>
  <si>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</si>
  <si>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</si>
  <si>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</si>
  <si>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</si>
  <si>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</si>
  <si>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</si>
  <si>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</si>
  <si>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</si>
  <si>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</si>
  <si>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</si>
  <si>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</si>
  <si>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</si>
  <si>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</si>
  <si>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</si>
  <si>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</si>
  <si>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</si>
  <si>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</si>
  <si>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</si>
  <si>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</si>
  <si>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</si>
  <si>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</si>
  <si>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</si>
  <si>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</si>
  <si>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</si>
  <si>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</si>
  <si>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</si>
  <si>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</si>
  <si>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</si>
  <si>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</si>
  <si>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</si>
  <si>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</si>
  <si>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</si>
  <si>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</si>
  <si>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</si>
  <si>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</si>
  <si>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</si>
  <si>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</si>
  <si>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</si>
  <si>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</si>
  <si>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</si>
  <si>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</si>
  <si>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</si>
  <si>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</si>
  <si>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</si>
  <si>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</si>
  <si>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</si>
  <si>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</si>
  <si>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</si>
  <si>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</si>
  <si>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</si>
  <si>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</si>
  <si>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</si>
  <si>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</si>
  <si>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</si>
  <si>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</si>
  <si>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</si>
  <si>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</si>
  <si>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</si>
  <si>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</si>
  <si>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</si>
  <si>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</si>
  <si>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</si>
  <si>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</si>
  <si>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</si>
  <si>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</si>
  <si>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</si>
  <si>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</si>
  <si>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</si>
  <si>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</si>
  <si>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</si>
  <si>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</si>
  <si>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</si>
  <si>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</si>
  <si>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</si>
  <si>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</si>
  <si>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</si>
  <si>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</si>
  <si>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</si>
  <si>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</si>
  <si>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</si>
  <si>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</si>
  <si>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</si>
  <si>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</si>
  <si>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</si>
  <si>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</si>
  <si>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</si>
  <si>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</si>
  <si>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</si>
  <si>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</si>
  <si>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</si>
  <si>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</si>
  <si>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</si>
  <si>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</si>
  <si>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</si>
  <si>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</si>
  <si>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</si>
  <si>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</si>
  <si>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</si>
  <si>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</si>
  <si>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</si>
  <si>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</si>
  <si>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</si>
  <si>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</si>
  <si>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</si>
  <si>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</si>
  <si>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</si>
  <si>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</si>
  <si>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</si>
  <si>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</si>
  <si>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</si>
  <si>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</si>
  <si>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</si>
  <si>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</si>
  <si>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</si>
  <si>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</si>
  <si>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</si>
  <si>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</si>
  <si>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</si>
  <si>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</si>
  <si>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</si>
  <si>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</si>
  <si>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</si>
  <si>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</si>
  <si>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</si>
  <si>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</si>
  <si>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</si>
  <si>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</si>
  <si>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</si>
  <si>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</si>
  <si>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</si>
  <si>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</si>
  <si>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</si>
  <si>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</si>
  <si>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</si>
  <si>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</si>
  <si>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</si>
  <si>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</si>
  <si>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</si>
  <si>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</si>
  <si>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</si>
  <si>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</si>
  <si>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</si>
  <si>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</si>
  <si>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</si>
  <si>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</si>
  <si>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</si>
  <si>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</si>
  <si>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</si>
  <si>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</si>
  <si>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</si>
  <si>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</si>
  <si>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</si>
  <si>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</si>
  <si>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</si>
  <si>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</si>
  <si>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</si>
  <si>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</si>
  <si>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</si>
  <si>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</si>
  <si>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</si>
  <si>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</si>
  <si>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</si>
  <si>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</si>
  <si>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</si>
  <si>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</si>
  <si>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</si>
  <si>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</si>
  <si>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</si>
  <si>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</si>
  <si>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</si>
  <si>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</si>
  <si>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</si>
  <si>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</si>
  <si>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</si>
  <si>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</si>
  <si>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</si>
  <si>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</si>
  <si>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</si>
  <si>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</si>
  <si>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</si>
  <si>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</si>
  <si>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</si>
  <si>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</si>
  <si>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</si>
  <si>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</si>
  <si>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</si>
  <si>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</si>
  <si>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</si>
  <si>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</si>
  <si>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</si>
  <si>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</si>
  <si>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</si>
  <si>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</si>
  <si>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</si>
  <si>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</si>
  <si>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</si>
  <si>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</si>
  <si>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</si>
  <si>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</si>
  <si>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</si>
  <si>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</si>
  <si>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</si>
  <si>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</si>
  <si>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</si>
  <si>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</si>
  <si>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</si>
  <si>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</si>
  <si>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</si>
  <si>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</si>
  <si>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</si>
  <si>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</si>
  <si>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</si>
  <si>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</si>
  <si>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</si>
  <si>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</si>
  <si>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</si>
  <si>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</si>
  <si>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</si>
  <si>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</si>
  <si>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</si>
  <si>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</si>
  <si>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</si>
  <si>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</si>
  <si>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</si>
  <si>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</si>
  <si>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</si>
  <si>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</si>
  <si>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</si>
  <si>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</si>
  <si>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</si>
  <si>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</si>
  <si>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</si>
  <si>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</si>
  <si>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</si>
  <si>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</si>
  <si>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</si>
  <si>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</si>
  <si>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</si>
  <si>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</si>
  <si>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</si>
  <si>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</si>
  <si>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</si>
  <si>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</si>
  <si>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</si>
  <si>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</si>
  <si>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</si>
  <si>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</si>
  <si>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</si>
  <si>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</si>
  <si>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</si>
  <si>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</si>
  <si>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</si>
  <si>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</si>
  <si>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</si>
  <si>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</si>
  <si>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</si>
  <si>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</si>
  <si>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</si>
  <si>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</si>
  <si>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</si>
  <si>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</si>
  <si>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</si>
  <si>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</si>
  <si>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</si>
  <si>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</si>
  <si>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</si>
  <si>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</si>
  <si>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</si>
  <si>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</si>
  <si>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</si>
  <si>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</si>
  <si>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</si>
  <si>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</si>
  <si>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</si>
  <si>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</si>
  <si>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</si>
  <si>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</si>
  <si>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</si>
  <si>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</si>
  <si>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</si>
  <si>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</si>
  <si>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</si>
  <si>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</si>
  <si>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</si>
  <si>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</si>
  <si>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</si>
  <si>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</si>
  <si>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</si>
  <si>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</si>
  <si>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</si>
  <si>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</si>
  <si>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</si>
  <si>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</si>
  <si>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</si>
  <si>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</si>
  <si>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</si>
  <si>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</si>
  <si>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</si>
  <si>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</si>
  <si>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</si>
  <si>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</si>
  <si>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</si>
  <si>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</si>
  <si>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</si>
  <si>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</si>
  <si>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</si>
  <si>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</si>
  <si>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</si>
  <si>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</si>
  <si>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</si>
  <si>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</si>
  <si>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</si>
  <si>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</si>
  <si>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</si>
  <si>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</si>
  <si>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</si>
  <si>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</si>
  <si>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</si>
  <si>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</si>
  <si>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</si>
  <si>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</si>
  <si>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</si>
  <si>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</si>
  <si>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</si>
  <si>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</si>
  <si>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</si>
  <si>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</si>
  <si>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</si>
  <si>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</si>
  <si>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</si>
  <si>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</si>
  <si>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</si>
  <si>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</si>
  <si>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</si>
  <si>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</si>
  <si>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</si>
  <si>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</si>
  <si>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</si>
  <si>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</si>
  <si>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</si>
  <si>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</si>
  <si>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</si>
  <si>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</si>
  <si>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</si>
  <si>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</si>
  <si>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</si>
  <si>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</si>
  <si>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</si>
  <si>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</si>
  <si>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</si>
  <si>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</si>
  <si>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</si>
  <si>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</si>
  <si>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</si>
  <si>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</si>
  <si>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</si>
  <si>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</si>
  <si>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</si>
  <si>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</si>
  <si>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</si>
  <si>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</si>
  <si>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</si>
  <si>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</si>
  <si>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</si>
  <si>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</si>
  <si>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</si>
  <si>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</si>
  <si>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</si>
  <si>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</si>
  <si>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</si>
  <si>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</si>
  <si>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</si>
  <si>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</si>
  <si>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</si>
  <si>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</si>
  <si>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</si>
  <si>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</si>
  <si>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</si>
  <si>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</si>
  <si>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</si>
  <si>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</si>
  <si>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</si>
  <si>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</si>
  <si>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</si>
  <si>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</si>
  <si>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</si>
  <si>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</si>
  <si>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</si>
  <si>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</si>
  <si>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</si>
  <si>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</si>
  <si>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</si>
  <si>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</si>
  <si>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</si>
  <si>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</si>
  <si>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</si>
  <si>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</si>
  <si>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</si>
  <si>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</si>
  <si>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</si>
  <si>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</si>
  <si>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</si>
  <si>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</si>
  <si>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</si>
  <si>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</si>
  <si>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</si>
  <si>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</si>
  <si>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</si>
  <si>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</si>
  <si>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</si>
  <si>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</si>
  <si>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</si>
  <si>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</si>
  <si>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</si>
  <si>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</si>
  <si>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</si>
  <si>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</si>
  <si>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</si>
  <si>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</si>
  <si>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</si>
  <si>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</si>
  <si>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</si>
  <si>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</si>
  <si>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</si>
  <si>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</si>
  <si>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</si>
  <si>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</si>
  <si>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</si>
  <si>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</si>
  <si>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</si>
  <si>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</si>
  <si>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</si>
  <si>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</si>
  <si>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</si>
  <si>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</si>
  <si>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</si>
  <si>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</si>
  <si>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</si>
  <si>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</si>
  <si>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</si>
  <si>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</si>
  <si>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</si>
  <si>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</si>
  <si>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</si>
  <si>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</si>
  <si>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</si>
  <si>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</si>
  <si>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</si>
  <si>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</si>
  <si>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</si>
  <si>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</si>
  <si>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</si>
  <si>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</si>
  <si>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</si>
  <si>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</si>
  <si>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</si>
  <si>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</si>
  <si>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</si>
  <si>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</si>
  <si>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</si>
  <si>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</si>
  <si>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</si>
  <si>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</si>
  <si>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</si>
  <si>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</si>
  <si>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</si>
  <si>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</si>
  <si>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</si>
  <si>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</si>
  <si>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</si>
  <si>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</si>
  <si>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</si>
  <si>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</si>
  <si>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</si>
  <si>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</si>
  <si>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</si>
  <si>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</si>
  <si>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</si>
  <si>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</si>
  <si>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</si>
  <si>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</si>
  <si>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</si>
  <si>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</si>
  <si>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</si>
  <si>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</si>
  <si>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</si>
  <si>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</si>
  <si>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</si>
  <si>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</si>
  <si>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</si>
  <si>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</si>
  <si>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</si>
  <si>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</si>
  <si>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</si>
  <si>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</si>
  <si>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</si>
  <si>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</si>
  <si>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</si>
  <si>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</si>
  <si>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</si>
  <si>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</si>
  <si>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</si>
  <si>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</si>
  <si>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</si>
  <si>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</si>
  <si>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</si>
  <si>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</si>
  <si>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</si>
  <si>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</si>
  <si>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</si>
  <si>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</si>
  <si>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</si>
  <si>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</si>
  <si>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</si>
  <si>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</si>
  <si>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</si>
  <si>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</si>
  <si>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</si>
  <si>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</si>
  <si>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</si>
  <si>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</si>
  <si>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</si>
  <si>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</si>
  <si>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</si>
  <si>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</si>
  <si>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</si>
  <si>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</si>
  <si>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</si>
  <si>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</si>
  <si>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</si>
  <si>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</si>
  <si>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</si>
  <si>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</si>
  <si>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</si>
  <si>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</si>
  <si>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</si>
  <si>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</si>
  <si>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</si>
  <si>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</si>
  <si>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</si>
  <si>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</si>
  <si>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</si>
  <si>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</si>
  <si>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</si>
  <si>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</si>
  <si>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</si>
  <si>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</si>
  <si>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</si>
  <si>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</si>
  <si>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</si>
  <si>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</si>
  <si>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</si>
  <si>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</si>
  <si>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</si>
  <si>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</si>
  <si>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</si>
  <si>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</si>
  <si>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</si>
  <si>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</si>
  <si>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</si>
  <si>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</si>
  <si>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</si>
  <si>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</si>
  <si>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</si>
  <si>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</si>
  <si>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</si>
  <si>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</si>
  <si>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</si>
  <si>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</si>
  <si>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</si>
  <si>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</si>
  <si>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</si>
  <si>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</si>
  <si>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</si>
  <si>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</si>
  <si>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</si>
  <si>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</si>
  <si>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</si>
  <si>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</si>
  <si>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</si>
  <si>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</si>
  <si>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</si>
  <si>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</si>
  <si>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</si>
  <si>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</si>
  <si>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</si>
  <si>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</si>
  <si>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</si>
  <si>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</si>
  <si>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</si>
  <si>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</si>
  <si>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</si>
  <si>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</si>
  <si>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</si>
  <si>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</si>
  <si>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</si>
  <si>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</si>
  <si>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</si>
  <si>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</si>
  <si>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</si>
  <si>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</si>
  <si>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</si>
  <si>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</si>
  <si>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</si>
  <si>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</si>
  <si>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</si>
  <si>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</si>
  <si>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</si>
  <si>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</si>
  <si>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</si>
  <si>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</si>
  <si>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</si>
  <si>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</si>
  <si>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</si>
  <si>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</si>
  <si>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</si>
  <si>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</si>
  <si>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</si>
  <si>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</si>
  <si>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</si>
  <si>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</si>
  <si>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</si>
  <si>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</si>
  <si>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</si>
  <si>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</si>
  <si>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</si>
  <si>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</si>
  <si>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</si>
  <si>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</si>
  <si>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</si>
  <si>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</si>
  <si>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</si>
  <si>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</si>
  <si>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</si>
  <si>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</si>
  <si>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</si>
  <si>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</si>
  <si>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</si>
  <si>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</si>
  <si>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</si>
  <si>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</si>
  <si>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</si>
  <si>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</si>
  <si>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</si>
  <si>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</si>
  <si>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</si>
  <si>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</si>
  <si>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</si>
  <si>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</si>
  <si>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</si>
  <si>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</si>
  <si>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</si>
  <si>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</si>
  <si>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</si>
  <si>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</si>
  <si>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</si>
  <si>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</si>
  <si>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</si>
  <si>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</si>
  <si>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</si>
  <si>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</si>
  <si>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</si>
  <si>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</si>
  <si>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</si>
  <si>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</si>
  <si>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</si>
  <si>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</si>
  <si>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</si>
  <si>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</si>
  <si>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</si>
  <si>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</si>
  <si>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</si>
  <si>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</si>
  <si>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</si>
  <si>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</si>
  <si>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</si>
  <si>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</si>
  <si>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</si>
  <si>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</si>
  <si>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</si>
  <si>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</si>
  <si>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</si>
  <si>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</si>
  <si>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</si>
  <si>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</si>
  <si>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</si>
  <si>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</si>
  <si>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</si>
  <si>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</si>
  <si>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</si>
  <si>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</si>
  <si>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</si>
  <si>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</si>
  <si>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</si>
  <si>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</si>
  <si>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</si>
  <si>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</si>
  <si>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</si>
  <si>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</si>
  <si>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</si>
  <si>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</si>
  <si>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</si>
  <si>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</si>
  <si>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</si>
  <si>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</si>
  <si>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</si>
  <si>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</si>
  <si>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</si>
  <si>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</si>
  <si>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</si>
  <si>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</si>
  <si>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</si>
  <si>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</si>
  <si>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</si>
  <si>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</si>
  <si>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</si>
  <si>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</si>
  <si>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</si>
  <si>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</si>
  <si>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</si>
  <si>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</si>
  <si>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</si>
  <si>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</si>
  <si>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</si>
  <si>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</si>
  <si>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</si>
  <si>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</si>
  <si>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</si>
  <si>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</si>
  <si>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</si>
  <si>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</si>
  <si>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</si>
  <si>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</si>
  <si>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</si>
  <si>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</si>
  <si>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</si>
  <si>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</si>
  <si>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</si>
  <si>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</si>
  <si>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</si>
  <si>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</si>
  <si>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</si>
  <si>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</si>
  <si>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</si>
  <si>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</si>
  <si>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</si>
  <si>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</si>
  <si>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</si>
  <si>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</si>
  <si>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</si>
  <si>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</si>
  <si>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</si>
  <si>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</si>
  <si>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</si>
  <si>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</si>
  <si>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</si>
  <si>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</si>
  <si>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</si>
  <si>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</si>
  <si>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</si>
  <si>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</si>
  <si>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</si>
  <si>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</si>
  <si>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</si>
  <si>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</si>
  <si>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</si>
  <si>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</si>
  <si>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</si>
  <si>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</si>
  <si>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</si>
  <si>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</si>
  <si>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</si>
  <si>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</si>
  <si>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</si>
  <si>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</si>
  <si>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</si>
  <si>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</si>
  <si>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</si>
  <si>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</si>
  <si>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</si>
  <si>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</si>
  <si>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</si>
  <si>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</si>
  <si>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</si>
  <si>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</si>
  <si>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</si>
  <si>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</si>
  <si>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</si>
  <si>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</si>
  <si>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</si>
  <si>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</si>
  <si>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</si>
  <si>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</si>
  <si>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</si>
  <si>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</si>
  <si>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</si>
  <si>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</si>
  <si>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</si>
  <si>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</si>
  <si>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</si>
  <si>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</si>
  <si>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</si>
  <si>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</si>
  <si>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</si>
  <si>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</si>
  <si>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</si>
  <si>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</si>
  <si>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</si>
  <si>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</si>
  <si>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</si>
  <si>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</si>
  <si>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</si>
  <si>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</si>
  <si>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</si>
  <si>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</si>
  <si>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</si>
  <si>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</si>
  <si>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</si>
  <si>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</si>
  <si>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</si>
  <si>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</si>
  <si>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</si>
  <si>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</si>
  <si>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</si>
  <si>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</si>
  <si>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</si>
  <si>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</si>
  <si>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</si>
  <si>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</si>
  <si>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</si>
  <si>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</si>
  <si>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</si>
  <si>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</si>
  <si>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</si>
  <si>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</si>
  <si>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</si>
  <si>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</si>
  <si>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</si>
  <si>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</si>
  <si>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</si>
  <si>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</si>
  <si>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</si>
  <si>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</si>
  <si>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</si>
  <si>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</si>
  <si>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</si>
  <si>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</si>
  <si>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</si>
  <si>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</si>
  <si>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</si>
  <si>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</si>
  <si>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</si>
  <si>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</si>
  <si>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</si>
  <si>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</si>
  <si>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</si>
  <si>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</si>
  <si>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</si>
  <si>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</si>
  <si>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</si>
  <si>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</si>
  <si>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</si>
  <si>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</si>
  <si>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</si>
  <si>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</si>
  <si>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</si>
  <si>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</si>
  <si>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</si>
  <si>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</si>
  <si>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</si>
  <si>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</si>
  <si>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</si>
  <si>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</si>
  <si>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</si>
  <si>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</si>
  <si>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</si>
  <si>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</si>
  <si>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</si>
  <si>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</si>
  <si>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</si>
  <si>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</si>
  <si>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</si>
  <si>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</si>
  <si>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</si>
  <si>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</si>
  <si>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</si>
  <si>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</si>
  <si>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</si>
  <si>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</si>
  <si>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</si>
  <si>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</si>
  <si>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</si>
  <si>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</si>
  <si>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</si>
  <si>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</si>
  <si>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</si>
  <si>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</si>
  <si>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</si>
  <si>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</si>
  <si>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</si>
  <si>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</si>
  <si>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</si>
  <si>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</si>
  <si>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</si>
  <si>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</si>
  <si>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</si>
  <si>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</si>
  <si>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</si>
  <si>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</si>
  <si>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</si>
  <si>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</si>
  <si>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</si>
  <si>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</si>
  <si>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</si>
  <si>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</si>
  <si>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</si>
  <si>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</si>
  <si>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</si>
  <si>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</si>
  <si>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</si>
  <si>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</si>
  <si>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</si>
  <si>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</si>
  <si>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</si>
  <si>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</si>
  <si>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</si>
  <si>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</si>
  <si>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</si>
  <si>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</si>
  <si>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</si>
  <si>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</si>
  <si>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</si>
  <si>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</si>
  <si>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</si>
  <si>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</si>
  <si>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</si>
  <si>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</si>
  <si>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</si>
  <si>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</si>
  <si>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</si>
  <si>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</si>
  <si>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</si>
  <si>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</si>
  <si>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</si>
  <si>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</si>
  <si>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</si>
  <si>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</si>
  <si>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</si>
  <si>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</si>
  <si>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</si>
  <si>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</si>
  <si>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</si>
  <si>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</si>
  <si>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</si>
  <si>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</si>
  <si>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</si>
  <si>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</si>
  <si>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</si>
  <si>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</si>
  <si>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</si>
  <si>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</si>
  <si>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</si>
  <si>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</si>
  <si>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</si>
  <si>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</si>
  <si>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</si>
  <si>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</si>
  <si>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</si>
  <si>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</si>
  <si>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</si>
  <si>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</si>
  <si>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</si>
  <si>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</si>
  <si>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</si>
  <si>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</si>
  <si>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</si>
  <si>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</si>
  <si>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</si>
  <si>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</si>
  <si>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</si>
  <si>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</si>
  <si>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</si>
  <si>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</si>
  <si>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</si>
  <si>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</si>
  <si>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</si>
  <si>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</si>
  <si>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</si>
  <si>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</si>
  <si>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</si>
  <si>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</si>
  <si>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</si>
  <si>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</si>
  <si>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</si>
  <si>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</si>
  <si>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</si>
  <si>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</si>
  <si>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</si>
  <si>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</si>
  <si>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</si>
  <si>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</si>
  <si>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</si>
  <si>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</si>
  <si>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</si>
  <si>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</si>
  <si>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</si>
  <si>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</si>
  <si>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</si>
  <si>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</si>
  <si>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</si>
  <si>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</si>
  <si>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</si>
  <si>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</si>
  <si>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</si>
  <si>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</si>
  <si>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</si>
  <si>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</si>
  <si>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</si>
  <si>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</si>
  <si>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</si>
  <si>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</si>
  <si>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</si>
  <si>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</si>
  <si>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</si>
  <si>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</si>
  <si>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</si>
  <si>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</si>
  <si>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</si>
  <si>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</si>
  <si>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</si>
  <si>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</si>
  <si>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</si>
  <si>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</si>
  <si>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</si>
  <si>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</si>
  <si>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</si>
  <si>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</si>
  <si>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</si>
  <si>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</si>
  <si>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</si>
  <si>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</si>
  <si>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</si>
  <si>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</si>
  <si>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</si>
  <si>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</si>
  <si>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</si>
  <si>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</si>
  <si>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</si>
  <si>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</si>
  <si>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</si>
  <si>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</si>
  <si>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</si>
  <si>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</si>
  <si>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</si>
  <si>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</si>
  <si>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</si>
  <si>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</si>
  <si>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</si>
  <si>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</si>
  <si>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</si>
  <si>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</si>
  <si>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</si>
  <si>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</si>
  <si>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</si>
  <si>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</si>
  <si>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</si>
  <si>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</si>
  <si>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</si>
  <si>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</si>
  <si>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</si>
  <si>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</si>
  <si>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</si>
  <si>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</si>
  <si>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</si>
  <si>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</si>
  <si>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</si>
  <si>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</si>
  <si>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</si>
  <si>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</si>
  <si>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</si>
  <si>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</si>
  <si>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</si>
  <si>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</si>
  <si>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</si>
  <si>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</si>
  <si>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</si>
  <si>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</si>
  <si>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</si>
  <si>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</si>
  <si>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</si>
  <si>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</si>
  <si>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</si>
  <si>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</si>
  <si>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</si>
  <si>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</si>
  <si>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</si>
  <si>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</si>
  <si>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</si>
  <si>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</si>
  <si>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</si>
  <si>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</si>
  <si>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</si>
  <si>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</si>
  <si>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</si>
  <si>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</si>
  <si>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</si>
  <si>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</si>
  <si>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</si>
  <si>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</si>
  <si>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</si>
  <si>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</si>
  <si>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</si>
  <si>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</si>
  <si>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</si>
  <si>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</si>
  <si>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</si>
  <si>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</si>
  <si>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</si>
  <si>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</si>
  <si>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</si>
  <si>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</si>
  <si>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</si>
  <si>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</si>
  <si>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</si>
  <si>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</si>
  <si>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</si>
  <si>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</si>
  <si>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</si>
  <si>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</si>
  <si>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</si>
  <si>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</si>
  <si>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</si>
  <si>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</si>
  <si>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</si>
  <si>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</si>
  <si>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</si>
  <si>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</si>
  <si>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</si>
  <si>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</si>
  <si>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</si>
  <si>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</si>
  <si>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</si>
  <si>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</si>
  <si>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</si>
  <si>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</si>
  <si>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</si>
  <si>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</si>
  <si>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</si>
  <si>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</si>
  <si>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</si>
  <si>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</si>
  <si>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</si>
  <si>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</si>
  <si>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</si>
  <si>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</si>
  <si>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</si>
  <si>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</si>
  <si>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</si>
  <si>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</si>
  <si>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</si>
  <si>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</si>
  <si>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</si>
  <si>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</si>
  <si>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</si>
  <si>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</si>
  <si>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</si>
  <si>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</si>
  <si>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</si>
  <si>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</si>
  <si>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</si>
  <si>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</si>
  <si>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</si>
  <si>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</si>
  <si>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</si>
  <si>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</si>
  <si>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</si>
  <si>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</si>
  <si>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</si>
  <si>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</si>
  <si>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</si>
  <si>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</si>
  <si>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</si>
  <si>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</si>
  <si>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</si>
  <si>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</si>
  <si>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</si>
  <si>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</si>
  <si>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</si>
  <si>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</si>
  <si>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</si>
  <si>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</si>
  <si>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</si>
  <si>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</si>
  <si>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</si>
  <si>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</si>
  <si>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</si>
  <si>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</si>
  <si>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</si>
  <si>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</si>
  <si>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</si>
  <si>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</si>
  <si>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</si>
  <si>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</si>
  <si>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</si>
  <si>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</si>
  <si>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</si>
  <si>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</si>
  <si>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</si>
  <si>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</si>
  <si>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</si>
  <si>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</si>
  <si>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</si>
  <si>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</si>
  <si>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</si>
  <si>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</si>
  <si>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</si>
  <si>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</si>
  <si>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</si>
  <si>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</si>
  <si>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</si>
  <si>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</si>
  <si>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</si>
  <si>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</si>
  <si>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</si>
  <si>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</si>
  <si>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</si>
  <si>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</si>
  <si>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</si>
  <si>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</si>
  <si>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</si>
  <si>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</si>
  <si>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</si>
  <si>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</si>
  <si>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</si>
  <si>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</si>
  <si>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</si>
  <si>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</si>
  <si>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</si>
  <si>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</si>
  <si>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</si>
  <si>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</si>
  <si>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</si>
  <si>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</si>
  <si>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</si>
  <si>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</si>
  <si>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</si>
  <si>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</si>
  <si>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</si>
  <si>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</si>
  <si>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</si>
  <si>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</si>
  <si>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</si>
  <si>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</si>
  <si>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</si>
  <si>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</si>
  <si>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</si>
  <si>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</si>
  <si>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</si>
  <si>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</si>
  <si>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</si>
  <si>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</si>
  <si>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</si>
  <si>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</si>
  <si>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</si>
  <si>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</si>
  <si>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</si>
  <si>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</si>
  <si>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</si>
  <si>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</si>
  <si>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</si>
  <si>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</si>
  <si>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</si>
  <si>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</si>
  <si>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</si>
  <si>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</si>
  <si>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</si>
  <si>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</si>
  <si>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</si>
  <si>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</si>
  <si>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</si>
  <si>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</si>
  <si>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</si>
  <si>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</si>
  <si>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</si>
  <si>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</si>
  <si>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</si>
  <si>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</si>
  <si>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</si>
  <si>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</si>
  <si>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</si>
  <si>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</si>
  <si>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</si>
  <si>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</si>
  <si>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</si>
  <si>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</si>
  <si>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</si>
  <si>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</si>
  <si>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</si>
  <si>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</si>
  <si>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</si>
  <si>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</si>
  <si>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</si>
  <si>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</si>
  <si>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</si>
  <si>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</si>
  <si>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</si>
  <si>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</si>
  <si>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</si>
  <si>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</si>
  <si>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</si>
  <si>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</si>
  <si>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</si>
  <si>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</si>
  <si>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</si>
  <si>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</si>
  <si>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</si>
  <si>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</si>
  <si>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</si>
  <si>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</si>
  <si>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</si>
  <si>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</si>
  <si>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</si>
  <si>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</si>
  <si>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</si>
  <si>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</si>
  <si>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</si>
  <si>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</si>
  <si>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</si>
  <si>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</si>
  <si>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</si>
  <si>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</si>
  <si>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</si>
  <si>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</si>
  <si>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</si>
  <si>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</si>
  <si>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</si>
  <si>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</si>
  <si>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</si>
  <si>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</si>
  <si>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</si>
  <si>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</si>
  <si>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</si>
  <si>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</si>
  <si>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</si>
  <si>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</si>
  <si>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</si>
  <si>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</si>
  <si>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</si>
  <si>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</si>
  <si>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</si>
  <si>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</si>
  <si>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</si>
  <si>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</si>
  <si>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</si>
  <si>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</si>
  <si>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</si>
  <si>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</si>
  <si>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</si>
  <si>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</si>
  <si>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</si>
  <si>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</si>
  <si>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</si>
  <si>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</si>
  <si>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</si>
  <si>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</si>
  <si>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</si>
  <si>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</si>
  <si>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</si>
  <si>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</si>
  <si>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</si>
  <si>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</si>
  <si>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</si>
  <si>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</si>
  <si>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</si>
  <si>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</si>
  <si>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</si>
  <si>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</si>
  <si>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</si>
  <si>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</si>
  <si>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</si>
  <si>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</si>
  <si>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</si>
  <si>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</si>
  <si>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</si>
  <si>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</si>
  <si>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</si>
  <si>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</si>
  <si>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</si>
  <si>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</si>
  <si>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</si>
  <si>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</si>
  <si>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</si>
  <si>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</si>
  <si>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</si>
  <si>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</si>
  <si>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</si>
  <si>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</si>
  <si>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</si>
  <si>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</si>
  <si>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</si>
  <si>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</si>
  <si>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</si>
  <si>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</si>
  <si>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</si>
  <si>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</si>
  <si>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</si>
  <si>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</si>
  <si>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</si>
  <si>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</si>
  <si>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</si>
  <si>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</si>
  <si>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</si>
  <si>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</si>
  <si>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</si>
  <si>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</si>
  <si>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</si>
  <si>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</si>
  <si>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</si>
  <si>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</si>
  <si>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</si>
  <si>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</si>
  <si>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</si>
  <si>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</si>
  <si>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</si>
  <si>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</si>
  <si>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</si>
  <si>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</si>
  <si>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</si>
  <si>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</si>
  <si>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</si>
  <si>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</si>
  <si>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</si>
  <si>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</si>
  <si>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</si>
  <si>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</si>
  <si>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</si>
  <si>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</si>
  <si>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</si>
  <si>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</si>
  <si>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</si>
  <si>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</si>
  <si>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</si>
  <si>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</si>
  <si>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</si>
  <si>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</si>
  <si>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</si>
  <si>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</si>
  <si>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</si>
  <si>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</si>
  <si>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</si>
  <si>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</si>
  <si>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</si>
  <si>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</si>
  <si>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</si>
  <si>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</si>
  <si>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</si>
  <si>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</si>
  <si>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</si>
  <si>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</si>
  <si>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</si>
  <si>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</si>
  <si>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</si>
  <si>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</si>
  <si>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</si>
  <si>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</si>
  <si>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</si>
  <si>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</si>
  <si>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</si>
  <si>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</si>
  <si>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</si>
  <si>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</si>
  <si>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</si>
  <si>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</si>
  <si>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</si>
  <si>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</si>
  <si>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</si>
  <si>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</si>
  <si>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</si>
  <si>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</si>
  <si>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</si>
  <si>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</si>
  <si>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</si>
  <si>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</si>
  <si>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</si>
  <si>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</si>
  <si>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</si>
  <si>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</si>
  <si>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</si>
  <si>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</si>
  <si>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</si>
  <si>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</si>
  <si>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</si>
  <si>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</si>
  <si>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</si>
  <si>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</si>
  <si>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</si>
  <si>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</si>
  <si>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</si>
  <si>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</si>
  <si>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</si>
  <si>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</si>
  <si>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</si>
  <si>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</si>
  <si>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</si>
  <si>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</si>
  <si>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</si>
  <si>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</si>
  <si>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</si>
  <si>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</si>
  <si>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</si>
  <si>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</si>
  <si>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</si>
  <si>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</si>
  <si>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</si>
  <si>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</si>
  <si>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</si>
  <si>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</si>
  <si>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</si>
  <si>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</si>
  <si>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</si>
  <si>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</si>
  <si>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</si>
  <si>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</si>
  <si>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</si>
  <si>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</si>
  <si>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</si>
  <si>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</si>
  <si>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</si>
  <si>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</si>
  <si>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</si>
  <si>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</si>
  <si>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</si>
  <si>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</si>
  <si>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</si>
  <si>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</si>
  <si>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</si>
  <si>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</si>
  <si>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</si>
  <si>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</si>
  <si>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</si>
  <si>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</si>
  <si>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</si>
  <si>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</si>
  <si>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</si>
  <si>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</si>
  <si>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</si>
  <si>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</si>
  <si>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</si>
  <si>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</si>
  <si>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</si>
  <si>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</si>
  <si>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</si>
  <si>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</si>
  <si>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</si>
  <si>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</si>
  <si>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</si>
  <si>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</si>
  <si>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</si>
  <si>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</si>
  <si>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</si>
  <si>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</si>
  <si>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</si>
  <si>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</si>
  <si>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</si>
  <si>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</si>
  <si>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</si>
  <si>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</si>
  <si>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</si>
  <si>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</si>
  <si>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</si>
  <si>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</si>
  <si>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</si>
  <si>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</si>
  <si>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</si>
  <si>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</si>
  <si>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</si>
  <si>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</si>
  <si>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</si>
  <si>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</si>
  <si>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</si>
  <si>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</si>
  <si>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</si>
  <si>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</si>
  <si>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</si>
  <si>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</si>
  <si>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</si>
  <si>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</si>
  <si>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</si>
  <si>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</si>
  <si>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</si>
  <si>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</si>
  <si>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</si>
  <si>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</si>
  <si>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</si>
  <si>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</si>
  <si>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</si>
  <si>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</si>
  <si>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</si>
  <si>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</si>
  <si>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</si>
  <si>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</si>
  <si>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</si>
  <si>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</si>
  <si>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</si>
  <si>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</si>
  <si>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</si>
  <si>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</si>
  <si>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</si>
  <si>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</si>
  <si>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</si>
  <si>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</si>
  <si>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</si>
  <si>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</si>
  <si>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</si>
  <si>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</si>
  <si>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</si>
  <si>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</si>
  <si>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</si>
  <si>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</si>
  <si>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</si>
  <si>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</si>
  <si>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</si>
  <si>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</si>
  <si>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</si>
  <si>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</si>
  <si>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</si>
  <si>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</si>
  <si>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</si>
  <si>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</si>
  <si>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</si>
  <si>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</si>
  <si>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</si>
  <si>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</si>
  <si>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</si>
  <si>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</si>
  <si>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</si>
  <si>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</si>
  <si>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</si>
  <si>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</si>
  <si>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</si>
  <si>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</si>
  <si>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</si>
  <si>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</si>
  <si>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</si>
  <si>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</si>
  <si>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</si>
  <si>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</si>
  <si>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</si>
  <si>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</si>
  <si>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</si>
  <si>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</si>
  <si>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</si>
  <si>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</si>
  <si>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</si>
  <si>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</si>
  <si>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</si>
  <si>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</si>
  <si>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</si>
  <si>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</si>
  <si>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</si>
  <si>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</si>
  <si>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</si>
  <si>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</si>
  <si>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</si>
  <si>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</si>
  <si>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</si>
  <si>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</si>
  <si>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</si>
  <si>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</si>
  <si>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</si>
  <si>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</si>
  <si>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</si>
  <si>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</si>
  <si>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</si>
  <si>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</si>
  <si>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</si>
  <si>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</si>
  <si>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</si>
  <si>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</si>
  <si>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</si>
  <si>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</si>
  <si>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</si>
  <si>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</si>
  <si>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</si>
  <si>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</si>
  <si>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</si>
  <si>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</si>
  <si>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</si>
  <si>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</si>
  <si>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</si>
  <si>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</si>
  <si>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</si>
  <si>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</si>
  <si>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</si>
  <si>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</si>
  <si>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</si>
  <si>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</si>
  <si>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</si>
  <si>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</si>
  <si>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</si>
  <si>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</si>
  <si>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</si>
  <si>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</si>
  <si>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</si>
  <si>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</si>
  <si>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</si>
  <si>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</si>
  <si>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</si>
  <si>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</si>
  <si>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</si>
  <si>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</si>
  <si>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</si>
  <si>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</si>
  <si>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</si>
  <si>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</si>
  <si>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</si>
  <si>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</si>
  <si>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</si>
  <si>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</si>
  <si>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</si>
  <si>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</si>
  <si>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</si>
  <si>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</si>
  <si>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</si>
  <si>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</si>
  <si>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</si>
  <si>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</si>
  <si>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</si>
  <si>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</si>
  <si>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</si>
  <si>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</si>
  <si>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</si>
  <si>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</si>
  <si>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</si>
  <si>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</si>
  <si>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</si>
  <si>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</si>
  <si>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</si>
  <si>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</si>
  <si>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</si>
  <si>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</si>
  <si>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</si>
  <si>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</si>
  <si>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</si>
  <si>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</si>
  <si>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</si>
  <si>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</si>
  <si>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</si>
  <si>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</si>
  <si>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</si>
  <si>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</si>
  <si>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</si>
  <si>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</si>
  <si>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</si>
  <si>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</si>
  <si>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</si>
  <si>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</si>
  <si>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</si>
  <si>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</si>
  <si>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</si>
  <si>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</si>
  <si>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</si>
  <si>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</si>
  <si>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</si>
  <si>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</si>
  <si>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</si>
  <si>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</si>
  <si>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</si>
  <si>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</si>
  <si>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</si>
  <si>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</si>
  <si>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</si>
  <si>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</si>
  <si>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</si>
  <si>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</si>
  <si>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</si>
  <si>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</si>
  <si>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</si>
  <si>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</si>
  <si>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</si>
  <si>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</si>
  <si>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</si>
  <si>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</si>
  <si>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</si>
  <si>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</si>
  <si>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</si>
  <si>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</si>
  <si>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</si>
  <si>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</si>
  <si>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</si>
  <si>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</si>
  <si>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</si>
  <si>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</si>
  <si>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</si>
  <si>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</si>
  <si>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</si>
  <si>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</si>
  <si>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</si>
  <si>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</si>
  <si>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</si>
  <si>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</si>
  <si>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</si>
  <si>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</si>
  <si>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</si>
  <si>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</si>
  <si>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</si>
  <si>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</si>
  <si>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</si>
  <si>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</si>
  <si>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</si>
  <si>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</si>
  <si>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</si>
  <si>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</si>
  <si>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</si>
  <si>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</si>
  <si>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</si>
  <si>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</si>
  <si>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</si>
  <si>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</si>
  <si>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</si>
  <si>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</si>
  <si>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</si>
  <si>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</si>
  <si>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</si>
  <si>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</si>
  <si>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</si>
  <si>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</si>
  <si>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</si>
  <si>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</si>
  <si>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</si>
  <si>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</si>
  <si>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</si>
  <si>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</si>
  <si>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</si>
  <si>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</si>
  <si>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</si>
  <si>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</si>
  <si>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</si>
  <si>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</si>
  <si>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</si>
  <si>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</si>
  <si>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</si>
  <si>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</si>
  <si>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</si>
  <si>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</si>
  <si>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</si>
  <si>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</si>
  <si>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</si>
  <si>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</si>
  <si>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</si>
  <si>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</si>
  <si>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</si>
  <si>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</si>
  <si>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</si>
  <si>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</si>
  <si>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</si>
  <si>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</si>
  <si>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</si>
  <si>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</si>
  <si>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</si>
  <si>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</si>
  <si>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</si>
  <si>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</si>
  <si>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</si>
  <si>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</si>
  <si>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</si>
  <si>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</si>
  <si>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</si>
  <si>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</si>
  <si>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</si>
  <si>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</si>
  <si>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</si>
  <si>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</si>
  <si>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</si>
  <si>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</si>
  <si>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</si>
  <si>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</si>
  <si>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</si>
  <si>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</si>
  <si>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</si>
  <si>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</si>
  <si>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</si>
  <si>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</si>
  <si>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</si>
  <si>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</si>
  <si>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</si>
  <si>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</si>
  <si>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</si>
  <si>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</si>
  <si>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</si>
  <si>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</si>
  <si>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</si>
  <si>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</si>
  <si>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</si>
  <si>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</si>
  <si>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</si>
  <si>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</si>
  <si>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</si>
  <si>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</si>
  <si>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</si>
  <si>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</si>
  <si>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</si>
  <si>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</si>
  <si>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</si>
  <si>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</si>
  <si>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</si>
  <si>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</si>
  <si>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</si>
  <si>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</si>
  <si>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</si>
  <si>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</si>
  <si>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</si>
  <si>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</si>
  <si>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</si>
  <si>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</si>
  <si>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</si>
  <si>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</si>
  <si>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</si>
  <si>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</si>
  <si>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</si>
  <si>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</si>
  <si>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</si>
  <si>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</si>
  <si>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</si>
  <si>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</si>
  <si>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</si>
  <si>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</si>
  <si>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</si>
  <si>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</si>
  <si>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</si>
  <si>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</si>
  <si>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</si>
  <si>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</si>
  <si>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</si>
  <si>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</si>
  <si>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</si>
  <si>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</si>
  <si>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</si>
  <si>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</si>
  <si>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</si>
  <si>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</si>
  <si>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</si>
  <si>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</si>
  <si>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</si>
  <si>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</si>
  <si>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</si>
  <si>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</si>
  <si>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</si>
  <si>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</si>
  <si>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</si>
  <si>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</si>
  <si>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</si>
  <si>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</si>
  <si>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</si>
  <si>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</si>
  <si>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</si>
  <si>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</si>
  <si>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</si>
  <si>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</si>
  <si>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</si>
  <si>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</si>
  <si>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</si>
  <si>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</si>
  <si>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</si>
  <si>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</si>
  <si>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</si>
  <si>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</si>
  <si>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</si>
  <si>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</si>
  <si>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</si>
  <si>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</si>
  <si>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</si>
  <si>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</si>
  <si>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</si>
  <si>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</si>
  <si>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</si>
  <si>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</si>
  <si>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</si>
  <si>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</si>
  <si>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</si>
  <si>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</si>
  <si>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</si>
  <si>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</si>
  <si>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</si>
  <si>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</si>
  <si>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</si>
  <si>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</si>
  <si>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</si>
  <si>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</si>
  <si>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</si>
  <si>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</si>
  <si>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</si>
  <si>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</si>
  <si>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</si>
  <si>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</si>
  <si>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</si>
  <si>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</si>
  <si>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</si>
  <si>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</si>
  <si>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</si>
  <si>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</si>
  <si>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</si>
  <si>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</si>
  <si>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</si>
  <si>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</si>
  <si>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</si>
  <si>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</si>
  <si>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</si>
  <si>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</si>
  <si>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</si>
  <si>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</si>
  <si>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</si>
  <si>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</si>
  <si>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</si>
  <si>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</si>
  <si>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</si>
  <si>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</si>
  <si>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</si>
  <si>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</si>
  <si>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</si>
  <si>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</si>
  <si>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</si>
  <si>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</si>
  <si>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</si>
  <si>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</si>
  <si>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</si>
  <si>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</si>
  <si>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</si>
  <si>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</si>
  <si>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</si>
  <si>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</si>
  <si>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</si>
  <si>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</si>
  <si>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</si>
  <si>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</si>
  <si>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</si>
  <si>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</si>
  <si>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</si>
  <si>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</si>
  <si>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</si>
  <si>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</si>
  <si>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</si>
  <si>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</si>
  <si>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</si>
  <si>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</si>
  <si>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</si>
  <si>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</si>
  <si>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</si>
  <si>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</si>
  <si>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</si>
  <si>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</si>
  <si>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</si>
  <si>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</si>
  <si>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</si>
  <si>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</si>
  <si>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</si>
  <si>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</si>
  <si>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</si>
  <si>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</si>
  <si>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</si>
  <si>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</si>
  <si>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</si>
  <si>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</si>
  <si>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</si>
  <si>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</si>
  <si>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</si>
  <si>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</si>
  <si>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</si>
  <si>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</si>
  <si>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</si>
  <si>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</si>
  <si>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</si>
  <si>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</si>
  <si>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</si>
  <si>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</si>
  <si>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</si>
  <si>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</si>
  <si>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</si>
  <si>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</si>
  <si>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</si>
  <si>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</si>
  <si>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</si>
  <si>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</si>
  <si>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</si>
  <si>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</si>
  <si>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</si>
  <si>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</si>
  <si>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</si>
  <si>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</si>
  <si>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</si>
  <si>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</si>
  <si>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</si>
  <si>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</si>
  <si>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</si>
  <si>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</si>
  <si>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</si>
  <si>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</si>
  <si>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</si>
  <si>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</si>
  <si>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</si>
  <si>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</si>
  <si>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</si>
  <si>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</si>
  <si>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</si>
  <si>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</si>
  <si>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</si>
  <si>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</si>
  <si>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</si>
  <si>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</si>
  <si>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</si>
  <si>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</si>
  <si>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</si>
  <si>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</si>
  <si>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</si>
  <si>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</si>
  <si>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</si>
  <si>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</si>
  <si>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</si>
  <si>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</si>
  <si>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</si>
  <si>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</si>
  <si>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</si>
  <si>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</si>
  <si>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</si>
  <si>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</si>
  <si>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</si>
  <si>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</si>
  <si>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</si>
  <si>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</si>
  <si>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</si>
  <si>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</si>
  <si>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</si>
  <si>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</si>
  <si>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</si>
  <si>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</si>
  <si>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</si>
  <si>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</si>
  <si>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</si>
  <si>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</si>
  <si>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</si>
  <si>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</si>
  <si>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</si>
  <si>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</si>
  <si>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</si>
  <si>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</si>
  <si>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</si>
  <si>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</si>
  <si>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</si>
  <si>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</si>
  <si>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</si>
  <si>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</si>
  <si>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</si>
  <si>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</si>
  <si>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</si>
  <si>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</si>
  <si>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</si>
  <si>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</si>
  <si>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</si>
  <si>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</si>
  <si>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</si>
  <si>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</si>
  <si>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</si>
  <si>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</si>
  <si>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</si>
  <si>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</si>
  <si>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</si>
  <si>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</si>
  <si>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</si>
  <si>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</si>
  <si>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</si>
  <si>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</si>
  <si>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</si>
  <si>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</si>
  <si>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</si>
  <si>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</si>
  <si>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</si>
  <si>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</si>
  <si>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</si>
  <si>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</si>
  <si>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</si>
  <si>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</si>
  <si>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</si>
  <si>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</si>
  <si>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</si>
  <si>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</si>
  <si>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</si>
  <si>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</si>
  <si>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</si>
  <si>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</si>
  <si>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</si>
  <si>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</si>
  <si>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</si>
  <si>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</si>
  <si>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</si>
  <si>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</si>
  <si>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</si>
  <si>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</si>
  <si>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</si>
  <si>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</si>
  <si>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</si>
  <si>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</si>
  <si>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</si>
  <si>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</si>
  <si>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</si>
  <si>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</si>
  <si>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</si>
  <si>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</si>
  <si>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</si>
  <si>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</si>
  <si>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</si>
  <si>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</si>
  <si>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</si>
  <si>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</si>
  <si>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</si>
  <si>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</si>
  <si>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</si>
  <si>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</si>
  <si>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</si>
  <si>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</si>
  <si>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</si>
  <si>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</si>
  <si>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</si>
  <si>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</si>
  <si>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</si>
  <si>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</si>
  <si>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</si>
  <si>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</si>
  <si>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</si>
  <si>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</si>
  <si>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</si>
  <si>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</si>
  <si>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</si>
  <si>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</si>
  <si>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</si>
  <si>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</si>
  <si>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</si>
  <si>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</si>
  <si>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</si>
  <si>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</si>
  <si>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</si>
  <si>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</si>
  <si>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</si>
  <si>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</si>
  <si>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</si>
  <si>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</si>
  <si>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</si>
  <si>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</si>
  <si>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</si>
  <si>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</si>
  <si>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</si>
  <si>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</si>
  <si>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</si>
  <si>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</si>
  <si>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</si>
  <si>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</si>
  <si>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</si>
  <si>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</si>
  <si>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</si>
  <si>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</si>
  <si>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</si>
  <si>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</si>
  <si>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</si>
  <si>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</si>
  <si>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</si>
  <si>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</si>
  <si>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</si>
  <si>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</si>
  <si>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</si>
  <si>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</si>
  <si>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</si>
  <si>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</si>
  <si>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</si>
  <si>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</si>
  <si>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</si>
  <si>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</si>
  <si>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</si>
  <si>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</si>
  <si>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</si>
  <si>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</si>
  <si>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</si>
  <si>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</si>
  <si>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</si>
  <si>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</si>
  <si>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</si>
  <si>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</si>
  <si>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</si>
  <si>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</si>
  <si>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</si>
  <si>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</si>
  <si>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</si>
  <si>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</si>
  <si>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</si>
  <si>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</si>
  <si>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</si>
  <si>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</si>
  <si>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</si>
  <si>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</si>
  <si>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</si>
  <si>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</si>
  <si>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</si>
  <si>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</si>
  <si>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</si>
  <si>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</si>
  <si>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</si>
  <si>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</si>
  <si>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</si>
  <si>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</si>
  <si>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</si>
  <si>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</si>
  <si>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</si>
  <si>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</si>
  <si>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</si>
  <si>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</si>
  <si>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</si>
  <si>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</si>
  <si>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</si>
  <si>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</si>
  <si>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</si>
  <si>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</si>
  <si>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</si>
  <si>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</si>
  <si>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</si>
  <si>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</si>
  <si>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</si>
  <si>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</si>
  <si>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</si>
  <si>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</si>
  <si>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</si>
  <si>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</si>
  <si>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</si>
  <si>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</si>
  <si>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</si>
  <si>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</si>
  <si>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</si>
  <si>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</si>
  <si>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</si>
  <si>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</si>
  <si>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</si>
  <si>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</si>
  <si>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</si>
  <si>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</si>
  <si>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</si>
  <si>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</si>
  <si>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</si>
  <si>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</si>
  <si>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</si>
  <si>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</si>
  <si>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</si>
  <si>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</si>
  <si>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</si>
  <si>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</si>
  <si>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</si>
  <si>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</si>
  <si>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</si>
  <si>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</si>
  <si>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</si>
  <si>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</si>
  <si>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</si>
  <si>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</si>
  <si>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</si>
  <si>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</si>
  <si>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</si>
  <si>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</si>
  <si>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</si>
  <si>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</si>
  <si>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</si>
  <si>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</si>
  <si>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</si>
  <si>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</si>
  <si>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</si>
  <si>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</si>
  <si>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</si>
  <si>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</si>
  <si>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</si>
  <si>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</si>
  <si>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</si>
  <si>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</si>
  <si>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</si>
  <si>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</si>
  <si>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</si>
  <si>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</si>
  <si>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</si>
  <si>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</si>
  <si>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</si>
  <si>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</si>
  <si>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</si>
  <si>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</si>
  <si>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</si>
  <si>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</si>
  <si>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</si>
  <si>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</si>
  <si>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</si>
  <si>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</si>
  <si>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</si>
  <si>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</si>
  <si>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</si>
  <si>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</si>
  <si>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</si>
  <si>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</si>
  <si>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</si>
  <si>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</si>
  <si>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</si>
  <si>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</si>
  <si>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</si>
  <si>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</si>
  <si>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</si>
  <si>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</si>
  <si>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</si>
  <si>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</si>
  <si>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</si>
  <si>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</si>
  <si>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</si>
  <si>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</si>
  <si>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</si>
  <si>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</si>
  <si>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</si>
  <si>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</si>
  <si>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</si>
  <si>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</si>
  <si>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</si>
  <si>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</si>
  <si>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</si>
  <si>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</si>
  <si>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</si>
  <si>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</si>
  <si>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</si>
  <si>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</si>
  <si>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</si>
  <si>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</si>
  <si>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</si>
  <si>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</si>
  <si>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</si>
  <si>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</si>
  <si>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</si>
  <si>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</si>
  <si>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</si>
  <si>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</si>
  <si>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</si>
  <si>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</si>
  <si>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</si>
  <si>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</si>
  <si>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</si>
  <si>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</si>
  <si>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</si>
  <si>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</si>
  <si>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</si>
  <si>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</si>
  <si>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</si>
  <si>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</si>
  <si>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</si>
  <si>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</si>
  <si>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</si>
  <si>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</si>
  <si>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</si>
  <si>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</si>
  <si>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</si>
  <si>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</si>
  <si>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</si>
  <si>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</si>
  <si>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</si>
  <si>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</si>
  <si>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</si>
  <si>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</si>
  <si>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</si>
  <si>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</si>
  <si>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</si>
  <si>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</si>
  <si>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</si>
  <si>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</si>
  <si>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</si>
  <si>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</si>
  <si>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</si>
  <si>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</si>
  <si>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</si>
  <si>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</si>
  <si>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</si>
  <si>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</si>
  <si>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</si>
  <si>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</si>
  <si>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</si>
  <si>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</si>
  <si>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</si>
  <si>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</si>
  <si>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</si>
  <si>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</si>
  <si>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</si>
  <si>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</si>
  <si>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</si>
  <si>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</si>
  <si>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</si>
  <si>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</si>
  <si>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</si>
  <si>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</si>
  <si>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</si>
  <si>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</si>
  <si>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</si>
  <si>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</si>
  <si>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</si>
  <si>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</si>
  <si>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</si>
  <si>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</si>
  <si>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</si>
  <si>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</si>
  <si>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</si>
  <si>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</si>
  <si>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</si>
  <si>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</si>
  <si>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</si>
  <si>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</si>
  <si>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</si>
  <si>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</si>
  <si>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</si>
  <si>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</si>
  <si>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</si>
  <si>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</si>
  <si>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</si>
  <si>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</si>
  <si>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</si>
  <si>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</si>
  <si>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</si>
  <si>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</si>
  <si>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</si>
  <si>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</si>
  <si>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</si>
  <si>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</si>
  <si>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</si>
  <si>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</si>
  <si>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</si>
  <si>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</si>
  <si>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</si>
  <si>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</si>
  <si>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</si>
  <si>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</si>
  <si>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</si>
  <si>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</si>
  <si>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</si>
  <si>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</si>
  <si>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</si>
  <si>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</si>
  <si>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</si>
  <si>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</si>
  <si>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</si>
  <si>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</si>
  <si>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</si>
  <si>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</si>
  <si>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</si>
  <si>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</si>
  <si>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</si>
  <si>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</si>
  <si>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</si>
  <si>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</si>
  <si>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</si>
  <si>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</si>
  <si>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</si>
  <si>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</si>
  <si>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</si>
  <si>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</si>
  <si>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</si>
  <si>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</si>
  <si>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</si>
  <si>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</si>
  <si>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</si>
  <si>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</si>
  <si>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</si>
  <si>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</si>
  <si>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</si>
  <si>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</si>
  <si>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</si>
  <si>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</si>
  <si>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</si>
  <si>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</si>
  <si>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</si>
  <si>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</si>
  <si>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</si>
  <si>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</si>
  <si>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</si>
  <si>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</si>
  <si>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</si>
  <si>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</si>
  <si>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</si>
  <si>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</si>
  <si>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</si>
  <si>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</si>
  <si>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</si>
  <si>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</si>
  <si>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</si>
  <si>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</si>
  <si>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</si>
  <si>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</si>
  <si>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</si>
  <si>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</si>
  <si>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</si>
  <si>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</si>
  <si>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</si>
  <si>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</si>
  <si>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</si>
  <si>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</si>
  <si>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</si>
  <si>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</si>
  <si>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</si>
  <si>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</si>
  <si>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</si>
  <si>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</si>
  <si>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</si>
  <si>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</si>
  <si>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</si>
  <si>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</si>
  <si>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</si>
  <si>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</si>
  <si>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</si>
  <si>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</si>
  <si>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</si>
  <si>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</si>
  <si>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</si>
  <si>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</si>
  <si>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</si>
  <si>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</si>
  <si>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</si>
  <si>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</si>
  <si>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</si>
  <si>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</si>
  <si>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</si>
  <si>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</si>
  <si>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</si>
  <si>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</si>
  <si>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</si>
  <si>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</si>
  <si>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</si>
  <si>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</si>
  <si>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</si>
  <si>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</si>
  <si>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</si>
  <si>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</si>
  <si>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</si>
  <si>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</si>
  <si>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</si>
  <si>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</si>
  <si>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</si>
  <si>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</si>
  <si>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</si>
  <si>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</si>
  <si>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</si>
  <si>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</si>
  <si>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</si>
  <si>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</si>
  <si>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</si>
  <si>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</si>
  <si>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</si>
  <si>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</si>
  <si>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</si>
  <si>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</si>
  <si>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</si>
  <si>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</si>
  <si>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</si>
  <si>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</si>
  <si>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</si>
  <si>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</si>
  <si>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</si>
  <si>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</si>
  <si>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</si>
  <si>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</si>
  <si>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</si>
  <si>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</si>
  <si>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</si>
  <si>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</si>
  <si>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</si>
  <si>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</si>
  <si>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</si>
  <si>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</si>
  <si>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</si>
  <si>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</si>
  <si>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</si>
  <si>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</si>
  <si>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</si>
  <si>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</si>
  <si>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</si>
  <si>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</si>
  <si>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</si>
  <si>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</si>
  <si>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</si>
  <si>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</si>
  <si>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</si>
  <si>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</si>
  <si>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</si>
  <si>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</si>
  <si>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</si>
  <si>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</si>
  <si>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</si>
  <si>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</si>
  <si>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</si>
  <si>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</si>
  <si>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</si>
  <si>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</si>
  <si>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</si>
  <si>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</si>
  <si>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</si>
  <si>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</si>
  <si>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</si>
  <si>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</si>
  <si>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</si>
  <si>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</si>
  <si>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</si>
  <si>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</si>
  <si>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</si>
  <si>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</si>
  <si>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</si>
  <si>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</si>
  <si>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</si>
  <si>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</si>
  <si>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</si>
  <si>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</si>
  <si>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</si>
  <si>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</si>
  <si>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</si>
  <si>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</si>
  <si>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</si>
  <si>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</si>
  <si>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</si>
  <si>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</si>
  <si>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</si>
  <si>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</si>
  <si>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</si>
  <si>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</si>
  <si>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</si>
  <si>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</si>
  <si>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</si>
  <si>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</si>
  <si>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</si>
  <si>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</si>
  <si>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</si>
  <si>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</si>
  <si>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</si>
  <si>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</si>
  <si>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</si>
  <si>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</si>
  <si>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</si>
  <si>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</si>
  <si>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</si>
  <si>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</si>
  <si>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</si>
  <si>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</si>
  <si>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</si>
  <si>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</si>
  <si>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</si>
  <si>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</si>
  <si>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</si>
  <si>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</si>
  <si>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</si>
  <si>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</si>
  <si>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</si>
  <si>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</si>
  <si>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</si>
  <si>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</si>
  <si>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</si>
  <si>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</si>
  <si>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</si>
  <si>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</si>
  <si>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</si>
  <si>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</si>
  <si>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</si>
  <si>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</si>
  <si>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</si>
  <si>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</si>
  <si>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</si>
  <si>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</si>
  <si>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</si>
  <si>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</si>
  <si>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</si>
  <si>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</si>
  <si>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</si>
  <si>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</si>
  <si>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</si>
  <si>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</si>
  <si>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</si>
  <si>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</si>
  <si>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</si>
  <si>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</si>
  <si>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</si>
  <si>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</si>
  <si>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</si>
  <si>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</si>
  <si>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</si>
  <si>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</si>
  <si>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</si>
  <si>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</si>
  <si>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</si>
  <si>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</si>
  <si>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</si>
  <si>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</si>
  <si>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</si>
  <si>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</si>
  <si>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</si>
  <si>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</si>
  <si>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</si>
  <si>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</si>
  <si>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</si>
  <si>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</si>
  <si>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</si>
  <si>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</si>
  <si>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</si>
  <si>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</si>
  <si>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</si>
  <si>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</si>
  <si>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</si>
  <si>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</si>
  <si>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</si>
  <si>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</si>
  <si>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</si>
  <si>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</si>
  <si>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</si>
  <si>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</si>
  <si>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</si>
  <si>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</si>
  <si>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</si>
  <si>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</si>
  <si>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</si>
  <si>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</si>
  <si>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</si>
  <si>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</si>
  <si>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</si>
  <si>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</si>
  <si>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</si>
  <si>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</si>
  <si>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</si>
  <si>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</si>
  <si>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</si>
  <si>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</si>
  <si>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</si>
  <si>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</si>
  <si>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</si>
  <si>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</si>
  <si>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</si>
  <si>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</si>
  <si>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</si>
  <si>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</si>
  <si>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</si>
  <si>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</si>
  <si>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</si>
  <si>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</si>
  <si>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</si>
  <si>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</si>
  <si>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</si>
  <si>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</si>
  <si>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</si>
  <si>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</si>
  <si>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</si>
  <si>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</si>
  <si>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</si>
  <si>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</si>
  <si>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</si>
  <si>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</si>
  <si>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</si>
  <si>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</si>
  <si>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</si>
  <si>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</si>
  <si>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</si>
  <si>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</si>
  <si>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</si>
  <si>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</si>
  <si>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</si>
  <si>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</si>
  <si>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</si>
  <si>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</si>
  <si>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</si>
  <si>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</si>
  <si>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</si>
  <si>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</si>
  <si>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</si>
  <si>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</si>
  <si>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</si>
  <si>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</si>
  <si>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</si>
  <si>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</si>
  <si>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</si>
  <si>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</si>
  <si>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</si>
  <si>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</si>
  <si>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</si>
  <si>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</si>
  <si>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</si>
  <si>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</si>
  <si>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</si>
  <si>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</si>
  <si>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</si>
  <si>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</si>
  <si>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</si>
  <si>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</si>
  <si>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</si>
  <si>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</si>
  <si>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</si>
  <si>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</si>
  <si>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</si>
  <si>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</si>
  <si>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</si>
  <si>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</si>
  <si>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</si>
  <si>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</si>
  <si>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</si>
  <si>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</si>
  <si>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</si>
  <si>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</si>
  <si>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</si>
  <si>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</si>
  <si>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</si>
  <si>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</si>
  <si>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</si>
  <si>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</si>
  <si>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</si>
  <si>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</si>
  <si>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</si>
  <si>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</si>
  <si>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</si>
  <si>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</si>
  <si>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</si>
  <si>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</si>
  <si>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</si>
  <si>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</si>
  <si>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</si>
  <si>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</si>
  <si>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</si>
  <si>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</si>
  <si>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</si>
  <si>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</si>
  <si>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</si>
  <si>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</si>
  <si>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</si>
  <si>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</si>
  <si>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</si>
  <si>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</si>
  <si>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</si>
  <si>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</si>
  <si>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</si>
  <si>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</si>
  <si>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</si>
  <si>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</si>
  <si>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</si>
  <si>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</si>
  <si>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</si>
  <si>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</si>
  <si>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</si>
  <si>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</si>
  <si>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</si>
  <si>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</si>
  <si>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</si>
  <si>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</si>
  <si>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</si>
  <si>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</si>
  <si>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</si>
  <si>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</si>
  <si>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</si>
  <si>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</si>
  <si>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</si>
  <si>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</si>
  <si>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</si>
  <si>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</si>
  <si>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</si>
  <si>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</si>
  <si>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</si>
  <si>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</si>
  <si>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</si>
  <si>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</si>
  <si>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</si>
  <si>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</si>
  <si>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</si>
  <si>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</si>
  <si>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</si>
  <si>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</si>
  <si>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</si>
  <si>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</si>
  <si>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</si>
  <si>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</si>
  <si>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</si>
  <si>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</si>
  <si>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</si>
  <si>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</si>
  <si>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</si>
  <si>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</si>
  <si>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</si>
  <si>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</si>
  <si>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</si>
  <si>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</si>
  <si>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</si>
  <si>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</si>
  <si>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</si>
  <si>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</si>
  <si>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</si>
  <si>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</si>
  <si>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</si>
  <si>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</si>
  <si>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</si>
  <si>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</si>
  <si>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</si>
  <si>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</si>
  <si>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</si>
  <si>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</si>
  <si>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</si>
  <si>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</si>
  <si>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</si>
  <si>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</si>
  <si>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</si>
  <si>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</si>
  <si>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</si>
  <si>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</si>
  <si>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</si>
  <si>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</si>
  <si>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</si>
  <si>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</si>
  <si>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</si>
  <si>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</si>
  <si>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</si>
  <si>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</si>
  <si>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</si>
  <si>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</si>
  <si>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</si>
  <si>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</si>
  <si>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</si>
  <si>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</si>
  <si>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</si>
  <si>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</si>
  <si>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</si>
  <si>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</si>
  <si>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</si>
  <si>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</si>
  <si>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</si>
  <si>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</si>
  <si>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</si>
  <si>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</si>
  <si>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</si>
  <si>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</si>
  <si>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</si>
  <si>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</si>
  <si>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</si>
  <si>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</si>
  <si>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</si>
  <si>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</si>
  <si>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</si>
  <si>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</si>
  <si>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</si>
  <si>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</si>
  <si>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</si>
  <si>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</si>
  <si>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</si>
  <si>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</si>
  <si>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</si>
  <si>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</si>
  <si>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</si>
  <si>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</si>
  <si>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</si>
  <si>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</si>
  <si>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</si>
  <si>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</si>
  <si>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</si>
  <si>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</si>
  <si>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</si>
  <si>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</si>
  <si>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</si>
  <si>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</si>
  <si>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</si>
  <si>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</si>
  <si>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</si>
  <si>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</si>
  <si>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</si>
  <si>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</si>
  <si>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</si>
  <si>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</si>
  <si>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</si>
  <si>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</si>
  <si>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</si>
  <si>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</si>
  <si>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</si>
  <si>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</si>
  <si>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</si>
  <si>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</si>
  <si>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</si>
  <si>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</si>
  <si>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</si>
  <si>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</si>
  <si>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</si>
  <si>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</si>
  <si>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</si>
  <si>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</si>
  <si>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</si>
  <si>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</si>
  <si>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</si>
  <si>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</si>
  <si>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</si>
  <si>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</si>
  <si>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</si>
  <si>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</si>
  <si>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</si>
  <si>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</si>
  <si>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</si>
  <si>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</si>
  <si>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</si>
  <si>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</si>
  <si>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</si>
  <si>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</si>
  <si>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</si>
  <si>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</si>
  <si>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</si>
  <si>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</si>
  <si>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</si>
  <si>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</si>
  <si>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</si>
  <si>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</si>
  <si>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</si>
  <si>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</si>
  <si>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</si>
  <si>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</si>
  <si>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</si>
  <si>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</si>
  <si>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</si>
  <si>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</si>
  <si>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</si>
  <si>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</si>
  <si>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</si>
  <si>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</si>
  <si>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</si>
  <si>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</si>
  <si>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</si>
  <si>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</si>
  <si>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</si>
  <si>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</si>
  <si>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</si>
  <si>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</si>
  <si>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</si>
  <si>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</si>
  <si>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</si>
  <si>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</si>
  <si>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</si>
  <si>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</si>
  <si>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</si>
  <si>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</si>
  <si>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</si>
  <si>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</si>
  <si>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</si>
  <si>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</si>
  <si>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</si>
  <si>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</si>
  <si>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</si>
  <si>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</si>
  <si>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</si>
  <si>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</si>
  <si>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</si>
  <si>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</si>
  <si>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</si>
  <si>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</si>
  <si>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</si>
  <si>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</si>
  <si>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</si>
  <si>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</si>
  <si>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</si>
  <si>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</si>
  <si>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</si>
  <si>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</si>
  <si>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</si>
  <si>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</si>
  <si>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</si>
  <si>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</si>
  <si>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</si>
  <si>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</si>
  <si>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</si>
  <si>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</si>
  <si>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</si>
  <si>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</si>
  <si>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</si>
  <si>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</si>
  <si>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</si>
  <si>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</si>
  <si>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</si>
  <si>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</si>
  <si>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</si>
  <si>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</si>
  <si>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</si>
  <si>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</si>
  <si>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</si>
  <si>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</si>
  <si>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</si>
  <si>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</si>
  <si>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</si>
  <si>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</si>
  <si>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</si>
  <si>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</si>
  <si>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</si>
  <si>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</si>
  <si>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</si>
  <si>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</si>
  <si>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</si>
  <si>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</si>
  <si>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</si>
  <si>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</si>
  <si>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</si>
  <si>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</si>
  <si>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</si>
  <si>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</si>
  <si>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</si>
  <si>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</si>
  <si>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</si>
  <si>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</si>
  <si>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</si>
  <si>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</si>
  <si>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</si>
  <si>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</si>
  <si>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</si>
  <si>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</si>
  <si>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</si>
  <si>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</si>
  <si>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</si>
  <si>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</si>
  <si>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</si>
  <si>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</si>
  <si>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</si>
  <si>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</si>
  <si>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</si>
  <si>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</si>
  <si>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</si>
  <si>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</si>
  <si>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</si>
  <si>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</si>
  <si>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</si>
  <si>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</si>
  <si>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</si>
  <si>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</si>
  <si>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</si>
  <si>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</si>
  <si>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</si>
  <si>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</si>
  <si>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</si>
  <si>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</si>
  <si>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</si>
  <si>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</si>
  <si>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</si>
  <si>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</si>
  <si>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</si>
  <si>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</si>
  <si>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</si>
  <si>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</si>
  <si>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</si>
  <si>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</si>
  <si>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</si>
  <si>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</si>
  <si>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</si>
  <si>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</si>
  <si>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</si>
  <si>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</si>
  <si>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</si>
  <si>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</si>
  <si>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</si>
  <si>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</si>
  <si>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</si>
  <si>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</si>
  <si>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</si>
  <si>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</si>
  <si>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</si>
  <si>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</si>
  <si>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</si>
  <si>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</si>
  <si>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</si>
  <si>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</si>
  <si>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</si>
  <si>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</si>
  <si>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</si>
  <si>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</si>
  <si>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</si>
  <si>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</si>
  <si>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</si>
  <si>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</si>
  <si>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</si>
  <si>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</si>
  <si>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</si>
  <si>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</si>
  <si>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</si>
  <si>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</si>
  <si>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</si>
  <si>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</si>
  <si>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</si>
  <si>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</si>
  <si>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</si>
  <si>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</si>
  <si>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</si>
  <si>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</si>
  <si>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</si>
  <si>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</si>
  <si>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</si>
  <si>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</si>
  <si>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</si>
  <si>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</si>
  <si>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</si>
  <si>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</si>
  <si>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</si>
  <si>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</si>
  <si>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</si>
  <si>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</si>
  <si>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</si>
  <si>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</si>
  <si>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</si>
  <si>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</si>
  <si>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</si>
  <si>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</si>
  <si>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</si>
  <si>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</si>
  <si>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</si>
  <si>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</si>
  <si>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</si>
  <si>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</si>
  <si>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</si>
  <si>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</si>
  <si>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</si>
  <si>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</si>
  <si>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</si>
  <si>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</si>
  <si>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</si>
  <si>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</si>
  <si>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</si>
  <si>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</si>
  <si>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</si>
  <si>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</si>
  <si>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</si>
  <si>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</si>
  <si>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</si>
  <si>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</si>
  <si>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</si>
  <si>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</si>
  <si>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</si>
  <si>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</si>
  <si>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</si>
  <si>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</si>
  <si>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</si>
  <si>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</si>
  <si>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</si>
  <si>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</si>
  <si>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</si>
  <si>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</si>
  <si>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</si>
  <si>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</si>
  <si>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</si>
  <si>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</si>
  <si>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</si>
  <si>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</si>
  <si>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</si>
  <si>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</si>
  <si>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</si>
  <si>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</si>
  <si>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</si>
  <si>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</si>
  <si>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</si>
  <si>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</si>
  <si>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</si>
  <si>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</si>
  <si>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</si>
  <si>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</si>
  <si>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</si>
  <si>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</si>
  <si>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</si>
  <si>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</si>
  <si>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</si>
  <si>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</si>
  <si>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</si>
  <si>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</si>
  <si>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</si>
  <si>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</si>
  <si>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</si>
  <si>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</si>
  <si>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</si>
  <si>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</si>
  <si>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</si>
  <si>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</si>
  <si>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</si>
  <si>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</si>
  <si>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</si>
  <si>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</si>
  <si>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</si>
  <si>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</si>
  <si>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</si>
  <si>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</si>
  <si>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</si>
  <si>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</si>
  <si>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</si>
  <si>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</si>
  <si>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</si>
  <si>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</si>
  <si>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</si>
  <si>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</si>
  <si>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</si>
  <si>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</si>
  <si>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</si>
  <si>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</si>
  <si>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</si>
  <si>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</si>
  <si>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</si>
  <si>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</si>
  <si>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</si>
  <si>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</si>
  <si>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</si>
  <si>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</si>
  <si>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</si>
  <si>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</si>
  <si>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</si>
  <si>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</si>
  <si>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</si>
  <si>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</si>
  <si>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</si>
  <si>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</si>
  <si>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</si>
  <si>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</si>
  <si>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</si>
  <si>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</si>
  <si>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</si>
  <si>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</si>
  <si>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</si>
  <si>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</si>
  <si>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</si>
  <si>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</si>
  <si>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</si>
  <si>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</si>
  <si>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</si>
  <si>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</si>
  <si>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</si>
  <si>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</si>
  <si>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</si>
  <si>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</si>
  <si>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</si>
  <si>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</si>
  <si>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</si>
  <si>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</si>
  <si>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</si>
  <si>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</si>
  <si>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</si>
  <si>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</si>
  <si>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</si>
  <si>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</si>
  <si>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</si>
  <si>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</si>
  <si>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</si>
  <si>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</si>
  <si>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</si>
  <si>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</si>
  <si>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</si>
  <si>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</si>
  <si>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</si>
  <si>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</si>
  <si>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</si>
  <si>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</si>
  <si>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</si>
  <si>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</si>
  <si>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</si>
  <si>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</si>
  <si>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</si>
  <si>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</si>
  <si>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</si>
  <si>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</si>
  <si>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</si>
  <si>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</si>
  <si>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</si>
  <si>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</si>
  <si>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</si>
  <si>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</si>
  <si>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</si>
  <si>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</si>
  <si>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</si>
  <si>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</si>
  <si>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</si>
  <si>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</si>
  <si>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</si>
  <si>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</si>
  <si>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</si>
  <si>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</si>
  <si>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</si>
  <si>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</si>
  <si>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</si>
  <si>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</si>
  <si>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</si>
  <si>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</si>
  <si>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</si>
  <si>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</si>
  <si>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</si>
  <si>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</si>
  <si>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</si>
  <si>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</si>
  <si>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</si>
  <si>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</si>
  <si>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</si>
  <si>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</si>
  <si>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</si>
  <si>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</si>
  <si>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</si>
  <si>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</si>
  <si>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</si>
  <si>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</si>
  <si>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</si>
  <si>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</si>
  <si>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</si>
  <si>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</si>
  <si>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</si>
  <si>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</si>
  <si>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</si>
  <si>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</si>
  <si>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</si>
  <si>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</si>
  <si>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</si>
  <si>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</si>
  <si>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</si>
  <si>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</si>
  <si>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</si>
  <si>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</si>
  <si>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</si>
  <si>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</si>
  <si>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</si>
  <si>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</si>
  <si>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</si>
  <si>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</si>
  <si>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</si>
  <si>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</si>
  <si>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</si>
  <si>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</si>
  <si>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</si>
  <si>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</si>
  <si>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</si>
  <si>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</si>
  <si>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</si>
  <si>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</si>
  <si>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</si>
  <si>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</si>
  <si>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</si>
  <si>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</si>
  <si>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</si>
  <si>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</si>
  <si>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</si>
  <si>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</si>
  <si>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</si>
  <si>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</si>
  <si>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</si>
  <si>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</si>
  <si>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</si>
  <si>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</si>
  <si>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</si>
  <si>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</si>
  <si>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</si>
  <si>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</si>
  <si>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</si>
  <si>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</si>
  <si>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</si>
  <si>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</si>
  <si>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</si>
  <si>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</si>
  <si>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</si>
  <si>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</si>
  <si>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</si>
  <si>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</si>
  <si>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</si>
  <si>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</si>
  <si>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</si>
  <si>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</si>
  <si>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</si>
  <si>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</si>
  <si>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</si>
  <si>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</si>
  <si>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</si>
  <si>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</si>
  <si>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</si>
  <si>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</si>
  <si>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</si>
  <si>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</si>
  <si>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</si>
  <si>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</si>
  <si>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</si>
  <si>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</si>
  <si>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</si>
  <si>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</si>
  <si>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</si>
  <si>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</si>
  <si>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</si>
  <si>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</si>
  <si>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</si>
  <si>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</si>
  <si>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</si>
  <si>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</si>
  <si>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</si>
  <si>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</si>
  <si>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</si>
  <si>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</si>
  <si>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</si>
  <si>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</si>
  <si>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</si>
  <si>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</si>
  <si>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</si>
  <si>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</si>
  <si>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</si>
  <si>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</si>
  <si>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</si>
  <si>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</si>
  <si>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</si>
  <si>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</si>
  <si>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</si>
  <si>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</si>
  <si>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</si>
  <si>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</si>
  <si>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</si>
  <si>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</si>
  <si>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</si>
  <si>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</si>
  <si>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</si>
  <si>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</si>
  <si>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</si>
  <si>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</si>
  <si>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</si>
  <si>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</si>
  <si>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</si>
  <si>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</si>
  <si>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</si>
  <si>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</si>
  <si>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</si>
  <si>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</si>
  <si>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</si>
  <si>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</si>
  <si>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</si>
  <si>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</si>
  <si>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</si>
  <si>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</si>
  <si>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</si>
  <si>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</si>
  <si>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</si>
  <si>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</si>
  <si>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</si>
  <si>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</si>
  <si>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</si>
  <si>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</si>
  <si>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</si>
  <si>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</si>
  <si>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</si>
  <si>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</si>
  <si>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</si>
  <si>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</si>
  <si>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</si>
  <si>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</si>
  <si>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</si>
  <si>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</si>
  <si>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</si>
  <si>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</si>
  <si>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</si>
  <si>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</si>
  <si>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</si>
  <si>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</si>
  <si>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</si>
  <si>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</si>
  <si>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</si>
  <si>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</si>
  <si>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</si>
  <si>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</si>
  <si>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</si>
  <si>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</si>
  <si>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</si>
  <si>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</si>
  <si>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</si>
  <si>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</si>
  <si>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</si>
  <si>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</si>
  <si>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</si>
  <si>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</si>
  <si>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</si>
  <si>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</si>
  <si>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</si>
  <si>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</si>
  <si>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</si>
  <si>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</si>
  <si>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</si>
  <si>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</si>
  <si>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</si>
  <si>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</si>
  <si>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</si>
  <si>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</si>
  <si>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</si>
  <si>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</si>
  <si>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</si>
  <si>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</si>
  <si>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</si>
  <si>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</si>
  <si>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</si>
  <si>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</si>
  <si>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</si>
  <si>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</si>
  <si>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</si>
  <si>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</si>
  <si>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</si>
  <si>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</si>
  <si>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</si>
  <si>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</si>
  <si>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</si>
  <si>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</si>
  <si>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</si>
  <si>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</si>
  <si>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</si>
  <si>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</si>
  <si>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</si>
  <si>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</si>
  <si>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</si>
  <si>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</si>
  <si>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</si>
  <si>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</si>
  <si>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</si>
  <si>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</si>
  <si>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</si>
  <si>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</si>
  <si>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</si>
  <si>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</si>
  <si>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</si>
  <si>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</si>
  <si>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</si>
  <si>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</si>
  <si>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</si>
  <si>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</si>
  <si>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</si>
  <si>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</si>
  <si>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</si>
  <si>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</si>
  <si>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</si>
  <si>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</si>
  <si>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</si>
  <si>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</si>
  <si>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</si>
  <si>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</si>
  <si>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</si>
  <si>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</si>
  <si>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</si>
  <si>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</si>
  <si>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</si>
  <si>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</si>
  <si>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</si>
  <si>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</si>
  <si>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</si>
  <si>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</si>
  <si>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</si>
  <si>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</si>
  <si>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</si>
  <si>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</si>
  <si>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</si>
  <si>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</si>
  <si>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</si>
  <si>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</si>
  <si>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</si>
  <si>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</si>
  <si>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</si>
  <si>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</si>
  <si>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</si>
  <si>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</si>
  <si>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</si>
  <si>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</si>
  <si>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</si>
  <si>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</si>
  <si>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</si>
  <si>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</si>
  <si>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</si>
  <si>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</si>
  <si>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</si>
  <si>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</si>
  <si>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</si>
  <si>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</si>
  <si>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</si>
  <si>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</si>
  <si>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</si>
  <si>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</si>
  <si>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</si>
  <si>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</si>
  <si>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</si>
  <si>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</si>
  <si>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</si>
  <si>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</si>
  <si>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</si>
  <si>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</si>
  <si>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</si>
  <si>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</si>
  <si>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</si>
  <si>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</si>
  <si>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</si>
  <si>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</si>
  <si>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</si>
  <si>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</si>
  <si>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</si>
  <si>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</si>
  <si>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</si>
  <si>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</si>
  <si>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</si>
  <si>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</si>
  <si>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</si>
  <si>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</si>
  <si>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</si>
  <si>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</si>
  <si>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</si>
  <si>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</si>
  <si>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</si>
  <si>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</si>
  <si>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</si>
  <si>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</si>
  <si>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</si>
  <si>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</si>
  <si>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</si>
  <si>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</si>
  <si>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</si>
  <si>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</si>
  <si>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</si>
  <si>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</si>
  <si>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</si>
  <si>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</si>
  <si>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</si>
  <si>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</si>
  <si>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</si>
  <si>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</si>
  <si>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</si>
  <si>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</si>
  <si>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</si>
  <si>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</si>
  <si>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</si>
  <si>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</si>
  <si>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</si>
  <si>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</si>
  <si>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</si>
  <si>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</si>
  <si>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</si>
  <si>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</si>
  <si>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</si>
  <si>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</si>
  <si>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</si>
  <si>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</si>
  <si>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</si>
  <si>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</si>
  <si>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</si>
  <si>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</si>
  <si>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</si>
  <si>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</si>
  <si>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</si>
  <si>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</si>
  <si>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</si>
  <si>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</si>
  <si>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</si>
  <si>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</si>
  <si>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</si>
  <si>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</si>
  <si>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</si>
  <si>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</si>
  <si>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</si>
  <si>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</si>
  <si>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</si>
  <si>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</si>
  <si>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</si>
  <si>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</si>
  <si>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</si>
  <si>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</si>
  <si>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</si>
  <si>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</si>
  <si>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</si>
  <si>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</si>
  <si>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</si>
  <si>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</si>
  <si>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</si>
  <si>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</si>
  <si>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</si>
  <si>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</si>
  <si>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</si>
  <si>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</si>
  <si>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</si>
  <si>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</si>
  <si>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</si>
  <si>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</si>
  <si>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</si>
  <si>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</si>
  <si>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</si>
  <si>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</si>
  <si>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</si>
  <si>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</si>
  <si>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</si>
  <si>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</si>
  <si>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</si>
  <si>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</si>
  <si>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</si>
  <si>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</si>
  <si>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</si>
  <si>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</si>
  <si>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</si>
  <si>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</si>
  <si>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</si>
  <si>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</si>
  <si>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</si>
  <si>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</si>
  <si>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</si>
  <si>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</si>
  <si>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</si>
  <si>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</si>
  <si>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</si>
  <si>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</si>
  <si>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</si>
  <si>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</si>
  <si>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</si>
  <si>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</si>
  <si>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</si>
  <si>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</si>
  <si>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</si>
  <si>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</si>
  <si>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</si>
  <si>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</si>
  <si>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</si>
  <si>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</si>
  <si>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</si>
  <si>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</si>
  <si>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</si>
  <si>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</si>
  <si>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</si>
  <si>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</si>
  <si>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</si>
  <si>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</si>
  <si>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</si>
  <si>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</si>
  <si>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</si>
  <si>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</si>
  <si>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</si>
  <si>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</si>
  <si>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</si>
  <si>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</si>
  <si>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</si>
  <si>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</si>
  <si>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</si>
  <si>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</si>
  <si>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</si>
  <si>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</si>
  <si>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</si>
  <si>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</si>
  <si>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</si>
  <si>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</si>
  <si>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</si>
  <si>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</si>
  <si>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</si>
  <si>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</si>
  <si>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</si>
  <si>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</si>
  <si>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</si>
  <si>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</si>
  <si>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</si>
  <si>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</si>
  <si>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</si>
  <si>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</si>
  <si>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</si>
  <si>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</si>
  <si>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</si>
  <si>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</si>
  <si>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</si>
  <si>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</si>
  <si>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</si>
  <si>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</si>
  <si>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</si>
  <si>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</si>
  <si>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</si>
  <si>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</si>
  <si>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</si>
  <si>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</si>
  <si>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</si>
  <si>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</si>
  <si>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</si>
  <si>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</si>
  <si>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</si>
  <si>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</si>
  <si>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</si>
  <si>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</si>
  <si>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</si>
  <si>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</si>
  <si>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</si>
  <si>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</si>
  <si>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</si>
  <si>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</si>
  <si>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</si>
  <si>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</si>
  <si>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</si>
  <si>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</si>
  <si>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</si>
  <si>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</si>
  <si>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</si>
  <si>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</si>
  <si>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</si>
  <si>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</si>
  <si>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</si>
  <si>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</si>
  <si>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</si>
  <si>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</si>
  <si>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</si>
  <si>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</si>
  <si>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</si>
  <si>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</si>
  <si>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</si>
  <si>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</si>
  <si>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</si>
  <si>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</si>
  <si>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</si>
  <si>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</si>
  <si>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</si>
  <si>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</si>
  <si>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</si>
  <si>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</si>
  <si>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</si>
  <si>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</si>
  <si>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</si>
  <si>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</si>
  <si>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</si>
  <si>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</si>
  <si>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</si>
  <si>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</si>
  <si>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</si>
  <si>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</si>
  <si>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</si>
  <si>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</si>
  <si>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</si>
  <si>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</si>
  <si>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</si>
  <si>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</si>
  <si>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</si>
  <si>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</si>
  <si>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</si>
  <si>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</si>
  <si>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</si>
  <si>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</si>
  <si>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</si>
  <si>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</si>
  <si>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</si>
  <si>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</si>
  <si>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</si>
  <si>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</si>
  <si>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</si>
  <si>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</si>
  <si>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</si>
  <si>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</si>
  <si>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</si>
  <si>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</si>
  <si>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</si>
  <si>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</si>
  <si>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</si>
  <si>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</si>
  <si>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</si>
  <si>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</si>
  <si>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</si>
  <si>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</si>
  <si>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</si>
  <si>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</si>
  <si>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</si>
  <si>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</si>
  <si>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</si>
  <si>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</si>
  <si>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</si>
  <si>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</si>
  <si>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</si>
  <si>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</si>
  <si>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</si>
  <si>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</si>
  <si>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</si>
  <si>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</si>
  <si>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</si>
  <si>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</si>
  <si>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</si>
  <si>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</si>
  <si>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</si>
  <si>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</si>
  <si>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</si>
  <si>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</si>
  <si>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</si>
  <si>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</si>
  <si>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</si>
  <si>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</si>
  <si>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</si>
  <si>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</si>
  <si>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</si>
  <si>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</si>
  <si>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</si>
  <si>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</si>
  <si>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</si>
  <si>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</si>
  <si>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</si>
  <si>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</si>
  <si>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</si>
  <si>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</si>
  <si>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</si>
  <si>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</si>
  <si>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</si>
  <si>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</si>
  <si>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</si>
  <si>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</si>
  <si>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</si>
  <si>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</si>
  <si>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</si>
  <si>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</si>
  <si>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</si>
  <si>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</si>
  <si>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</si>
  <si>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</si>
  <si>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</si>
  <si>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</si>
  <si>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</si>
  <si>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</si>
  <si>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</si>
  <si>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</si>
  <si>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</si>
  <si>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</si>
  <si>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</si>
  <si>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</si>
  <si>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</si>
  <si>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</si>
  <si>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</si>
  <si>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</si>
  <si>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</si>
  <si>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</si>
  <si>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</si>
  <si>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</si>
  <si>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</si>
  <si>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</si>
  <si>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</si>
  <si>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</si>
  <si>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</si>
  <si>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</si>
  <si>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</si>
  <si>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</si>
  <si>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</si>
  <si>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</si>
  <si>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</si>
  <si>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</si>
  <si>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</si>
  <si>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</si>
  <si>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</si>
  <si>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</si>
  <si>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</si>
  <si>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</si>
  <si>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</si>
  <si>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</si>
  <si>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</si>
  <si>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</si>
  <si>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</si>
  <si>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</si>
  <si>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</si>
  <si>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</si>
  <si>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</si>
  <si>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</si>
  <si>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</si>
  <si>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</si>
  <si>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</si>
  <si>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</si>
  <si>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</si>
  <si>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</si>
  <si>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</si>
  <si>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</si>
  <si>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</si>
  <si>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</si>
  <si>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</si>
  <si>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</si>
  <si>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</si>
  <si>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</si>
  <si>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</si>
  <si>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</si>
  <si>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</si>
  <si>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</si>
  <si>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</si>
  <si>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</si>
  <si>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</si>
  <si>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</si>
  <si>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</si>
  <si>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</si>
  <si>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</si>
  <si>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</si>
  <si>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</si>
  <si>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</si>
  <si>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</si>
  <si>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</si>
  <si>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</si>
  <si>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</si>
  <si>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</si>
  <si>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</si>
  <si>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</si>
  <si>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</si>
  <si>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</si>
  <si>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</si>
  <si>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</si>
  <si>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</si>
  <si>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</si>
  <si>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</si>
  <si>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</si>
  <si>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</si>
  <si>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</si>
  <si>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</si>
  <si>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</si>
  <si>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</si>
  <si>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</si>
  <si>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</si>
  <si>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</si>
  <si>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</si>
  <si>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</si>
  <si>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</si>
  <si>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</si>
  <si>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</si>
  <si>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</si>
  <si>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</si>
  <si>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</si>
  <si>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</si>
  <si>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</si>
  <si>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</si>
  <si>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</si>
  <si>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</si>
  <si>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</si>
  <si>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</si>
  <si>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</si>
  <si>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</si>
  <si>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</si>
  <si>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</si>
  <si>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</si>
  <si>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</si>
  <si>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</si>
  <si>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</si>
  <si>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</si>
  <si>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</si>
  <si>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</si>
  <si>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</si>
  <si>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</si>
  <si>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</si>
  <si>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</si>
  <si>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</si>
  <si>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</si>
  <si>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</si>
  <si>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</si>
  <si>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</si>
  <si>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</si>
  <si>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</si>
  <si>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</si>
  <si>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</si>
  <si>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</si>
  <si>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</si>
  <si>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</si>
  <si>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</si>
  <si>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</si>
  <si>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</si>
  <si>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</si>
  <si>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</si>
  <si>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</si>
  <si>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</si>
  <si>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</si>
  <si>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</si>
  <si>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</si>
  <si>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</si>
  <si>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</si>
  <si>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</si>
  <si>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</si>
  <si>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</si>
  <si>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</si>
  <si>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</si>
  <si>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</si>
  <si>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</si>
  <si>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</si>
  <si>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</si>
  <si>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</si>
  <si>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</si>
  <si>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</si>
  <si>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</si>
  <si>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</si>
  <si>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</si>
  <si>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</si>
  <si>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</si>
  <si>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</si>
  <si>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</si>
  <si>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</si>
  <si>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</si>
  <si>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</si>
  <si>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</si>
  <si>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</si>
  <si>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</si>
  <si>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</si>
  <si>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</si>
  <si>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</si>
  <si>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</si>
  <si>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</si>
  <si>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</si>
  <si>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</si>
  <si>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</si>
  <si>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</si>
  <si>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</si>
  <si>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</si>
  <si>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</si>
  <si>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</si>
  <si>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</si>
  <si>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</si>
  <si>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</si>
  <si>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</si>
  <si>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</si>
  <si>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</si>
  <si>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</si>
  <si>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</si>
  <si>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</si>
  <si>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</si>
  <si>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</si>
  <si>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</si>
  <si>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</si>
  <si>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</si>
  <si>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</si>
  <si>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</si>
  <si>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</si>
  <si>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</si>
  <si>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</si>
  <si>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</si>
  <si>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</si>
  <si>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</si>
  <si>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</si>
  <si>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</si>
  <si>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</si>
  <si>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</si>
  <si>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</si>
  <si>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</si>
  <si>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</si>
  <si>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</si>
  <si>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</si>
  <si>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</si>
  <si>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</si>
  <si>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</si>
  <si>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</si>
  <si>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</si>
  <si>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</si>
  <si>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</si>
  <si>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</si>
  <si>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</si>
  <si>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</si>
  <si>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</si>
  <si>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</si>
  <si>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</si>
  <si>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</si>
  <si>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</si>
  <si>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</si>
  <si>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</si>
  <si>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</si>
  <si>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</si>
  <si>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</si>
  <si>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</si>
  <si>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</si>
  <si>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</si>
  <si>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</si>
  <si>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</si>
  <si>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</si>
  <si>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</si>
  <si>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</si>
  <si>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</si>
  <si>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</si>
  <si>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</si>
  <si>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</si>
  <si>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</si>
  <si>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</si>
  <si>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</si>
  <si>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</si>
  <si>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</si>
  <si>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</si>
  <si>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</si>
  <si>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</si>
  <si>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</si>
  <si>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</si>
  <si>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</si>
  <si>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</si>
  <si>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</si>
  <si>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</si>
  <si>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</si>
  <si>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</si>
  <si>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</si>
  <si>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</si>
  <si>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</si>
  <si>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</si>
  <si>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</si>
  <si>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</si>
  <si>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</si>
  <si>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</si>
  <si>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</si>
  <si>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</si>
  <si>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</si>
  <si>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</si>
  <si>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</si>
  <si>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</si>
  <si>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</si>
  <si>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</si>
  <si>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</si>
  <si>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</si>
  <si>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</si>
  <si>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</si>
  <si>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</si>
  <si>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</si>
  <si>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</si>
  <si>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</si>
  <si>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</si>
  <si>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</si>
  <si>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</si>
  <si>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</si>
  <si>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</si>
  <si>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</si>
  <si>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</si>
  <si>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</si>
  <si>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</si>
  <si>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</si>
  <si>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</si>
  <si>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</si>
  <si>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</si>
  <si>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</si>
  <si>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</si>
  <si>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</si>
  <si>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</si>
  <si>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</si>
  <si>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</si>
  <si>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</si>
  <si>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</si>
  <si>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</si>
  <si>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</si>
  <si>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</si>
  <si>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</si>
  <si>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</si>
  <si>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</si>
  <si>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</si>
  <si>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</si>
  <si>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</si>
  <si>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</si>
  <si>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</si>
  <si>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</si>
  <si>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</si>
  <si>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</si>
  <si>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</si>
  <si>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</si>
  <si>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</si>
  <si>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</si>
  <si>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</si>
  <si>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</si>
  <si>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</si>
  <si>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</si>
  <si>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</si>
  <si>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</si>
  <si>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</si>
  <si>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</si>
  <si>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</si>
  <si>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</si>
  <si>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</si>
  <si>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</si>
  <si>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</si>
  <si>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</si>
  <si>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</si>
  <si>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</si>
  <si>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</si>
  <si>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</si>
  <si>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</si>
  <si>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</si>
  <si>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</si>
  <si>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</si>
  <si>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</si>
  <si>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</si>
  <si>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</si>
  <si>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</si>
  <si>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</si>
  <si>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</si>
  <si>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</si>
  <si>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</si>
  <si>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</si>
  <si>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</si>
  <si>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</si>
  <si>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</si>
  <si>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</si>
  <si>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</si>
  <si>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</si>
  <si>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</si>
  <si>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</si>
  <si>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</si>
  <si>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</si>
  <si>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</si>
  <si>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</si>
  <si>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</si>
  <si>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</si>
  <si>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</si>
  <si>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</si>
  <si>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</si>
  <si>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</si>
  <si>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</si>
  <si>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</si>
  <si>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</si>
  <si>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</si>
  <si>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</si>
  <si>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</si>
  <si>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</si>
  <si>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</si>
  <si>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</si>
  <si>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</si>
  <si>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</si>
  <si>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</si>
  <si>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</si>
  <si>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</si>
  <si>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</si>
  <si>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</si>
  <si>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</si>
  <si>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</si>
  <si>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</si>
  <si>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</si>
  <si>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</si>
  <si>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</si>
  <si>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</si>
  <si>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</si>
  <si>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</si>
  <si>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</si>
  <si>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</si>
  <si>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</si>
  <si>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</si>
  <si>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</si>
  <si>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</si>
  <si>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</si>
  <si>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</si>
  <si>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</si>
  <si>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</si>
  <si>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</si>
  <si>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</si>
  <si>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</si>
  <si>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</si>
  <si>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</si>
  <si>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</si>
  <si>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</si>
  <si>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</si>
  <si>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</si>
  <si>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</si>
  <si>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</si>
  <si>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</si>
  <si>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</si>
  <si>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</si>
  <si>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</si>
  <si>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</si>
  <si>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</si>
  <si>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</si>
  <si>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</si>
  <si>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</si>
  <si>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</si>
  <si>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</si>
  <si>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</si>
  <si>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</si>
  <si>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</si>
  <si>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</si>
  <si>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</si>
  <si>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</si>
  <si>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</si>
  <si>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</si>
  <si>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</si>
  <si>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</si>
  <si>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</si>
  <si>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</si>
  <si>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</si>
  <si>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</si>
  <si>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</si>
  <si>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</si>
  <si>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</si>
  <si>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</si>
  <si>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</si>
  <si>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</si>
  <si>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</si>
  <si>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</si>
  <si>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</si>
  <si>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</si>
  <si>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</si>
  <si>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</si>
  <si>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</si>
  <si>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</si>
  <si>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</si>
  <si>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</si>
  <si>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</si>
  <si>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</si>
  <si>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</si>
  <si>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</si>
  <si>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</si>
  <si>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</si>
  <si>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</si>
  <si>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</si>
  <si>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</si>
  <si>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</si>
  <si>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</si>
  <si>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</si>
  <si>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</si>
  <si>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</si>
  <si>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</si>
  <si>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</si>
  <si>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</si>
  <si>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</si>
  <si>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</si>
  <si>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</si>
  <si>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</si>
  <si>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</si>
  <si>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</si>
  <si>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</si>
  <si>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</si>
  <si>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</si>
  <si>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</si>
  <si>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</si>
  <si>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</si>
  <si>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</si>
  <si>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</si>
  <si>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</si>
  <si>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</si>
  <si>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</si>
  <si>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</si>
  <si>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</si>
  <si>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</si>
  <si>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</si>
  <si>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</si>
  <si>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</si>
  <si>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</si>
  <si>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</si>
  <si>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</si>
  <si>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</si>
  <si>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</si>
  <si>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</si>
  <si>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</si>
  <si>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</si>
  <si>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</si>
  <si>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</si>
  <si>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</si>
  <si>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</si>
  <si>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</si>
  <si>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</si>
  <si>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</si>
  <si>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</si>
  <si>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</si>
  <si>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</si>
  <si>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</si>
  <si>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</si>
  <si>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</si>
  <si>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</si>
  <si>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</si>
  <si>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</si>
  <si>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</si>
  <si>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</si>
  <si>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</si>
  <si>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</si>
  <si>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</si>
  <si>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</si>
  <si>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</si>
  <si>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</si>
  <si>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</si>
  <si>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</si>
  <si>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</si>
  <si>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</si>
  <si>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</si>
  <si>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</si>
  <si>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</si>
  <si>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</si>
  <si>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</si>
  <si>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</si>
  <si>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</si>
  <si>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</si>
  <si>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</si>
  <si>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</si>
  <si>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</si>
  <si>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</si>
  <si>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</si>
  <si>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</si>
  <si>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</si>
  <si>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</si>
  <si>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</si>
  <si>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</si>
  <si>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</si>
  <si>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</si>
  <si>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</si>
  <si>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</si>
  <si>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</si>
  <si>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</si>
  <si>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</si>
  <si>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</si>
  <si>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</si>
  <si>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</si>
  <si>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</si>
  <si>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</si>
  <si>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</si>
  <si>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</si>
  <si>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</si>
  <si>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</si>
  <si>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</si>
  <si>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</si>
  <si>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</si>
  <si>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</si>
  <si>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</si>
  <si>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</si>
  <si>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</si>
  <si>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</si>
  <si>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</si>
  <si>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</si>
  <si>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</si>
  <si>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</si>
  <si>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</si>
  <si>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</si>
  <si>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</si>
  <si>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</si>
  <si>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</si>
  <si>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</si>
  <si>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</si>
  <si>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</si>
  <si>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</si>
  <si>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</si>
  <si>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</si>
  <si>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</si>
  <si>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</si>
  <si>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</si>
  <si>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</si>
  <si>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</si>
  <si>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</si>
  <si>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</si>
  <si>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</si>
  <si>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</si>
  <si>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</si>
  <si>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</si>
  <si>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</si>
  <si>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</si>
  <si>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</si>
  <si>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</si>
  <si>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</si>
  <si>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</si>
  <si>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</si>
  <si>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</si>
  <si>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</si>
  <si>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</si>
  <si>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</si>
  <si>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</si>
  <si>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</si>
  <si>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</si>
  <si>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</si>
  <si>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</si>
  <si>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</si>
  <si>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</si>
  <si>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</si>
  <si>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</si>
  <si>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</si>
  <si>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</si>
  <si>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</si>
  <si>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</si>
  <si>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</si>
  <si>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</si>
  <si>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</si>
  <si>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</si>
  <si>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</si>
  <si>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</si>
  <si>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</si>
  <si>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</si>
  <si>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</si>
  <si>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</si>
  <si>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</si>
  <si>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</si>
  <si>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</si>
  <si>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</si>
  <si>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</si>
  <si>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</si>
  <si>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</si>
  <si>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</si>
  <si>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</si>
  <si>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</si>
  <si>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</si>
  <si>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</si>
  <si>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</si>
  <si>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</si>
  <si>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</si>
  <si>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</si>
  <si>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</si>
  <si>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</si>
  <si>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</si>
  <si>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</si>
  <si>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</si>
  <si>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</si>
  <si>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</si>
  <si>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</si>
  <si>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</si>
  <si>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</si>
  <si>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</si>
  <si>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</si>
  <si>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</si>
  <si>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</si>
  <si>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</si>
  <si>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</si>
  <si>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</si>
  <si>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</si>
  <si>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</si>
  <si>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</si>
  <si>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</si>
  <si>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</si>
  <si>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</si>
  <si>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</si>
  <si>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</si>
  <si>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</si>
  <si>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</si>
  <si>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</si>
  <si>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</si>
  <si>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</si>
  <si>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</si>
  <si>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</si>
  <si>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</si>
  <si>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</si>
  <si>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</si>
  <si>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</si>
  <si>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</si>
  <si>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</si>
  <si>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</si>
  <si>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</si>
  <si>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</si>
  <si>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</si>
  <si>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</si>
  <si>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</si>
  <si>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</si>
  <si>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</si>
  <si>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</si>
  <si>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</si>
  <si>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</si>
  <si>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</si>
  <si>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</si>
  <si>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</si>
  <si>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</si>
  <si>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</si>
  <si>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</si>
  <si>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</si>
  <si>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</si>
  <si>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</si>
  <si>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</si>
  <si>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</si>
  <si>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</si>
  <si>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</si>
  <si>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</si>
  <si>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</si>
  <si>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</si>
  <si>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</si>
  <si>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</si>
  <si>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</si>
  <si>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</si>
  <si>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</si>
  <si>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</si>
  <si>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</si>
  <si>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</si>
  <si>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</si>
  <si>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</si>
  <si>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</si>
  <si>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</si>
  <si>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</si>
  <si>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</si>
  <si>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</si>
  <si>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</si>
  <si>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</si>
  <si>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</si>
  <si>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</si>
  <si>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</si>
  <si>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</si>
  <si>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</si>
  <si>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</si>
  <si>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</si>
  <si>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</si>
  <si>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</si>
  <si>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</si>
  <si>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</si>
  <si>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</si>
  <si>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</si>
  <si>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</si>
  <si>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</si>
  <si>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</si>
  <si>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</si>
  <si>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</si>
  <si>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</si>
  <si>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</si>
  <si>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</si>
  <si>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</si>
  <si>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</si>
  <si>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</si>
  <si>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</si>
  <si>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</si>
  <si>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</si>
  <si>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</si>
  <si>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</si>
  <si>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</si>
  <si>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</si>
  <si>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</si>
  <si>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</si>
  <si>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</si>
  <si>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</si>
  <si>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</si>
  <si>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</si>
  <si>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</si>
  <si>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</si>
  <si>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</si>
  <si>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</si>
  <si>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</si>
  <si>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</si>
  <si>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</si>
  <si>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</si>
  <si>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</si>
  <si>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</si>
  <si>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</si>
  <si>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</si>
  <si>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</si>
  <si>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</si>
  <si>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</si>
  <si>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</si>
  <si>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</si>
  <si>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</si>
  <si>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</si>
  <si>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</si>
  <si>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</si>
  <si>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</si>
  <si>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</si>
  <si>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</si>
  <si>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</si>
  <si>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</si>
  <si>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</si>
  <si>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</si>
  <si>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</si>
  <si>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</si>
  <si>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</si>
  <si>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</si>
  <si>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</si>
  <si>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</si>
  <si>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</si>
  <si>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</si>
  <si>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</si>
  <si>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</si>
  <si>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</si>
  <si>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</si>
  <si>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</si>
  <si>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</si>
  <si>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</si>
  <si>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</si>
  <si>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</si>
  <si>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</si>
  <si>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</si>
  <si>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</si>
  <si>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</si>
  <si>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</si>
  <si>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</si>
  <si>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</si>
  <si>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</si>
  <si>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</si>
  <si>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</si>
  <si>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</si>
  <si>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</si>
  <si>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</si>
  <si>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</si>
  <si>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</si>
  <si>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</si>
  <si>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</si>
  <si>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</si>
  <si>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</si>
  <si>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</si>
  <si>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</si>
  <si>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</si>
  <si>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</si>
  <si>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</si>
  <si>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</si>
  <si>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</si>
  <si>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</si>
  <si>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</si>
  <si>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</si>
  <si>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</si>
  <si>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</si>
  <si>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</si>
  <si>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</si>
  <si>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</si>
  <si>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</si>
  <si>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</si>
  <si>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</si>
  <si>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</si>
  <si>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</si>
  <si>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</si>
  <si>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</si>
  <si>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</si>
  <si>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</si>
  <si>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</si>
  <si>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</si>
  <si>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</si>
  <si>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</si>
  <si>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</si>
  <si>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</si>
  <si>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</si>
  <si>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</si>
  <si>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</si>
  <si>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</si>
  <si>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</si>
  <si>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</si>
  <si>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</si>
  <si>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</si>
  <si>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</si>
  <si>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</si>
  <si>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</si>
  <si>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</si>
  <si>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</si>
  <si>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</si>
  <si>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</si>
  <si>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</si>
  <si>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</si>
  <si>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</si>
  <si>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</si>
  <si>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</si>
  <si>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</si>
  <si>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</si>
  <si>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</si>
  <si>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</si>
  <si>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</si>
  <si>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</si>
  <si>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</si>
  <si>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</si>
  <si>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</si>
  <si>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</si>
  <si>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</si>
  <si>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</si>
  <si>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</si>
  <si>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</si>
  <si>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</si>
  <si>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</si>
  <si>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</si>
  <si>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</si>
  <si>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</si>
  <si>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</si>
  <si>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</si>
  <si>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</si>
  <si>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</si>
  <si>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</si>
  <si>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</si>
  <si>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</si>
  <si>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</si>
  <si>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</si>
  <si>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</si>
  <si>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</si>
  <si>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</si>
  <si>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</si>
  <si>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</si>
  <si>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</si>
  <si>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</si>
  <si>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</si>
  <si>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</si>
  <si>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</si>
  <si>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</si>
  <si>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</si>
  <si>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</si>
  <si>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</si>
  <si>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</si>
  <si>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</si>
  <si>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</si>
  <si>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</si>
  <si>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</si>
  <si>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</si>
  <si>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</si>
  <si>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</si>
  <si>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</si>
  <si>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</si>
  <si>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</si>
  <si>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</si>
  <si>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</si>
  <si>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</si>
  <si>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</si>
  <si>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</si>
  <si>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</si>
  <si>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</si>
  <si>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</si>
  <si>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</si>
  <si>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</si>
  <si>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</si>
  <si>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</si>
  <si>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</si>
  <si>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</si>
  <si>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</si>
  <si>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</si>
  <si>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</si>
  <si>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</si>
  <si>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</si>
  <si>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</si>
  <si>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</si>
  <si>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</si>
  <si>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</si>
  <si>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</si>
  <si>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</si>
  <si>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</si>
  <si>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</si>
  <si>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</si>
  <si>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</si>
  <si>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</si>
  <si>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</si>
  <si>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</si>
  <si>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</si>
  <si>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</si>
  <si>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</si>
  <si>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</si>
  <si>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</si>
  <si>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</si>
  <si>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</si>
  <si>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</si>
  <si>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</si>
  <si>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</si>
  <si>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</si>
  <si>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</si>
  <si>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</si>
  <si>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</si>
  <si>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</si>
  <si>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</si>
  <si>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</si>
  <si>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</si>
  <si>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</si>
  <si>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</si>
  <si>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</si>
  <si>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</si>
  <si>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</si>
  <si>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</si>
  <si>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</si>
  <si>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</si>
  <si>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</si>
  <si>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</si>
  <si>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</si>
  <si>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</si>
  <si>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</si>
  <si>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</si>
  <si>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</si>
  <si>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</si>
  <si>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</si>
  <si>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</si>
  <si>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</si>
  <si>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</si>
  <si>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</si>
  <si>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</si>
  <si>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</si>
  <si>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</si>
  <si>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</si>
  <si>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</si>
  <si>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</si>
  <si>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</si>
  <si>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</si>
  <si>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</si>
  <si>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</si>
  <si>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</si>
  <si>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</si>
  <si>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</si>
  <si>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</si>
  <si>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</si>
  <si>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</si>
  <si>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</si>
  <si>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</si>
  <si>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</si>
  <si>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</si>
  <si>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</si>
  <si>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</si>
  <si>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</si>
  <si>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</si>
  <si>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</si>
  <si>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</si>
  <si>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</si>
  <si>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</si>
  <si>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</si>
  <si>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</si>
  <si>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</si>
  <si>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</si>
  <si>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</si>
  <si>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</si>
  <si>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</si>
  <si>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</si>
  <si>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</si>
  <si>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</si>
  <si>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</si>
  <si>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</si>
  <si>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</si>
  <si>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</si>
  <si>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</si>
  <si>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</si>
  <si>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</si>
  <si>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</si>
  <si>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</si>
  <si>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</si>
  <si>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</si>
  <si>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</si>
  <si>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</si>
  <si>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</si>
  <si>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</si>
  <si>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</si>
  <si>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</si>
  <si>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</si>
  <si>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</si>
  <si>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</si>
  <si>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</si>
  <si>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</si>
  <si>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</si>
  <si>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</si>
  <si>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</si>
  <si>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</si>
  <si>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</si>
  <si>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</si>
  <si>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</si>
  <si>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</si>
  <si>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</si>
  <si>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</si>
  <si>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</si>
  <si>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</si>
  <si>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</si>
  <si>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</si>
  <si>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</si>
  <si>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</si>
  <si>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</si>
  <si>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</si>
  <si>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</si>
  <si>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</si>
  <si>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</si>
  <si>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</si>
  <si>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</si>
  <si>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</si>
  <si>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</si>
  <si>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</si>
  <si>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</si>
  <si>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</si>
  <si>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</si>
  <si>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</si>
  <si>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</si>
  <si>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</si>
  <si>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</si>
  <si>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</si>
  <si>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</si>
  <si>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</si>
  <si>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</si>
  <si>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</si>
  <si>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</si>
  <si>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</si>
  <si>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</si>
  <si>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</si>
  <si>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</si>
  <si>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</si>
  <si>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</si>
  <si>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</si>
  <si>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</si>
  <si>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</si>
  <si>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</si>
  <si>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</si>
  <si>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</si>
  <si>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</si>
  <si>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</si>
  <si>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</si>
  <si>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</si>
  <si>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</si>
  <si>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</si>
  <si>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</si>
  <si>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</si>
  <si>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</si>
  <si>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</si>
  <si>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</si>
  <si>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</si>
  <si>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</si>
  <si>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</si>
  <si>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</si>
  <si>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</si>
  <si>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</si>
  <si>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</si>
  <si>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</si>
  <si>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</si>
  <si>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</si>
  <si>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</si>
  <si>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</si>
  <si>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</si>
  <si>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</si>
  <si>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</si>
  <si>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</si>
  <si>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</si>
  <si>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</si>
  <si>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</si>
  <si>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</si>
  <si>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</si>
  <si>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</si>
  <si>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</si>
  <si>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</si>
  <si>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</si>
  <si>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</si>
  <si>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</si>
  <si>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</si>
  <si>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</si>
  <si>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</si>
  <si>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</si>
  <si>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</si>
  <si>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</si>
  <si>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</si>
  <si>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</si>
  <si>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</si>
  <si>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</si>
  <si>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</si>
  <si>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</si>
  <si>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</si>
  <si>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</si>
  <si>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</si>
  <si>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</si>
  <si>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</si>
  <si>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</si>
  <si>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</si>
  <si>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</si>
  <si>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</si>
  <si>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</si>
  <si>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</si>
  <si>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</si>
  <si>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</si>
  <si>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</si>
  <si>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</si>
  <si>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</si>
  <si>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</si>
  <si>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</si>
  <si>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</si>
  <si>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</si>
  <si>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</si>
  <si>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</si>
  <si>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</si>
  <si>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</si>
  <si>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</si>
  <si>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</si>
  <si>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</si>
  <si>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</si>
  <si>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</si>
  <si>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</si>
  <si>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</si>
  <si>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</si>
  <si>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</si>
  <si>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</si>
  <si>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</si>
  <si>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</si>
  <si>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</si>
  <si>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</si>
  <si>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</si>
  <si>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</si>
  <si>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</si>
  <si>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</si>
  <si>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</si>
  <si>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</si>
  <si>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</si>
  <si>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</si>
  <si>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</si>
  <si>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</si>
  <si>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</si>
  <si>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</si>
  <si>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</si>
  <si>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</si>
  <si>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</si>
  <si>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</si>
  <si>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</si>
  <si>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</si>
  <si>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</si>
  <si>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</si>
  <si>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</si>
  <si>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</si>
  <si>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</si>
  <si>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</si>
  <si>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</si>
  <si>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</si>
  <si>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</si>
  <si>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</si>
  <si>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</si>
  <si>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</si>
  <si>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</si>
  <si>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</si>
  <si>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</si>
  <si>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</si>
  <si>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</si>
  <si>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</si>
  <si>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</si>
  <si>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</si>
  <si>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</si>
  <si>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</si>
  <si>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</si>
  <si>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</si>
  <si>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</si>
  <si>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</si>
  <si>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</si>
  <si>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</si>
  <si>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</si>
  <si>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</si>
  <si>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</si>
  <si>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</si>
  <si>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</si>
  <si>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</si>
  <si>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</si>
  <si>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</si>
  <si>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</si>
  <si>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</si>
  <si>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</si>
  <si>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</si>
  <si>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</si>
  <si>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</si>
  <si>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</si>
  <si>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</si>
  <si>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</si>
  <si>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</si>
  <si>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</si>
  <si>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</si>
  <si>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</si>
  <si>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</si>
  <si>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</si>
  <si>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</si>
  <si>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</si>
  <si>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</si>
  <si>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</si>
  <si>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</si>
  <si>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</si>
  <si>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</si>
  <si>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</si>
  <si>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</si>
  <si>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</si>
  <si>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</si>
  <si>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</si>
  <si>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</si>
  <si>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</si>
  <si>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</si>
  <si>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</si>
  <si>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</si>
  <si>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</si>
  <si>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</si>
  <si>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</si>
  <si>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</si>
  <si>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</si>
  <si>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</si>
  <si>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</si>
  <si>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</si>
  <si>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</si>
  <si>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</si>
  <si>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</si>
  <si>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</si>
  <si>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</si>
  <si>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</si>
  <si>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</si>
  <si>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</si>
  <si>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</si>
  <si>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</si>
  <si>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</si>
  <si>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</si>
  <si>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</si>
  <si>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</si>
  <si>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</si>
  <si>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</si>
  <si>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</si>
  <si>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</si>
  <si>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</si>
  <si>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</si>
  <si>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</si>
  <si>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</si>
  <si>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</si>
  <si>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</si>
  <si>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</si>
  <si>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</si>
  <si>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</si>
  <si>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</si>
  <si>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</si>
  <si>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</si>
  <si>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</si>
  <si>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</si>
  <si>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</si>
  <si>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</si>
  <si>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</si>
  <si>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</si>
  <si>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</si>
  <si>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</si>
  <si>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</si>
  <si>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</si>
  <si>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</si>
  <si>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</si>
  <si>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</si>
  <si>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</si>
  <si>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</si>
  <si>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</si>
  <si>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</si>
  <si>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</si>
  <si>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</si>
  <si>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</si>
  <si>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</si>
  <si>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</si>
  <si>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</si>
  <si>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</si>
  <si>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</si>
  <si>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</si>
  <si>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</si>
  <si>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</si>
  <si>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</si>
  <si>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</si>
  <si>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</si>
  <si>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</si>
  <si>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</si>
  <si>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</si>
  <si>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</si>
  <si>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</si>
  <si>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</si>
  <si>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</si>
  <si>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</si>
  <si>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</si>
  <si>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</si>
  <si>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</si>
  <si>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</si>
  <si>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</si>
  <si>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</si>
  <si>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</si>
  <si>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</si>
  <si>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</si>
  <si>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</si>
  <si>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</si>
  <si>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</si>
  <si>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</si>
  <si>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</si>
  <si>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</si>
  <si>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</si>
  <si>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</si>
  <si>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</si>
  <si>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</si>
  <si>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</si>
  <si>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</si>
  <si>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</si>
  <si>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</si>
  <si>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</si>
  <si>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</si>
  <si>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</si>
  <si>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</si>
  <si>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</si>
  <si>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</si>
  <si>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</si>
  <si>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</si>
  <si>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</si>
  <si>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</si>
  <si>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</si>
  <si>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</si>
  <si>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</si>
  <si>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</si>
  <si>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</si>
  <si>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</si>
  <si>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</si>
  <si>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</si>
  <si>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</si>
  <si>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</si>
  <si>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</si>
  <si>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</si>
  <si>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</si>
  <si>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</si>
  <si>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</si>
  <si>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</si>
  <si>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</si>
  <si>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</si>
  <si>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</si>
  <si>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</si>
  <si>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</si>
  <si>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</si>
  <si>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</si>
  <si>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</si>
  <si>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</si>
  <si>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</si>
  <si>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</si>
  <si>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</si>
  <si>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</si>
  <si>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</si>
  <si>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</si>
  <si>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</si>
  <si>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</si>
  <si>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</si>
  <si>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</si>
  <si>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</si>
  <si>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</si>
  <si>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</si>
  <si>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</si>
  <si>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</si>
  <si>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</si>
  <si>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</si>
  <si>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</si>
  <si>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</si>
  <si>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</si>
  <si>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</si>
  <si>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</si>
  <si>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</si>
  <si>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</si>
  <si>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</si>
  <si>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</si>
  <si>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</si>
  <si>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</si>
  <si>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</si>
  <si>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</si>
  <si>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</si>
  <si>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</si>
  <si>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</si>
  <si>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</si>
  <si>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</si>
  <si>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</si>
  <si>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</si>
  <si>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</si>
  <si>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</si>
  <si>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</si>
  <si>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</si>
  <si>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</si>
  <si>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</si>
  <si>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</si>
  <si>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</si>
  <si>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</si>
  <si>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</si>
  <si>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</si>
  <si>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</si>
  <si>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</si>
  <si>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</si>
  <si>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</si>
  <si>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</si>
  <si>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</si>
  <si>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</si>
  <si>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</si>
  <si>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</si>
  <si>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</si>
  <si>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</si>
  <si>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</si>
  <si>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</si>
  <si>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</si>
  <si>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</si>
  <si>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</si>
  <si>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</si>
  <si>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</si>
  <si>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</si>
  <si>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</si>
  <si>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</si>
  <si>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</si>
  <si>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</si>
  <si>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</si>
  <si>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</si>
  <si>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</si>
  <si>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</si>
  <si>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</si>
  <si>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</si>
  <si>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</si>
  <si>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</si>
  <si>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</si>
  <si>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</si>
  <si>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</si>
  <si>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</si>
  <si>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</si>
  <si>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</si>
  <si>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</si>
  <si>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</si>
  <si>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</si>
  <si>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</si>
  <si>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</si>
  <si>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</si>
  <si>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</si>
  <si>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</si>
  <si>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</si>
  <si>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</si>
  <si>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</si>
  <si>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</si>
  <si>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</si>
  <si>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</si>
  <si>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</si>
  <si>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</si>
  <si>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</si>
  <si>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</si>
  <si>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</si>
  <si>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</si>
  <si>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</si>
  <si>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</si>
  <si>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</si>
  <si>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</si>
  <si>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</si>
  <si>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</si>
  <si>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</si>
  <si>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</si>
  <si>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</si>
  <si>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</si>
  <si>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</si>
  <si>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</si>
  <si>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</si>
  <si>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</si>
  <si>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</si>
  <si>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</si>
  <si>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</si>
  <si>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</si>
  <si>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</si>
  <si>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</si>
  <si>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</si>
  <si>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</si>
  <si>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</si>
  <si>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</si>
  <si>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</si>
  <si>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</si>
  <si>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</si>
  <si>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</si>
  <si>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</si>
  <si>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</si>
  <si>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</si>
  <si>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</si>
  <si>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</si>
  <si>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</si>
  <si>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</si>
  <si>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</si>
  <si>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</si>
  <si>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</si>
  <si>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</si>
  <si>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</si>
  <si>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</si>
  <si>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</si>
  <si>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</si>
  <si>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</si>
  <si>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</si>
  <si>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</si>
  <si>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</si>
  <si>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</si>
  <si>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</si>
  <si>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</si>
  <si>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</si>
  <si>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</si>
  <si>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</si>
  <si>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</si>
  <si>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</si>
  <si>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</si>
  <si>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</si>
  <si>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</si>
  <si>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</si>
  <si>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</si>
  <si>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</si>
  <si>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</si>
  <si>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</si>
  <si>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</si>
  <si>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</si>
  <si>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</si>
  <si>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</si>
  <si>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</si>
  <si>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</si>
  <si>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</si>
  <si>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</si>
  <si>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</si>
  <si>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</si>
  <si>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</si>
  <si>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</si>
  <si>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</si>
  <si>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</si>
  <si>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</si>
  <si>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</si>
  <si>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</si>
  <si>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</si>
  <si>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</si>
  <si>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</si>
  <si>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</si>
  <si>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</si>
  <si>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</si>
  <si>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</si>
  <si>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</si>
  <si>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</si>
  <si>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</si>
  <si>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</si>
  <si>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</si>
  <si>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</si>
  <si>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</si>
  <si>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</si>
  <si>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</si>
  <si>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</si>
  <si>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</si>
  <si>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</si>
  <si>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</si>
  <si>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</si>
  <si>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</si>
  <si>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</si>
  <si>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</si>
  <si>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</si>
  <si>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</si>
  <si>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</si>
  <si>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</si>
  <si>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</si>
  <si>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</si>
  <si>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</si>
  <si>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</si>
  <si>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</si>
  <si>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</si>
  <si>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</si>
  <si>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</si>
  <si>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</si>
  <si>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</si>
  <si>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</si>
  <si>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</si>
  <si>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</si>
  <si>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</si>
  <si>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</si>
  <si>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</si>
  <si>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</si>
  <si>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</si>
  <si>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</si>
  <si>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</si>
  <si>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</si>
  <si>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</si>
  <si>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</si>
  <si>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</si>
  <si>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</si>
  <si>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</si>
  <si>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</si>
  <si>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</si>
  <si>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</si>
  <si>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</si>
  <si>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</si>
  <si>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</si>
  <si>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</si>
  <si>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</si>
  <si>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</si>
  <si>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</si>
  <si>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</si>
  <si>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</si>
  <si>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</si>
  <si>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</si>
  <si>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</si>
  <si>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</si>
  <si>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</si>
  <si>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</si>
  <si>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</si>
  <si>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</si>
  <si>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</si>
  <si>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</si>
  <si>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</si>
  <si>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</si>
  <si>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</si>
  <si>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</si>
  <si>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</si>
  <si>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</si>
  <si>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</si>
  <si>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</si>
  <si>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</si>
  <si>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</si>
  <si>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</si>
  <si>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</si>
  <si>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</si>
  <si>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</si>
  <si>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</si>
  <si>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</si>
  <si>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</si>
  <si>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</si>
  <si>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</si>
  <si>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</si>
  <si>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</si>
  <si>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</si>
  <si>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</si>
  <si>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</si>
  <si>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</si>
  <si>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</si>
  <si>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</si>
  <si>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</si>
  <si>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</si>
  <si>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</si>
  <si>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</si>
  <si>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</si>
  <si>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</si>
  <si>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</si>
  <si>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</si>
  <si>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</si>
  <si>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</si>
  <si>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</si>
  <si>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</si>
  <si>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</si>
  <si>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</si>
  <si>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</si>
  <si>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</si>
  <si>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</si>
  <si>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</si>
  <si>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</si>
  <si>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</si>
  <si>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</si>
  <si>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</si>
  <si>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</si>
  <si>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</si>
  <si>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</si>
  <si>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</si>
  <si>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</si>
  <si>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</si>
  <si>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</si>
  <si>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</si>
  <si>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</si>
  <si>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</si>
  <si>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</si>
  <si>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</si>
  <si>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</si>
  <si>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</si>
  <si>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</si>
  <si>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</si>
  <si>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</si>
  <si>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</si>
  <si>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</si>
  <si>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</si>
  <si>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</si>
  <si>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</si>
  <si>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</si>
  <si>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</si>
  <si>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</si>
  <si>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</si>
  <si>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</si>
  <si>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</si>
  <si>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</si>
  <si>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</si>
  <si>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</si>
  <si>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</si>
  <si>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</si>
  <si>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</si>
  <si>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</si>
  <si>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</si>
  <si>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</si>
  <si>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</si>
  <si>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</si>
  <si>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</si>
  <si>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</si>
  <si>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</si>
  <si>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</si>
  <si>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</si>
  <si>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</si>
  <si>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</si>
  <si>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</si>
  <si>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</si>
  <si>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</si>
  <si>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</si>
  <si>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</si>
  <si>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</si>
  <si>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</si>
  <si>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</si>
  <si>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</si>
  <si>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</si>
  <si>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</si>
  <si>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</si>
  <si>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</si>
  <si>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</si>
  <si>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</si>
  <si>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</si>
  <si>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</si>
  <si>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</si>
  <si>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</si>
  <si>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</si>
  <si>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</si>
  <si>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</si>
  <si>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</si>
  <si>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</si>
  <si>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</si>
  <si>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</si>
  <si>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</si>
  <si>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</si>
  <si>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</si>
  <si>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</si>
  <si>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</si>
  <si>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</si>
  <si>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</si>
  <si>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</si>
  <si>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</si>
  <si>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</si>
  <si>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</si>
  <si>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</si>
  <si>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</si>
  <si>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</si>
  <si>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</si>
  <si>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</si>
  <si>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</si>
  <si>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</si>
  <si>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</si>
  <si>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</si>
  <si>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</si>
  <si>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</si>
  <si>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</si>
  <si>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</si>
  <si>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</si>
  <si>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</si>
  <si>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</si>
  <si>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</si>
  <si>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</si>
  <si>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</si>
  <si>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</si>
  <si>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</si>
  <si>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</si>
  <si>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</si>
  <si>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</si>
  <si>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</si>
  <si>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</si>
  <si>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</si>
  <si>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</si>
  <si>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</si>
  <si>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</si>
  <si>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</si>
  <si>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</si>
  <si>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</si>
  <si>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</si>
  <si>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</si>
  <si>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</si>
  <si>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</si>
  <si>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</si>
  <si>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</si>
  <si>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</si>
  <si>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</si>
  <si>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</si>
  <si>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</si>
  <si>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</si>
  <si>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</si>
  <si>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</si>
  <si>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</si>
  <si>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</si>
  <si>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</si>
  <si>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</si>
  <si>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</si>
  <si>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</si>
  <si>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</si>
  <si>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</si>
  <si>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</si>
  <si>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</si>
  <si>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</si>
  <si>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</si>
  <si>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</si>
  <si>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</si>
  <si>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</si>
  <si>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</si>
  <si>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</si>
  <si>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</si>
  <si>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</si>
  <si>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</si>
  <si>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</si>
  <si>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</si>
  <si>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</si>
  <si>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</si>
  <si>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</si>
  <si>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</si>
  <si>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</si>
  <si>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</si>
  <si>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</si>
  <si>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</si>
  <si>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</si>
  <si>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</si>
  <si>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</si>
  <si>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</si>
  <si>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</si>
  <si>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</si>
  <si>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</si>
  <si>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</si>
  <si>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</si>
  <si>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</si>
  <si>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</si>
  <si>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</si>
  <si>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</si>
  <si>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</si>
  <si>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</si>
  <si>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</si>
  <si>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</si>
  <si>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</si>
  <si>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</si>
  <si>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</si>
  <si>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</si>
  <si>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</si>
  <si>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</si>
  <si>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</si>
  <si>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</si>
  <si>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</si>
  <si>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</si>
  <si>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</si>
  <si>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</si>
  <si>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</si>
  <si>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</si>
  <si>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</si>
  <si>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</si>
  <si>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</si>
  <si>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</si>
  <si>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</si>
  <si>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</si>
  <si>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</si>
  <si>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</si>
  <si>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</si>
  <si>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</si>
  <si>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</si>
  <si>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</si>
  <si>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</si>
  <si>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</si>
  <si>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</si>
  <si>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</si>
  <si>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</si>
  <si>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</si>
  <si>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</si>
  <si>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</si>
  <si>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</si>
  <si>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</si>
  <si>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</si>
  <si>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</si>
  <si>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</si>
  <si>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</si>
  <si>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</si>
  <si>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</si>
  <si>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</si>
  <si>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</si>
  <si>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</si>
  <si>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</si>
  <si>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</si>
  <si>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</si>
  <si>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</si>
  <si>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</si>
  <si>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</si>
  <si>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</si>
  <si>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</si>
  <si>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</si>
  <si>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</si>
  <si>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</si>
  <si>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</si>
  <si>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</si>
  <si>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</si>
  <si>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</si>
  <si>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</si>
  <si>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</si>
  <si>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</si>
  <si>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</si>
  <si>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</si>
  <si>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</si>
  <si>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</si>
  <si>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</si>
  <si>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</si>
  <si>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</si>
  <si>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</si>
  <si>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</si>
  <si>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</si>
  <si>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</si>
  <si>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</si>
  <si>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</si>
  <si>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</si>
  <si>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</si>
  <si>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</si>
  <si>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</si>
  <si>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</si>
  <si>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</si>
  <si>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</si>
  <si>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</si>
  <si>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</si>
  <si>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</si>
  <si>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</si>
  <si>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</si>
  <si>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</si>
  <si>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</si>
  <si>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</si>
  <si>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</si>
  <si>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</si>
  <si>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</si>
  <si>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</si>
  <si>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</si>
  <si>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</si>
  <si>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</si>
  <si>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</si>
  <si>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</si>
  <si>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</si>
  <si>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</si>
  <si>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</si>
  <si>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</si>
  <si>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</si>
  <si>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</si>
  <si>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</si>
  <si>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</si>
  <si>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</si>
  <si>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</si>
  <si>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</si>
  <si>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</si>
  <si>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</si>
  <si>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</si>
  <si>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</si>
  <si>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</si>
  <si>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</si>
  <si>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</si>
  <si>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</si>
  <si>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</si>
  <si>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</si>
  <si>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</si>
  <si>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</si>
  <si>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</si>
  <si>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</si>
  <si>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</si>
  <si>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</si>
  <si>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</si>
  <si>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</si>
  <si>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</si>
  <si>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</si>
  <si>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</si>
  <si>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</si>
  <si>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</si>
  <si>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</si>
  <si>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</si>
  <si>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</si>
  <si>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</si>
  <si>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</si>
  <si>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</si>
  <si>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</si>
  <si>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</si>
  <si>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</si>
  <si>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</si>
  <si>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</si>
  <si>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</si>
  <si>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</si>
  <si>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</si>
  <si>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</si>
  <si>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</si>
  <si>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</si>
  <si>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</si>
  <si>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</si>
  <si>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</si>
  <si>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</si>
  <si>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</si>
  <si>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</si>
  <si>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</si>
  <si>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</si>
  <si>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</si>
  <si>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</si>
  <si>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</si>
  <si>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</si>
  <si>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</si>
  <si>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</si>
  <si>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</si>
  <si>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</si>
  <si>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</si>
  <si>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</si>
  <si>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</si>
  <si>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</si>
  <si>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</si>
  <si>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</si>
  <si>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</si>
  <si>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</si>
  <si>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</si>
  <si>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</si>
  <si>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</si>
  <si>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</si>
  <si>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</si>
  <si>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</si>
  <si>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</si>
  <si>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</si>
  <si>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</si>
  <si>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</si>
  <si>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</si>
  <si>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</si>
  <si>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</si>
  <si>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</si>
  <si>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</si>
  <si>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</si>
  <si>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</si>
  <si>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</si>
  <si>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</si>
  <si>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</si>
  <si>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</si>
  <si>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</si>
  <si>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</si>
  <si>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</si>
  <si>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</si>
  <si>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</si>
  <si>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</si>
  <si>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</si>
  <si>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</si>
  <si>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</si>
  <si>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</si>
  <si>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</si>
  <si>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</si>
  <si>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</si>
  <si>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</si>
  <si>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</si>
  <si>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</si>
  <si>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</si>
  <si>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</si>
  <si>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</si>
  <si>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</si>
  <si>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</si>
  <si>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</si>
  <si>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</si>
  <si>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</si>
  <si>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</si>
  <si>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</si>
  <si>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</si>
  <si>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</si>
  <si>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</si>
  <si>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</si>
  <si>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</si>
  <si>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</si>
  <si>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</si>
  <si>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</si>
  <si>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</si>
  <si>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</si>
  <si>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</si>
  <si>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</si>
  <si>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</si>
  <si>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</si>
  <si>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</si>
  <si>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</si>
  <si>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</si>
  <si>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</si>
  <si>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</si>
  <si>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</si>
  <si>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</si>
  <si>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</si>
  <si>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</si>
  <si>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</si>
  <si>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</si>
  <si>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</si>
  <si>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</si>
  <si>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</si>
  <si>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</si>
  <si>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</si>
  <si>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</si>
  <si>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</si>
  <si>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</si>
  <si>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</si>
  <si>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</si>
  <si>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</si>
  <si>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</si>
  <si>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</si>
  <si>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</si>
  <si>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</si>
  <si>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</si>
  <si>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</si>
  <si>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</si>
  <si>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</si>
  <si>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</si>
  <si>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</si>
  <si>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</si>
  <si>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</si>
  <si>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</si>
  <si>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</si>
  <si>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</si>
  <si>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</si>
  <si>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</si>
  <si>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</si>
  <si>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</si>
  <si>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</si>
  <si>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</si>
  <si>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</si>
  <si>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</si>
  <si>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</si>
  <si>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</si>
  <si>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</si>
  <si>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</si>
  <si>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</si>
  <si>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</si>
  <si>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</si>
  <si>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</si>
  <si>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</si>
  <si>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</si>
  <si>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</si>
  <si>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</si>
  <si>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</si>
  <si>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</si>
  <si>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</si>
  <si>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</si>
  <si>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</si>
  <si>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</si>
  <si>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</si>
  <si>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</si>
  <si>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</si>
  <si>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</si>
  <si>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</si>
  <si>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</si>
  <si>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</si>
  <si>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</si>
  <si>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</si>
  <si>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</si>
  <si>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</si>
  <si>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</si>
  <si>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</si>
  <si>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</si>
  <si>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</si>
  <si>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</si>
  <si>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</si>
  <si>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</si>
  <si>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</si>
  <si>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</si>
  <si>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</si>
  <si>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</si>
  <si>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</si>
  <si>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</si>
  <si>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</si>
  <si>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</si>
  <si>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</si>
  <si>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</si>
  <si>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</si>
  <si>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</si>
  <si>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</si>
  <si>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</si>
  <si>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</si>
  <si>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</si>
  <si>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</si>
  <si>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</si>
  <si>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</si>
  <si>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</si>
  <si>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</si>
  <si>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</si>
  <si>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</si>
  <si>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</si>
  <si>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</si>
  <si>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</si>
  <si>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</si>
  <si>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</si>
  <si>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</si>
  <si>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</si>
  <si>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</si>
  <si>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</si>
  <si>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</si>
  <si>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</si>
  <si>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</si>
  <si>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</si>
  <si>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</si>
  <si>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</si>
  <si>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</si>
  <si>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</si>
  <si>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</si>
  <si>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</si>
  <si>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</si>
  <si>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</si>
  <si>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</si>
  <si>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</si>
  <si>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</si>
  <si>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</si>
  <si>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</si>
  <si>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</si>
  <si>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</si>
  <si>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</si>
  <si>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</si>
  <si>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</si>
  <si>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</si>
  <si>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</si>
  <si>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</si>
  <si>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</si>
  <si>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</si>
  <si>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</si>
  <si>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</si>
  <si>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</si>
  <si>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</si>
  <si>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</si>
  <si>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</si>
  <si>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</si>
  <si>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</si>
  <si>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</si>
  <si>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</si>
  <si>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</si>
  <si>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</si>
  <si>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</si>
  <si>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</si>
  <si>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</si>
  <si>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</si>
  <si>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</si>
  <si>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</si>
  <si>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</si>
  <si>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</si>
  <si>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</si>
  <si>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</si>
  <si>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</si>
  <si>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</si>
  <si>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</si>
  <si>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</si>
  <si>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</si>
  <si>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</si>
  <si>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</si>
  <si>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</si>
  <si>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</si>
  <si>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</si>
  <si>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</si>
  <si>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</si>
  <si>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</si>
  <si>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</si>
  <si>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</si>
  <si>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</si>
  <si>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</si>
  <si>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</si>
  <si>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</si>
  <si>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</si>
  <si>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</si>
  <si>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</si>
  <si>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</si>
  <si>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</si>
  <si>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</si>
  <si>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</si>
  <si>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</si>
  <si>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</si>
  <si>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</si>
  <si>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</si>
  <si>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</si>
  <si>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</si>
  <si>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</si>
  <si>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</si>
  <si>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</si>
  <si>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</si>
  <si>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</si>
  <si>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</si>
  <si>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</si>
  <si>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</si>
  <si>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</si>
  <si>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</si>
  <si>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</si>
  <si>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</si>
  <si>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</si>
  <si>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</si>
  <si>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</si>
  <si>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</si>
  <si>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</si>
  <si>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</si>
  <si>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</si>
  <si>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</si>
  <si>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</si>
  <si>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</si>
  <si>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</si>
  <si>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</si>
  <si>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</si>
  <si>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</si>
  <si>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</si>
  <si>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</si>
  <si>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</si>
  <si>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</si>
  <si>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</si>
  <si>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</si>
  <si>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</si>
  <si>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</si>
  <si>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</si>
  <si>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</si>
  <si>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</si>
  <si>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</si>
  <si>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</si>
  <si>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</si>
  <si>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</si>
  <si>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</si>
  <si>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</si>
  <si>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</si>
  <si>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</si>
  <si>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</si>
  <si>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</si>
  <si>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</si>
  <si>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</si>
  <si>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</si>
  <si>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</si>
  <si>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</si>
  <si>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</si>
  <si>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</si>
  <si>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</si>
  <si>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</si>
  <si>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</si>
  <si>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</si>
  <si>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</si>
  <si>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</si>
  <si>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</si>
  <si>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</si>
  <si>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</si>
  <si>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</si>
  <si>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</si>
  <si>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</si>
  <si>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</si>
  <si>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</si>
  <si>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</si>
  <si>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</si>
  <si>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</si>
  <si>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</si>
  <si>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</si>
  <si>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</si>
  <si>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</si>
  <si>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</si>
  <si>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Count of opportunity_id</t>
  </si>
  <si>
    <t>Row Labels</t>
  </si>
  <si>
    <t>Grand Total</t>
  </si>
  <si>
    <t>Qtr1</t>
  </si>
  <si>
    <t>Qtr2</t>
  </si>
  <si>
    <t>Qtr3</t>
  </si>
  <si>
    <t>Qtr4</t>
  </si>
  <si>
    <t>Column Labels</t>
  </si>
  <si>
    <t>2017</t>
  </si>
  <si>
    <t>2017 Total</t>
  </si>
  <si>
    <t xml:space="preserve"> </t>
  </si>
  <si>
    <t>KPI</t>
  </si>
  <si>
    <t>Total Opporunies : 1985</t>
  </si>
  <si>
    <t>Won Opportunties :1196</t>
  </si>
  <si>
    <t>Lost Opportunties : 789</t>
  </si>
  <si>
    <t>Win Rate : 60%</t>
  </si>
  <si>
    <t>Best Sales : Darcell Schedel</t>
  </si>
  <si>
    <t>Best Quarter : Q3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</si>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</sst>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79998168889431442"/>
      <name val="Calibri"/>
      <family val="2"/>
      <scheme val="minor"/>
    </font>
    <font>
      <sz val="11"/>
      <color theme="4" tint="0.59999389629810485"/>
      <name val="Calibri"/>
      <family val="2"/>
      <scheme val="minor"/>
    </font>
    <font>
      <sz val="16"/>
      <color theme="1"/>
      <name val="Calibri"/>
      <family val="2"/>
      <scheme val="minor"/>
    </font>
    <font>
      <sz val="18"/>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0"/>
        <bgColor indexed="64"/>
      </patternFill>
    </fill>
    <fill>
      <patternFill patternType="solid">
        <fgColor theme="2" tint="-0.499984740745262"/>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3" tint="0.39997558519241921"/>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1" fontId="0" fillId="0" borderId="0" xfId="0" applyNumberFormat="1"/>
    <xf numFmtId="0" fontId="0" fillId="0" borderId="0" xfId="0" pivotButton="1"/>
    <xf numFmtId="0" fontId="0" fillId="33" borderId="0" xfId="0" applyFill="1" applyAlignment="1">
      <alignment horizontal="left"/>
    </xf>
    <xf numFmtId="10" fontId="0" fillId="33" borderId="0" xfId="0" applyNumberFormat="1" applyFill="1"/>
    <xf numFmtId="0" fontId="0" fillId="34" borderId="0" xfId="0" applyFill="1"/>
    <xf numFmtId="0" fontId="18" fillId="35" borderId="0" xfId="0" applyFont="1" applyFill="1"/>
    <xf numFmtId="0" fontId="0" fillId="36" borderId="0" xfId="0" applyFill="1" applyAlignment="1">
      <alignment horizontal="left"/>
    </xf>
    <xf numFmtId="0" fontId="0" fillId="37" borderId="0" xfId="0" applyFill="1"/>
    <xf numFmtId="0" fontId="19" fillId="38" borderId="0" xfId="0" applyFont="1" applyFill="1"/>
    <xf numFmtId="0" fontId="0" fillId="39" borderId="0" xfId="0" applyFill="1" applyAlignment="1">
      <alignment horizontal="left"/>
    </xf>
    <xf numFmtId="0" fontId="19" fillId="40" borderId="0" xfId="0" applyFont="1" applyFill="1"/>
    <xf numFmtId="0" fontId="0" fillId="36" borderId="0" xfId="0" applyNumberFormat="1" applyFill="1"/>
    <xf numFmtId="0" fontId="0" fillId="39" borderId="0" xfId="0" applyNumberFormat="1" applyFill="1"/>
    <xf numFmtId="0" fontId="21" fillId="0" borderId="0" xfId="0" applyFont="1"/>
    <xf numFmtId="0" fontId="0" fillId="0" borderId="0" xfId="0" applyAlignment="1">
      <alignment vertical="center"/>
    </xf>
    <xf numFmtId="0" fontId="20" fillId="42" borderId="0" xfId="0" applyFont="1" applyFill="1" applyAlignment="1">
      <alignment horizontal="center"/>
    </xf>
    <xf numFmtId="0" fontId="20" fillId="0" borderId="0" xfId="0" applyFont="1"/>
    <xf numFmtId="0" fontId="20" fillId="41"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font>
        <color theme="4" tint="0.59999389629810485"/>
      </font>
    </dxf>
    <dxf>
      <font>
        <color theme="4" tint="0.59999389629810485"/>
      </font>
    </dxf>
    <dxf>
      <font>
        <color theme="4" tint="0.59999389629810485"/>
      </font>
    </dxf>
    <dxf>
      <font>
        <color theme="4" tint="0.59999389629810485"/>
      </font>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59999389629810485"/>
        </patternFill>
      </fill>
    </dxf>
    <dxf>
      <fill>
        <patternFill>
          <bgColor theme="3"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0070C0"/>
      </font>
    </dxf>
    <dxf>
      <font>
        <color rgb="FF0070C0"/>
      </font>
    </dxf>
    <dxf>
      <font>
        <color rgb="FF0070C0"/>
      </font>
    </dxf>
    <dxf>
      <font>
        <color rgb="FF0070C0"/>
      </font>
    </dxf>
    <dxf>
      <fill>
        <patternFill>
          <bgColor theme="0" tint="-0.249977111117893"/>
        </patternFill>
      </fill>
    </dxf>
    <dxf>
      <fill>
        <patternFill>
          <bgColor theme="0"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5" tint="0.59999389629810485"/>
        </patternFill>
      </fill>
    </dxf>
    <dxf>
      <fill>
        <patternFill patternType="solid">
          <bgColor theme="5" tint="0.59999389629810485"/>
        </patternFill>
      </fill>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4" tint="0.59999389629810485"/>
      </font>
    </dxf>
    <dxf>
      <font>
        <color theme="4" tint="0.59999389629810485"/>
      </font>
    </dxf>
    <dxf>
      <font>
        <color theme="4" tint="0.59999389629810485"/>
      </font>
    </dxf>
    <dxf>
      <font>
        <color theme="4" tint="0.59999389629810485"/>
      </font>
    </dxf>
    <dxf>
      <font>
        <color theme="4" tint="0.59999389629810485"/>
      </font>
    </dxf>
    <dxf>
      <font>
        <color theme="4" tint="0.59999389629810485"/>
      </font>
    </dxf>
    <dxf>
      <font>
        <color theme="4" tint="0.59999389629810485"/>
      </font>
    </dxf>
    <dxf>
      <font>
        <color theme="4" tint="0.59999389629810485"/>
      </font>
    </dxf>
    <dxf>
      <font>
        <color theme="4" tint="0.59999389629810485"/>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[sales_pipeline (Recovered).xlsx]pivot table !PivotTable1</c:name>
    <c:fmtId val="6"/>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400" b="0" i="0" u="none" strike="noStrike" baseline="0"/>
              <a:t>Opportunities won</a:t>
            </a:r>
            <a:endParaRPr lang="en-US"/>
          </a:p>
        </c:rich>
      </c:tx>
      <c:layout>
        <c:manualLayout>
          <c:xMode val="edge"/>
          <c:yMode val="edge"/>
          <c:x val="0.63195822397200352"/>
          <c:y val="8.1291921843102952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'!$B$3:$B$5</c:f>
              <c:strCache>
                <c:ptCount val="1"/>
                <c:pt idx="0">
                  <c:v>2017 - Qtr4</c:v>
                </c:pt>
              </c:strCache>
            </c:strRef>
          </c:tx>
          <c:spPr>
            <a:solidFill>
              <a:schemeClr val="accent1"/>
            </a:solidFill>
            <a:ln>
              <a:noFill/>
            </a:ln>
            <a:effectLst/>
          </c:spPr>
          <c:invertIfNegative val="0"/>
          <c:cat>
            <c:strRef>
              <c:f>'pivot table '!$A$6</c:f>
              <c:strCache>
                <c:ptCount val="1"/>
                <c:pt idx="0">
                  <c:v>Total</c:v>
                </c:pt>
              </c:strCache>
            </c:strRef>
          </c:cat>
          <c:val>
            <c:numRef>
              <c:f>'pivot table '!$B$6</c:f>
              <c:numCache>
                <c:formatCode>General</c:formatCode>
                <c:ptCount val="1"/>
                <c:pt idx="0">
                  <c:v>1196</c:v>
                </c:pt>
              </c:numCache>
            </c:numRef>
          </c:val>
          <c:extLst>
            <c:ext xmlns:c16="http://schemas.microsoft.com/office/drawing/2014/chart" uri="{C3380CC4-5D6E-409C-BE32-E72D297353CC}">
              <c16:uniqueId val="{00000000-21D8-4210-AC71-153664732073}"/>
            </c:ext>
          </c:extLst>
        </c:ser>
        <c:ser>
          <c:idx val="1"/>
          <c:order val="1"/>
          <c:tx>
            <c:strRef>
              <c:f>'pivot table '!$C$3:$C$5</c:f>
              <c:strCache>
                <c:ptCount val="1"/>
                <c:pt idx="0">
                  <c:v>2017 - Qtr3</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'pivot table '!$A$6</c:f>
              <c:strCache>
                <c:ptCount val="1"/>
                <c:pt idx="0">
                  <c:v>Total</c:v>
                </c:pt>
              </c:strCache>
            </c:strRef>
          </c:cat>
          <c:val>
            <c:numRef>
              <c:f>'pivot table '!$C$6</c:f>
              <c:numCache>
                <c:formatCode>General</c:formatCode>
                <c:ptCount val="1"/>
                <c:pt idx="0">
                  <c:v>1257</c:v>
                </c:pt>
              </c:numCache>
            </c:numRef>
          </c:val>
          <c:extLst>
            <c:ext xmlns:c16="http://schemas.microsoft.com/office/drawing/2014/chart" uri="{C3380CC4-5D6E-409C-BE32-E72D297353CC}">
              <c16:uniqueId val="{00000002-21D8-4210-AC71-153664732073}"/>
            </c:ext>
          </c:extLst>
        </c:ser>
        <c:dLbls>
          <c:showLegendKey val="0"/>
          <c:showVal val="0"/>
          <c:showCatName val="0"/>
          <c:showSerName val="0"/>
          <c:showPercent val="0"/>
          <c:showBubbleSize val="0"/>
        </c:dLbls>
        <c:gapWidth val="219"/>
        <c:overlap val="-27"/>
        <c:axId val="1444217903"/>
        <c:axId val="1444218383"/>
      </c:barChart>
      <c:lineChart>
        <c:grouping val="standard"/>
        <c:varyColors val="0"/>
        <c:ser>
          <c:idx val="2"/>
          <c:order val="2"/>
          <c:tx>
            <c:strRef>
              <c:f>'pivot table '!$D$3:$D$5</c:f>
              <c:strCache>
                <c:ptCount val="1"/>
                <c:pt idx="0">
                  <c:v>2017 - Qtr2</c:v>
                </c:pt>
              </c:strCache>
            </c:strRef>
          </c:tx>
          <c:spPr>
            <a:ln w="28575" cap="rnd">
              <a:solidFill>
                <a:schemeClr val="accent3"/>
              </a:solidFill>
              <a:round/>
            </a:ln>
            <a:effectLst/>
          </c:spPr>
          <c:marker>
            <c:symbol val="none"/>
          </c:marker>
          <c:cat>
            <c:strRef>
              <c:f>'pivot table '!$A$6</c:f>
              <c:strCache>
                <c:ptCount val="1"/>
                <c:pt idx="0">
                  <c:v>Total</c:v>
                </c:pt>
              </c:strCache>
            </c:strRef>
          </c:cat>
          <c:val>
            <c:numRef>
              <c:f>'pivot table '!$D$6</c:f>
              <c:numCache>
                <c:formatCode>General</c:formatCode>
                <c:ptCount val="1"/>
                <c:pt idx="0">
                  <c:v>1254</c:v>
                </c:pt>
              </c:numCache>
            </c:numRef>
          </c:val>
          <c:smooth val="0"/>
          <c:extLst>
            <c:ext xmlns:c16="http://schemas.microsoft.com/office/drawing/2014/chart" uri="{C3380CC4-5D6E-409C-BE32-E72D297353CC}">
              <c16:uniqueId val="{00000003-21D8-4210-AC71-153664732073}"/>
            </c:ext>
          </c:extLst>
        </c:ser>
        <c:ser>
          <c:idx val="3"/>
          <c:order val="3"/>
          <c:tx>
            <c:strRef>
              <c:f>'pivot table '!$E$3:$E$5</c:f>
              <c:strCache>
                <c:ptCount val="1"/>
                <c:pt idx="0">
                  <c:v>2017 - Qtr1</c:v>
                </c:pt>
              </c:strCache>
            </c:strRef>
          </c:tx>
          <c:spPr>
            <a:ln w="28575" cap="rnd">
              <a:solidFill>
                <a:schemeClr val="accent4"/>
              </a:solidFill>
              <a:round/>
            </a:ln>
            <a:effectLst/>
          </c:spPr>
          <c:marker>
            <c:symbol val="none"/>
          </c:marker>
          <c:cat>
            <c:strRef>
              <c:f>'pivot table '!$A$6</c:f>
              <c:strCache>
                <c:ptCount val="1"/>
                <c:pt idx="0">
                  <c:v>Total</c:v>
                </c:pt>
              </c:strCache>
            </c:strRef>
          </c:cat>
          <c:val>
            <c:numRef>
              <c:f>'pivot table '!$E$6</c:f>
              <c:numCache>
                <c:formatCode>General</c:formatCode>
                <c:ptCount val="1"/>
                <c:pt idx="0">
                  <c:v>531</c:v>
                </c:pt>
              </c:numCache>
            </c:numRef>
          </c:val>
          <c:smooth val="0"/>
          <c:extLst>
            <c:ext xmlns:c16="http://schemas.microsoft.com/office/drawing/2014/chart" uri="{C3380CC4-5D6E-409C-BE32-E72D297353CC}">
              <c16:uniqueId val="{00000004-21D8-4210-AC71-153664732073}"/>
            </c:ext>
          </c:extLst>
        </c:ser>
        <c:dLbls>
          <c:showLegendKey val="0"/>
          <c:showVal val="0"/>
          <c:showCatName val="0"/>
          <c:showSerName val="0"/>
          <c:showPercent val="0"/>
          <c:showBubbleSize val="0"/>
        </c:dLbls>
        <c:marker val="1"/>
        <c:smooth val="0"/>
        <c:axId val="1444167023"/>
        <c:axId val="1444173263"/>
      </c:lineChart>
      <c:catAx>
        <c:axId val="144421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44218383"/>
        <c:crosses val="autoZero"/>
        <c:auto val="1"/>
        <c:lblAlgn val="ctr"/>
        <c:lblOffset val="100"/>
        <c:noMultiLvlLbl val="0"/>
      </c:catAx>
      <c:valAx>
        <c:axId val="144421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44217903"/>
        <c:crosses val="autoZero"/>
        <c:crossBetween val="between"/>
      </c:valAx>
      <c:valAx>
        <c:axId val="14441732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44167023"/>
        <c:crosses val="max"/>
        <c:crossBetween val="between"/>
      </c:valAx>
      <c:catAx>
        <c:axId val="144416702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44173263"/>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[sales_pipeline (Recovered).xlsx]pivot table !PivotTable2</c:name>
    <c:fmtId val="5"/>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lt1"/>
                </a:solidFill>
                <a:latin typeface="+mn-lt"/>
                <a:ea typeface="+mn-ea"/>
                <a:cs typeface="+mn-cs"/>
              </a:rPr>
              <a:t>Win%</a:t>
            </a:r>
            <a:endParaRPr lang="en-US">
              <a:solidFill>
                <a:srgbClr val="FF0000"/>
              </a:solidFill>
            </a:endParaRPr>
          </a:p>
        </c:rich>
      </c:tx>
      <c:layout>
        <c:manualLayout>
          <c:xMode val="edge"/>
          <c:yMode val="edge"/>
          <c:x val="0.79234011373578306"/>
          <c:y val="8.231262758821814E-2"/>
        </c:manualLayout>
      </c:layout>
      <c:overlay val="0"/>
      <c:spPr>
        <a:solidFill>
          <a:srgbClr val="0070C0"/>
        </a:solidFill>
        <a:ln w="12700" cap="flat" cmpd="sng" algn="ctr">
          <a:solidFill>
            <a:schemeClr val="accent2"/>
          </a:solidFill>
          <a:prstDash val="solid"/>
          <a:miter lim="800000"/>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331124234470692"/>
          <c:y val="0.13312299504228639"/>
          <c:w val="0.40407195975503063"/>
          <c:h val="0.67345326625838442"/>
        </c:manualLayout>
      </c:layout>
      <c:pieChart>
        <c:varyColors val="1"/>
        <c:ser>
          <c:idx val="0"/>
          <c:order val="0"/>
          <c:tx>
            <c:strRef>
              <c:f>'pivot table '!$B$17:$B$19</c:f>
              <c:strCache>
                <c:ptCount val="1"/>
                <c:pt idx="0">
                  <c:v>2017 - Qtr4</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DCE-4CBB-9A63-CEBEA00119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DCE-4CBB-9A63-CEBEA00119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'!$A$20:$A$22</c:f>
              <c:strCache>
                <c:ptCount val="2"/>
                <c:pt idx="0">
                  <c:v>Lost</c:v>
                </c:pt>
                <c:pt idx="1">
                  <c:v>Won</c:v>
                </c:pt>
              </c:strCache>
            </c:strRef>
          </c:cat>
          <c:val>
            <c:numRef>
              <c:f>'pivot table '!$B$20:$B$22</c:f>
              <c:numCache>
                <c:formatCode>0.00%</c:formatCode>
                <c:ptCount val="2"/>
                <c:pt idx="0">
                  <c:v>0.39748110831234257</c:v>
                </c:pt>
                <c:pt idx="1">
                  <c:v>0.60251889168765738</c:v>
                </c:pt>
              </c:numCache>
            </c:numRef>
          </c:val>
          <c:extLst>
            <c:ext xmlns:c16="http://schemas.microsoft.com/office/drawing/2014/chart" uri="{C3380CC4-5D6E-409C-BE32-E72D297353CC}">
              <c16:uniqueId val="{00000004-FDCE-4CBB-9A63-CEBEA001194C}"/>
            </c:ext>
          </c:extLst>
        </c:ser>
        <c:ser>
          <c:idx val="1"/>
          <c:order val="1"/>
          <c:tx>
            <c:strRef>
              <c:f>'pivot table '!$C$17:$C$19</c:f>
              <c:strCache>
                <c:ptCount val="1"/>
                <c:pt idx="0">
                  <c:v>2017 - Qtr3</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FDCE-4CBB-9A63-CEBEA00119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FDCE-4CBB-9A63-CEBEA00119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'!$A$20:$A$22</c:f>
              <c:strCache>
                <c:ptCount val="2"/>
                <c:pt idx="0">
                  <c:v>Lost</c:v>
                </c:pt>
                <c:pt idx="1">
                  <c:v>Won</c:v>
                </c:pt>
              </c:strCache>
            </c:strRef>
          </c:cat>
          <c:val>
            <c:numRef>
              <c:f>'pivot table '!$C$20:$C$22</c:f>
              <c:numCache>
                <c:formatCode>0.00%</c:formatCode>
                <c:ptCount val="2"/>
                <c:pt idx="0">
                  <c:v>0.38593063019052271</c:v>
                </c:pt>
                <c:pt idx="1">
                  <c:v>0.61406936980947724</c:v>
                </c:pt>
              </c:numCache>
            </c:numRef>
          </c:val>
          <c:extLst>
            <c:ext xmlns:c16="http://schemas.microsoft.com/office/drawing/2014/chart" uri="{C3380CC4-5D6E-409C-BE32-E72D297353CC}">
              <c16:uniqueId val="{00000009-FDCE-4CBB-9A63-CEBEA001194C}"/>
            </c:ext>
          </c:extLst>
        </c:ser>
        <c:ser>
          <c:idx val="2"/>
          <c:order val="2"/>
          <c:tx>
            <c:strRef>
              <c:f>'pivot table '!$D$17:$D$19</c:f>
              <c:strCache>
                <c:ptCount val="1"/>
                <c:pt idx="0">
                  <c:v>2017 - Qtr2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DCE-4CBB-9A63-CEBEA00119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DCE-4CBB-9A63-CEBEA00119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'!$A$20:$A$22</c:f>
              <c:strCache>
                <c:ptCount val="2"/>
                <c:pt idx="0">
                  <c:v>Lost</c:v>
                </c:pt>
                <c:pt idx="1">
                  <c:v>Won</c:v>
                </c:pt>
              </c:strCache>
            </c:strRef>
          </c:cat>
          <c:val>
            <c:numRef>
              <c:f>'pivot table '!$D$20:$D$22</c:f>
              <c:numCache>
                <c:formatCode>0.00%</c:formatCode>
                <c:ptCount val="2"/>
                <c:pt idx="0">
                  <c:v>0.38287401574803148</c:v>
                </c:pt>
                <c:pt idx="1">
                  <c:v>0.61712598425196852</c:v>
                </c:pt>
              </c:numCache>
            </c:numRef>
          </c:val>
          <c:extLst>
            <c:ext xmlns:c16="http://schemas.microsoft.com/office/drawing/2014/chart" uri="{C3380CC4-5D6E-409C-BE32-E72D297353CC}">
              <c16:uniqueId val="{0000000E-FDCE-4CBB-9A63-CEBEA001194C}"/>
            </c:ext>
          </c:extLst>
        </c:ser>
        <c:ser>
          <c:idx val="3"/>
          <c:order val="3"/>
          <c:tx>
            <c:strRef>
              <c:f>'pivot table '!$E$17:$E$19</c:f>
              <c:strCache>
                <c:ptCount val="1"/>
                <c:pt idx="0">
                  <c:v>2017 - Qtr1</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FDCE-4CBB-9A63-CEBEA00119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FDCE-4CBB-9A63-CEBEA00119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'!$A$20:$A$22</c:f>
              <c:strCache>
                <c:ptCount val="2"/>
                <c:pt idx="0">
                  <c:v>Lost</c:v>
                </c:pt>
                <c:pt idx="1">
                  <c:v>Won</c:v>
                </c:pt>
              </c:strCache>
            </c:strRef>
          </c:cat>
          <c:val>
            <c:numRef>
              <c:f>'pivot table '!$E$20:$E$22</c:f>
              <c:numCache>
                <c:formatCode>0.00%</c:formatCode>
                <c:ptCount val="2"/>
                <c:pt idx="0">
                  <c:v>0.17928902627511592</c:v>
                </c:pt>
                <c:pt idx="1">
                  <c:v>0.82071097372488411</c:v>
                </c:pt>
              </c:numCache>
            </c:numRef>
          </c:val>
          <c:extLst>
            <c:ext xmlns:c16="http://schemas.microsoft.com/office/drawing/2014/chart" uri="{C3380CC4-5D6E-409C-BE32-E72D297353CC}">
              <c16:uniqueId val="{00000013-FDCE-4CBB-9A63-CEBEA001194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[sales_pipeline (Recovered).xlsx]pivot table !PivotTable3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solidFill>
                  <a:schemeClr val="accent1">
                    <a:lumMod val="75000"/>
                  </a:schemeClr>
                </a:solidFill>
                <a:effectLst>
                  <a:outerShdw blurRad="50800" dist="38100" dir="5400000" algn="t" rotWithShape="0">
                    <a:prstClr val="black">
                      <a:alpha val="40000"/>
                    </a:prstClr>
                  </a:outerShdw>
                </a:effectLst>
              </a:rPr>
              <a:t>Opportunities Win by Sales Agent</a:t>
            </a:r>
            <a:endParaRPr lang="en-US">
              <a:solidFill>
                <a:schemeClr val="accent1">
                  <a:lumMod val="75000"/>
                </a:schemeClr>
              </a:solidFill>
            </a:endParaRPr>
          </a:p>
        </c:rich>
      </c:tx>
      <c:layout>
        <c:manualLayout>
          <c:xMode val="edge"/>
          <c:yMode val="edge"/>
          <c:x val="0.38765686640324271"/>
          <c:y val="6.74030329542140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67543683406519"/>
          <c:y val="0.26055920093321666"/>
          <c:w val="0.52860605364791124"/>
          <c:h val="0.63204141149023041"/>
        </c:manualLayout>
      </c:layout>
      <c:barChart>
        <c:barDir val="bar"/>
        <c:grouping val="stacked"/>
        <c:varyColors val="0"/>
        <c:ser>
          <c:idx val="0"/>
          <c:order val="0"/>
          <c:tx>
            <c:strRef>
              <c:f>'pivot table '!$B$32:$B$34</c:f>
              <c:strCache>
                <c:ptCount val="1"/>
                <c:pt idx="0">
                  <c:v>2017 - Qtr4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'!$A$35:$A$45</c:f>
              <c:strCache>
                <c:ptCount val="10"/>
                <c:pt idx="0">
                  <c:v>Donn Cantrell</c:v>
                </c:pt>
                <c:pt idx="1">
                  <c:v>Cassey Cress</c:v>
                </c:pt>
                <c:pt idx="2">
                  <c:v>Reed Clapper</c:v>
                </c:pt>
                <c:pt idx="3">
                  <c:v>Corliss Cosme</c:v>
                </c:pt>
                <c:pt idx="4">
                  <c:v>Violet Mclelland</c:v>
                </c:pt>
                <c:pt idx="5">
                  <c:v>Boris Faz</c:v>
                </c:pt>
                <c:pt idx="6">
                  <c:v>Daniell Hammack</c:v>
                </c:pt>
                <c:pt idx="7">
                  <c:v>Garret Kinder</c:v>
                </c:pt>
                <c:pt idx="8">
                  <c:v>Rosie Papadopoulos</c:v>
                </c:pt>
                <c:pt idx="9">
                  <c:v>Wilburn Farren</c:v>
                </c:pt>
              </c:strCache>
            </c:strRef>
          </c:cat>
          <c:val>
            <c:numRef>
              <c:f>'pivot table '!$B$35:$B$45</c:f>
              <c:numCache>
                <c:formatCode>General</c:formatCode>
                <c:ptCount val="10"/>
                <c:pt idx="0">
                  <c:v>37</c:v>
                </c:pt>
                <c:pt idx="1">
                  <c:v>39</c:v>
                </c:pt>
                <c:pt idx="2">
                  <c:v>38</c:v>
                </c:pt>
                <c:pt idx="3">
                  <c:v>43</c:v>
                </c:pt>
                <c:pt idx="4">
                  <c:v>35</c:v>
                </c:pt>
                <c:pt idx="5">
                  <c:v>34</c:v>
                </c:pt>
                <c:pt idx="6">
                  <c:v>27</c:v>
                </c:pt>
                <c:pt idx="7">
                  <c:v>16</c:v>
                </c:pt>
                <c:pt idx="8">
                  <c:v>21</c:v>
                </c:pt>
                <c:pt idx="9">
                  <c:v>22</c:v>
                </c:pt>
              </c:numCache>
            </c:numRef>
          </c:val>
          <c:extLst>
            <c:ext xmlns:c16="http://schemas.microsoft.com/office/drawing/2014/chart" uri="{C3380CC4-5D6E-409C-BE32-E72D297353CC}">
              <c16:uniqueId val="{00000000-DBAD-475F-A299-095ADD302516}"/>
            </c:ext>
          </c:extLst>
        </c:ser>
        <c:ser>
          <c:idx val="1"/>
          <c:order val="1"/>
          <c:tx>
            <c:strRef>
              <c:f>'pivot table '!$C$32:$C$34</c:f>
              <c:strCache>
                <c:ptCount val="1"/>
                <c:pt idx="0">
                  <c:v>2017 - Qtr3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'!$A$35:$A$45</c:f>
              <c:strCache>
                <c:ptCount val="10"/>
                <c:pt idx="0">
                  <c:v>Donn Cantrell</c:v>
                </c:pt>
                <c:pt idx="1">
                  <c:v>Cassey Cress</c:v>
                </c:pt>
                <c:pt idx="2">
                  <c:v>Reed Clapper</c:v>
                </c:pt>
                <c:pt idx="3">
                  <c:v>Corliss Cosme</c:v>
                </c:pt>
                <c:pt idx="4">
                  <c:v>Violet Mclelland</c:v>
                </c:pt>
                <c:pt idx="5">
                  <c:v>Boris Faz</c:v>
                </c:pt>
                <c:pt idx="6">
                  <c:v>Daniell Hammack</c:v>
                </c:pt>
                <c:pt idx="7">
                  <c:v>Garret Kinder</c:v>
                </c:pt>
                <c:pt idx="8">
                  <c:v>Rosie Papadopoulos</c:v>
                </c:pt>
                <c:pt idx="9">
                  <c:v>Wilburn Farren</c:v>
                </c:pt>
              </c:strCache>
            </c:strRef>
          </c:cat>
          <c:val>
            <c:numRef>
              <c:f>'pivot table '!$C$35:$C$45</c:f>
              <c:numCache>
                <c:formatCode>General</c:formatCode>
                <c:ptCount val="10"/>
                <c:pt idx="0">
                  <c:v>58</c:v>
                </c:pt>
                <c:pt idx="1">
                  <c:v>53</c:v>
                </c:pt>
                <c:pt idx="2">
                  <c:v>49</c:v>
                </c:pt>
                <c:pt idx="3">
                  <c:v>48</c:v>
                </c:pt>
                <c:pt idx="4">
                  <c:v>36</c:v>
                </c:pt>
                <c:pt idx="5">
                  <c:v>31</c:v>
                </c:pt>
                <c:pt idx="6">
                  <c:v>29</c:v>
                </c:pt>
                <c:pt idx="7">
                  <c:v>24</c:v>
                </c:pt>
                <c:pt idx="8">
                  <c:v>23</c:v>
                </c:pt>
                <c:pt idx="9">
                  <c:v>16</c:v>
                </c:pt>
              </c:numCache>
            </c:numRef>
          </c:val>
          <c:extLst>
            <c:ext xmlns:c16="http://schemas.microsoft.com/office/drawing/2014/chart" uri="{C3380CC4-5D6E-409C-BE32-E72D297353CC}">
              <c16:uniqueId val="{00000001-DBAD-475F-A299-095ADD302516}"/>
            </c:ext>
          </c:extLst>
        </c:ser>
        <c:ser>
          <c:idx val="2"/>
          <c:order val="2"/>
          <c:tx>
            <c:strRef>
              <c:f>'pivot table '!$D$32:$D$34</c:f>
              <c:strCache>
                <c:ptCount val="1"/>
                <c:pt idx="0">
                  <c:v>2017 - Qtr2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'!$A$35:$A$45</c:f>
              <c:strCache>
                <c:ptCount val="10"/>
                <c:pt idx="0">
                  <c:v>Donn Cantrell</c:v>
                </c:pt>
                <c:pt idx="1">
                  <c:v>Cassey Cress</c:v>
                </c:pt>
                <c:pt idx="2">
                  <c:v>Reed Clapper</c:v>
                </c:pt>
                <c:pt idx="3">
                  <c:v>Corliss Cosme</c:v>
                </c:pt>
                <c:pt idx="4">
                  <c:v>Violet Mclelland</c:v>
                </c:pt>
                <c:pt idx="5">
                  <c:v>Boris Faz</c:v>
                </c:pt>
                <c:pt idx="6">
                  <c:v>Daniell Hammack</c:v>
                </c:pt>
                <c:pt idx="7">
                  <c:v>Garret Kinder</c:v>
                </c:pt>
                <c:pt idx="8">
                  <c:v>Rosie Papadopoulos</c:v>
                </c:pt>
                <c:pt idx="9">
                  <c:v>Wilburn Farren</c:v>
                </c:pt>
              </c:strCache>
            </c:strRef>
          </c:cat>
          <c:val>
            <c:numRef>
              <c:f>'pivot table '!$D$35:$D$45</c:f>
              <c:numCache>
                <c:formatCode>General</c:formatCode>
                <c:ptCount val="10"/>
                <c:pt idx="0">
                  <c:v>44</c:v>
                </c:pt>
                <c:pt idx="1">
                  <c:v>48</c:v>
                </c:pt>
                <c:pt idx="2">
                  <c:v>49</c:v>
                </c:pt>
                <c:pt idx="3">
                  <c:v>36</c:v>
                </c:pt>
                <c:pt idx="4">
                  <c:v>34</c:v>
                </c:pt>
                <c:pt idx="5">
                  <c:v>29</c:v>
                </c:pt>
                <c:pt idx="6">
                  <c:v>47</c:v>
                </c:pt>
                <c:pt idx="7">
                  <c:v>22</c:v>
                </c:pt>
                <c:pt idx="8">
                  <c:v>26</c:v>
                </c:pt>
                <c:pt idx="9">
                  <c:v>14</c:v>
                </c:pt>
              </c:numCache>
            </c:numRef>
          </c:val>
          <c:extLst>
            <c:ext xmlns:c16="http://schemas.microsoft.com/office/drawing/2014/chart" uri="{C3380CC4-5D6E-409C-BE32-E72D297353CC}">
              <c16:uniqueId val="{00000002-DBAD-475F-A299-095ADD302516}"/>
            </c:ext>
          </c:extLst>
        </c:ser>
        <c:ser>
          <c:idx val="3"/>
          <c:order val="3"/>
          <c:tx>
            <c:strRef>
              <c:f>'pivot table '!$E$32:$E$34</c:f>
              <c:strCache>
                <c:ptCount val="1"/>
                <c:pt idx="0">
                  <c:v>2017 - Qtr1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'!$A$35:$A$45</c:f>
              <c:strCache>
                <c:ptCount val="10"/>
                <c:pt idx="0">
                  <c:v>Donn Cantrell</c:v>
                </c:pt>
                <c:pt idx="1">
                  <c:v>Cassey Cress</c:v>
                </c:pt>
                <c:pt idx="2">
                  <c:v>Reed Clapper</c:v>
                </c:pt>
                <c:pt idx="3">
                  <c:v>Corliss Cosme</c:v>
                </c:pt>
                <c:pt idx="4">
                  <c:v>Violet Mclelland</c:v>
                </c:pt>
                <c:pt idx="5">
                  <c:v>Boris Faz</c:v>
                </c:pt>
                <c:pt idx="6">
                  <c:v>Daniell Hammack</c:v>
                </c:pt>
                <c:pt idx="7">
                  <c:v>Garret Kinder</c:v>
                </c:pt>
                <c:pt idx="8">
                  <c:v>Rosie Papadopoulos</c:v>
                </c:pt>
                <c:pt idx="9">
                  <c:v>Wilburn Farren</c:v>
                </c:pt>
              </c:strCache>
            </c:strRef>
          </c:cat>
          <c:val>
            <c:numRef>
              <c:f>'pivot table '!$E$35:$E$45</c:f>
              <c:numCache>
                <c:formatCode>General</c:formatCode>
                <c:ptCount val="10"/>
                <c:pt idx="0">
                  <c:v>19</c:v>
                </c:pt>
                <c:pt idx="1">
                  <c:v>23</c:v>
                </c:pt>
                <c:pt idx="2">
                  <c:v>19</c:v>
                </c:pt>
                <c:pt idx="3">
                  <c:v>23</c:v>
                </c:pt>
                <c:pt idx="4">
                  <c:v>17</c:v>
                </c:pt>
                <c:pt idx="5">
                  <c:v>7</c:v>
                </c:pt>
                <c:pt idx="6">
                  <c:v>11</c:v>
                </c:pt>
                <c:pt idx="7">
                  <c:v>13</c:v>
                </c:pt>
                <c:pt idx="8">
                  <c:v>8</c:v>
                </c:pt>
                <c:pt idx="9">
                  <c:v>3</c:v>
                </c:pt>
              </c:numCache>
            </c:numRef>
          </c:val>
          <c:extLst>
            <c:ext xmlns:c16="http://schemas.microsoft.com/office/drawing/2014/chart" uri="{C3380CC4-5D6E-409C-BE32-E72D297353CC}">
              <c16:uniqueId val="{00000003-DBAD-475F-A299-095ADD302516}"/>
            </c:ext>
          </c:extLst>
        </c:ser>
        <c:dLbls>
          <c:showLegendKey val="0"/>
          <c:showVal val="0"/>
          <c:showCatName val="0"/>
          <c:showSerName val="0"/>
          <c:showPercent val="0"/>
          <c:showBubbleSize val="0"/>
        </c:dLbls>
        <c:gapWidth val="150"/>
        <c:overlap val="100"/>
        <c:axId val="2125769919"/>
        <c:axId val="2125761759"/>
      </c:barChart>
      <c:catAx>
        <c:axId val="21257699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5761759"/>
        <c:crosses val="autoZero"/>
        <c:auto val="1"/>
        <c:lblAlgn val="ctr"/>
        <c:lblOffset val="100"/>
        <c:noMultiLvlLbl val="0"/>
      </c:catAx>
      <c:valAx>
        <c:axId val="21257617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5769919"/>
        <c:crosses val="autoZero"/>
        <c:crossBetween val="between"/>
      </c:valAx>
      <c:spPr>
        <a:noFill/>
        <a:ln>
          <a:noFill/>
        </a:ln>
        <a:effectLst/>
      </c:spPr>
    </c:plotArea>
    <c:legend>
      <c:legendPos val="r"/>
      <c:layout>
        <c:manualLayout>
          <c:xMode val="edge"/>
          <c:yMode val="edge"/>
          <c:x val="0.84153503442689348"/>
          <c:y val="0.43583223972003499"/>
          <c:w val="0.14631429728635076"/>
          <c:h val="0.44356262758821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373380</xdr:colOff>
      <xdr:row>4</xdr:row>
      <xdr:rowOff>160020</xdr:rowOff>
    </xdr:from>
    <xdr:to>
      <xdr:col>16</xdr:col>
      <xdr:colOff>525780</xdr:colOff>
      <xdr:row>44</xdr:row>
      <xdr:rowOff>0</xdr:rowOff>
    </xdr:to>
    <xdr:sp macro="" textlink="">
      <xdr:nvSpPr>
        <xdr:cNvPr id="7" name="Rectangle: Rounded Corners 6">
          <a:extLst>
            <a:ext uri="{FF2B5EF4-FFF2-40B4-BE49-F238E27FC236}">
              <a16:creationId xmlns:a16="http://schemas.microsoft.com/office/drawing/2014/main" id="{E544C1BA-A3BF-AB2A-A723-1C75AE0FE3CC}"/>
            </a:ext>
          </a:extLst>
        </xdr:cNvPr>
        <xdr:cNvSpPr/>
      </xdr:nvSpPr>
      <xdr:spPr>
        <a:xfrm>
          <a:off x="1592580" y="891540"/>
          <a:ext cx="8686800" cy="715518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0</xdr:row>
      <xdr:rowOff>38100</xdr:rowOff>
    </xdr:from>
    <xdr:to>
      <xdr:col>2</xdr:col>
      <xdr:colOff>304800</xdr:colOff>
      <xdr:row>43</xdr:row>
      <xdr:rowOff>60960</xdr:rowOff>
    </xdr:to>
    <xdr:sp macro="" textlink="">
      <xdr:nvSpPr>
        <xdr:cNvPr id="3" name="Rectangle: Rounded Corners 2">
          <a:extLst>
            <a:ext uri="{FF2B5EF4-FFF2-40B4-BE49-F238E27FC236}">
              <a16:creationId xmlns:a16="http://schemas.microsoft.com/office/drawing/2014/main" id="{E9536075-79DD-4C46-076A-E9DC4F059B42}"/>
            </a:ext>
          </a:extLst>
        </xdr:cNvPr>
        <xdr:cNvSpPr/>
      </xdr:nvSpPr>
      <xdr:spPr>
        <a:xfrm>
          <a:off x="53340" y="38100"/>
          <a:ext cx="1470660" cy="8089174"/>
        </a:xfrm>
        <a:prstGeom prst="roundRect">
          <a:avLst/>
        </a:prstGeom>
        <a:solidFill>
          <a:schemeClr val="tx2">
            <a:lumMod val="60000"/>
            <a:lumOff val="40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38100</xdr:colOff>
      <xdr:row>7</xdr:row>
      <xdr:rowOff>121920</xdr:rowOff>
    </xdr:from>
    <xdr:to>
      <xdr:col>16</xdr:col>
      <xdr:colOff>167640</xdr:colOff>
      <xdr:row>19</xdr:row>
      <xdr:rowOff>60960</xdr:rowOff>
    </xdr:to>
    <xdr:graphicFrame macro="">
      <xdr:nvGraphicFramePr>
        <xdr:cNvPr id="5" name="Chart 4">
          <a:extLst>
            <a:ext uri="{FF2B5EF4-FFF2-40B4-BE49-F238E27FC236}">
              <a16:creationId xmlns:a16="http://schemas.microsoft.com/office/drawing/2014/main" id="{CB028553-EA44-4963-B613-A755345B1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7</xdr:row>
      <xdr:rowOff>106680</xdr:rowOff>
    </xdr:from>
    <xdr:to>
      <xdr:col>9</xdr:col>
      <xdr:colOff>495300</xdr:colOff>
      <xdr:row>19</xdr:row>
      <xdr:rowOff>45720</xdr:rowOff>
    </xdr:to>
    <xdr:graphicFrame macro="">
      <xdr:nvGraphicFramePr>
        <xdr:cNvPr id="6" name="Chart 5">
          <a:extLst>
            <a:ext uri="{FF2B5EF4-FFF2-40B4-BE49-F238E27FC236}">
              <a16:creationId xmlns:a16="http://schemas.microsoft.com/office/drawing/2014/main" id="{E321C9DE-BE27-4429-A344-0E9770617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20</xdr:row>
      <xdr:rowOff>129540</xdr:rowOff>
    </xdr:from>
    <xdr:to>
      <xdr:col>16</xdr:col>
      <xdr:colOff>304800</xdr:colOff>
      <xdr:row>39</xdr:row>
      <xdr:rowOff>121920</xdr:rowOff>
    </xdr:to>
    <xdr:graphicFrame macro="">
      <xdr:nvGraphicFramePr>
        <xdr:cNvPr id="8" name="Chart 7">
          <a:extLst>
            <a:ext uri="{FF2B5EF4-FFF2-40B4-BE49-F238E27FC236}">
              <a16:creationId xmlns:a16="http://schemas.microsoft.com/office/drawing/2014/main" id="{DED607A4-5EC1-4C26-99D8-48251CA49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xdr:row>
      <xdr:rowOff>152400</xdr:rowOff>
    </xdr:from>
    <xdr:to>
      <xdr:col>2</xdr:col>
      <xdr:colOff>304800</xdr:colOff>
      <xdr:row>6</xdr:row>
      <xdr:rowOff>244927</xdr:rowOff>
    </xdr:to>
    <mc:AlternateContent xmlns:mc="http://schemas.openxmlformats.org/markup-compatibility/2006">
      <mc:Choice xmlns:a14="http://schemas.microsoft.com/office/drawing/2010/main" Requires="a14">
        <xdr:graphicFrame macro="">
          <xdr:nvGraphicFramePr>
            <xdr:cNvPr id="9" name="regional_office">
              <a:extLst>
                <a:ext uri="{FF2B5EF4-FFF2-40B4-BE49-F238E27FC236}">
                  <a16:creationId xmlns:a16="http://schemas.microsoft.com/office/drawing/2014/main" id="{B72CB7F3-977C-42A8-9E3F-443FF53BC61B}"/>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53340" y="512618"/>
              <a:ext cx="1470660" cy="1145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10</xdr:row>
      <xdr:rowOff>53340</xdr:rowOff>
    </xdr:from>
    <xdr:to>
      <xdr:col>2</xdr:col>
      <xdr:colOff>297180</xdr:colOff>
      <xdr:row>19</xdr:row>
      <xdr:rowOff>123009</xdr:rowOff>
    </xdr:to>
    <mc:AlternateContent xmlns:mc="http://schemas.openxmlformats.org/markup-compatibility/2006">
      <mc:Choice xmlns:a14="http://schemas.microsoft.com/office/drawing/2010/main" Requires="a14">
        <xdr:graphicFrame macro="">
          <xdr:nvGraphicFramePr>
            <xdr:cNvPr id="10" name="manager">
              <a:extLst>
                <a:ext uri="{FF2B5EF4-FFF2-40B4-BE49-F238E27FC236}">
                  <a16:creationId xmlns:a16="http://schemas.microsoft.com/office/drawing/2014/main" id="{2C4079F0-697B-496D-B612-8D9B94335D2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45720" y="2519449"/>
              <a:ext cx="1470660" cy="207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411479</xdr:colOff>
      <xdr:row>0</xdr:row>
      <xdr:rowOff>116477</xdr:rowOff>
    </xdr:from>
    <xdr:to>
      <xdr:col>16</xdr:col>
      <xdr:colOff>424542</xdr:colOff>
      <xdr:row>4</xdr:row>
      <xdr:rowOff>119742</xdr:rowOff>
    </xdr:to>
    <xdr:sp macro="" textlink="">
      <xdr:nvSpPr>
        <xdr:cNvPr id="4" name="Rectangle: Rounded Corners 3">
          <a:extLst>
            <a:ext uri="{FF2B5EF4-FFF2-40B4-BE49-F238E27FC236}">
              <a16:creationId xmlns:a16="http://schemas.microsoft.com/office/drawing/2014/main" id="{86EEA8D2-C019-2F37-3DC8-B6714B41FB7D}"/>
            </a:ext>
          </a:extLst>
        </xdr:cNvPr>
        <xdr:cNvSpPr/>
      </xdr:nvSpPr>
      <xdr:spPr>
        <a:xfrm>
          <a:off x="1630679" y="116477"/>
          <a:ext cx="8547463" cy="743494"/>
        </a:xfrm>
        <a:prstGeom prst="roundRect">
          <a:avLst/>
        </a:prstGeom>
        <a:solidFill>
          <a:schemeClr val="tx2">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3200">
              <a:solidFill>
                <a:schemeClr val="bg1"/>
              </a:solidFill>
              <a:latin typeface="Arial Black" panose="020B0A04020102020204" pitchFamily="34" charset="0"/>
            </a:rPr>
            <a:t>Oppprtunities</a:t>
          </a:r>
          <a:r>
            <a:rPr lang="en-US" sz="3200" baseline="0">
              <a:solidFill>
                <a:schemeClr val="bg1"/>
              </a:solidFill>
              <a:latin typeface="Arial Black" panose="020B0A04020102020204" pitchFamily="34" charset="0"/>
            </a:rPr>
            <a:t> Win by Sales</a:t>
          </a:r>
          <a:endParaRPr lang="en-US" sz="3200">
            <a:solidFill>
              <a:schemeClr val="bg1"/>
            </a:solidFill>
            <a:latin typeface="Arial Black" panose="020B0A040201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CRM+Sales+Opportunities(1)\sales_teams.csv" TargetMode="External"/><Relationship Id="rId1" Type="http://schemas.openxmlformats.org/officeDocument/2006/relationships/externalLinkPath" Target="file:///C:\Users\PC\Downloads\CRM+Sales+Opportunities(1)\sales_team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_teams"/>
    </sheetNames>
    <sheetDataSet>
      <sheetData sheetId="0">
        <row r="2">
          <cell r="A2" t="str">
            <v>Anna Snelling</v>
          </cell>
          <cell r="B2" t="str">
            <v>Dustin Brinkmann</v>
          </cell>
        </row>
        <row r="3">
          <cell r="A3" t="str">
            <v>Cecily Lampkin</v>
          </cell>
          <cell r="B3" t="str">
            <v>Dustin Brinkmann</v>
          </cell>
        </row>
        <row r="4">
          <cell r="A4" t="str">
            <v>Versie Hillebrand</v>
          </cell>
          <cell r="B4" t="str">
            <v>Dustin Brinkmann</v>
          </cell>
        </row>
        <row r="5">
          <cell r="A5" t="str">
            <v>Lajuana Vencill</v>
          </cell>
          <cell r="B5" t="str">
            <v>Dustin Brinkmann</v>
          </cell>
        </row>
        <row r="6">
          <cell r="A6" t="str">
            <v>Moses Frase</v>
          </cell>
          <cell r="B6" t="str">
            <v>Dustin Brinkmann</v>
          </cell>
        </row>
        <row r="7">
          <cell r="A7" t="str">
            <v>Jonathan Berthelot</v>
          </cell>
          <cell r="B7" t="str">
            <v>Melvin Marxen</v>
          </cell>
        </row>
        <row r="8">
          <cell r="A8" t="str">
            <v>Marty Freudenburg</v>
          </cell>
          <cell r="B8" t="str">
            <v>Melvin Marxen</v>
          </cell>
        </row>
        <row r="9">
          <cell r="A9" t="str">
            <v>Gladys Colclough</v>
          </cell>
          <cell r="B9" t="str">
            <v>Melvin Marxen</v>
          </cell>
        </row>
        <row r="10">
          <cell r="A10" t="str">
            <v>Niesha Huffines</v>
          </cell>
          <cell r="B10" t="str">
            <v>Melvin Marxen</v>
          </cell>
        </row>
        <row r="11">
          <cell r="A11" t="str">
            <v>Darcel Schlecht</v>
          </cell>
          <cell r="B11" t="str">
            <v>Melvin Marxen</v>
          </cell>
        </row>
        <row r="12">
          <cell r="A12" t="str">
            <v>Mei-Mei Johns</v>
          </cell>
          <cell r="B12" t="str">
            <v>Melvin Marxen</v>
          </cell>
        </row>
        <row r="13">
          <cell r="A13" t="str">
            <v>Violet Mclelland</v>
          </cell>
          <cell r="B13" t="str">
            <v>Cara Losch</v>
          </cell>
        </row>
        <row r="14">
          <cell r="A14" t="str">
            <v>Corliss Cosme</v>
          </cell>
          <cell r="B14" t="str">
            <v>Cara Losch</v>
          </cell>
        </row>
        <row r="15">
          <cell r="A15" t="str">
            <v>Rosie Papadopoulos</v>
          </cell>
          <cell r="B15" t="str">
            <v>Cara Losch</v>
          </cell>
        </row>
        <row r="16">
          <cell r="A16" t="str">
            <v>Garret Kinder</v>
          </cell>
          <cell r="B16" t="str">
            <v>Cara Losch</v>
          </cell>
        </row>
        <row r="17">
          <cell r="A17" t="str">
            <v>Wilburn Farren</v>
          </cell>
          <cell r="B17" t="str">
            <v>Cara Losch</v>
          </cell>
        </row>
        <row r="18">
          <cell r="A18" t="str">
            <v>Elizabeth Anderson</v>
          </cell>
          <cell r="B18" t="str">
            <v>Cara Losch</v>
          </cell>
        </row>
        <row r="19">
          <cell r="A19" t="str">
            <v>Daniell Hammack</v>
          </cell>
          <cell r="B19" t="str">
            <v>Rocco Neubert</v>
          </cell>
        </row>
        <row r="20">
          <cell r="A20" t="str">
            <v>Cassey Cress</v>
          </cell>
          <cell r="B20" t="str">
            <v>Rocco Neubert</v>
          </cell>
        </row>
        <row r="21">
          <cell r="A21" t="str">
            <v>Donn Cantrell</v>
          </cell>
          <cell r="B21" t="str">
            <v>Rocco Neubert</v>
          </cell>
        </row>
        <row r="22">
          <cell r="A22" t="str">
            <v>Reed Clapper</v>
          </cell>
          <cell r="B22" t="str">
            <v>Rocco Neubert</v>
          </cell>
        </row>
        <row r="23">
          <cell r="A23" t="str">
            <v>Boris Faz</v>
          </cell>
          <cell r="B23" t="str">
            <v>Rocco Neubert</v>
          </cell>
        </row>
        <row r="24">
          <cell r="A24" t="str">
            <v>Natalya Ivanova</v>
          </cell>
          <cell r="B24" t="str">
            <v>Rocco Neubert</v>
          </cell>
        </row>
        <row r="25">
          <cell r="A25" t="str">
            <v>Vicki Laflamme</v>
          </cell>
          <cell r="B25" t="str">
            <v>Celia Rouche</v>
          </cell>
        </row>
        <row r="26">
          <cell r="A26" t="str">
            <v>Rosalina Dieter</v>
          </cell>
          <cell r="B26" t="str">
            <v>Celia Rouche</v>
          </cell>
        </row>
        <row r="27">
          <cell r="A27" t="str">
            <v>Hayden Neloms</v>
          </cell>
          <cell r="B27" t="str">
            <v>Celia Rouche</v>
          </cell>
        </row>
        <row r="28">
          <cell r="A28" t="str">
            <v>Markita Hansen</v>
          </cell>
          <cell r="B28" t="str">
            <v>Celia Rouche</v>
          </cell>
        </row>
        <row r="29">
          <cell r="A29" t="str">
            <v>Elease Gluck</v>
          </cell>
          <cell r="B29" t="str">
            <v>Celia Rouche</v>
          </cell>
        </row>
        <row r="30">
          <cell r="A30" t="str">
            <v>Carol Thompson</v>
          </cell>
          <cell r="B30" t="str">
            <v>Celia Rouche</v>
          </cell>
        </row>
        <row r="31">
          <cell r="A31" t="str">
            <v>James Ascencio</v>
          </cell>
          <cell r="B31" t="str">
            <v>Summer Sewald</v>
          </cell>
        </row>
        <row r="32">
          <cell r="A32" t="str">
            <v>Kary Hendrixson</v>
          </cell>
          <cell r="B32" t="str">
            <v>Summer Sewald</v>
          </cell>
        </row>
        <row r="33">
          <cell r="A33" t="str">
            <v>Kami Bicknell</v>
          </cell>
          <cell r="B33" t="str">
            <v>Summer Sewald</v>
          </cell>
        </row>
        <row r="34">
          <cell r="A34" t="str">
            <v>Zane Levy</v>
          </cell>
          <cell r="B34" t="str">
            <v>Summer Sewald</v>
          </cell>
        </row>
        <row r="35">
          <cell r="A35" t="str">
            <v>Maureen Marcano</v>
          </cell>
          <cell r="B35" t="str">
            <v>Summer Sewald</v>
          </cell>
        </row>
        <row r="36">
          <cell r="A36" t="str">
            <v>Carl Lin</v>
          </cell>
          <cell r="B36" t="str">
            <v>Summer Sewald</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54848888889" createdVersion="8" refreshedVersion="8" minRefreshableVersion="3" recordCount="8800" xr:uid="{32FAEF3C-8644-4818-82C8-20091711D856}">
  <cacheSource type="worksheet">
    <worksheetSource ref="A1:J8801" sheet="sales_pipeline"/>
  </cacheSource>
  <cacheFields count="12">
    <cacheField name="opportunity_id" numFmtId="0">
      <sharedItems count="8800">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count="6">
        <s v="Dustin Brinkmann"/>
        <s v="Melvin Marxen"/>
        <s v="Summer Sewald"/>
        <s v="Celia Rouche"/>
        <s v="Rocco Neubert"/>
        <s v="Cara Losch"/>
      </sharedItems>
    </cacheField>
    <cacheField name="regional_office" numFmtId="0">
      <sharedItems count="3">
        <s v="Central"/>
        <s v="West"/>
        <s v="East"/>
      </sharedItems>
    </cacheField>
    <cacheField name="product" numFmtId="0">
      <sharedItems/>
    </cacheField>
    <cacheField name="account" numFmtId="0">
      <sharedItems containsBlank="1"/>
    </cacheField>
    <cacheField name="deal_stage" numFmtId="0">
      <sharedItems count="4">
        <s v="Won"/>
        <s v="Engaging"/>
        <s v="Lost"/>
        <s v="Prospecting"/>
      </sharedItems>
    </cacheField>
    <cacheField name="engage_date" numFmtId="0">
      <sharedItems containsNonDate="0" containsDate="1" containsString="0" containsBlank="1" minDate="2016-10-20T00:00:00" maxDate="2017-12-28T00:00:00"/>
    </cacheField>
    <cacheField name="close_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1"/>
    </cacheField>
    <cacheField name="close_value" numFmtId="0">
      <sharedItems containsString="0" containsBlank="1" containsNumber="1" containsInteger="1" minValue="0" maxValue="30288"/>
    </cacheField>
    <cacheField name="Quarters (close_date)" numFmtId="0" databaseField="0">
      <fieldGroup base="8">
        <rangePr groupBy="quarters" startDate="2017-03-01T00:00:00" endDate="2018-01-01T00:00:00"/>
        <groupItems count="6">
          <s v="&lt;3/1/2017"/>
          <s v="Qtr1"/>
          <s v="Qtr2"/>
          <s v="Qtr3"/>
          <s v="Qtr4"/>
          <s v="&gt;1/1/2018"/>
        </groupItems>
      </fieldGroup>
    </cacheField>
    <cacheField name="Years (close_date)" numFmtId="0" databaseField="0">
      <fieldGroup base="8">
        <rangePr groupBy="years" startDate="2017-03-01T00:00:00" endDate="2018-01-01T00:00:00"/>
        <groupItems count="4">
          <s v="&lt;3/1/2017"/>
          <s v="2017"/>
          <s v="2018"/>
          <s v="&gt;1/1/2018"/>
        </groupItems>
      </fieldGroup>
    </cacheField>
  </cacheFields>
  <extLst>
    <ext xmlns:x14="http://schemas.microsoft.com/office/spreadsheetml/2009/9/main" uri="{725AE2AE-9491-48be-B2B4-4EB974FC3084}">
      <x14:pivotCacheDefinition pivotCacheId="1139400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x v="0"/>
    <s v="GTX Plus Basic"/>
    <s v="Cancity"/>
    <x v="0"/>
    <d v="2016-10-20T00:00:00"/>
    <x v="0"/>
    <n v="1054"/>
  </r>
  <r>
    <x v="1"/>
    <x v="1"/>
    <x v="1"/>
    <x v="0"/>
    <s v="GTXPro"/>
    <s v="Isdom"/>
    <x v="0"/>
    <d v="2016-10-25T00:00:00"/>
    <x v="1"/>
    <n v="4514"/>
  </r>
  <r>
    <x v="2"/>
    <x v="1"/>
    <x v="1"/>
    <x v="0"/>
    <s v="MG Special"/>
    <s v="Cancity"/>
    <x v="0"/>
    <d v="2016-10-25T00:00:00"/>
    <x v="2"/>
    <n v="50"/>
  </r>
  <r>
    <x v="3"/>
    <x v="0"/>
    <x v="0"/>
    <x v="0"/>
    <s v="GTX Basic"/>
    <s v="Codehow"/>
    <x v="0"/>
    <d v="2016-10-25T00:00:00"/>
    <x v="3"/>
    <n v="588"/>
  </r>
  <r>
    <x v="4"/>
    <x v="2"/>
    <x v="2"/>
    <x v="1"/>
    <s v="GTX Basic"/>
    <s v="Hatfan"/>
    <x v="0"/>
    <d v="2016-10-25T00:00:00"/>
    <x v="4"/>
    <n v="517"/>
  </r>
  <r>
    <x v="5"/>
    <x v="3"/>
    <x v="0"/>
    <x v="0"/>
    <s v="MG Special"/>
    <s v="Ron-tech"/>
    <x v="0"/>
    <d v="2016-10-29T00:00:00"/>
    <x v="0"/>
    <n v="49"/>
  </r>
  <r>
    <x v="6"/>
    <x v="4"/>
    <x v="3"/>
    <x v="1"/>
    <s v="MG Special"/>
    <s v="J-Texon"/>
    <x v="0"/>
    <d v="2016-10-30T00:00:00"/>
    <x v="4"/>
    <n v="57"/>
  </r>
  <r>
    <x v="7"/>
    <x v="5"/>
    <x v="3"/>
    <x v="1"/>
    <s v="GTX Basic"/>
    <s v="Cheers"/>
    <x v="0"/>
    <d v="2016-11-01T00:00:00"/>
    <x v="2"/>
    <n v="601"/>
  </r>
  <r>
    <x v="8"/>
    <x v="6"/>
    <x v="1"/>
    <x v="0"/>
    <s v="GTX Plus Basic"/>
    <s v="Zumgoity"/>
    <x v="0"/>
    <d v="2016-11-01T00:00:00"/>
    <x v="5"/>
    <n v="1026"/>
  </r>
  <r>
    <x v="9"/>
    <x v="7"/>
    <x v="2"/>
    <x v="1"/>
    <s v="MG Advanced"/>
    <m/>
    <x v="1"/>
    <d v="2016-11-03T00:00:00"/>
    <x v="6"/>
    <m/>
  </r>
  <r>
    <x v="10"/>
    <x v="3"/>
    <x v="0"/>
    <x v="0"/>
    <s v="MG Special"/>
    <s v="Bioholding"/>
    <x v="0"/>
    <d v="2016-11-04T00:00:00"/>
    <x v="7"/>
    <n v="53"/>
  </r>
  <r>
    <x v="11"/>
    <x v="8"/>
    <x v="1"/>
    <x v="0"/>
    <s v="GTXPro"/>
    <s v="Genco Pura Olive Oil Company"/>
    <x v="2"/>
    <d v="2016-11-04T00:00:00"/>
    <x v="8"/>
    <n v="0"/>
  </r>
  <r>
    <x v="12"/>
    <x v="7"/>
    <x v="2"/>
    <x v="1"/>
    <s v="GTX Plus Pro"/>
    <s v="Sunnamplex"/>
    <x v="0"/>
    <d v="2016-11-04T00:00:00"/>
    <x v="7"/>
    <n v="5169"/>
  </r>
  <r>
    <x v="13"/>
    <x v="9"/>
    <x v="2"/>
    <x v="1"/>
    <s v="GTX Plus Pro"/>
    <s v="Sonron"/>
    <x v="0"/>
    <d v="2016-11-04T00:00:00"/>
    <x v="9"/>
    <n v="4631"/>
  </r>
  <r>
    <x v="14"/>
    <x v="10"/>
    <x v="3"/>
    <x v="1"/>
    <s v="MG Advanced"/>
    <s v="Finjob"/>
    <x v="0"/>
    <d v="2016-11-05T00:00:00"/>
    <x v="1"/>
    <n v="3393"/>
  </r>
  <r>
    <x v="15"/>
    <x v="11"/>
    <x v="3"/>
    <x v="1"/>
    <s v="MG Special"/>
    <s v="Sonron"/>
    <x v="2"/>
    <d v="2016-11-05T00:00:00"/>
    <x v="5"/>
    <n v="0"/>
  </r>
  <r>
    <x v="16"/>
    <x v="11"/>
    <x v="3"/>
    <x v="1"/>
    <s v="MG Advanced"/>
    <s v="Scotfind"/>
    <x v="0"/>
    <d v="2016-11-05T00:00:00"/>
    <x v="9"/>
    <n v="3284"/>
  </r>
  <r>
    <x v="17"/>
    <x v="12"/>
    <x v="0"/>
    <x v="0"/>
    <s v="MG Special"/>
    <s v="Treequote"/>
    <x v="0"/>
    <d v="2016-11-06T00:00:00"/>
    <x v="10"/>
    <n v="61"/>
  </r>
  <r>
    <x v="18"/>
    <x v="13"/>
    <x v="4"/>
    <x v="2"/>
    <s v="GTXPro"/>
    <s v="Xx-zobam"/>
    <x v="2"/>
    <d v="2016-11-07T00:00:00"/>
    <x v="3"/>
    <n v="0"/>
  </r>
  <r>
    <x v="19"/>
    <x v="14"/>
    <x v="3"/>
    <x v="1"/>
    <s v="MG Special"/>
    <s v="Rantouch"/>
    <x v="0"/>
    <d v="2016-11-07T00:00:00"/>
    <x v="11"/>
    <n v="46"/>
  </r>
  <r>
    <x v="20"/>
    <x v="7"/>
    <x v="2"/>
    <x v="1"/>
    <s v="GTX Plus Pro"/>
    <s v="Fasehatice"/>
    <x v="2"/>
    <d v="2016-11-07T00:00:00"/>
    <x v="12"/>
    <n v="0"/>
  </r>
  <r>
    <x v="21"/>
    <x v="0"/>
    <x v="0"/>
    <x v="0"/>
    <s v="MG Special"/>
    <s v="Ron-tech"/>
    <x v="0"/>
    <d v="2016-11-07T00:00:00"/>
    <x v="8"/>
    <n v="50"/>
  </r>
  <r>
    <x v="22"/>
    <x v="15"/>
    <x v="5"/>
    <x v="2"/>
    <s v="GTX Plus Basic"/>
    <s v="Vehement Capital Partners"/>
    <x v="0"/>
    <d v="2016-11-07T00:00:00"/>
    <x v="1"/>
    <n v="1014"/>
  </r>
  <r>
    <x v="23"/>
    <x v="1"/>
    <x v="1"/>
    <x v="0"/>
    <s v="GTX Basic"/>
    <s v="Warephase"/>
    <x v="0"/>
    <d v="2016-11-08T00:00:00"/>
    <x v="13"/>
    <n v="561"/>
  </r>
  <r>
    <x v="24"/>
    <x v="16"/>
    <x v="2"/>
    <x v="1"/>
    <s v="GTX Basic"/>
    <s v="Zoomit"/>
    <x v="0"/>
    <d v="2016-11-10T00:00:00"/>
    <x v="14"/>
    <n v="590"/>
  </r>
  <r>
    <x v="25"/>
    <x v="9"/>
    <x v="2"/>
    <x v="1"/>
    <s v="MG Advanced"/>
    <s v="Ganjaflex"/>
    <x v="1"/>
    <d v="2016-11-10T00:00:00"/>
    <x v="6"/>
    <m/>
  </r>
  <r>
    <x v="26"/>
    <x v="12"/>
    <x v="0"/>
    <x v="0"/>
    <s v="MG Special"/>
    <s v="Bioholding"/>
    <x v="0"/>
    <d v="2016-11-10T00:00:00"/>
    <x v="15"/>
    <n v="61"/>
  </r>
  <r>
    <x v="27"/>
    <x v="15"/>
    <x v="5"/>
    <x v="2"/>
    <s v="GTX Plus Pro"/>
    <s v="Xx-zobam"/>
    <x v="2"/>
    <d v="2016-11-10T00:00:00"/>
    <x v="1"/>
    <n v="0"/>
  </r>
  <r>
    <x v="28"/>
    <x v="14"/>
    <x v="3"/>
    <x v="1"/>
    <s v="MG Special"/>
    <s v="Cheers"/>
    <x v="0"/>
    <d v="2016-11-11T00:00:00"/>
    <x v="10"/>
    <n v="58"/>
  </r>
  <r>
    <x v="29"/>
    <x v="9"/>
    <x v="2"/>
    <x v="1"/>
    <s v="GTXPro"/>
    <s v="Labdrill"/>
    <x v="0"/>
    <d v="2016-11-11T00:00:00"/>
    <x v="16"/>
    <n v="4899"/>
  </r>
  <r>
    <x v="30"/>
    <x v="17"/>
    <x v="5"/>
    <x v="2"/>
    <s v="MG Advanced"/>
    <s v="Zotware"/>
    <x v="2"/>
    <d v="2016-11-11T00:00:00"/>
    <x v="0"/>
    <n v="0"/>
  </r>
  <r>
    <x v="31"/>
    <x v="12"/>
    <x v="0"/>
    <x v="0"/>
    <s v="MG Special"/>
    <s v="dambase"/>
    <x v="0"/>
    <d v="2016-11-11T00:00:00"/>
    <x v="5"/>
    <n v="67"/>
  </r>
  <r>
    <x v="32"/>
    <x v="7"/>
    <x v="2"/>
    <x v="1"/>
    <s v="GTXPro"/>
    <s v="Xx-holding"/>
    <x v="0"/>
    <d v="2016-11-12T00:00:00"/>
    <x v="9"/>
    <n v="4338"/>
  </r>
  <r>
    <x v="33"/>
    <x v="18"/>
    <x v="2"/>
    <x v="1"/>
    <s v="GTX Basic"/>
    <s v="Fasehatice"/>
    <x v="0"/>
    <d v="2016-11-12T00:00:00"/>
    <x v="17"/>
    <n v="578"/>
  </r>
  <r>
    <x v="34"/>
    <x v="19"/>
    <x v="4"/>
    <x v="2"/>
    <s v="GTX Basic"/>
    <s v="Acme Corporation"/>
    <x v="0"/>
    <d v="2016-11-12T00:00:00"/>
    <x v="0"/>
    <n v="556"/>
  </r>
  <r>
    <x v="35"/>
    <x v="11"/>
    <x v="3"/>
    <x v="1"/>
    <s v="GTX Basic"/>
    <s v="Green-Plus"/>
    <x v="0"/>
    <d v="2016-11-12T00:00:00"/>
    <x v="5"/>
    <n v="635"/>
  </r>
  <r>
    <x v="36"/>
    <x v="20"/>
    <x v="5"/>
    <x v="2"/>
    <s v="MG Advanced"/>
    <s v="The New York Inquirer"/>
    <x v="0"/>
    <d v="2016-11-12T00:00:00"/>
    <x v="2"/>
    <n v="3045"/>
  </r>
  <r>
    <x v="37"/>
    <x v="21"/>
    <x v="5"/>
    <x v="2"/>
    <s v="GTX Plus Basic"/>
    <s v="Mathtouch"/>
    <x v="0"/>
    <d v="2016-11-13T00:00:00"/>
    <x v="16"/>
    <n v="1233"/>
  </r>
  <r>
    <x v="38"/>
    <x v="12"/>
    <x v="0"/>
    <x v="0"/>
    <s v="MG Special"/>
    <s v="Zumgoity"/>
    <x v="0"/>
    <d v="2016-11-13T00:00:00"/>
    <x v="3"/>
    <n v="60"/>
  </r>
  <r>
    <x v="39"/>
    <x v="3"/>
    <x v="0"/>
    <x v="0"/>
    <s v="MG Special"/>
    <s v="Gogozoom"/>
    <x v="2"/>
    <d v="2016-11-14T00:00:00"/>
    <x v="18"/>
    <n v="0"/>
  </r>
  <r>
    <x v="40"/>
    <x v="1"/>
    <x v="1"/>
    <x v="0"/>
    <s v="GTX Basic"/>
    <s v="Stanredtax"/>
    <x v="2"/>
    <d v="2016-11-14T00:00:00"/>
    <x v="11"/>
    <n v="0"/>
  </r>
  <r>
    <x v="41"/>
    <x v="1"/>
    <x v="1"/>
    <x v="0"/>
    <s v="GTX Plus Basic"/>
    <s v="Konmatfix"/>
    <x v="0"/>
    <d v="2016-11-14T00:00:00"/>
    <x v="19"/>
    <n v="1170"/>
  </r>
  <r>
    <x v="42"/>
    <x v="16"/>
    <x v="2"/>
    <x v="1"/>
    <s v="GTX Basic"/>
    <m/>
    <x v="1"/>
    <d v="2016-11-14T00:00:00"/>
    <x v="6"/>
    <m/>
  </r>
  <r>
    <x v="43"/>
    <x v="22"/>
    <x v="1"/>
    <x v="0"/>
    <s v="GTX Plus Basic"/>
    <s v="Genco Pura Olive Oil Company"/>
    <x v="0"/>
    <d v="2016-11-15T00:00:00"/>
    <x v="19"/>
    <n v="1162"/>
  </r>
  <r>
    <x v="44"/>
    <x v="23"/>
    <x v="4"/>
    <x v="2"/>
    <s v="GTXPro"/>
    <m/>
    <x v="1"/>
    <d v="2016-11-16T00:00:00"/>
    <x v="6"/>
    <m/>
  </r>
  <r>
    <x v="45"/>
    <x v="1"/>
    <x v="1"/>
    <x v="0"/>
    <s v="MG Advanced"/>
    <s v="Conecom"/>
    <x v="0"/>
    <d v="2016-11-16T00:00:00"/>
    <x v="16"/>
    <n v="3725"/>
  </r>
  <r>
    <x v="46"/>
    <x v="18"/>
    <x v="2"/>
    <x v="1"/>
    <s v="GTX Basic"/>
    <s v="Golddex"/>
    <x v="0"/>
    <d v="2016-11-16T00:00:00"/>
    <x v="20"/>
    <n v="559"/>
  </r>
  <r>
    <x v="47"/>
    <x v="11"/>
    <x v="3"/>
    <x v="1"/>
    <s v="GTX Basic"/>
    <s v="Plexzap"/>
    <x v="2"/>
    <d v="2016-11-16T00:00:00"/>
    <x v="1"/>
    <n v="0"/>
  </r>
  <r>
    <x v="48"/>
    <x v="1"/>
    <x v="1"/>
    <x v="0"/>
    <s v="GTX Plus Basic"/>
    <s v="Rundofase"/>
    <x v="2"/>
    <d v="2016-11-17T00:00:00"/>
    <x v="21"/>
    <n v="0"/>
  </r>
  <r>
    <x v="49"/>
    <x v="7"/>
    <x v="2"/>
    <x v="1"/>
    <s v="GTX Plus Pro"/>
    <s v="Sonron"/>
    <x v="0"/>
    <d v="2016-11-17T00:00:00"/>
    <x v="10"/>
    <n v="4667"/>
  </r>
  <r>
    <x v="50"/>
    <x v="22"/>
    <x v="1"/>
    <x v="0"/>
    <s v="GTX Plus Basic"/>
    <s v="Finhigh"/>
    <x v="0"/>
    <d v="2016-11-17T00:00:00"/>
    <x v="12"/>
    <n v="903"/>
  </r>
  <r>
    <x v="51"/>
    <x v="9"/>
    <x v="2"/>
    <x v="1"/>
    <s v="GTX Plus Basic"/>
    <s v="Finjob"/>
    <x v="0"/>
    <d v="2016-11-17T00:00:00"/>
    <x v="22"/>
    <n v="1180"/>
  </r>
  <r>
    <x v="52"/>
    <x v="6"/>
    <x v="1"/>
    <x v="0"/>
    <s v="GTX Basic"/>
    <s v="Ron-tech"/>
    <x v="0"/>
    <d v="2016-11-17T00:00:00"/>
    <x v="10"/>
    <n v="487"/>
  </r>
  <r>
    <x v="53"/>
    <x v="24"/>
    <x v="0"/>
    <x v="0"/>
    <s v="MG Advanced"/>
    <s v="Stanredtax"/>
    <x v="0"/>
    <d v="2016-11-18T00:00:00"/>
    <x v="23"/>
    <n v="3180"/>
  </r>
  <r>
    <x v="54"/>
    <x v="1"/>
    <x v="1"/>
    <x v="0"/>
    <s v="GTXPro"/>
    <s v="Funholding"/>
    <x v="2"/>
    <d v="2016-11-19T00:00:00"/>
    <x v="12"/>
    <n v="0"/>
  </r>
  <r>
    <x v="55"/>
    <x v="1"/>
    <x v="1"/>
    <x v="0"/>
    <s v="MG Advanced"/>
    <s v="Gogozoom"/>
    <x v="0"/>
    <d v="2016-11-19T00:00:00"/>
    <x v="8"/>
    <n v="3563"/>
  </r>
  <r>
    <x v="56"/>
    <x v="16"/>
    <x v="2"/>
    <x v="1"/>
    <s v="GTX Plus Basic"/>
    <m/>
    <x v="1"/>
    <d v="2016-11-19T00:00:00"/>
    <x v="6"/>
    <m/>
  </r>
  <r>
    <x v="57"/>
    <x v="25"/>
    <x v="4"/>
    <x v="2"/>
    <s v="GTXPro"/>
    <s v="Opentech"/>
    <x v="0"/>
    <d v="2016-11-20T00:00:00"/>
    <x v="14"/>
    <n v="4704"/>
  </r>
  <r>
    <x v="58"/>
    <x v="26"/>
    <x v="4"/>
    <x v="2"/>
    <s v="GTX Plus Pro"/>
    <s v="Silis"/>
    <x v="0"/>
    <d v="2016-11-20T00:00:00"/>
    <x v="16"/>
    <n v="5585"/>
  </r>
  <r>
    <x v="59"/>
    <x v="14"/>
    <x v="3"/>
    <x v="1"/>
    <s v="GTK 500"/>
    <s v="Zoomit"/>
    <x v="0"/>
    <d v="2016-11-20T00:00:00"/>
    <x v="3"/>
    <n v="25897"/>
  </r>
  <r>
    <x v="60"/>
    <x v="10"/>
    <x v="3"/>
    <x v="1"/>
    <s v="MG Advanced"/>
    <m/>
    <x v="1"/>
    <d v="2016-11-20T00:00:00"/>
    <x v="6"/>
    <m/>
  </r>
  <r>
    <x v="61"/>
    <x v="16"/>
    <x v="2"/>
    <x v="1"/>
    <s v="GTX Plus Basic"/>
    <s v="Goodsilron"/>
    <x v="0"/>
    <d v="2016-11-20T00:00:00"/>
    <x v="5"/>
    <n v="1207"/>
  </r>
  <r>
    <x v="62"/>
    <x v="24"/>
    <x v="0"/>
    <x v="0"/>
    <s v="MG Advanced"/>
    <s v="Cancity"/>
    <x v="2"/>
    <d v="2016-11-20T00:00:00"/>
    <x v="11"/>
    <n v="0"/>
  </r>
  <r>
    <x v="63"/>
    <x v="24"/>
    <x v="0"/>
    <x v="0"/>
    <s v="GTX Basic"/>
    <s v="Rangreen"/>
    <x v="0"/>
    <d v="2016-11-20T00:00:00"/>
    <x v="23"/>
    <n v="559"/>
  </r>
  <r>
    <x v="64"/>
    <x v="9"/>
    <x v="2"/>
    <x v="1"/>
    <s v="GTX Basic"/>
    <s v="Green-Plus"/>
    <x v="1"/>
    <d v="2016-11-20T00:00:00"/>
    <x v="6"/>
    <m/>
  </r>
  <r>
    <x v="65"/>
    <x v="6"/>
    <x v="1"/>
    <x v="0"/>
    <s v="GTX Plus Basic"/>
    <s v="dambase"/>
    <x v="0"/>
    <d v="2016-11-20T00:00:00"/>
    <x v="3"/>
    <n v="1033"/>
  </r>
  <r>
    <x v="66"/>
    <x v="26"/>
    <x v="4"/>
    <x v="2"/>
    <s v="GTX Basic"/>
    <s v="Kan-code"/>
    <x v="0"/>
    <d v="2016-11-21T00:00:00"/>
    <x v="21"/>
    <n v="462"/>
  </r>
  <r>
    <x v="67"/>
    <x v="10"/>
    <x v="3"/>
    <x v="1"/>
    <s v="MG Advanced"/>
    <s v="Nam-zim"/>
    <x v="2"/>
    <d v="2016-11-21T00:00:00"/>
    <x v="0"/>
    <n v="0"/>
  </r>
  <r>
    <x v="68"/>
    <x v="18"/>
    <x v="2"/>
    <x v="1"/>
    <s v="GTXPro"/>
    <s v="Y-corporation"/>
    <x v="0"/>
    <d v="2016-11-21T00:00:00"/>
    <x v="16"/>
    <n v="5539"/>
  </r>
  <r>
    <x v="69"/>
    <x v="24"/>
    <x v="0"/>
    <x v="0"/>
    <s v="MG Advanced"/>
    <s v="Ron-tech"/>
    <x v="0"/>
    <d v="2016-11-21T00:00:00"/>
    <x v="24"/>
    <n v="3573"/>
  </r>
  <r>
    <x v="70"/>
    <x v="22"/>
    <x v="1"/>
    <x v="0"/>
    <s v="GTXPro"/>
    <s v="Conecom"/>
    <x v="0"/>
    <d v="2016-11-21T00:00:00"/>
    <x v="0"/>
    <n v="4926"/>
  </r>
  <r>
    <x v="71"/>
    <x v="2"/>
    <x v="2"/>
    <x v="1"/>
    <s v="GTX Plus Basic"/>
    <s v="Sunnamplex"/>
    <x v="2"/>
    <d v="2016-11-21T00:00:00"/>
    <x v="12"/>
    <n v="0"/>
  </r>
  <r>
    <x v="72"/>
    <x v="27"/>
    <x v="5"/>
    <x v="2"/>
    <s v="MG Special"/>
    <s v="Bioplex"/>
    <x v="0"/>
    <d v="2016-11-22T00:00:00"/>
    <x v="23"/>
    <n v="62"/>
  </r>
  <r>
    <x v="73"/>
    <x v="1"/>
    <x v="1"/>
    <x v="0"/>
    <s v="GTXPro"/>
    <s v="Gogozoom"/>
    <x v="0"/>
    <d v="2016-11-22T00:00:00"/>
    <x v="16"/>
    <n v="4359"/>
  </r>
  <r>
    <x v="74"/>
    <x v="16"/>
    <x v="2"/>
    <x v="1"/>
    <s v="GTX Basic"/>
    <s v="Plusstrip"/>
    <x v="0"/>
    <d v="2016-11-22T00:00:00"/>
    <x v="20"/>
    <n v="566"/>
  </r>
  <r>
    <x v="75"/>
    <x v="22"/>
    <x v="1"/>
    <x v="0"/>
    <s v="GTX Basic"/>
    <s v="Toughzap"/>
    <x v="0"/>
    <d v="2016-11-22T00:00:00"/>
    <x v="5"/>
    <n v="508"/>
  </r>
  <r>
    <x v="76"/>
    <x v="17"/>
    <x v="5"/>
    <x v="2"/>
    <s v="MG Advanced"/>
    <s v="Vehement Capital Partners"/>
    <x v="2"/>
    <d v="2016-11-22T00:00:00"/>
    <x v="19"/>
    <n v="0"/>
  </r>
  <r>
    <x v="77"/>
    <x v="12"/>
    <x v="0"/>
    <x v="0"/>
    <s v="MG Special"/>
    <s v="Codehow"/>
    <x v="0"/>
    <d v="2016-11-22T00:00:00"/>
    <x v="1"/>
    <n v="51"/>
  </r>
  <r>
    <x v="78"/>
    <x v="4"/>
    <x v="3"/>
    <x v="1"/>
    <s v="GTXPro"/>
    <s v="Dalttechnology"/>
    <x v="0"/>
    <d v="2016-11-22T00:00:00"/>
    <x v="10"/>
    <n v="4899"/>
  </r>
  <r>
    <x v="79"/>
    <x v="27"/>
    <x v="5"/>
    <x v="2"/>
    <s v="GTX Basic"/>
    <s v="Cheers"/>
    <x v="1"/>
    <d v="2016-11-23T00:00:00"/>
    <x v="6"/>
    <m/>
  </r>
  <r>
    <x v="80"/>
    <x v="27"/>
    <x v="5"/>
    <x v="2"/>
    <s v="GTX Plus Pro"/>
    <s v="Ontomedia"/>
    <x v="0"/>
    <d v="2016-11-23T00:00:00"/>
    <x v="5"/>
    <n v="5790"/>
  </r>
  <r>
    <x v="81"/>
    <x v="26"/>
    <x v="4"/>
    <x v="2"/>
    <s v="MG Special"/>
    <s v="Kinnamplus"/>
    <x v="2"/>
    <d v="2016-11-23T00:00:00"/>
    <x v="18"/>
    <n v="0"/>
  </r>
  <r>
    <x v="82"/>
    <x v="14"/>
    <x v="3"/>
    <x v="1"/>
    <s v="MG Advanced"/>
    <m/>
    <x v="1"/>
    <d v="2016-11-23T00:00:00"/>
    <x v="6"/>
    <m/>
  </r>
  <r>
    <x v="83"/>
    <x v="8"/>
    <x v="1"/>
    <x v="0"/>
    <s v="GTXPro"/>
    <s v="Codehow"/>
    <x v="0"/>
    <d v="2016-11-23T00:00:00"/>
    <x v="5"/>
    <n v="4438"/>
  </r>
  <r>
    <x v="84"/>
    <x v="8"/>
    <x v="1"/>
    <x v="0"/>
    <s v="MG Advanced"/>
    <s v="Finhigh"/>
    <x v="0"/>
    <d v="2016-11-23T00:00:00"/>
    <x v="12"/>
    <n v="2972"/>
  </r>
  <r>
    <x v="85"/>
    <x v="5"/>
    <x v="3"/>
    <x v="1"/>
    <s v="MG Special"/>
    <s v="Lexiqvolax"/>
    <x v="1"/>
    <d v="2016-11-23T00:00:00"/>
    <x v="6"/>
    <m/>
  </r>
  <r>
    <x v="86"/>
    <x v="5"/>
    <x v="3"/>
    <x v="1"/>
    <s v="GTX Basic"/>
    <s v="Y-corporation"/>
    <x v="0"/>
    <d v="2016-11-23T00:00:00"/>
    <x v="0"/>
    <n v="523"/>
  </r>
  <r>
    <x v="87"/>
    <x v="3"/>
    <x v="0"/>
    <x v="0"/>
    <s v="MG Advanced"/>
    <s v="Statholdings"/>
    <x v="0"/>
    <d v="2016-11-24T00:00:00"/>
    <x v="25"/>
    <n v="3647"/>
  </r>
  <r>
    <x v="88"/>
    <x v="23"/>
    <x v="4"/>
    <x v="2"/>
    <s v="MG Advanced"/>
    <s v="Umbrella Corporation"/>
    <x v="0"/>
    <d v="2016-11-24T00:00:00"/>
    <x v="0"/>
    <n v="4200"/>
  </r>
  <r>
    <x v="89"/>
    <x v="13"/>
    <x v="4"/>
    <x v="2"/>
    <s v="GTX Plus Basic"/>
    <s v="J-Texon"/>
    <x v="1"/>
    <d v="2016-11-24T00:00:00"/>
    <x v="6"/>
    <m/>
  </r>
  <r>
    <x v="90"/>
    <x v="16"/>
    <x v="2"/>
    <x v="1"/>
    <s v="GTX Plus Basic"/>
    <s v="Bubba Gump"/>
    <x v="1"/>
    <d v="2016-11-24T00:00:00"/>
    <x v="6"/>
    <m/>
  </r>
  <r>
    <x v="91"/>
    <x v="16"/>
    <x v="2"/>
    <x v="1"/>
    <s v="GTX Plus Basic"/>
    <s v="Faxquote"/>
    <x v="0"/>
    <d v="2016-11-24T00:00:00"/>
    <x v="26"/>
    <n v="1059"/>
  </r>
  <r>
    <x v="92"/>
    <x v="22"/>
    <x v="1"/>
    <x v="0"/>
    <s v="GTX Plus Basic"/>
    <s v="Codehow"/>
    <x v="2"/>
    <d v="2016-11-24T00:00:00"/>
    <x v="10"/>
    <n v="0"/>
  </r>
  <r>
    <x v="93"/>
    <x v="12"/>
    <x v="0"/>
    <x v="0"/>
    <s v="MG Special"/>
    <s v="Dontechi"/>
    <x v="0"/>
    <d v="2016-11-24T00:00:00"/>
    <x v="4"/>
    <n v="57"/>
  </r>
  <r>
    <x v="94"/>
    <x v="4"/>
    <x v="3"/>
    <x v="1"/>
    <s v="MG Advanced"/>
    <s v="Konex"/>
    <x v="0"/>
    <d v="2016-11-24T00:00:00"/>
    <x v="27"/>
    <n v="3671"/>
  </r>
  <r>
    <x v="95"/>
    <x v="3"/>
    <x v="0"/>
    <x v="0"/>
    <s v="MG Special"/>
    <s v="Treequote"/>
    <x v="0"/>
    <d v="2016-11-25T00:00:00"/>
    <x v="0"/>
    <n v="58"/>
  </r>
  <r>
    <x v="96"/>
    <x v="28"/>
    <x v="0"/>
    <x v="0"/>
    <s v="MG Advanced"/>
    <s v="Treequote"/>
    <x v="0"/>
    <d v="2016-11-25T00:00:00"/>
    <x v="9"/>
    <n v="3956"/>
  </r>
  <r>
    <x v="97"/>
    <x v="27"/>
    <x v="5"/>
    <x v="2"/>
    <s v="GTX Plus Pro"/>
    <s v="Betasoloin"/>
    <x v="0"/>
    <d v="2016-11-25T00:00:00"/>
    <x v="0"/>
    <n v="5964"/>
  </r>
  <r>
    <x v="98"/>
    <x v="27"/>
    <x v="5"/>
    <x v="2"/>
    <s v="GTXPro"/>
    <s v="Betasoloin"/>
    <x v="0"/>
    <d v="2016-11-25T00:00:00"/>
    <x v="9"/>
    <n v="4570"/>
  </r>
  <r>
    <x v="99"/>
    <x v="1"/>
    <x v="1"/>
    <x v="0"/>
    <s v="MG Special"/>
    <s v="Domzoom"/>
    <x v="0"/>
    <d v="2016-11-25T00:00:00"/>
    <x v="27"/>
    <n v="49"/>
  </r>
  <r>
    <x v="100"/>
    <x v="15"/>
    <x v="5"/>
    <x v="2"/>
    <s v="MG Special"/>
    <s v="Donquadtech"/>
    <x v="0"/>
    <d v="2016-11-25T00:00:00"/>
    <x v="9"/>
    <n v="65"/>
  </r>
  <r>
    <x v="101"/>
    <x v="3"/>
    <x v="0"/>
    <x v="0"/>
    <s v="MG Special"/>
    <s v="Domzoom"/>
    <x v="2"/>
    <d v="2016-11-26T00:00:00"/>
    <x v="27"/>
    <n v="0"/>
  </r>
  <r>
    <x v="102"/>
    <x v="1"/>
    <x v="1"/>
    <x v="0"/>
    <s v="GTXPro"/>
    <s v="Finhigh"/>
    <x v="0"/>
    <d v="2016-11-26T00:00:00"/>
    <x v="11"/>
    <n v="4739"/>
  </r>
  <r>
    <x v="103"/>
    <x v="6"/>
    <x v="1"/>
    <x v="0"/>
    <s v="GTX Plus Basic"/>
    <s v="Globex Corporation"/>
    <x v="0"/>
    <d v="2016-11-26T00:00:00"/>
    <x v="21"/>
    <n v="1080"/>
  </r>
  <r>
    <x v="104"/>
    <x v="19"/>
    <x v="4"/>
    <x v="2"/>
    <s v="MG Special"/>
    <s v="Plussunin"/>
    <x v="0"/>
    <d v="2016-11-26T00:00:00"/>
    <x v="15"/>
    <n v="57"/>
  </r>
  <r>
    <x v="105"/>
    <x v="21"/>
    <x v="5"/>
    <x v="2"/>
    <s v="GTX Basic"/>
    <s v="Konex"/>
    <x v="0"/>
    <d v="2016-11-27T00:00:00"/>
    <x v="28"/>
    <n v="469"/>
  </r>
  <r>
    <x v="106"/>
    <x v="18"/>
    <x v="2"/>
    <x v="1"/>
    <s v="GTX Basic"/>
    <s v="Condax"/>
    <x v="0"/>
    <d v="2016-11-27T00:00:00"/>
    <x v="5"/>
    <n v="532"/>
  </r>
  <r>
    <x v="107"/>
    <x v="5"/>
    <x v="3"/>
    <x v="1"/>
    <s v="MG Advanced"/>
    <s v="Opentech"/>
    <x v="1"/>
    <d v="2016-11-27T00:00:00"/>
    <x v="6"/>
    <m/>
  </r>
  <r>
    <x v="108"/>
    <x v="11"/>
    <x v="3"/>
    <x v="1"/>
    <s v="GTX Basic"/>
    <s v="Konex"/>
    <x v="0"/>
    <d v="2016-11-27T00:00:00"/>
    <x v="13"/>
    <n v="538"/>
  </r>
  <r>
    <x v="109"/>
    <x v="17"/>
    <x v="5"/>
    <x v="2"/>
    <s v="GTXPro"/>
    <s v="Massive Dynamic"/>
    <x v="0"/>
    <d v="2016-11-27T00:00:00"/>
    <x v="21"/>
    <n v="4829"/>
  </r>
  <r>
    <x v="110"/>
    <x v="2"/>
    <x v="2"/>
    <x v="1"/>
    <s v="GTX Plus Pro"/>
    <s v="Doncon"/>
    <x v="0"/>
    <d v="2016-11-27T00:00:00"/>
    <x v="1"/>
    <n v="5370"/>
  </r>
  <r>
    <x v="111"/>
    <x v="2"/>
    <x v="2"/>
    <x v="1"/>
    <s v="GTX Plus Pro"/>
    <s v="Hatfan"/>
    <x v="0"/>
    <d v="2016-11-27T00:00:00"/>
    <x v="21"/>
    <n v="6499"/>
  </r>
  <r>
    <x v="112"/>
    <x v="1"/>
    <x v="1"/>
    <x v="0"/>
    <s v="GTX Plus Basic"/>
    <s v="Genco Pura Olive Oil Company"/>
    <x v="0"/>
    <d v="2016-11-28T00:00:00"/>
    <x v="9"/>
    <n v="1161"/>
  </r>
  <r>
    <x v="113"/>
    <x v="18"/>
    <x v="2"/>
    <x v="1"/>
    <s v="GTX Basic"/>
    <s v="Scotfind"/>
    <x v="0"/>
    <d v="2016-11-28T00:00:00"/>
    <x v="13"/>
    <n v="576"/>
  </r>
  <r>
    <x v="114"/>
    <x v="9"/>
    <x v="2"/>
    <x v="1"/>
    <s v="GTX Plus Basic"/>
    <s v="Hatfan"/>
    <x v="0"/>
    <d v="2016-11-28T00:00:00"/>
    <x v="17"/>
    <n v="979"/>
  </r>
  <r>
    <x v="115"/>
    <x v="12"/>
    <x v="0"/>
    <x v="0"/>
    <s v="MG Special"/>
    <s v="Stanredtax"/>
    <x v="0"/>
    <d v="2016-11-28T00:00:00"/>
    <x v="2"/>
    <n v="43"/>
  </r>
  <r>
    <x v="116"/>
    <x v="8"/>
    <x v="1"/>
    <x v="0"/>
    <s v="MG Special"/>
    <s v="Scottech"/>
    <x v="0"/>
    <d v="2016-11-29T00:00:00"/>
    <x v="2"/>
    <n v="57"/>
  </r>
  <r>
    <x v="117"/>
    <x v="24"/>
    <x v="0"/>
    <x v="0"/>
    <s v="MG Special"/>
    <s v="Ron-tech"/>
    <x v="2"/>
    <d v="2016-11-29T00:00:00"/>
    <x v="26"/>
    <n v="0"/>
  </r>
  <r>
    <x v="118"/>
    <x v="24"/>
    <x v="0"/>
    <x v="0"/>
    <s v="GTX Plus Basic"/>
    <s v="Funholding"/>
    <x v="0"/>
    <d v="2016-11-29T00:00:00"/>
    <x v="15"/>
    <n v="948"/>
  </r>
  <r>
    <x v="119"/>
    <x v="20"/>
    <x v="5"/>
    <x v="2"/>
    <s v="MG Advanced"/>
    <s v="Plussunin"/>
    <x v="0"/>
    <d v="2016-11-29T00:00:00"/>
    <x v="7"/>
    <n v="3012"/>
  </r>
  <r>
    <x v="120"/>
    <x v="23"/>
    <x v="4"/>
    <x v="2"/>
    <s v="MG Advanced"/>
    <s v="Zotware"/>
    <x v="0"/>
    <d v="2016-11-30T00:00:00"/>
    <x v="24"/>
    <n v="3665"/>
  </r>
  <r>
    <x v="121"/>
    <x v="15"/>
    <x v="5"/>
    <x v="2"/>
    <s v="GTX Basic"/>
    <s v="Gekko &amp; Co"/>
    <x v="0"/>
    <d v="2016-11-30T00:00:00"/>
    <x v="29"/>
    <n v="564"/>
  </r>
  <r>
    <x v="122"/>
    <x v="3"/>
    <x v="0"/>
    <x v="0"/>
    <s v="GTX Plus Basic"/>
    <s v="dambase"/>
    <x v="2"/>
    <d v="2016-12-01T00:00:00"/>
    <x v="9"/>
    <n v="0"/>
  </r>
  <r>
    <x v="123"/>
    <x v="23"/>
    <x v="4"/>
    <x v="2"/>
    <s v="MG Advanced"/>
    <s v="Initech"/>
    <x v="0"/>
    <d v="2016-12-01T00:00:00"/>
    <x v="30"/>
    <n v="3463"/>
  </r>
  <r>
    <x v="124"/>
    <x v="27"/>
    <x v="5"/>
    <x v="2"/>
    <s v="GTX Basic"/>
    <s v="Gekko &amp; Co"/>
    <x v="0"/>
    <d v="2016-12-01T00:00:00"/>
    <x v="13"/>
    <n v="513"/>
  </r>
  <r>
    <x v="125"/>
    <x v="27"/>
    <x v="5"/>
    <x v="2"/>
    <s v="GTX Basic"/>
    <s v="Konex"/>
    <x v="0"/>
    <d v="2016-12-01T00:00:00"/>
    <x v="26"/>
    <n v="590"/>
  </r>
  <r>
    <x v="126"/>
    <x v="1"/>
    <x v="1"/>
    <x v="0"/>
    <s v="GTXPro"/>
    <s v="Dontechi"/>
    <x v="0"/>
    <d v="2016-12-01T00:00:00"/>
    <x v="18"/>
    <n v="4511"/>
  </r>
  <r>
    <x v="127"/>
    <x v="24"/>
    <x v="0"/>
    <x v="0"/>
    <s v="MG Advanced"/>
    <s v="Finhigh"/>
    <x v="2"/>
    <d v="2016-12-01T00:00:00"/>
    <x v="4"/>
    <n v="0"/>
  </r>
  <r>
    <x v="128"/>
    <x v="6"/>
    <x v="1"/>
    <x v="0"/>
    <s v="GTX Basic"/>
    <s v="Cancity"/>
    <x v="0"/>
    <d v="2016-12-01T00:00:00"/>
    <x v="13"/>
    <n v="546"/>
  </r>
  <r>
    <x v="129"/>
    <x v="4"/>
    <x v="3"/>
    <x v="1"/>
    <s v="MG Special"/>
    <s v="Y-corporation"/>
    <x v="0"/>
    <d v="2016-12-01T00:00:00"/>
    <x v="10"/>
    <n v="46"/>
  </r>
  <r>
    <x v="130"/>
    <x v="1"/>
    <x v="1"/>
    <x v="0"/>
    <s v="GTXPro"/>
    <s v="Ron-tech"/>
    <x v="0"/>
    <d v="2016-12-02T00:00:00"/>
    <x v="3"/>
    <n v="4891"/>
  </r>
  <r>
    <x v="131"/>
    <x v="10"/>
    <x v="3"/>
    <x v="1"/>
    <s v="GTX Plus Basic"/>
    <s v="Golddex"/>
    <x v="0"/>
    <d v="2016-12-02T00:00:00"/>
    <x v="5"/>
    <n v="1040"/>
  </r>
  <r>
    <x v="132"/>
    <x v="10"/>
    <x v="3"/>
    <x v="1"/>
    <s v="GTX Plus Basic"/>
    <s v="Sonron"/>
    <x v="0"/>
    <d v="2016-12-02T00:00:00"/>
    <x v="23"/>
    <n v="1108"/>
  </r>
  <r>
    <x v="133"/>
    <x v="10"/>
    <x v="3"/>
    <x v="1"/>
    <s v="MG Special"/>
    <s v="Nam-zim"/>
    <x v="0"/>
    <d v="2016-12-02T00:00:00"/>
    <x v="23"/>
    <n v="59"/>
  </r>
  <r>
    <x v="134"/>
    <x v="29"/>
    <x v="1"/>
    <x v="0"/>
    <s v="GTXPro"/>
    <s v="Statholdings"/>
    <x v="0"/>
    <d v="2016-12-02T00:00:00"/>
    <x v="18"/>
    <n v="5406"/>
  </r>
  <r>
    <x v="135"/>
    <x v="18"/>
    <x v="2"/>
    <x v="1"/>
    <s v="GTX Basic"/>
    <s v="Cheers"/>
    <x v="0"/>
    <d v="2016-12-02T00:00:00"/>
    <x v="19"/>
    <n v="515"/>
  </r>
  <r>
    <x v="136"/>
    <x v="0"/>
    <x v="0"/>
    <x v="0"/>
    <s v="GTX Basic"/>
    <s v="Treequote"/>
    <x v="0"/>
    <d v="2016-12-02T00:00:00"/>
    <x v="9"/>
    <n v="583"/>
  </r>
  <r>
    <x v="137"/>
    <x v="12"/>
    <x v="0"/>
    <x v="0"/>
    <s v="MG Special"/>
    <s v="Funholding"/>
    <x v="0"/>
    <d v="2016-12-02T00:00:00"/>
    <x v="16"/>
    <n v="54"/>
  </r>
  <r>
    <x v="138"/>
    <x v="4"/>
    <x v="3"/>
    <x v="1"/>
    <s v="MG Special"/>
    <s v="Plusstrip"/>
    <x v="0"/>
    <d v="2016-12-02T00:00:00"/>
    <x v="27"/>
    <n v="60"/>
  </r>
  <r>
    <x v="139"/>
    <x v="2"/>
    <x v="2"/>
    <x v="1"/>
    <s v="GTX Basic"/>
    <m/>
    <x v="1"/>
    <d v="2016-12-02T00:00:00"/>
    <x v="6"/>
    <m/>
  </r>
  <r>
    <x v="140"/>
    <x v="1"/>
    <x v="1"/>
    <x v="0"/>
    <s v="GTX Basic"/>
    <s v="Dontechi"/>
    <x v="2"/>
    <d v="2016-12-03T00:00:00"/>
    <x v="15"/>
    <n v="0"/>
  </r>
  <r>
    <x v="141"/>
    <x v="1"/>
    <x v="1"/>
    <x v="0"/>
    <s v="GTXPro"/>
    <s v="Funholding"/>
    <x v="2"/>
    <d v="2016-12-03T00:00:00"/>
    <x v="17"/>
    <n v="0"/>
  </r>
  <r>
    <x v="142"/>
    <x v="1"/>
    <x v="1"/>
    <x v="0"/>
    <s v="GTX Basic"/>
    <s v="Globex Corporation"/>
    <x v="0"/>
    <d v="2016-12-03T00:00:00"/>
    <x v="14"/>
    <n v="516"/>
  </r>
  <r>
    <x v="143"/>
    <x v="1"/>
    <x v="1"/>
    <x v="0"/>
    <s v="GTXPro"/>
    <s v="Rangreen"/>
    <x v="0"/>
    <d v="2016-12-03T00:00:00"/>
    <x v="30"/>
    <n v="4829"/>
  </r>
  <r>
    <x v="144"/>
    <x v="0"/>
    <x v="0"/>
    <x v="0"/>
    <s v="GTX Plus Basic"/>
    <s v="Dontechi"/>
    <x v="2"/>
    <d v="2016-12-03T00:00:00"/>
    <x v="12"/>
    <n v="0"/>
  </r>
  <r>
    <x v="145"/>
    <x v="19"/>
    <x v="4"/>
    <x v="2"/>
    <s v="GTX Plus Basic"/>
    <s v="Donquadtech"/>
    <x v="0"/>
    <d v="2016-12-03T00:00:00"/>
    <x v="4"/>
    <n v="950"/>
  </r>
  <r>
    <x v="146"/>
    <x v="4"/>
    <x v="3"/>
    <x v="1"/>
    <s v="GTX Plus Basic"/>
    <s v="Xx-holding"/>
    <x v="2"/>
    <d v="2016-12-03T00:00:00"/>
    <x v="3"/>
    <n v="0"/>
  </r>
  <r>
    <x v="147"/>
    <x v="27"/>
    <x v="5"/>
    <x v="2"/>
    <s v="GTX Basic"/>
    <s v="Initech"/>
    <x v="0"/>
    <d v="2016-12-04T00:00:00"/>
    <x v="19"/>
    <n v="513"/>
  </r>
  <r>
    <x v="148"/>
    <x v="1"/>
    <x v="1"/>
    <x v="0"/>
    <s v="GTXPro"/>
    <s v="Condax"/>
    <x v="2"/>
    <d v="2016-12-04T00:00:00"/>
    <x v="3"/>
    <n v="0"/>
  </r>
  <r>
    <x v="149"/>
    <x v="1"/>
    <x v="1"/>
    <x v="0"/>
    <s v="GTX Plus Pro"/>
    <s v="Ron-tech"/>
    <x v="0"/>
    <d v="2016-12-04T00:00:00"/>
    <x v="15"/>
    <n v="5522"/>
  </r>
  <r>
    <x v="150"/>
    <x v="8"/>
    <x v="1"/>
    <x v="0"/>
    <s v="MG Special"/>
    <s v="Cancity"/>
    <x v="0"/>
    <d v="2016-12-04T00:00:00"/>
    <x v="3"/>
    <n v="56"/>
  </r>
  <r>
    <x v="151"/>
    <x v="7"/>
    <x v="2"/>
    <x v="1"/>
    <s v="GTXPro"/>
    <s v="Doncon"/>
    <x v="0"/>
    <d v="2016-12-04T00:00:00"/>
    <x v="11"/>
    <n v="5673"/>
  </r>
  <r>
    <x v="152"/>
    <x v="16"/>
    <x v="2"/>
    <x v="1"/>
    <s v="GTX Basic"/>
    <s v="Xx-holding"/>
    <x v="0"/>
    <d v="2016-12-04T00:00:00"/>
    <x v="7"/>
    <n v="598"/>
  </r>
  <r>
    <x v="153"/>
    <x v="22"/>
    <x v="1"/>
    <x v="0"/>
    <s v="GTX Plus Pro"/>
    <s v="Rangreen"/>
    <x v="0"/>
    <d v="2016-12-04T00:00:00"/>
    <x v="28"/>
    <n v="5787"/>
  </r>
  <r>
    <x v="154"/>
    <x v="9"/>
    <x v="2"/>
    <x v="1"/>
    <s v="GTX Plus Basic"/>
    <s v="Singletechno"/>
    <x v="0"/>
    <d v="2016-12-04T00:00:00"/>
    <x v="11"/>
    <n v="1070"/>
  </r>
  <r>
    <x v="155"/>
    <x v="25"/>
    <x v="4"/>
    <x v="2"/>
    <s v="MG Advanced"/>
    <s v="Donquadtech"/>
    <x v="0"/>
    <d v="2016-12-05T00:00:00"/>
    <x v="16"/>
    <n v="3677"/>
  </r>
  <r>
    <x v="156"/>
    <x v="23"/>
    <x v="4"/>
    <x v="2"/>
    <s v="GTX Plus Pro"/>
    <s v="Ontomedia"/>
    <x v="0"/>
    <d v="2016-12-05T00:00:00"/>
    <x v="18"/>
    <n v="5425"/>
  </r>
  <r>
    <x v="157"/>
    <x v="13"/>
    <x v="4"/>
    <x v="2"/>
    <s v="GTX Plus Pro"/>
    <m/>
    <x v="1"/>
    <d v="2016-12-05T00:00:00"/>
    <x v="6"/>
    <m/>
  </r>
  <r>
    <x v="158"/>
    <x v="26"/>
    <x v="4"/>
    <x v="2"/>
    <s v="MG Advanced"/>
    <s v="Yearin"/>
    <x v="0"/>
    <d v="2016-12-05T00:00:00"/>
    <x v="14"/>
    <n v="3415"/>
  </r>
  <r>
    <x v="159"/>
    <x v="7"/>
    <x v="2"/>
    <x v="1"/>
    <s v="GTX Basic"/>
    <m/>
    <x v="1"/>
    <d v="2016-12-05T00:00:00"/>
    <x v="6"/>
    <m/>
  </r>
  <r>
    <x v="160"/>
    <x v="9"/>
    <x v="2"/>
    <x v="1"/>
    <s v="GTX Plus Basic"/>
    <s v="Lexiqvolax"/>
    <x v="0"/>
    <d v="2016-12-05T00:00:00"/>
    <x v="21"/>
    <n v="891"/>
  </r>
  <r>
    <x v="161"/>
    <x v="24"/>
    <x v="0"/>
    <x v="0"/>
    <s v="GTX Basic"/>
    <s v="Codehow"/>
    <x v="0"/>
    <d v="2016-12-06T00:00:00"/>
    <x v="15"/>
    <n v="609"/>
  </r>
  <r>
    <x v="162"/>
    <x v="5"/>
    <x v="3"/>
    <x v="1"/>
    <s v="MG Special"/>
    <s v="Plusstrip"/>
    <x v="0"/>
    <d v="2016-12-06T00:00:00"/>
    <x v="28"/>
    <n v="54"/>
  </r>
  <r>
    <x v="163"/>
    <x v="2"/>
    <x v="2"/>
    <x v="1"/>
    <s v="GTX Plus Basic"/>
    <s v="Labdrill"/>
    <x v="0"/>
    <d v="2016-12-06T00:00:00"/>
    <x v="3"/>
    <n v="1049"/>
  </r>
  <r>
    <x v="164"/>
    <x v="23"/>
    <x v="4"/>
    <x v="2"/>
    <s v="GTX Plus Basic"/>
    <s v="Gekko &amp; Co"/>
    <x v="0"/>
    <d v="2016-12-07T00:00:00"/>
    <x v="2"/>
    <n v="1152"/>
  </r>
  <r>
    <x v="165"/>
    <x v="13"/>
    <x v="4"/>
    <x v="2"/>
    <s v="MG Special"/>
    <s v="Plussunin"/>
    <x v="2"/>
    <d v="2016-12-07T00:00:00"/>
    <x v="19"/>
    <n v="0"/>
  </r>
  <r>
    <x v="166"/>
    <x v="13"/>
    <x v="4"/>
    <x v="2"/>
    <s v="GTXPro"/>
    <s v="Umbrella Corporation"/>
    <x v="0"/>
    <d v="2016-12-07T00:00:00"/>
    <x v="26"/>
    <n v="4799"/>
  </r>
  <r>
    <x v="167"/>
    <x v="8"/>
    <x v="1"/>
    <x v="0"/>
    <s v="MG Special"/>
    <s v="dambase"/>
    <x v="0"/>
    <d v="2016-12-07T00:00:00"/>
    <x v="15"/>
    <n v="51"/>
  </r>
  <r>
    <x v="168"/>
    <x v="10"/>
    <x v="3"/>
    <x v="1"/>
    <s v="MG Advanced"/>
    <s v="J-Texon"/>
    <x v="0"/>
    <d v="2016-12-07T00:00:00"/>
    <x v="5"/>
    <n v="3426"/>
  </r>
  <r>
    <x v="169"/>
    <x v="29"/>
    <x v="1"/>
    <x v="0"/>
    <s v="MG Special"/>
    <s v="Rangreen"/>
    <x v="0"/>
    <d v="2016-12-07T00:00:00"/>
    <x v="1"/>
    <n v="51"/>
  </r>
  <r>
    <x v="170"/>
    <x v="16"/>
    <x v="2"/>
    <x v="1"/>
    <s v="GTX Basic"/>
    <s v="Finjob"/>
    <x v="0"/>
    <d v="2016-12-07T00:00:00"/>
    <x v="19"/>
    <n v="564"/>
  </r>
  <r>
    <x v="171"/>
    <x v="28"/>
    <x v="0"/>
    <x v="0"/>
    <s v="GTX Plus Pro"/>
    <s v="Isdom"/>
    <x v="0"/>
    <d v="2016-12-08T00:00:00"/>
    <x v="0"/>
    <n v="5882"/>
  </r>
  <r>
    <x v="172"/>
    <x v="13"/>
    <x v="4"/>
    <x v="2"/>
    <s v="GTXPro"/>
    <s v="Stanredtax"/>
    <x v="1"/>
    <d v="2016-12-08T00:00:00"/>
    <x v="6"/>
    <m/>
  </r>
  <r>
    <x v="173"/>
    <x v="26"/>
    <x v="4"/>
    <x v="2"/>
    <s v="GTXPro"/>
    <s v="Plussunin"/>
    <x v="0"/>
    <d v="2016-12-08T00:00:00"/>
    <x v="19"/>
    <n v="5059"/>
  </r>
  <r>
    <x v="174"/>
    <x v="7"/>
    <x v="2"/>
    <x v="1"/>
    <s v="MG Advanced"/>
    <m/>
    <x v="1"/>
    <d v="2016-12-08T00:00:00"/>
    <x v="6"/>
    <m/>
  </r>
  <r>
    <x v="175"/>
    <x v="16"/>
    <x v="2"/>
    <x v="1"/>
    <s v="GTX Plus Basic"/>
    <m/>
    <x v="1"/>
    <d v="2016-12-08T00:00:00"/>
    <x v="6"/>
    <m/>
  </r>
  <r>
    <x v="176"/>
    <x v="16"/>
    <x v="2"/>
    <x v="1"/>
    <s v="MG Advanced"/>
    <s v="Singletechno"/>
    <x v="0"/>
    <d v="2016-12-08T00:00:00"/>
    <x v="1"/>
    <n v="3388"/>
  </r>
  <r>
    <x v="177"/>
    <x v="18"/>
    <x v="2"/>
    <x v="1"/>
    <s v="GTX Plus Pro"/>
    <m/>
    <x v="1"/>
    <d v="2016-12-08T00:00:00"/>
    <x v="6"/>
    <m/>
  </r>
  <r>
    <x v="178"/>
    <x v="5"/>
    <x v="3"/>
    <x v="1"/>
    <s v="GTX Plus Pro"/>
    <s v="Zoomit"/>
    <x v="0"/>
    <d v="2016-12-08T00:00:00"/>
    <x v="7"/>
    <n v="5410"/>
  </r>
  <r>
    <x v="179"/>
    <x v="19"/>
    <x v="4"/>
    <x v="2"/>
    <s v="GTX Plus Basic"/>
    <s v="Zathunicon"/>
    <x v="0"/>
    <d v="2016-12-08T00:00:00"/>
    <x v="26"/>
    <n v="978"/>
  </r>
  <r>
    <x v="180"/>
    <x v="4"/>
    <x v="3"/>
    <x v="1"/>
    <s v="MG Special"/>
    <s v="Scotfind"/>
    <x v="0"/>
    <d v="2016-12-08T00:00:00"/>
    <x v="13"/>
    <n v="54"/>
  </r>
  <r>
    <x v="181"/>
    <x v="3"/>
    <x v="0"/>
    <x v="0"/>
    <s v="MG Special"/>
    <s v="Betatech"/>
    <x v="2"/>
    <d v="2016-12-09T00:00:00"/>
    <x v="30"/>
    <n v="0"/>
  </r>
  <r>
    <x v="182"/>
    <x v="23"/>
    <x v="4"/>
    <x v="2"/>
    <s v="GTX Basic"/>
    <s v="Bubba Gump"/>
    <x v="0"/>
    <d v="2016-12-09T00:00:00"/>
    <x v="16"/>
    <n v="549"/>
  </r>
  <r>
    <x v="183"/>
    <x v="27"/>
    <x v="5"/>
    <x v="2"/>
    <s v="GTX Plus Basic"/>
    <s v="Mathtouch"/>
    <x v="0"/>
    <d v="2016-12-09T00:00:00"/>
    <x v="16"/>
    <n v="1034"/>
  </r>
  <r>
    <x v="184"/>
    <x v="26"/>
    <x v="4"/>
    <x v="2"/>
    <s v="GTXPro"/>
    <s v="Vehement Capital Partners"/>
    <x v="0"/>
    <d v="2016-12-09T00:00:00"/>
    <x v="5"/>
    <n v="4998"/>
  </r>
  <r>
    <x v="185"/>
    <x v="26"/>
    <x v="4"/>
    <x v="2"/>
    <s v="MG Advanced"/>
    <s v="Ontomedia"/>
    <x v="0"/>
    <d v="2016-12-09T00:00:00"/>
    <x v="26"/>
    <n v="3421"/>
  </r>
  <r>
    <x v="186"/>
    <x v="18"/>
    <x v="2"/>
    <x v="1"/>
    <s v="GTX Plus Pro"/>
    <s v="Doncon"/>
    <x v="0"/>
    <d v="2016-12-09T00:00:00"/>
    <x v="23"/>
    <n v="5425"/>
  </r>
  <r>
    <x v="187"/>
    <x v="4"/>
    <x v="3"/>
    <x v="1"/>
    <s v="MG Special"/>
    <s v="Dalttechnology"/>
    <x v="0"/>
    <d v="2016-12-09T00:00:00"/>
    <x v="24"/>
    <n v="55"/>
  </r>
  <r>
    <x v="188"/>
    <x v="15"/>
    <x v="5"/>
    <x v="2"/>
    <s v="MG Advanced"/>
    <s v="Silis"/>
    <x v="0"/>
    <d v="2016-12-09T00:00:00"/>
    <x v="16"/>
    <n v="3558"/>
  </r>
  <r>
    <x v="189"/>
    <x v="23"/>
    <x v="4"/>
    <x v="2"/>
    <s v="GTXPro"/>
    <s v="Plussunin"/>
    <x v="1"/>
    <d v="2016-12-10T00:00:00"/>
    <x v="6"/>
    <m/>
  </r>
  <r>
    <x v="190"/>
    <x v="16"/>
    <x v="2"/>
    <x v="1"/>
    <s v="GTXPro"/>
    <s v="Blackzim"/>
    <x v="0"/>
    <d v="2016-12-10T00:00:00"/>
    <x v="30"/>
    <n v="4839"/>
  </r>
  <r>
    <x v="191"/>
    <x v="5"/>
    <x v="3"/>
    <x v="1"/>
    <s v="MG Special"/>
    <s v="Hottechi"/>
    <x v="0"/>
    <d v="2016-12-10T00:00:00"/>
    <x v="25"/>
    <n v="47"/>
  </r>
  <r>
    <x v="192"/>
    <x v="9"/>
    <x v="2"/>
    <x v="1"/>
    <s v="GTX Plus Basic"/>
    <s v="Fasehatice"/>
    <x v="0"/>
    <d v="2016-12-10T00:00:00"/>
    <x v="29"/>
    <n v="1007"/>
  </r>
  <r>
    <x v="193"/>
    <x v="6"/>
    <x v="1"/>
    <x v="0"/>
    <s v="MG Special"/>
    <s v="Inity"/>
    <x v="0"/>
    <d v="2016-12-10T00:00:00"/>
    <x v="29"/>
    <n v="48"/>
  </r>
  <r>
    <x v="194"/>
    <x v="12"/>
    <x v="0"/>
    <x v="0"/>
    <s v="MG Special"/>
    <s v="Treequote"/>
    <x v="0"/>
    <d v="2016-12-10T00:00:00"/>
    <x v="2"/>
    <n v="49"/>
  </r>
  <r>
    <x v="195"/>
    <x v="15"/>
    <x v="5"/>
    <x v="2"/>
    <s v="GTX Basic"/>
    <s v="Mathtouch"/>
    <x v="0"/>
    <d v="2016-12-10T00:00:00"/>
    <x v="8"/>
    <n v="504"/>
  </r>
  <r>
    <x v="196"/>
    <x v="23"/>
    <x v="4"/>
    <x v="2"/>
    <s v="MG Advanced"/>
    <m/>
    <x v="1"/>
    <d v="2016-12-11T00:00:00"/>
    <x v="6"/>
    <m/>
  </r>
  <r>
    <x v="197"/>
    <x v="14"/>
    <x v="3"/>
    <x v="1"/>
    <s v="MG Special"/>
    <m/>
    <x v="1"/>
    <d v="2016-12-11T00:00:00"/>
    <x v="6"/>
    <m/>
  </r>
  <r>
    <x v="198"/>
    <x v="29"/>
    <x v="1"/>
    <x v="0"/>
    <s v="GTX Basic"/>
    <s v="Finhigh"/>
    <x v="0"/>
    <d v="2016-12-11T00:00:00"/>
    <x v="21"/>
    <n v="543"/>
  </r>
  <r>
    <x v="199"/>
    <x v="18"/>
    <x v="2"/>
    <x v="1"/>
    <s v="GTX Plus Pro"/>
    <s v="Fasehatice"/>
    <x v="2"/>
    <d v="2016-12-11T00:00:00"/>
    <x v="8"/>
    <n v="0"/>
  </r>
  <r>
    <x v="200"/>
    <x v="18"/>
    <x v="2"/>
    <x v="1"/>
    <s v="GTXPro"/>
    <s v="Fasehatice"/>
    <x v="0"/>
    <d v="2016-12-11T00:00:00"/>
    <x v="26"/>
    <n v="5149"/>
  </r>
  <r>
    <x v="201"/>
    <x v="24"/>
    <x v="0"/>
    <x v="0"/>
    <s v="GTX Basic"/>
    <s v="Treequote"/>
    <x v="2"/>
    <d v="2016-12-11T00:00:00"/>
    <x v="3"/>
    <n v="0"/>
  </r>
  <r>
    <x v="202"/>
    <x v="5"/>
    <x v="3"/>
    <x v="1"/>
    <s v="GTX Plus Basic"/>
    <s v="Blackzim"/>
    <x v="0"/>
    <d v="2016-12-11T00:00:00"/>
    <x v="1"/>
    <n v="1043"/>
  </r>
  <r>
    <x v="203"/>
    <x v="23"/>
    <x v="4"/>
    <x v="2"/>
    <s v="GTX Plus Pro"/>
    <s v="Sumace"/>
    <x v="2"/>
    <d v="2016-12-12T00:00:00"/>
    <x v="3"/>
    <n v="0"/>
  </r>
  <r>
    <x v="204"/>
    <x v="7"/>
    <x v="2"/>
    <x v="1"/>
    <s v="GTX Basic"/>
    <s v="Condax"/>
    <x v="0"/>
    <d v="2016-12-12T00:00:00"/>
    <x v="31"/>
    <n v="437"/>
  </r>
  <r>
    <x v="205"/>
    <x v="11"/>
    <x v="3"/>
    <x v="1"/>
    <s v="MG Advanced"/>
    <m/>
    <x v="1"/>
    <d v="2016-12-12T00:00:00"/>
    <x v="6"/>
    <m/>
  </r>
  <r>
    <x v="206"/>
    <x v="17"/>
    <x v="5"/>
    <x v="2"/>
    <s v="GTXPro"/>
    <s v="Kinnamplus"/>
    <x v="0"/>
    <d v="2016-12-12T00:00:00"/>
    <x v="1"/>
    <n v="4465"/>
  </r>
  <r>
    <x v="207"/>
    <x v="4"/>
    <x v="3"/>
    <x v="1"/>
    <s v="GTX Basic"/>
    <s v="Konex"/>
    <x v="0"/>
    <d v="2016-12-12T00:00:00"/>
    <x v="8"/>
    <n v="443"/>
  </r>
  <r>
    <x v="208"/>
    <x v="15"/>
    <x v="5"/>
    <x v="2"/>
    <s v="MG Special"/>
    <s v="Sumace"/>
    <x v="2"/>
    <d v="2016-12-12T00:00:00"/>
    <x v="14"/>
    <n v="0"/>
  </r>
  <r>
    <x v="209"/>
    <x v="1"/>
    <x v="1"/>
    <x v="0"/>
    <s v="GTX Plus Pro"/>
    <s v="Betatech"/>
    <x v="0"/>
    <d v="2016-12-13T00:00:00"/>
    <x v="19"/>
    <n v="4278"/>
  </r>
  <r>
    <x v="210"/>
    <x v="21"/>
    <x v="5"/>
    <x v="2"/>
    <s v="MG Special"/>
    <s v="Kinnamplus"/>
    <x v="0"/>
    <d v="2016-12-13T00:00:00"/>
    <x v="9"/>
    <n v="41"/>
  </r>
  <r>
    <x v="211"/>
    <x v="29"/>
    <x v="1"/>
    <x v="0"/>
    <s v="GTX Basic"/>
    <s v="Isdom"/>
    <x v="0"/>
    <d v="2016-12-13T00:00:00"/>
    <x v="26"/>
    <n v="519"/>
  </r>
  <r>
    <x v="212"/>
    <x v="16"/>
    <x v="2"/>
    <x v="1"/>
    <s v="GTXPro"/>
    <m/>
    <x v="1"/>
    <d v="2016-12-13T00:00:00"/>
    <x v="6"/>
    <m/>
  </r>
  <r>
    <x v="213"/>
    <x v="9"/>
    <x v="2"/>
    <x v="1"/>
    <s v="GTX Basic"/>
    <s v="Kan-code"/>
    <x v="0"/>
    <d v="2016-12-13T00:00:00"/>
    <x v="23"/>
    <n v="524"/>
  </r>
  <r>
    <x v="214"/>
    <x v="2"/>
    <x v="2"/>
    <x v="1"/>
    <s v="GTX Basic"/>
    <s v="Singletechno"/>
    <x v="0"/>
    <d v="2016-12-13T00:00:00"/>
    <x v="27"/>
    <n v="552"/>
  </r>
  <r>
    <x v="215"/>
    <x v="8"/>
    <x v="1"/>
    <x v="0"/>
    <s v="GTX Plus Basic"/>
    <s v="Konmatfix"/>
    <x v="0"/>
    <d v="2016-12-14T00:00:00"/>
    <x v="4"/>
    <n v="970"/>
  </r>
  <r>
    <x v="216"/>
    <x v="10"/>
    <x v="3"/>
    <x v="1"/>
    <s v="MG Advanced"/>
    <m/>
    <x v="1"/>
    <d v="2016-12-14T00:00:00"/>
    <x v="6"/>
    <m/>
  </r>
  <r>
    <x v="217"/>
    <x v="18"/>
    <x v="2"/>
    <x v="1"/>
    <s v="GTX Plus Basic"/>
    <s v="Hottechi"/>
    <x v="1"/>
    <d v="2016-12-14T00:00:00"/>
    <x v="6"/>
    <m/>
  </r>
  <r>
    <x v="218"/>
    <x v="18"/>
    <x v="2"/>
    <x v="1"/>
    <s v="GTX Plus Basic"/>
    <s v="Hatfan"/>
    <x v="0"/>
    <d v="2016-12-14T00:00:00"/>
    <x v="22"/>
    <n v="1046"/>
  </r>
  <r>
    <x v="219"/>
    <x v="18"/>
    <x v="2"/>
    <x v="1"/>
    <s v="GTX Plus Basic"/>
    <s v="Sunnamplex"/>
    <x v="0"/>
    <d v="2016-12-14T00:00:00"/>
    <x v="16"/>
    <n v="988"/>
  </r>
  <r>
    <x v="220"/>
    <x v="24"/>
    <x v="0"/>
    <x v="0"/>
    <s v="GTX Basic"/>
    <s v="Codehow"/>
    <x v="0"/>
    <d v="2016-12-14T00:00:00"/>
    <x v="30"/>
    <n v="547"/>
  </r>
  <r>
    <x v="221"/>
    <x v="5"/>
    <x v="3"/>
    <x v="1"/>
    <s v="GTX Basic"/>
    <m/>
    <x v="1"/>
    <d v="2016-12-14T00:00:00"/>
    <x v="6"/>
    <m/>
  </r>
  <r>
    <x v="222"/>
    <x v="9"/>
    <x v="2"/>
    <x v="1"/>
    <s v="GTXPro"/>
    <s v="Singletechno"/>
    <x v="2"/>
    <d v="2016-12-14T00:00:00"/>
    <x v="23"/>
    <n v="0"/>
  </r>
  <r>
    <x v="223"/>
    <x v="12"/>
    <x v="0"/>
    <x v="0"/>
    <s v="MG Special"/>
    <s v="Isdom"/>
    <x v="0"/>
    <d v="2016-12-14T00:00:00"/>
    <x v="20"/>
    <n v="54"/>
  </r>
  <r>
    <x v="224"/>
    <x v="15"/>
    <x v="5"/>
    <x v="2"/>
    <s v="MG Special"/>
    <s v="Silis"/>
    <x v="0"/>
    <d v="2016-12-14T00:00:00"/>
    <x v="19"/>
    <n v="57"/>
  </r>
  <r>
    <x v="225"/>
    <x v="15"/>
    <x v="5"/>
    <x v="2"/>
    <s v="MG Special"/>
    <s v="Yearin"/>
    <x v="0"/>
    <d v="2016-12-14T00:00:00"/>
    <x v="8"/>
    <n v="55"/>
  </r>
  <r>
    <x v="226"/>
    <x v="3"/>
    <x v="0"/>
    <x v="0"/>
    <s v="GTX Plus Pro"/>
    <s v="Stanredtax"/>
    <x v="0"/>
    <d v="2016-12-15T00:00:00"/>
    <x v="24"/>
    <n v="5765"/>
  </r>
  <r>
    <x v="227"/>
    <x v="13"/>
    <x v="4"/>
    <x v="2"/>
    <s v="GTX Basic"/>
    <s v="Bioplex"/>
    <x v="0"/>
    <d v="2016-12-15T00:00:00"/>
    <x v="28"/>
    <n v="639"/>
  </r>
  <r>
    <x v="228"/>
    <x v="18"/>
    <x v="2"/>
    <x v="1"/>
    <s v="GTXPro"/>
    <s v="Labdrill"/>
    <x v="0"/>
    <d v="2016-12-15T00:00:00"/>
    <x v="24"/>
    <n v="5100"/>
  </r>
  <r>
    <x v="229"/>
    <x v="5"/>
    <x v="3"/>
    <x v="1"/>
    <s v="MG Special"/>
    <m/>
    <x v="1"/>
    <d v="2016-12-15T00:00:00"/>
    <x v="6"/>
    <m/>
  </r>
  <r>
    <x v="230"/>
    <x v="4"/>
    <x v="3"/>
    <x v="1"/>
    <s v="GTXPro"/>
    <s v="Fasehatice"/>
    <x v="0"/>
    <d v="2016-12-15T00:00:00"/>
    <x v="2"/>
    <n v="4906"/>
  </r>
  <r>
    <x v="231"/>
    <x v="25"/>
    <x v="4"/>
    <x v="2"/>
    <s v="GTX Plus Pro"/>
    <s v="Genco Pura Olive Oil Company"/>
    <x v="1"/>
    <d v="2016-12-16T00:00:00"/>
    <x v="6"/>
    <m/>
  </r>
  <r>
    <x v="232"/>
    <x v="13"/>
    <x v="4"/>
    <x v="2"/>
    <s v="GTX Basic"/>
    <s v="Domzoom"/>
    <x v="1"/>
    <d v="2016-12-16T00:00:00"/>
    <x v="6"/>
    <m/>
  </r>
  <r>
    <x v="233"/>
    <x v="26"/>
    <x v="4"/>
    <x v="2"/>
    <s v="GTX Plus Basic"/>
    <s v="Opentech"/>
    <x v="0"/>
    <d v="2016-12-16T00:00:00"/>
    <x v="2"/>
    <n v="1037"/>
  </r>
  <r>
    <x v="234"/>
    <x v="7"/>
    <x v="2"/>
    <x v="1"/>
    <s v="GTX Basic"/>
    <s v="Plexzap"/>
    <x v="0"/>
    <d v="2016-12-16T00:00:00"/>
    <x v="24"/>
    <n v="537"/>
  </r>
  <r>
    <x v="235"/>
    <x v="18"/>
    <x v="2"/>
    <x v="1"/>
    <s v="GTXPro"/>
    <s v="Hatfan"/>
    <x v="0"/>
    <d v="2016-12-16T00:00:00"/>
    <x v="3"/>
    <n v="4694"/>
  </r>
  <r>
    <x v="236"/>
    <x v="24"/>
    <x v="0"/>
    <x v="0"/>
    <s v="GTX Basic"/>
    <s v="Konmatfix"/>
    <x v="0"/>
    <d v="2016-12-16T00:00:00"/>
    <x v="29"/>
    <n v="560"/>
  </r>
  <r>
    <x v="237"/>
    <x v="0"/>
    <x v="0"/>
    <x v="0"/>
    <s v="GTX Basic"/>
    <s v="dambase"/>
    <x v="0"/>
    <d v="2016-12-16T00:00:00"/>
    <x v="22"/>
    <n v="589"/>
  </r>
  <r>
    <x v="238"/>
    <x v="19"/>
    <x v="4"/>
    <x v="2"/>
    <s v="GTX Basic"/>
    <s v="Mathtouch"/>
    <x v="0"/>
    <d v="2016-12-16T00:00:00"/>
    <x v="16"/>
    <n v="493"/>
  </r>
  <r>
    <x v="239"/>
    <x v="12"/>
    <x v="0"/>
    <x v="0"/>
    <s v="MG Special"/>
    <s v="Betatech"/>
    <x v="0"/>
    <d v="2016-12-16T00:00:00"/>
    <x v="11"/>
    <n v="50"/>
  </r>
  <r>
    <x v="240"/>
    <x v="4"/>
    <x v="3"/>
    <x v="1"/>
    <s v="GTX Basic"/>
    <s v="Y-corporation"/>
    <x v="0"/>
    <d v="2016-12-16T00:00:00"/>
    <x v="26"/>
    <n v="492"/>
  </r>
  <r>
    <x v="241"/>
    <x v="23"/>
    <x v="4"/>
    <x v="2"/>
    <s v="GTX Basic"/>
    <m/>
    <x v="1"/>
    <d v="2016-12-17T00:00:00"/>
    <x v="6"/>
    <m/>
  </r>
  <r>
    <x v="242"/>
    <x v="27"/>
    <x v="5"/>
    <x v="2"/>
    <s v="GTX Plus Pro"/>
    <m/>
    <x v="1"/>
    <d v="2016-12-17T00:00:00"/>
    <x v="6"/>
    <m/>
  </r>
  <r>
    <x v="243"/>
    <x v="27"/>
    <x v="5"/>
    <x v="2"/>
    <s v="GTX Plus Basic"/>
    <s v="Konex"/>
    <x v="0"/>
    <d v="2016-12-17T00:00:00"/>
    <x v="22"/>
    <n v="1255"/>
  </r>
  <r>
    <x v="244"/>
    <x v="1"/>
    <x v="1"/>
    <x v="0"/>
    <s v="GTX Basic"/>
    <s v="Statholdings"/>
    <x v="0"/>
    <d v="2016-12-17T00:00:00"/>
    <x v="23"/>
    <n v="463"/>
  </r>
  <r>
    <x v="245"/>
    <x v="26"/>
    <x v="4"/>
    <x v="2"/>
    <s v="GTX Plus Basic"/>
    <s v="Initech"/>
    <x v="2"/>
    <d v="2016-12-17T00:00:00"/>
    <x v="27"/>
    <n v="0"/>
  </r>
  <r>
    <x v="246"/>
    <x v="26"/>
    <x v="4"/>
    <x v="2"/>
    <s v="GTX Basic"/>
    <s v="Zencorporation"/>
    <x v="0"/>
    <d v="2016-12-17T00:00:00"/>
    <x v="15"/>
    <n v="605"/>
  </r>
  <r>
    <x v="247"/>
    <x v="10"/>
    <x v="3"/>
    <x v="1"/>
    <s v="GTX Plus Basic"/>
    <s v="Fasehatice"/>
    <x v="0"/>
    <d v="2016-12-17T00:00:00"/>
    <x v="19"/>
    <n v="1315"/>
  </r>
  <r>
    <x v="248"/>
    <x v="24"/>
    <x v="0"/>
    <x v="0"/>
    <s v="GTX Basic"/>
    <s v="Zumgoity"/>
    <x v="0"/>
    <d v="2016-12-17T00:00:00"/>
    <x v="4"/>
    <n v="559"/>
  </r>
  <r>
    <x v="249"/>
    <x v="0"/>
    <x v="0"/>
    <x v="0"/>
    <s v="GTX Basic"/>
    <s v="Rundofase"/>
    <x v="0"/>
    <d v="2016-12-17T00:00:00"/>
    <x v="26"/>
    <n v="557"/>
  </r>
  <r>
    <x v="250"/>
    <x v="17"/>
    <x v="5"/>
    <x v="2"/>
    <s v="MG Special"/>
    <s v="Vehement Capital Partners"/>
    <x v="0"/>
    <d v="2016-12-17T00:00:00"/>
    <x v="4"/>
    <n v="48"/>
  </r>
  <r>
    <x v="251"/>
    <x v="12"/>
    <x v="0"/>
    <x v="0"/>
    <s v="GTX Plus Pro"/>
    <s v="Isdom"/>
    <x v="0"/>
    <d v="2016-12-17T00:00:00"/>
    <x v="25"/>
    <n v="6282"/>
  </r>
  <r>
    <x v="252"/>
    <x v="4"/>
    <x v="3"/>
    <x v="1"/>
    <s v="MG Special"/>
    <m/>
    <x v="1"/>
    <d v="2016-12-17T00:00:00"/>
    <x v="6"/>
    <m/>
  </r>
  <r>
    <x v="253"/>
    <x v="3"/>
    <x v="0"/>
    <x v="0"/>
    <s v="MG Advanced"/>
    <s v="Isdom"/>
    <x v="0"/>
    <d v="2016-12-18T00:00:00"/>
    <x v="4"/>
    <n v="3246"/>
  </r>
  <r>
    <x v="254"/>
    <x v="23"/>
    <x v="4"/>
    <x v="2"/>
    <s v="MG Advanced"/>
    <m/>
    <x v="1"/>
    <d v="2016-12-18T00:00:00"/>
    <x v="6"/>
    <m/>
  </r>
  <r>
    <x v="255"/>
    <x v="1"/>
    <x v="1"/>
    <x v="0"/>
    <s v="GTX Basic"/>
    <s v="Finhigh"/>
    <x v="0"/>
    <d v="2016-12-18T00:00:00"/>
    <x v="16"/>
    <n v="514"/>
  </r>
  <r>
    <x v="256"/>
    <x v="26"/>
    <x v="4"/>
    <x v="2"/>
    <s v="GTX Plus Basic"/>
    <s v="Silis"/>
    <x v="0"/>
    <d v="2016-12-18T00:00:00"/>
    <x v="24"/>
    <n v="1132"/>
  </r>
  <r>
    <x v="257"/>
    <x v="21"/>
    <x v="5"/>
    <x v="2"/>
    <s v="GTX Plus Pro"/>
    <s v="Silis"/>
    <x v="0"/>
    <d v="2016-12-18T00:00:00"/>
    <x v="21"/>
    <n v="5918"/>
  </r>
  <r>
    <x v="258"/>
    <x v="18"/>
    <x v="2"/>
    <x v="1"/>
    <s v="GTXPro"/>
    <s v="Hottechi"/>
    <x v="2"/>
    <d v="2016-12-18T00:00:00"/>
    <x v="8"/>
    <n v="0"/>
  </r>
  <r>
    <x v="259"/>
    <x v="9"/>
    <x v="2"/>
    <x v="1"/>
    <s v="MG Special"/>
    <s v="Kan-code"/>
    <x v="2"/>
    <d v="2016-12-18T00:00:00"/>
    <x v="16"/>
    <n v="0"/>
  </r>
  <r>
    <x v="260"/>
    <x v="11"/>
    <x v="3"/>
    <x v="1"/>
    <s v="MG Special"/>
    <s v="Hatfan"/>
    <x v="2"/>
    <d v="2016-12-18T00:00:00"/>
    <x v="22"/>
    <n v="0"/>
  </r>
  <r>
    <x v="261"/>
    <x v="17"/>
    <x v="5"/>
    <x v="2"/>
    <s v="MG Special"/>
    <s v="Plexzap"/>
    <x v="1"/>
    <d v="2016-12-18T00:00:00"/>
    <x v="6"/>
    <m/>
  </r>
  <r>
    <x v="262"/>
    <x v="12"/>
    <x v="0"/>
    <x v="0"/>
    <s v="MG Advanced"/>
    <s v="Gogozoom"/>
    <x v="0"/>
    <d v="2016-12-18T00:00:00"/>
    <x v="29"/>
    <n v="2955"/>
  </r>
  <r>
    <x v="263"/>
    <x v="4"/>
    <x v="3"/>
    <x v="1"/>
    <s v="GTXPro"/>
    <s v="Fasehatice"/>
    <x v="0"/>
    <d v="2016-12-18T00:00:00"/>
    <x v="21"/>
    <n v="3742"/>
  </r>
  <r>
    <x v="264"/>
    <x v="15"/>
    <x v="5"/>
    <x v="2"/>
    <s v="MG Special"/>
    <s v="Initech"/>
    <x v="0"/>
    <d v="2016-12-18T00:00:00"/>
    <x v="16"/>
    <n v="64"/>
  </r>
  <r>
    <x v="265"/>
    <x v="20"/>
    <x v="5"/>
    <x v="2"/>
    <s v="MG Advanced"/>
    <s v="Initech"/>
    <x v="2"/>
    <d v="2016-12-18T00:00:00"/>
    <x v="27"/>
    <n v="0"/>
  </r>
  <r>
    <x v="266"/>
    <x v="14"/>
    <x v="3"/>
    <x v="1"/>
    <s v="GTK 500"/>
    <s v="Warephase"/>
    <x v="1"/>
    <d v="2016-12-19T00:00:00"/>
    <x v="6"/>
    <m/>
  </r>
  <r>
    <x v="267"/>
    <x v="14"/>
    <x v="3"/>
    <x v="1"/>
    <s v="GTX Plus Basic"/>
    <s v="Scotfind"/>
    <x v="0"/>
    <d v="2016-12-19T00:00:00"/>
    <x v="8"/>
    <n v="1164"/>
  </r>
  <r>
    <x v="268"/>
    <x v="14"/>
    <x v="3"/>
    <x v="1"/>
    <s v="MG Special"/>
    <s v="Singletechno"/>
    <x v="0"/>
    <d v="2016-12-19T00:00:00"/>
    <x v="2"/>
    <n v="65"/>
  </r>
  <r>
    <x v="269"/>
    <x v="8"/>
    <x v="1"/>
    <x v="0"/>
    <s v="GTX Plus Basic"/>
    <s v="Cancity"/>
    <x v="2"/>
    <d v="2016-12-19T00:00:00"/>
    <x v="2"/>
    <n v="0"/>
  </r>
  <r>
    <x v="270"/>
    <x v="16"/>
    <x v="2"/>
    <x v="1"/>
    <s v="GTX Basic"/>
    <s v="Groovestreet"/>
    <x v="0"/>
    <d v="2016-12-19T00:00:00"/>
    <x v="28"/>
    <n v="441"/>
  </r>
  <r>
    <x v="271"/>
    <x v="22"/>
    <x v="1"/>
    <x v="0"/>
    <s v="GTX Plus Basic"/>
    <s v="Finhigh"/>
    <x v="2"/>
    <d v="2016-12-19T00:00:00"/>
    <x v="15"/>
    <n v="0"/>
  </r>
  <r>
    <x v="272"/>
    <x v="4"/>
    <x v="3"/>
    <x v="1"/>
    <s v="GTXPro"/>
    <s v="Hatfan"/>
    <x v="0"/>
    <d v="2016-12-19T00:00:00"/>
    <x v="28"/>
    <n v="4907"/>
  </r>
  <r>
    <x v="273"/>
    <x v="3"/>
    <x v="0"/>
    <x v="0"/>
    <s v="MG Advanced"/>
    <s v="Isdom"/>
    <x v="2"/>
    <d v="2016-12-20T00:00:00"/>
    <x v="0"/>
    <n v="0"/>
  </r>
  <r>
    <x v="274"/>
    <x v="13"/>
    <x v="4"/>
    <x v="2"/>
    <s v="GTX Plus Basic"/>
    <m/>
    <x v="1"/>
    <d v="2016-12-20T00:00:00"/>
    <x v="6"/>
    <m/>
  </r>
  <r>
    <x v="275"/>
    <x v="1"/>
    <x v="1"/>
    <x v="0"/>
    <s v="MG Advanced"/>
    <s v="Codehow"/>
    <x v="0"/>
    <d v="2016-12-20T00:00:00"/>
    <x v="25"/>
    <n v="3269"/>
  </r>
  <r>
    <x v="276"/>
    <x v="26"/>
    <x v="4"/>
    <x v="2"/>
    <s v="GTX Basic"/>
    <s v="Kinnamplus"/>
    <x v="0"/>
    <d v="2016-12-20T00:00:00"/>
    <x v="15"/>
    <n v="579"/>
  </r>
  <r>
    <x v="277"/>
    <x v="8"/>
    <x v="1"/>
    <x v="0"/>
    <s v="GTX Basic"/>
    <s v="Isdom"/>
    <x v="2"/>
    <d v="2016-12-20T00:00:00"/>
    <x v="25"/>
    <n v="0"/>
  </r>
  <r>
    <x v="278"/>
    <x v="18"/>
    <x v="2"/>
    <x v="1"/>
    <s v="GTX Basic"/>
    <s v="Dalttechnology"/>
    <x v="2"/>
    <d v="2016-12-20T00:00:00"/>
    <x v="2"/>
    <n v="0"/>
  </r>
  <r>
    <x v="279"/>
    <x v="18"/>
    <x v="2"/>
    <x v="1"/>
    <s v="MG Special"/>
    <s v="Xx-holding"/>
    <x v="0"/>
    <d v="2016-12-20T00:00:00"/>
    <x v="20"/>
    <n v="51"/>
  </r>
  <r>
    <x v="280"/>
    <x v="5"/>
    <x v="3"/>
    <x v="1"/>
    <s v="MG Special"/>
    <s v="Faxquote"/>
    <x v="0"/>
    <d v="2016-12-20T00:00:00"/>
    <x v="11"/>
    <n v="64"/>
  </r>
  <r>
    <x v="281"/>
    <x v="17"/>
    <x v="5"/>
    <x v="2"/>
    <s v="MG Special"/>
    <s v="Donware"/>
    <x v="0"/>
    <d v="2016-12-20T00:00:00"/>
    <x v="11"/>
    <n v="60"/>
  </r>
  <r>
    <x v="282"/>
    <x v="23"/>
    <x v="4"/>
    <x v="2"/>
    <s v="GTX Plus Basic"/>
    <s v="Ganjaflex"/>
    <x v="0"/>
    <d v="2016-12-21T00:00:00"/>
    <x v="27"/>
    <n v="1186"/>
  </r>
  <r>
    <x v="283"/>
    <x v="27"/>
    <x v="5"/>
    <x v="2"/>
    <s v="MG Advanced"/>
    <s v="Yearin"/>
    <x v="0"/>
    <d v="2016-12-21T00:00:00"/>
    <x v="3"/>
    <n v="3577"/>
  </r>
  <r>
    <x v="284"/>
    <x v="13"/>
    <x v="4"/>
    <x v="2"/>
    <s v="GTX Plus Basic"/>
    <s v="Donquadtech"/>
    <x v="0"/>
    <d v="2016-12-21T00:00:00"/>
    <x v="2"/>
    <n v="1020"/>
  </r>
  <r>
    <x v="285"/>
    <x v="14"/>
    <x v="3"/>
    <x v="1"/>
    <s v="GTXPro"/>
    <s v="Blackzim"/>
    <x v="1"/>
    <d v="2016-12-21T00:00:00"/>
    <x v="6"/>
    <m/>
  </r>
  <r>
    <x v="286"/>
    <x v="10"/>
    <x v="3"/>
    <x v="1"/>
    <s v="MG Special"/>
    <s v="Zoomit"/>
    <x v="0"/>
    <d v="2016-12-21T00:00:00"/>
    <x v="14"/>
    <n v="53"/>
  </r>
  <r>
    <x v="287"/>
    <x v="29"/>
    <x v="1"/>
    <x v="0"/>
    <s v="GTX Basic"/>
    <s v="Rundofase"/>
    <x v="2"/>
    <d v="2016-12-21T00:00:00"/>
    <x v="7"/>
    <n v="0"/>
  </r>
  <r>
    <x v="288"/>
    <x v="18"/>
    <x v="2"/>
    <x v="1"/>
    <s v="GTX Basic"/>
    <s v="Faxquote"/>
    <x v="2"/>
    <d v="2016-12-21T00:00:00"/>
    <x v="26"/>
    <n v="0"/>
  </r>
  <r>
    <x v="289"/>
    <x v="18"/>
    <x v="2"/>
    <x v="1"/>
    <s v="GTXPro"/>
    <s v="Sunnamplex"/>
    <x v="0"/>
    <d v="2016-12-21T00:00:00"/>
    <x v="11"/>
    <n v="4719"/>
  </r>
  <r>
    <x v="290"/>
    <x v="0"/>
    <x v="0"/>
    <x v="0"/>
    <s v="GTX Basic"/>
    <s v="Codehow"/>
    <x v="0"/>
    <d v="2016-12-21T00:00:00"/>
    <x v="30"/>
    <n v="546"/>
  </r>
  <r>
    <x v="291"/>
    <x v="6"/>
    <x v="1"/>
    <x v="0"/>
    <s v="GTX Plus Basic"/>
    <s v="Domzoom"/>
    <x v="0"/>
    <d v="2016-12-21T00:00:00"/>
    <x v="21"/>
    <n v="1212"/>
  </r>
  <r>
    <x v="292"/>
    <x v="4"/>
    <x v="3"/>
    <x v="1"/>
    <s v="GTX Basic"/>
    <m/>
    <x v="1"/>
    <d v="2016-12-21T00:00:00"/>
    <x v="6"/>
    <m/>
  </r>
  <r>
    <x v="293"/>
    <x v="4"/>
    <x v="3"/>
    <x v="1"/>
    <s v="GTX Basic"/>
    <s v="Sunnamplex"/>
    <x v="2"/>
    <d v="2016-12-21T00:00:00"/>
    <x v="11"/>
    <n v="0"/>
  </r>
  <r>
    <x v="294"/>
    <x v="3"/>
    <x v="0"/>
    <x v="0"/>
    <s v="GTX Plus Pro"/>
    <s v="Bioholding"/>
    <x v="2"/>
    <d v="2016-12-22T00:00:00"/>
    <x v="27"/>
    <n v="0"/>
  </r>
  <r>
    <x v="295"/>
    <x v="8"/>
    <x v="1"/>
    <x v="0"/>
    <s v="GTX Plus Pro"/>
    <s v="Dontechi"/>
    <x v="0"/>
    <d v="2016-12-22T00:00:00"/>
    <x v="16"/>
    <n v="5533"/>
  </r>
  <r>
    <x v="296"/>
    <x v="16"/>
    <x v="2"/>
    <x v="1"/>
    <s v="MG Advanced"/>
    <s v="Finjob"/>
    <x v="0"/>
    <d v="2016-12-22T00:00:00"/>
    <x v="0"/>
    <n v="3295"/>
  </r>
  <r>
    <x v="297"/>
    <x v="11"/>
    <x v="3"/>
    <x v="1"/>
    <s v="MG Special"/>
    <s v="Finjob"/>
    <x v="0"/>
    <d v="2016-12-22T00:00:00"/>
    <x v="20"/>
    <n v="45"/>
  </r>
  <r>
    <x v="298"/>
    <x v="15"/>
    <x v="5"/>
    <x v="2"/>
    <s v="MG Special"/>
    <s v="Bioplex"/>
    <x v="0"/>
    <d v="2016-12-22T00:00:00"/>
    <x v="23"/>
    <n v="56"/>
  </r>
  <r>
    <x v="299"/>
    <x v="2"/>
    <x v="2"/>
    <x v="1"/>
    <s v="GTXPro"/>
    <s v="Opentech"/>
    <x v="1"/>
    <d v="2016-12-22T00:00:00"/>
    <x v="6"/>
    <m/>
  </r>
  <r>
    <x v="300"/>
    <x v="27"/>
    <x v="5"/>
    <x v="2"/>
    <s v="GTX Basic"/>
    <m/>
    <x v="1"/>
    <d v="2016-12-23T00:00:00"/>
    <x v="6"/>
    <m/>
  </r>
  <r>
    <x v="301"/>
    <x v="13"/>
    <x v="4"/>
    <x v="2"/>
    <s v="GTX Plus Basic"/>
    <s v="Finhigh"/>
    <x v="1"/>
    <d v="2016-12-23T00:00:00"/>
    <x v="6"/>
    <m/>
  </r>
  <r>
    <x v="302"/>
    <x v="1"/>
    <x v="1"/>
    <x v="0"/>
    <s v="GTXPro"/>
    <s v="Funholding"/>
    <x v="0"/>
    <d v="2016-12-23T00:00:00"/>
    <x v="19"/>
    <n v="4247"/>
  </r>
  <r>
    <x v="303"/>
    <x v="8"/>
    <x v="1"/>
    <x v="0"/>
    <s v="MG Advanced"/>
    <s v="Isdom"/>
    <x v="0"/>
    <d v="2016-12-23T00:00:00"/>
    <x v="22"/>
    <n v="3440"/>
  </r>
  <r>
    <x v="304"/>
    <x v="7"/>
    <x v="2"/>
    <x v="1"/>
    <s v="GTXPro"/>
    <s v="Plexzap"/>
    <x v="0"/>
    <d v="2016-12-23T00:00:00"/>
    <x v="4"/>
    <n v="5040"/>
  </r>
  <r>
    <x v="305"/>
    <x v="29"/>
    <x v="1"/>
    <x v="0"/>
    <s v="GTX Basic"/>
    <s v="Cancity"/>
    <x v="0"/>
    <d v="2016-12-23T00:00:00"/>
    <x v="15"/>
    <n v="469"/>
  </r>
  <r>
    <x v="306"/>
    <x v="0"/>
    <x v="0"/>
    <x v="0"/>
    <s v="MG Special"/>
    <s v="Isdom"/>
    <x v="0"/>
    <d v="2016-12-23T00:00:00"/>
    <x v="2"/>
    <n v="58"/>
  </r>
  <r>
    <x v="307"/>
    <x v="28"/>
    <x v="0"/>
    <x v="0"/>
    <s v="MG Advanced"/>
    <s v="Isdom"/>
    <x v="0"/>
    <d v="2016-12-24T00:00:00"/>
    <x v="28"/>
    <n v="2955"/>
  </r>
  <r>
    <x v="308"/>
    <x v="27"/>
    <x v="5"/>
    <x v="2"/>
    <s v="GTX Plus Pro"/>
    <s v="Condax"/>
    <x v="0"/>
    <d v="2016-12-24T00:00:00"/>
    <x v="13"/>
    <n v="5228"/>
  </r>
  <r>
    <x v="309"/>
    <x v="1"/>
    <x v="1"/>
    <x v="0"/>
    <s v="MG Advanced"/>
    <s v="Toughzap"/>
    <x v="0"/>
    <d v="2016-12-24T00:00:00"/>
    <x v="16"/>
    <n v="3358"/>
  </r>
  <r>
    <x v="310"/>
    <x v="14"/>
    <x v="3"/>
    <x v="1"/>
    <s v="GTX Plus Pro"/>
    <s v="Green-Plus"/>
    <x v="2"/>
    <d v="2016-12-24T00:00:00"/>
    <x v="31"/>
    <n v="0"/>
  </r>
  <r>
    <x v="311"/>
    <x v="29"/>
    <x v="1"/>
    <x v="0"/>
    <s v="GTX Basic"/>
    <s v="Codehow"/>
    <x v="0"/>
    <d v="2016-12-24T00:00:00"/>
    <x v="20"/>
    <n v="517"/>
  </r>
  <r>
    <x v="312"/>
    <x v="0"/>
    <x v="0"/>
    <x v="0"/>
    <s v="GTX Basic"/>
    <s v="Dontechi"/>
    <x v="0"/>
    <d v="2016-12-24T00:00:00"/>
    <x v="5"/>
    <n v="615"/>
  </r>
  <r>
    <x v="313"/>
    <x v="6"/>
    <x v="1"/>
    <x v="0"/>
    <s v="GTX Basic"/>
    <s v="Domzoom"/>
    <x v="2"/>
    <d v="2016-12-24T00:00:00"/>
    <x v="7"/>
    <n v="0"/>
  </r>
  <r>
    <x v="314"/>
    <x v="12"/>
    <x v="0"/>
    <x v="0"/>
    <s v="MG Special"/>
    <s v="Condax"/>
    <x v="0"/>
    <d v="2016-12-24T00:00:00"/>
    <x v="11"/>
    <n v="62"/>
  </r>
  <r>
    <x v="315"/>
    <x v="1"/>
    <x v="1"/>
    <x v="0"/>
    <s v="GTX Plus Pro"/>
    <s v="Isdom"/>
    <x v="0"/>
    <d v="2016-12-25T00:00:00"/>
    <x v="22"/>
    <n v="4711"/>
  </r>
  <r>
    <x v="316"/>
    <x v="26"/>
    <x v="4"/>
    <x v="2"/>
    <s v="GTXPro"/>
    <s v="Kinnamplus"/>
    <x v="2"/>
    <d v="2016-12-25T00:00:00"/>
    <x v="14"/>
    <n v="0"/>
  </r>
  <r>
    <x v="317"/>
    <x v="21"/>
    <x v="5"/>
    <x v="2"/>
    <s v="GTX Basic"/>
    <s v="Yearin"/>
    <x v="0"/>
    <d v="2016-12-25T00:00:00"/>
    <x v="18"/>
    <n v="510"/>
  </r>
  <r>
    <x v="318"/>
    <x v="8"/>
    <x v="1"/>
    <x v="0"/>
    <s v="GTXPro"/>
    <s v="Warephase"/>
    <x v="0"/>
    <d v="2016-12-25T00:00:00"/>
    <x v="25"/>
    <n v="4891"/>
  </r>
  <r>
    <x v="319"/>
    <x v="10"/>
    <x v="3"/>
    <x v="1"/>
    <s v="GTX Plus Basic"/>
    <s v="Green-Plus"/>
    <x v="0"/>
    <d v="2016-12-25T00:00:00"/>
    <x v="12"/>
    <n v="926"/>
  </r>
  <r>
    <x v="320"/>
    <x v="24"/>
    <x v="0"/>
    <x v="0"/>
    <s v="MG Special"/>
    <s v="Betatech"/>
    <x v="0"/>
    <d v="2016-12-25T00:00:00"/>
    <x v="7"/>
    <n v="56"/>
  </r>
  <r>
    <x v="321"/>
    <x v="9"/>
    <x v="2"/>
    <x v="1"/>
    <s v="GTX Basic"/>
    <s v="Treequote"/>
    <x v="1"/>
    <d v="2016-12-25T00:00:00"/>
    <x v="6"/>
    <m/>
  </r>
  <r>
    <x v="322"/>
    <x v="11"/>
    <x v="3"/>
    <x v="1"/>
    <s v="GTX Basic"/>
    <m/>
    <x v="1"/>
    <d v="2016-12-25T00:00:00"/>
    <x v="6"/>
    <m/>
  </r>
  <r>
    <x v="323"/>
    <x v="15"/>
    <x v="5"/>
    <x v="2"/>
    <s v="MG Special"/>
    <s v="Ontomedia"/>
    <x v="0"/>
    <d v="2016-12-25T00:00:00"/>
    <x v="10"/>
    <n v="47"/>
  </r>
  <r>
    <x v="324"/>
    <x v="1"/>
    <x v="1"/>
    <x v="0"/>
    <s v="GTX Basic"/>
    <s v="Rangreen"/>
    <x v="2"/>
    <d v="2016-12-26T00:00:00"/>
    <x v="14"/>
    <n v="0"/>
  </r>
  <r>
    <x v="325"/>
    <x v="7"/>
    <x v="2"/>
    <x v="1"/>
    <s v="GTX Plus Pro"/>
    <s v="Nam-zim"/>
    <x v="0"/>
    <d v="2016-12-26T00:00:00"/>
    <x v="7"/>
    <n v="6490"/>
  </r>
  <r>
    <x v="326"/>
    <x v="16"/>
    <x v="2"/>
    <x v="1"/>
    <s v="MG Advanced"/>
    <s v="Gogozoom"/>
    <x v="1"/>
    <d v="2016-12-26T00:00:00"/>
    <x v="6"/>
    <m/>
  </r>
  <r>
    <x v="327"/>
    <x v="18"/>
    <x v="2"/>
    <x v="1"/>
    <s v="GTXPro"/>
    <m/>
    <x v="1"/>
    <d v="2016-12-26T00:00:00"/>
    <x v="6"/>
    <m/>
  </r>
  <r>
    <x v="328"/>
    <x v="6"/>
    <x v="1"/>
    <x v="0"/>
    <s v="MG Advanced"/>
    <s v="Treequote"/>
    <x v="0"/>
    <d v="2016-12-26T00:00:00"/>
    <x v="4"/>
    <n v="3841"/>
  </r>
  <r>
    <x v="329"/>
    <x v="18"/>
    <x v="2"/>
    <x v="1"/>
    <s v="GTX Basic"/>
    <m/>
    <x v="1"/>
    <d v="2016-12-27T00:00:00"/>
    <x v="6"/>
    <m/>
  </r>
  <r>
    <x v="330"/>
    <x v="18"/>
    <x v="2"/>
    <x v="1"/>
    <s v="GTX Plus Pro"/>
    <s v="Faxquote"/>
    <x v="0"/>
    <d v="2016-12-27T00:00:00"/>
    <x v="24"/>
    <n v="5256"/>
  </r>
  <r>
    <x v="331"/>
    <x v="5"/>
    <x v="3"/>
    <x v="1"/>
    <s v="MG Special"/>
    <s v="Kan-code"/>
    <x v="2"/>
    <d v="2016-12-27T00:00:00"/>
    <x v="26"/>
    <n v="0"/>
  </r>
  <r>
    <x v="332"/>
    <x v="5"/>
    <x v="3"/>
    <x v="1"/>
    <s v="MG Advanced"/>
    <s v="Sonron"/>
    <x v="2"/>
    <d v="2016-12-27T00:00:00"/>
    <x v="25"/>
    <n v="0"/>
  </r>
  <r>
    <x v="333"/>
    <x v="3"/>
    <x v="0"/>
    <x v="0"/>
    <s v="GTX Basic"/>
    <s v="Conecom"/>
    <x v="0"/>
    <d v="2016-12-28T00:00:00"/>
    <x v="0"/>
    <n v="625"/>
  </r>
  <r>
    <x v="334"/>
    <x v="27"/>
    <x v="5"/>
    <x v="2"/>
    <s v="GTXPro"/>
    <m/>
    <x v="1"/>
    <d v="2016-12-28T00:00:00"/>
    <x v="6"/>
    <m/>
  </r>
  <r>
    <x v="335"/>
    <x v="1"/>
    <x v="1"/>
    <x v="0"/>
    <s v="GTXPro"/>
    <s v="Warephase"/>
    <x v="2"/>
    <d v="2016-12-28T00:00:00"/>
    <x v="28"/>
    <n v="0"/>
  </r>
  <r>
    <x v="336"/>
    <x v="1"/>
    <x v="1"/>
    <x v="0"/>
    <s v="GTXPro"/>
    <s v="Conecom"/>
    <x v="0"/>
    <d v="2016-12-28T00:00:00"/>
    <x v="30"/>
    <n v="3952"/>
  </r>
  <r>
    <x v="337"/>
    <x v="18"/>
    <x v="2"/>
    <x v="1"/>
    <s v="GTX Basic"/>
    <m/>
    <x v="1"/>
    <d v="2016-12-28T00:00:00"/>
    <x v="6"/>
    <m/>
  </r>
  <r>
    <x v="338"/>
    <x v="18"/>
    <x v="2"/>
    <x v="1"/>
    <s v="GTX Plus Pro"/>
    <s v="Konex"/>
    <x v="0"/>
    <d v="2016-12-28T00:00:00"/>
    <x v="22"/>
    <n v="5515"/>
  </r>
  <r>
    <x v="339"/>
    <x v="19"/>
    <x v="4"/>
    <x v="2"/>
    <s v="MG Special"/>
    <s v="Vehement Capital Partners"/>
    <x v="0"/>
    <d v="2016-12-28T00:00:00"/>
    <x v="28"/>
    <n v="57"/>
  </r>
  <r>
    <x v="340"/>
    <x v="12"/>
    <x v="0"/>
    <x v="0"/>
    <s v="MG Special"/>
    <s v="Konmatfix"/>
    <x v="0"/>
    <d v="2016-12-28T00:00:00"/>
    <x v="26"/>
    <n v="51"/>
  </r>
  <r>
    <x v="341"/>
    <x v="4"/>
    <x v="3"/>
    <x v="1"/>
    <s v="MG Advanced"/>
    <s v="Fasehatice"/>
    <x v="0"/>
    <d v="2016-12-28T00:00:00"/>
    <x v="22"/>
    <n v="3803"/>
  </r>
  <r>
    <x v="342"/>
    <x v="3"/>
    <x v="0"/>
    <x v="0"/>
    <s v="GTX Plus Pro"/>
    <s v="Rundofase"/>
    <x v="0"/>
    <d v="2016-12-29T00:00:00"/>
    <x v="27"/>
    <n v="5459"/>
  </r>
  <r>
    <x v="343"/>
    <x v="3"/>
    <x v="0"/>
    <x v="0"/>
    <s v="MG Advanced"/>
    <s v="Stanredtax"/>
    <x v="0"/>
    <d v="2016-12-29T00:00:00"/>
    <x v="14"/>
    <n v="4148"/>
  </r>
  <r>
    <x v="344"/>
    <x v="23"/>
    <x v="4"/>
    <x v="2"/>
    <s v="GTX Plus Pro"/>
    <m/>
    <x v="1"/>
    <d v="2016-12-29T00:00:00"/>
    <x v="6"/>
    <m/>
  </r>
  <r>
    <x v="345"/>
    <x v="27"/>
    <x v="5"/>
    <x v="2"/>
    <s v="GTX Plus Pro"/>
    <s v="Ganjaflex"/>
    <x v="0"/>
    <d v="2016-12-29T00:00:00"/>
    <x v="14"/>
    <n v="5002"/>
  </r>
  <r>
    <x v="346"/>
    <x v="27"/>
    <x v="5"/>
    <x v="2"/>
    <s v="MG Advanced"/>
    <s v="Gekko &amp; Co"/>
    <x v="0"/>
    <d v="2016-12-29T00:00:00"/>
    <x v="5"/>
    <n v="3351"/>
  </r>
  <r>
    <x v="347"/>
    <x v="8"/>
    <x v="1"/>
    <x v="0"/>
    <s v="GTX Basic"/>
    <s v="Domzoom"/>
    <x v="0"/>
    <d v="2016-12-29T00:00:00"/>
    <x v="17"/>
    <n v="571"/>
  </r>
  <r>
    <x v="348"/>
    <x v="7"/>
    <x v="2"/>
    <x v="1"/>
    <s v="GTX Basic"/>
    <s v="Goodsilron"/>
    <x v="0"/>
    <d v="2016-12-29T00:00:00"/>
    <x v="7"/>
    <n v="601"/>
  </r>
  <r>
    <x v="349"/>
    <x v="16"/>
    <x v="2"/>
    <x v="1"/>
    <s v="GTXPro"/>
    <m/>
    <x v="1"/>
    <d v="2016-12-29T00:00:00"/>
    <x v="6"/>
    <m/>
  </r>
  <r>
    <x v="350"/>
    <x v="5"/>
    <x v="3"/>
    <x v="1"/>
    <s v="GTX Basic"/>
    <s v="Zoomit"/>
    <x v="0"/>
    <d v="2016-12-29T00:00:00"/>
    <x v="22"/>
    <n v="576"/>
  </r>
  <r>
    <x v="351"/>
    <x v="22"/>
    <x v="1"/>
    <x v="0"/>
    <s v="MG Special"/>
    <s v="Funholding"/>
    <x v="0"/>
    <d v="2016-12-29T00:00:00"/>
    <x v="5"/>
    <n v="52"/>
  </r>
  <r>
    <x v="352"/>
    <x v="9"/>
    <x v="2"/>
    <x v="1"/>
    <s v="GTX Plus Basic"/>
    <s v="Fasehatice"/>
    <x v="0"/>
    <d v="2016-12-29T00:00:00"/>
    <x v="22"/>
    <n v="1185"/>
  </r>
  <r>
    <x v="353"/>
    <x v="19"/>
    <x v="4"/>
    <x v="2"/>
    <s v="GTX Plus Basic"/>
    <s v="Gekko &amp; Co"/>
    <x v="2"/>
    <d v="2016-12-29T00:00:00"/>
    <x v="26"/>
    <n v="0"/>
  </r>
  <r>
    <x v="354"/>
    <x v="11"/>
    <x v="3"/>
    <x v="1"/>
    <s v="MG Special"/>
    <s v="Plexzap"/>
    <x v="0"/>
    <d v="2016-12-29T00:00:00"/>
    <x v="16"/>
    <n v="56"/>
  </r>
  <r>
    <x v="355"/>
    <x v="4"/>
    <x v="3"/>
    <x v="1"/>
    <s v="GTX Basic"/>
    <m/>
    <x v="1"/>
    <d v="2016-12-29T00:00:00"/>
    <x v="6"/>
    <m/>
  </r>
  <r>
    <x v="356"/>
    <x v="15"/>
    <x v="5"/>
    <x v="2"/>
    <s v="MG Special"/>
    <s v="Opentech"/>
    <x v="0"/>
    <d v="2016-12-29T00:00:00"/>
    <x v="31"/>
    <n v="54"/>
  </r>
  <r>
    <x v="357"/>
    <x v="2"/>
    <x v="2"/>
    <x v="1"/>
    <s v="GTXPro"/>
    <s v="Xx-holding"/>
    <x v="0"/>
    <d v="2016-12-29T00:00:00"/>
    <x v="22"/>
    <n v="4818"/>
  </r>
  <r>
    <x v="358"/>
    <x v="3"/>
    <x v="0"/>
    <x v="0"/>
    <s v="GTX Plus Pro"/>
    <s v="Codehow"/>
    <x v="0"/>
    <d v="2017-01-01T00:00:00"/>
    <x v="0"/>
    <n v="5087"/>
  </r>
  <r>
    <x v="359"/>
    <x v="13"/>
    <x v="4"/>
    <x v="2"/>
    <s v="GTX Plus Basic"/>
    <s v="Opentech"/>
    <x v="0"/>
    <d v="2017-01-01T00:00:00"/>
    <x v="17"/>
    <n v="1116"/>
  </r>
  <r>
    <x v="360"/>
    <x v="1"/>
    <x v="1"/>
    <x v="0"/>
    <s v="GTX Basic"/>
    <s v="Gogozoom"/>
    <x v="0"/>
    <d v="2017-01-01T00:00:00"/>
    <x v="19"/>
    <n v="510"/>
  </r>
  <r>
    <x v="361"/>
    <x v="14"/>
    <x v="3"/>
    <x v="1"/>
    <s v="MG Special"/>
    <m/>
    <x v="1"/>
    <d v="2017-01-01T00:00:00"/>
    <x v="6"/>
    <m/>
  </r>
  <r>
    <x v="362"/>
    <x v="29"/>
    <x v="1"/>
    <x v="0"/>
    <s v="GTX Basic"/>
    <s v="Streethex"/>
    <x v="0"/>
    <d v="2017-01-01T00:00:00"/>
    <x v="28"/>
    <n v="565"/>
  </r>
  <r>
    <x v="363"/>
    <x v="16"/>
    <x v="2"/>
    <x v="1"/>
    <s v="GTX Basic"/>
    <s v="Finjob"/>
    <x v="0"/>
    <d v="2017-01-01T00:00:00"/>
    <x v="13"/>
    <n v="633"/>
  </r>
  <r>
    <x v="364"/>
    <x v="19"/>
    <x v="4"/>
    <x v="2"/>
    <s v="MG Advanced"/>
    <s v="Xx-zobam"/>
    <x v="0"/>
    <d v="2017-01-01T00:00:00"/>
    <x v="31"/>
    <n v="3962"/>
  </r>
  <r>
    <x v="365"/>
    <x v="4"/>
    <x v="3"/>
    <x v="1"/>
    <s v="MG Advanced"/>
    <s v="Y-corporation"/>
    <x v="0"/>
    <d v="2017-01-01T00:00:00"/>
    <x v="30"/>
    <n v="3672"/>
  </r>
  <r>
    <x v="366"/>
    <x v="2"/>
    <x v="2"/>
    <x v="1"/>
    <s v="GTX Plus Basic"/>
    <s v="Green-Plus"/>
    <x v="1"/>
    <d v="2017-01-01T00:00:00"/>
    <x v="6"/>
    <m/>
  </r>
  <r>
    <x v="367"/>
    <x v="2"/>
    <x v="2"/>
    <x v="1"/>
    <s v="GTXPro"/>
    <s v="Goodsilron"/>
    <x v="0"/>
    <d v="2017-01-01T00:00:00"/>
    <x v="8"/>
    <n v="4586"/>
  </r>
  <r>
    <x v="368"/>
    <x v="3"/>
    <x v="0"/>
    <x v="0"/>
    <s v="MG Special"/>
    <s v="Hottechi"/>
    <x v="0"/>
    <d v="2017-01-02T00:00:00"/>
    <x v="4"/>
    <n v="60"/>
  </r>
  <r>
    <x v="369"/>
    <x v="27"/>
    <x v="5"/>
    <x v="2"/>
    <s v="GTX Plus Basic"/>
    <s v="dambase"/>
    <x v="1"/>
    <d v="2017-01-02T00:00:00"/>
    <x v="6"/>
    <m/>
  </r>
  <r>
    <x v="370"/>
    <x v="27"/>
    <x v="5"/>
    <x v="2"/>
    <s v="GTX Plus Basic"/>
    <m/>
    <x v="1"/>
    <d v="2017-01-02T00:00:00"/>
    <x v="6"/>
    <m/>
  </r>
  <r>
    <x v="371"/>
    <x v="29"/>
    <x v="1"/>
    <x v="0"/>
    <s v="GTX Basic"/>
    <s v="Dontechi"/>
    <x v="0"/>
    <d v="2017-01-02T00:00:00"/>
    <x v="32"/>
    <n v="572"/>
  </r>
  <r>
    <x v="372"/>
    <x v="18"/>
    <x v="2"/>
    <x v="1"/>
    <s v="GTX Basic"/>
    <s v="Goodsilron"/>
    <x v="0"/>
    <d v="2017-01-02T00:00:00"/>
    <x v="0"/>
    <n v="550"/>
  </r>
  <r>
    <x v="373"/>
    <x v="18"/>
    <x v="2"/>
    <x v="1"/>
    <s v="GTXPro"/>
    <s v="Sonron"/>
    <x v="0"/>
    <d v="2017-01-02T00:00:00"/>
    <x v="12"/>
    <n v="4125"/>
  </r>
  <r>
    <x v="374"/>
    <x v="22"/>
    <x v="1"/>
    <x v="0"/>
    <s v="MG Advanced"/>
    <s v="Zumgoity"/>
    <x v="0"/>
    <d v="2017-01-02T00:00:00"/>
    <x v="7"/>
    <n v="3647"/>
  </r>
  <r>
    <x v="375"/>
    <x v="0"/>
    <x v="0"/>
    <x v="0"/>
    <s v="GTX Basic"/>
    <s v="Dontechi"/>
    <x v="0"/>
    <d v="2017-01-02T00:00:00"/>
    <x v="21"/>
    <n v="573"/>
  </r>
  <r>
    <x v="376"/>
    <x v="15"/>
    <x v="5"/>
    <x v="2"/>
    <s v="GTX Basic"/>
    <s v="Zencorporation"/>
    <x v="0"/>
    <d v="2017-01-02T00:00:00"/>
    <x v="31"/>
    <n v="542"/>
  </r>
  <r>
    <x v="377"/>
    <x v="23"/>
    <x v="4"/>
    <x v="2"/>
    <s v="MG Advanced"/>
    <s v="Donware"/>
    <x v="0"/>
    <d v="2017-01-03T00:00:00"/>
    <x v="15"/>
    <n v="3479"/>
  </r>
  <r>
    <x v="378"/>
    <x v="13"/>
    <x v="4"/>
    <x v="2"/>
    <s v="MG Advanced"/>
    <s v="Ganjaflex"/>
    <x v="2"/>
    <d v="2017-01-03T00:00:00"/>
    <x v="30"/>
    <n v="0"/>
  </r>
  <r>
    <x v="379"/>
    <x v="1"/>
    <x v="1"/>
    <x v="0"/>
    <s v="GTX Plus Basic"/>
    <s v="Stanredtax"/>
    <x v="0"/>
    <d v="2017-01-03T00:00:00"/>
    <x v="21"/>
    <n v="1012"/>
  </r>
  <r>
    <x v="380"/>
    <x v="10"/>
    <x v="3"/>
    <x v="1"/>
    <s v="MG Special"/>
    <m/>
    <x v="1"/>
    <d v="2017-01-03T00:00:00"/>
    <x v="6"/>
    <m/>
  </r>
  <r>
    <x v="381"/>
    <x v="7"/>
    <x v="2"/>
    <x v="1"/>
    <s v="GTX Plus Basic"/>
    <s v="Doncon"/>
    <x v="0"/>
    <d v="2017-01-03T00:00:00"/>
    <x v="9"/>
    <n v="990"/>
  </r>
  <r>
    <x v="382"/>
    <x v="7"/>
    <x v="2"/>
    <x v="1"/>
    <s v="GTXPro"/>
    <s v="Sunnamplex"/>
    <x v="0"/>
    <d v="2017-01-03T00:00:00"/>
    <x v="8"/>
    <n v="4374"/>
  </r>
  <r>
    <x v="383"/>
    <x v="18"/>
    <x v="2"/>
    <x v="1"/>
    <s v="GTX Basic"/>
    <s v="Finjob"/>
    <x v="2"/>
    <d v="2017-01-03T00:00:00"/>
    <x v="12"/>
    <n v="0"/>
  </r>
  <r>
    <x v="384"/>
    <x v="18"/>
    <x v="2"/>
    <x v="1"/>
    <s v="GTX Plus Basic"/>
    <s v="Xx-holding"/>
    <x v="0"/>
    <d v="2017-01-03T00:00:00"/>
    <x v="18"/>
    <n v="1054"/>
  </r>
  <r>
    <x v="385"/>
    <x v="4"/>
    <x v="3"/>
    <x v="1"/>
    <s v="MG Special"/>
    <s v="Scotfind"/>
    <x v="0"/>
    <d v="2017-01-03T00:00:00"/>
    <x v="24"/>
    <n v="55"/>
  </r>
  <r>
    <x v="386"/>
    <x v="15"/>
    <x v="5"/>
    <x v="2"/>
    <s v="MG Special"/>
    <s v="Ganjaflex"/>
    <x v="2"/>
    <d v="2017-01-03T00:00:00"/>
    <x v="10"/>
    <n v="0"/>
  </r>
  <r>
    <x v="387"/>
    <x v="25"/>
    <x v="4"/>
    <x v="2"/>
    <s v="GTX Plus Basic"/>
    <s v="Iselectrics"/>
    <x v="0"/>
    <d v="2017-01-04T00:00:00"/>
    <x v="25"/>
    <n v="1073"/>
  </r>
  <r>
    <x v="388"/>
    <x v="28"/>
    <x v="0"/>
    <x v="0"/>
    <s v="MG Advanced"/>
    <s v="Genco Pura Olive Oil Company"/>
    <x v="2"/>
    <d v="2017-01-04T00:00:00"/>
    <x v="19"/>
    <n v="0"/>
  </r>
  <r>
    <x v="389"/>
    <x v="13"/>
    <x v="4"/>
    <x v="2"/>
    <s v="GTX Plus Pro"/>
    <m/>
    <x v="1"/>
    <d v="2017-01-04T00:00:00"/>
    <x v="6"/>
    <m/>
  </r>
  <r>
    <x v="390"/>
    <x v="7"/>
    <x v="2"/>
    <x v="1"/>
    <s v="MG Advanced"/>
    <m/>
    <x v="1"/>
    <d v="2017-01-04T00:00:00"/>
    <x v="6"/>
    <m/>
  </r>
  <r>
    <x v="391"/>
    <x v="18"/>
    <x v="2"/>
    <x v="1"/>
    <s v="GTX Basic"/>
    <m/>
    <x v="1"/>
    <d v="2017-01-04T00:00:00"/>
    <x v="6"/>
    <m/>
  </r>
  <r>
    <x v="392"/>
    <x v="18"/>
    <x v="2"/>
    <x v="1"/>
    <s v="GTX Basic"/>
    <s v="Faxquote"/>
    <x v="0"/>
    <d v="2017-01-04T00:00:00"/>
    <x v="28"/>
    <n v="586"/>
  </r>
  <r>
    <x v="393"/>
    <x v="22"/>
    <x v="1"/>
    <x v="0"/>
    <s v="GTXPro"/>
    <s v="Treequote"/>
    <x v="0"/>
    <d v="2017-01-04T00:00:00"/>
    <x v="33"/>
    <n v="4667"/>
  </r>
  <r>
    <x v="394"/>
    <x v="4"/>
    <x v="3"/>
    <x v="1"/>
    <s v="GTX Plus Basic"/>
    <s v="Hottechi"/>
    <x v="0"/>
    <d v="2017-01-04T00:00:00"/>
    <x v="26"/>
    <n v="880"/>
  </r>
  <r>
    <x v="395"/>
    <x v="4"/>
    <x v="3"/>
    <x v="1"/>
    <s v="MG Advanced"/>
    <s v="Plexzap"/>
    <x v="0"/>
    <d v="2017-01-04T00:00:00"/>
    <x v="15"/>
    <n v="3676"/>
  </r>
  <r>
    <x v="396"/>
    <x v="20"/>
    <x v="5"/>
    <x v="2"/>
    <s v="MG Special"/>
    <m/>
    <x v="1"/>
    <d v="2017-01-04T00:00:00"/>
    <x v="6"/>
    <m/>
  </r>
  <r>
    <x v="397"/>
    <x v="3"/>
    <x v="0"/>
    <x v="0"/>
    <s v="MG Advanced"/>
    <s v="Funholding"/>
    <x v="2"/>
    <d v="2017-01-05T00:00:00"/>
    <x v="25"/>
    <n v="0"/>
  </r>
  <r>
    <x v="398"/>
    <x v="13"/>
    <x v="4"/>
    <x v="2"/>
    <s v="GTX Plus Pro"/>
    <m/>
    <x v="1"/>
    <d v="2017-01-05T00:00:00"/>
    <x v="6"/>
    <m/>
  </r>
  <r>
    <x v="399"/>
    <x v="1"/>
    <x v="1"/>
    <x v="0"/>
    <s v="GTXPro"/>
    <s v="Treequote"/>
    <x v="2"/>
    <d v="2017-01-05T00:00:00"/>
    <x v="3"/>
    <n v="0"/>
  </r>
  <r>
    <x v="400"/>
    <x v="21"/>
    <x v="5"/>
    <x v="2"/>
    <s v="GTX Plus Basic"/>
    <s v="Opentech"/>
    <x v="2"/>
    <d v="2017-01-05T00:00:00"/>
    <x v="13"/>
    <n v="0"/>
  </r>
  <r>
    <x v="401"/>
    <x v="29"/>
    <x v="1"/>
    <x v="0"/>
    <s v="GTXPro"/>
    <s v="Treequote"/>
    <x v="0"/>
    <d v="2017-01-05T00:00:00"/>
    <x v="17"/>
    <n v="4716"/>
  </r>
  <r>
    <x v="402"/>
    <x v="16"/>
    <x v="2"/>
    <x v="1"/>
    <s v="MG Advanced"/>
    <m/>
    <x v="1"/>
    <d v="2017-01-05T00:00:00"/>
    <x v="6"/>
    <m/>
  </r>
  <r>
    <x v="403"/>
    <x v="18"/>
    <x v="2"/>
    <x v="1"/>
    <s v="GTX Basic"/>
    <s v="Blackzim"/>
    <x v="2"/>
    <d v="2017-01-05T00:00:00"/>
    <x v="18"/>
    <n v="0"/>
  </r>
  <r>
    <x v="404"/>
    <x v="4"/>
    <x v="3"/>
    <x v="1"/>
    <s v="GTXPro"/>
    <s v="Goodsilron"/>
    <x v="0"/>
    <d v="2017-01-05T00:00:00"/>
    <x v="14"/>
    <n v="4211"/>
  </r>
  <r>
    <x v="405"/>
    <x v="3"/>
    <x v="0"/>
    <x v="0"/>
    <s v="MG Advanced"/>
    <s v="Funholding"/>
    <x v="2"/>
    <d v="2017-01-06T00:00:00"/>
    <x v="21"/>
    <n v="0"/>
  </r>
  <r>
    <x v="406"/>
    <x v="25"/>
    <x v="4"/>
    <x v="2"/>
    <s v="GTX Plus Pro"/>
    <m/>
    <x v="1"/>
    <d v="2017-01-06T00:00:00"/>
    <x v="6"/>
    <m/>
  </r>
  <r>
    <x v="407"/>
    <x v="1"/>
    <x v="1"/>
    <x v="0"/>
    <s v="GTXPro"/>
    <s v="Codehow"/>
    <x v="2"/>
    <d v="2017-01-06T00:00:00"/>
    <x v="8"/>
    <n v="0"/>
  </r>
  <r>
    <x v="408"/>
    <x v="1"/>
    <x v="1"/>
    <x v="0"/>
    <s v="MG Special"/>
    <s v="Toughzap"/>
    <x v="0"/>
    <d v="2017-01-06T00:00:00"/>
    <x v="12"/>
    <n v="56"/>
  </r>
  <r>
    <x v="409"/>
    <x v="8"/>
    <x v="1"/>
    <x v="0"/>
    <s v="MG Special"/>
    <s v="Rundofase"/>
    <x v="2"/>
    <d v="2017-01-06T00:00:00"/>
    <x v="14"/>
    <n v="0"/>
  </r>
  <r>
    <x v="410"/>
    <x v="8"/>
    <x v="1"/>
    <x v="0"/>
    <s v="MG Special"/>
    <s v="Funholding"/>
    <x v="0"/>
    <d v="2017-01-06T00:00:00"/>
    <x v="14"/>
    <n v="44"/>
  </r>
  <r>
    <x v="411"/>
    <x v="18"/>
    <x v="2"/>
    <x v="1"/>
    <s v="GTX Basic"/>
    <s v="Konex"/>
    <x v="0"/>
    <d v="2017-01-06T00:00:00"/>
    <x v="27"/>
    <n v="532"/>
  </r>
  <r>
    <x v="412"/>
    <x v="24"/>
    <x v="0"/>
    <x v="0"/>
    <s v="GTX Basic"/>
    <s v="Treequote"/>
    <x v="2"/>
    <d v="2017-01-06T00:00:00"/>
    <x v="34"/>
    <n v="0"/>
  </r>
  <r>
    <x v="413"/>
    <x v="24"/>
    <x v="0"/>
    <x v="0"/>
    <s v="GTX Basic"/>
    <s v="Zumgoity"/>
    <x v="2"/>
    <d v="2017-01-06T00:00:00"/>
    <x v="19"/>
    <n v="0"/>
  </r>
  <r>
    <x v="414"/>
    <x v="19"/>
    <x v="4"/>
    <x v="2"/>
    <s v="GTXPro"/>
    <s v="Kinnamplus"/>
    <x v="2"/>
    <d v="2017-01-06T00:00:00"/>
    <x v="12"/>
    <n v="0"/>
  </r>
  <r>
    <x v="415"/>
    <x v="12"/>
    <x v="0"/>
    <x v="0"/>
    <s v="GTX Basic"/>
    <s v="Domzoom"/>
    <x v="2"/>
    <d v="2017-01-06T00:00:00"/>
    <x v="29"/>
    <n v="0"/>
  </r>
  <r>
    <x v="416"/>
    <x v="3"/>
    <x v="0"/>
    <x v="0"/>
    <s v="GTX Basic"/>
    <s v="Isdom"/>
    <x v="0"/>
    <d v="2017-01-07T00:00:00"/>
    <x v="11"/>
    <n v="622"/>
  </r>
  <r>
    <x v="417"/>
    <x v="23"/>
    <x v="4"/>
    <x v="2"/>
    <s v="GTX Basic"/>
    <m/>
    <x v="1"/>
    <d v="2017-01-07T00:00:00"/>
    <x v="6"/>
    <m/>
  </r>
  <r>
    <x v="418"/>
    <x v="28"/>
    <x v="0"/>
    <x v="0"/>
    <s v="GTX Plus Pro"/>
    <s v="Cancity"/>
    <x v="2"/>
    <d v="2017-01-07T00:00:00"/>
    <x v="10"/>
    <n v="0"/>
  </r>
  <r>
    <x v="419"/>
    <x v="27"/>
    <x v="5"/>
    <x v="2"/>
    <s v="MG Special"/>
    <m/>
    <x v="1"/>
    <d v="2017-01-07T00:00:00"/>
    <x v="6"/>
    <m/>
  </r>
  <r>
    <x v="420"/>
    <x v="27"/>
    <x v="5"/>
    <x v="2"/>
    <s v="GTX Plus Basic"/>
    <s v="Xx-zobam"/>
    <x v="0"/>
    <d v="2017-01-07T00:00:00"/>
    <x v="28"/>
    <n v="1257"/>
  </r>
  <r>
    <x v="421"/>
    <x v="9"/>
    <x v="2"/>
    <x v="1"/>
    <s v="GTX Plus Basic"/>
    <s v="Lexiqvolax"/>
    <x v="0"/>
    <d v="2017-01-07T00:00:00"/>
    <x v="25"/>
    <n v="1135"/>
  </r>
  <r>
    <x v="422"/>
    <x v="2"/>
    <x v="2"/>
    <x v="1"/>
    <s v="MG Advanced"/>
    <s v="Hottechi"/>
    <x v="2"/>
    <d v="2017-01-07T00:00:00"/>
    <x v="26"/>
    <n v="0"/>
  </r>
  <r>
    <x v="423"/>
    <x v="2"/>
    <x v="2"/>
    <x v="1"/>
    <s v="GTXPro"/>
    <s v="Newex"/>
    <x v="0"/>
    <d v="2017-01-07T00:00:00"/>
    <x v="16"/>
    <n v="4313"/>
  </r>
  <r>
    <x v="424"/>
    <x v="3"/>
    <x v="0"/>
    <x v="0"/>
    <s v="GTX Plus Pro"/>
    <s v="dambase"/>
    <x v="0"/>
    <d v="2017-01-08T00:00:00"/>
    <x v="8"/>
    <n v="5210"/>
  </r>
  <r>
    <x v="425"/>
    <x v="24"/>
    <x v="0"/>
    <x v="0"/>
    <s v="MG Special"/>
    <s v="Ron-tech"/>
    <x v="0"/>
    <d v="2017-01-08T00:00:00"/>
    <x v="27"/>
    <n v="47"/>
  </r>
  <r>
    <x v="426"/>
    <x v="5"/>
    <x v="3"/>
    <x v="1"/>
    <s v="MG Advanced"/>
    <s v="Konex"/>
    <x v="0"/>
    <d v="2017-01-08T00:00:00"/>
    <x v="30"/>
    <n v="3220"/>
  </r>
  <r>
    <x v="427"/>
    <x v="11"/>
    <x v="3"/>
    <x v="1"/>
    <s v="GTX Basic"/>
    <s v="Initech"/>
    <x v="1"/>
    <d v="2017-01-08T00:00:00"/>
    <x v="6"/>
    <m/>
  </r>
  <r>
    <x v="428"/>
    <x v="17"/>
    <x v="5"/>
    <x v="2"/>
    <s v="MG Special"/>
    <s v="Donware"/>
    <x v="0"/>
    <d v="2017-01-08T00:00:00"/>
    <x v="13"/>
    <n v="47"/>
  </r>
  <r>
    <x v="429"/>
    <x v="15"/>
    <x v="5"/>
    <x v="2"/>
    <s v="MG Special"/>
    <s v="Rundofase"/>
    <x v="1"/>
    <d v="2017-01-08T00:00:00"/>
    <x v="6"/>
    <m/>
  </r>
  <r>
    <x v="430"/>
    <x v="15"/>
    <x v="5"/>
    <x v="2"/>
    <s v="MG Special"/>
    <s v="Yearin"/>
    <x v="0"/>
    <d v="2017-01-08T00:00:00"/>
    <x v="25"/>
    <n v="63"/>
  </r>
  <r>
    <x v="431"/>
    <x v="3"/>
    <x v="0"/>
    <x v="0"/>
    <s v="MG Special"/>
    <s v="Betatech"/>
    <x v="0"/>
    <d v="2017-01-09T00:00:00"/>
    <x v="24"/>
    <n v="56"/>
  </r>
  <r>
    <x v="432"/>
    <x v="3"/>
    <x v="0"/>
    <x v="0"/>
    <s v="MG Special"/>
    <s v="Rundofase"/>
    <x v="0"/>
    <d v="2017-01-09T00:00:00"/>
    <x v="0"/>
    <n v="65"/>
  </r>
  <r>
    <x v="433"/>
    <x v="25"/>
    <x v="4"/>
    <x v="2"/>
    <s v="GTX Plus Pro"/>
    <s v="Donquadtech"/>
    <x v="0"/>
    <d v="2017-01-09T00:00:00"/>
    <x v="17"/>
    <n v="5743"/>
  </r>
  <r>
    <x v="434"/>
    <x v="23"/>
    <x v="4"/>
    <x v="2"/>
    <s v="MG Special"/>
    <s v="Mathtouch"/>
    <x v="0"/>
    <d v="2017-01-09T00:00:00"/>
    <x v="5"/>
    <n v="53"/>
  </r>
  <r>
    <x v="435"/>
    <x v="27"/>
    <x v="5"/>
    <x v="2"/>
    <s v="GTX Plus Pro"/>
    <s v="Betasoloin"/>
    <x v="0"/>
    <d v="2017-01-09T00:00:00"/>
    <x v="18"/>
    <n v="4974"/>
  </r>
  <r>
    <x v="436"/>
    <x v="26"/>
    <x v="4"/>
    <x v="2"/>
    <s v="MG Advanced"/>
    <s v="Ontomedia"/>
    <x v="0"/>
    <d v="2017-01-09T00:00:00"/>
    <x v="25"/>
    <n v="3892"/>
  </r>
  <r>
    <x v="437"/>
    <x v="21"/>
    <x v="5"/>
    <x v="2"/>
    <s v="GTXPro"/>
    <s v="Betasoloin"/>
    <x v="0"/>
    <d v="2017-01-09T00:00:00"/>
    <x v="21"/>
    <n v="3822"/>
  </r>
  <r>
    <x v="438"/>
    <x v="29"/>
    <x v="1"/>
    <x v="0"/>
    <s v="GTX Basic"/>
    <s v="Inity"/>
    <x v="0"/>
    <d v="2017-01-09T00:00:00"/>
    <x v="4"/>
    <n v="504"/>
  </r>
  <r>
    <x v="439"/>
    <x v="9"/>
    <x v="2"/>
    <x v="1"/>
    <s v="MG Special"/>
    <m/>
    <x v="1"/>
    <d v="2017-01-09T00:00:00"/>
    <x v="6"/>
    <m/>
  </r>
  <r>
    <x v="440"/>
    <x v="11"/>
    <x v="3"/>
    <x v="1"/>
    <s v="MG Advanced"/>
    <s v="Xx-holding"/>
    <x v="0"/>
    <d v="2017-01-09T00:00:00"/>
    <x v="31"/>
    <n v="3145"/>
  </r>
  <r>
    <x v="441"/>
    <x v="4"/>
    <x v="3"/>
    <x v="1"/>
    <s v="GTX Plus Pro"/>
    <m/>
    <x v="1"/>
    <d v="2017-01-09T00:00:00"/>
    <x v="6"/>
    <m/>
  </r>
  <r>
    <x v="442"/>
    <x v="4"/>
    <x v="3"/>
    <x v="1"/>
    <s v="GTX Basic"/>
    <s v="Finjob"/>
    <x v="0"/>
    <d v="2017-01-09T00:00:00"/>
    <x v="27"/>
    <n v="564"/>
  </r>
  <r>
    <x v="443"/>
    <x v="2"/>
    <x v="2"/>
    <x v="1"/>
    <s v="GTX Plus Basic"/>
    <s v="Fasehatice"/>
    <x v="0"/>
    <d v="2017-01-09T00:00:00"/>
    <x v="16"/>
    <n v="1117"/>
  </r>
  <r>
    <x v="444"/>
    <x v="3"/>
    <x v="0"/>
    <x v="0"/>
    <s v="MG Special"/>
    <s v="Inity"/>
    <x v="0"/>
    <d v="2017-01-10T00:00:00"/>
    <x v="13"/>
    <n v="59"/>
  </r>
  <r>
    <x v="445"/>
    <x v="1"/>
    <x v="1"/>
    <x v="0"/>
    <s v="MG Special"/>
    <s v="Finhigh"/>
    <x v="0"/>
    <d v="2017-01-10T00:00:00"/>
    <x v="26"/>
    <n v="52"/>
  </r>
  <r>
    <x v="446"/>
    <x v="26"/>
    <x v="4"/>
    <x v="2"/>
    <s v="GTXPro"/>
    <s v="Kan-code"/>
    <x v="0"/>
    <d v="2017-01-10T00:00:00"/>
    <x v="29"/>
    <n v="4694"/>
  </r>
  <r>
    <x v="447"/>
    <x v="10"/>
    <x v="3"/>
    <x v="1"/>
    <s v="GTX Plus Pro"/>
    <m/>
    <x v="1"/>
    <d v="2017-01-10T00:00:00"/>
    <x v="6"/>
    <m/>
  </r>
  <r>
    <x v="448"/>
    <x v="16"/>
    <x v="2"/>
    <x v="1"/>
    <s v="GTXPro"/>
    <s v="Plusstrip"/>
    <x v="0"/>
    <d v="2017-01-10T00:00:00"/>
    <x v="9"/>
    <n v="5620"/>
  </r>
  <r>
    <x v="449"/>
    <x v="18"/>
    <x v="2"/>
    <x v="1"/>
    <s v="GTX Plus Basic"/>
    <s v="Singletechno"/>
    <x v="0"/>
    <d v="2017-01-10T00:00:00"/>
    <x v="11"/>
    <n v="1095"/>
  </r>
  <r>
    <x v="450"/>
    <x v="24"/>
    <x v="0"/>
    <x v="0"/>
    <s v="GTX Basic"/>
    <s v="Conecom"/>
    <x v="2"/>
    <d v="2017-01-10T00:00:00"/>
    <x v="35"/>
    <n v="0"/>
  </r>
  <r>
    <x v="451"/>
    <x v="24"/>
    <x v="0"/>
    <x v="0"/>
    <s v="GTX Basic"/>
    <s v="Ron-tech"/>
    <x v="0"/>
    <d v="2017-01-10T00:00:00"/>
    <x v="18"/>
    <n v="489"/>
  </r>
  <r>
    <x v="452"/>
    <x v="5"/>
    <x v="3"/>
    <x v="1"/>
    <s v="GTX Basic"/>
    <m/>
    <x v="1"/>
    <d v="2017-01-10T00:00:00"/>
    <x v="6"/>
    <m/>
  </r>
  <r>
    <x v="453"/>
    <x v="5"/>
    <x v="3"/>
    <x v="1"/>
    <s v="MG Special"/>
    <s v="Bioholding"/>
    <x v="1"/>
    <d v="2017-01-10T00:00:00"/>
    <x v="6"/>
    <m/>
  </r>
  <r>
    <x v="454"/>
    <x v="5"/>
    <x v="3"/>
    <x v="1"/>
    <s v="GTX Plus Pro"/>
    <s v="Golddex"/>
    <x v="0"/>
    <d v="2017-01-10T00:00:00"/>
    <x v="28"/>
    <n v="5908"/>
  </r>
  <r>
    <x v="455"/>
    <x v="5"/>
    <x v="3"/>
    <x v="1"/>
    <s v="MG Advanced"/>
    <s v="Xx-holding"/>
    <x v="0"/>
    <d v="2017-01-10T00:00:00"/>
    <x v="1"/>
    <n v="3820"/>
  </r>
  <r>
    <x v="456"/>
    <x v="9"/>
    <x v="2"/>
    <x v="1"/>
    <s v="GTX Plus Basic"/>
    <s v="Hottechi"/>
    <x v="2"/>
    <d v="2017-01-10T00:00:00"/>
    <x v="15"/>
    <n v="0"/>
  </r>
  <r>
    <x v="457"/>
    <x v="4"/>
    <x v="3"/>
    <x v="1"/>
    <s v="GTXPro"/>
    <m/>
    <x v="1"/>
    <d v="2017-01-10T00:00:00"/>
    <x v="6"/>
    <m/>
  </r>
  <r>
    <x v="458"/>
    <x v="4"/>
    <x v="3"/>
    <x v="1"/>
    <s v="GTX Basic"/>
    <s v="Rantouch"/>
    <x v="0"/>
    <d v="2017-01-10T00:00:00"/>
    <x v="19"/>
    <n v="581"/>
  </r>
  <r>
    <x v="459"/>
    <x v="15"/>
    <x v="5"/>
    <x v="2"/>
    <s v="GTX Plus Pro"/>
    <m/>
    <x v="1"/>
    <d v="2017-01-10T00:00:00"/>
    <x v="6"/>
    <m/>
  </r>
  <r>
    <x v="460"/>
    <x v="27"/>
    <x v="5"/>
    <x v="2"/>
    <s v="GTXPro"/>
    <s v="Nam-zim"/>
    <x v="1"/>
    <d v="2017-01-11T00:00:00"/>
    <x v="6"/>
    <m/>
  </r>
  <r>
    <x v="461"/>
    <x v="27"/>
    <x v="5"/>
    <x v="2"/>
    <s v="GTXPro"/>
    <m/>
    <x v="1"/>
    <d v="2017-01-11T00:00:00"/>
    <x v="6"/>
    <m/>
  </r>
  <r>
    <x v="462"/>
    <x v="1"/>
    <x v="1"/>
    <x v="0"/>
    <s v="GTX Plus Pro"/>
    <s v="Funholding"/>
    <x v="2"/>
    <d v="2017-01-11T00:00:00"/>
    <x v="7"/>
    <n v="0"/>
  </r>
  <r>
    <x v="463"/>
    <x v="29"/>
    <x v="1"/>
    <x v="0"/>
    <s v="GTX Basic"/>
    <s v="Gogozoom"/>
    <x v="0"/>
    <d v="2017-01-11T00:00:00"/>
    <x v="26"/>
    <n v="585"/>
  </r>
  <r>
    <x v="464"/>
    <x v="16"/>
    <x v="2"/>
    <x v="1"/>
    <s v="GTX Plus Basic"/>
    <s v="Plusstrip"/>
    <x v="1"/>
    <d v="2017-01-11T00:00:00"/>
    <x v="6"/>
    <m/>
  </r>
  <r>
    <x v="465"/>
    <x v="16"/>
    <x v="2"/>
    <x v="1"/>
    <s v="GTX Basic"/>
    <s v="Nam-zim"/>
    <x v="0"/>
    <d v="2017-01-11T00:00:00"/>
    <x v="36"/>
    <n v="572"/>
  </r>
  <r>
    <x v="466"/>
    <x v="24"/>
    <x v="0"/>
    <x v="0"/>
    <s v="MG Advanced"/>
    <s v="Zumgoity"/>
    <x v="0"/>
    <d v="2017-01-11T00:00:00"/>
    <x v="15"/>
    <n v="3669"/>
  </r>
  <r>
    <x v="467"/>
    <x v="5"/>
    <x v="3"/>
    <x v="1"/>
    <s v="GTX Plus Basic"/>
    <s v="Golddex"/>
    <x v="0"/>
    <d v="2017-01-11T00:00:00"/>
    <x v="28"/>
    <n v="1091"/>
  </r>
  <r>
    <x v="468"/>
    <x v="22"/>
    <x v="1"/>
    <x v="0"/>
    <s v="GTX Plus Basic"/>
    <s v="Rangreen"/>
    <x v="2"/>
    <d v="2017-01-11T00:00:00"/>
    <x v="20"/>
    <n v="0"/>
  </r>
  <r>
    <x v="469"/>
    <x v="19"/>
    <x v="4"/>
    <x v="2"/>
    <s v="GTXPro"/>
    <s v="Donquadtech"/>
    <x v="0"/>
    <d v="2017-01-11T00:00:00"/>
    <x v="12"/>
    <n v="4905"/>
  </r>
  <r>
    <x v="470"/>
    <x v="27"/>
    <x v="5"/>
    <x v="2"/>
    <s v="GTX Basic"/>
    <s v="Vehement Capital Partners"/>
    <x v="0"/>
    <d v="2017-01-12T00:00:00"/>
    <x v="7"/>
    <n v="540"/>
  </r>
  <r>
    <x v="471"/>
    <x v="8"/>
    <x v="1"/>
    <x v="0"/>
    <s v="MG Special"/>
    <s v="Zumgoity"/>
    <x v="0"/>
    <d v="2017-01-12T00:00:00"/>
    <x v="19"/>
    <n v="49"/>
  </r>
  <r>
    <x v="472"/>
    <x v="29"/>
    <x v="1"/>
    <x v="0"/>
    <s v="GTX Basic"/>
    <s v="Globex Corporation"/>
    <x v="0"/>
    <d v="2017-01-12T00:00:00"/>
    <x v="37"/>
    <n v="513"/>
  </r>
  <r>
    <x v="473"/>
    <x v="24"/>
    <x v="0"/>
    <x v="0"/>
    <s v="MG Special"/>
    <s v="Gogozoom"/>
    <x v="0"/>
    <d v="2017-01-12T00:00:00"/>
    <x v="18"/>
    <n v="54"/>
  </r>
  <r>
    <x v="474"/>
    <x v="9"/>
    <x v="2"/>
    <x v="1"/>
    <s v="GTX Plus Basic"/>
    <m/>
    <x v="1"/>
    <d v="2017-01-12T00:00:00"/>
    <x v="6"/>
    <m/>
  </r>
  <r>
    <x v="475"/>
    <x v="15"/>
    <x v="5"/>
    <x v="2"/>
    <s v="GTX Basic"/>
    <s v="Funholding"/>
    <x v="1"/>
    <d v="2017-01-12T00:00:00"/>
    <x v="6"/>
    <m/>
  </r>
  <r>
    <x v="476"/>
    <x v="15"/>
    <x v="5"/>
    <x v="2"/>
    <s v="MG Special"/>
    <s v="Yearin"/>
    <x v="0"/>
    <d v="2017-01-12T00:00:00"/>
    <x v="14"/>
    <n v="56"/>
  </r>
  <r>
    <x v="477"/>
    <x v="3"/>
    <x v="0"/>
    <x v="0"/>
    <s v="MG Special"/>
    <s v="Konmatfix"/>
    <x v="0"/>
    <d v="2017-01-13T00:00:00"/>
    <x v="28"/>
    <n v="58"/>
  </r>
  <r>
    <x v="478"/>
    <x v="3"/>
    <x v="0"/>
    <x v="0"/>
    <s v="MG Special"/>
    <s v="Treequote"/>
    <x v="0"/>
    <d v="2017-01-13T00:00:00"/>
    <x v="27"/>
    <n v="58"/>
  </r>
  <r>
    <x v="479"/>
    <x v="10"/>
    <x v="3"/>
    <x v="1"/>
    <s v="MG Advanced"/>
    <s v="Vehement Capital Partners"/>
    <x v="1"/>
    <d v="2017-01-13T00:00:00"/>
    <x v="6"/>
    <m/>
  </r>
  <r>
    <x v="480"/>
    <x v="7"/>
    <x v="2"/>
    <x v="1"/>
    <s v="GTXPro"/>
    <s v="Iselectrics"/>
    <x v="1"/>
    <d v="2017-01-13T00:00:00"/>
    <x v="6"/>
    <m/>
  </r>
  <r>
    <x v="481"/>
    <x v="16"/>
    <x v="2"/>
    <x v="1"/>
    <s v="GTXPro"/>
    <s v="Nam-zim"/>
    <x v="0"/>
    <d v="2017-01-13T00:00:00"/>
    <x v="21"/>
    <n v="4453"/>
  </r>
  <r>
    <x v="482"/>
    <x v="18"/>
    <x v="2"/>
    <x v="1"/>
    <s v="MG Special"/>
    <s v="Plusstrip"/>
    <x v="2"/>
    <d v="2017-01-13T00:00:00"/>
    <x v="38"/>
    <n v="0"/>
  </r>
  <r>
    <x v="483"/>
    <x v="18"/>
    <x v="2"/>
    <x v="1"/>
    <s v="GTX Basic"/>
    <s v="Nam-zim"/>
    <x v="0"/>
    <d v="2017-01-13T00:00:00"/>
    <x v="16"/>
    <n v="619"/>
  </r>
  <r>
    <x v="484"/>
    <x v="9"/>
    <x v="2"/>
    <x v="1"/>
    <s v="GTX Plus Pro"/>
    <s v="Xx-holding"/>
    <x v="0"/>
    <d v="2017-01-13T00:00:00"/>
    <x v="39"/>
    <n v="5163"/>
  </r>
  <r>
    <x v="485"/>
    <x v="9"/>
    <x v="2"/>
    <x v="1"/>
    <s v="GTXPro"/>
    <s v="Green-Plus"/>
    <x v="0"/>
    <d v="2017-01-13T00:00:00"/>
    <x v="25"/>
    <n v="4071"/>
  </r>
  <r>
    <x v="486"/>
    <x v="19"/>
    <x v="4"/>
    <x v="2"/>
    <s v="MG Special"/>
    <s v="Donquadtech"/>
    <x v="0"/>
    <d v="2017-01-13T00:00:00"/>
    <x v="38"/>
    <n v="56"/>
  </r>
  <r>
    <x v="487"/>
    <x v="4"/>
    <x v="3"/>
    <x v="1"/>
    <s v="MG Special"/>
    <m/>
    <x v="1"/>
    <d v="2017-01-13T00:00:00"/>
    <x v="6"/>
    <m/>
  </r>
  <r>
    <x v="488"/>
    <x v="15"/>
    <x v="5"/>
    <x v="2"/>
    <s v="MG Advanced"/>
    <s v="Sumace"/>
    <x v="2"/>
    <d v="2017-01-13T00:00:00"/>
    <x v="20"/>
    <n v="0"/>
  </r>
  <r>
    <x v="489"/>
    <x v="26"/>
    <x v="4"/>
    <x v="2"/>
    <s v="GTXPro"/>
    <s v="Zotware"/>
    <x v="0"/>
    <d v="2017-01-14T00:00:00"/>
    <x v="31"/>
    <n v="4375"/>
  </r>
  <r>
    <x v="490"/>
    <x v="7"/>
    <x v="2"/>
    <x v="1"/>
    <s v="MG Advanced"/>
    <s v="Codehow"/>
    <x v="1"/>
    <d v="2017-01-14T00:00:00"/>
    <x v="6"/>
    <m/>
  </r>
  <r>
    <x v="491"/>
    <x v="16"/>
    <x v="2"/>
    <x v="1"/>
    <s v="GTX Basic"/>
    <s v="Golddex"/>
    <x v="0"/>
    <d v="2017-01-14T00:00:00"/>
    <x v="26"/>
    <n v="610"/>
  </r>
  <r>
    <x v="492"/>
    <x v="4"/>
    <x v="3"/>
    <x v="1"/>
    <s v="GTX Basic"/>
    <s v="Scottech"/>
    <x v="1"/>
    <d v="2017-01-14T00:00:00"/>
    <x v="6"/>
    <m/>
  </r>
  <r>
    <x v="493"/>
    <x v="4"/>
    <x v="3"/>
    <x v="1"/>
    <s v="MG Advanced"/>
    <s v="Hatfan"/>
    <x v="2"/>
    <d v="2017-01-14T00:00:00"/>
    <x v="33"/>
    <n v="0"/>
  </r>
  <r>
    <x v="494"/>
    <x v="4"/>
    <x v="3"/>
    <x v="1"/>
    <s v="GTXPro"/>
    <s v="Xx-holding"/>
    <x v="0"/>
    <d v="2017-01-14T00:00:00"/>
    <x v="12"/>
    <n v="4554"/>
  </r>
  <r>
    <x v="495"/>
    <x v="20"/>
    <x v="5"/>
    <x v="2"/>
    <s v="MG Advanced"/>
    <s v="Konex"/>
    <x v="0"/>
    <d v="2017-01-14T00:00:00"/>
    <x v="40"/>
    <n v="2880"/>
  </r>
  <r>
    <x v="496"/>
    <x v="27"/>
    <x v="5"/>
    <x v="2"/>
    <s v="GTX Plus Pro"/>
    <s v="Zoomit"/>
    <x v="1"/>
    <d v="2017-01-15T00:00:00"/>
    <x v="6"/>
    <m/>
  </r>
  <r>
    <x v="497"/>
    <x v="27"/>
    <x v="5"/>
    <x v="2"/>
    <s v="GTXPro"/>
    <s v="Inity"/>
    <x v="1"/>
    <d v="2017-01-15T00:00:00"/>
    <x v="6"/>
    <m/>
  </r>
  <r>
    <x v="498"/>
    <x v="27"/>
    <x v="5"/>
    <x v="2"/>
    <s v="GTX Plus Basic"/>
    <s v="Initech"/>
    <x v="2"/>
    <d v="2017-01-15T00:00:00"/>
    <x v="35"/>
    <n v="0"/>
  </r>
  <r>
    <x v="499"/>
    <x v="14"/>
    <x v="3"/>
    <x v="1"/>
    <s v="MG Special"/>
    <s v="Mathtouch"/>
    <x v="1"/>
    <d v="2017-01-15T00:00:00"/>
    <x v="6"/>
    <m/>
  </r>
  <r>
    <x v="500"/>
    <x v="5"/>
    <x v="3"/>
    <x v="1"/>
    <s v="MG Special"/>
    <s v="Scotfind"/>
    <x v="0"/>
    <d v="2017-01-15T00:00:00"/>
    <x v="40"/>
    <n v="60"/>
  </r>
  <r>
    <x v="501"/>
    <x v="9"/>
    <x v="2"/>
    <x v="1"/>
    <s v="GTX Basic"/>
    <s v="Condax"/>
    <x v="0"/>
    <d v="2017-01-15T00:00:00"/>
    <x v="21"/>
    <n v="688"/>
  </r>
  <r>
    <x v="502"/>
    <x v="9"/>
    <x v="2"/>
    <x v="1"/>
    <s v="GTX Plus Pro"/>
    <s v="Goodsilron"/>
    <x v="0"/>
    <d v="2017-01-15T00:00:00"/>
    <x v="30"/>
    <n v="6142"/>
  </r>
  <r>
    <x v="503"/>
    <x v="9"/>
    <x v="2"/>
    <x v="1"/>
    <s v="GTXPro"/>
    <s v="Green-Plus"/>
    <x v="0"/>
    <d v="2017-01-15T00:00:00"/>
    <x v="20"/>
    <n v="4939"/>
  </r>
  <r>
    <x v="504"/>
    <x v="6"/>
    <x v="1"/>
    <x v="0"/>
    <s v="GTX Plus Pro"/>
    <s v="Warephase"/>
    <x v="0"/>
    <d v="2017-01-15T00:00:00"/>
    <x v="41"/>
    <n v="6270"/>
  </r>
  <r>
    <x v="505"/>
    <x v="4"/>
    <x v="3"/>
    <x v="1"/>
    <s v="GTX Basic"/>
    <m/>
    <x v="1"/>
    <d v="2017-01-15T00:00:00"/>
    <x v="6"/>
    <m/>
  </r>
  <r>
    <x v="506"/>
    <x v="20"/>
    <x v="5"/>
    <x v="2"/>
    <s v="MG Advanced"/>
    <s v="Acme Corporation"/>
    <x v="0"/>
    <d v="2017-01-15T00:00:00"/>
    <x v="31"/>
    <n v="3833"/>
  </r>
  <r>
    <x v="507"/>
    <x v="13"/>
    <x v="4"/>
    <x v="2"/>
    <s v="GTX Plus Basic"/>
    <s v="Bubba Gump"/>
    <x v="2"/>
    <d v="2017-01-16T00:00:00"/>
    <x v="26"/>
    <n v="0"/>
  </r>
  <r>
    <x v="508"/>
    <x v="16"/>
    <x v="2"/>
    <x v="1"/>
    <s v="GTX Plus Pro"/>
    <s v="Acme Corporation"/>
    <x v="1"/>
    <d v="2017-01-16T00:00:00"/>
    <x v="6"/>
    <m/>
  </r>
  <r>
    <x v="509"/>
    <x v="9"/>
    <x v="2"/>
    <x v="1"/>
    <s v="MG Special"/>
    <m/>
    <x v="1"/>
    <d v="2017-01-16T00:00:00"/>
    <x v="6"/>
    <m/>
  </r>
  <r>
    <x v="510"/>
    <x v="0"/>
    <x v="0"/>
    <x v="0"/>
    <s v="MG Special"/>
    <s v="Hottechi"/>
    <x v="0"/>
    <d v="2017-01-16T00:00:00"/>
    <x v="42"/>
    <n v="57"/>
  </r>
  <r>
    <x v="511"/>
    <x v="12"/>
    <x v="0"/>
    <x v="0"/>
    <s v="MG Special"/>
    <s v="Cancity"/>
    <x v="0"/>
    <d v="2017-01-16T00:00:00"/>
    <x v="12"/>
    <n v="47"/>
  </r>
  <r>
    <x v="512"/>
    <x v="15"/>
    <x v="5"/>
    <x v="2"/>
    <s v="MG Special"/>
    <s v="Donware"/>
    <x v="2"/>
    <d v="2017-01-16T00:00:00"/>
    <x v="22"/>
    <n v="0"/>
  </r>
  <r>
    <x v="513"/>
    <x v="13"/>
    <x v="4"/>
    <x v="2"/>
    <s v="MG Advanced"/>
    <s v="Plussunin"/>
    <x v="2"/>
    <d v="2017-01-17T00:00:00"/>
    <x v="17"/>
    <n v="0"/>
  </r>
  <r>
    <x v="514"/>
    <x v="8"/>
    <x v="1"/>
    <x v="0"/>
    <s v="MG Special"/>
    <s v="Inity"/>
    <x v="0"/>
    <d v="2017-01-17T00:00:00"/>
    <x v="32"/>
    <n v="57"/>
  </r>
  <r>
    <x v="515"/>
    <x v="7"/>
    <x v="2"/>
    <x v="1"/>
    <s v="GTX Plus Basic"/>
    <s v="Warephase"/>
    <x v="1"/>
    <d v="2017-01-17T00:00:00"/>
    <x v="6"/>
    <m/>
  </r>
  <r>
    <x v="516"/>
    <x v="29"/>
    <x v="1"/>
    <x v="0"/>
    <s v="MG Advanced"/>
    <s v="Genco Pura Olive Oil Company"/>
    <x v="0"/>
    <d v="2017-01-17T00:00:00"/>
    <x v="16"/>
    <n v="3257"/>
  </r>
  <r>
    <x v="517"/>
    <x v="16"/>
    <x v="2"/>
    <x v="1"/>
    <s v="GTX Basic"/>
    <s v="Sunnamplex"/>
    <x v="0"/>
    <d v="2017-01-17T00:00:00"/>
    <x v="38"/>
    <n v="511"/>
  </r>
  <r>
    <x v="518"/>
    <x v="16"/>
    <x v="2"/>
    <x v="1"/>
    <s v="GTX Basic"/>
    <s v="Y-corporation"/>
    <x v="0"/>
    <d v="2017-01-17T00:00:00"/>
    <x v="16"/>
    <n v="607"/>
  </r>
  <r>
    <x v="519"/>
    <x v="5"/>
    <x v="3"/>
    <x v="1"/>
    <s v="GTX Plus Pro"/>
    <s v="Cheers"/>
    <x v="0"/>
    <d v="2017-01-17T00:00:00"/>
    <x v="31"/>
    <n v="5120"/>
  </r>
  <r>
    <x v="520"/>
    <x v="6"/>
    <x v="1"/>
    <x v="0"/>
    <s v="GTX Plus Basic"/>
    <s v="Hottechi"/>
    <x v="0"/>
    <d v="2017-01-17T00:00:00"/>
    <x v="14"/>
    <n v="1343"/>
  </r>
  <r>
    <x v="521"/>
    <x v="6"/>
    <x v="1"/>
    <x v="0"/>
    <s v="MG Special"/>
    <s v="Rundofase"/>
    <x v="0"/>
    <d v="2017-01-17T00:00:00"/>
    <x v="39"/>
    <n v="55"/>
  </r>
  <r>
    <x v="522"/>
    <x v="4"/>
    <x v="3"/>
    <x v="1"/>
    <s v="MG Special"/>
    <s v="Faxquote"/>
    <x v="0"/>
    <d v="2017-01-17T00:00:00"/>
    <x v="18"/>
    <n v="49"/>
  </r>
  <r>
    <x v="523"/>
    <x v="25"/>
    <x v="4"/>
    <x v="2"/>
    <s v="GTX Basic"/>
    <s v="The New York Inquirer"/>
    <x v="2"/>
    <d v="2017-01-18T00:00:00"/>
    <x v="31"/>
    <n v="0"/>
  </r>
  <r>
    <x v="524"/>
    <x v="13"/>
    <x v="4"/>
    <x v="2"/>
    <s v="GTX Plus Pro"/>
    <m/>
    <x v="1"/>
    <d v="2017-01-18T00:00:00"/>
    <x v="6"/>
    <m/>
  </r>
  <r>
    <x v="525"/>
    <x v="21"/>
    <x v="5"/>
    <x v="2"/>
    <s v="GTXPro"/>
    <s v="Zotware"/>
    <x v="0"/>
    <d v="2017-01-18T00:00:00"/>
    <x v="43"/>
    <n v="4426"/>
  </r>
  <r>
    <x v="526"/>
    <x v="7"/>
    <x v="2"/>
    <x v="1"/>
    <s v="GTX Plus Pro"/>
    <s v="Groovestreet"/>
    <x v="0"/>
    <d v="2017-01-18T00:00:00"/>
    <x v="44"/>
    <n v="5264"/>
  </r>
  <r>
    <x v="527"/>
    <x v="29"/>
    <x v="1"/>
    <x v="0"/>
    <s v="GTXPro"/>
    <s v="Conecom"/>
    <x v="2"/>
    <d v="2017-01-18T00:00:00"/>
    <x v="45"/>
    <n v="0"/>
  </r>
  <r>
    <x v="528"/>
    <x v="18"/>
    <x v="2"/>
    <x v="1"/>
    <s v="GTXPro"/>
    <m/>
    <x v="1"/>
    <d v="2017-01-18T00:00:00"/>
    <x v="6"/>
    <m/>
  </r>
  <r>
    <x v="529"/>
    <x v="0"/>
    <x v="0"/>
    <x v="0"/>
    <s v="MG Special"/>
    <s v="Dontechi"/>
    <x v="0"/>
    <d v="2017-01-18T00:00:00"/>
    <x v="31"/>
    <n v="59"/>
  </r>
  <r>
    <x v="530"/>
    <x v="21"/>
    <x v="5"/>
    <x v="2"/>
    <s v="GTX Basic"/>
    <s v="Opentech"/>
    <x v="0"/>
    <d v="2017-01-19T00:00:00"/>
    <x v="18"/>
    <n v="617"/>
  </r>
  <r>
    <x v="531"/>
    <x v="8"/>
    <x v="1"/>
    <x v="0"/>
    <s v="GTX Basic"/>
    <s v="Codehow"/>
    <x v="0"/>
    <d v="2017-01-19T00:00:00"/>
    <x v="43"/>
    <n v="565"/>
  </r>
  <r>
    <x v="532"/>
    <x v="7"/>
    <x v="2"/>
    <x v="1"/>
    <s v="GTX Basic"/>
    <s v="Sonron"/>
    <x v="0"/>
    <d v="2017-01-19T00:00:00"/>
    <x v="0"/>
    <n v="511"/>
  </r>
  <r>
    <x v="533"/>
    <x v="16"/>
    <x v="2"/>
    <x v="1"/>
    <s v="GTX Plus Basic"/>
    <s v="Rantouch"/>
    <x v="2"/>
    <d v="2017-01-19T00:00:00"/>
    <x v="38"/>
    <n v="0"/>
  </r>
  <r>
    <x v="534"/>
    <x v="18"/>
    <x v="2"/>
    <x v="1"/>
    <s v="MG Special"/>
    <s v="Faxquote"/>
    <x v="0"/>
    <d v="2017-01-19T00:00:00"/>
    <x v="18"/>
    <n v="60"/>
  </r>
  <r>
    <x v="535"/>
    <x v="18"/>
    <x v="2"/>
    <x v="1"/>
    <s v="MG Advanced"/>
    <s v="Plexzap"/>
    <x v="0"/>
    <d v="2017-01-19T00:00:00"/>
    <x v="31"/>
    <n v="3407"/>
  </r>
  <r>
    <x v="536"/>
    <x v="18"/>
    <x v="2"/>
    <x v="1"/>
    <s v="MG Advanced"/>
    <s v="Xx-holding"/>
    <x v="0"/>
    <d v="2017-01-19T00:00:00"/>
    <x v="26"/>
    <n v="3273"/>
  </r>
  <r>
    <x v="537"/>
    <x v="5"/>
    <x v="3"/>
    <x v="1"/>
    <s v="GTX Plus Basic"/>
    <s v="Y-corporation"/>
    <x v="2"/>
    <d v="2017-01-19T00:00:00"/>
    <x v="13"/>
    <n v="0"/>
  </r>
  <r>
    <x v="538"/>
    <x v="5"/>
    <x v="3"/>
    <x v="1"/>
    <s v="MG Special"/>
    <s v="Sunnamplex"/>
    <x v="2"/>
    <d v="2017-01-19T00:00:00"/>
    <x v="33"/>
    <n v="0"/>
  </r>
  <r>
    <x v="539"/>
    <x v="0"/>
    <x v="0"/>
    <x v="0"/>
    <s v="MG Advanced"/>
    <s v="Gogozoom"/>
    <x v="0"/>
    <d v="2017-01-19T00:00:00"/>
    <x v="46"/>
    <n v="3363"/>
  </r>
  <r>
    <x v="540"/>
    <x v="4"/>
    <x v="3"/>
    <x v="1"/>
    <s v="MG Special"/>
    <m/>
    <x v="1"/>
    <d v="2017-01-19T00:00:00"/>
    <x v="6"/>
    <m/>
  </r>
  <r>
    <x v="541"/>
    <x v="4"/>
    <x v="3"/>
    <x v="1"/>
    <s v="GTX Basic"/>
    <s v="Xx-holding"/>
    <x v="0"/>
    <d v="2017-01-19T00:00:00"/>
    <x v="20"/>
    <n v="365"/>
  </r>
  <r>
    <x v="542"/>
    <x v="2"/>
    <x v="2"/>
    <x v="1"/>
    <s v="GTX Plus Pro"/>
    <s v="Lexiqvolax"/>
    <x v="0"/>
    <d v="2017-01-19T00:00:00"/>
    <x v="8"/>
    <n v="4869"/>
  </r>
  <r>
    <x v="543"/>
    <x v="27"/>
    <x v="5"/>
    <x v="2"/>
    <s v="GTX Basic"/>
    <s v="Ontomedia"/>
    <x v="0"/>
    <d v="2017-01-20T00:00:00"/>
    <x v="47"/>
    <n v="599"/>
  </r>
  <r>
    <x v="544"/>
    <x v="13"/>
    <x v="4"/>
    <x v="2"/>
    <s v="MG Advanced"/>
    <s v="Konex"/>
    <x v="0"/>
    <d v="2017-01-20T00:00:00"/>
    <x v="45"/>
    <n v="3194"/>
  </r>
  <r>
    <x v="545"/>
    <x v="21"/>
    <x v="5"/>
    <x v="2"/>
    <s v="GTX Plus Pro"/>
    <s v="Condax"/>
    <x v="0"/>
    <d v="2017-01-20T00:00:00"/>
    <x v="48"/>
    <n v="5429"/>
  </r>
  <r>
    <x v="546"/>
    <x v="29"/>
    <x v="1"/>
    <x v="0"/>
    <s v="GTXPro"/>
    <s v="Hottechi"/>
    <x v="0"/>
    <d v="2017-01-20T00:00:00"/>
    <x v="33"/>
    <n v="5008"/>
  </r>
  <r>
    <x v="547"/>
    <x v="29"/>
    <x v="1"/>
    <x v="0"/>
    <s v="MG Advanced"/>
    <s v="Domzoom"/>
    <x v="0"/>
    <d v="2017-01-20T00:00:00"/>
    <x v="26"/>
    <n v="3459"/>
  </r>
  <r>
    <x v="548"/>
    <x v="18"/>
    <x v="2"/>
    <x v="1"/>
    <s v="GTXPro"/>
    <s v="Xx-holding"/>
    <x v="2"/>
    <d v="2017-01-20T00:00:00"/>
    <x v="49"/>
    <n v="0"/>
  </r>
  <r>
    <x v="549"/>
    <x v="18"/>
    <x v="2"/>
    <x v="1"/>
    <s v="GTXPro"/>
    <s v="Hottechi"/>
    <x v="0"/>
    <d v="2017-01-20T00:00:00"/>
    <x v="2"/>
    <n v="4559"/>
  </r>
  <r>
    <x v="550"/>
    <x v="18"/>
    <x v="2"/>
    <x v="1"/>
    <s v="GTXPro"/>
    <s v="Labdrill"/>
    <x v="0"/>
    <d v="2017-01-20T00:00:00"/>
    <x v="26"/>
    <n v="4221"/>
  </r>
  <r>
    <x v="551"/>
    <x v="24"/>
    <x v="0"/>
    <x v="0"/>
    <s v="MG Advanced"/>
    <s v="Warephase"/>
    <x v="2"/>
    <d v="2017-01-20T00:00:00"/>
    <x v="1"/>
    <n v="0"/>
  </r>
  <r>
    <x v="552"/>
    <x v="24"/>
    <x v="0"/>
    <x v="0"/>
    <s v="MG Special"/>
    <s v="Domzoom"/>
    <x v="0"/>
    <d v="2017-01-20T00:00:00"/>
    <x v="9"/>
    <n v="56"/>
  </r>
  <r>
    <x v="553"/>
    <x v="5"/>
    <x v="3"/>
    <x v="1"/>
    <s v="GTXPro"/>
    <s v="Nam-zim"/>
    <x v="0"/>
    <d v="2017-01-20T00:00:00"/>
    <x v="44"/>
    <n v="5508"/>
  </r>
  <r>
    <x v="554"/>
    <x v="0"/>
    <x v="0"/>
    <x v="0"/>
    <s v="GTX Plus Basic"/>
    <s v="Codehow"/>
    <x v="2"/>
    <d v="2017-01-20T00:00:00"/>
    <x v="29"/>
    <n v="0"/>
  </r>
  <r>
    <x v="555"/>
    <x v="2"/>
    <x v="2"/>
    <x v="1"/>
    <s v="GTX Basic"/>
    <s v="Lexiqvolax"/>
    <x v="2"/>
    <d v="2017-01-20T00:00:00"/>
    <x v="19"/>
    <n v="0"/>
  </r>
  <r>
    <x v="556"/>
    <x v="3"/>
    <x v="0"/>
    <x v="0"/>
    <s v="MG Advanced"/>
    <s v="Cancity"/>
    <x v="2"/>
    <d v="2017-01-21T00:00:00"/>
    <x v="3"/>
    <n v="0"/>
  </r>
  <r>
    <x v="557"/>
    <x v="27"/>
    <x v="5"/>
    <x v="2"/>
    <s v="GTXPro"/>
    <s v="Globex Corporation"/>
    <x v="1"/>
    <d v="2017-01-21T00:00:00"/>
    <x v="6"/>
    <m/>
  </r>
  <r>
    <x v="558"/>
    <x v="1"/>
    <x v="1"/>
    <x v="0"/>
    <s v="GTX Basic"/>
    <s v="Ron-tech"/>
    <x v="0"/>
    <d v="2017-01-21T00:00:00"/>
    <x v="17"/>
    <n v="657"/>
  </r>
  <r>
    <x v="559"/>
    <x v="16"/>
    <x v="2"/>
    <x v="1"/>
    <s v="GTX Basic"/>
    <m/>
    <x v="1"/>
    <d v="2017-01-21T00:00:00"/>
    <x v="6"/>
    <m/>
  </r>
  <r>
    <x v="560"/>
    <x v="16"/>
    <x v="2"/>
    <x v="1"/>
    <s v="GTXPro"/>
    <s v="J-Texon"/>
    <x v="2"/>
    <d v="2017-01-21T00:00:00"/>
    <x v="33"/>
    <n v="0"/>
  </r>
  <r>
    <x v="561"/>
    <x v="24"/>
    <x v="0"/>
    <x v="0"/>
    <s v="GTX Basic"/>
    <s v="Scottech"/>
    <x v="0"/>
    <d v="2017-01-21T00:00:00"/>
    <x v="25"/>
    <n v="638"/>
  </r>
  <r>
    <x v="562"/>
    <x v="5"/>
    <x v="3"/>
    <x v="1"/>
    <s v="GTX Basic"/>
    <m/>
    <x v="1"/>
    <d v="2017-01-21T00:00:00"/>
    <x v="6"/>
    <m/>
  </r>
  <r>
    <x v="563"/>
    <x v="22"/>
    <x v="1"/>
    <x v="0"/>
    <s v="MG Special"/>
    <s v="Betatech"/>
    <x v="0"/>
    <d v="2017-01-21T00:00:00"/>
    <x v="47"/>
    <n v="41"/>
  </r>
  <r>
    <x v="564"/>
    <x v="17"/>
    <x v="5"/>
    <x v="2"/>
    <s v="GTX Plus Pro"/>
    <s v="Initech"/>
    <x v="0"/>
    <d v="2017-01-21T00:00:00"/>
    <x v="50"/>
    <n v="5582"/>
  </r>
  <r>
    <x v="565"/>
    <x v="12"/>
    <x v="0"/>
    <x v="0"/>
    <s v="MG Special"/>
    <s v="Konmatfix"/>
    <x v="0"/>
    <d v="2017-01-21T00:00:00"/>
    <x v="45"/>
    <n v="60"/>
  </r>
  <r>
    <x v="566"/>
    <x v="2"/>
    <x v="2"/>
    <x v="1"/>
    <s v="GTX Plus Basic"/>
    <s v="Y-corporation"/>
    <x v="0"/>
    <d v="2017-01-21T00:00:00"/>
    <x v="44"/>
    <n v="1036"/>
  </r>
  <r>
    <x v="567"/>
    <x v="1"/>
    <x v="1"/>
    <x v="0"/>
    <s v="GTX Plus Basic"/>
    <s v="Funholding"/>
    <x v="0"/>
    <d v="2017-01-22T00:00:00"/>
    <x v="51"/>
    <n v="943"/>
  </r>
  <r>
    <x v="568"/>
    <x v="14"/>
    <x v="3"/>
    <x v="1"/>
    <s v="GTX Basic"/>
    <s v="Kan-code"/>
    <x v="0"/>
    <d v="2017-01-22T00:00:00"/>
    <x v="52"/>
    <n v="581"/>
  </r>
  <r>
    <x v="569"/>
    <x v="29"/>
    <x v="1"/>
    <x v="0"/>
    <s v="MG Special"/>
    <s v="Codehow"/>
    <x v="2"/>
    <d v="2017-01-22T00:00:00"/>
    <x v="41"/>
    <n v="0"/>
  </r>
  <r>
    <x v="570"/>
    <x v="0"/>
    <x v="0"/>
    <x v="0"/>
    <s v="GTX Basic"/>
    <s v="Toughzap"/>
    <x v="0"/>
    <d v="2017-01-22T00:00:00"/>
    <x v="50"/>
    <n v="538"/>
  </r>
  <r>
    <x v="571"/>
    <x v="19"/>
    <x v="4"/>
    <x v="2"/>
    <s v="GTX Plus Basic"/>
    <s v="Donquadtech"/>
    <x v="0"/>
    <d v="2017-01-22T00:00:00"/>
    <x v="26"/>
    <n v="1100"/>
  </r>
  <r>
    <x v="572"/>
    <x v="17"/>
    <x v="5"/>
    <x v="2"/>
    <s v="MG Advanced"/>
    <m/>
    <x v="1"/>
    <d v="2017-01-22T00:00:00"/>
    <x v="6"/>
    <m/>
  </r>
  <r>
    <x v="573"/>
    <x v="3"/>
    <x v="0"/>
    <x v="0"/>
    <s v="MG Advanced"/>
    <s v="Inity"/>
    <x v="2"/>
    <d v="2017-01-23T00:00:00"/>
    <x v="33"/>
    <n v="0"/>
  </r>
  <r>
    <x v="574"/>
    <x v="28"/>
    <x v="0"/>
    <x v="0"/>
    <s v="MG Advanced"/>
    <s v="Finhigh"/>
    <x v="2"/>
    <d v="2017-01-23T00:00:00"/>
    <x v="53"/>
    <n v="0"/>
  </r>
  <r>
    <x v="575"/>
    <x v="29"/>
    <x v="1"/>
    <x v="0"/>
    <s v="GTX Plus Basic"/>
    <s v="Hottechi"/>
    <x v="0"/>
    <d v="2017-01-23T00:00:00"/>
    <x v="37"/>
    <n v="1039"/>
  </r>
  <r>
    <x v="576"/>
    <x v="24"/>
    <x v="0"/>
    <x v="0"/>
    <s v="MG Special"/>
    <s v="dambase"/>
    <x v="2"/>
    <d v="2017-01-23T00:00:00"/>
    <x v="54"/>
    <n v="0"/>
  </r>
  <r>
    <x v="577"/>
    <x v="19"/>
    <x v="4"/>
    <x v="2"/>
    <s v="GTX Plus Basic"/>
    <s v="Umbrella Corporation"/>
    <x v="0"/>
    <d v="2017-01-23T00:00:00"/>
    <x v="34"/>
    <n v="1076"/>
  </r>
  <r>
    <x v="578"/>
    <x v="11"/>
    <x v="3"/>
    <x v="1"/>
    <s v="MG Special"/>
    <s v="Konex"/>
    <x v="2"/>
    <d v="2017-01-23T00:00:00"/>
    <x v="36"/>
    <n v="0"/>
  </r>
  <r>
    <x v="579"/>
    <x v="11"/>
    <x v="3"/>
    <x v="1"/>
    <s v="MG Special"/>
    <s v="Rantouch"/>
    <x v="2"/>
    <d v="2017-01-23T00:00:00"/>
    <x v="55"/>
    <n v="0"/>
  </r>
  <r>
    <x v="580"/>
    <x v="12"/>
    <x v="0"/>
    <x v="0"/>
    <s v="MG Special"/>
    <s v="Rundofase"/>
    <x v="0"/>
    <d v="2017-01-23T00:00:00"/>
    <x v="28"/>
    <n v="53"/>
  </r>
  <r>
    <x v="581"/>
    <x v="12"/>
    <x v="0"/>
    <x v="0"/>
    <s v="MG Advanced"/>
    <s v="Statholdings"/>
    <x v="0"/>
    <d v="2017-01-23T00:00:00"/>
    <x v="14"/>
    <n v="3046"/>
  </r>
  <r>
    <x v="582"/>
    <x v="4"/>
    <x v="3"/>
    <x v="1"/>
    <s v="GTX Plus Basic"/>
    <m/>
    <x v="1"/>
    <d v="2017-01-23T00:00:00"/>
    <x v="6"/>
    <m/>
  </r>
  <r>
    <x v="583"/>
    <x v="15"/>
    <x v="5"/>
    <x v="2"/>
    <s v="MG Special"/>
    <s v="Acme Corporation"/>
    <x v="2"/>
    <d v="2017-01-23T00:00:00"/>
    <x v="36"/>
    <n v="0"/>
  </r>
  <r>
    <x v="584"/>
    <x v="2"/>
    <x v="2"/>
    <x v="1"/>
    <s v="GTX Basic"/>
    <s v="Scotfind"/>
    <x v="2"/>
    <d v="2017-01-23T00:00:00"/>
    <x v="18"/>
    <n v="0"/>
  </r>
  <r>
    <x v="585"/>
    <x v="13"/>
    <x v="4"/>
    <x v="2"/>
    <s v="GTXPro"/>
    <s v="Kan-code"/>
    <x v="0"/>
    <d v="2017-01-24T00:00:00"/>
    <x v="20"/>
    <n v="5140"/>
  </r>
  <r>
    <x v="586"/>
    <x v="1"/>
    <x v="1"/>
    <x v="0"/>
    <s v="GTX Plus Basic"/>
    <s v="Warephase"/>
    <x v="0"/>
    <d v="2017-01-24T00:00:00"/>
    <x v="37"/>
    <n v="1067"/>
  </r>
  <r>
    <x v="587"/>
    <x v="16"/>
    <x v="2"/>
    <x v="1"/>
    <s v="GTX Basic"/>
    <m/>
    <x v="1"/>
    <d v="2017-01-24T00:00:00"/>
    <x v="6"/>
    <m/>
  </r>
  <r>
    <x v="588"/>
    <x v="16"/>
    <x v="2"/>
    <x v="1"/>
    <s v="GTX Plus Basic"/>
    <s v="Hatfan"/>
    <x v="1"/>
    <d v="2017-01-24T00:00:00"/>
    <x v="6"/>
    <m/>
  </r>
  <r>
    <x v="589"/>
    <x v="4"/>
    <x v="3"/>
    <x v="1"/>
    <s v="GTX Basic"/>
    <m/>
    <x v="1"/>
    <d v="2017-01-24T00:00:00"/>
    <x v="6"/>
    <m/>
  </r>
  <r>
    <x v="590"/>
    <x v="23"/>
    <x v="4"/>
    <x v="2"/>
    <s v="GTXPro"/>
    <s v="Opentech"/>
    <x v="2"/>
    <d v="2017-01-25T00:00:00"/>
    <x v="56"/>
    <n v="0"/>
  </r>
  <r>
    <x v="591"/>
    <x v="13"/>
    <x v="4"/>
    <x v="2"/>
    <s v="GTX Plus Basic"/>
    <s v="Zathunicon"/>
    <x v="0"/>
    <d v="2017-01-25T00:00:00"/>
    <x v="21"/>
    <n v="1065"/>
  </r>
  <r>
    <x v="592"/>
    <x v="18"/>
    <x v="2"/>
    <x v="1"/>
    <s v="GTX Basic"/>
    <s v="Lexiqvolax"/>
    <x v="0"/>
    <d v="2017-01-25T00:00:00"/>
    <x v="36"/>
    <n v="481"/>
  </r>
  <r>
    <x v="593"/>
    <x v="5"/>
    <x v="3"/>
    <x v="1"/>
    <s v="GTX Basic"/>
    <s v="J-Texon"/>
    <x v="2"/>
    <d v="2017-01-25T00:00:00"/>
    <x v="57"/>
    <n v="0"/>
  </r>
  <r>
    <x v="594"/>
    <x v="9"/>
    <x v="2"/>
    <x v="1"/>
    <s v="GTX Basic"/>
    <s v="Dalttechnology"/>
    <x v="0"/>
    <d v="2017-01-25T00:00:00"/>
    <x v="9"/>
    <n v="499"/>
  </r>
  <r>
    <x v="595"/>
    <x v="19"/>
    <x v="4"/>
    <x v="2"/>
    <s v="GTXPro"/>
    <s v="Acme Corporation"/>
    <x v="2"/>
    <d v="2017-01-25T00:00:00"/>
    <x v="50"/>
    <n v="0"/>
  </r>
  <r>
    <x v="596"/>
    <x v="17"/>
    <x v="5"/>
    <x v="2"/>
    <s v="MG Special"/>
    <s v="Bioplex"/>
    <x v="0"/>
    <d v="2017-01-25T00:00:00"/>
    <x v="11"/>
    <n v="59"/>
  </r>
  <r>
    <x v="597"/>
    <x v="4"/>
    <x v="3"/>
    <x v="1"/>
    <s v="MG Special"/>
    <s v="Hottechi"/>
    <x v="2"/>
    <d v="2017-01-25T00:00:00"/>
    <x v="46"/>
    <n v="0"/>
  </r>
  <r>
    <x v="598"/>
    <x v="15"/>
    <x v="5"/>
    <x v="2"/>
    <s v="MG Special"/>
    <s v="Initech"/>
    <x v="0"/>
    <d v="2017-01-25T00:00:00"/>
    <x v="58"/>
    <n v="45"/>
  </r>
  <r>
    <x v="599"/>
    <x v="20"/>
    <x v="5"/>
    <x v="2"/>
    <s v="MG Advanced"/>
    <m/>
    <x v="1"/>
    <d v="2017-01-25T00:00:00"/>
    <x v="6"/>
    <m/>
  </r>
  <r>
    <x v="600"/>
    <x v="2"/>
    <x v="2"/>
    <x v="1"/>
    <s v="GTXPro"/>
    <s v="Sonron"/>
    <x v="0"/>
    <d v="2017-01-25T00:00:00"/>
    <x v="39"/>
    <n v="5743"/>
  </r>
  <r>
    <x v="601"/>
    <x v="23"/>
    <x v="4"/>
    <x v="2"/>
    <s v="GTX Plus Pro"/>
    <s v="Vehement Capital Partners"/>
    <x v="0"/>
    <d v="2017-01-26T00:00:00"/>
    <x v="59"/>
    <n v="6117"/>
  </r>
  <r>
    <x v="602"/>
    <x v="1"/>
    <x v="1"/>
    <x v="0"/>
    <s v="GTXPro"/>
    <s v="Domzoom"/>
    <x v="2"/>
    <d v="2017-01-26T00:00:00"/>
    <x v="60"/>
    <n v="0"/>
  </r>
  <r>
    <x v="603"/>
    <x v="26"/>
    <x v="4"/>
    <x v="2"/>
    <s v="GTX Plus Basic"/>
    <s v="The New York Inquirer"/>
    <x v="0"/>
    <d v="2017-01-26T00:00:00"/>
    <x v="17"/>
    <n v="1158"/>
  </r>
  <r>
    <x v="604"/>
    <x v="21"/>
    <x v="5"/>
    <x v="2"/>
    <s v="MG Special"/>
    <s v="Kinnamplus"/>
    <x v="0"/>
    <d v="2017-01-26T00:00:00"/>
    <x v="57"/>
    <n v="59"/>
  </r>
  <r>
    <x v="605"/>
    <x v="16"/>
    <x v="2"/>
    <x v="1"/>
    <s v="GTX Plus Basic"/>
    <s v="Dalttechnology"/>
    <x v="2"/>
    <d v="2017-01-26T00:00:00"/>
    <x v="61"/>
    <n v="0"/>
  </r>
  <r>
    <x v="606"/>
    <x v="9"/>
    <x v="2"/>
    <x v="1"/>
    <s v="MG Advanced"/>
    <s v="Xx-holding"/>
    <x v="0"/>
    <d v="2017-01-26T00:00:00"/>
    <x v="29"/>
    <n v="3106"/>
  </r>
  <r>
    <x v="607"/>
    <x v="11"/>
    <x v="3"/>
    <x v="1"/>
    <s v="MG Advanced"/>
    <s v="Newex"/>
    <x v="0"/>
    <d v="2017-01-26T00:00:00"/>
    <x v="17"/>
    <n v="2982"/>
  </r>
  <r>
    <x v="608"/>
    <x v="2"/>
    <x v="2"/>
    <x v="1"/>
    <s v="GTX Plus Pro"/>
    <s v="Hottechi"/>
    <x v="0"/>
    <d v="2017-01-26T00:00:00"/>
    <x v="28"/>
    <n v="6101"/>
  </r>
  <r>
    <x v="609"/>
    <x v="3"/>
    <x v="0"/>
    <x v="0"/>
    <s v="GTX Plus Pro"/>
    <s v="Treequote"/>
    <x v="0"/>
    <d v="2017-01-27T00:00:00"/>
    <x v="38"/>
    <n v="5883"/>
  </r>
  <r>
    <x v="610"/>
    <x v="27"/>
    <x v="5"/>
    <x v="2"/>
    <s v="GTX Plus Pro"/>
    <s v="Xx-zobam"/>
    <x v="0"/>
    <d v="2017-01-27T00:00:00"/>
    <x v="57"/>
    <n v="5051"/>
  </r>
  <r>
    <x v="611"/>
    <x v="1"/>
    <x v="1"/>
    <x v="0"/>
    <s v="GTX Plus Basic"/>
    <s v="Statholdings"/>
    <x v="0"/>
    <d v="2017-01-27T00:00:00"/>
    <x v="54"/>
    <n v="1155"/>
  </r>
  <r>
    <x v="612"/>
    <x v="21"/>
    <x v="5"/>
    <x v="2"/>
    <s v="GTX Basic"/>
    <s v="Bluth Company"/>
    <x v="2"/>
    <d v="2017-01-27T00:00:00"/>
    <x v="34"/>
    <n v="0"/>
  </r>
  <r>
    <x v="613"/>
    <x v="7"/>
    <x v="2"/>
    <x v="1"/>
    <s v="GTX Plus Pro"/>
    <s v="Cheers"/>
    <x v="0"/>
    <d v="2017-01-27T00:00:00"/>
    <x v="9"/>
    <n v="5616"/>
  </r>
  <r>
    <x v="614"/>
    <x v="7"/>
    <x v="2"/>
    <x v="1"/>
    <s v="GTX Plus Pro"/>
    <s v="Golddex"/>
    <x v="0"/>
    <d v="2017-01-27T00:00:00"/>
    <x v="47"/>
    <n v="5116"/>
  </r>
  <r>
    <x v="615"/>
    <x v="18"/>
    <x v="2"/>
    <x v="1"/>
    <s v="GTX Plus Basic"/>
    <s v="Condax"/>
    <x v="0"/>
    <d v="2017-01-27T00:00:00"/>
    <x v="18"/>
    <n v="1136"/>
  </r>
  <r>
    <x v="616"/>
    <x v="3"/>
    <x v="0"/>
    <x v="0"/>
    <s v="GTX Plus Basic"/>
    <s v="Finhigh"/>
    <x v="0"/>
    <d v="2017-01-28T00:00:00"/>
    <x v="62"/>
    <n v="1216"/>
  </r>
  <r>
    <x v="617"/>
    <x v="3"/>
    <x v="0"/>
    <x v="0"/>
    <s v="GTX Plus Basic"/>
    <s v="Hottechi"/>
    <x v="0"/>
    <d v="2017-01-28T00:00:00"/>
    <x v="35"/>
    <n v="1089"/>
  </r>
  <r>
    <x v="618"/>
    <x v="23"/>
    <x v="4"/>
    <x v="2"/>
    <s v="MG Advanced"/>
    <s v="Condax"/>
    <x v="0"/>
    <d v="2017-01-28T00:00:00"/>
    <x v="43"/>
    <n v="3908"/>
  </r>
  <r>
    <x v="619"/>
    <x v="27"/>
    <x v="5"/>
    <x v="2"/>
    <s v="GTX Plus Basic"/>
    <s v="Toughzap"/>
    <x v="1"/>
    <d v="2017-01-28T00:00:00"/>
    <x v="6"/>
    <m/>
  </r>
  <r>
    <x v="620"/>
    <x v="1"/>
    <x v="1"/>
    <x v="0"/>
    <s v="GTXPro"/>
    <s v="Dontechi"/>
    <x v="2"/>
    <d v="2017-01-28T00:00:00"/>
    <x v="63"/>
    <n v="0"/>
  </r>
  <r>
    <x v="621"/>
    <x v="1"/>
    <x v="1"/>
    <x v="0"/>
    <s v="GTXPro"/>
    <s v="Finhigh"/>
    <x v="2"/>
    <d v="2017-01-28T00:00:00"/>
    <x v="40"/>
    <n v="0"/>
  </r>
  <r>
    <x v="622"/>
    <x v="1"/>
    <x v="1"/>
    <x v="0"/>
    <s v="MG Advanced"/>
    <s v="Streethex"/>
    <x v="0"/>
    <d v="2017-01-28T00:00:00"/>
    <x v="50"/>
    <n v="3369"/>
  </r>
  <r>
    <x v="623"/>
    <x v="7"/>
    <x v="2"/>
    <x v="1"/>
    <s v="GTXPro"/>
    <s v="Blackzim"/>
    <x v="1"/>
    <d v="2017-01-28T00:00:00"/>
    <x v="6"/>
    <m/>
  </r>
  <r>
    <x v="624"/>
    <x v="7"/>
    <x v="2"/>
    <x v="1"/>
    <s v="GTX Plus Pro"/>
    <s v="J-Texon"/>
    <x v="0"/>
    <d v="2017-01-28T00:00:00"/>
    <x v="45"/>
    <n v="5259"/>
  </r>
  <r>
    <x v="625"/>
    <x v="9"/>
    <x v="2"/>
    <x v="1"/>
    <s v="GTXPro"/>
    <m/>
    <x v="1"/>
    <d v="2017-01-28T00:00:00"/>
    <x v="6"/>
    <m/>
  </r>
  <r>
    <x v="626"/>
    <x v="9"/>
    <x v="2"/>
    <x v="1"/>
    <s v="GTX Plus Basic"/>
    <s v="Y-corporation"/>
    <x v="2"/>
    <d v="2017-01-28T00:00:00"/>
    <x v="38"/>
    <n v="0"/>
  </r>
  <r>
    <x v="627"/>
    <x v="19"/>
    <x v="4"/>
    <x v="2"/>
    <s v="MG Advanced"/>
    <s v="Bubba Gump"/>
    <x v="2"/>
    <d v="2017-01-28T00:00:00"/>
    <x v="18"/>
    <n v="0"/>
  </r>
  <r>
    <x v="628"/>
    <x v="2"/>
    <x v="2"/>
    <x v="1"/>
    <s v="MG Special"/>
    <s v="Konmatfix"/>
    <x v="1"/>
    <d v="2017-01-28T00:00:00"/>
    <x v="6"/>
    <m/>
  </r>
  <r>
    <x v="629"/>
    <x v="3"/>
    <x v="0"/>
    <x v="0"/>
    <s v="MG Special"/>
    <s v="Condax"/>
    <x v="0"/>
    <d v="2017-01-29T00:00:00"/>
    <x v="49"/>
    <n v="52"/>
  </r>
  <r>
    <x v="630"/>
    <x v="25"/>
    <x v="4"/>
    <x v="2"/>
    <s v="GTX Plus Pro"/>
    <s v="Acme Corporation"/>
    <x v="0"/>
    <d v="2017-01-29T00:00:00"/>
    <x v="54"/>
    <n v="5772"/>
  </r>
  <r>
    <x v="631"/>
    <x v="23"/>
    <x v="4"/>
    <x v="2"/>
    <s v="GTXPro"/>
    <s v="Umbrella Corporation"/>
    <x v="2"/>
    <d v="2017-01-29T00:00:00"/>
    <x v="22"/>
    <n v="0"/>
  </r>
  <r>
    <x v="632"/>
    <x v="28"/>
    <x v="0"/>
    <x v="0"/>
    <s v="MG Advanced"/>
    <s v="Domzoom"/>
    <x v="0"/>
    <d v="2017-01-29T00:00:00"/>
    <x v="21"/>
    <n v="3496"/>
  </r>
  <r>
    <x v="633"/>
    <x v="14"/>
    <x v="3"/>
    <x v="1"/>
    <s v="MG Advanced"/>
    <s v="Finjob"/>
    <x v="0"/>
    <d v="2017-01-29T00:00:00"/>
    <x v="15"/>
    <n v="3602"/>
  </r>
  <r>
    <x v="634"/>
    <x v="21"/>
    <x v="5"/>
    <x v="2"/>
    <s v="MG Special"/>
    <s v="Yearin"/>
    <x v="0"/>
    <d v="2017-01-29T00:00:00"/>
    <x v="3"/>
    <n v="57"/>
  </r>
  <r>
    <x v="635"/>
    <x v="8"/>
    <x v="1"/>
    <x v="0"/>
    <s v="MG Special"/>
    <s v="Funholding"/>
    <x v="0"/>
    <d v="2017-01-29T00:00:00"/>
    <x v="54"/>
    <n v="51"/>
  </r>
  <r>
    <x v="636"/>
    <x v="10"/>
    <x v="3"/>
    <x v="1"/>
    <s v="MG Advanced"/>
    <s v="Sonron"/>
    <x v="0"/>
    <d v="2017-01-29T00:00:00"/>
    <x v="64"/>
    <n v="3689"/>
  </r>
  <r>
    <x v="637"/>
    <x v="7"/>
    <x v="2"/>
    <x v="1"/>
    <s v="GTX Plus Basic"/>
    <s v="Xx-holding"/>
    <x v="0"/>
    <d v="2017-01-29T00:00:00"/>
    <x v="44"/>
    <n v="1170"/>
  </r>
  <r>
    <x v="638"/>
    <x v="29"/>
    <x v="1"/>
    <x v="0"/>
    <s v="GTX Basic"/>
    <s v="Rundofase"/>
    <x v="2"/>
    <d v="2017-01-29T00:00:00"/>
    <x v="9"/>
    <n v="0"/>
  </r>
  <r>
    <x v="639"/>
    <x v="29"/>
    <x v="1"/>
    <x v="0"/>
    <s v="GTXPro"/>
    <s v="Rangreen"/>
    <x v="0"/>
    <d v="2017-01-29T00:00:00"/>
    <x v="36"/>
    <n v="4736"/>
  </r>
  <r>
    <x v="640"/>
    <x v="16"/>
    <x v="2"/>
    <x v="1"/>
    <s v="MG Advanced"/>
    <m/>
    <x v="1"/>
    <d v="2017-01-29T00:00:00"/>
    <x v="6"/>
    <m/>
  </r>
  <r>
    <x v="641"/>
    <x v="5"/>
    <x v="3"/>
    <x v="1"/>
    <s v="GTX Basic"/>
    <m/>
    <x v="1"/>
    <d v="2017-01-29T00:00:00"/>
    <x v="6"/>
    <m/>
  </r>
  <r>
    <x v="642"/>
    <x v="9"/>
    <x v="2"/>
    <x v="1"/>
    <s v="GTX Plus Basic"/>
    <m/>
    <x v="1"/>
    <d v="2017-01-29T00:00:00"/>
    <x v="6"/>
    <m/>
  </r>
  <r>
    <x v="643"/>
    <x v="6"/>
    <x v="1"/>
    <x v="0"/>
    <s v="MG Special"/>
    <s v="Genco Pura Olive Oil Company"/>
    <x v="2"/>
    <d v="2017-01-29T00:00:00"/>
    <x v="33"/>
    <n v="0"/>
  </r>
  <r>
    <x v="644"/>
    <x v="12"/>
    <x v="0"/>
    <x v="0"/>
    <s v="MG Special"/>
    <s v="Zumgoity"/>
    <x v="2"/>
    <d v="2017-01-29T00:00:00"/>
    <x v="57"/>
    <n v="0"/>
  </r>
  <r>
    <x v="645"/>
    <x v="4"/>
    <x v="3"/>
    <x v="1"/>
    <s v="MG Special"/>
    <s v="Hatfan"/>
    <x v="0"/>
    <d v="2017-01-29T00:00:00"/>
    <x v="49"/>
    <n v="64"/>
  </r>
  <r>
    <x v="646"/>
    <x v="4"/>
    <x v="3"/>
    <x v="1"/>
    <s v="MG Special"/>
    <s v="J-Texon"/>
    <x v="0"/>
    <d v="2017-01-29T00:00:00"/>
    <x v="48"/>
    <n v="55"/>
  </r>
  <r>
    <x v="647"/>
    <x v="4"/>
    <x v="3"/>
    <x v="1"/>
    <s v="MG Advanced"/>
    <s v="Goodsilron"/>
    <x v="0"/>
    <d v="2017-01-29T00:00:00"/>
    <x v="22"/>
    <n v="2970"/>
  </r>
  <r>
    <x v="648"/>
    <x v="2"/>
    <x v="2"/>
    <x v="1"/>
    <s v="GTXPro"/>
    <m/>
    <x v="1"/>
    <d v="2017-01-29T00:00:00"/>
    <x v="6"/>
    <m/>
  </r>
  <r>
    <x v="649"/>
    <x v="28"/>
    <x v="0"/>
    <x v="0"/>
    <s v="MG Special"/>
    <s v="Scottech"/>
    <x v="2"/>
    <d v="2017-01-30T00:00:00"/>
    <x v="65"/>
    <n v="0"/>
  </r>
  <r>
    <x v="650"/>
    <x v="27"/>
    <x v="5"/>
    <x v="2"/>
    <s v="GTXPro"/>
    <s v="Bubba Gump"/>
    <x v="0"/>
    <d v="2017-01-30T00:00:00"/>
    <x v="59"/>
    <n v="5035"/>
  </r>
  <r>
    <x v="651"/>
    <x v="1"/>
    <x v="1"/>
    <x v="0"/>
    <s v="GTXPro"/>
    <s v="Domzoom"/>
    <x v="2"/>
    <d v="2017-01-30T00:00:00"/>
    <x v="66"/>
    <n v="0"/>
  </r>
  <r>
    <x v="652"/>
    <x v="1"/>
    <x v="1"/>
    <x v="0"/>
    <s v="GTXPro"/>
    <s v="Funholding"/>
    <x v="0"/>
    <d v="2017-01-30T00:00:00"/>
    <x v="7"/>
    <n v="4774"/>
  </r>
  <r>
    <x v="653"/>
    <x v="14"/>
    <x v="3"/>
    <x v="1"/>
    <s v="GTK 500"/>
    <m/>
    <x v="1"/>
    <d v="2017-01-30T00:00:00"/>
    <x v="6"/>
    <m/>
  </r>
  <r>
    <x v="654"/>
    <x v="7"/>
    <x v="2"/>
    <x v="1"/>
    <s v="GTX Plus Pro"/>
    <s v="Kan-code"/>
    <x v="0"/>
    <d v="2017-01-30T00:00:00"/>
    <x v="67"/>
    <n v="5390"/>
  </r>
  <r>
    <x v="655"/>
    <x v="22"/>
    <x v="1"/>
    <x v="0"/>
    <s v="GTX Plus Basic"/>
    <s v="Codehow"/>
    <x v="0"/>
    <d v="2017-01-30T00:00:00"/>
    <x v="47"/>
    <n v="1190"/>
  </r>
  <r>
    <x v="656"/>
    <x v="0"/>
    <x v="0"/>
    <x v="0"/>
    <s v="GTX Plus Pro"/>
    <s v="Betatech"/>
    <x v="0"/>
    <d v="2017-01-30T00:00:00"/>
    <x v="39"/>
    <n v="5755"/>
  </r>
  <r>
    <x v="657"/>
    <x v="11"/>
    <x v="3"/>
    <x v="1"/>
    <s v="GTXPro"/>
    <s v="Scotfind"/>
    <x v="0"/>
    <d v="2017-01-30T00:00:00"/>
    <x v="68"/>
    <n v="4933"/>
  </r>
  <r>
    <x v="658"/>
    <x v="12"/>
    <x v="0"/>
    <x v="0"/>
    <s v="MG Advanced"/>
    <s v="Ron-tech"/>
    <x v="0"/>
    <d v="2017-01-30T00:00:00"/>
    <x v="43"/>
    <n v="3642"/>
  </r>
  <r>
    <x v="659"/>
    <x v="4"/>
    <x v="3"/>
    <x v="1"/>
    <s v="MG Special"/>
    <s v="Blackzim"/>
    <x v="2"/>
    <d v="2017-01-30T00:00:00"/>
    <x v="50"/>
    <n v="0"/>
  </r>
  <r>
    <x v="660"/>
    <x v="23"/>
    <x v="4"/>
    <x v="2"/>
    <s v="MG Advanced"/>
    <s v="Kan-code"/>
    <x v="0"/>
    <d v="2017-01-31T00:00:00"/>
    <x v="12"/>
    <n v="2923"/>
  </r>
  <r>
    <x v="661"/>
    <x v="27"/>
    <x v="5"/>
    <x v="2"/>
    <s v="GTX Basic"/>
    <m/>
    <x v="1"/>
    <d v="2017-01-31T00:00:00"/>
    <x v="6"/>
    <m/>
  </r>
  <r>
    <x v="662"/>
    <x v="13"/>
    <x v="4"/>
    <x v="2"/>
    <s v="GTX Plus Basic"/>
    <s v="Zathunicon"/>
    <x v="1"/>
    <d v="2017-01-31T00:00:00"/>
    <x v="6"/>
    <m/>
  </r>
  <r>
    <x v="663"/>
    <x v="13"/>
    <x v="4"/>
    <x v="2"/>
    <s v="GTX Plus Basic"/>
    <m/>
    <x v="1"/>
    <d v="2017-01-31T00:00:00"/>
    <x v="6"/>
    <m/>
  </r>
  <r>
    <x v="664"/>
    <x v="1"/>
    <x v="1"/>
    <x v="0"/>
    <s v="GTXPro"/>
    <s v="Zumgoity"/>
    <x v="0"/>
    <d v="2017-01-31T00:00:00"/>
    <x v="7"/>
    <n v="5035"/>
  </r>
  <r>
    <x v="665"/>
    <x v="9"/>
    <x v="2"/>
    <x v="1"/>
    <s v="GTXPro"/>
    <s v="Zoomit"/>
    <x v="2"/>
    <d v="2017-01-31T00:00:00"/>
    <x v="60"/>
    <n v="0"/>
  </r>
  <r>
    <x v="666"/>
    <x v="12"/>
    <x v="0"/>
    <x v="0"/>
    <s v="MG Special"/>
    <s v="dambase"/>
    <x v="0"/>
    <d v="2017-01-31T00:00:00"/>
    <x v="45"/>
    <n v="54"/>
  </r>
  <r>
    <x v="667"/>
    <x v="12"/>
    <x v="0"/>
    <x v="0"/>
    <s v="MG Special"/>
    <s v="Konmatfix"/>
    <x v="0"/>
    <d v="2017-01-31T00:00:00"/>
    <x v="46"/>
    <n v="54"/>
  </r>
  <r>
    <x v="668"/>
    <x v="15"/>
    <x v="5"/>
    <x v="2"/>
    <s v="GTX Plus Basic"/>
    <m/>
    <x v="1"/>
    <d v="2017-01-31T00:00:00"/>
    <x v="6"/>
    <m/>
  </r>
  <r>
    <x v="669"/>
    <x v="20"/>
    <x v="5"/>
    <x v="2"/>
    <s v="GTX Basic"/>
    <s v="Initech"/>
    <x v="0"/>
    <d v="2017-01-31T00:00:00"/>
    <x v="60"/>
    <n v="592"/>
  </r>
  <r>
    <x v="670"/>
    <x v="1"/>
    <x v="1"/>
    <x v="0"/>
    <s v="GTX Basic"/>
    <s v="Toughzap"/>
    <x v="0"/>
    <d v="2017-02-01T00:00:00"/>
    <x v="67"/>
    <n v="640"/>
  </r>
  <r>
    <x v="671"/>
    <x v="1"/>
    <x v="1"/>
    <x v="0"/>
    <s v="GTXPro"/>
    <s v="Dontechi"/>
    <x v="0"/>
    <d v="2017-02-01T00:00:00"/>
    <x v="33"/>
    <n v="5127"/>
  </r>
  <r>
    <x v="672"/>
    <x v="1"/>
    <x v="1"/>
    <x v="0"/>
    <s v="MG Advanced"/>
    <s v="Betatech"/>
    <x v="0"/>
    <d v="2017-02-01T00:00:00"/>
    <x v="69"/>
    <n v="3822"/>
  </r>
  <r>
    <x v="673"/>
    <x v="8"/>
    <x v="1"/>
    <x v="0"/>
    <s v="MG Advanced"/>
    <s v="Dontechi"/>
    <x v="2"/>
    <d v="2017-02-01T00:00:00"/>
    <x v="69"/>
    <n v="0"/>
  </r>
  <r>
    <x v="674"/>
    <x v="16"/>
    <x v="2"/>
    <x v="1"/>
    <s v="MG Special"/>
    <s v="Blackzim"/>
    <x v="2"/>
    <d v="2017-02-01T00:00:00"/>
    <x v="68"/>
    <n v="0"/>
  </r>
  <r>
    <x v="675"/>
    <x v="24"/>
    <x v="0"/>
    <x v="0"/>
    <s v="GTX Basic"/>
    <s v="Gogozoom"/>
    <x v="0"/>
    <d v="2017-02-01T00:00:00"/>
    <x v="35"/>
    <n v="574"/>
  </r>
  <r>
    <x v="676"/>
    <x v="24"/>
    <x v="0"/>
    <x v="0"/>
    <s v="MG Advanced"/>
    <s v="Codehow"/>
    <x v="0"/>
    <d v="2017-02-01T00:00:00"/>
    <x v="70"/>
    <n v="2525"/>
  </r>
  <r>
    <x v="677"/>
    <x v="11"/>
    <x v="3"/>
    <x v="1"/>
    <s v="GTK 500"/>
    <s v="Groovestreet"/>
    <x v="0"/>
    <d v="2017-02-01T00:00:00"/>
    <x v="52"/>
    <n v="30288"/>
  </r>
  <r>
    <x v="678"/>
    <x v="4"/>
    <x v="3"/>
    <x v="1"/>
    <s v="GTX Plus Pro"/>
    <s v="Goodsilron"/>
    <x v="2"/>
    <d v="2017-02-01T00:00:00"/>
    <x v="40"/>
    <n v="0"/>
  </r>
  <r>
    <x v="679"/>
    <x v="2"/>
    <x v="2"/>
    <x v="1"/>
    <s v="GTX Basic"/>
    <s v="Scotfind"/>
    <x v="2"/>
    <d v="2017-02-01T00:00:00"/>
    <x v="31"/>
    <n v="0"/>
  </r>
  <r>
    <x v="680"/>
    <x v="25"/>
    <x v="4"/>
    <x v="2"/>
    <s v="GTX Plus Basic"/>
    <m/>
    <x v="1"/>
    <d v="2017-02-02T00:00:00"/>
    <x v="6"/>
    <m/>
  </r>
  <r>
    <x v="681"/>
    <x v="14"/>
    <x v="3"/>
    <x v="1"/>
    <s v="GTK 500"/>
    <s v="Cheers"/>
    <x v="2"/>
    <d v="2017-02-02T00:00:00"/>
    <x v="58"/>
    <n v="0"/>
  </r>
  <r>
    <x v="682"/>
    <x v="14"/>
    <x v="3"/>
    <x v="1"/>
    <s v="MG Special"/>
    <s v="Kan-code"/>
    <x v="2"/>
    <d v="2017-02-02T00:00:00"/>
    <x v="46"/>
    <n v="0"/>
  </r>
  <r>
    <x v="683"/>
    <x v="8"/>
    <x v="1"/>
    <x v="0"/>
    <s v="MG Advanced"/>
    <s v="Inity"/>
    <x v="0"/>
    <d v="2017-02-02T00:00:00"/>
    <x v="39"/>
    <n v="3581"/>
  </r>
  <r>
    <x v="684"/>
    <x v="29"/>
    <x v="1"/>
    <x v="0"/>
    <s v="GTX Plus Basic"/>
    <s v="Warephase"/>
    <x v="2"/>
    <d v="2017-02-02T00:00:00"/>
    <x v="15"/>
    <n v="0"/>
  </r>
  <r>
    <x v="685"/>
    <x v="16"/>
    <x v="2"/>
    <x v="1"/>
    <s v="GTX Plus Basic"/>
    <m/>
    <x v="1"/>
    <d v="2017-02-02T00:00:00"/>
    <x v="6"/>
    <m/>
  </r>
  <r>
    <x v="686"/>
    <x v="6"/>
    <x v="1"/>
    <x v="0"/>
    <s v="GTXPro"/>
    <s v="Conecom"/>
    <x v="2"/>
    <d v="2017-02-02T00:00:00"/>
    <x v="33"/>
    <n v="0"/>
  </r>
  <r>
    <x v="687"/>
    <x v="12"/>
    <x v="0"/>
    <x v="0"/>
    <s v="MG Special"/>
    <s v="Finhigh"/>
    <x v="0"/>
    <d v="2017-02-02T00:00:00"/>
    <x v="18"/>
    <n v="54"/>
  </r>
  <r>
    <x v="688"/>
    <x v="4"/>
    <x v="3"/>
    <x v="1"/>
    <s v="GTX Plus Basic"/>
    <s v="Condax"/>
    <x v="1"/>
    <d v="2017-02-02T00:00:00"/>
    <x v="6"/>
    <m/>
  </r>
  <r>
    <x v="689"/>
    <x v="25"/>
    <x v="4"/>
    <x v="2"/>
    <s v="GTX Plus Basic"/>
    <s v="Konex"/>
    <x v="0"/>
    <d v="2017-02-03T00:00:00"/>
    <x v="71"/>
    <n v="1121"/>
  </r>
  <r>
    <x v="690"/>
    <x v="23"/>
    <x v="4"/>
    <x v="2"/>
    <s v="GTX Basic"/>
    <s v="Silis"/>
    <x v="0"/>
    <d v="2017-02-03T00:00:00"/>
    <x v="43"/>
    <n v="477"/>
  </r>
  <r>
    <x v="691"/>
    <x v="27"/>
    <x v="5"/>
    <x v="2"/>
    <s v="GTX Basic"/>
    <s v="Condax"/>
    <x v="0"/>
    <d v="2017-02-03T00:00:00"/>
    <x v="33"/>
    <n v="515"/>
  </r>
  <r>
    <x v="692"/>
    <x v="13"/>
    <x v="4"/>
    <x v="2"/>
    <s v="MG Special"/>
    <s v="Ganjaflex"/>
    <x v="2"/>
    <d v="2017-02-03T00:00:00"/>
    <x v="46"/>
    <n v="0"/>
  </r>
  <r>
    <x v="693"/>
    <x v="26"/>
    <x v="4"/>
    <x v="2"/>
    <s v="MG Advanced"/>
    <s v="Umbrella Corporation"/>
    <x v="2"/>
    <d v="2017-02-03T00:00:00"/>
    <x v="54"/>
    <n v="0"/>
  </r>
  <r>
    <x v="694"/>
    <x v="10"/>
    <x v="3"/>
    <x v="1"/>
    <s v="GTX Plus Basic"/>
    <s v="Goodsilron"/>
    <x v="0"/>
    <d v="2017-02-03T00:00:00"/>
    <x v="72"/>
    <n v="975"/>
  </r>
  <r>
    <x v="695"/>
    <x v="10"/>
    <x v="3"/>
    <x v="1"/>
    <s v="MG Advanced"/>
    <s v="Sunnamplex"/>
    <x v="0"/>
    <d v="2017-02-03T00:00:00"/>
    <x v="46"/>
    <n v="3376"/>
  </r>
  <r>
    <x v="696"/>
    <x v="7"/>
    <x v="2"/>
    <x v="1"/>
    <s v="GTX Basic"/>
    <s v="Fasehatice"/>
    <x v="0"/>
    <d v="2017-02-03T00:00:00"/>
    <x v="15"/>
    <n v="458"/>
  </r>
  <r>
    <x v="697"/>
    <x v="29"/>
    <x v="1"/>
    <x v="0"/>
    <s v="GTX Basic"/>
    <s v="Globex Corporation"/>
    <x v="2"/>
    <d v="2017-02-03T00:00:00"/>
    <x v="67"/>
    <n v="0"/>
  </r>
  <r>
    <x v="698"/>
    <x v="16"/>
    <x v="2"/>
    <x v="1"/>
    <s v="GTX Basic"/>
    <s v="Golddex"/>
    <x v="2"/>
    <d v="2017-02-03T00:00:00"/>
    <x v="55"/>
    <n v="0"/>
  </r>
  <r>
    <x v="699"/>
    <x v="16"/>
    <x v="2"/>
    <x v="1"/>
    <s v="GTX Basic"/>
    <s v="Golddex"/>
    <x v="0"/>
    <d v="2017-02-03T00:00:00"/>
    <x v="16"/>
    <n v="622"/>
  </r>
  <r>
    <x v="700"/>
    <x v="16"/>
    <x v="2"/>
    <x v="1"/>
    <s v="GTX Basic"/>
    <s v="Lexiqvolax"/>
    <x v="0"/>
    <d v="2017-02-03T00:00:00"/>
    <x v="73"/>
    <n v="441"/>
  </r>
  <r>
    <x v="701"/>
    <x v="18"/>
    <x v="2"/>
    <x v="1"/>
    <s v="GTXPro"/>
    <s v="Konex"/>
    <x v="2"/>
    <d v="2017-02-03T00:00:00"/>
    <x v="41"/>
    <n v="0"/>
  </r>
  <r>
    <x v="702"/>
    <x v="22"/>
    <x v="1"/>
    <x v="0"/>
    <s v="GTX Basic"/>
    <s v="Ron-tech"/>
    <x v="0"/>
    <d v="2017-02-03T00:00:00"/>
    <x v="74"/>
    <n v="538"/>
  </r>
  <r>
    <x v="703"/>
    <x v="9"/>
    <x v="2"/>
    <x v="1"/>
    <s v="GTX Plus Pro"/>
    <s v="Goodsilron"/>
    <x v="0"/>
    <d v="2017-02-03T00:00:00"/>
    <x v="31"/>
    <n v="4667"/>
  </r>
  <r>
    <x v="704"/>
    <x v="6"/>
    <x v="1"/>
    <x v="0"/>
    <s v="GTX Plus Basic"/>
    <s v="Codehow"/>
    <x v="0"/>
    <d v="2017-02-03T00:00:00"/>
    <x v="75"/>
    <n v="1018"/>
  </r>
  <r>
    <x v="705"/>
    <x v="19"/>
    <x v="4"/>
    <x v="2"/>
    <s v="GTXPro"/>
    <s v="Bluth Company"/>
    <x v="0"/>
    <d v="2017-02-03T00:00:00"/>
    <x v="58"/>
    <n v="4671"/>
  </r>
  <r>
    <x v="706"/>
    <x v="4"/>
    <x v="3"/>
    <x v="1"/>
    <s v="MG Special"/>
    <m/>
    <x v="1"/>
    <d v="2017-02-03T00:00:00"/>
    <x v="6"/>
    <m/>
  </r>
  <r>
    <x v="707"/>
    <x v="15"/>
    <x v="5"/>
    <x v="2"/>
    <s v="GTXPro"/>
    <s v="Bubba Gump"/>
    <x v="0"/>
    <d v="2017-02-03T00:00:00"/>
    <x v="67"/>
    <n v="4634"/>
  </r>
  <r>
    <x v="708"/>
    <x v="2"/>
    <x v="2"/>
    <x v="1"/>
    <s v="GTX Plus Basic"/>
    <s v="J-Texon"/>
    <x v="2"/>
    <d v="2017-02-03T00:00:00"/>
    <x v="76"/>
    <n v="0"/>
  </r>
  <r>
    <x v="709"/>
    <x v="28"/>
    <x v="0"/>
    <x v="0"/>
    <s v="MG Advanced"/>
    <s v="Warephase"/>
    <x v="0"/>
    <d v="2017-02-04T00:00:00"/>
    <x v="58"/>
    <n v="3470"/>
  </r>
  <r>
    <x v="710"/>
    <x v="27"/>
    <x v="5"/>
    <x v="2"/>
    <s v="GTX Basic"/>
    <s v="Dontechi"/>
    <x v="1"/>
    <d v="2017-02-04T00:00:00"/>
    <x v="6"/>
    <m/>
  </r>
  <r>
    <x v="711"/>
    <x v="13"/>
    <x v="4"/>
    <x v="2"/>
    <s v="GTX Plus Basic"/>
    <s v="Silis"/>
    <x v="2"/>
    <d v="2017-02-04T00:00:00"/>
    <x v="40"/>
    <n v="0"/>
  </r>
  <r>
    <x v="712"/>
    <x v="26"/>
    <x v="4"/>
    <x v="2"/>
    <s v="GTX Plus Pro"/>
    <s v="Acme Corporation"/>
    <x v="0"/>
    <d v="2017-02-04T00:00:00"/>
    <x v="77"/>
    <n v="5366"/>
  </r>
  <r>
    <x v="713"/>
    <x v="8"/>
    <x v="1"/>
    <x v="0"/>
    <s v="GTX Plus Basic"/>
    <s v="Rundofase"/>
    <x v="2"/>
    <d v="2017-02-04T00:00:00"/>
    <x v="60"/>
    <n v="0"/>
  </r>
  <r>
    <x v="714"/>
    <x v="10"/>
    <x v="3"/>
    <x v="1"/>
    <s v="GTX Plus Basic"/>
    <s v="Cheers"/>
    <x v="1"/>
    <d v="2017-02-04T00:00:00"/>
    <x v="6"/>
    <m/>
  </r>
  <r>
    <x v="715"/>
    <x v="18"/>
    <x v="2"/>
    <x v="1"/>
    <s v="GTX Plus Pro"/>
    <m/>
    <x v="1"/>
    <d v="2017-02-04T00:00:00"/>
    <x v="6"/>
    <m/>
  </r>
  <r>
    <x v="716"/>
    <x v="18"/>
    <x v="2"/>
    <x v="1"/>
    <s v="GTX Basic"/>
    <s v="Groovestreet"/>
    <x v="0"/>
    <d v="2017-02-04T00:00:00"/>
    <x v="37"/>
    <n v="582"/>
  </r>
  <r>
    <x v="717"/>
    <x v="18"/>
    <x v="2"/>
    <x v="1"/>
    <s v="GTX Basic"/>
    <s v="Sunnamplex"/>
    <x v="0"/>
    <d v="2017-02-04T00:00:00"/>
    <x v="35"/>
    <n v="583"/>
  </r>
  <r>
    <x v="718"/>
    <x v="6"/>
    <x v="1"/>
    <x v="0"/>
    <s v="GTX Basic"/>
    <s v="dambase"/>
    <x v="2"/>
    <d v="2017-02-04T00:00:00"/>
    <x v="67"/>
    <n v="0"/>
  </r>
  <r>
    <x v="719"/>
    <x v="4"/>
    <x v="3"/>
    <x v="1"/>
    <s v="GTX Plus Pro"/>
    <s v="Fasehatice"/>
    <x v="0"/>
    <d v="2017-02-04T00:00:00"/>
    <x v="65"/>
    <n v="6079"/>
  </r>
  <r>
    <x v="720"/>
    <x v="2"/>
    <x v="2"/>
    <x v="1"/>
    <s v="GTX Plus Basic"/>
    <s v="Fasehatice"/>
    <x v="2"/>
    <d v="2017-02-04T00:00:00"/>
    <x v="50"/>
    <n v="0"/>
  </r>
  <r>
    <x v="721"/>
    <x v="2"/>
    <x v="2"/>
    <x v="1"/>
    <s v="GTX Plus Basic"/>
    <s v="Konex"/>
    <x v="0"/>
    <d v="2017-02-04T00:00:00"/>
    <x v="42"/>
    <n v="1068"/>
  </r>
  <r>
    <x v="722"/>
    <x v="3"/>
    <x v="0"/>
    <x v="0"/>
    <s v="MG Special"/>
    <s v="Cancity"/>
    <x v="0"/>
    <d v="2017-02-05T00:00:00"/>
    <x v="32"/>
    <n v="55"/>
  </r>
  <r>
    <x v="723"/>
    <x v="23"/>
    <x v="4"/>
    <x v="2"/>
    <s v="GTX Basic"/>
    <s v="Sumace"/>
    <x v="1"/>
    <d v="2017-02-05T00:00:00"/>
    <x v="6"/>
    <m/>
  </r>
  <r>
    <x v="724"/>
    <x v="23"/>
    <x v="4"/>
    <x v="2"/>
    <s v="MG Advanced"/>
    <s v="Yearin"/>
    <x v="2"/>
    <d v="2017-02-05T00:00:00"/>
    <x v="35"/>
    <n v="0"/>
  </r>
  <r>
    <x v="725"/>
    <x v="23"/>
    <x v="4"/>
    <x v="2"/>
    <s v="GTX Basic"/>
    <s v="Betasoloin"/>
    <x v="0"/>
    <d v="2017-02-05T00:00:00"/>
    <x v="27"/>
    <n v="493"/>
  </r>
  <r>
    <x v="726"/>
    <x v="1"/>
    <x v="1"/>
    <x v="0"/>
    <s v="GTX Plus Basic"/>
    <s v="Ron-tech"/>
    <x v="2"/>
    <d v="2017-02-05T00:00:00"/>
    <x v="72"/>
    <n v="0"/>
  </r>
  <r>
    <x v="727"/>
    <x v="1"/>
    <x v="1"/>
    <x v="0"/>
    <s v="GTXPro"/>
    <s v="Condax"/>
    <x v="0"/>
    <d v="2017-02-05T00:00:00"/>
    <x v="25"/>
    <n v="5559"/>
  </r>
  <r>
    <x v="728"/>
    <x v="14"/>
    <x v="3"/>
    <x v="1"/>
    <s v="MG Special"/>
    <s v="Mathtouch"/>
    <x v="1"/>
    <d v="2017-02-05T00:00:00"/>
    <x v="6"/>
    <m/>
  </r>
  <r>
    <x v="729"/>
    <x v="14"/>
    <x v="3"/>
    <x v="1"/>
    <s v="MG Advanced"/>
    <s v="Scotfind"/>
    <x v="0"/>
    <d v="2017-02-05T00:00:00"/>
    <x v="58"/>
    <n v="3351"/>
  </r>
  <r>
    <x v="730"/>
    <x v="24"/>
    <x v="0"/>
    <x v="0"/>
    <s v="GTX Basic"/>
    <s v="Isdom"/>
    <x v="0"/>
    <d v="2017-02-05T00:00:00"/>
    <x v="59"/>
    <n v="501"/>
  </r>
  <r>
    <x v="731"/>
    <x v="9"/>
    <x v="2"/>
    <x v="1"/>
    <s v="MG Special"/>
    <m/>
    <x v="1"/>
    <d v="2017-02-05T00:00:00"/>
    <x v="6"/>
    <m/>
  </r>
  <r>
    <x v="732"/>
    <x v="0"/>
    <x v="0"/>
    <x v="0"/>
    <s v="MG Special"/>
    <s v="Inity"/>
    <x v="2"/>
    <d v="2017-02-05T00:00:00"/>
    <x v="38"/>
    <n v="0"/>
  </r>
  <r>
    <x v="733"/>
    <x v="19"/>
    <x v="4"/>
    <x v="2"/>
    <s v="GTX Basic"/>
    <s v="Mathtouch"/>
    <x v="0"/>
    <d v="2017-02-05T00:00:00"/>
    <x v="50"/>
    <n v="532"/>
  </r>
  <r>
    <x v="734"/>
    <x v="4"/>
    <x v="3"/>
    <x v="1"/>
    <s v="MG Special"/>
    <s v="Sonron"/>
    <x v="2"/>
    <d v="2017-02-05T00:00:00"/>
    <x v="61"/>
    <n v="0"/>
  </r>
  <r>
    <x v="735"/>
    <x v="4"/>
    <x v="3"/>
    <x v="1"/>
    <s v="MG Advanced"/>
    <s v="Green-Plus"/>
    <x v="0"/>
    <d v="2017-02-05T00:00:00"/>
    <x v="32"/>
    <n v="3103"/>
  </r>
  <r>
    <x v="736"/>
    <x v="20"/>
    <x v="5"/>
    <x v="2"/>
    <s v="GTX Basic"/>
    <m/>
    <x v="1"/>
    <d v="2017-02-05T00:00:00"/>
    <x v="6"/>
    <m/>
  </r>
  <r>
    <x v="737"/>
    <x v="27"/>
    <x v="5"/>
    <x v="2"/>
    <s v="GTX Plus Pro"/>
    <s v="Gekko &amp; Co"/>
    <x v="0"/>
    <d v="2017-02-06T00:00:00"/>
    <x v="57"/>
    <n v="5505"/>
  </r>
  <r>
    <x v="738"/>
    <x v="10"/>
    <x v="3"/>
    <x v="1"/>
    <s v="MG Special"/>
    <s v="Isdom"/>
    <x v="1"/>
    <d v="2017-02-06T00:00:00"/>
    <x v="6"/>
    <m/>
  </r>
  <r>
    <x v="739"/>
    <x v="16"/>
    <x v="2"/>
    <x v="1"/>
    <s v="GTXPro"/>
    <s v="Zoomit"/>
    <x v="1"/>
    <d v="2017-02-06T00:00:00"/>
    <x v="6"/>
    <m/>
  </r>
  <r>
    <x v="740"/>
    <x v="16"/>
    <x v="2"/>
    <x v="1"/>
    <s v="GTX Plus Basic"/>
    <s v="Y-corporation"/>
    <x v="2"/>
    <d v="2017-02-06T00:00:00"/>
    <x v="57"/>
    <n v="0"/>
  </r>
  <r>
    <x v="741"/>
    <x v="9"/>
    <x v="2"/>
    <x v="1"/>
    <s v="MG Special"/>
    <m/>
    <x v="1"/>
    <d v="2017-02-06T00:00:00"/>
    <x v="6"/>
    <m/>
  </r>
  <r>
    <x v="742"/>
    <x v="0"/>
    <x v="0"/>
    <x v="0"/>
    <s v="GTX Plus Basic"/>
    <s v="Rangreen"/>
    <x v="0"/>
    <d v="2017-02-06T00:00:00"/>
    <x v="41"/>
    <n v="1068"/>
  </r>
  <r>
    <x v="743"/>
    <x v="4"/>
    <x v="3"/>
    <x v="1"/>
    <s v="MG Advanced"/>
    <s v="Cheers"/>
    <x v="0"/>
    <d v="2017-02-06T00:00:00"/>
    <x v="32"/>
    <n v="3357"/>
  </r>
  <r>
    <x v="744"/>
    <x v="15"/>
    <x v="5"/>
    <x v="2"/>
    <s v="MG Special"/>
    <s v="Mathtouch"/>
    <x v="2"/>
    <d v="2017-02-06T00:00:00"/>
    <x v="36"/>
    <n v="0"/>
  </r>
  <r>
    <x v="745"/>
    <x v="2"/>
    <x v="2"/>
    <x v="1"/>
    <s v="GTX Basic"/>
    <s v="Sonron"/>
    <x v="2"/>
    <d v="2017-02-06T00:00:00"/>
    <x v="63"/>
    <n v="0"/>
  </r>
  <r>
    <x v="746"/>
    <x v="2"/>
    <x v="2"/>
    <x v="1"/>
    <s v="GTX Basic"/>
    <s v="Finjob"/>
    <x v="0"/>
    <d v="2017-02-06T00:00:00"/>
    <x v="78"/>
    <n v="532"/>
  </r>
  <r>
    <x v="747"/>
    <x v="23"/>
    <x v="4"/>
    <x v="2"/>
    <s v="GTXPro"/>
    <m/>
    <x v="1"/>
    <d v="2017-02-07T00:00:00"/>
    <x v="6"/>
    <m/>
  </r>
  <r>
    <x v="748"/>
    <x v="13"/>
    <x v="4"/>
    <x v="2"/>
    <s v="GTXPro"/>
    <m/>
    <x v="1"/>
    <d v="2017-02-07T00:00:00"/>
    <x v="6"/>
    <m/>
  </r>
  <r>
    <x v="749"/>
    <x v="13"/>
    <x v="4"/>
    <x v="2"/>
    <s v="MG Advanced"/>
    <s v="Condax"/>
    <x v="2"/>
    <d v="2017-02-07T00:00:00"/>
    <x v="36"/>
    <n v="0"/>
  </r>
  <r>
    <x v="750"/>
    <x v="1"/>
    <x v="1"/>
    <x v="0"/>
    <s v="GTX Plus Pro"/>
    <s v="Funholding"/>
    <x v="0"/>
    <d v="2017-02-07T00:00:00"/>
    <x v="33"/>
    <n v="5786"/>
  </r>
  <r>
    <x v="751"/>
    <x v="14"/>
    <x v="3"/>
    <x v="1"/>
    <s v="GTK 500"/>
    <m/>
    <x v="1"/>
    <d v="2017-02-07T00:00:00"/>
    <x v="6"/>
    <m/>
  </r>
  <r>
    <x v="752"/>
    <x v="10"/>
    <x v="3"/>
    <x v="1"/>
    <s v="GTX Plus Basic"/>
    <s v="Sonron"/>
    <x v="2"/>
    <d v="2017-02-07T00:00:00"/>
    <x v="54"/>
    <n v="0"/>
  </r>
  <r>
    <x v="753"/>
    <x v="29"/>
    <x v="1"/>
    <x v="0"/>
    <s v="GTX Plus Basic"/>
    <s v="Streethex"/>
    <x v="0"/>
    <d v="2017-02-07T00:00:00"/>
    <x v="65"/>
    <n v="1131"/>
  </r>
  <r>
    <x v="754"/>
    <x v="16"/>
    <x v="2"/>
    <x v="1"/>
    <s v="GTX Basic"/>
    <s v="Y-corporation"/>
    <x v="1"/>
    <d v="2017-02-07T00:00:00"/>
    <x v="6"/>
    <m/>
  </r>
  <r>
    <x v="755"/>
    <x v="16"/>
    <x v="2"/>
    <x v="1"/>
    <s v="GTXPro"/>
    <s v="Umbrella Corporation"/>
    <x v="1"/>
    <d v="2017-02-07T00:00:00"/>
    <x v="6"/>
    <m/>
  </r>
  <r>
    <x v="756"/>
    <x v="16"/>
    <x v="2"/>
    <x v="1"/>
    <s v="GTX Plus Pro"/>
    <s v="Scotfind"/>
    <x v="0"/>
    <d v="2017-02-07T00:00:00"/>
    <x v="41"/>
    <n v="5401"/>
  </r>
  <r>
    <x v="757"/>
    <x v="22"/>
    <x v="1"/>
    <x v="0"/>
    <s v="GTX Plus Basic"/>
    <s v="Konmatfix"/>
    <x v="0"/>
    <d v="2017-02-07T00:00:00"/>
    <x v="26"/>
    <n v="1062"/>
  </r>
  <r>
    <x v="758"/>
    <x v="9"/>
    <x v="2"/>
    <x v="1"/>
    <s v="GTX Plus Basic"/>
    <m/>
    <x v="1"/>
    <d v="2017-02-07T00:00:00"/>
    <x v="6"/>
    <m/>
  </r>
  <r>
    <x v="759"/>
    <x v="19"/>
    <x v="4"/>
    <x v="2"/>
    <s v="MG Advanced"/>
    <s v="Zotware"/>
    <x v="0"/>
    <d v="2017-02-07T00:00:00"/>
    <x v="14"/>
    <n v="3695"/>
  </r>
  <r>
    <x v="760"/>
    <x v="17"/>
    <x v="5"/>
    <x v="2"/>
    <s v="MG Special"/>
    <s v="Condax"/>
    <x v="2"/>
    <d v="2017-02-07T00:00:00"/>
    <x v="43"/>
    <n v="0"/>
  </r>
  <r>
    <x v="761"/>
    <x v="12"/>
    <x v="0"/>
    <x v="0"/>
    <s v="MG Special"/>
    <s v="Finhigh"/>
    <x v="0"/>
    <d v="2017-02-07T00:00:00"/>
    <x v="71"/>
    <n v="60"/>
  </r>
  <r>
    <x v="762"/>
    <x v="4"/>
    <x v="3"/>
    <x v="1"/>
    <s v="GTXPro"/>
    <s v="Groovestreet"/>
    <x v="2"/>
    <d v="2017-02-07T00:00:00"/>
    <x v="53"/>
    <n v="0"/>
  </r>
  <r>
    <x v="763"/>
    <x v="4"/>
    <x v="3"/>
    <x v="1"/>
    <s v="MG Advanced"/>
    <s v="Singletechno"/>
    <x v="0"/>
    <d v="2017-02-07T00:00:00"/>
    <x v="68"/>
    <n v="2919"/>
  </r>
  <r>
    <x v="764"/>
    <x v="23"/>
    <x v="4"/>
    <x v="2"/>
    <s v="GTX Plus Pro"/>
    <m/>
    <x v="1"/>
    <d v="2017-02-08T00:00:00"/>
    <x v="6"/>
    <m/>
  </r>
  <r>
    <x v="765"/>
    <x v="23"/>
    <x v="4"/>
    <x v="2"/>
    <s v="MG Special"/>
    <s v="Betatech"/>
    <x v="1"/>
    <d v="2017-02-08T00:00:00"/>
    <x v="6"/>
    <m/>
  </r>
  <r>
    <x v="766"/>
    <x v="23"/>
    <x v="4"/>
    <x v="2"/>
    <s v="MG Advanced"/>
    <m/>
    <x v="1"/>
    <d v="2017-02-08T00:00:00"/>
    <x v="6"/>
    <m/>
  </r>
  <r>
    <x v="767"/>
    <x v="23"/>
    <x v="4"/>
    <x v="2"/>
    <s v="GTX Basic"/>
    <s v="Plussunin"/>
    <x v="0"/>
    <d v="2017-02-08T00:00:00"/>
    <x v="46"/>
    <n v="623"/>
  </r>
  <r>
    <x v="768"/>
    <x v="27"/>
    <x v="5"/>
    <x v="2"/>
    <s v="MG Special"/>
    <s v="Umbrella Corporation"/>
    <x v="2"/>
    <d v="2017-02-08T00:00:00"/>
    <x v="20"/>
    <n v="0"/>
  </r>
  <r>
    <x v="769"/>
    <x v="1"/>
    <x v="1"/>
    <x v="0"/>
    <s v="MG Advanced"/>
    <s v="Scottech"/>
    <x v="2"/>
    <d v="2017-02-08T00:00:00"/>
    <x v="32"/>
    <n v="0"/>
  </r>
  <r>
    <x v="770"/>
    <x v="14"/>
    <x v="3"/>
    <x v="1"/>
    <s v="GTX Basic"/>
    <s v="Genco Pura Olive Oil Company"/>
    <x v="1"/>
    <d v="2017-02-08T00:00:00"/>
    <x v="6"/>
    <m/>
  </r>
  <r>
    <x v="771"/>
    <x v="7"/>
    <x v="2"/>
    <x v="1"/>
    <s v="MG Special"/>
    <s v="Scotfind"/>
    <x v="0"/>
    <d v="2017-02-08T00:00:00"/>
    <x v="32"/>
    <n v="49"/>
  </r>
  <r>
    <x v="772"/>
    <x v="29"/>
    <x v="1"/>
    <x v="0"/>
    <s v="GTX Basic"/>
    <s v="Stanredtax"/>
    <x v="2"/>
    <d v="2017-02-08T00:00:00"/>
    <x v="61"/>
    <n v="0"/>
  </r>
  <r>
    <x v="773"/>
    <x v="29"/>
    <x v="1"/>
    <x v="0"/>
    <s v="GTX Basic"/>
    <s v="Codehow"/>
    <x v="0"/>
    <d v="2017-02-08T00:00:00"/>
    <x v="32"/>
    <n v="612"/>
  </r>
  <r>
    <x v="774"/>
    <x v="16"/>
    <x v="2"/>
    <x v="1"/>
    <s v="GTX Plus Basic"/>
    <m/>
    <x v="1"/>
    <d v="2017-02-08T00:00:00"/>
    <x v="6"/>
    <m/>
  </r>
  <r>
    <x v="775"/>
    <x v="16"/>
    <x v="2"/>
    <x v="1"/>
    <s v="GTX Basic"/>
    <s v="Hottechi"/>
    <x v="0"/>
    <d v="2017-02-08T00:00:00"/>
    <x v="8"/>
    <n v="534"/>
  </r>
  <r>
    <x v="776"/>
    <x v="16"/>
    <x v="2"/>
    <x v="1"/>
    <s v="GTX Plus Basic"/>
    <s v="Condax"/>
    <x v="0"/>
    <d v="2017-02-08T00:00:00"/>
    <x v="52"/>
    <n v="1103"/>
  </r>
  <r>
    <x v="777"/>
    <x v="18"/>
    <x v="2"/>
    <x v="1"/>
    <s v="GTXPro"/>
    <m/>
    <x v="1"/>
    <d v="2017-02-08T00:00:00"/>
    <x v="6"/>
    <m/>
  </r>
  <r>
    <x v="778"/>
    <x v="24"/>
    <x v="0"/>
    <x v="0"/>
    <s v="GTX Basic"/>
    <s v="Conecom"/>
    <x v="0"/>
    <d v="2017-02-08T00:00:00"/>
    <x v="34"/>
    <n v="582"/>
  </r>
  <r>
    <x v="779"/>
    <x v="22"/>
    <x v="1"/>
    <x v="0"/>
    <s v="MG Advanced"/>
    <s v="Condax"/>
    <x v="2"/>
    <d v="2017-02-08T00:00:00"/>
    <x v="59"/>
    <n v="0"/>
  </r>
  <r>
    <x v="780"/>
    <x v="22"/>
    <x v="1"/>
    <x v="0"/>
    <s v="GTX Plus Pro"/>
    <s v="Cancity"/>
    <x v="0"/>
    <d v="2017-02-08T00:00:00"/>
    <x v="32"/>
    <n v="6292"/>
  </r>
  <r>
    <x v="781"/>
    <x v="6"/>
    <x v="1"/>
    <x v="0"/>
    <s v="MG Special"/>
    <s v="Funholding"/>
    <x v="2"/>
    <d v="2017-02-08T00:00:00"/>
    <x v="79"/>
    <n v="0"/>
  </r>
  <r>
    <x v="782"/>
    <x v="11"/>
    <x v="3"/>
    <x v="1"/>
    <s v="MG Special"/>
    <s v="Groovestreet"/>
    <x v="0"/>
    <d v="2017-02-08T00:00:00"/>
    <x v="61"/>
    <n v="63"/>
  </r>
  <r>
    <x v="783"/>
    <x v="12"/>
    <x v="0"/>
    <x v="0"/>
    <s v="MG Advanced"/>
    <s v="Globex Corporation"/>
    <x v="0"/>
    <d v="2017-02-08T00:00:00"/>
    <x v="59"/>
    <n v="3522"/>
  </r>
  <r>
    <x v="784"/>
    <x v="4"/>
    <x v="3"/>
    <x v="1"/>
    <s v="MG Special"/>
    <s v="Konex"/>
    <x v="2"/>
    <d v="2017-02-08T00:00:00"/>
    <x v="56"/>
    <n v="0"/>
  </r>
  <r>
    <x v="785"/>
    <x v="4"/>
    <x v="3"/>
    <x v="1"/>
    <s v="GTX Basic"/>
    <s v="Plexzap"/>
    <x v="0"/>
    <d v="2017-02-08T00:00:00"/>
    <x v="32"/>
    <n v="532"/>
  </r>
  <r>
    <x v="786"/>
    <x v="15"/>
    <x v="5"/>
    <x v="2"/>
    <s v="MG Special"/>
    <s v="Iselectrics"/>
    <x v="2"/>
    <d v="2017-02-08T00:00:00"/>
    <x v="32"/>
    <n v="0"/>
  </r>
  <r>
    <x v="787"/>
    <x v="20"/>
    <x v="5"/>
    <x v="2"/>
    <s v="MG Advanced"/>
    <s v="Kinnamplus"/>
    <x v="0"/>
    <d v="2017-02-08T00:00:00"/>
    <x v="57"/>
    <n v="3645"/>
  </r>
  <r>
    <x v="788"/>
    <x v="2"/>
    <x v="2"/>
    <x v="1"/>
    <s v="GTXPro"/>
    <s v="Y-corporation"/>
    <x v="2"/>
    <d v="2017-02-08T00:00:00"/>
    <x v="34"/>
    <n v="0"/>
  </r>
  <r>
    <x v="789"/>
    <x v="3"/>
    <x v="0"/>
    <x v="0"/>
    <s v="GTX Plus Pro"/>
    <s v="Gogozoom"/>
    <x v="0"/>
    <d v="2017-02-09T00:00:00"/>
    <x v="0"/>
    <n v="4760"/>
  </r>
  <r>
    <x v="790"/>
    <x v="27"/>
    <x v="5"/>
    <x v="2"/>
    <s v="GTX Basic"/>
    <s v="Betasoloin"/>
    <x v="0"/>
    <d v="2017-02-09T00:00:00"/>
    <x v="49"/>
    <n v="603"/>
  </r>
  <r>
    <x v="791"/>
    <x v="13"/>
    <x v="4"/>
    <x v="2"/>
    <s v="GTX Basic"/>
    <s v="Bioplex"/>
    <x v="2"/>
    <d v="2017-02-09T00:00:00"/>
    <x v="57"/>
    <n v="0"/>
  </r>
  <r>
    <x v="792"/>
    <x v="13"/>
    <x v="4"/>
    <x v="2"/>
    <s v="MG Advanced"/>
    <s v="Yearin"/>
    <x v="0"/>
    <d v="2017-02-09T00:00:00"/>
    <x v="4"/>
    <n v="3249"/>
  </r>
  <r>
    <x v="793"/>
    <x v="1"/>
    <x v="1"/>
    <x v="0"/>
    <s v="GTXPro"/>
    <s v="Dontechi"/>
    <x v="2"/>
    <d v="2017-02-09T00:00:00"/>
    <x v="12"/>
    <n v="0"/>
  </r>
  <r>
    <x v="794"/>
    <x v="1"/>
    <x v="1"/>
    <x v="0"/>
    <s v="GTXPro"/>
    <s v="Statholdings"/>
    <x v="2"/>
    <d v="2017-02-09T00:00:00"/>
    <x v="40"/>
    <n v="0"/>
  </r>
  <r>
    <x v="795"/>
    <x v="1"/>
    <x v="1"/>
    <x v="0"/>
    <s v="GTXPro"/>
    <s v="Zumgoity"/>
    <x v="2"/>
    <d v="2017-02-09T00:00:00"/>
    <x v="58"/>
    <n v="0"/>
  </r>
  <r>
    <x v="796"/>
    <x v="26"/>
    <x v="4"/>
    <x v="2"/>
    <s v="GTX Plus Pro"/>
    <s v="Acme Corporation"/>
    <x v="0"/>
    <d v="2017-02-09T00:00:00"/>
    <x v="80"/>
    <n v="5724"/>
  </r>
  <r>
    <x v="797"/>
    <x v="10"/>
    <x v="3"/>
    <x v="1"/>
    <s v="GTX Plus Basic"/>
    <s v="Groovestreet"/>
    <x v="2"/>
    <d v="2017-02-09T00:00:00"/>
    <x v="35"/>
    <n v="0"/>
  </r>
  <r>
    <x v="798"/>
    <x v="10"/>
    <x v="3"/>
    <x v="1"/>
    <s v="GTX Plus Basic"/>
    <s v="Plexzap"/>
    <x v="2"/>
    <d v="2017-02-09T00:00:00"/>
    <x v="54"/>
    <n v="0"/>
  </r>
  <r>
    <x v="799"/>
    <x v="18"/>
    <x v="2"/>
    <x v="1"/>
    <s v="GTX Basic"/>
    <s v="Faxquote"/>
    <x v="0"/>
    <d v="2017-02-09T00:00:00"/>
    <x v="35"/>
    <n v="516"/>
  </r>
  <r>
    <x v="800"/>
    <x v="22"/>
    <x v="1"/>
    <x v="0"/>
    <s v="GTX Plus Basic"/>
    <s v="Rangreen"/>
    <x v="0"/>
    <d v="2017-02-09T00:00:00"/>
    <x v="63"/>
    <n v="1050"/>
  </r>
  <r>
    <x v="801"/>
    <x v="9"/>
    <x v="2"/>
    <x v="1"/>
    <s v="GTX Plus Pro"/>
    <s v="Plexzap"/>
    <x v="0"/>
    <d v="2017-02-09T00:00:00"/>
    <x v="55"/>
    <n v="4519"/>
  </r>
  <r>
    <x v="802"/>
    <x v="6"/>
    <x v="1"/>
    <x v="0"/>
    <s v="GTX Basic"/>
    <s v="Funholding"/>
    <x v="2"/>
    <d v="2017-02-09T00:00:00"/>
    <x v="49"/>
    <n v="0"/>
  </r>
  <r>
    <x v="803"/>
    <x v="6"/>
    <x v="1"/>
    <x v="0"/>
    <s v="GTX Basic"/>
    <s v="Dontechi"/>
    <x v="0"/>
    <d v="2017-02-09T00:00:00"/>
    <x v="48"/>
    <n v="672"/>
  </r>
  <r>
    <x v="804"/>
    <x v="19"/>
    <x v="4"/>
    <x v="2"/>
    <s v="GTX Plus Basic"/>
    <s v="Mathtouch"/>
    <x v="0"/>
    <d v="2017-02-09T00:00:00"/>
    <x v="19"/>
    <n v="896"/>
  </r>
  <r>
    <x v="805"/>
    <x v="4"/>
    <x v="3"/>
    <x v="1"/>
    <s v="GTX Basic"/>
    <s v="Konex"/>
    <x v="0"/>
    <d v="2017-02-09T00:00:00"/>
    <x v="14"/>
    <n v="587"/>
  </r>
  <r>
    <x v="806"/>
    <x v="4"/>
    <x v="3"/>
    <x v="1"/>
    <s v="MG Advanced"/>
    <s v="Sonron"/>
    <x v="0"/>
    <d v="2017-02-09T00:00:00"/>
    <x v="68"/>
    <n v="3426"/>
  </r>
  <r>
    <x v="807"/>
    <x v="25"/>
    <x v="4"/>
    <x v="2"/>
    <s v="MG Advanced"/>
    <s v="Golddex"/>
    <x v="1"/>
    <d v="2017-02-10T00:00:00"/>
    <x v="6"/>
    <m/>
  </r>
  <r>
    <x v="808"/>
    <x v="23"/>
    <x v="4"/>
    <x v="2"/>
    <s v="GTXPro"/>
    <s v="Ontomedia"/>
    <x v="0"/>
    <d v="2017-02-10T00:00:00"/>
    <x v="19"/>
    <n v="5021"/>
  </r>
  <r>
    <x v="809"/>
    <x v="1"/>
    <x v="1"/>
    <x v="0"/>
    <s v="GTX Plus Basic"/>
    <s v="Rangreen"/>
    <x v="0"/>
    <d v="2017-02-10T00:00:00"/>
    <x v="18"/>
    <n v="1126"/>
  </r>
  <r>
    <x v="810"/>
    <x v="26"/>
    <x v="4"/>
    <x v="2"/>
    <s v="GTXPro"/>
    <s v="Umbrella Corporation"/>
    <x v="0"/>
    <d v="2017-02-10T00:00:00"/>
    <x v="41"/>
    <n v="5473"/>
  </r>
  <r>
    <x v="811"/>
    <x v="14"/>
    <x v="3"/>
    <x v="1"/>
    <s v="MG Special"/>
    <s v="Sunnamplex"/>
    <x v="2"/>
    <d v="2017-02-10T00:00:00"/>
    <x v="77"/>
    <n v="0"/>
  </r>
  <r>
    <x v="812"/>
    <x v="14"/>
    <x v="3"/>
    <x v="1"/>
    <s v="MG Special"/>
    <s v="Rantouch"/>
    <x v="0"/>
    <d v="2017-02-10T00:00:00"/>
    <x v="58"/>
    <n v="51"/>
  </r>
  <r>
    <x v="813"/>
    <x v="16"/>
    <x v="2"/>
    <x v="1"/>
    <s v="GTX Basic"/>
    <s v="Scotfind"/>
    <x v="1"/>
    <d v="2017-02-10T00:00:00"/>
    <x v="6"/>
    <m/>
  </r>
  <r>
    <x v="814"/>
    <x v="16"/>
    <x v="2"/>
    <x v="1"/>
    <s v="GTX Basic"/>
    <s v="Sonron"/>
    <x v="0"/>
    <d v="2017-02-10T00:00:00"/>
    <x v="9"/>
    <n v="563"/>
  </r>
  <r>
    <x v="815"/>
    <x v="24"/>
    <x v="0"/>
    <x v="0"/>
    <s v="GTX Basic"/>
    <s v="Isdom"/>
    <x v="2"/>
    <d v="2017-02-10T00:00:00"/>
    <x v="60"/>
    <n v="0"/>
  </r>
  <r>
    <x v="816"/>
    <x v="19"/>
    <x v="4"/>
    <x v="2"/>
    <s v="GTX Basic"/>
    <s v="Opentech"/>
    <x v="2"/>
    <d v="2017-02-10T00:00:00"/>
    <x v="39"/>
    <n v="0"/>
  </r>
  <r>
    <x v="817"/>
    <x v="19"/>
    <x v="4"/>
    <x v="2"/>
    <s v="MG Advanced"/>
    <s v="Kan-code"/>
    <x v="0"/>
    <d v="2017-02-10T00:00:00"/>
    <x v="75"/>
    <n v="2928"/>
  </r>
  <r>
    <x v="818"/>
    <x v="19"/>
    <x v="4"/>
    <x v="2"/>
    <s v="MG Advanced"/>
    <s v="Zathunicon"/>
    <x v="0"/>
    <d v="2017-02-10T00:00:00"/>
    <x v="48"/>
    <n v="3618"/>
  </r>
  <r>
    <x v="819"/>
    <x v="1"/>
    <x v="1"/>
    <x v="0"/>
    <s v="GTX Plus Basic"/>
    <s v="Inity"/>
    <x v="0"/>
    <d v="2017-02-11T00:00:00"/>
    <x v="67"/>
    <n v="1189"/>
  </r>
  <r>
    <x v="820"/>
    <x v="26"/>
    <x v="4"/>
    <x v="2"/>
    <s v="GTX Basic"/>
    <s v="Donquadtech"/>
    <x v="2"/>
    <d v="2017-02-11T00:00:00"/>
    <x v="50"/>
    <n v="0"/>
  </r>
  <r>
    <x v="821"/>
    <x v="14"/>
    <x v="3"/>
    <x v="1"/>
    <s v="MG Special"/>
    <s v="Hatfan"/>
    <x v="0"/>
    <d v="2017-02-11T00:00:00"/>
    <x v="57"/>
    <n v="60"/>
  </r>
  <r>
    <x v="822"/>
    <x v="7"/>
    <x v="2"/>
    <x v="1"/>
    <s v="GTX Plus Pro"/>
    <m/>
    <x v="1"/>
    <d v="2017-02-11T00:00:00"/>
    <x v="6"/>
    <m/>
  </r>
  <r>
    <x v="823"/>
    <x v="29"/>
    <x v="1"/>
    <x v="0"/>
    <s v="GTX Plus Basic"/>
    <s v="Statholdings"/>
    <x v="2"/>
    <d v="2017-02-11T00:00:00"/>
    <x v="54"/>
    <n v="0"/>
  </r>
  <r>
    <x v="824"/>
    <x v="16"/>
    <x v="2"/>
    <x v="1"/>
    <s v="GTX Basic"/>
    <s v="Cheers"/>
    <x v="0"/>
    <d v="2017-02-11T00:00:00"/>
    <x v="81"/>
    <n v="545"/>
  </r>
  <r>
    <x v="825"/>
    <x v="16"/>
    <x v="2"/>
    <x v="1"/>
    <s v="MG Advanced"/>
    <s v="Labdrill"/>
    <x v="0"/>
    <d v="2017-02-11T00:00:00"/>
    <x v="51"/>
    <n v="3035"/>
  </r>
  <r>
    <x v="826"/>
    <x v="18"/>
    <x v="2"/>
    <x v="1"/>
    <s v="GTX Basic"/>
    <m/>
    <x v="1"/>
    <d v="2017-02-11T00:00:00"/>
    <x v="6"/>
    <m/>
  </r>
  <r>
    <x v="827"/>
    <x v="18"/>
    <x v="2"/>
    <x v="1"/>
    <s v="GTX Basic"/>
    <s v="Konex"/>
    <x v="0"/>
    <d v="2017-02-11T00:00:00"/>
    <x v="78"/>
    <n v="584"/>
  </r>
  <r>
    <x v="828"/>
    <x v="5"/>
    <x v="3"/>
    <x v="1"/>
    <s v="MG Special"/>
    <s v="Scotfind"/>
    <x v="2"/>
    <d v="2017-02-11T00:00:00"/>
    <x v="41"/>
    <n v="0"/>
  </r>
  <r>
    <x v="829"/>
    <x v="9"/>
    <x v="2"/>
    <x v="1"/>
    <s v="GTX Plus Basic"/>
    <s v="Cheers"/>
    <x v="0"/>
    <d v="2017-02-11T00:00:00"/>
    <x v="78"/>
    <n v="1069"/>
  </r>
  <r>
    <x v="830"/>
    <x v="9"/>
    <x v="2"/>
    <x v="1"/>
    <s v="GTX Plus Basic"/>
    <s v="Xx-holding"/>
    <x v="0"/>
    <d v="2017-02-11T00:00:00"/>
    <x v="81"/>
    <n v="1035"/>
  </r>
  <r>
    <x v="831"/>
    <x v="11"/>
    <x v="3"/>
    <x v="1"/>
    <s v="MG Advanced"/>
    <s v="Golddex"/>
    <x v="1"/>
    <d v="2017-02-11T00:00:00"/>
    <x v="6"/>
    <m/>
  </r>
  <r>
    <x v="832"/>
    <x v="17"/>
    <x v="5"/>
    <x v="2"/>
    <s v="GTXPro"/>
    <s v="Ganjaflex"/>
    <x v="2"/>
    <d v="2017-02-11T00:00:00"/>
    <x v="4"/>
    <n v="0"/>
  </r>
  <r>
    <x v="833"/>
    <x v="4"/>
    <x v="3"/>
    <x v="1"/>
    <s v="GTXPro"/>
    <s v="Scotfind"/>
    <x v="0"/>
    <d v="2017-02-11T00:00:00"/>
    <x v="29"/>
    <n v="4510"/>
  </r>
  <r>
    <x v="834"/>
    <x v="15"/>
    <x v="5"/>
    <x v="2"/>
    <s v="GTX Plus Basic"/>
    <s v="Vehement Capital Partners"/>
    <x v="2"/>
    <d v="2017-02-11T00:00:00"/>
    <x v="48"/>
    <n v="0"/>
  </r>
  <r>
    <x v="835"/>
    <x v="15"/>
    <x v="5"/>
    <x v="2"/>
    <s v="MG Special"/>
    <s v="Zotware"/>
    <x v="0"/>
    <d v="2017-02-11T00:00:00"/>
    <x v="38"/>
    <n v="49"/>
  </r>
  <r>
    <x v="836"/>
    <x v="3"/>
    <x v="0"/>
    <x v="0"/>
    <s v="MG Special"/>
    <s v="Rundofase"/>
    <x v="0"/>
    <d v="2017-02-12T00:00:00"/>
    <x v="52"/>
    <n v="59"/>
  </r>
  <r>
    <x v="837"/>
    <x v="23"/>
    <x v="4"/>
    <x v="2"/>
    <s v="GTXPro"/>
    <s v="Kan-code"/>
    <x v="0"/>
    <d v="2017-02-12T00:00:00"/>
    <x v="23"/>
    <n v="4705"/>
  </r>
  <r>
    <x v="838"/>
    <x v="28"/>
    <x v="0"/>
    <x v="0"/>
    <s v="GTX Plus Pro"/>
    <s v="Zumgoity"/>
    <x v="0"/>
    <d v="2017-02-12T00:00:00"/>
    <x v="71"/>
    <n v="5148"/>
  </r>
  <r>
    <x v="839"/>
    <x v="27"/>
    <x v="5"/>
    <x v="2"/>
    <s v="GTXPro"/>
    <s v="Ganjaflex"/>
    <x v="0"/>
    <d v="2017-02-12T00:00:00"/>
    <x v="38"/>
    <n v="4833"/>
  </r>
  <r>
    <x v="840"/>
    <x v="13"/>
    <x v="4"/>
    <x v="2"/>
    <s v="GTXPro"/>
    <s v="Mathtouch"/>
    <x v="0"/>
    <d v="2017-02-12T00:00:00"/>
    <x v="66"/>
    <n v="4664"/>
  </r>
  <r>
    <x v="841"/>
    <x v="26"/>
    <x v="4"/>
    <x v="2"/>
    <s v="GTX Basic"/>
    <s v="Plussunin"/>
    <x v="0"/>
    <d v="2017-02-12T00:00:00"/>
    <x v="51"/>
    <n v="475"/>
  </r>
  <r>
    <x v="842"/>
    <x v="10"/>
    <x v="3"/>
    <x v="1"/>
    <s v="GTX Plus Basic"/>
    <m/>
    <x v="1"/>
    <d v="2017-02-12T00:00:00"/>
    <x v="6"/>
    <m/>
  </r>
  <r>
    <x v="843"/>
    <x v="10"/>
    <x v="3"/>
    <x v="1"/>
    <s v="MG Advanced"/>
    <s v="Labdrill"/>
    <x v="0"/>
    <d v="2017-02-12T00:00:00"/>
    <x v="68"/>
    <n v="3807"/>
  </r>
  <r>
    <x v="844"/>
    <x v="7"/>
    <x v="2"/>
    <x v="1"/>
    <s v="GTX Basic"/>
    <s v="Faxquote"/>
    <x v="1"/>
    <d v="2017-02-12T00:00:00"/>
    <x v="6"/>
    <m/>
  </r>
  <r>
    <x v="845"/>
    <x v="29"/>
    <x v="1"/>
    <x v="0"/>
    <s v="GTX Basic"/>
    <s v="Stanredtax"/>
    <x v="0"/>
    <d v="2017-02-12T00:00:00"/>
    <x v="74"/>
    <n v="518"/>
  </r>
  <r>
    <x v="846"/>
    <x v="16"/>
    <x v="2"/>
    <x v="1"/>
    <s v="GTX Plus Basic"/>
    <s v="Dalttechnology"/>
    <x v="0"/>
    <d v="2017-02-12T00:00:00"/>
    <x v="58"/>
    <n v="1050"/>
  </r>
  <r>
    <x v="847"/>
    <x v="9"/>
    <x v="2"/>
    <x v="1"/>
    <s v="GTXPro"/>
    <s v="Y-corporation"/>
    <x v="0"/>
    <d v="2017-02-12T00:00:00"/>
    <x v="61"/>
    <n v="4596"/>
  </r>
  <r>
    <x v="848"/>
    <x v="11"/>
    <x v="3"/>
    <x v="1"/>
    <s v="MG Advanced"/>
    <s v="Cheers"/>
    <x v="1"/>
    <d v="2017-02-12T00:00:00"/>
    <x v="6"/>
    <m/>
  </r>
  <r>
    <x v="849"/>
    <x v="15"/>
    <x v="5"/>
    <x v="2"/>
    <s v="MG Special"/>
    <m/>
    <x v="1"/>
    <d v="2017-02-12T00:00:00"/>
    <x v="6"/>
    <m/>
  </r>
  <r>
    <x v="850"/>
    <x v="2"/>
    <x v="2"/>
    <x v="1"/>
    <s v="GTX Basic"/>
    <s v="Y-corporation"/>
    <x v="0"/>
    <d v="2017-02-12T00:00:00"/>
    <x v="33"/>
    <n v="618"/>
  </r>
  <r>
    <x v="851"/>
    <x v="2"/>
    <x v="2"/>
    <x v="1"/>
    <s v="MG Advanced"/>
    <s v="Singletechno"/>
    <x v="0"/>
    <d v="2017-02-12T00:00:00"/>
    <x v="35"/>
    <n v="3460"/>
  </r>
  <r>
    <x v="852"/>
    <x v="13"/>
    <x v="4"/>
    <x v="2"/>
    <s v="GTX Plus Pro"/>
    <s v="Ontomedia"/>
    <x v="0"/>
    <d v="2017-02-13T00:00:00"/>
    <x v="74"/>
    <n v="5751"/>
  </r>
  <r>
    <x v="853"/>
    <x v="1"/>
    <x v="1"/>
    <x v="0"/>
    <s v="GTX Plus Pro"/>
    <s v="Konmatfix"/>
    <x v="0"/>
    <d v="2017-02-13T00:00:00"/>
    <x v="53"/>
    <n v="5639"/>
  </r>
  <r>
    <x v="854"/>
    <x v="26"/>
    <x v="4"/>
    <x v="2"/>
    <s v="GTX Plus Pro"/>
    <s v="Bioplex"/>
    <x v="2"/>
    <d v="2017-02-13T00:00:00"/>
    <x v="42"/>
    <n v="0"/>
  </r>
  <r>
    <x v="855"/>
    <x v="21"/>
    <x v="5"/>
    <x v="2"/>
    <s v="GTX Plus Pro"/>
    <s v="Zencorporation"/>
    <x v="0"/>
    <d v="2017-02-13T00:00:00"/>
    <x v="40"/>
    <n v="4766"/>
  </r>
  <r>
    <x v="856"/>
    <x v="10"/>
    <x v="3"/>
    <x v="1"/>
    <s v="MG Advanced"/>
    <s v="Opentech"/>
    <x v="1"/>
    <d v="2017-02-13T00:00:00"/>
    <x v="6"/>
    <m/>
  </r>
  <r>
    <x v="857"/>
    <x v="16"/>
    <x v="2"/>
    <x v="1"/>
    <s v="GTX Plus Basic"/>
    <s v="Scotfind"/>
    <x v="2"/>
    <d v="2017-02-13T00:00:00"/>
    <x v="58"/>
    <n v="0"/>
  </r>
  <r>
    <x v="858"/>
    <x v="18"/>
    <x v="2"/>
    <x v="1"/>
    <s v="GTX Basic"/>
    <s v="Singletechno"/>
    <x v="0"/>
    <d v="2017-02-13T00:00:00"/>
    <x v="54"/>
    <n v="589"/>
  </r>
  <r>
    <x v="859"/>
    <x v="22"/>
    <x v="1"/>
    <x v="0"/>
    <s v="GTX Plus Pro"/>
    <s v="Finhigh"/>
    <x v="2"/>
    <d v="2017-02-13T00:00:00"/>
    <x v="66"/>
    <n v="0"/>
  </r>
  <r>
    <x v="860"/>
    <x v="0"/>
    <x v="0"/>
    <x v="0"/>
    <s v="GTX Basic"/>
    <s v="Hottechi"/>
    <x v="2"/>
    <d v="2017-02-13T00:00:00"/>
    <x v="67"/>
    <n v="0"/>
  </r>
  <r>
    <x v="861"/>
    <x v="4"/>
    <x v="3"/>
    <x v="1"/>
    <s v="GTXPro"/>
    <s v="Faxquote"/>
    <x v="1"/>
    <d v="2017-02-13T00:00:00"/>
    <x v="6"/>
    <m/>
  </r>
  <r>
    <x v="862"/>
    <x v="15"/>
    <x v="5"/>
    <x v="2"/>
    <s v="GTX Basic"/>
    <m/>
    <x v="1"/>
    <d v="2017-02-13T00:00:00"/>
    <x v="6"/>
    <m/>
  </r>
  <r>
    <x v="863"/>
    <x v="15"/>
    <x v="5"/>
    <x v="2"/>
    <s v="GTX Basic"/>
    <s v="Massive Dynamic"/>
    <x v="0"/>
    <d v="2017-02-13T00:00:00"/>
    <x v="40"/>
    <n v="533"/>
  </r>
  <r>
    <x v="864"/>
    <x v="3"/>
    <x v="0"/>
    <x v="0"/>
    <s v="GTX Basic"/>
    <s v="Conecom"/>
    <x v="2"/>
    <d v="2017-02-14T00:00:00"/>
    <x v="33"/>
    <n v="0"/>
  </r>
  <r>
    <x v="865"/>
    <x v="3"/>
    <x v="0"/>
    <x v="0"/>
    <s v="MG Special"/>
    <s v="Domzoom"/>
    <x v="0"/>
    <d v="2017-02-14T00:00:00"/>
    <x v="77"/>
    <n v="63"/>
  </r>
  <r>
    <x v="866"/>
    <x v="23"/>
    <x v="4"/>
    <x v="2"/>
    <s v="GTXPro"/>
    <s v="Bioplex"/>
    <x v="0"/>
    <d v="2017-02-14T00:00:00"/>
    <x v="38"/>
    <n v="4942"/>
  </r>
  <r>
    <x v="867"/>
    <x v="1"/>
    <x v="1"/>
    <x v="0"/>
    <s v="GTXPro"/>
    <s v="dambase"/>
    <x v="0"/>
    <d v="2017-02-14T00:00:00"/>
    <x v="82"/>
    <n v="4650"/>
  </r>
  <r>
    <x v="868"/>
    <x v="1"/>
    <x v="1"/>
    <x v="0"/>
    <s v="GTXPro"/>
    <s v="Konmatfix"/>
    <x v="0"/>
    <d v="2017-02-14T00:00:00"/>
    <x v="83"/>
    <n v="4829"/>
  </r>
  <r>
    <x v="869"/>
    <x v="26"/>
    <x v="4"/>
    <x v="2"/>
    <s v="GTX Plus Basic"/>
    <s v="Betasoloin"/>
    <x v="0"/>
    <d v="2017-02-14T00:00:00"/>
    <x v="56"/>
    <n v="987"/>
  </r>
  <r>
    <x v="870"/>
    <x v="26"/>
    <x v="4"/>
    <x v="2"/>
    <s v="GTX Plus Pro"/>
    <s v="Gekko &amp; Co"/>
    <x v="0"/>
    <d v="2017-02-14T00:00:00"/>
    <x v="4"/>
    <n v="4246"/>
  </r>
  <r>
    <x v="871"/>
    <x v="26"/>
    <x v="4"/>
    <x v="2"/>
    <s v="GTX Plus Pro"/>
    <s v="Iselectrics"/>
    <x v="0"/>
    <d v="2017-02-14T00:00:00"/>
    <x v="36"/>
    <n v="5702"/>
  </r>
  <r>
    <x v="872"/>
    <x v="26"/>
    <x v="4"/>
    <x v="2"/>
    <s v="MG Advanced"/>
    <s v="Silis"/>
    <x v="0"/>
    <d v="2017-02-14T00:00:00"/>
    <x v="64"/>
    <n v="2981"/>
  </r>
  <r>
    <x v="873"/>
    <x v="8"/>
    <x v="1"/>
    <x v="0"/>
    <s v="MG Advanced"/>
    <s v="Hottechi"/>
    <x v="2"/>
    <d v="2017-02-14T00:00:00"/>
    <x v="59"/>
    <n v="0"/>
  </r>
  <r>
    <x v="874"/>
    <x v="10"/>
    <x v="3"/>
    <x v="1"/>
    <s v="MG Advanced"/>
    <s v="Konex"/>
    <x v="0"/>
    <d v="2017-02-14T00:00:00"/>
    <x v="46"/>
    <n v="2873"/>
  </r>
  <r>
    <x v="875"/>
    <x v="29"/>
    <x v="1"/>
    <x v="0"/>
    <s v="MG Advanced"/>
    <s v="Treequote"/>
    <x v="2"/>
    <d v="2017-02-14T00:00:00"/>
    <x v="54"/>
    <n v="0"/>
  </r>
  <r>
    <x v="876"/>
    <x v="5"/>
    <x v="3"/>
    <x v="1"/>
    <s v="GTK 500"/>
    <s v="Vehement Capital Partners"/>
    <x v="1"/>
    <d v="2017-02-14T00:00:00"/>
    <x v="6"/>
    <m/>
  </r>
  <r>
    <x v="877"/>
    <x v="5"/>
    <x v="3"/>
    <x v="1"/>
    <s v="MG Advanced"/>
    <s v="Bioholding"/>
    <x v="1"/>
    <d v="2017-02-14T00:00:00"/>
    <x v="6"/>
    <m/>
  </r>
  <r>
    <x v="878"/>
    <x v="17"/>
    <x v="5"/>
    <x v="2"/>
    <s v="MG Special"/>
    <s v="The New York Inquirer"/>
    <x v="2"/>
    <d v="2017-02-14T00:00:00"/>
    <x v="50"/>
    <n v="0"/>
  </r>
  <r>
    <x v="879"/>
    <x v="12"/>
    <x v="0"/>
    <x v="0"/>
    <s v="GTX Basic"/>
    <s v="Gogozoom"/>
    <x v="0"/>
    <d v="2017-02-14T00:00:00"/>
    <x v="71"/>
    <n v="528"/>
  </r>
  <r>
    <x v="880"/>
    <x v="12"/>
    <x v="0"/>
    <x v="0"/>
    <s v="GTX Plus Basic"/>
    <s v="Scottech"/>
    <x v="0"/>
    <d v="2017-02-14T00:00:00"/>
    <x v="70"/>
    <n v="1199"/>
  </r>
  <r>
    <x v="881"/>
    <x v="2"/>
    <x v="2"/>
    <x v="1"/>
    <s v="GTXPro"/>
    <s v="Zoomit"/>
    <x v="2"/>
    <d v="2017-02-14T00:00:00"/>
    <x v="0"/>
    <n v="0"/>
  </r>
  <r>
    <x v="882"/>
    <x v="3"/>
    <x v="0"/>
    <x v="0"/>
    <s v="GTX Basic"/>
    <s v="Streethex"/>
    <x v="2"/>
    <d v="2017-02-15T00:00:00"/>
    <x v="59"/>
    <n v="0"/>
  </r>
  <r>
    <x v="883"/>
    <x v="27"/>
    <x v="5"/>
    <x v="2"/>
    <s v="GTX Plus Pro"/>
    <m/>
    <x v="1"/>
    <d v="2017-02-15T00:00:00"/>
    <x v="6"/>
    <m/>
  </r>
  <r>
    <x v="884"/>
    <x v="1"/>
    <x v="1"/>
    <x v="0"/>
    <s v="GTX Plus Pro"/>
    <s v="Streethex"/>
    <x v="2"/>
    <d v="2017-02-15T00:00:00"/>
    <x v="38"/>
    <n v="0"/>
  </r>
  <r>
    <x v="885"/>
    <x v="21"/>
    <x v="5"/>
    <x v="2"/>
    <s v="GTX Basic"/>
    <s v="Bluth Company"/>
    <x v="2"/>
    <d v="2017-02-15T00:00:00"/>
    <x v="14"/>
    <n v="0"/>
  </r>
  <r>
    <x v="886"/>
    <x v="21"/>
    <x v="5"/>
    <x v="2"/>
    <s v="GTX Plus Pro"/>
    <s v="Ontomedia"/>
    <x v="2"/>
    <d v="2017-02-15T00:00:00"/>
    <x v="23"/>
    <n v="0"/>
  </r>
  <r>
    <x v="887"/>
    <x v="21"/>
    <x v="5"/>
    <x v="2"/>
    <s v="MG Advanced"/>
    <s v="Ganjaflex"/>
    <x v="0"/>
    <d v="2017-02-15T00:00:00"/>
    <x v="9"/>
    <n v="3507"/>
  </r>
  <r>
    <x v="888"/>
    <x v="7"/>
    <x v="2"/>
    <x v="1"/>
    <s v="GTX Basic"/>
    <s v="Fasehatice"/>
    <x v="2"/>
    <d v="2017-02-15T00:00:00"/>
    <x v="45"/>
    <n v="0"/>
  </r>
  <r>
    <x v="889"/>
    <x v="7"/>
    <x v="2"/>
    <x v="1"/>
    <s v="GTXPro"/>
    <s v="Green-Plus"/>
    <x v="0"/>
    <d v="2017-02-15T00:00:00"/>
    <x v="74"/>
    <n v="4542"/>
  </r>
  <r>
    <x v="890"/>
    <x v="29"/>
    <x v="1"/>
    <x v="0"/>
    <s v="GTX Basic"/>
    <s v="Globex Corporation"/>
    <x v="0"/>
    <d v="2017-02-15T00:00:00"/>
    <x v="53"/>
    <n v="505"/>
  </r>
  <r>
    <x v="891"/>
    <x v="16"/>
    <x v="2"/>
    <x v="1"/>
    <s v="GTX Plus Pro"/>
    <m/>
    <x v="1"/>
    <d v="2017-02-15T00:00:00"/>
    <x v="6"/>
    <m/>
  </r>
  <r>
    <x v="892"/>
    <x v="18"/>
    <x v="2"/>
    <x v="1"/>
    <s v="GTX Basic"/>
    <m/>
    <x v="1"/>
    <d v="2017-02-15T00:00:00"/>
    <x v="6"/>
    <m/>
  </r>
  <r>
    <x v="893"/>
    <x v="18"/>
    <x v="2"/>
    <x v="1"/>
    <s v="GTX Plus Basic"/>
    <s v="Cheers"/>
    <x v="2"/>
    <d v="2017-02-15T00:00:00"/>
    <x v="50"/>
    <n v="0"/>
  </r>
  <r>
    <x v="894"/>
    <x v="5"/>
    <x v="3"/>
    <x v="1"/>
    <s v="GTX Plus Basic"/>
    <m/>
    <x v="1"/>
    <d v="2017-02-15T00:00:00"/>
    <x v="6"/>
    <m/>
  </r>
  <r>
    <x v="895"/>
    <x v="5"/>
    <x v="3"/>
    <x v="1"/>
    <s v="GTXPro"/>
    <s v="Sonron"/>
    <x v="2"/>
    <d v="2017-02-15T00:00:00"/>
    <x v="66"/>
    <n v="0"/>
  </r>
  <r>
    <x v="896"/>
    <x v="9"/>
    <x v="2"/>
    <x v="1"/>
    <s v="GTX Basic"/>
    <m/>
    <x v="1"/>
    <d v="2017-02-15T00:00:00"/>
    <x v="6"/>
    <m/>
  </r>
  <r>
    <x v="897"/>
    <x v="9"/>
    <x v="2"/>
    <x v="1"/>
    <s v="MG Advanced"/>
    <m/>
    <x v="1"/>
    <d v="2017-02-15T00:00:00"/>
    <x v="6"/>
    <m/>
  </r>
  <r>
    <x v="898"/>
    <x v="0"/>
    <x v="0"/>
    <x v="0"/>
    <s v="GTX Basic"/>
    <s v="Genco Pura Olive Oil Company"/>
    <x v="0"/>
    <d v="2017-02-15T00:00:00"/>
    <x v="59"/>
    <n v="455"/>
  </r>
  <r>
    <x v="899"/>
    <x v="19"/>
    <x v="4"/>
    <x v="2"/>
    <s v="GTX Basic"/>
    <s v="Initech"/>
    <x v="0"/>
    <d v="2017-02-15T00:00:00"/>
    <x v="5"/>
    <n v="537"/>
  </r>
  <r>
    <x v="900"/>
    <x v="19"/>
    <x v="4"/>
    <x v="2"/>
    <s v="GTX Plus Basic"/>
    <s v="Opentech"/>
    <x v="0"/>
    <d v="2017-02-15T00:00:00"/>
    <x v="23"/>
    <n v="1090"/>
  </r>
  <r>
    <x v="901"/>
    <x v="12"/>
    <x v="0"/>
    <x v="0"/>
    <s v="MG Advanced"/>
    <s v="Stanredtax"/>
    <x v="2"/>
    <d v="2017-02-15T00:00:00"/>
    <x v="61"/>
    <n v="0"/>
  </r>
  <r>
    <x v="902"/>
    <x v="12"/>
    <x v="0"/>
    <x v="0"/>
    <s v="MG Special"/>
    <s v="Genco Pura Olive Oil Company"/>
    <x v="0"/>
    <d v="2017-02-15T00:00:00"/>
    <x v="12"/>
    <n v="60"/>
  </r>
  <r>
    <x v="903"/>
    <x v="4"/>
    <x v="3"/>
    <x v="1"/>
    <s v="GTX Plus Basic"/>
    <s v="Faxquote"/>
    <x v="2"/>
    <d v="2017-02-15T00:00:00"/>
    <x v="37"/>
    <n v="0"/>
  </r>
  <r>
    <x v="904"/>
    <x v="2"/>
    <x v="2"/>
    <x v="1"/>
    <s v="GTX Basic"/>
    <m/>
    <x v="1"/>
    <d v="2017-02-15T00:00:00"/>
    <x v="6"/>
    <m/>
  </r>
  <r>
    <x v="905"/>
    <x v="23"/>
    <x v="4"/>
    <x v="2"/>
    <s v="GTX Plus Pro"/>
    <s v="Plussunin"/>
    <x v="0"/>
    <d v="2017-02-16T00:00:00"/>
    <x v="75"/>
    <n v="6509"/>
  </r>
  <r>
    <x v="906"/>
    <x v="28"/>
    <x v="0"/>
    <x v="0"/>
    <s v="GTX Plus Basic"/>
    <s v="Ron-tech"/>
    <x v="0"/>
    <d v="2017-02-16T00:00:00"/>
    <x v="40"/>
    <n v="1079"/>
  </r>
  <r>
    <x v="907"/>
    <x v="27"/>
    <x v="5"/>
    <x v="2"/>
    <s v="GTX Plus Basic"/>
    <s v="Silis"/>
    <x v="0"/>
    <d v="2017-02-16T00:00:00"/>
    <x v="56"/>
    <n v="1111"/>
  </r>
  <r>
    <x v="908"/>
    <x v="26"/>
    <x v="4"/>
    <x v="2"/>
    <s v="GTXPro"/>
    <s v="Mathtouch"/>
    <x v="2"/>
    <d v="2017-02-16T00:00:00"/>
    <x v="74"/>
    <n v="0"/>
  </r>
  <r>
    <x v="909"/>
    <x v="26"/>
    <x v="4"/>
    <x v="2"/>
    <s v="GTX Basic"/>
    <s v="Donquadtech"/>
    <x v="0"/>
    <d v="2017-02-16T00:00:00"/>
    <x v="4"/>
    <n v="462"/>
  </r>
  <r>
    <x v="910"/>
    <x v="26"/>
    <x v="4"/>
    <x v="2"/>
    <s v="GTX Basic"/>
    <s v="Xx-zobam"/>
    <x v="0"/>
    <d v="2017-02-16T00:00:00"/>
    <x v="23"/>
    <n v="555"/>
  </r>
  <r>
    <x v="911"/>
    <x v="8"/>
    <x v="1"/>
    <x v="0"/>
    <s v="GTX Plus Pro"/>
    <s v="Conecom"/>
    <x v="0"/>
    <d v="2017-02-16T00:00:00"/>
    <x v="0"/>
    <n v="6719"/>
  </r>
  <r>
    <x v="912"/>
    <x v="10"/>
    <x v="3"/>
    <x v="1"/>
    <s v="MG Advanced"/>
    <s v="Faxquote"/>
    <x v="0"/>
    <d v="2017-02-16T00:00:00"/>
    <x v="42"/>
    <n v="3281"/>
  </r>
  <r>
    <x v="913"/>
    <x v="7"/>
    <x v="2"/>
    <x v="1"/>
    <s v="GTX Plus Basic"/>
    <m/>
    <x v="1"/>
    <d v="2017-02-16T00:00:00"/>
    <x v="6"/>
    <m/>
  </r>
  <r>
    <x v="914"/>
    <x v="7"/>
    <x v="2"/>
    <x v="1"/>
    <s v="MG Advanced"/>
    <s v="Kan-code"/>
    <x v="0"/>
    <d v="2017-02-16T00:00:00"/>
    <x v="50"/>
    <n v="3398"/>
  </r>
  <r>
    <x v="915"/>
    <x v="18"/>
    <x v="2"/>
    <x v="1"/>
    <s v="GTX Basic"/>
    <s v="Labdrill"/>
    <x v="1"/>
    <d v="2017-02-16T00:00:00"/>
    <x v="6"/>
    <m/>
  </r>
  <r>
    <x v="916"/>
    <x v="18"/>
    <x v="2"/>
    <x v="1"/>
    <s v="GTXPro"/>
    <m/>
    <x v="1"/>
    <d v="2017-02-16T00:00:00"/>
    <x v="6"/>
    <m/>
  </r>
  <r>
    <x v="917"/>
    <x v="18"/>
    <x v="2"/>
    <x v="1"/>
    <s v="GTXPro"/>
    <s v="Hottechi"/>
    <x v="2"/>
    <d v="2017-02-16T00:00:00"/>
    <x v="39"/>
    <n v="0"/>
  </r>
  <r>
    <x v="918"/>
    <x v="22"/>
    <x v="1"/>
    <x v="0"/>
    <s v="GTX Basic"/>
    <s v="Domzoom"/>
    <x v="0"/>
    <d v="2017-02-16T00:00:00"/>
    <x v="0"/>
    <n v="608"/>
  </r>
  <r>
    <x v="919"/>
    <x v="6"/>
    <x v="1"/>
    <x v="0"/>
    <s v="GTXPro"/>
    <s v="Globex Corporation"/>
    <x v="2"/>
    <d v="2017-02-16T00:00:00"/>
    <x v="37"/>
    <n v="0"/>
  </r>
  <r>
    <x v="920"/>
    <x v="19"/>
    <x v="4"/>
    <x v="2"/>
    <s v="GTX Plus Basic"/>
    <s v="Donquadtech"/>
    <x v="0"/>
    <d v="2017-02-16T00:00:00"/>
    <x v="77"/>
    <n v="1187"/>
  </r>
  <r>
    <x v="921"/>
    <x v="17"/>
    <x v="5"/>
    <x v="2"/>
    <s v="GTX Basic"/>
    <m/>
    <x v="1"/>
    <d v="2017-02-16T00:00:00"/>
    <x v="6"/>
    <m/>
  </r>
  <r>
    <x v="922"/>
    <x v="15"/>
    <x v="5"/>
    <x v="2"/>
    <s v="GTX Plus Pro"/>
    <s v="Initech"/>
    <x v="0"/>
    <d v="2017-02-16T00:00:00"/>
    <x v="81"/>
    <n v="5855"/>
  </r>
  <r>
    <x v="923"/>
    <x v="2"/>
    <x v="2"/>
    <x v="1"/>
    <s v="GTX Basic"/>
    <m/>
    <x v="1"/>
    <d v="2017-02-16T00:00:00"/>
    <x v="6"/>
    <m/>
  </r>
  <r>
    <x v="924"/>
    <x v="1"/>
    <x v="1"/>
    <x v="0"/>
    <s v="GTXPro"/>
    <s v="Cancity"/>
    <x v="0"/>
    <d v="2017-02-17T00:00:00"/>
    <x v="34"/>
    <n v="5068"/>
  </r>
  <r>
    <x v="925"/>
    <x v="26"/>
    <x v="4"/>
    <x v="2"/>
    <s v="GTX Plus Basic"/>
    <s v="Gekko &amp; Co"/>
    <x v="2"/>
    <d v="2017-02-17T00:00:00"/>
    <x v="68"/>
    <n v="0"/>
  </r>
  <r>
    <x v="926"/>
    <x v="14"/>
    <x v="3"/>
    <x v="1"/>
    <s v="MG Special"/>
    <s v="Betasoloin"/>
    <x v="1"/>
    <d v="2017-02-17T00:00:00"/>
    <x v="6"/>
    <m/>
  </r>
  <r>
    <x v="927"/>
    <x v="7"/>
    <x v="2"/>
    <x v="1"/>
    <s v="GTX Plus Pro"/>
    <s v="J-Texon"/>
    <x v="0"/>
    <d v="2017-02-17T00:00:00"/>
    <x v="84"/>
    <n v="4066"/>
  </r>
  <r>
    <x v="928"/>
    <x v="29"/>
    <x v="1"/>
    <x v="0"/>
    <s v="GTXPro"/>
    <s v="Isdom"/>
    <x v="0"/>
    <d v="2017-02-17T00:00:00"/>
    <x v="52"/>
    <n v="4494"/>
  </r>
  <r>
    <x v="929"/>
    <x v="16"/>
    <x v="2"/>
    <x v="1"/>
    <s v="GTX Basic"/>
    <s v="Finjob"/>
    <x v="2"/>
    <d v="2017-02-17T00:00:00"/>
    <x v="32"/>
    <n v="0"/>
  </r>
  <r>
    <x v="930"/>
    <x v="16"/>
    <x v="2"/>
    <x v="1"/>
    <s v="GTXPro"/>
    <s v="Nam-zim"/>
    <x v="2"/>
    <d v="2017-02-17T00:00:00"/>
    <x v="53"/>
    <n v="0"/>
  </r>
  <r>
    <x v="931"/>
    <x v="16"/>
    <x v="2"/>
    <x v="1"/>
    <s v="GTX Basic"/>
    <s v="Plexzap"/>
    <x v="0"/>
    <d v="2017-02-17T00:00:00"/>
    <x v="58"/>
    <n v="540"/>
  </r>
  <r>
    <x v="932"/>
    <x v="6"/>
    <x v="1"/>
    <x v="0"/>
    <s v="MG Advanced"/>
    <s v="Conecom"/>
    <x v="2"/>
    <d v="2017-02-17T00:00:00"/>
    <x v="39"/>
    <n v="0"/>
  </r>
  <r>
    <x v="933"/>
    <x v="12"/>
    <x v="0"/>
    <x v="0"/>
    <s v="MG Special"/>
    <s v="Domzoom"/>
    <x v="0"/>
    <d v="2017-02-17T00:00:00"/>
    <x v="65"/>
    <n v="54"/>
  </r>
  <r>
    <x v="934"/>
    <x v="4"/>
    <x v="3"/>
    <x v="1"/>
    <s v="MG Advanced"/>
    <m/>
    <x v="1"/>
    <d v="2017-02-17T00:00:00"/>
    <x v="6"/>
    <m/>
  </r>
  <r>
    <x v="935"/>
    <x v="2"/>
    <x v="2"/>
    <x v="1"/>
    <s v="GTXPro"/>
    <s v="Lexiqvolax"/>
    <x v="2"/>
    <d v="2017-02-17T00:00:00"/>
    <x v="53"/>
    <n v="0"/>
  </r>
  <r>
    <x v="936"/>
    <x v="23"/>
    <x v="4"/>
    <x v="2"/>
    <s v="MG Special"/>
    <m/>
    <x v="1"/>
    <d v="2017-02-18T00:00:00"/>
    <x v="6"/>
    <m/>
  </r>
  <r>
    <x v="937"/>
    <x v="27"/>
    <x v="5"/>
    <x v="2"/>
    <s v="MG Special"/>
    <s v="Zathunicon"/>
    <x v="2"/>
    <d v="2017-02-18T00:00:00"/>
    <x v="60"/>
    <n v="0"/>
  </r>
  <r>
    <x v="938"/>
    <x v="1"/>
    <x v="1"/>
    <x v="0"/>
    <s v="GTXPro"/>
    <s v="Hottechi"/>
    <x v="2"/>
    <d v="2017-02-18T00:00:00"/>
    <x v="45"/>
    <n v="0"/>
  </r>
  <r>
    <x v="939"/>
    <x v="26"/>
    <x v="4"/>
    <x v="2"/>
    <s v="MG Advanced"/>
    <s v="Betasoloin"/>
    <x v="0"/>
    <d v="2017-02-18T00:00:00"/>
    <x v="38"/>
    <n v="3602"/>
  </r>
  <r>
    <x v="940"/>
    <x v="24"/>
    <x v="0"/>
    <x v="0"/>
    <s v="MG Advanced"/>
    <s v="Betatech"/>
    <x v="0"/>
    <d v="2017-02-18T00:00:00"/>
    <x v="50"/>
    <n v="2904"/>
  </r>
  <r>
    <x v="941"/>
    <x v="5"/>
    <x v="3"/>
    <x v="1"/>
    <s v="GTX Basic"/>
    <s v="Sonron"/>
    <x v="0"/>
    <d v="2017-02-18T00:00:00"/>
    <x v="66"/>
    <n v="571"/>
  </r>
  <r>
    <x v="942"/>
    <x v="22"/>
    <x v="1"/>
    <x v="0"/>
    <s v="MG Special"/>
    <s v="Genco Pura Olive Oil Company"/>
    <x v="2"/>
    <d v="2017-02-18T00:00:00"/>
    <x v="77"/>
    <n v="0"/>
  </r>
  <r>
    <x v="943"/>
    <x v="19"/>
    <x v="4"/>
    <x v="2"/>
    <s v="GTX Basic"/>
    <s v="Zathunicon"/>
    <x v="0"/>
    <d v="2017-02-18T00:00:00"/>
    <x v="70"/>
    <n v="492"/>
  </r>
  <r>
    <x v="944"/>
    <x v="19"/>
    <x v="4"/>
    <x v="2"/>
    <s v="GTXPro"/>
    <s v="Zathunicon"/>
    <x v="0"/>
    <d v="2017-02-18T00:00:00"/>
    <x v="63"/>
    <n v="4545"/>
  </r>
  <r>
    <x v="945"/>
    <x v="12"/>
    <x v="0"/>
    <x v="0"/>
    <s v="GTX Plus Pro"/>
    <s v="Cancity"/>
    <x v="0"/>
    <d v="2017-02-18T00:00:00"/>
    <x v="25"/>
    <n v="5614"/>
  </r>
  <r>
    <x v="946"/>
    <x v="3"/>
    <x v="0"/>
    <x v="0"/>
    <s v="GTX Plus Pro"/>
    <s v="Betatech"/>
    <x v="0"/>
    <d v="2017-02-19T00:00:00"/>
    <x v="82"/>
    <n v="5370"/>
  </r>
  <r>
    <x v="947"/>
    <x v="25"/>
    <x v="4"/>
    <x v="2"/>
    <s v="GTX Basic"/>
    <s v="Zencorporation"/>
    <x v="0"/>
    <d v="2017-02-19T00:00:00"/>
    <x v="35"/>
    <n v="550"/>
  </r>
  <r>
    <x v="948"/>
    <x v="23"/>
    <x v="4"/>
    <x v="2"/>
    <s v="GTX Plus Basic"/>
    <s v="Yearin"/>
    <x v="0"/>
    <d v="2017-02-19T00:00:00"/>
    <x v="4"/>
    <n v="1011"/>
  </r>
  <r>
    <x v="949"/>
    <x v="27"/>
    <x v="5"/>
    <x v="2"/>
    <s v="MG Special"/>
    <s v="Sumace"/>
    <x v="0"/>
    <d v="2017-02-19T00:00:00"/>
    <x v="70"/>
    <n v="56"/>
  </r>
  <r>
    <x v="950"/>
    <x v="13"/>
    <x v="4"/>
    <x v="2"/>
    <s v="MG Special"/>
    <m/>
    <x v="1"/>
    <d v="2017-02-19T00:00:00"/>
    <x v="6"/>
    <m/>
  </r>
  <r>
    <x v="951"/>
    <x v="1"/>
    <x v="1"/>
    <x v="0"/>
    <s v="GTX Plus Basic"/>
    <s v="Codehow"/>
    <x v="0"/>
    <d v="2017-02-19T00:00:00"/>
    <x v="23"/>
    <n v="1217"/>
  </r>
  <r>
    <x v="952"/>
    <x v="26"/>
    <x v="4"/>
    <x v="2"/>
    <s v="GTX Basic"/>
    <s v="Bubba Gump"/>
    <x v="2"/>
    <d v="2017-02-19T00:00:00"/>
    <x v="65"/>
    <n v="0"/>
  </r>
  <r>
    <x v="953"/>
    <x v="26"/>
    <x v="4"/>
    <x v="2"/>
    <s v="MG Advanced"/>
    <s v="Kan-code"/>
    <x v="0"/>
    <d v="2017-02-19T00:00:00"/>
    <x v="34"/>
    <n v="3222"/>
  </r>
  <r>
    <x v="954"/>
    <x v="21"/>
    <x v="5"/>
    <x v="2"/>
    <s v="GTX Basic"/>
    <s v="Bioplex"/>
    <x v="2"/>
    <d v="2017-02-19T00:00:00"/>
    <x v="39"/>
    <n v="0"/>
  </r>
  <r>
    <x v="955"/>
    <x v="21"/>
    <x v="5"/>
    <x v="2"/>
    <s v="GTX Basic"/>
    <s v="Massive Dynamic"/>
    <x v="2"/>
    <d v="2017-02-19T00:00:00"/>
    <x v="33"/>
    <n v="0"/>
  </r>
  <r>
    <x v="956"/>
    <x v="21"/>
    <x v="5"/>
    <x v="2"/>
    <s v="MG Advanced"/>
    <s v="Opentech"/>
    <x v="0"/>
    <d v="2017-02-19T00:00:00"/>
    <x v="0"/>
    <n v="3348"/>
  </r>
  <r>
    <x v="957"/>
    <x v="29"/>
    <x v="1"/>
    <x v="0"/>
    <s v="GTX Basic"/>
    <s v="Conecom"/>
    <x v="2"/>
    <d v="2017-02-19T00:00:00"/>
    <x v="49"/>
    <n v="0"/>
  </r>
  <r>
    <x v="958"/>
    <x v="16"/>
    <x v="2"/>
    <x v="1"/>
    <s v="GTX Basic"/>
    <s v="Faxquote"/>
    <x v="1"/>
    <d v="2017-02-19T00:00:00"/>
    <x v="6"/>
    <m/>
  </r>
  <r>
    <x v="959"/>
    <x v="16"/>
    <x v="2"/>
    <x v="1"/>
    <s v="GTXPro"/>
    <s v="Newex"/>
    <x v="0"/>
    <d v="2017-02-19T00:00:00"/>
    <x v="10"/>
    <n v="4216"/>
  </r>
  <r>
    <x v="960"/>
    <x v="5"/>
    <x v="3"/>
    <x v="1"/>
    <s v="GTX Plus Basic"/>
    <m/>
    <x v="1"/>
    <d v="2017-02-19T00:00:00"/>
    <x v="6"/>
    <m/>
  </r>
  <r>
    <x v="961"/>
    <x v="5"/>
    <x v="3"/>
    <x v="1"/>
    <s v="MG Advanced"/>
    <m/>
    <x v="1"/>
    <d v="2017-02-19T00:00:00"/>
    <x v="6"/>
    <m/>
  </r>
  <r>
    <x v="962"/>
    <x v="0"/>
    <x v="0"/>
    <x v="0"/>
    <s v="GTX Basic"/>
    <s v="Stanredtax"/>
    <x v="0"/>
    <d v="2017-02-19T00:00:00"/>
    <x v="53"/>
    <n v="404"/>
  </r>
  <r>
    <x v="963"/>
    <x v="17"/>
    <x v="5"/>
    <x v="2"/>
    <s v="GTX Plus Pro"/>
    <s v="Initech"/>
    <x v="2"/>
    <d v="2017-02-19T00:00:00"/>
    <x v="85"/>
    <n v="0"/>
  </r>
  <r>
    <x v="964"/>
    <x v="17"/>
    <x v="5"/>
    <x v="2"/>
    <s v="MG Special"/>
    <s v="Zathunicon"/>
    <x v="2"/>
    <d v="2017-02-19T00:00:00"/>
    <x v="64"/>
    <n v="0"/>
  </r>
  <r>
    <x v="965"/>
    <x v="17"/>
    <x v="5"/>
    <x v="2"/>
    <s v="GTXPro"/>
    <s v="Sumace"/>
    <x v="0"/>
    <d v="2017-02-19T00:00:00"/>
    <x v="23"/>
    <n v="5260"/>
  </r>
  <r>
    <x v="966"/>
    <x v="4"/>
    <x v="3"/>
    <x v="1"/>
    <s v="MG Advanced"/>
    <m/>
    <x v="1"/>
    <d v="2017-02-19T00:00:00"/>
    <x v="6"/>
    <m/>
  </r>
  <r>
    <x v="967"/>
    <x v="4"/>
    <x v="3"/>
    <x v="1"/>
    <s v="GTX Plus Basic"/>
    <s v="Kan-code"/>
    <x v="2"/>
    <d v="2017-02-19T00:00:00"/>
    <x v="2"/>
    <n v="0"/>
  </r>
  <r>
    <x v="968"/>
    <x v="15"/>
    <x v="5"/>
    <x v="2"/>
    <s v="MG Special"/>
    <s v="Donquadtech"/>
    <x v="0"/>
    <d v="2017-02-19T00:00:00"/>
    <x v="36"/>
    <n v="51"/>
  </r>
  <r>
    <x v="969"/>
    <x v="2"/>
    <x v="2"/>
    <x v="1"/>
    <s v="GTX Basic"/>
    <m/>
    <x v="1"/>
    <d v="2017-02-19T00:00:00"/>
    <x v="6"/>
    <m/>
  </r>
  <r>
    <x v="970"/>
    <x v="2"/>
    <x v="2"/>
    <x v="1"/>
    <s v="GTX Basic"/>
    <s v="Scotfind"/>
    <x v="0"/>
    <d v="2017-02-19T00:00:00"/>
    <x v="79"/>
    <n v="598"/>
  </r>
  <r>
    <x v="971"/>
    <x v="25"/>
    <x v="4"/>
    <x v="2"/>
    <s v="GTX Plus Basic"/>
    <s v="Konex"/>
    <x v="2"/>
    <d v="2017-02-20T00:00:00"/>
    <x v="49"/>
    <n v="0"/>
  </r>
  <r>
    <x v="972"/>
    <x v="25"/>
    <x v="4"/>
    <x v="2"/>
    <s v="MG Special"/>
    <s v="Zathunicon"/>
    <x v="0"/>
    <d v="2017-02-20T00:00:00"/>
    <x v="61"/>
    <n v="42"/>
  </r>
  <r>
    <x v="973"/>
    <x v="23"/>
    <x v="4"/>
    <x v="2"/>
    <s v="GTXPro"/>
    <s v="Vehement Capital Partners"/>
    <x v="0"/>
    <d v="2017-02-20T00:00:00"/>
    <x v="52"/>
    <n v="4689"/>
  </r>
  <r>
    <x v="974"/>
    <x v="28"/>
    <x v="0"/>
    <x v="0"/>
    <s v="GTX Plus Pro"/>
    <s v="Statholdings"/>
    <x v="0"/>
    <d v="2017-02-20T00:00:00"/>
    <x v="86"/>
    <n v="5154"/>
  </r>
  <r>
    <x v="975"/>
    <x v="1"/>
    <x v="1"/>
    <x v="0"/>
    <s v="GTXPro"/>
    <s v="Gogozoom"/>
    <x v="2"/>
    <d v="2017-02-20T00:00:00"/>
    <x v="67"/>
    <n v="0"/>
  </r>
  <r>
    <x v="976"/>
    <x v="26"/>
    <x v="4"/>
    <x v="2"/>
    <s v="GTXPro"/>
    <s v="Zencorporation"/>
    <x v="0"/>
    <d v="2017-02-20T00:00:00"/>
    <x v="33"/>
    <n v="5010"/>
  </r>
  <r>
    <x v="977"/>
    <x v="8"/>
    <x v="1"/>
    <x v="0"/>
    <s v="MG Advanced"/>
    <s v="Finhigh"/>
    <x v="0"/>
    <d v="2017-02-20T00:00:00"/>
    <x v="64"/>
    <n v="3215"/>
  </r>
  <r>
    <x v="978"/>
    <x v="16"/>
    <x v="2"/>
    <x v="1"/>
    <s v="GTX Basic"/>
    <s v="Nam-zim"/>
    <x v="2"/>
    <d v="2017-02-20T00:00:00"/>
    <x v="71"/>
    <n v="0"/>
  </r>
  <r>
    <x v="979"/>
    <x v="18"/>
    <x v="2"/>
    <x v="1"/>
    <s v="GTX Plus Basic"/>
    <s v="Donquadtech"/>
    <x v="1"/>
    <d v="2017-02-20T00:00:00"/>
    <x v="6"/>
    <m/>
  </r>
  <r>
    <x v="980"/>
    <x v="18"/>
    <x v="2"/>
    <x v="1"/>
    <s v="GTXPro"/>
    <s v="Hatfan"/>
    <x v="0"/>
    <d v="2017-02-20T00:00:00"/>
    <x v="86"/>
    <n v="3169"/>
  </r>
  <r>
    <x v="981"/>
    <x v="5"/>
    <x v="3"/>
    <x v="1"/>
    <s v="GTX Plus Basic"/>
    <s v="Scotfind"/>
    <x v="2"/>
    <d v="2017-02-20T00:00:00"/>
    <x v="87"/>
    <n v="0"/>
  </r>
  <r>
    <x v="982"/>
    <x v="22"/>
    <x v="1"/>
    <x v="0"/>
    <s v="GTX Plus Pro"/>
    <s v="Funholding"/>
    <x v="0"/>
    <d v="2017-02-20T00:00:00"/>
    <x v="71"/>
    <n v="5015"/>
  </r>
  <r>
    <x v="983"/>
    <x v="9"/>
    <x v="2"/>
    <x v="1"/>
    <s v="GTX Basic"/>
    <s v="Dalttechnology"/>
    <x v="0"/>
    <d v="2017-02-20T00:00:00"/>
    <x v="0"/>
    <n v="571"/>
  </r>
  <r>
    <x v="984"/>
    <x v="19"/>
    <x v="4"/>
    <x v="2"/>
    <s v="GTXPro"/>
    <s v="Bubba Gump"/>
    <x v="0"/>
    <d v="2017-02-20T00:00:00"/>
    <x v="67"/>
    <n v="4839"/>
  </r>
  <r>
    <x v="985"/>
    <x v="19"/>
    <x v="4"/>
    <x v="2"/>
    <s v="MG Advanced"/>
    <s v="Massive Dynamic"/>
    <x v="0"/>
    <d v="2017-02-20T00:00:00"/>
    <x v="10"/>
    <n v="3315"/>
  </r>
  <r>
    <x v="986"/>
    <x v="12"/>
    <x v="0"/>
    <x v="0"/>
    <s v="MG Special"/>
    <s v="Warephase"/>
    <x v="0"/>
    <d v="2017-02-20T00:00:00"/>
    <x v="61"/>
    <n v="60"/>
  </r>
  <r>
    <x v="987"/>
    <x v="4"/>
    <x v="3"/>
    <x v="1"/>
    <s v="GTXPro"/>
    <m/>
    <x v="1"/>
    <d v="2017-02-20T00:00:00"/>
    <x v="6"/>
    <m/>
  </r>
  <r>
    <x v="988"/>
    <x v="20"/>
    <x v="5"/>
    <x v="2"/>
    <s v="MG Advanced"/>
    <m/>
    <x v="1"/>
    <d v="2017-02-20T00:00:00"/>
    <x v="6"/>
    <m/>
  </r>
  <r>
    <x v="989"/>
    <x v="3"/>
    <x v="0"/>
    <x v="0"/>
    <s v="GTX Plus Basic"/>
    <s v="Treequote"/>
    <x v="0"/>
    <d v="2017-02-21T00:00:00"/>
    <x v="23"/>
    <n v="999"/>
  </r>
  <r>
    <x v="990"/>
    <x v="25"/>
    <x v="4"/>
    <x v="2"/>
    <s v="GTXPro"/>
    <m/>
    <x v="1"/>
    <d v="2017-02-21T00:00:00"/>
    <x v="6"/>
    <m/>
  </r>
  <r>
    <x v="991"/>
    <x v="1"/>
    <x v="1"/>
    <x v="0"/>
    <s v="GTX Basic"/>
    <s v="Statholdings"/>
    <x v="2"/>
    <d v="2017-02-21T00:00:00"/>
    <x v="80"/>
    <n v="0"/>
  </r>
  <r>
    <x v="992"/>
    <x v="24"/>
    <x v="0"/>
    <x v="0"/>
    <s v="GTX Plus Pro"/>
    <s v="Finhigh"/>
    <x v="0"/>
    <d v="2017-02-21T00:00:00"/>
    <x v="43"/>
    <n v="5401"/>
  </r>
  <r>
    <x v="993"/>
    <x v="5"/>
    <x v="3"/>
    <x v="1"/>
    <s v="MG Advanced"/>
    <s v="Newex"/>
    <x v="1"/>
    <d v="2017-02-21T00:00:00"/>
    <x v="6"/>
    <m/>
  </r>
  <r>
    <x v="994"/>
    <x v="9"/>
    <x v="2"/>
    <x v="1"/>
    <s v="GTX Plus Pro"/>
    <m/>
    <x v="1"/>
    <d v="2017-02-21T00:00:00"/>
    <x v="6"/>
    <m/>
  </r>
  <r>
    <x v="995"/>
    <x v="0"/>
    <x v="0"/>
    <x v="0"/>
    <s v="GTX Basic"/>
    <s v="Rundofase"/>
    <x v="0"/>
    <d v="2017-02-21T00:00:00"/>
    <x v="70"/>
    <n v="551"/>
  </r>
  <r>
    <x v="996"/>
    <x v="19"/>
    <x v="4"/>
    <x v="2"/>
    <s v="GTX Plus Pro"/>
    <s v="Mathtouch"/>
    <x v="2"/>
    <d v="2017-02-21T00:00:00"/>
    <x v="55"/>
    <n v="0"/>
  </r>
  <r>
    <x v="997"/>
    <x v="4"/>
    <x v="3"/>
    <x v="1"/>
    <s v="GTX Basic"/>
    <s v="Faxquote"/>
    <x v="0"/>
    <d v="2017-02-21T00:00:00"/>
    <x v="19"/>
    <n v="600"/>
  </r>
  <r>
    <x v="998"/>
    <x v="15"/>
    <x v="5"/>
    <x v="2"/>
    <s v="GTXPro"/>
    <s v="Goodsilron"/>
    <x v="1"/>
    <d v="2017-02-21T00:00:00"/>
    <x v="6"/>
    <m/>
  </r>
  <r>
    <x v="999"/>
    <x v="15"/>
    <x v="5"/>
    <x v="2"/>
    <s v="GTX Plus Pro"/>
    <s v="Bioplex"/>
    <x v="2"/>
    <d v="2017-02-21T00:00:00"/>
    <x v="33"/>
    <n v="0"/>
  </r>
  <r>
    <x v="1000"/>
    <x v="25"/>
    <x v="4"/>
    <x v="2"/>
    <s v="MG Special"/>
    <s v="The New York Inquirer"/>
    <x v="2"/>
    <d v="2017-02-22T00:00:00"/>
    <x v="57"/>
    <n v="0"/>
  </r>
  <r>
    <x v="1001"/>
    <x v="23"/>
    <x v="4"/>
    <x v="2"/>
    <s v="GTXPro"/>
    <s v="Sumace"/>
    <x v="0"/>
    <d v="2017-02-22T00:00:00"/>
    <x v="4"/>
    <n v="4711"/>
  </r>
  <r>
    <x v="1002"/>
    <x v="27"/>
    <x v="5"/>
    <x v="2"/>
    <s v="MG Advanced"/>
    <s v="Vehement Capital Partners"/>
    <x v="2"/>
    <d v="2017-02-22T00:00:00"/>
    <x v="85"/>
    <n v="0"/>
  </r>
  <r>
    <x v="1003"/>
    <x v="27"/>
    <x v="5"/>
    <x v="2"/>
    <s v="GTXPro"/>
    <s v="Zencorporation"/>
    <x v="0"/>
    <d v="2017-02-22T00:00:00"/>
    <x v="88"/>
    <n v="5133"/>
  </r>
  <r>
    <x v="1004"/>
    <x v="13"/>
    <x v="4"/>
    <x v="2"/>
    <s v="GTX Basic"/>
    <s v="Fasehatice"/>
    <x v="1"/>
    <d v="2017-02-22T00:00:00"/>
    <x v="6"/>
    <m/>
  </r>
  <r>
    <x v="1005"/>
    <x v="13"/>
    <x v="4"/>
    <x v="2"/>
    <s v="GTX Plus Pro"/>
    <s v="Sumace"/>
    <x v="2"/>
    <d v="2017-02-22T00:00:00"/>
    <x v="37"/>
    <n v="0"/>
  </r>
  <r>
    <x v="1006"/>
    <x v="13"/>
    <x v="4"/>
    <x v="2"/>
    <s v="GTX Plus Pro"/>
    <s v="Zathunicon"/>
    <x v="0"/>
    <d v="2017-02-22T00:00:00"/>
    <x v="41"/>
    <n v="4848"/>
  </r>
  <r>
    <x v="1007"/>
    <x v="13"/>
    <x v="4"/>
    <x v="2"/>
    <s v="GTXPro"/>
    <s v="Mathtouch"/>
    <x v="0"/>
    <d v="2017-02-22T00:00:00"/>
    <x v="5"/>
    <n v="4475"/>
  </r>
  <r>
    <x v="1008"/>
    <x v="1"/>
    <x v="1"/>
    <x v="0"/>
    <s v="GTX Basic"/>
    <s v="Betatech"/>
    <x v="2"/>
    <d v="2017-02-22T00:00:00"/>
    <x v="10"/>
    <n v="0"/>
  </r>
  <r>
    <x v="1009"/>
    <x v="1"/>
    <x v="1"/>
    <x v="0"/>
    <s v="GTXPro"/>
    <s v="Genco Pura Olive Oil Company"/>
    <x v="0"/>
    <d v="2017-02-22T00:00:00"/>
    <x v="7"/>
    <n v="3763"/>
  </r>
  <r>
    <x v="1010"/>
    <x v="1"/>
    <x v="1"/>
    <x v="0"/>
    <s v="GTXPro"/>
    <s v="Ron-tech"/>
    <x v="0"/>
    <d v="2017-02-22T00:00:00"/>
    <x v="10"/>
    <n v="5006"/>
  </r>
  <r>
    <x v="1011"/>
    <x v="8"/>
    <x v="1"/>
    <x v="0"/>
    <s v="GTXPro"/>
    <s v="Toughzap"/>
    <x v="0"/>
    <d v="2017-02-22T00:00:00"/>
    <x v="75"/>
    <n v="4498"/>
  </r>
  <r>
    <x v="1012"/>
    <x v="8"/>
    <x v="1"/>
    <x v="0"/>
    <s v="GTXPro"/>
    <s v="Warephase"/>
    <x v="0"/>
    <d v="2017-02-22T00:00:00"/>
    <x v="29"/>
    <n v="4375"/>
  </r>
  <r>
    <x v="1013"/>
    <x v="10"/>
    <x v="3"/>
    <x v="1"/>
    <s v="MG Advanced"/>
    <m/>
    <x v="1"/>
    <d v="2017-02-22T00:00:00"/>
    <x v="6"/>
    <m/>
  </r>
  <r>
    <x v="1014"/>
    <x v="10"/>
    <x v="3"/>
    <x v="1"/>
    <s v="GTX Plus Basic"/>
    <s v="J-Texon"/>
    <x v="2"/>
    <d v="2017-02-22T00:00:00"/>
    <x v="63"/>
    <n v="0"/>
  </r>
  <r>
    <x v="1015"/>
    <x v="10"/>
    <x v="3"/>
    <x v="1"/>
    <s v="MG Advanced"/>
    <s v="Fasehatice"/>
    <x v="0"/>
    <d v="2017-02-22T00:00:00"/>
    <x v="43"/>
    <n v="3763"/>
  </r>
  <r>
    <x v="1016"/>
    <x v="16"/>
    <x v="2"/>
    <x v="1"/>
    <s v="GTXPro"/>
    <s v="J-Texon"/>
    <x v="2"/>
    <d v="2017-02-22T00:00:00"/>
    <x v="16"/>
    <n v="0"/>
  </r>
  <r>
    <x v="1017"/>
    <x v="16"/>
    <x v="2"/>
    <x v="1"/>
    <s v="GTX Plus Pro"/>
    <s v="Sonron"/>
    <x v="0"/>
    <d v="2017-02-22T00:00:00"/>
    <x v="34"/>
    <n v="5491"/>
  </r>
  <r>
    <x v="1018"/>
    <x v="24"/>
    <x v="0"/>
    <x v="0"/>
    <s v="GTX Basic"/>
    <s v="Bioholding"/>
    <x v="2"/>
    <d v="2017-02-22T00:00:00"/>
    <x v="57"/>
    <n v="0"/>
  </r>
  <r>
    <x v="1019"/>
    <x v="5"/>
    <x v="3"/>
    <x v="1"/>
    <s v="GTX Plus Pro"/>
    <s v="Y-corporation"/>
    <x v="0"/>
    <d v="2017-02-22T00:00:00"/>
    <x v="69"/>
    <n v="5503"/>
  </r>
  <r>
    <x v="1020"/>
    <x v="0"/>
    <x v="0"/>
    <x v="0"/>
    <s v="GTX Plus Basic"/>
    <s v="Rangreen"/>
    <x v="2"/>
    <d v="2017-02-22T00:00:00"/>
    <x v="77"/>
    <n v="0"/>
  </r>
  <r>
    <x v="1021"/>
    <x v="0"/>
    <x v="0"/>
    <x v="0"/>
    <s v="MG Special"/>
    <s v="Statholdings"/>
    <x v="0"/>
    <d v="2017-02-22T00:00:00"/>
    <x v="41"/>
    <n v="58"/>
  </r>
  <r>
    <x v="1022"/>
    <x v="6"/>
    <x v="1"/>
    <x v="0"/>
    <s v="GTX Plus Basic"/>
    <s v="Genco Pura Olive Oil Company"/>
    <x v="0"/>
    <d v="2017-02-22T00:00:00"/>
    <x v="63"/>
    <n v="1051"/>
  </r>
  <r>
    <x v="1023"/>
    <x v="6"/>
    <x v="1"/>
    <x v="0"/>
    <s v="GTX Plus Pro"/>
    <s v="Conecom"/>
    <x v="0"/>
    <d v="2017-02-22T00:00:00"/>
    <x v="2"/>
    <n v="5604"/>
  </r>
  <r>
    <x v="1024"/>
    <x v="19"/>
    <x v="4"/>
    <x v="2"/>
    <s v="MG Advanced"/>
    <s v="Xx-zobam"/>
    <x v="0"/>
    <d v="2017-02-22T00:00:00"/>
    <x v="41"/>
    <n v="3273"/>
  </r>
  <r>
    <x v="1025"/>
    <x v="11"/>
    <x v="3"/>
    <x v="1"/>
    <s v="GTX Basic"/>
    <m/>
    <x v="1"/>
    <d v="2017-02-22T00:00:00"/>
    <x v="6"/>
    <m/>
  </r>
  <r>
    <x v="1026"/>
    <x v="4"/>
    <x v="3"/>
    <x v="1"/>
    <s v="GTX Basic"/>
    <s v="Rundofase"/>
    <x v="1"/>
    <d v="2017-02-22T00:00:00"/>
    <x v="6"/>
    <m/>
  </r>
  <r>
    <x v="1027"/>
    <x v="4"/>
    <x v="3"/>
    <x v="1"/>
    <s v="GTX Plus Basic"/>
    <s v="Scotfind"/>
    <x v="2"/>
    <d v="2017-02-22T00:00:00"/>
    <x v="54"/>
    <n v="0"/>
  </r>
  <r>
    <x v="1028"/>
    <x v="2"/>
    <x v="2"/>
    <x v="1"/>
    <s v="GTX Plus Basic"/>
    <s v="Scotfind"/>
    <x v="0"/>
    <d v="2017-02-22T00:00:00"/>
    <x v="42"/>
    <n v="1220"/>
  </r>
  <r>
    <x v="1029"/>
    <x v="2"/>
    <x v="2"/>
    <x v="1"/>
    <s v="GTX Plus Pro"/>
    <s v="Singletechno"/>
    <x v="0"/>
    <d v="2017-02-22T00:00:00"/>
    <x v="4"/>
    <n v="5497"/>
  </r>
  <r>
    <x v="1030"/>
    <x v="3"/>
    <x v="0"/>
    <x v="0"/>
    <s v="GTX Plus Basic"/>
    <s v="Conecom"/>
    <x v="0"/>
    <d v="2017-02-23T00:00:00"/>
    <x v="76"/>
    <n v="1056"/>
  </r>
  <r>
    <x v="1031"/>
    <x v="25"/>
    <x v="4"/>
    <x v="2"/>
    <s v="GTX Basic"/>
    <s v="Kan-code"/>
    <x v="2"/>
    <d v="2017-02-23T00:00:00"/>
    <x v="83"/>
    <n v="0"/>
  </r>
  <r>
    <x v="1032"/>
    <x v="23"/>
    <x v="4"/>
    <x v="2"/>
    <s v="GTX Basic"/>
    <s v="Massive Dynamic"/>
    <x v="0"/>
    <d v="2017-02-23T00:00:00"/>
    <x v="15"/>
    <n v="572"/>
  </r>
  <r>
    <x v="1033"/>
    <x v="28"/>
    <x v="0"/>
    <x v="0"/>
    <s v="MG Advanced"/>
    <s v="Funholding"/>
    <x v="0"/>
    <d v="2017-02-23T00:00:00"/>
    <x v="55"/>
    <n v="3668"/>
  </r>
  <r>
    <x v="1034"/>
    <x v="27"/>
    <x v="5"/>
    <x v="2"/>
    <s v="GTX Basic"/>
    <m/>
    <x v="1"/>
    <d v="2017-02-23T00:00:00"/>
    <x v="6"/>
    <m/>
  </r>
  <r>
    <x v="1035"/>
    <x v="27"/>
    <x v="5"/>
    <x v="2"/>
    <s v="MG Special"/>
    <s v="Kinnamplus"/>
    <x v="0"/>
    <d v="2017-02-23T00:00:00"/>
    <x v="4"/>
    <n v="50"/>
  </r>
  <r>
    <x v="1036"/>
    <x v="13"/>
    <x v="4"/>
    <x v="2"/>
    <s v="MG Advanced"/>
    <s v="Silis"/>
    <x v="0"/>
    <d v="2017-02-23T00:00:00"/>
    <x v="57"/>
    <n v="3509"/>
  </r>
  <r>
    <x v="1037"/>
    <x v="1"/>
    <x v="1"/>
    <x v="0"/>
    <s v="GTXPro"/>
    <s v="Gogozoom"/>
    <x v="0"/>
    <d v="2017-02-23T00:00:00"/>
    <x v="88"/>
    <n v="5643"/>
  </r>
  <r>
    <x v="1038"/>
    <x v="14"/>
    <x v="3"/>
    <x v="1"/>
    <s v="MG Special"/>
    <s v="Dalttechnology"/>
    <x v="0"/>
    <d v="2017-02-23T00:00:00"/>
    <x v="7"/>
    <n v="47"/>
  </r>
  <r>
    <x v="1039"/>
    <x v="10"/>
    <x v="3"/>
    <x v="1"/>
    <s v="MG Advanced"/>
    <s v="Finjob"/>
    <x v="0"/>
    <d v="2017-02-23T00:00:00"/>
    <x v="11"/>
    <n v="3312"/>
  </r>
  <r>
    <x v="1040"/>
    <x v="7"/>
    <x v="2"/>
    <x v="1"/>
    <s v="GTX Plus Pro"/>
    <s v="Goodsilron"/>
    <x v="2"/>
    <d v="2017-02-23T00:00:00"/>
    <x v="78"/>
    <n v="0"/>
  </r>
  <r>
    <x v="1041"/>
    <x v="16"/>
    <x v="2"/>
    <x v="1"/>
    <s v="MG Advanced"/>
    <m/>
    <x v="1"/>
    <d v="2017-02-23T00:00:00"/>
    <x v="6"/>
    <m/>
  </r>
  <r>
    <x v="1042"/>
    <x v="16"/>
    <x v="2"/>
    <x v="1"/>
    <s v="GTX Basic"/>
    <s v="Labdrill"/>
    <x v="0"/>
    <d v="2017-02-23T00:00:00"/>
    <x v="1"/>
    <n v="480"/>
  </r>
  <r>
    <x v="1043"/>
    <x v="16"/>
    <x v="2"/>
    <x v="1"/>
    <s v="MG Advanced"/>
    <s v="Nam-zim"/>
    <x v="0"/>
    <d v="2017-02-23T00:00:00"/>
    <x v="36"/>
    <n v="3208"/>
  </r>
  <r>
    <x v="1044"/>
    <x v="18"/>
    <x v="2"/>
    <x v="1"/>
    <s v="GTX Basic"/>
    <s v="Y-corporation"/>
    <x v="2"/>
    <d v="2017-02-23T00:00:00"/>
    <x v="32"/>
    <n v="0"/>
  </r>
  <r>
    <x v="1045"/>
    <x v="18"/>
    <x v="2"/>
    <x v="1"/>
    <s v="GTX Plus Pro"/>
    <s v="Kan-code"/>
    <x v="0"/>
    <d v="2017-02-23T00:00:00"/>
    <x v="32"/>
    <n v="5782"/>
  </r>
  <r>
    <x v="1046"/>
    <x v="24"/>
    <x v="0"/>
    <x v="0"/>
    <s v="GTX Plus Pro"/>
    <s v="Rangreen"/>
    <x v="0"/>
    <d v="2017-02-23T00:00:00"/>
    <x v="55"/>
    <n v="5827"/>
  </r>
  <r>
    <x v="1047"/>
    <x v="9"/>
    <x v="2"/>
    <x v="1"/>
    <s v="GTXPro"/>
    <m/>
    <x v="1"/>
    <d v="2017-02-23T00:00:00"/>
    <x v="6"/>
    <m/>
  </r>
  <r>
    <x v="1048"/>
    <x v="9"/>
    <x v="2"/>
    <x v="1"/>
    <s v="GTX Basic"/>
    <s v="Newex"/>
    <x v="2"/>
    <d v="2017-02-23T00:00:00"/>
    <x v="69"/>
    <n v="0"/>
  </r>
  <r>
    <x v="1049"/>
    <x v="0"/>
    <x v="0"/>
    <x v="0"/>
    <s v="GTX Basic"/>
    <s v="Bioholding"/>
    <x v="0"/>
    <d v="2017-02-23T00:00:00"/>
    <x v="83"/>
    <n v="516"/>
  </r>
  <r>
    <x v="1050"/>
    <x v="0"/>
    <x v="0"/>
    <x v="0"/>
    <s v="GTX Plus Basic"/>
    <s v="Condax"/>
    <x v="0"/>
    <d v="2017-02-23T00:00:00"/>
    <x v="47"/>
    <n v="956"/>
  </r>
  <r>
    <x v="1051"/>
    <x v="0"/>
    <x v="0"/>
    <x v="0"/>
    <s v="MG Special"/>
    <s v="Stanredtax"/>
    <x v="0"/>
    <d v="2017-02-23T00:00:00"/>
    <x v="24"/>
    <n v="52"/>
  </r>
  <r>
    <x v="1052"/>
    <x v="0"/>
    <x v="0"/>
    <x v="0"/>
    <s v="MG Advanced"/>
    <s v="Toughzap"/>
    <x v="0"/>
    <d v="2017-02-23T00:00:00"/>
    <x v="54"/>
    <n v="3025"/>
  </r>
  <r>
    <x v="1053"/>
    <x v="19"/>
    <x v="4"/>
    <x v="2"/>
    <s v="GTXPro"/>
    <s v="The New York Inquirer"/>
    <x v="0"/>
    <d v="2017-02-23T00:00:00"/>
    <x v="76"/>
    <n v="5618"/>
  </r>
  <r>
    <x v="1054"/>
    <x v="17"/>
    <x v="5"/>
    <x v="2"/>
    <s v="GTXPro"/>
    <s v="Umbrella Corporation"/>
    <x v="0"/>
    <d v="2017-02-23T00:00:00"/>
    <x v="58"/>
    <n v="4867"/>
  </r>
  <r>
    <x v="1055"/>
    <x v="2"/>
    <x v="2"/>
    <x v="1"/>
    <s v="GTX Plus Basic"/>
    <s v="Kan-code"/>
    <x v="0"/>
    <d v="2017-02-23T00:00:00"/>
    <x v="16"/>
    <n v="929"/>
  </r>
  <r>
    <x v="1056"/>
    <x v="23"/>
    <x v="4"/>
    <x v="2"/>
    <s v="GTX Basic"/>
    <m/>
    <x v="1"/>
    <d v="2017-02-24T00:00:00"/>
    <x v="6"/>
    <m/>
  </r>
  <r>
    <x v="1057"/>
    <x v="28"/>
    <x v="0"/>
    <x v="0"/>
    <s v="MG Special"/>
    <s v="dambase"/>
    <x v="2"/>
    <d v="2017-02-24T00:00:00"/>
    <x v="48"/>
    <n v="0"/>
  </r>
  <r>
    <x v="1058"/>
    <x v="27"/>
    <x v="5"/>
    <x v="2"/>
    <s v="GTX Basic"/>
    <m/>
    <x v="1"/>
    <d v="2017-02-24T00:00:00"/>
    <x v="6"/>
    <m/>
  </r>
  <r>
    <x v="1059"/>
    <x v="27"/>
    <x v="5"/>
    <x v="2"/>
    <s v="MG Advanced"/>
    <s v="Xx-zobam"/>
    <x v="2"/>
    <d v="2017-02-24T00:00:00"/>
    <x v="54"/>
    <n v="0"/>
  </r>
  <r>
    <x v="1060"/>
    <x v="1"/>
    <x v="1"/>
    <x v="0"/>
    <s v="GTXPro"/>
    <s v="Toughzap"/>
    <x v="0"/>
    <d v="2017-02-24T00:00:00"/>
    <x v="33"/>
    <n v="5010"/>
  </r>
  <r>
    <x v="1061"/>
    <x v="26"/>
    <x v="4"/>
    <x v="2"/>
    <s v="GTXPro"/>
    <s v="Bluth Company"/>
    <x v="0"/>
    <d v="2017-02-24T00:00:00"/>
    <x v="41"/>
    <n v="5621"/>
  </r>
  <r>
    <x v="1062"/>
    <x v="26"/>
    <x v="4"/>
    <x v="2"/>
    <s v="MG Advanced"/>
    <s v="Iselectrics"/>
    <x v="0"/>
    <d v="2017-02-24T00:00:00"/>
    <x v="35"/>
    <n v="3233"/>
  </r>
  <r>
    <x v="1063"/>
    <x v="21"/>
    <x v="5"/>
    <x v="2"/>
    <s v="MG Special"/>
    <s v="Acme Corporation"/>
    <x v="0"/>
    <d v="2017-02-24T00:00:00"/>
    <x v="53"/>
    <n v="55"/>
  </r>
  <r>
    <x v="1064"/>
    <x v="21"/>
    <x v="5"/>
    <x v="2"/>
    <s v="MG Advanced"/>
    <s v="Bioplex"/>
    <x v="0"/>
    <d v="2017-02-24T00:00:00"/>
    <x v="2"/>
    <n v="3278"/>
  </r>
  <r>
    <x v="1065"/>
    <x v="8"/>
    <x v="1"/>
    <x v="0"/>
    <s v="GTX Plus Basic"/>
    <s v="Domzoom"/>
    <x v="0"/>
    <d v="2017-02-24T00:00:00"/>
    <x v="7"/>
    <n v="1155"/>
  </r>
  <r>
    <x v="1066"/>
    <x v="10"/>
    <x v="3"/>
    <x v="1"/>
    <s v="MG Advanced"/>
    <s v="Goodsilron"/>
    <x v="0"/>
    <d v="2017-02-24T00:00:00"/>
    <x v="1"/>
    <n v="3550"/>
  </r>
  <r>
    <x v="1067"/>
    <x v="29"/>
    <x v="1"/>
    <x v="0"/>
    <s v="MG Advanced"/>
    <s v="Stanredtax"/>
    <x v="2"/>
    <d v="2017-02-24T00:00:00"/>
    <x v="34"/>
    <n v="0"/>
  </r>
  <r>
    <x v="1068"/>
    <x v="29"/>
    <x v="1"/>
    <x v="0"/>
    <s v="GTX Plus Basic"/>
    <s v="Hottechi"/>
    <x v="0"/>
    <d v="2017-02-24T00:00:00"/>
    <x v="83"/>
    <n v="1055"/>
  </r>
  <r>
    <x v="1069"/>
    <x v="16"/>
    <x v="2"/>
    <x v="1"/>
    <s v="GTXPro"/>
    <m/>
    <x v="1"/>
    <d v="2017-02-24T00:00:00"/>
    <x v="6"/>
    <m/>
  </r>
  <r>
    <x v="1070"/>
    <x v="5"/>
    <x v="3"/>
    <x v="1"/>
    <s v="GTXPro"/>
    <m/>
    <x v="1"/>
    <d v="2017-02-24T00:00:00"/>
    <x v="6"/>
    <m/>
  </r>
  <r>
    <x v="1071"/>
    <x v="5"/>
    <x v="3"/>
    <x v="1"/>
    <s v="GTX Plus Basic"/>
    <s v="Sonron"/>
    <x v="2"/>
    <d v="2017-02-24T00:00:00"/>
    <x v="72"/>
    <n v="0"/>
  </r>
  <r>
    <x v="1072"/>
    <x v="5"/>
    <x v="3"/>
    <x v="1"/>
    <s v="GTX Basic"/>
    <s v="Y-corporation"/>
    <x v="0"/>
    <d v="2017-02-24T00:00:00"/>
    <x v="33"/>
    <n v="595"/>
  </r>
  <r>
    <x v="1073"/>
    <x v="0"/>
    <x v="0"/>
    <x v="0"/>
    <s v="MG Advanced"/>
    <s v="Warephase"/>
    <x v="0"/>
    <d v="2017-02-24T00:00:00"/>
    <x v="36"/>
    <n v="3063"/>
  </r>
  <r>
    <x v="1074"/>
    <x v="4"/>
    <x v="3"/>
    <x v="1"/>
    <s v="MG Advanced"/>
    <s v="Konex"/>
    <x v="2"/>
    <d v="2017-02-24T00:00:00"/>
    <x v="59"/>
    <n v="0"/>
  </r>
  <r>
    <x v="1075"/>
    <x v="15"/>
    <x v="5"/>
    <x v="2"/>
    <s v="MG Advanced"/>
    <s v="Massive Dynamic"/>
    <x v="0"/>
    <d v="2017-02-24T00:00:00"/>
    <x v="47"/>
    <n v="3246"/>
  </r>
  <r>
    <x v="1076"/>
    <x v="3"/>
    <x v="0"/>
    <x v="0"/>
    <s v="GTX Basic"/>
    <s v="Scottech"/>
    <x v="0"/>
    <d v="2017-02-25T00:00:00"/>
    <x v="4"/>
    <n v="423"/>
  </r>
  <r>
    <x v="1077"/>
    <x v="25"/>
    <x v="4"/>
    <x v="2"/>
    <s v="GTX Plus Pro"/>
    <m/>
    <x v="1"/>
    <d v="2017-02-25T00:00:00"/>
    <x v="6"/>
    <m/>
  </r>
  <r>
    <x v="1078"/>
    <x v="23"/>
    <x v="4"/>
    <x v="2"/>
    <s v="GTX Basic"/>
    <s v="Initech"/>
    <x v="0"/>
    <d v="2017-02-25T00:00:00"/>
    <x v="70"/>
    <n v="542"/>
  </r>
  <r>
    <x v="1079"/>
    <x v="23"/>
    <x v="4"/>
    <x v="2"/>
    <s v="GTXPro"/>
    <s v="Ontomedia"/>
    <x v="0"/>
    <d v="2017-02-25T00:00:00"/>
    <x v="11"/>
    <n v="5040"/>
  </r>
  <r>
    <x v="1080"/>
    <x v="27"/>
    <x v="5"/>
    <x v="2"/>
    <s v="GTX Plus Basic"/>
    <s v="Kan-code"/>
    <x v="2"/>
    <d v="2017-02-25T00:00:00"/>
    <x v="74"/>
    <n v="0"/>
  </r>
  <r>
    <x v="1081"/>
    <x v="1"/>
    <x v="1"/>
    <x v="0"/>
    <s v="GTX Plus Pro"/>
    <s v="Rangreen"/>
    <x v="2"/>
    <d v="2017-02-25T00:00:00"/>
    <x v="69"/>
    <n v="0"/>
  </r>
  <r>
    <x v="1082"/>
    <x v="1"/>
    <x v="1"/>
    <x v="0"/>
    <s v="GTXPro"/>
    <s v="Statholdings"/>
    <x v="0"/>
    <d v="2017-02-25T00:00:00"/>
    <x v="58"/>
    <n v="5423"/>
  </r>
  <r>
    <x v="1083"/>
    <x v="1"/>
    <x v="1"/>
    <x v="0"/>
    <s v="MG Advanced"/>
    <s v="Cancity"/>
    <x v="0"/>
    <d v="2017-02-25T00:00:00"/>
    <x v="68"/>
    <n v="3295"/>
  </r>
  <r>
    <x v="1084"/>
    <x v="26"/>
    <x v="4"/>
    <x v="2"/>
    <s v="GTX Basic"/>
    <s v="Plussunin"/>
    <x v="0"/>
    <d v="2017-02-25T00:00:00"/>
    <x v="42"/>
    <n v="568"/>
  </r>
  <r>
    <x v="1085"/>
    <x v="26"/>
    <x v="4"/>
    <x v="2"/>
    <s v="GTX Basic"/>
    <s v="Xx-zobam"/>
    <x v="0"/>
    <d v="2017-02-25T00:00:00"/>
    <x v="60"/>
    <n v="640"/>
  </r>
  <r>
    <x v="1086"/>
    <x v="14"/>
    <x v="3"/>
    <x v="1"/>
    <s v="GTXPro"/>
    <s v="Plusstrip"/>
    <x v="0"/>
    <d v="2017-02-25T00:00:00"/>
    <x v="65"/>
    <n v="4612"/>
  </r>
  <r>
    <x v="1087"/>
    <x v="8"/>
    <x v="1"/>
    <x v="0"/>
    <s v="GTXPro"/>
    <s v="Domzoom"/>
    <x v="2"/>
    <d v="2017-02-25T00:00:00"/>
    <x v="60"/>
    <n v="0"/>
  </r>
  <r>
    <x v="1088"/>
    <x v="7"/>
    <x v="2"/>
    <x v="1"/>
    <s v="GTX Plus Pro"/>
    <m/>
    <x v="1"/>
    <d v="2017-02-25T00:00:00"/>
    <x v="6"/>
    <m/>
  </r>
  <r>
    <x v="1089"/>
    <x v="7"/>
    <x v="2"/>
    <x v="1"/>
    <s v="GTX Plus Basic"/>
    <s v="Goodsilron"/>
    <x v="2"/>
    <d v="2017-02-25T00:00:00"/>
    <x v="60"/>
    <n v="0"/>
  </r>
  <r>
    <x v="1090"/>
    <x v="29"/>
    <x v="1"/>
    <x v="0"/>
    <s v="MG Advanced"/>
    <s v="Dontechi"/>
    <x v="0"/>
    <d v="2017-02-25T00:00:00"/>
    <x v="36"/>
    <n v="3281"/>
  </r>
  <r>
    <x v="1091"/>
    <x v="16"/>
    <x v="2"/>
    <x v="1"/>
    <s v="GTX Basic"/>
    <s v="Finjob"/>
    <x v="2"/>
    <d v="2017-02-25T00:00:00"/>
    <x v="15"/>
    <n v="0"/>
  </r>
  <r>
    <x v="1092"/>
    <x v="16"/>
    <x v="2"/>
    <x v="1"/>
    <s v="GTX Plus Basic"/>
    <s v="Labdrill"/>
    <x v="2"/>
    <d v="2017-02-25T00:00:00"/>
    <x v="11"/>
    <n v="0"/>
  </r>
  <r>
    <x v="1093"/>
    <x v="16"/>
    <x v="2"/>
    <x v="1"/>
    <s v="MG Special"/>
    <s v="Rantouch"/>
    <x v="0"/>
    <d v="2017-02-25T00:00:00"/>
    <x v="1"/>
    <n v="59"/>
  </r>
  <r>
    <x v="1094"/>
    <x v="22"/>
    <x v="1"/>
    <x v="0"/>
    <s v="GTX Plus Basic"/>
    <s v="Scottech"/>
    <x v="0"/>
    <d v="2017-02-25T00:00:00"/>
    <x v="89"/>
    <n v="1081"/>
  </r>
  <r>
    <x v="1095"/>
    <x v="22"/>
    <x v="1"/>
    <x v="0"/>
    <s v="GTX Plus Basic"/>
    <s v="Zumgoity"/>
    <x v="0"/>
    <d v="2017-02-25T00:00:00"/>
    <x v="58"/>
    <n v="962"/>
  </r>
  <r>
    <x v="1096"/>
    <x v="6"/>
    <x v="1"/>
    <x v="0"/>
    <s v="GTX Plus Basic"/>
    <s v="Codehow"/>
    <x v="0"/>
    <d v="2017-02-25T00:00:00"/>
    <x v="9"/>
    <n v="1123"/>
  </r>
  <r>
    <x v="1097"/>
    <x v="19"/>
    <x v="4"/>
    <x v="2"/>
    <s v="MG Advanced"/>
    <s v="Xx-zobam"/>
    <x v="0"/>
    <d v="2017-02-25T00:00:00"/>
    <x v="76"/>
    <n v="3075"/>
  </r>
  <r>
    <x v="1098"/>
    <x v="11"/>
    <x v="3"/>
    <x v="1"/>
    <s v="MG Special"/>
    <s v="Condax"/>
    <x v="0"/>
    <d v="2017-02-25T00:00:00"/>
    <x v="58"/>
    <n v="50"/>
  </r>
  <r>
    <x v="1099"/>
    <x v="11"/>
    <x v="3"/>
    <x v="1"/>
    <s v="MG Special"/>
    <s v="Dalttechnology"/>
    <x v="0"/>
    <d v="2017-02-25T00:00:00"/>
    <x v="9"/>
    <n v="47"/>
  </r>
  <r>
    <x v="1100"/>
    <x v="12"/>
    <x v="0"/>
    <x v="0"/>
    <s v="MG Special"/>
    <s v="Globex Corporation"/>
    <x v="2"/>
    <d v="2017-02-25T00:00:00"/>
    <x v="11"/>
    <n v="0"/>
  </r>
  <r>
    <x v="1101"/>
    <x v="12"/>
    <x v="0"/>
    <x v="0"/>
    <s v="GTX Plus Pro"/>
    <s v="Betatech"/>
    <x v="0"/>
    <d v="2017-02-25T00:00:00"/>
    <x v="37"/>
    <n v="4494"/>
  </r>
  <r>
    <x v="1102"/>
    <x v="4"/>
    <x v="3"/>
    <x v="1"/>
    <s v="MG Special"/>
    <s v="Hottechi"/>
    <x v="2"/>
    <d v="2017-02-25T00:00:00"/>
    <x v="36"/>
    <n v="0"/>
  </r>
  <r>
    <x v="1103"/>
    <x v="4"/>
    <x v="3"/>
    <x v="1"/>
    <s v="MG Special"/>
    <s v="Singletechno"/>
    <x v="0"/>
    <d v="2017-02-25T00:00:00"/>
    <x v="1"/>
    <n v="61"/>
  </r>
  <r>
    <x v="1104"/>
    <x v="4"/>
    <x v="3"/>
    <x v="1"/>
    <s v="MG Advanced"/>
    <s v="Goodsilron"/>
    <x v="0"/>
    <d v="2017-02-25T00:00:00"/>
    <x v="59"/>
    <n v="3418"/>
  </r>
  <r>
    <x v="1105"/>
    <x v="15"/>
    <x v="5"/>
    <x v="2"/>
    <s v="MG Advanced"/>
    <m/>
    <x v="1"/>
    <d v="2017-02-25T00:00:00"/>
    <x v="6"/>
    <m/>
  </r>
  <r>
    <x v="1106"/>
    <x v="20"/>
    <x v="5"/>
    <x v="2"/>
    <s v="GTX Plus Pro"/>
    <m/>
    <x v="1"/>
    <d v="2017-02-25T00:00:00"/>
    <x v="6"/>
    <m/>
  </r>
  <r>
    <x v="1107"/>
    <x v="20"/>
    <x v="5"/>
    <x v="2"/>
    <s v="MG Advanced"/>
    <s v="Konex"/>
    <x v="0"/>
    <d v="2017-02-25T00:00:00"/>
    <x v="42"/>
    <n v="3336"/>
  </r>
  <r>
    <x v="1108"/>
    <x v="2"/>
    <x v="2"/>
    <x v="1"/>
    <s v="GTX Plus Basic"/>
    <m/>
    <x v="1"/>
    <d v="2017-02-25T00:00:00"/>
    <x v="6"/>
    <m/>
  </r>
  <r>
    <x v="1109"/>
    <x v="3"/>
    <x v="0"/>
    <x v="0"/>
    <s v="GTX Basic"/>
    <s v="Betatech"/>
    <x v="2"/>
    <d v="2017-02-26T00:00:00"/>
    <x v="28"/>
    <n v="0"/>
  </r>
  <r>
    <x v="1110"/>
    <x v="25"/>
    <x v="4"/>
    <x v="2"/>
    <s v="GTX Plus Pro"/>
    <s v="Mathtouch"/>
    <x v="0"/>
    <d v="2017-02-26T00:00:00"/>
    <x v="22"/>
    <n v="4766"/>
  </r>
  <r>
    <x v="1111"/>
    <x v="27"/>
    <x v="5"/>
    <x v="2"/>
    <s v="MG Advanced"/>
    <s v="Plussunin"/>
    <x v="2"/>
    <d v="2017-02-26T00:00:00"/>
    <x v="76"/>
    <n v="0"/>
  </r>
  <r>
    <x v="1112"/>
    <x v="13"/>
    <x v="4"/>
    <x v="2"/>
    <s v="GTX Basic"/>
    <s v="Ganjaflex"/>
    <x v="0"/>
    <d v="2017-02-26T00:00:00"/>
    <x v="63"/>
    <n v="592"/>
  </r>
  <r>
    <x v="1113"/>
    <x v="26"/>
    <x v="4"/>
    <x v="2"/>
    <s v="GTX Basic"/>
    <s v="Iselectrics"/>
    <x v="2"/>
    <d v="2017-02-26T00:00:00"/>
    <x v="62"/>
    <n v="0"/>
  </r>
  <r>
    <x v="1114"/>
    <x v="14"/>
    <x v="3"/>
    <x v="1"/>
    <s v="MG Special"/>
    <s v="Green-Plus"/>
    <x v="2"/>
    <d v="2017-02-26T00:00:00"/>
    <x v="61"/>
    <n v="0"/>
  </r>
  <r>
    <x v="1115"/>
    <x v="8"/>
    <x v="1"/>
    <x v="0"/>
    <s v="GTXPro"/>
    <s v="Treequote"/>
    <x v="2"/>
    <d v="2017-02-26T00:00:00"/>
    <x v="56"/>
    <n v="0"/>
  </r>
  <r>
    <x v="1116"/>
    <x v="8"/>
    <x v="1"/>
    <x v="0"/>
    <s v="GTXPro"/>
    <s v="Dontechi"/>
    <x v="0"/>
    <d v="2017-02-26T00:00:00"/>
    <x v="85"/>
    <n v="5142"/>
  </r>
  <r>
    <x v="1117"/>
    <x v="7"/>
    <x v="2"/>
    <x v="1"/>
    <s v="GTX Plus Basic"/>
    <s v="Cheers"/>
    <x v="2"/>
    <d v="2017-02-26T00:00:00"/>
    <x v="56"/>
    <n v="0"/>
  </r>
  <r>
    <x v="1118"/>
    <x v="18"/>
    <x v="2"/>
    <x v="1"/>
    <s v="GTX Plus Pro"/>
    <s v="Blackzim"/>
    <x v="1"/>
    <d v="2017-02-26T00:00:00"/>
    <x v="6"/>
    <m/>
  </r>
  <r>
    <x v="1119"/>
    <x v="24"/>
    <x v="0"/>
    <x v="0"/>
    <s v="MG Advanced"/>
    <s v="Gogozoom"/>
    <x v="2"/>
    <d v="2017-02-26T00:00:00"/>
    <x v="38"/>
    <n v="0"/>
  </r>
  <r>
    <x v="1120"/>
    <x v="5"/>
    <x v="3"/>
    <x v="1"/>
    <s v="GTX Plus Basic"/>
    <s v="Plexzap"/>
    <x v="2"/>
    <d v="2017-02-26T00:00:00"/>
    <x v="83"/>
    <n v="0"/>
  </r>
  <r>
    <x v="1121"/>
    <x v="9"/>
    <x v="2"/>
    <x v="1"/>
    <s v="GTX Plus Basic"/>
    <m/>
    <x v="1"/>
    <d v="2017-02-26T00:00:00"/>
    <x v="6"/>
    <m/>
  </r>
  <r>
    <x v="1122"/>
    <x v="9"/>
    <x v="2"/>
    <x v="1"/>
    <s v="GTX Plus Basic"/>
    <m/>
    <x v="1"/>
    <d v="2017-02-26T00:00:00"/>
    <x v="6"/>
    <m/>
  </r>
  <r>
    <x v="1123"/>
    <x v="9"/>
    <x v="2"/>
    <x v="1"/>
    <s v="MG Advanced"/>
    <s v="Bluth Company"/>
    <x v="1"/>
    <d v="2017-02-26T00:00:00"/>
    <x v="6"/>
    <m/>
  </r>
  <r>
    <x v="1124"/>
    <x v="9"/>
    <x v="2"/>
    <x v="1"/>
    <s v="GTX Plus Basic"/>
    <s v="Faxquote"/>
    <x v="2"/>
    <d v="2017-02-26T00:00:00"/>
    <x v="86"/>
    <n v="0"/>
  </r>
  <r>
    <x v="1125"/>
    <x v="9"/>
    <x v="2"/>
    <x v="1"/>
    <s v="MG Special"/>
    <s v="Nam-zim"/>
    <x v="2"/>
    <d v="2017-02-26T00:00:00"/>
    <x v="44"/>
    <n v="0"/>
  </r>
  <r>
    <x v="1126"/>
    <x v="0"/>
    <x v="0"/>
    <x v="0"/>
    <s v="GTX Basic"/>
    <s v="Dontechi"/>
    <x v="0"/>
    <d v="2017-02-26T00:00:00"/>
    <x v="24"/>
    <n v="660"/>
  </r>
  <r>
    <x v="1127"/>
    <x v="0"/>
    <x v="0"/>
    <x v="0"/>
    <s v="GTX Basic"/>
    <s v="Rundofase"/>
    <x v="0"/>
    <d v="2017-02-26T00:00:00"/>
    <x v="60"/>
    <n v="443"/>
  </r>
  <r>
    <x v="1128"/>
    <x v="6"/>
    <x v="1"/>
    <x v="0"/>
    <s v="MG Special"/>
    <s v="Codehow"/>
    <x v="2"/>
    <d v="2017-02-26T00:00:00"/>
    <x v="45"/>
    <n v="0"/>
  </r>
  <r>
    <x v="1129"/>
    <x v="17"/>
    <x v="5"/>
    <x v="2"/>
    <s v="GTX Plus Pro"/>
    <s v="Zotware"/>
    <x v="2"/>
    <d v="2017-02-26T00:00:00"/>
    <x v="5"/>
    <n v="0"/>
  </r>
  <r>
    <x v="1130"/>
    <x v="17"/>
    <x v="5"/>
    <x v="2"/>
    <s v="MG Special"/>
    <s v="The New York Inquirer"/>
    <x v="2"/>
    <d v="2017-02-26T00:00:00"/>
    <x v="40"/>
    <n v="0"/>
  </r>
  <r>
    <x v="1131"/>
    <x v="12"/>
    <x v="0"/>
    <x v="0"/>
    <s v="MG Special"/>
    <s v="Domzoom"/>
    <x v="0"/>
    <d v="2017-02-26T00:00:00"/>
    <x v="70"/>
    <n v="61"/>
  </r>
  <r>
    <x v="1132"/>
    <x v="2"/>
    <x v="2"/>
    <x v="1"/>
    <s v="GTX Plus Basic"/>
    <m/>
    <x v="1"/>
    <d v="2017-02-26T00:00:00"/>
    <x v="6"/>
    <m/>
  </r>
  <r>
    <x v="1133"/>
    <x v="2"/>
    <x v="2"/>
    <x v="1"/>
    <s v="GTX Plus Pro"/>
    <s v="Y-corporation"/>
    <x v="0"/>
    <d v="2017-02-26T00:00:00"/>
    <x v="16"/>
    <n v="4846"/>
  </r>
  <r>
    <x v="1134"/>
    <x v="3"/>
    <x v="0"/>
    <x v="0"/>
    <s v="GTX Basic"/>
    <s v="dambase"/>
    <x v="0"/>
    <d v="2017-02-27T00:00:00"/>
    <x v="43"/>
    <n v="574"/>
  </r>
  <r>
    <x v="1135"/>
    <x v="23"/>
    <x v="4"/>
    <x v="2"/>
    <s v="GTX Basic"/>
    <s v="Ganjaflex"/>
    <x v="2"/>
    <d v="2017-02-27T00:00:00"/>
    <x v="70"/>
    <n v="0"/>
  </r>
  <r>
    <x v="1136"/>
    <x v="23"/>
    <x v="4"/>
    <x v="2"/>
    <s v="GTXPro"/>
    <s v="Sumace"/>
    <x v="2"/>
    <d v="2017-02-27T00:00:00"/>
    <x v="57"/>
    <n v="0"/>
  </r>
  <r>
    <x v="1137"/>
    <x v="28"/>
    <x v="0"/>
    <x v="0"/>
    <s v="GTX Basic"/>
    <s v="Conecom"/>
    <x v="0"/>
    <d v="2017-02-27T00:00:00"/>
    <x v="44"/>
    <n v="497"/>
  </r>
  <r>
    <x v="1138"/>
    <x v="27"/>
    <x v="5"/>
    <x v="2"/>
    <s v="GTX Basic"/>
    <s v="Xx-zobam"/>
    <x v="2"/>
    <d v="2017-02-27T00:00:00"/>
    <x v="32"/>
    <n v="0"/>
  </r>
  <r>
    <x v="1139"/>
    <x v="27"/>
    <x v="5"/>
    <x v="2"/>
    <s v="GTX Plus Pro"/>
    <s v="Konex"/>
    <x v="0"/>
    <d v="2017-02-27T00:00:00"/>
    <x v="77"/>
    <n v="5159"/>
  </r>
  <r>
    <x v="1140"/>
    <x v="13"/>
    <x v="4"/>
    <x v="2"/>
    <s v="GTX Plus Basic"/>
    <s v="Y-corporation"/>
    <x v="1"/>
    <d v="2017-02-27T00:00:00"/>
    <x v="6"/>
    <m/>
  </r>
  <r>
    <x v="1141"/>
    <x v="1"/>
    <x v="1"/>
    <x v="0"/>
    <s v="MG Special"/>
    <s v="Codehow"/>
    <x v="2"/>
    <d v="2017-02-27T00:00:00"/>
    <x v="35"/>
    <n v="0"/>
  </r>
  <r>
    <x v="1142"/>
    <x v="1"/>
    <x v="1"/>
    <x v="0"/>
    <s v="GTXPro"/>
    <s v="Conecom"/>
    <x v="0"/>
    <d v="2017-02-27T00:00:00"/>
    <x v="59"/>
    <n v="4311"/>
  </r>
  <r>
    <x v="1143"/>
    <x v="26"/>
    <x v="4"/>
    <x v="2"/>
    <s v="GTX Basic"/>
    <s v="Ganjaflex"/>
    <x v="0"/>
    <d v="2017-02-27T00:00:00"/>
    <x v="57"/>
    <n v="609"/>
  </r>
  <r>
    <x v="1144"/>
    <x v="8"/>
    <x v="1"/>
    <x v="0"/>
    <s v="GTX Plus Basic"/>
    <s v="Cancity"/>
    <x v="0"/>
    <d v="2017-02-27T00:00:00"/>
    <x v="90"/>
    <n v="1008"/>
  </r>
  <r>
    <x v="1145"/>
    <x v="8"/>
    <x v="1"/>
    <x v="0"/>
    <s v="GTXPro"/>
    <s v="Zumgoity"/>
    <x v="0"/>
    <d v="2017-02-27T00:00:00"/>
    <x v="81"/>
    <n v="4458"/>
  </r>
  <r>
    <x v="1146"/>
    <x v="10"/>
    <x v="3"/>
    <x v="1"/>
    <s v="MG Advanced"/>
    <m/>
    <x v="1"/>
    <d v="2017-02-27T00:00:00"/>
    <x v="6"/>
    <m/>
  </r>
  <r>
    <x v="1147"/>
    <x v="10"/>
    <x v="3"/>
    <x v="1"/>
    <s v="MG Advanced"/>
    <s v="Plexzap"/>
    <x v="0"/>
    <d v="2017-02-27T00:00:00"/>
    <x v="60"/>
    <n v="2964"/>
  </r>
  <r>
    <x v="1148"/>
    <x v="7"/>
    <x v="2"/>
    <x v="1"/>
    <s v="GTX Plus Pro"/>
    <s v="Lexiqvolax"/>
    <x v="2"/>
    <d v="2017-02-27T00:00:00"/>
    <x v="43"/>
    <n v="0"/>
  </r>
  <r>
    <x v="1149"/>
    <x v="7"/>
    <x v="2"/>
    <x v="1"/>
    <s v="MG Advanced"/>
    <s v="Dalttechnology"/>
    <x v="0"/>
    <d v="2017-02-27T00:00:00"/>
    <x v="48"/>
    <n v="3813"/>
  </r>
  <r>
    <x v="1150"/>
    <x v="29"/>
    <x v="1"/>
    <x v="0"/>
    <s v="GTX Basic"/>
    <s v="Rundofase"/>
    <x v="0"/>
    <d v="2017-02-27T00:00:00"/>
    <x v="63"/>
    <n v="528"/>
  </r>
  <r>
    <x v="1151"/>
    <x v="18"/>
    <x v="2"/>
    <x v="1"/>
    <s v="GTX Plus Basic"/>
    <s v="Rantouch"/>
    <x v="0"/>
    <d v="2017-02-27T00:00:00"/>
    <x v="7"/>
    <n v="1173"/>
  </r>
  <r>
    <x v="1152"/>
    <x v="18"/>
    <x v="2"/>
    <x v="1"/>
    <s v="GTXPro"/>
    <s v="Kan-code"/>
    <x v="0"/>
    <d v="2017-02-27T00:00:00"/>
    <x v="84"/>
    <n v="3893"/>
  </r>
  <r>
    <x v="1153"/>
    <x v="18"/>
    <x v="2"/>
    <x v="1"/>
    <s v="GTXPro"/>
    <s v="Sonron"/>
    <x v="0"/>
    <d v="2017-02-27T00:00:00"/>
    <x v="24"/>
    <n v="4678"/>
  </r>
  <r>
    <x v="1154"/>
    <x v="24"/>
    <x v="0"/>
    <x v="0"/>
    <s v="GTX Basic"/>
    <s v="Bioholding"/>
    <x v="0"/>
    <d v="2017-02-27T00:00:00"/>
    <x v="62"/>
    <n v="530"/>
  </r>
  <r>
    <x v="1155"/>
    <x v="5"/>
    <x v="3"/>
    <x v="1"/>
    <s v="MG Special"/>
    <s v="Sunnamplex"/>
    <x v="2"/>
    <d v="2017-02-27T00:00:00"/>
    <x v="16"/>
    <n v="0"/>
  </r>
  <r>
    <x v="1156"/>
    <x v="5"/>
    <x v="3"/>
    <x v="1"/>
    <s v="GTK 500"/>
    <s v="Goodsilron"/>
    <x v="0"/>
    <d v="2017-02-27T00:00:00"/>
    <x v="87"/>
    <n v="29617"/>
  </r>
  <r>
    <x v="1157"/>
    <x v="22"/>
    <x v="1"/>
    <x v="0"/>
    <s v="GTX Plus Basic"/>
    <s v="Isdom"/>
    <x v="0"/>
    <d v="2017-02-27T00:00:00"/>
    <x v="58"/>
    <n v="1028"/>
  </r>
  <r>
    <x v="1158"/>
    <x v="22"/>
    <x v="1"/>
    <x v="0"/>
    <s v="MG Advanced"/>
    <s v="Domzoom"/>
    <x v="0"/>
    <d v="2017-02-27T00:00:00"/>
    <x v="88"/>
    <n v="2863"/>
  </r>
  <r>
    <x v="1159"/>
    <x v="9"/>
    <x v="2"/>
    <x v="1"/>
    <s v="GTX Plus Basic"/>
    <m/>
    <x v="1"/>
    <d v="2017-02-27T00:00:00"/>
    <x v="6"/>
    <m/>
  </r>
  <r>
    <x v="1160"/>
    <x v="0"/>
    <x v="0"/>
    <x v="0"/>
    <s v="MG Advanced"/>
    <s v="Codehow"/>
    <x v="0"/>
    <d v="2017-02-27T00:00:00"/>
    <x v="88"/>
    <n v="4109"/>
  </r>
  <r>
    <x v="1161"/>
    <x v="6"/>
    <x v="1"/>
    <x v="0"/>
    <s v="GTX Basic"/>
    <s v="Betatech"/>
    <x v="2"/>
    <d v="2017-02-27T00:00:00"/>
    <x v="38"/>
    <n v="0"/>
  </r>
  <r>
    <x v="1162"/>
    <x v="19"/>
    <x v="4"/>
    <x v="2"/>
    <s v="GTX Plus Basic"/>
    <s v="Kan-code"/>
    <x v="0"/>
    <d v="2017-02-27T00:00:00"/>
    <x v="22"/>
    <n v="1106"/>
  </r>
  <r>
    <x v="1163"/>
    <x v="11"/>
    <x v="3"/>
    <x v="1"/>
    <s v="MG Special"/>
    <m/>
    <x v="1"/>
    <d v="2017-02-27T00:00:00"/>
    <x v="6"/>
    <m/>
  </r>
  <r>
    <x v="1164"/>
    <x v="17"/>
    <x v="5"/>
    <x v="2"/>
    <s v="MG Special"/>
    <s v="Bubba Gump"/>
    <x v="0"/>
    <d v="2017-02-27T00:00:00"/>
    <x v="89"/>
    <n v="53"/>
  </r>
  <r>
    <x v="1165"/>
    <x v="12"/>
    <x v="0"/>
    <x v="0"/>
    <s v="MG Special"/>
    <s v="Globex Corporation"/>
    <x v="0"/>
    <d v="2017-02-27T00:00:00"/>
    <x v="39"/>
    <n v="47"/>
  </r>
  <r>
    <x v="1166"/>
    <x v="15"/>
    <x v="5"/>
    <x v="2"/>
    <s v="MG Advanced"/>
    <s v="Kan-code"/>
    <x v="0"/>
    <d v="2017-02-27T00:00:00"/>
    <x v="55"/>
    <n v="3749"/>
  </r>
  <r>
    <x v="1167"/>
    <x v="15"/>
    <x v="5"/>
    <x v="2"/>
    <s v="MG Advanced"/>
    <s v="Ontomedia"/>
    <x v="0"/>
    <d v="2017-02-27T00:00:00"/>
    <x v="63"/>
    <n v="4204"/>
  </r>
  <r>
    <x v="1168"/>
    <x v="23"/>
    <x v="4"/>
    <x v="2"/>
    <s v="MG Advanced"/>
    <s v="Umbrella Corporation"/>
    <x v="0"/>
    <d v="2017-02-28T00:00:00"/>
    <x v="75"/>
    <n v="3986"/>
  </r>
  <r>
    <x v="1169"/>
    <x v="13"/>
    <x v="4"/>
    <x v="2"/>
    <s v="GTXPro"/>
    <s v="Donquadtech"/>
    <x v="0"/>
    <d v="2017-02-28T00:00:00"/>
    <x v="48"/>
    <n v="5105"/>
  </r>
  <r>
    <x v="1170"/>
    <x v="1"/>
    <x v="1"/>
    <x v="0"/>
    <s v="GTX Basic"/>
    <s v="Genco Pura Olive Oil Company"/>
    <x v="0"/>
    <d v="2017-02-28T00:00:00"/>
    <x v="81"/>
    <n v="516"/>
  </r>
  <r>
    <x v="1171"/>
    <x v="1"/>
    <x v="1"/>
    <x v="0"/>
    <s v="GTXPro"/>
    <s v="Rundofase"/>
    <x v="0"/>
    <d v="2017-02-28T00:00:00"/>
    <x v="42"/>
    <n v="4407"/>
  </r>
  <r>
    <x v="1172"/>
    <x v="26"/>
    <x v="4"/>
    <x v="2"/>
    <s v="MG Advanced"/>
    <s v="Zathunicon"/>
    <x v="0"/>
    <d v="2017-02-28T00:00:00"/>
    <x v="84"/>
    <n v="3087"/>
  </r>
  <r>
    <x v="1173"/>
    <x v="8"/>
    <x v="1"/>
    <x v="0"/>
    <s v="GTX Plus Pro"/>
    <s v="Inity"/>
    <x v="0"/>
    <d v="2017-02-28T00:00:00"/>
    <x v="41"/>
    <n v="5331"/>
  </r>
  <r>
    <x v="1174"/>
    <x v="10"/>
    <x v="3"/>
    <x v="1"/>
    <s v="MG Advanced"/>
    <s v="Condax"/>
    <x v="0"/>
    <d v="2017-02-28T00:00:00"/>
    <x v="33"/>
    <n v="4069"/>
  </r>
  <r>
    <x v="1175"/>
    <x v="7"/>
    <x v="2"/>
    <x v="1"/>
    <s v="GTX Plus Pro"/>
    <m/>
    <x v="1"/>
    <d v="2017-02-28T00:00:00"/>
    <x v="6"/>
    <m/>
  </r>
  <r>
    <x v="1176"/>
    <x v="7"/>
    <x v="2"/>
    <x v="1"/>
    <s v="GTX Basic"/>
    <s v="Hatfan"/>
    <x v="0"/>
    <d v="2017-02-28T00:00:00"/>
    <x v="91"/>
    <n v="463"/>
  </r>
  <r>
    <x v="1177"/>
    <x v="7"/>
    <x v="2"/>
    <x v="1"/>
    <s v="GTX Plus Pro"/>
    <s v="Faxquote"/>
    <x v="0"/>
    <d v="2017-02-28T00:00:00"/>
    <x v="60"/>
    <n v="5625"/>
  </r>
  <r>
    <x v="1178"/>
    <x v="24"/>
    <x v="0"/>
    <x v="0"/>
    <s v="GTX Basic"/>
    <s v="Rundofase"/>
    <x v="0"/>
    <d v="2017-02-28T00:00:00"/>
    <x v="75"/>
    <n v="524"/>
  </r>
  <r>
    <x v="1179"/>
    <x v="5"/>
    <x v="3"/>
    <x v="1"/>
    <s v="GTX Basic"/>
    <s v="Cheers"/>
    <x v="2"/>
    <d v="2017-02-28T00:00:00"/>
    <x v="51"/>
    <n v="0"/>
  </r>
  <r>
    <x v="1180"/>
    <x v="9"/>
    <x v="2"/>
    <x v="1"/>
    <s v="MG Special"/>
    <s v="Bioplex"/>
    <x v="1"/>
    <d v="2017-02-28T00:00:00"/>
    <x v="6"/>
    <m/>
  </r>
  <r>
    <x v="1181"/>
    <x v="0"/>
    <x v="0"/>
    <x v="0"/>
    <s v="MG Special"/>
    <s v="Genco Pura Olive Oil Company"/>
    <x v="2"/>
    <d v="2017-02-28T00:00:00"/>
    <x v="53"/>
    <n v="0"/>
  </r>
  <r>
    <x v="1182"/>
    <x v="19"/>
    <x v="4"/>
    <x v="2"/>
    <s v="GTX Plus Basic"/>
    <s v="Zencorporation"/>
    <x v="0"/>
    <d v="2017-02-28T00:00:00"/>
    <x v="62"/>
    <n v="1161"/>
  </r>
  <r>
    <x v="1183"/>
    <x v="19"/>
    <x v="4"/>
    <x v="2"/>
    <s v="GTX Plus Pro"/>
    <s v="Mathtouch"/>
    <x v="0"/>
    <d v="2017-02-28T00:00:00"/>
    <x v="71"/>
    <n v="6046"/>
  </r>
  <r>
    <x v="1184"/>
    <x v="12"/>
    <x v="0"/>
    <x v="0"/>
    <s v="MG Special"/>
    <s v="Dontechi"/>
    <x v="0"/>
    <d v="2017-02-28T00:00:00"/>
    <x v="40"/>
    <n v="49"/>
  </r>
  <r>
    <x v="1185"/>
    <x v="3"/>
    <x v="0"/>
    <x v="0"/>
    <s v="MG Special"/>
    <s v="Conecom"/>
    <x v="0"/>
    <d v="2017-03-01T00:00:00"/>
    <x v="53"/>
    <n v="51"/>
  </r>
  <r>
    <x v="1186"/>
    <x v="3"/>
    <x v="0"/>
    <x v="0"/>
    <s v="MG Advanced"/>
    <s v="Hottechi"/>
    <x v="0"/>
    <d v="2017-03-01T00:00:00"/>
    <x v="86"/>
    <n v="3415"/>
  </r>
  <r>
    <x v="1187"/>
    <x v="25"/>
    <x v="4"/>
    <x v="2"/>
    <s v="MG Special"/>
    <s v="Kinnamplus"/>
    <x v="1"/>
    <d v="2017-03-01T00:00:00"/>
    <x v="6"/>
    <m/>
  </r>
  <r>
    <x v="1188"/>
    <x v="25"/>
    <x v="4"/>
    <x v="2"/>
    <s v="GTX Plus Basic"/>
    <s v="Kan-code"/>
    <x v="0"/>
    <d v="2017-03-01T00:00:00"/>
    <x v="7"/>
    <n v="1053"/>
  </r>
  <r>
    <x v="1189"/>
    <x v="23"/>
    <x v="4"/>
    <x v="2"/>
    <s v="GTX Plus Basic"/>
    <s v="Betasoloin"/>
    <x v="2"/>
    <d v="2017-03-01T00:00:00"/>
    <x v="49"/>
    <n v="0"/>
  </r>
  <r>
    <x v="1190"/>
    <x v="23"/>
    <x v="4"/>
    <x v="2"/>
    <s v="GTXPro"/>
    <s v="Donquadtech"/>
    <x v="0"/>
    <d v="2017-03-01T00:00:00"/>
    <x v="24"/>
    <n v="5068"/>
  </r>
  <r>
    <x v="1191"/>
    <x v="23"/>
    <x v="4"/>
    <x v="2"/>
    <s v="GTXPro"/>
    <s v="Massive Dynamic"/>
    <x v="0"/>
    <d v="2017-03-01T00:00:00"/>
    <x v="89"/>
    <n v="4256"/>
  </r>
  <r>
    <x v="1192"/>
    <x v="27"/>
    <x v="5"/>
    <x v="2"/>
    <s v="GTXPro"/>
    <m/>
    <x v="1"/>
    <d v="2017-03-01T00:00:00"/>
    <x v="6"/>
    <m/>
  </r>
  <r>
    <x v="1193"/>
    <x v="1"/>
    <x v="1"/>
    <x v="0"/>
    <s v="MG Advanced"/>
    <s v="Treequote"/>
    <x v="2"/>
    <d v="2017-03-01T00:00:00"/>
    <x v="38"/>
    <n v="0"/>
  </r>
  <r>
    <x v="1194"/>
    <x v="1"/>
    <x v="1"/>
    <x v="0"/>
    <s v="GTX Basic"/>
    <s v="Genco Pura Olive Oil Company"/>
    <x v="0"/>
    <d v="2017-03-01T00:00:00"/>
    <x v="15"/>
    <n v="657"/>
  </r>
  <r>
    <x v="1195"/>
    <x v="1"/>
    <x v="1"/>
    <x v="0"/>
    <s v="MG Special"/>
    <s v="Stanredtax"/>
    <x v="0"/>
    <d v="2017-03-01T00:00:00"/>
    <x v="11"/>
    <n v="60"/>
  </r>
  <r>
    <x v="1196"/>
    <x v="26"/>
    <x v="4"/>
    <x v="2"/>
    <s v="GTX Basic"/>
    <s v="Opentech"/>
    <x v="2"/>
    <d v="2017-03-01T00:00:00"/>
    <x v="56"/>
    <n v="0"/>
  </r>
  <r>
    <x v="1197"/>
    <x v="14"/>
    <x v="3"/>
    <x v="1"/>
    <s v="GTX Plus Pro"/>
    <s v="Hottechi"/>
    <x v="2"/>
    <d v="2017-03-01T00:00:00"/>
    <x v="34"/>
    <n v="0"/>
  </r>
  <r>
    <x v="1198"/>
    <x v="21"/>
    <x v="5"/>
    <x v="2"/>
    <s v="GTX Basic"/>
    <s v="Silis"/>
    <x v="2"/>
    <d v="2017-03-01T00:00:00"/>
    <x v="33"/>
    <n v="0"/>
  </r>
  <r>
    <x v="1199"/>
    <x v="21"/>
    <x v="5"/>
    <x v="2"/>
    <s v="GTX Basic"/>
    <s v="Plussunin"/>
    <x v="0"/>
    <d v="2017-03-01T00:00:00"/>
    <x v="46"/>
    <n v="629"/>
  </r>
  <r>
    <x v="1200"/>
    <x v="8"/>
    <x v="1"/>
    <x v="0"/>
    <s v="MG Advanced"/>
    <s v="Hottechi"/>
    <x v="2"/>
    <d v="2017-03-01T00:00:00"/>
    <x v="55"/>
    <n v="0"/>
  </r>
  <r>
    <x v="1201"/>
    <x v="8"/>
    <x v="1"/>
    <x v="0"/>
    <s v="MG Advanced"/>
    <s v="Treequote"/>
    <x v="0"/>
    <d v="2017-03-01T00:00:00"/>
    <x v="42"/>
    <n v="4082"/>
  </r>
  <r>
    <x v="1202"/>
    <x v="24"/>
    <x v="0"/>
    <x v="0"/>
    <s v="GTX Plus Basic"/>
    <s v="Rundofase"/>
    <x v="0"/>
    <d v="2017-03-01T00:00:00"/>
    <x v="66"/>
    <n v="1044"/>
  </r>
  <r>
    <x v="1203"/>
    <x v="22"/>
    <x v="1"/>
    <x v="0"/>
    <s v="MG Advanced"/>
    <s v="Inity"/>
    <x v="2"/>
    <d v="2017-03-01T00:00:00"/>
    <x v="80"/>
    <n v="0"/>
  </r>
  <r>
    <x v="1204"/>
    <x v="9"/>
    <x v="2"/>
    <x v="1"/>
    <s v="GTX Plus Basic"/>
    <s v="Rantouch"/>
    <x v="0"/>
    <d v="2017-03-01T00:00:00"/>
    <x v="21"/>
    <n v="1025"/>
  </r>
  <r>
    <x v="1205"/>
    <x v="0"/>
    <x v="0"/>
    <x v="0"/>
    <s v="GTX Basic"/>
    <s v="Streethex"/>
    <x v="0"/>
    <d v="2017-03-01T00:00:00"/>
    <x v="69"/>
    <n v="465"/>
  </r>
  <r>
    <x v="1206"/>
    <x v="0"/>
    <x v="0"/>
    <x v="0"/>
    <s v="MG Special"/>
    <s v="Konmatfix"/>
    <x v="0"/>
    <d v="2017-03-01T00:00:00"/>
    <x v="64"/>
    <n v="50"/>
  </r>
  <r>
    <x v="1207"/>
    <x v="19"/>
    <x v="4"/>
    <x v="2"/>
    <s v="GTX Plus Pro"/>
    <s v="Vehement Capital Partners"/>
    <x v="0"/>
    <d v="2017-03-01T00:00:00"/>
    <x v="3"/>
    <n v="5548"/>
  </r>
  <r>
    <x v="1208"/>
    <x v="19"/>
    <x v="4"/>
    <x v="2"/>
    <s v="MG Advanced"/>
    <s v="Kan-code"/>
    <x v="0"/>
    <d v="2017-03-01T00:00:00"/>
    <x v="71"/>
    <n v="3558"/>
  </r>
  <r>
    <x v="1209"/>
    <x v="11"/>
    <x v="3"/>
    <x v="1"/>
    <s v="MG Advanced"/>
    <s v="Singletechno"/>
    <x v="0"/>
    <d v="2017-03-01T00:00:00"/>
    <x v="2"/>
    <n v="3959"/>
  </r>
  <r>
    <x v="1210"/>
    <x v="12"/>
    <x v="0"/>
    <x v="0"/>
    <s v="MG Special"/>
    <s v="Ron-tech"/>
    <x v="0"/>
    <d v="2017-03-01T00:00:00"/>
    <x v="12"/>
    <n v="49"/>
  </r>
  <r>
    <x v="1211"/>
    <x v="12"/>
    <x v="0"/>
    <x v="0"/>
    <s v="MG Special"/>
    <s v="Warephase"/>
    <x v="0"/>
    <d v="2017-03-01T00:00:00"/>
    <x v="83"/>
    <n v="50"/>
  </r>
  <r>
    <x v="1212"/>
    <x v="4"/>
    <x v="3"/>
    <x v="1"/>
    <s v="GTX Basic"/>
    <s v="Xx-holding"/>
    <x v="0"/>
    <d v="2017-03-01T00:00:00"/>
    <x v="11"/>
    <n v="523"/>
  </r>
  <r>
    <x v="1213"/>
    <x v="4"/>
    <x v="3"/>
    <x v="1"/>
    <s v="GTX Plus Basic"/>
    <s v="Zoomit"/>
    <x v="0"/>
    <d v="2017-03-01T00:00:00"/>
    <x v="62"/>
    <n v="1086"/>
  </r>
  <r>
    <x v="1214"/>
    <x v="4"/>
    <x v="3"/>
    <x v="1"/>
    <s v="GTXPro"/>
    <s v="Goodsilron"/>
    <x v="0"/>
    <d v="2017-03-01T00:00:00"/>
    <x v="3"/>
    <n v="4445"/>
  </r>
  <r>
    <x v="1215"/>
    <x v="15"/>
    <x v="5"/>
    <x v="2"/>
    <s v="GTX Basic"/>
    <s v="Xx-holding"/>
    <x v="1"/>
    <d v="2017-03-01T00:00:00"/>
    <x v="6"/>
    <m/>
  </r>
  <r>
    <x v="1216"/>
    <x v="15"/>
    <x v="5"/>
    <x v="2"/>
    <s v="GTXPro"/>
    <s v="Umbrella Corporation"/>
    <x v="0"/>
    <d v="2017-03-01T00:00:00"/>
    <x v="90"/>
    <n v="4756"/>
  </r>
  <r>
    <x v="1217"/>
    <x v="15"/>
    <x v="5"/>
    <x v="2"/>
    <s v="MG Special"/>
    <s v="Gekko &amp; Co"/>
    <x v="0"/>
    <d v="2017-03-01T00:00:00"/>
    <x v="84"/>
    <n v="67"/>
  </r>
  <r>
    <x v="1218"/>
    <x v="20"/>
    <x v="5"/>
    <x v="2"/>
    <s v="MG Advanced"/>
    <s v="Iselectrics"/>
    <x v="0"/>
    <d v="2017-03-01T00:00:00"/>
    <x v="73"/>
    <n v="3783"/>
  </r>
  <r>
    <x v="1219"/>
    <x v="2"/>
    <x v="2"/>
    <x v="1"/>
    <s v="GTXPro"/>
    <m/>
    <x v="1"/>
    <d v="2017-03-01T00:00:00"/>
    <x v="6"/>
    <m/>
  </r>
  <r>
    <x v="1220"/>
    <x v="2"/>
    <x v="2"/>
    <x v="1"/>
    <s v="GTX Basic"/>
    <s v="Doncon"/>
    <x v="2"/>
    <d v="2017-03-01T00:00:00"/>
    <x v="66"/>
    <n v="0"/>
  </r>
  <r>
    <x v="1221"/>
    <x v="2"/>
    <x v="2"/>
    <x v="1"/>
    <s v="GTX Plus Pro"/>
    <s v="Rantouch"/>
    <x v="2"/>
    <d v="2017-03-01T00:00:00"/>
    <x v="87"/>
    <n v="0"/>
  </r>
  <r>
    <x v="1222"/>
    <x v="3"/>
    <x v="0"/>
    <x v="0"/>
    <s v="MG Advanced"/>
    <s v="Dontechi"/>
    <x v="2"/>
    <d v="2017-03-02T00:00:00"/>
    <x v="66"/>
    <n v="0"/>
  </r>
  <r>
    <x v="1223"/>
    <x v="3"/>
    <x v="0"/>
    <x v="0"/>
    <s v="GTX Basic"/>
    <s v="Conecom"/>
    <x v="0"/>
    <d v="2017-03-02T00:00:00"/>
    <x v="15"/>
    <n v="522"/>
  </r>
  <r>
    <x v="1224"/>
    <x v="25"/>
    <x v="4"/>
    <x v="2"/>
    <s v="GTX Plus Basic"/>
    <s v="Kinnamplus"/>
    <x v="0"/>
    <d v="2017-03-02T00:00:00"/>
    <x v="8"/>
    <n v="1001"/>
  </r>
  <r>
    <x v="1225"/>
    <x v="28"/>
    <x v="0"/>
    <x v="0"/>
    <s v="GTX Plus Pro"/>
    <s v="Betatech"/>
    <x v="0"/>
    <d v="2017-03-02T00:00:00"/>
    <x v="49"/>
    <n v="5728"/>
  </r>
  <r>
    <x v="1226"/>
    <x v="1"/>
    <x v="1"/>
    <x v="0"/>
    <s v="GTX Plus Pro"/>
    <s v="Codehow"/>
    <x v="0"/>
    <d v="2017-03-02T00:00:00"/>
    <x v="84"/>
    <n v="4856"/>
  </r>
  <r>
    <x v="1227"/>
    <x v="1"/>
    <x v="1"/>
    <x v="0"/>
    <s v="GTXPro"/>
    <s v="Cancity"/>
    <x v="0"/>
    <d v="2017-03-02T00:00:00"/>
    <x v="60"/>
    <n v="5570"/>
  </r>
  <r>
    <x v="1228"/>
    <x v="1"/>
    <x v="1"/>
    <x v="0"/>
    <s v="MG Advanced"/>
    <s v="Conecom"/>
    <x v="0"/>
    <d v="2017-03-02T00:00:00"/>
    <x v="60"/>
    <n v="3647"/>
  </r>
  <r>
    <x v="1229"/>
    <x v="26"/>
    <x v="4"/>
    <x v="2"/>
    <s v="GTX Basic"/>
    <s v="Mathtouch"/>
    <x v="0"/>
    <d v="2017-03-02T00:00:00"/>
    <x v="80"/>
    <n v="487"/>
  </r>
  <r>
    <x v="1230"/>
    <x v="26"/>
    <x v="4"/>
    <x v="2"/>
    <s v="GTX Plus Basic"/>
    <s v="Donquadtech"/>
    <x v="0"/>
    <d v="2017-03-02T00:00:00"/>
    <x v="82"/>
    <n v="1166"/>
  </r>
  <r>
    <x v="1231"/>
    <x v="14"/>
    <x v="3"/>
    <x v="1"/>
    <s v="MG Advanced"/>
    <m/>
    <x v="1"/>
    <d v="2017-03-02T00:00:00"/>
    <x v="6"/>
    <m/>
  </r>
  <r>
    <x v="1232"/>
    <x v="29"/>
    <x v="1"/>
    <x v="0"/>
    <s v="GTX Basic"/>
    <s v="Scottech"/>
    <x v="0"/>
    <d v="2017-03-02T00:00:00"/>
    <x v="47"/>
    <n v="595"/>
  </r>
  <r>
    <x v="1233"/>
    <x v="16"/>
    <x v="2"/>
    <x v="1"/>
    <s v="MG Special"/>
    <s v="Condax"/>
    <x v="0"/>
    <d v="2017-03-02T00:00:00"/>
    <x v="43"/>
    <n v="49"/>
  </r>
  <r>
    <x v="1234"/>
    <x v="18"/>
    <x v="2"/>
    <x v="1"/>
    <s v="GTX Basic"/>
    <s v="Xx-holding"/>
    <x v="0"/>
    <d v="2017-03-02T00:00:00"/>
    <x v="17"/>
    <n v="599"/>
  </r>
  <r>
    <x v="1235"/>
    <x v="18"/>
    <x v="2"/>
    <x v="1"/>
    <s v="GTXPro"/>
    <s v="Kan-code"/>
    <x v="0"/>
    <d v="2017-03-02T00:00:00"/>
    <x v="41"/>
    <n v="4506"/>
  </r>
  <r>
    <x v="1236"/>
    <x v="18"/>
    <x v="2"/>
    <x v="1"/>
    <s v="GTXPro"/>
    <s v="Sunnamplex"/>
    <x v="0"/>
    <d v="2017-03-02T00:00:00"/>
    <x v="36"/>
    <n v="4512"/>
  </r>
  <r>
    <x v="1237"/>
    <x v="24"/>
    <x v="0"/>
    <x v="0"/>
    <s v="GTX Basic"/>
    <s v="Gogozoom"/>
    <x v="2"/>
    <d v="2017-03-02T00:00:00"/>
    <x v="46"/>
    <n v="0"/>
  </r>
  <r>
    <x v="1238"/>
    <x v="9"/>
    <x v="2"/>
    <x v="1"/>
    <s v="GTX Plus Basic"/>
    <s v="Nam-zim"/>
    <x v="0"/>
    <d v="2017-03-02T00:00:00"/>
    <x v="36"/>
    <n v="1102"/>
  </r>
  <r>
    <x v="1239"/>
    <x v="11"/>
    <x v="3"/>
    <x v="1"/>
    <s v="GTX Basic"/>
    <m/>
    <x v="1"/>
    <d v="2017-03-02T00:00:00"/>
    <x v="6"/>
    <m/>
  </r>
  <r>
    <x v="1240"/>
    <x v="11"/>
    <x v="3"/>
    <x v="1"/>
    <s v="GTX Basic"/>
    <s v="Rantouch"/>
    <x v="2"/>
    <d v="2017-03-02T00:00:00"/>
    <x v="76"/>
    <n v="0"/>
  </r>
  <r>
    <x v="1241"/>
    <x v="12"/>
    <x v="0"/>
    <x v="0"/>
    <s v="MG Special"/>
    <s v="Condax"/>
    <x v="0"/>
    <d v="2017-03-02T00:00:00"/>
    <x v="51"/>
    <n v="54"/>
  </r>
  <r>
    <x v="1242"/>
    <x v="12"/>
    <x v="0"/>
    <x v="0"/>
    <s v="MG Special"/>
    <s v="Hottechi"/>
    <x v="0"/>
    <d v="2017-03-02T00:00:00"/>
    <x v="12"/>
    <n v="62"/>
  </r>
  <r>
    <x v="1243"/>
    <x v="4"/>
    <x v="3"/>
    <x v="1"/>
    <s v="GTX Basic"/>
    <s v="Rantouch"/>
    <x v="1"/>
    <d v="2017-03-02T00:00:00"/>
    <x v="6"/>
    <m/>
  </r>
  <r>
    <x v="1244"/>
    <x v="4"/>
    <x v="3"/>
    <x v="1"/>
    <s v="GTX Basic"/>
    <m/>
    <x v="1"/>
    <d v="2017-03-02T00:00:00"/>
    <x v="6"/>
    <m/>
  </r>
  <r>
    <x v="1245"/>
    <x v="4"/>
    <x v="3"/>
    <x v="1"/>
    <s v="MG Special"/>
    <m/>
    <x v="1"/>
    <d v="2017-03-02T00:00:00"/>
    <x v="6"/>
    <m/>
  </r>
  <r>
    <x v="1246"/>
    <x v="15"/>
    <x v="5"/>
    <x v="2"/>
    <s v="MG Special"/>
    <s v="The New York Inquirer"/>
    <x v="0"/>
    <d v="2017-03-02T00:00:00"/>
    <x v="3"/>
    <n v="61"/>
  </r>
  <r>
    <x v="1247"/>
    <x v="2"/>
    <x v="2"/>
    <x v="1"/>
    <s v="GTX Basic"/>
    <m/>
    <x v="1"/>
    <d v="2017-03-02T00:00:00"/>
    <x v="6"/>
    <m/>
  </r>
  <r>
    <x v="1248"/>
    <x v="2"/>
    <x v="2"/>
    <x v="1"/>
    <s v="GTXPro"/>
    <s v="Singletechno"/>
    <x v="2"/>
    <d v="2017-03-02T00:00:00"/>
    <x v="55"/>
    <n v="0"/>
  </r>
  <r>
    <x v="1249"/>
    <x v="2"/>
    <x v="2"/>
    <x v="1"/>
    <s v="GTXPro"/>
    <s v="Labdrill"/>
    <x v="0"/>
    <d v="2017-03-02T00:00:00"/>
    <x v="28"/>
    <n v="4277"/>
  </r>
  <r>
    <x v="1250"/>
    <x v="3"/>
    <x v="0"/>
    <x v="0"/>
    <s v="MG Special"/>
    <s v="Globex Corporation"/>
    <x v="0"/>
    <d v="2017-03-03T00:00:00"/>
    <x v="55"/>
    <n v="46"/>
  </r>
  <r>
    <x v="1251"/>
    <x v="3"/>
    <x v="0"/>
    <x v="0"/>
    <s v="MG Special"/>
    <s v="Rundofase"/>
    <x v="0"/>
    <d v="2017-03-03T00:00:00"/>
    <x v="81"/>
    <n v="54"/>
  </r>
  <r>
    <x v="1252"/>
    <x v="25"/>
    <x v="4"/>
    <x v="2"/>
    <s v="GTX Plus Pro"/>
    <s v="Donquadtech"/>
    <x v="0"/>
    <d v="2017-03-03T00:00:00"/>
    <x v="85"/>
    <n v="6173"/>
  </r>
  <r>
    <x v="1253"/>
    <x v="23"/>
    <x v="4"/>
    <x v="2"/>
    <s v="GTXPro"/>
    <s v="Globex Corporation"/>
    <x v="1"/>
    <d v="2017-03-03T00:00:00"/>
    <x v="6"/>
    <m/>
  </r>
  <r>
    <x v="1254"/>
    <x v="23"/>
    <x v="4"/>
    <x v="2"/>
    <s v="MG Advanced"/>
    <s v="Ganjaflex"/>
    <x v="2"/>
    <d v="2017-03-03T00:00:00"/>
    <x v="21"/>
    <n v="0"/>
  </r>
  <r>
    <x v="1255"/>
    <x v="13"/>
    <x v="4"/>
    <x v="2"/>
    <s v="GTXPro"/>
    <s v="Sumace"/>
    <x v="2"/>
    <d v="2017-03-03T00:00:00"/>
    <x v="80"/>
    <n v="0"/>
  </r>
  <r>
    <x v="1256"/>
    <x v="1"/>
    <x v="1"/>
    <x v="0"/>
    <s v="GTXPro"/>
    <s v="Toughzap"/>
    <x v="2"/>
    <d v="2017-03-03T00:00:00"/>
    <x v="67"/>
    <n v="0"/>
  </r>
  <r>
    <x v="1257"/>
    <x v="1"/>
    <x v="1"/>
    <x v="0"/>
    <s v="GTX Plus Basic"/>
    <s v="Konmatfix"/>
    <x v="0"/>
    <d v="2017-03-03T00:00:00"/>
    <x v="53"/>
    <n v="1149"/>
  </r>
  <r>
    <x v="1258"/>
    <x v="21"/>
    <x v="5"/>
    <x v="2"/>
    <s v="GTX Basic"/>
    <s v="Silis"/>
    <x v="2"/>
    <d v="2017-03-03T00:00:00"/>
    <x v="32"/>
    <n v="0"/>
  </r>
  <r>
    <x v="1259"/>
    <x v="29"/>
    <x v="1"/>
    <x v="0"/>
    <s v="GTX Plus Basic"/>
    <s v="Dontechi"/>
    <x v="2"/>
    <d v="2017-03-03T00:00:00"/>
    <x v="28"/>
    <n v="0"/>
  </r>
  <r>
    <x v="1260"/>
    <x v="18"/>
    <x v="2"/>
    <x v="1"/>
    <s v="GTXPro"/>
    <m/>
    <x v="1"/>
    <d v="2017-03-03T00:00:00"/>
    <x v="6"/>
    <m/>
  </r>
  <r>
    <x v="1261"/>
    <x v="18"/>
    <x v="2"/>
    <x v="1"/>
    <s v="GTX Basic"/>
    <s v="Goodsilron"/>
    <x v="0"/>
    <d v="2017-03-03T00:00:00"/>
    <x v="57"/>
    <n v="568"/>
  </r>
  <r>
    <x v="1262"/>
    <x v="18"/>
    <x v="2"/>
    <x v="1"/>
    <s v="GTX Basic"/>
    <s v="J-Texon"/>
    <x v="0"/>
    <d v="2017-03-03T00:00:00"/>
    <x v="77"/>
    <n v="567"/>
  </r>
  <r>
    <x v="1263"/>
    <x v="24"/>
    <x v="0"/>
    <x v="0"/>
    <s v="GTX Basic"/>
    <s v="Genco Pura Olive Oil Company"/>
    <x v="0"/>
    <d v="2017-03-03T00:00:00"/>
    <x v="3"/>
    <n v="542"/>
  </r>
  <r>
    <x v="1264"/>
    <x v="22"/>
    <x v="1"/>
    <x v="0"/>
    <s v="GTX Basic"/>
    <s v="Conecom"/>
    <x v="2"/>
    <d v="2017-03-03T00:00:00"/>
    <x v="53"/>
    <n v="0"/>
  </r>
  <r>
    <x v="1265"/>
    <x v="22"/>
    <x v="1"/>
    <x v="0"/>
    <s v="GTX Plus Basic"/>
    <s v="Funholding"/>
    <x v="0"/>
    <d v="2017-03-03T00:00:00"/>
    <x v="28"/>
    <n v="1062"/>
  </r>
  <r>
    <x v="1266"/>
    <x v="9"/>
    <x v="2"/>
    <x v="1"/>
    <s v="GTX Plus Basic"/>
    <s v="Fasehatice"/>
    <x v="0"/>
    <d v="2017-03-03T00:00:00"/>
    <x v="22"/>
    <n v="1057"/>
  </r>
  <r>
    <x v="1267"/>
    <x v="0"/>
    <x v="0"/>
    <x v="0"/>
    <s v="GTX Plus Basic"/>
    <s v="Globex Corporation"/>
    <x v="0"/>
    <d v="2017-03-03T00:00:00"/>
    <x v="62"/>
    <n v="1020"/>
  </r>
  <r>
    <x v="1268"/>
    <x v="4"/>
    <x v="3"/>
    <x v="1"/>
    <s v="MG Special"/>
    <m/>
    <x v="1"/>
    <d v="2017-03-03T00:00:00"/>
    <x v="6"/>
    <m/>
  </r>
  <r>
    <x v="1269"/>
    <x v="20"/>
    <x v="5"/>
    <x v="2"/>
    <s v="GTX Plus Pro"/>
    <m/>
    <x v="1"/>
    <d v="2017-03-03T00:00:00"/>
    <x v="6"/>
    <m/>
  </r>
  <r>
    <x v="1270"/>
    <x v="2"/>
    <x v="2"/>
    <x v="1"/>
    <s v="GTX Basic"/>
    <m/>
    <x v="1"/>
    <d v="2017-03-03T00:00:00"/>
    <x v="6"/>
    <m/>
  </r>
  <r>
    <x v="1271"/>
    <x v="2"/>
    <x v="2"/>
    <x v="1"/>
    <s v="GTX Basic"/>
    <s v="Green-Plus"/>
    <x v="0"/>
    <d v="2017-03-03T00:00:00"/>
    <x v="54"/>
    <n v="535"/>
  </r>
  <r>
    <x v="1272"/>
    <x v="3"/>
    <x v="0"/>
    <x v="0"/>
    <s v="GTX Basic"/>
    <s v="Codehow"/>
    <x v="0"/>
    <d v="2017-03-04T00:00:00"/>
    <x v="68"/>
    <n v="522"/>
  </r>
  <r>
    <x v="1273"/>
    <x v="3"/>
    <x v="0"/>
    <x v="0"/>
    <s v="GTX Basic"/>
    <s v="Rangreen"/>
    <x v="0"/>
    <d v="2017-03-04T00:00:00"/>
    <x v="39"/>
    <n v="544"/>
  </r>
  <r>
    <x v="1274"/>
    <x v="3"/>
    <x v="0"/>
    <x v="0"/>
    <s v="MG Advanced"/>
    <s v="Genco Pura Olive Oil Company"/>
    <x v="0"/>
    <d v="2017-03-04T00:00:00"/>
    <x v="52"/>
    <n v="3081"/>
  </r>
  <r>
    <x v="1275"/>
    <x v="23"/>
    <x v="4"/>
    <x v="2"/>
    <s v="MG Advanced"/>
    <m/>
    <x v="1"/>
    <d v="2017-03-04T00:00:00"/>
    <x v="6"/>
    <m/>
  </r>
  <r>
    <x v="1276"/>
    <x v="28"/>
    <x v="0"/>
    <x v="0"/>
    <s v="MG Special"/>
    <s v="dambase"/>
    <x v="0"/>
    <d v="2017-03-04T00:00:00"/>
    <x v="40"/>
    <n v="51"/>
  </r>
  <r>
    <x v="1277"/>
    <x v="27"/>
    <x v="5"/>
    <x v="2"/>
    <s v="GTX Plus Basic"/>
    <s v="Zencorporation"/>
    <x v="2"/>
    <d v="2017-03-04T00:00:00"/>
    <x v="58"/>
    <n v="0"/>
  </r>
  <r>
    <x v="1278"/>
    <x v="13"/>
    <x v="4"/>
    <x v="2"/>
    <s v="GTX Basic"/>
    <m/>
    <x v="1"/>
    <d v="2017-03-04T00:00:00"/>
    <x v="6"/>
    <m/>
  </r>
  <r>
    <x v="1279"/>
    <x v="13"/>
    <x v="4"/>
    <x v="2"/>
    <s v="GTX Plus Basic"/>
    <s v="Acme Corporation"/>
    <x v="2"/>
    <d v="2017-03-04T00:00:00"/>
    <x v="36"/>
    <n v="0"/>
  </r>
  <r>
    <x v="1280"/>
    <x v="1"/>
    <x v="1"/>
    <x v="0"/>
    <s v="GTX Plus Basic"/>
    <s v="Streethex"/>
    <x v="0"/>
    <d v="2017-03-04T00:00:00"/>
    <x v="19"/>
    <n v="1076"/>
  </r>
  <r>
    <x v="1281"/>
    <x v="7"/>
    <x v="2"/>
    <x v="1"/>
    <s v="MG Advanced"/>
    <s v="Y-corporation"/>
    <x v="0"/>
    <d v="2017-03-04T00:00:00"/>
    <x v="58"/>
    <n v="3685"/>
  </r>
  <r>
    <x v="1282"/>
    <x v="29"/>
    <x v="1"/>
    <x v="0"/>
    <s v="GTX Plus Basic"/>
    <s v="Hottechi"/>
    <x v="2"/>
    <d v="2017-03-04T00:00:00"/>
    <x v="59"/>
    <n v="0"/>
  </r>
  <r>
    <x v="1283"/>
    <x v="16"/>
    <x v="2"/>
    <x v="1"/>
    <s v="GTXPro"/>
    <s v="Golddex"/>
    <x v="0"/>
    <d v="2017-03-04T00:00:00"/>
    <x v="40"/>
    <n v="3997"/>
  </r>
  <r>
    <x v="1284"/>
    <x v="16"/>
    <x v="2"/>
    <x v="1"/>
    <s v="MG Special"/>
    <s v="Y-corporation"/>
    <x v="0"/>
    <d v="2017-03-04T00:00:00"/>
    <x v="8"/>
    <n v="51"/>
  </r>
  <r>
    <x v="1285"/>
    <x v="16"/>
    <x v="2"/>
    <x v="1"/>
    <s v="MG Advanced"/>
    <s v="Sunnamplex"/>
    <x v="0"/>
    <d v="2017-03-04T00:00:00"/>
    <x v="21"/>
    <n v="3164"/>
  </r>
  <r>
    <x v="1286"/>
    <x v="24"/>
    <x v="0"/>
    <x v="0"/>
    <s v="GTX Basic"/>
    <s v="Funholding"/>
    <x v="0"/>
    <d v="2017-03-04T00:00:00"/>
    <x v="81"/>
    <n v="496"/>
  </r>
  <r>
    <x v="1287"/>
    <x v="5"/>
    <x v="3"/>
    <x v="1"/>
    <s v="MG Advanced"/>
    <s v="Faxquote"/>
    <x v="2"/>
    <d v="2017-03-04T00:00:00"/>
    <x v="59"/>
    <n v="0"/>
  </r>
  <r>
    <x v="1288"/>
    <x v="22"/>
    <x v="1"/>
    <x v="0"/>
    <s v="GTX Basic"/>
    <s v="Stanredtax"/>
    <x v="0"/>
    <d v="2017-03-04T00:00:00"/>
    <x v="13"/>
    <n v="579"/>
  </r>
  <r>
    <x v="1289"/>
    <x v="9"/>
    <x v="2"/>
    <x v="1"/>
    <s v="GTX Basic"/>
    <s v="Xx-holding"/>
    <x v="2"/>
    <d v="2017-03-04T00:00:00"/>
    <x v="45"/>
    <n v="0"/>
  </r>
  <r>
    <x v="1290"/>
    <x v="6"/>
    <x v="1"/>
    <x v="0"/>
    <s v="GTXPro"/>
    <s v="Bioholding"/>
    <x v="2"/>
    <d v="2017-03-04T00:00:00"/>
    <x v="35"/>
    <n v="0"/>
  </r>
  <r>
    <x v="1291"/>
    <x v="6"/>
    <x v="1"/>
    <x v="0"/>
    <s v="GTXPro"/>
    <s v="Treequote"/>
    <x v="2"/>
    <d v="2017-03-04T00:00:00"/>
    <x v="63"/>
    <n v="0"/>
  </r>
  <r>
    <x v="1292"/>
    <x v="19"/>
    <x v="4"/>
    <x v="2"/>
    <s v="GTX Basic"/>
    <s v="Kan-code"/>
    <x v="0"/>
    <d v="2017-03-04T00:00:00"/>
    <x v="87"/>
    <n v="521"/>
  </r>
  <r>
    <x v="1293"/>
    <x v="19"/>
    <x v="4"/>
    <x v="2"/>
    <s v="MG Advanced"/>
    <s v="Gekko &amp; Co"/>
    <x v="0"/>
    <d v="2017-03-04T00:00:00"/>
    <x v="2"/>
    <n v="3889"/>
  </r>
  <r>
    <x v="1294"/>
    <x v="17"/>
    <x v="5"/>
    <x v="2"/>
    <s v="MG Advanced"/>
    <s v="Plussunin"/>
    <x v="0"/>
    <d v="2017-03-04T00:00:00"/>
    <x v="15"/>
    <n v="3340"/>
  </r>
  <r>
    <x v="1295"/>
    <x v="12"/>
    <x v="0"/>
    <x v="0"/>
    <s v="MG Special"/>
    <s v="Finhigh"/>
    <x v="2"/>
    <d v="2017-03-04T00:00:00"/>
    <x v="19"/>
    <n v="0"/>
  </r>
  <r>
    <x v="1296"/>
    <x v="4"/>
    <x v="3"/>
    <x v="1"/>
    <s v="GTXPro"/>
    <s v="Cheers"/>
    <x v="2"/>
    <d v="2017-03-04T00:00:00"/>
    <x v="54"/>
    <n v="0"/>
  </r>
  <r>
    <x v="1297"/>
    <x v="2"/>
    <x v="2"/>
    <x v="1"/>
    <s v="GTXPro"/>
    <s v="Acme Corporation"/>
    <x v="1"/>
    <d v="2017-03-04T00:00:00"/>
    <x v="6"/>
    <m/>
  </r>
  <r>
    <x v="1298"/>
    <x v="2"/>
    <x v="2"/>
    <x v="1"/>
    <s v="GTXPro"/>
    <m/>
    <x v="1"/>
    <d v="2017-03-04T00:00:00"/>
    <x v="6"/>
    <m/>
  </r>
  <r>
    <x v="1299"/>
    <x v="2"/>
    <x v="2"/>
    <x v="1"/>
    <s v="GTXPro"/>
    <s v="Blackzim"/>
    <x v="0"/>
    <d v="2017-03-04T00:00:00"/>
    <x v="80"/>
    <n v="5876"/>
  </r>
  <r>
    <x v="1300"/>
    <x v="3"/>
    <x v="0"/>
    <x v="0"/>
    <s v="GTX Plus Pro"/>
    <s v="Toughzap"/>
    <x v="0"/>
    <d v="2017-03-05T00:00:00"/>
    <x v="56"/>
    <n v="5092"/>
  </r>
  <r>
    <x v="1301"/>
    <x v="25"/>
    <x v="4"/>
    <x v="2"/>
    <s v="GTX Plus Basic"/>
    <s v="Massive Dynamic"/>
    <x v="2"/>
    <d v="2017-03-05T00:00:00"/>
    <x v="58"/>
    <n v="0"/>
  </r>
  <r>
    <x v="1302"/>
    <x v="23"/>
    <x v="4"/>
    <x v="2"/>
    <s v="MG Advanced"/>
    <m/>
    <x v="1"/>
    <d v="2017-03-05T00:00:00"/>
    <x v="6"/>
    <m/>
  </r>
  <r>
    <x v="1303"/>
    <x v="13"/>
    <x v="4"/>
    <x v="2"/>
    <s v="GTX Basic"/>
    <m/>
    <x v="1"/>
    <d v="2017-03-05T00:00:00"/>
    <x v="6"/>
    <m/>
  </r>
  <r>
    <x v="1304"/>
    <x v="13"/>
    <x v="4"/>
    <x v="2"/>
    <s v="GTX Plus Basic"/>
    <s v="Acme Corporation"/>
    <x v="0"/>
    <d v="2017-03-05T00:00:00"/>
    <x v="85"/>
    <n v="966"/>
  </r>
  <r>
    <x v="1305"/>
    <x v="13"/>
    <x v="4"/>
    <x v="2"/>
    <s v="GTX Plus Pro"/>
    <s v="Opentech"/>
    <x v="0"/>
    <d v="2017-03-05T00:00:00"/>
    <x v="21"/>
    <n v="6024"/>
  </r>
  <r>
    <x v="1306"/>
    <x v="13"/>
    <x v="4"/>
    <x v="2"/>
    <s v="MG Advanced"/>
    <s v="Condax"/>
    <x v="0"/>
    <d v="2017-03-05T00:00:00"/>
    <x v="16"/>
    <n v="3759"/>
  </r>
  <r>
    <x v="1307"/>
    <x v="1"/>
    <x v="1"/>
    <x v="0"/>
    <s v="GTXPro"/>
    <s v="Streethex"/>
    <x v="2"/>
    <d v="2017-03-05T00:00:00"/>
    <x v="61"/>
    <n v="0"/>
  </r>
  <r>
    <x v="1308"/>
    <x v="26"/>
    <x v="4"/>
    <x v="2"/>
    <s v="GTXPro"/>
    <s v="Donquadtech"/>
    <x v="0"/>
    <d v="2017-03-05T00:00:00"/>
    <x v="14"/>
    <n v="4443"/>
  </r>
  <r>
    <x v="1309"/>
    <x v="10"/>
    <x v="3"/>
    <x v="1"/>
    <s v="MG Advanced"/>
    <s v="Cheers"/>
    <x v="0"/>
    <d v="2017-03-05T00:00:00"/>
    <x v="88"/>
    <n v="3397"/>
  </r>
  <r>
    <x v="1310"/>
    <x v="7"/>
    <x v="2"/>
    <x v="1"/>
    <s v="GTX Plus Pro"/>
    <s v="Singletechno"/>
    <x v="2"/>
    <d v="2017-03-05T00:00:00"/>
    <x v="24"/>
    <n v="0"/>
  </r>
  <r>
    <x v="1311"/>
    <x v="7"/>
    <x v="2"/>
    <x v="1"/>
    <s v="MG Special"/>
    <s v="Sunnamplex"/>
    <x v="2"/>
    <d v="2017-03-05T00:00:00"/>
    <x v="39"/>
    <n v="0"/>
  </r>
  <r>
    <x v="1312"/>
    <x v="29"/>
    <x v="1"/>
    <x v="0"/>
    <s v="MG Special"/>
    <s v="Domzoom"/>
    <x v="0"/>
    <d v="2017-03-05T00:00:00"/>
    <x v="33"/>
    <n v="59"/>
  </r>
  <r>
    <x v="1313"/>
    <x v="16"/>
    <x v="2"/>
    <x v="1"/>
    <s v="GTX Basic"/>
    <m/>
    <x v="1"/>
    <d v="2017-03-05T00:00:00"/>
    <x v="6"/>
    <m/>
  </r>
  <r>
    <x v="1314"/>
    <x v="24"/>
    <x v="0"/>
    <x v="0"/>
    <s v="GTX Basic"/>
    <s v="Cancity"/>
    <x v="2"/>
    <d v="2017-03-05T00:00:00"/>
    <x v="51"/>
    <n v="0"/>
  </r>
  <r>
    <x v="1315"/>
    <x v="24"/>
    <x v="0"/>
    <x v="0"/>
    <s v="GTX Basic"/>
    <s v="dambase"/>
    <x v="2"/>
    <d v="2017-03-05T00:00:00"/>
    <x v="74"/>
    <n v="0"/>
  </r>
  <r>
    <x v="1316"/>
    <x v="24"/>
    <x v="0"/>
    <x v="0"/>
    <s v="GTX Basic"/>
    <s v="Rangreen"/>
    <x v="0"/>
    <d v="2017-03-05T00:00:00"/>
    <x v="47"/>
    <n v="494"/>
  </r>
  <r>
    <x v="1317"/>
    <x v="24"/>
    <x v="0"/>
    <x v="0"/>
    <s v="GTX Plus Basic"/>
    <s v="Codehow"/>
    <x v="0"/>
    <d v="2017-03-05T00:00:00"/>
    <x v="67"/>
    <n v="1060"/>
  </r>
  <r>
    <x v="1318"/>
    <x v="5"/>
    <x v="3"/>
    <x v="1"/>
    <s v="MG Special"/>
    <s v="Blackzim"/>
    <x v="1"/>
    <d v="2017-03-05T00:00:00"/>
    <x v="6"/>
    <m/>
  </r>
  <r>
    <x v="1319"/>
    <x v="22"/>
    <x v="1"/>
    <x v="0"/>
    <s v="MG Special"/>
    <s v="Scottech"/>
    <x v="2"/>
    <d v="2017-03-05T00:00:00"/>
    <x v="60"/>
    <n v="0"/>
  </r>
  <r>
    <x v="1320"/>
    <x v="17"/>
    <x v="5"/>
    <x v="2"/>
    <s v="MG Special"/>
    <s v="Bioplex"/>
    <x v="1"/>
    <d v="2017-03-05T00:00:00"/>
    <x v="6"/>
    <m/>
  </r>
  <r>
    <x v="1321"/>
    <x v="17"/>
    <x v="5"/>
    <x v="2"/>
    <s v="MG Special"/>
    <s v="Vehement Capital Partners"/>
    <x v="2"/>
    <d v="2017-03-05T00:00:00"/>
    <x v="65"/>
    <n v="0"/>
  </r>
  <r>
    <x v="1322"/>
    <x v="12"/>
    <x v="0"/>
    <x v="0"/>
    <s v="GTX Basic"/>
    <s v="Domzoom"/>
    <x v="2"/>
    <d v="2017-03-05T00:00:00"/>
    <x v="77"/>
    <n v="0"/>
  </r>
  <r>
    <x v="1323"/>
    <x v="4"/>
    <x v="3"/>
    <x v="1"/>
    <s v="GTX Basic"/>
    <s v="Faxquote"/>
    <x v="0"/>
    <d v="2017-03-05T00:00:00"/>
    <x v="54"/>
    <n v="624"/>
  </r>
  <r>
    <x v="1324"/>
    <x v="4"/>
    <x v="3"/>
    <x v="1"/>
    <s v="GTX Basic"/>
    <s v="Goodsilron"/>
    <x v="0"/>
    <d v="2017-03-05T00:00:00"/>
    <x v="38"/>
    <n v="565"/>
  </r>
  <r>
    <x v="1325"/>
    <x v="4"/>
    <x v="3"/>
    <x v="1"/>
    <s v="GTX Basic"/>
    <s v="Konex"/>
    <x v="0"/>
    <d v="2017-03-05T00:00:00"/>
    <x v="64"/>
    <n v="642"/>
  </r>
  <r>
    <x v="1326"/>
    <x v="15"/>
    <x v="5"/>
    <x v="2"/>
    <s v="MG Advanced"/>
    <s v="Newex"/>
    <x v="1"/>
    <d v="2017-03-05T00:00:00"/>
    <x v="6"/>
    <m/>
  </r>
  <r>
    <x v="1327"/>
    <x v="15"/>
    <x v="5"/>
    <x v="2"/>
    <s v="MG Special"/>
    <s v="Betasoloin"/>
    <x v="0"/>
    <d v="2017-03-05T00:00:00"/>
    <x v="16"/>
    <n v="48"/>
  </r>
  <r>
    <x v="1328"/>
    <x v="15"/>
    <x v="5"/>
    <x v="2"/>
    <s v="MG Special"/>
    <s v="Donware"/>
    <x v="0"/>
    <d v="2017-03-05T00:00:00"/>
    <x v="65"/>
    <n v="60"/>
  </r>
  <r>
    <x v="1329"/>
    <x v="25"/>
    <x v="4"/>
    <x v="2"/>
    <s v="GTX Basic"/>
    <s v="Kan-code"/>
    <x v="0"/>
    <d v="2017-03-06T00:00:00"/>
    <x v="40"/>
    <n v="522"/>
  </r>
  <r>
    <x v="1330"/>
    <x v="23"/>
    <x v="4"/>
    <x v="2"/>
    <s v="GTX Basic"/>
    <m/>
    <x v="1"/>
    <d v="2017-03-06T00:00:00"/>
    <x v="6"/>
    <m/>
  </r>
  <r>
    <x v="1331"/>
    <x v="23"/>
    <x v="4"/>
    <x v="2"/>
    <s v="GTX Plus Pro"/>
    <s v="Umbrella Corporation"/>
    <x v="0"/>
    <d v="2017-03-06T00:00:00"/>
    <x v="8"/>
    <n v="4701"/>
  </r>
  <r>
    <x v="1332"/>
    <x v="1"/>
    <x v="1"/>
    <x v="0"/>
    <s v="GTX Plus Pro"/>
    <s v="Scottech"/>
    <x v="2"/>
    <d v="2017-03-06T00:00:00"/>
    <x v="45"/>
    <n v="0"/>
  </r>
  <r>
    <x v="1333"/>
    <x v="14"/>
    <x v="3"/>
    <x v="1"/>
    <s v="GTXPro"/>
    <s v="Singletechno"/>
    <x v="0"/>
    <d v="2017-03-06T00:00:00"/>
    <x v="22"/>
    <n v="4987"/>
  </r>
  <r>
    <x v="1334"/>
    <x v="29"/>
    <x v="1"/>
    <x v="0"/>
    <s v="GTX Basic"/>
    <s v="Inity"/>
    <x v="0"/>
    <d v="2017-03-06T00:00:00"/>
    <x v="66"/>
    <n v="579"/>
  </r>
  <r>
    <x v="1335"/>
    <x v="18"/>
    <x v="2"/>
    <x v="1"/>
    <s v="MG Special"/>
    <m/>
    <x v="1"/>
    <d v="2017-03-06T00:00:00"/>
    <x v="6"/>
    <m/>
  </r>
  <r>
    <x v="1336"/>
    <x v="18"/>
    <x v="2"/>
    <x v="1"/>
    <s v="GTX Basic"/>
    <s v="Kan-code"/>
    <x v="0"/>
    <d v="2017-03-06T00:00:00"/>
    <x v="91"/>
    <n v="494"/>
  </r>
  <r>
    <x v="1337"/>
    <x v="22"/>
    <x v="1"/>
    <x v="0"/>
    <s v="GTX Basic"/>
    <s v="Isdom"/>
    <x v="0"/>
    <d v="2017-03-06T00:00:00"/>
    <x v="80"/>
    <n v="545"/>
  </r>
  <r>
    <x v="1338"/>
    <x v="9"/>
    <x v="2"/>
    <x v="1"/>
    <s v="GTX Basic"/>
    <s v="Y-corporation"/>
    <x v="0"/>
    <d v="2017-03-06T00:00:00"/>
    <x v="62"/>
    <n v="584"/>
  </r>
  <r>
    <x v="1339"/>
    <x v="0"/>
    <x v="0"/>
    <x v="0"/>
    <s v="MG Advanced"/>
    <s v="dambase"/>
    <x v="0"/>
    <d v="2017-03-06T00:00:00"/>
    <x v="73"/>
    <n v="3714"/>
  </r>
  <r>
    <x v="1340"/>
    <x v="6"/>
    <x v="1"/>
    <x v="0"/>
    <s v="MG Advanced"/>
    <s v="Finhigh"/>
    <x v="0"/>
    <d v="2017-03-06T00:00:00"/>
    <x v="41"/>
    <n v="3423"/>
  </r>
  <r>
    <x v="1341"/>
    <x v="6"/>
    <x v="1"/>
    <x v="0"/>
    <s v="MG Advanced"/>
    <s v="Ron-tech"/>
    <x v="0"/>
    <d v="2017-03-06T00:00:00"/>
    <x v="17"/>
    <n v="3167"/>
  </r>
  <r>
    <x v="1342"/>
    <x v="19"/>
    <x v="4"/>
    <x v="2"/>
    <s v="GTX Basic"/>
    <s v="Acme Corporation"/>
    <x v="2"/>
    <d v="2017-03-06T00:00:00"/>
    <x v="56"/>
    <n v="0"/>
  </r>
  <r>
    <x v="1343"/>
    <x v="11"/>
    <x v="3"/>
    <x v="1"/>
    <s v="GTX Plus Basic"/>
    <s v="Xx-holding"/>
    <x v="0"/>
    <d v="2017-03-06T00:00:00"/>
    <x v="56"/>
    <n v="987"/>
  </r>
  <r>
    <x v="1344"/>
    <x v="17"/>
    <x v="5"/>
    <x v="2"/>
    <s v="GTX Plus Basic"/>
    <m/>
    <x v="1"/>
    <d v="2017-03-06T00:00:00"/>
    <x v="6"/>
    <m/>
  </r>
  <r>
    <x v="1345"/>
    <x v="17"/>
    <x v="5"/>
    <x v="2"/>
    <s v="MG Advanced"/>
    <s v="Konex"/>
    <x v="2"/>
    <d v="2017-03-06T00:00:00"/>
    <x v="47"/>
    <n v="0"/>
  </r>
  <r>
    <x v="1346"/>
    <x v="12"/>
    <x v="0"/>
    <x v="0"/>
    <s v="MG Advanced"/>
    <s v="Domzoom"/>
    <x v="2"/>
    <d v="2017-03-06T00:00:00"/>
    <x v="74"/>
    <n v="0"/>
  </r>
  <r>
    <x v="1347"/>
    <x v="12"/>
    <x v="0"/>
    <x v="0"/>
    <s v="MG Advanced"/>
    <s v="Dontechi"/>
    <x v="0"/>
    <d v="2017-03-06T00:00:00"/>
    <x v="61"/>
    <n v="3428"/>
  </r>
  <r>
    <x v="1348"/>
    <x v="15"/>
    <x v="5"/>
    <x v="2"/>
    <s v="MG Special"/>
    <s v="Warephase"/>
    <x v="1"/>
    <d v="2017-03-06T00:00:00"/>
    <x v="6"/>
    <m/>
  </r>
  <r>
    <x v="1349"/>
    <x v="15"/>
    <x v="5"/>
    <x v="2"/>
    <s v="MG Special"/>
    <s v="Gekko &amp; Co"/>
    <x v="2"/>
    <d v="2017-03-06T00:00:00"/>
    <x v="57"/>
    <n v="0"/>
  </r>
  <r>
    <x v="1350"/>
    <x v="2"/>
    <x v="2"/>
    <x v="1"/>
    <s v="GTX Plus Basic"/>
    <s v="Hottechi"/>
    <x v="0"/>
    <d v="2017-03-06T00:00:00"/>
    <x v="66"/>
    <n v="1149"/>
  </r>
  <r>
    <x v="1351"/>
    <x v="3"/>
    <x v="0"/>
    <x v="0"/>
    <s v="GTX Plus Pro"/>
    <s v="Globex Corporation"/>
    <x v="0"/>
    <d v="2017-03-07T00:00:00"/>
    <x v="80"/>
    <n v="6023"/>
  </r>
  <r>
    <x v="1352"/>
    <x v="25"/>
    <x v="4"/>
    <x v="2"/>
    <s v="GTX Basic"/>
    <m/>
    <x v="1"/>
    <d v="2017-03-07T00:00:00"/>
    <x v="6"/>
    <m/>
  </r>
  <r>
    <x v="1353"/>
    <x v="25"/>
    <x v="4"/>
    <x v="2"/>
    <s v="GTX Plus Basic"/>
    <m/>
    <x v="1"/>
    <d v="2017-03-07T00:00:00"/>
    <x v="6"/>
    <m/>
  </r>
  <r>
    <x v="1354"/>
    <x v="23"/>
    <x v="4"/>
    <x v="2"/>
    <s v="GTX Basic"/>
    <s v="Bluth Company"/>
    <x v="2"/>
    <d v="2017-03-07T00:00:00"/>
    <x v="43"/>
    <n v="0"/>
  </r>
  <r>
    <x v="1355"/>
    <x v="28"/>
    <x v="0"/>
    <x v="0"/>
    <s v="MG Special"/>
    <s v="Scottech"/>
    <x v="0"/>
    <d v="2017-03-07T00:00:00"/>
    <x v="12"/>
    <n v="47"/>
  </r>
  <r>
    <x v="1356"/>
    <x v="27"/>
    <x v="5"/>
    <x v="2"/>
    <s v="GTX Basic"/>
    <s v="Donquadtech"/>
    <x v="0"/>
    <d v="2017-03-07T00:00:00"/>
    <x v="7"/>
    <n v="542"/>
  </r>
  <r>
    <x v="1357"/>
    <x v="27"/>
    <x v="5"/>
    <x v="2"/>
    <s v="GTXPro"/>
    <s v="Xx-zobam"/>
    <x v="0"/>
    <d v="2017-03-07T00:00:00"/>
    <x v="28"/>
    <n v="4980"/>
  </r>
  <r>
    <x v="1358"/>
    <x v="1"/>
    <x v="1"/>
    <x v="0"/>
    <s v="GTXPro"/>
    <s v="Funholding"/>
    <x v="0"/>
    <d v="2017-03-07T00:00:00"/>
    <x v="53"/>
    <n v="4978"/>
  </r>
  <r>
    <x v="1359"/>
    <x v="26"/>
    <x v="4"/>
    <x v="2"/>
    <s v="GTXPro"/>
    <s v="Vehement Capital Partners"/>
    <x v="0"/>
    <d v="2017-03-07T00:00:00"/>
    <x v="76"/>
    <n v="5256"/>
  </r>
  <r>
    <x v="1360"/>
    <x v="14"/>
    <x v="3"/>
    <x v="1"/>
    <s v="GTXPro"/>
    <s v="Hottechi"/>
    <x v="0"/>
    <d v="2017-03-07T00:00:00"/>
    <x v="52"/>
    <n v="4327"/>
  </r>
  <r>
    <x v="1361"/>
    <x v="21"/>
    <x v="5"/>
    <x v="2"/>
    <s v="GTXPro"/>
    <s v="Donware"/>
    <x v="0"/>
    <d v="2017-03-07T00:00:00"/>
    <x v="41"/>
    <n v="5022"/>
  </r>
  <r>
    <x v="1362"/>
    <x v="8"/>
    <x v="1"/>
    <x v="0"/>
    <s v="GTX Plus Pro"/>
    <s v="Bioholding"/>
    <x v="0"/>
    <d v="2017-03-07T00:00:00"/>
    <x v="1"/>
    <n v="4887"/>
  </r>
  <r>
    <x v="1363"/>
    <x v="8"/>
    <x v="1"/>
    <x v="0"/>
    <s v="MG Advanced"/>
    <s v="Stanredtax"/>
    <x v="0"/>
    <d v="2017-03-07T00:00:00"/>
    <x v="21"/>
    <n v="3724"/>
  </r>
  <r>
    <x v="1364"/>
    <x v="7"/>
    <x v="2"/>
    <x v="1"/>
    <s v="GTX Plus Basic"/>
    <m/>
    <x v="1"/>
    <d v="2017-03-07T00:00:00"/>
    <x v="6"/>
    <m/>
  </r>
  <r>
    <x v="1365"/>
    <x v="7"/>
    <x v="2"/>
    <x v="1"/>
    <s v="GTX Basic"/>
    <s v="Y-corporation"/>
    <x v="0"/>
    <d v="2017-03-07T00:00:00"/>
    <x v="1"/>
    <n v="535"/>
  </r>
  <r>
    <x v="1366"/>
    <x v="18"/>
    <x v="2"/>
    <x v="1"/>
    <s v="GTX Basic"/>
    <s v="Dontechi"/>
    <x v="1"/>
    <d v="2017-03-07T00:00:00"/>
    <x v="6"/>
    <m/>
  </r>
  <r>
    <x v="1367"/>
    <x v="18"/>
    <x v="2"/>
    <x v="1"/>
    <s v="GTX Plus Pro"/>
    <s v="Blackzim"/>
    <x v="2"/>
    <d v="2017-03-07T00:00:00"/>
    <x v="61"/>
    <n v="0"/>
  </r>
  <r>
    <x v="1368"/>
    <x v="5"/>
    <x v="3"/>
    <x v="1"/>
    <s v="MG Advanced"/>
    <s v="Singletechno"/>
    <x v="0"/>
    <d v="2017-03-07T00:00:00"/>
    <x v="24"/>
    <n v="3969"/>
  </r>
  <r>
    <x v="1369"/>
    <x v="9"/>
    <x v="2"/>
    <x v="1"/>
    <s v="GTX Plus Basic"/>
    <s v="Blackzim"/>
    <x v="1"/>
    <d v="2017-03-07T00:00:00"/>
    <x v="6"/>
    <m/>
  </r>
  <r>
    <x v="1370"/>
    <x v="0"/>
    <x v="0"/>
    <x v="0"/>
    <s v="GTX Plus Pro"/>
    <s v="Toughzap"/>
    <x v="0"/>
    <d v="2017-03-07T00:00:00"/>
    <x v="22"/>
    <n v="6805"/>
  </r>
  <r>
    <x v="1371"/>
    <x v="6"/>
    <x v="1"/>
    <x v="0"/>
    <s v="GTX Plus Basic"/>
    <s v="Isdom"/>
    <x v="0"/>
    <d v="2017-03-07T00:00:00"/>
    <x v="82"/>
    <n v="1190"/>
  </r>
  <r>
    <x v="1372"/>
    <x v="17"/>
    <x v="5"/>
    <x v="2"/>
    <s v="GTX Plus Pro"/>
    <s v="Condax"/>
    <x v="0"/>
    <d v="2017-03-07T00:00:00"/>
    <x v="56"/>
    <n v="4821"/>
  </r>
  <r>
    <x v="1373"/>
    <x v="4"/>
    <x v="3"/>
    <x v="1"/>
    <s v="GTX Basic"/>
    <s v="Dalttechnology"/>
    <x v="1"/>
    <d v="2017-03-07T00:00:00"/>
    <x v="6"/>
    <m/>
  </r>
  <r>
    <x v="1374"/>
    <x v="15"/>
    <x v="5"/>
    <x v="2"/>
    <s v="MG Special"/>
    <s v="Kinnamplus"/>
    <x v="0"/>
    <d v="2017-03-07T00:00:00"/>
    <x v="36"/>
    <n v="53"/>
  </r>
  <r>
    <x v="1375"/>
    <x v="20"/>
    <x v="5"/>
    <x v="2"/>
    <s v="GTX Plus Basic"/>
    <m/>
    <x v="1"/>
    <d v="2017-03-07T00:00:00"/>
    <x v="6"/>
    <m/>
  </r>
  <r>
    <x v="1376"/>
    <x v="20"/>
    <x v="5"/>
    <x v="2"/>
    <s v="MG Advanced"/>
    <m/>
    <x v="1"/>
    <d v="2017-03-07T00:00:00"/>
    <x v="6"/>
    <m/>
  </r>
  <r>
    <x v="1377"/>
    <x v="2"/>
    <x v="2"/>
    <x v="1"/>
    <s v="GTXPro"/>
    <m/>
    <x v="1"/>
    <d v="2017-03-07T00:00:00"/>
    <x v="6"/>
    <m/>
  </r>
  <r>
    <x v="1378"/>
    <x v="23"/>
    <x v="4"/>
    <x v="2"/>
    <s v="MG Advanced"/>
    <s v="Vehement Capital Partners"/>
    <x v="0"/>
    <d v="2017-03-08T00:00:00"/>
    <x v="57"/>
    <n v="3087"/>
  </r>
  <r>
    <x v="1379"/>
    <x v="28"/>
    <x v="0"/>
    <x v="0"/>
    <s v="MG Special"/>
    <s v="Bioholding"/>
    <x v="0"/>
    <d v="2017-03-08T00:00:00"/>
    <x v="71"/>
    <n v="59"/>
  </r>
  <r>
    <x v="1380"/>
    <x v="27"/>
    <x v="5"/>
    <x v="2"/>
    <s v="GTX Plus Basic"/>
    <s v="Bubba Gump"/>
    <x v="0"/>
    <d v="2017-03-08T00:00:00"/>
    <x v="42"/>
    <n v="857"/>
  </r>
  <r>
    <x v="1381"/>
    <x v="13"/>
    <x v="4"/>
    <x v="2"/>
    <s v="GTX Plus Basic"/>
    <s v="Massive Dynamic"/>
    <x v="0"/>
    <d v="2017-03-08T00:00:00"/>
    <x v="87"/>
    <n v="1142"/>
  </r>
  <r>
    <x v="1382"/>
    <x v="26"/>
    <x v="4"/>
    <x v="2"/>
    <s v="GTX Basic"/>
    <s v="Ganjaflex"/>
    <x v="0"/>
    <d v="2017-03-08T00:00:00"/>
    <x v="39"/>
    <n v="566"/>
  </r>
  <r>
    <x v="1383"/>
    <x v="21"/>
    <x v="5"/>
    <x v="2"/>
    <s v="MG Advanced"/>
    <s v="Xx-zobam"/>
    <x v="0"/>
    <d v="2017-03-08T00:00:00"/>
    <x v="8"/>
    <n v="4291"/>
  </r>
  <r>
    <x v="1384"/>
    <x v="10"/>
    <x v="3"/>
    <x v="1"/>
    <s v="GTX Plus Basic"/>
    <s v="Rantouch"/>
    <x v="0"/>
    <d v="2017-03-08T00:00:00"/>
    <x v="83"/>
    <n v="1039"/>
  </r>
  <r>
    <x v="1385"/>
    <x v="10"/>
    <x v="3"/>
    <x v="1"/>
    <s v="MG Advanced"/>
    <s v="Xx-holding"/>
    <x v="0"/>
    <d v="2017-03-08T00:00:00"/>
    <x v="65"/>
    <n v="3151"/>
  </r>
  <r>
    <x v="1386"/>
    <x v="29"/>
    <x v="1"/>
    <x v="0"/>
    <s v="GTX Basic"/>
    <s v="Gogozoom"/>
    <x v="0"/>
    <d v="2017-03-08T00:00:00"/>
    <x v="29"/>
    <n v="590"/>
  </r>
  <r>
    <x v="1387"/>
    <x v="29"/>
    <x v="1"/>
    <x v="0"/>
    <s v="MG Advanced"/>
    <s v="Ron-tech"/>
    <x v="0"/>
    <d v="2017-03-08T00:00:00"/>
    <x v="8"/>
    <n v="3217"/>
  </r>
  <r>
    <x v="1388"/>
    <x v="16"/>
    <x v="2"/>
    <x v="1"/>
    <s v="GTX Basic"/>
    <s v="Zoomit"/>
    <x v="0"/>
    <d v="2017-03-08T00:00:00"/>
    <x v="1"/>
    <n v="597"/>
  </r>
  <r>
    <x v="1389"/>
    <x v="18"/>
    <x v="2"/>
    <x v="1"/>
    <s v="GTXPro"/>
    <s v="Newex"/>
    <x v="0"/>
    <d v="2017-03-08T00:00:00"/>
    <x v="54"/>
    <n v="4918"/>
  </r>
  <r>
    <x v="1390"/>
    <x v="18"/>
    <x v="2"/>
    <x v="1"/>
    <s v="GTXPro"/>
    <s v="Scotfind"/>
    <x v="0"/>
    <d v="2017-03-08T00:00:00"/>
    <x v="17"/>
    <n v="5266"/>
  </r>
  <r>
    <x v="1391"/>
    <x v="24"/>
    <x v="0"/>
    <x v="0"/>
    <s v="MG Advanced"/>
    <s v="Finhigh"/>
    <x v="2"/>
    <d v="2017-03-08T00:00:00"/>
    <x v="39"/>
    <n v="0"/>
  </r>
  <r>
    <x v="1392"/>
    <x v="5"/>
    <x v="3"/>
    <x v="1"/>
    <s v="GTX Basic"/>
    <s v="Silis"/>
    <x v="1"/>
    <d v="2017-03-08T00:00:00"/>
    <x v="6"/>
    <m/>
  </r>
  <r>
    <x v="1393"/>
    <x v="5"/>
    <x v="3"/>
    <x v="1"/>
    <s v="GTX Basic"/>
    <s v="Singletechno"/>
    <x v="2"/>
    <d v="2017-03-08T00:00:00"/>
    <x v="37"/>
    <n v="0"/>
  </r>
  <r>
    <x v="1394"/>
    <x v="5"/>
    <x v="3"/>
    <x v="1"/>
    <s v="MG Special"/>
    <s v="Blackzim"/>
    <x v="0"/>
    <d v="2017-03-08T00:00:00"/>
    <x v="50"/>
    <n v="61"/>
  </r>
  <r>
    <x v="1395"/>
    <x v="5"/>
    <x v="3"/>
    <x v="1"/>
    <s v="MG Advanced"/>
    <s v="Faxquote"/>
    <x v="0"/>
    <d v="2017-03-08T00:00:00"/>
    <x v="66"/>
    <n v="3470"/>
  </r>
  <r>
    <x v="1396"/>
    <x v="0"/>
    <x v="0"/>
    <x v="0"/>
    <s v="GTX Basic"/>
    <s v="Betatech"/>
    <x v="2"/>
    <d v="2017-03-08T00:00:00"/>
    <x v="86"/>
    <n v="0"/>
  </r>
  <r>
    <x v="1397"/>
    <x v="11"/>
    <x v="3"/>
    <x v="1"/>
    <s v="MG Special"/>
    <s v="Newex"/>
    <x v="0"/>
    <d v="2017-03-08T00:00:00"/>
    <x v="53"/>
    <n v="48"/>
  </r>
  <r>
    <x v="1398"/>
    <x v="17"/>
    <x v="5"/>
    <x v="2"/>
    <s v="MG Special"/>
    <s v="Acme Corporation"/>
    <x v="0"/>
    <d v="2017-03-08T00:00:00"/>
    <x v="81"/>
    <n v="61"/>
  </r>
  <r>
    <x v="1399"/>
    <x v="4"/>
    <x v="3"/>
    <x v="1"/>
    <s v="MG Special"/>
    <s v="Blackzim"/>
    <x v="2"/>
    <d v="2017-03-08T00:00:00"/>
    <x v="60"/>
    <n v="0"/>
  </r>
  <r>
    <x v="1400"/>
    <x v="15"/>
    <x v="5"/>
    <x v="2"/>
    <s v="GTX Basic"/>
    <s v="Silis"/>
    <x v="2"/>
    <d v="2017-03-08T00:00:00"/>
    <x v="56"/>
    <n v="0"/>
  </r>
  <r>
    <x v="1401"/>
    <x v="2"/>
    <x v="2"/>
    <x v="1"/>
    <s v="GTX Basic"/>
    <s v="Y-corporation"/>
    <x v="2"/>
    <d v="2017-03-08T00:00:00"/>
    <x v="48"/>
    <n v="0"/>
  </r>
  <r>
    <x v="1402"/>
    <x v="2"/>
    <x v="2"/>
    <x v="1"/>
    <s v="GTX Plus Basic"/>
    <s v="Plusstrip"/>
    <x v="2"/>
    <d v="2017-03-08T00:00:00"/>
    <x v="63"/>
    <n v="0"/>
  </r>
  <r>
    <x v="1403"/>
    <x v="3"/>
    <x v="0"/>
    <x v="0"/>
    <s v="GTX Basic"/>
    <s v="Inity"/>
    <x v="2"/>
    <d v="2017-03-09T00:00:00"/>
    <x v="57"/>
    <n v="0"/>
  </r>
  <r>
    <x v="1404"/>
    <x v="3"/>
    <x v="0"/>
    <x v="0"/>
    <s v="GTX Plus Pro"/>
    <s v="Hottechi"/>
    <x v="2"/>
    <d v="2017-03-09T00:00:00"/>
    <x v="54"/>
    <n v="0"/>
  </r>
  <r>
    <x v="1405"/>
    <x v="3"/>
    <x v="0"/>
    <x v="0"/>
    <s v="GTX Basic"/>
    <s v="Streethex"/>
    <x v="0"/>
    <d v="2017-03-09T00:00:00"/>
    <x v="80"/>
    <n v="595"/>
  </r>
  <r>
    <x v="1406"/>
    <x v="3"/>
    <x v="0"/>
    <x v="0"/>
    <s v="MG Special"/>
    <s v="Zumgoity"/>
    <x v="0"/>
    <d v="2017-03-09T00:00:00"/>
    <x v="62"/>
    <n v="51"/>
  </r>
  <r>
    <x v="1407"/>
    <x v="25"/>
    <x v="4"/>
    <x v="2"/>
    <s v="MG Special"/>
    <s v="Opentech"/>
    <x v="2"/>
    <d v="2017-03-09T00:00:00"/>
    <x v="85"/>
    <n v="0"/>
  </r>
  <r>
    <x v="1408"/>
    <x v="23"/>
    <x v="4"/>
    <x v="2"/>
    <s v="GTXPro"/>
    <s v="Kan-code"/>
    <x v="0"/>
    <d v="2017-03-09T00:00:00"/>
    <x v="49"/>
    <n v="4624"/>
  </r>
  <r>
    <x v="1409"/>
    <x v="27"/>
    <x v="5"/>
    <x v="2"/>
    <s v="GTX Plus Basic"/>
    <m/>
    <x v="1"/>
    <d v="2017-03-09T00:00:00"/>
    <x v="6"/>
    <m/>
  </r>
  <r>
    <x v="1410"/>
    <x v="13"/>
    <x v="4"/>
    <x v="2"/>
    <s v="GTX Basic"/>
    <s v="Mathtouch"/>
    <x v="1"/>
    <d v="2017-03-09T00:00:00"/>
    <x v="6"/>
    <m/>
  </r>
  <r>
    <x v="1411"/>
    <x v="13"/>
    <x v="4"/>
    <x v="2"/>
    <s v="GTX Basic"/>
    <m/>
    <x v="1"/>
    <d v="2017-03-09T00:00:00"/>
    <x v="6"/>
    <m/>
  </r>
  <r>
    <x v="1412"/>
    <x v="1"/>
    <x v="1"/>
    <x v="0"/>
    <s v="GTX Plus Basic"/>
    <s v="Finhigh"/>
    <x v="2"/>
    <d v="2017-03-09T00:00:00"/>
    <x v="41"/>
    <n v="0"/>
  </r>
  <r>
    <x v="1413"/>
    <x v="1"/>
    <x v="1"/>
    <x v="0"/>
    <s v="MG Special"/>
    <s v="Bioholding"/>
    <x v="2"/>
    <d v="2017-03-09T00:00:00"/>
    <x v="53"/>
    <n v="0"/>
  </r>
  <r>
    <x v="1414"/>
    <x v="1"/>
    <x v="1"/>
    <x v="0"/>
    <s v="GTX Basic"/>
    <s v="Funholding"/>
    <x v="0"/>
    <d v="2017-03-09T00:00:00"/>
    <x v="69"/>
    <n v="571"/>
  </r>
  <r>
    <x v="1415"/>
    <x v="14"/>
    <x v="3"/>
    <x v="1"/>
    <s v="MG Advanced"/>
    <s v="Lexiqvolax"/>
    <x v="0"/>
    <d v="2017-03-09T00:00:00"/>
    <x v="25"/>
    <n v="3333"/>
  </r>
  <r>
    <x v="1416"/>
    <x v="8"/>
    <x v="1"/>
    <x v="0"/>
    <s v="GTX Plus Pro"/>
    <s v="Isdom"/>
    <x v="0"/>
    <d v="2017-03-09T00:00:00"/>
    <x v="67"/>
    <n v="4853"/>
  </r>
  <r>
    <x v="1417"/>
    <x v="8"/>
    <x v="1"/>
    <x v="0"/>
    <s v="MG Special"/>
    <s v="Toughzap"/>
    <x v="0"/>
    <d v="2017-03-09T00:00:00"/>
    <x v="85"/>
    <n v="51"/>
  </r>
  <r>
    <x v="1418"/>
    <x v="7"/>
    <x v="2"/>
    <x v="1"/>
    <s v="MG Special"/>
    <s v="Zotware"/>
    <x v="1"/>
    <d v="2017-03-09T00:00:00"/>
    <x v="6"/>
    <m/>
  </r>
  <r>
    <x v="1419"/>
    <x v="7"/>
    <x v="2"/>
    <x v="1"/>
    <s v="MG Advanced"/>
    <m/>
    <x v="1"/>
    <d v="2017-03-09T00:00:00"/>
    <x v="6"/>
    <m/>
  </r>
  <r>
    <x v="1420"/>
    <x v="7"/>
    <x v="2"/>
    <x v="1"/>
    <s v="GTX Basic"/>
    <s v="Cheers"/>
    <x v="2"/>
    <d v="2017-03-09T00:00:00"/>
    <x v="55"/>
    <n v="0"/>
  </r>
  <r>
    <x v="1421"/>
    <x v="16"/>
    <x v="2"/>
    <x v="1"/>
    <s v="GTXPro"/>
    <s v="Cheers"/>
    <x v="0"/>
    <d v="2017-03-09T00:00:00"/>
    <x v="69"/>
    <n v="5035"/>
  </r>
  <r>
    <x v="1422"/>
    <x v="22"/>
    <x v="1"/>
    <x v="0"/>
    <s v="MG Special"/>
    <s v="Codehow"/>
    <x v="0"/>
    <d v="2017-03-09T00:00:00"/>
    <x v="62"/>
    <n v="51"/>
  </r>
  <r>
    <x v="1423"/>
    <x v="9"/>
    <x v="2"/>
    <x v="1"/>
    <s v="GTXPro"/>
    <s v="Dalttechnology"/>
    <x v="0"/>
    <d v="2017-03-09T00:00:00"/>
    <x v="73"/>
    <n v="4342"/>
  </r>
  <r>
    <x v="1424"/>
    <x v="12"/>
    <x v="0"/>
    <x v="0"/>
    <s v="MG Advanced"/>
    <s v="Codehow"/>
    <x v="2"/>
    <d v="2017-03-09T00:00:00"/>
    <x v="22"/>
    <n v="0"/>
  </r>
  <r>
    <x v="1425"/>
    <x v="15"/>
    <x v="5"/>
    <x v="2"/>
    <s v="MG Special"/>
    <m/>
    <x v="1"/>
    <d v="2017-03-09T00:00:00"/>
    <x v="6"/>
    <m/>
  </r>
  <r>
    <x v="1426"/>
    <x v="15"/>
    <x v="5"/>
    <x v="2"/>
    <s v="MG Special"/>
    <s v="Vehement Capital Partners"/>
    <x v="0"/>
    <d v="2017-03-09T00:00:00"/>
    <x v="81"/>
    <n v="48"/>
  </r>
  <r>
    <x v="1427"/>
    <x v="2"/>
    <x v="2"/>
    <x v="1"/>
    <s v="GTX Plus Pro"/>
    <s v="Kan-code"/>
    <x v="0"/>
    <d v="2017-03-09T00:00:00"/>
    <x v="40"/>
    <n v="5215"/>
  </r>
  <r>
    <x v="1428"/>
    <x v="3"/>
    <x v="0"/>
    <x v="0"/>
    <s v="GTX Plus Basic"/>
    <s v="Streethex"/>
    <x v="2"/>
    <d v="2017-03-10T00:00:00"/>
    <x v="51"/>
    <n v="0"/>
  </r>
  <r>
    <x v="1429"/>
    <x v="3"/>
    <x v="0"/>
    <x v="0"/>
    <s v="MG Special"/>
    <s v="Gogozoom"/>
    <x v="0"/>
    <d v="2017-03-10T00:00:00"/>
    <x v="17"/>
    <n v="58"/>
  </r>
  <r>
    <x v="1430"/>
    <x v="28"/>
    <x v="0"/>
    <x v="0"/>
    <s v="MG Advanced"/>
    <s v="Finhigh"/>
    <x v="0"/>
    <d v="2017-03-10T00:00:00"/>
    <x v="19"/>
    <n v="3587"/>
  </r>
  <r>
    <x v="1431"/>
    <x v="28"/>
    <x v="0"/>
    <x v="0"/>
    <s v="MG Advanced"/>
    <s v="Warephase"/>
    <x v="0"/>
    <d v="2017-03-10T00:00:00"/>
    <x v="56"/>
    <n v="2915"/>
  </r>
  <r>
    <x v="1432"/>
    <x v="13"/>
    <x v="4"/>
    <x v="2"/>
    <s v="GTXPro"/>
    <s v="Konex"/>
    <x v="0"/>
    <d v="2017-03-10T00:00:00"/>
    <x v="88"/>
    <n v="4762"/>
  </r>
  <r>
    <x v="1433"/>
    <x v="21"/>
    <x v="5"/>
    <x v="2"/>
    <s v="GTX Plus Basic"/>
    <s v="Gekko &amp; Co"/>
    <x v="0"/>
    <d v="2017-03-10T00:00:00"/>
    <x v="82"/>
    <n v="1062"/>
  </r>
  <r>
    <x v="1434"/>
    <x v="8"/>
    <x v="1"/>
    <x v="0"/>
    <s v="GTX Plus Pro"/>
    <s v="Finhigh"/>
    <x v="2"/>
    <d v="2017-03-10T00:00:00"/>
    <x v="34"/>
    <n v="0"/>
  </r>
  <r>
    <x v="1435"/>
    <x v="7"/>
    <x v="2"/>
    <x v="1"/>
    <s v="GTX Plus Pro"/>
    <m/>
    <x v="1"/>
    <d v="2017-03-10T00:00:00"/>
    <x v="6"/>
    <m/>
  </r>
  <r>
    <x v="1436"/>
    <x v="18"/>
    <x v="2"/>
    <x v="1"/>
    <s v="GTX Basic"/>
    <m/>
    <x v="1"/>
    <d v="2017-03-10T00:00:00"/>
    <x v="6"/>
    <m/>
  </r>
  <r>
    <x v="1437"/>
    <x v="18"/>
    <x v="2"/>
    <x v="1"/>
    <s v="GTX Basic"/>
    <m/>
    <x v="1"/>
    <d v="2017-03-10T00:00:00"/>
    <x v="6"/>
    <m/>
  </r>
  <r>
    <x v="1438"/>
    <x v="18"/>
    <x v="2"/>
    <x v="1"/>
    <s v="GTX Basic"/>
    <s v="Kan-code"/>
    <x v="2"/>
    <d v="2017-03-10T00:00:00"/>
    <x v="77"/>
    <n v="0"/>
  </r>
  <r>
    <x v="1439"/>
    <x v="9"/>
    <x v="2"/>
    <x v="1"/>
    <s v="GTX Plus Pro"/>
    <s v="Kan-code"/>
    <x v="2"/>
    <d v="2017-03-10T00:00:00"/>
    <x v="19"/>
    <n v="0"/>
  </r>
  <r>
    <x v="1440"/>
    <x v="17"/>
    <x v="5"/>
    <x v="2"/>
    <s v="MG Special"/>
    <s v="Inity"/>
    <x v="1"/>
    <d v="2017-03-10T00:00:00"/>
    <x v="6"/>
    <m/>
  </r>
  <r>
    <x v="1441"/>
    <x v="15"/>
    <x v="5"/>
    <x v="2"/>
    <s v="MG Special"/>
    <s v="Massive Dynamic"/>
    <x v="2"/>
    <d v="2017-03-10T00:00:00"/>
    <x v="56"/>
    <n v="0"/>
  </r>
  <r>
    <x v="1442"/>
    <x v="15"/>
    <x v="5"/>
    <x v="2"/>
    <s v="GTX Plus Basic"/>
    <s v="Zencorporation"/>
    <x v="0"/>
    <d v="2017-03-10T00:00:00"/>
    <x v="88"/>
    <n v="1074"/>
  </r>
  <r>
    <x v="1443"/>
    <x v="2"/>
    <x v="2"/>
    <x v="1"/>
    <s v="MG Special"/>
    <s v="Newex"/>
    <x v="2"/>
    <d v="2017-03-10T00:00:00"/>
    <x v="33"/>
    <n v="0"/>
  </r>
  <r>
    <x v="1444"/>
    <x v="3"/>
    <x v="0"/>
    <x v="0"/>
    <s v="MG Special"/>
    <s v="Inity"/>
    <x v="2"/>
    <d v="2017-03-11T00:00:00"/>
    <x v="77"/>
    <n v="0"/>
  </r>
  <r>
    <x v="1445"/>
    <x v="3"/>
    <x v="0"/>
    <x v="0"/>
    <s v="MG Special"/>
    <s v="Scottech"/>
    <x v="0"/>
    <d v="2017-03-11T00:00:00"/>
    <x v="12"/>
    <n v="57"/>
  </r>
  <r>
    <x v="1446"/>
    <x v="23"/>
    <x v="4"/>
    <x v="2"/>
    <s v="GTX Basic"/>
    <s v="Zotware"/>
    <x v="0"/>
    <d v="2017-03-11T00:00:00"/>
    <x v="57"/>
    <n v="586"/>
  </r>
  <r>
    <x v="1447"/>
    <x v="28"/>
    <x v="0"/>
    <x v="0"/>
    <s v="GTX Plus Basic"/>
    <s v="Rundofase"/>
    <x v="0"/>
    <d v="2017-03-11T00:00:00"/>
    <x v="68"/>
    <n v="1184"/>
  </r>
  <r>
    <x v="1448"/>
    <x v="26"/>
    <x v="4"/>
    <x v="2"/>
    <s v="GTX Basic"/>
    <s v="Silis"/>
    <x v="2"/>
    <d v="2017-03-11T00:00:00"/>
    <x v="65"/>
    <n v="0"/>
  </r>
  <r>
    <x v="1449"/>
    <x v="7"/>
    <x v="2"/>
    <x v="1"/>
    <s v="MG Advanced"/>
    <m/>
    <x v="1"/>
    <d v="2017-03-11T00:00:00"/>
    <x v="6"/>
    <m/>
  </r>
  <r>
    <x v="1450"/>
    <x v="7"/>
    <x v="2"/>
    <x v="1"/>
    <s v="GTX Plus Basic"/>
    <s v="Lexiqvolax"/>
    <x v="2"/>
    <d v="2017-03-11T00:00:00"/>
    <x v="85"/>
    <n v="0"/>
  </r>
  <r>
    <x v="1451"/>
    <x v="7"/>
    <x v="2"/>
    <x v="1"/>
    <s v="GTX Basic"/>
    <s v="J-Texon"/>
    <x v="0"/>
    <d v="2017-03-11T00:00:00"/>
    <x v="76"/>
    <n v="526"/>
  </r>
  <r>
    <x v="1452"/>
    <x v="7"/>
    <x v="2"/>
    <x v="1"/>
    <s v="GTX Plus Pro"/>
    <s v="Condax"/>
    <x v="0"/>
    <d v="2017-03-11T00:00:00"/>
    <x v="82"/>
    <n v="5344"/>
  </r>
  <r>
    <x v="1453"/>
    <x v="7"/>
    <x v="2"/>
    <x v="1"/>
    <s v="GTXPro"/>
    <s v="Konex"/>
    <x v="0"/>
    <d v="2017-03-11T00:00:00"/>
    <x v="57"/>
    <n v="4125"/>
  </r>
  <r>
    <x v="1454"/>
    <x v="16"/>
    <x v="2"/>
    <x v="1"/>
    <s v="GTX Basic"/>
    <s v="Dalttechnology"/>
    <x v="0"/>
    <d v="2017-03-11T00:00:00"/>
    <x v="47"/>
    <n v="528"/>
  </r>
  <r>
    <x v="1455"/>
    <x v="16"/>
    <x v="2"/>
    <x v="1"/>
    <s v="MG Advanced"/>
    <s v="Singletechno"/>
    <x v="0"/>
    <d v="2017-03-11T00:00:00"/>
    <x v="13"/>
    <n v="3254"/>
  </r>
  <r>
    <x v="1456"/>
    <x v="18"/>
    <x v="2"/>
    <x v="1"/>
    <s v="GTXPro"/>
    <s v="Green-Plus"/>
    <x v="2"/>
    <d v="2017-03-11T00:00:00"/>
    <x v="50"/>
    <n v="0"/>
  </r>
  <r>
    <x v="1457"/>
    <x v="18"/>
    <x v="2"/>
    <x v="1"/>
    <s v="GTX Basic"/>
    <s v="J-Texon"/>
    <x v="0"/>
    <d v="2017-03-11T00:00:00"/>
    <x v="61"/>
    <n v="516"/>
  </r>
  <r>
    <x v="1458"/>
    <x v="18"/>
    <x v="2"/>
    <x v="1"/>
    <s v="GTX Basic"/>
    <s v="Y-corporation"/>
    <x v="0"/>
    <d v="2017-03-11T00:00:00"/>
    <x v="27"/>
    <n v="538"/>
  </r>
  <r>
    <x v="1459"/>
    <x v="24"/>
    <x v="0"/>
    <x v="0"/>
    <s v="GTX Basic"/>
    <s v="Codehow"/>
    <x v="0"/>
    <d v="2017-03-11T00:00:00"/>
    <x v="69"/>
    <n v="459"/>
  </r>
  <r>
    <x v="1460"/>
    <x v="9"/>
    <x v="2"/>
    <x v="1"/>
    <s v="GTX Basic"/>
    <s v="Cheers"/>
    <x v="2"/>
    <d v="2017-03-11T00:00:00"/>
    <x v="86"/>
    <n v="0"/>
  </r>
  <r>
    <x v="1461"/>
    <x v="9"/>
    <x v="2"/>
    <x v="1"/>
    <s v="GTXPro"/>
    <s v="Sunnamplex"/>
    <x v="0"/>
    <d v="2017-03-11T00:00:00"/>
    <x v="57"/>
    <n v="5137"/>
  </r>
  <r>
    <x v="1462"/>
    <x v="0"/>
    <x v="0"/>
    <x v="0"/>
    <s v="MG Advanced"/>
    <s v="Konmatfix"/>
    <x v="0"/>
    <d v="2017-03-11T00:00:00"/>
    <x v="43"/>
    <n v="3330"/>
  </r>
  <r>
    <x v="1463"/>
    <x v="12"/>
    <x v="0"/>
    <x v="0"/>
    <s v="GTX Basic"/>
    <s v="Conecom"/>
    <x v="0"/>
    <d v="2017-03-11T00:00:00"/>
    <x v="34"/>
    <n v="589"/>
  </r>
  <r>
    <x v="1464"/>
    <x v="4"/>
    <x v="3"/>
    <x v="1"/>
    <s v="MG Special"/>
    <s v="Goodsilron"/>
    <x v="0"/>
    <d v="2017-03-11T00:00:00"/>
    <x v="18"/>
    <n v="45"/>
  </r>
  <r>
    <x v="1465"/>
    <x v="2"/>
    <x v="2"/>
    <x v="1"/>
    <s v="MG Special"/>
    <m/>
    <x v="1"/>
    <d v="2017-03-11T00:00:00"/>
    <x v="6"/>
    <m/>
  </r>
  <r>
    <x v="1466"/>
    <x v="3"/>
    <x v="0"/>
    <x v="0"/>
    <s v="MG Special"/>
    <s v="Funholding"/>
    <x v="2"/>
    <d v="2017-03-12T00:00:00"/>
    <x v="49"/>
    <n v="0"/>
  </r>
  <r>
    <x v="1467"/>
    <x v="23"/>
    <x v="4"/>
    <x v="2"/>
    <s v="GTX Basic"/>
    <s v="Finjob"/>
    <x v="1"/>
    <d v="2017-03-12T00:00:00"/>
    <x v="6"/>
    <m/>
  </r>
  <r>
    <x v="1468"/>
    <x v="23"/>
    <x v="4"/>
    <x v="2"/>
    <s v="GTX Plus Pro"/>
    <s v="Opentech"/>
    <x v="0"/>
    <d v="2017-03-12T00:00:00"/>
    <x v="80"/>
    <n v="5664"/>
  </r>
  <r>
    <x v="1469"/>
    <x v="28"/>
    <x v="0"/>
    <x v="0"/>
    <s v="MG Advanced"/>
    <s v="Streethex"/>
    <x v="2"/>
    <d v="2017-03-12T00:00:00"/>
    <x v="35"/>
    <n v="0"/>
  </r>
  <r>
    <x v="1470"/>
    <x v="27"/>
    <x v="5"/>
    <x v="2"/>
    <s v="GTX Plus Basic"/>
    <s v="Initech"/>
    <x v="0"/>
    <d v="2017-03-12T00:00:00"/>
    <x v="80"/>
    <n v="1074"/>
  </r>
  <r>
    <x v="1471"/>
    <x v="1"/>
    <x v="1"/>
    <x v="0"/>
    <s v="GTX Plus Basic"/>
    <s v="Globex Corporation"/>
    <x v="2"/>
    <d v="2017-03-12T00:00:00"/>
    <x v="35"/>
    <n v="0"/>
  </r>
  <r>
    <x v="1472"/>
    <x v="1"/>
    <x v="1"/>
    <x v="0"/>
    <s v="GTXPro"/>
    <s v="Treequote"/>
    <x v="2"/>
    <d v="2017-03-12T00:00:00"/>
    <x v="60"/>
    <n v="0"/>
  </r>
  <r>
    <x v="1473"/>
    <x v="14"/>
    <x v="3"/>
    <x v="1"/>
    <s v="GTX Basic"/>
    <s v="Finjob"/>
    <x v="0"/>
    <d v="2017-03-12T00:00:00"/>
    <x v="20"/>
    <n v="481"/>
  </r>
  <r>
    <x v="1474"/>
    <x v="14"/>
    <x v="3"/>
    <x v="1"/>
    <s v="GTX Plus Basic"/>
    <s v="Labdrill"/>
    <x v="0"/>
    <d v="2017-03-12T00:00:00"/>
    <x v="42"/>
    <n v="1101"/>
  </r>
  <r>
    <x v="1475"/>
    <x v="8"/>
    <x v="1"/>
    <x v="0"/>
    <s v="GTX Basic"/>
    <s v="Warephase"/>
    <x v="0"/>
    <d v="2017-03-12T00:00:00"/>
    <x v="78"/>
    <n v="522"/>
  </r>
  <r>
    <x v="1476"/>
    <x v="10"/>
    <x v="3"/>
    <x v="1"/>
    <s v="MG Special"/>
    <s v="Hatfan"/>
    <x v="1"/>
    <d v="2017-03-12T00:00:00"/>
    <x v="6"/>
    <m/>
  </r>
  <r>
    <x v="1477"/>
    <x v="10"/>
    <x v="3"/>
    <x v="1"/>
    <s v="MG Special"/>
    <s v="Y-corporation"/>
    <x v="0"/>
    <d v="2017-03-12T00:00:00"/>
    <x v="68"/>
    <n v="49"/>
  </r>
  <r>
    <x v="1478"/>
    <x v="16"/>
    <x v="2"/>
    <x v="1"/>
    <s v="GTXPro"/>
    <m/>
    <x v="1"/>
    <d v="2017-03-12T00:00:00"/>
    <x v="6"/>
    <m/>
  </r>
  <r>
    <x v="1479"/>
    <x v="16"/>
    <x v="2"/>
    <x v="1"/>
    <s v="GTXPro"/>
    <s v="Newex"/>
    <x v="0"/>
    <d v="2017-03-12T00:00:00"/>
    <x v="42"/>
    <n v="4865"/>
  </r>
  <r>
    <x v="1480"/>
    <x v="24"/>
    <x v="0"/>
    <x v="0"/>
    <s v="GTX Plus Basic"/>
    <s v="Isdom"/>
    <x v="0"/>
    <d v="2017-03-12T00:00:00"/>
    <x v="57"/>
    <n v="991"/>
  </r>
  <r>
    <x v="1481"/>
    <x v="24"/>
    <x v="0"/>
    <x v="0"/>
    <s v="GTX Plus Pro"/>
    <s v="Dontechi"/>
    <x v="0"/>
    <d v="2017-03-12T00:00:00"/>
    <x v="63"/>
    <n v="4509"/>
  </r>
  <r>
    <x v="1482"/>
    <x v="5"/>
    <x v="3"/>
    <x v="1"/>
    <s v="GTXPro"/>
    <s v="Nam-zim"/>
    <x v="0"/>
    <d v="2017-03-12T00:00:00"/>
    <x v="44"/>
    <n v="5169"/>
  </r>
  <r>
    <x v="1483"/>
    <x v="9"/>
    <x v="2"/>
    <x v="1"/>
    <s v="GTX Basic"/>
    <s v="Sonron"/>
    <x v="0"/>
    <d v="2017-03-12T00:00:00"/>
    <x v="27"/>
    <n v="491"/>
  </r>
  <r>
    <x v="1484"/>
    <x v="9"/>
    <x v="2"/>
    <x v="1"/>
    <s v="GTXPro"/>
    <s v="Labdrill"/>
    <x v="0"/>
    <d v="2017-03-12T00:00:00"/>
    <x v="75"/>
    <n v="4281"/>
  </r>
  <r>
    <x v="1485"/>
    <x v="6"/>
    <x v="1"/>
    <x v="0"/>
    <s v="GTX Plus Basic"/>
    <s v="Finhigh"/>
    <x v="2"/>
    <d v="2017-03-12T00:00:00"/>
    <x v="38"/>
    <n v="0"/>
  </r>
  <r>
    <x v="1486"/>
    <x v="17"/>
    <x v="5"/>
    <x v="2"/>
    <s v="MG Special"/>
    <s v="Umbrella Corporation"/>
    <x v="2"/>
    <d v="2017-03-12T00:00:00"/>
    <x v="40"/>
    <n v="0"/>
  </r>
  <r>
    <x v="1487"/>
    <x v="17"/>
    <x v="5"/>
    <x v="2"/>
    <s v="MG Advanced"/>
    <s v="Kinnamplus"/>
    <x v="0"/>
    <d v="2017-03-12T00:00:00"/>
    <x v="87"/>
    <n v="3443"/>
  </r>
  <r>
    <x v="1488"/>
    <x v="12"/>
    <x v="0"/>
    <x v="0"/>
    <s v="MG Special"/>
    <s v="Gogozoom"/>
    <x v="0"/>
    <d v="2017-03-12T00:00:00"/>
    <x v="56"/>
    <n v="60"/>
  </r>
  <r>
    <x v="1489"/>
    <x v="12"/>
    <x v="0"/>
    <x v="0"/>
    <s v="MG Special"/>
    <s v="Hottechi"/>
    <x v="0"/>
    <d v="2017-03-12T00:00:00"/>
    <x v="72"/>
    <n v="53"/>
  </r>
  <r>
    <x v="1490"/>
    <x v="4"/>
    <x v="3"/>
    <x v="1"/>
    <s v="MG Special"/>
    <s v="Finjob"/>
    <x v="0"/>
    <d v="2017-03-12T00:00:00"/>
    <x v="60"/>
    <n v="56"/>
  </r>
  <r>
    <x v="1491"/>
    <x v="2"/>
    <x v="2"/>
    <x v="1"/>
    <s v="GTX Basic"/>
    <s v="Scotfind"/>
    <x v="0"/>
    <d v="2017-03-12T00:00:00"/>
    <x v="12"/>
    <n v="665"/>
  </r>
  <r>
    <x v="1492"/>
    <x v="3"/>
    <x v="0"/>
    <x v="0"/>
    <s v="GTX Plus Basic"/>
    <s v="Inity"/>
    <x v="0"/>
    <d v="2017-03-13T00:00:00"/>
    <x v="58"/>
    <n v="1140"/>
  </r>
  <r>
    <x v="1493"/>
    <x v="3"/>
    <x v="0"/>
    <x v="0"/>
    <s v="MG Special"/>
    <s v="Streethex"/>
    <x v="0"/>
    <d v="2017-03-13T00:00:00"/>
    <x v="49"/>
    <n v="52"/>
  </r>
  <r>
    <x v="1494"/>
    <x v="3"/>
    <x v="0"/>
    <x v="0"/>
    <s v="MG Special"/>
    <s v="Warephase"/>
    <x v="0"/>
    <d v="2017-03-13T00:00:00"/>
    <x v="85"/>
    <n v="52"/>
  </r>
  <r>
    <x v="1495"/>
    <x v="25"/>
    <x v="4"/>
    <x v="2"/>
    <s v="GTX Plus Pro"/>
    <s v="Donquadtech"/>
    <x v="2"/>
    <d v="2017-03-13T00:00:00"/>
    <x v="29"/>
    <n v="0"/>
  </r>
  <r>
    <x v="1496"/>
    <x v="23"/>
    <x v="4"/>
    <x v="2"/>
    <s v="MG Advanced"/>
    <m/>
    <x v="1"/>
    <d v="2017-03-13T00:00:00"/>
    <x v="6"/>
    <m/>
  </r>
  <r>
    <x v="1497"/>
    <x v="28"/>
    <x v="0"/>
    <x v="0"/>
    <s v="GTX Plus Pro"/>
    <s v="Konmatfix"/>
    <x v="0"/>
    <d v="2017-03-13T00:00:00"/>
    <x v="59"/>
    <n v="5121"/>
  </r>
  <r>
    <x v="1498"/>
    <x v="28"/>
    <x v="0"/>
    <x v="0"/>
    <s v="MG Advanced"/>
    <s v="Rundofase"/>
    <x v="0"/>
    <d v="2017-03-13T00:00:00"/>
    <x v="20"/>
    <n v="3611"/>
  </r>
  <r>
    <x v="1499"/>
    <x v="27"/>
    <x v="5"/>
    <x v="2"/>
    <s v="MG Special"/>
    <s v="Massive Dynamic"/>
    <x v="0"/>
    <d v="2017-03-13T00:00:00"/>
    <x v="29"/>
    <n v="50"/>
  </r>
  <r>
    <x v="1500"/>
    <x v="1"/>
    <x v="1"/>
    <x v="0"/>
    <s v="GTX Basic"/>
    <s v="Rundofase"/>
    <x v="0"/>
    <d v="2017-03-13T00:00:00"/>
    <x v="41"/>
    <n v="618"/>
  </r>
  <r>
    <x v="1501"/>
    <x v="1"/>
    <x v="1"/>
    <x v="0"/>
    <s v="GTX Plus Basic"/>
    <s v="Globex Corporation"/>
    <x v="0"/>
    <d v="2017-03-13T00:00:00"/>
    <x v="12"/>
    <n v="1247"/>
  </r>
  <r>
    <x v="1502"/>
    <x v="14"/>
    <x v="3"/>
    <x v="1"/>
    <s v="MG Special"/>
    <s v="Sumace"/>
    <x v="1"/>
    <d v="2017-03-13T00:00:00"/>
    <x v="6"/>
    <m/>
  </r>
  <r>
    <x v="1503"/>
    <x v="21"/>
    <x v="5"/>
    <x v="2"/>
    <s v="MG Special"/>
    <s v="Donware"/>
    <x v="0"/>
    <d v="2017-03-13T00:00:00"/>
    <x v="44"/>
    <n v="55"/>
  </r>
  <r>
    <x v="1504"/>
    <x v="10"/>
    <x v="3"/>
    <x v="1"/>
    <s v="GTX Plus Basic"/>
    <s v="Singletechno"/>
    <x v="0"/>
    <d v="2017-03-13T00:00:00"/>
    <x v="69"/>
    <n v="1157"/>
  </r>
  <r>
    <x v="1505"/>
    <x v="18"/>
    <x v="2"/>
    <x v="1"/>
    <s v="GTX Basic"/>
    <s v="Hottechi"/>
    <x v="0"/>
    <d v="2017-03-13T00:00:00"/>
    <x v="57"/>
    <n v="537"/>
  </r>
  <r>
    <x v="1506"/>
    <x v="18"/>
    <x v="2"/>
    <x v="1"/>
    <s v="GTXPro"/>
    <s v="Dalttechnology"/>
    <x v="0"/>
    <d v="2017-03-13T00:00:00"/>
    <x v="18"/>
    <n v="4955"/>
  </r>
  <r>
    <x v="1507"/>
    <x v="18"/>
    <x v="2"/>
    <x v="1"/>
    <s v="GTXPro"/>
    <s v="Singletechno"/>
    <x v="0"/>
    <d v="2017-03-13T00:00:00"/>
    <x v="42"/>
    <n v="5606"/>
  </r>
  <r>
    <x v="1508"/>
    <x v="5"/>
    <x v="3"/>
    <x v="1"/>
    <s v="GTX Basic"/>
    <m/>
    <x v="1"/>
    <d v="2017-03-13T00:00:00"/>
    <x v="6"/>
    <m/>
  </r>
  <r>
    <x v="1509"/>
    <x v="0"/>
    <x v="0"/>
    <x v="0"/>
    <s v="MG Special"/>
    <s v="Isdom"/>
    <x v="0"/>
    <d v="2017-03-13T00:00:00"/>
    <x v="54"/>
    <n v="57"/>
  </r>
  <r>
    <x v="1510"/>
    <x v="11"/>
    <x v="3"/>
    <x v="1"/>
    <s v="MG Special"/>
    <s v="Sunnamplex"/>
    <x v="0"/>
    <d v="2017-03-13T00:00:00"/>
    <x v="45"/>
    <n v="66"/>
  </r>
  <r>
    <x v="1511"/>
    <x v="2"/>
    <x v="2"/>
    <x v="1"/>
    <s v="GTXPro"/>
    <s v="Dalttechnology"/>
    <x v="0"/>
    <d v="2017-03-13T00:00:00"/>
    <x v="87"/>
    <n v="5113"/>
  </r>
  <r>
    <x v="1512"/>
    <x v="2"/>
    <x v="2"/>
    <x v="1"/>
    <s v="GTXPro"/>
    <s v="Sunnamplex"/>
    <x v="0"/>
    <d v="2017-03-13T00:00:00"/>
    <x v="57"/>
    <n v="4595"/>
  </r>
  <r>
    <x v="1513"/>
    <x v="25"/>
    <x v="4"/>
    <x v="2"/>
    <s v="GTX Plus Basic"/>
    <m/>
    <x v="1"/>
    <d v="2017-03-14T00:00:00"/>
    <x v="6"/>
    <m/>
  </r>
  <r>
    <x v="1514"/>
    <x v="23"/>
    <x v="4"/>
    <x v="2"/>
    <s v="MG Advanced"/>
    <s v="Gekko &amp; Co"/>
    <x v="0"/>
    <d v="2017-03-14T00:00:00"/>
    <x v="21"/>
    <n v="3503"/>
  </r>
  <r>
    <x v="1515"/>
    <x v="23"/>
    <x v="4"/>
    <x v="2"/>
    <s v="MG Advanced"/>
    <s v="Mathtouch"/>
    <x v="0"/>
    <d v="2017-03-14T00:00:00"/>
    <x v="68"/>
    <n v="3600"/>
  </r>
  <r>
    <x v="1516"/>
    <x v="13"/>
    <x v="4"/>
    <x v="2"/>
    <s v="GTXPro"/>
    <m/>
    <x v="1"/>
    <d v="2017-03-14T00:00:00"/>
    <x v="6"/>
    <m/>
  </r>
  <r>
    <x v="1517"/>
    <x v="13"/>
    <x v="4"/>
    <x v="2"/>
    <s v="GTX Basic"/>
    <s v="Massive Dynamic"/>
    <x v="0"/>
    <d v="2017-03-14T00:00:00"/>
    <x v="17"/>
    <n v="425"/>
  </r>
  <r>
    <x v="1518"/>
    <x v="1"/>
    <x v="1"/>
    <x v="0"/>
    <s v="GTXPro"/>
    <s v="Dontechi"/>
    <x v="0"/>
    <d v="2017-03-14T00:00:00"/>
    <x v="72"/>
    <n v="4565"/>
  </r>
  <r>
    <x v="1519"/>
    <x v="1"/>
    <x v="1"/>
    <x v="0"/>
    <s v="GTXPro"/>
    <s v="Ron-tech"/>
    <x v="0"/>
    <d v="2017-03-14T00:00:00"/>
    <x v="57"/>
    <n v="4754"/>
  </r>
  <r>
    <x v="1520"/>
    <x v="1"/>
    <x v="1"/>
    <x v="0"/>
    <s v="MG Special"/>
    <s v="dambase"/>
    <x v="0"/>
    <d v="2017-03-14T00:00:00"/>
    <x v="36"/>
    <n v="62"/>
  </r>
  <r>
    <x v="1521"/>
    <x v="26"/>
    <x v="4"/>
    <x v="2"/>
    <s v="GTXPro"/>
    <s v="Betasoloin"/>
    <x v="0"/>
    <d v="2017-03-14T00:00:00"/>
    <x v="77"/>
    <n v="4688"/>
  </r>
  <r>
    <x v="1522"/>
    <x v="14"/>
    <x v="3"/>
    <x v="1"/>
    <s v="MG Advanced"/>
    <s v="Golddex"/>
    <x v="0"/>
    <d v="2017-03-14T00:00:00"/>
    <x v="19"/>
    <n v="3386"/>
  </r>
  <r>
    <x v="1523"/>
    <x v="21"/>
    <x v="5"/>
    <x v="2"/>
    <s v="GTXPro"/>
    <s v="Xx-zobam"/>
    <x v="0"/>
    <d v="2017-03-14T00:00:00"/>
    <x v="47"/>
    <n v="3869"/>
  </r>
  <r>
    <x v="1524"/>
    <x v="8"/>
    <x v="1"/>
    <x v="0"/>
    <s v="GTX Basic"/>
    <s v="Streethex"/>
    <x v="0"/>
    <d v="2017-03-14T00:00:00"/>
    <x v="29"/>
    <n v="615"/>
  </r>
  <r>
    <x v="1525"/>
    <x v="8"/>
    <x v="1"/>
    <x v="0"/>
    <s v="MG Special"/>
    <s v="Finhigh"/>
    <x v="0"/>
    <d v="2017-03-14T00:00:00"/>
    <x v="40"/>
    <n v="55"/>
  </r>
  <r>
    <x v="1526"/>
    <x v="10"/>
    <x v="3"/>
    <x v="1"/>
    <s v="MG Advanced"/>
    <m/>
    <x v="1"/>
    <d v="2017-03-14T00:00:00"/>
    <x v="6"/>
    <m/>
  </r>
  <r>
    <x v="1527"/>
    <x v="5"/>
    <x v="3"/>
    <x v="1"/>
    <s v="GTX Basic"/>
    <s v="The New York Inquirer"/>
    <x v="1"/>
    <d v="2017-03-14T00:00:00"/>
    <x v="6"/>
    <m/>
  </r>
  <r>
    <x v="1528"/>
    <x v="5"/>
    <x v="3"/>
    <x v="1"/>
    <s v="GTX Plus Pro"/>
    <m/>
    <x v="1"/>
    <d v="2017-03-14T00:00:00"/>
    <x v="6"/>
    <m/>
  </r>
  <r>
    <x v="1529"/>
    <x v="22"/>
    <x v="1"/>
    <x v="0"/>
    <s v="GTX Basic"/>
    <s v="Isdom"/>
    <x v="2"/>
    <d v="2017-03-14T00:00:00"/>
    <x v="37"/>
    <n v="0"/>
  </r>
  <r>
    <x v="1530"/>
    <x v="9"/>
    <x v="2"/>
    <x v="1"/>
    <s v="GTX Plus Basic"/>
    <s v="Hatfan"/>
    <x v="0"/>
    <d v="2017-03-14T00:00:00"/>
    <x v="25"/>
    <n v="1019"/>
  </r>
  <r>
    <x v="1531"/>
    <x v="9"/>
    <x v="2"/>
    <x v="1"/>
    <s v="MG Advanced"/>
    <s v="Blackzim"/>
    <x v="0"/>
    <d v="2017-03-14T00:00:00"/>
    <x v="51"/>
    <n v="2798"/>
  </r>
  <r>
    <x v="1532"/>
    <x v="0"/>
    <x v="0"/>
    <x v="0"/>
    <s v="GTX Basic"/>
    <s v="Streethex"/>
    <x v="0"/>
    <d v="2017-03-14T00:00:00"/>
    <x v="71"/>
    <n v="502"/>
  </r>
  <r>
    <x v="1533"/>
    <x v="0"/>
    <x v="0"/>
    <x v="0"/>
    <s v="MG Advanced"/>
    <s v="Isdom"/>
    <x v="0"/>
    <d v="2017-03-14T00:00:00"/>
    <x v="28"/>
    <n v="3323"/>
  </r>
  <r>
    <x v="1534"/>
    <x v="19"/>
    <x v="4"/>
    <x v="2"/>
    <s v="GTX Plus Basic"/>
    <s v="Condax"/>
    <x v="2"/>
    <d v="2017-03-14T00:00:00"/>
    <x v="80"/>
    <n v="0"/>
  </r>
  <r>
    <x v="1535"/>
    <x v="11"/>
    <x v="3"/>
    <x v="1"/>
    <s v="MG Special"/>
    <s v="Nam-zim"/>
    <x v="2"/>
    <d v="2017-03-14T00:00:00"/>
    <x v="18"/>
    <n v="0"/>
  </r>
  <r>
    <x v="1536"/>
    <x v="4"/>
    <x v="3"/>
    <x v="1"/>
    <s v="GTX Plus Pro"/>
    <s v="Nam-zim"/>
    <x v="2"/>
    <d v="2017-03-14T00:00:00"/>
    <x v="63"/>
    <n v="0"/>
  </r>
  <r>
    <x v="1537"/>
    <x v="4"/>
    <x v="3"/>
    <x v="1"/>
    <s v="MG Advanced"/>
    <s v="Finjob"/>
    <x v="2"/>
    <d v="2017-03-14T00:00:00"/>
    <x v="92"/>
    <n v="0"/>
  </r>
  <r>
    <x v="1538"/>
    <x v="4"/>
    <x v="3"/>
    <x v="1"/>
    <s v="GTX Basic"/>
    <s v="Scotfind"/>
    <x v="0"/>
    <d v="2017-03-14T00:00:00"/>
    <x v="12"/>
    <n v="542"/>
  </r>
  <r>
    <x v="1539"/>
    <x v="2"/>
    <x v="2"/>
    <x v="1"/>
    <s v="GTXPro"/>
    <s v="Faxquote"/>
    <x v="0"/>
    <d v="2017-03-14T00:00:00"/>
    <x v="57"/>
    <n v="5172"/>
  </r>
  <r>
    <x v="1540"/>
    <x v="23"/>
    <x v="4"/>
    <x v="2"/>
    <s v="MG Advanced"/>
    <s v="Massive Dynamic"/>
    <x v="2"/>
    <d v="2017-03-15T00:00:00"/>
    <x v="90"/>
    <n v="0"/>
  </r>
  <r>
    <x v="1541"/>
    <x v="23"/>
    <x v="4"/>
    <x v="2"/>
    <s v="GTX Basic"/>
    <s v="Umbrella Corporation"/>
    <x v="0"/>
    <d v="2017-03-15T00:00:00"/>
    <x v="20"/>
    <n v="538"/>
  </r>
  <r>
    <x v="1542"/>
    <x v="23"/>
    <x v="4"/>
    <x v="2"/>
    <s v="GTXPro"/>
    <s v="Betasoloin"/>
    <x v="0"/>
    <d v="2017-03-15T00:00:00"/>
    <x v="40"/>
    <n v="4497"/>
  </r>
  <r>
    <x v="1543"/>
    <x v="1"/>
    <x v="1"/>
    <x v="0"/>
    <s v="GTX Plus Basic"/>
    <s v="Codehow"/>
    <x v="0"/>
    <d v="2017-03-15T00:00:00"/>
    <x v="58"/>
    <n v="1178"/>
  </r>
  <r>
    <x v="1544"/>
    <x v="1"/>
    <x v="1"/>
    <x v="0"/>
    <s v="GTXPro"/>
    <s v="Treequote"/>
    <x v="0"/>
    <d v="2017-03-15T00:00:00"/>
    <x v="92"/>
    <n v="4969"/>
  </r>
  <r>
    <x v="1545"/>
    <x v="1"/>
    <x v="1"/>
    <x v="0"/>
    <s v="MG Special"/>
    <s v="Rangreen"/>
    <x v="0"/>
    <d v="2017-03-15T00:00:00"/>
    <x v="19"/>
    <n v="60"/>
  </r>
  <r>
    <x v="1546"/>
    <x v="1"/>
    <x v="1"/>
    <x v="0"/>
    <s v="MG Advanced"/>
    <s v="Dontechi"/>
    <x v="0"/>
    <d v="2017-03-15T00:00:00"/>
    <x v="48"/>
    <n v="2875"/>
  </r>
  <r>
    <x v="1547"/>
    <x v="14"/>
    <x v="3"/>
    <x v="1"/>
    <s v="GTX Basic"/>
    <s v="Blackzim"/>
    <x v="1"/>
    <d v="2017-03-15T00:00:00"/>
    <x v="6"/>
    <m/>
  </r>
  <r>
    <x v="1548"/>
    <x v="14"/>
    <x v="3"/>
    <x v="1"/>
    <s v="GTK 500"/>
    <s v="Cheers"/>
    <x v="2"/>
    <d v="2017-03-15T00:00:00"/>
    <x v="65"/>
    <n v="0"/>
  </r>
  <r>
    <x v="1549"/>
    <x v="21"/>
    <x v="5"/>
    <x v="2"/>
    <s v="GTX Plus Pro"/>
    <s v="Donware"/>
    <x v="0"/>
    <d v="2017-03-15T00:00:00"/>
    <x v="45"/>
    <n v="6177"/>
  </r>
  <r>
    <x v="1550"/>
    <x v="8"/>
    <x v="1"/>
    <x v="0"/>
    <s v="MG Advanced"/>
    <s v="Rundofase"/>
    <x v="2"/>
    <d v="2017-03-15T00:00:00"/>
    <x v="88"/>
    <n v="0"/>
  </r>
  <r>
    <x v="1551"/>
    <x v="18"/>
    <x v="2"/>
    <x v="1"/>
    <s v="GTXPro"/>
    <m/>
    <x v="1"/>
    <d v="2017-03-15T00:00:00"/>
    <x v="6"/>
    <m/>
  </r>
  <r>
    <x v="1552"/>
    <x v="18"/>
    <x v="2"/>
    <x v="1"/>
    <s v="GTXPro"/>
    <s v="Finjob"/>
    <x v="2"/>
    <d v="2017-03-15T00:00:00"/>
    <x v="36"/>
    <n v="0"/>
  </r>
  <r>
    <x v="1553"/>
    <x v="18"/>
    <x v="2"/>
    <x v="1"/>
    <s v="GTXPro"/>
    <s v="Kan-code"/>
    <x v="0"/>
    <d v="2017-03-15T00:00:00"/>
    <x v="64"/>
    <n v="4369"/>
  </r>
  <r>
    <x v="1554"/>
    <x v="18"/>
    <x v="2"/>
    <x v="1"/>
    <s v="GTXPro"/>
    <s v="Y-corporation"/>
    <x v="0"/>
    <d v="2017-03-15T00:00:00"/>
    <x v="74"/>
    <n v="4878"/>
  </r>
  <r>
    <x v="1555"/>
    <x v="24"/>
    <x v="0"/>
    <x v="0"/>
    <s v="GTX Plus Pro"/>
    <s v="Genco Pura Olive Oil Company"/>
    <x v="0"/>
    <d v="2017-03-15T00:00:00"/>
    <x v="92"/>
    <n v="4527"/>
  </r>
  <r>
    <x v="1556"/>
    <x v="9"/>
    <x v="2"/>
    <x v="1"/>
    <s v="GTX Plus Basic"/>
    <s v="Xx-holding"/>
    <x v="2"/>
    <d v="2017-03-15T00:00:00"/>
    <x v="77"/>
    <n v="0"/>
  </r>
  <r>
    <x v="1557"/>
    <x v="0"/>
    <x v="0"/>
    <x v="0"/>
    <s v="GTX Plus Pro"/>
    <s v="Cancity"/>
    <x v="0"/>
    <d v="2017-03-15T00:00:00"/>
    <x v="71"/>
    <n v="6102"/>
  </r>
  <r>
    <x v="1558"/>
    <x v="17"/>
    <x v="5"/>
    <x v="2"/>
    <s v="GTX Plus Pro"/>
    <s v="Bubba Gump"/>
    <x v="0"/>
    <d v="2017-03-15T00:00:00"/>
    <x v="34"/>
    <n v="4983"/>
  </r>
  <r>
    <x v="1559"/>
    <x v="12"/>
    <x v="0"/>
    <x v="0"/>
    <s v="MG Special"/>
    <s v="Isdom"/>
    <x v="0"/>
    <d v="2017-03-15T00:00:00"/>
    <x v="25"/>
    <n v="47"/>
  </r>
  <r>
    <x v="1560"/>
    <x v="4"/>
    <x v="3"/>
    <x v="1"/>
    <s v="MG Special"/>
    <s v="Zoomit"/>
    <x v="0"/>
    <d v="2017-03-15T00:00:00"/>
    <x v="80"/>
    <n v="52"/>
  </r>
  <r>
    <x v="1561"/>
    <x v="15"/>
    <x v="5"/>
    <x v="2"/>
    <s v="GTXPro"/>
    <s v="Gekko &amp; Co"/>
    <x v="0"/>
    <d v="2017-03-15T00:00:00"/>
    <x v="79"/>
    <n v="5031"/>
  </r>
  <r>
    <x v="1562"/>
    <x v="15"/>
    <x v="5"/>
    <x v="2"/>
    <s v="MG Special"/>
    <s v="Bioplex"/>
    <x v="0"/>
    <d v="2017-03-15T00:00:00"/>
    <x v="47"/>
    <n v="53"/>
  </r>
  <r>
    <x v="1563"/>
    <x v="20"/>
    <x v="5"/>
    <x v="2"/>
    <s v="GTX Plus Basic"/>
    <m/>
    <x v="1"/>
    <d v="2017-03-15T00:00:00"/>
    <x v="6"/>
    <m/>
  </r>
  <r>
    <x v="1564"/>
    <x v="3"/>
    <x v="0"/>
    <x v="0"/>
    <s v="GTX Basic"/>
    <s v="Inity"/>
    <x v="0"/>
    <d v="2017-03-16T00:00:00"/>
    <x v="35"/>
    <n v="550"/>
  </r>
  <r>
    <x v="1565"/>
    <x v="25"/>
    <x v="4"/>
    <x v="2"/>
    <s v="GTX Plus Basic"/>
    <m/>
    <x v="1"/>
    <d v="2017-03-16T00:00:00"/>
    <x v="6"/>
    <m/>
  </r>
  <r>
    <x v="1566"/>
    <x v="25"/>
    <x v="4"/>
    <x v="2"/>
    <s v="GTXPro"/>
    <s v="Donquadtech"/>
    <x v="0"/>
    <d v="2017-03-16T00:00:00"/>
    <x v="47"/>
    <n v="5223"/>
  </r>
  <r>
    <x v="1567"/>
    <x v="25"/>
    <x v="4"/>
    <x v="2"/>
    <s v="MG Special"/>
    <s v="Betasoloin"/>
    <x v="0"/>
    <d v="2017-03-16T00:00:00"/>
    <x v="51"/>
    <n v="53"/>
  </r>
  <r>
    <x v="1568"/>
    <x v="23"/>
    <x v="4"/>
    <x v="2"/>
    <s v="GTXPro"/>
    <s v="Bluth Company"/>
    <x v="0"/>
    <d v="2017-03-16T00:00:00"/>
    <x v="37"/>
    <n v="4519"/>
  </r>
  <r>
    <x v="1569"/>
    <x v="27"/>
    <x v="5"/>
    <x v="2"/>
    <s v="GTXPro"/>
    <s v="Vehement Capital Partners"/>
    <x v="0"/>
    <d v="2017-03-16T00:00:00"/>
    <x v="62"/>
    <n v="4833"/>
  </r>
  <r>
    <x v="1570"/>
    <x v="13"/>
    <x v="4"/>
    <x v="2"/>
    <s v="GTX Plus Pro"/>
    <m/>
    <x v="1"/>
    <d v="2017-03-16T00:00:00"/>
    <x v="6"/>
    <m/>
  </r>
  <r>
    <x v="1571"/>
    <x v="13"/>
    <x v="4"/>
    <x v="2"/>
    <s v="GTX Plus Pro"/>
    <s v="Zencorporation"/>
    <x v="0"/>
    <d v="2017-03-16T00:00:00"/>
    <x v="91"/>
    <n v="5407"/>
  </r>
  <r>
    <x v="1572"/>
    <x v="1"/>
    <x v="1"/>
    <x v="0"/>
    <s v="GTX Basic"/>
    <s v="Rundofase"/>
    <x v="2"/>
    <d v="2017-03-16T00:00:00"/>
    <x v="35"/>
    <n v="0"/>
  </r>
  <r>
    <x v="1573"/>
    <x v="10"/>
    <x v="3"/>
    <x v="1"/>
    <s v="MG Special"/>
    <s v="Finjob"/>
    <x v="0"/>
    <d v="2017-03-16T00:00:00"/>
    <x v="38"/>
    <n v="56"/>
  </r>
  <r>
    <x v="1574"/>
    <x v="16"/>
    <x v="2"/>
    <x v="1"/>
    <s v="GTX Basic"/>
    <s v="Iselectrics"/>
    <x v="1"/>
    <d v="2017-03-16T00:00:00"/>
    <x v="6"/>
    <m/>
  </r>
  <r>
    <x v="1575"/>
    <x v="16"/>
    <x v="2"/>
    <x v="1"/>
    <s v="GTX Plus Basic"/>
    <s v="Konex"/>
    <x v="1"/>
    <d v="2017-03-16T00:00:00"/>
    <x v="6"/>
    <m/>
  </r>
  <r>
    <x v="1576"/>
    <x v="18"/>
    <x v="2"/>
    <x v="1"/>
    <s v="GTX Basic"/>
    <s v="Finjob"/>
    <x v="0"/>
    <d v="2017-03-16T00:00:00"/>
    <x v="55"/>
    <n v="468"/>
  </r>
  <r>
    <x v="1577"/>
    <x v="18"/>
    <x v="2"/>
    <x v="1"/>
    <s v="GTX Basic"/>
    <s v="Kan-code"/>
    <x v="0"/>
    <d v="2017-03-16T00:00:00"/>
    <x v="35"/>
    <n v="579"/>
  </r>
  <r>
    <x v="1578"/>
    <x v="24"/>
    <x v="0"/>
    <x v="0"/>
    <s v="MG Advanced"/>
    <s v="Treequote"/>
    <x v="0"/>
    <d v="2017-03-16T00:00:00"/>
    <x v="80"/>
    <n v="3185"/>
  </r>
  <r>
    <x v="1579"/>
    <x v="5"/>
    <x v="3"/>
    <x v="1"/>
    <s v="GTXPro"/>
    <m/>
    <x v="1"/>
    <d v="2017-03-16T00:00:00"/>
    <x v="6"/>
    <m/>
  </r>
  <r>
    <x v="1580"/>
    <x v="5"/>
    <x v="3"/>
    <x v="1"/>
    <s v="MG Special"/>
    <s v="Cheers"/>
    <x v="0"/>
    <d v="2017-03-16T00:00:00"/>
    <x v="71"/>
    <n v="54"/>
  </r>
  <r>
    <x v="1581"/>
    <x v="9"/>
    <x v="2"/>
    <x v="1"/>
    <s v="MG Special"/>
    <s v="Newex"/>
    <x v="0"/>
    <d v="2017-03-16T00:00:00"/>
    <x v="86"/>
    <n v="62"/>
  </r>
  <r>
    <x v="1582"/>
    <x v="0"/>
    <x v="0"/>
    <x v="0"/>
    <s v="GTX Basic"/>
    <s v="dambase"/>
    <x v="2"/>
    <d v="2017-03-16T00:00:00"/>
    <x v="55"/>
    <n v="0"/>
  </r>
  <r>
    <x v="1583"/>
    <x v="0"/>
    <x v="0"/>
    <x v="0"/>
    <s v="GTX Basic"/>
    <s v="Betatech"/>
    <x v="0"/>
    <d v="2017-03-16T00:00:00"/>
    <x v="79"/>
    <n v="619"/>
  </r>
  <r>
    <x v="1584"/>
    <x v="11"/>
    <x v="3"/>
    <x v="1"/>
    <s v="MG Special"/>
    <s v="Golddex"/>
    <x v="2"/>
    <d v="2017-03-16T00:00:00"/>
    <x v="45"/>
    <n v="0"/>
  </r>
  <r>
    <x v="1585"/>
    <x v="11"/>
    <x v="3"/>
    <x v="1"/>
    <s v="MG Special"/>
    <s v="Hatfan"/>
    <x v="2"/>
    <d v="2017-03-16T00:00:00"/>
    <x v="37"/>
    <n v="0"/>
  </r>
  <r>
    <x v="1586"/>
    <x v="11"/>
    <x v="3"/>
    <x v="1"/>
    <s v="MG Advanced"/>
    <s v="Xx-holding"/>
    <x v="2"/>
    <d v="2017-03-16T00:00:00"/>
    <x v="48"/>
    <n v="0"/>
  </r>
  <r>
    <x v="1587"/>
    <x v="17"/>
    <x v="5"/>
    <x v="2"/>
    <s v="GTX Plus Pro"/>
    <m/>
    <x v="1"/>
    <d v="2017-03-16T00:00:00"/>
    <x v="6"/>
    <m/>
  </r>
  <r>
    <x v="1588"/>
    <x v="4"/>
    <x v="3"/>
    <x v="1"/>
    <s v="GTXPro"/>
    <s v="Xx-holding"/>
    <x v="0"/>
    <d v="2017-03-16T00:00:00"/>
    <x v="31"/>
    <n v="4408"/>
  </r>
  <r>
    <x v="1589"/>
    <x v="2"/>
    <x v="2"/>
    <x v="1"/>
    <s v="GTX Basic"/>
    <s v="Cheers"/>
    <x v="0"/>
    <d v="2017-03-16T00:00:00"/>
    <x v="52"/>
    <n v="605"/>
  </r>
  <r>
    <x v="1590"/>
    <x v="3"/>
    <x v="0"/>
    <x v="0"/>
    <s v="GTX Plus Pro"/>
    <s v="Genco Pura Olive Oil Company"/>
    <x v="0"/>
    <d v="2017-03-17T00:00:00"/>
    <x v="13"/>
    <n v="6064"/>
  </r>
  <r>
    <x v="1591"/>
    <x v="23"/>
    <x v="4"/>
    <x v="2"/>
    <s v="GTX Basic"/>
    <s v="Plussunin"/>
    <x v="0"/>
    <d v="2017-03-17T00:00:00"/>
    <x v="69"/>
    <n v="641"/>
  </r>
  <r>
    <x v="1592"/>
    <x v="23"/>
    <x v="4"/>
    <x v="2"/>
    <s v="GTX Basic"/>
    <s v="Vehement Capital Partners"/>
    <x v="0"/>
    <d v="2017-03-17T00:00:00"/>
    <x v="37"/>
    <n v="491"/>
  </r>
  <r>
    <x v="1593"/>
    <x v="27"/>
    <x v="5"/>
    <x v="2"/>
    <s v="GTX Basic"/>
    <m/>
    <x v="1"/>
    <d v="2017-03-17T00:00:00"/>
    <x v="6"/>
    <m/>
  </r>
  <r>
    <x v="1594"/>
    <x v="27"/>
    <x v="5"/>
    <x v="2"/>
    <s v="GTX Plus Basic"/>
    <s v="Konmatfix"/>
    <x v="1"/>
    <d v="2017-03-17T00:00:00"/>
    <x v="6"/>
    <m/>
  </r>
  <r>
    <x v="1595"/>
    <x v="27"/>
    <x v="5"/>
    <x v="2"/>
    <s v="GTXPro"/>
    <s v="Plussunin"/>
    <x v="2"/>
    <d v="2017-03-17T00:00:00"/>
    <x v="44"/>
    <n v="0"/>
  </r>
  <r>
    <x v="1596"/>
    <x v="1"/>
    <x v="1"/>
    <x v="0"/>
    <s v="MG Special"/>
    <s v="Codehow"/>
    <x v="0"/>
    <d v="2017-03-17T00:00:00"/>
    <x v="63"/>
    <n v="47"/>
  </r>
  <r>
    <x v="1597"/>
    <x v="14"/>
    <x v="3"/>
    <x v="1"/>
    <s v="MG Special"/>
    <s v="Faxquote"/>
    <x v="0"/>
    <d v="2017-03-17T00:00:00"/>
    <x v="79"/>
    <n v="63"/>
  </r>
  <r>
    <x v="1598"/>
    <x v="21"/>
    <x v="5"/>
    <x v="2"/>
    <s v="MG Advanced"/>
    <s v="Sumace"/>
    <x v="0"/>
    <d v="2017-03-17T00:00:00"/>
    <x v="40"/>
    <n v="3291"/>
  </r>
  <r>
    <x v="1599"/>
    <x v="10"/>
    <x v="3"/>
    <x v="1"/>
    <s v="GTX Plus Basic"/>
    <m/>
    <x v="1"/>
    <d v="2017-03-17T00:00:00"/>
    <x v="6"/>
    <m/>
  </r>
  <r>
    <x v="1600"/>
    <x v="10"/>
    <x v="3"/>
    <x v="1"/>
    <s v="GTX Plus Basic"/>
    <s v="Singletechno"/>
    <x v="0"/>
    <d v="2017-03-17T00:00:00"/>
    <x v="76"/>
    <n v="1188"/>
  </r>
  <r>
    <x v="1601"/>
    <x v="18"/>
    <x v="2"/>
    <x v="1"/>
    <s v="GTX Plus Pro"/>
    <m/>
    <x v="1"/>
    <d v="2017-03-17T00:00:00"/>
    <x v="6"/>
    <m/>
  </r>
  <r>
    <x v="1602"/>
    <x v="18"/>
    <x v="2"/>
    <x v="1"/>
    <s v="GTX Basic"/>
    <s v="Cheers"/>
    <x v="2"/>
    <d v="2017-03-17T00:00:00"/>
    <x v="38"/>
    <n v="0"/>
  </r>
  <r>
    <x v="1603"/>
    <x v="18"/>
    <x v="2"/>
    <x v="1"/>
    <s v="GTX Basic"/>
    <s v="Scotfind"/>
    <x v="0"/>
    <d v="2017-03-17T00:00:00"/>
    <x v="80"/>
    <n v="478"/>
  </r>
  <r>
    <x v="1604"/>
    <x v="18"/>
    <x v="2"/>
    <x v="1"/>
    <s v="MG Special"/>
    <s v="Green-Plus"/>
    <x v="0"/>
    <d v="2017-03-17T00:00:00"/>
    <x v="61"/>
    <n v="60"/>
  </r>
  <r>
    <x v="1605"/>
    <x v="19"/>
    <x v="4"/>
    <x v="2"/>
    <s v="GTXPro"/>
    <s v="Silis"/>
    <x v="0"/>
    <d v="2017-03-17T00:00:00"/>
    <x v="27"/>
    <n v="4064"/>
  </r>
  <r>
    <x v="1606"/>
    <x v="19"/>
    <x v="4"/>
    <x v="2"/>
    <s v="MG Advanced"/>
    <s v="Ontomedia"/>
    <x v="0"/>
    <d v="2017-03-17T00:00:00"/>
    <x v="20"/>
    <n v="2550"/>
  </r>
  <r>
    <x v="1607"/>
    <x v="11"/>
    <x v="3"/>
    <x v="1"/>
    <s v="GTX Plus Pro"/>
    <s v="Finhigh"/>
    <x v="1"/>
    <d v="2017-03-17T00:00:00"/>
    <x v="6"/>
    <m/>
  </r>
  <r>
    <x v="1608"/>
    <x v="17"/>
    <x v="5"/>
    <x v="2"/>
    <s v="MG Special"/>
    <s v="Bioplex"/>
    <x v="2"/>
    <d v="2017-03-17T00:00:00"/>
    <x v="38"/>
    <n v="0"/>
  </r>
  <r>
    <x v="1609"/>
    <x v="12"/>
    <x v="0"/>
    <x v="0"/>
    <s v="GTX Plus Pro"/>
    <s v="Dontechi"/>
    <x v="2"/>
    <d v="2017-03-17T00:00:00"/>
    <x v="34"/>
    <n v="0"/>
  </r>
  <r>
    <x v="1610"/>
    <x v="12"/>
    <x v="0"/>
    <x v="0"/>
    <s v="MG Special"/>
    <s v="Genco Pura Olive Oil Company"/>
    <x v="2"/>
    <d v="2017-03-17T00:00:00"/>
    <x v="67"/>
    <n v="0"/>
  </r>
  <r>
    <x v="1611"/>
    <x v="12"/>
    <x v="0"/>
    <x v="0"/>
    <s v="MG Advanced"/>
    <s v="Statholdings"/>
    <x v="0"/>
    <d v="2017-03-17T00:00:00"/>
    <x v="92"/>
    <n v="3378"/>
  </r>
  <r>
    <x v="1612"/>
    <x v="4"/>
    <x v="3"/>
    <x v="1"/>
    <s v="GTX Plus Pro"/>
    <m/>
    <x v="1"/>
    <d v="2017-03-17T00:00:00"/>
    <x v="6"/>
    <m/>
  </r>
  <r>
    <x v="1613"/>
    <x v="15"/>
    <x v="5"/>
    <x v="2"/>
    <s v="GTX Basic"/>
    <m/>
    <x v="1"/>
    <d v="2017-03-17T00:00:00"/>
    <x v="6"/>
    <m/>
  </r>
  <r>
    <x v="1614"/>
    <x v="15"/>
    <x v="5"/>
    <x v="2"/>
    <s v="MG Special"/>
    <m/>
    <x v="1"/>
    <d v="2017-03-17T00:00:00"/>
    <x v="6"/>
    <m/>
  </r>
  <r>
    <x v="1615"/>
    <x v="15"/>
    <x v="5"/>
    <x v="2"/>
    <s v="MG Special"/>
    <m/>
    <x v="1"/>
    <d v="2017-03-17T00:00:00"/>
    <x v="6"/>
    <m/>
  </r>
  <r>
    <x v="1616"/>
    <x v="20"/>
    <x v="5"/>
    <x v="2"/>
    <s v="GTXPro"/>
    <s v="Gekko &amp; Co"/>
    <x v="0"/>
    <d v="2017-03-17T00:00:00"/>
    <x v="77"/>
    <n v="6135"/>
  </r>
  <r>
    <x v="1617"/>
    <x v="2"/>
    <x v="2"/>
    <x v="1"/>
    <s v="GTX Plus Basic"/>
    <s v="Newex"/>
    <x v="0"/>
    <d v="2017-03-17T00:00:00"/>
    <x v="42"/>
    <n v="999"/>
  </r>
  <r>
    <x v="1618"/>
    <x v="2"/>
    <x v="2"/>
    <x v="1"/>
    <s v="MG Special"/>
    <s v="Singletechno"/>
    <x v="0"/>
    <d v="2017-03-17T00:00:00"/>
    <x v="48"/>
    <n v="52"/>
  </r>
  <r>
    <x v="1619"/>
    <x v="3"/>
    <x v="0"/>
    <x v="0"/>
    <s v="GTX Plus Basic"/>
    <s v="Warephase"/>
    <x v="2"/>
    <d v="2017-03-18T00:00:00"/>
    <x v="49"/>
    <n v="0"/>
  </r>
  <r>
    <x v="1620"/>
    <x v="23"/>
    <x v="4"/>
    <x v="2"/>
    <s v="GTX Plus Pro"/>
    <s v="Donware"/>
    <x v="2"/>
    <d v="2017-03-18T00:00:00"/>
    <x v="61"/>
    <n v="0"/>
  </r>
  <r>
    <x v="1621"/>
    <x v="23"/>
    <x v="4"/>
    <x v="2"/>
    <s v="GTX Basic"/>
    <s v="Plussunin"/>
    <x v="0"/>
    <d v="2017-03-18T00:00:00"/>
    <x v="70"/>
    <n v="530"/>
  </r>
  <r>
    <x v="1622"/>
    <x v="28"/>
    <x v="0"/>
    <x v="0"/>
    <s v="GTX Basic"/>
    <s v="Konmatfix"/>
    <x v="0"/>
    <d v="2017-03-18T00:00:00"/>
    <x v="58"/>
    <n v="538"/>
  </r>
  <r>
    <x v="1623"/>
    <x v="28"/>
    <x v="0"/>
    <x v="0"/>
    <s v="MG Special"/>
    <s v="Rundofase"/>
    <x v="0"/>
    <d v="2017-03-18T00:00:00"/>
    <x v="27"/>
    <n v="53"/>
  </r>
  <r>
    <x v="1624"/>
    <x v="1"/>
    <x v="1"/>
    <x v="0"/>
    <s v="GTXPro"/>
    <s v="Scottech"/>
    <x v="0"/>
    <d v="2017-03-18T00:00:00"/>
    <x v="82"/>
    <n v="5416"/>
  </r>
  <r>
    <x v="1625"/>
    <x v="14"/>
    <x v="3"/>
    <x v="1"/>
    <s v="MG Special"/>
    <s v="Scotfind"/>
    <x v="2"/>
    <d v="2017-03-18T00:00:00"/>
    <x v="63"/>
    <n v="0"/>
  </r>
  <r>
    <x v="1626"/>
    <x v="21"/>
    <x v="5"/>
    <x v="2"/>
    <s v="GTX Plus Pro"/>
    <s v="Mathtouch"/>
    <x v="0"/>
    <d v="2017-03-18T00:00:00"/>
    <x v="54"/>
    <n v="4995"/>
  </r>
  <r>
    <x v="1627"/>
    <x v="7"/>
    <x v="2"/>
    <x v="1"/>
    <s v="GTX Basic"/>
    <m/>
    <x v="1"/>
    <d v="2017-03-18T00:00:00"/>
    <x v="6"/>
    <m/>
  </r>
  <r>
    <x v="1628"/>
    <x v="7"/>
    <x v="2"/>
    <x v="1"/>
    <s v="GTX Basic"/>
    <s v="Sonron"/>
    <x v="2"/>
    <d v="2017-03-18T00:00:00"/>
    <x v="81"/>
    <n v="0"/>
  </r>
  <r>
    <x v="1629"/>
    <x v="29"/>
    <x v="1"/>
    <x v="0"/>
    <s v="GTX Plus Basic"/>
    <s v="Bioholding"/>
    <x v="0"/>
    <d v="2017-03-18T00:00:00"/>
    <x v="60"/>
    <n v="1137"/>
  </r>
  <r>
    <x v="1630"/>
    <x v="16"/>
    <x v="2"/>
    <x v="1"/>
    <s v="GTX Basic"/>
    <s v="Sonron"/>
    <x v="0"/>
    <d v="2017-03-18T00:00:00"/>
    <x v="26"/>
    <n v="453"/>
  </r>
  <r>
    <x v="1631"/>
    <x v="16"/>
    <x v="2"/>
    <x v="1"/>
    <s v="GTX Plus Basic"/>
    <s v="Hottechi"/>
    <x v="0"/>
    <d v="2017-03-18T00:00:00"/>
    <x v="63"/>
    <n v="1065"/>
  </r>
  <r>
    <x v="1632"/>
    <x v="16"/>
    <x v="2"/>
    <x v="1"/>
    <s v="GTXPro"/>
    <s v="Singletechno"/>
    <x v="0"/>
    <d v="2017-03-18T00:00:00"/>
    <x v="32"/>
    <n v="4373"/>
  </r>
  <r>
    <x v="1633"/>
    <x v="16"/>
    <x v="2"/>
    <x v="1"/>
    <s v="MG Advanced"/>
    <s v="Labdrill"/>
    <x v="0"/>
    <d v="2017-03-18T00:00:00"/>
    <x v="84"/>
    <n v="2560"/>
  </r>
  <r>
    <x v="1634"/>
    <x v="18"/>
    <x v="2"/>
    <x v="1"/>
    <s v="GTXPro"/>
    <s v="Singletechno"/>
    <x v="2"/>
    <d v="2017-03-18T00:00:00"/>
    <x v="43"/>
    <n v="0"/>
  </r>
  <r>
    <x v="1635"/>
    <x v="5"/>
    <x v="3"/>
    <x v="1"/>
    <s v="GTX Plus Basic"/>
    <s v="Groovestreet"/>
    <x v="0"/>
    <d v="2017-03-18T00:00:00"/>
    <x v="20"/>
    <n v="1171"/>
  </r>
  <r>
    <x v="1636"/>
    <x v="5"/>
    <x v="3"/>
    <x v="1"/>
    <s v="MG Special"/>
    <s v="Konex"/>
    <x v="0"/>
    <d v="2017-03-18T00:00:00"/>
    <x v="81"/>
    <n v="53"/>
  </r>
  <r>
    <x v="1637"/>
    <x v="22"/>
    <x v="1"/>
    <x v="0"/>
    <s v="GTX Plus Pro"/>
    <s v="Treequote"/>
    <x v="0"/>
    <d v="2017-03-18T00:00:00"/>
    <x v="42"/>
    <n v="6553"/>
  </r>
  <r>
    <x v="1638"/>
    <x v="22"/>
    <x v="1"/>
    <x v="0"/>
    <s v="MG Advanced"/>
    <s v="Betatech"/>
    <x v="0"/>
    <d v="2017-03-18T00:00:00"/>
    <x v="50"/>
    <n v="3542"/>
  </r>
  <r>
    <x v="1639"/>
    <x v="9"/>
    <x v="2"/>
    <x v="1"/>
    <s v="GTX Basic"/>
    <m/>
    <x v="1"/>
    <d v="2017-03-18T00:00:00"/>
    <x v="6"/>
    <m/>
  </r>
  <r>
    <x v="1640"/>
    <x v="0"/>
    <x v="0"/>
    <x v="0"/>
    <s v="MG Advanced"/>
    <s v="Finhigh"/>
    <x v="0"/>
    <d v="2017-03-18T00:00:00"/>
    <x v="80"/>
    <n v="3619"/>
  </r>
  <r>
    <x v="1641"/>
    <x v="11"/>
    <x v="3"/>
    <x v="1"/>
    <s v="MG Advanced"/>
    <m/>
    <x v="1"/>
    <d v="2017-03-18T00:00:00"/>
    <x v="6"/>
    <m/>
  </r>
  <r>
    <x v="1642"/>
    <x v="17"/>
    <x v="5"/>
    <x v="2"/>
    <s v="MG Advanced"/>
    <s v="Rangreen"/>
    <x v="1"/>
    <d v="2017-03-18T00:00:00"/>
    <x v="6"/>
    <m/>
  </r>
  <r>
    <x v="1643"/>
    <x v="4"/>
    <x v="3"/>
    <x v="1"/>
    <s v="MG Special"/>
    <m/>
    <x v="1"/>
    <d v="2017-03-18T00:00:00"/>
    <x v="6"/>
    <m/>
  </r>
  <r>
    <x v="1644"/>
    <x v="20"/>
    <x v="5"/>
    <x v="2"/>
    <s v="MG Advanced"/>
    <s v="Bluth Company"/>
    <x v="0"/>
    <d v="2017-03-18T00:00:00"/>
    <x v="40"/>
    <n v="3589"/>
  </r>
  <r>
    <x v="1645"/>
    <x v="2"/>
    <x v="2"/>
    <x v="1"/>
    <s v="GTX Plus Pro"/>
    <s v="Plexzap"/>
    <x v="0"/>
    <d v="2017-03-18T00:00:00"/>
    <x v="59"/>
    <n v="6262"/>
  </r>
  <r>
    <x v="1646"/>
    <x v="23"/>
    <x v="4"/>
    <x v="2"/>
    <s v="GTX Plus Basic"/>
    <s v="Nam-zim"/>
    <x v="1"/>
    <d v="2017-03-19T00:00:00"/>
    <x v="6"/>
    <m/>
  </r>
  <r>
    <x v="1647"/>
    <x v="23"/>
    <x v="4"/>
    <x v="2"/>
    <s v="GTX Plus Basic"/>
    <s v="Acme Corporation"/>
    <x v="0"/>
    <d v="2017-03-19T00:00:00"/>
    <x v="29"/>
    <n v="1161"/>
  </r>
  <r>
    <x v="1648"/>
    <x v="23"/>
    <x v="4"/>
    <x v="2"/>
    <s v="GTXPro"/>
    <s v="Umbrella Corporation"/>
    <x v="0"/>
    <d v="2017-03-19T00:00:00"/>
    <x v="26"/>
    <n v="4975"/>
  </r>
  <r>
    <x v="1649"/>
    <x v="27"/>
    <x v="5"/>
    <x v="2"/>
    <s v="GTX Basic"/>
    <s v="Zotware"/>
    <x v="0"/>
    <d v="2017-03-19T00:00:00"/>
    <x v="30"/>
    <n v="586"/>
  </r>
  <r>
    <x v="1650"/>
    <x v="27"/>
    <x v="5"/>
    <x v="2"/>
    <s v="MG Special"/>
    <s v="The New York Inquirer"/>
    <x v="0"/>
    <d v="2017-03-19T00:00:00"/>
    <x v="25"/>
    <n v="41"/>
  </r>
  <r>
    <x v="1651"/>
    <x v="13"/>
    <x v="4"/>
    <x v="2"/>
    <s v="GTX Plus Basic"/>
    <m/>
    <x v="1"/>
    <d v="2017-03-19T00:00:00"/>
    <x v="6"/>
    <m/>
  </r>
  <r>
    <x v="1652"/>
    <x v="1"/>
    <x v="1"/>
    <x v="0"/>
    <s v="GTX Plus Basic"/>
    <s v="Ron-tech"/>
    <x v="0"/>
    <d v="2017-03-19T00:00:00"/>
    <x v="21"/>
    <n v="929"/>
  </r>
  <r>
    <x v="1653"/>
    <x v="1"/>
    <x v="1"/>
    <x v="0"/>
    <s v="MG Special"/>
    <s v="Streethex"/>
    <x v="0"/>
    <d v="2017-03-19T00:00:00"/>
    <x v="43"/>
    <n v="65"/>
  </r>
  <r>
    <x v="1654"/>
    <x v="26"/>
    <x v="4"/>
    <x v="2"/>
    <s v="GTX Basic"/>
    <s v="Zencorporation"/>
    <x v="0"/>
    <d v="2017-03-19T00:00:00"/>
    <x v="18"/>
    <n v="574"/>
  </r>
  <r>
    <x v="1655"/>
    <x v="8"/>
    <x v="1"/>
    <x v="0"/>
    <s v="GTXPro"/>
    <s v="Condax"/>
    <x v="2"/>
    <d v="2017-03-19T00:00:00"/>
    <x v="86"/>
    <n v="0"/>
  </r>
  <r>
    <x v="1656"/>
    <x v="8"/>
    <x v="1"/>
    <x v="0"/>
    <s v="GTXPro"/>
    <s v="Streethex"/>
    <x v="2"/>
    <d v="2017-03-19T00:00:00"/>
    <x v="58"/>
    <n v="0"/>
  </r>
  <r>
    <x v="1657"/>
    <x v="10"/>
    <x v="3"/>
    <x v="1"/>
    <s v="MG Advanced"/>
    <s v="Labdrill"/>
    <x v="0"/>
    <d v="2017-03-19T00:00:00"/>
    <x v="83"/>
    <n v="3028"/>
  </r>
  <r>
    <x v="1658"/>
    <x v="7"/>
    <x v="2"/>
    <x v="1"/>
    <s v="GTX Basic"/>
    <s v="Singletechno"/>
    <x v="0"/>
    <d v="2017-03-19T00:00:00"/>
    <x v="13"/>
    <n v="403"/>
  </r>
  <r>
    <x v="1659"/>
    <x v="16"/>
    <x v="2"/>
    <x v="1"/>
    <s v="GTX Basic"/>
    <s v="Sonron"/>
    <x v="2"/>
    <d v="2017-03-19T00:00:00"/>
    <x v="67"/>
    <n v="0"/>
  </r>
  <r>
    <x v="1660"/>
    <x v="16"/>
    <x v="2"/>
    <x v="1"/>
    <s v="MG Advanced"/>
    <s v="Kan-code"/>
    <x v="0"/>
    <d v="2017-03-19T00:00:00"/>
    <x v="52"/>
    <n v="3290"/>
  </r>
  <r>
    <x v="1661"/>
    <x v="18"/>
    <x v="2"/>
    <x v="1"/>
    <s v="GTX Basic"/>
    <m/>
    <x v="1"/>
    <d v="2017-03-19T00:00:00"/>
    <x v="6"/>
    <m/>
  </r>
  <r>
    <x v="1662"/>
    <x v="18"/>
    <x v="2"/>
    <x v="1"/>
    <s v="MG Advanced"/>
    <s v="Sonron"/>
    <x v="2"/>
    <d v="2017-03-19T00:00:00"/>
    <x v="78"/>
    <n v="0"/>
  </r>
  <r>
    <x v="1663"/>
    <x v="18"/>
    <x v="2"/>
    <x v="1"/>
    <s v="MG Advanced"/>
    <s v="Golddex"/>
    <x v="0"/>
    <d v="2017-03-19T00:00:00"/>
    <x v="31"/>
    <n v="3550"/>
  </r>
  <r>
    <x v="1664"/>
    <x v="0"/>
    <x v="0"/>
    <x v="0"/>
    <s v="MG Advanced"/>
    <s v="Rangreen"/>
    <x v="0"/>
    <d v="2017-03-19T00:00:00"/>
    <x v="78"/>
    <n v="3657"/>
  </r>
  <r>
    <x v="1665"/>
    <x v="19"/>
    <x v="4"/>
    <x v="2"/>
    <s v="GTX Plus Basic"/>
    <s v="Zotware"/>
    <x v="0"/>
    <d v="2017-03-19T00:00:00"/>
    <x v="90"/>
    <n v="1046"/>
  </r>
  <r>
    <x v="1666"/>
    <x v="12"/>
    <x v="0"/>
    <x v="0"/>
    <s v="MG Special"/>
    <s v="Warephase"/>
    <x v="0"/>
    <d v="2017-03-19T00:00:00"/>
    <x v="63"/>
    <n v="50"/>
  </r>
  <r>
    <x v="1667"/>
    <x v="12"/>
    <x v="0"/>
    <x v="0"/>
    <s v="MG Advanced"/>
    <s v="Funholding"/>
    <x v="0"/>
    <d v="2017-03-19T00:00:00"/>
    <x v="27"/>
    <n v="2871"/>
  </r>
  <r>
    <x v="1668"/>
    <x v="15"/>
    <x v="5"/>
    <x v="2"/>
    <s v="MG Special"/>
    <s v="Bioplex"/>
    <x v="0"/>
    <d v="2017-03-19T00:00:00"/>
    <x v="43"/>
    <n v="52"/>
  </r>
  <r>
    <x v="1669"/>
    <x v="2"/>
    <x v="2"/>
    <x v="1"/>
    <s v="GTXPro"/>
    <m/>
    <x v="1"/>
    <d v="2017-03-19T00:00:00"/>
    <x v="6"/>
    <m/>
  </r>
  <r>
    <x v="1670"/>
    <x v="3"/>
    <x v="0"/>
    <x v="0"/>
    <s v="MG Special"/>
    <s v="Funholding"/>
    <x v="2"/>
    <d v="2017-03-20T00:00:00"/>
    <x v="65"/>
    <n v="0"/>
  </r>
  <r>
    <x v="1671"/>
    <x v="25"/>
    <x v="4"/>
    <x v="2"/>
    <s v="GTX Basic"/>
    <s v="Kan-code"/>
    <x v="0"/>
    <d v="2017-03-20T00:00:00"/>
    <x v="82"/>
    <n v="564"/>
  </r>
  <r>
    <x v="1672"/>
    <x v="23"/>
    <x v="4"/>
    <x v="2"/>
    <s v="GTX Plus Pro"/>
    <s v="Donware"/>
    <x v="2"/>
    <d v="2017-03-20T00:00:00"/>
    <x v="55"/>
    <n v="0"/>
  </r>
  <r>
    <x v="1673"/>
    <x v="27"/>
    <x v="5"/>
    <x v="2"/>
    <s v="GTX Basic"/>
    <s v="Plexzap"/>
    <x v="1"/>
    <d v="2017-03-20T00:00:00"/>
    <x v="6"/>
    <m/>
  </r>
  <r>
    <x v="1674"/>
    <x v="13"/>
    <x v="4"/>
    <x v="2"/>
    <s v="MG Advanced"/>
    <s v="Ganjaflex"/>
    <x v="0"/>
    <d v="2017-03-20T00:00:00"/>
    <x v="42"/>
    <n v="3780"/>
  </r>
  <r>
    <x v="1675"/>
    <x v="1"/>
    <x v="1"/>
    <x v="0"/>
    <s v="GTX Basic"/>
    <s v="dambase"/>
    <x v="0"/>
    <d v="2017-03-20T00:00:00"/>
    <x v="90"/>
    <n v="491"/>
  </r>
  <r>
    <x v="1676"/>
    <x v="1"/>
    <x v="1"/>
    <x v="0"/>
    <s v="GTX Basic"/>
    <s v="Dontechi"/>
    <x v="0"/>
    <d v="2017-03-20T00:00:00"/>
    <x v="18"/>
    <n v="604"/>
  </r>
  <r>
    <x v="1677"/>
    <x v="14"/>
    <x v="3"/>
    <x v="1"/>
    <s v="GTK 500"/>
    <s v="Singletechno"/>
    <x v="2"/>
    <d v="2017-03-20T00:00:00"/>
    <x v="63"/>
    <n v="0"/>
  </r>
  <r>
    <x v="1678"/>
    <x v="16"/>
    <x v="2"/>
    <x v="1"/>
    <s v="GTX Basic"/>
    <s v="Sonron"/>
    <x v="2"/>
    <d v="2017-03-20T00:00:00"/>
    <x v="14"/>
    <n v="0"/>
  </r>
  <r>
    <x v="1679"/>
    <x v="16"/>
    <x v="2"/>
    <x v="1"/>
    <s v="GTX Basic"/>
    <s v="Cheers"/>
    <x v="0"/>
    <d v="2017-03-20T00:00:00"/>
    <x v="78"/>
    <n v="568"/>
  </r>
  <r>
    <x v="1680"/>
    <x v="18"/>
    <x v="2"/>
    <x v="1"/>
    <s v="GTX Basic"/>
    <s v="Singletechno"/>
    <x v="0"/>
    <d v="2017-03-20T00:00:00"/>
    <x v="90"/>
    <n v="601"/>
  </r>
  <r>
    <x v="1681"/>
    <x v="9"/>
    <x v="2"/>
    <x v="1"/>
    <s v="GTX Plus Basic"/>
    <m/>
    <x v="1"/>
    <d v="2017-03-20T00:00:00"/>
    <x v="6"/>
    <m/>
  </r>
  <r>
    <x v="1682"/>
    <x v="9"/>
    <x v="2"/>
    <x v="1"/>
    <s v="MG Advanced"/>
    <s v="Blackzim"/>
    <x v="2"/>
    <d v="2017-03-20T00:00:00"/>
    <x v="42"/>
    <n v="0"/>
  </r>
  <r>
    <x v="1683"/>
    <x v="6"/>
    <x v="1"/>
    <x v="0"/>
    <s v="GTX Plus Pro"/>
    <s v="Genco Pura Olive Oil Company"/>
    <x v="0"/>
    <d v="2017-03-20T00:00:00"/>
    <x v="36"/>
    <n v="5616"/>
  </r>
  <r>
    <x v="1684"/>
    <x v="19"/>
    <x v="4"/>
    <x v="2"/>
    <s v="GTXPro"/>
    <s v="Zotware"/>
    <x v="2"/>
    <d v="2017-03-20T00:00:00"/>
    <x v="88"/>
    <n v="0"/>
  </r>
  <r>
    <x v="1685"/>
    <x v="11"/>
    <x v="3"/>
    <x v="1"/>
    <s v="GTXPro"/>
    <s v="Faxquote"/>
    <x v="2"/>
    <d v="2017-03-20T00:00:00"/>
    <x v="40"/>
    <n v="0"/>
  </r>
  <r>
    <x v="1686"/>
    <x v="12"/>
    <x v="0"/>
    <x v="0"/>
    <s v="MG Special"/>
    <s v="dambase"/>
    <x v="2"/>
    <d v="2017-03-20T00:00:00"/>
    <x v="92"/>
    <n v="0"/>
  </r>
  <r>
    <x v="1687"/>
    <x v="4"/>
    <x v="3"/>
    <x v="1"/>
    <s v="MG Advanced"/>
    <s v="Scotfind"/>
    <x v="2"/>
    <d v="2017-03-20T00:00:00"/>
    <x v="82"/>
    <n v="0"/>
  </r>
  <r>
    <x v="1688"/>
    <x v="15"/>
    <x v="5"/>
    <x v="2"/>
    <s v="GTX Basic"/>
    <s v="Opentech"/>
    <x v="0"/>
    <d v="2017-03-20T00:00:00"/>
    <x v="91"/>
    <n v="542"/>
  </r>
  <r>
    <x v="1689"/>
    <x v="20"/>
    <x v="5"/>
    <x v="2"/>
    <s v="GTX Basic"/>
    <s v="Gekko &amp; Co"/>
    <x v="0"/>
    <d v="2017-03-20T00:00:00"/>
    <x v="64"/>
    <n v="497"/>
  </r>
  <r>
    <x v="1690"/>
    <x v="2"/>
    <x v="2"/>
    <x v="1"/>
    <s v="GTXPro"/>
    <s v="J-Texon"/>
    <x v="0"/>
    <d v="2017-03-20T00:00:00"/>
    <x v="57"/>
    <n v="5443"/>
  </r>
  <r>
    <x v="1691"/>
    <x v="3"/>
    <x v="0"/>
    <x v="0"/>
    <s v="GTX Plus Basic"/>
    <s v="Rangreen"/>
    <x v="0"/>
    <d v="2017-03-21T00:00:00"/>
    <x v="83"/>
    <n v="1037"/>
  </r>
  <r>
    <x v="1692"/>
    <x v="25"/>
    <x v="4"/>
    <x v="2"/>
    <s v="GTX Plus Basic"/>
    <s v="Rangreen"/>
    <x v="1"/>
    <d v="2017-03-21T00:00:00"/>
    <x v="6"/>
    <m/>
  </r>
  <r>
    <x v="1693"/>
    <x v="25"/>
    <x v="4"/>
    <x v="2"/>
    <s v="GTX Plus Basic"/>
    <s v="Betasoloin"/>
    <x v="0"/>
    <d v="2017-03-21T00:00:00"/>
    <x v="93"/>
    <n v="992"/>
  </r>
  <r>
    <x v="1694"/>
    <x v="28"/>
    <x v="0"/>
    <x v="0"/>
    <s v="GTX Plus Basic"/>
    <s v="Stanredtax"/>
    <x v="0"/>
    <d v="2017-03-21T00:00:00"/>
    <x v="18"/>
    <n v="966"/>
  </r>
  <r>
    <x v="1695"/>
    <x v="13"/>
    <x v="4"/>
    <x v="2"/>
    <s v="MG Advanced"/>
    <s v="Zotware"/>
    <x v="2"/>
    <d v="2017-03-21T00:00:00"/>
    <x v="86"/>
    <n v="0"/>
  </r>
  <r>
    <x v="1696"/>
    <x v="21"/>
    <x v="5"/>
    <x v="2"/>
    <s v="GTX Plus Pro"/>
    <s v="Vehement Capital Partners"/>
    <x v="2"/>
    <d v="2017-03-21T00:00:00"/>
    <x v="94"/>
    <n v="0"/>
  </r>
  <r>
    <x v="1697"/>
    <x v="29"/>
    <x v="1"/>
    <x v="0"/>
    <s v="GTX Basic"/>
    <s v="Warephase"/>
    <x v="2"/>
    <d v="2017-03-21T00:00:00"/>
    <x v="94"/>
    <n v="0"/>
  </r>
  <r>
    <x v="1698"/>
    <x v="29"/>
    <x v="1"/>
    <x v="0"/>
    <s v="MG Advanced"/>
    <s v="Ron-tech"/>
    <x v="0"/>
    <d v="2017-03-21T00:00:00"/>
    <x v="54"/>
    <n v="3232"/>
  </r>
  <r>
    <x v="1699"/>
    <x v="19"/>
    <x v="4"/>
    <x v="2"/>
    <s v="GTX Basic"/>
    <s v="Ganjaflex"/>
    <x v="0"/>
    <d v="2017-03-21T00:00:00"/>
    <x v="56"/>
    <n v="548"/>
  </r>
  <r>
    <x v="1700"/>
    <x v="20"/>
    <x v="5"/>
    <x v="2"/>
    <s v="MG Advanced"/>
    <m/>
    <x v="1"/>
    <d v="2017-03-21T00:00:00"/>
    <x v="6"/>
    <m/>
  </r>
  <r>
    <x v="1701"/>
    <x v="20"/>
    <x v="5"/>
    <x v="2"/>
    <s v="MG Advanced"/>
    <s v="Plussunin"/>
    <x v="2"/>
    <d v="2017-03-21T00:00:00"/>
    <x v="13"/>
    <n v="0"/>
  </r>
  <r>
    <x v="1702"/>
    <x v="3"/>
    <x v="0"/>
    <x v="0"/>
    <s v="MG Special"/>
    <s v="Ron-tech"/>
    <x v="0"/>
    <d v="2017-03-22T00:00:00"/>
    <x v="77"/>
    <n v="52"/>
  </r>
  <r>
    <x v="1703"/>
    <x v="23"/>
    <x v="4"/>
    <x v="2"/>
    <s v="GTXPro"/>
    <m/>
    <x v="1"/>
    <d v="2017-03-22T00:00:00"/>
    <x v="6"/>
    <m/>
  </r>
  <r>
    <x v="1704"/>
    <x v="13"/>
    <x v="4"/>
    <x v="2"/>
    <s v="MG Special"/>
    <m/>
    <x v="1"/>
    <d v="2017-03-22T00:00:00"/>
    <x v="6"/>
    <m/>
  </r>
  <r>
    <x v="1705"/>
    <x v="1"/>
    <x v="1"/>
    <x v="0"/>
    <s v="GTXPro"/>
    <s v="Genco Pura Olive Oil Company"/>
    <x v="2"/>
    <d v="2017-03-22T00:00:00"/>
    <x v="53"/>
    <n v="0"/>
  </r>
  <r>
    <x v="1706"/>
    <x v="1"/>
    <x v="1"/>
    <x v="0"/>
    <s v="GTXPro"/>
    <s v="Globex Corporation"/>
    <x v="2"/>
    <d v="2017-03-22T00:00:00"/>
    <x v="55"/>
    <n v="0"/>
  </r>
  <r>
    <x v="1707"/>
    <x v="1"/>
    <x v="1"/>
    <x v="0"/>
    <s v="GTXPro"/>
    <s v="Isdom"/>
    <x v="0"/>
    <d v="2017-03-22T00:00:00"/>
    <x v="18"/>
    <n v="5109"/>
  </r>
  <r>
    <x v="1708"/>
    <x v="14"/>
    <x v="3"/>
    <x v="1"/>
    <s v="MG Special"/>
    <s v="Statholdings"/>
    <x v="1"/>
    <d v="2017-03-22T00:00:00"/>
    <x v="6"/>
    <m/>
  </r>
  <r>
    <x v="1709"/>
    <x v="8"/>
    <x v="1"/>
    <x v="0"/>
    <s v="MG Special"/>
    <s v="Codehow"/>
    <x v="0"/>
    <d v="2017-03-22T00:00:00"/>
    <x v="92"/>
    <n v="49"/>
  </r>
  <r>
    <x v="1710"/>
    <x v="29"/>
    <x v="1"/>
    <x v="0"/>
    <s v="GTX Plus Basic"/>
    <s v="Konmatfix"/>
    <x v="2"/>
    <d v="2017-03-22T00:00:00"/>
    <x v="44"/>
    <n v="0"/>
  </r>
  <r>
    <x v="1711"/>
    <x v="16"/>
    <x v="2"/>
    <x v="1"/>
    <s v="GTX Basic"/>
    <m/>
    <x v="1"/>
    <d v="2017-03-22T00:00:00"/>
    <x v="6"/>
    <m/>
  </r>
  <r>
    <x v="1712"/>
    <x v="16"/>
    <x v="2"/>
    <x v="1"/>
    <s v="GTX Basic"/>
    <s v="Kan-code"/>
    <x v="0"/>
    <d v="2017-03-22T00:00:00"/>
    <x v="79"/>
    <n v="447"/>
  </r>
  <r>
    <x v="1713"/>
    <x v="24"/>
    <x v="0"/>
    <x v="0"/>
    <s v="MG Advanced"/>
    <s v="Isdom"/>
    <x v="0"/>
    <d v="2017-03-22T00:00:00"/>
    <x v="64"/>
    <n v="3430"/>
  </r>
  <r>
    <x v="1714"/>
    <x v="5"/>
    <x v="3"/>
    <x v="1"/>
    <s v="MG Advanced"/>
    <m/>
    <x v="1"/>
    <d v="2017-03-22T00:00:00"/>
    <x v="6"/>
    <m/>
  </r>
  <r>
    <x v="1715"/>
    <x v="6"/>
    <x v="1"/>
    <x v="0"/>
    <s v="GTX Basic"/>
    <s v="Condax"/>
    <x v="2"/>
    <d v="2017-03-22T00:00:00"/>
    <x v="70"/>
    <n v="0"/>
  </r>
  <r>
    <x v="1716"/>
    <x v="19"/>
    <x v="4"/>
    <x v="2"/>
    <s v="MG Advanced"/>
    <s v="Donquadtech"/>
    <x v="0"/>
    <d v="2017-03-22T00:00:00"/>
    <x v="76"/>
    <n v="3245"/>
  </r>
  <r>
    <x v="1717"/>
    <x v="12"/>
    <x v="0"/>
    <x v="0"/>
    <s v="GTX Basic"/>
    <s v="Bioholding"/>
    <x v="2"/>
    <d v="2017-03-22T00:00:00"/>
    <x v="27"/>
    <n v="0"/>
  </r>
  <r>
    <x v="1718"/>
    <x v="12"/>
    <x v="0"/>
    <x v="0"/>
    <s v="MG Special"/>
    <s v="Ron-tech"/>
    <x v="0"/>
    <d v="2017-03-22T00:00:00"/>
    <x v="13"/>
    <n v="61"/>
  </r>
  <r>
    <x v="1719"/>
    <x v="4"/>
    <x v="3"/>
    <x v="1"/>
    <s v="MG Special"/>
    <s v="Golddex"/>
    <x v="0"/>
    <d v="2017-03-22T00:00:00"/>
    <x v="91"/>
    <n v="60"/>
  </r>
  <r>
    <x v="1720"/>
    <x v="15"/>
    <x v="5"/>
    <x v="2"/>
    <s v="GTXPro"/>
    <m/>
    <x v="1"/>
    <d v="2017-03-22T00:00:00"/>
    <x v="6"/>
    <m/>
  </r>
  <r>
    <x v="1721"/>
    <x v="15"/>
    <x v="5"/>
    <x v="2"/>
    <s v="MG Special"/>
    <s v="Kan-code"/>
    <x v="2"/>
    <d v="2017-03-22T00:00:00"/>
    <x v="94"/>
    <n v="0"/>
  </r>
  <r>
    <x v="1722"/>
    <x v="2"/>
    <x v="2"/>
    <x v="1"/>
    <s v="GTX Basic"/>
    <m/>
    <x v="1"/>
    <d v="2017-03-22T00:00:00"/>
    <x v="6"/>
    <m/>
  </r>
  <r>
    <x v="1723"/>
    <x v="3"/>
    <x v="0"/>
    <x v="0"/>
    <s v="GTX Plus Pro"/>
    <s v="dambase"/>
    <x v="0"/>
    <d v="2017-03-23T00:00:00"/>
    <x v="94"/>
    <n v="5060"/>
  </r>
  <r>
    <x v="1724"/>
    <x v="25"/>
    <x v="4"/>
    <x v="2"/>
    <s v="GTX Basic"/>
    <s v="Xx-zobam"/>
    <x v="2"/>
    <d v="2017-03-23T00:00:00"/>
    <x v="94"/>
    <n v="0"/>
  </r>
  <r>
    <x v="1725"/>
    <x v="23"/>
    <x v="4"/>
    <x v="2"/>
    <s v="GTX Basic"/>
    <s v="Blackzim"/>
    <x v="1"/>
    <d v="2017-03-23T00:00:00"/>
    <x v="6"/>
    <m/>
  </r>
  <r>
    <x v="1726"/>
    <x v="23"/>
    <x v="4"/>
    <x v="2"/>
    <s v="GTX Basic"/>
    <s v="Kan-code"/>
    <x v="0"/>
    <d v="2017-03-23T00:00:00"/>
    <x v="94"/>
    <n v="585"/>
  </r>
  <r>
    <x v="1727"/>
    <x v="27"/>
    <x v="5"/>
    <x v="2"/>
    <s v="GTXPro"/>
    <s v="Sumace"/>
    <x v="2"/>
    <d v="2017-03-23T00:00:00"/>
    <x v="80"/>
    <n v="0"/>
  </r>
  <r>
    <x v="1728"/>
    <x v="26"/>
    <x v="4"/>
    <x v="2"/>
    <s v="GTXPro"/>
    <s v="Betasoloin"/>
    <x v="2"/>
    <d v="2017-03-23T00:00:00"/>
    <x v="65"/>
    <n v="0"/>
  </r>
  <r>
    <x v="1729"/>
    <x v="8"/>
    <x v="1"/>
    <x v="0"/>
    <s v="GTXPro"/>
    <s v="Hottechi"/>
    <x v="2"/>
    <d v="2017-03-23T00:00:00"/>
    <x v="93"/>
    <n v="0"/>
  </r>
  <r>
    <x v="1730"/>
    <x v="16"/>
    <x v="2"/>
    <x v="1"/>
    <s v="GTXPro"/>
    <s v="Condax"/>
    <x v="2"/>
    <d v="2017-03-23T00:00:00"/>
    <x v="93"/>
    <n v="0"/>
  </r>
  <r>
    <x v="1731"/>
    <x v="18"/>
    <x v="2"/>
    <x v="1"/>
    <s v="GTXPro"/>
    <m/>
    <x v="1"/>
    <d v="2017-03-23T00:00:00"/>
    <x v="6"/>
    <m/>
  </r>
  <r>
    <x v="1732"/>
    <x v="24"/>
    <x v="0"/>
    <x v="0"/>
    <s v="MG Special"/>
    <s v="Condax"/>
    <x v="2"/>
    <d v="2017-03-23T00:00:00"/>
    <x v="95"/>
    <n v="0"/>
  </r>
  <r>
    <x v="1733"/>
    <x v="24"/>
    <x v="0"/>
    <x v="0"/>
    <s v="MG Special"/>
    <s v="Dontechi"/>
    <x v="2"/>
    <d v="2017-03-23T00:00:00"/>
    <x v="75"/>
    <n v="0"/>
  </r>
  <r>
    <x v="1734"/>
    <x v="5"/>
    <x v="3"/>
    <x v="1"/>
    <s v="GTX Basic"/>
    <s v="Nam-zim"/>
    <x v="0"/>
    <d v="2017-03-23T00:00:00"/>
    <x v="48"/>
    <n v="572"/>
  </r>
  <r>
    <x v="1735"/>
    <x v="5"/>
    <x v="3"/>
    <x v="1"/>
    <s v="MG Special"/>
    <s v="Golddex"/>
    <x v="0"/>
    <d v="2017-03-23T00:00:00"/>
    <x v="85"/>
    <n v="54"/>
  </r>
  <r>
    <x v="1736"/>
    <x v="0"/>
    <x v="0"/>
    <x v="0"/>
    <s v="GTX Basic"/>
    <s v="Dontechi"/>
    <x v="2"/>
    <d v="2017-03-23T00:00:00"/>
    <x v="94"/>
    <n v="0"/>
  </r>
  <r>
    <x v="1737"/>
    <x v="12"/>
    <x v="0"/>
    <x v="0"/>
    <s v="MG Special"/>
    <s v="Stanredtax"/>
    <x v="0"/>
    <d v="2017-03-23T00:00:00"/>
    <x v="33"/>
    <n v="60"/>
  </r>
  <r>
    <x v="1738"/>
    <x v="12"/>
    <x v="0"/>
    <x v="0"/>
    <s v="MG Advanced"/>
    <s v="Zumgoity"/>
    <x v="0"/>
    <d v="2017-03-23T00:00:00"/>
    <x v="94"/>
    <n v="3251"/>
  </r>
  <r>
    <x v="1739"/>
    <x v="4"/>
    <x v="3"/>
    <x v="1"/>
    <s v="GTX Plus Pro"/>
    <s v="Lexiqvolax"/>
    <x v="0"/>
    <d v="2017-03-23T00:00:00"/>
    <x v="64"/>
    <n v="5930"/>
  </r>
  <r>
    <x v="1740"/>
    <x v="15"/>
    <x v="5"/>
    <x v="2"/>
    <s v="GTX Plus Basic"/>
    <s v="Mathtouch"/>
    <x v="0"/>
    <d v="2017-03-23T00:00:00"/>
    <x v="94"/>
    <n v="941"/>
  </r>
  <r>
    <x v="1741"/>
    <x v="3"/>
    <x v="0"/>
    <x v="0"/>
    <s v="GTX Basic"/>
    <s v="Cancity"/>
    <x v="2"/>
    <d v="2017-03-24T00:00:00"/>
    <x v="40"/>
    <n v="0"/>
  </r>
  <r>
    <x v="1742"/>
    <x v="3"/>
    <x v="0"/>
    <x v="0"/>
    <s v="MG Special"/>
    <s v="Scottech"/>
    <x v="0"/>
    <d v="2017-03-24T00:00:00"/>
    <x v="47"/>
    <n v="56"/>
  </r>
  <r>
    <x v="1743"/>
    <x v="3"/>
    <x v="0"/>
    <x v="0"/>
    <s v="MG Advanced"/>
    <s v="Codehow"/>
    <x v="0"/>
    <d v="2017-03-24T00:00:00"/>
    <x v="96"/>
    <n v="3445"/>
  </r>
  <r>
    <x v="1744"/>
    <x v="23"/>
    <x v="4"/>
    <x v="2"/>
    <s v="GTX Plus Pro"/>
    <m/>
    <x v="1"/>
    <d v="2017-03-24T00:00:00"/>
    <x v="6"/>
    <m/>
  </r>
  <r>
    <x v="1745"/>
    <x v="23"/>
    <x v="4"/>
    <x v="2"/>
    <s v="MG Advanced"/>
    <s v="Singletechno"/>
    <x v="1"/>
    <d v="2017-03-24T00:00:00"/>
    <x v="6"/>
    <m/>
  </r>
  <r>
    <x v="1746"/>
    <x v="28"/>
    <x v="0"/>
    <x v="0"/>
    <s v="MG Special"/>
    <s v="Bioholding"/>
    <x v="0"/>
    <d v="2017-03-24T00:00:00"/>
    <x v="20"/>
    <n v="54"/>
  </r>
  <r>
    <x v="1747"/>
    <x v="27"/>
    <x v="5"/>
    <x v="2"/>
    <s v="GTX Basic"/>
    <m/>
    <x v="1"/>
    <d v="2017-03-24T00:00:00"/>
    <x v="6"/>
    <m/>
  </r>
  <r>
    <x v="1748"/>
    <x v="27"/>
    <x v="5"/>
    <x v="2"/>
    <s v="MG Advanced"/>
    <s v="Mathtouch"/>
    <x v="0"/>
    <d v="2017-03-24T00:00:00"/>
    <x v="20"/>
    <n v="3498"/>
  </r>
  <r>
    <x v="1749"/>
    <x v="13"/>
    <x v="4"/>
    <x v="2"/>
    <s v="GTX Basic"/>
    <s v="Vehement Capital Partners"/>
    <x v="0"/>
    <d v="2017-03-24T00:00:00"/>
    <x v="97"/>
    <n v="540"/>
  </r>
  <r>
    <x v="1750"/>
    <x v="13"/>
    <x v="4"/>
    <x v="2"/>
    <s v="GTXPro"/>
    <s v="Gekko &amp; Co"/>
    <x v="0"/>
    <d v="2017-03-24T00:00:00"/>
    <x v="97"/>
    <n v="4986"/>
  </r>
  <r>
    <x v="1751"/>
    <x v="1"/>
    <x v="1"/>
    <x v="0"/>
    <s v="GTX Plus Pro"/>
    <s v="Toughzap"/>
    <x v="2"/>
    <d v="2017-03-24T00:00:00"/>
    <x v="93"/>
    <n v="0"/>
  </r>
  <r>
    <x v="1752"/>
    <x v="1"/>
    <x v="1"/>
    <x v="0"/>
    <s v="GTX Plus Pro"/>
    <s v="Domzoom"/>
    <x v="0"/>
    <d v="2017-03-24T00:00:00"/>
    <x v="41"/>
    <n v="5214"/>
  </r>
  <r>
    <x v="1753"/>
    <x v="1"/>
    <x v="1"/>
    <x v="0"/>
    <s v="GTXPro"/>
    <s v="Isdom"/>
    <x v="0"/>
    <d v="2017-03-24T00:00:00"/>
    <x v="18"/>
    <n v="4794"/>
  </r>
  <r>
    <x v="1754"/>
    <x v="10"/>
    <x v="3"/>
    <x v="1"/>
    <s v="MG Advanced"/>
    <m/>
    <x v="1"/>
    <d v="2017-03-24T00:00:00"/>
    <x v="6"/>
    <m/>
  </r>
  <r>
    <x v="1755"/>
    <x v="7"/>
    <x v="2"/>
    <x v="1"/>
    <s v="GTX Plus Basic"/>
    <s v="Kan-code"/>
    <x v="2"/>
    <d v="2017-03-24T00:00:00"/>
    <x v="97"/>
    <n v="0"/>
  </r>
  <r>
    <x v="1756"/>
    <x v="18"/>
    <x v="2"/>
    <x v="1"/>
    <s v="GTX Plus Pro"/>
    <m/>
    <x v="1"/>
    <d v="2017-03-24T00:00:00"/>
    <x v="6"/>
    <m/>
  </r>
  <r>
    <x v="1757"/>
    <x v="18"/>
    <x v="2"/>
    <x v="1"/>
    <s v="GTX Plus Basic"/>
    <s v="Scotfind"/>
    <x v="2"/>
    <d v="2017-03-24T00:00:00"/>
    <x v="93"/>
    <n v="0"/>
  </r>
  <r>
    <x v="1758"/>
    <x v="24"/>
    <x v="0"/>
    <x v="0"/>
    <s v="GTX Basic"/>
    <s v="Cancity"/>
    <x v="0"/>
    <d v="2017-03-24T00:00:00"/>
    <x v="63"/>
    <n v="648"/>
  </r>
  <r>
    <x v="1759"/>
    <x v="24"/>
    <x v="0"/>
    <x v="0"/>
    <s v="MG Advanced"/>
    <s v="Dontechi"/>
    <x v="0"/>
    <d v="2017-03-24T00:00:00"/>
    <x v="89"/>
    <n v="3040"/>
  </r>
  <r>
    <x v="1760"/>
    <x v="22"/>
    <x v="1"/>
    <x v="0"/>
    <s v="GTX Plus Basic"/>
    <s v="Treequote"/>
    <x v="0"/>
    <d v="2017-03-24T00:00:00"/>
    <x v="89"/>
    <n v="1185"/>
  </r>
  <r>
    <x v="1761"/>
    <x v="22"/>
    <x v="1"/>
    <x v="0"/>
    <s v="MG Special"/>
    <s v="Finhigh"/>
    <x v="0"/>
    <d v="2017-03-24T00:00:00"/>
    <x v="13"/>
    <n v="48"/>
  </r>
  <r>
    <x v="1762"/>
    <x v="9"/>
    <x v="2"/>
    <x v="1"/>
    <s v="GTX Plus Basic"/>
    <s v="J-Texon"/>
    <x v="2"/>
    <d v="2017-03-24T00:00:00"/>
    <x v="94"/>
    <n v="0"/>
  </r>
  <r>
    <x v="1763"/>
    <x v="9"/>
    <x v="2"/>
    <x v="1"/>
    <s v="GTX Plus Basic"/>
    <s v="Cheers"/>
    <x v="0"/>
    <d v="2017-03-24T00:00:00"/>
    <x v="89"/>
    <n v="1021"/>
  </r>
  <r>
    <x v="1764"/>
    <x v="9"/>
    <x v="2"/>
    <x v="1"/>
    <s v="GTX Plus Basic"/>
    <s v="Scotfind"/>
    <x v="0"/>
    <d v="2017-03-24T00:00:00"/>
    <x v="60"/>
    <n v="1264"/>
  </r>
  <r>
    <x v="1765"/>
    <x v="0"/>
    <x v="0"/>
    <x v="0"/>
    <s v="MG Special"/>
    <s v="Zumgoity"/>
    <x v="2"/>
    <d v="2017-03-24T00:00:00"/>
    <x v="55"/>
    <n v="0"/>
  </r>
  <r>
    <x v="1766"/>
    <x v="0"/>
    <x v="0"/>
    <x v="0"/>
    <s v="GTX Basic"/>
    <s v="Ron-tech"/>
    <x v="0"/>
    <d v="2017-03-24T00:00:00"/>
    <x v="82"/>
    <n v="503"/>
  </r>
  <r>
    <x v="1767"/>
    <x v="19"/>
    <x v="4"/>
    <x v="2"/>
    <s v="GTXPro"/>
    <s v="Ganjaflex"/>
    <x v="0"/>
    <d v="2017-03-24T00:00:00"/>
    <x v="93"/>
    <n v="4440"/>
  </r>
  <r>
    <x v="1768"/>
    <x v="12"/>
    <x v="0"/>
    <x v="0"/>
    <s v="GTX Plus Basic"/>
    <s v="Inity"/>
    <x v="2"/>
    <d v="2017-03-24T00:00:00"/>
    <x v="93"/>
    <n v="0"/>
  </r>
  <r>
    <x v="1769"/>
    <x v="12"/>
    <x v="0"/>
    <x v="0"/>
    <s v="MG Special"/>
    <s v="Rangreen"/>
    <x v="0"/>
    <d v="2017-03-24T00:00:00"/>
    <x v="97"/>
    <n v="52"/>
  </r>
  <r>
    <x v="1770"/>
    <x v="4"/>
    <x v="3"/>
    <x v="1"/>
    <s v="MG Special"/>
    <m/>
    <x v="1"/>
    <d v="2017-03-24T00:00:00"/>
    <x v="6"/>
    <m/>
  </r>
  <r>
    <x v="1771"/>
    <x v="4"/>
    <x v="3"/>
    <x v="1"/>
    <s v="GTX Basic"/>
    <s v="Konex"/>
    <x v="2"/>
    <d v="2017-03-24T00:00:00"/>
    <x v="93"/>
    <n v="0"/>
  </r>
  <r>
    <x v="1772"/>
    <x v="15"/>
    <x v="5"/>
    <x v="2"/>
    <s v="GTX Basic"/>
    <s v="Initech"/>
    <x v="2"/>
    <d v="2017-03-24T00:00:00"/>
    <x v="33"/>
    <n v="0"/>
  </r>
  <r>
    <x v="1773"/>
    <x v="15"/>
    <x v="5"/>
    <x v="2"/>
    <s v="MG Special"/>
    <s v="Gekko &amp; Co"/>
    <x v="2"/>
    <d v="2017-03-24T00:00:00"/>
    <x v="98"/>
    <n v="0"/>
  </r>
  <r>
    <x v="1774"/>
    <x v="15"/>
    <x v="5"/>
    <x v="2"/>
    <s v="GTX Basic"/>
    <s v="Gekko &amp; Co"/>
    <x v="0"/>
    <d v="2017-03-24T00:00:00"/>
    <x v="13"/>
    <n v="499"/>
  </r>
  <r>
    <x v="1775"/>
    <x v="2"/>
    <x v="2"/>
    <x v="1"/>
    <s v="GTX Plus Pro"/>
    <m/>
    <x v="1"/>
    <d v="2017-03-24T00:00:00"/>
    <x v="6"/>
    <m/>
  </r>
  <r>
    <x v="1776"/>
    <x v="2"/>
    <x v="2"/>
    <x v="1"/>
    <s v="GTXPro"/>
    <s v="Cheers"/>
    <x v="2"/>
    <d v="2017-03-24T00:00:00"/>
    <x v="93"/>
    <n v="0"/>
  </r>
  <r>
    <x v="1777"/>
    <x v="2"/>
    <x v="2"/>
    <x v="1"/>
    <s v="GTX Plus Basic"/>
    <s v="Condax"/>
    <x v="0"/>
    <d v="2017-03-24T00:00:00"/>
    <x v="31"/>
    <n v="1159"/>
  </r>
  <r>
    <x v="1778"/>
    <x v="3"/>
    <x v="0"/>
    <x v="0"/>
    <s v="MG Special"/>
    <s v="Domzoom"/>
    <x v="2"/>
    <d v="2017-03-25T00:00:00"/>
    <x v="93"/>
    <n v="0"/>
  </r>
  <r>
    <x v="1779"/>
    <x v="25"/>
    <x v="4"/>
    <x v="2"/>
    <s v="GTX Plus Pro"/>
    <s v="Betasoloin"/>
    <x v="0"/>
    <d v="2017-03-25T00:00:00"/>
    <x v="45"/>
    <n v="5479"/>
  </r>
  <r>
    <x v="1780"/>
    <x v="23"/>
    <x v="4"/>
    <x v="2"/>
    <s v="MG Advanced"/>
    <m/>
    <x v="1"/>
    <d v="2017-03-25T00:00:00"/>
    <x v="6"/>
    <m/>
  </r>
  <r>
    <x v="1781"/>
    <x v="13"/>
    <x v="4"/>
    <x v="2"/>
    <s v="GTXPro"/>
    <m/>
    <x v="1"/>
    <d v="2017-03-25T00:00:00"/>
    <x v="6"/>
    <m/>
  </r>
  <r>
    <x v="1782"/>
    <x v="13"/>
    <x v="4"/>
    <x v="2"/>
    <s v="GTXPro"/>
    <s v="Zotware"/>
    <x v="0"/>
    <d v="2017-03-25T00:00:00"/>
    <x v="65"/>
    <n v="4555"/>
  </r>
  <r>
    <x v="1783"/>
    <x v="1"/>
    <x v="1"/>
    <x v="0"/>
    <s v="MG Special"/>
    <s v="Hottechi"/>
    <x v="2"/>
    <d v="2017-03-25T00:00:00"/>
    <x v="97"/>
    <n v="0"/>
  </r>
  <r>
    <x v="1784"/>
    <x v="14"/>
    <x v="3"/>
    <x v="1"/>
    <s v="MG Special"/>
    <s v="Fasehatice"/>
    <x v="2"/>
    <d v="2017-03-25T00:00:00"/>
    <x v="49"/>
    <n v="0"/>
  </r>
  <r>
    <x v="1785"/>
    <x v="21"/>
    <x v="5"/>
    <x v="2"/>
    <s v="GTX Plus Basic"/>
    <s v="Initech"/>
    <x v="0"/>
    <d v="2017-03-25T00:00:00"/>
    <x v="26"/>
    <n v="1026"/>
  </r>
  <r>
    <x v="1786"/>
    <x v="8"/>
    <x v="1"/>
    <x v="0"/>
    <s v="GTX Basic"/>
    <s v="Stanredtax"/>
    <x v="0"/>
    <d v="2017-03-25T00:00:00"/>
    <x v="93"/>
    <n v="503"/>
  </r>
  <r>
    <x v="1787"/>
    <x v="8"/>
    <x v="1"/>
    <x v="0"/>
    <s v="GTX Plus Basic"/>
    <s v="Streethex"/>
    <x v="0"/>
    <d v="2017-03-25T00:00:00"/>
    <x v="64"/>
    <n v="1144"/>
  </r>
  <r>
    <x v="1788"/>
    <x v="8"/>
    <x v="1"/>
    <x v="0"/>
    <s v="MG Special"/>
    <s v="Genco Pura Olive Oil Company"/>
    <x v="0"/>
    <d v="2017-03-25T00:00:00"/>
    <x v="83"/>
    <n v="55"/>
  </r>
  <r>
    <x v="1789"/>
    <x v="16"/>
    <x v="2"/>
    <x v="1"/>
    <s v="GTX Basic"/>
    <m/>
    <x v="1"/>
    <d v="2017-03-25T00:00:00"/>
    <x v="6"/>
    <m/>
  </r>
  <r>
    <x v="1790"/>
    <x v="18"/>
    <x v="2"/>
    <x v="1"/>
    <s v="GTX Plus Basic"/>
    <m/>
    <x v="1"/>
    <d v="2017-03-25T00:00:00"/>
    <x v="6"/>
    <m/>
  </r>
  <r>
    <x v="1791"/>
    <x v="5"/>
    <x v="3"/>
    <x v="1"/>
    <s v="MG Advanced"/>
    <s v="Kan-code"/>
    <x v="0"/>
    <d v="2017-03-25T00:00:00"/>
    <x v="98"/>
    <n v="3181"/>
  </r>
  <r>
    <x v="1792"/>
    <x v="22"/>
    <x v="1"/>
    <x v="0"/>
    <s v="MG Special"/>
    <s v="Scottech"/>
    <x v="0"/>
    <d v="2017-03-25T00:00:00"/>
    <x v="84"/>
    <n v="54"/>
  </r>
  <r>
    <x v="1793"/>
    <x v="9"/>
    <x v="2"/>
    <x v="1"/>
    <s v="MG Advanced"/>
    <m/>
    <x v="1"/>
    <d v="2017-03-25T00:00:00"/>
    <x v="6"/>
    <m/>
  </r>
  <r>
    <x v="1794"/>
    <x v="9"/>
    <x v="2"/>
    <x v="1"/>
    <s v="GTXPro"/>
    <s v="Singletechno"/>
    <x v="0"/>
    <d v="2017-03-25T00:00:00"/>
    <x v="89"/>
    <n v="3959"/>
  </r>
  <r>
    <x v="1795"/>
    <x v="6"/>
    <x v="1"/>
    <x v="0"/>
    <s v="GTX Basic"/>
    <s v="Streethex"/>
    <x v="0"/>
    <d v="2017-03-25T00:00:00"/>
    <x v="66"/>
    <n v="571"/>
  </r>
  <r>
    <x v="1796"/>
    <x v="19"/>
    <x v="4"/>
    <x v="2"/>
    <s v="GTXPro"/>
    <s v="Donquadtech"/>
    <x v="2"/>
    <d v="2017-03-25T00:00:00"/>
    <x v="95"/>
    <n v="0"/>
  </r>
  <r>
    <x v="1797"/>
    <x v="4"/>
    <x v="3"/>
    <x v="1"/>
    <s v="GTX Basic"/>
    <s v="Kan-code"/>
    <x v="2"/>
    <d v="2017-03-25T00:00:00"/>
    <x v="96"/>
    <n v="0"/>
  </r>
  <r>
    <x v="1798"/>
    <x v="4"/>
    <x v="3"/>
    <x v="1"/>
    <s v="GTX Basic"/>
    <s v="Blackzim"/>
    <x v="0"/>
    <d v="2017-03-25T00:00:00"/>
    <x v="93"/>
    <n v="545"/>
  </r>
  <r>
    <x v="1799"/>
    <x v="4"/>
    <x v="3"/>
    <x v="1"/>
    <s v="GTX Basic"/>
    <s v="Labdrill"/>
    <x v="0"/>
    <d v="2017-03-25T00:00:00"/>
    <x v="92"/>
    <n v="554"/>
  </r>
  <r>
    <x v="1800"/>
    <x v="15"/>
    <x v="5"/>
    <x v="2"/>
    <s v="MG Advanced"/>
    <s v="Iselectrics"/>
    <x v="1"/>
    <d v="2017-03-25T00:00:00"/>
    <x v="6"/>
    <m/>
  </r>
  <r>
    <x v="1801"/>
    <x v="15"/>
    <x v="5"/>
    <x v="2"/>
    <s v="MG Special"/>
    <s v="Yearin"/>
    <x v="0"/>
    <d v="2017-03-25T00:00:00"/>
    <x v="97"/>
    <n v="68"/>
  </r>
  <r>
    <x v="1802"/>
    <x v="15"/>
    <x v="5"/>
    <x v="2"/>
    <s v="MG Special"/>
    <s v="Zencorporation"/>
    <x v="0"/>
    <d v="2017-03-25T00:00:00"/>
    <x v="83"/>
    <n v="52"/>
  </r>
  <r>
    <x v="1803"/>
    <x v="20"/>
    <x v="5"/>
    <x v="2"/>
    <s v="GTX Basic"/>
    <s v="Finhigh"/>
    <x v="1"/>
    <d v="2017-03-25T00:00:00"/>
    <x v="6"/>
    <m/>
  </r>
  <r>
    <x v="1804"/>
    <x v="3"/>
    <x v="0"/>
    <x v="0"/>
    <s v="MG Special"/>
    <s v="Globex Corporation"/>
    <x v="2"/>
    <d v="2017-03-26T00:00:00"/>
    <x v="96"/>
    <n v="0"/>
  </r>
  <r>
    <x v="1805"/>
    <x v="3"/>
    <x v="0"/>
    <x v="0"/>
    <s v="MG Special"/>
    <s v="Dontechi"/>
    <x v="0"/>
    <d v="2017-03-26T00:00:00"/>
    <x v="96"/>
    <n v="54"/>
  </r>
  <r>
    <x v="1806"/>
    <x v="23"/>
    <x v="4"/>
    <x v="2"/>
    <s v="MG Advanced"/>
    <s v="Donware"/>
    <x v="0"/>
    <d v="2017-03-26T00:00:00"/>
    <x v="49"/>
    <n v="3822"/>
  </r>
  <r>
    <x v="1807"/>
    <x v="13"/>
    <x v="4"/>
    <x v="2"/>
    <s v="GTX Plus Basic"/>
    <s v="The New York Inquirer"/>
    <x v="0"/>
    <d v="2017-03-26T00:00:00"/>
    <x v="95"/>
    <n v="971"/>
  </r>
  <r>
    <x v="1808"/>
    <x v="13"/>
    <x v="4"/>
    <x v="2"/>
    <s v="GTX Plus Pro"/>
    <s v="Donware"/>
    <x v="0"/>
    <d v="2017-03-26T00:00:00"/>
    <x v="95"/>
    <n v="6024"/>
  </r>
  <r>
    <x v="1809"/>
    <x v="1"/>
    <x v="1"/>
    <x v="0"/>
    <s v="GTXPro"/>
    <s v="Stanredtax"/>
    <x v="0"/>
    <d v="2017-03-26T00:00:00"/>
    <x v="96"/>
    <n v="4820"/>
  </r>
  <r>
    <x v="1810"/>
    <x v="26"/>
    <x v="4"/>
    <x v="2"/>
    <s v="GTX Plus Pro"/>
    <s v="Kinnamplus"/>
    <x v="2"/>
    <d v="2017-03-26T00:00:00"/>
    <x v="53"/>
    <n v="0"/>
  </r>
  <r>
    <x v="1811"/>
    <x v="21"/>
    <x v="5"/>
    <x v="2"/>
    <s v="GTXPro"/>
    <s v="Plussunin"/>
    <x v="2"/>
    <d v="2017-03-26T00:00:00"/>
    <x v="79"/>
    <n v="0"/>
  </r>
  <r>
    <x v="1812"/>
    <x v="21"/>
    <x v="5"/>
    <x v="2"/>
    <s v="MG Advanced"/>
    <s v="Ganjaflex"/>
    <x v="0"/>
    <d v="2017-03-26T00:00:00"/>
    <x v="97"/>
    <n v="2940"/>
  </r>
  <r>
    <x v="1813"/>
    <x v="10"/>
    <x v="3"/>
    <x v="1"/>
    <s v="MG Advanced"/>
    <m/>
    <x v="1"/>
    <d v="2017-03-26T00:00:00"/>
    <x v="6"/>
    <m/>
  </r>
  <r>
    <x v="1814"/>
    <x v="10"/>
    <x v="3"/>
    <x v="1"/>
    <s v="MG Special"/>
    <s v="Doncon"/>
    <x v="0"/>
    <d v="2017-03-26T00:00:00"/>
    <x v="96"/>
    <n v="49"/>
  </r>
  <r>
    <x v="1815"/>
    <x v="7"/>
    <x v="2"/>
    <x v="1"/>
    <s v="GTXPro"/>
    <m/>
    <x v="1"/>
    <d v="2017-03-26T00:00:00"/>
    <x v="6"/>
    <m/>
  </r>
  <r>
    <x v="1816"/>
    <x v="7"/>
    <x v="2"/>
    <x v="1"/>
    <s v="MG Special"/>
    <m/>
    <x v="1"/>
    <d v="2017-03-26T00:00:00"/>
    <x v="6"/>
    <m/>
  </r>
  <r>
    <x v="1817"/>
    <x v="29"/>
    <x v="1"/>
    <x v="0"/>
    <s v="GTX Basic"/>
    <s v="Conecom"/>
    <x v="2"/>
    <d v="2017-03-26T00:00:00"/>
    <x v="97"/>
    <n v="0"/>
  </r>
  <r>
    <x v="1818"/>
    <x v="16"/>
    <x v="2"/>
    <x v="1"/>
    <s v="GTX Plus Basic"/>
    <s v="Finjob"/>
    <x v="2"/>
    <d v="2017-03-26T00:00:00"/>
    <x v="66"/>
    <n v="0"/>
  </r>
  <r>
    <x v="1819"/>
    <x v="16"/>
    <x v="2"/>
    <x v="1"/>
    <s v="GTX Basic"/>
    <s v="J-Texon"/>
    <x v="0"/>
    <d v="2017-03-26T00:00:00"/>
    <x v="57"/>
    <n v="545"/>
  </r>
  <r>
    <x v="1820"/>
    <x v="18"/>
    <x v="2"/>
    <x v="1"/>
    <s v="GTX Plus Pro"/>
    <s v="Statholdings"/>
    <x v="1"/>
    <d v="2017-03-26T00:00:00"/>
    <x v="6"/>
    <m/>
  </r>
  <r>
    <x v="1821"/>
    <x v="5"/>
    <x v="3"/>
    <x v="1"/>
    <s v="MG Special"/>
    <s v="Y-corporation"/>
    <x v="0"/>
    <d v="2017-03-26T00:00:00"/>
    <x v="70"/>
    <n v="58"/>
  </r>
  <r>
    <x v="1822"/>
    <x v="22"/>
    <x v="1"/>
    <x v="0"/>
    <s v="MG Advanced"/>
    <s v="Streethex"/>
    <x v="2"/>
    <d v="2017-03-26T00:00:00"/>
    <x v="93"/>
    <n v="0"/>
  </r>
  <r>
    <x v="1823"/>
    <x v="6"/>
    <x v="1"/>
    <x v="0"/>
    <s v="GTXPro"/>
    <s v="Dontechi"/>
    <x v="0"/>
    <d v="2017-03-26T00:00:00"/>
    <x v="51"/>
    <n v="4280"/>
  </r>
  <r>
    <x v="1824"/>
    <x v="19"/>
    <x v="4"/>
    <x v="2"/>
    <s v="MG Advanced"/>
    <s v="Umbrella Corporation"/>
    <x v="0"/>
    <d v="2017-03-26T00:00:00"/>
    <x v="56"/>
    <n v="2880"/>
  </r>
  <r>
    <x v="1825"/>
    <x v="11"/>
    <x v="3"/>
    <x v="1"/>
    <s v="GTK 500"/>
    <s v="Y-corporation"/>
    <x v="0"/>
    <d v="2017-03-26T00:00:00"/>
    <x v="95"/>
    <n v="25288"/>
  </r>
  <r>
    <x v="1826"/>
    <x v="12"/>
    <x v="0"/>
    <x v="0"/>
    <s v="MG Special"/>
    <s v="Hottechi"/>
    <x v="2"/>
    <d v="2017-03-26T00:00:00"/>
    <x v="49"/>
    <n v="0"/>
  </r>
  <r>
    <x v="1827"/>
    <x v="4"/>
    <x v="3"/>
    <x v="1"/>
    <s v="MG Special"/>
    <s v="Hatfan"/>
    <x v="2"/>
    <d v="2017-03-26T00:00:00"/>
    <x v="36"/>
    <n v="0"/>
  </r>
  <r>
    <x v="1828"/>
    <x v="2"/>
    <x v="2"/>
    <x v="1"/>
    <s v="GTX Basic"/>
    <s v="Goodsilron"/>
    <x v="2"/>
    <d v="2017-03-26T00:00:00"/>
    <x v="96"/>
    <n v="0"/>
  </r>
  <r>
    <x v="1829"/>
    <x v="2"/>
    <x v="2"/>
    <x v="1"/>
    <s v="GTX Basic"/>
    <s v="Hottechi"/>
    <x v="2"/>
    <d v="2017-03-26T00:00:00"/>
    <x v="39"/>
    <n v="0"/>
  </r>
  <r>
    <x v="1830"/>
    <x v="28"/>
    <x v="0"/>
    <x v="0"/>
    <s v="MG Advanced"/>
    <s v="Zumgoity"/>
    <x v="0"/>
    <d v="2017-03-27T00:00:00"/>
    <x v="56"/>
    <n v="3267"/>
  </r>
  <r>
    <x v="1831"/>
    <x v="13"/>
    <x v="4"/>
    <x v="2"/>
    <s v="GTX Plus Pro"/>
    <s v="Betasoloin"/>
    <x v="0"/>
    <d v="2017-03-27T00:00:00"/>
    <x v="73"/>
    <n v="5182"/>
  </r>
  <r>
    <x v="1832"/>
    <x v="1"/>
    <x v="1"/>
    <x v="0"/>
    <s v="GTXPro"/>
    <s v="Cancity"/>
    <x v="2"/>
    <d v="2017-03-27T00:00:00"/>
    <x v="95"/>
    <n v="0"/>
  </r>
  <r>
    <x v="1833"/>
    <x v="1"/>
    <x v="1"/>
    <x v="0"/>
    <s v="MG Special"/>
    <s v="Statholdings"/>
    <x v="2"/>
    <d v="2017-03-27T00:00:00"/>
    <x v="99"/>
    <n v="0"/>
  </r>
  <r>
    <x v="1834"/>
    <x v="21"/>
    <x v="5"/>
    <x v="2"/>
    <s v="GTXPro"/>
    <s v="Zencorporation"/>
    <x v="2"/>
    <d v="2017-03-27T00:00:00"/>
    <x v="66"/>
    <n v="0"/>
  </r>
  <r>
    <x v="1835"/>
    <x v="7"/>
    <x v="2"/>
    <x v="1"/>
    <s v="GTX Basic"/>
    <s v="Y-corporation"/>
    <x v="0"/>
    <d v="2017-03-27T00:00:00"/>
    <x v="49"/>
    <n v="540"/>
  </r>
  <r>
    <x v="1836"/>
    <x v="7"/>
    <x v="2"/>
    <x v="1"/>
    <s v="MG Advanced"/>
    <s v="Finjob"/>
    <x v="0"/>
    <d v="2017-03-27T00:00:00"/>
    <x v="46"/>
    <n v="3492"/>
  </r>
  <r>
    <x v="1837"/>
    <x v="29"/>
    <x v="1"/>
    <x v="0"/>
    <s v="GTX Plus Pro"/>
    <s v="dambase"/>
    <x v="0"/>
    <d v="2017-03-27T00:00:00"/>
    <x v="86"/>
    <n v="5991"/>
  </r>
  <r>
    <x v="1838"/>
    <x v="5"/>
    <x v="3"/>
    <x v="1"/>
    <s v="GTX Basic"/>
    <s v="Lexiqvolax"/>
    <x v="2"/>
    <d v="2017-03-27T00:00:00"/>
    <x v="97"/>
    <n v="0"/>
  </r>
  <r>
    <x v="1839"/>
    <x v="5"/>
    <x v="3"/>
    <x v="1"/>
    <s v="MG Advanced"/>
    <s v="Konex"/>
    <x v="2"/>
    <d v="2017-03-27T00:00:00"/>
    <x v="98"/>
    <n v="0"/>
  </r>
  <r>
    <x v="1840"/>
    <x v="5"/>
    <x v="3"/>
    <x v="1"/>
    <s v="GTXPro"/>
    <s v="Sunnamplex"/>
    <x v="0"/>
    <d v="2017-03-27T00:00:00"/>
    <x v="86"/>
    <n v="4968"/>
  </r>
  <r>
    <x v="1841"/>
    <x v="9"/>
    <x v="2"/>
    <x v="1"/>
    <s v="GTXPro"/>
    <s v="Konex"/>
    <x v="0"/>
    <d v="2017-03-27T00:00:00"/>
    <x v="60"/>
    <n v="5006"/>
  </r>
  <r>
    <x v="1842"/>
    <x v="0"/>
    <x v="0"/>
    <x v="0"/>
    <s v="MG Special"/>
    <s v="Conecom"/>
    <x v="2"/>
    <d v="2017-03-27T00:00:00"/>
    <x v="46"/>
    <n v="0"/>
  </r>
  <r>
    <x v="1843"/>
    <x v="19"/>
    <x v="4"/>
    <x v="2"/>
    <s v="GTX Plus Pro"/>
    <s v="Zotware"/>
    <x v="2"/>
    <d v="2017-03-27T00:00:00"/>
    <x v="41"/>
    <n v="0"/>
  </r>
  <r>
    <x v="1844"/>
    <x v="19"/>
    <x v="4"/>
    <x v="2"/>
    <s v="GTXPro"/>
    <s v="Mathtouch"/>
    <x v="0"/>
    <d v="2017-03-27T00:00:00"/>
    <x v="95"/>
    <n v="5363"/>
  </r>
  <r>
    <x v="1845"/>
    <x v="12"/>
    <x v="0"/>
    <x v="0"/>
    <s v="MG Special"/>
    <s v="dambase"/>
    <x v="0"/>
    <d v="2017-03-27T00:00:00"/>
    <x v="88"/>
    <n v="49"/>
  </r>
  <r>
    <x v="1846"/>
    <x v="4"/>
    <x v="3"/>
    <x v="1"/>
    <s v="GTX Plus Basic"/>
    <s v="Donware"/>
    <x v="1"/>
    <d v="2017-03-27T00:00:00"/>
    <x v="6"/>
    <m/>
  </r>
  <r>
    <x v="1847"/>
    <x v="2"/>
    <x v="2"/>
    <x v="1"/>
    <s v="GTX Plus Basic"/>
    <s v="Fasehatice"/>
    <x v="2"/>
    <d v="2017-03-27T00:00:00"/>
    <x v="93"/>
    <n v="0"/>
  </r>
  <r>
    <x v="1848"/>
    <x v="2"/>
    <x v="2"/>
    <x v="1"/>
    <s v="MG Advanced"/>
    <s v="Doncon"/>
    <x v="0"/>
    <d v="2017-03-27T00:00:00"/>
    <x v="93"/>
    <n v="4253"/>
  </r>
  <r>
    <x v="1849"/>
    <x v="3"/>
    <x v="0"/>
    <x v="0"/>
    <s v="MG Special"/>
    <s v="Codehow"/>
    <x v="2"/>
    <d v="2017-03-28T00:00:00"/>
    <x v="100"/>
    <n v="0"/>
  </r>
  <r>
    <x v="1850"/>
    <x v="3"/>
    <x v="0"/>
    <x v="0"/>
    <s v="MG Special"/>
    <s v="Codehow"/>
    <x v="2"/>
    <d v="2017-03-28T00:00:00"/>
    <x v="85"/>
    <n v="0"/>
  </r>
  <r>
    <x v="1851"/>
    <x v="23"/>
    <x v="4"/>
    <x v="2"/>
    <s v="GTX Basic"/>
    <s v="Plussunin"/>
    <x v="0"/>
    <d v="2017-03-28T00:00:00"/>
    <x v="77"/>
    <n v="422"/>
  </r>
  <r>
    <x v="1852"/>
    <x v="28"/>
    <x v="0"/>
    <x v="0"/>
    <s v="GTX Basic"/>
    <s v="Hottechi"/>
    <x v="2"/>
    <d v="2017-03-28T00:00:00"/>
    <x v="98"/>
    <n v="0"/>
  </r>
  <r>
    <x v="1853"/>
    <x v="28"/>
    <x v="0"/>
    <x v="0"/>
    <s v="GTX Plus Basic"/>
    <s v="Codehow"/>
    <x v="0"/>
    <d v="2017-03-28T00:00:00"/>
    <x v="100"/>
    <n v="1056"/>
  </r>
  <r>
    <x v="1854"/>
    <x v="27"/>
    <x v="5"/>
    <x v="2"/>
    <s v="GTXPro"/>
    <s v="Bioplex"/>
    <x v="2"/>
    <d v="2017-03-28T00:00:00"/>
    <x v="99"/>
    <n v="0"/>
  </r>
  <r>
    <x v="1855"/>
    <x v="27"/>
    <x v="5"/>
    <x v="2"/>
    <s v="GTXPro"/>
    <s v="Ganjaflex"/>
    <x v="2"/>
    <d v="2017-03-28T00:00:00"/>
    <x v="53"/>
    <n v="0"/>
  </r>
  <r>
    <x v="1856"/>
    <x v="1"/>
    <x v="1"/>
    <x v="0"/>
    <s v="GTXPro"/>
    <s v="Dontechi"/>
    <x v="2"/>
    <d v="2017-03-28T00:00:00"/>
    <x v="98"/>
    <n v="0"/>
  </r>
  <r>
    <x v="1857"/>
    <x v="1"/>
    <x v="1"/>
    <x v="0"/>
    <s v="MG Advanced"/>
    <s v="Inity"/>
    <x v="2"/>
    <d v="2017-03-28T00:00:00"/>
    <x v="93"/>
    <n v="0"/>
  </r>
  <r>
    <x v="1858"/>
    <x v="1"/>
    <x v="1"/>
    <x v="0"/>
    <s v="MG Advanced"/>
    <s v="Warephase"/>
    <x v="0"/>
    <d v="2017-03-28T00:00:00"/>
    <x v="101"/>
    <n v="3665"/>
  </r>
  <r>
    <x v="1859"/>
    <x v="26"/>
    <x v="4"/>
    <x v="2"/>
    <s v="GTXPro"/>
    <s v="Donquadtech"/>
    <x v="0"/>
    <d v="2017-03-28T00:00:00"/>
    <x v="71"/>
    <n v="4329"/>
  </r>
  <r>
    <x v="1860"/>
    <x v="8"/>
    <x v="1"/>
    <x v="0"/>
    <s v="MG Special"/>
    <s v="Finhigh"/>
    <x v="2"/>
    <d v="2017-03-28T00:00:00"/>
    <x v="93"/>
    <n v="0"/>
  </r>
  <r>
    <x v="1861"/>
    <x v="10"/>
    <x v="3"/>
    <x v="1"/>
    <s v="MG Special"/>
    <s v="Goodsilron"/>
    <x v="0"/>
    <d v="2017-03-28T00:00:00"/>
    <x v="100"/>
    <n v="58"/>
  </r>
  <r>
    <x v="1862"/>
    <x v="7"/>
    <x v="2"/>
    <x v="1"/>
    <s v="GTX Plus Pro"/>
    <s v="Y-corporation"/>
    <x v="0"/>
    <d v="2017-03-28T00:00:00"/>
    <x v="86"/>
    <n v="7356"/>
  </r>
  <r>
    <x v="1863"/>
    <x v="7"/>
    <x v="2"/>
    <x v="1"/>
    <s v="GTXPro"/>
    <s v="Fasehatice"/>
    <x v="0"/>
    <d v="2017-03-28T00:00:00"/>
    <x v="79"/>
    <n v="4066"/>
  </r>
  <r>
    <x v="1864"/>
    <x v="24"/>
    <x v="0"/>
    <x v="0"/>
    <s v="MG Special"/>
    <s v="Condax"/>
    <x v="0"/>
    <d v="2017-03-28T00:00:00"/>
    <x v="47"/>
    <n v="55"/>
  </r>
  <r>
    <x v="1865"/>
    <x v="5"/>
    <x v="3"/>
    <x v="1"/>
    <s v="MG Advanced"/>
    <s v="Zoomit"/>
    <x v="0"/>
    <d v="2017-03-28T00:00:00"/>
    <x v="87"/>
    <n v="3738"/>
  </r>
  <r>
    <x v="1866"/>
    <x v="9"/>
    <x v="2"/>
    <x v="1"/>
    <s v="MG Special"/>
    <s v="Scottech"/>
    <x v="1"/>
    <d v="2017-03-28T00:00:00"/>
    <x v="6"/>
    <m/>
  </r>
  <r>
    <x v="1867"/>
    <x v="9"/>
    <x v="2"/>
    <x v="1"/>
    <s v="GTX Basic"/>
    <s v="Hottechi"/>
    <x v="2"/>
    <d v="2017-03-28T00:00:00"/>
    <x v="96"/>
    <n v="0"/>
  </r>
  <r>
    <x v="1868"/>
    <x v="9"/>
    <x v="2"/>
    <x v="1"/>
    <s v="MG Advanced"/>
    <s v="Labdrill"/>
    <x v="2"/>
    <d v="2017-03-28T00:00:00"/>
    <x v="60"/>
    <n v="0"/>
  </r>
  <r>
    <x v="1869"/>
    <x v="9"/>
    <x v="2"/>
    <x v="1"/>
    <s v="GTX Plus Basic"/>
    <s v="Y-corporation"/>
    <x v="0"/>
    <d v="2017-03-28T00:00:00"/>
    <x v="41"/>
    <n v="888"/>
  </r>
  <r>
    <x v="1870"/>
    <x v="0"/>
    <x v="0"/>
    <x v="0"/>
    <s v="GTX Plus Pro"/>
    <s v="Bioholding"/>
    <x v="0"/>
    <d v="2017-03-28T00:00:00"/>
    <x v="99"/>
    <n v="5447"/>
  </r>
  <r>
    <x v="1871"/>
    <x v="6"/>
    <x v="1"/>
    <x v="0"/>
    <s v="GTX Plus Pro"/>
    <s v="Globex Corporation"/>
    <x v="0"/>
    <d v="2017-03-28T00:00:00"/>
    <x v="95"/>
    <n v="5972"/>
  </r>
  <r>
    <x v="1872"/>
    <x v="11"/>
    <x v="3"/>
    <x v="1"/>
    <s v="GTXPro"/>
    <s v="Cheers"/>
    <x v="0"/>
    <d v="2017-03-28T00:00:00"/>
    <x v="97"/>
    <n v="4855"/>
  </r>
  <r>
    <x v="1873"/>
    <x v="17"/>
    <x v="5"/>
    <x v="2"/>
    <s v="MG Advanced"/>
    <s v="Xx-zobam"/>
    <x v="0"/>
    <d v="2017-03-28T00:00:00"/>
    <x v="56"/>
    <n v="3395"/>
  </r>
  <r>
    <x v="1874"/>
    <x v="4"/>
    <x v="3"/>
    <x v="1"/>
    <s v="MG Special"/>
    <m/>
    <x v="1"/>
    <d v="2017-03-28T00:00:00"/>
    <x v="6"/>
    <m/>
  </r>
  <r>
    <x v="1875"/>
    <x v="4"/>
    <x v="3"/>
    <x v="1"/>
    <s v="MG Special"/>
    <m/>
    <x v="1"/>
    <d v="2017-03-28T00:00:00"/>
    <x v="6"/>
    <m/>
  </r>
  <r>
    <x v="1876"/>
    <x v="4"/>
    <x v="3"/>
    <x v="1"/>
    <s v="MG Special"/>
    <m/>
    <x v="1"/>
    <d v="2017-03-28T00:00:00"/>
    <x v="6"/>
    <m/>
  </r>
  <r>
    <x v="1877"/>
    <x v="15"/>
    <x v="5"/>
    <x v="2"/>
    <s v="MG Special"/>
    <s v="Bioplex"/>
    <x v="2"/>
    <d v="2017-03-28T00:00:00"/>
    <x v="99"/>
    <n v="0"/>
  </r>
  <r>
    <x v="1878"/>
    <x v="2"/>
    <x v="2"/>
    <x v="1"/>
    <s v="GTX Plus Basic"/>
    <s v="Goodsilron"/>
    <x v="0"/>
    <d v="2017-03-28T00:00:00"/>
    <x v="18"/>
    <n v="1084"/>
  </r>
  <r>
    <x v="1879"/>
    <x v="28"/>
    <x v="0"/>
    <x v="0"/>
    <s v="MG Advanced"/>
    <s v="Inity"/>
    <x v="0"/>
    <d v="2017-03-29T00:00:00"/>
    <x v="71"/>
    <n v="3670"/>
  </r>
  <r>
    <x v="1880"/>
    <x v="13"/>
    <x v="4"/>
    <x v="2"/>
    <s v="GTX Plus Basic"/>
    <s v="Initech"/>
    <x v="2"/>
    <d v="2017-03-29T00:00:00"/>
    <x v="97"/>
    <n v="0"/>
  </r>
  <r>
    <x v="1881"/>
    <x v="13"/>
    <x v="4"/>
    <x v="2"/>
    <s v="GTX Plus Pro"/>
    <s v="Gekko &amp; Co"/>
    <x v="0"/>
    <d v="2017-03-29T00:00:00"/>
    <x v="42"/>
    <n v="5304"/>
  </r>
  <r>
    <x v="1882"/>
    <x v="1"/>
    <x v="1"/>
    <x v="0"/>
    <s v="GTX Plus Pro"/>
    <s v="Treequote"/>
    <x v="2"/>
    <d v="2017-03-29T00:00:00"/>
    <x v="98"/>
    <n v="0"/>
  </r>
  <r>
    <x v="1883"/>
    <x v="1"/>
    <x v="1"/>
    <x v="0"/>
    <s v="GTXPro"/>
    <s v="Conecom"/>
    <x v="0"/>
    <d v="2017-03-29T00:00:00"/>
    <x v="83"/>
    <n v="3844"/>
  </r>
  <r>
    <x v="1884"/>
    <x v="26"/>
    <x v="4"/>
    <x v="2"/>
    <s v="GTX Basic"/>
    <s v="Acme Corporation"/>
    <x v="0"/>
    <d v="2017-03-29T00:00:00"/>
    <x v="54"/>
    <n v="549"/>
  </r>
  <r>
    <x v="1885"/>
    <x v="8"/>
    <x v="1"/>
    <x v="0"/>
    <s v="GTXPro"/>
    <s v="Condax"/>
    <x v="2"/>
    <d v="2017-03-29T00:00:00"/>
    <x v="45"/>
    <n v="0"/>
  </r>
  <r>
    <x v="1886"/>
    <x v="8"/>
    <x v="1"/>
    <x v="0"/>
    <s v="MG Advanced"/>
    <s v="Stanredtax"/>
    <x v="2"/>
    <d v="2017-03-29T00:00:00"/>
    <x v="95"/>
    <n v="0"/>
  </r>
  <r>
    <x v="1887"/>
    <x v="29"/>
    <x v="1"/>
    <x v="0"/>
    <s v="GTX Basic"/>
    <s v="Hottechi"/>
    <x v="0"/>
    <d v="2017-03-29T00:00:00"/>
    <x v="95"/>
    <n v="553"/>
  </r>
  <r>
    <x v="1888"/>
    <x v="16"/>
    <x v="2"/>
    <x v="1"/>
    <s v="GTX Basic"/>
    <m/>
    <x v="1"/>
    <d v="2017-03-29T00:00:00"/>
    <x v="6"/>
    <m/>
  </r>
  <r>
    <x v="1889"/>
    <x v="16"/>
    <x v="2"/>
    <x v="1"/>
    <s v="GTX Plus Basic"/>
    <s v="Plexzap"/>
    <x v="2"/>
    <d v="2017-03-29T00:00:00"/>
    <x v="33"/>
    <n v="0"/>
  </r>
  <r>
    <x v="1890"/>
    <x v="16"/>
    <x v="2"/>
    <x v="1"/>
    <s v="MG Advanced"/>
    <s v="Faxquote"/>
    <x v="0"/>
    <d v="2017-03-29T00:00:00"/>
    <x v="99"/>
    <n v="3523"/>
  </r>
  <r>
    <x v="1891"/>
    <x v="18"/>
    <x v="2"/>
    <x v="1"/>
    <s v="GTXPro"/>
    <s v="Funholding"/>
    <x v="1"/>
    <d v="2017-03-29T00:00:00"/>
    <x v="6"/>
    <m/>
  </r>
  <r>
    <x v="1892"/>
    <x v="18"/>
    <x v="2"/>
    <x v="1"/>
    <s v="GTX Basic"/>
    <s v="Konex"/>
    <x v="2"/>
    <d v="2017-03-29T00:00:00"/>
    <x v="45"/>
    <n v="0"/>
  </r>
  <r>
    <x v="1893"/>
    <x v="18"/>
    <x v="2"/>
    <x v="1"/>
    <s v="GTX Basic"/>
    <s v="Hottechi"/>
    <x v="0"/>
    <d v="2017-03-29T00:00:00"/>
    <x v="88"/>
    <n v="424"/>
  </r>
  <r>
    <x v="1894"/>
    <x v="22"/>
    <x v="1"/>
    <x v="0"/>
    <s v="GTX Basic"/>
    <s v="Konmatfix"/>
    <x v="0"/>
    <d v="2017-03-29T00:00:00"/>
    <x v="42"/>
    <n v="490"/>
  </r>
  <r>
    <x v="1895"/>
    <x v="9"/>
    <x v="2"/>
    <x v="1"/>
    <s v="GTXPro"/>
    <s v="Konex"/>
    <x v="2"/>
    <d v="2017-03-29T00:00:00"/>
    <x v="96"/>
    <n v="0"/>
  </r>
  <r>
    <x v="1896"/>
    <x v="9"/>
    <x v="2"/>
    <x v="1"/>
    <s v="MG Special"/>
    <s v="Green-Plus"/>
    <x v="0"/>
    <d v="2017-03-29T00:00:00"/>
    <x v="99"/>
    <n v="48"/>
  </r>
  <r>
    <x v="1897"/>
    <x v="0"/>
    <x v="0"/>
    <x v="0"/>
    <s v="MG Advanced"/>
    <s v="Hottechi"/>
    <x v="0"/>
    <d v="2017-03-29T00:00:00"/>
    <x v="60"/>
    <n v="3982"/>
  </r>
  <r>
    <x v="1898"/>
    <x v="11"/>
    <x v="3"/>
    <x v="1"/>
    <s v="MG Advanced"/>
    <s v="Finjob"/>
    <x v="2"/>
    <d v="2017-03-29T00:00:00"/>
    <x v="80"/>
    <n v="0"/>
  </r>
  <r>
    <x v="1899"/>
    <x v="4"/>
    <x v="3"/>
    <x v="1"/>
    <s v="GTX Plus Pro"/>
    <s v="Sonron"/>
    <x v="2"/>
    <d v="2017-03-29T00:00:00"/>
    <x v="98"/>
    <n v="0"/>
  </r>
  <r>
    <x v="1900"/>
    <x v="4"/>
    <x v="3"/>
    <x v="1"/>
    <s v="GTX Plus Basic"/>
    <s v="Goodsilron"/>
    <x v="0"/>
    <d v="2017-03-29T00:00:00"/>
    <x v="101"/>
    <n v="1176"/>
  </r>
  <r>
    <x v="1901"/>
    <x v="20"/>
    <x v="5"/>
    <x v="2"/>
    <s v="GTX Basic"/>
    <s v="Betasoloin"/>
    <x v="2"/>
    <d v="2017-03-29T00:00:00"/>
    <x v="102"/>
    <n v="0"/>
  </r>
  <r>
    <x v="1902"/>
    <x v="20"/>
    <x v="5"/>
    <x v="2"/>
    <s v="GTX Basic"/>
    <s v="Kinnamplus"/>
    <x v="0"/>
    <d v="2017-03-29T00:00:00"/>
    <x v="96"/>
    <n v="589"/>
  </r>
  <r>
    <x v="1903"/>
    <x v="2"/>
    <x v="2"/>
    <x v="1"/>
    <s v="GTX Plus Pro"/>
    <s v="Singletechno"/>
    <x v="2"/>
    <d v="2017-03-29T00:00:00"/>
    <x v="67"/>
    <n v="0"/>
  </r>
  <r>
    <x v="1904"/>
    <x v="25"/>
    <x v="4"/>
    <x v="2"/>
    <s v="GTX Basic"/>
    <s v="Vehement Capital Partners"/>
    <x v="2"/>
    <d v="2017-03-30T00:00:00"/>
    <x v="94"/>
    <n v="0"/>
  </r>
  <r>
    <x v="1905"/>
    <x v="25"/>
    <x v="4"/>
    <x v="2"/>
    <s v="GTX Plus Pro"/>
    <s v="Xx-zobam"/>
    <x v="2"/>
    <d v="2017-03-30T00:00:00"/>
    <x v="99"/>
    <n v="0"/>
  </r>
  <r>
    <x v="1906"/>
    <x v="23"/>
    <x v="4"/>
    <x v="2"/>
    <s v="GTXPro"/>
    <s v="The New York Inquirer"/>
    <x v="0"/>
    <d v="2017-03-30T00:00:00"/>
    <x v="98"/>
    <n v="4276"/>
  </r>
  <r>
    <x v="1907"/>
    <x v="23"/>
    <x v="4"/>
    <x v="2"/>
    <s v="MG Advanced"/>
    <s v="Silis"/>
    <x v="0"/>
    <d v="2017-03-30T00:00:00"/>
    <x v="99"/>
    <n v="3390"/>
  </r>
  <r>
    <x v="1908"/>
    <x v="28"/>
    <x v="0"/>
    <x v="0"/>
    <s v="GTX Basic"/>
    <s v="Bioholding"/>
    <x v="2"/>
    <d v="2017-03-30T00:00:00"/>
    <x v="103"/>
    <n v="0"/>
  </r>
  <r>
    <x v="1909"/>
    <x v="28"/>
    <x v="0"/>
    <x v="0"/>
    <s v="MG Special"/>
    <s v="dambase"/>
    <x v="2"/>
    <d v="2017-03-30T00:00:00"/>
    <x v="101"/>
    <n v="0"/>
  </r>
  <r>
    <x v="1910"/>
    <x v="28"/>
    <x v="0"/>
    <x v="0"/>
    <s v="GTX Basic"/>
    <s v="Dontechi"/>
    <x v="0"/>
    <d v="2017-03-30T00:00:00"/>
    <x v="65"/>
    <n v="541"/>
  </r>
  <r>
    <x v="1911"/>
    <x v="27"/>
    <x v="5"/>
    <x v="2"/>
    <s v="GTX Plus Pro"/>
    <s v="Ganjaflex"/>
    <x v="0"/>
    <d v="2017-03-30T00:00:00"/>
    <x v="86"/>
    <n v="5189"/>
  </r>
  <r>
    <x v="1912"/>
    <x v="13"/>
    <x v="4"/>
    <x v="2"/>
    <s v="GTXPro"/>
    <s v="Ganjaflex"/>
    <x v="2"/>
    <d v="2017-03-30T00:00:00"/>
    <x v="99"/>
    <n v="0"/>
  </r>
  <r>
    <x v="1913"/>
    <x v="13"/>
    <x v="4"/>
    <x v="2"/>
    <s v="GTX Plus Pro"/>
    <s v="Xx-zobam"/>
    <x v="0"/>
    <d v="2017-03-30T00:00:00"/>
    <x v="78"/>
    <n v="6920"/>
  </r>
  <r>
    <x v="1914"/>
    <x v="1"/>
    <x v="1"/>
    <x v="0"/>
    <s v="GTX Basic"/>
    <s v="Condax"/>
    <x v="2"/>
    <d v="2017-03-30T00:00:00"/>
    <x v="94"/>
    <n v="0"/>
  </r>
  <r>
    <x v="1915"/>
    <x v="1"/>
    <x v="1"/>
    <x v="0"/>
    <s v="GTX Plus Basic"/>
    <s v="Isdom"/>
    <x v="2"/>
    <d v="2017-03-30T00:00:00"/>
    <x v="99"/>
    <n v="0"/>
  </r>
  <r>
    <x v="1916"/>
    <x v="1"/>
    <x v="1"/>
    <x v="0"/>
    <s v="MG Advanced"/>
    <s v="Globex Corporation"/>
    <x v="2"/>
    <d v="2017-03-30T00:00:00"/>
    <x v="37"/>
    <n v="0"/>
  </r>
  <r>
    <x v="1917"/>
    <x v="1"/>
    <x v="1"/>
    <x v="0"/>
    <s v="GTX Basic"/>
    <s v="Bioholding"/>
    <x v="0"/>
    <d v="2017-03-30T00:00:00"/>
    <x v="72"/>
    <n v="600"/>
  </r>
  <r>
    <x v="1918"/>
    <x v="26"/>
    <x v="4"/>
    <x v="2"/>
    <s v="GTX Plus Basic"/>
    <s v="Bubba Gump"/>
    <x v="2"/>
    <d v="2017-03-30T00:00:00"/>
    <x v="103"/>
    <n v="0"/>
  </r>
  <r>
    <x v="1919"/>
    <x v="26"/>
    <x v="4"/>
    <x v="2"/>
    <s v="GTXPro"/>
    <s v="Konex"/>
    <x v="2"/>
    <d v="2017-03-30T00:00:00"/>
    <x v="94"/>
    <n v="0"/>
  </r>
  <r>
    <x v="1920"/>
    <x v="26"/>
    <x v="4"/>
    <x v="2"/>
    <s v="GTX Basic"/>
    <s v="Xx-zobam"/>
    <x v="0"/>
    <d v="2017-03-30T00:00:00"/>
    <x v="98"/>
    <n v="564"/>
  </r>
  <r>
    <x v="1921"/>
    <x v="14"/>
    <x v="3"/>
    <x v="1"/>
    <s v="GTK 500"/>
    <s v="Goodsilron"/>
    <x v="2"/>
    <d v="2017-03-30T00:00:00"/>
    <x v="96"/>
    <n v="0"/>
  </r>
  <r>
    <x v="1922"/>
    <x v="21"/>
    <x v="5"/>
    <x v="2"/>
    <s v="GTX Plus Basic"/>
    <s v="Zathunicon"/>
    <x v="0"/>
    <d v="2017-03-30T00:00:00"/>
    <x v="66"/>
    <n v="1037"/>
  </r>
  <r>
    <x v="1923"/>
    <x v="16"/>
    <x v="2"/>
    <x v="1"/>
    <s v="GTX Basic"/>
    <s v="Hottechi"/>
    <x v="0"/>
    <d v="2017-03-30T00:00:00"/>
    <x v="94"/>
    <n v="500"/>
  </r>
  <r>
    <x v="1924"/>
    <x v="24"/>
    <x v="0"/>
    <x v="0"/>
    <s v="GTX Plus Pro"/>
    <s v="Hottechi"/>
    <x v="0"/>
    <d v="2017-03-30T00:00:00"/>
    <x v="99"/>
    <n v="5728"/>
  </r>
  <r>
    <x v="1925"/>
    <x v="5"/>
    <x v="3"/>
    <x v="1"/>
    <s v="MG Advanced"/>
    <s v="Kan-code"/>
    <x v="2"/>
    <d v="2017-03-30T00:00:00"/>
    <x v="101"/>
    <n v="0"/>
  </r>
  <r>
    <x v="1926"/>
    <x v="22"/>
    <x v="1"/>
    <x v="0"/>
    <s v="GTXPro"/>
    <s v="Statholdings"/>
    <x v="2"/>
    <d v="2017-03-30T00:00:00"/>
    <x v="98"/>
    <n v="0"/>
  </r>
  <r>
    <x v="1927"/>
    <x v="0"/>
    <x v="0"/>
    <x v="0"/>
    <s v="MG Advanced"/>
    <s v="Scottech"/>
    <x v="2"/>
    <d v="2017-03-30T00:00:00"/>
    <x v="103"/>
    <n v="0"/>
  </r>
  <r>
    <x v="1928"/>
    <x v="0"/>
    <x v="0"/>
    <x v="0"/>
    <s v="MG Special"/>
    <s v="Finhigh"/>
    <x v="0"/>
    <d v="2017-03-30T00:00:00"/>
    <x v="45"/>
    <n v="54"/>
  </r>
  <r>
    <x v="1929"/>
    <x v="11"/>
    <x v="3"/>
    <x v="1"/>
    <s v="GTX Basic"/>
    <s v="Xx-holding"/>
    <x v="0"/>
    <d v="2017-03-30T00:00:00"/>
    <x v="84"/>
    <n v="501"/>
  </r>
  <r>
    <x v="1930"/>
    <x v="17"/>
    <x v="5"/>
    <x v="2"/>
    <s v="GTX Basic"/>
    <s v="Finjob"/>
    <x v="1"/>
    <d v="2017-03-30T00:00:00"/>
    <x v="6"/>
    <m/>
  </r>
  <r>
    <x v="1931"/>
    <x v="17"/>
    <x v="5"/>
    <x v="2"/>
    <s v="GTX Plus Pro"/>
    <s v="Umbrella Corporation"/>
    <x v="0"/>
    <d v="2017-03-30T00:00:00"/>
    <x v="100"/>
    <n v="6155"/>
  </r>
  <r>
    <x v="1932"/>
    <x v="17"/>
    <x v="5"/>
    <x v="2"/>
    <s v="GTX Plus Pro"/>
    <s v="Zathunicon"/>
    <x v="0"/>
    <d v="2017-03-30T00:00:00"/>
    <x v="100"/>
    <n v="4668"/>
  </r>
  <r>
    <x v="1933"/>
    <x v="12"/>
    <x v="0"/>
    <x v="0"/>
    <s v="GTX Plus Pro"/>
    <s v="Zumgoity"/>
    <x v="0"/>
    <d v="2017-03-30T00:00:00"/>
    <x v="73"/>
    <n v="5017"/>
  </r>
  <r>
    <x v="1934"/>
    <x v="12"/>
    <x v="0"/>
    <x v="0"/>
    <s v="MG Special"/>
    <s v="Ron-tech"/>
    <x v="0"/>
    <d v="2017-03-30T00:00:00"/>
    <x v="100"/>
    <n v="59"/>
  </r>
  <r>
    <x v="1935"/>
    <x v="4"/>
    <x v="3"/>
    <x v="1"/>
    <s v="GTX Basic"/>
    <m/>
    <x v="1"/>
    <d v="2017-03-30T00:00:00"/>
    <x v="6"/>
    <m/>
  </r>
  <r>
    <x v="1936"/>
    <x v="4"/>
    <x v="3"/>
    <x v="1"/>
    <s v="GTXPro"/>
    <s v="Fasehatice"/>
    <x v="2"/>
    <d v="2017-03-30T00:00:00"/>
    <x v="100"/>
    <n v="0"/>
  </r>
  <r>
    <x v="1937"/>
    <x v="4"/>
    <x v="3"/>
    <x v="1"/>
    <s v="MG Advanced"/>
    <s v="Plexzap"/>
    <x v="0"/>
    <d v="2017-03-30T00:00:00"/>
    <x v="98"/>
    <n v="3316"/>
  </r>
  <r>
    <x v="1938"/>
    <x v="2"/>
    <x v="2"/>
    <x v="1"/>
    <s v="GTX Basic"/>
    <s v="Zumgoity"/>
    <x v="1"/>
    <d v="2017-03-30T00:00:00"/>
    <x v="6"/>
    <m/>
  </r>
  <r>
    <x v="1939"/>
    <x v="2"/>
    <x v="2"/>
    <x v="1"/>
    <s v="GTX Plus Pro"/>
    <s v="Plexzap"/>
    <x v="0"/>
    <d v="2017-03-30T00:00:00"/>
    <x v="102"/>
    <n v="6227"/>
  </r>
  <r>
    <x v="1940"/>
    <x v="3"/>
    <x v="0"/>
    <x v="0"/>
    <s v="MG Special"/>
    <s v="Treequote"/>
    <x v="2"/>
    <d v="2017-03-31T00:00:00"/>
    <x v="99"/>
    <n v="0"/>
  </r>
  <r>
    <x v="1941"/>
    <x v="3"/>
    <x v="0"/>
    <x v="0"/>
    <s v="MG Special"/>
    <s v="Condax"/>
    <x v="0"/>
    <d v="2017-03-31T00:00:00"/>
    <x v="75"/>
    <n v="58"/>
  </r>
  <r>
    <x v="1942"/>
    <x v="3"/>
    <x v="0"/>
    <x v="0"/>
    <s v="MG Advanced"/>
    <s v="dambase"/>
    <x v="0"/>
    <d v="2017-03-31T00:00:00"/>
    <x v="100"/>
    <n v="3626"/>
  </r>
  <r>
    <x v="1943"/>
    <x v="25"/>
    <x v="4"/>
    <x v="2"/>
    <s v="MG Advanced"/>
    <s v="Vehement Capital Partners"/>
    <x v="0"/>
    <d v="2017-03-31T00:00:00"/>
    <x v="94"/>
    <n v="2819"/>
  </r>
  <r>
    <x v="1944"/>
    <x v="23"/>
    <x v="4"/>
    <x v="2"/>
    <s v="GTXPro"/>
    <s v="Cancity"/>
    <x v="1"/>
    <d v="2017-03-31T00:00:00"/>
    <x v="6"/>
    <m/>
  </r>
  <r>
    <x v="1945"/>
    <x v="23"/>
    <x v="4"/>
    <x v="2"/>
    <s v="GTXPro"/>
    <s v="Xx-zobam"/>
    <x v="2"/>
    <d v="2017-03-31T00:00:00"/>
    <x v="94"/>
    <n v="0"/>
  </r>
  <r>
    <x v="1946"/>
    <x v="23"/>
    <x v="4"/>
    <x v="2"/>
    <s v="GTXPro"/>
    <s v="Zencorporation"/>
    <x v="2"/>
    <d v="2017-03-31T00:00:00"/>
    <x v="99"/>
    <n v="0"/>
  </r>
  <r>
    <x v="1947"/>
    <x v="27"/>
    <x v="5"/>
    <x v="2"/>
    <s v="GTX Basic"/>
    <s v="Green-Plus"/>
    <x v="1"/>
    <d v="2017-03-31T00:00:00"/>
    <x v="6"/>
    <m/>
  </r>
  <r>
    <x v="1948"/>
    <x v="14"/>
    <x v="3"/>
    <x v="1"/>
    <s v="MG Special"/>
    <s v="Inity"/>
    <x v="1"/>
    <d v="2017-03-31T00:00:00"/>
    <x v="6"/>
    <m/>
  </r>
  <r>
    <x v="1949"/>
    <x v="8"/>
    <x v="1"/>
    <x v="0"/>
    <s v="GTX Plus Pro"/>
    <s v="Globex Corporation"/>
    <x v="2"/>
    <d v="2017-03-31T00:00:00"/>
    <x v="97"/>
    <n v="0"/>
  </r>
  <r>
    <x v="1950"/>
    <x v="10"/>
    <x v="3"/>
    <x v="1"/>
    <s v="GTX Plus Basic"/>
    <s v="Fasehatice"/>
    <x v="0"/>
    <d v="2017-03-31T00:00:00"/>
    <x v="101"/>
    <n v="901"/>
  </r>
  <r>
    <x v="1951"/>
    <x v="10"/>
    <x v="3"/>
    <x v="1"/>
    <s v="MG Advanced"/>
    <s v="Doncon"/>
    <x v="0"/>
    <d v="2017-03-31T00:00:00"/>
    <x v="43"/>
    <n v="3438"/>
  </r>
  <r>
    <x v="1952"/>
    <x v="7"/>
    <x v="2"/>
    <x v="1"/>
    <s v="GTX Basic"/>
    <s v="Faxquote"/>
    <x v="0"/>
    <d v="2017-03-31T00:00:00"/>
    <x v="100"/>
    <n v="589"/>
  </r>
  <r>
    <x v="1953"/>
    <x v="16"/>
    <x v="2"/>
    <x v="1"/>
    <s v="MG Special"/>
    <s v="Plusstrip"/>
    <x v="2"/>
    <d v="2017-03-31T00:00:00"/>
    <x v="72"/>
    <n v="0"/>
  </r>
  <r>
    <x v="1954"/>
    <x v="16"/>
    <x v="2"/>
    <x v="1"/>
    <s v="GTXPro"/>
    <s v="Sunnamplex"/>
    <x v="0"/>
    <d v="2017-03-31T00:00:00"/>
    <x v="94"/>
    <n v="5073"/>
  </r>
  <r>
    <x v="1955"/>
    <x v="18"/>
    <x v="2"/>
    <x v="1"/>
    <s v="GTX Plus Pro"/>
    <m/>
    <x v="1"/>
    <d v="2017-03-31T00:00:00"/>
    <x v="6"/>
    <m/>
  </r>
  <r>
    <x v="1956"/>
    <x v="18"/>
    <x v="2"/>
    <x v="1"/>
    <s v="MG Special"/>
    <m/>
    <x v="1"/>
    <d v="2017-03-31T00:00:00"/>
    <x v="6"/>
    <m/>
  </r>
  <r>
    <x v="1957"/>
    <x v="18"/>
    <x v="2"/>
    <x v="1"/>
    <s v="MG Advanced"/>
    <s v="Hottechi"/>
    <x v="2"/>
    <d v="2017-03-31T00:00:00"/>
    <x v="94"/>
    <n v="0"/>
  </r>
  <r>
    <x v="1958"/>
    <x v="18"/>
    <x v="2"/>
    <x v="1"/>
    <s v="GTX Basic"/>
    <s v="Konex"/>
    <x v="0"/>
    <d v="2017-03-31T00:00:00"/>
    <x v="97"/>
    <n v="609"/>
  </r>
  <r>
    <x v="1959"/>
    <x v="18"/>
    <x v="2"/>
    <x v="1"/>
    <s v="MG Special"/>
    <s v="Goodsilron"/>
    <x v="0"/>
    <d v="2017-03-31T00:00:00"/>
    <x v="94"/>
    <n v="55"/>
  </r>
  <r>
    <x v="1960"/>
    <x v="5"/>
    <x v="3"/>
    <x v="1"/>
    <s v="MG Special"/>
    <s v="Fasehatice"/>
    <x v="2"/>
    <d v="2017-03-31T00:00:00"/>
    <x v="104"/>
    <n v="0"/>
  </r>
  <r>
    <x v="1961"/>
    <x v="9"/>
    <x v="2"/>
    <x v="1"/>
    <s v="GTX Plus Basic"/>
    <s v="Green-Plus"/>
    <x v="2"/>
    <d v="2017-03-31T00:00:00"/>
    <x v="104"/>
    <n v="0"/>
  </r>
  <r>
    <x v="1962"/>
    <x v="9"/>
    <x v="2"/>
    <x v="1"/>
    <s v="GTX Plus Pro"/>
    <s v="Condax"/>
    <x v="0"/>
    <d v="2017-03-31T00:00:00"/>
    <x v="102"/>
    <n v="5637"/>
  </r>
  <r>
    <x v="1963"/>
    <x v="9"/>
    <x v="2"/>
    <x v="1"/>
    <s v="GTX Plus Pro"/>
    <s v="Plexzap"/>
    <x v="0"/>
    <d v="2017-03-31T00:00:00"/>
    <x v="103"/>
    <n v="5793"/>
  </r>
  <r>
    <x v="1964"/>
    <x v="19"/>
    <x v="4"/>
    <x v="2"/>
    <s v="MG Special"/>
    <s v="Massive Dynamic"/>
    <x v="2"/>
    <d v="2017-03-31T00:00:00"/>
    <x v="104"/>
    <n v="0"/>
  </r>
  <r>
    <x v="1965"/>
    <x v="11"/>
    <x v="3"/>
    <x v="1"/>
    <s v="GTX Basic"/>
    <s v="J-Texon"/>
    <x v="2"/>
    <d v="2017-03-31T00:00:00"/>
    <x v="95"/>
    <n v="0"/>
  </r>
  <r>
    <x v="1966"/>
    <x v="11"/>
    <x v="3"/>
    <x v="1"/>
    <s v="MG Advanced"/>
    <s v="Dalttechnology"/>
    <x v="2"/>
    <d v="2017-03-31T00:00:00"/>
    <x v="77"/>
    <n v="0"/>
  </r>
  <r>
    <x v="1967"/>
    <x v="11"/>
    <x v="3"/>
    <x v="1"/>
    <s v="GTX Basic"/>
    <s v="Hottechi"/>
    <x v="0"/>
    <d v="2017-03-31T00:00:00"/>
    <x v="99"/>
    <n v="520"/>
  </r>
  <r>
    <x v="1968"/>
    <x v="11"/>
    <x v="3"/>
    <x v="1"/>
    <s v="MG Advanced"/>
    <s v="Finjob"/>
    <x v="0"/>
    <d v="2017-03-31T00:00:00"/>
    <x v="97"/>
    <n v="4080"/>
  </r>
  <r>
    <x v="1969"/>
    <x v="12"/>
    <x v="0"/>
    <x v="0"/>
    <s v="GTX Basic"/>
    <s v="Inity"/>
    <x v="0"/>
    <d v="2017-03-31T00:00:00"/>
    <x v="89"/>
    <n v="526"/>
  </r>
  <r>
    <x v="1970"/>
    <x v="12"/>
    <x v="0"/>
    <x v="0"/>
    <s v="MG Special"/>
    <s v="Scottech"/>
    <x v="0"/>
    <d v="2017-03-31T00:00:00"/>
    <x v="37"/>
    <n v="57"/>
  </r>
  <r>
    <x v="1971"/>
    <x v="4"/>
    <x v="3"/>
    <x v="1"/>
    <s v="GTXPro"/>
    <m/>
    <x v="1"/>
    <d v="2017-03-31T00:00:00"/>
    <x v="6"/>
    <m/>
  </r>
  <r>
    <x v="1972"/>
    <x v="4"/>
    <x v="3"/>
    <x v="1"/>
    <s v="MG Advanced"/>
    <s v="Xx-holding"/>
    <x v="2"/>
    <d v="2017-03-31T00:00:00"/>
    <x v="101"/>
    <n v="0"/>
  </r>
  <r>
    <x v="1973"/>
    <x v="4"/>
    <x v="3"/>
    <x v="1"/>
    <s v="MG Special"/>
    <s v="Y-corporation"/>
    <x v="0"/>
    <d v="2017-03-31T00:00:00"/>
    <x v="88"/>
    <n v="54"/>
  </r>
  <r>
    <x v="1974"/>
    <x v="4"/>
    <x v="3"/>
    <x v="1"/>
    <s v="MG Advanced"/>
    <s v="Sunnamplex"/>
    <x v="0"/>
    <d v="2017-03-31T00:00:00"/>
    <x v="104"/>
    <n v="3367"/>
  </r>
  <r>
    <x v="1975"/>
    <x v="15"/>
    <x v="5"/>
    <x v="2"/>
    <s v="MG Advanced"/>
    <m/>
    <x v="1"/>
    <d v="2017-03-31T00:00:00"/>
    <x v="6"/>
    <m/>
  </r>
  <r>
    <x v="1976"/>
    <x v="2"/>
    <x v="2"/>
    <x v="1"/>
    <s v="GTX Basic"/>
    <s v="Dalttechnology"/>
    <x v="0"/>
    <d v="2017-03-31T00:00:00"/>
    <x v="98"/>
    <n v="430"/>
  </r>
  <r>
    <x v="1977"/>
    <x v="3"/>
    <x v="0"/>
    <x v="0"/>
    <s v="GTX Basic"/>
    <s v="Hottechi"/>
    <x v="0"/>
    <d v="2017-04-01T00:00:00"/>
    <x v="33"/>
    <n v="518"/>
  </r>
  <r>
    <x v="1978"/>
    <x v="25"/>
    <x v="4"/>
    <x v="2"/>
    <s v="GTX Plus Basic"/>
    <s v="Umbrella Corporation"/>
    <x v="2"/>
    <d v="2017-04-01T00:00:00"/>
    <x v="104"/>
    <n v="0"/>
  </r>
  <r>
    <x v="1979"/>
    <x v="23"/>
    <x v="4"/>
    <x v="2"/>
    <s v="MG Special"/>
    <m/>
    <x v="1"/>
    <d v="2017-04-01T00:00:00"/>
    <x v="6"/>
    <m/>
  </r>
  <r>
    <x v="1980"/>
    <x v="27"/>
    <x v="5"/>
    <x v="2"/>
    <s v="GTX Plus Basic"/>
    <s v="Zotware"/>
    <x v="2"/>
    <d v="2017-04-01T00:00:00"/>
    <x v="103"/>
    <n v="0"/>
  </r>
  <r>
    <x v="1981"/>
    <x v="13"/>
    <x v="4"/>
    <x v="2"/>
    <s v="GTXPro"/>
    <s v="Scotfind"/>
    <x v="1"/>
    <d v="2017-04-01T00:00:00"/>
    <x v="6"/>
    <m/>
  </r>
  <r>
    <x v="1982"/>
    <x v="13"/>
    <x v="4"/>
    <x v="2"/>
    <s v="GTXPro"/>
    <s v="Massive Dynamic"/>
    <x v="2"/>
    <d v="2017-04-01T00:00:00"/>
    <x v="93"/>
    <n v="0"/>
  </r>
  <r>
    <x v="1983"/>
    <x v="1"/>
    <x v="1"/>
    <x v="0"/>
    <s v="GTX Plus Pro"/>
    <s v="Bioholding"/>
    <x v="0"/>
    <d v="2017-04-01T00:00:00"/>
    <x v="100"/>
    <n v="5798"/>
  </r>
  <r>
    <x v="1984"/>
    <x v="1"/>
    <x v="1"/>
    <x v="0"/>
    <s v="GTXPro"/>
    <s v="Betatech"/>
    <x v="0"/>
    <d v="2017-04-01T00:00:00"/>
    <x v="102"/>
    <n v="4685"/>
  </r>
  <r>
    <x v="1985"/>
    <x v="1"/>
    <x v="1"/>
    <x v="0"/>
    <s v="MG Advanced"/>
    <s v="Genco Pura Olive Oil Company"/>
    <x v="0"/>
    <d v="2017-04-01T00:00:00"/>
    <x v="69"/>
    <n v="3228"/>
  </r>
  <r>
    <x v="1986"/>
    <x v="26"/>
    <x v="4"/>
    <x v="2"/>
    <s v="GTX Basic"/>
    <s v="Initech"/>
    <x v="2"/>
    <d v="2017-04-01T00:00:00"/>
    <x v="93"/>
    <n v="0"/>
  </r>
  <r>
    <x v="1987"/>
    <x v="14"/>
    <x v="3"/>
    <x v="1"/>
    <s v="GTX Basic"/>
    <s v="Plexzap"/>
    <x v="0"/>
    <d v="2017-04-01T00:00:00"/>
    <x v="81"/>
    <n v="452"/>
  </r>
  <r>
    <x v="1988"/>
    <x v="8"/>
    <x v="1"/>
    <x v="0"/>
    <s v="GTX Plus Basic"/>
    <s v="Condax"/>
    <x v="2"/>
    <d v="2017-04-01T00:00:00"/>
    <x v="103"/>
    <n v="0"/>
  </r>
  <r>
    <x v="1989"/>
    <x v="10"/>
    <x v="3"/>
    <x v="1"/>
    <s v="MG Advanced"/>
    <m/>
    <x v="1"/>
    <d v="2017-04-01T00:00:00"/>
    <x v="6"/>
    <m/>
  </r>
  <r>
    <x v="1990"/>
    <x v="29"/>
    <x v="1"/>
    <x v="0"/>
    <s v="GTX Basic"/>
    <s v="Dontechi"/>
    <x v="0"/>
    <d v="2017-04-01T00:00:00"/>
    <x v="100"/>
    <n v="565"/>
  </r>
  <r>
    <x v="1991"/>
    <x v="29"/>
    <x v="1"/>
    <x v="0"/>
    <s v="GTX Plus Basic"/>
    <s v="Warephase"/>
    <x v="0"/>
    <d v="2017-04-01T00:00:00"/>
    <x v="48"/>
    <n v="1184"/>
  </r>
  <r>
    <x v="1992"/>
    <x v="16"/>
    <x v="2"/>
    <x v="1"/>
    <s v="GTX Plus Basic"/>
    <s v="Hatfan"/>
    <x v="0"/>
    <d v="2017-04-01T00:00:00"/>
    <x v="81"/>
    <n v="1150"/>
  </r>
  <r>
    <x v="1993"/>
    <x v="18"/>
    <x v="2"/>
    <x v="1"/>
    <s v="GTX Basic"/>
    <s v="Iselectrics"/>
    <x v="1"/>
    <d v="2017-04-01T00:00:00"/>
    <x v="6"/>
    <m/>
  </r>
  <r>
    <x v="1994"/>
    <x v="18"/>
    <x v="2"/>
    <x v="1"/>
    <s v="GTX Plus Basic"/>
    <s v="Singletechno"/>
    <x v="0"/>
    <d v="2017-04-01T00:00:00"/>
    <x v="61"/>
    <n v="1110"/>
  </r>
  <r>
    <x v="1995"/>
    <x v="24"/>
    <x v="0"/>
    <x v="0"/>
    <s v="MG Advanced"/>
    <s v="Zumgoity"/>
    <x v="2"/>
    <d v="2017-04-01T00:00:00"/>
    <x v="102"/>
    <n v="0"/>
  </r>
  <r>
    <x v="1996"/>
    <x v="5"/>
    <x v="3"/>
    <x v="1"/>
    <s v="MG Advanced"/>
    <s v="J-Texon"/>
    <x v="0"/>
    <d v="2017-04-01T00:00:00"/>
    <x v="98"/>
    <n v="3817"/>
  </r>
  <r>
    <x v="1997"/>
    <x v="22"/>
    <x v="1"/>
    <x v="0"/>
    <s v="MG Advanced"/>
    <s v="Rundofase"/>
    <x v="2"/>
    <d v="2017-04-01T00:00:00"/>
    <x v="102"/>
    <n v="0"/>
  </r>
  <r>
    <x v="1998"/>
    <x v="0"/>
    <x v="0"/>
    <x v="0"/>
    <s v="MG Advanced"/>
    <s v="Bioholding"/>
    <x v="2"/>
    <d v="2017-04-01T00:00:00"/>
    <x v="98"/>
    <n v="0"/>
  </r>
  <r>
    <x v="1999"/>
    <x v="6"/>
    <x v="1"/>
    <x v="0"/>
    <s v="GTX Basic"/>
    <s v="Hottechi"/>
    <x v="0"/>
    <d v="2017-04-01T00:00:00"/>
    <x v="102"/>
    <n v="531"/>
  </r>
  <r>
    <x v="2000"/>
    <x v="19"/>
    <x v="4"/>
    <x v="2"/>
    <s v="GTX Plus Pro"/>
    <s v="The New York Inquirer"/>
    <x v="2"/>
    <d v="2017-04-01T00:00:00"/>
    <x v="96"/>
    <n v="0"/>
  </r>
  <r>
    <x v="2001"/>
    <x v="19"/>
    <x v="4"/>
    <x v="2"/>
    <s v="MG Advanced"/>
    <s v="Ontomedia"/>
    <x v="2"/>
    <d v="2017-04-01T00:00:00"/>
    <x v="97"/>
    <n v="0"/>
  </r>
  <r>
    <x v="2002"/>
    <x v="11"/>
    <x v="3"/>
    <x v="1"/>
    <s v="MG Special"/>
    <s v="Blackzim"/>
    <x v="0"/>
    <d v="2017-04-01T00:00:00"/>
    <x v="99"/>
    <n v="51"/>
  </r>
  <r>
    <x v="2003"/>
    <x v="17"/>
    <x v="5"/>
    <x v="2"/>
    <s v="MG Advanced"/>
    <s v="Sunnamplex"/>
    <x v="1"/>
    <d v="2017-04-01T00:00:00"/>
    <x v="6"/>
    <m/>
  </r>
  <r>
    <x v="2004"/>
    <x v="17"/>
    <x v="5"/>
    <x v="2"/>
    <s v="GTXPro"/>
    <s v="Mathtouch"/>
    <x v="0"/>
    <d v="2017-04-01T00:00:00"/>
    <x v="51"/>
    <n v="5106"/>
  </r>
  <r>
    <x v="2005"/>
    <x v="12"/>
    <x v="0"/>
    <x v="0"/>
    <s v="MG Advanced"/>
    <s v="Genco Pura Olive Oil Company"/>
    <x v="2"/>
    <d v="2017-04-01T00:00:00"/>
    <x v="105"/>
    <n v="0"/>
  </r>
  <r>
    <x v="2006"/>
    <x v="12"/>
    <x v="0"/>
    <x v="0"/>
    <s v="MG Special"/>
    <s v="Stanredtax"/>
    <x v="0"/>
    <d v="2017-04-01T00:00:00"/>
    <x v="97"/>
    <n v="60"/>
  </r>
  <r>
    <x v="2007"/>
    <x v="4"/>
    <x v="3"/>
    <x v="1"/>
    <s v="GTXPro"/>
    <s v="Kinnamplus"/>
    <x v="1"/>
    <d v="2017-04-01T00:00:00"/>
    <x v="6"/>
    <m/>
  </r>
  <r>
    <x v="2008"/>
    <x v="4"/>
    <x v="3"/>
    <x v="1"/>
    <s v="GTXPro"/>
    <s v="Y-corporation"/>
    <x v="2"/>
    <d v="2017-04-01T00:00:00"/>
    <x v="101"/>
    <n v="0"/>
  </r>
  <r>
    <x v="2009"/>
    <x v="20"/>
    <x v="5"/>
    <x v="2"/>
    <s v="GTX Plus Pro"/>
    <s v="Zotware"/>
    <x v="2"/>
    <d v="2017-04-01T00:00:00"/>
    <x v="101"/>
    <n v="0"/>
  </r>
  <r>
    <x v="2010"/>
    <x v="2"/>
    <x v="2"/>
    <x v="1"/>
    <s v="GTX Plus Basic"/>
    <s v="Hottechi"/>
    <x v="2"/>
    <d v="2017-04-01T00:00:00"/>
    <x v="97"/>
    <n v="0"/>
  </r>
  <r>
    <x v="2011"/>
    <x v="2"/>
    <x v="2"/>
    <x v="1"/>
    <s v="GTXPro"/>
    <s v="Hatfan"/>
    <x v="0"/>
    <d v="2017-04-01T00:00:00"/>
    <x v="91"/>
    <n v="5079"/>
  </r>
  <r>
    <x v="2012"/>
    <x v="3"/>
    <x v="0"/>
    <x v="0"/>
    <s v="GTX Basic"/>
    <s v="Streethex"/>
    <x v="0"/>
    <d v="2017-04-02T00:00:00"/>
    <x v="72"/>
    <n v="460"/>
  </r>
  <r>
    <x v="2013"/>
    <x v="25"/>
    <x v="4"/>
    <x v="2"/>
    <s v="MG Advanced"/>
    <m/>
    <x v="1"/>
    <d v="2017-04-02T00:00:00"/>
    <x v="6"/>
    <m/>
  </r>
  <r>
    <x v="2014"/>
    <x v="25"/>
    <x v="4"/>
    <x v="2"/>
    <s v="GTX Plus Basic"/>
    <s v="Iselectrics"/>
    <x v="2"/>
    <d v="2017-04-02T00:00:00"/>
    <x v="90"/>
    <n v="0"/>
  </r>
  <r>
    <x v="2015"/>
    <x v="28"/>
    <x v="0"/>
    <x v="0"/>
    <s v="MG Advanced"/>
    <s v="Domzoom"/>
    <x v="0"/>
    <d v="2017-04-02T00:00:00"/>
    <x v="102"/>
    <n v="3343"/>
  </r>
  <r>
    <x v="2016"/>
    <x v="27"/>
    <x v="5"/>
    <x v="2"/>
    <s v="GTX Plus Pro"/>
    <s v="Xx-zobam"/>
    <x v="0"/>
    <d v="2017-04-02T00:00:00"/>
    <x v="53"/>
    <n v="5125"/>
  </r>
  <r>
    <x v="2017"/>
    <x v="1"/>
    <x v="1"/>
    <x v="0"/>
    <s v="MG Advanced"/>
    <s v="Bioholding"/>
    <x v="0"/>
    <d v="2017-04-02T00:00:00"/>
    <x v="103"/>
    <n v="3263"/>
  </r>
  <r>
    <x v="2018"/>
    <x v="14"/>
    <x v="3"/>
    <x v="1"/>
    <s v="GTX Plus Basic"/>
    <s v="Fasehatice"/>
    <x v="0"/>
    <d v="2017-04-02T00:00:00"/>
    <x v="100"/>
    <n v="976"/>
  </r>
  <r>
    <x v="2019"/>
    <x v="21"/>
    <x v="5"/>
    <x v="2"/>
    <s v="GTXPro"/>
    <s v="Plussunin"/>
    <x v="0"/>
    <d v="2017-04-02T00:00:00"/>
    <x v="101"/>
    <n v="4746"/>
  </r>
  <r>
    <x v="2020"/>
    <x v="8"/>
    <x v="1"/>
    <x v="0"/>
    <s v="GTX Plus Basic"/>
    <s v="Conecom"/>
    <x v="2"/>
    <d v="2017-04-02T00:00:00"/>
    <x v="93"/>
    <n v="0"/>
  </r>
  <r>
    <x v="2021"/>
    <x v="8"/>
    <x v="1"/>
    <x v="0"/>
    <s v="GTX Basic"/>
    <s v="Codehow"/>
    <x v="0"/>
    <d v="2017-04-02T00:00:00"/>
    <x v="103"/>
    <n v="507"/>
  </r>
  <r>
    <x v="2022"/>
    <x v="7"/>
    <x v="2"/>
    <x v="1"/>
    <s v="GTX Plus Pro"/>
    <m/>
    <x v="1"/>
    <d v="2017-04-02T00:00:00"/>
    <x v="6"/>
    <m/>
  </r>
  <r>
    <x v="2023"/>
    <x v="7"/>
    <x v="2"/>
    <x v="1"/>
    <s v="GTX Basic"/>
    <s v="Konex"/>
    <x v="2"/>
    <d v="2017-04-02T00:00:00"/>
    <x v="106"/>
    <n v="0"/>
  </r>
  <r>
    <x v="2024"/>
    <x v="7"/>
    <x v="2"/>
    <x v="1"/>
    <s v="GTXPro"/>
    <s v="Fasehatice"/>
    <x v="0"/>
    <d v="2017-04-02T00:00:00"/>
    <x v="101"/>
    <n v="5693"/>
  </r>
  <r>
    <x v="2025"/>
    <x v="16"/>
    <x v="2"/>
    <x v="1"/>
    <s v="GTXPro"/>
    <m/>
    <x v="1"/>
    <d v="2017-04-02T00:00:00"/>
    <x v="6"/>
    <m/>
  </r>
  <r>
    <x v="2026"/>
    <x v="16"/>
    <x v="2"/>
    <x v="1"/>
    <s v="GTX Plus Basic"/>
    <s v="Fasehatice"/>
    <x v="2"/>
    <d v="2017-04-02T00:00:00"/>
    <x v="106"/>
    <n v="0"/>
  </r>
  <r>
    <x v="2027"/>
    <x v="18"/>
    <x v="2"/>
    <x v="1"/>
    <s v="GTX Basic"/>
    <s v="Labdrill"/>
    <x v="2"/>
    <d v="2017-04-02T00:00:00"/>
    <x v="93"/>
    <n v="0"/>
  </r>
  <r>
    <x v="2028"/>
    <x v="18"/>
    <x v="2"/>
    <x v="1"/>
    <s v="GTX Basic"/>
    <s v="Cheers"/>
    <x v="0"/>
    <d v="2017-04-02T00:00:00"/>
    <x v="102"/>
    <n v="488"/>
  </r>
  <r>
    <x v="2029"/>
    <x v="18"/>
    <x v="2"/>
    <x v="1"/>
    <s v="GTX Basic"/>
    <s v="Rantouch"/>
    <x v="0"/>
    <d v="2017-04-02T00:00:00"/>
    <x v="45"/>
    <n v="605"/>
  </r>
  <r>
    <x v="2030"/>
    <x v="5"/>
    <x v="3"/>
    <x v="1"/>
    <s v="GTXPro"/>
    <m/>
    <x v="1"/>
    <d v="2017-04-02T00:00:00"/>
    <x v="6"/>
    <m/>
  </r>
  <r>
    <x v="2031"/>
    <x v="5"/>
    <x v="3"/>
    <x v="1"/>
    <s v="GTX Plus Pro"/>
    <s v="Xx-holding"/>
    <x v="2"/>
    <d v="2017-04-02T00:00:00"/>
    <x v="41"/>
    <n v="0"/>
  </r>
  <r>
    <x v="2032"/>
    <x v="22"/>
    <x v="1"/>
    <x v="0"/>
    <s v="GTX Plus Basic"/>
    <s v="Funholding"/>
    <x v="0"/>
    <d v="2017-04-02T00:00:00"/>
    <x v="103"/>
    <n v="949"/>
  </r>
  <r>
    <x v="2033"/>
    <x v="9"/>
    <x v="2"/>
    <x v="1"/>
    <s v="GTX Plus Basic"/>
    <s v="Faxquote"/>
    <x v="0"/>
    <d v="2017-04-02T00:00:00"/>
    <x v="96"/>
    <n v="882"/>
  </r>
  <r>
    <x v="2034"/>
    <x v="9"/>
    <x v="2"/>
    <x v="1"/>
    <s v="GTX Plus Basic"/>
    <s v="Goodsilron"/>
    <x v="0"/>
    <d v="2017-04-02T00:00:00"/>
    <x v="81"/>
    <n v="1096"/>
  </r>
  <r>
    <x v="2035"/>
    <x v="19"/>
    <x v="4"/>
    <x v="2"/>
    <s v="GTX Basic"/>
    <s v="Donware"/>
    <x v="2"/>
    <d v="2017-04-02T00:00:00"/>
    <x v="102"/>
    <n v="0"/>
  </r>
  <r>
    <x v="2036"/>
    <x v="19"/>
    <x v="4"/>
    <x v="2"/>
    <s v="GTX Basic"/>
    <s v="Donware"/>
    <x v="0"/>
    <d v="2017-04-02T00:00:00"/>
    <x v="107"/>
    <n v="572"/>
  </r>
  <r>
    <x v="2037"/>
    <x v="17"/>
    <x v="5"/>
    <x v="2"/>
    <s v="MG Advanced"/>
    <s v="Bluth Company"/>
    <x v="2"/>
    <d v="2017-04-02T00:00:00"/>
    <x v="99"/>
    <n v="0"/>
  </r>
  <r>
    <x v="2038"/>
    <x v="17"/>
    <x v="5"/>
    <x v="2"/>
    <s v="GTXPro"/>
    <s v="Kinnamplus"/>
    <x v="0"/>
    <d v="2017-04-02T00:00:00"/>
    <x v="104"/>
    <n v="3731"/>
  </r>
  <r>
    <x v="2039"/>
    <x v="12"/>
    <x v="0"/>
    <x v="0"/>
    <s v="MG Special"/>
    <s v="Konmatfix"/>
    <x v="2"/>
    <d v="2017-04-02T00:00:00"/>
    <x v="104"/>
    <n v="0"/>
  </r>
  <r>
    <x v="2040"/>
    <x v="2"/>
    <x v="2"/>
    <x v="1"/>
    <s v="GTX Plus Basic"/>
    <s v="Hottechi"/>
    <x v="0"/>
    <d v="2017-04-02T00:00:00"/>
    <x v="68"/>
    <n v="1214"/>
  </r>
  <r>
    <x v="2041"/>
    <x v="2"/>
    <x v="2"/>
    <x v="1"/>
    <s v="GTXPro"/>
    <s v="Sunnamplex"/>
    <x v="0"/>
    <d v="2017-04-02T00:00:00"/>
    <x v="93"/>
    <n v="4444"/>
  </r>
  <r>
    <x v="2042"/>
    <x v="3"/>
    <x v="0"/>
    <x v="0"/>
    <s v="GTX Basic"/>
    <s v="Rangreen"/>
    <x v="0"/>
    <d v="2017-04-03T00:00:00"/>
    <x v="87"/>
    <n v="524"/>
  </r>
  <r>
    <x v="2043"/>
    <x v="23"/>
    <x v="4"/>
    <x v="2"/>
    <s v="GTX Plus Basic"/>
    <m/>
    <x v="1"/>
    <d v="2017-04-03T00:00:00"/>
    <x v="6"/>
    <m/>
  </r>
  <r>
    <x v="2044"/>
    <x v="23"/>
    <x v="4"/>
    <x v="2"/>
    <s v="GTX Plus Pro"/>
    <m/>
    <x v="1"/>
    <d v="2017-04-03T00:00:00"/>
    <x v="6"/>
    <m/>
  </r>
  <r>
    <x v="2045"/>
    <x v="23"/>
    <x v="4"/>
    <x v="2"/>
    <s v="GTX Plus Basic"/>
    <s v="Bubba Gump"/>
    <x v="0"/>
    <d v="2017-04-03T00:00:00"/>
    <x v="45"/>
    <n v="997"/>
  </r>
  <r>
    <x v="2046"/>
    <x v="27"/>
    <x v="5"/>
    <x v="2"/>
    <s v="MG Advanced"/>
    <s v="Betasoloin"/>
    <x v="0"/>
    <d v="2017-04-03T00:00:00"/>
    <x v="102"/>
    <n v="2794"/>
  </r>
  <r>
    <x v="2047"/>
    <x v="1"/>
    <x v="1"/>
    <x v="0"/>
    <s v="MG Special"/>
    <s v="Rangreen"/>
    <x v="0"/>
    <d v="2017-04-03T00:00:00"/>
    <x v="101"/>
    <n v="53"/>
  </r>
  <r>
    <x v="2048"/>
    <x v="1"/>
    <x v="1"/>
    <x v="0"/>
    <s v="MG Advanced"/>
    <s v="Globex Corporation"/>
    <x v="0"/>
    <d v="2017-04-03T00:00:00"/>
    <x v="105"/>
    <n v="3141"/>
  </r>
  <r>
    <x v="2049"/>
    <x v="26"/>
    <x v="4"/>
    <x v="2"/>
    <s v="MG Special"/>
    <s v="Silis"/>
    <x v="2"/>
    <d v="2017-04-03T00:00:00"/>
    <x v="108"/>
    <n v="0"/>
  </r>
  <r>
    <x v="2050"/>
    <x v="26"/>
    <x v="4"/>
    <x v="2"/>
    <s v="GTX Plus Basic"/>
    <s v="Bioplex"/>
    <x v="0"/>
    <d v="2017-04-03T00:00:00"/>
    <x v="86"/>
    <n v="1109"/>
  </r>
  <r>
    <x v="2051"/>
    <x v="26"/>
    <x v="4"/>
    <x v="2"/>
    <s v="GTX Plus Pro"/>
    <s v="Iselectrics"/>
    <x v="0"/>
    <d v="2017-04-03T00:00:00"/>
    <x v="106"/>
    <n v="5691"/>
  </r>
  <r>
    <x v="2052"/>
    <x v="14"/>
    <x v="3"/>
    <x v="1"/>
    <s v="GTXPro"/>
    <m/>
    <x v="1"/>
    <d v="2017-04-03T00:00:00"/>
    <x v="6"/>
    <m/>
  </r>
  <r>
    <x v="2053"/>
    <x v="14"/>
    <x v="3"/>
    <x v="1"/>
    <s v="MG Special"/>
    <s v="Nam-zim"/>
    <x v="0"/>
    <d v="2017-04-03T00:00:00"/>
    <x v="99"/>
    <n v="52"/>
  </r>
  <r>
    <x v="2054"/>
    <x v="8"/>
    <x v="1"/>
    <x v="0"/>
    <s v="MG Special"/>
    <s v="Hottechi"/>
    <x v="2"/>
    <d v="2017-04-03T00:00:00"/>
    <x v="102"/>
    <n v="0"/>
  </r>
  <r>
    <x v="2055"/>
    <x v="8"/>
    <x v="1"/>
    <x v="0"/>
    <s v="GTX Basic"/>
    <s v="Betatech"/>
    <x v="0"/>
    <d v="2017-04-03T00:00:00"/>
    <x v="95"/>
    <n v="532"/>
  </r>
  <r>
    <x v="2056"/>
    <x v="8"/>
    <x v="1"/>
    <x v="0"/>
    <s v="GTXPro"/>
    <s v="Isdom"/>
    <x v="0"/>
    <d v="2017-04-03T00:00:00"/>
    <x v="96"/>
    <n v="5615"/>
  </r>
  <r>
    <x v="2057"/>
    <x v="10"/>
    <x v="3"/>
    <x v="1"/>
    <s v="GTX Plus Basic"/>
    <m/>
    <x v="1"/>
    <d v="2017-04-03T00:00:00"/>
    <x v="6"/>
    <m/>
  </r>
  <r>
    <x v="2058"/>
    <x v="7"/>
    <x v="2"/>
    <x v="1"/>
    <s v="GTX Basic"/>
    <s v="Goodsilron"/>
    <x v="2"/>
    <d v="2017-04-03T00:00:00"/>
    <x v="96"/>
    <n v="0"/>
  </r>
  <r>
    <x v="2059"/>
    <x v="16"/>
    <x v="2"/>
    <x v="1"/>
    <s v="GTXPro"/>
    <s v="Faxquote"/>
    <x v="2"/>
    <d v="2017-04-03T00:00:00"/>
    <x v="60"/>
    <n v="0"/>
  </r>
  <r>
    <x v="2060"/>
    <x v="16"/>
    <x v="2"/>
    <x v="1"/>
    <s v="GTX Basic"/>
    <s v="J-Texon"/>
    <x v="0"/>
    <d v="2017-04-03T00:00:00"/>
    <x v="104"/>
    <n v="565"/>
  </r>
  <r>
    <x v="2061"/>
    <x v="24"/>
    <x v="0"/>
    <x v="0"/>
    <s v="GTX Basic"/>
    <s v="Ron-tech"/>
    <x v="2"/>
    <d v="2017-04-03T00:00:00"/>
    <x v="103"/>
    <n v="0"/>
  </r>
  <r>
    <x v="2062"/>
    <x v="5"/>
    <x v="3"/>
    <x v="1"/>
    <s v="GTX Basic"/>
    <s v="Green-Plus"/>
    <x v="1"/>
    <d v="2017-04-03T00:00:00"/>
    <x v="6"/>
    <m/>
  </r>
  <r>
    <x v="2063"/>
    <x v="5"/>
    <x v="3"/>
    <x v="1"/>
    <s v="GTX Basic"/>
    <s v="Iselectrics"/>
    <x v="1"/>
    <d v="2017-04-03T00:00:00"/>
    <x v="6"/>
    <m/>
  </r>
  <r>
    <x v="2064"/>
    <x v="19"/>
    <x v="4"/>
    <x v="2"/>
    <s v="GTXPro"/>
    <s v="Gekko &amp; Co"/>
    <x v="2"/>
    <d v="2017-04-03T00:00:00"/>
    <x v="95"/>
    <n v="0"/>
  </r>
  <r>
    <x v="2065"/>
    <x v="19"/>
    <x v="4"/>
    <x v="2"/>
    <s v="GTXPro"/>
    <s v="Yearin"/>
    <x v="0"/>
    <d v="2017-04-03T00:00:00"/>
    <x v="106"/>
    <n v="3991"/>
  </r>
  <r>
    <x v="2066"/>
    <x v="17"/>
    <x v="5"/>
    <x v="2"/>
    <s v="GTXPro"/>
    <s v="Kinnamplus"/>
    <x v="0"/>
    <d v="2017-04-03T00:00:00"/>
    <x v="45"/>
    <n v="5763"/>
  </r>
  <r>
    <x v="2067"/>
    <x v="12"/>
    <x v="0"/>
    <x v="0"/>
    <s v="MG Special"/>
    <s v="Conecom"/>
    <x v="2"/>
    <d v="2017-04-03T00:00:00"/>
    <x v="106"/>
    <n v="0"/>
  </r>
  <r>
    <x v="2068"/>
    <x v="4"/>
    <x v="3"/>
    <x v="1"/>
    <s v="MG Special"/>
    <m/>
    <x v="1"/>
    <d v="2017-04-03T00:00:00"/>
    <x v="6"/>
    <m/>
  </r>
  <r>
    <x v="2069"/>
    <x v="4"/>
    <x v="3"/>
    <x v="1"/>
    <s v="MG Advanced"/>
    <s v="Cheers"/>
    <x v="2"/>
    <d v="2017-04-03T00:00:00"/>
    <x v="103"/>
    <n v="0"/>
  </r>
  <r>
    <x v="2070"/>
    <x v="4"/>
    <x v="3"/>
    <x v="1"/>
    <s v="GTX Basic"/>
    <s v="J-Texon"/>
    <x v="0"/>
    <d v="2017-04-03T00:00:00"/>
    <x v="108"/>
    <n v="456"/>
  </r>
  <r>
    <x v="2071"/>
    <x v="20"/>
    <x v="5"/>
    <x v="2"/>
    <s v="MG Special"/>
    <m/>
    <x v="1"/>
    <d v="2017-04-03T00:00:00"/>
    <x v="6"/>
    <m/>
  </r>
  <r>
    <x v="2072"/>
    <x v="20"/>
    <x v="5"/>
    <x v="2"/>
    <s v="MG Special"/>
    <s v="Bluth Company"/>
    <x v="2"/>
    <d v="2017-04-03T00:00:00"/>
    <x v="95"/>
    <n v="0"/>
  </r>
  <r>
    <x v="2073"/>
    <x v="3"/>
    <x v="0"/>
    <x v="0"/>
    <s v="GTX Basic"/>
    <s v="Domzoom"/>
    <x v="0"/>
    <d v="2017-04-04T00:00:00"/>
    <x v="103"/>
    <n v="582"/>
  </r>
  <r>
    <x v="2074"/>
    <x v="3"/>
    <x v="0"/>
    <x v="0"/>
    <s v="MG Special"/>
    <s v="Domzoom"/>
    <x v="0"/>
    <d v="2017-04-04T00:00:00"/>
    <x v="104"/>
    <n v="59"/>
  </r>
  <r>
    <x v="2075"/>
    <x v="25"/>
    <x v="4"/>
    <x v="2"/>
    <s v="MG Advanced"/>
    <s v="Donquadtech"/>
    <x v="0"/>
    <d v="2017-04-04T00:00:00"/>
    <x v="101"/>
    <n v="3259"/>
  </r>
  <r>
    <x v="2076"/>
    <x v="27"/>
    <x v="5"/>
    <x v="2"/>
    <s v="GTX Plus Pro"/>
    <m/>
    <x v="1"/>
    <d v="2017-04-04T00:00:00"/>
    <x v="6"/>
    <m/>
  </r>
  <r>
    <x v="2077"/>
    <x v="27"/>
    <x v="5"/>
    <x v="2"/>
    <s v="GTX Basic"/>
    <s v="Ganjaflex"/>
    <x v="2"/>
    <d v="2017-04-04T00:00:00"/>
    <x v="34"/>
    <n v="0"/>
  </r>
  <r>
    <x v="2078"/>
    <x v="27"/>
    <x v="5"/>
    <x v="2"/>
    <s v="GTX Plus Basic"/>
    <s v="Kan-code"/>
    <x v="2"/>
    <d v="2017-04-04T00:00:00"/>
    <x v="103"/>
    <n v="0"/>
  </r>
  <r>
    <x v="2079"/>
    <x v="27"/>
    <x v="5"/>
    <x v="2"/>
    <s v="GTX Basic"/>
    <s v="Vehement Capital Partners"/>
    <x v="0"/>
    <d v="2017-04-04T00:00:00"/>
    <x v="103"/>
    <n v="593"/>
  </r>
  <r>
    <x v="2080"/>
    <x v="27"/>
    <x v="5"/>
    <x v="2"/>
    <s v="GTXPro"/>
    <s v="Plussunin"/>
    <x v="0"/>
    <d v="2017-04-04T00:00:00"/>
    <x v="86"/>
    <n v="5197"/>
  </r>
  <r>
    <x v="2081"/>
    <x v="1"/>
    <x v="1"/>
    <x v="0"/>
    <s v="GTXPro"/>
    <s v="dambase"/>
    <x v="2"/>
    <d v="2017-04-04T00:00:00"/>
    <x v="108"/>
    <n v="0"/>
  </r>
  <r>
    <x v="2082"/>
    <x v="1"/>
    <x v="1"/>
    <x v="0"/>
    <s v="GTXPro"/>
    <s v="Konmatfix"/>
    <x v="2"/>
    <d v="2017-04-04T00:00:00"/>
    <x v="92"/>
    <n v="0"/>
  </r>
  <r>
    <x v="2083"/>
    <x v="1"/>
    <x v="1"/>
    <x v="0"/>
    <s v="MG Special"/>
    <s v="Statholdings"/>
    <x v="2"/>
    <d v="2017-04-04T00:00:00"/>
    <x v="104"/>
    <n v="0"/>
  </r>
  <r>
    <x v="2084"/>
    <x v="1"/>
    <x v="1"/>
    <x v="0"/>
    <s v="MG Advanced"/>
    <s v="Finhigh"/>
    <x v="0"/>
    <d v="2017-04-04T00:00:00"/>
    <x v="70"/>
    <n v="3031"/>
  </r>
  <r>
    <x v="2085"/>
    <x v="26"/>
    <x v="4"/>
    <x v="2"/>
    <s v="GTXPro"/>
    <s v="Gekko &amp; Co"/>
    <x v="2"/>
    <d v="2017-04-04T00:00:00"/>
    <x v="108"/>
    <n v="0"/>
  </r>
  <r>
    <x v="2086"/>
    <x v="26"/>
    <x v="4"/>
    <x v="2"/>
    <s v="GTXPro"/>
    <s v="Zencorporation"/>
    <x v="0"/>
    <d v="2017-04-04T00:00:00"/>
    <x v="49"/>
    <n v="5244"/>
  </r>
  <r>
    <x v="2087"/>
    <x v="14"/>
    <x v="3"/>
    <x v="1"/>
    <s v="MG Special"/>
    <m/>
    <x v="1"/>
    <d v="2017-04-04T00:00:00"/>
    <x v="6"/>
    <m/>
  </r>
  <r>
    <x v="2088"/>
    <x v="14"/>
    <x v="3"/>
    <x v="1"/>
    <s v="MG Special"/>
    <s v="Green-Plus"/>
    <x v="2"/>
    <d v="2017-04-04T00:00:00"/>
    <x v="102"/>
    <n v="0"/>
  </r>
  <r>
    <x v="2089"/>
    <x v="21"/>
    <x v="5"/>
    <x v="2"/>
    <s v="GTX Plus Pro"/>
    <s v="Ontomedia"/>
    <x v="0"/>
    <d v="2017-04-04T00:00:00"/>
    <x v="72"/>
    <n v="5946"/>
  </r>
  <r>
    <x v="2090"/>
    <x v="10"/>
    <x v="3"/>
    <x v="1"/>
    <s v="GTX Plus Basic"/>
    <s v="Golddex"/>
    <x v="2"/>
    <d v="2017-04-04T00:00:00"/>
    <x v="100"/>
    <n v="0"/>
  </r>
  <r>
    <x v="2091"/>
    <x v="7"/>
    <x v="2"/>
    <x v="1"/>
    <s v="GTX Plus Pro"/>
    <s v="Labdrill"/>
    <x v="2"/>
    <d v="2017-04-04T00:00:00"/>
    <x v="103"/>
    <n v="0"/>
  </r>
  <r>
    <x v="2092"/>
    <x v="7"/>
    <x v="2"/>
    <x v="1"/>
    <s v="GTXPro"/>
    <s v="Singletechno"/>
    <x v="0"/>
    <d v="2017-04-04T00:00:00"/>
    <x v="47"/>
    <n v="4335"/>
  </r>
  <r>
    <x v="2093"/>
    <x v="29"/>
    <x v="1"/>
    <x v="0"/>
    <s v="GTX Plus Pro"/>
    <s v="Finhigh"/>
    <x v="2"/>
    <d v="2017-04-04T00:00:00"/>
    <x v="98"/>
    <n v="0"/>
  </r>
  <r>
    <x v="2094"/>
    <x v="29"/>
    <x v="1"/>
    <x v="0"/>
    <s v="GTXPro"/>
    <s v="Konmatfix"/>
    <x v="0"/>
    <d v="2017-04-04T00:00:00"/>
    <x v="98"/>
    <n v="5063"/>
  </r>
  <r>
    <x v="2095"/>
    <x v="29"/>
    <x v="1"/>
    <x v="0"/>
    <s v="GTXPro"/>
    <s v="Streethex"/>
    <x v="0"/>
    <d v="2017-04-04T00:00:00"/>
    <x v="102"/>
    <n v="5032"/>
  </r>
  <r>
    <x v="2096"/>
    <x v="16"/>
    <x v="2"/>
    <x v="1"/>
    <s v="GTXPro"/>
    <s v="Labdrill"/>
    <x v="0"/>
    <d v="2017-04-04T00:00:00"/>
    <x v="66"/>
    <n v="4398"/>
  </r>
  <r>
    <x v="2097"/>
    <x v="16"/>
    <x v="2"/>
    <x v="1"/>
    <s v="GTXPro"/>
    <s v="Scotfind"/>
    <x v="0"/>
    <d v="2017-04-04T00:00:00"/>
    <x v="98"/>
    <n v="4449"/>
  </r>
  <r>
    <x v="2098"/>
    <x v="18"/>
    <x v="2"/>
    <x v="1"/>
    <s v="GTX Plus Pro"/>
    <s v="Blackzim"/>
    <x v="2"/>
    <d v="2017-04-04T00:00:00"/>
    <x v="34"/>
    <n v="0"/>
  </r>
  <r>
    <x v="2099"/>
    <x v="24"/>
    <x v="0"/>
    <x v="0"/>
    <s v="GTX Basic"/>
    <s v="Treequote"/>
    <x v="2"/>
    <d v="2017-04-04T00:00:00"/>
    <x v="98"/>
    <n v="0"/>
  </r>
  <r>
    <x v="2100"/>
    <x v="24"/>
    <x v="0"/>
    <x v="0"/>
    <s v="MG Advanced"/>
    <s v="Isdom"/>
    <x v="2"/>
    <d v="2017-04-04T00:00:00"/>
    <x v="108"/>
    <n v="0"/>
  </r>
  <r>
    <x v="2101"/>
    <x v="24"/>
    <x v="0"/>
    <x v="0"/>
    <s v="MG Special"/>
    <s v="Funholding"/>
    <x v="0"/>
    <d v="2017-04-04T00:00:00"/>
    <x v="66"/>
    <n v="50"/>
  </r>
  <r>
    <x v="2102"/>
    <x v="5"/>
    <x v="3"/>
    <x v="1"/>
    <s v="GTX Plus Basic"/>
    <m/>
    <x v="1"/>
    <d v="2017-04-04T00:00:00"/>
    <x v="6"/>
    <m/>
  </r>
  <r>
    <x v="2103"/>
    <x v="5"/>
    <x v="3"/>
    <x v="1"/>
    <s v="GTX Basic"/>
    <s v="Goodsilron"/>
    <x v="0"/>
    <d v="2017-04-04T00:00:00"/>
    <x v="71"/>
    <n v="605"/>
  </r>
  <r>
    <x v="2104"/>
    <x v="5"/>
    <x v="3"/>
    <x v="1"/>
    <s v="MG Special"/>
    <s v="Scotfind"/>
    <x v="0"/>
    <d v="2017-04-04T00:00:00"/>
    <x v="100"/>
    <n v="57"/>
  </r>
  <r>
    <x v="2105"/>
    <x v="5"/>
    <x v="3"/>
    <x v="1"/>
    <s v="MG Advanced"/>
    <s v="Cheers"/>
    <x v="0"/>
    <d v="2017-04-04T00:00:00"/>
    <x v="76"/>
    <n v="2882"/>
  </r>
  <r>
    <x v="2106"/>
    <x v="22"/>
    <x v="1"/>
    <x v="0"/>
    <s v="MG Advanced"/>
    <s v="Gogozoom"/>
    <x v="0"/>
    <d v="2017-04-04T00:00:00"/>
    <x v="48"/>
    <n v="3011"/>
  </r>
  <r>
    <x v="2107"/>
    <x v="9"/>
    <x v="2"/>
    <x v="1"/>
    <s v="GTX Plus Pro"/>
    <m/>
    <x v="1"/>
    <d v="2017-04-04T00:00:00"/>
    <x v="6"/>
    <m/>
  </r>
  <r>
    <x v="2108"/>
    <x v="9"/>
    <x v="2"/>
    <x v="1"/>
    <s v="GTX Plus Basic"/>
    <s v="Rantouch"/>
    <x v="0"/>
    <d v="2017-04-04T00:00:00"/>
    <x v="103"/>
    <n v="1181"/>
  </r>
  <r>
    <x v="2109"/>
    <x v="6"/>
    <x v="1"/>
    <x v="0"/>
    <s v="GTX Plus Basic"/>
    <s v="Betatech"/>
    <x v="0"/>
    <d v="2017-04-04T00:00:00"/>
    <x v="80"/>
    <n v="1067"/>
  </r>
  <r>
    <x v="2110"/>
    <x v="19"/>
    <x v="4"/>
    <x v="2"/>
    <s v="GTX Basic"/>
    <s v="Donquadtech"/>
    <x v="2"/>
    <d v="2017-04-04T00:00:00"/>
    <x v="105"/>
    <n v="0"/>
  </r>
  <r>
    <x v="2111"/>
    <x v="19"/>
    <x v="4"/>
    <x v="2"/>
    <s v="GTX Basic"/>
    <s v="Initech"/>
    <x v="2"/>
    <d v="2017-04-04T00:00:00"/>
    <x v="101"/>
    <n v="0"/>
  </r>
  <r>
    <x v="2112"/>
    <x v="12"/>
    <x v="0"/>
    <x v="0"/>
    <s v="MG Special"/>
    <s v="Isdom"/>
    <x v="0"/>
    <d v="2017-04-04T00:00:00"/>
    <x v="98"/>
    <n v="54"/>
  </r>
  <r>
    <x v="2113"/>
    <x v="2"/>
    <x v="2"/>
    <x v="1"/>
    <s v="GTX Basic"/>
    <s v="Plexzap"/>
    <x v="0"/>
    <d v="2017-04-04T00:00:00"/>
    <x v="91"/>
    <n v="564"/>
  </r>
  <r>
    <x v="2114"/>
    <x v="3"/>
    <x v="0"/>
    <x v="0"/>
    <s v="GTX Plus Basic"/>
    <s v="Conecom"/>
    <x v="2"/>
    <d v="2017-04-05T00:00:00"/>
    <x v="98"/>
    <n v="0"/>
  </r>
  <r>
    <x v="2115"/>
    <x v="3"/>
    <x v="0"/>
    <x v="0"/>
    <s v="MG Special"/>
    <s v="Betatech"/>
    <x v="0"/>
    <d v="2017-04-05T00:00:00"/>
    <x v="106"/>
    <n v="57"/>
  </r>
  <r>
    <x v="2116"/>
    <x v="23"/>
    <x v="4"/>
    <x v="2"/>
    <s v="GTXPro"/>
    <s v="Yearin"/>
    <x v="0"/>
    <d v="2017-04-05T00:00:00"/>
    <x v="89"/>
    <n v="5558"/>
  </r>
  <r>
    <x v="2117"/>
    <x v="28"/>
    <x v="0"/>
    <x v="0"/>
    <s v="GTX Plus Pro"/>
    <s v="Treequote"/>
    <x v="2"/>
    <d v="2017-04-05T00:00:00"/>
    <x v="102"/>
    <n v="0"/>
  </r>
  <r>
    <x v="2118"/>
    <x v="27"/>
    <x v="5"/>
    <x v="2"/>
    <s v="GTX Basic"/>
    <s v="Silis"/>
    <x v="2"/>
    <d v="2017-04-05T00:00:00"/>
    <x v="99"/>
    <n v="0"/>
  </r>
  <r>
    <x v="2119"/>
    <x v="27"/>
    <x v="5"/>
    <x v="2"/>
    <s v="GTX Plus Basic"/>
    <s v="Bubba Gump"/>
    <x v="0"/>
    <d v="2017-04-05T00:00:00"/>
    <x v="102"/>
    <n v="1083"/>
  </r>
  <r>
    <x v="2120"/>
    <x v="1"/>
    <x v="1"/>
    <x v="0"/>
    <s v="GTXPro"/>
    <s v="Treequote"/>
    <x v="0"/>
    <d v="2017-04-05T00:00:00"/>
    <x v="98"/>
    <n v="5647"/>
  </r>
  <r>
    <x v="2121"/>
    <x v="26"/>
    <x v="4"/>
    <x v="2"/>
    <s v="GTX Basic"/>
    <s v="Zencorporation"/>
    <x v="2"/>
    <d v="2017-04-05T00:00:00"/>
    <x v="109"/>
    <n v="0"/>
  </r>
  <r>
    <x v="2122"/>
    <x v="26"/>
    <x v="4"/>
    <x v="2"/>
    <s v="GTXPro"/>
    <s v="Silis"/>
    <x v="0"/>
    <d v="2017-04-05T00:00:00"/>
    <x v="84"/>
    <n v="4648"/>
  </r>
  <r>
    <x v="2123"/>
    <x v="26"/>
    <x v="4"/>
    <x v="2"/>
    <s v="MG Special"/>
    <s v="Plussunin"/>
    <x v="0"/>
    <d v="2017-04-05T00:00:00"/>
    <x v="106"/>
    <n v="50"/>
  </r>
  <r>
    <x v="2124"/>
    <x v="8"/>
    <x v="1"/>
    <x v="0"/>
    <s v="MG Advanced"/>
    <s v="Hottechi"/>
    <x v="2"/>
    <d v="2017-04-05T00:00:00"/>
    <x v="99"/>
    <n v="0"/>
  </r>
  <r>
    <x v="2125"/>
    <x v="7"/>
    <x v="2"/>
    <x v="1"/>
    <s v="GTX Basic"/>
    <s v="Kan-code"/>
    <x v="2"/>
    <d v="2017-04-05T00:00:00"/>
    <x v="77"/>
    <n v="0"/>
  </r>
  <r>
    <x v="2126"/>
    <x v="7"/>
    <x v="2"/>
    <x v="1"/>
    <s v="GTXPro"/>
    <s v="Singletechno"/>
    <x v="2"/>
    <d v="2017-04-05T00:00:00"/>
    <x v="99"/>
    <n v="0"/>
  </r>
  <r>
    <x v="2127"/>
    <x v="29"/>
    <x v="1"/>
    <x v="0"/>
    <s v="GTX Basic"/>
    <s v="dambase"/>
    <x v="2"/>
    <d v="2017-04-05T00:00:00"/>
    <x v="109"/>
    <n v="0"/>
  </r>
  <r>
    <x v="2128"/>
    <x v="29"/>
    <x v="1"/>
    <x v="0"/>
    <s v="GTX Basic"/>
    <s v="Rangreen"/>
    <x v="0"/>
    <d v="2017-04-05T00:00:00"/>
    <x v="51"/>
    <n v="505"/>
  </r>
  <r>
    <x v="2129"/>
    <x v="18"/>
    <x v="2"/>
    <x v="1"/>
    <s v="GTXPro"/>
    <s v="Doncon"/>
    <x v="2"/>
    <d v="2017-04-05T00:00:00"/>
    <x v="108"/>
    <n v="0"/>
  </r>
  <r>
    <x v="2130"/>
    <x v="18"/>
    <x v="2"/>
    <x v="1"/>
    <s v="GTX Basic"/>
    <s v="Green-Plus"/>
    <x v="0"/>
    <d v="2017-04-05T00:00:00"/>
    <x v="98"/>
    <n v="450"/>
  </r>
  <r>
    <x v="2131"/>
    <x v="18"/>
    <x v="2"/>
    <x v="1"/>
    <s v="GTX Plus Pro"/>
    <s v="Blackzim"/>
    <x v="0"/>
    <d v="2017-04-05T00:00:00"/>
    <x v="74"/>
    <n v="4983"/>
  </r>
  <r>
    <x v="2132"/>
    <x v="24"/>
    <x v="0"/>
    <x v="0"/>
    <s v="GTX Plus Basic"/>
    <s v="Ron-tech"/>
    <x v="0"/>
    <d v="2017-04-05T00:00:00"/>
    <x v="84"/>
    <n v="1140"/>
  </r>
  <r>
    <x v="2133"/>
    <x v="5"/>
    <x v="3"/>
    <x v="1"/>
    <s v="MG Special"/>
    <m/>
    <x v="1"/>
    <d v="2017-04-05T00:00:00"/>
    <x v="6"/>
    <m/>
  </r>
  <r>
    <x v="2134"/>
    <x v="5"/>
    <x v="3"/>
    <x v="1"/>
    <s v="GTX Plus Basic"/>
    <s v="Faxquote"/>
    <x v="2"/>
    <d v="2017-04-05T00:00:00"/>
    <x v="99"/>
    <n v="0"/>
  </r>
  <r>
    <x v="2135"/>
    <x v="5"/>
    <x v="3"/>
    <x v="1"/>
    <s v="MG Advanced"/>
    <s v="J-Texon"/>
    <x v="0"/>
    <d v="2017-04-05T00:00:00"/>
    <x v="81"/>
    <n v="3188"/>
  </r>
  <r>
    <x v="2136"/>
    <x v="19"/>
    <x v="4"/>
    <x v="2"/>
    <s v="GTX Basic"/>
    <s v="Silis"/>
    <x v="2"/>
    <d v="2017-04-05T00:00:00"/>
    <x v="98"/>
    <n v="0"/>
  </r>
  <r>
    <x v="2137"/>
    <x v="19"/>
    <x v="4"/>
    <x v="2"/>
    <s v="GTX Plus Basic"/>
    <s v="Xx-zobam"/>
    <x v="0"/>
    <d v="2017-04-05T00:00:00"/>
    <x v="110"/>
    <n v="1091"/>
  </r>
  <r>
    <x v="2138"/>
    <x v="19"/>
    <x v="4"/>
    <x v="2"/>
    <s v="GTX Plus Pro"/>
    <s v="Bioplex"/>
    <x v="0"/>
    <d v="2017-04-05T00:00:00"/>
    <x v="104"/>
    <n v="5095"/>
  </r>
  <r>
    <x v="2139"/>
    <x v="19"/>
    <x v="4"/>
    <x v="2"/>
    <s v="MG Special"/>
    <s v="Condax"/>
    <x v="0"/>
    <d v="2017-04-05T00:00:00"/>
    <x v="110"/>
    <n v="51"/>
  </r>
  <r>
    <x v="2140"/>
    <x v="11"/>
    <x v="3"/>
    <x v="1"/>
    <s v="MG Special"/>
    <s v="Green-Plus"/>
    <x v="0"/>
    <d v="2017-04-05T00:00:00"/>
    <x v="84"/>
    <n v="62"/>
  </r>
  <r>
    <x v="2141"/>
    <x v="4"/>
    <x v="3"/>
    <x v="1"/>
    <s v="GTX Basic"/>
    <s v="Zoomit"/>
    <x v="0"/>
    <d v="2017-04-05T00:00:00"/>
    <x v="88"/>
    <n v="550"/>
  </r>
  <r>
    <x v="2142"/>
    <x v="15"/>
    <x v="5"/>
    <x v="2"/>
    <s v="MG Special"/>
    <s v="Gekko &amp; Co"/>
    <x v="0"/>
    <d v="2017-04-05T00:00:00"/>
    <x v="99"/>
    <n v="45"/>
  </r>
  <r>
    <x v="2143"/>
    <x v="2"/>
    <x v="2"/>
    <x v="1"/>
    <s v="GTX Basic"/>
    <m/>
    <x v="1"/>
    <d v="2017-04-05T00:00:00"/>
    <x v="6"/>
    <m/>
  </r>
  <r>
    <x v="2144"/>
    <x v="3"/>
    <x v="0"/>
    <x v="0"/>
    <s v="GTX Basic"/>
    <s v="Dontechi"/>
    <x v="0"/>
    <d v="2017-04-06T00:00:00"/>
    <x v="73"/>
    <n v="527"/>
  </r>
  <r>
    <x v="2145"/>
    <x v="23"/>
    <x v="4"/>
    <x v="2"/>
    <s v="GTX Basic"/>
    <s v="Kinnamplus"/>
    <x v="2"/>
    <d v="2017-04-06T00:00:00"/>
    <x v="108"/>
    <n v="0"/>
  </r>
  <r>
    <x v="2146"/>
    <x v="23"/>
    <x v="4"/>
    <x v="2"/>
    <s v="GTX Plus Basic"/>
    <s v="Xx-zobam"/>
    <x v="2"/>
    <d v="2017-04-06T00:00:00"/>
    <x v="77"/>
    <n v="0"/>
  </r>
  <r>
    <x v="2147"/>
    <x v="13"/>
    <x v="4"/>
    <x v="2"/>
    <s v="MG Advanced"/>
    <m/>
    <x v="1"/>
    <d v="2017-04-06T00:00:00"/>
    <x v="6"/>
    <m/>
  </r>
  <r>
    <x v="2148"/>
    <x v="1"/>
    <x v="1"/>
    <x v="0"/>
    <s v="MG Advanced"/>
    <s v="Domzoom"/>
    <x v="2"/>
    <d v="2017-04-06T00:00:00"/>
    <x v="100"/>
    <n v="0"/>
  </r>
  <r>
    <x v="2149"/>
    <x v="1"/>
    <x v="1"/>
    <x v="0"/>
    <s v="MG Special"/>
    <s v="Rundofase"/>
    <x v="0"/>
    <d v="2017-04-06T00:00:00"/>
    <x v="106"/>
    <n v="64"/>
  </r>
  <r>
    <x v="2150"/>
    <x v="26"/>
    <x v="4"/>
    <x v="2"/>
    <s v="MG Advanced"/>
    <s v="Plussunin"/>
    <x v="0"/>
    <d v="2017-04-06T00:00:00"/>
    <x v="108"/>
    <n v="3655"/>
  </r>
  <r>
    <x v="2151"/>
    <x v="14"/>
    <x v="3"/>
    <x v="1"/>
    <s v="GTK 500"/>
    <m/>
    <x v="1"/>
    <d v="2017-04-06T00:00:00"/>
    <x v="6"/>
    <m/>
  </r>
  <r>
    <x v="2152"/>
    <x v="14"/>
    <x v="3"/>
    <x v="1"/>
    <s v="MG Special"/>
    <m/>
    <x v="1"/>
    <d v="2017-04-06T00:00:00"/>
    <x v="6"/>
    <m/>
  </r>
  <r>
    <x v="2153"/>
    <x v="8"/>
    <x v="1"/>
    <x v="0"/>
    <s v="MG Special"/>
    <s v="Bioholding"/>
    <x v="2"/>
    <d v="2017-04-06T00:00:00"/>
    <x v="111"/>
    <n v="0"/>
  </r>
  <r>
    <x v="2154"/>
    <x v="8"/>
    <x v="1"/>
    <x v="0"/>
    <s v="MG Advanced"/>
    <s v="Rundofase"/>
    <x v="2"/>
    <d v="2017-04-06T00:00:00"/>
    <x v="105"/>
    <n v="0"/>
  </r>
  <r>
    <x v="2155"/>
    <x v="10"/>
    <x v="3"/>
    <x v="1"/>
    <s v="MG Advanced"/>
    <m/>
    <x v="1"/>
    <d v="2017-04-06T00:00:00"/>
    <x v="6"/>
    <m/>
  </r>
  <r>
    <x v="2156"/>
    <x v="7"/>
    <x v="2"/>
    <x v="1"/>
    <s v="GTX Basic"/>
    <s v="Finjob"/>
    <x v="0"/>
    <d v="2017-04-06T00:00:00"/>
    <x v="74"/>
    <n v="561"/>
  </r>
  <r>
    <x v="2157"/>
    <x v="16"/>
    <x v="2"/>
    <x v="1"/>
    <s v="GTX Plus Basic"/>
    <m/>
    <x v="1"/>
    <d v="2017-04-06T00:00:00"/>
    <x v="6"/>
    <m/>
  </r>
  <r>
    <x v="2158"/>
    <x v="18"/>
    <x v="2"/>
    <x v="1"/>
    <s v="GTX Basic"/>
    <s v="Hatfan"/>
    <x v="2"/>
    <d v="2017-04-06T00:00:00"/>
    <x v="112"/>
    <n v="0"/>
  </r>
  <r>
    <x v="2159"/>
    <x v="18"/>
    <x v="2"/>
    <x v="1"/>
    <s v="GTX Plus Basic"/>
    <s v="Faxquote"/>
    <x v="2"/>
    <d v="2017-04-06T00:00:00"/>
    <x v="111"/>
    <n v="0"/>
  </r>
  <r>
    <x v="2160"/>
    <x v="18"/>
    <x v="2"/>
    <x v="1"/>
    <s v="GTX Plus Pro"/>
    <s v="Plexzap"/>
    <x v="0"/>
    <d v="2017-04-06T00:00:00"/>
    <x v="99"/>
    <n v="6154"/>
  </r>
  <r>
    <x v="2161"/>
    <x v="18"/>
    <x v="2"/>
    <x v="1"/>
    <s v="GTXPro"/>
    <s v="Cheers"/>
    <x v="0"/>
    <d v="2017-04-06T00:00:00"/>
    <x v="104"/>
    <n v="4756"/>
  </r>
  <r>
    <x v="2162"/>
    <x v="24"/>
    <x v="0"/>
    <x v="0"/>
    <s v="GTX Basic"/>
    <s v="Streethex"/>
    <x v="2"/>
    <d v="2017-04-06T00:00:00"/>
    <x v="106"/>
    <n v="0"/>
  </r>
  <r>
    <x v="2163"/>
    <x v="24"/>
    <x v="0"/>
    <x v="0"/>
    <s v="MG Special"/>
    <s v="Gogozoom"/>
    <x v="0"/>
    <d v="2017-04-06T00:00:00"/>
    <x v="77"/>
    <n v="61"/>
  </r>
  <r>
    <x v="2164"/>
    <x v="0"/>
    <x v="0"/>
    <x v="0"/>
    <s v="GTX Basic"/>
    <s v="Warephase"/>
    <x v="0"/>
    <d v="2017-04-06T00:00:00"/>
    <x v="90"/>
    <n v="575"/>
  </r>
  <r>
    <x v="2165"/>
    <x v="0"/>
    <x v="0"/>
    <x v="0"/>
    <s v="GTX Plus Basic"/>
    <s v="Finhigh"/>
    <x v="0"/>
    <d v="2017-04-06T00:00:00"/>
    <x v="57"/>
    <n v="1147"/>
  </r>
  <r>
    <x v="2166"/>
    <x v="0"/>
    <x v="0"/>
    <x v="0"/>
    <s v="MG Advanced"/>
    <s v="Funholding"/>
    <x v="0"/>
    <d v="2017-04-06T00:00:00"/>
    <x v="82"/>
    <n v="3161"/>
  </r>
  <r>
    <x v="2167"/>
    <x v="6"/>
    <x v="1"/>
    <x v="0"/>
    <s v="GTX Basic"/>
    <s v="Isdom"/>
    <x v="2"/>
    <d v="2017-04-06T00:00:00"/>
    <x v="111"/>
    <n v="0"/>
  </r>
  <r>
    <x v="2168"/>
    <x v="4"/>
    <x v="3"/>
    <x v="1"/>
    <s v="MG Advanced"/>
    <s v="Condax"/>
    <x v="2"/>
    <d v="2017-04-06T00:00:00"/>
    <x v="106"/>
    <n v="0"/>
  </r>
  <r>
    <x v="2169"/>
    <x v="4"/>
    <x v="3"/>
    <x v="1"/>
    <s v="GTX Basic"/>
    <s v="Scotfind"/>
    <x v="0"/>
    <d v="2017-04-06T00:00:00"/>
    <x v="32"/>
    <n v="525"/>
  </r>
  <r>
    <x v="2170"/>
    <x v="2"/>
    <x v="2"/>
    <x v="1"/>
    <s v="GTXPro"/>
    <s v="Dalttechnology"/>
    <x v="0"/>
    <d v="2017-04-06T00:00:00"/>
    <x v="104"/>
    <n v="4168"/>
  </r>
  <r>
    <x v="2171"/>
    <x v="3"/>
    <x v="0"/>
    <x v="0"/>
    <s v="GTX Basic"/>
    <s v="Warephase"/>
    <x v="0"/>
    <d v="2017-04-07T00:00:00"/>
    <x v="100"/>
    <n v="596"/>
  </r>
  <r>
    <x v="2172"/>
    <x v="25"/>
    <x v="4"/>
    <x v="2"/>
    <s v="GTXPro"/>
    <m/>
    <x v="1"/>
    <d v="2017-04-07T00:00:00"/>
    <x v="6"/>
    <m/>
  </r>
  <r>
    <x v="2173"/>
    <x v="25"/>
    <x v="4"/>
    <x v="2"/>
    <s v="MG Special"/>
    <s v="Zotware"/>
    <x v="0"/>
    <d v="2017-04-07T00:00:00"/>
    <x v="108"/>
    <n v="59"/>
  </r>
  <r>
    <x v="2174"/>
    <x v="23"/>
    <x v="4"/>
    <x v="2"/>
    <s v="GTXPro"/>
    <s v="Ontomedia"/>
    <x v="2"/>
    <d v="2017-04-07T00:00:00"/>
    <x v="39"/>
    <n v="0"/>
  </r>
  <r>
    <x v="2175"/>
    <x v="27"/>
    <x v="5"/>
    <x v="2"/>
    <s v="MG Advanced"/>
    <m/>
    <x v="1"/>
    <d v="2017-04-07T00:00:00"/>
    <x v="6"/>
    <m/>
  </r>
  <r>
    <x v="2176"/>
    <x v="27"/>
    <x v="5"/>
    <x v="2"/>
    <s v="GTX Plus Pro"/>
    <s v="Konex"/>
    <x v="0"/>
    <d v="2017-04-07T00:00:00"/>
    <x v="108"/>
    <n v="5684"/>
  </r>
  <r>
    <x v="2177"/>
    <x v="13"/>
    <x v="4"/>
    <x v="2"/>
    <s v="MG Advanced"/>
    <s v="Kan-code"/>
    <x v="2"/>
    <d v="2017-04-07T00:00:00"/>
    <x v="108"/>
    <n v="0"/>
  </r>
  <r>
    <x v="2178"/>
    <x v="1"/>
    <x v="1"/>
    <x v="0"/>
    <s v="GTXPro"/>
    <s v="Gogozoom"/>
    <x v="0"/>
    <d v="2017-04-07T00:00:00"/>
    <x v="108"/>
    <n v="4413"/>
  </r>
  <r>
    <x v="2179"/>
    <x v="26"/>
    <x v="4"/>
    <x v="2"/>
    <s v="MG Advanced"/>
    <s v="Opentech"/>
    <x v="2"/>
    <d v="2017-04-07T00:00:00"/>
    <x v="113"/>
    <n v="0"/>
  </r>
  <r>
    <x v="2180"/>
    <x v="26"/>
    <x v="4"/>
    <x v="2"/>
    <s v="MG Advanced"/>
    <s v="Vehement Capital Partners"/>
    <x v="2"/>
    <d v="2017-04-07T00:00:00"/>
    <x v="108"/>
    <n v="0"/>
  </r>
  <r>
    <x v="2181"/>
    <x v="26"/>
    <x v="4"/>
    <x v="2"/>
    <s v="GTXPro"/>
    <s v="Mathtouch"/>
    <x v="0"/>
    <d v="2017-04-07T00:00:00"/>
    <x v="105"/>
    <n v="4152"/>
  </r>
  <r>
    <x v="2182"/>
    <x v="14"/>
    <x v="3"/>
    <x v="1"/>
    <s v="MG Special"/>
    <s v="Dalttechnology"/>
    <x v="0"/>
    <d v="2017-04-07T00:00:00"/>
    <x v="90"/>
    <n v="51"/>
  </r>
  <r>
    <x v="2183"/>
    <x v="21"/>
    <x v="5"/>
    <x v="2"/>
    <s v="GTX Basic"/>
    <s v="Zathunicon"/>
    <x v="2"/>
    <d v="2017-04-07T00:00:00"/>
    <x v="108"/>
    <n v="0"/>
  </r>
  <r>
    <x v="2184"/>
    <x v="8"/>
    <x v="1"/>
    <x v="0"/>
    <s v="MG Advanced"/>
    <s v="Toughzap"/>
    <x v="2"/>
    <d v="2017-04-07T00:00:00"/>
    <x v="114"/>
    <n v="0"/>
  </r>
  <r>
    <x v="2185"/>
    <x v="7"/>
    <x v="2"/>
    <x v="1"/>
    <s v="GTX Plus Basic"/>
    <s v="Sonron"/>
    <x v="0"/>
    <d v="2017-04-07T00:00:00"/>
    <x v="40"/>
    <n v="1103"/>
  </r>
  <r>
    <x v="2186"/>
    <x v="29"/>
    <x v="1"/>
    <x v="0"/>
    <s v="GTX Plus Basic"/>
    <s v="Warephase"/>
    <x v="0"/>
    <d v="2017-04-07T00:00:00"/>
    <x v="101"/>
    <n v="1091"/>
  </r>
  <r>
    <x v="2187"/>
    <x v="29"/>
    <x v="1"/>
    <x v="0"/>
    <s v="GTX Plus Basic"/>
    <s v="Zumgoity"/>
    <x v="0"/>
    <d v="2017-04-07T00:00:00"/>
    <x v="113"/>
    <n v="1189"/>
  </r>
  <r>
    <x v="2188"/>
    <x v="29"/>
    <x v="1"/>
    <x v="0"/>
    <s v="GTXPro"/>
    <s v="Streethex"/>
    <x v="0"/>
    <d v="2017-04-07T00:00:00"/>
    <x v="87"/>
    <n v="4534"/>
  </r>
  <r>
    <x v="2189"/>
    <x v="16"/>
    <x v="2"/>
    <x v="1"/>
    <s v="GTX Basic"/>
    <s v="Golddex"/>
    <x v="2"/>
    <d v="2017-04-07T00:00:00"/>
    <x v="51"/>
    <n v="0"/>
  </r>
  <r>
    <x v="2190"/>
    <x v="16"/>
    <x v="2"/>
    <x v="1"/>
    <s v="GTX Plus Basic"/>
    <s v="Konex"/>
    <x v="2"/>
    <d v="2017-04-07T00:00:00"/>
    <x v="111"/>
    <n v="0"/>
  </r>
  <r>
    <x v="2191"/>
    <x v="18"/>
    <x v="2"/>
    <x v="1"/>
    <s v="GTX Basic"/>
    <m/>
    <x v="1"/>
    <d v="2017-04-07T00:00:00"/>
    <x v="6"/>
    <m/>
  </r>
  <r>
    <x v="2192"/>
    <x v="18"/>
    <x v="2"/>
    <x v="1"/>
    <s v="MG Advanced"/>
    <m/>
    <x v="1"/>
    <d v="2017-04-07T00:00:00"/>
    <x v="6"/>
    <m/>
  </r>
  <r>
    <x v="2193"/>
    <x v="24"/>
    <x v="0"/>
    <x v="0"/>
    <s v="GTX Basic"/>
    <s v="Codehow"/>
    <x v="2"/>
    <d v="2017-04-07T00:00:00"/>
    <x v="111"/>
    <n v="0"/>
  </r>
  <r>
    <x v="2194"/>
    <x v="5"/>
    <x v="3"/>
    <x v="1"/>
    <s v="GTX Basic"/>
    <s v="Condax"/>
    <x v="0"/>
    <d v="2017-04-07T00:00:00"/>
    <x v="105"/>
    <n v="522"/>
  </r>
  <r>
    <x v="2195"/>
    <x v="5"/>
    <x v="3"/>
    <x v="1"/>
    <s v="GTXPro"/>
    <s v="Goodsilron"/>
    <x v="0"/>
    <d v="2017-04-07T00:00:00"/>
    <x v="63"/>
    <n v="5012"/>
  </r>
  <r>
    <x v="2196"/>
    <x v="9"/>
    <x v="2"/>
    <x v="1"/>
    <s v="GTX Plus Basic"/>
    <s v="Rantouch"/>
    <x v="0"/>
    <d v="2017-04-07T00:00:00"/>
    <x v="100"/>
    <n v="1109"/>
  </r>
  <r>
    <x v="2197"/>
    <x v="0"/>
    <x v="0"/>
    <x v="0"/>
    <s v="GTX Plus Pro"/>
    <s v="Genco Pura Olive Oil Company"/>
    <x v="0"/>
    <d v="2017-04-07T00:00:00"/>
    <x v="105"/>
    <n v="4659"/>
  </r>
  <r>
    <x v="2198"/>
    <x v="6"/>
    <x v="1"/>
    <x v="0"/>
    <s v="GTX Basic"/>
    <s v="Cancity"/>
    <x v="2"/>
    <d v="2017-04-07T00:00:00"/>
    <x v="111"/>
    <n v="0"/>
  </r>
  <r>
    <x v="2199"/>
    <x v="12"/>
    <x v="0"/>
    <x v="0"/>
    <s v="GTX Plus Pro"/>
    <s v="Codehow"/>
    <x v="2"/>
    <d v="2017-04-07T00:00:00"/>
    <x v="68"/>
    <n v="0"/>
  </r>
  <r>
    <x v="2200"/>
    <x v="12"/>
    <x v="0"/>
    <x v="0"/>
    <s v="GTX Plus Pro"/>
    <s v="Treequote"/>
    <x v="2"/>
    <d v="2017-04-07T00:00:00"/>
    <x v="101"/>
    <n v="0"/>
  </r>
  <r>
    <x v="2201"/>
    <x v="12"/>
    <x v="0"/>
    <x v="0"/>
    <s v="MG Special"/>
    <s v="Konmatfix"/>
    <x v="2"/>
    <d v="2017-04-07T00:00:00"/>
    <x v="77"/>
    <n v="0"/>
  </r>
  <r>
    <x v="2202"/>
    <x v="12"/>
    <x v="0"/>
    <x v="0"/>
    <s v="MG Advanced"/>
    <s v="Rangreen"/>
    <x v="2"/>
    <d v="2017-04-07T00:00:00"/>
    <x v="104"/>
    <n v="0"/>
  </r>
  <r>
    <x v="2203"/>
    <x v="4"/>
    <x v="3"/>
    <x v="1"/>
    <s v="GTX Basic"/>
    <m/>
    <x v="1"/>
    <d v="2017-04-07T00:00:00"/>
    <x v="6"/>
    <m/>
  </r>
  <r>
    <x v="2204"/>
    <x v="4"/>
    <x v="3"/>
    <x v="1"/>
    <s v="MG Advanced"/>
    <s v="Konex"/>
    <x v="2"/>
    <d v="2017-04-07T00:00:00"/>
    <x v="111"/>
    <n v="0"/>
  </r>
  <r>
    <x v="2205"/>
    <x v="2"/>
    <x v="2"/>
    <x v="1"/>
    <s v="MG Advanced"/>
    <s v="Finjob"/>
    <x v="2"/>
    <d v="2017-04-07T00:00:00"/>
    <x v="105"/>
    <n v="0"/>
  </r>
  <r>
    <x v="2206"/>
    <x v="3"/>
    <x v="0"/>
    <x v="0"/>
    <s v="MG Advanced"/>
    <s v="dambase"/>
    <x v="2"/>
    <d v="2017-04-08T00:00:00"/>
    <x v="108"/>
    <n v="0"/>
  </r>
  <r>
    <x v="2207"/>
    <x v="3"/>
    <x v="0"/>
    <x v="0"/>
    <s v="GTX Plus Basic"/>
    <s v="Stanredtax"/>
    <x v="0"/>
    <d v="2017-04-08T00:00:00"/>
    <x v="108"/>
    <n v="1142"/>
  </r>
  <r>
    <x v="2208"/>
    <x v="23"/>
    <x v="4"/>
    <x v="2"/>
    <s v="GTXPro"/>
    <m/>
    <x v="1"/>
    <d v="2017-04-08T00:00:00"/>
    <x v="6"/>
    <m/>
  </r>
  <r>
    <x v="2209"/>
    <x v="27"/>
    <x v="5"/>
    <x v="2"/>
    <s v="GTX Basic"/>
    <s v="Zathunicon"/>
    <x v="0"/>
    <d v="2017-04-08T00:00:00"/>
    <x v="63"/>
    <n v="491"/>
  </r>
  <r>
    <x v="2210"/>
    <x v="13"/>
    <x v="4"/>
    <x v="2"/>
    <s v="GTX Plus Pro"/>
    <s v="Y-corporation"/>
    <x v="1"/>
    <d v="2017-04-08T00:00:00"/>
    <x v="6"/>
    <m/>
  </r>
  <r>
    <x v="2211"/>
    <x v="1"/>
    <x v="1"/>
    <x v="0"/>
    <s v="GTXPro"/>
    <s v="Finhigh"/>
    <x v="2"/>
    <d v="2017-04-08T00:00:00"/>
    <x v="114"/>
    <n v="0"/>
  </r>
  <r>
    <x v="2212"/>
    <x v="1"/>
    <x v="1"/>
    <x v="0"/>
    <s v="MG Special"/>
    <s v="Domzoom"/>
    <x v="2"/>
    <d v="2017-04-08T00:00:00"/>
    <x v="106"/>
    <n v="0"/>
  </r>
  <r>
    <x v="2213"/>
    <x v="1"/>
    <x v="1"/>
    <x v="0"/>
    <s v="GTXPro"/>
    <s v="Funholding"/>
    <x v="0"/>
    <d v="2017-04-08T00:00:00"/>
    <x v="101"/>
    <n v="5678"/>
  </r>
  <r>
    <x v="2214"/>
    <x v="26"/>
    <x v="4"/>
    <x v="2"/>
    <s v="GTXPro"/>
    <s v="Bioplex"/>
    <x v="2"/>
    <d v="2017-04-08T00:00:00"/>
    <x v="111"/>
    <n v="0"/>
  </r>
  <r>
    <x v="2215"/>
    <x v="26"/>
    <x v="4"/>
    <x v="2"/>
    <s v="GTX Basic"/>
    <s v="Sumace"/>
    <x v="0"/>
    <d v="2017-04-08T00:00:00"/>
    <x v="64"/>
    <n v="547"/>
  </r>
  <r>
    <x v="2216"/>
    <x v="21"/>
    <x v="5"/>
    <x v="2"/>
    <s v="GTX Basic"/>
    <s v="Umbrella Corporation"/>
    <x v="2"/>
    <d v="2017-04-08T00:00:00"/>
    <x v="111"/>
    <n v="0"/>
  </r>
  <r>
    <x v="2217"/>
    <x v="10"/>
    <x v="3"/>
    <x v="1"/>
    <s v="GTX Plus Basic"/>
    <s v="Singletechno"/>
    <x v="0"/>
    <d v="2017-04-08T00:00:00"/>
    <x v="49"/>
    <n v="935"/>
  </r>
  <r>
    <x v="2218"/>
    <x v="10"/>
    <x v="3"/>
    <x v="1"/>
    <s v="GTX Plus Pro"/>
    <s v="Scotfind"/>
    <x v="0"/>
    <d v="2017-04-08T00:00:00"/>
    <x v="102"/>
    <n v="4761"/>
  </r>
  <r>
    <x v="2219"/>
    <x v="10"/>
    <x v="3"/>
    <x v="1"/>
    <s v="MG Advanced"/>
    <s v="Newex"/>
    <x v="0"/>
    <d v="2017-04-08T00:00:00"/>
    <x v="106"/>
    <n v="3224"/>
  </r>
  <r>
    <x v="2220"/>
    <x v="16"/>
    <x v="2"/>
    <x v="1"/>
    <s v="GTX Basic"/>
    <s v="Sunnamplex"/>
    <x v="0"/>
    <d v="2017-04-08T00:00:00"/>
    <x v="113"/>
    <n v="501"/>
  </r>
  <r>
    <x v="2221"/>
    <x v="24"/>
    <x v="0"/>
    <x v="0"/>
    <s v="MG Advanced"/>
    <s v="Statholdings"/>
    <x v="0"/>
    <d v="2017-04-08T00:00:00"/>
    <x v="113"/>
    <n v="3532"/>
  </r>
  <r>
    <x v="2222"/>
    <x v="5"/>
    <x v="3"/>
    <x v="1"/>
    <s v="MG Advanced"/>
    <m/>
    <x v="1"/>
    <d v="2017-04-08T00:00:00"/>
    <x v="6"/>
    <m/>
  </r>
  <r>
    <x v="2223"/>
    <x v="9"/>
    <x v="2"/>
    <x v="1"/>
    <s v="GTXPro"/>
    <s v="Xx-holding"/>
    <x v="0"/>
    <d v="2017-04-08T00:00:00"/>
    <x v="104"/>
    <n v="4320"/>
  </r>
  <r>
    <x v="2224"/>
    <x v="0"/>
    <x v="0"/>
    <x v="0"/>
    <s v="MG Special"/>
    <s v="Genco Pura Olive Oil Company"/>
    <x v="2"/>
    <d v="2017-04-08T00:00:00"/>
    <x v="102"/>
    <n v="0"/>
  </r>
  <r>
    <x v="2225"/>
    <x v="19"/>
    <x v="4"/>
    <x v="2"/>
    <s v="GTX Plus Basic"/>
    <s v="Zotware"/>
    <x v="0"/>
    <d v="2017-04-08T00:00:00"/>
    <x v="80"/>
    <n v="1123"/>
  </r>
  <r>
    <x v="2226"/>
    <x v="17"/>
    <x v="5"/>
    <x v="2"/>
    <s v="GTXPro"/>
    <s v="Xx-zobam"/>
    <x v="0"/>
    <d v="2017-04-08T00:00:00"/>
    <x v="101"/>
    <n v="5217"/>
  </r>
  <r>
    <x v="2227"/>
    <x v="12"/>
    <x v="0"/>
    <x v="0"/>
    <s v="MG Special"/>
    <s v="Codehow"/>
    <x v="2"/>
    <d v="2017-04-08T00:00:00"/>
    <x v="63"/>
    <n v="0"/>
  </r>
  <r>
    <x v="2228"/>
    <x v="4"/>
    <x v="3"/>
    <x v="1"/>
    <s v="GTXPro"/>
    <m/>
    <x v="1"/>
    <d v="2017-04-08T00:00:00"/>
    <x v="6"/>
    <m/>
  </r>
  <r>
    <x v="2229"/>
    <x v="4"/>
    <x v="3"/>
    <x v="1"/>
    <s v="GTX Basic"/>
    <s v="Labdrill"/>
    <x v="0"/>
    <d v="2017-04-08T00:00:00"/>
    <x v="76"/>
    <n v="595"/>
  </r>
  <r>
    <x v="2230"/>
    <x v="4"/>
    <x v="3"/>
    <x v="1"/>
    <s v="GTX Plus Pro"/>
    <s v="Konex"/>
    <x v="0"/>
    <d v="2017-04-08T00:00:00"/>
    <x v="111"/>
    <n v="5848"/>
  </r>
  <r>
    <x v="2231"/>
    <x v="2"/>
    <x v="2"/>
    <x v="1"/>
    <s v="GTX Basic"/>
    <s v="Faxquote"/>
    <x v="2"/>
    <d v="2017-04-08T00:00:00"/>
    <x v="101"/>
    <n v="0"/>
  </r>
  <r>
    <x v="2232"/>
    <x v="2"/>
    <x v="2"/>
    <x v="1"/>
    <s v="MG Special"/>
    <s v="Plexzap"/>
    <x v="2"/>
    <d v="2017-04-08T00:00:00"/>
    <x v="105"/>
    <n v="0"/>
  </r>
  <r>
    <x v="2233"/>
    <x v="2"/>
    <x v="2"/>
    <x v="1"/>
    <s v="GTX Plus Pro"/>
    <s v="Xx-holding"/>
    <x v="0"/>
    <d v="2017-04-08T00:00:00"/>
    <x v="113"/>
    <n v="5884"/>
  </r>
  <r>
    <x v="2234"/>
    <x v="3"/>
    <x v="0"/>
    <x v="0"/>
    <s v="MG Advanced"/>
    <s v="Betatech"/>
    <x v="0"/>
    <d v="2017-04-09T00:00:00"/>
    <x v="42"/>
    <n v="3666"/>
  </r>
  <r>
    <x v="2235"/>
    <x v="25"/>
    <x v="4"/>
    <x v="2"/>
    <s v="GTX Basic"/>
    <s v="Zathunicon"/>
    <x v="2"/>
    <d v="2017-04-09T00:00:00"/>
    <x v="114"/>
    <n v="0"/>
  </r>
  <r>
    <x v="2236"/>
    <x v="23"/>
    <x v="4"/>
    <x v="2"/>
    <s v="GTX Basic"/>
    <s v="Konex"/>
    <x v="0"/>
    <d v="2017-04-09T00:00:00"/>
    <x v="115"/>
    <n v="598"/>
  </r>
  <r>
    <x v="2237"/>
    <x v="23"/>
    <x v="4"/>
    <x v="2"/>
    <s v="MG Advanced"/>
    <s v="Initech"/>
    <x v="0"/>
    <d v="2017-04-09T00:00:00"/>
    <x v="111"/>
    <n v="3275"/>
  </r>
  <r>
    <x v="2238"/>
    <x v="28"/>
    <x v="0"/>
    <x v="0"/>
    <s v="GTX Basic"/>
    <s v="Funholding"/>
    <x v="2"/>
    <d v="2017-04-09T00:00:00"/>
    <x v="102"/>
    <n v="0"/>
  </r>
  <r>
    <x v="2239"/>
    <x v="28"/>
    <x v="0"/>
    <x v="0"/>
    <s v="GTX Basic"/>
    <s v="Isdom"/>
    <x v="2"/>
    <d v="2017-04-09T00:00:00"/>
    <x v="114"/>
    <n v="0"/>
  </r>
  <r>
    <x v="2240"/>
    <x v="28"/>
    <x v="0"/>
    <x v="0"/>
    <s v="MG Special"/>
    <s v="Zumgoity"/>
    <x v="2"/>
    <d v="2017-04-09T00:00:00"/>
    <x v="115"/>
    <n v="0"/>
  </r>
  <r>
    <x v="2241"/>
    <x v="27"/>
    <x v="5"/>
    <x v="2"/>
    <s v="MG Advanced"/>
    <m/>
    <x v="1"/>
    <d v="2017-04-09T00:00:00"/>
    <x v="6"/>
    <m/>
  </r>
  <r>
    <x v="2242"/>
    <x v="13"/>
    <x v="4"/>
    <x v="2"/>
    <s v="GTXPro"/>
    <s v="Betasoloin"/>
    <x v="2"/>
    <d v="2017-04-09T00:00:00"/>
    <x v="77"/>
    <n v="0"/>
  </r>
  <r>
    <x v="2243"/>
    <x v="1"/>
    <x v="1"/>
    <x v="0"/>
    <s v="GTXPro"/>
    <s v="Ron-tech"/>
    <x v="0"/>
    <d v="2017-04-09T00:00:00"/>
    <x v="114"/>
    <n v="4978"/>
  </r>
  <r>
    <x v="2244"/>
    <x v="14"/>
    <x v="3"/>
    <x v="1"/>
    <s v="MG Special"/>
    <s v="Dalttechnology"/>
    <x v="0"/>
    <d v="2017-04-09T00:00:00"/>
    <x v="56"/>
    <n v="56"/>
  </r>
  <r>
    <x v="2245"/>
    <x v="8"/>
    <x v="1"/>
    <x v="0"/>
    <s v="MG Advanced"/>
    <s v="Inity"/>
    <x v="0"/>
    <d v="2017-04-09T00:00:00"/>
    <x v="106"/>
    <n v="3077"/>
  </r>
  <r>
    <x v="2246"/>
    <x v="10"/>
    <x v="3"/>
    <x v="1"/>
    <s v="GTX Plus Basic"/>
    <s v="Hottechi"/>
    <x v="0"/>
    <d v="2017-04-09T00:00:00"/>
    <x v="113"/>
    <n v="974"/>
  </r>
  <r>
    <x v="2247"/>
    <x v="16"/>
    <x v="2"/>
    <x v="1"/>
    <s v="GTX Plus Basic"/>
    <s v="Cheers"/>
    <x v="0"/>
    <d v="2017-04-09T00:00:00"/>
    <x v="102"/>
    <n v="915"/>
  </r>
  <r>
    <x v="2248"/>
    <x v="18"/>
    <x v="2"/>
    <x v="1"/>
    <s v="GTX Plus Basic"/>
    <s v="Singletechno"/>
    <x v="2"/>
    <d v="2017-04-09T00:00:00"/>
    <x v="116"/>
    <n v="0"/>
  </r>
  <r>
    <x v="2249"/>
    <x v="18"/>
    <x v="2"/>
    <x v="1"/>
    <s v="MG Advanced"/>
    <s v="Blackzim"/>
    <x v="2"/>
    <d v="2017-04-09T00:00:00"/>
    <x v="111"/>
    <n v="0"/>
  </r>
  <r>
    <x v="2250"/>
    <x v="18"/>
    <x v="2"/>
    <x v="1"/>
    <s v="GTX Plus Basic"/>
    <s v="Condax"/>
    <x v="0"/>
    <d v="2017-04-09T00:00:00"/>
    <x v="72"/>
    <n v="983"/>
  </r>
  <r>
    <x v="2251"/>
    <x v="22"/>
    <x v="1"/>
    <x v="0"/>
    <s v="GTX Plus Basic"/>
    <s v="Inity"/>
    <x v="0"/>
    <d v="2017-04-09T00:00:00"/>
    <x v="102"/>
    <n v="1204"/>
  </r>
  <r>
    <x v="2252"/>
    <x v="0"/>
    <x v="0"/>
    <x v="0"/>
    <s v="GTX Plus Pro"/>
    <s v="Condax"/>
    <x v="2"/>
    <d v="2017-04-09T00:00:00"/>
    <x v="111"/>
    <n v="0"/>
  </r>
  <r>
    <x v="2253"/>
    <x v="6"/>
    <x v="1"/>
    <x v="0"/>
    <s v="GTX Plus Basic"/>
    <s v="Konmatfix"/>
    <x v="0"/>
    <d v="2017-04-09T00:00:00"/>
    <x v="102"/>
    <n v="970"/>
  </r>
  <r>
    <x v="2254"/>
    <x v="19"/>
    <x v="4"/>
    <x v="2"/>
    <s v="GTX Basic"/>
    <s v="Betasoloin"/>
    <x v="0"/>
    <d v="2017-04-09T00:00:00"/>
    <x v="111"/>
    <n v="575"/>
  </r>
  <r>
    <x v="2255"/>
    <x v="17"/>
    <x v="5"/>
    <x v="2"/>
    <s v="GTX Plus Pro"/>
    <s v="Ganjaflex"/>
    <x v="0"/>
    <d v="2017-04-09T00:00:00"/>
    <x v="70"/>
    <n v="5986"/>
  </r>
  <r>
    <x v="2256"/>
    <x v="12"/>
    <x v="0"/>
    <x v="0"/>
    <s v="GTX Plus Basic"/>
    <s v="Finhigh"/>
    <x v="2"/>
    <d v="2017-04-09T00:00:00"/>
    <x v="117"/>
    <n v="0"/>
  </r>
  <r>
    <x v="2257"/>
    <x v="4"/>
    <x v="3"/>
    <x v="1"/>
    <s v="MG Special"/>
    <s v="Rantouch"/>
    <x v="0"/>
    <d v="2017-04-09T00:00:00"/>
    <x v="83"/>
    <n v="64"/>
  </r>
  <r>
    <x v="2258"/>
    <x v="15"/>
    <x v="5"/>
    <x v="2"/>
    <s v="MG Special"/>
    <m/>
    <x v="1"/>
    <d v="2017-04-09T00:00:00"/>
    <x v="6"/>
    <m/>
  </r>
  <r>
    <x v="2259"/>
    <x v="2"/>
    <x v="2"/>
    <x v="1"/>
    <s v="GTX Plus Basic"/>
    <s v="Zencorporation"/>
    <x v="1"/>
    <d v="2017-04-09T00:00:00"/>
    <x v="6"/>
    <m/>
  </r>
  <r>
    <x v="2260"/>
    <x v="2"/>
    <x v="2"/>
    <x v="1"/>
    <s v="GTX Basic"/>
    <s v="Scotfind"/>
    <x v="2"/>
    <d v="2017-04-09T00:00:00"/>
    <x v="108"/>
    <n v="0"/>
  </r>
  <r>
    <x v="2261"/>
    <x v="2"/>
    <x v="2"/>
    <x v="1"/>
    <s v="MG Advanced"/>
    <s v="J-Texon"/>
    <x v="0"/>
    <d v="2017-04-09T00:00:00"/>
    <x v="86"/>
    <n v="3070"/>
  </r>
  <r>
    <x v="2262"/>
    <x v="3"/>
    <x v="0"/>
    <x v="0"/>
    <s v="MG Special"/>
    <s v="Finhigh"/>
    <x v="2"/>
    <d v="2017-04-10T00:00:00"/>
    <x v="103"/>
    <n v="0"/>
  </r>
  <r>
    <x v="2263"/>
    <x v="25"/>
    <x v="4"/>
    <x v="2"/>
    <s v="GTX Basic"/>
    <s v="Initech"/>
    <x v="2"/>
    <d v="2017-04-10T00:00:00"/>
    <x v="103"/>
    <n v="0"/>
  </r>
  <r>
    <x v="2264"/>
    <x v="23"/>
    <x v="4"/>
    <x v="2"/>
    <s v="GTX Plus Basic"/>
    <s v="Mathtouch"/>
    <x v="2"/>
    <d v="2017-04-10T00:00:00"/>
    <x v="113"/>
    <n v="0"/>
  </r>
  <r>
    <x v="2265"/>
    <x v="28"/>
    <x v="0"/>
    <x v="0"/>
    <s v="MG Special"/>
    <s v="Rangreen"/>
    <x v="2"/>
    <d v="2017-04-10T00:00:00"/>
    <x v="115"/>
    <n v="0"/>
  </r>
  <r>
    <x v="2266"/>
    <x v="28"/>
    <x v="0"/>
    <x v="0"/>
    <s v="MG Advanced"/>
    <s v="Isdom"/>
    <x v="0"/>
    <d v="2017-04-10T00:00:00"/>
    <x v="114"/>
    <n v="3409"/>
  </r>
  <r>
    <x v="2267"/>
    <x v="13"/>
    <x v="4"/>
    <x v="2"/>
    <s v="GTX Plus Pro"/>
    <s v="Acme Corporation"/>
    <x v="0"/>
    <d v="2017-04-10T00:00:00"/>
    <x v="80"/>
    <n v="5721"/>
  </r>
  <r>
    <x v="2268"/>
    <x v="13"/>
    <x v="4"/>
    <x v="2"/>
    <s v="GTXPro"/>
    <s v="Ganjaflex"/>
    <x v="0"/>
    <d v="2017-04-10T00:00:00"/>
    <x v="88"/>
    <n v="5039"/>
  </r>
  <r>
    <x v="2269"/>
    <x v="13"/>
    <x v="4"/>
    <x v="2"/>
    <s v="GTXPro"/>
    <s v="Xx-zobam"/>
    <x v="0"/>
    <d v="2017-04-10T00:00:00"/>
    <x v="103"/>
    <n v="5000"/>
  </r>
  <r>
    <x v="2270"/>
    <x v="1"/>
    <x v="1"/>
    <x v="0"/>
    <s v="GTX Basic"/>
    <s v="Hottechi"/>
    <x v="2"/>
    <d v="2017-04-10T00:00:00"/>
    <x v="114"/>
    <n v="0"/>
  </r>
  <r>
    <x v="2271"/>
    <x v="1"/>
    <x v="1"/>
    <x v="0"/>
    <s v="GTXPro"/>
    <s v="Codehow"/>
    <x v="2"/>
    <d v="2017-04-10T00:00:00"/>
    <x v="114"/>
    <n v="0"/>
  </r>
  <r>
    <x v="2272"/>
    <x v="1"/>
    <x v="1"/>
    <x v="0"/>
    <s v="GTX Plus Pro"/>
    <s v="Gogozoom"/>
    <x v="0"/>
    <d v="2017-04-10T00:00:00"/>
    <x v="111"/>
    <n v="4955"/>
  </r>
  <r>
    <x v="2273"/>
    <x v="1"/>
    <x v="1"/>
    <x v="0"/>
    <s v="GTXPro"/>
    <s v="Condax"/>
    <x v="0"/>
    <d v="2017-04-10T00:00:00"/>
    <x v="113"/>
    <n v="5065"/>
  </r>
  <r>
    <x v="2274"/>
    <x v="1"/>
    <x v="1"/>
    <x v="0"/>
    <s v="GTXPro"/>
    <s v="Globex Corporation"/>
    <x v="0"/>
    <d v="2017-04-10T00:00:00"/>
    <x v="113"/>
    <n v="4343"/>
  </r>
  <r>
    <x v="2275"/>
    <x v="1"/>
    <x v="1"/>
    <x v="0"/>
    <s v="GTXPro"/>
    <s v="Stanredtax"/>
    <x v="0"/>
    <d v="2017-04-10T00:00:00"/>
    <x v="115"/>
    <n v="3892"/>
  </r>
  <r>
    <x v="2276"/>
    <x v="8"/>
    <x v="1"/>
    <x v="0"/>
    <s v="GTX Basic"/>
    <s v="Warephase"/>
    <x v="2"/>
    <d v="2017-04-10T00:00:00"/>
    <x v="115"/>
    <n v="0"/>
  </r>
  <r>
    <x v="2277"/>
    <x v="10"/>
    <x v="3"/>
    <x v="1"/>
    <s v="MG Advanced"/>
    <m/>
    <x v="1"/>
    <d v="2017-04-10T00:00:00"/>
    <x v="6"/>
    <m/>
  </r>
  <r>
    <x v="2278"/>
    <x v="7"/>
    <x v="2"/>
    <x v="1"/>
    <s v="MG Advanced"/>
    <s v="Cheers"/>
    <x v="2"/>
    <d v="2017-04-10T00:00:00"/>
    <x v="103"/>
    <n v="0"/>
  </r>
  <r>
    <x v="2279"/>
    <x v="29"/>
    <x v="1"/>
    <x v="0"/>
    <s v="GTX Plus Basic"/>
    <s v="Conecom"/>
    <x v="0"/>
    <d v="2017-04-10T00:00:00"/>
    <x v="87"/>
    <n v="1115"/>
  </r>
  <r>
    <x v="2280"/>
    <x v="16"/>
    <x v="2"/>
    <x v="1"/>
    <s v="GTX Basic"/>
    <s v="Kan-code"/>
    <x v="0"/>
    <d v="2017-04-10T00:00:00"/>
    <x v="111"/>
    <n v="533"/>
  </r>
  <r>
    <x v="2281"/>
    <x v="16"/>
    <x v="2"/>
    <x v="1"/>
    <s v="GTX Plus Basic"/>
    <s v="Cheers"/>
    <x v="0"/>
    <d v="2017-04-10T00:00:00"/>
    <x v="105"/>
    <n v="1290"/>
  </r>
  <r>
    <x v="2282"/>
    <x v="18"/>
    <x v="2"/>
    <x v="1"/>
    <s v="GTX Basic"/>
    <s v="Hottechi"/>
    <x v="2"/>
    <d v="2017-04-10T00:00:00"/>
    <x v="104"/>
    <n v="0"/>
  </r>
  <r>
    <x v="2283"/>
    <x v="18"/>
    <x v="2"/>
    <x v="1"/>
    <s v="GTX Plus Basic"/>
    <s v="Green-Plus"/>
    <x v="2"/>
    <d v="2017-04-10T00:00:00"/>
    <x v="68"/>
    <n v="0"/>
  </r>
  <r>
    <x v="2284"/>
    <x v="24"/>
    <x v="0"/>
    <x v="0"/>
    <s v="MG Special"/>
    <s v="Dontechi"/>
    <x v="2"/>
    <d v="2017-04-10T00:00:00"/>
    <x v="104"/>
    <n v="0"/>
  </r>
  <r>
    <x v="2285"/>
    <x v="24"/>
    <x v="0"/>
    <x v="0"/>
    <s v="GTX Plus Basic"/>
    <s v="Codehow"/>
    <x v="0"/>
    <d v="2017-04-10T00:00:00"/>
    <x v="42"/>
    <n v="1047"/>
  </r>
  <r>
    <x v="2286"/>
    <x v="24"/>
    <x v="0"/>
    <x v="0"/>
    <s v="MG Special"/>
    <s v="Gogozoom"/>
    <x v="0"/>
    <d v="2017-04-10T00:00:00"/>
    <x v="114"/>
    <n v="47"/>
  </r>
  <r>
    <x v="2287"/>
    <x v="5"/>
    <x v="3"/>
    <x v="1"/>
    <s v="MG Advanced"/>
    <s v="Funholding"/>
    <x v="1"/>
    <d v="2017-04-10T00:00:00"/>
    <x v="6"/>
    <m/>
  </r>
  <r>
    <x v="2288"/>
    <x v="22"/>
    <x v="1"/>
    <x v="0"/>
    <s v="GTX Basic"/>
    <s v="Condax"/>
    <x v="2"/>
    <d v="2017-04-10T00:00:00"/>
    <x v="117"/>
    <n v="0"/>
  </r>
  <r>
    <x v="2289"/>
    <x v="22"/>
    <x v="1"/>
    <x v="0"/>
    <s v="GTXPro"/>
    <s v="Rangreen"/>
    <x v="0"/>
    <d v="2017-04-10T00:00:00"/>
    <x v="73"/>
    <n v="4413"/>
  </r>
  <r>
    <x v="2290"/>
    <x v="9"/>
    <x v="2"/>
    <x v="1"/>
    <s v="GTX Plus Basic"/>
    <s v="Hottechi"/>
    <x v="0"/>
    <d v="2017-04-10T00:00:00"/>
    <x v="86"/>
    <n v="950"/>
  </r>
  <r>
    <x v="2291"/>
    <x v="19"/>
    <x v="4"/>
    <x v="2"/>
    <s v="GTXPro"/>
    <s v="Plussunin"/>
    <x v="2"/>
    <d v="2017-04-10T00:00:00"/>
    <x v="111"/>
    <n v="0"/>
  </r>
  <r>
    <x v="2292"/>
    <x v="19"/>
    <x v="4"/>
    <x v="2"/>
    <s v="GTXPro"/>
    <s v="The New York Inquirer"/>
    <x v="0"/>
    <d v="2017-04-10T00:00:00"/>
    <x v="115"/>
    <n v="4136"/>
  </r>
  <r>
    <x v="2293"/>
    <x v="12"/>
    <x v="0"/>
    <x v="0"/>
    <s v="MG Special"/>
    <s v="Rundofase"/>
    <x v="0"/>
    <d v="2017-04-10T00:00:00"/>
    <x v="114"/>
    <n v="62"/>
  </r>
  <r>
    <x v="2294"/>
    <x v="4"/>
    <x v="3"/>
    <x v="1"/>
    <s v="MG Special"/>
    <s v="J-Texon"/>
    <x v="2"/>
    <d v="2017-04-10T00:00:00"/>
    <x v="114"/>
    <n v="0"/>
  </r>
  <r>
    <x v="2295"/>
    <x v="2"/>
    <x v="2"/>
    <x v="1"/>
    <s v="MG Advanced"/>
    <m/>
    <x v="1"/>
    <d v="2017-04-10T00:00:00"/>
    <x v="6"/>
    <m/>
  </r>
  <r>
    <x v="2296"/>
    <x v="2"/>
    <x v="2"/>
    <x v="1"/>
    <s v="GTX Basic"/>
    <s v="Goodsilron"/>
    <x v="0"/>
    <d v="2017-04-10T00:00:00"/>
    <x v="103"/>
    <n v="467"/>
  </r>
  <r>
    <x v="2297"/>
    <x v="25"/>
    <x v="4"/>
    <x v="2"/>
    <s v="GTX Plus Basic"/>
    <s v="Gekko &amp; Co"/>
    <x v="0"/>
    <d v="2017-04-11T00:00:00"/>
    <x v="80"/>
    <n v="1075"/>
  </r>
  <r>
    <x v="2298"/>
    <x v="28"/>
    <x v="0"/>
    <x v="0"/>
    <s v="MG Special"/>
    <s v="Betatech"/>
    <x v="2"/>
    <d v="2017-04-11T00:00:00"/>
    <x v="118"/>
    <n v="0"/>
  </r>
  <r>
    <x v="2299"/>
    <x v="13"/>
    <x v="4"/>
    <x v="2"/>
    <s v="MG Special"/>
    <s v="Ontomedia"/>
    <x v="0"/>
    <d v="2017-04-11T00:00:00"/>
    <x v="105"/>
    <n v="52"/>
  </r>
  <r>
    <x v="2300"/>
    <x v="1"/>
    <x v="1"/>
    <x v="0"/>
    <s v="GTXPro"/>
    <s v="Inity"/>
    <x v="2"/>
    <d v="2017-04-11T00:00:00"/>
    <x v="118"/>
    <n v="0"/>
  </r>
  <r>
    <x v="2301"/>
    <x v="1"/>
    <x v="1"/>
    <x v="0"/>
    <s v="GTXPro"/>
    <s v="Inity"/>
    <x v="2"/>
    <d v="2017-04-11T00:00:00"/>
    <x v="104"/>
    <n v="0"/>
  </r>
  <r>
    <x v="2302"/>
    <x v="1"/>
    <x v="1"/>
    <x v="0"/>
    <s v="GTXPro"/>
    <s v="Condax"/>
    <x v="0"/>
    <d v="2017-04-11T00:00:00"/>
    <x v="114"/>
    <n v="4837"/>
  </r>
  <r>
    <x v="2303"/>
    <x v="26"/>
    <x v="4"/>
    <x v="2"/>
    <s v="GTX Plus Basic"/>
    <s v="Plussunin"/>
    <x v="2"/>
    <d v="2017-04-11T00:00:00"/>
    <x v="114"/>
    <n v="0"/>
  </r>
  <r>
    <x v="2304"/>
    <x v="14"/>
    <x v="3"/>
    <x v="1"/>
    <s v="GTX Basic"/>
    <s v="Faxquote"/>
    <x v="2"/>
    <d v="2017-04-11T00:00:00"/>
    <x v="81"/>
    <n v="0"/>
  </r>
  <r>
    <x v="2305"/>
    <x v="14"/>
    <x v="3"/>
    <x v="1"/>
    <s v="GTX Plus Basic"/>
    <s v="Xx-holding"/>
    <x v="0"/>
    <d v="2017-04-11T00:00:00"/>
    <x v="105"/>
    <n v="1163"/>
  </r>
  <r>
    <x v="2306"/>
    <x v="8"/>
    <x v="1"/>
    <x v="0"/>
    <s v="GTX Basic"/>
    <s v="Rundofase"/>
    <x v="2"/>
    <d v="2017-04-11T00:00:00"/>
    <x v="117"/>
    <n v="0"/>
  </r>
  <r>
    <x v="2307"/>
    <x v="7"/>
    <x v="2"/>
    <x v="1"/>
    <s v="GTX Plus Pro"/>
    <s v="Rantouch"/>
    <x v="2"/>
    <d v="2017-04-11T00:00:00"/>
    <x v="76"/>
    <n v="0"/>
  </r>
  <r>
    <x v="2308"/>
    <x v="16"/>
    <x v="2"/>
    <x v="1"/>
    <s v="GTX Basic"/>
    <s v="Konex"/>
    <x v="2"/>
    <d v="2017-04-11T00:00:00"/>
    <x v="105"/>
    <n v="0"/>
  </r>
  <r>
    <x v="2309"/>
    <x v="18"/>
    <x v="2"/>
    <x v="1"/>
    <s v="GTX Plus Basic"/>
    <m/>
    <x v="1"/>
    <d v="2017-04-11T00:00:00"/>
    <x v="6"/>
    <m/>
  </r>
  <r>
    <x v="2310"/>
    <x v="18"/>
    <x v="2"/>
    <x v="1"/>
    <s v="GTX Basic"/>
    <s v="Groovestreet"/>
    <x v="2"/>
    <d v="2017-04-11T00:00:00"/>
    <x v="105"/>
    <n v="0"/>
  </r>
  <r>
    <x v="2311"/>
    <x v="18"/>
    <x v="2"/>
    <x v="1"/>
    <s v="GTX Basic"/>
    <s v="Singletechno"/>
    <x v="2"/>
    <d v="2017-04-11T00:00:00"/>
    <x v="114"/>
    <n v="0"/>
  </r>
  <r>
    <x v="2312"/>
    <x v="18"/>
    <x v="2"/>
    <x v="1"/>
    <s v="GTX Basic"/>
    <s v="Doncon"/>
    <x v="0"/>
    <d v="2017-04-11T00:00:00"/>
    <x v="114"/>
    <n v="568"/>
  </r>
  <r>
    <x v="2313"/>
    <x v="18"/>
    <x v="2"/>
    <x v="1"/>
    <s v="GTXPro"/>
    <s v="Rantouch"/>
    <x v="0"/>
    <d v="2017-04-11T00:00:00"/>
    <x v="84"/>
    <n v="5063"/>
  </r>
  <r>
    <x v="2314"/>
    <x v="0"/>
    <x v="0"/>
    <x v="0"/>
    <s v="MG Advanced"/>
    <s v="dambase"/>
    <x v="2"/>
    <d v="2017-04-11T00:00:00"/>
    <x v="117"/>
    <n v="0"/>
  </r>
  <r>
    <x v="2315"/>
    <x v="0"/>
    <x v="0"/>
    <x v="0"/>
    <s v="MG Special"/>
    <s v="Rundofase"/>
    <x v="0"/>
    <d v="2017-04-11T00:00:00"/>
    <x v="47"/>
    <n v="46"/>
  </r>
  <r>
    <x v="2316"/>
    <x v="6"/>
    <x v="1"/>
    <x v="0"/>
    <s v="MG Advanced"/>
    <s v="dambase"/>
    <x v="2"/>
    <d v="2017-04-11T00:00:00"/>
    <x v="104"/>
    <n v="0"/>
  </r>
  <r>
    <x v="2317"/>
    <x v="6"/>
    <x v="1"/>
    <x v="0"/>
    <s v="GTX Basic"/>
    <s v="Gogozoom"/>
    <x v="0"/>
    <d v="2017-04-11T00:00:00"/>
    <x v="104"/>
    <n v="504"/>
  </r>
  <r>
    <x v="2318"/>
    <x v="6"/>
    <x v="1"/>
    <x v="0"/>
    <s v="MG Special"/>
    <s v="Gogozoom"/>
    <x v="0"/>
    <d v="2017-04-11T00:00:00"/>
    <x v="105"/>
    <n v="55"/>
  </r>
  <r>
    <x v="2319"/>
    <x v="11"/>
    <x v="3"/>
    <x v="1"/>
    <s v="GTXPro"/>
    <s v="Hatfan"/>
    <x v="0"/>
    <d v="2017-04-11T00:00:00"/>
    <x v="69"/>
    <n v="4760"/>
  </r>
  <r>
    <x v="2320"/>
    <x v="12"/>
    <x v="0"/>
    <x v="0"/>
    <s v="GTX Basic"/>
    <s v="Cancity"/>
    <x v="2"/>
    <d v="2017-04-11T00:00:00"/>
    <x v="117"/>
    <n v="0"/>
  </r>
  <r>
    <x v="2321"/>
    <x v="12"/>
    <x v="0"/>
    <x v="0"/>
    <s v="MG Advanced"/>
    <s v="Funholding"/>
    <x v="2"/>
    <d v="2017-04-11T00:00:00"/>
    <x v="114"/>
    <n v="0"/>
  </r>
  <r>
    <x v="2322"/>
    <x v="4"/>
    <x v="3"/>
    <x v="1"/>
    <s v="GTXPro"/>
    <s v="Fasehatice"/>
    <x v="0"/>
    <d v="2017-04-11T00:00:00"/>
    <x v="92"/>
    <n v="4653"/>
  </r>
  <r>
    <x v="2323"/>
    <x v="15"/>
    <x v="5"/>
    <x v="2"/>
    <s v="MG Special"/>
    <m/>
    <x v="1"/>
    <d v="2017-04-11T00:00:00"/>
    <x v="6"/>
    <m/>
  </r>
  <r>
    <x v="2324"/>
    <x v="15"/>
    <x v="5"/>
    <x v="2"/>
    <s v="MG Special"/>
    <s v="Opentech"/>
    <x v="2"/>
    <d v="2017-04-11T00:00:00"/>
    <x v="119"/>
    <n v="0"/>
  </r>
  <r>
    <x v="2325"/>
    <x v="15"/>
    <x v="5"/>
    <x v="2"/>
    <s v="MG Special"/>
    <s v="Massive Dynamic"/>
    <x v="0"/>
    <d v="2017-04-11T00:00:00"/>
    <x v="104"/>
    <n v="55"/>
  </r>
  <r>
    <x v="2326"/>
    <x v="3"/>
    <x v="0"/>
    <x v="0"/>
    <s v="GTX Basic"/>
    <s v="Rundofase"/>
    <x v="2"/>
    <d v="2017-04-12T00:00:00"/>
    <x v="114"/>
    <n v="0"/>
  </r>
  <r>
    <x v="2327"/>
    <x v="25"/>
    <x v="4"/>
    <x v="2"/>
    <s v="GTX Plus Basic"/>
    <s v="Genco Pura Olive Oil Company"/>
    <x v="1"/>
    <d v="2017-04-12T00:00:00"/>
    <x v="6"/>
    <m/>
  </r>
  <r>
    <x v="2328"/>
    <x v="25"/>
    <x v="4"/>
    <x v="2"/>
    <s v="MG Advanced"/>
    <s v="Konex"/>
    <x v="0"/>
    <d v="2017-04-12T00:00:00"/>
    <x v="119"/>
    <n v="3223"/>
  </r>
  <r>
    <x v="2329"/>
    <x v="23"/>
    <x v="4"/>
    <x v="2"/>
    <s v="GTX Plus Pro"/>
    <s v="Betasoloin"/>
    <x v="2"/>
    <d v="2017-04-12T00:00:00"/>
    <x v="113"/>
    <n v="0"/>
  </r>
  <r>
    <x v="2330"/>
    <x v="23"/>
    <x v="4"/>
    <x v="2"/>
    <s v="GTX Basic"/>
    <s v="Zathunicon"/>
    <x v="0"/>
    <d v="2017-04-12T00:00:00"/>
    <x v="118"/>
    <n v="553"/>
  </r>
  <r>
    <x v="2331"/>
    <x v="23"/>
    <x v="4"/>
    <x v="2"/>
    <s v="GTX Plus Basic"/>
    <s v="Gekko &amp; Co"/>
    <x v="0"/>
    <d v="2017-04-12T00:00:00"/>
    <x v="106"/>
    <n v="1114"/>
  </r>
  <r>
    <x v="2332"/>
    <x v="28"/>
    <x v="0"/>
    <x v="0"/>
    <s v="MG Advanced"/>
    <s v="dambase"/>
    <x v="0"/>
    <d v="2017-04-12T00:00:00"/>
    <x v="115"/>
    <n v="3785"/>
  </r>
  <r>
    <x v="2333"/>
    <x v="27"/>
    <x v="5"/>
    <x v="2"/>
    <s v="GTX Plus Pro"/>
    <s v="Rangreen"/>
    <x v="1"/>
    <d v="2017-04-12T00:00:00"/>
    <x v="6"/>
    <m/>
  </r>
  <r>
    <x v="2334"/>
    <x v="1"/>
    <x v="1"/>
    <x v="0"/>
    <s v="GTX Plus Basic"/>
    <s v="Streethex"/>
    <x v="2"/>
    <d v="2017-04-12T00:00:00"/>
    <x v="106"/>
    <n v="0"/>
  </r>
  <r>
    <x v="2335"/>
    <x v="1"/>
    <x v="1"/>
    <x v="0"/>
    <s v="MG Advanced"/>
    <s v="Gogozoom"/>
    <x v="2"/>
    <d v="2017-04-12T00:00:00"/>
    <x v="88"/>
    <n v="0"/>
  </r>
  <r>
    <x v="2336"/>
    <x v="26"/>
    <x v="4"/>
    <x v="2"/>
    <s v="GTXPro"/>
    <s v="Yearin"/>
    <x v="0"/>
    <d v="2017-04-12T00:00:00"/>
    <x v="105"/>
    <n v="5316"/>
  </r>
  <r>
    <x v="2337"/>
    <x v="10"/>
    <x v="3"/>
    <x v="1"/>
    <s v="MG Special"/>
    <s v="Goodsilron"/>
    <x v="2"/>
    <d v="2017-04-12T00:00:00"/>
    <x v="111"/>
    <n v="0"/>
  </r>
  <r>
    <x v="2338"/>
    <x v="29"/>
    <x v="1"/>
    <x v="0"/>
    <s v="GTXPro"/>
    <s v="Cancity"/>
    <x v="2"/>
    <d v="2017-04-12T00:00:00"/>
    <x v="120"/>
    <n v="0"/>
  </r>
  <r>
    <x v="2339"/>
    <x v="29"/>
    <x v="1"/>
    <x v="0"/>
    <s v="GTX Basic"/>
    <s v="Dontechi"/>
    <x v="0"/>
    <d v="2017-04-12T00:00:00"/>
    <x v="78"/>
    <n v="531"/>
  </r>
  <r>
    <x v="2340"/>
    <x v="29"/>
    <x v="1"/>
    <x v="0"/>
    <s v="GTX Basic"/>
    <s v="Rangreen"/>
    <x v="0"/>
    <d v="2017-04-12T00:00:00"/>
    <x v="83"/>
    <n v="544"/>
  </r>
  <r>
    <x v="2341"/>
    <x v="16"/>
    <x v="2"/>
    <x v="1"/>
    <s v="GTX Basic"/>
    <s v="Y-corporation"/>
    <x v="0"/>
    <d v="2017-04-12T00:00:00"/>
    <x v="105"/>
    <n v="478"/>
  </r>
  <r>
    <x v="2342"/>
    <x v="16"/>
    <x v="2"/>
    <x v="1"/>
    <s v="GTXPro"/>
    <s v="Finjob"/>
    <x v="0"/>
    <d v="2017-04-12T00:00:00"/>
    <x v="119"/>
    <n v="5672"/>
  </r>
  <r>
    <x v="2343"/>
    <x v="16"/>
    <x v="2"/>
    <x v="1"/>
    <s v="MG Special"/>
    <s v="Goodsilron"/>
    <x v="0"/>
    <d v="2017-04-12T00:00:00"/>
    <x v="118"/>
    <n v="51"/>
  </r>
  <r>
    <x v="2344"/>
    <x v="16"/>
    <x v="2"/>
    <x v="1"/>
    <s v="MG Advanced"/>
    <s v="Konex"/>
    <x v="0"/>
    <d v="2017-04-12T00:00:00"/>
    <x v="118"/>
    <n v="3141"/>
  </r>
  <r>
    <x v="2345"/>
    <x v="18"/>
    <x v="2"/>
    <x v="1"/>
    <s v="GTXPro"/>
    <m/>
    <x v="1"/>
    <d v="2017-04-12T00:00:00"/>
    <x v="6"/>
    <m/>
  </r>
  <r>
    <x v="2346"/>
    <x v="18"/>
    <x v="2"/>
    <x v="1"/>
    <s v="GTXPro"/>
    <s v="Doncon"/>
    <x v="2"/>
    <d v="2017-04-12T00:00:00"/>
    <x v="105"/>
    <n v="0"/>
  </r>
  <r>
    <x v="2347"/>
    <x v="18"/>
    <x v="2"/>
    <x v="1"/>
    <s v="MG Special"/>
    <s v="Groovestreet"/>
    <x v="2"/>
    <d v="2017-04-12T00:00:00"/>
    <x v="111"/>
    <n v="0"/>
  </r>
  <r>
    <x v="2348"/>
    <x v="5"/>
    <x v="3"/>
    <x v="1"/>
    <s v="MG Special"/>
    <s v="Golddex"/>
    <x v="2"/>
    <d v="2017-04-12T00:00:00"/>
    <x v="105"/>
    <n v="0"/>
  </r>
  <r>
    <x v="2349"/>
    <x v="22"/>
    <x v="1"/>
    <x v="0"/>
    <s v="GTX Plus Basic"/>
    <s v="Codehow"/>
    <x v="2"/>
    <d v="2017-04-12T00:00:00"/>
    <x v="105"/>
    <n v="0"/>
  </r>
  <r>
    <x v="2350"/>
    <x v="22"/>
    <x v="1"/>
    <x v="0"/>
    <s v="GTX Plus Pro"/>
    <s v="Hottechi"/>
    <x v="2"/>
    <d v="2017-04-12T00:00:00"/>
    <x v="106"/>
    <n v="0"/>
  </r>
  <r>
    <x v="2351"/>
    <x v="0"/>
    <x v="0"/>
    <x v="0"/>
    <s v="GTX Plus Pro"/>
    <s v="Conecom"/>
    <x v="2"/>
    <d v="2017-04-12T00:00:00"/>
    <x v="119"/>
    <n v="0"/>
  </r>
  <r>
    <x v="2352"/>
    <x v="19"/>
    <x v="4"/>
    <x v="2"/>
    <s v="GTX Plus Pro"/>
    <s v="Kan-code"/>
    <x v="0"/>
    <d v="2017-04-12T00:00:00"/>
    <x v="92"/>
    <n v="5393"/>
  </r>
  <r>
    <x v="2353"/>
    <x v="11"/>
    <x v="3"/>
    <x v="1"/>
    <s v="MG Special"/>
    <s v="Dontechi"/>
    <x v="1"/>
    <d v="2017-04-12T00:00:00"/>
    <x v="6"/>
    <m/>
  </r>
  <r>
    <x v="2354"/>
    <x v="12"/>
    <x v="0"/>
    <x v="0"/>
    <s v="MG Special"/>
    <s v="Statholdings"/>
    <x v="2"/>
    <d v="2017-04-12T00:00:00"/>
    <x v="118"/>
    <n v="0"/>
  </r>
  <r>
    <x v="2355"/>
    <x v="4"/>
    <x v="3"/>
    <x v="1"/>
    <s v="MG Special"/>
    <m/>
    <x v="1"/>
    <d v="2017-04-12T00:00:00"/>
    <x v="6"/>
    <m/>
  </r>
  <r>
    <x v="2356"/>
    <x v="4"/>
    <x v="3"/>
    <x v="1"/>
    <s v="MG Advanced"/>
    <s v="Lexiqvolax"/>
    <x v="1"/>
    <d v="2017-04-12T00:00:00"/>
    <x v="6"/>
    <m/>
  </r>
  <r>
    <x v="2357"/>
    <x v="4"/>
    <x v="3"/>
    <x v="1"/>
    <s v="GTX Plus Pro"/>
    <s v="Green-Plus"/>
    <x v="2"/>
    <d v="2017-04-12T00:00:00"/>
    <x v="118"/>
    <n v="0"/>
  </r>
  <r>
    <x v="2358"/>
    <x v="4"/>
    <x v="3"/>
    <x v="1"/>
    <s v="GTX Basic"/>
    <s v="Hottechi"/>
    <x v="0"/>
    <d v="2017-04-12T00:00:00"/>
    <x v="47"/>
    <n v="638"/>
  </r>
  <r>
    <x v="2359"/>
    <x v="4"/>
    <x v="3"/>
    <x v="1"/>
    <s v="MG Special"/>
    <s v="J-Texon"/>
    <x v="0"/>
    <d v="2017-04-12T00:00:00"/>
    <x v="121"/>
    <n v="50"/>
  </r>
  <r>
    <x v="2360"/>
    <x v="15"/>
    <x v="5"/>
    <x v="2"/>
    <s v="MG Advanced"/>
    <s v="Bioplex"/>
    <x v="2"/>
    <d v="2017-04-12T00:00:00"/>
    <x v="114"/>
    <n v="0"/>
  </r>
  <r>
    <x v="2361"/>
    <x v="2"/>
    <x v="2"/>
    <x v="1"/>
    <s v="GTXPro"/>
    <s v="Hatfan"/>
    <x v="0"/>
    <d v="2017-04-12T00:00:00"/>
    <x v="119"/>
    <n v="4272"/>
  </r>
  <r>
    <x v="2362"/>
    <x v="3"/>
    <x v="0"/>
    <x v="0"/>
    <s v="GTX Plus Basic"/>
    <s v="Bioholding"/>
    <x v="2"/>
    <d v="2017-04-13T00:00:00"/>
    <x v="108"/>
    <n v="0"/>
  </r>
  <r>
    <x v="2363"/>
    <x v="3"/>
    <x v="0"/>
    <x v="0"/>
    <s v="MG Special"/>
    <s v="Inity"/>
    <x v="0"/>
    <d v="2017-04-13T00:00:00"/>
    <x v="108"/>
    <n v="58"/>
  </r>
  <r>
    <x v="2364"/>
    <x v="25"/>
    <x v="4"/>
    <x v="2"/>
    <s v="GTX Plus Basic"/>
    <s v="Ontomedia"/>
    <x v="0"/>
    <d v="2017-04-13T00:00:00"/>
    <x v="106"/>
    <n v="1088"/>
  </r>
  <r>
    <x v="2365"/>
    <x v="27"/>
    <x v="5"/>
    <x v="2"/>
    <s v="GTX Basic"/>
    <s v="Donquadtech"/>
    <x v="2"/>
    <d v="2017-04-13T00:00:00"/>
    <x v="121"/>
    <n v="0"/>
  </r>
  <r>
    <x v="2366"/>
    <x v="27"/>
    <x v="5"/>
    <x v="2"/>
    <s v="GTXPro"/>
    <s v="Silis"/>
    <x v="2"/>
    <d v="2017-04-13T00:00:00"/>
    <x v="114"/>
    <n v="0"/>
  </r>
  <r>
    <x v="2367"/>
    <x v="13"/>
    <x v="4"/>
    <x v="2"/>
    <s v="GTX Basic"/>
    <s v="Plussunin"/>
    <x v="2"/>
    <d v="2017-04-13T00:00:00"/>
    <x v="115"/>
    <n v="0"/>
  </r>
  <r>
    <x v="2368"/>
    <x v="13"/>
    <x v="4"/>
    <x v="2"/>
    <s v="GTXPro"/>
    <s v="Kan-code"/>
    <x v="2"/>
    <d v="2017-04-13T00:00:00"/>
    <x v="59"/>
    <n v="0"/>
  </r>
  <r>
    <x v="2369"/>
    <x v="1"/>
    <x v="1"/>
    <x v="0"/>
    <s v="GTX Basic"/>
    <s v="Betatech"/>
    <x v="2"/>
    <d v="2017-04-13T00:00:00"/>
    <x v="115"/>
    <n v="0"/>
  </r>
  <r>
    <x v="2370"/>
    <x v="1"/>
    <x v="1"/>
    <x v="0"/>
    <s v="GTXPro"/>
    <s v="Globex Corporation"/>
    <x v="2"/>
    <d v="2017-04-13T00:00:00"/>
    <x v="106"/>
    <n v="0"/>
  </r>
  <r>
    <x v="2371"/>
    <x v="1"/>
    <x v="1"/>
    <x v="0"/>
    <s v="GTX Plus Basic"/>
    <s v="Domzoom"/>
    <x v="0"/>
    <d v="2017-04-13T00:00:00"/>
    <x v="118"/>
    <n v="1327"/>
  </r>
  <r>
    <x v="2372"/>
    <x v="1"/>
    <x v="1"/>
    <x v="0"/>
    <s v="GTX Plus Basic"/>
    <s v="Dontechi"/>
    <x v="0"/>
    <d v="2017-04-13T00:00:00"/>
    <x v="87"/>
    <n v="923"/>
  </r>
  <r>
    <x v="2373"/>
    <x v="1"/>
    <x v="1"/>
    <x v="0"/>
    <s v="GTX Plus Basic"/>
    <s v="Scottech"/>
    <x v="0"/>
    <d v="2017-04-13T00:00:00"/>
    <x v="121"/>
    <n v="1058"/>
  </r>
  <r>
    <x v="2374"/>
    <x v="1"/>
    <x v="1"/>
    <x v="0"/>
    <s v="GTX Plus Pro"/>
    <s v="Streethex"/>
    <x v="0"/>
    <d v="2017-04-13T00:00:00"/>
    <x v="117"/>
    <n v="5220"/>
  </r>
  <r>
    <x v="2375"/>
    <x v="8"/>
    <x v="1"/>
    <x v="0"/>
    <s v="GTX Plus Pro"/>
    <s v="Condax"/>
    <x v="2"/>
    <d v="2017-04-13T00:00:00"/>
    <x v="118"/>
    <n v="0"/>
  </r>
  <r>
    <x v="2376"/>
    <x v="8"/>
    <x v="1"/>
    <x v="0"/>
    <s v="MG Special"/>
    <s v="Ron-tech"/>
    <x v="0"/>
    <d v="2017-04-13T00:00:00"/>
    <x v="119"/>
    <n v="55"/>
  </r>
  <r>
    <x v="2377"/>
    <x v="10"/>
    <x v="3"/>
    <x v="1"/>
    <s v="MG Advanced"/>
    <s v="Dalttechnology"/>
    <x v="2"/>
    <d v="2017-04-13T00:00:00"/>
    <x v="115"/>
    <n v="0"/>
  </r>
  <r>
    <x v="2378"/>
    <x v="10"/>
    <x v="3"/>
    <x v="1"/>
    <s v="MG Special"/>
    <s v="Hatfan"/>
    <x v="0"/>
    <d v="2017-04-13T00:00:00"/>
    <x v="78"/>
    <n v="62"/>
  </r>
  <r>
    <x v="2379"/>
    <x v="7"/>
    <x v="2"/>
    <x v="1"/>
    <s v="GTX Plus Basic"/>
    <s v="Golddex"/>
    <x v="0"/>
    <d v="2017-04-13T00:00:00"/>
    <x v="115"/>
    <n v="996"/>
  </r>
  <r>
    <x v="2380"/>
    <x v="16"/>
    <x v="2"/>
    <x v="1"/>
    <s v="GTXPro"/>
    <m/>
    <x v="1"/>
    <d v="2017-04-13T00:00:00"/>
    <x v="6"/>
    <m/>
  </r>
  <r>
    <x v="2381"/>
    <x v="16"/>
    <x v="2"/>
    <x v="1"/>
    <s v="GTX Basic"/>
    <s v="Rantouch"/>
    <x v="2"/>
    <d v="2017-04-13T00:00:00"/>
    <x v="73"/>
    <n v="0"/>
  </r>
  <r>
    <x v="2382"/>
    <x v="16"/>
    <x v="2"/>
    <x v="1"/>
    <s v="GTX Basic"/>
    <s v="Hottechi"/>
    <x v="0"/>
    <d v="2017-04-13T00:00:00"/>
    <x v="119"/>
    <n v="543"/>
  </r>
  <r>
    <x v="2383"/>
    <x v="18"/>
    <x v="2"/>
    <x v="1"/>
    <s v="GTXPro"/>
    <s v="Hatfan"/>
    <x v="2"/>
    <d v="2017-04-13T00:00:00"/>
    <x v="118"/>
    <n v="0"/>
  </r>
  <r>
    <x v="2384"/>
    <x v="18"/>
    <x v="2"/>
    <x v="1"/>
    <s v="GTXPro"/>
    <s v="Y-corporation"/>
    <x v="2"/>
    <d v="2017-04-13T00:00:00"/>
    <x v="117"/>
    <n v="0"/>
  </r>
  <r>
    <x v="2385"/>
    <x v="0"/>
    <x v="0"/>
    <x v="0"/>
    <s v="MG Special"/>
    <s v="Warephase"/>
    <x v="2"/>
    <d v="2017-04-13T00:00:00"/>
    <x v="122"/>
    <n v="0"/>
  </r>
  <r>
    <x v="2386"/>
    <x v="6"/>
    <x v="1"/>
    <x v="0"/>
    <s v="GTX Plus Basic"/>
    <s v="Scottech"/>
    <x v="2"/>
    <d v="2017-04-13T00:00:00"/>
    <x v="83"/>
    <n v="0"/>
  </r>
  <r>
    <x v="2387"/>
    <x v="12"/>
    <x v="0"/>
    <x v="0"/>
    <s v="MG Special"/>
    <s v="Finhigh"/>
    <x v="2"/>
    <d v="2017-04-13T00:00:00"/>
    <x v="60"/>
    <n v="0"/>
  </r>
  <r>
    <x v="2388"/>
    <x v="12"/>
    <x v="0"/>
    <x v="0"/>
    <s v="MG Special"/>
    <s v="Bioholding"/>
    <x v="0"/>
    <d v="2017-04-13T00:00:00"/>
    <x v="119"/>
    <n v="56"/>
  </r>
  <r>
    <x v="2389"/>
    <x v="4"/>
    <x v="3"/>
    <x v="1"/>
    <s v="GTX Plus Pro"/>
    <s v="Kan-code"/>
    <x v="2"/>
    <d v="2017-04-13T00:00:00"/>
    <x v="115"/>
    <n v="0"/>
  </r>
  <r>
    <x v="2390"/>
    <x v="4"/>
    <x v="3"/>
    <x v="1"/>
    <s v="MG Advanced"/>
    <s v="Blackzim"/>
    <x v="2"/>
    <d v="2017-04-13T00:00:00"/>
    <x v="121"/>
    <n v="0"/>
  </r>
  <r>
    <x v="2391"/>
    <x v="15"/>
    <x v="5"/>
    <x v="2"/>
    <s v="GTX Plus Basic"/>
    <s v="Sumace"/>
    <x v="0"/>
    <d v="2017-04-13T00:00:00"/>
    <x v="76"/>
    <n v="1145"/>
  </r>
  <r>
    <x v="2392"/>
    <x v="20"/>
    <x v="5"/>
    <x v="2"/>
    <s v="GTXPro"/>
    <s v="Silis"/>
    <x v="2"/>
    <d v="2017-04-13T00:00:00"/>
    <x v="123"/>
    <n v="0"/>
  </r>
  <r>
    <x v="2393"/>
    <x v="2"/>
    <x v="2"/>
    <x v="1"/>
    <s v="GTX Basic"/>
    <m/>
    <x v="1"/>
    <d v="2017-04-13T00:00:00"/>
    <x v="6"/>
    <m/>
  </r>
  <r>
    <x v="2394"/>
    <x v="2"/>
    <x v="2"/>
    <x v="1"/>
    <s v="MG Advanced"/>
    <m/>
    <x v="1"/>
    <d v="2017-04-13T00:00:00"/>
    <x v="6"/>
    <m/>
  </r>
  <r>
    <x v="2395"/>
    <x v="23"/>
    <x v="4"/>
    <x v="2"/>
    <s v="GTX Plus Pro"/>
    <s v="Zencorporation"/>
    <x v="2"/>
    <d v="2017-04-14T00:00:00"/>
    <x v="118"/>
    <n v="0"/>
  </r>
  <r>
    <x v="2396"/>
    <x v="23"/>
    <x v="4"/>
    <x v="2"/>
    <s v="GTXPro"/>
    <s v="Bluth Company"/>
    <x v="2"/>
    <d v="2017-04-14T00:00:00"/>
    <x v="119"/>
    <n v="0"/>
  </r>
  <r>
    <x v="2397"/>
    <x v="23"/>
    <x v="4"/>
    <x v="2"/>
    <s v="MG Advanced"/>
    <s v="Umbrella Corporation"/>
    <x v="2"/>
    <d v="2017-04-14T00:00:00"/>
    <x v="118"/>
    <n v="0"/>
  </r>
  <r>
    <x v="2398"/>
    <x v="27"/>
    <x v="5"/>
    <x v="2"/>
    <s v="GTX Plus Basic"/>
    <s v="Massive Dynamic"/>
    <x v="0"/>
    <d v="2017-04-14T00:00:00"/>
    <x v="121"/>
    <n v="1033"/>
  </r>
  <r>
    <x v="2399"/>
    <x v="13"/>
    <x v="4"/>
    <x v="2"/>
    <s v="MG Advanced"/>
    <s v="The New York Inquirer"/>
    <x v="2"/>
    <d v="2017-04-14T00:00:00"/>
    <x v="115"/>
    <n v="0"/>
  </r>
  <r>
    <x v="2400"/>
    <x v="1"/>
    <x v="1"/>
    <x v="0"/>
    <s v="GTX Plus Basic"/>
    <s v="Gogozoom"/>
    <x v="2"/>
    <d v="2017-04-14T00:00:00"/>
    <x v="108"/>
    <n v="0"/>
  </r>
  <r>
    <x v="2401"/>
    <x v="1"/>
    <x v="1"/>
    <x v="0"/>
    <s v="GTXPro"/>
    <s v="Treequote"/>
    <x v="2"/>
    <d v="2017-04-14T00:00:00"/>
    <x v="111"/>
    <n v="0"/>
  </r>
  <r>
    <x v="2402"/>
    <x v="1"/>
    <x v="1"/>
    <x v="0"/>
    <s v="GTXPro"/>
    <s v="Cancity"/>
    <x v="0"/>
    <d v="2017-04-14T00:00:00"/>
    <x v="124"/>
    <n v="4359"/>
  </r>
  <r>
    <x v="2403"/>
    <x v="1"/>
    <x v="1"/>
    <x v="0"/>
    <s v="GTXPro"/>
    <s v="Warephase"/>
    <x v="0"/>
    <d v="2017-04-14T00:00:00"/>
    <x v="42"/>
    <n v="4575"/>
  </r>
  <r>
    <x v="2404"/>
    <x v="1"/>
    <x v="1"/>
    <x v="0"/>
    <s v="MG Special"/>
    <s v="Finhigh"/>
    <x v="0"/>
    <d v="2017-04-14T00:00:00"/>
    <x v="119"/>
    <n v="53"/>
  </r>
  <r>
    <x v="2405"/>
    <x v="14"/>
    <x v="3"/>
    <x v="1"/>
    <s v="GTX Basic"/>
    <s v="J-Texon"/>
    <x v="0"/>
    <d v="2017-04-14T00:00:00"/>
    <x v="111"/>
    <n v="597"/>
  </r>
  <r>
    <x v="2406"/>
    <x v="14"/>
    <x v="3"/>
    <x v="1"/>
    <s v="MG Advanced"/>
    <s v="Zoomit"/>
    <x v="0"/>
    <d v="2017-04-14T00:00:00"/>
    <x v="83"/>
    <n v="3179"/>
  </r>
  <r>
    <x v="2407"/>
    <x v="8"/>
    <x v="1"/>
    <x v="0"/>
    <s v="GTX Basic"/>
    <s v="Globex Corporation"/>
    <x v="2"/>
    <d v="2017-04-14T00:00:00"/>
    <x v="83"/>
    <n v="0"/>
  </r>
  <r>
    <x v="2408"/>
    <x v="8"/>
    <x v="1"/>
    <x v="0"/>
    <s v="MG Special"/>
    <s v="Stanredtax"/>
    <x v="0"/>
    <d v="2017-04-14T00:00:00"/>
    <x v="108"/>
    <n v="57"/>
  </r>
  <r>
    <x v="2409"/>
    <x v="10"/>
    <x v="3"/>
    <x v="1"/>
    <s v="MG Advanced"/>
    <s v="Hottechi"/>
    <x v="2"/>
    <d v="2017-04-14T00:00:00"/>
    <x v="108"/>
    <n v="0"/>
  </r>
  <r>
    <x v="2410"/>
    <x v="10"/>
    <x v="3"/>
    <x v="1"/>
    <s v="MG Advanced"/>
    <s v="Scotfind"/>
    <x v="0"/>
    <d v="2017-04-14T00:00:00"/>
    <x v="120"/>
    <n v="2997"/>
  </r>
  <r>
    <x v="2411"/>
    <x v="7"/>
    <x v="2"/>
    <x v="1"/>
    <s v="GTX Basic"/>
    <s v="Faxquote"/>
    <x v="0"/>
    <d v="2017-04-14T00:00:00"/>
    <x v="56"/>
    <n v="545"/>
  </r>
  <r>
    <x v="2412"/>
    <x v="29"/>
    <x v="1"/>
    <x v="0"/>
    <s v="GTX Basic"/>
    <s v="Zumgoity"/>
    <x v="0"/>
    <d v="2017-04-14T00:00:00"/>
    <x v="125"/>
    <n v="565"/>
  </r>
  <r>
    <x v="2413"/>
    <x v="29"/>
    <x v="1"/>
    <x v="0"/>
    <s v="MG Special"/>
    <s v="Treequote"/>
    <x v="0"/>
    <d v="2017-04-14T00:00:00"/>
    <x v="120"/>
    <n v="54"/>
  </r>
  <r>
    <x v="2414"/>
    <x v="16"/>
    <x v="2"/>
    <x v="1"/>
    <s v="GTXPro"/>
    <m/>
    <x v="1"/>
    <d v="2017-04-14T00:00:00"/>
    <x v="6"/>
    <m/>
  </r>
  <r>
    <x v="2415"/>
    <x v="16"/>
    <x v="2"/>
    <x v="1"/>
    <s v="GTX Basic"/>
    <s v="J-Texon"/>
    <x v="2"/>
    <d v="2017-04-14T00:00:00"/>
    <x v="108"/>
    <n v="0"/>
  </r>
  <r>
    <x v="2416"/>
    <x v="16"/>
    <x v="2"/>
    <x v="1"/>
    <s v="GTXPro"/>
    <s v="Sunnamplex"/>
    <x v="0"/>
    <d v="2017-04-14T00:00:00"/>
    <x v="117"/>
    <n v="4991"/>
  </r>
  <r>
    <x v="2417"/>
    <x v="5"/>
    <x v="3"/>
    <x v="1"/>
    <s v="GTX Basic"/>
    <m/>
    <x v="1"/>
    <d v="2017-04-14T00:00:00"/>
    <x v="6"/>
    <m/>
  </r>
  <r>
    <x v="2418"/>
    <x v="5"/>
    <x v="3"/>
    <x v="1"/>
    <s v="MG Special"/>
    <m/>
    <x v="1"/>
    <d v="2017-04-14T00:00:00"/>
    <x v="6"/>
    <m/>
  </r>
  <r>
    <x v="2419"/>
    <x v="9"/>
    <x v="2"/>
    <x v="1"/>
    <s v="GTX Plus Pro"/>
    <s v="Hottechi"/>
    <x v="2"/>
    <d v="2017-04-14T00:00:00"/>
    <x v="118"/>
    <n v="0"/>
  </r>
  <r>
    <x v="2420"/>
    <x v="9"/>
    <x v="2"/>
    <x v="1"/>
    <s v="MG Advanced"/>
    <s v="Blackzim"/>
    <x v="2"/>
    <d v="2017-04-14T00:00:00"/>
    <x v="111"/>
    <n v="0"/>
  </r>
  <r>
    <x v="2421"/>
    <x v="17"/>
    <x v="5"/>
    <x v="2"/>
    <s v="GTXPro"/>
    <s v="Silis"/>
    <x v="0"/>
    <d v="2017-04-14T00:00:00"/>
    <x v="83"/>
    <n v="5546"/>
  </r>
  <r>
    <x v="2422"/>
    <x v="4"/>
    <x v="3"/>
    <x v="1"/>
    <s v="MG Special"/>
    <s v="Hottechi"/>
    <x v="0"/>
    <d v="2017-04-14T00:00:00"/>
    <x v="115"/>
    <n v="59"/>
  </r>
  <r>
    <x v="2423"/>
    <x v="3"/>
    <x v="0"/>
    <x v="0"/>
    <s v="GTX Plus Basic"/>
    <s v="Statholdings"/>
    <x v="2"/>
    <d v="2017-04-15T00:00:00"/>
    <x v="121"/>
    <n v="0"/>
  </r>
  <r>
    <x v="2424"/>
    <x v="3"/>
    <x v="0"/>
    <x v="0"/>
    <s v="MG Special"/>
    <s v="Statholdings"/>
    <x v="2"/>
    <d v="2017-04-15T00:00:00"/>
    <x v="115"/>
    <n v="0"/>
  </r>
  <r>
    <x v="2425"/>
    <x v="3"/>
    <x v="0"/>
    <x v="0"/>
    <s v="GTX Plus Pro"/>
    <s v="Statholdings"/>
    <x v="0"/>
    <d v="2017-04-15T00:00:00"/>
    <x v="111"/>
    <n v="5082"/>
  </r>
  <r>
    <x v="2426"/>
    <x v="25"/>
    <x v="4"/>
    <x v="2"/>
    <s v="GTX Plus Pro"/>
    <s v="Iselectrics"/>
    <x v="0"/>
    <d v="2017-04-15T00:00:00"/>
    <x v="120"/>
    <n v="5293"/>
  </r>
  <r>
    <x v="2427"/>
    <x v="28"/>
    <x v="0"/>
    <x v="0"/>
    <s v="GTX Plus Basic"/>
    <s v="Hottechi"/>
    <x v="0"/>
    <d v="2017-04-15T00:00:00"/>
    <x v="87"/>
    <n v="1163"/>
  </r>
  <r>
    <x v="2428"/>
    <x v="26"/>
    <x v="4"/>
    <x v="2"/>
    <s v="MG Special"/>
    <s v="Ganjaflex"/>
    <x v="0"/>
    <d v="2017-04-15T00:00:00"/>
    <x v="111"/>
    <n v="49"/>
  </r>
  <r>
    <x v="2429"/>
    <x v="21"/>
    <x v="5"/>
    <x v="2"/>
    <s v="MG Special"/>
    <s v="Donquadtech"/>
    <x v="0"/>
    <d v="2017-04-15T00:00:00"/>
    <x v="46"/>
    <n v="53"/>
  </r>
  <r>
    <x v="2430"/>
    <x v="8"/>
    <x v="1"/>
    <x v="0"/>
    <s v="MG Advanced"/>
    <s v="Betatech"/>
    <x v="2"/>
    <d v="2017-04-15T00:00:00"/>
    <x v="111"/>
    <n v="0"/>
  </r>
  <r>
    <x v="2431"/>
    <x v="8"/>
    <x v="1"/>
    <x v="0"/>
    <s v="MG Advanced"/>
    <s v="Gogozoom"/>
    <x v="2"/>
    <d v="2017-04-15T00:00:00"/>
    <x v="82"/>
    <n v="0"/>
  </r>
  <r>
    <x v="2432"/>
    <x v="10"/>
    <x v="3"/>
    <x v="1"/>
    <s v="GTX Plus Basic"/>
    <s v="Lexiqvolax"/>
    <x v="2"/>
    <d v="2017-04-15T00:00:00"/>
    <x v="120"/>
    <n v="0"/>
  </r>
  <r>
    <x v="2433"/>
    <x v="16"/>
    <x v="2"/>
    <x v="1"/>
    <s v="GTX Plus Basic"/>
    <m/>
    <x v="1"/>
    <d v="2017-04-15T00:00:00"/>
    <x v="6"/>
    <m/>
  </r>
  <r>
    <x v="2434"/>
    <x v="16"/>
    <x v="2"/>
    <x v="1"/>
    <s v="GTX Basic"/>
    <s v="Fasehatice"/>
    <x v="2"/>
    <d v="2017-04-15T00:00:00"/>
    <x v="117"/>
    <n v="0"/>
  </r>
  <r>
    <x v="2435"/>
    <x v="18"/>
    <x v="2"/>
    <x v="1"/>
    <s v="GTX Basic"/>
    <m/>
    <x v="1"/>
    <d v="2017-04-15T00:00:00"/>
    <x v="6"/>
    <m/>
  </r>
  <r>
    <x v="2436"/>
    <x v="18"/>
    <x v="2"/>
    <x v="1"/>
    <s v="GTX Basic"/>
    <s v="Sunnamplex"/>
    <x v="2"/>
    <d v="2017-04-15T00:00:00"/>
    <x v="109"/>
    <n v="0"/>
  </r>
  <r>
    <x v="2437"/>
    <x v="0"/>
    <x v="0"/>
    <x v="0"/>
    <s v="MG Advanced"/>
    <s v="Codehow"/>
    <x v="2"/>
    <d v="2017-04-15T00:00:00"/>
    <x v="113"/>
    <n v="0"/>
  </r>
  <r>
    <x v="2438"/>
    <x v="12"/>
    <x v="0"/>
    <x v="0"/>
    <s v="MG Advanced"/>
    <s v="Finhigh"/>
    <x v="0"/>
    <d v="2017-04-15T00:00:00"/>
    <x v="65"/>
    <n v="3641"/>
  </r>
  <r>
    <x v="2439"/>
    <x v="15"/>
    <x v="5"/>
    <x v="2"/>
    <s v="MG Special"/>
    <s v="Plusstrip"/>
    <x v="1"/>
    <d v="2017-04-15T00:00:00"/>
    <x v="6"/>
    <m/>
  </r>
  <r>
    <x v="2440"/>
    <x v="15"/>
    <x v="5"/>
    <x v="2"/>
    <s v="GTX Basic"/>
    <s v="Condax"/>
    <x v="2"/>
    <d v="2017-04-15T00:00:00"/>
    <x v="113"/>
    <n v="0"/>
  </r>
  <r>
    <x v="2441"/>
    <x v="2"/>
    <x v="2"/>
    <x v="1"/>
    <s v="GTX Basic"/>
    <s v="Condax"/>
    <x v="0"/>
    <d v="2017-04-15T00:00:00"/>
    <x v="55"/>
    <n v="501"/>
  </r>
  <r>
    <x v="2442"/>
    <x v="2"/>
    <x v="2"/>
    <x v="1"/>
    <s v="GTX Plus Pro"/>
    <s v="Konex"/>
    <x v="0"/>
    <d v="2017-04-15T00:00:00"/>
    <x v="115"/>
    <n v="4687"/>
  </r>
  <r>
    <x v="2443"/>
    <x v="3"/>
    <x v="0"/>
    <x v="0"/>
    <s v="GTX Basic"/>
    <s v="dambase"/>
    <x v="0"/>
    <d v="2017-04-16T00:00:00"/>
    <x v="78"/>
    <n v="626"/>
  </r>
  <r>
    <x v="2444"/>
    <x v="3"/>
    <x v="0"/>
    <x v="0"/>
    <s v="GTX Basic"/>
    <s v="Finhigh"/>
    <x v="0"/>
    <d v="2017-04-16T00:00:00"/>
    <x v="126"/>
    <n v="489"/>
  </r>
  <r>
    <x v="2445"/>
    <x v="23"/>
    <x v="4"/>
    <x v="2"/>
    <s v="GTXPro"/>
    <s v="Zencorporation"/>
    <x v="0"/>
    <d v="2017-04-16T00:00:00"/>
    <x v="127"/>
    <n v="4852"/>
  </r>
  <r>
    <x v="2446"/>
    <x v="28"/>
    <x v="0"/>
    <x v="0"/>
    <s v="MG Advanced"/>
    <s v="Warephase"/>
    <x v="2"/>
    <d v="2017-04-16T00:00:00"/>
    <x v="88"/>
    <n v="0"/>
  </r>
  <r>
    <x v="2447"/>
    <x v="13"/>
    <x v="4"/>
    <x v="2"/>
    <s v="GTX Plus Basic"/>
    <s v="Bubba Gump"/>
    <x v="0"/>
    <d v="2017-04-16T00:00:00"/>
    <x v="47"/>
    <n v="1192"/>
  </r>
  <r>
    <x v="2448"/>
    <x v="13"/>
    <x v="4"/>
    <x v="2"/>
    <s v="GTXPro"/>
    <s v="Donquadtech"/>
    <x v="0"/>
    <d v="2017-04-16T00:00:00"/>
    <x v="113"/>
    <n v="5104"/>
  </r>
  <r>
    <x v="2449"/>
    <x v="1"/>
    <x v="1"/>
    <x v="0"/>
    <s v="GTXPro"/>
    <s v="Codehow"/>
    <x v="0"/>
    <d v="2017-04-16T00:00:00"/>
    <x v="128"/>
    <n v="5820"/>
  </r>
  <r>
    <x v="2450"/>
    <x v="26"/>
    <x v="4"/>
    <x v="2"/>
    <s v="MG Advanced"/>
    <s v="Acme Corporation"/>
    <x v="0"/>
    <d v="2017-04-16T00:00:00"/>
    <x v="129"/>
    <n v="3012"/>
  </r>
  <r>
    <x v="2451"/>
    <x v="21"/>
    <x v="5"/>
    <x v="2"/>
    <s v="GTX Plus Pro"/>
    <s v="Sumace"/>
    <x v="2"/>
    <d v="2017-04-16T00:00:00"/>
    <x v="119"/>
    <n v="0"/>
  </r>
  <r>
    <x v="2452"/>
    <x v="21"/>
    <x v="5"/>
    <x v="2"/>
    <s v="GTXPro"/>
    <s v="Mathtouch"/>
    <x v="2"/>
    <d v="2017-04-16T00:00:00"/>
    <x v="114"/>
    <n v="0"/>
  </r>
  <r>
    <x v="2453"/>
    <x v="21"/>
    <x v="5"/>
    <x v="2"/>
    <s v="GTXPro"/>
    <s v="Konex"/>
    <x v="0"/>
    <d v="2017-04-16T00:00:00"/>
    <x v="121"/>
    <n v="3930"/>
  </r>
  <r>
    <x v="2454"/>
    <x v="8"/>
    <x v="1"/>
    <x v="0"/>
    <s v="GTX Plus Basic"/>
    <s v="Domzoom"/>
    <x v="0"/>
    <d v="2017-04-16T00:00:00"/>
    <x v="119"/>
    <n v="1055"/>
  </r>
  <r>
    <x v="2455"/>
    <x v="10"/>
    <x v="3"/>
    <x v="1"/>
    <s v="MG Advanced"/>
    <s v="Blackzim"/>
    <x v="2"/>
    <d v="2017-04-16T00:00:00"/>
    <x v="119"/>
    <n v="0"/>
  </r>
  <r>
    <x v="2456"/>
    <x v="29"/>
    <x v="1"/>
    <x v="0"/>
    <s v="GTX Basic"/>
    <s v="Scottech"/>
    <x v="0"/>
    <d v="2017-04-16T00:00:00"/>
    <x v="120"/>
    <n v="538"/>
  </r>
  <r>
    <x v="2457"/>
    <x v="29"/>
    <x v="1"/>
    <x v="0"/>
    <s v="MG Special"/>
    <s v="Domzoom"/>
    <x v="0"/>
    <d v="2017-04-16T00:00:00"/>
    <x v="121"/>
    <n v="68"/>
  </r>
  <r>
    <x v="2458"/>
    <x v="18"/>
    <x v="2"/>
    <x v="1"/>
    <s v="GTXPro"/>
    <m/>
    <x v="1"/>
    <d v="2017-04-16T00:00:00"/>
    <x v="6"/>
    <m/>
  </r>
  <r>
    <x v="2459"/>
    <x v="18"/>
    <x v="2"/>
    <x v="1"/>
    <s v="MG Advanced"/>
    <s v="Newex"/>
    <x v="2"/>
    <d v="2017-04-16T00:00:00"/>
    <x v="121"/>
    <n v="0"/>
  </r>
  <r>
    <x v="2460"/>
    <x v="9"/>
    <x v="2"/>
    <x v="1"/>
    <s v="GTX Basic"/>
    <s v="Newex"/>
    <x v="0"/>
    <d v="2017-04-16T00:00:00"/>
    <x v="130"/>
    <n v="572"/>
  </r>
  <r>
    <x v="2461"/>
    <x v="9"/>
    <x v="2"/>
    <x v="1"/>
    <s v="GTX Plus Basic"/>
    <s v="Groovestreet"/>
    <x v="0"/>
    <d v="2017-04-16T00:00:00"/>
    <x v="120"/>
    <n v="1234"/>
  </r>
  <r>
    <x v="2462"/>
    <x v="0"/>
    <x v="0"/>
    <x v="0"/>
    <s v="GTX Basic"/>
    <s v="Ron-tech"/>
    <x v="2"/>
    <d v="2017-04-16T00:00:00"/>
    <x v="114"/>
    <n v="0"/>
  </r>
  <r>
    <x v="2463"/>
    <x v="12"/>
    <x v="0"/>
    <x v="0"/>
    <s v="MG Special"/>
    <s v="Isdom"/>
    <x v="2"/>
    <d v="2017-04-16T00:00:00"/>
    <x v="113"/>
    <n v="0"/>
  </r>
  <r>
    <x v="2464"/>
    <x v="4"/>
    <x v="3"/>
    <x v="1"/>
    <s v="GTXPro"/>
    <m/>
    <x v="1"/>
    <d v="2017-04-16T00:00:00"/>
    <x v="6"/>
    <m/>
  </r>
  <r>
    <x v="2465"/>
    <x v="4"/>
    <x v="3"/>
    <x v="1"/>
    <s v="MG Special"/>
    <s v="Plusstrip"/>
    <x v="0"/>
    <d v="2017-04-16T00:00:00"/>
    <x v="32"/>
    <n v="56"/>
  </r>
  <r>
    <x v="2466"/>
    <x v="15"/>
    <x v="5"/>
    <x v="2"/>
    <s v="MG Special"/>
    <s v="Zathunicon"/>
    <x v="2"/>
    <d v="2017-04-16T00:00:00"/>
    <x v="44"/>
    <n v="0"/>
  </r>
  <r>
    <x v="2467"/>
    <x v="2"/>
    <x v="2"/>
    <x v="1"/>
    <s v="MG Special"/>
    <s v="Doncon"/>
    <x v="2"/>
    <d v="2017-04-16T00:00:00"/>
    <x v="125"/>
    <n v="0"/>
  </r>
  <r>
    <x v="2468"/>
    <x v="3"/>
    <x v="0"/>
    <x v="0"/>
    <s v="MG Special"/>
    <s v="Warephase"/>
    <x v="0"/>
    <d v="2017-04-17T00:00:00"/>
    <x v="123"/>
    <n v="52"/>
  </r>
  <r>
    <x v="2469"/>
    <x v="3"/>
    <x v="0"/>
    <x v="0"/>
    <s v="MG Advanced"/>
    <s v="Codehow"/>
    <x v="0"/>
    <d v="2017-04-17T00:00:00"/>
    <x v="120"/>
    <n v="3668"/>
  </r>
  <r>
    <x v="2470"/>
    <x v="25"/>
    <x v="4"/>
    <x v="2"/>
    <s v="GTX Basic"/>
    <s v="Plussunin"/>
    <x v="2"/>
    <d v="2017-04-17T00:00:00"/>
    <x v="118"/>
    <n v="0"/>
  </r>
  <r>
    <x v="2471"/>
    <x v="25"/>
    <x v="4"/>
    <x v="2"/>
    <s v="MG Advanced"/>
    <s v="Zotware"/>
    <x v="0"/>
    <d v="2017-04-17T00:00:00"/>
    <x v="107"/>
    <n v="3138"/>
  </r>
  <r>
    <x v="2472"/>
    <x v="28"/>
    <x v="0"/>
    <x v="0"/>
    <s v="MG Special"/>
    <s v="Conecom"/>
    <x v="2"/>
    <d v="2017-04-17T00:00:00"/>
    <x v="118"/>
    <n v="0"/>
  </r>
  <r>
    <x v="2473"/>
    <x v="27"/>
    <x v="5"/>
    <x v="2"/>
    <s v="GTX Basic"/>
    <s v="Ontomedia"/>
    <x v="2"/>
    <d v="2017-04-17T00:00:00"/>
    <x v="114"/>
    <n v="0"/>
  </r>
  <r>
    <x v="2474"/>
    <x v="27"/>
    <x v="5"/>
    <x v="2"/>
    <s v="GTX Basic"/>
    <s v="Zencorporation"/>
    <x v="2"/>
    <d v="2017-04-17T00:00:00"/>
    <x v="117"/>
    <n v="0"/>
  </r>
  <r>
    <x v="2475"/>
    <x v="27"/>
    <x v="5"/>
    <x v="2"/>
    <s v="GTXPro"/>
    <s v="Iselectrics"/>
    <x v="0"/>
    <d v="2017-04-17T00:00:00"/>
    <x v="62"/>
    <n v="5032"/>
  </r>
  <r>
    <x v="2476"/>
    <x v="13"/>
    <x v="4"/>
    <x v="2"/>
    <s v="GTX Plus Basic"/>
    <s v="Plussunin"/>
    <x v="0"/>
    <d v="2017-04-17T00:00:00"/>
    <x v="115"/>
    <n v="1310"/>
  </r>
  <r>
    <x v="2477"/>
    <x v="13"/>
    <x v="4"/>
    <x v="2"/>
    <s v="GTX Plus Pro"/>
    <s v="Mathtouch"/>
    <x v="0"/>
    <d v="2017-04-17T00:00:00"/>
    <x v="87"/>
    <n v="5076"/>
  </r>
  <r>
    <x v="2478"/>
    <x v="13"/>
    <x v="4"/>
    <x v="2"/>
    <s v="MG Advanced"/>
    <s v="Vehement Capital Partners"/>
    <x v="0"/>
    <d v="2017-04-17T00:00:00"/>
    <x v="84"/>
    <n v="3641"/>
  </r>
  <r>
    <x v="2479"/>
    <x v="1"/>
    <x v="1"/>
    <x v="0"/>
    <s v="GTXPro"/>
    <s v="Conecom"/>
    <x v="2"/>
    <d v="2017-04-17T00:00:00"/>
    <x v="114"/>
    <n v="0"/>
  </r>
  <r>
    <x v="2480"/>
    <x v="1"/>
    <x v="1"/>
    <x v="0"/>
    <s v="GTX Plus Basic"/>
    <s v="Warephase"/>
    <x v="0"/>
    <d v="2017-04-17T00:00:00"/>
    <x v="125"/>
    <n v="1170"/>
  </r>
  <r>
    <x v="2481"/>
    <x v="1"/>
    <x v="1"/>
    <x v="0"/>
    <s v="GTXPro"/>
    <s v="Domzoom"/>
    <x v="0"/>
    <d v="2017-04-17T00:00:00"/>
    <x v="46"/>
    <n v="4226"/>
  </r>
  <r>
    <x v="2482"/>
    <x v="14"/>
    <x v="3"/>
    <x v="1"/>
    <s v="MG Special"/>
    <m/>
    <x v="1"/>
    <d v="2017-04-17T00:00:00"/>
    <x v="6"/>
    <m/>
  </r>
  <r>
    <x v="2483"/>
    <x v="14"/>
    <x v="3"/>
    <x v="1"/>
    <s v="MG Advanced"/>
    <s v="Green-Plus"/>
    <x v="2"/>
    <d v="2017-04-17T00:00:00"/>
    <x v="114"/>
    <n v="0"/>
  </r>
  <r>
    <x v="2484"/>
    <x v="8"/>
    <x v="1"/>
    <x v="0"/>
    <s v="GTXPro"/>
    <s v="Genco Pura Olive Oil Company"/>
    <x v="0"/>
    <d v="2017-04-17T00:00:00"/>
    <x v="120"/>
    <n v="4784"/>
  </r>
  <r>
    <x v="2485"/>
    <x v="10"/>
    <x v="3"/>
    <x v="1"/>
    <s v="GTX Plus Basic"/>
    <s v="Faxquote"/>
    <x v="2"/>
    <d v="2017-04-17T00:00:00"/>
    <x v="125"/>
    <n v="0"/>
  </r>
  <r>
    <x v="2486"/>
    <x v="10"/>
    <x v="3"/>
    <x v="1"/>
    <s v="MG Advanced"/>
    <s v="Blackzim"/>
    <x v="2"/>
    <d v="2017-04-17T00:00:00"/>
    <x v="118"/>
    <n v="0"/>
  </r>
  <r>
    <x v="2487"/>
    <x v="7"/>
    <x v="2"/>
    <x v="1"/>
    <s v="GTX Basic"/>
    <m/>
    <x v="1"/>
    <d v="2017-04-17T00:00:00"/>
    <x v="6"/>
    <m/>
  </r>
  <r>
    <x v="2488"/>
    <x v="7"/>
    <x v="2"/>
    <x v="1"/>
    <s v="MG Advanced"/>
    <s v="Golddex"/>
    <x v="2"/>
    <d v="2017-04-17T00:00:00"/>
    <x v="116"/>
    <n v="0"/>
  </r>
  <r>
    <x v="2489"/>
    <x v="7"/>
    <x v="2"/>
    <x v="1"/>
    <s v="GTXPro"/>
    <s v="Goodsilron"/>
    <x v="0"/>
    <d v="2017-04-17T00:00:00"/>
    <x v="120"/>
    <n v="5451"/>
  </r>
  <r>
    <x v="2490"/>
    <x v="16"/>
    <x v="2"/>
    <x v="1"/>
    <s v="GTX Basic"/>
    <s v="Faxquote"/>
    <x v="0"/>
    <d v="2017-04-17T00:00:00"/>
    <x v="118"/>
    <n v="527"/>
  </r>
  <r>
    <x v="2491"/>
    <x v="18"/>
    <x v="2"/>
    <x v="1"/>
    <s v="GTX Plus Pro"/>
    <m/>
    <x v="1"/>
    <d v="2017-04-17T00:00:00"/>
    <x v="6"/>
    <m/>
  </r>
  <r>
    <x v="2492"/>
    <x v="18"/>
    <x v="2"/>
    <x v="1"/>
    <s v="GTXPro"/>
    <m/>
    <x v="1"/>
    <d v="2017-04-17T00:00:00"/>
    <x v="6"/>
    <m/>
  </r>
  <r>
    <x v="2493"/>
    <x v="18"/>
    <x v="2"/>
    <x v="1"/>
    <s v="GTX Plus Pro"/>
    <s v="Y-corporation"/>
    <x v="2"/>
    <d v="2017-04-17T00:00:00"/>
    <x v="125"/>
    <n v="0"/>
  </r>
  <r>
    <x v="2494"/>
    <x v="18"/>
    <x v="2"/>
    <x v="1"/>
    <s v="GTX Plus Pro"/>
    <s v="Y-corporation"/>
    <x v="2"/>
    <d v="2017-04-17T00:00:00"/>
    <x v="118"/>
    <n v="0"/>
  </r>
  <r>
    <x v="2495"/>
    <x v="18"/>
    <x v="2"/>
    <x v="1"/>
    <s v="GTXPro"/>
    <s v="Scotfind"/>
    <x v="2"/>
    <d v="2017-04-17T00:00:00"/>
    <x v="114"/>
    <n v="0"/>
  </r>
  <r>
    <x v="2496"/>
    <x v="18"/>
    <x v="2"/>
    <x v="1"/>
    <s v="GTX Plus Pro"/>
    <s v="Fasehatice"/>
    <x v="0"/>
    <d v="2017-04-17T00:00:00"/>
    <x v="118"/>
    <n v="5408"/>
  </r>
  <r>
    <x v="2497"/>
    <x v="24"/>
    <x v="0"/>
    <x v="0"/>
    <s v="GTX Plus Basic"/>
    <s v="Conecom"/>
    <x v="2"/>
    <d v="2017-04-17T00:00:00"/>
    <x v="35"/>
    <n v="0"/>
  </r>
  <r>
    <x v="2498"/>
    <x v="24"/>
    <x v="0"/>
    <x v="0"/>
    <s v="GTX Plus Pro"/>
    <s v="Isdom"/>
    <x v="2"/>
    <d v="2017-04-17T00:00:00"/>
    <x v="120"/>
    <n v="0"/>
  </r>
  <r>
    <x v="2499"/>
    <x v="24"/>
    <x v="0"/>
    <x v="0"/>
    <s v="MG Special"/>
    <s v="Konmatfix"/>
    <x v="0"/>
    <d v="2017-04-17T00:00:00"/>
    <x v="78"/>
    <n v="48"/>
  </r>
  <r>
    <x v="2500"/>
    <x v="5"/>
    <x v="3"/>
    <x v="1"/>
    <s v="GTX Basic"/>
    <s v="Blackzim"/>
    <x v="1"/>
    <d v="2017-04-17T00:00:00"/>
    <x v="6"/>
    <m/>
  </r>
  <r>
    <x v="2501"/>
    <x v="5"/>
    <x v="3"/>
    <x v="1"/>
    <s v="GTX Basic"/>
    <s v="Plexzap"/>
    <x v="0"/>
    <d v="2017-04-17T00:00:00"/>
    <x v="120"/>
    <n v="527"/>
  </r>
  <r>
    <x v="2502"/>
    <x v="22"/>
    <x v="1"/>
    <x v="0"/>
    <s v="GTX Plus Basic"/>
    <s v="dambase"/>
    <x v="0"/>
    <d v="2017-04-17T00:00:00"/>
    <x v="121"/>
    <n v="1160"/>
  </r>
  <r>
    <x v="2503"/>
    <x v="6"/>
    <x v="1"/>
    <x v="0"/>
    <s v="GTX Basic"/>
    <s v="Inity"/>
    <x v="0"/>
    <d v="2017-04-17T00:00:00"/>
    <x v="47"/>
    <n v="491"/>
  </r>
  <r>
    <x v="2504"/>
    <x v="19"/>
    <x v="4"/>
    <x v="2"/>
    <s v="GTX Basic"/>
    <s v="Umbrella Corporation"/>
    <x v="0"/>
    <d v="2017-04-17T00:00:00"/>
    <x v="118"/>
    <n v="555"/>
  </r>
  <r>
    <x v="2505"/>
    <x v="11"/>
    <x v="3"/>
    <x v="1"/>
    <s v="GTX Basic"/>
    <m/>
    <x v="1"/>
    <d v="2017-04-17T00:00:00"/>
    <x v="6"/>
    <m/>
  </r>
  <r>
    <x v="2506"/>
    <x v="11"/>
    <x v="3"/>
    <x v="1"/>
    <s v="GTXPro"/>
    <m/>
    <x v="1"/>
    <d v="2017-04-17T00:00:00"/>
    <x v="6"/>
    <m/>
  </r>
  <r>
    <x v="2507"/>
    <x v="11"/>
    <x v="3"/>
    <x v="1"/>
    <s v="MG Special"/>
    <s v="Lexiqvolax"/>
    <x v="2"/>
    <d v="2017-04-17T00:00:00"/>
    <x v="127"/>
    <n v="0"/>
  </r>
  <r>
    <x v="2508"/>
    <x v="12"/>
    <x v="0"/>
    <x v="0"/>
    <s v="MG Special"/>
    <s v="Isdom"/>
    <x v="0"/>
    <d v="2017-04-17T00:00:00"/>
    <x v="121"/>
    <n v="62"/>
  </r>
  <r>
    <x v="2509"/>
    <x v="15"/>
    <x v="5"/>
    <x v="2"/>
    <s v="MG Special"/>
    <s v="Ganjaflex"/>
    <x v="2"/>
    <d v="2017-04-17T00:00:00"/>
    <x v="123"/>
    <n v="0"/>
  </r>
  <r>
    <x v="2510"/>
    <x v="15"/>
    <x v="5"/>
    <x v="2"/>
    <s v="MG Special"/>
    <s v="Konex"/>
    <x v="0"/>
    <d v="2017-04-17T00:00:00"/>
    <x v="125"/>
    <n v="56"/>
  </r>
  <r>
    <x v="2511"/>
    <x v="20"/>
    <x v="5"/>
    <x v="2"/>
    <s v="MG Advanced"/>
    <s v="The New York Inquirer"/>
    <x v="0"/>
    <d v="2017-04-17T00:00:00"/>
    <x v="121"/>
    <n v="3490"/>
  </r>
  <r>
    <x v="2512"/>
    <x v="2"/>
    <x v="2"/>
    <x v="1"/>
    <s v="GTXPro"/>
    <s v="Y-corporation"/>
    <x v="2"/>
    <d v="2017-04-17T00:00:00"/>
    <x v="90"/>
    <n v="0"/>
  </r>
  <r>
    <x v="2513"/>
    <x v="3"/>
    <x v="0"/>
    <x v="0"/>
    <s v="MG Special"/>
    <s v="Betatech"/>
    <x v="2"/>
    <d v="2017-04-18T00:00:00"/>
    <x v="120"/>
    <n v="0"/>
  </r>
  <r>
    <x v="2514"/>
    <x v="3"/>
    <x v="0"/>
    <x v="0"/>
    <s v="MG Special"/>
    <s v="Betatech"/>
    <x v="0"/>
    <d v="2017-04-18T00:00:00"/>
    <x v="125"/>
    <n v="51"/>
  </r>
  <r>
    <x v="2515"/>
    <x v="3"/>
    <x v="0"/>
    <x v="0"/>
    <s v="MG Special"/>
    <s v="Condax"/>
    <x v="0"/>
    <d v="2017-04-18T00:00:00"/>
    <x v="72"/>
    <n v="54"/>
  </r>
  <r>
    <x v="2516"/>
    <x v="3"/>
    <x v="0"/>
    <x v="0"/>
    <s v="MG Special"/>
    <s v="Conecom"/>
    <x v="0"/>
    <d v="2017-04-18T00:00:00"/>
    <x v="127"/>
    <n v="56"/>
  </r>
  <r>
    <x v="2517"/>
    <x v="25"/>
    <x v="4"/>
    <x v="2"/>
    <s v="GTXPro"/>
    <s v="Kan-code"/>
    <x v="2"/>
    <d v="2017-04-18T00:00:00"/>
    <x v="63"/>
    <n v="0"/>
  </r>
  <r>
    <x v="2518"/>
    <x v="23"/>
    <x v="4"/>
    <x v="2"/>
    <s v="MG Advanced"/>
    <s v="Gekko &amp; Co"/>
    <x v="0"/>
    <d v="2017-04-18T00:00:00"/>
    <x v="107"/>
    <n v="3808"/>
  </r>
  <r>
    <x v="2519"/>
    <x v="27"/>
    <x v="5"/>
    <x v="2"/>
    <s v="GTX Plus Pro"/>
    <s v="Yearin"/>
    <x v="2"/>
    <d v="2017-04-18T00:00:00"/>
    <x v="32"/>
    <n v="0"/>
  </r>
  <r>
    <x v="2520"/>
    <x v="27"/>
    <x v="5"/>
    <x v="2"/>
    <s v="MG Advanced"/>
    <s v="Konex"/>
    <x v="0"/>
    <d v="2017-04-18T00:00:00"/>
    <x v="44"/>
    <n v="3041"/>
  </r>
  <r>
    <x v="2521"/>
    <x v="26"/>
    <x v="4"/>
    <x v="2"/>
    <s v="GTX Basic"/>
    <s v="Xx-zobam"/>
    <x v="2"/>
    <d v="2017-04-18T00:00:00"/>
    <x v="125"/>
    <n v="0"/>
  </r>
  <r>
    <x v="2522"/>
    <x v="14"/>
    <x v="3"/>
    <x v="1"/>
    <s v="GTK 500"/>
    <s v="Xx-zobam"/>
    <x v="1"/>
    <d v="2017-04-18T00:00:00"/>
    <x v="6"/>
    <m/>
  </r>
  <r>
    <x v="2523"/>
    <x v="21"/>
    <x v="5"/>
    <x v="2"/>
    <s v="MG Advanced"/>
    <s v="Condax"/>
    <x v="2"/>
    <d v="2017-04-18T00:00:00"/>
    <x v="131"/>
    <n v="0"/>
  </r>
  <r>
    <x v="2524"/>
    <x v="8"/>
    <x v="1"/>
    <x v="0"/>
    <s v="GTXPro"/>
    <s v="Isdom"/>
    <x v="2"/>
    <d v="2017-04-18T00:00:00"/>
    <x v="32"/>
    <n v="0"/>
  </r>
  <r>
    <x v="2525"/>
    <x v="10"/>
    <x v="3"/>
    <x v="1"/>
    <s v="GTX Plus Pro"/>
    <s v="Goodsilron"/>
    <x v="2"/>
    <d v="2017-04-18T00:00:00"/>
    <x v="121"/>
    <n v="0"/>
  </r>
  <r>
    <x v="2526"/>
    <x v="7"/>
    <x v="2"/>
    <x v="1"/>
    <s v="MG Advanced"/>
    <m/>
    <x v="1"/>
    <d v="2017-04-18T00:00:00"/>
    <x v="6"/>
    <m/>
  </r>
  <r>
    <x v="2527"/>
    <x v="7"/>
    <x v="2"/>
    <x v="1"/>
    <s v="GTX Plus Basic"/>
    <s v="Golddex"/>
    <x v="2"/>
    <d v="2017-04-18T00:00:00"/>
    <x v="115"/>
    <n v="0"/>
  </r>
  <r>
    <x v="2528"/>
    <x v="7"/>
    <x v="2"/>
    <x v="1"/>
    <s v="MG Special"/>
    <s v="Kan-code"/>
    <x v="0"/>
    <d v="2017-04-18T00:00:00"/>
    <x v="132"/>
    <n v="44"/>
  </r>
  <r>
    <x v="2529"/>
    <x v="16"/>
    <x v="2"/>
    <x v="1"/>
    <s v="GTX Plus Pro"/>
    <s v="Xx-holding"/>
    <x v="2"/>
    <d v="2017-04-18T00:00:00"/>
    <x v="120"/>
    <n v="0"/>
  </r>
  <r>
    <x v="2530"/>
    <x v="16"/>
    <x v="2"/>
    <x v="1"/>
    <s v="GTX Basic"/>
    <s v="Doncon"/>
    <x v="0"/>
    <d v="2017-04-18T00:00:00"/>
    <x v="120"/>
    <n v="552"/>
  </r>
  <r>
    <x v="2531"/>
    <x v="18"/>
    <x v="2"/>
    <x v="1"/>
    <s v="GTX Plus Pro"/>
    <s v="Opentech"/>
    <x v="1"/>
    <d v="2017-04-18T00:00:00"/>
    <x v="6"/>
    <m/>
  </r>
  <r>
    <x v="2532"/>
    <x v="18"/>
    <x v="2"/>
    <x v="1"/>
    <s v="GTX Basic"/>
    <s v="Newex"/>
    <x v="0"/>
    <d v="2017-04-18T00:00:00"/>
    <x v="123"/>
    <n v="474"/>
  </r>
  <r>
    <x v="2533"/>
    <x v="18"/>
    <x v="2"/>
    <x v="1"/>
    <s v="GTX Plus Basic"/>
    <s v="Xx-holding"/>
    <x v="0"/>
    <d v="2017-04-18T00:00:00"/>
    <x v="119"/>
    <n v="1158"/>
  </r>
  <r>
    <x v="2534"/>
    <x v="18"/>
    <x v="2"/>
    <x v="1"/>
    <s v="GTX Plus Pro"/>
    <s v="Faxquote"/>
    <x v="0"/>
    <d v="2017-04-18T00:00:00"/>
    <x v="118"/>
    <n v="5839"/>
  </r>
  <r>
    <x v="2535"/>
    <x v="18"/>
    <x v="2"/>
    <x v="1"/>
    <s v="GTXPro"/>
    <s v="Singletechno"/>
    <x v="0"/>
    <d v="2017-04-18T00:00:00"/>
    <x v="112"/>
    <n v="4554"/>
  </r>
  <r>
    <x v="2536"/>
    <x v="18"/>
    <x v="2"/>
    <x v="1"/>
    <s v="GTXPro"/>
    <s v="Xx-holding"/>
    <x v="0"/>
    <d v="2017-04-18T00:00:00"/>
    <x v="120"/>
    <n v="5078"/>
  </r>
  <r>
    <x v="2537"/>
    <x v="24"/>
    <x v="0"/>
    <x v="0"/>
    <s v="GTX Plus Basic"/>
    <s v="Genco Pura Olive Oil Company"/>
    <x v="2"/>
    <d v="2017-04-18T00:00:00"/>
    <x v="123"/>
    <n v="0"/>
  </r>
  <r>
    <x v="2538"/>
    <x v="5"/>
    <x v="3"/>
    <x v="1"/>
    <s v="GTX Basic"/>
    <s v="Cheers"/>
    <x v="0"/>
    <d v="2017-04-18T00:00:00"/>
    <x v="43"/>
    <n v="561"/>
  </r>
  <r>
    <x v="2539"/>
    <x v="9"/>
    <x v="2"/>
    <x v="1"/>
    <s v="GTX Plus Basic"/>
    <m/>
    <x v="1"/>
    <d v="2017-04-18T00:00:00"/>
    <x v="6"/>
    <m/>
  </r>
  <r>
    <x v="2540"/>
    <x v="9"/>
    <x v="2"/>
    <x v="1"/>
    <s v="GTX Plus Basic"/>
    <s v="Finjob"/>
    <x v="2"/>
    <d v="2017-04-18T00:00:00"/>
    <x v="119"/>
    <n v="0"/>
  </r>
  <r>
    <x v="2541"/>
    <x v="6"/>
    <x v="1"/>
    <x v="0"/>
    <s v="MG Advanced"/>
    <s v="Ron-tech"/>
    <x v="2"/>
    <d v="2017-04-18T00:00:00"/>
    <x v="57"/>
    <n v="0"/>
  </r>
  <r>
    <x v="2542"/>
    <x v="6"/>
    <x v="1"/>
    <x v="0"/>
    <s v="MG Advanced"/>
    <s v="Inity"/>
    <x v="0"/>
    <d v="2017-04-18T00:00:00"/>
    <x v="118"/>
    <n v="3392"/>
  </r>
  <r>
    <x v="2543"/>
    <x v="17"/>
    <x v="5"/>
    <x v="2"/>
    <s v="GTX Plus Pro"/>
    <m/>
    <x v="1"/>
    <d v="2017-04-18T00:00:00"/>
    <x v="6"/>
    <m/>
  </r>
  <r>
    <x v="2544"/>
    <x v="4"/>
    <x v="3"/>
    <x v="1"/>
    <s v="MG Special"/>
    <m/>
    <x v="1"/>
    <d v="2017-04-18T00:00:00"/>
    <x v="6"/>
    <m/>
  </r>
  <r>
    <x v="2545"/>
    <x v="4"/>
    <x v="3"/>
    <x v="1"/>
    <s v="MG Advanced"/>
    <m/>
    <x v="1"/>
    <d v="2017-04-18T00:00:00"/>
    <x v="6"/>
    <m/>
  </r>
  <r>
    <x v="2546"/>
    <x v="4"/>
    <x v="3"/>
    <x v="1"/>
    <s v="GTXPro"/>
    <s v="Fasehatice"/>
    <x v="0"/>
    <d v="2017-04-18T00:00:00"/>
    <x v="115"/>
    <n v="5040"/>
  </r>
  <r>
    <x v="2547"/>
    <x v="15"/>
    <x v="5"/>
    <x v="2"/>
    <s v="MG Special"/>
    <m/>
    <x v="1"/>
    <d v="2017-04-18T00:00:00"/>
    <x v="6"/>
    <m/>
  </r>
  <r>
    <x v="2548"/>
    <x v="15"/>
    <x v="5"/>
    <x v="2"/>
    <s v="MG Special"/>
    <m/>
    <x v="1"/>
    <d v="2017-04-18T00:00:00"/>
    <x v="6"/>
    <m/>
  </r>
  <r>
    <x v="2549"/>
    <x v="2"/>
    <x v="2"/>
    <x v="1"/>
    <s v="GTXPro"/>
    <s v="Goodsilron"/>
    <x v="2"/>
    <d v="2017-04-18T00:00:00"/>
    <x v="120"/>
    <n v="0"/>
  </r>
  <r>
    <x v="2550"/>
    <x v="2"/>
    <x v="2"/>
    <x v="1"/>
    <s v="MG Advanced"/>
    <s v="Rantouch"/>
    <x v="2"/>
    <d v="2017-04-18T00:00:00"/>
    <x v="125"/>
    <n v="0"/>
  </r>
  <r>
    <x v="2551"/>
    <x v="2"/>
    <x v="2"/>
    <x v="1"/>
    <s v="GTX Plus Pro"/>
    <s v="Sonron"/>
    <x v="0"/>
    <d v="2017-04-18T00:00:00"/>
    <x v="125"/>
    <n v="5853"/>
  </r>
  <r>
    <x v="2552"/>
    <x v="3"/>
    <x v="0"/>
    <x v="0"/>
    <s v="MG Special"/>
    <s v="Scottech"/>
    <x v="0"/>
    <d v="2017-04-19T00:00:00"/>
    <x v="125"/>
    <n v="49"/>
  </r>
  <r>
    <x v="2553"/>
    <x v="25"/>
    <x v="4"/>
    <x v="2"/>
    <s v="GTX Basic"/>
    <m/>
    <x v="1"/>
    <d v="2017-04-19T00:00:00"/>
    <x v="6"/>
    <m/>
  </r>
  <r>
    <x v="2554"/>
    <x v="25"/>
    <x v="4"/>
    <x v="2"/>
    <s v="GTX Plus Basic"/>
    <s v="Gekko &amp; Co"/>
    <x v="0"/>
    <d v="2017-04-19T00:00:00"/>
    <x v="132"/>
    <n v="1080"/>
  </r>
  <r>
    <x v="2555"/>
    <x v="28"/>
    <x v="0"/>
    <x v="0"/>
    <s v="GTX Basic"/>
    <s v="Genco Pura Olive Oil Company"/>
    <x v="2"/>
    <d v="2017-04-19T00:00:00"/>
    <x v="130"/>
    <n v="0"/>
  </r>
  <r>
    <x v="2556"/>
    <x v="28"/>
    <x v="0"/>
    <x v="0"/>
    <s v="MG Special"/>
    <s v="Konmatfix"/>
    <x v="0"/>
    <d v="2017-04-19T00:00:00"/>
    <x v="115"/>
    <n v="55"/>
  </r>
  <r>
    <x v="2557"/>
    <x v="27"/>
    <x v="5"/>
    <x v="2"/>
    <s v="GTX Basic"/>
    <m/>
    <x v="1"/>
    <d v="2017-04-19T00:00:00"/>
    <x v="6"/>
    <m/>
  </r>
  <r>
    <x v="2558"/>
    <x v="13"/>
    <x v="4"/>
    <x v="2"/>
    <s v="GTX Plus Basic"/>
    <s v="Acme Corporation"/>
    <x v="0"/>
    <d v="2017-04-19T00:00:00"/>
    <x v="57"/>
    <n v="1282"/>
  </r>
  <r>
    <x v="2559"/>
    <x v="14"/>
    <x v="3"/>
    <x v="1"/>
    <s v="GTK 500"/>
    <s v="Lexiqvolax"/>
    <x v="0"/>
    <d v="2017-04-19T00:00:00"/>
    <x v="115"/>
    <n v="23746"/>
  </r>
  <r>
    <x v="2560"/>
    <x v="21"/>
    <x v="5"/>
    <x v="2"/>
    <s v="GTX Basic"/>
    <s v="Massive Dynamic"/>
    <x v="2"/>
    <d v="2017-04-19T00:00:00"/>
    <x v="130"/>
    <n v="0"/>
  </r>
  <r>
    <x v="2561"/>
    <x v="10"/>
    <x v="3"/>
    <x v="1"/>
    <s v="MG Advanced"/>
    <m/>
    <x v="1"/>
    <d v="2017-04-19T00:00:00"/>
    <x v="6"/>
    <m/>
  </r>
  <r>
    <x v="2562"/>
    <x v="7"/>
    <x v="2"/>
    <x v="1"/>
    <s v="GTX Basic"/>
    <s v="Doncon"/>
    <x v="2"/>
    <d v="2017-04-19T00:00:00"/>
    <x v="46"/>
    <n v="0"/>
  </r>
  <r>
    <x v="2563"/>
    <x v="16"/>
    <x v="2"/>
    <x v="1"/>
    <s v="GTX Basic"/>
    <s v="Golddex"/>
    <x v="2"/>
    <d v="2017-04-19T00:00:00"/>
    <x v="122"/>
    <n v="0"/>
  </r>
  <r>
    <x v="2564"/>
    <x v="24"/>
    <x v="0"/>
    <x v="0"/>
    <s v="MG Advanced"/>
    <s v="Streethex"/>
    <x v="2"/>
    <d v="2017-04-19T00:00:00"/>
    <x v="117"/>
    <n v="0"/>
  </r>
  <r>
    <x v="2565"/>
    <x v="9"/>
    <x v="2"/>
    <x v="1"/>
    <s v="GTX Plus Basic"/>
    <s v="Cheers"/>
    <x v="2"/>
    <d v="2017-04-19T00:00:00"/>
    <x v="127"/>
    <n v="0"/>
  </r>
  <r>
    <x v="2566"/>
    <x v="6"/>
    <x v="1"/>
    <x v="0"/>
    <s v="GTX Basic"/>
    <s v="Cancity"/>
    <x v="2"/>
    <d v="2017-04-19T00:00:00"/>
    <x v="117"/>
    <n v="0"/>
  </r>
  <r>
    <x v="2567"/>
    <x v="19"/>
    <x v="4"/>
    <x v="2"/>
    <s v="MG Special"/>
    <s v="Opentech"/>
    <x v="2"/>
    <d v="2017-04-19T00:00:00"/>
    <x v="115"/>
    <n v="0"/>
  </r>
  <r>
    <x v="2568"/>
    <x v="19"/>
    <x v="4"/>
    <x v="2"/>
    <s v="MG Special"/>
    <s v="Opentech"/>
    <x v="0"/>
    <d v="2017-04-19T00:00:00"/>
    <x v="127"/>
    <n v="61"/>
  </r>
  <r>
    <x v="2569"/>
    <x v="11"/>
    <x v="3"/>
    <x v="1"/>
    <s v="MG Special"/>
    <s v="J-Texon"/>
    <x v="2"/>
    <d v="2017-04-19T00:00:00"/>
    <x v="131"/>
    <n v="0"/>
  </r>
  <r>
    <x v="2570"/>
    <x v="11"/>
    <x v="3"/>
    <x v="1"/>
    <s v="GTX Basic"/>
    <s v="Goodsilron"/>
    <x v="0"/>
    <d v="2017-04-19T00:00:00"/>
    <x v="130"/>
    <n v="600"/>
  </r>
  <r>
    <x v="2571"/>
    <x v="17"/>
    <x v="5"/>
    <x v="2"/>
    <s v="GTXPro"/>
    <s v="Betasoloin"/>
    <x v="1"/>
    <d v="2017-04-19T00:00:00"/>
    <x v="6"/>
    <m/>
  </r>
  <r>
    <x v="2572"/>
    <x v="17"/>
    <x v="5"/>
    <x v="2"/>
    <s v="GTX Plus Pro"/>
    <s v="Opentech"/>
    <x v="0"/>
    <d v="2017-04-19T00:00:00"/>
    <x v="115"/>
    <n v="5805"/>
  </r>
  <r>
    <x v="2573"/>
    <x v="12"/>
    <x v="0"/>
    <x v="0"/>
    <s v="MG Special"/>
    <s v="Hottechi"/>
    <x v="0"/>
    <d v="2017-04-19T00:00:00"/>
    <x v="87"/>
    <n v="58"/>
  </r>
  <r>
    <x v="2574"/>
    <x v="12"/>
    <x v="0"/>
    <x v="0"/>
    <s v="MG Special"/>
    <s v="Scottech"/>
    <x v="0"/>
    <d v="2017-04-19T00:00:00"/>
    <x v="126"/>
    <n v="52"/>
  </r>
  <r>
    <x v="2575"/>
    <x v="15"/>
    <x v="5"/>
    <x v="2"/>
    <s v="MG Special"/>
    <s v="Gekko &amp; Co"/>
    <x v="2"/>
    <d v="2017-04-19T00:00:00"/>
    <x v="117"/>
    <n v="0"/>
  </r>
  <r>
    <x v="2576"/>
    <x v="2"/>
    <x v="2"/>
    <x v="1"/>
    <s v="GTX Basic"/>
    <s v="Hottechi"/>
    <x v="1"/>
    <d v="2017-04-19T00:00:00"/>
    <x v="6"/>
    <m/>
  </r>
  <r>
    <x v="2577"/>
    <x v="25"/>
    <x v="4"/>
    <x v="2"/>
    <s v="MG Special"/>
    <s v="Silis"/>
    <x v="0"/>
    <d v="2017-04-20T00:00:00"/>
    <x v="83"/>
    <n v="55"/>
  </r>
  <r>
    <x v="2578"/>
    <x v="23"/>
    <x v="4"/>
    <x v="2"/>
    <s v="GTX Plus Basic"/>
    <s v="Acme Corporation"/>
    <x v="0"/>
    <d v="2017-04-20T00:00:00"/>
    <x v="133"/>
    <n v="1161"/>
  </r>
  <r>
    <x v="2579"/>
    <x v="23"/>
    <x v="4"/>
    <x v="2"/>
    <s v="GTXPro"/>
    <s v="Plussunin"/>
    <x v="0"/>
    <d v="2017-04-20T00:00:00"/>
    <x v="125"/>
    <n v="5091"/>
  </r>
  <r>
    <x v="2580"/>
    <x v="23"/>
    <x v="4"/>
    <x v="2"/>
    <s v="MG Special"/>
    <s v="Donquadtech"/>
    <x v="0"/>
    <d v="2017-04-20T00:00:00"/>
    <x v="119"/>
    <n v="59"/>
  </r>
  <r>
    <x v="2581"/>
    <x v="27"/>
    <x v="5"/>
    <x v="2"/>
    <s v="GTX Plus Pro"/>
    <s v="Plussunin"/>
    <x v="2"/>
    <d v="2017-04-20T00:00:00"/>
    <x v="46"/>
    <n v="0"/>
  </r>
  <r>
    <x v="2582"/>
    <x v="13"/>
    <x v="4"/>
    <x v="2"/>
    <s v="GTX Basic"/>
    <s v="Ontomedia"/>
    <x v="2"/>
    <d v="2017-04-20T00:00:00"/>
    <x v="119"/>
    <n v="0"/>
  </r>
  <r>
    <x v="2583"/>
    <x v="1"/>
    <x v="1"/>
    <x v="0"/>
    <s v="GTXPro"/>
    <s v="Gogozoom"/>
    <x v="2"/>
    <d v="2017-04-20T00:00:00"/>
    <x v="131"/>
    <n v="0"/>
  </r>
  <r>
    <x v="2584"/>
    <x v="1"/>
    <x v="1"/>
    <x v="0"/>
    <s v="GTX Basic"/>
    <s v="Rundofase"/>
    <x v="0"/>
    <d v="2017-04-20T00:00:00"/>
    <x v="130"/>
    <n v="549"/>
  </r>
  <r>
    <x v="2585"/>
    <x v="26"/>
    <x v="4"/>
    <x v="2"/>
    <s v="GTX Plus Basic"/>
    <s v="Zathunicon"/>
    <x v="2"/>
    <d v="2017-04-20T00:00:00"/>
    <x v="120"/>
    <n v="0"/>
  </r>
  <r>
    <x v="2586"/>
    <x v="14"/>
    <x v="3"/>
    <x v="1"/>
    <s v="GTK 500"/>
    <s v="Plexzap"/>
    <x v="0"/>
    <d v="2017-04-20T00:00:00"/>
    <x v="88"/>
    <n v="24949"/>
  </r>
  <r>
    <x v="2587"/>
    <x v="8"/>
    <x v="1"/>
    <x v="0"/>
    <s v="GTX Plus Basic"/>
    <s v="Genco Pura Olive Oil Company"/>
    <x v="2"/>
    <d v="2017-04-20T00:00:00"/>
    <x v="35"/>
    <n v="0"/>
  </r>
  <r>
    <x v="2588"/>
    <x v="7"/>
    <x v="2"/>
    <x v="1"/>
    <s v="GTXPro"/>
    <s v="Newex"/>
    <x v="2"/>
    <d v="2017-04-20T00:00:00"/>
    <x v="58"/>
    <n v="0"/>
  </r>
  <r>
    <x v="2589"/>
    <x v="7"/>
    <x v="2"/>
    <x v="1"/>
    <s v="GTX Plus Pro"/>
    <s v="Fasehatice"/>
    <x v="0"/>
    <d v="2017-04-20T00:00:00"/>
    <x v="35"/>
    <n v="4985"/>
  </r>
  <r>
    <x v="2590"/>
    <x v="29"/>
    <x v="1"/>
    <x v="0"/>
    <s v="GTX Basic"/>
    <s v="Toughzap"/>
    <x v="2"/>
    <d v="2017-04-20T00:00:00"/>
    <x v="119"/>
    <n v="0"/>
  </r>
  <r>
    <x v="2591"/>
    <x v="29"/>
    <x v="1"/>
    <x v="0"/>
    <s v="GTX Basic"/>
    <s v="Conecom"/>
    <x v="0"/>
    <d v="2017-04-20T00:00:00"/>
    <x v="132"/>
    <n v="657"/>
  </r>
  <r>
    <x v="2592"/>
    <x v="29"/>
    <x v="1"/>
    <x v="0"/>
    <s v="GTX Basic"/>
    <s v="Streethex"/>
    <x v="0"/>
    <d v="2017-04-20T00:00:00"/>
    <x v="89"/>
    <n v="628"/>
  </r>
  <r>
    <x v="2593"/>
    <x v="29"/>
    <x v="1"/>
    <x v="0"/>
    <s v="GTX Plus Basic"/>
    <s v="Conecom"/>
    <x v="0"/>
    <d v="2017-04-20T00:00:00"/>
    <x v="75"/>
    <n v="1183"/>
  </r>
  <r>
    <x v="2594"/>
    <x v="29"/>
    <x v="1"/>
    <x v="0"/>
    <s v="GTX Plus Pro"/>
    <s v="Domzoom"/>
    <x v="0"/>
    <d v="2017-04-20T00:00:00"/>
    <x v="126"/>
    <n v="5203"/>
  </r>
  <r>
    <x v="2595"/>
    <x v="29"/>
    <x v="1"/>
    <x v="0"/>
    <s v="MG Special"/>
    <s v="Gogozoom"/>
    <x v="0"/>
    <d v="2017-04-20T00:00:00"/>
    <x v="127"/>
    <n v="56"/>
  </r>
  <r>
    <x v="2596"/>
    <x v="16"/>
    <x v="2"/>
    <x v="1"/>
    <s v="MG Special"/>
    <m/>
    <x v="1"/>
    <d v="2017-04-20T00:00:00"/>
    <x v="6"/>
    <m/>
  </r>
  <r>
    <x v="2597"/>
    <x v="16"/>
    <x v="2"/>
    <x v="1"/>
    <s v="GTX Basic"/>
    <s v="Blackzim"/>
    <x v="0"/>
    <d v="2017-04-20T00:00:00"/>
    <x v="130"/>
    <n v="502"/>
  </r>
  <r>
    <x v="2598"/>
    <x v="18"/>
    <x v="2"/>
    <x v="1"/>
    <s v="GTX Basic"/>
    <m/>
    <x v="1"/>
    <d v="2017-04-20T00:00:00"/>
    <x v="6"/>
    <m/>
  </r>
  <r>
    <x v="2599"/>
    <x v="18"/>
    <x v="2"/>
    <x v="1"/>
    <s v="GTX Basic"/>
    <s v="Xx-holding"/>
    <x v="0"/>
    <d v="2017-04-20T00:00:00"/>
    <x v="79"/>
    <n v="527"/>
  </r>
  <r>
    <x v="2600"/>
    <x v="5"/>
    <x v="3"/>
    <x v="1"/>
    <s v="MG Special"/>
    <s v="Xx-holding"/>
    <x v="2"/>
    <d v="2017-04-20T00:00:00"/>
    <x v="117"/>
    <n v="0"/>
  </r>
  <r>
    <x v="2601"/>
    <x v="22"/>
    <x v="1"/>
    <x v="0"/>
    <s v="MG Special"/>
    <s v="Finhigh"/>
    <x v="0"/>
    <d v="2017-04-20T00:00:00"/>
    <x v="130"/>
    <n v="64"/>
  </r>
  <r>
    <x v="2602"/>
    <x v="9"/>
    <x v="2"/>
    <x v="1"/>
    <s v="GTX Basic"/>
    <s v="Scotfind"/>
    <x v="0"/>
    <d v="2017-04-20T00:00:00"/>
    <x v="127"/>
    <n v="579"/>
  </r>
  <r>
    <x v="2603"/>
    <x v="9"/>
    <x v="2"/>
    <x v="1"/>
    <s v="GTX Plus Pro"/>
    <s v="Lexiqvolax"/>
    <x v="0"/>
    <d v="2017-04-20T00:00:00"/>
    <x v="131"/>
    <n v="5958"/>
  </r>
  <r>
    <x v="2604"/>
    <x v="9"/>
    <x v="2"/>
    <x v="1"/>
    <s v="GTXPro"/>
    <s v="Scotfind"/>
    <x v="0"/>
    <d v="2017-04-20T00:00:00"/>
    <x v="63"/>
    <n v="4543"/>
  </r>
  <r>
    <x v="2605"/>
    <x v="0"/>
    <x v="0"/>
    <x v="0"/>
    <s v="GTX Basic"/>
    <s v="Inity"/>
    <x v="2"/>
    <d v="2017-04-20T00:00:00"/>
    <x v="119"/>
    <n v="0"/>
  </r>
  <r>
    <x v="2606"/>
    <x v="0"/>
    <x v="0"/>
    <x v="0"/>
    <s v="MG Special"/>
    <s v="Treequote"/>
    <x v="0"/>
    <d v="2017-04-20T00:00:00"/>
    <x v="35"/>
    <n v="58"/>
  </r>
  <r>
    <x v="2607"/>
    <x v="19"/>
    <x v="4"/>
    <x v="2"/>
    <s v="GTX Plus Basic"/>
    <s v="Plussunin"/>
    <x v="2"/>
    <d v="2017-04-20T00:00:00"/>
    <x v="117"/>
    <n v="0"/>
  </r>
  <r>
    <x v="2608"/>
    <x v="19"/>
    <x v="4"/>
    <x v="2"/>
    <s v="GTX Plus Pro"/>
    <s v="Vehement Capital Partners"/>
    <x v="2"/>
    <d v="2017-04-20T00:00:00"/>
    <x v="127"/>
    <n v="0"/>
  </r>
  <r>
    <x v="2609"/>
    <x v="17"/>
    <x v="5"/>
    <x v="2"/>
    <s v="GTX Plus Basic"/>
    <s v="Betasoloin"/>
    <x v="0"/>
    <d v="2017-04-20T00:00:00"/>
    <x v="90"/>
    <n v="1036"/>
  </r>
  <r>
    <x v="2610"/>
    <x v="12"/>
    <x v="0"/>
    <x v="0"/>
    <s v="GTX Plus Pro"/>
    <s v="Genco Pura Olive Oil Company"/>
    <x v="0"/>
    <d v="2017-04-20T00:00:00"/>
    <x v="127"/>
    <n v="4878"/>
  </r>
  <r>
    <x v="2611"/>
    <x v="4"/>
    <x v="3"/>
    <x v="1"/>
    <s v="GTX Basic"/>
    <s v="Faxquote"/>
    <x v="2"/>
    <d v="2017-04-20T00:00:00"/>
    <x v="130"/>
    <n v="0"/>
  </r>
  <r>
    <x v="2612"/>
    <x v="3"/>
    <x v="0"/>
    <x v="0"/>
    <s v="GTX Plus Basic"/>
    <s v="Streethex"/>
    <x v="2"/>
    <d v="2017-04-21T00:00:00"/>
    <x v="33"/>
    <n v="0"/>
  </r>
  <r>
    <x v="2613"/>
    <x v="23"/>
    <x v="4"/>
    <x v="2"/>
    <s v="GTX Plus Basic"/>
    <m/>
    <x v="1"/>
    <d v="2017-04-21T00:00:00"/>
    <x v="6"/>
    <m/>
  </r>
  <r>
    <x v="2614"/>
    <x v="23"/>
    <x v="4"/>
    <x v="2"/>
    <s v="GTX Plus Basic"/>
    <s v="Bubba Gump"/>
    <x v="0"/>
    <d v="2017-04-21T00:00:00"/>
    <x v="134"/>
    <n v="1033"/>
  </r>
  <r>
    <x v="2615"/>
    <x v="13"/>
    <x v="4"/>
    <x v="2"/>
    <s v="GTX Plus Pro"/>
    <s v="Zathunicon"/>
    <x v="0"/>
    <d v="2017-04-21T00:00:00"/>
    <x v="82"/>
    <n v="5343"/>
  </r>
  <r>
    <x v="2616"/>
    <x v="1"/>
    <x v="1"/>
    <x v="0"/>
    <s v="GTX Plus Basic"/>
    <s v="Conecom"/>
    <x v="2"/>
    <d v="2017-04-21T00:00:00"/>
    <x v="131"/>
    <n v="0"/>
  </r>
  <r>
    <x v="2617"/>
    <x v="1"/>
    <x v="1"/>
    <x v="0"/>
    <s v="GTXPro"/>
    <s v="Stanredtax"/>
    <x v="2"/>
    <d v="2017-04-21T00:00:00"/>
    <x v="127"/>
    <n v="0"/>
  </r>
  <r>
    <x v="2618"/>
    <x v="1"/>
    <x v="1"/>
    <x v="0"/>
    <s v="GTXPro"/>
    <s v="Stanredtax"/>
    <x v="2"/>
    <d v="2017-04-21T00:00:00"/>
    <x v="133"/>
    <n v="0"/>
  </r>
  <r>
    <x v="2619"/>
    <x v="1"/>
    <x v="1"/>
    <x v="0"/>
    <s v="MG Advanced"/>
    <s v="Finhigh"/>
    <x v="0"/>
    <d v="2017-04-21T00:00:00"/>
    <x v="123"/>
    <n v="3269"/>
  </r>
  <r>
    <x v="2620"/>
    <x v="26"/>
    <x v="4"/>
    <x v="2"/>
    <s v="GTX Basic"/>
    <s v="Silis"/>
    <x v="2"/>
    <d v="2017-04-21T00:00:00"/>
    <x v="50"/>
    <n v="0"/>
  </r>
  <r>
    <x v="2621"/>
    <x v="26"/>
    <x v="4"/>
    <x v="2"/>
    <s v="GTXPro"/>
    <s v="Acme Corporation"/>
    <x v="0"/>
    <d v="2017-04-21T00:00:00"/>
    <x v="127"/>
    <n v="4605"/>
  </r>
  <r>
    <x v="2622"/>
    <x v="21"/>
    <x v="5"/>
    <x v="2"/>
    <s v="GTX Plus Pro"/>
    <s v="Mathtouch"/>
    <x v="0"/>
    <d v="2017-04-21T00:00:00"/>
    <x v="82"/>
    <n v="4908"/>
  </r>
  <r>
    <x v="2623"/>
    <x v="10"/>
    <x v="3"/>
    <x v="1"/>
    <s v="MG Advanced"/>
    <s v="Labdrill"/>
    <x v="0"/>
    <d v="2017-04-21T00:00:00"/>
    <x v="131"/>
    <n v="3303"/>
  </r>
  <r>
    <x v="2624"/>
    <x v="29"/>
    <x v="1"/>
    <x v="0"/>
    <s v="MG Advanced"/>
    <s v="dambase"/>
    <x v="2"/>
    <d v="2017-04-21T00:00:00"/>
    <x v="119"/>
    <n v="0"/>
  </r>
  <r>
    <x v="2625"/>
    <x v="29"/>
    <x v="1"/>
    <x v="0"/>
    <s v="MG Advanced"/>
    <s v="Ron-tech"/>
    <x v="2"/>
    <d v="2017-04-21T00:00:00"/>
    <x v="35"/>
    <n v="0"/>
  </r>
  <r>
    <x v="2626"/>
    <x v="29"/>
    <x v="1"/>
    <x v="0"/>
    <s v="MG Special"/>
    <s v="Streethex"/>
    <x v="0"/>
    <d v="2017-04-21T00:00:00"/>
    <x v="119"/>
    <n v="55"/>
  </r>
  <r>
    <x v="2627"/>
    <x v="16"/>
    <x v="2"/>
    <x v="1"/>
    <s v="GTX Basic"/>
    <s v="Lexiqvolax"/>
    <x v="0"/>
    <d v="2017-04-21T00:00:00"/>
    <x v="91"/>
    <n v="531"/>
  </r>
  <r>
    <x v="2628"/>
    <x v="16"/>
    <x v="2"/>
    <x v="1"/>
    <s v="GTX Basic"/>
    <s v="Newex"/>
    <x v="0"/>
    <d v="2017-04-21T00:00:00"/>
    <x v="32"/>
    <n v="557"/>
  </r>
  <r>
    <x v="2629"/>
    <x v="24"/>
    <x v="0"/>
    <x v="0"/>
    <s v="GTX Basic"/>
    <s v="Hottechi"/>
    <x v="0"/>
    <d v="2017-04-21T00:00:00"/>
    <x v="82"/>
    <n v="489"/>
  </r>
  <r>
    <x v="2630"/>
    <x v="22"/>
    <x v="1"/>
    <x v="0"/>
    <s v="MG Advanced"/>
    <s v="Scottech"/>
    <x v="2"/>
    <d v="2017-04-21T00:00:00"/>
    <x v="56"/>
    <n v="0"/>
  </r>
  <r>
    <x v="2631"/>
    <x v="0"/>
    <x v="0"/>
    <x v="0"/>
    <s v="MG Special"/>
    <s v="Streethex"/>
    <x v="0"/>
    <d v="2017-04-21T00:00:00"/>
    <x v="36"/>
    <n v="60"/>
  </r>
  <r>
    <x v="2632"/>
    <x v="19"/>
    <x v="4"/>
    <x v="2"/>
    <s v="MG Advanced"/>
    <s v="Betasoloin"/>
    <x v="0"/>
    <d v="2017-04-21T00:00:00"/>
    <x v="43"/>
    <n v="2887"/>
  </r>
  <r>
    <x v="2633"/>
    <x v="19"/>
    <x v="4"/>
    <x v="2"/>
    <s v="MG Advanced"/>
    <s v="Donware"/>
    <x v="0"/>
    <d v="2017-04-21T00:00:00"/>
    <x v="35"/>
    <n v="3214"/>
  </r>
  <r>
    <x v="2634"/>
    <x v="17"/>
    <x v="5"/>
    <x v="2"/>
    <s v="MG Advanced"/>
    <s v="Betatech"/>
    <x v="1"/>
    <d v="2017-04-21T00:00:00"/>
    <x v="6"/>
    <m/>
  </r>
  <r>
    <x v="2635"/>
    <x v="17"/>
    <x v="5"/>
    <x v="2"/>
    <s v="MG Advanced"/>
    <s v="Acme Corporation"/>
    <x v="0"/>
    <d v="2017-04-21T00:00:00"/>
    <x v="121"/>
    <n v="3850"/>
  </r>
  <r>
    <x v="2636"/>
    <x v="12"/>
    <x v="0"/>
    <x v="0"/>
    <s v="MG Special"/>
    <s v="Gogozoom"/>
    <x v="0"/>
    <d v="2017-04-21T00:00:00"/>
    <x v="73"/>
    <n v="54"/>
  </r>
  <r>
    <x v="2637"/>
    <x v="4"/>
    <x v="3"/>
    <x v="1"/>
    <s v="GTXPro"/>
    <m/>
    <x v="1"/>
    <d v="2017-04-21T00:00:00"/>
    <x v="6"/>
    <m/>
  </r>
  <r>
    <x v="2638"/>
    <x v="4"/>
    <x v="3"/>
    <x v="1"/>
    <s v="MG Special"/>
    <s v="Groovestreet"/>
    <x v="2"/>
    <d v="2017-04-21T00:00:00"/>
    <x v="132"/>
    <n v="0"/>
  </r>
  <r>
    <x v="2639"/>
    <x v="4"/>
    <x v="3"/>
    <x v="1"/>
    <s v="GTXPro"/>
    <s v="Plexzap"/>
    <x v="0"/>
    <d v="2017-04-21T00:00:00"/>
    <x v="116"/>
    <n v="5040"/>
  </r>
  <r>
    <x v="2640"/>
    <x v="20"/>
    <x v="5"/>
    <x v="2"/>
    <s v="GTX Plus Pro"/>
    <s v="Iselectrics"/>
    <x v="0"/>
    <d v="2017-04-21T00:00:00"/>
    <x v="119"/>
    <n v="6263"/>
  </r>
  <r>
    <x v="2641"/>
    <x v="2"/>
    <x v="2"/>
    <x v="1"/>
    <s v="GTXPro"/>
    <s v="Scotfind"/>
    <x v="2"/>
    <d v="2017-04-21T00:00:00"/>
    <x v="35"/>
    <n v="0"/>
  </r>
  <r>
    <x v="2642"/>
    <x v="2"/>
    <x v="2"/>
    <x v="1"/>
    <s v="GTX Basic"/>
    <s v="Blackzim"/>
    <x v="0"/>
    <d v="2017-04-21T00:00:00"/>
    <x v="121"/>
    <n v="570"/>
  </r>
  <r>
    <x v="2643"/>
    <x v="2"/>
    <x v="2"/>
    <x v="1"/>
    <s v="GTXPro"/>
    <s v="Dalttechnology"/>
    <x v="0"/>
    <d v="2017-04-21T00:00:00"/>
    <x v="132"/>
    <n v="4633"/>
  </r>
  <r>
    <x v="2644"/>
    <x v="25"/>
    <x v="4"/>
    <x v="2"/>
    <s v="GTX Plus Pro"/>
    <s v="Donquadtech"/>
    <x v="2"/>
    <d v="2017-04-22T00:00:00"/>
    <x v="132"/>
    <n v="0"/>
  </r>
  <r>
    <x v="2645"/>
    <x v="23"/>
    <x v="4"/>
    <x v="2"/>
    <s v="GTXPro"/>
    <s v="Kinnamplus"/>
    <x v="2"/>
    <d v="2017-04-22T00:00:00"/>
    <x v="38"/>
    <n v="0"/>
  </r>
  <r>
    <x v="2646"/>
    <x v="23"/>
    <x v="4"/>
    <x v="2"/>
    <s v="GTXPro"/>
    <s v="The New York Inquirer"/>
    <x v="0"/>
    <d v="2017-04-22T00:00:00"/>
    <x v="130"/>
    <n v="4891"/>
  </r>
  <r>
    <x v="2647"/>
    <x v="1"/>
    <x v="1"/>
    <x v="0"/>
    <s v="GTX Plus Pro"/>
    <s v="Streethex"/>
    <x v="0"/>
    <d v="2017-04-22T00:00:00"/>
    <x v="132"/>
    <n v="5858"/>
  </r>
  <r>
    <x v="2648"/>
    <x v="1"/>
    <x v="1"/>
    <x v="0"/>
    <s v="GTXPro"/>
    <s v="Rundofase"/>
    <x v="0"/>
    <d v="2017-04-22T00:00:00"/>
    <x v="61"/>
    <n v="4939"/>
  </r>
  <r>
    <x v="2649"/>
    <x v="29"/>
    <x v="1"/>
    <x v="0"/>
    <s v="GTX Basic"/>
    <s v="Inity"/>
    <x v="0"/>
    <d v="2017-04-22T00:00:00"/>
    <x v="116"/>
    <n v="570"/>
  </r>
  <r>
    <x v="2650"/>
    <x v="18"/>
    <x v="2"/>
    <x v="1"/>
    <s v="MG Advanced"/>
    <s v="Fasehatice"/>
    <x v="2"/>
    <d v="2017-04-22T00:00:00"/>
    <x v="132"/>
    <n v="0"/>
  </r>
  <r>
    <x v="2651"/>
    <x v="18"/>
    <x v="2"/>
    <x v="1"/>
    <s v="GTX Basic"/>
    <s v="Y-corporation"/>
    <x v="0"/>
    <d v="2017-04-22T00:00:00"/>
    <x v="131"/>
    <n v="500"/>
  </r>
  <r>
    <x v="2652"/>
    <x v="18"/>
    <x v="2"/>
    <x v="1"/>
    <s v="MG Advanced"/>
    <s v="Kan-code"/>
    <x v="0"/>
    <d v="2017-04-22T00:00:00"/>
    <x v="121"/>
    <n v="3546"/>
  </r>
  <r>
    <x v="2653"/>
    <x v="5"/>
    <x v="3"/>
    <x v="1"/>
    <s v="GTX Basic"/>
    <s v="Dalttechnology"/>
    <x v="0"/>
    <d v="2017-04-22T00:00:00"/>
    <x v="131"/>
    <n v="525"/>
  </r>
  <r>
    <x v="2654"/>
    <x v="9"/>
    <x v="2"/>
    <x v="1"/>
    <s v="MG Special"/>
    <m/>
    <x v="1"/>
    <d v="2017-04-22T00:00:00"/>
    <x v="6"/>
    <m/>
  </r>
  <r>
    <x v="2655"/>
    <x v="0"/>
    <x v="0"/>
    <x v="0"/>
    <s v="GTX Plus Basic"/>
    <s v="Conecom"/>
    <x v="0"/>
    <d v="2017-04-22T00:00:00"/>
    <x v="127"/>
    <n v="1024"/>
  </r>
  <r>
    <x v="2656"/>
    <x v="6"/>
    <x v="1"/>
    <x v="0"/>
    <s v="GTX Plus Pro"/>
    <s v="Streethex"/>
    <x v="0"/>
    <d v="2017-04-22T00:00:00"/>
    <x v="131"/>
    <n v="6384"/>
  </r>
  <r>
    <x v="2657"/>
    <x v="19"/>
    <x v="4"/>
    <x v="2"/>
    <s v="GTX Basic"/>
    <s v="Acme Corporation"/>
    <x v="2"/>
    <d v="2017-04-22T00:00:00"/>
    <x v="38"/>
    <n v="0"/>
  </r>
  <r>
    <x v="2658"/>
    <x v="19"/>
    <x v="4"/>
    <x v="2"/>
    <s v="GTX Basic"/>
    <s v="Donware"/>
    <x v="0"/>
    <d v="2017-04-22T00:00:00"/>
    <x v="90"/>
    <n v="587"/>
  </r>
  <r>
    <x v="2659"/>
    <x v="11"/>
    <x v="3"/>
    <x v="1"/>
    <s v="MG Special"/>
    <s v="Labdrill"/>
    <x v="0"/>
    <d v="2017-04-22T00:00:00"/>
    <x v="130"/>
    <n v="55"/>
  </r>
  <r>
    <x v="2660"/>
    <x v="11"/>
    <x v="3"/>
    <x v="1"/>
    <s v="MG Advanced"/>
    <s v="Y-corporation"/>
    <x v="0"/>
    <d v="2017-04-22T00:00:00"/>
    <x v="131"/>
    <n v="3242"/>
  </r>
  <r>
    <x v="2661"/>
    <x v="12"/>
    <x v="0"/>
    <x v="0"/>
    <s v="GTX Plus Pro"/>
    <s v="Zumgoity"/>
    <x v="0"/>
    <d v="2017-04-22T00:00:00"/>
    <x v="60"/>
    <n v="5558"/>
  </r>
  <r>
    <x v="2662"/>
    <x v="4"/>
    <x v="3"/>
    <x v="1"/>
    <s v="GTXPro"/>
    <s v="Singletechno"/>
    <x v="0"/>
    <d v="2017-04-22T00:00:00"/>
    <x v="130"/>
    <n v="4869"/>
  </r>
  <r>
    <x v="2663"/>
    <x v="4"/>
    <x v="3"/>
    <x v="1"/>
    <s v="MG Advanced"/>
    <s v="Hottechi"/>
    <x v="0"/>
    <d v="2017-04-22T00:00:00"/>
    <x v="132"/>
    <n v="3661"/>
  </r>
  <r>
    <x v="2664"/>
    <x v="15"/>
    <x v="5"/>
    <x v="2"/>
    <s v="GTX Basic"/>
    <m/>
    <x v="1"/>
    <d v="2017-04-22T00:00:00"/>
    <x v="6"/>
    <m/>
  </r>
  <r>
    <x v="2665"/>
    <x v="15"/>
    <x v="5"/>
    <x v="2"/>
    <s v="MG Special"/>
    <m/>
    <x v="1"/>
    <d v="2017-04-22T00:00:00"/>
    <x v="6"/>
    <m/>
  </r>
  <r>
    <x v="2666"/>
    <x v="2"/>
    <x v="2"/>
    <x v="1"/>
    <s v="GTXPro"/>
    <s v="Kan-code"/>
    <x v="0"/>
    <d v="2017-04-22T00:00:00"/>
    <x v="132"/>
    <n v="5456"/>
  </r>
  <r>
    <x v="2667"/>
    <x v="3"/>
    <x v="0"/>
    <x v="0"/>
    <s v="MG Special"/>
    <s v="Globex Corporation"/>
    <x v="2"/>
    <d v="2017-04-23T00:00:00"/>
    <x v="135"/>
    <n v="0"/>
  </r>
  <r>
    <x v="2668"/>
    <x v="25"/>
    <x v="4"/>
    <x v="2"/>
    <s v="GTXPro"/>
    <s v="Plussunin"/>
    <x v="2"/>
    <d v="2017-04-23T00:00:00"/>
    <x v="120"/>
    <n v="0"/>
  </r>
  <r>
    <x v="2669"/>
    <x v="23"/>
    <x v="4"/>
    <x v="2"/>
    <s v="GTX Basic"/>
    <s v="Ganjaflex"/>
    <x v="2"/>
    <d v="2017-04-23T00:00:00"/>
    <x v="131"/>
    <n v="0"/>
  </r>
  <r>
    <x v="2670"/>
    <x v="23"/>
    <x v="4"/>
    <x v="2"/>
    <s v="MG Advanced"/>
    <s v="Umbrella Corporation"/>
    <x v="2"/>
    <d v="2017-04-23T00:00:00"/>
    <x v="136"/>
    <n v="0"/>
  </r>
  <r>
    <x v="2671"/>
    <x v="27"/>
    <x v="5"/>
    <x v="2"/>
    <s v="GTXPro"/>
    <s v="Mathtouch"/>
    <x v="2"/>
    <d v="2017-04-23T00:00:00"/>
    <x v="131"/>
    <n v="0"/>
  </r>
  <r>
    <x v="2672"/>
    <x v="27"/>
    <x v="5"/>
    <x v="2"/>
    <s v="GTX Plus Pro"/>
    <s v="Zotware"/>
    <x v="0"/>
    <d v="2017-04-23T00:00:00"/>
    <x v="120"/>
    <n v="5780"/>
  </r>
  <r>
    <x v="2673"/>
    <x v="27"/>
    <x v="5"/>
    <x v="2"/>
    <s v="GTXPro"/>
    <s v="Zencorporation"/>
    <x v="0"/>
    <d v="2017-04-23T00:00:00"/>
    <x v="131"/>
    <n v="5787"/>
  </r>
  <r>
    <x v="2674"/>
    <x v="13"/>
    <x v="4"/>
    <x v="2"/>
    <s v="GTXPro"/>
    <s v="Bioplex"/>
    <x v="0"/>
    <d v="2017-04-23T00:00:00"/>
    <x v="125"/>
    <n v="5149"/>
  </r>
  <r>
    <x v="2675"/>
    <x v="26"/>
    <x v="4"/>
    <x v="2"/>
    <s v="GTX Plus Basic"/>
    <s v="Ganjaflex"/>
    <x v="2"/>
    <d v="2017-04-23T00:00:00"/>
    <x v="135"/>
    <n v="0"/>
  </r>
  <r>
    <x v="2676"/>
    <x v="26"/>
    <x v="4"/>
    <x v="2"/>
    <s v="GTXPro"/>
    <s v="Betasoloin"/>
    <x v="0"/>
    <d v="2017-04-23T00:00:00"/>
    <x v="71"/>
    <n v="5100"/>
  </r>
  <r>
    <x v="2677"/>
    <x v="26"/>
    <x v="4"/>
    <x v="2"/>
    <s v="GTXPro"/>
    <s v="Vehement Capital Partners"/>
    <x v="0"/>
    <d v="2017-04-23T00:00:00"/>
    <x v="131"/>
    <n v="4810"/>
  </r>
  <r>
    <x v="2678"/>
    <x v="14"/>
    <x v="3"/>
    <x v="1"/>
    <s v="MG Special"/>
    <s v="Goodsilron"/>
    <x v="2"/>
    <d v="2017-04-23T00:00:00"/>
    <x v="32"/>
    <n v="0"/>
  </r>
  <r>
    <x v="2679"/>
    <x v="14"/>
    <x v="3"/>
    <x v="1"/>
    <s v="MG Advanced"/>
    <s v="Blackzim"/>
    <x v="2"/>
    <d v="2017-04-23T00:00:00"/>
    <x v="137"/>
    <n v="0"/>
  </r>
  <r>
    <x v="2680"/>
    <x v="8"/>
    <x v="1"/>
    <x v="0"/>
    <s v="GTX Basic"/>
    <s v="Betatech"/>
    <x v="0"/>
    <d v="2017-04-23T00:00:00"/>
    <x v="120"/>
    <n v="560"/>
  </r>
  <r>
    <x v="2681"/>
    <x v="8"/>
    <x v="1"/>
    <x v="0"/>
    <s v="GTXPro"/>
    <s v="Inity"/>
    <x v="0"/>
    <d v="2017-04-23T00:00:00"/>
    <x v="35"/>
    <n v="4916"/>
  </r>
  <r>
    <x v="2682"/>
    <x v="7"/>
    <x v="2"/>
    <x v="1"/>
    <s v="MG Special"/>
    <m/>
    <x v="1"/>
    <d v="2017-04-23T00:00:00"/>
    <x v="6"/>
    <m/>
  </r>
  <r>
    <x v="2683"/>
    <x v="7"/>
    <x v="2"/>
    <x v="1"/>
    <s v="MG Special"/>
    <s v="Newex"/>
    <x v="0"/>
    <d v="2017-04-23T00:00:00"/>
    <x v="80"/>
    <n v="45"/>
  </r>
  <r>
    <x v="2684"/>
    <x v="16"/>
    <x v="2"/>
    <x v="1"/>
    <s v="GTX Plus Basic"/>
    <s v="Konex"/>
    <x v="2"/>
    <d v="2017-04-23T00:00:00"/>
    <x v="125"/>
    <n v="0"/>
  </r>
  <r>
    <x v="2685"/>
    <x v="16"/>
    <x v="2"/>
    <x v="1"/>
    <s v="GTX Basic"/>
    <s v="Golddex"/>
    <x v="0"/>
    <d v="2017-04-23T00:00:00"/>
    <x v="120"/>
    <n v="592"/>
  </r>
  <r>
    <x v="2686"/>
    <x v="18"/>
    <x v="2"/>
    <x v="1"/>
    <s v="GTX Basic"/>
    <s v="Doncon"/>
    <x v="0"/>
    <d v="2017-04-23T00:00:00"/>
    <x v="132"/>
    <n v="529"/>
  </r>
  <r>
    <x v="2687"/>
    <x v="18"/>
    <x v="2"/>
    <x v="1"/>
    <s v="GTXPro"/>
    <s v="J-Texon"/>
    <x v="0"/>
    <d v="2017-04-23T00:00:00"/>
    <x v="123"/>
    <n v="5415"/>
  </r>
  <r>
    <x v="2688"/>
    <x v="24"/>
    <x v="0"/>
    <x v="0"/>
    <s v="GTX Plus Pro"/>
    <s v="Streethex"/>
    <x v="2"/>
    <d v="2017-04-23T00:00:00"/>
    <x v="35"/>
    <n v="0"/>
  </r>
  <r>
    <x v="2689"/>
    <x v="24"/>
    <x v="0"/>
    <x v="0"/>
    <s v="GTX Basic"/>
    <s v="Bioholding"/>
    <x v="0"/>
    <d v="2017-04-23T00:00:00"/>
    <x v="75"/>
    <n v="518"/>
  </r>
  <r>
    <x v="2690"/>
    <x v="24"/>
    <x v="0"/>
    <x v="0"/>
    <s v="MG Special"/>
    <s v="Warephase"/>
    <x v="0"/>
    <d v="2017-04-23T00:00:00"/>
    <x v="138"/>
    <n v="52"/>
  </r>
  <r>
    <x v="2691"/>
    <x v="5"/>
    <x v="3"/>
    <x v="1"/>
    <s v="MG Advanced"/>
    <m/>
    <x v="1"/>
    <d v="2017-04-23T00:00:00"/>
    <x v="6"/>
    <m/>
  </r>
  <r>
    <x v="2692"/>
    <x v="5"/>
    <x v="3"/>
    <x v="1"/>
    <s v="MG Special"/>
    <s v="Labdrill"/>
    <x v="2"/>
    <d v="2017-04-23T00:00:00"/>
    <x v="120"/>
    <n v="0"/>
  </r>
  <r>
    <x v="2693"/>
    <x v="0"/>
    <x v="0"/>
    <x v="0"/>
    <s v="MG Special"/>
    <s v="Funholding"/>
    <x v="0"/>
    <d v="2017-04-23T00:00:00"/>
    <x v="79"/>
    <n v="51"/>
  </r>
  <r>
    <x v="2694"/>
    <x v="6"/>
    <x v="1"/>
    <x v="0"/>
    <s v="GTX Basic"/>
    <s v="Genco Pura Olive Oil Company"/>
    <x v="0"/>
    <d v="2017-04-23T00:00:00"/>
    <x v="120"/>
    <n v="554"/>
  </r>
  <r>
    <x v="2695"/>
    <x v="6"/>
    <x v="1"/>
    <x v="0"/>
    <s v="GTXPro"/>
    <s v="Rundofase"/>
    <x v="0"/>
    <d v="2017-04-23T00:00:00"/>
    <x v="139"/>
    <n v="4835"/>
  </r>
  <r>
    <x v="2696"/>
    <x v="19"/>
    <x v="4"/>
    <x v="2"/>
    <s v="MG Advanced"/>
    <s v="Ontomedia"/>
    <x v="2"/>
    <d v="2017-04-23T00:00:00"/>
    <x v="120"/>
    <n v="0"/>
  </r>
  <r>
    <x v="2697"/>
    <x v="11"/>
    <x v="3"/>
    <x v="1"/>
    <s v="MG Special"/>
    <m/>
    <x v="1"/>
    <d v="2017-04-23T00:00:00"/>
    <x v="6"/>
    <m/>
  </r>
  <r>
    <x v="2698"/>
    <x v="11"/>
    <x v="3"/>
    <x v="1"/>
    <s v="MG Special"/>
    <s v="Blackzim"/>
    <x v="0"/>
    <d v="2017-04-23T00:00:00"/>
    <x v="131"/>
    <n v="59"/>
  </r>
  <r>
    <x v="2699"/>
    <x v="17"/>
    <x v="5"/>
    <x v="2"/>
    <s v="MG Advanced"/>
    <s v="Initech"/>
    <x v="2"/>
    <d v="2017-04-23T00:00:00"/>
    <x v="36"/>
    <n v="0"/>
  </r>
  <r>
    <x v="2700"/>
    <x v="12"/>
    <x v="0"/>
    <x v="0"/>
    <s v="MG Special"/>
    <s v="Zumgoity"/>
    <x v="2"/>
    <d v="2017-04-23T00:00:00"/>
    <x v="33"/>
    <n v="0"/>
  </r>
  <r>
    <x v="2701"/>
    <x v="12"/>
    <x v="0"/>
    <x v="0"/>
    <s v="MG Advanced"/>
    <s v="Dontechi"/>
    <x v="2"/>
    <d v="2017-04-23T00:00:00"/>
    <x v="112"/>
    <n v="0"/>
  </r>
  <r>
    <x v="2702"/>
    <x v="4"/>
    <x v="3"/>
    <x v="1"/>
    <s v="GTXPro"/>
    <s v="Plexzap"/>
    <x v="2"/>
    <d v="2017-04-23T00:00:00"/>
    <x v="140"/>
    <n v="0"/>
  </r>
  <r>
    <x v="2703"/>
    <x v="4"/>
    <x v="3"/>
    <x v="1"/>
    <s v="MG Special"/>
    <s v="Newex"/>
    <x v="2"/>
    <d v="2017-04-23T00:00:00"/>
    <x v="131"/>
    <n v="0"/>
  </r>
  <r>
    <x v="2704"/>
    <x v="15"/>
    <x v="5"/>
    <x v="2"/>
    <s v="GTX Plus Pro"/>
    <s v="Xx-zobam"/>
    <x v="0"/>
    <d v="2017-04-23T00:00:00"/>
    <x v="38"/>
    <n v="5813"/>
  </r>
  <r>
    <x v="2705"/>
    <x v="20"/>
    <x v="5"/>
    <x v="2"/>
    <s v="GTXPro"/>
    <s v="Opentech"/>
    <x v="0"/>
    <d v="2017-04-23T00:00:00"/>
    <x v="46"/>
    <n v="5414"/>
  </r>
  <r>
    <x v="2706"/>
    <x v="2"/>
    <x v="2"/>
    <x v="1"/>
    <s v="GTX Plus Pro"/>
    <s v="Xx-holding"/>
    <x v="2"/>
    <d v="2017-04-23T00:00:00"/>
    <x v="130"/>
    <n v="0"/>
  </r>
  <r>
    <x v="2707"/>
    <x v="3"/>
    <x v="0"/>
    <x v="0"/>
    <s v="MG Special"/>
    <s v="Ron-tech"/>
    <x v="0"/>
    <d v="2017-04-24T00:00:00"/>
    <x v="125"/>
    <n v="62"/>
  </r>
  <r>
    <x v="2708"/>
    <x v="27"/>
    <x v="5"/>
    <x v="2"/>
    <s v="MG Advanced"/>
    <m/>
    <x v="1"/>
    <d v="2017-04-24T00:00:00"/>
    <x v="6"/>
    <m/>
  </r>
  <r>
    <x v="2709"/>
    <x v="27"/>
    <x v="5"/>
    <x v="2"/>
    <s v="GTXPro"/>
    <s v="Plussunin"/>
    <x v="0"/>
    <d v="2017-04-24T00:00:00"/>
    <x v="107"/>
    <n v="4505"/>
  </r>
  <r>
    <x v="2710"/>
    <x v="1"/>
    <x v="1"/>
    <x v="0"/>
    <s v="GTXPro"/>
    <s v="Isdom"/>
    <x v="2"/>
    <d v="2017-04-24T00:00:00"/>
    <x v="131"/>
    <n v="0"/>
  </r>
  <r>
    <x v="2711"/>
    <x v="1"/>
    <x v="1"/>
    <x v="0"/>
    <s v="GTX Plus Basic"/>
    <s v="Konmatfix"/>
    <x v="0"/>
    <d v="2017-04-24T00:00:00"/>
    <x v="36"/>
    <n v="1020"/>
  </r>
  <r>
    <x v="2712"/>
    <x v="1"/>
    <x v="1"/>
    <x v="0"/>
    <s v="GTX Plus Pro"/>
    <s v="Domzoom"/>
    <x v="0"/>
    <d v="2017-04-24T00:00:00"/>
    <x v="132"/>
    <n v="5029"/>
  </r>
  <r>
    <x v="2713"/>
    <x v="1"/>
    <x v="1"/>
    <x v="0"/>
    <s v="GTXPro"/>
    <s v="Scottech"/>
    <x v="0"/>
    <d v="2017-04-24T00:00:00"/>
    <x v="141"/>
    <n v="5191"/>
  </r>
  <r>
    <x v="2714"/>
    <x v="21"/>
    <x v="5"/>
    <x v="2"/>
    <s v="GTX Basic"/>
    <s v="Zotware"/>
    <x v="2"/>
    <d v="2017-04-24T00:00:00"/>
    <x v="36"/>
    <n v="0"/>
  </r>
  <r>
    <x v="2715"/>
    <x v="8"/>
    <x v="1"/>
    <x v="0"/>
    <s v="GTXPro"/>
    <s v="Dontechi"/>
    <x v="2"/>
    <d v="2017-04-24T00:00:00"/>
    <x v="44"/>
    <n v="0"/>
  </r>
  <r>
    <x v="2716"/>
    <x v="10"/>
    <x v="3"/>
    <x v="1"/>
    <s v="MG Advanced"/>
    <m/>
    <x v="1"/>
    <d v="2017-04-24T00:00:00"/>
    <x v="6"/>
    <m/>
  </r>
  <r>
    <x v="2717"/>
    <x v="7"/>
    <x v="2"/>
    <x v="1"/>
    <s v="MG Advanced"/>
    <s v="Scotfind"/>
    <x v="0"/>
    <d v="2017-04-24T00:00:00"/>
    <x v="33"/>
    <n v="3042"/>
  </r>
  <r>
    <x v="2718"/>
    <x v="29"/>
    <x v="1"/>
    <x v="0"/>
    <s v="GTX Basic"/>
    <s v="Globex Corporation"/>
    <x v="0"/>
    <d v="2017-04-24T00:00:00"/>
    <x v="123"/>
    <n v="580"/>
  </r>
  <r>
    <x v="2719"/>
    <x v="16"/>
    <x v="2"/>
    <x v="1"/>
    <s v="GTX Plus Basic"/>
    <m/>
    <x v="1"/>
    <d v="2017-04-24T00:00:00"/>
    <x v="6"/>
    <m/>
  </r>
  <r>
    <x v="2720"/>
    <x v="18"/>
    <x v="2"/>
    <x v="1"/>
    <s v="GTX Basic"/>
    <s v="Nam-zim"/>
    <x v="0"/>
    <d v="2017-04-24T00:00:00"/>
    <x v="142"/>
    <n v="616"/>
  </r>
  <r>
    <x v="2721"/>
    <x v="5"/>
    <x v="3"/>
    <x v="1"/>
    <s v="GTX Plus Basic"/>
    <s v="J-Texon"/>
    <x v="0"/>
    <d v="2017-04-24T00:00:00"/>
    <x v="132"/>
    <n v="788"/>
  </r>
  <r>
    <x v="2722"/>
    <x v="9"/>
    <x v="2"/>
    <x v="1"/>
    <s v="GTX Basic"/>
    <s v="Kan-code"/>
    <x v="2"/>
    <d v="2017-04-24T00:00:00"/>
    <x v="123"/>
    <n v="0"/>
  </r>
  <r>
    <x v="2723"/>
    <x v="19"/>
    <x v="4"/>
    <x v="2"/>
    <s v="GTXPro"/>
    <s v="Vehement Capital Partners"/>
    <x v="0"/>
    <d v="2017-04-24T00:00:00"/>
    <x v="125"/>
    <n v="4980"/>
  </r>
  <r>
    <x v="2724"/>
    <x v="4"/>
    <x v="3"/>
    <x v="1"/>
    <s v="MG Special"/>
    <m/>
    <x v="1"/>
    <d v="2017-04-24T00:00:00"/>
    <x v="6"/>
    <m/>
  </r>
  <r>
    <x v="2725"/>
    <x v="4"/>
    <x v="3"/>
    <x v="1"/>
    <s v="MG Special"/>
    <m/>
    <x v="1"/>
    <d v="2017-04-24T00:00:00"/>
    <x v="6"/>
    <m/>
  </r>
  <r>
    <x v="2726"/>
    <x v="4"/>
    <x v="3"/>
    <x v="1"/>
    <s v="GTX Basic"/>
    <s v="Green-Plus"/>
    <x v="2"/>
    <d v="2017-04-24T00:00:00"/>
    <x v="133"/>
    <n v="0"/>
  </r>
  <r>
    <x v="2727"/>
    <x v="15"/>
    <x v="5"/>
    <x v="2"/>
    <s v="MG Advanced"/>
    <s v="Bioplex"/>
    <x v="0"/>
    <d v="2017-04-24T00:00:00"/>
    <x v="107"/>
    <n v="2981"/>
  </r>
  <r>
    <x v="2728"/>
    <x v="2"/>
    <x v="2"/>
    <x v="1"/>
    <s v="GTX Basic"/>
    <s v="Finjob"/>
    <x v="2"/>
    <d v="2017-04-24T00:00:00"/>
    <x v="131"/>
    <n v="0"/>
  </r>
  <r>
    <x v="2729"/>
    <x v="2"/>
    <x v="2"/>
    <x v="1"/>
    <s v="GTX Plus Pro"/>
    <s v="Green-Plus"/>
    <x v="2"/>
    <d v="2017-04-24T00:00:00"/>
    <x v="127"/>
    <n v="0"/>
  </r>
  <r>
    <x v="2730"/>
    <x v="25"/>
    <x v="4"/>
    <x v="2"/>
    <s v="GTX Plus Basic"/>
    <m/>
    <x v="1"/>
    <d v="2017-04-25T00:00:00"/>
    <x v="6"/>
    <m/>
  </r>
  <r>
    <x v="2731"/>
    <x v="25"/>
    <x v="4"/>
    <x v="2"/>
    <s v="GTX Basic"/>
    <s v="Zencorporation"/>
    <x v="0"/>
    <d v="2017-04-25T00:00:00"/>
    <x v="127"/>
    <n v="560"/>
  </r>
  <r>
    <x v="2732"/>
    <x v="23"/>
    <x v="4"/>
    <x v="2"/>
    <s v="GTXPro"/>
    <m/>
    <x v="1"/>
    <d v="2017-04-25T00:00:00"/>
    <x v="6"/>
    <m/>
  </r>
  <r>
    <x v="2733"/>
    <x v="23"/>
    <x v="4"/>
    <x v="2"/>
    <s v="MG Advanced"/>
    <s v="Donquadtech"/>
    <x v="0"/>
    <d v="2017-04-25T00:00:00"/>
    <x v="34"/>
    <n v="3844"/>
  </r>
  <r>
    <x v="2734"/>
    <x v="27"/>
    <x v="5"/>
    <x v="2"/>
    <s v="GTX Basic"/>
    <s v="Bluth Company"/>
    <x v="0"/>
    <d v="2017-04-25T00:00:00"/>
    <x v="36"/>
    <n v="562"/>
  </r>
  <r>
    <x v="2735"/>
    <x v="13"/>
    <x v="4"/>
    <x v="2"/>
    <s v="MG Special"/>
    <s v="The New York Inquirer"/>
    <x v="0"/>
    <d v="2017-04-25T00:00:00"/>
    <x v="46"/>
    <n v="51"/>
  </r>
  <r>
    <x v="2736"/>
    <x v="1"/>
    <x v="1"/>
    <x v="0"/>
    <s v="GTX Plus Basic"/>
    <s v="Finhigh"/>
    <x v="0"/>
    <d v="2017-04-25T00:00:00"/>
    <x v="72"/>
    <n v="984"/>
  </r>
  <r>
    <x v="2737"/>
    <x v="1"/>
    <x v="1"/>
    <x v="0"/>
    <s v="GTXPro"/>
    <s v="Gogozoom"/>
    <x v="0"/>
    <d v="2017-04-25T00:00:00"/>
    <x v="52"/>
    <n v="4923"/>
  </r>
  <r>
    <x v="2738"/>
    <x v="10"/>
    <x v="3"/>
    <x v="1"/>
    <s v="GTX Plus Basic"/>
    <m/>
    <x v="1"/>
    <d v="2017-04-25T00:00:00"/>
    <x v="6"/>
    <m/>
  </r>
  <r>
    <x v="2739"/>
    <x v="7"/>
    <x v="2"/>
    <x v="1"/>
    <s v="GTX Basic"/>
    <s v="Faxquote"/>
    <x v="2"/>
    <d v="2017-04-25T00:00:00"/>
    <x v="126"/>
    <n v="0"/>
  </r>
  <r>
    <x v="2740"/>
    <x v="18"/>
    <x v="2"/>
    <x v="1"/>
    <s v="GTXPro"/>
    <s v="Sunnamplex"/>
    <x v="2"/>
    <d v="2017-04-25T00:00:00"/>
    <x v="127"/>
    <n v="0"/>
  </r>
  <r>
    <x v="2741"/>
    <x v="24"/>
    <x v="0"/>
    <x v="0"/>
    <s v="GTX Basic"/>
    <s v="Hottechi"/>
    <x v="2"/>
    <d v="2017-04-25T00:00:00"/>
    <x v="122"/>
    <n v="0"/>
  </r>
  <r>
    <x v="2742"/>
    <x v="22"/>
    <x v="1"/>
    <x v="0"/>
    <s v="MG Advanced"/>
    <s v="Konmatfix"/>
    <x v="2"/>
    <d v="2017-04-25T00:00:00"/>
    <x v="35"/>
    <n v="0"/>
  </r>
  <r>
    <x v="2743"/>
    <x v="9"/>
    <x v="2"/>
    <x v="1"/>
    <s v="GTXPro"/>
    <m/>
    <x v="1"/>
    <d v="2017-04-25T00:00:00"/>
    <x v="6"/>
    <m/>
  </r>
  <r>
    <x v="2744"/>
    <x v="9"/>
    <x v="2"/>
    <x v="1"/>
    <s v="GTX Plus Basic"/>
    <s v="Y-corporation"/>
    <x v="0"/>
    <d v="2017-04-25T00:00:00"/>
    <x v="123"/>
    <n v="1113"/>
  </r>
  <r>
    <x v="2745"/>
    <x v="6"/>
    <x v="1"/>
    <x v="0"/>
    <s v="GTX Plus Pro"/>
    <s v="Treequote"/>
    <x v="0"/>
    <d v="2017-04-25T00:00:00"/>
    <x v="54"/>
    <n v="6039"/>
  </r>
  <r>
    <x v="2746"/>
    <x v="19"/>
    <x v="4"/>
    <x v="2"/>
    <s v="GTX Basic"/>
    <s v="Massive Dynamic"/>
    <x v="0"/>
    <d v="2017-04-25T00:00:00"/>
    <x v="43"/>
    <n v="538"/>
  </r>
  <r>
    <x v="2747"/>
    <x v="12"/>
    <x v="0"/>
    <x v="0"/>
    <s v="MG Advanced"/>
    <s v="Globex Corporation"/>
    <x v="2"/>
    <d v="2017-04-25T00:00:00"/>
    <x v="127"/>
    <n v="0"/>
  </r>
  <r>
    <x v="2748"/>
    <x v="4"/>
    <x v="3"/>
    <x v="1"/>
    <s v="GTXPro"/>
    <s v="Groovestreet"/>
    <x v="0"/>
    <d v="2017-04-25T00:00:00"/>
    <x v="57"/>
    <n v="4364"/>
  </r>
  <r>
    <x v="2749"/>
    <x v="15"/>
    <x v="5"/>
    <x v="2"/>
    <s v="GTX Plus Basic"/>
    <m/>
    <x v="1"/>
    <d v="2017-04-25T00:00:00"/>
    <x v="6"/>
    <m/>
  </r>
  <r>
    <x v="2750"/>
    <x v="20"/>
    <x v="5"/>
    <x v="2"/>
    <s v="GTX Basic"/>
    <m/>
    <x v="1"/>
    <d v="2017-04-25T00:00:00"/>
    <x v="6"/>
    <m/>
  </r>
  <r>
    <x v="2751"/>
    <x v="2"/>
    <x v="2"/>
    <x v="1"/>
    <s v="GTX Basic"/>
    <s v="Labdrill"/>
    <x v="2"/>
    <d v="2017-04-25T00:00:00"/>
    <x v="109"/>
    <n v="0"/>
  </r>
  <r>
    <x v="2752"/>
    <x v="2"/>
    <x v="2"/>
    <x v="1"/>
    <s v="GTX Basic"/>
    <s v="Rantouch"/>
    <x v="0"/>
    <d v="2017-04-25T00:00:00"/>
    <x v="127"/>
    <n v="464"/>
  </r>
  <r>
    <x v="2753"/>
    <x v="3"/>
    <x v="0"/>
    <x v="0"/>
    <s v="GTX Plus Basic"/>
    <s v="Cancity"/>
    <x v="2"/>
    <d v="2017-04-26T00:00:00"/>
    <x v="137"/>
    <n v="0"/>
  </r>
  <r>
    <x v="2754"/>
    <x v="3"/>
    <x v="0"/>
    <x v="0"/>
    <s v="GTX Plus Pro"/>
    <s v="Warephase"/>
    <x v="2"/>
    <d v="2017-04-26T00:00:00"/>
    <x v="137"/>
    <n v="0"/>
  </r>
  <r>
    <x v="2755"/>
    <x v="3"/>
    <x v="0"/>
    <x v="0"/>
    <s v="GTX Plus Basic"/>
    <s v="Hottechi"/>
    <x v="0"/>
    <d v="2017-04-26T00:00:00"/>
    <x v="89"/>
    <n v="1073"/>
  </r>
  <r>
    <x v="2756"/>
    <x v="25"/>
    <x v="4"/>
    <x v="2"/>
    <s v="GTX Basic"/>
    <s v="Umbrella Corporation"/>
    <x v="2"/>
    <d v="2017-04-26T00:00:00"/>
    <x v="130"/>
    <n v="0"/>
  </r>
  <r>
    <x v="2757"/>
    <x v="25"/>
    <x v="4"/>
    <x v="2"/>
    <s v="GTX Plus Basic"/>
    <s v="Donware"/>
    <x v="2"/>
    <d v="2017-04-26T00:00:00"/>
    <x v="46"/>
    <n v="0"/>
  </r>
  <r>
    <x v="2758"/>
    <x v="23"/>
    <x v="4"/>
    <x v="2"/>
    <s v="GTXPro"/>
    <s v="Massive Dynamic"/>
    <x v="2"/>
    <d v="2017-04-26T00:00:00"/>
    <x v="128"/>
    <n v="0"/>
  </r>
  <r>
    <x v="2759"/>
    <x v="27"/>
    <x v="5"/>
    <x v="2"/>
    <s v="GTX Plus Pro"/>
    <m/>
    <x v="1"/>
    <d v="2017-04-26T00:00:00"/>
    <x v="6"/>
    <m/>
  </r>
  <r>
    <x v="2760"/>
    <x v="27"/>
    <x v="5"/>
    <x v="2"/>
    <s v="MG Special"/>
    <s v="Donware"/>
    <x v="2"/>
    <d v="2017-04-26T00:00:00"/>
    <x v="107"/>
    <n v="0"/>
  </r>
  <r>
    <x v="2761"/>
    <x v="13"/>
    <x v="4"/>
    <x v="2"/>
    <s v="MG Advanced"/>
    <m/>
    <x v="1"/>
    <d v="2017-04-26T00:00:00"/>
    <x v="6"/>
    <m/>
  </r>
  <r>
    <x v="2762"/>
    <x v="1"/>
    <x v="1"/>
    <x v="0"/>
    <s v="GTX Plus Basic"/>
    <s v="Globex Corporation"/>
    <x v="2"/>
    <d v="2017-04-26T00:00:00"/>
    <x v="128"/>
    <n v="0"/>
  </r>
  <r>
    <x v="2763"/>
    <x v="1"/>
    <x v="1"/>
    <x v="0"/>
    <s v="GTX Plus Basic"/>
    <s v="Rundofase"/>
    <x v="0"/>
    <d v="2017-04-26T00:00:00"/>
    <x v="54"/>
    <n v="1055"/>
  </r>
  <r>
    <x v="2764"/>
    <x v="14"/>
    <x v="3"/>
    <x v="1"/>
    <s v="MG Special"/>
    <s v="Faxquote"/>
    <x v="0"/>
    <d v="2017-04-26T00:00:00"/>
    <x v="130"/>
    <n v="43"/>
  </r>
  <r>
    <x v="2765"/>
    <x v="7"/>
    <x v="2"/>
    <x v="1"/>
    <s v="GTX Basic"/>
    <s v="Hottechi"/>
    <x v="2"/>
    <d v="2017-04-26T00:00:00"/>
    <x v="32"/>
    <n v="0"/>
  </r>
  <r>
    <x v="2766"/>
    <x v="7"/>
    <x v="2"/>
    <x v="1"/>
    <s v="MG Special"/>
    <s v="Golddex"/>
    <x v="0"/>
    <d v="2017-04-26T00:00:00"/>
    <x v="130"/>
    <n v="49"/>
  </r>
  <r>
    <x v="2767"/>
    <x v="16"/>
    <x v="2"/>
    <x v="1"/>
    <s v="GTX Plus Basic"/>
    <s v="Nam-zim"/>
    <x v="2"/>
    <d v="2017-04-26T00:00:00"/>
    <x v="130"/>
    <n v="0"/>
  </r>
  <r>
    <x v="2768"/>
    <x v="16"/>
    <x v="2"/>
    <x v="1"/>
    <s v="GTXPro"/>
    <s v="Y-corporation"/>
    <x v="2"/>
    <d v="2017-04-26T00:00:00"/>
    <x v="130"/>
    <n v="0"/>
  </r>
  <r>
    <x v="2769"/>
    <x v="18"/>
    <x v="2"/>
    <x v="1"/>
    <s v="GTXPro"/>
    <s v="Labdrill"/>
    <x v="0"/>
    <d v="2017-04-26T00:00:00"/>
    <x v="143"/>
    <n v="4901"/>
  </r>
  <r>
    <x v="2770"/>
    <x v="24"/>
    <x v="0"/>
    <x v="0"/>
    <s v="GTX Basic"/>
    <s v="Stanredtax"/>
    <x v="0"/>
    <d v="2017-04-26T00:00:00"/>
    <x v="127"/>
    <n v="517"/>
  </r>
  <r>
    <x v="2771"/>
    <x v="22"/>
    <x v="1"/>
    <x v="0"/>
    <s v="GTX Plus Basic"/>
    <s v="Funholding"/>
    <x v="0"/>
    <d v="2017-04-26T00:00:00"/>
    <x v="68"/>
    <n v="1105"/>
  </r>
  <r>
    <x v="2772"/>
    <x v="9"/>
    <x v="2"/>
    <x v="1"/>
    <s v="GTX Basic"/>
    <s v="Nam-zim"/>
    <x v="0"/>
    <d v="2017-04-26T00:00:00"/>
    <x v="34"/>
    <n v="556"/>
  </r>
  <r>
    <x v="2773"/>
    <x v="0"/>
    <x v="0"/>
    <x v="0"/>
    <s v="MG Advanced"/>
    <s v="Treequote"/>
    <x v="0"/>
    <d v="2017-04-26T00:00:00"/>
    <x v="122"/>
    <n v="3025"/>
  </r>
  <r>
    <x v="2774"/>
    <x v="6"/>
    <x v="1"/>
    <x v="0"/>
    <s v="MG Special"/>
    <s v="Condax"/>
    <x v="0"/>
    <d v="2017-04-26T00:00:00"/>
    <x v="48"/>
    <n v="54"/>
  </r>
  <r>
    <x v="2775"/>
    <x v="11"/>
    <x v="3"/>
    <x v="1"/>
    <s v="MG Special"/>
    <s v="Condax"/>
    <x v="0"/>
    <d v="2017-04-26T00:00:00"/>
    <x v="130"/>
    <n v="53"/>
  </r>
  <r>
    <x v="2776"/>
    <x v="4"/>
    <x v="3"/>
    <x v="1"/>
    <s v="GTXPro"/>
    <s v="Newex"/>
    <x v="0"/>
    <d v="2017-04-26T00:00:00"/>
    <x v="127"/>
    <n v="4735"/>
  </r>
  <r>
    <x v="2777"/>
    <x v="2"/>
    <x v="2"/>
    <x v="1"/>
    <s v="GTX Basic"/>
    <m/>
    <x v="1"/>
    <d v="2017-04-26T00:00:00"/>
    <x v="6"/>
    <m/>
  </r>
  <r>
    <x v="2778"/>
    <x v="25"/>
    <x v="4"/>
    <x v="2"/>
    <s v="GTX Basic"/>
    <s v="Konex"/>
    <x v="0"/>
    <d v="2017-04-27T00:00:00"/>
    <x v="132"/>
    <n v="584"/>
  </r>
  <r>
    <x v="2779"/>
    <x v="23"/>
    <x v="4"/>
    <x v="2"/>
    <s v="GTXPro"/>
    <s v="Umbrella Corporation"/>
    <x v="2"/>
    <d v="2017-04-27T00:00:00"/>
    <x v="51"/>
    <n v="0"/>
  </r>
  <r>
    <x v="2780"/>
    <x v="13"/>
    <x v="4"/>
    <x v="2"/>
    <s v="GTX Plus Pro"/>
    <m/>
    <x v="1"/>
    <d v="2017-04-27T00:00:00"/>
    <x v="6"/>
    <m/>
  </r>
  <r>
    <x v="2781"/>
    <x v="13"/>
    <x v="4"/>
    <x v="2"/>
    <s v="GTXPro"/>
    <s v="Konex"/>
    <x v="0"/>
    <d v="2017-04-27T00:00:00"/>
    <x v="130"/>
    <n v="5676"/>
  </r>
  <r>
    <x v="2782"/>
    <x v="1"/>
    <x v="1"/>
    <x v="0"/>
    <s v="GTX Basic"/>
    <s v="Konmatfix"/>
    <x v="2"/>
    <d v="2017-04-27T00:00:00"/>
    <x v="132"/>
    <n v="0"/>
  </r>
  <r>
    <x v="2783"/>
    <x v="1"/>
    <x v="1"/>
    <x v="0"/>
    <s v="GTXPro"/>
    <s v="Scottech"/>
    <x v="2"/>
    <d v="2017-04-27T00:00:00"/>
    <x v="132"/>
    <n v="0"/>
  </r>
  <r>
    <x v="2784"/>
    <x v="1"/>
    <x v="1"/>
    <x v="0"/>
    <s v="GTXPro"/>
    <s v="Finhigh"/>
    <x v="0"/>
    <d v="2017-04-27T00:00:00"/>
    <x v="36"/>
    <n v="4727"/>
  </r>
  <r>
    <x v="2785"/>
    <x v="21"/>
    <x v="5"/>
    <x v="2"/>
    <s v="GTX Plus Pro"/>
    <s v="Gekko &amp; Co"/>
    <x v="2"/>
    <d v="2017-04-27T00:00:00"/>
    <x v="138"/>
    <n v="0"/>
  </r>
  <r>
    <x v="2786"/>
    <x v="8"/>
    <x v="1"/>
    <x v="0"/>
    <s v="GTX Plus Basic"/>
    <s v="dambase"/>
    <x v="0"/>
    <d v="2017-04-27T00:00:00"/>
    <x v="137"/>
    <n v="821"/>
  </r>
  <r>
    <x v="2787"/>
    <x v="7"/>
    <x v="2"/>
    <x v="1"/>
    <s v="GTX Plus Basic"/>
    <s v="Golddex"/>
    <x v="2"/>
    <d v="2017-04-27T00:00:00"/>
    <x v="37"/>
    <n v="0"/>
  </r>
  <r>
    <x v="2788"/>
    <x v="24"/>
    <x v="0"/>
    <x v="0"/>
    <s v="GTX Plus Basic"/>
    <s v="Dontechi"/>
    <x v="0"/>
    <d v="2017-04-27T00:00:00"/>
    <x v="109"/>
    <n v="999"/>
  </r>
  <r>
    <x v="2789"/>
    <x v="24"/>
    <x v="0"/>
    <x v="0"/>
    <s v="MG Special"/>
    <s v="dambase"/>
    <x v="0"/>
    <d v="2017-04-27T00:00:00"/>
    <x v="129"/>
    <n v="54"/>
  </r>
  <r>
    <x v="2790"/>
    <x v="22"/>
    <x v="1"/>
    <x v="0"/>
    <s v="GTX Basic"/>
    <s v="Conecom"/>
    <x v="2"/>
    <d v="2017-04-27T00:00:00"/>
    <x v="112"/>
    <n v="0"/>
  </r>
  <r>
    <x v="2791"/>
    <x v="6"/>
    <x v="1"/>
    <x v="0"/>
    <s v="MG Advanced"/>
    <s v="Gogozoom"/>
    <x v="0"/>
    <d v="2017-04-27T00:00:00"/>
    <x v="34"/>
    <n v="3397"/>
  </r>
  <r>
    <x v="2792"/>
    <x v="17"/>
    <x v="5"/>
    <x v="2"/>
    <s v="GTX Basic"/>
    <s v="Silis"/>
    <x v="0"/>
    <d v="2017-04-27T00:00:00"/>
    <x v="41"/>
    <n v="574"/>
  </r>
  <r>
    <x v="2793"/>
    <x v="12"/>
    <x v="0"/>
    <x v="0"/>
    <s v="MG Special"/>
    <s v="Inity"/>
    <x v="2"/>
    <d v="2017-04-27T00:00:00"/>
    <x v="58"/>
    <n v="0"/>
  </r>
  <r>
    <x v="2794"/>
    <x v="12"/>
    <x v="0"/>
    <x v="0"/>
    <s v="MG Special"/>
    <s v="Gogozoom"/>
    <x v="0"/>
    <d v="2017-04-27T00:00:00"/>
    <x v="141"/>
    <n v="59"/>
  </r>
  <r>
    <x v="2795"/>
    <x v="12"/>
    <x v="0"/>
    <x v="0"/>
    <s v="MG Special"/>
    <s v="Treequote"/>
    <x v="0"/>
    <d v="2017-04-27T00:00:00"/>
    <x v="132"/>
    <n v="60"/>
  </r>
  <r>
    <x v="2796"/>
    <x v="4"/>
    <x v="3"/>
    <x v="1"/>
    <s v="GTX Basic"/>
    <s v="Lexiqvolax"/>
    <x v="2"/>
    <d v="2017-04-27T00:00:00"/>
    <x v="132"/>
    <n v="0"/>
  </r>
  <r>
    <x v="2797"/>
    <x v="4"/>
    <x v="3"/>
    <x v="1"/>
    <s v="GTX Basic"/>
    <s v="Zoomit"/>
    <x v="0"/>
    <d v="2017-04-27T00:00:00"/>
    <x v="41"/>
    <n v="573"/>
  </r>
  <r>
    <x v="2798"/>
    <x v="4"/>
    <x v="3"/>
    <x v="1"/>
    <s v="GTXPro"/>
    <s v="Finjob"/>
    <x v="0"/>
    <d v="2017-04-27T00:00:00"/>
    <x v="37"/>
    <n v="4406"/>
  </r>
  <r>
    <x v="2799"/>
    <x v="15"/>
    <x v="5"/>
    <x v="2"/>
    <s v="GTX Plus Basic"/>
    <s v="Plussunin"/>
    <x v="0"/>
    <d v="2017-04-27T00:00:00"/>
    <x v="130"/>
    <n v="1146"/>
  </r>
  <r>
    <x v="2800"/>
    <x v="20"/>
    <x v="5"/>
    <x v="2"/>
    <s v="MG Special"/>
    <m/>
    <x v="1"/>
    <d v="2017-04-27T00:00:00"/>
    <x v="6"/>
    <m/>
  </r>
  <r>
    <x v="2801"/>
    <x v="20"/>
    <x v="5"/>
    <x v="2"/>
    <s v="GTX Basic"/>
    <s v="Kinnamplus"/>
    <x v="0"/>
    <d v="2017-04-27T00:00:00"/>
    <x v="59"/>
    <n v="525"/>
  </r>
  <r>
    <x v="2802"/>
    <x v="3"/>
    <x v="0"/>
    <x v="0"/>
    <s v="GTX Basic"/>
    <s v="Dontechi"/>
    <x v="2"/>
    <d v="2017-04-28T00:00:00"/>
    <x v="132"/>
    <n v="0"/>
  </r>
  <r>
    <x v="2803"/>
    <x v="3"/>
    <x v="0"/>
    <x v="0"/>
    <s v="GTX Plus Basic"/>
    <s v="Scottech"/>
    <x v="2"/>
    <d v="2017-04-28T00:00:00"/>
    <x v="144"/>
    <n v="0"/>
  </r>
  <r>
    <x v="2804"/>
    <x v="3"/>
    <x v="0"/>
    <x v="0"/>
    <s v="MG Advanced"/>
    <s v="Rangreen"/>
    <x v="0"/>
    <d v="2017-04-28T00:00:00"/>
    <x v="124"/>
    <n v="3334"/>
  </r>
  <r>
    <x v="2805"/>
    <x v="23"/>
    <x v="4"/>
    <x v="2"/>
    <s v="GTX Basic"/>
    <s v="Initech"/>
    <x v="2"/>
    <d v="2017-04-28T00:00:00"/>
    <x v="51"/>
    <n v="0"/>
  </r>
  <r>
    <x v="2806"/>
    <x v="13"/>
    <x v="4"/>
    <x v="2"/>
    <s v="GTX Plus Basic"/>
    <s v="Donquadtech"/>
    <x v="2"/>
    <d v="2017-04-28T00:00:00"/>
    <x v="131"/>
    <n v="0"/>
  </r>
  <r>
    <x v="2807"/>
    <x v="26"/>
    <x v="4"/>
    <x v="2"/>
    <s v="GTXPro"/>
    <s v="Ganjaflex"/>
    <x v="2"/>
    <d v="2017-04-28T00:00:00"/>
    <x v="132"/>
    <n v="0"/>
  </r>
  <r>
    <x v="2808"/>
    <x v="14"/>
    <x v="3"/>
    <x v="1"/>
    <s v="GTK 500"/>
    <s v="Labdrill"/>
    <x v="0"/>
    <d v="2017-04-28T00:00:00"/>
    <x v="70"/>
    <n v="27385"/>
  </r>
  <r>
    <x v="2809"/>
    <x v="29"/>
    <x v="1"/>
    <x v="0"/>
    <s v="GTX Basic"/>
    <s v="Konmatfix"/>
    <x v="2"/>
    <d v="2017-04-28T00:00:00"/>
    <x v="141"/>
    <n v="0"/>
  </r>
  <r>
    <x v="2810"/>
    <x v="16"/>
    <x v="2"/>
    <x v="1"/>
    <s v="GTX Basic"/>
    <s v="Inity"/>
    <x v="1"/>
    <d v="2017-04-28T00:00:00"/>
    <x v="6"/>
    <m/>
  </r>
  <r>
    <x v="2811"/>
    <x v="5"/>
    <x v="3"/>
    <x v="1"/>
    <s v="GTX Plus Basic"/>
    <s v="Lexiqvolax"/>
    <x v="2"/>
    <d v="2017-04-28T00:00:00"/>
    <x v="132"/>
    <n v="0"/>
  </r>
  <r>
    <x v="2812"/>
    <x v="0"/>
    <x v="0"/>
    <x v="0"/>
    <s v="GTX Basic"/>
    <s v="Warephase"/>
    <x v="0"/>
    <d v="2017-04-28T00:00:00"/>
    <x v="124"/>
    <n v="599"/>
  </r>
  <r>
    <x v="2813"/>
    <x v="17"/>
    <x v="5"/>
    <x v="2"/>
    <s v="MG Special"/>
    <s v="Mathtouch"/>
    <x v="0"/>
    <d v="2017-04-28T00:00:00"/>
    <x v="44"/>
    <n v="64"/>
  </r>
  <r>
    <x v="2814"/>
    <x v="4"/>
    <x v="3"/>
    <x v="1"/>
    <s v="GTX Plus Pro"/>
    <s v="Donquadtech"/>
    <x v="1"/>
    <d v="2017-04-28T00:00:00"/>
    <x v="6"/>
    <m/>
  </r>
  <r>
    <x v="2815"/>
    <x v="4"/>
    <x v="3"/>
    <x v="1"/>
    <s v="GTXPro"/>
    <s v="Scotfind"/>
    <x v="2"/>
    <d v="2017-04-28T00:00:00"/>
    <x v="36"/>
    <n v="0"/>
  </r>
  <r>
    <x v="2816"/>
    <x v="4"/>
    <x v="3"/>
    <x v="1"/>
    <s v="MG Advanced"/>
    <s v="Lexiqvolax"/>
    <x v="2"/>
    <d v="2017-04-28T00:00:00"/>
    <x v="39"/>
    <n v="0"/>
  </r>
  <r>
    <x v="2817"/>
    <x v="15"/>
    <x v="5"/>
    <x v="2"/>
    <s v="MG Special"/>
    <s v="Kinnamplus"/>
    <x v="2"/>
    <d v="2017-04-28T00:00:00"/>
    <x v="76"/>
    <n v="0"/>
  </r>
  <r>
    <x v="2818"/>
    <x v="3"/>
    <x v="0"/>
    <x v="0"/>
    <s v="GTX Plus Basic"/>
    <s v="Scottech"/>
    <x v="0"/>
    <d v="2017-04-29T00:00:00"/>
    <x v="41"/>
    <n v="918"/>
  </r>
  <r>
    <x v="2819"/>
    <x v="23"/>
    <x v="4"/>
    <x v="2"/>
    <s v="MG Special"/>
    <m/>
    <x v="1"/>
    <d v="2017-04-29T00:00:00"/>
    <x v="6"/>
    <m/>
  </r>
  <r>
    <x v="2820"/>
    <x v="13"/>
    <x v="4"/>
    <x v="2"/>
    <s v="MG Special"/>
    <s v="Bubba Gump"/>
    <x v="0"/>
    <d v="2017-04-29T00:00:00"/>
    <x v="32"/>
    <n v="60"/>
  </r>
  <r>
    <x v="2821"/>
    <x v="26"/>
    <x v="4"/>
    <x v="2"/>
    <s v="GTXPro"/>
    <s v="Ontomedia"/>
    <x v="2"/>
    <d v="2017-04-29T00:00:00"/>
    <x v="34"/>
    <n v="0"/>
  </r>
  <r>
    <x v="2822"/>
    <x v="26"/>
    <x v="4"/>
    <x v="2"/>
    <s v="GTX Basic"/>
    <s v="Gekko &amp; Co"/>
    <x v="0"/>
    <d v="2017-04-29T00:00:00"/>
    <x v="36"/>
    <n v="519"/>
  </r>
  <r>
    <x v="2823"/>
    <x v="14"/>
    <x v="3"/>
    <x v="1"/>
    <s v="GTX Basic"/>
    <m/>
    <x v="1"/>
    <d v="2017-04-29T00:00:00"/>
    <x v="6"/>
    <m/>
  </r>
  <r>
    <x v="2824"/>
    <x v="10"/>
    <x v="3"/>
    <x v="1"/>
    <s v="MG Special"/>
    <s v="Betasoloin"/>
    <x v="1"/>
    <d v="2017-04-29T00:00:00"/>
    <x v="6"/>
    <m/>
  </r>
  <r>
    <x v="2825"/>
    <x v="7"/>
    <x v="2"/>
    <x v="1"/>
    <s v="GTX Plus Pro"/>
    <s v="Scotfind"/>
    <x v="0"/>
    <d v="2017-04-29T00:00:00"/>
    <x v="32"/>
    <n v="4956"/>
  </r>
  <r>
    <x v="2826"/>
    <x v="18"/>
    <x v="2"/>
    <x v="1"/>
    <s v="MG Advanced"/>
    <s v="Toughzap"/>
    <x v="1"/>
    <d v="2017-04-29T00:00:00"/>
    <x v="6"/>
    <m/>
  </r>
  <r>
    <x v="2827"/>
    <x v="24"/>
    <x v="0"/>
    <x v="0"/>
    <s v="GTX Basic"/>
    <s v="Treequote"/>
    <x v="2"/>
    <d v="2017-04-29T00:00:00"/>
    <x v="37"/>
    <n v="0"/>
  </r>
  <r>
    <x v="2828"/>
    <x v="24"/>
    <x v="0"/>
    <x v="0"/>
    <s v="GTX Plus Pro"/>
    <s v="Rangreen"/>
    <x v="0"/>
    <d v="2017-04-29T00:00:00"/>
    <x v="143"/>
    <n v="5913"/>
  </r>
  <r>
    <x v="2829"/>
    <x v="9"/>
    <x v="2"/>
    <x v="1"/>
    <s v="GTXPro"/>
    <s v="Massive Dynamic"/>
    <x v="1"/>
    <d v="2017-04-29T00:00:00"/>
    <x v="6"/>
    <m/>
  </r>
  <r>
    <x v="2830"/>
    <x v="0"/>
    <x v="0"/>
    <x v="0"/>
    <s v="GTX Basic"/>
    <s v="Bioholding"/>
    <x v="2"/>
    <d v="2017-04-29T00:00:00"/>
    <x v="66"/>
    <n v="0"/>
  </r>
  <r>
    <x v="2831"/>
    <x v="11"/>
    <x v="3"/>
    <x v="1"/>
    <s v="GTX Plus Basic"/>
    <s v="Groovestreet"/>
    <x v="0"/>
    <d v="2017-04-29T00:00:00"/>
    <x v="134"/>
    <n v="1210"/>
  </r>
  <r>
    <x v="2832"/>
    <x v="4"/>
    <x v="3"/>
    <x v="1"/>
    <s v="MG Advanced"/>
    <s v="Labdrill"/>
    <x v="2"/>
    <d v="2017-04-29T00:00:00"/>
    <x v="131"/>
    <n v="0"/>
  </r>
  <r>
    <x v="2833"/>
    <x v="15"/>
    <x v="5"/>
    <x v="2"/>
    <s v="GTX Plus Basic"/>
    <m/>
    <x v="1"/>
    <d v="2017-04-29T00:00:00"/>
    <x v="6"/>
    <m/>
  </r>
  <r>
    <x v="2834"/>
    <x v="28"/>
    <x v="0"/>
    <x v="0"/>
    <s v="MG Advanced"/>
    <s v="Genco Pura Olive Oil Company"/>
    <x v="0"/>
    <d v="2017-04-30T00:00:00"/>
    <x v="133"/>
    <n v="3139"/>
  </r>
  <r>
    <x v="2835"/>
    <x v="27"/>
    <x v="5"/>
    <x v="2"/>
    <s v="GTX Basic"/>
    <s v="Initech"/>
    <x v="0"/>
    <d v="2017-04-30T00:00:00"/>
    <x v="138"/>
    <n v="527"/>
  </r>
  <r>
    <x v="2836"/>
    <x v="13"/>
    <x v="4"/>
    <x v="2"/>
    <s v="GTX Plus Pro"/>
    <m/>
    <x v="1"/>
    <d v="2017-04-30T00:00:00"/>
    <x v="6"/>
    <m/>
  </r>
  <r>
    <x v="2837"/>
    <x v="1"/>
    <x v="1"/>
    <x v="0"/>
    <s v="GTX Basic"/>
    <s v="Dontechi"/>
    <x v="2"/>
    <d v="2017-04-30T00:00:00"/>
    <x v="32"/>
    <n v="0"/>
  </r>
  <r>
    <x v="2838"/>
    <x v="10"/>
    <x v="3"/>
    <x v="1"/>
    <s v="GTX Plus Pro"/>
    <s v="Labdrill"/>
    <x v="0"/>
    <d v="2017-04-30T00:00:00"/>
    <x v="116"/>
    <n v="5408"/>
  </r>
  <r>
    <x v="2839"/>
    <x v="10"/>
    <x v="3"/>
    <x v="1"/>
    <s v="MG Special"/>
    <s v="Groovestreet"/>
    <x v="0"/>
    <d v="2017-04-30T00:00:00"/>
    <x v="116"/>
    <n v="62"/>
  </r>
  <r>
    <x v="2840"/>
    <x v="29"/>
    <x v="1"/>
    <x v="0"/>
    <s v="GTX Basic"/>
    <s v="Domzoom"/>
    <x v="0"/>
    <d v="2017-04-30T00:00:00"/>
    <x v="59"/>
    <n v="586"/>
  </r>
  <r>
    <x v="2841"/>
    <x v="16"/>
    <x v="2"/>
    <x v="1"/>
    <s v="GTXPro"/>
    <s v="Nam-zim"/>
    <x v="2"/>
    <d v="2017-04-30T00:00:00"/>
    <x v="46"/>
    <n v="0"/>
  </r>
  <r>
    <x v="2842"/>
    <x v="18"/>
    <x v="2"/>
    <x v="1"/>
    <s v="GTX Basic"/>
    <s v="Lexiqvolax"/>
    <x v="0"/>
    <d v="2017-04-30T00:00:00"/>
    <x v="112"/>
    <n v="532"/>
  </r>
  <r>
    <x v="2843"/>
    <x v="18"/>
    <x v="2"/>
    <x v="1"/>
    <s v="GTX Basic"/>
    <s v="Newex"/>
    <x v="0"/>
    <d v="2017-04-30T00:00:00"/>
    <x v="140"/>
    <n v="585"/>
  </r>
  <r>
    <x v="2844"/>
    <x v="24"/>
    <x v="0"/>
    <x v="0"/>
    <s v="GTX Basic"/>
    <s v="Ron-tech"/>
    <x v="0"/>
    <d v="2017-04-30T00:00:00"/>
    <x v="138"/>
    <n v="583"/>
  </r>
  <r>
    <x v="2845"/>
    <x v="22"/>
    <x v="1"/>
    <x v="0"/>
    <s v="GTX Basic"/>
    <s v="Rangreen"/>
    <x v="0"/>
    <d v="2017-04-30T00:00:00"/>
    <x v="145"/>
    <n v="433"/>
  </r>
  <r>
    <x v="2846"/>
    <x v="6"/>
    <x v="1"/>
    <x v="0"/>
    <s v="GTX Basic"/>
    <s v="Condax"/>
    <x v="0"/>
    <d v="2017-04-30T00:00:00"/>
    <x v="36"/>
    <n v="557"/>
  </r>
  <r>
    <x v="2847"/>
    <x v="19"/>
    <x v="4"/>
    <x v="2"/>
    <s v="GTXPro"/>
    <s v="Opentech"/>
    <x v="0"/>
    <d v="2017-04-30T00:00:00"/>
    <x v="58"/>
    <n v="4704"/>
  </r>
  <r>
    <x v="2848"/>
    <x v="11"/>
    <x v="3"/>
    <x v="1"/>
    <s v="GTX Basic"/>
    <m/>
    <x v="1"/>
    <d v="2017-04-30T00:00:00"/>
    <x v="6"/>
    <m/>
  </r>
  <r>
    <x v="2849"/>
    <x v="17"/>
    <x v="5"/>
    <x v="2"/>
    <s v="GTXPro"/>
    <s v="Plussunin"/>
    <x v="0"/>
    <d v="2017-04-30T00:00:00"/>
    <x v="116"/>
    <n v="5182"/>
  </r>
  <r>
    <x v="2850"/>
    <x v="2"/>
    <x v="2"/>
    <x v="1"/>
    <s v="GTXPro"/>
    <s v="Lexiqvolax"/>
    <x v="0"/>
    <d v="2017-04-30T00:00:00"/>
    <x v="59"/>
    <n v="5311"/>
  </r>
  <r>
    <x v="2851"/>
    <x v="3"/>
    <x v="0"/>
    <x v="0"/>
    <s v="GTX Plus Pro"/>
    <s v="Condax"/>
    <x v="2"/>
    <d v="2017-05-01T00:00:00"/>
    <x v="40"/>
    <n v="0"/>
  </r>
  <r>
    <x v="2852"/>
    <x v="3"/>
    <x v="0"/>
    <x v="0"/>
    <s v="MG Special"/>
    <s v="Globex Corporation"/>
    <x v="0"/>
    <d v="2017-05-01T00:00:00"/>
    <x v="146"/>
    <n v="64"/>
  </r>
  <r>
    <x v="2853"/>
    <x v="25"/>
    <x v="4"/>
    <x v="2"/>
    <s v="GTX Plus Pro"/>
    <m/>
    <x v="1"/>
    <d v="2017-05-01T00:00:00"/>
    <x v="6"/>
    <m/>
  </r>
  <r>
    <x v="2854"/>
    <x v="27"/>
    <x v="5"/>
    <x v="2"/>
    <s v="GTX Basic"/>
    <s v="Zencorporation"/>
    <x v="1"/>
    <d v="2017-05-01T00:00:00"/>
    <x v="6"/>
    <m/>
  </r>
  <r>
    <x v="2855"/>
    <x v="1"/>
    <x v="1"/>
    <x v="0"/>
    <s v="GTX Plus Basic"/>
    <s v="Warephase"/>
    <x v="0"/>
    <d v="2017-05-01T00:00:00"/>
    <x v="147"/>
    <n v="878"/>
  </r>
  <r>
    <x v="2856"/>
    <x v="1"/>
    <x v="1"/>
    <x v="0"/>
    <s v="MG Special"/>
    <s v="Genco Pura Olive Oil Company"/>
    <x v="0"/>
    <d v="2017-05-01T00:00:00"/>
    <x v="35"/>
    <n v="59"/>
  </r>
  <r>
    <x v="2857"/>
    <x v="26"/>
    <x v="4"/>
    <x v="2"/>
    <s v="GTX Basic"/>
    <s v="Zotware"/>
    <x v="2"/>
    <d v="2017-05-01T00:00:00"/>
    <x v="45"/>
    <n v="0"/>
  </r>
  <r>
    <x v="2858"/>
    <x v="8"/>
    <x v="1"/>
    <x v="0"/>
    <s v="GTXPro"/>
    <s v="Streethex"/>
    <x v="2"/>
    <d v="2017-05-01T00:00:00"/>
    <x v="109"/>
    <n v="0"/>
  </r>
  <r>
    <x v="2859"/>
    <x v="7"/>
    <x v="2"/>
    <x v="1"/>
    <s v="GTX Plus Pro"/>
    <s v="Statholdings"/>
    <x v="1"/>
    <d v="2017-05-01T00:00:00"/>
    <x v="6"/>
    <m/>
  </r>
  <r>
    <x v="2860"/>
    <x v="7"/>
    <x v="2"/>
    <x v="1"/>
    <s v="MG Special"/>
    <s v="Singletechno"/>
    <x v="0"/>
    <d v="2017-05-01T00:00:00"/>
    <x v="136"/>
    <n v="65"/>
  </r>
  <r>
    <x v="2861"/>
    <x v="29"/>
    <x v="1"/>
    <x v="0"/>
    <s v="GTX Basic"/>
    <s v="Hottechi"/>
    <x v="0"/>
    <d v="2017-05-01T00:00:00"/>
    <x v="138"/>
    <n v="543"/>
  </r>
  <r>
    <x v="2862"/>
    <x v="16"/>
    <x v="2"/>
    <x v="1"/>
    <s v="GTX Basic"/>
    <s v="Bluth Company"/>
    <x v="1"/>
    <d v="2017-05-01T00:00:00"/>
    <x v="6"/>
    <m/>
  </r>
  <r>
    <x v="2863"/>
    <x v="18"/>
    <x v="2"/>
    <x v="1"/>
    <s v="GTXPro"/>
    <m/>
    <x v="1"/>
    <d v="2017-05-01T00:00:00"/>
    <x v="6"/>
    <m/>
  </r>
  <r>
    <x v="2864"/>
    <x v="18"/>
    <x v="2"/>
    <x v="1"/>
    <s v="GTX Basic"/>
    <s v="Scotfind"/>
    <x v="2"/>
    <d v="2017-05-01T00:00:00"/>
    <x v="82"/>
    <n v="0"/>
  </r>
  <r>
    <x v="2865"/>
    <x v="5"/>
    <x v="3"/>
    <x v="1"/>
    <s v="MG Advanced"/>
    <s v="Domzoom"/>
    <x v="1"/>
    <d v="2017-05-01T00:00:00"/>
    <x v="6"/>
    <m/>
  </r>
  <r>
    <x v="2866"/>
    <x v="9"/>
    <x v="2"/>
    <x v="1"/>
    <s v="GTX Plus Pro"/>
    <m/>
    <x v="1"/>
    <d v="2017-05-01T00:00:00"/>
    <x v="6"/>
    <m/>
  </r>
  <r>
    <x v="2867"/>
    <x v="0"/>
    <x v="0"/>
    <x v="0"/>
    <s v="GTX Plus Pro"/>
    <s v="Condax"/>
    <x v="2"/>
    <d v="2017-05-01T00:00:00"/>
    <x v="34"/>
    <n v="0"/>
  </r>
  <r>
    <x v="2868"/>
    <x v="0"/>
    <x v="0"/>
    <x v="0"/>
    <s v="GTX Plus Pro"/>
    <s v="Warephase"/>
    <x v="2"/>
    <d v="2017-05-01T00:00:00"/>
    <x v="50"/>
    <n v="0"/>
  </r>
  <r>
    <x v="2869"/>
    <x v="0"/>
    <x v="0"/>
    <x v="0"/>
    <s v="MG Advanced"/>
    <s v="Ron-tech"/>
    <x v="0"/>
    <d v="2017-05-01T00:00:00"/>
    <x v="38"/>
    <n v="3971"/>
  </r>
  <r>
    <x v="2870"/>
    <x v="6"/>
    <x v="1"/>
    <x v="0"/>
    <s v="GTX Basic"/>
    <s v="Scottech"/>
    <x v="0"/>
    <d v="2017-05-01T00:00:00"/>
    <x v="67"/>
    <n v="554"/>
  </r>
  <r>
    <x v="2871"/>
    <x v="4"/>
    <x v="3"/>
    <x v="1"/>
    <s v="GTX Plus Pro"/>
    <m/>
    <x v="1"/>
    <d v="2017-05-01T00:00:00"/>
    <x v="6"/>
    <m/>
  </r>
  <r>
    <x v="2872"/>
    <x v="4"/>
    <x v="3"/>
    <x v="1"/>
    <s v="MG Advanced"/>
    <s v="Cheers"/>
    <x v="2"/>
    <d v="2017-05-01T00:00:00"/>
    <x v="86"/>
    <n v="0"/>
  </r>
  <r>
    <x v="2873"/>
    <x v="4"/>
    <x v="3"/>
    <x v="1"/>
    <s v="GTX Plus Basic"/>
    <s v="Fasehatice"/>
    <x v="0"/>
    <d v="2017-05-01T00:00:00"/>
    <x v="83"/>
    <n v="1273"/>
  </r>
  <r>
    <x v="2874"/>
    <x v="2"/>
    <x v="2"/>
    <x v="1"/>
    <s v="MG Advanced"/>
    <s v="Umbrella Corporation"/>
    <x v="1"/>
    <d v="2017-05-01T00:00:00"/>
    <x v="6"/>
    <m/>
  </r>
  <r>
    <x v="2875"/>
    <x v="3"/>
    <x v="0"/>
    <x v="0"/>
    <s v="GTX Plus Basic"/>
    <s v="Conecom"/>
    <x v="0"/>
    <d v="2017-05-02T00:00:00"/>
    <x v="54"/>
    <n v="1300"/>
  </r>
  <r>
    <x v="2876"/>
    <x v="25"/>
    <x v="4"/>
    <x v="2"/>
    <s v="GTX Plus Basic"/>
    <m/>
    <x v="1"/>
    <d v="2017-05-02T00:00:00"/>
    <x v="6"/>
    <m/>
  </r>
  <r>
    <x v="2877"/>
    <x v="25"/>
    <x v="4"/>
    <x v="2"/>
    <s v="GTX Plus Basic"/>
    <m/>
    <x v="1"/>
    <d v="2017-05-02T00:00:00"/>
    <x v="6"/>
    <m/>
  </r>
  <r>
    <x v="2878"/>
    <x v="25"/>
    <x v="4"/>
    <x v="2"/>
    <s v="GTX Plus Pro"/>
    <s v="Mathtouch"/>
    <x v="2"/>
    <d v="2017-05-02T00:00:00"/>
    <x v="74"/>
    <n v="0"/>
  </r>
  <r>
    <x v="2879"/>
    <x v="14"/>
    <x v="3"/>
    <x v="1"/>
    <s v="MG Special"/>
    <s v="Condax"/>
    <x v="2"/>
    <d v="2017-05-02T00:00:00"/>
    <x v="124"/>
    <n v="0"/>
  </r>
  <r>
    <x v="2880"/>
    <x v="10"/>
    <x v="3"/>
    <x v="1"/>
    <s v="MG Advanced"/>
    <s v="Sonron"/>
    <x v="0"/>
    <d v="2017-05-02T00:00:00"/>
    <x v="34"/>
    <n v="3527"/>
  </r>
  <r>
    <x v="2881"/>
    <x v="29"/>
    <x v="1"/>
    <x v="0"/>
    <s v="GTX Basic"/>
    <s v="Rundofase"/>
    <x v="0"/>
    <d v="2017-05-02T00:00:00"/>
    <x v="36"/>
    <n v="526"/>
  </r>
  <r>
    <x v="2882"/>
    <x v="16"/>
    <x v="2"/>
    <x v="1"/>
    <s v="MG Special"/>
    <s v="Condax"/>
    <x v="2"/>
    <d v="2017-05-02T00:00:00"/>
    <x v="76"/>
    <n v="0"/>
  </r>
  <r>
    <x v="2883"/>
    <x v="24"/>
    <x v="0"/>
    <x v="0"/>
    <s v="GTX Basic"/>
    <s v="Isdom"/>
    <x v="2"/>
    <d v="2017-05-02T00:00:00"/>
    <x v="109"/>
    <n v="0"/>
  </r>
  <r>
    <x v="2884"/>
    <x v="5"/>
    <x v="3"/>
    <x v="1"/>
    <s v="GTX Basic"/>
    <s v="Hottechi"/>
    <x v="0"/>
    <d v="2017-05-02T00:00:00"/>
    <x v="81"/>
    <n v="569"/>
  </r>
  <r>
    <x v="2885"/>
    <x v="9"/>
    <x v="2"/>
    <x v="1"/>
    <s v="GTX Plus Pro"/>
    <s v="Scotfind"/>
    <x v="0"/>
    <d v="2017-05-02T00:00:00"/>
    <x v="39"/>
    <n v="6310"/>
  </r>
  <r>
    <x v="2886"/>
    <x v="0"/>
    <x v="0"/>
    <x v="0"/>
    <s v="MG Advanced"/>
    <s v="Globex Corporation"/>
    <x v="2"/>
    <d v="2017-05-02T00:00:00"/>
    <x v="34"/>
    <n v="0"/>
  </r>
  <r>
    <x v="2887"/>
    <x v="19"/>
    <x v="4"/>
    <x v="2"/>
    <s v="GTX Plus Basic"/>
    <s v="Konex"/>
    <x v="0"/>
    <d v="2017-05-02T00:00:00"/>
    <x v="37"/>
    <n v="1135"/>
  </r>
  <r>
    <x v="2888"/>
    <x v="11"/>
    <x v="3"/>
    <x v="1"/>
    <s v="MG Special"/>
    <m/>
    <x v="1"/>
    <d v="2017-05-02T00:00:00"/>
    <x v="6"/>
    <m/>
  </r>
  <r>
    <x v="2889"/>
    <x v="12"/>
    <x v="0"/>
    <x v="0"/>
    <s v="GTX Plus Pro"/>
    <s v="dambase"/>
    <x v="0"/>
    <d v="2017-05-02T00:00:00"/>
    <x v="148"/>
    <n v="5145"/>
  </r>
  <r>
    <x v="2890"/>
    <x v="12"/>
    <x v="0"/>
    <x v="0"/>
    <s v="MG Special"/>
    <s v="Cancity"/>
    <x v="0"/>
    <d v="2017-05-02T00:00:00"/>
    <x v="128"/>
    <n v="54"/>
  </r>
  <r>
    <x v="2891"/>
    <x v="4"/>
    <x v="3"/>
    <x v="1"/>
    <s v="GTXPro"/>
    <s v="Scotfind"/>
    <x v="2"/>
    <d v="2017-05-02T00:00:00"/>
    <x v="37"/>
    <n v="0"/>
  </r>
  <r>
    <x v="2892"/>
    <x v="2"/>
    <x v="2"/>
    <x v="1"/>
    <s v="GTX Plus Pro"/>
    <m/>
    <x v="1"/>
    <d v="2017-05-02T00:00:00"/>
    <x v="6"/>
    <m/>
  </r>
  <r>
    <x v="2893"/>
    <x v="3"/>
    <x v="0"/>
    <x v="0"/>
    <s v="MG Special"/>
    <s v="Codehow"/>
    <x v="0"/>
    <d v="2017-05-03T00:00:00"/>
    <x v="137"/>
    <n v="53"/>
  </r>
  <r>
    <x v="2894"/>
    <x v="25"/>
    <x v="4"/>
    <x v="2"/>
    <s v="GTX Basic"/>
    <s v="Umbrella Corporation"/>
    <x v="0"/>
    <d v="2017-05-03T00:00:00"/>
    <x v="59"/>
    <n v="511"/>
  </r>
  <r>
    <x v="2895"/>
    <x v="25"/>
    <x v="4"/>
    <x v="2"/>
    <s v="GTX Plus Pro"/>
    <s v="Konex"/>
    <x v="0"/>
    <d v="2017-05-03T00:00:00"/>
    <x v="149"/>
    <n v="5747"/>
  </r>
  <r>
    <x v="2896"/>
    <x v="23"/>
    <x v="4"/>
    <x v="2"/>
    <s v="GTXPro"/>
    <s v="Inity"/>
    <x v="1"/>
    <d v="2017-05-03T00:00:00"/>
    <x v="6"/>
    <m/>
  </r>
  <r>
    <x v="2897"/>
    <x v="23"/>
    <x v="4"/>
    <x v="2"/>
    <s v="GTX Basic"/>
    <s v="Acme Corporation"/>
    <x v="2"/>
    <d v="2017-05-03T00:00:00"/>
    <x v="137"/>
    <n v="0"/>
  </r>
  <r>
    <x v="2898"/>
    <x v="1"/>
    <x v="1"/>
    <x v="0"/>
    <s v="GTXPro"/>
    <s v="Codehow"/>
    <x v="2"/>
    <d v="2017-05-03T00:00:00"/>
    <x v="143"/>
    <n v="0"/>
  </r>
  <r>
    <x v="2899"/>
    <x v="1"/>
    <x v="1"/>
    <x v="0"/>
    <s v="GTX Basic"/>
    <s v="Inity"/>
    <x v="0"/>
    <d v="2017-05-03T00:00:00"/>
    <x v="138"/>
    <n v="596"/>
  </r>
  <r>
    <x v="2900"/>
    <x v="29"/>
    <x v="1"/>
    <x v="0"/>
    <s v="MG Special"/>
    <s v="Conecom"/>
    <x v="0"/>
    <d v="2017-05-03T00:00:00"/>
    <x v="39"/>
    <n v="60"/>
  </r>
  <r>
    <x v="2901"/>
    <x v="16"/>
    <x v="2"/>
    <x v="1"/>
    <s v="GTXPro"/>
    <s v="Finjob"/>
    <x v="0"/>
    <d v="2017-05-03T00:00:00"/>
    <x v="32"/>
    <n v="4372"/>
  </r>
  <r>
    <x v="2902"/>
    <x v="18"/>
    <x v="2"/>
    <x v="1"/>
    <s v="GTXPro"/>
    <s v="Xx-holding"/>
    <x v="0"/>
    <d v="2017-05-03T00:00:00"/>
    <x v="38"/>
    <n v="4604"/>
  </r>
  <r>
    <x v="2903"/>
    <x v="5"/>
    <x v="3"/>
    <x v="1"/>
    <s v="GTX Plus Pro"/>
    <m/>
    <x v="1"/>
    <d v="2017-05-03T00:00:00"/>
    <x v="6"/>
    <m/>
  </r>
  <r>
    <x v="2904"/>
    <x v="5"/>
    <x v="3"/>
    <x v="1"/>
    <s v="MG Advanced"/>
    <s v="Goodsilron"/>
    <x v="2"/>
    <d v="2017-05-03T00:00:00"/>
    <x v="59"/>
    <n v="0"/>
  </r>
  <r>
    <x v="2905"/>
    <x v="19"/>
    <x v="4"/>
    <x v="2"/>
    <s v="GTXPro"/>
    <s v="Betasoloin"/>
    <x v="0"/>
    <d v="2017-05-03T00:00:00"/>
    <x v="38"/>
    <n v="4859"/>
  </r>
  <r>
    <x v="2906"/>
    <x v="4"/>
    <x v="3"/>
    <x v="1"/>
    <s v="MG Advanced"/>
    <s v="Zoomit"/>
    <x v="0"/>
    <d v="2017-05-03T00:00:00"/>
    <x v="126"/>
    <n v="3718"/>
  </r>
  <r>
    <x v="2907"/>
    <x v="15"/>
    <x v="5"/>
    <x v="2"/>
    <s v="MG Special"/>
    <s v="Groovestreet"/>
    <x v="1"/>
    <d v="2017-05-03T00:00:00"/>
    <x v="6"/>
    <m/>
  </r>
  <r>
    <x v="2908"/>
    <x v="15"/>
    <x v="5"/>
    <x v="2"/>
    <s v="MG Advanced"/>
    <s v="Sumace"/>
    <x v="2"/>
    <d v="2017-05-03T00:00:00"/>
    <x v="65"/>
    <n v="0"/>
  </r>
  <r>
    <x v="2909"/>
    <x v="2"/>
    <x v="2"/>
    <x v="1"/>
    <s v="GTX Basic"/>
    <s v="Hottechi"/>
    <x v="0"/>
    <d v="2017-05-03T00:00:00"/>
    <x v="77"/>
    <n v="493"/>
  </r>
  <r>
    <x v="2910"/>
    <x v="3"/>
    <x v="0"/>
    <x v="0"/>
    <s v="MG Special"/>
    <s v="Domzoom"/>
    <x v="0"/>
    <d v="2017-05-04T00:00:00"/>
    <x v="43"/>
    <n v="54"/>
  </r>
  <r>
    <x v="2911"/>
    <x v="3"/>
    <x v="0"/>
    <x v="0"/>
    <s v="MG Special"/>
    <s v="Konmatfix"/>
    <x v="0"/>
    <d v="2017-05-04T00:00:00"/>
    <x v="73"/>
    <n v="52"/>
  </r>
  <r>
    <x v="2912"/>
    <x v="3"/>
    <x v="0"/>
    <x v="0"/>
    <s v="MG Advanced"/>
    <s v="Rangreen"/>
    <x v="0"/>
    <d v="2017-05-04T00:00:00"/>
    <x v="78"/>
    <n v="3813"/>
  </r>
  <r>
    <x v="2913"/>
    <x v="13"/>
    <x v="4"/>
    <x v="2"/>
    <s v="GTXPro"/>
    <s v="Vehement Capital Partners"/>
    <x v="2"/>
    <d v="2017-05-04T00:00:00"/>
    <x v="107"/>
    <n v="0"/>
  </r>
  <r>
    <x v="2914"/>
    <x v="1"/>
    <x v="1"/>
    <x v="0"/>
    <s v="GTXPro"/>
    <s v="Dontechi"/>
    <x v="0"/>
    <d v="2017-05-04T00:00:00"/>
    <x v="116"/>
    <n v="4935"/>
  </r>
  <r>
    <x v="2915"/>
    <x v="1"/>
    <x v="1"/>
    <x v="0"/>
    <s v="MG Advanced"/>
    <s v="Codehow"/>
    <x v="0"/>
    <d v="2017-05-04T00:00:00"/>
    <x v="150"/>
    <n v="3560"/>
  </r>
  <r>
    <x v="2916"/>
    <x v="29"/>
    <x v="1"/>
    <x v="0"/>
    <s v="GTXPro"/>
    <s v="Betatech"/>
    <x v="2"/>
    <d v="2017-05-04T00:00:00"/>
    <x v="45"/>
    <n v="0"/>
  </r>
  <r>
    <x v="2917"/>
    <x v="29"/>
    <x v="1"/>
    <x v="0"/>
    <s v="GTXPro"/>
    <s v="Statholdings"/>
    <x v="2"/>
    <d v="2017-05-04T00:00:00"/>
    <x v="149"/>
    <n v="0"/>
  </r>
  <r>
    <x v="2918"/>
    <x v="24"/>
    <x v="0"/>
    <x v="0"/>
    <s v="GTX Basic"/>
    <s v="Ron-tech"/>
    <x v="2"/>
    <d v="2017-05-04T00:00:00"/>
    <x v="34"/>
    <n v="0"/>
  </r>
  <r>
    <x v="2919"/>
    <x v="24"/>
    <x v="0"/>
    <x v="0"/>
    <s v="GTX Plus Basic"/>
    <s v="Betatech"/>
    <x v="2"/>
    <d v="2017-05-04T00:00:00"/>
    <x v="136"/>
    <n v="0"/>
  </r>
  <r>
    <x v="2920"/>
    <x v="24"/>
    <x v="0"/>
    <x v="0"/>
    <s v="MG Advanced"/>
    <s v="Zumgoity"/>
    <x v="2"/>
    <d v="2017-05-04T00:00:00"/>
    <x v="151"/>
    <n v="0"/>
  </r>
  <r>
    <x v="2921"/>
    <x v="6"/>
    <x v="1"/>
    <x v="0"/>
    <s v="GTX Plus Basic"/>
    <s v="Stanredtax"/>
    <x v="2"/>
    <d v="2017-05-04T00:00:00"/>
    <x v="149"/>
    <n v="0"/>
  </r>
  <r>
    <x v="2922"/>
    <x v="6"/>
    <x v="1"/>
    <x v="0"/>
    <s v="GTX Basic"/>
    <s v="Genco Pura Olive Oil Company"/>
    <x v="0"/>
    <d v="2017-05-04T00:00:00"/>
    <x v="129"/>
    <n v="528"/>
  </r>
  <r>
    <x v="2923"/>
    <x v="6"/>
    <x v="1"/>
    <x v="0"/>
    <s v="GTX Plus Basic"/>
    <s v="Stanredtax"/>
    <x v="0"/>
    <d v="2017-05-04T00:00:00"/>
    <x v="72"/>
    <n v="1188"/>
  </r>
  <r>
    <x v="2924"/>
    <x v="19"/>
    <x v="4"/>
    <x v="2"/>
    <s v="GTX Plus Pro"/>
    <s v="Xx-zobam"/>
    <x v="2"/>
    <d v="2017-05-04T00:00:00"/>
    <x v="152"/>
    <n v="0"/>
  </r>
  <r>
    <x v="2925"/>
    <x v="12"/>
    <x v="0"/>
    <x v="0"/>
    <s v="MG Advanced"/>
    <s v="Dontechi"/>
    <x v="2"/>
    <d v="2017-05-04T00:00:00"/>
    <x v="34"/>
    <n v="0"/>
  </r>
  <r>
    <x v="2926"/>
    <x v="12"/>
    <x v="0"/>
    <x v="0"/>
    <s v="GTX Basic"/>
    <s v="Betatech"/>
    <x v="0"/>
    <d v="2017-05-04T00:00:00"/>
    <x v="128"/>
    <n v="590"/>
  </r>
  <r>
    <x v="2927"/>
    <x v="4"/>
    <x v="3"/>
    <x v="1"/>
    <s v="GTX Basic"/>
    <s v="Y-corporation"/>
    <x v="0"/>
    <d v="2017-05-04T00:00:00"/>
    <x v="124"/>
    <n v="578"/>
  </r>
  <r>
    <x v="2928"/>
    <x v="15"/>
    <x v="5"/>
    <x v="2"/>
    <s v="GTXPro"/>
    <s v="Gekko &amp; Co"/>
    <x v="2"/>
    <d v="2017-05-04T00:00:00"/>
    <x v="112"/>
    <n v="0"/>
  </r>
  <r>
    <x v="2929"/>
    <x v="20"/>
    <x v="5"/>
    <x v="2"/>
    <s v="MG Advanced"/>
    <m/>
    <x v="1"/>
    <d v="2017-05-04T00:00:00"/>
    <x v="6"/>
    <m/>
  </r>
  <r>
    <x v="2930"/>
    <x v="2"/>
    <x v="2"/>
    <x v="1"/>
    <s v="GTX Basic"/>
    <s v="Lexiqvolax"/>
    <x v="2"/>
    <d v="2017-05-04T00:00:00"/>
    <x v="58"/>
    <n v="0"/>
  </r>
  <r>
    <x v="2931"/>
    <x v="3"/>
    <x v="0"/>
    <x v="0"/>
    <s v="MG Advanced"/>
    <s v="Bioholding"/>
    <x v="2"/>
    <d v="2017-05-05T00:00:00"/>
    <x v="141"/>
    <n v="0"/>
  </r>
  <r>
    <x v="2932"/>
    <x v="23"/>
    <x v="4"/>
    <x v="2"/>
    <s v="GTX Plus Basic"/>
    <s v="Xx-holding"/>
    <x v="1"/>
    <d v="2017-05-05T00:00:00"/>
    <x v="6"/>
    <m/>
  </r>
  <r>
    <x v="2933"/>
    <x v="23"/>
    <x v="4"/>
    <x v="2"/>
    <s v="GTXPro"/>
    <s v="Donquadtech"/>
    <x v="0"/>
    <d v="2017-05-05T00:00:00"/>
    <x v="129"/>
    <n v="4697"/>
  </r>
  <r>
    <x v="2934"/>
    <x v="26"/>
    <x v="4"/>
    <x v="2"/>
    <s v="GTXPro"/>
    <s v="Ontomedia"/>
    <x v="2"/>
    <d v="2017-05-05T00:00:00"/>
    <x v="140"/>
    <n v="0"/>
  </r>
  <r>
    <x v="2935"/>
    <x v="26"/>
    <x v="4"/>
    <x v="2"/>
    <s v="GTXPro"/>
    <s v="Ontomedia"/>
    <x v="2"/>
    <d v="2017-05-05T00:00:00"/>
    <x v="77"/>
    <n v="0"/>
  </r>
  <r>
    <x v="2936"/>
    <x v="26"/>
    <x v="4"/>
    <x v="2"/>
    <s v="GTX Plus Basic"/>
    <s v="Kinnamplus"/>
    <x v="0"/>
    <d v="2017-05-05T00:00:00"/>
    <x v="135"/>
    <n v="1161"/>
  </r>
  <r>
    <x v="2937"/>
    <x v="26"/>
    <x v="4"/>
    <x v="2"/>
    <s v="GTX Plus Basic"/>
    <s v="Vehement Capital Partners"/>
    <x v="0"/>
    <d v="2017-05-05T00:00:00"/>
    <x v="36"/>
    <n v="1101"/>
  </r>
  <r>
    <x v="2938"/>
    <x v="29"/>
    <x v="1"/>
    <x v="0"/>
    <s v="GTX Basic"/>
    <s v="Inity"/>
    <x v="0"/>
    <d v="2017-05-05T00:00:00"/>
    <x v="116"/>
    <n v="511"/>
  </r>
  <r>
    <x v="2939"/>
    <x v="29"/>
    <x v="1"/>
    <x v="0"/>
    <s v="MG Special"/>
    <s v="Condax"/>
    <x v="0"/>
    <d v="2017-05-05T00:00:00"/>
    <x v="137"/>
    <n v="57"/>
  </r>
  <r>
    <x v="2940"/>
    <x v="16"/>
    <x v="2"/>
    <x v="1"/>
    <s v="MG Special"/>
    <s v="Xx-holding"/>
    <x v="2"/>
    <d v="2017-05-05T00:00:00"/>
    <x v="51"/>
    <n v="0"/>
  </r>
  <r>
    <x v="2941"/>
    <x v="16"/>
    <x v="2"/>
    <x v="1"/>
    <s v="GTX Basic"/>
    <s v="Singletechno"/>
    <x v="0"/>
    <d v="2017-05-05T00:00:00"/>
    <x v="74"/>
    <n v="635"/>
  </r>
  <r>
    <x v="2942"/>
    <x v="16"/>
    <x v="2"/>
    <x v="1"/>
    <s v="GTXPro"/>
    <s v="Nam-zim"/>
    <x v="0"/>
    <d v="2017-05-05T00:00:00"/>
    <x v="122"/>
    <n v="4352"/>
  </r>
  <r>
    <x v="2943"/>
    <x v="18"/>
    <x v="2"/>
    <x v="1"/>
    <s v="GTX Plus Basic"/>
    <s v="Vehement Capital Partners"/>
    <x v="1"/>
    <d v="2017-05-05T00:00:00"/>
    <x v="6"/>
    <m/>
  </r>
  <r>
    <x v="2944"/>
    <x v="18"/>
    <x v="2"/>
    <x v="1"/>
    <s v="MG Special"/>
    <s v="Y-corporation"/>
    <x v="2"/>
    <d v="2017-05-05T00:00:00"/>
    <x v="67"/>
    <n v="0"/>
  </r>
  <r>
    <x v="2945"/>
    <x v="24"/>
    <x v="0"/>
    <x v="0"/>
    <s v="GTX Plus Pro"/>
    <s v="Rangreen"/>
    <x v="2"/>
    <d v="2017-05-05T00:00:00"/>
    <x v="34"/>
    <n v="0"/>
  </r>
  <r>
    <x v="2946"/>
    <x v="24"/>
    <x v="0"/>
    <x v="0"/>
    <s v="MG Advanced"/>
    <s v="Domzoom"/>
    <x v="0"/>
    <d v="2017-05-05T00:00:00"/>
    <x v="38"/>
    <n v="3952"/>
  </r>
  <r>
    <x v="2947"/>
    <x v="5"/>
    <x v="3"/>
    <x v="1"/>
    <s v="GTX Basic"/>
    <s v="The New York Inquirer"/>
    <x v="1"/>
    <d v="2017-05-05T00:00:00"/>
    <x v="6"/>
    <m/>
  </r>
  <r>
    <x v="2948"/>
    <x v="5"/>
    <x v="3"/>
    <x v="1"/>
    <s v="GTX Basic"/>
    <m/>
    <x v="1"/>
    <d v="2017-05-05T00:00:00"/>
    <x v="6"/>
    <m/>
  </r>
  <r>
    <x v="2949"/>
    <x v="5"/>
    <x v="3"/>
    <x v="1"/>
    <s v="GTX Basic"/>
    <s v="Kan-code"/>
    <x v="0"/>
    <d v="2017-05-05T00:00:00"/>
    <x v="36"/>
    <n v="560"/>
  </r>
  <r>
    <x v="2950"/>
    <x v="22"/>
    <x v="1"/>
    <x v="0"/>
    <s v="GTX Plus Basic"/>
    <s v="Bioholding"/>
    <x v="2"/>
    <d v="2017-05-05T00:00:00"/>
    <x v="38"/>
    <n v="0"/>
  </r>
  <r>
    <x v="2951"/>
    <x v="6"/>
    <x v="1"/>
    <x v="0"/>
    <s v="GTX Plus Basic"/>
    <s v="Funholding"/>
    <x v="0"/>
    <d v="2017-05-05T00:00:00"/>
    <x v="153"/>
    <n v="984"/>
  </r>
  <r>
    <x v="2952"/>
    <x v="19"/>
    <x v="4"/>
    <x v="2"/>
    <s v="MG Advanced"/>
    <s v="Vehement Capital Partners"/>
    <x v="2"/>
    <d v="2017-05-05T00:00:00"/>
    <x v="54"/>
    <n v="0"/>
  </r>
  <r>
    <x v="2953"/>
    <x v="4"/>
    <x v="3"/>
    <x v="1"/>
    <s v="GTX Basic"/>
    <s v="Sonron"/>
    <x v="0"/>
    <d v="2017-05-05T00:00:00"/>
    <x v="39"/>
    <n v="579"/>
  </r>
  <r>
    <x v="2954"/>
    <x v="4"/>
    <x v="3"/>
    <x v="1"/>
    <s v="GTX Plus Basic"/>
    <s v="Groovestreet"/>
    <x v="0"/>
    <d v="2017-05-05T00:00:00"/>
    <x v="133"/>
    <n v="1151"/>
  </r>
  <r>
    <x v="2955"/>
    <x v="15"/>
    <x v="5"/>
    <x v="2"/>
    <s v="GTX Plus Basic"/>
    <s v="Donware"/>
    <x v="0"/>
    <d v="2017-05-05T00:00:00"/>
    <x v="149"/>
    <n v="881"/>
  </r>
  <r>
    <x v="2956"/>
    <x v="15"/>
    <x v="5"/>
    <x v="2"/>
    <s v="MG Special"/>
    <s v="Umbrella Corporation"/>
    <x v="0"/>
    <d v="2017-05-05T00:00:00"/>
    <x v="150"/>
    <n v="59"/>
  </r>
  <r>
    <x v="2957"/>
    <x v="2"/>
    <x v="2"/>
    <x v="1"/>
    <s v="GTX Basic"/>
    <s v="Plexzap"/>
    <x v="0"/>
    <d v="2017-05-05T00:00:00"/>
    <x v="51"/>
    <n v="608"/>
  </r>
  <r>
    <x v="2958"/>
    <x v="3"/>
    <x v="0"/>
    <x v="0"/>
    <s v="GTX Plus Pro"/>
    <s v="Dontechi"/>
    <x v="0"/>
    <d v="2017-05-06T00:00:00"/>
    <x v="58"/>
    <n v="4784"/>
  </r>
  <r>
    <x v="2959"/>
    <x v="25"/>
    <x v="4"/>
    <x v="2"/>
    <s v="MG Advanced"/>
    <s v="Acme Corporation"/>
    <x v="0"/>
    <d v="2017-05-06T00:00:00"/>
    <x v="57"/>
    <n v="3370"/>
  </r>
  <r>
    <x v="2960"/>
    <x v="23"/>
    <x v="4"/>
    <x v="2"/>
    <s v="MG Special"/>
    <s v="Betasoloin"/>
    <x v="2"/>
    <d v="2017-05-06T00:00:00"/>
    <x v="61"/>
    <n v="0"/>
  </r>
  <r>
    <x v="2961"/>
    <x v="27"/>
    <x v="5"/>
    <x v="2"/>
    <s v="GTX Plus Pro"/>
    <s v="Ganjaflex"/>
    <x v="1"/>
    <d v="2017-05-06T00:00:00"/>
    <x v="6"/>
    <m/>
  </r>
  <r>
    <x v="2962"/>
    <x v="1"/>
    <x v="1"/>
    <x v="0"/>
    <s v="GTX Plus Basic"/>
    <s v="Funholding"/>
    <x v="2"/>
    <d v="2017-05-06T00:00:00"/>
    <x v="154"/>
    <n v="0"/>
  </r>
  <r>
    <x v="2963"/>
    <x v="1"/>
    <x v="1"/>
    <x v="0"/>
    <s v="GTX Basic"/>
    <s v="Funholding"/>
    <x v="0"/>
    <d v="2017-05-06T00:00:00"/>
    <x v="150"/>
    <n v="526"/>
  </r>
  <r>
    <x v="2964"/>
    <x v="26"/>
    <x v="4"/>
    <x v="2"/>
    <s v="GTX Plus Basic"/>
    <s v="Mathtouch"/>
    <x v="2"/>
    <d v="2017-05-06T00:00:00"/>
    <x v="51"/>
    <n v="0"/>
  </r>
  <r>
    <x v="2965"/>
    <x v="8"/>
    <x v="1"/>
    <x v="0"/>
    <s v="GTXPro"/>
    <s v="Hottechi"/>
    <x v="0"/>
    <d v="2017-05-06T00:00:00"/>
    <x v="91"/>
    <n v="5028"/>
  </r>
  <r>
    <x v="2966"/>
    <x v="29"/>
    <x v="1"/>
    <x v="0"/>
    <s v="GTX Basic"/>
    <s v="Condax"/>
    <x v="2"/>
    <d v="2017-05-06T00:00:00"/>
    <x v="55"/>
    <n v="0"/>
  </r>
  <r>
    <x v="2967"/>
    <x v="29"/>
    <x v="1"/>
    <x v="0"/>
    <s v="GTXPro"/>
    <s v="Isdom"/>
    <x v="2"/>
    <d v="2017-05-06T00:00:00"/>
    <x v="40"/>
    <n v="0"/>
  </r>
  <r>
    <x v="2968"/>
    <x v="18"/>
    <x v="2"/>
    <x v="1"/>
    <s v="GTX Basic"/>
    <s v="Initech"/>
    <x v="1"/>
    <d v="2017-05-06T00:00:00"/>
    <x v="6"/>
    <m/>
  </r>
  <r>
    <x v="2969"/>
    <x v="24"/>
    <x v="0"/>
    <x v="0"/>
    <s v="GTX Basic"/>
    <s v="Codehow"/>
    <x v="2"/>
    <d v="2017-05-06T00:00:00"/>
    <x v="40"/>
    <n v="0"/>
  </r>
  <r>
    <x v="2970"/>
    <x v="24"/>
    <x v="0"/>
    <x v="0"/>
    <s v="GTX Basic"/>
    <s v="dambase"/>
    <x v="2"/>
    <d v="2017-05-06T00:00:00"/>
    <x v="45"/>
    <n v="0"/>
  </r>
  <r>
    <x v="2971"/>
    <x v="24"/>
    <x v="0"/>
    <x v="0"/>
    <s v="MG Advanced"/>
    <s v="Streethex"/>
    <x v="2"/>
    <d v="2017-05-06T00:00:00"/>
    <x v="55"/>
    <n v="0"/>
  </r>
  <r>
    <x v="2972"/>
    <x v="5"/>
    <x v="3"/>
    <x v="1"/>
    <s v="GTX Plus Basic"/>
    <m/>
    <x v="1"/>
    <d v="2017-05-06T00:00:00"/>
    <x v="6"/>
    <m/>
  </r>
  <r>
    <x v="2973"/>
    <x v="0"/>
    <x v="0"/>
    <x v="0"/>
    <s v="GTX Basic"/>
    <s v="Genco Pura Olive Oil Company"/>
    <x v="0"/>
    <d v="2017-05-06T00:00:00"/>
    <x v="57"/>
    <n v="569"/>
  </r>
  <r>
    <x v="2974"/>
    <x v="6"/>
    <x v="1"/>
    <x v="0"/>
    <s v="MG Special"/>
    <s v="Codehow"/>
    <x v="2"/>
    <d v="2017-05-06T00:00:00"/>
    <x v="60"/>
    <n v="0"/>
  </r>
  <r>
    <x v="2975"/>
    <x v="17"/>
    <x v="5"/>
    <x v="2"/>
    <s v="GTX Plus Pro"/>
    <s v="Gekko &amp; Co"/>
    <x v="2"/>
    <d v="2017-05-06T00:00:00"/>
    <x v="110"/>
    <n v="0"/>
  </r>
  <r>
    <x v="2976"/>
    <x v="17"/>
    <x v="5"/>
    <x v="2"/>
    <s v="MG Special"/>
    <s v="Kan-code"/>
    <x v="0"/>
    <d v="2017-05-06T00:00:00"/>
    <x v="128"/>
    <n v="51"/>
  </r>
  <r>
    <x v="2977"/>
    <x v="4"/>
    <x v="3"/>
    <x v="1"/>
    <s v="GTX Plus Pro"/>
    <s v="Golddex"/>
    <x v="1"/>
    <d v="2017-05-06T00:00:00"/>
    <x v="6"/>
    <m/>
  </r>
  <r>
    <x v="2978"/>
    <x v="4"/>
    <x v="3"/>
    <x v="1"/>
    <s v="GTXPro"/>
    <m/>
    <x v="1"/>
    <d v="2017-05-06T00:00:00"/>
    <x v="6"/>
    <m/>
  </r>
  <r>
    <x v="2979"/>
    <x v="3"/>
    <x v="0"/>
    <x v="0"/>
    <s v="GTX Plus Basic"/>
    <s v="dambase"/>
    <x v="2"/>
    <d v="2017-05-07T00:00:00"/>
    <x v="155"/>
    <n v="0"/>
  </r>
  <r>
    <x v="2980"/>
    <x v="23"/>
    <x v="4"/>
    <x v="2"/>
    <s v="MG Advanced"/>
    <s v="Bubba Gump"/>
    <x v="0"/>
    <d v="2017-05-07T00:00:00"/>
    <x v="74"/>
    <n v="4287"/>
  </r>
  <r>
    <x v="2981"/>
    <x v="27"/>
    <x v="5"/>
    <x v="2"/>
    <s v="GTX Plus Basic"/>
    <s v="Plussunin"/>
    <x v="1"/>
    <d v="2017-05-07T00:00:00"/>
    <x v="6"/>
    <m/>
  </r>
  <r>
    <x v="2982"/>
    <x v="27"/>
    <x v="5"/>
    <x v="2"/>
    <s v="GTXPro"/>
    <m/>
    <x v="1"/>
    <d v="2017-05-07T00:00:00"/>
    <x v="6"/>
    <m/>
  </r>
  <r>
    <x v="2983"/>
    <x v="27"/>
    <x v="5"/>
    <x v="2"/>
    <s v="GTXPro"/>
    <s v="Ontomedia"/>
    <x v="0"/>
    <d v="2017-05-07T00:00:00"/>
    <x v="41"/>
    <n v="3960"/>
  </r>
  <r>
    <x v="2984"/>
    <x v="26"/>
    <x v="4"/>
    <x v="2"/>
    <s v="GTXPro"/>
    <s v="Konex"/>
    <x v="2"/>
    <d v="2017-05-07T00:00:00"/>
    <x v="58"/>
    <n v="0"/>
  </r>
  <r>
    <x v="2985"/>
    <x v="29"/>
    <x v="1"/>
    <x v="0"/>
    <s v="GTX Plus Basic"/>
    <s v="Codehow"/>
    <x v="0"/>
    <d v="2017-05-07T00:00:00"/>
    <x v="145"/>
    <n v="1093"/>
  </r>
  <r>
    <x v="2986"/>
    <x v="29"/>
    <x v="1"/>
    <x v="0"/>
    <s v="GTX Plus Basic"/>
    <s v="Warephase"/>
    <x v="0"/>
    <d v="2017-05-07T00:00:00"/>
    <x v="133"/>
    <n v="1194"/>
  </r>
  <r>
    <x v="2987"/>
    <x v="29"/>
    <x v="1"/>
    <x v="0"/>
    <s v="GTXPro"/>
    <s v="Rangreen"/>
    <x v="0"/>
    <d v="2017-05-07T00:00:00"/>
    <x v="124"/>
    <n v="5310"/>
  </r>
  <r>
    <x v="2988"/>
    <x v="16"/>
    <x v="2"/>
    <x v="1"/>
    <s v="GTX Plus Basic"/>
    <s v="Blackzim"/>
    <x v="2"/>
    <d v="2017-05-07T00:00:00"/>
    <x v="107"/>
    <n v="0"/>
  </r>
  <r>
    <x v="2989"/>
    <x v="18"/>
    <x v="2"/>
    <x v="1"/>
    <s v="GTX Plus Basic"/>
    <s v="Fasehatice"/>
    <x v="2"/>
    <d v="2017-05-07T00:00:00"/>
    <x v="45"/>
    <n v="0"/>
  </r>
  <r>
    <x v="2990"/>
    <x v="24"/>
    <x v="0"/>
    <x v="0"/>
    <s v="GTX Basic"/>
    <s v="Hottechi"/>
    <x v="2"/>
    <d v="2017-05-07T00:00:00"/>
    <x v="126"/>
    <n v="0"/>
  </r>
  <r>
    <x v="2991"/>
    <x v="5"/>
    <x v="3"/>
    <x v="1"/>
    <s v="GTX Plus Pro"/>
    <m/>
    <x v="1"/>
    <d v="2017-05-07T00:00:00"/>
    <x v="6"/>
    <m/>
  </r>
  <r>
    <x v="2992"/>
    <x v="9"/>
    <x v="2"/>
    <x v="1"/>
    <s v="GTX Plus Basic"/>
    <s v="Golddex"/>
    <x v="0"/>
    <d v="2017-05-07T00:00:00"/>
    <x v="143"/>
    <n v="1222"/>
  </r>
  <r>
    <x v="2993"/>
    <x v="0"/>
    <x v="0"/>
    <x v="0"/>
    <s v="GTX Plus Basic"/>
    <s v="Inity"/>
    <x v="0"/>
    <d v="2017-05-07T00:00:00"/>
    <x v="129"/>
    <n v="901"/>
  </r>
  <r>
    <x v="2994"/>
    <x v="19"/>
    <x v="4"/>
    <x v="2"/>
    <s v="MG Advanced"/>
    <s v="Ontomedia"/>
    <x v="2"/>
    <d v="2017-05-07T00:00:00"/>
    <x v="135"/>
    <n v="0"/>
  </r>
  <r>
    <x v="2995"/>
    <x v="19"/>
    <x v="4"/>
    <x v="2"/>
    <s v="GTX Plus Pro"/>
    <s v="Kan-code"/>
    <x v="0"/>
    <d v="2017-05-07T00:00:00"/>
    <x v="137"/>
    <n v="5601"/>
  </r>
  <r>
    <x v="2996"/>
    <x v="11"/>
    <x v="3"/>
    <x v="1"/>
    <s v="MG Advanced"/>
    <m/>
    <x v="1"/>
    <d v="2017-05-07T00:00:00"/>
    <x v="6"/>
    <m/>
  </r>
  <r>
    <x v="2997"/>
    <x v="15"/>
    <x v="5"/>
    <x v="2"/>
    <s v="MG Advanced"/>
    <m/>
    <x v="1"/>
    <d v="2017-05-07T00:00:00"/>
    <x v="6"/>
    <m/>
  </r>
  <r>
    <x v="2998"/>
    <x v="20"/>
    <x v="5"/>
    <x v="2"/>
    <s v="GTX Plus Basic"/>
    <s v="Donquadtech"/>
    <x v="0"/>
    <d v="2017-05-07T00:00:00"/>
    <x v="129"/>
    <n v="995"/>
  </r>
  <r>
    <x v="2999"/>
    <x v="20"/>
    <x v="5"/>
    <x v="2"/>
    <s v="MG Advanced"/>
    <s v="Xx-zobam"/>
    <x v="0"/>
    <d v="2017-05-07T00:00:00"/>
    <x v="129"/>
    <n v="3666"/>
  </r>
  <r>
    <x v="3000"/>
    <x v="3"/>
    <x v="0"/>
    <x v="0"/>
    <s v="GTX Plus Basic"/>
    <s v="Zumgoity"/>
    <x v="2"/>
    <d v="2017-05-08T00:00:00"/>
    <x v="40"/>
    <n v="0"/>
  </r>
  <r>
    <x v="3001"/>
    <x v="3"/>
    <x v="0"/>
    <x v="0"/>
    <s v="MG Special"/>
    <s v="Scottech"/>
    <x v="0"/>
    <d v="2017-05-08T00:00:00"/>
    <x v="65"/>
    <n v="56"/>
  </r>
  <r>
    <x v="3002"/>
    <x v="23"/>
    <x v="4"/>
    <x v="2"/>
    <s v="GTX Plus Basic"/>
    <s v="Initech"/>
    <x v="0"/>
    <d v="2017-05-08T00:00:00"/>
    <x v="37"/>
    <n v="1372"/>
  </r>
  <r>
    <x v="3003"/>
    <x v="13"/>
    <x v="4"/>
    <x v="2"/>
    <s v="MG Advanced"/>
    <s v="Bluth Company"/>
    <x v="0"/>
    <d v="2017-05-08T00:00:00"/>
    <x v="137"/>
    <n v="3282"/>
  </r>
  <r>
    <x v="3004"/>
    <x v="1"/>
    <x v="1"/>
    <x v="0"/>
    <s v="GTXPro"/>
    <s v="Dontechi"/>
    <x v="2"/>
    <d v="2017-05-08T00:00:00"/>
    <x v="112"/>
    <n v="0"/>
  </r>
  <r>
    <x v="3005"/>
    <x v="14"/>
    <x v="3"/>
    <x v="1"/>
    <s v="MG Special"/>
    <s v="Dalttechnology"/>
    <x v="0"/>
    <d v="2017-05-08T00:00:00"/>
    <x v="156"/>
    <n v="43"/>
  </r>
  <r>
    <x v="3006"/>
    <x v="14"/>
    <x v="3"/>
    <x v="1"/>
    <s v="MG Special"/>
    <s v="Newex"/>
    <x v="0"/>
    <d v="2017-05-08T00:00:00"/>
    <x v="157"/>
    <n v="54"/>
  </r>
  <r>
    <x v="3007"/>
    <x v="29"/>
    <x v="1"/>
    <x v="0"/>
    <s v="GTX Basic"/>
    <s v="Stanredtax"/>
    <x v="2"/>
    <d v="2017-05-08T00:00:00"/>
    <x v="134"/>
    <n v="0"/>
  </r>
  <r>
    <x v="3008"/>
    <x v="16"/>
    <x v="2"/>
    <x v="1"/>
    <s v="GTX Basic"/>
    <s v="Cheers"/>
    <x v="0"/>
    <d v="2017-05-08T00:00:00"/>
    <x v="67"/>
    <n v="575"/>
  </r>
  <r>
    <x v="3009"/>
    <x v="16"/>
    <x v="2"/>
    <x v="1"/>
    <s v="GTX Plus Basic"/>
    <s v="Hottechi"/>
    <x v="0"/>
    <d v="2017-05-08T00:00:00"/>
    <x v="133"/>
    <n v="768"/>
  </r>
  <r>
    <x v="3010"/>
    <x v="16"/>
    <x v="2"/>
    <x v="1"/>
    <s v="GTXPro"/>
    <s v="Singletechno"/>
    <x v="0"/>
    <d v="2017-05-08T00:00:00"/>
    <x v="158"/>
    <n v="4426"/>
  </r>
  <r>
    <x v="3011"/>
    <x v="24"/>
    <x v="0"/>
    <x v="0"/>
    <s v="GTX Basic"/>
    <s v="Betatech"/>
    <x v="2"/>
    <d v="2017-05-08T00:00:00"/>
    <x v="34"/>
    <n v="0"/>
  </r>
  <r>
    <x v="3012"/>
    <x v="24"/>
    <x v="0"/>
    <x v="0"/>
    <s v="GTX Basic"/>
    <s v="Konmatfix"/>
    <x v="0"/>
    <d v="2017-05-08T00:00:00"/>
    <x v="136"/>
    <n v="553"/>
  </r>
  <r>
    <x v="3013"/>
    <x v="22"/>
    <x v="1"/>
    <x v="0"/>
    <s v="GTX Plus Pro"/>
    <s v="Codehow"/>
    <x v="2"/>
    <d v="2017-05-08T00:00:00"/>
    <x v="45"/>
    <n v="0"/>
  </r>
  <r>
    <x v="3014"/>
    <x v="9"/>
    <x v="2"/>
    <x v="1"/>
    <s v="GTX Plus Basic"/>
    <m/>
    <x v="1"/>
    <d v="2017-05-08T00:00:00"/>
    <x v="6"/>
    <m/>
  </r>
  <r>
    <x v="3015"/>
    <x v="9"/>
    <x v="2"/>
    <x v="1"/>
    <s v="GTX Plus Basic"/>
    <s v="Green-Plus"/>
    <x v="2"/>
    <d v="2017-05-08T00:00:00"/>
    <x v="129"/>
    <n v="0"/>
  </r>
  <r>
    <x v="3016"/>
    <x v="9"/>
    <x v="2"/>
    <x v="1"/>
    <s v="GTX Plus Pro"/>
    <s v="Zoomit"/>
    <x v="0"/>
    <d v="2017-05-08T00:00:00"/>
    <x v="153"/>
    <n v="4786"/>
  </r>
  <r>
    <x v="3017"/>
    <x v="0"/>
    <x v="0"/>
    <x v="0"/>
    <s v="MG Advanced"/>
    <s v="Rundofase"/>
    <x v="2"/>
    <d v="2017-05-08T00:00:00"/>
    <x v="55"/>
    <n v="0"/>
  </r>
  <r>
    <x v="3018"/>
    <x v="19"/>
    <x v="4"/>
    <x v="2"/>
    <s v="GTXPro"/>
    <s v="The New York Inquirer"/>
    <x v="2"/>
    <d v="2017-05-08T00:00:00"/>
    <x v="37"/>
    <n v="0"/>
  </r>
  <r>
    <x v="3019"/>
    <x v="12"/>
    <x v="0"/>
    <x v="0"/>
    <s v="GTX Plus Pro"/>
    <s v="Inity"/>
    <x v="2"/>
    <d v="2017-05-08T00:00:00"/>
    <x v="110"/>
    <n v="0"/>
  </r>
  <r>
    <x v="3020"/>
    <x v="12"/>
    <x v="0"/>
    <x v="0"/>
    <s v="MG Special"/>
    <s v="Ron-tech"/>
    <x v="2"/>
    <d v="2017-05-08T00:00:00"/>
    <x v="148"/>
    <n v="0"/>
  </r>
  <r>
    <x v="3021"/>
    <x v="12"/>
    <x v="0"/>
    <x v="0"/>
    <s v="GTX Plus Pro"/>
    <s v="dambase"/>
    <x v="0"/>
    <d v="2017-05-08T00:00:00"/>
    <x v="67"/>
    <n v="5338"/>
  </r>
  <r>
    <x v="3022"/>
    <x v="2"/>
    <x v="2"/>
    <x v="1"/>
    <s v="GTXPro"/>
    <s v="Hatfan"/>
    <x v="1"/>
    <d v="2017-05-08T00:00:00"/>
    <x v="6"/>
    <m/>
  </r>
  <r>
    <x v="3023"/>
    <x v="2"/>
    <x v="2"/>
    <x v="1"/>
    <s v="GTX Basic"/>
    <s v="Scotfind"/>
    <x v="2"/>
    <d v="2017-05-08T00:00:00"/>
    <x v="41"/>
    <n v="0"/>
  </r>
  <r>
    <x v="3024"/>
    <x v="3"/>
    <x v="0"/>
    <x v="0"/>
    <s v="GTX Plus Basic"/>
    <s v="Statholdings"/>
    <x v="0"/>
    <d v="2017-05-09T00:00:00"/>
    <x v="159"/>
    <n v="996"/>
  </r>
  <r>
    <x v="3025"/>
    <x v="25"/>
    <x v="4"/>
    <x v="2"/>
    <s v="GTX Plus Basic"/>
    <m/>
    <x v="1"/>
    <d v="2017-05-09T00:00:00"/>
    <x v="6"/>
    <m/>
  </r>
  <r>
    <x v="3026"/>
    <x v="25"/>
    <x v="4"/>
    <x v="2"/>
    <s v="MG Advanced"/>
    <m/>
    <x v="1"/>
    <d v="2017-05-09T00:00:00"/>
    <x v="6"/>
    <m/>
  </r>
  <r>
    <x v="3027"/>
    <x v="23"/>
    <x v="4"/>
    <x v="2"/>
    <s v="MG Advanced"/>
    <s v="Gekko &amp; Co"/>
    <x v="2"/>
    <d v="2017-05-09T00:00:00"/>
    <x v="45"/>
    <n v="0"/>
  </r>
  <r>
    <x v="3028"/>
    <x v="28"/>
    <x v="0"/>
    <x v="0"/>
    <s v="MG Special"/>
    <s v="Dontechi"/>
    <x v="0"/>
    <d v="2017-05-09T00:00:00"/>
    <x v="128"/>
    <n v="63"/>
  </r>
  <r>
    <x v="3029"/>
    <x v="13"/>
    <x v="4"/>
    <x v="2"/>
    <s v="GTX Plus Basic"/>
    <s v="Opentech"/>
    <x v="2"/>
    <d v="2017-05-09T00:00:00"/>
    <x v="150"/>
    <n v="0"/>
  </r>
  <r>
    <x v="3030"/>
    <x v="1"/>
    <x v="1"/>
    <x v="0"/>
    <s v="GTX Plus Basic"/>
    <s v="Inity"/>
    <x v="0"/>
    <d v="2017-05-09T00:00:00"/>
    <x v="65"/>
    <n v="1075"/>
  </r>
  <r>
    <x v="3031"/>
    <x v="1"/>
    <x v="1"/>
    <x v="0"/>
    <s v="GTXPro"/>
    <s v="Warephase"/>
    <x v="0"/>
    <d v="2017-05-09T00:00:00"/>
    <x v="61"/>
    <n v="5033"/>
  </r>
  <r>
    <x v="3032"/>
    <x v="1"/>
    <x v="1"/>
    <x v="0"/>
    <s v="MG Advanced"/>
    <s v="Rundofase"/>
    <x v="0"/>
    <d v="2017-05-09T00:00:00"/>
    <x v="86"/>
    <n v="3249"/>
  </r>
  <r>
    <x v="3033"/>
    <x v="8"/>
    <x v="1"/>
    <x v="0"/>
    <s v="GTX Plus Basic"/>
    <s v="Globex Corporation"/>
    <x v="0"/>
    <d v="2017-05-09T00:00:00"/>
    <x v="124"/>
    <n v="1015"/>
  </r>
  <r>
    <x v="3034"/>
    <x v="29"/>
    <x v="1"/>
    <x v="0"/>
    <s v="GTX Basic"/>
    <s v="Stanredtax"/>
    <x v="2"/>
    <d v="2017-05-09T00:00:00"/>
    <x v="87"/>
    <n v="0"/>
  </r>
  <r>
    <x v="3035"/>
    <x v="29"/>
    <x v="1"/>
    <x v="0"/>
    <s v="GTX Plus Basic"/>
    <s v="Gogozoom"/>
    <x v="0"/>
    <d v="2017-05-09T00:00:00"/>
    <x v="67"/>
    <n v="1100"/>
  </r>
  <r>
    <x v="3036"/>
    <x v="16"/>
    <x v="2"/>
    <x v="1"/>
    <s v="GTX Plus Pro"/>
    <s v="Blackzim"/>
    <x v="0"/>
    <d v="2017-05-09T00:00:00"/>
    <x v="160"/>
    <n v="4755"/>
  </r>
  <r>
    <x v="3037"/>
    <x v="18"/>
    <x v="2"/>
    <x v="1"/>
    <s v="GTX Basic"/>
    <s v="Kan-code"/>
    <x v="2"/>
    <d v="2017-05-09T00:00:00"/>
    <x v="143"/>
    <n v="0"/>
  </r>
  <r>
    <x v="3038"/>
    <x v="5"/>
    <x v="3"/>
    <x v="1"/>
    <s v="GTK 500"/>
    <m/>
    <x v="1"/>
    <d v="2017-05-09T00:00:00"/>
    <x v="6"/>
    <m/>
  </r>
  <r>
    <x v="3039"/>
    <x v="5"/>
    <x v="3"/>
    <x v="1"/>
    <s v="GTX Basic"/>
    <s v="Groovestreet"/>
    <x v="1"/>
    <d v="2017-05-09T00:00:00"/>
    <x v="6"/>
    <m/>
  </r>
  <r>
    <x v="3040"/>
    <x v="5"/>
    <x v="3"/>
    <x v="1"/>
    <s v="GTX Plus Basic"/>
    <s v="Konex"/>
    <x v="2"/>
    <d v="2017-05-09T00:00:00"/>
    <x v="65"/>
    <n v="0"/>
  </r>
  <r>
    <x v="3041"/>
    <x v="5"/>
    <x v="3"/>
    <x v="1"/>
    <s v="GTXPro"/>
    <s v="Golddex"/>
    <x v="2"/>
    <d v="2017-05-09T00:00:00"/>
    <x v="89"/>
    <n v="0"/>
  </r>
  <r>
    <x v="3042"/>
    <x v="5"/>
    <x v="3"/>
    <x v="1"/>
    <s v="GTX Basic"/>
    <s v="J-Texon"/>
    <x v="0"/>
    <d v="2017-05-09T00:00:00"/>
    <x v="34"/>
    <n v="541"/>
  </r>
  <r>
    <x v="3043"/>
    <x v="5"/>
    <x v="3"/>
    <x v="1"/>
    <s v="GTXPro"/>
    <s v="Hatfan"/>
    <x v="0"/>
    <d v="2017-05-09T00:00:00"/>
    <x v="42"/>
    <n v="4815"/>
  </r>
  <r>
    <x v="3044"/>
    <x v="9"/>
    <x v="2"/>
    <x v="1"/>
    <s v="GTX Plus Basic"/>
    <s v="Donquadtech"/>
    <x v="1"/>
    <d v="2017-05-09T00:00:00"/>
    <x v="6"/>
    <m/>
  </r>
  <r>
    <x v="3045"/>
    <x v="9"/>
    <x v="2"/>
    <x v="1"/>
    <s v="MG Special"/>
    <s v="Konex"/>
    <x v="0"/>
    <d v="2017-05-09T00:00:00"/>
    <x v="51"/>
    <n v="57"/>
  </r>
  <r>
    <x v="3046"/>
    <x v="6"/>
    <x v="1"/>
    <x v="0"/>
    <s v="GTX Plus Basic"/>
    <s v="Ron-tech"/>
    <x v="2"/>
    <d v="2017-05-09T00:00:00"/>
    <x v="45"/>
    <n v="0"/>
  </r>
  <r>
    <x v="3047"/>
    <x v="6"/>
    <x v="1"/>
    <x v="0"/>
    <s v="MG Special"/>
    <s v="Ron-tech"/>
    <x v="2"/>
    <d v="2017-05-09T00:00:00"/>
    <x v="161"/>
    <n v="0"/>
  </r>
  <r>
    <x v="3048"/>
    <x v="19"/>
    <x v="4"/>
    <x v="2"/>
    <s v="GTX Plus Pro"/>
    <s v="Opentech"/>
    <x v="0"/>
    <d v="2017-05-09T00:00:00"/>
    <x v="37"/>
    <n v="5406"/>
  </r>
  <r>
    <x v="3049"/>
    <x v="17"/>
    <x v="5"/>
    <x v="2"/>
    <s v="GTXPro"/>
    <m/>
    <x v="1"/>
    <d v="2017-05-09T00:00:00"/>
    <x v="6"/>
    <m/>
  </r>
  <r>
    <x v="3050"/>
    <x v="4"/>
    <x v="3"/>
    <x v="1"/>
    <s v="GTX Basic"/>
    <s v="Fasehatice"/>
    <x v="2"/>
    <d v="2017-05-09T00:00:00"/>
    <x v="92"/>
    <n v="0"/>
  </r>
  <r>
    <x v="3051"/>
    <x v="4"/>
    <x v="3"/>
    <x v="1"/>
    <s v="MG Advanced"/>
    <s v="Xx-holding"/>
    <x v="2"/>
    <d v="2017-05-09T00:00:00"/>
    <x v="107"/>
    <n v="0"/>
  </r>
  <r>
    <x v="3052"/>
    <x v="2"/>
    <x v="2"/>
    <x v="1"/>
    <s v="GTX Basic"/>
    <s v="Rangreen"/>
    <x v="1"/>
    <d v="2017-05-09T00:00:00"/>
    <x v="6"/>
    <m/>
  </r>
  <r>
    <x v="3053"/>
    <x v="2"/>
    <x v="2"/>
    <x v="1"/>
    <s v="GTX Plus Pro"/>
    <s v="Goodsilron"/>
    <x v="0"/>
    <d v="2017-05-09T00:00:00"/>
    <x v="45"/>
    <n v="5042"/>
  </r>
  <r>
    <x v="3054"/>
    <x v="2"/>
    <x v="2"/>
    <x v="1"/>
    <s v="GTXPro"/>
    <s v="Rantouch"/>
    <x v="0"/>
    <d v="2017-05-09T00:00:00"/>
    <x v="55"/>
    <n v="3969"/>
  </r>
  <r>
    <x v="3055"/>
    <x v="3"/>
    <x v="0"/>
    <x v="0"/>
    <s v="MG Special"/>
    <s v="dambase"/>
    <x v="2"/>
    <d v="2017-05-10T00:00:00"/>
    <x v="134"/>
    <n v="0"/>
  </r>
  <r>
    <x v="3056"/>
    <x v="3"/>
    <x v="0"/>
    <x v="0"/>
    <s v="MG Special"/>
    <s v="Isdom"/>
    <x v="0"/>
    <d v="2017-05-10T00:00:00"/>
    <x v="107"/>
    <n v="59"/>
  </r>
  <r>
    <x v="3057"/>
    <x v="23"/>
    <x v="4"/>
    <x v="2"/>
    <s v="GTX Basic"/>
    <s v="Sumace"/>
    <x v="0"/>
    <d v="2017-05-10T00:00:00"/>
    <x v="67"/>
    <n v="629"/>
  </r>
  <r>
    <x v="3058"/>
    <x v="28"/>
    <x v="0"/>
    <x v="0"/>
    <s v="MG Special"/>
    <s v="Dontechi"/>
    <x v="0"/>
    <d v="2017-05-10T00:00:00"/>
    <x v="67"/>
    <n v="57"/>
  </r>
  <r>
    <x v="3059"/>
    <x v="27"/>
    <x v="5"/>
    <x v="2"/>
    <s v="MG Advanced"/>
    <s v="Konex"/>
    <x v="2"/>
    <d v="2017-05-10T00:00:00"/>
    <x v="39"/>
    <n v="0"/>
  </r>
  <r>
    <x v="3060"/>
    <x v="27"/>
    <x v="5"/>
    <x v="2"/>
    <s v="GTXPro"/>
    <s v="Silis"/>
    <x v="0"/>
    <d v="2017-05-10T00:00:00"/>
    <x v="112"/>
    <n v="4861"/>
  </r>
  <r>
    <x v="3061"/>
    <x v="13"/>
    <x v="4"/>
    <x v="2"/>
    <s v="MG Advanced"/>
    <s v="Plussunin"/>
    <x v="2"/>
    <d v="2017-05-10T00:00:00"/>
    <x v="142"/>
    <n v="0"/>
  </r>
  <r>
    <x v="3062"/>
    <x v="1"/>
    <x v="1"/>
    <x v="0"/>
    <s v="GTXPro"/>
    <s v="Dontechi"/>
    <x v="2"/>
    <d v="2017-05-10T00:00:00"/>
    <x v="137"/>
    <n v="0"/>
  </r>
  <r>
    <x v="3063"/>
    <x v="1"/>
    <x v="1"/>
    <x v="0"/>
    <s v="GTX Plus Basic"/>
    <s v="Zumgoity"/>
    <x v="0"/>
    <d v="2017-05-10T00:00:00"/>
    <x v="77"/>
    <n v="980"/>
  </r>
  <r>
    <x v="3064"/>
    <x v="26"/>
    <x v="4"/>
    <x v="2"/>
    <s v="GTX Plus Pro"/>
    <s v="Umbrella Corporation"/>
    <x v="2"/>
    <d v="2017-05-10T00:00:00"/>
    <x v="37"/>
    <n v="0"/>
  </r>
  <r>
    <x v="3065"/>
    <x v="26"/>
    <x v="4"/>
    <x v="2"/>
    <s v="MG Advanced"/>
    <s v="Zotware"/>
    <x v="2"/>
    <d v="2017-05-10T00:00:00"/>
    <x v="57"/>
    <n v="0"/>
  </r>
  <r>
    <x v="3066"/>
    <x v="21"/>
    <x v="5"/>
    <x v="2"/>
    <s v="GTXPro"/>
    <s v="Kan-code"/>
    <x v="2"/>
    <d v="2017-05-10T00:00:00"/>
    <x v="162"/>
    <n v="0"/>
  </r>
  <r>
    <x v="3067"/>
    <x v="8"/>
    <x v="1"/>
    <x v="0"/>
    <s v="GTXPro"/>
    <s v="Cancity"/>
    <x v="0"/>
    <d v="2017-05-10T00:00:00"/>
    <x v="133"/>
    <n v="5361"/>
  </r>
  <r>
    <x v="3068"/>
    <x v="7"/>
    <x v="2"/>
    <x v="1"/>
    <s v="MG Advanced"/>
    <s v="Labdrill"/>
    <x v="2"/>
    <d v="2017-05-10T00:00:00"/>
    <x v="138"/>
    <n v="0"/>
  </r>
  <r>
    <x v="3069"/>
    <x v="16"/>
    <x v="2"/>
    <x v="1"/>
    <s v="GTX Basic"/>
    <m/>
    <x v="1"/>
    <d v="2017-05-10T00:00:00"/>
    <x v="6"/>
    <m/>
  </r>
  <r>
    <x v="3070"/>
    <x v="16"/>
    <x v="2"/>
    <x v="1"/>
    <s v="GTX Basic"/>
    <m/>
    <x v="1"/>
    <d v="2017-05-10T00:00:00"/>
    <x v="6"/>
    <m/>
  </r>
  <r>
    <x v="3071"/>
    <x v="16"/>
    <x v="2"/>
    <x v="1"/>
    <s v="GTX Basic"/>
    <s v="Goodsilron"/>
    <x v="2"/>
    <d v="2017-05-10T00:00:00"/>
    <x v="149"/>
    <n v="0"/>
  </r>
  <r>
    <x v="3072"/>
    <x v="18"/>
    <x v="2"/>
    <x v="1"/>
    <s v="GTX Plus Basic"/>
    <s v="Faxquote"/>
    <x v="0"/>
    <d v="2017-05-10T00:00:00"/>
    <x v="163"/>
    <n v="1220"/>
  </r>
  <r>
    <x v="3073"/>
    <x v="5"/>
    <x v="3"/>
    <x v="1"/>
    <s v="MG Special"/>
    <s v="Doncon"/>
    <x v="2"/>
    <d v="2017-05-10T00:00:00"/>
    <x v="57"/>
    <n v="0"/>
  </r>
  <r>
    <x v="3074"/>
    <x v="5"/>
    <x v="3"/>
    <x v="1"/>
    <s v="MG Advanced"/>
    <s v="Singletechno"/>
    <x v="2"/>
    <d v="2017-05-10T00:00:00"/>
    <x v="67"/>
    <n v="0"/>
  </r>
  <r>
    <x v="3075"/>
    <x v="5"/>
    <x v="3"/>
    <x v="1"/>
    <s v="GTX Basic"/>
    <s v="Scotfind"/>
    <x v="0"/>
    <d v="2017-05-10T00:00:00"/>
    <x v="164"/>
    <n v="464"/>
  </r>
  <r>
    <x v="3076"/>
    <x v="22"/>
    <x v="1"/>
    <x v="0"/>
    <s v="MG Advanced"/>
    <s v="Genco Pura Olive Oil Company"/>
    <x v="0"/>
    <d v="2017-05-10T00:00:00"/>
    <x v="61"/>
    <n v="3604"/>
  </r>
  <r>
    <x v="3077"/>
    <x v="0"/>
    <x v="0"/>
    <x v="0"/>
    <s v="GTX Basic"/>
    <s v="Finhigh"/>
    <x v="0"/>
    <d v="2017-05-10T00:00:00"/>
    <x v="134"/>
    <n v="529"/>
  </r>
  <r>
    <x v="3078"/>
    <x v="6"/>
    <x v="1"/>
    <x v="0"/>
    <s v="GTX Plus Basic"/>
    <s v="Toughzap"/>
    <x v="2"/>
    <d v="2017-05-10T00:00:00"/>
    <x v="165"/>
    <n v="0"/>
  </r>
  <r>
    <x v="3079"/>
    <x v="11"/>
    <x v="3"/>
    <x v="1"/>
    <s v="MG Advanced"/>
    <s v="Green-Plus"/>
    <x v="2"/>
    <d v="2017-05-10T00:00:00"/>
    <x v="40"/>
    <n v="0"/>
  </r>
  <r>
    <x v="3080"/>
    <x v="17"/>
    <x v="5"/>
    <x v="2"/>
    <s v="MG Special"/>
    <s v="Bubba Gump"/>
    <x v="0"/>
    <d v="2017-05-10T00:00:00"/>
    <x v="51"/>
    <n v="54"/>
  </r>
  <r>
    <x v="3081"/>
    <x v="4"/>
    <x v="3"/>
    <x v="1"/>
    <s v="GTX Basic"/>
    <s v="Conecom"/>
    <x v="1"/>
    <d v="2017-05-10T00:00:00"/>
    <x v="6"/>
    <m/>
  </r>
  <r>
    <x v="3082"/>
    <x v="15"/>
    <x v="5"/>
    <x v="2"/>
    <s v="GTX Plus Basic"/>
    <s v="Acme Corporation"/>
    <x v="0"/>
    <d v="2017-05-10T00:00:00"/>
    <x v="53"/>
    <n v="1022"/>
  </r>
  <r>
    <x v="3083"/>
    <x v="3"/>
    <x v="0"/>
    <x v="0"/>
    <s v="GTX Plus Basic"/>
    <s v="Ron-tech"/>
    <x v="2"/>
    <d v="2017-05-11T00:00:00"/>
    <x v="126"/>
    <n v="0"/>
  </r>
  <r>
    <x v="3084"/>
    <x v="3"/>
    <x v="0"/>
    <x v="0"/>
    <s v="MG Special"/>
    <s v="Dontechi"/>
    <x v="0"/>
    <d v="2017-05-11T00:00:00"/>
    <x v="60"/>
    <n v="52"/>
  </r>
  <r>
    <x v="3085"/>
    <x v="25"/>
    <x v="4"/>
    <x v="2"/>
    <s v="GTX Basic"/>
    <s v="Bubba Gump"/>
    <x v="1"/>
    <d v="2017-05-11T00:00:00"/>
    <x v="6"/>
    <m/>
  </r>
  <r>
    <x v="3086"/>
    <x v="23"/>
    <x v="4"/>
    <x v="2"/>
    <s v="GTX Basic"/>
    <s v="Zencorporation"/>
    <x v="1"/>
    <d v="2017-05-11T00:00:00"/>
    <x v="6"/>
    <m/>
  </r>
  <r>
    <x v="3087"/>
    <x v="27"/>
    <x v="5"/>
    <x v="2"/>
    <s v="MG Special"/>
    <m/>
    <x v="1"/>
    <d v="2017-05-11T00:00:00"/>
    <x v="6"/>
    <m/>
  </r>
  <r>
    <x v="3088"/>
    <x v="1"/>
    <x v="1"/>
    <x v="0"/>
    <s v="GTXPro"/>
    <s v="Bioholding"/>
    <x v="0"/>
    <d v="2017-05-11T00:00:00"/>
    <x v="138"/>
    <n v="5037"/>
  </r>
  <r>
    <x v="3089"/>
    <x v="1"/>
    <x v="1"/>
    <x v="0"/>
    <s v="GTXPro"/>
    <s v="Globex Corporation"/>
    <x v="0"/>
    <d v="2017-05-11T00:00:00"/>
    <x v="91"/>
    <n v="4709"/>
  </r>
  <r>
    <x v="3090"/>
    <x v="1"/>
    <x v="1"/>
    <x v="0"/>
    <s v="MG Special"/>
    <s v="Treequote"/>
    <x v="0"/>
    <d v="2017-05-11T00:00:00"/>
    <x v="45"/>
    <n v="60"/>
  </r>
  <r>
    <x v="3091"/>
    <x v="1"/>
    <x v="1"/>
    <x v="0"/>
    <s v="MG Advanced"/>
    <s v="Stanredtax"/>
    <x v="0"/>
    <d v="2017-05-11T00:00:00"/>
    <x v="162"/>
    <n v="3766"/>
  </r>
  <r>
    <x v="3092"/>
    <x v="21"/>
    <x v="5"/>
    <x v="2"/>
    <s v="MG Advanced"/>
    <s v="Donquadtech"/>
    <x v="0"/>
    <d v="2017-05-11T00:00:00"/>
    <x v="138"/>
    <n v="3552"/>
  </r>
  <r>
    <x v="3093"/>
    <x v="16"/>
    <x v="2"/>
    <x v="1"/>
    <s v="GTX Basic"/>
    <m/>
    <x v="1"/>
    <d v="2017-05-11T00:00:00"/>
    <x v="6"/>
    <m/>
  </r>
  <r>
    <x v="3094"/>
    <x v="16"/>
    <x v="2"/>
    <x v="1"/>
    <s v="MG Special"/>
    <s v="Blackzim"/>
    <x v="2"/>
    <d v="2017-05-11T00:00:00"/>
    <x v="145"/>
    <n v="0"/>
  </r>
  <r>
    <x v="3095"/>
    <x v="16"/>
    <x v="2"/>
    <x v="1"/>
    <s v="MG Advanced"/>
    <s v="Groovestreet"/>
    <x v="2"/>
    <d v="2017-05-11T00:00:00"/>
    <x v="126"/>
    <n v="0"/>
  </r>
  <r>
    <x v="3096"/>
    <x v="18"/>
    <x v="2"/>
    <x v="1"/>
    <s v="GTX Basic"/>
    <s v="Bioholding"/>
    <x v="1"/>
    <d v="2017-05-11T00:00:00"/>
    <x v="6"/>
    <m/>
  </r>
  <r>
    <x v="3097"/>
    <x v="18"/>
    <x v="2"/>
    <x v="1"/>
    <s v="GTXPro"/>
    <s v="Kan-code"/>
    <x v="2"/>
    <d v="2017-05-11T00:00:00"/>
    <x v="77"/>
    <n v="0"/>
  </r>
  <r>
    <x v="3098"/>
    <x v="5"/>
    <x v="3"/>
    <x v="1"/>
    <s v="MG Advanced"/>
    <s v="Fasehatice"/>
    <x v="2"/>
    <d v="2017-05-11T00:00:00"/>
    <x v="126"/>
    <n v="0"/>
  </r>
  <r>
    <x v="3099"/>
    <x v="9"/>
    <x v="2"/>
    <x v="1"/>
    <s v="GTX Plus Pro"/>
    <s v="Sonron"/>
    <x v="1"/>
    <d v="2017-05-11T00:00:00"/>
    <x v="6"/>
    <m/>
  </r>
  <r>
    <x v="3100"/>
    <x v="9"/>
    <x v="2"/>
    <x v="1"/>
    <s v="GTX Basic"/>
    <s v="Finjob"/>
    <x v="2"/>
    <d v="2017-05-11T00:00:00"/>
    <x v="57"/>
    <n v="0"/>
  </r>
  <r>
    <x v="3101"/>
    <x v="0"/>
    <x v="0"/>
    <x v="0"/>
    <s v="GTX Basic"/>
    <s v="Treequote"/>
    <x v="0"/>
    <d v="2017-05-11T00:00:00"/>
    <x v="49"/>
    <n v="472"/>
  </r>
  <r>
    <x v="3102"/>
    <x v="4"/>
    <x v="3"/>
    <x v="1"/>
    <s v="GTX Plus Pro"/>
    <m/>
    <x v="1"/>
    <d v="2017-05-11T00:00:00"/>
    <x v="6"/>
    <m/>
  </r>
  <r>
    <x v="3103"/>
    <x v="4"/>
    <x v="3"/>
    <x v="1"/>
    <s v="MG Special"/>
    <s v="Cheers"/>
    <x v="0"/>
    <d v="2017-05-11T00:00:00"/>
    <x v="45"/>
    <n v="56"/>
  </r>
  <r>
    <x v="3104"/>
    <x v="15"/>
    <x v="5"/>
    <x v="2"/>
    <s v="MG Special"/>
    <s v="Opentech"/>
    <x v="0"/>
    <d v="2017-05-11T00:00:00"/>
    <x v="83"/>
    <n v="57"/>
  </r>
  <r>
    <x v="3105"/>
    <x v="20"/>
    <x v="5"/>
    <x v="2"/>
    <s v="MG Advanced"/>
    <s v="Mathtouch"/>
    <x v="2"/>
    <d v="2017-05-11T00:00:00"/>
    <x v="107"/>
    <n v="0"/>
  </r>
  <r>
    <x v="3106"/>
    <x v="2"/>
    <x v="2"/>
    <x v="1"/>
    <s v="GTX Plus Basic"/>
    <s v="Newex"/>
    <x v="0"/>
    <d v="2017-05-11T00:00:00"/>
    <x v="150"/>
    <n v="776"/>
  </r>
  <r>
    <x v="3107"/>
    <x v="3"/>
    <x v="0"/>
    <x v="0"/>
    <s v="MG Special"/>
    <s v="Gogozoom"/>
    <x v="2"/>
    <d v="2017-05-12T00:00:00"/>
    <x v="55"/>
    <n v="0"/>
  </r>
  <r>
    <x v="3108"/>
    <x v="28"/>
    <x v="0"/>
    <x v="0"/>
    <s v="MG Special"/>
    <s v="Codehow"/>
    <x v="0"/>
    <d v="2017-05-12T00:00:00"/>
    <x v="76"/>
    <n v="61"/>
  </r>
  <r>
    <x v="3109"/>
    <x v="28"/>
    <x v="0"/>
    <x v="0"/>
    <s v="MG Advanced"/>
    <s v="Hottechi"/>
    <x v="0"/>
    <d v="2017-05-12T00:00:00"/>
    <x v="63"/>
    <n v="3831"/>
  </r>
  <r>
    <x v="3110"/>
    <x v="27"/>
    <x v="5"/>
    <x v="2"/>
    <s v="MG Advanced"/>
    <s v="Sumace"/>
    <x v="2"/>
    <d v="2017-05-12T00:00:00"/>
    <x v="162"/>
    <n v="0"/>
  </r>
  <r>
    <x v="3111"/>
    <x v="8"/>
    <x v="1"/>
    <x v="0"/>
    <s v="MG Special"/>
    <s v="Rangreen"/>
    <x v="0"/>
    <d v="2017-05-12T00:00:00"/>
    <x v="128"/>
    <n v="52"/>
  </r>
  <r>
    <x v="3112"/>
    <x v="7"/>
    <x v="2"/>
    <x v="1"/>
    <s v="GTXPro"/>
    <s v="Golddex"/>
    <x v="2"/>
    <d v="2017-05-12T00:00:00"/>
    <x v="137"/>
    <n v="0"/>
  </r>
  <r>
    <x v="3113"/>
    <x v="29"/>
    <x v="1"/>
    <x v="0"/>
    <s v="MG Advanced"/>
    <s v="dambase"/>
    <x v="2"/>
    <d v="2017-05-12T00:00:00"/>
    <x v="45"/>
    <n v="0"/>
  </r>
  <r>
    <x v="3114"/>
    <x v="16"/>
    <x v="2"/>
    <x v="1"/>
    <s v="GTXPro"/>
    <s v="Lexiqvolax"/>
    <x v="2"/>
    <d v="2017-05-12T00:00:00"/>
    <x v="45"/>
    <n v="0"/>
  </r>
  <r>
    <x v="3115"/>
    <x v="18"/>
    <x v="2"/>
    <x v="1"/>
    <s v="GTXPro"/>
    <s v="Konex"/>
    <x v="2"/>
    <d v="2017-05-12T00:00:00"/>
    <x v="126"/>
    <n v="0"/>
  </r>
  <r>
    <x v="3116"/>
    <x v="18"/>
    <x v="2"/>
    <x v="1"/>
    <s v="GTX Plus Pro"/>
    <s v="Scotfind"/>
    <x v="0"/>
    <d v="2017-05-12T00:00:00"/>
    <x v="81"/>
    <n v="5698"/>
  </r>
  <r>
    <x v="3117"/>
    <x v="24"/>
    <x v="0"/>
    <x v="0"/>
    <s v="GTX Basic"/>
    <s v="Ron-tech"/>
    <x v="0"/>
    <d v="2017-05-12T00:00:00"/>
    <x v="57"/>
    <n v="595"/>
  </r>
  <r>
    <x v="3118"/>
    <x v="22"/>
    <x v="1"/>
    <x v="0"/>
    <s v="GTX Plus Pro"/>
    <s v="Codehow"/>
    <x v="2"/>
    <d v="2017-05-12T00:00:00"/>
    <x v="116"/>
    <n v="0"/>
  </r>
  <r>
    <x v="3119"/>
    <x v="9"/>
    <x v="2"/>
    <x v="1"/>
    <s v="GTX Plus Basic"/>
    <s v="Newex"/>
    <x v="0"/>
    <d v="2017-05-12T00:00:00"/>
    <x v="147"/>
    <n v="1144"/>
  </r>
  <r>
    <x v="3120"/>
    <x v="0"/>
    <x v="0"/>
    <x v="0"/>
    <s v="MG Special"/>
    <s v="Finhigh"/>
    <x v="0"/>
    <d v="2017-05-12T00:00:00"/>
    <x v="152"/>
    <n v="61"/>
  </r>
  <r>
    <x v="3121"/>
    <x v="19"/>
    <x v="4"/>
    <x v="2"/>
    <s v="GTXPro"/>
    <s v="Acme Corporation"/>
    <x v="2"/>
    <d v="2017-05-12T00:00:00"/>
    <x v="61"/>
    <n v="0"/>
  </r>
  <r>
    <x v="3122"/>
    <x v="19"/>
    <x v="4"/>
    <x v="2"/>
    <s v="MG Advanced"/>
    <s v="Konex"/>
    <x v="2"/>
    <d v="2017-05-12T00:00:00"/>
    <x v="140"/>
    <n v="0"/>
  </r>
  <r>
    <x v="3123"/>
    <x v="19"/>
    <x v="4"/>
    <x v="2"/>
    <s v="MG Advanced"/>
    <s v="Plussunin"/>
    <x v="0"/>
    <d v="2017-05-12T00:00:00"/>
    <x v="41"/>
    <n v="3510"/>
  </r>
  <r>
    <x v="3124"/>
    <x v="17"/>
    <x v="5"/>
    <x v="2"/>
    <s v="GTX Basic"/>
    <s v="Konex"/>
    <x v="0"/>
    <d v="2017-05-12T00:00:00"/>
    <x v="107"/>
    <n v="513"/>
  </r>
  <r>
    <x v="3125"/>
    <x v="12"/>
    <x v="0"/>
    <x v="0"/>
    <s v="MG Advanced"/>
    <s v="Toughzap"/>
    <x v="2"/>
    <d v="2017-05-12T00:00:00"/>
    <x v="124"/>
    <n v="0"/>
  </r>
  <r>
    <x v="3126"/>
    <x v="12"/>
    <x v="0"/>
    <x v="0"/>
    <s v="GTX Plus Basic"/>
    <s v="Inity"/>
    <x v="0"/>
    <d v="2017-05-12T00:00:00"/>
    <x v="138"/>
    <n v="1083"/>
  </r>
  <r>
    <x v="3127"/>
    <x v="4"/>
    <x v="3"/>
    <x v="1"/>
    <s v="GTX Basic"/>
    <s v="Scotfind"/>
    <x v="2"/>
    <d v="2017-05-12T00:00:00"/>
    <x v="60"/>
    <n v="0"/>
  </r>
  <r>
    <x v="3128"/>
    <x v="4"/>
    <x v="3"/>
    <x v="1"/>
    <s v="GTX Plus Pro"/>
    <s v="Condax"/>
    <x v="0"/>
    <d v="2017-05-12T00:00:00"/>
    <x v="147"/>
    <n v="5987"/>
  </r>
  <r>
    <x v="3129"/>
    <x v="3"/>
    <x v="0"/>
    <x v="0"/>
    <s v="GTX Plus Basic"/>
    <s v="dambase"/>
    <x v="0"/>
    <d v="2017-05-13T00:00:00"/>
    <x v="88"/>
    <n v="1041"/>
  </r>
  <r>
    <x v="3130"/>
    <x v="3"/>
    <x v="0"/>
    <x v="0"/>
    <s v="MG Special"/>
    <s v="Funholding"/>
    <x v="0"/>
    <d v="2017-05-13T00:00:00"/>
    <x v="107"/>
    <n v="54"/>
  </r>
  <r>
    <x v="3131"/>
    <x v="25"/>
    <x v="4"/>
    <x v="2"/>
    <s v="MG Advanced"/>
    <s v="Massive Dynamic"/>
    <x v="0"/>
    <d v="2017-05-13T00:00:00"/>
    <x v="62"/>
    <n v="2677"/>
  </r>
  <r>
    <x v="3132"/>
    <x v="28"/>
    <x v="0"/>
    <x v="0"/>
    <s v="MG Advanced"/>
    <s v="Rundofase"/>
    <x v="0"/>
    <d v="2017-05-13T00:00:00"/>
    <x v="63"/>
    <n v="3558"/>
  </r>
  <r>
    <x v="3133"/>
    <x v="27"/>
    <x v="5"/>
    <x v="2"/>
    <s v="MG Advanced"/>
    <m/>
    <x v="1"/>
    <d v="2017-05-13T00:00:00"/>
    <x v="6"/>
    <m/>
  </r>
  <r>
    <x v="3134"/>
    <x v="27"/>
    <x v="5"/>
    <x v="2"/>
    <s v="GTX Basic"/>
    <s v="Sumace"/>
    <x v="2"/>
    <d v="2017-05-13T00:00:00"/>
    <x v="143"/>
    <n v="0"/>
  </r>
  <r>
    <x v="3135"/>
    <x v="27"/>
    <x v="5"/>
    <x v="2"/>
    <s v="GTX Plus Basic"/>
    <s v="Plussunin"/>
    <x v="0"/>
    <d v="2017-05-13T00:00:00"/>
    <x v="136"/>
    <n v="866"/>
  </r>
  <r>
    <x v="3136"/>
    <x v="1"/>
    <x v="1"/>
    <x v="0"/>
    <s v="GTX Plus Basic"/>
    <s v="Condax"/>
    <x v="0"/>
    <d v="2017-05-13T00:00:00"/>
    <x v="162"/>
    <n v="987"/>
  </r>
  <r>
    <x v="3137"/>
    <x v="1"/>
    <x v="1"/>
    <x v="0"/>
    <s v="MG Advanced"/>
    <s v="Dontechi"/>
    <x v="0"/>
    <d v="2017-05-13T00:00:00"/>
    <x v="141"/>
    <n v="3290"/>
  </r>
  <r>
    <x v="3138"/>
    <x v="26"/>
    <x v="4"/>
    <x v="2"/>
    <s v="GTX Plus Pro"/>
    <s v="Xx-zobam"/>
    <x v="2"/>
    <d v="2017-05-13T00:00:00"/>
    <x v="128"/>
    <n v="0"/>
  </r>
  <r>
    <x v="3139"/>
    <x v="26"/>
    <x v="4"/>
    <x v="2"/>
    <s v="MG Advanced"/>
    <s v="Donquadtech"/>
    <x v="2"/>
    <d v="2017-05-13T00:00:00"/>
    <x v="65"/>
    <n v="0"/>
  </r>
  <r>
    <x v="3140"/>
    <x v="26"/>
    <x v="4"/>
    <x v="2"/>
    <s v="MG Advanced"/>
    <s v="Mathtouch"/>
    <x v="2"/>
    <d v="2017-05-13T00:00:00"/>
    <x v="37"/>
    <n v="0"/>
  </r>
  <r>
    <x v="3141"/>
    <x v="14"/>
    <x v="3"/>
    <x v="1"/>
    <s v="MG Special"/>
    <s v="Faxquote"/>
    <x v="0"/>
    <d v="2017-05-13T00:00:00"/>
    <x v="160"/>
    <n v="54"/>
  </r>
  <r>
    <x v="3142"/>
    <x v="10"/>
    <x v="3"/>
    <x v="1"/>
    <s v="MG Advanced"/>
    <s v="Faxquote"/>
    <x v="1"/>
    <d v="2017-05-13T00:00:00"/>
    <x v="6"/>
    <m/>
  </r>
  <r>
    <x v="3143"/>
    <x v="10"/>
    <x v="3"/>
    <x v="1"/>
    <s v="GTX Plus Pro"/>
    <s v="Singletechno"/>
    <x v="0"/>
    <d v="2017-05-13T00:00:00"/>
    <x v="37"/>
    <n v="4627"/>
  </r>
  <r>
    <x v="3144"/>
    <x v="7"/>
    <x v="2"/>
    <x v="1"/>
    <s v="GTX Basic"/>
    <s v="Green-Plus"/>
    <x v="2"/>
    <d v="2017-05-13T00:00:00"/>
    <x v="161"/>
    <n v="0"/>
  </r>
  <r>
    <x v="3145"/>
    <x v="29"/>
    <x v="1"/>
    <x v="0"/>
    <s v="GTXPro"/>
    <s v="Codehow"/>
    <x v="0"/>
    <d v="2017-05-13T00:00:00"/>
    <x v="144"/>
    <n v="5625"/>
  </r>
  <r>
    <x v="3146"/>
    <x v="24"/>
    <x v="0"/>
    <x v="0"/>
    <s v="GTX Basic"/>
    <s v="Genco Pura Olive Oil Company"/>
    <x v="2"/>
    <d v="2017-05-13T00:00:00"/>
    <x v="41"/>
    <n v="0"/>
  </r>
  <r>
    <x v="3147"/>
    <x v="5"/>
    <x v="3"/>
    <x v="1"/>
    <s v="MG Special"/>
    <s v="Singletechno"/>
    <x v="0"/>
    <d v="2017-05-13T00:00:00"/>
    <x v="147"/>
    <n v="57"/>
  </r>
  <r>
    <x v="3148"/>
    <x v="6"/>
    <x v="1"/>
    <x v="0"/>
    <s v="GTX Plus Basic"/>
    <s v="Dontechi"/>
    <x v="2"/>
    <d v="2017-05-13T00:00:00"/>
    <x v="162"/>
    <n v="0"/>
  </r>
  <r>
    <x v="3149"/>
    <x v="11"/>
    <x v="3"/>
    <x v="1"/>
    <s v="GTX Plus Basic"/>
    <s v="Singletechno"/>
    <x v="0"/>
    <d v="2017-05-13T00:00:00"/>
    <x v="137"/>
    <n v="1032"/>
  </r>
  <r>
    <x v="3150"/>
    <x v="17"/>
    <x v="5"/>
    <x v="2"/>
    <s v="GTX Basic"/>
    <s v="Opentech"/>
    <x v="0"/>
    <d v="2017-05-13T00:00:00"/>
    <x v="37"/>
    <n v="567"/>
  </r>
  <r>
    <x v="3151"/>
    <x v="12"/>
    <x v="0"/>
    <x v="0"/>
    <s v="MG Special"/>
    <s v="Dontechi"/>
    <x v="0"/>
    <d v="2017-05-13T00:00:00"/>
    <x v="65"/>
    <n v="58"/>
  </r>
  <r>
    <x v="3152"/>
    <x v="3"/>
    <x v="0"/>
    <x v="0"/>
    <s v="GTX Plus Pro"/>
    <s v="Gogozoom"/>
    <x v="2"/>
    <d v="2017-05-14T00:00:00"/>
    <x v="149"/>
    <n v="0"/>
  </r>
  <r>
    <x v="3153"/>
    <x v="3"/>
    <x v="0"/>
    <x v="0"/>
    <s v="MG Special"/>
    <s v="Rundofase"/>
    <x v="0"/>
    <d v="2017-05-14T00:00:00"/>
    <x v="57"/>
    <n v="50"/>
  </r>
  <r>
    <x v="3154"/>
    <x v="25"/>
    <x v="4"/>
    <x v="2"/>
    <s v="MG Advanced"/>
    <s v="Toughzap"/>
    <x v="1"/>
    <d v="2017-05-14T00:00:00"/>
    <x v="6"/>
    <m/>
  </r>
  <r>
    <x v="3155"/>
    <x v="23"/>
    <x v="4"/>
    <x v="2"/>
    <s v="GTX Plus Basic"/>
    <m/>
    <x v="1"/>
    <d v="2017-05-14T00:00:00"/>
    <x v="6"/>
    <m/>
  </r>
  <r>
    <x v="3156"/>
    <x v="23"/>
    <x v="4"/>
    <x v="2"/>
    <s v="GTX Basic"/>
    <s v="Mathtouch"/>
    <x v="2"/>
    <d v="2017-05-14T00:00:00"/>
    <x v="110"/>
    <n v="0"/>
  </r>
  <r>
    <x v="3157"/>
    <x v="13"/>
    <x v="4"/>
    <x v="2"/>
    <s v="GTX Basic"/>
    <s v="Bubba Gump"/>
    <x v="2"/>
    <d v="2017-05-14T00:00:00"/>
    <x v="62"/>
    <n v="0"/>
  </r>
  <r>
    <x v="3158"/>
    <x v="1"/>
    <x v="1"/>
    <x v="0"/>
    <s v="MG Special"/>
    <s v="Gogozoom"/>
    <x v="0"/>
    <d v="2017-05-14T00:00:00"/>
    <x v="90"/>
    <n v="59"/>
  </r>
  <r>
    <x v="3159"/>
    <x v="26"/>
    <x v="4"/>
    <x v="2"/>
    <s v="GTX Plus Pro"/>
    <s v="Umbrella Corporation"/>
    <x v="2"/>
    <d v="2017-05-14T00:00:00"/>
    <x v="124"/>
    <n v="0"/>
  </r>
  <r>
    <x v="3160"/>
    <x v="26"/>
    <x v="4"/>
    <x v="2"/>
    <s v="GTX Basic"/>
    <s v="Bluth Company"/>
    <x v="0"/>
    <d v="2017-05-14T00:00:00"/>
    <x v="112"/>
    <n v="525"/>
  </r>
  <r>
    <x v="3161"/>
    <x v="7"/>
    <x v="2"/>
    <x v="1"/>
    <s v="GTX Plus Pro"/>
    <s v="Kinnamplus"/>
    <x v="1"/>
    <d v="2017-05-14T00:00:00"/>
    <x v="6"/>
    <m/>
  </r>
  <r>
    <x v="3162"/>
    <x v="7"/>
    <x v="2"/>
    <x v="1"/>
    <s v="GTX Plus Pro"/>
    <s v="Singletechno"/>
    <x v="0"/>
    <d v="2017-05-14T00:00:00"/>
    <x v="110"/>
    <n v="5525"/>
  </r>
  <r>
    <x v="3163"/>
    <x v="9"/>
    <x v="2"/>
    <x v="1"/>
    <s v="GTX Basic"/>
    <m/>
    <x v="1"/>
    <d v="2017-05-14T00:00:00"/>
    <x v="6"/>
    <m/>
  </r>
  <r>
    <x v="3164"/>
    <x v="9"/>
    <x v="2"/>
    <x v="1"/>
    <s v="GTX Plus Basic"/>
    <s v="Opentech"/>
    <x v="1"/>
    <d v="2017-05-14T00:00:00"/>
    <x v="6"/>
    <m/>
  </r>
  <r>
    <x v="3165"/>
    <x v="9"/>
    <x v="2"/>
    <x v="1"/>
    <s v="GTX Basic"/>
    <s v="Zoomit"/>
    <x v="0"/>
    <d v="2017-05-14T00:00:00"/>
    <x v="53"/>
    <n v="628"/>
  </r>
  <r>
    <x v="3166"/>
    <x v="9"/>
    <x v="2"/>
    <x v="1"/>
    <s v="GTX Plus Basic"/>
    <s v="Hottechi"/>
    <x v="0"/>
    <d v="2017-05-14T00:00:00"/>
    <x v="57"/>
    <n v="902"/>
  </r>
  <r>
    <x v="3167"/>
    <x v="6"/>
    <x v="1"/>
    <x v="0"/>
    <s v="GTX Plus Basic"/>
    <s v="Stanredtax"/>
    <x v="0"/>
    <d v="2017-05-14T00:00:00"/>
    <x v="52"/>
    <n v="1064"/>
  </r>
  <r>
    <x v="3168"/>
    <x v="19"/>
    <x v="4"/>
    <x v="2"/>
    <s v="GTX Plus Pro"/>
    <s v="Zotware"/>
    <x v="0"/>
    <d v="2017-05-14T00:00:00"/>
    <x v="136"/>
    <n v="6346"/>
  </r>
  <r>
    <x v="3169"/>
    <x v="19"/>
    <x v="4"/>
    <x v="2"/>
    <s v="MG Advanced"/>
    <s v="Xx-zobam"/>
    <x v="0"/>
    <d v="2017-05-14T00:00:00"/>
    <x v="61"/>
    <n v="3089"/>
  </r>
  <r>
    <x v="3170"/>
    <x v="11"/>
    <x v="3"/>
    <x v="1"/>
    <s v="MG Advanced"/>
    <s v="Sonron"/>
    <x v="0"/>
    <d v="2017-05-14T00:00:00"/>
    <x v="40"/>
    <n v="3484"/>
  </r>
  <r>
    <x v="3171"/>
    <x v="12"/>
    <x v="0"/>
    <x v="0"/>
    <s v="MG Special"/>
    <s v="Isdom"/>
    <x v="2"/>
    <d v="2017-05-14T00:00:00"/>
    <x v="162"/>
    <n v="0"/>
  </r>
  <r>
    <x v="3172"/>
    <x v="12"/>
    <x v="0"/>
    <x v="0"/>
    <s v="MG Special"/>
    <s v="Rundofase"/>
    <x v="2"/>
    <d v="2017-05-14T00:00:00"/>
    <x v="112"/>
    <n v="0"/>
  </r>
  <r>
    <x v="3173"/>
    <x v="12"/>
    <x v="0"/>
    <x v="0"/>
    <s v="MG Special"/>
    <s v="Betatech"/>
    <x v="0"/>
    <d v="2017-05-14T00:00:00"/>
    <x v="67"/>
    <n v="68"/>
  </r>
  <r>
    <x v="3174"/>
    <x v="4"/>
    <x v="3"/>
    <x v="1"/>
    <s v="GTX Basic"/>
    <m/>
    <x v="1"/>
    <d v="2017-05-14T00:00:00"/>
    <x v="6"/>
    <m/>
  </r>
  <r>
    <x v="3175"/>
    <x v="4"/>
    <x v="3"/>
    <x v="1"/>
    <s v="GTX Basic"/>
    <s v="Fasehatice"/>
    <x v="0"/>
    <d v="2017-05-14T00:00:00"/>
    <x v="122"/>
    <n v="575"/>
  </r>
  <r>
    <x v="3176"/>
    <x v="15"/>
    <x v="5"/>
    <x v="2"/>
    <s v="MG Advanced"/>
    <s v="Xx-zobam"/>
    <x v="0"/>
    <d v="2017-05-14T00:00:00"/>
    <x v="37"/>
    <n v="3720"/>
  </r>
  <r>
    <x v="3177"/>
    <x v="20"/>
    <x v="5"/>
    <x v="2"/>
    <s v="GTXPro"/>
    <m/>
    <x v="1"/>
    <d v="2017-05-14T00:00:00"/>
    <x v="6"/>
    <m/>
  </r>
  <r>
    <x v="3178"/>
    <x v="2"/>
    <x v="2"/>
    <x v="1"/>
    <s v="GTX Plus Pro"/>
    <s v="Hottechi"/>
    <x v="2"/>
    <d v="2017-05-14T00:00:00"/>
    <x v="63"/>
    <n v="0"/>
  </r>
  <r>
    <x v="3179"/>
    <x v="23"/>
    <x v="4"/>
    <x v="2"/>
    <s v="MG Advanced"/>
    <s v="Condax"/>
    <x v="1"/>
    <d v="2017-05-15T00:00:00"/>
    <x v="6"/>
    <m/>
  </r>
  <r>
    <x v="3180"/>
    <x v="23"/>
    <x v="4"/>
    <x v="2"/>
    <s v="GTX Plus Basic"/>
    <s v="Bluth Company"/>
    <x v="0"/>
    <d v="2017-05-15T00:00:00"/>
    <x v="87"/>
    <n v="1078"/>
  </r>
  <r>
    <x v="3181"/>
    <x v="23"/>
    <x v="4"/>
    <x v="2"/>
    <s v="GTXPro"/>
    <s v="Sumace"/>
    <x v="0"/>
    <d v="2017-05-15T00:00:00"/>
    <x v="55"/>
    <n v="3717"/>
  </r>
  <r>
    <x v="3182"/>
    <x v="28"/>
    <x v="0"/>
    <x v="0"/>
    <s v="GTX Plus Basic"/>
    <s v="Hottechi"/>
    <x v="0"/>
    <d v="2017-05-15T00:00:00"/>
    <x v="77"/>
    <n v="1129"/>
  </r>
  <r>
    <x v="3183"/>
    <x v="13"/>
    <x v="4"/>
    <x v="2"/>
    <s v="GTX Plus Pro"/>
    <s v="Labdrill"/>
    <x v="1"/>
    <d v="2017-05-15T00:00:00"/>
    <x v="6"/>
    <m/>
  </r>
  <r>
    <x v="3184"/>
    <x v="13"/>
    <x v="4"/>
    <x v="2"/>
    <s v="GTX Basic"/>
    <s v="Umbrella Corporation"/>
    <x v="0"/>
    <d v="2017-05-15T00:00:00"/>
    <x v="152"/>
    <n v="536"/>
  </r>
  <r>
    <x v="3185"/>
    <x v="13"/>
    <x v="4"/>
    <x v="2"/>
    <s v="GTXPro"/>
    <s v="Acme Corporation"/>
    <x v="0"/>
    <d v="2017-05-15T00:00:00"/>
    <x v="79"/>
    <n v="5857"/>
  </r>
  <r>
    <x v="3186"/>
    <x v="14"/>
    <x v="3"/>
    <x v="1"/>
    <s v="MG Special"/>
    <m/>
    <x v="1"/>
    <d v="2017-05-15T00:00:00"/>
    <x v="6"/>
    <m/>
  </r>
  <r>
    <x v="3187"/>
    <x v="10"/>
    <x v="3"/>
    <x v="1"/>
    <s v="MG Special"/>
    <s v="Blackzim"/>
    <x v="2"/>
    <d v="2017-05-15T00:00:00"/>
    <x v="166"/>
    <n v="0"/>
  </r>
  <r>
    <x v="3188"/>
    <x v="18"/>
    <x v="2"/>
    <x v="1"/>
    <s v="GTX Basic"/>
    <m/>
    <x v="1"/>
    <d v="2017-05-15T00:00:00"/>
    <x v="6"/>
    <m/>
  </r>
  <r>
    <x v="3189"/>
    <x v="18"/>
    <x v="2"/>
    <x v="1"/>
    <s v="GTX Basic"/>
    <s v="Y-corporation"/>
    <x v="0"/>
    <d v="2017-05-15T00:00:00"/>
    <x v="49"/>
    <n v="549"/>
  </r>
  <r>
    <x v="3190"/>
    <x v="24"/>
    <x v="0"/>
    <x v="0"/>
    <s v="MG Special"/>
    <s v="Streethex"/>
    <x v="0"/>
    <d v="2017-05-15T00:00:00"/>
    <x v="167"/>
    <n v="61"/>
  </r>
  <r>
    <x v="3191"/>
    <x v="5"/>
    <x v="3"/>
    <x v="1"/>
    <s v="GTX Plus Pro"/>
    <s v="Scotfind"/>
    <x v="2"/>
    <d v="2017-05-15T00:00:00"/>
    <x v="109"/>
    <n v="0"/>
  </r>
  <r>
    <x v="3192"/>
    <x v="22"/>
    <x v="1"/>
    <x v="0"/>
    <s v="MG Special"/>
    <s v="Toughzap"/>
    <x v="2"/>
    <d v="2017-05-15T00:00:00"/>
    <x v="133"/>
    <n v="0"/>
  </r>
  <r>
    <x v="3193"/>
    <x v="22"/>
    <x v="1"/>
    <x v="0"/>
    <s v="MG Advanced"/>
    <s v="Cancity"/>
    <x v="2"/>
    <d v="2017-05-15T00:00:00"/>
    <x v="134"/>
    <n v="0"/>
  </r>
  <r>
    <x v="3194"/>
    <x v="9"/>
    <x v="2"/>
    <x v="1"/>
    <s v="GTX Basic"/>
    <s v="Fasehatice"/>
    <x v="2"/>
    <d v="2017-05-15T00:00:00"/>
    <x v="140"/>
    <n v="0"/>
  </r>
  <r>
    <x v="3195"/>
    <x v="9"/>
    <x v="2"/>
    <x v="1"/>
    <s v="GTX Plus Basic"/>
    <s v="Blackzim"/>
    <x v="0"/>
    <d v="2017-05-15T00:00:00"/>
    <x v="154"/>
    <n v="1101"/>
  </r>
  <r>
    <x v="3196"/>
    <x v="6"/>
    <x v="1"/>
    <x v="0"/>
    <s v="GTX Basic"/>
    <s v="Inity"/>
    <x v="2"/>
    <d v="2017-05-15T00:00:00"/>
    <x v="138"/>
    <n v="0"/>
  </r>
  <r>
    <x v="3197"/>
    <x v="6"/>
    <x v="1"/>
    <x v="0"/>
    <s v="GTX Basic"/>
    <s v="Dontechi"/>
    <x v="0"/>
    <d v="2017-05-15T00:00:00"/>
    <x v="87"/>
    <n v="603"/>
  </r>
  <r>
    <x v="3198"/>
    <x v="6"/>
    <x v="1"/>
    <x v="0"/>
    <s v="GTX Basic"/>
    <s v="Inity"/>
    <x v="0"/>
    <d v="2017-05-15T00:00:00"/>
    <x v="157"/>
    <n v="545"/>
  </r>
  <r>
    <x v="3199"/>
    <x v="19"/>
    <x v="4"/>
    <x v="2"/>
    <s v="MG Advanced"/>
    <s v="Vehement Capital Partners"/>
    <x v="2"/>
    <d v="2017-05-15T00:00:00"/>
    <x v="77"/>
    <n v="0"/>
  </r>
  <r>
    <x v="3200"/>
    <x v="11"/>
    <x v="3"/>
    <x v="1"/>
    <s v="MG Advanced"/>
    <m/>
    <x v="1"/>
    <d v="2017-05-15T00:00:00"/>
    <x v="6"/>
    <m/>
  </r>
  <r>
    <x v="3201"/>
    <x v="17"/>
    <x v="5"/>
    <x v="2"/>
    <s v="GTX Plus Pro"/>
    <s v="Yearin"/>
    <x v="2"/>
    <d v="2017-05-15T00:00:00"/>
    <x v="60"/>
    <n v="0"/>
  </r>
  <r>
    <x v="3202"/>
    <x v="4"/>
    <x v="3"/>
    <x v="1"/>
    <s v="GTX Plus Basic"/>
    <s v="Fasehatice"/>
    <x v="0"/>
    <d v="2017-05-15T00:00:00"/>
    <x v="149"/>
    <n v="959"/>
  </r>
  <r>
    <x v="3203"/>
    <x v="4"/>
    <x v="3"/>
    <x v="1"/>
    <s v="GTX Plus Basic"/>
    <s v="Konex"/>
    <x v="0"/>
    <d v="2017-05-15T00:00:00"/>
    <x v="71"/>
    <n v="1208"/>
  </r>
  <r>
    <x v="3204"/>
    <x v="4"/>
    <x v="3"/>
    <x v="1"/>
    <s v="GTXPro"/>
    <s v="Goodsilron"/>
    <x v="0"/>
    <d v="2017-05-15T00:00:00"/>
    <x v="148"/>
    <n v="4246"/>
  </r>
  <r>
    <x v="3205"/>
    <x v="15"/>
    <x v="5"/>
    <x v="2"/>
    <s v="MG Advanced"/>
    <s v="Zotware"/>
    <x v="0"/>
    <d v="2017-05-15T00:00:00"/>
    <x v="168"/>
    <n v="3061"/>
  </r>
  <r>
    <x v="3206"/>
    <x v="2"/>
    <x v="2"/>
    <x v="1"/>
    <s v="GTXPro"/>
    <s v="Rantouch"/>
    <x v="2"/>
    <d v="2017-05-15T00:00:00"/>
    <x v="92"/>
    <n v="0"/>
  </r>
  <r>
    <x v="3207"/>
    <x v="23"/>
    <x v="4"/>
    <x v="2"/>
    <s v="GTXPro"/>
    <s v="Condax"/>
    <x v="2"/>
    <d v="2017-05-16T00:00:00"/>
    <x v="140"/>
    <n v="0"/>
  </r>
  <r>
    <x v="3208"/>
    <x v="27"/>
    <x v="5"/>
    <x v="2"/>
    <s v="MG Advanced"/>
    <m/>
    <x v="1"/>
    <d v="2017-05-16T00:00:00"/>
    <x v="6"/>
    <m/>
  </r>
  <r>
    <x v="3209"/>
    <x v="26"/>
    <x v="4"/>
    <x v="2"/>
    <s v="MG Advanced"/>
    <s v="Massive Dynamic"/>
    <x v="0"/>
    <d v="2017-05-16T00:00:00"/>
    <x v="140"/>
    <n v="3351"/>
  </r>
  <r>
    <x v="3210"/>
    <x v="14"/>
    <x v="3"/>
    <x v="1"/>
    <s v="GTX Basic"/>
    <m/>
    <x v="1"/>
    <d v="2017-05-16T00:00:00"/>
    <x v="6"/>
    <m/>
  </r>
  <r>
    <x v="3211"/>
    <x v="10"/>
    <x v="3"/>
    <x v="1"/>
    <s v="MG Advanced"/>
    <s v="Hottechi"/>
    <x v="0"/>
    <d v="2017-05-16T00:00:00"/>
    <x v="77"/>
    <n v="3153"/>
  </r>
  <r>
    <x v="3212"/>
    <x v="7"/>
    <x v="2"/>
    <x v="1"/>
    <s v="GTX Plus Basic"/>
    <s v="Konex"/>
    <x v="2"/>
    <d v="2017-05-16T00:00:00"/>
    <x v="45"/>
    <n v="0"/>
  </r>
  <r>
    <x v="3213"/>
    <x v="7"/>
    <x v="2"/>
    <x v="1"/>
    <s v="GTX Plus Pro"/>
    <s v="J-Texon"/>
    <x v="2"/>
    <d v="2017-05-16T00:00:00"/>
    <x v="63"/>
    <n v="0"/>
  </r>
  <r>
    <x v="3214"/>
    <x v="16"/>
    <x v="2"/>
    <x v="1"/>
    <s v="GTX Basic"/>
    <s v="Hottechi"/>
    <x v="2"/>
    <d v="2017-05-16T00:00:00"/>
    <x v="161"/>
    <n v="0"/>
  </r>
  <r>
    <x v="3215"/>
    <x v="16"/>
    <x v="2"/>
    <x v="1"/>
    <s v="GTX Basic"/>
    <s v="Hottechi"/>
    <x v="0"/>
    <d v="2017-05-16T00:00:00"/>
    <x v="47"/>
    <n v="533"/>
  </r>
  <r>
    <x v="3216"/>
    <x v="24"/>
    <x v="0"/>
    <x v="0"/>
    <s v="GTX Basic"/>
    <s v="Bioholding"/>
    <x v="2"/>
    <d v="2017-05-16T00:00:00"/>
    <x v="162"/>
    <n v="0"/>
  </r>
  <r>
    <x v="3217"/>
    <x v="24"/>
    <x v="0"/>
    <x v="0"/>
    <s v="MG Special"/>
    <s v="Genco Pura Olive Oil Company"/>
    <x v="0"/>
    <d v="2017-05-16T00:00:00"/>
    <x v="62"/>
    <n v="56"/>
  </r>
  <r>
    <x v="3218"/>
    <x v="22"/>
    <x v="1"/>
    <x v="0"/>
    <s v="GTX Plus Basic"/>
    <s v="Statholdings"/>
    <x v="2"/>
    <d v="2017-05-16T00:00:00"/>
    <x v="61"/>
    <n v="0"/>
  </r>
  <r>
    <x v="3219"/>
    <x v="9"/>
    <x v="2"/>
    <x v="1"/>
    <s v="GTX Basic"/>
    <s v="Finjob"/>
    <x v="0"/>
    <d v="2017-05-16T00:00:00"/>
    <x v="107"/>
    <n v="522"/>
  </r>
  <r>
    <x v="3220"/>
    <x v="11"/>
    <x v="3"/>
    <x v="1"/>
    <s v="GTX Plus Basic"/>
    <m/>
    <x v="1"/>
    <d v="2017-05-16T00:00:00"/>
    <x v="6"/>
    <m/>
  </r>
  <r>
    <x v="3221"/>
    <x v="11"/>
    <x v="3"/>
    <x v="1"/>
    <s v="MG Special"/>
    <s v="Goodsilron"/>
    <x v="0"/>
    <d v="2017-05-16T00:00:00"/>
    <x v="136"/>
    <n v="54"/>
  </r>
  <r>
    <x v="3222"/>
    <x v="17"/>
    <x v="5"/>
    <x v="2"/>
    <s v="GTX Basic"/>
    <m/>
    <x v="1"/>
    <d v="2017-05-16T00:00:00"/>
    <x v="6"/>
    <m/>
  </r>
  <r>
    <x v="3223"/>
    <x v="4"/>
    <x v="3"/>
    <x v="1"/>
    <s v="MG Advanced"/>
    <s v="Hatfan"/>
    <x v="2"/>
    <d v="2017-05-16T00:00:00"/>
    <x v="63"/>
    <n v="0"/>
  </r>
  <r>
    <x v="3224"/>
    <x v="4"/>
    <x v="3"/>
    <x v="1"/>
    <s v="GTXPro"/>
    <s v="Rantouch"/>
    <x v="0"/>
    <d v="2017-05-16T00:00:00"/>
    <x v="167"/>
    <n v="5154"/>
  </r>
  <r>
    <x v="3225"/>
    <x v="15"/>
    <x v="5"/>
    <x v="2"/>
    <s v="MG Special"/>
    <s v="Acme Corporation"/>
    <x v="2"/>
    <d v="2017-05-16T00:00:00"/>
    <x v="122"/>
    <n v="0"/>
  </r>
  <r>
    <x v="3226"/>
    <x v="20"/>
    <x v="5"/>
    <x v="2"/>
    <s v="MG Advanced"/>
    <s v="Gekko &amp; Co"/>
    <x v="0"/>
    <d v="2017-05-16T00:00:00"/>
    <x v="169"/>
    <n v="3483"/>
  </r>
  <r>
    <x v="3227"/>
    <x v="23"/>
    <x v="4"/>
    <x v="2"/>
    <s v="GTX Plus Basic"/>
    <m/>
    <x v="1"/>
    <d v="2017-05-17T00:00:00"/>
    <x v="6"/>
    <m/>
  </r>
  <r>
    <x v="3228"/>
    <x v="23"/>
    <x v="4"/>
    <x v="2"/>
    <s v="MG Special"/>
    <s v="Bubba Gump"/>
    <x v="2"/>
    <d v="2017-05-17T00:00:00"/>
    <x v="49"/>
    <n v="0"/>
  </r>
  <r>
    <x v="3229"/>
    <x v="1"/>
    <x v="1"/>
    <x v="0"/>
    <s v="GTX Plus Basic"/>
    <s v="Finhigh"/>
    <x v="0"/>
    <d v="2017-05-17T00:00:00"/>
    <x v="138"/>
    <n v="1110"/>
  </r>
  <r>
    <x v="3230"/>
    <x v="26"/>
    <x v="4"/>
    <x v="2"/>
    <s v="GTX Basic"/>
    <s v="Umbrella Corporation"/>
    <x v="0"/>
    <d v="2017-05-17T00:00:00"/>
    <x v="63"/>
    <n v="441"/>
  </r>
  <r>
    <x v="3231"/>
    <x v="14"/>
    <x v="3"/>
    <x v="1"/>
    <s v="GTX Plus Pro"/>
    <m/>
    <x v="1"/>
    <d v="2017-05-17T00:00:00"/>
    <x v="6"/>
    <m/>
  </r>
  <r>
    <x v="3232"/>
    <x v="14"/>
    <x v="3"/>
    <x v="1"/>
    <s v="GTX Basic"/>
    <s v="Hottechi"/>
    <x v="0"/>
    <d v="2017-05-17T00:00:00"/>
    <x v="143"/>
    <n v="553"/>
  </r>
  <r>
    <x v="3233"/>
    <x v="10"/>
    <x v="3"/>
    <x v="1"/>
    <s v="MG Advanced"/>
    <s v="Scotfind"/>
    <x v="0"/>
    <d v="2017-05-17T00:00:00"/>
    <x v="43"/>
    <n v="3624"/>
  </r>
  <r>
    <x v="3234"/>
    <x v="29"/>
    <x v="1"/>
    <x v="0"/>
    <s v="GTX Basic"/>
    <s v="Genco Pura Olive Oil Company"/>
    <x v="2"/>
    <d v="2017-05-17T00:00:00"/>
    <x v="66"/>
    <n v="0"/>
  </r>
  <r>
    <x v="3235"/>
    <x v="16"/>
    <x v="2"/>
    <x v="1"/>
    <s v="GTXPro"/>
    <s v="Faxquote"/>
    <x v="2"/>
    <d v="2017-05-17T00:00:00"/>
    <x v="161"/>
    <n v="0"/>
  </r>
  <r>
    <x v="3236"/>
    <x v="18"/>
    <x v="2"/>
    <x v="1"/>
    <s v="MG Advanced"/>
    <s v="Xx-holding"/>
    <x v="1"/>
    <d v="2017-05-17T00:00:00"/>
    <x v="6"/>
    <m/>
  </r>
  <r>
    <x v="3237"/>
    <x v="24"/>
    <x v="0"/>
    <x v="0"/>
    <s v="MG Special"/>
    <s v="dambase"/>
    <x v="2"/>
    <d v="2017-05-17T00:00:00"/>
    <x v="143"/>
    <n v="0"/>
  </r>
  <r>
    <x v="3238"/>
    <x v="5"/>
    <x v="3"/>
    <x v="1"/>
    <s v="GTXPro"/>
    <s v="Labdrill"/>
    <x v="1"/>
    <d v="2017-05-17T00:00:00"/>
    <x v="6"/>
    <m/>
  </r>
  <r>
    <x v="3239"/>
    <x v="5"/>
    <x v="3"/>
    <x v="1"/>
    <s v="GTXPro"/>
    <s v="Konex"/>
    <x v="2"/>
    <d v="2017-05-17T00:00:00"/>
    <x v="116"/>
    <n v="0"/>
  </r>
  <r>
    <x v="3240"/>
    <x v="5"/>
    <x v="3"/>
    <x v="1"/>
    <s v="MG Special"/>
    <s v="J-Texon"/>
    <x v="2"/>
    <d v="2017-05-17T00:00:00"/>
    <x v="156"/>
    <n v="0"/>
  </r>
  <r>
    <x v="3241"/>
    <x v="5"/>
    <x v="3"/>
    <x v="1"/>
    <s v="GTXPro"/>
    <s v="Plexzap"/>
    <x v="0"/>
    <d v="2017-05-17T00:00:00"/>
    <x v="156"/>
    <n v="4644"/>
  </r>
  <r>
    <x v="3242"/>
    <x v="17"/>
    <x v="5"/>
    <x v="2"/>
    <s v="MG Special"/>
    <s v="Umbrella Corporation"/>
    <x v="2"/>
    <d v="2017-05-17T00:00:00"/>
    <x v="56"/>
    <n v="0"/>
  </r>
  <r>
    <x v="3243"/>
    <x v="12"/>
    <x v="0"/>
    <x v="0"/>
    <s v="MG Special"/>
    <s v="Codehow"/>
    <x v="0"/>
    <d v="2017-05-17T00:00:00"/>
    <x v="170"/>
    <n v="51"/>
  </r>
  <r>
    <x v="3244"/>
    <x v="4"/>
    <x v="3"/>
    <x v="1"/>
    <s v="GTXPro"/>
    <s v="Golddex"/>
    <x v="0"/>
    <d v="2017-05-17T00:00:00"/>
    <x v="166"/>
    <n v="4573"/>
  </r>
  <r>
    <x v="3245"/>
    <x v="15"/>
    <x v="5"/>
    <x v="2"/>
    <s v="MG Advanced"/>
    <s v="Silis"/>
    <x v="0"/>
    <d v="2017-05-17T00:00:00"/>
    <x v="137"/>
    <n v="3033"/>
  </r>
  <r>
    <x v="3246"/>
    <x v="2"/>
    <x v="2"/>
    <x v="1"/>
    <s v="MG Special"/>
    <s v="Hatfan"/>
    <x v="2"/>
    <d v="2017-05-17T00:00:00"/>
    <x v="60"/>
    <n v="0"/>
  </r>
  <r>
    <x v="3247"/>
    <x v="3"/>
    <x v="0"/>
    <x v="0"/>
    <s v="MG Special"/>
    <s v="Warephase"/>
    <x v="2"/>
    <d v="2017-05-18T00:00:00"/>
    <x v="61"/>
    <n v="0"/>
  </r>
  <r>
    <x v="3248"/>
    <x v="3"/>
    <x v="0"/>
    <x v="0"/>
    <s v="MG Special"/>
    <s v="Ron-tech"/>
    <x v="0"/>
    <d v="2017-05-18T00:00:00"/>
    <x v="42"/>
    <n v="58"/>
  </r>
  <r>
    <x v="3249"/>
    <x v="3"/>
    <x v="0"/>
    <x v="0"/>
    <s v="MG Special"/>
    <s v="Streethex"/>
    <x v="0"/>
    <d v="2017-05-18T00:00:00"/>
    <x v="152"/>
    <n v="51"/>
  </r>
  <r>
    <x v="3250"/>
    <x v="23"/>
    <x v="4"/>
    <x v="2"/>
    <s v="GTXPro"/>
    <s v="Massive Dynamic"/>
    <x v="0"/>
    <d v="2017-05-18T00:00:00"/>
    <x v="110"/>
    <n v="4873"/>
  </r>
  <r>
    <x v="3251"/>
    <x v="27"/>
    <x v="5"/>
    <x v="2"/>
    <s v="GTX Basic"/>
    <s v="Donquadtech"/>
    <x v="1"/>
    <d v="2017-05-18T00:00:00"/>
    <x v="6"/>
    <m/>
  </r>
  <r>
    <x v="3252"/>
    <x v="1"/>
    <x v="1"/>
    <x v="0"/>
    <s v="GTXPro"/>
    <s v="Isdom"/>
    <x v="0"/>
    <d v="2017-05-18T00:00:00"/>
    <x v="52"/>
    <n v="4606"/>
  </r>
  <r>
    <x v="3253"/>
    <x v="26"/>
    <x v="4"/>
    <x v="2"/>
    <s v="GTX Plus Basic"/>
    <s v="Iselectrics"/>
    <x v="0"/>
    <d v="2017-05-18T00:00:00"/>
    <x v="157"/>
    <n v="995"/>
  </r>
  <r>
    <x v="3254"/>
    <x v="26"/>
    <x v="4"/>
    <x v="2"/>
    <s v="GTXPro"/>
    <s v="Umbrella Corporation"/>
    <x v="0"/>
    <d v="2017-05-18T00:00:00"/>
    <x v="133"/>
    <n v="4581"/>
  </r>
  <r>
    <x v="3255"/>
    <x v="21"/>
    <x v="5"/>
    <x v="2"/>
    <s v="GTXPro"/>
    <s v="Massive Dynamic"/>
    <x v="0"/>
    <d v="2017-05-18T00:00:00"/>
    <x v="124"/>
    <n v="4671"/>
  </r>
  <r>
    <x v="3256"/>
    <x v="10"/>
    <x v="3"/>
    <x v="1"/>
    <s v="GTX Plus Pro"/>
    <s v="Funholding"/>
    <x v="1"/>
    <d v="2017-05-18T00:00:00"/>
    <x v="6"/>
    <m/>
  </r>
  <r>
    <x v="3257"/>
    <x v="10"/>
    <x v="3"/>
    <x v="1"/>
    <s v="MG Advanced"/>
    <m/>
    <x v="1"/>
    <d v="2017-05-18T00:00:00"/>
    <x v="6"/>
    <m/>
  </r>
  <r>
    <x v="3258"/>
    <x v="7"/>
    <x v="2"/>
    <x v="1"/>
    <s v="GTX Plus Pro"/>
    <s v="Donquadtech"/>
    <x v="1"/>
    <d v="2017-05-18T00:00:00"/>
    <x v="6"/>
    <m/>
  </r>
  <r>
    <x v="3259"/>
    <x v="7"/>
    <x v="2"/>
    <x v="1"/>
    <s v="GTX Plus Pro"/>
    <m/>
    <x v="1"/>
    <d v="2017-05-18T00:00:00"/>
    <x v="6"/>
    <m/>
  </r>
  <r>
    <x v="3260"/>
    <x v="18"/>
    <x v="2"/>
    <x v="1"/>
    <s v="GTX Plus Basic"/>
    <s v="Groovestreet"/>
    <x v="1"/>
    <d v="2017-05-18T00:00:00"/>
    <x v="6"/>
    <m/>
  </r>
  <r>
    <x v="3261"/>
    <x v="5"/>
    <x v="3"/>
    <x v="1"/>
    <s v="GTK 500"/>
    <m/>
    <x v="1"/>
    <d v="2017-05-18T00:00:00"/>
    <x v="6"/>
    <m/>
  </r>
  <r>
    <x v="3262"/>
    <x v="22"/>
    <x v="1"/>
    <x v="0"/>
    <s v="MG Special"/>
    <s v="Bioholding"/>
    <x v="2"/>
    <d v="2017-05-18T00:00:00"/>
    <x v="154"/>
    <n v="0"/>
  </r>
  <r>
    <x v="3263"/>
    <x v="22"/>
    <x v="1"/>
    <x v="0"/>
    <s v="GTX Plus Pro"/>
    <s v="Domzoom"/>
    <x v="0"/>
    <d v="2017-05-18T00:00:00"/>
    <x v="80"/>
    <n v="5241"/>
  </r>
  <r>
    <x v="3264"/>
    <x v="9"/>
    <x v="2"/>
    <x v="1"/>
    <s v="GTX Plus Basic"/>
    <s v="Nam-zim"/>
    <x v="0"/>
    <d v="2017-05-18T00:00:00"/>
    <x v="57"/>
    <n v="1082"/>
  </r>
  <r>
    <x v="3265"/>
    <x v="6"/>
    <x v="1"/>
    <x v="0"/>
    <s v="GTX Basic"/>
    <s v="Rundofase"/>
    <x v="0"/>
    <d v="2017-05-18T00:00:00"/>
    <x v="48"/>
    <n v="616"/>
  </r>
  <r>
    <x v="3266"/>
    <x v="11"/>
    <x v="3"/>
    <x v="1"/>
    <s v="MG Special"/>
    <m/>
    <x v="1"/>
    <d v="2017-05-18T00:00:00"/>
    <x v="6"/>
    <m/>
  </r>
  <r>
    <x v="3267"/>
    <x v="17"/>
    <x v="5"/>
    <x v="2"/>
    <s v="MG Special"/>
    <s v="Zencorporation"/>
    <x v="2"/>
    <d v="2017-05-18T00:00:00"/>
    <x v="124"/>
    <n v="0"/>
  </r>
  <r>
    <x v="3268"/>
    <x v="12"/>
    <x v="0"/>
    <x v="0"/>
    <s v="MG Special"/>
    <s v="Finhigh"/>
    <x v="2"/>
    <d v="2017-05-18T00:00:00"/>
    <x v="61"/>
    <n v="0"/>
  </r>
  <r>
    <x v="3269"/>
    <x v="20"/>
    <x v="5"/>
    <x v="2"/>
    <s v="MG Special"/>
    <m/>
    <x v="1"/>
    <d v="2017-05-18T00:00:00"/>
    <x v="6"/>
    <m/>
  </r>
  <r>
    <x v="3270"/>
    <x v="2"/>
    <x v="2"/>
    <x v="1"/>
    <s v="GTX Basic"/>
    <m/>
    <x v="1"/>
    <d v="2017-05-18T00:00:00"/>
    <x v="6"/>
    <m/>
  </r>
  <r>
    <x v="3271"/>
    <x v="2"/>
    <x v="2"/>
    <x v="1"/>
    <s v="GTX Basic"/>
    <s v="Y-corporation"/>
    <x v="2"/>
    <d v="2017-05-18T00:00:00"/>
    <x v="79"/>
    <n v="0"/>
  </r>
  <r>
    <x v="3272"/>
    <x v="2"/>
    <x v="2"/>
    <x v="1"/>
    <s v="MG Special"/>
    <s v="Lexiqvolax"/>
    <x v="2"/>
    <d v="2017-05-18T00:00:00"/>
    <x v="55"/>
    <n v="0"/>
  </r>
  <r>
    <x v="3273"/>
    <x v="2"/>
    <x v="2"/>
    <x v="1"/>
    <s v="GTXPro"/>
    <s v="Condax"/>
    <x v="0"/>
    <d v="2017-05-18T00:00:00"/>
    <x v="71"/>
    <n v="4642"/>
  </r>
  <r>
    <x v="3274"/>
    <x v="3"/>
    <x v="0"/>
    <x v="0"/>
    <s v="MG Special"/>
    <s v="Bioholding"/>
    <x v="0"/>
    <d v="2017-05-19T00:00:00"/>
    <x v="87"/>
    <n v="63"/>
  </r>
  <r>
    <x v="3275"/>
    <x v="25"/>
    <x v="4"/>
    <x v="2"/>
    <s v="MG Advanced"/>
    <s v="Konex"/>
    <x v="2"/>
    <d v="2017-05-19T00:00:00"/>
    <x v="45"/>
    <n v="0"/>
  </r>
  <r>
    <x v="3276"/>
    <x v="23"/>
    <x v="4"/>
    <x v="2"/>
    <s v="GTX Plus Basic"/>
    <s v="Zencorporation"/>
    <x v="2"/>
    <d v="2017-05-19T00:00:00"/>
    <x v="62"/>
    <n v="0"/>
  </r>
  <r>
    <x v="3277"/>
    <x v="23"/>
    <x v="4"/>
    <x v="2"/>
    <s v="GTX Plus Basic"/>
    <s v="Betasoloin"/>
    <x v="0"/>
    <d v="2017-05-19T00:00:00"/>
    <x v="148"/>
    <n v="1131"/>
  </r>
  <r>
    <x v="3278"/>
    <x v="27"/>
    <x v="5"/>
    <x v="2"/>
    <s v="GTX Basic"/>
    <s v="Ganjaflex"/>
    <x v="0"/>
    <d v="2017-05-19T00:00:00"/>
    <x v="164"/>
    <n v="503"/>
  </r>
  <r>
    <x v="3279"/>
    <x v="27"/>
    <x v="5"/>
    <x v="2"/>
    <s v="GTX Basic"/>
    <s v="Massive Dynamic"/>
    <x v="0"/>
    <d v="2017-05-19T00:00:00"/>
    <x v="126"/>
    <n v="516"/>
  </r>
  <r>
    <x v="3280"/>
    <x v="13"/>
    <x v="4"/>
    <x v="2"/>
    <s v="GTX Basic"/>
    <s v="Mathtouch"/>
    <x v="0"/>
    <d v="2017-05-19T00:00:00"/>
    <x v="139"/>
    <n v="592"/>
  </r>
  <r>
    <x v="3281"/>
    <x v="1"/>
    <x v="1"/>
    <x v="0"/>
    <s v="GTXPro"/>
    <s v="Toughzap"/>
    <x v="2"/>
    <d v="2017-05-19T00:00:00"/>
    <x v="151"/>
    <n v="0"/>
  </r>
  <r>
    <x v="3282"/>
    <x v="1"/>
    <x v="1"/>
    <x v="0"/>
    <s v="GTXPro"/>
    <s v="Warephase"/>
    <x v="0"/>
    <d v="2017-05-19T00:00:00"/>
    <x v="171"/>
    <n v="4914"/>
  </r>
  <r>
    <x v="3283"/>
    <x v="26"/>
    <x v="4"/>
    <x v="2"/>
    <s v="GTX Basic"/>
    <s v="Condax"/>
    <x v="0"/>
    <d v="2017-05-19T00:00:00"/>
    <x v="62"/>
    <n v="564"/>
  </r>
  <r>
    <x v="3284"/>
    <x v="14"/>
    <x v="3"/>
    <x v="1"/>
    <s v="MG Special"/>
    <s v="Kan-code"/>
    <x v="2"/>
    <d v="2017-05-19T00:00:00"/>
    <x v="63"/>
    <n v="0"/>
  </r>
  <r>
    <x v="3285"/>
    <x v="10"/>
    <x v="3"/>
    <x v="1"/>
    <s v="GTX Plus Basic"/>
    <s v="Golddex"/>
    <x v="0"/>
    <d v="2017-05-19T00:00:00"/>
    <x v="62"/>
    <n v="964"/>
  </r>
  <r>
    <x v="3286"/>
    <x v="29"/>
    <x v="1"/>
    <x v="0"/>
    <s v="GTXPro"/>
    <s v="Rundofase"/>
    <x v="2"/>
    <d v="2017-05-19T00:00:00"/>
    <x v="172"/>
    <n v="0"/>
  </r>
  <r>
    <x v="3287"/>
    <x v="29"/>
    <x v="1"/>
    <x v="0"/>
    <s v="GTX Basic"/>
    <s v="Funholding"/>
    <x v="0"/>
    <d v="2017-05-19T00:00:00"/>
    <x v="42"/>
    <n v="583"/>
  </r>
  <r>
    <x v="3288"/>
    <x v="16"/>
    <x v="2"/>
    <x v="1"/>
    <s v="GTX Basic"/>
    <s v="Globex Corporation"/>
    <x v="1"/>
    <d v="2017-05-19T00:00:00"/>
    <x v="6"/>
    <m/>
  </r>
  <r>
    <x v="3289"/>
    <x v="18"/>
    <x v="2"/>
    <x v="1"/>
    <s v="GTX Plus Basic"/>
    <m/>
    <x v="1"/>
    <d v="2017-05-19T00:00:00"/>
    <x v="6"/>
    <m/>
  </r>
  <r>
    <x v="3290"/>
    <x v="24"/>
    <x v="0"/>
    <x v="0"/>
    <s v="GTX Basic"/>
    <s v="Ron-tech"/>
    <x v="0"/>
    <d v="2017-05-19T00:00:00"/>
    <x v="141"/>
    <n v="440"/>
  </r>
  <r>
    <x v="3291"/>
    <x v="0"/>
    <x v="0"/>
    <x v="0"/>
    <s v="MG Special"/>
    <s v="Inity"/>
    <x v="0"/>
    <d v="2017-05-19T00:00:00"/>
    <x v="159"/>
    <n v="58"/>
  </r>
  <r>
    <x v="3292"/>
    <x v="19"/>
    <x v="4"/>
    <x v="2"/>
    <s v="GTX Plus Basic"/>
    <s v="Initech"/>
    <x v="0"/>
    <d v="2017-05-19T00:00:00"/>
    <x v="60"/>
    <n v="1093"/>
  </r>
  <r>
    <x v="3293"/>
    <x v="15"/>
    <x v="5"/>
    <x v="2"/>
    <s v="MG Advanced"/>
    <m/>
    <x v="1"/>
    <d v="2017-05-19T00:00:00"/>
    <x v="6"/>
    <m/>
  </r>
  <r>
    <x v="3294"/>
    <x v="15"/>
    <x v="5"/>
    <x v="2"/>
    <s v="GTX Plus Basic"/>
    <s v="Donquadtech"/>
    <x v="2"/>
    <d v="2017-05-19T00:00:00"/>
    <x v="116"/>
    <n v="0"/>
  </r>
  <r>
    <x v="3295"/>
    <x v="3"/>
    <x v="0"/>
    <x v="0"/>
    <s v="MG Advanced"/>
    <s v="Rangreen"/>
    <x v="2"/>
    <d v="2017-05-20T00:00:00"/>
    <x v="137"/>
    <n v="0"/>
  </r>
  <r>
    <x v="3296"/>
    <x v="25"/>
    <x v="4"/>
    <x v="2"/>
    <s v="GTX Plus Pro"/>
    <m/>
    <x v="1"/>
    <d v="2017-05-20T00:00:00"/>
    <x v="6"/>
    <m/>
  </r>
  <r>
    <x v="3297"/>
    <x v="25"/>
    <x v="4"/>
    <x v="2"/>
    <s v="GTX Basic"/>
    <s v="Zencorporation"/>
    <x v="0"/>
    <d v="2017-05-20T00:00:00"/>
    <x v="63"/>
    <n v="529"/>
  </r>
  <r>
    <x v="3298"/>
    <x v="23"/>
    <x v="4"/>
    <x v="2"/>
    <s v="GTXPro"/>
    <s v="Sumace"/>
    <x v="0"/>
    <d v="2017-05-20T00:00:00"/>
    <x v="61"/>
    <n v="4839"/>
  </r>
  <r>
    <x v="3299"/>
    <x v="27"/>
    <x v="5"/>
    <x v="2"/>
    <s v="GTXPro"/>
    <m/>
    <x v="1"/>
    <d v="2017-05-20T00:00:00"/>
    <x v="6"/>
    <m/>
  </r>
  <r>
    <x v="3300"/>
    <x v="1"/>
    <x v="1"/>
    <x v="0"/>
    <s v="GTXPro"/>
    <s v="Cancity"/>
    <x v="0"/>
    <d v="2017-05-20T00:00:00"/>
    <x v="173"/>
    <n v="5961"/>
  </r>
  <r>
    <x v="3301"/>
    <x v="1"/>
    <x v="1"/>
    <x v="0"/>
    <s v="GTXPro"/>
    <s v="Gogozoom"/>
    <x v="0"/>
    <d v="2017-05-20T00:00:00"/>
    <x v="128"/>
    <n v="5647"/>
  </r>
  <r>
    <x v="3302"/>
    <x v="1"/>
    <x v="1"/>
    <x v="0"/>
    <s v="MG Special"/>
    <s v="Toughzap"/>
    <x v="0"/>
    <d v="2017-05-20T00:00:00"/>
    <x v="156"/>
    <n v="56"/>
  </r>
  <r>
    <x v="3303"/>
    <x v="26"/>
    <x v="4"/>
    <x v="2"/>
    <s v="GTX Basic"/>
    <s v="Zencorporation"/>
    <x v="2"/>
    <d v="2017-05-20T00:00:00"/>
    <x v="129"/>
    <n v="0"/>
  </r>
  <r>
    <x v="3304"/>
    <x v="26"/>
    <x v="4"/>
    <x v="2"/>
    <s v="GTXPro"/>
    <s v="Kan-code"/>
    <x v="2"/>
    <d v="2017-05-20T00:00:00"/>
    <x v="112"/>
    <n v="0"/>
  </r>
  <r>
    <x v="3305"/>
    <x v="21"/>
    <x v="5"/>
    <x v="2"/>
    <s v="GTX Basic"/>
    <s v="Kan-code"/>
    <x v="0"/>
    <d v="2017-05-20T00:00:00"/>
    <x v="156"/>
    <n v="492"/>
  </r>
  <r>
    <x v="3306"/>
    <x v="8"/>
    <x v="1"/>
    <x v="0"/>
    <s v="MG Special"/>
    <s v="Statholdings"/>
    <x v="0"/>
    <d v="2017-05-20T00:00:00"/>
    <x v="159"/>
    <n v="68"/>
  </r>
  <r>
    <x v="3307"/>
    <x v="10"/>
    <x v="3"/>
    <x v="1"/>
    <s v="MG Advanced"/>
    <s v="Groovestreet"/>
    <x v="0"/>
    <d v="2017-05-20T00:00:00"/>
    <x v="163"/>
    <n v="3728"/>
  </r>
  <r>
    <x v="3308"/>
    <x v="16"/>
    <x v="2"/>
    <x v="1"/>
    <s v="GTX Plus Basic"/>
    <s v="Plusstrip"/>
    <x v="0"/>
    <d v="2017-05-20T00:00:00"/>
    <x v="160"/>
    <n v="1082"/>
  </r>
  <r>
    <x v="3309"/>
    <x v="18"/>
    <x v="2"/>
    <x v="1"/>
    <s v="GTX Plus Basic"/>
    <s v="Hatfan"/>
    <x v="2"/>
    <d v="2017-05-20T00:00:00"/>
    <x v="134"/>
    <n v="0"/>
  </r>
  <r>
    <x v="3310"/>
    <x v="24"/>
    <x v="0"/>
    <x v="0"/>
    <s v="GTX Basic"/>
    <s v="Funholding"/>
    <x v="0"/>
    <d v="2017-05-20T00:00:00"/>
    <x v="129"/>
    <n v="557"/>
  </r>
  <r>
    <x v="3311"/>
    <x v="6"/>
    <x v="1"/>
    <x v="0"/>
    <s v="MG Special"/>
    <s v="Dontechi"/>
    <x v="0"/>
    <d v="2017-05-20T00:00:00"/>
    <x v="128"/>
    <n v="60"/>
  </r>
  <r>
    <x v="3312"/>
    <x v="12"/>
    <x v="0"/>
    <x v="0"/>
    <s v="GTX Plus Pro"/>
    <s v="Scottech"/>
    <x v="0"/>
    <d v="2017-05-20T00:00:00"/>
    <x v="49"/>
    <n v="5046"/>
  </r>
  <r>
    <x v="3313"/>
    <x v="12"/>
    <x v="0"/>
    <x v="0"/>
    <s v="MG Special"/>
    <s v="Gogozoom"/>
    <x v="0"/>
    <d v="2017-05-20T00:00:00"/>
    <x v="107"/>
    <n v="53"/>
  </r>
  <r>
    <x v="3314"/>
    <x v="12"/>
    <x v="0"/>
    <x v="0"/>
    <s v="MG Advanced"/>
    <s v="Stanredtax"/>
    <x v="0"/>
    <d v="2017-05-20T00:00:00"/>
    <x v="76"/>
    <n v="2807"/>
  </r>
  <r>
    <x v="3315"/>
    <x v="4"/>
    <x v="3"/>
    <x v="1"/>
    <s v="GTXPro"/>
    <s v="Plexzap"/>
    <x v="2"/>
    <d v="2017-05-20T00:00:00"/>
    <x v="147"/>
    <n v="0"/>
  </r>
  <r>
    <x v="3316"/>
    <x v="2"/>
    <x v="2"/>
    <x v="1"/>
    <s v="GTXPro"/>
    <s v="Plusstrip"/>
    <x v="2"/>
    <d v="2017-05-20T00:00:00"/>
    <x v="77"/>
    <n v="0"/>
  </r>
  <r>
    <x v="3317"/>
    <x v="3"/>
    <x v="0"/>
    <x v="0"/>
    <s v="GTX Basic"/>
    <s v="Bioholding"/>
    <x v="0"/>
    <d v="2017-05-21T00:00:00"/>
    <x v="138"/>
    <n v="475"/>
  </r>
  <r>
    <x v="3318"/>
    <x v="3"/>
    <x v="0"/>
    <x v="0"/>
    <s v="MG Advanced"/>
    <s v="Ron-tech"/>
    <x v="0"/>
    <d v="2017-05-21T00:00:00"/>
    <x v="126"/>
    <n v="3031"/>
  </r>
  <r>
    <x v="3319"/>
    <x v="25"/>
    <x v="4"/>
    <x v="2"/>
    <s v="MG Special"/>
    <s v="Ontomedia"/>
    <x v="0"/>
    <d v="2017-05-21T00:00:00"/>
    <x v="128"/>
    <n v="53"/>
  </r>
  <r>
    <x v="3320"/>
    <x v="23"/>
    <x v="4"/>
    <x v="2"/>
    <s v="GTX Plus Basic"/>
    <s v="Xx-zobam"/>
    <x v="0"/>
    <d v="2017-05-21T00:00:00"/>
    <x v="43"/>
    <n v="1112"/>
  </r>
  <r>
    <x v="3321"/>
    <x v="27"/>
    <x v="5"/>
    <x v="2"/>
    <s v="GTX Basic"/>
    <s v="Treequote"/>
    <x v="1"/>
    <d v="2017-05-21T00:00:00"/>
    <x v="6"/>
    <m/>
  </r>
  <r>
    <x v="3322"/>
    <x v="13"/>
    <x v="4"/>
    <x v="2"/>
    <s v="GTXPro"/>
    <s v="Yearin"/>
    <x v="0"/>
    <d v="2017-05-21T00:00:00"/>
    <x v="171"/>
    <n v="4491"/>
  </r>
  <r>
    <x v="3323"/>
    <x v="14"/>
    <x v="3"/>
    <x v="1"/>
    <s v="GTX Basic"/>
    <s v="Blackzim"/>
    <x v="0"/>
    <d v="2017-05-21T00:00:00"/>
    <x v="47"/>
    <n v="562"/>
  </r>
  <r>
    <x v="3324"/>
    <x v="7"/>
    <x v="2"/>
    <x v="1"/>
    <s v="GTX Basic"/>
    <s v="Rantouch"/>
    <x v="0"/>
    <d v="2017-05-21T00:00:00"/>
    <x v="43"/>
    <n v="593"/>
  </r>
  <r>
    <x v="3325"/>
    <x v="29"/>
    <x v="1"/>
    <x v="0"/>
    <s v="GTXPro"/>
    <s v="Hottechi"/>
    <x v="0"/>
    <d v="2017-05-21T00:00:00"/>
    <x v="155"/>
    <n v="4606"/>
  </r>
  <r>
    <x v="3326"/>
    <x v="16"/>
    <x v="2"/>
    <x v="1"/>
    <s v="GTX Plus Basic"/>
    <s v="Faxquote"/>
    <x v="0"/>
    <d v="2017-05-21T00:00:00"/>
    <x v="138"/>
    <n v="1100"/>
  </r>
  <r>
    <x v="3327"/>
    <x v="16"/>
    <x v="2"/>
    <x v="1"/>
    <s v="GTX Plus Basic"/>
    <s v="Scotfind"/>
    <x v="0"/>
    <d v="2017-05-21T00:00:00"/>
    <x v="156"/>
    <n v="1198"/>
  </r>
  <r>
    <x v="3328"/>
    <x v="18"/>
    <x v="2"/>
    <x v="1"/>
    <s v="GTX Basic"/>
    <m/>
    <x v="1"/>
    <d v="2017-05-21T00:00:00"/>
    <x v="6"/>
    <m/>
  </r>
  <r>
    <x v="3329"/>
    <x v="18"/>
    <x v="2"/>
    <x v="1"/>
    <s v="GTX Plus Pro"/>
    <m/>
    <x v="1"/>
    <d v="2017-05-21T00:00:00"/>
    <x v="6"/>
    <m/>
  </r>
  <r>
    <x v="3330"/>
    <x v="24"/>
    <x v="0"/>
    <x v="0"/>
    <s v="MG Advanced"/>
    <s v="Dontechi"/>
    <x v="0"/>
    <d v="2017-05-21T00:00:00"/>
    <x v="136"/>
    <n v="3250"/>
  </r>
  <r>
    <x v="3331"/>
    <x v="22"/>
    <x v="1"/>
    <x v="0"/>
    <s v="MG Advanced"/>
    <s v="Treequote"/>
    <x v="0"/>
    <d v="2017-05-21T00:00:00"/>
    <x v="157"/>
    <n v="2785"/>
  </r>
  <r>
    <x v="3332"/>
    <x v="9"/>
    <x v="2"/>
    <x v="1"/>
    <s v="MG Special"/>
    <s v="Scotfind"/>
    <x v="0"/>
    <d v="2017-05-21T00:00:00"/>
    <x v="138"/>
    <n v="49"/>
  </r>
  <r>
    <x v="3333"/>
    <x v="0"/>
    <x v="0"/>
    <x v="0"/>
    <s v="MG Advanced"/>
    <s v="Inity"/>
    <x v="2"/>
    <d v="2017-05-21T00:00:00"/>
    <x v="49"/>
    <n v="0"/>
  </r>
  <r>
    <x v="3334"/>
    <x v="0"/>
    <x v="0"/>
    <x v="0"/>
    <s v="GTX Basic"/>
    <s v="Bioholding"/>
    <x v="0"/>
    <d v="2017-05-21T00:00:00"/>
    <x v="152"/>
    <n v="547"/>
  </r>
  <r>
    <x v="3335"/>
    <x v="6"/>
    <x v="1"/>
    <x v="0"/>
    <s v="MG Special"/>
    <s v="Bioholding"/>
    <x v="0"/>
    <d v="2017-05-21T00:00:00"/>
    <x v="137"/>
    <n v="57"/>
  </r>
  <r>
    <x v="3336"/>
    <x v="11"/>
    <x v="3"/>
    <x v="1"/>
    <s v="MG Special"/>
    <s v="Fasehatice"/>
    <x v="2"/>
    <d v="2017-05-21T00:00:00"/>
    <x v="143"/>
    <n v="0"/>
  </r>
  <r>
    <x v="3337"/>
    <x v="11"/>
    <x v="3"/>
    <x v="1"/>
    <s v="MG Special"/>
    <s v="Y-corporation"/>
    <x v="2"/>
    <d v="2017-05-21T00:00:00"/>
    <x v="112"/>
    <n v="0"/>
  </r>
  <r>
    <x v="3338"/>
    <x v="4"/>
    <x v="3"/>
    <x v="1"/>
    <s v="MG Advanced"/>
    <s v="Sonron"/>
    <x v="2"/>
    <d v="2017-05-21T00:00:00"/>
    <x v="55"/>
    <n v="0"/>
  </r>
  <r>
    <x v="3339"/>
    <x v="4"/>
    <x v="3"/>
    <x v="1"/>
    <s v="GTX Basic"/>
    <s v="Cheers"/>
    <x v="0"/>
    <d v="2017-05-21T00:00:00"/>
    <x v="129"/>
    <n v="572"/>
  </r>
  <r>
    <x v="3340"/>
    <x v="15"/>
    <x v="5"/>
    <x v="2"/>
    <s v="MG Special"/>
    <s v="Ontomedia"/>
    <x v="0"/>
    <d v="2017-05-21T00:00:00"/>
    <x v="76"/>
    <n v="48"/>
  </r>
  <r>
    <x v="3341"/>
    <x v="3"/>
    <x v="0"/>
    <x v="0"/>
    <s v="GTX Plus Pro"/>
    <s v="Isdom"/>
    <x v="2"/>
    <d v="2017-05-22T00:00:00"/>
    <x v="66"/>
    <n v="0"/>
  </r>
  <r>
    <x v="3342"/>
    <x v="27"/>
    <x v="5"/>
    <x v="2"/>
    <s v="GTX Plus Basic"/>
    <s v="Groovestreet"/>
    <x v="1"/>
    <d v="2017-05-22T00:00:00"/>
    <x v="6"/>
    <m/>
  </r>
  <r>
    <x v="3343"/>
    <x v="13"/>
    <x v="4"/>
    <x v="2"/>
    <s v="MG Advanced"/>
    <m/>
    <x v="1"/>
    <d v="2017-05-22T00:00:00"/>
    <x v="6"/>
    <m/>
  </r>
  <r>
    <x v="3344"/>
    <x v="1"/>
    <x v="1"/>
    <x v="0"/>
    <s v="MG Advanced"/>
    <s v="Conecom"/>
    <x v="2"/>
    <d v="2017-05-22T00:00:00"/>
    <x v="166"/>
    <n v="0"/>
  </r>
  <r>
    <x v="3345"/>
    <x v="21"/>
    <x v="5"/>
    <x v="2"/>
    <s v="GTX Basic"/>
    <s v="Kan-code"/>
    <x v="0"/>
    <d v="2017-05-22T00:00:00"/>
    <x v="47"/>
    <n v="555"/>
  </r>
  <r>
    <x v="3346"/>
    <x v="21"/>
    <x v="5"/>
    <x v="2"/>
    <s v="GTX Basic"/>
    <s v="Konex"/>
    <x v="0"/>
    <d v="2017-05-22T00:00:00"/>
    <x v="145"/>
    <n v="476"/>
  </r>
  <r>
    <x v="3347"/>
    <x v="10"/>
    <x v="3"/>
    <x v="1"/>
    <s v="MG Advanced"/>
    <m/>
    <x v="1"/>
    <d v="2017-05-22T00:00:00"/>
    <x v="6"/>
    <m/>
  </r>
  <r>
    <x v="3348"/>
    <x v="7"/>
    <x v="2"/>
    <x v="1"/>
    <s v="GTX Plus Basic"/>
    <s v="Labdrill"/>
    <x v="0"/>
    <d v="2017-05-22T00:00:00"/>
    <x v="64"/>
    <n v="1090"/>
  </r>
  <r>
    <x v="3349"/>
    <x v="18"/>
    <x v="2"/>
    <x v="1"/>
    <s v="MG Special"/>
    <s v="Opentech"/>
    <x v="1"/>
    <d v="2017-05-22T00:00:00"/>
    <x v="6"/>
    <m/>
  </r>
  <r>
    <x v="3350"/>
    <x v="18"/>
    <x v="2"/>
    <x v="1"/>
    <s v="GTX Basic"/>
    <s v="Condax"/>
    <x v="0"/>
    <d v="2017-05-22T00:00:00"/>
    <x v="174"/>
    <n v="584"/>
  </r>
  <r>
    <x v="3351"/>
    <x v="5"/>
    <x v="3"/>
    <x v="1"/>
    <s v="GTX Plus Pro"/>
    <m/>
    <x v="1"/>
    <d v="2017-05-22T00:00:00"/>
    <x v="6"/>
    <m/>
  </r>
  <r>
    <x v="3352"/>
    <x v="5"/>
    <x v="3"/>
    <x v="1"/>
    <s v="GTK 500"/>
    <s v="Finjob"/>
    <x v="0"/>
    <d v="2017-05-22T00:00:00"/>
    <x v="124"/>
    <n v="24745"/>
  </r>
  <r>
    <x v="3353"/>
    <x v="9"/>
    <x v="2"/>
    <x v="1"/>
    <s v="GTX Plus Basic"/>
    <m/>
    <x v="1"/>
    <d v="2017-05-22T00:00:00"/>
    <x v="6"/>
    <m/>
  </r>
  <r>
    <x v="3354"/>
    <x v="19"/>
    <x v="4"/>
    <x v="2"/>
    <s v="GTXPro"/>
    <s v="Condax"/>
    <x v="2"/>
    <d v="2017-05-22T00:00:00"/>
    <x v="49"/>
    <n v="0"/>
  </r>
  <r>
    <x v="3355"/>
    <x v="19"/>
    <x v="4"/>
    <x v="2"/>
    <s v="GTX Basic"/>
    <s v="Zotware"/>
    <x v="0"/>
    <d v="2017-05-22T00:00:00"/>
    <x v="63"/>
    <n v="512"/>
  </r>
  <r>
    <x v="3356"/>
    <x v="17"/>
    <x v="5"/>
    <x v="2"/>
    <s v="GTXPro"/>
    <m/>
    <x v="1"/>
    <d v="2017-05-22T00:00:00"/>
    <x v="6"/>
    <m/>
  </r>
  <r>
    <x v="3357"/>
    <x v="4"/>
    <x v="3"/>
    <x v="1"/>
    <s v="MG Special"/>
    <s v="Zoomit"/>
    <x v="0"/>
    <d v="2017-05-22T00:00:00"/>
    <x v="52"/>
    <n v="60"/>
  </r>
  <r>
    <x v="3358"/>
    <x v="2"/>
    <x v="2"/>
    <x v="1"/>
    <s v="GTXPro"/>
    <s v="Hottechi"/>
    <x v="2"/>
    <d v="2017-05-22T00:00:00"/>
    <x v="167"/>
    <n v="0"/>
  </r>
  <r>
    <x v="3359"/>
    <x v="2"/>
    <x v="2"/>
    <x v="1"/>
    <s v="GTX Plus Basic"/>
    <s v="Dalttechnology"/>
    <x v="0"/>
    <d v="2017-05-22T00:00:00"/>
    <x v="143"/>
    <n v="1088"/>
  </r>
  <r>
    <x v="3360"/>
    <x v="25"/>
    <x v="4"/>
    <x v="2"/>
    <s v="GTX Plus Basic"/>
    <m/>
    <x v="1"/>
    <d v="2017-05-23T00:00:00"/>
    <x v="6"/>
    <m/>
  </r>
  <r>
    <x v="3361"/>
    <x v="25"/>
    <x v="4"/>
    <x v="2"/>
    <s v="GTX Plus Pro"/>
    <m/>
    <x v="1"/>
    <d v="2017-05-23T00:00:00"/>
    <x v="6"/>
    <m/>
  </r>
  <r>
    <x v="3362"/>
    <x v="23"/>
    <x v="4"/>
    <x v="2"/>
    <s v="MG Special"/>
    <m/>
    <x v="1"/>
    <d v="2017-05-23T00:00:00"/>
    <x v="6"/>
    <m/>
  </r>
  <r>
    <x v="3363"/>
    <x v="27"/>
    <x v="5"/>
    <x v="2"/>
    <s v="GTX Basic"/>
    <s v="The New York Inquirer"/>
    <x v="0"/>
    <d v="2017-05-23T00:00:00"/>
    <x v="60"/>
    <n v="463"/>
  </r>
  <r>
    <x v="3364"/>
    <x v="26"/>
    <x v="4"/>
    <x v="2"/>
    <s v="GTX Plus Basic"/>
    <s v="Gekko &amp; Co"/>
    <x v="0"/>
    <d v="2017-05-23T00:00:00"/>
    <x v="162"/>
    <n v="877"/>
  </r>
  <r>
    <x v="3365"/>
    <x v="8"/>
    <x v="1"/>
    <x v="0"/>
    <s v="MG Advanced"/>
    <s v="Hottechi"/>
    <x v="0"/>
    <d v="2017-05-23T00:00:00"/>
    <x v="162"/>
    <n v="3339"/>
  </r>
  <r>
    <x v="3366"/>
    <x v="7"/>
    <x v="2"/>
    <x v="1"/>
    <s v="GTX Plus Basic"/>
    <s v="Condax"/>
    <x v="1"/>
    <d v="2017-05-23T00:00:00"/>
    <x v="6"/>
    <m/>
  </r>
  <r>
    <x v="3367"/>
    <x v="29"/>
    <x v="1"/>
    <x v="0"/>
    <s v="MG Special"/>
    <s v="Finhigh"/>
    <x v="2"/>
    <d v="2017-05-23T00:00:00"/>
    <x v="53"/>
    <n v="0"/>
  </r>
  <r>
    <x v="3368"/>
    <x v="29"/>
    <x v="1"/>
    <x v="0"/>
    <s v="GTXPro"/>
    <s v="Funholding"/>
    <x v="0"/>
    <d v="2017-05-23T00:00:00"/>
    <x v="136"/>
    <n v="4180"/>
  </r>
  <r>
    <x v="3369"/>
    <x v="18"/>
    <x v="2"/>
    <x v="1"/>
    <s v="GTX Plus Basic"/>
    <s v="Labdrill"/>
    <x v="2"/>
    <d v="2017-05-23T00:00:00"/>
    <x v="110"/>
    <n v="0"/>
  </r>
  <r>
    <x v="3370"/>
    <x v="5"/>
    <x v="3"/>
    <x v="1"/>
    <s v="GTX Basic"/>
    <s v="Hatfan"/>
    <x v="2"/>
    <d v="2017-05-23T00:00:00"/>
    <x v="60"/>
    <n v="0"/>
  </r>
  <r>
    <x v="3371"/>
    <x v="5"/>
    <x v="3"/>
    <x v="1"/>
    <s v="GTX Plus Pro"/>
    <s v="Hatfan"/>
    <x v="0"/>
    <d v="2017-05-23T00:00:00"/>
    <x v="124"/>
    <n v="4642"/>
  </r>
  <r>
    <x v="3372"/>
    <x v="22"/>
    <x v="1"/>
    <x v="0"/>
    <s v="MG Advanced"/>
    <s v="Warephase"/>
    <x v="2"/>
    <d v="2017-05-23T00:00:00"/>
    <x v="160"/>
    <n v="0"/>
  </r>
  <r>
    <x v="3373"/>
    <x v="6"/>
    <x v="1"/>
    <x v="0"/>
    <s v="GTX Basic"/>
    <s v="Globex Corporation"/>
    <x v="0"/>
    <d v="2017-05-23T00:00:00"/>
    <x v="166"/>
    <n v="578"/>
  </r>
  <r>
    <x v="3374"/>
    <x v="12"/>
    <x v="0"/>
    <x v="0"/>
    <s v="MG Advanced"/>
    <s v="Gogozoom"/>
    <x v="0"/>
    <d v="2017-05-23T00:00:00"/>
    <x v="138"/>
    <n v="3285"/>
  </r>
  <r>
    <x v="3375"/>
    <x v="4"/>
    <x v="3"/>
    <x v="1"/>
    <s v="MG Special"/>
    <s v="Plexzap"/>
    <x v="2"/>
    <d v="2017-05-23T00:00:00"/>
    <x v="116"/>
    <n v="0"/>
  </r>
  <r>
    <x v="3376"/>
    <x v="15"/>
    <x v="5"/>
    <x v="2"/>
    <s v="GTX Plus Basic"/>
    <s v="Xx-zobam"/>
    <x v="2"/>
    <d v="2017-05-23T00:00:00"/>
    <x v="175"/>
    <n v="0"/>
  </r>
  <r>
    <x v="3377"/>
    <x v="2"/>
    <x v="2"/>
    <x v="1"/>
    <s v="GTXPro"/>
    <s v="Cheers"/>
    <x v="0"/>
    <d v="2017-05-23T00:00:00"/>
    <x v="66"/>
    <n v="5212"/>
  </r>
  <r>
    <x v="3378"/>
    <x v="23"/>
    <x v="4"/>
    <x v="2"/>
    <s v="GTX Basic"/>
    <s v="Donware"/>
    <x v="0"/>
    <d v="2017-05-24T00:00:00"/>
    <x v="176"/>
    <n v="614"/>
  </r>
  <r>
    <x v="3379"/>
    <x v="23"/>
    <x v="4"/>
    <x v="2"/>
    <s v="GTX Plus Pro"/>
    <s v="Bubba Gump"/>
    <x v="0"/>
    <d v="2017-05-24T00:00:00"/>
    <x v="160"/>
    <n v="5778"/>
  </r>
  <r>
    <x v="3380"/>
    <x v="27"/>
    <x v="5"/>
    <x v="2"/>
    <s v="GTX Basic"/>
    <s v="Labdrill"/>
    <x v="1"/>
    <d v="2017-05-24T00:00:00"/>
    <x v="6"/>
    <m/>
  </r>
  <r>
    <x v="3381"/>
    <x v="26"/>
    <x v="4"/>
    <x v="2"/>
    <s v="MG Advanced"/>
    <s v="Bubba Gump"/>
    <x v="0"/>
    <d v="2017-05-24T00:00:00"/>
    <x v="154"/>
    <n v="3521"/>
  </r>
  <r>
    <x v="3382"/>
    <x v="14"/>
    <x v="3"/>
    <x v="1"/>
    <s v="GTXPro"/>
    <m/>
    <x v="1"/>
    <d v="2017-05-24T00:00:00"/>
    <x v="6"/>
    <m/>
  </r>
  <r>
    <x v="3383"/>
    <x v="21"/>
    <x v="5"/>
    <x v="2"/>
    <s v="GTX Plus Pro"/>
    <s v="Kinnamplus"/>
    <x v="2"/>
    <d v="2017-05-24T00:00:00"/>
    <x v="177"/>
    <n v="0"/>
  </r>
  <r>
    <x v="3384"/>
    <x v="8"/>
    <x v="1"/>
    <x v="0"/>
    <s v="GTXPro"/>
    <s v="Rundofase"/>
    <x v="0"/>
    <d v="2017-05-24T00:00:00"/>
    <x v="112"/>
    <n v="5109"/>
  </r>
  <r>
    <x v="3385"/>
    <x v="7"/>
    <x v="2"/>
    <x v="1"/>
    <s v="GTX Plus Pro"/>
    <m/>
    <x v="1"/>
    <d v="2017-05-24T00:00:00"/>
    <x v="6"/>
    <m/>
  </r>
  <r>
    <x v="3386"/>
    <x v="7"/>
    <x v="2"/>
    <x v="1"/>
    <s v="GTX Basic"/>
    <s v="Doncon"/>
    <x v="2"/>
    <d v="2017-05-24T00:00:00"/>
    <x v="72"/>
    <n v="0"/>
  </r>
  <r>
    <x v="3387"/>
    <x v="7"/>
    <x v="2"/>
    <x v="1"/>
    <s v="GTX Plus Pro"/>
    <s v="Lexiqvolax"/>
    <x v="0"/>
    <d v="2017-05-24T00:00:00"/>
    <x v="153"/>
    <n v="5190"/>
  </r>
  <r>
    <x v="3388"/>
    <x v="18"/>
    <x v="2"/>
    <x v="1"/>
    <s v="GTX Basic"/>
    <s v="Scotfind"/>
    <x v="2"/>
    <d v="2017-05-24T00:00:00"/>
    <x v="161"/>
    <n v="0"/>
  </r>
  <r>
    <x v="3389"/>
    <x v="18"/>
    <x v="2"/>
    <x v="1"/>
    <s v="GTXPro"/>
    <s v="Zoomit"/>
    <x v="2"/>
    <d v="2017-05-24T00:00:00"/>
    <x v="140"/>
    <n v="0"/>
  </r>
  <r>
    <x v="3390"/>
    <x v="24"/>
    <x v="0"/>
    <x v="0"/>
    <s v="MG Advanced"/>
    <s v="Dontechi"/>
    <x v="2"/>
    <d v="2017-05-24T00:00:00"/>
    <x v="124"/>
    <n v="0"/>
  </r>
  <r>
    <x v="3391"/>
    <x v="5"/>
    <x v="3"/>
    <x v="1"/>
    <s v="MG Advanced"/>
    <s v="Y-corporation"/>
    <x v="1"/>
    <d v="2017-05-24T00:00:00"/>
    <x v="6"/>
    <m/>
  </r>
  <r>
    <x v="3392"/>
    <x v="9"/>
    <x v="2"/>
    <x v="1"/>
    <s v="MG Special"/>
    <m/>
    <x v="1"/>
    <d v="2017-05-24T00:00:00"/>
    <x v="6"/>
    <m/>
  </r>
  <r>
    <x v="3393"/>
    <x v="9"/>
    <x v="2"/>
    <x v="1"/>
    <s v="GTX Plus Basic"/>
    <s v="Goodsilron"/>
    <x v="0"/>
    <d v="2017-05-24T00:00:00"/>
    <x v="173"/>
    <n v="940"/>
  </r>
  <r>
    <x v="3394"/>
    <x v="6"/>
    <x v="1"/>
    <x v="0"/>
    <s v="GTXPro"/>
    <s v="dambase"/>
    <x v="2"/>
    <d v="2017-05-24T00:00:00"/>
    <x v="135"/>
    <n v="0"/>
  </r>
  <r>
    <x v="3395"/>
    <x v="11"/>
    <x v="3"/>
    <x v="1"/>
    <s v="GTX Basic"/>
    <s v="Goodsilron"/>
    <x v="0"/>
    <d v="2017-05-24T00:00:00"/>
    <x v="112"/>
    <n v="647"/>
  </r>
  <r>
    <x v="3396"/>
    <x v="4"/>
    <x v="3"/>
    <x v="1"/>
    <s v="GTX Plus Pro"/>
    <s v="Condax"/>
    <x v="0"/>
    <d v="2017-05-24T00:00:00"/>
    <x v="150"/>
    <n v="6206"/>
  </r>
  <r>
    <x v="3397"/>
    <x v="15"/>
    <x v="5"/>
    <x v="2"/>
    <s v="MG Advanced"/>
    <s v="Massive Dynamic"/>
    <x v="0"/>
    <d v="2017-05-24T00:00:00"/>
    <x v="154"/>
    <n v="3158"/>
  </r>
  <r>
    <x v="3398"/>
    <x v="20"/>
    <x v="5"/>
    <x v="2"/>
    <s v="MG Advanced"/>
    <s v="Donware"/>
    <x v="0"/>
    <d v="2017-05-24T00:00:00"/>
    <x v="148"/>
    <n v="2699"/>
  </r>
  <r>
    <x v="3399"/>
    <x v="3"/>
    <x v="0"/>
    <x v="0"/>
    <s v="MG Special"/>
    <s v="Domzoom"/>
    <x v="2"/>
    <d v="2017-05-25T00:00:00"/>
    <x v="140"/>
    <n v="0"/>
  </r>
  <r>
    <x v="3400"/>
    <x v="25"/>
    <x v="4"/>
    <x v="2"/>
    <s v="GTX Plus Basic"/>
    <s v="Plussunin"/>
    <x v="0"/>
    <d v="2017-05-25T00:00:00"/>
    <x v="107"/>
    <n v="1302"/>
  </r>
  <r>
    <x v="3401"/>
    <x v="23"/>
    <x v="4"/>
    <x v="2"/>
    <s v="MG Advanced"/>
    <s v="Bioplex"/>
    <x v="0"/>
    <d v="2017-05-25T00:00:00"/>
    <x v="87"/>
    <n v="2993"/>
  </r>
  <r>
    <x v="3402"/>
    <x v="28"/>
    <x v="0"/>
    <x v="0"/>
    <s v="GTX Basic"/>
    <s v="Betatech"/>
    <x v="0"/>
    <d v="2017-05-25T00:00:00"/>
    <x v="48"/>
    <n v="460"/>
  </r>
  <r>
    <x v="3403"/>
    <x v="27"/>
    <x v="5"/>
    <x v="2"/>
    <s v="GTX Plus Pro"/>
    <s v="Inity"/>
    <x v="1"/>
    <d v="2017-05-25T00:00:00"/>
    <x v="6"/>
    <m/>
  </r>
  <r>
    <x v="3404"/>
    <x v="27"/>
    <x v="5"/>
    <x v="2"/>
    <s v="GTX Basic"/>
    <s v="Konex"/>
    <x v="0"/>
    <d v="2017-05-25T00:00:00"/>
    <x v="174"/>
    <n v="616"/>
  </r>
  <r>
    <x v="3405"/>
    <x v="1"/>
    <x v="1"/>
    <x v="0"/>
    <s v="MG Advanced"/>
    <s v="Scottech"/>
    <x v="2"/>
    <d v="2017-05-25T00:00:00"/>
    <x v="109"/>
    <n v="0"/>
  </r>
  <r>
    <x v="3406"/>
    <x v="1"/>
    <x v="1"/>
    <x v="0"/>
    <s v="GTXPro"/>
    <s v="Globex Corporation"/>
    <x v="0"/>
    <d v="2017-05-25T00:00:00"/>
    <x v="124"/>
    <n v="4270"/>
  </r>
  <r>
    <x v="3407"/>
    <x v="26"/>
    <x v="4"/>
    <x v="2"/>
    <s v="GTXPro"/>
    <s v="Ontomedia"/>
    <x v="2"/>
    <d v="2017-05-25T00:00:00"/>
    <x v="134"/>
    <n v="0"/>
  </r>
  <r>
    <x v="3408"/>
    <x v="8"/>
    <x v="1"/>
    <x v="0"/>
    <s v="GTXPro"/>
    <s v="Treequote"/>
    <x v="0"/>
    <d v="2017-05-25T00:00:00"/>
    <x v="161"/>
    <n v="4787"/>
  </r>
  <r>
    <x v="3409"/>
    <x v="10"/>
    <x v="3"/>
    <x v="1"/>
    <s v="MG Advanced"/>
    <m/>
    <x v="1"/>
    <d v="2017-05-25T00:00:00"/>
    <x v="6"/>
    <m/>
  </r>
  <r>
    <x v="3410"/>
    <x v="29"/>
    <x v="1"/>
    <x v="0"/>
    <s v="GTX Basic"/>
    <s v="Statholdings"/>
    <x v="2"/>
    <d v="2017-05-25T00:00:00"/>
    <x v="146"/>
    <n v="0"/>
  </r>
  <r>
    <x v="3411"/>
    <x v="29"/>
    <x v="1"/>
    <x v="0"/>
    <s v="MG Special"/>
    <s v="Hottechi"/>
    <x v="0"/>
    <d v="2017-05-25T00:00:00"/>
    <x v="66"/>
    <n v="55"/>
  </r>
  <r>
    <x v="3412"/>
    <x v="29"/>
    <x v="1"/>
    <x v="0"/>
    <s v="MG Advanced"/>
    <s v="Funholding"/>
    <x v="0"/>
    <d v="2017-05-25T00:00:00"/>
    <x v="128"/>
    <n v="3808"/>
  </r>
  <r>
    <x v="3413"/>
    <x v="18"/>
    <x v="2"/>
    <x v="1"/>
    <s v="GTXPro"/>
    <m/>
    <x v="1"/>
    <d v="2017-05-25T00:00:00"/>
    <x v="6"/>
    <m/>
  </r>
  <r>
    <x v="3414"/>
    <x v="24"/>
    <x v="0"/>
    <x v="0"/>
    <s v="GTX Basic"/>
    <s v="Rundofase"/>
    <x v="0"/>
    <d v="2017-05-25T00:00:00"/>
    <x v="178"/>
    <n v="483"/>
  </r>
  <r>
    <x v="3415"/>
    <x v="24"/>
    <x v="0"/>
    <x v="0"/>
    <s v="MG Advanced"/>
    <s v="Warephase"/>
    <x v="0"/>
    <d v="2017-05-25T00:00:00"/>
    <x v="169"/>
    <n v="3727"/>
  </r>
  <r>
    <x v="3416"/>
    <x v="5"/>
    <x v="3"/>
    <x v="1"/>
    <s v="GTXPro"/>
    <s v="Faxquote"/>
    <x v="0"/>
    <d v="2017-05-25T00:00:00"/>
    <x v="124"/>
    <n v="4738"/>
  </r>
  <r>
    <x v="3417"/>
    <x v="22"/>
    <x v="1"/>
    <x v="0"/>
    <s v="GTX Plus Basic"/>
    <s v="Ron-tech"/>
    <x v="0"/>
    <d v="2017-05-25T00:00:00"/>
    <x v="107"/>
    <n v="1275"/>
  </r>
  <r>
    <x v="3418"/>
    <x v="22"/>
    <x v="1"/>
    <x v="0"/>
    <s v="MG Advanced"/>
    <s v="Treequote"/>
    <x v="0"/>
    <d v="2017-05-25T00:00:00"/>
    <x v="148"/>
    <n v="3428"/>
  </r>
  <r>
    <x v="3419"/>
    <x v="0"/>
    <x v="0"/>
    <x v="0"/>
    <s v="MG Special"/>
    <s v="Conecom"/>
    <x v="2"/>
    <d v="2017-05-25T00:00:00"/>
    <x v="171"/>
    <n v="0"/>
  </r>
  <r>
    <x v="3420"/>
    <x v="19"/>
    <x v="4"/>
    <x v="2"/>
    <s v="GTXPro"/>
    <s v="Mathtouch"/>
    <x v="0"/>
    <d v="2017-05-25T00:00:00"/>
    <x v="52"/>
    <n v="5420"/>
  </r>
  <r>
    <x v="3421"/>
    <x v="11"/>
    <x v="3"/>
    <x v="1"/>
    <s v="MG Special"/>
    <s v="Dalttechnology"/>
    <x v="2"/>
    <d v="2017-05-25T00:00:00"/>
    <x v="146"/>
    <n v="0"/>
  </r>
  <r>
    <x v="3422"/>
    <x v="12"/>
    <x v="0"/>
    <x v="0"/>
    <s v="MG Special"/>
    <s v="Dontechi"/>
    <x v="0"/>
    <d v="2017-05-25T00:00:00"/>
    <x v="80"/>
    <n v="59"/>
  </r>
  <r>
    <x v="3423"/>
    <x v="4"/>
    <x v="3"/>
    <x v="1"/>
    <s v="GTX Plus Pro"/>
    <s v="Singletechno"/>
    <x v="1"/>
    <d v="2017-05-25T00:00:00"/>
    <x v="6"/>
    <m/>
  </r>
  <r>
    <x v="3424"/>
    <x v="4"/>
    <x v="3"/>
    <x v="1"/>
    <s v="MG Special"/>
    <s v="Genco Pura Olive Oil Company"/>
    <x v="1"/>
    <d v="2017-05-25T00:00:00"/>
    <x v="6"/>
    <m/>
  </r>
  <r>
    <x v="3425"/>
    <x v="3"/>
    <x v="0"/>
    <x v="0"/>
    <s v="GTX Plus Basic"/>
    <s v="Dontechi"/>
    <x v="2"/>
    <d v="2017-05-26T00:00:00"/>
    <x v="141"/>
    <n v="0"/>
  </r>
  <r>
    <x v="3426"/>
    <x v="3"/>
    <x v="0"/>
    <x v="0"/>
    <s v="MG Advanced"/>
    <s v="Rangreen"/>
    <x v="2"/>
    <d v="2017-05-26T00:00:00"/>
    <x v="148"/>
    <n v="0"/>
  </r>
  <r>
    <x v="3427"/>
    <x v="25"/>
    <x v="4"/>
    <x v="2"/>
    <s v="MG Advanced"/>
    <m/>
    <x v="1"/>
    <d v="2017-05-26T00:00:00"/>
    <x v="6"/>
    <m/>
  </r>
  <r>
    <x v="3428"/>
    <x v="25"/>
    <x v="4"/>
    <x v="2"/>
    <s v="GTX Basic"/>
    <s v="Silis"/>
    <x v="0"/>
    <d v="2017-05-26T00:00:00"/>
    <x v="152"/>
    <n v="561"/>
  </r>
  <r>
    <x v="3429"/>
    <x v="25"/>
    <x v="4"/>
    <x v="2"/>
    <s v="GTX Plus Basic"/>
    <s v="Zathunicon"/>
    <x v="0"/>
    <d v="2017-05-26T00:00:00"/>
    <x v="133"/>
    <n v="1354"/>
  </r>
  <r>
    <x v="3430"/>
    <x v="23"/>
    <x v="4"/>
    <x v="2"/>
    <s v="MG Special"/>
    <s v="The New York Inquirer"/>
    <x v="0"/>
    <d v="2017-05-26T00:00:00"/>
    <x v="153"/>
    <n v="44"/>
  </r>
  <r>
    <x v="3431"/>
    <x v="27"/>
    <x v="5"/>
    <x v="2"/>
    <s v="GTX Basic"/>
    <s v="Mathtouch"/>
    <x v="0"/>
    <d v="2017-05-26T00:00:00"/>
    <x v="153"/>
    <n v="560"/>
  </r>
  <r>
    <x v="3432"/>
    <x v="27"/>
    <x v="5"/>
    <x v="2"/>
    <s v="GTXPro"/>
    <s v="Donquadtech"/>
    <x v="0"/>
    <d v="2017-05-26T00:00:00"/>
    <x v="73"/>
    <n v="5324"/>
  </r>
  <r>
    <x v="3433"/>
    <x v="10"/>
    <x v="3"/>
    <x v="1"/>
    <s v="MG Advanced"/>
    <m/>
    <x v="1"/>
    <d v="2017-05-26T00:00:00"/>
    <x v="6"/>
    <m/>
  </r>
  <r>
    <x v="3434"/>
    <x v="10"/>
    <x v="3"/>
    <x v="1"/>
    <s v="MG Advanced"/>
    <m/>
    <x v="1"/>
    <d v="2017-05-26T00:00:00"/>
    <x v="6"/>
    <m/>
  </r>
  <r>
    <x v="3435"/>
    <x v="7"/>
    <x v="2"/>
    <x v="1"/>
    <s v="GTX Plus Basic"/>
    <s v="Zoomit"/>
    <x v="1"/>
    <d v="2017-05-26T00:00:00"/>
    <x v="6"/>
    <m/>
  </r>
  <r>
    <x v="3436"/>
    <x v="16"/>
    <x v="2"/>
    <x v="1"/>
    <s v="GTXPro"/>
    <s v="Conecom"/>
    <x v="1"/>
    <d v="2017-05-26T00:00:00"/>
    <x v="6"/>
    <m/>
  </r>
  <r>
    <x v="3437"/>
    <x v="16"/>
    <x v="2"/>
    <x v="1"/>
    <s v="GTXPro"/>
    <s v="Faxquote"/>
    <x v="0"/>
    <d v="2017-05-26T00:00:00"/>
    <x v="178"/>
    <n v="4924"/>
  </r>
  <r>
    <x v="3438"/>
    <x v="18"/>
    <x v="2"/>
    <x v="1"/>
    <s v="GTX Basic"/>
    <s v="Golddex"/>
    <x v="0"/>
    <d v="2017-05-26T00:00:00"/>
    <x v="109"/>
    <n v="571"/>
  </r>
  <r>
    <x v="3439"/>
    <x v="18"/>
    <x v="2"/>
    <x v="1"/>
    <s v="MG Advanced"/>
    <s v="Konex"/>
    <x v="0"/>
    <d v="2017-05-26T00:00:00"/>
    <x v="116"/>
    <n v="4022"/>
  </r>
  <r>
    <x v="3440"/>
    <x v="24"/>
    <x v="0"/>
    <x v="0"/>
    <s v="GTX Basic"/>
    <s v="Rundofase"/>
    <x v="2"/>
    <d v="2017-05-26T00:00:00"/>
    <x v="116"/>
    <n v="0"/>
  </r>
  <r>
    <x v="3441"/>
    <x v="9"/>
    <x v="2"/>
    <x v="1"/>
    <s v="MG Special"/>
    <s v="Groovestreet"/>
    <x v="2"/>
    <d v="2017-05-26T00:00:00"/>
    <x v="161"/>
    <n v="0"/>
  </r>
  <r>
    <x v="3442"/>
    <x v="9"/>
    <x v="2"/>
    <x v="1"/>
    <s v="GTX Plus Basic"/>
    <s v="Faxquote"/>
    <x v="0"/>
    <d v="2017-05-26T00:00:00"/>
    <x v="82"/>
    <n v="1030"/>
  </r>
  <r>
    <x v="3443"/>
    <x v="0"/>
    <x v="0"/>
    <x v="0"/>
    <s v="MG Advanced"/>
    <s v="Bioholding"/>
    <x v="2"/>
    <d v="2017-05-26T00:00:00"/>
    <x v="128"/>
    <n v="0"/>
  </r>
  <r>
    <x v="3444"/>
    <x v="6"/>
    <x v="1"/>
    <x v="0"/>
    <s v="MG Special"/>
    <s v="Streethex"/>
    <x v="2"/>
    <d v="2017-05-26T00:00:00"/>
    <x v="66"/>
    <n v="0"/>
  </r>
  <r>
    <x v="3445"/>
    <x v="12"/>
    <x v="0"/>
    <x v="0"/>
    <s v="MG Special"/>
    <s v="Codehow"/>
    <x v="2"/>
    <d v="2017-05-26T00:00:00"/>
    <x v="172"/>
    <n v="0"/>
  </r>
  <r>
    <x v="3446"/>
    <x v="4"/>
    <x v="3"/>
    <x v="1"/>
    <s v="GTX Basic"/>
    <s v="Hatfan"/>
    <x v="2"/>
    <d v="2017-05-26T00:00:00"/>
    <x v="126"/>
    <n v="0"/>
  </r>
  <r>
    <x v="3447"/>
    <x v="4"/>
    <x v="3"/>
    <x v="1"/>
    <s v="GTXPro"/>
    <s v="Kan-code"/>
    <x v="0"/>
    <d v="2017-05-26T00:00:00"/>
    <x v="177"/>
    <n v="5074"/>
  </r>
  <r>
    <x v="3448"/>
    <x v="15"/>
    <x v="5"/>
    <x v="2"/>
    <s v="MG Special"/>
    <s v="Zoomit"/>
    <x v="1"/>
    <d v="2017-05-26T00:00:00"/>
    <x v="6"/>
    <m/>
  </r>
  <r>
    <x v="3449"/>
    <x v="20"/>
    <x v="5"/>
    <x v="2"/>
    <s v="GTX Plus Pro"/>
    <s v="Vehement Capital Partners"/>
    <x v="0"/>
    <d v="2017-05-26T00:00:00"/>
    <x v="178"/>
    <n v="5198"/>
  </r>
  <r>
    <x v="3450"/>
    <x v="2"/>
    <x v="2"/>
    <x v="1"/>
    <s v="GTX Basic"/>
    <m/>
    <x v="1"/>
    <d v="2017-05-26T00:00:00"/>
    <x v="6"/>
    <m/>
  </r>
  <r>
    <x v="3451"/>
    <x v="2"/>
    <x v="2"/>
    <x v="1"/>
    <s v="GTX Plus Pro"/>
    <s v="Faxquote"/>
    <x v="2"/>
    <d v="2017-05-26T00:00:00"/>
    <x v="144"/>
    <n v="0"/>
  </r>
  <r>
    <x v="3452"/>
    <x v="3"/>
    <x v="0"/>
    <x v="0"/>
    <s v="MG Special"/>
    <s v="Betatech"/>
    <x v="2"/>
    <d v="2017-05-27T00:00:00"/>
    <x v="162"/>
    <n v="0"/>
  </r>
  <r>
    <x v="3453"/>
    <x v="3"/>
    <x v="0"/>
    <x v="0"/>
    <s v="GTX Basic"/>
    <s v="Conecom"/>
    <x v="0"/>
    <d v="2017-05-27T00:00:00"/>
    <x v="142"/>
    <n v="576"/>
  </r>
  <r>
    <x v="3454"/>
    <x v="3"/>
    <x v="0"/>
    <x v="0"/>
    <s v="MG Special"/>
    <s v="Stanredtax"/>
    <x v="0"/>
    <d v="2017-05-27T00:00:00"/>
    <x v="134"/>
    <n v="57"/>
  </r>
  <r>
    <x v="3455"/>
    <x v="23"/>
    <x v="4"/>
    <x v="2"/>
    <s v="GTXPro"/>
    <s v="Konex"/>
    <x v="2"/>
    <d v="2017-05-27T00:00:00"/>
    <x v="124"/>
    <n v="0"/>
  </r>
  <r>
    <x v="3456"/>
    <x v="28"/>
    <x v="0"/>
    <x v="0"/>
    <s v="MG Advanced"/>
    <s v="Condax"/>
    <x v="2"/>
    <d v="2017-05-27T00:00:00"/>
    <x v="48"/>
    <n v="0"/>
  </r>
  <r>
    <x v="3457"/>
    <x v="13"/>
    <x v="4"/>
    <x v="2"/>
    <s v="GTXPro"/>
    <s v="Dontechi"/>
    <x v="1"/>
    <d v="2017-05-27T00:00:00"/>
    <x v="6"/>
    <m/>
  </r>
  <r>
    <x v="3458"/>
    <x v="13"/>
    <x v="4"/>
    <x v="2"/>
    <s v="GTXPro"/>
    <m/>
    <x v="1"/>
    <d v="2017-05-27T00:00:00"/>
    <x v="6"/>
    <m/>
  </r>
  <r>
    <x v="3459"/>
    <x v="1"/>
    <x v="1"/>
    <x v="0"/>
    <s v="GTXPro"/>
    <s v="Codehow"/>
    <x v="2"/>
    <d v="2017-05-27T00:00:00"/>
    <x v="156"/>
    <n v="0"/>
  </r>
  <r>
    <x v="3460"/>
    <x v="1"/>
    <x v="1"/>
    <x v="0"/>
    <s v="GTXPro"/>
    <s v="Scottech"/>
    <x v="0"/>
    <d v="2017-05-27T00:00:00"/>
    <x v="161"/>
    <n v="4432"/>
  </r>
  <r>
    <x v="3461"/>
    <x v="26"/>
    <x v="4"/>
    <x v="2"/>
    <s v="GTX Basic"/>
    <s v="Kinnamplus"/>
    <x v="0"/>
    <d v="2017-05-27T00:00:00"/>
    <x v="145"/>
    <n v="481"/>
  </r>
  <r>
    <x v="3462"/>
    <x v="7"/>
    <x v="2"/>
    <x v="1"/>
    <s v="GTX Plus Pro"/>
    <s v="Y-corporation"/>
    <x v="2"/>
    <d v="2017-05-27T00:00:00"/>
    <x v="161"/>
    <n v="0"/>
  </r>
  <r>
    <x v="3463"/>
    <x v="7"/>
    <x v="2"/>
    <x v="1"/>
    <s v="GTXPro"/>
    <s v="Newex"/>
    <x v="0"/>
    <d v="2017-05-27T00:00:00"/>
    <x v="146"/>
    <n v="5293"/>
  </r>
  <r>
    <x v="3464"/>
    <x v="29"/>
    <x v="1"/>
    <x v="0"/>
    <s v="GTXPro"/>
    <s v="Codehow"/>
    <x v="2"/>
    <d v="2017-05-27T00:00:00"/>
    <x v="112"/>
    <n v="0"/>
  </r>
  <r>
    <x v="3465"/>
    <x v="29"/>
    <x v="1"/>
    <x v="0"/>
    <s v="GTX Plus Pro"/>
    <s v="Hottechi"/>
    <x v="0"/>
    <d v="2017-05-27T00:00:00"/>
    <x v="150"/>
    <n v="5769"/>
  </r>
  <r>
    <x v="3466"/>
    <x v="29"/>
    <x v="1"/>
    <x v="0"/>
    <s v="GTXPro"/>
    <s v="Globex Corporation"/>
    <x v="0"/>
    <d v="2017-05-27T00:00:00"/>
    <x v="145"/>
    <n v="4929"/>
  </r>
  <r>
    <x v="3467"/>
    <x v="29"/>
    <x v="1"/>
    <x v="0"/>
    <s v="GTXPro"/>
    <s v="Rundofase"/>
    <x v="0"/>
    <d v="2017-05-27T00:00:00"/>
    <x v="129"/>
    <n v="4924"/>
  </r>
  <r>
    <x v="3468"/>
    <x v="16"/>
    <x v="2"/>
    <x v="1"/>
    <s v="GTX Plus Basic"/>
    <s v="Blackzim"/>
    <x v="2"/>
    <d v="2017-05-27T00:00:00"/>
    <x v="124"/>
    <n v="0"/>
  </r>
  <r>
    <x v="3469"/>
    <x v="18"/>
    <x v="2"/>
    <x v="1"/>
    <s v="GTX Plus Pro"/>
    <s v="Faxquote"/>
    <x v="0"/>
    <d v="2017-05-27T00:00:00"/>
    <x v="107"/>
    <n v="5312"/>
  </r>
  <r>
    <x v="3470"/>
    <x v="18"/>
    <x v="2"/>
    <x v="1"/>
    <s v="MG Special"/>
    <s v="Nam-zim"/>
    <x v="0"/>
    <d v="2017-05-27T00:00:00"/>
    <x v="52"/>
    <n v="66"/>
  </r>
  <r>
    <x v="3471"/>
    <x v="22"/>
    <x v="1"/>
    <x v="0"/>
    <s v="GTX Plus Basic"/>
    <s v="Toughzap"/>
    <x v="0"/>
    <d v="2017-05-27T00:00:00"/>
    <x v="70"/>
    <n v="1115"/>
  </r>
  <r>
    <x v="3472"/>
    <x v="22"/>
    <x v="1"/>
    <x v="0"/>
    <s v="MG Advanced"/>
    <s v="Conecom"/>
    <x v="0"/>
    <d v="2017-05-27T00:00:00"/>
    <x v="147"/>
    <n v="3407"/>
  </r>
  <r>
    <x v="3473"/>
    <x v="6"/>
    <x v="1"/>
    <x v="0"/>
    <s v="GTX Basic"/>
    <s v="Cancity"/>
    <x v="0"/>
    <d v="2017-05-27T00:00:00"/>
    <x v="142"/>
    <n v="540"/>
  </r>
  <r>
    <x v="3474"/>
    <x v="19"/>
    <x v="4"/>
    <x v="2"/>
    <s v="GTX Plus Basic"/>
    <s v="Acme Corporation"/>
    <x v="0"/>
    <d v="2017-05-27T00:00:00"/>
    <x v="164"/>
    <n v="1095"/>
  </r>
  <r>
    <x v="3475"/>
    <x v="19"/>
    <x v="4"/>
    <x v="2"/>
    <s v="GTX Plus Basic"/>
    <s v="Silis"/>
    <x v="0"/>
    <d v="2017-05-27T00:00:00"/>
    <x v="147"/>
    <n v="1019"/>
  </r>
  <r>
    <x v="3476"/>
    <x v="4"/>
    <x v="3"/>
    <x v="1"/>
    <s v="GTX Plus Basic"/>
    <s v="Green-Plus"/>
    <x v="2"/>
    <d v="2017-05-27T00:00:00"/>
    <x v="77"/>
    <n v="0"/>
  </r>
  <r>
    <x v="3477"/>
    <x v="4"/>
    <x v="3"/>
    <x v="1"/>
    <s v="GTXPro"/>
    <s v="Scotfind"/>
    <x v="2"/>
    <d v="2017-05-27T00:00:00"/>
    <x v="150"/>
    <n v="0"/>
  </r>
  <r>
    <x v="3478"/>
    <x v="4"/>
    <x v="3"/>
    <x v="1"/>
    <s v="GTXPro"/>
    <s v="Green-Plus"/>
    <x v="0"/>
    <d v="2017-05-27T00:00:00"/>
    <x v="163"/>
    <n v="4477"/>
  </r>
  <r>
    <x v="3479"/>
    <x v="4"/>
    <x v="3"/>
    <x v="1"/>
    <s v="GTXPro"/>
    <s v="Hatfan"/>
    <x v="0"/>
    <d v="2017-05-27T00:00:00"/>
    <x v="42"/>
    <n v="4644"/>
  </r>
  <r>
    <x v="3480"/>
    <x v="3"/>
    <x v="0"/>
    <x v="0"/>
    <s v="GTX Basic"/>
    <s v="Finhigh"/>
    <x v="2"/>
    <d v="2017-05-28T00:00:00"/>
    <x v="136"/>
    <n v="0"/>
  </r>
  <r>
    <x v="3481"/>
    <x v="3"/>
    <x v="0"/>
    <x v="0"/>
    <s v="GTX Plus Basic"/>
    <s v="Cancity"/>
    <x v="2"/>
    <d v="2017-05-28T00:00:00"/>
    <x v="68"/>
    <n v="0"/>
  </r>
  <r>
    <x v="3482"/>
    <x v="25"/>
    <x v="4"/>
    <x v="2"/>
    <s v="GTX Plus Pro"/>
    <m/>
    <x v="1"/>
    <d v="2017-05-28T00:00:00"/>
    <x v="6"/>
    <m/>
  </r>
  <r>
    <x v="3483"/>
    <x v="25"/>
    <x v="4"/>
    <x v="2"/>
    <s v="GTX Plus Basic"/>
    <s v="Zotware"/>
    <x v="0"/>
    <d v="2017-05-28T00:00:00"/>
    <x v="85"/>
    <n v="940"/>
  </r>
  <r>
    <x v="3484"/>
    <x v="13"/>
    <x v="4"/>
    <x v="2"/>
    <s v="GTXPro"/>
    <s v="Acme Corporation"/>
    <x v="0"/>
    <d v="2017-05-28T00:00:00"/>
    <x v="52"/>
    <n v="5378"/>
  </r>
  <r>
    <x v="3485"/>
    <x v="13"/>
    <x v="4"/>
    <x v="2"/>
    <s v="GTXPro"/>
    <s v="Kan-code"/>
    <x v="0"/>
    <d v="2017-05-28T00:00:00"/>
    <x v="75"/>
    <n v="4712"/>
  </r>
  <r>
    <x v="3486"/>
    <x v="1"/>
    <x v="1"/>
    <x v="0"/>
    <s v="GTX Plus Basic"/>
    <s v="Bioholding"/>
    <x v="0"/>
    <d v="2017-05-28T00:00:00"/>
    <x v="149"/>
    <n v="1118"/>
  </r>
  <r>
    <x v="3487"/>
    <x v="26"/>
    <x v="4"/>
    <x v="2"/>
    <s v="GTX Plus Pro"/>
    <s v="Ganjaflex"/>
    <x v="0"/>
    <d v="2017-05-28T00:00:00"/>
    <x v="138"/>
    <n v="5695"/>
  </r>
  <r>
    <x v="3488"/>
    <x v="26"/>
    <x v="4"/>
    <x v="2"/>
    <s v="GTXPro"/>
    <s v="Yearin"/>
    <x v="0"/>
    <d v="2017-05-28T00:00:00"/>
    <x v="129"/>
    <n v="4462"/>
  </r>
  <r>
    <x v="3489"/>
    <x v="21"/>
    <x v="5"/>
    <x v="2"/>
    <s v="GTXPro"/>
    <s v="Plussunin"/>
    <x v="2"/>
    <d v="2017-05-28T00:00:00"/>
    <x v="155"/>
    <n v="0"/>
  </r>
  <r>
    <x v="3490"/>
    <x v="10"/>
    <x v="3"/>
    <x v="1"/>
    <s v="MG Advanced"/>
    <s v="Singletechno"/>
    <x v="0"/>
    <d v="2017-05-28T00:00:00"/>
    <x v="146"/>
    <n v="3701"/>
  </r>
  <r>
    <x v="3491"/>
    <x v="18"/>
    <x v="2"/>
    <x v="1"/>
    <s v="GTX Plus Basic"/>
    <s v="Ontomedia"/>
    <x v="1"/>
    <d v="2017-05-28T00:00:00"/>
    <x v="6"/>
    <m/>
  </r>
  <r>
    <x v="3492"/>
    <x v="5"/>
    <x v="3"/>
    <x v="1"/>
    <s v="GTX Basic"/>
    <m/>
    <x v="1"/>
    <d v="2017-05-28T00:00:00"/>
    <x v="6"/>
    <m/>
  </r>
  <r>
    <x v="3493"/>
    <x v="5"/>
    <x v="3"/>
    <x v="1"/>
    <s v="GTX Plus Basic"/>
    <s v="J-Texon"/>
    <x v="0"/>
    <d v="2017-05-28T00:00:00"/>
    <x v="85"/>
    <n v="941"/>
  </r>
  <r>
    <x v="3494"/>
    <x v="9"/>
    <x v="2"/>
    <x v="1"/>
    <s v="GTX Plus Basic"/>
    <s v="Hatfan"/>
    <x v="0"/>
    <d v="2017-05-28T00:00:00"/>
    <x v="48"/>
    <n v="1171"/>
  </r>
  <r>
    <x v="3495"/>
    <x v="11"/>
    <x v="3"/>
    <x v="1"/>
    <s v="GTK 500"/>
    <s v="Rantouch"/>
    <x v="0"/>
    <d v="2017-05-28T00:00:00"/>
    <x v="146"/>
    <n v="24899"/>
  </r>
  <r>
    <x v="3496"/>
    <x v="11"/>
    <x v="3"/>
    <x v="1"/>
    <s v="MG Advanced"/>
    <s v="Rantouch"/>
    <x v="0"/>
    <d v="2017-05-28T00:00:00"/>
    <x v="177"/>
    <n v="3418"/>
  </r>
  <r>
    <x v="3497"/>
    <x v="4"/>
    <x v="3"/>
    <x v="1"/>
    <s v="GTX Basic"/>
    <s v="Hottechi"/>
    <x v="0"/>
    <d v="2017-05-28T00:00:00"/>
    <x v="85"/>
    <n v="537"/>
  </r>
  <r>
    <x v="3498"/>
    <x v="2"/>
    <x v="2"/>
    <x v="1"/>
    <s v="GTXPro"/>
    <m/>
    <x v="1"/>
    <d v="2017-05-28T00:00:00"/>
    <x v="6"/>
    <m/>
  </r>
  <r>
    <x v="3499"/>
    <x v="2"/>
    <x v="2"/>
    <x v="1"/>
    <s v="GTX Plus Basic"/>
    <s v="Rantouch"/>
    <x v="0"/>
    <d v="2017-05-28T00:00:00"/>
    <x v="107"/>
    <n v="1053"/>
  </r>
  <r>
    <x v="3500"/>
    <x v="3"/>
    <x v="0"/>
    <x v="0"/>
    <s v="GTX Basic"/>
    <s v="Genco Pura Olive Oil Company"/>
    <x v="0"/>
    <d v="2017-05-29T00:00:00"/>
    <x v="80"/>
    <n v="497"/>
  </r>
  <r>
    <x v="3501"/>
    <x v="25"/>
    <x v="4"/>
    <x v="2"/>
    <s v="GTX Plus Pro"/>
    <s v="Zencorporation"/>
    <x v="0"/>
    <d v="2017-05-29T00:00:00"/>
    <x v="160"/>
    <n v="5714"/>
  </r>
  <r>
    <x v="3502"/>
    <x v="28"/>
    <x v="0"/>
    <x v="0"/>
    <s v="GTX Basic"/>
    <s v="Bioholding"/>
    <x v="0"/>
    <d v="2017-05-29T00:00:00"/>
    <x v="175"/>
    <n v="611"/>
  </r>
  <r>
    <x v="3503"/>
    <x v="27"/>
    <x v="5"/>
    <x v="2"/>
    <s v="GTXPro"/>
    <s v="Zathunicon"/>
    <x v="1"/>
    <d v="2017-05-29T00:00:00"/>
    <x v="6"/>
    <m/>
  </r>
  <r>
    <x v="3504"/>
    <x v="27"/>
    <x v="5"/>
    <x v="2"/>
    <s v="GTXPro"/>
    <s v="Opentech"/>
    <x v="0"/>
    <d v="2017-05-29T00:00:00"/>
    <x v="80"/>
    <n v="5642"/>
  </r>
  <r>
    <x v="3505"/>
    <x v="27"/>
    <x v="5"/>
    <x v="2"/>
    <s v="GTXPro"/>
    <s v="Umbrella Corporation"/>
    <x v="0"/>
    <d v="2017-05-29T00:00:00"/>
    <x v="80"/>
    <n v="5081"/>
  </r>
  <r>
    <x v="3506"/>
    <x v="1"/>
    <x v="1"/>
    <x v="0"/>
    <s v="GTXPro"/>
    <s v="Cancity"/>
    <x v="0"/>
    <d v="2017-05-29T00:00:00"/>
    <x v="110"/>
    <n v="3985"/>
  </r>
  <r>
    <x v="3507"/>
    <x v="26"/>
    <x v="4"/>
    <x v="2"/>
    <s v="MG Advanced"/>
    <s v="Bluth Company"/>
    <x v="0"/>
    <d v="2017-05-29T00:00:00"/>
    <x v="80"/>
    <n v="3313"/>
  </r>
  <r>
    <x v="3508"/>
    <x v="14"/>
    <x v="3"/>
    <x v="1"/>
    <s v="MG Advanced"/>
    <s v="Plexzap"/>
    <x v="0"/>
    <d v="2017-05-29T00:00:00"/>
    <x v="80"/>
    <n v="3850"/>
  </r>
  <r>
    <x v="3509"/>
    <x v="8"/>
    <x v="1"/>
    <x v="0"/>
    <s v="GTX Plus Basic"/>
    <s v="Scottech"/>
    <x v="0"/>
    <d v="2017-05-29T00:00:00"/>
    <x v="112"/>
    <n v="917"/>
  </r>
  <r>
    <x v="3510"/>
    <x v="8"/>
    <x v="1"/>
    <x v="0"/>
    <s v="MG Special"/>
    <s v="Streethex"/>
    <x v="0"/>
    <d v="2017-05-29T00:00:00"/>
    <x v="143"/>
    <n v="56"/>
  </r>
  <r>
    <x v="3511"/>
    <x v="7"/>
    <x v="2"/>
    <x v="1"/>
    <s v="GTX Basic"/>
    <m/>
    <x v="1"/>
    <d v="2017-05-29T00:00:00"/>
    <x v="6"/>
    <m/>
  </r>
  <r>
    <x v="3512"/>
    <x v="7"/>
    <x v="2"/>
    <x v="1"/>
    <s v="MG Advanced"/>
    <s v="Lexiqvolax"/>
    <x v="2"/>
    <d v="2017-05-29T00:00:00"/>
    <x v="156"/>
    <n v="0"/>
  </r>
  <r>
    <x v="3513"/>
    <x v="7"/>
    <x v="2"/>
    <x v="1"/>
    <s v="GTXPro"/>
    <s v="Newex"/>
    <x v="0"/>
    <d v="2017-05-29T00:00:00"/>
    <x v="109"/>
    <n v="5194"/>
  </r>
  <r>
    <x v="3514"/>
    <x v="29"/>
    <x v="1"/>
    <x v="0"/>
    <s v="GTX Plus Basic"/>
    <s v="Bioholding"/>
    <x v="2"/>
    <d v="2017-05-29T00:00:00"/>
    <x v="175"/>
    <n v="0"/>
  </r>
  <r>
    <x v="3515"/>
    <x v="16"/>
    <x v="2"/>
    <x v="1"/>
    <s v="GTX Plus Basic"/>
    <s v="Dontechi"/>
    <x v="1"/>
    <d v="2017-05-29T00:00:00"/>
    <x v="6"/>
    <m/>
  </r>
  <r>
    <x v="3516"/>
    <x v="18"/>
    <x v="2"/>
    <x v="1"/>
    <s v="GTXPro"/>
    <m/>
    <x v="1"/>
    <d v="2017-05-29T00:00:00"/>
    <x v="6"/>
    <m/>
  </r>
  <r>
    <x v="3517"/>
    <x v="18"/>
    <x v="2"/>
    <x v="1"/>
    <s v="GTX Plus Basic"/>
    <s v="Golddex"/>
    <x v="0"/>
    <d v="2017-05-29T00:00:00"/>
    <x v="150"/>
    <n v="1002"/>
  </r>
  <r>
    <x v="3518"/>
    <x v="18"/>
    <x v="2"/>
    <x v="1"/>
    <s v="GTX Plus Pro"/>
    <s v="Hottechi"/>
    <x v="0"/>
    <d v="2017-05-29T00:00:00"/>
    <x v="150"/>
    <n v="6042"/>
  </r>
  <r>
    <x v="3519"/>
    <x v="5"/>
    <x v="3"/>
    <x v="1"/>
    <s v="GTX Plus Pro"/>
    <s v="Sonron"/>
    <x v="0"/>
    <d v="2017-05-29T00:00:00"/>
    <x v="75"/>
    <n v="4423"/>
  </r>
  <r>
    <x v="3520"/>
    <x v="5"/>
    <x v="3"/>
    <x v="1"/>
    <s v="MG Special"/>
    <s v="Groovestreet"/>
    <x v="0"/>
    <d v="2017-05-29T00:00:00"/>
    <x v="156"/>
    <n v="45"/>
  </r>
  <r>
    <x v="3521"/>
    <x v="11"/>
    <x v="3"/>
    <x v="1"/>
    <s v="GTX Basic"/>
    <m/>
    <x v="1"/>
    <d v="2017-05-29T00:00:00"/>
    <x v="6"/>
    <m/>
  </r>
  <r>
    <x v="3522"/>
    <x v="11"/>
    <x v="3"/>
    <x v="1"/>
    <s v="GTK 500"/>
    <s v="Kan-code"/>
    <x v="0"/>
    <d v="2017-05-29T00:00:00"/>
    <x v="175"/>
    <n v="25791"/>
  </r>
  <r>
    <x v="3523"/>
    <x v="17"/>
    <x v="5"/>
    <x v="2"/>
    <s v="MG Advanced"/>
    <s v="Mathtouch"/>
    <x v="0"/>
    <d v="2017-05-29T00:00:00"/>
    <x v="69"/>
    <n v="2918"/>
  </r>
  <r>
    <x v="3524"/>
    <x v="12"/>
    <x v="0"/>
    <x v="0"/>
    <s v="GTX Plus Basic"/>
    <s v="Streethex"/>
    <x v="0"/>
    <d v="2017-05-29T00:00:00"/>
    <x v="165"/>
    <n v="959"/>
  </r>
  <r>
    <x v="3525"/>
    <x v="2"/>
    <x v="2"/>
    <x v="1"/>
    <s v="GTXPro"/>
    <m/>
    <x v="1"/>
    <d v="2017-05-29T00:00:00"/>
    <x v="6"/>
    <m/>
  </r>
  <r>
    <x v="3526"/>
    <x v="2"/>
    <x v="2"/>
    <x v="1"/>
    <s v="GTXPro"/>
    <s v="Green-Plus"/>
    <x v="0"/>
    <d v="2017-05-29T00:00:00"/>
    <x v="47"/>
    <n v="5532"/>
  </r>
  <r>
    <x v="3527"/>
    <x v="25"/>
    <x v="4"/>
    <x v="2"/>
    <s v="GTX Plus Basic"/>
    <s v="Ontomedia"/>
    <x v="2"/>
    <d v="2017-05-30T00:00:00"/>
    <x v="109"/>
    <n v="0"/>
  </r>
  <r>
    <x v="3528"/>
    <x v="27"/>
    <x v="5"/>
    <x v="2"/>
    <s v="GTXPro"/>
    <s v="Xx-zobam"/>
    <x v="0"/>
    <d v="2017-05-30T00:00:00"/>
    <x v="47"/>
    <n v="4687"/>
  </r>
  <r>
    <x v="3529"/>
    <x v="1"/>
    <x v="1"/>
    <x v="0"/>
    <s v="GTX Basic"/>
    <s v="dambase"/>
    <x v="0"/>
    <d v="2017-05-30T00:00:00"/>
    <x v="92"/>
    <n v="602"/>
  </r>
  <r>
    <x v="3530"/>
    <x v="26"/>
    <x v="4"/>
    <x v="2"/>
    <s v="GTX Basic"/>
    <s v="Condax"/>
    <x v="0"/>
    <d v="2017-05-30T00:00:00"/>
    <x v="133"/>
    <n v="595"/>
  </r>
  <r>
    <x v="3531"/>
    <x v="8"/>
    <x v="1"/>
    <x v="0"/>
    <s v="GTXPro"/>
    <s v="Funholding"/>
    <x v="2"/>
    <d v="2017-05-30T00:00:00"/>
    <x v="144"/>
    <n v="0"/>
  </r>
  <r>
    <x v="3532"/>
    <x v="16"/>
    <x v="2"/>
    <x v="1"/>
    <s v="GTX Basic"/>
    <s v="Zoomit"/>
    <x v="2"/>
    <d v="2017-05-30T00:00:00"/>
    <x v="129"/>
    <n v="0"/>
  </r>
  <r>
    <x v="3533"/>
    <x v="18"/>
    <x v="2"/>
    <x v="1"/>
    <s v="MG Advanced"/>
    <s v="Blackzim"/>
    <x v="0"/>
    <d v="2017-05-30T00:00:00"/>
    <x v="142"/>
    <n v="2868"/>
  </r>
  <r>
    <x v="3534"/>
    <x v="22"/>
    <x v="1"/>
    <x v="0"/>
    <s v="MG Advanced"/>
    <s v="Finhigh"/>
    <x v="0"/>
    <d v="2017-05-30T00:00:00"/>
    <x v="71"/>
    <n v="3236"/>
  </r>
  <r>
    <x v="3535"/>
    <x v="19"/>
    <x v="4"/>
    <x v="2"/>
    <s v="GTXPro"/>
    <s v="Ganjaflex"/>
    <x v="2"/>
    <d v="2017-05-30T00:00:00"/>
    <x v="66"/>
    <n v="0"/>
  </r>
  <r>
    <x v="3536"/>
    <x v="4"/>
    <x v="3"/>
    <x v="1"/>
    <s v="GTX Basic"/>
    <s v="Golddex"/>
    <x v="0"/>
    <d v="2017-05-30T00:00:00"/>
    <x v="141"/>
    <n v="524"/>
  </r>
  <r>
    <x v="3537"/>
    <x v="4"/>
    <x v="3"/>
    <x v="1"/>
    <s v="GTX Plus Pro"/>
    <s v="Golddex"/>
    <x v="0"/>
    <d v="2017-05-30T00:00:00"/>
    <x v="141"/>
    <n v="5631"/>
  </r>
  <r>
    <x v="3538"/>
    <x v="20"/>
    <x v="5"/>
    <x v="2"/>
    <s v="MG Advanced"/>
    <m/>
    <x v="1"/>
    <d v="2017-05-30T00:00:00"/>
    <x v="6"/>
    <m/>
  </r>
  <r>
    <x v="3539"/>
    <x v="2"/>
    <x v="2"/>
    <x v="1"/>
    <s v="GTX Plus Pro"/>
    <s v="Sonron"/>
    <x v="0"/>
    <d v="2017-05-30T00:00:00"/>
    <x v="161"/>
    <n v="5572"/>
  </r>
  <r>
    <x v="3540"/>
    <x v="2"/>
    <x v="2"/>
    <x v="1"/>
    <s v="GTXPro"/>
    <s v="Condax"/>
    <x v="0"/>
    <d v="2017-05-30T00:00:00"/>
    <x v="48"/>
    <n v="5644"/>
  </r>
  <r>
    <x v="3541"/>
    <x v="28"/>
    <x v="0"/>
    <x v="0"/>
    <s v="GTX Plus Pro"/>
    <s v="Zumgoity"/>
    <x v="2"/>
    <d v="2017-05-31T00:00:00"/>
    <x v="129"/>
    <n v="0"/>
  </r>
  <r>
    <x v="3542"/>
    <x v="13"/>
    <x v="4"/>
    <x v="2"/>
    <s v="GTX Plus Pro"/>
    <s v="Donquadtech"/>
    <x v="2"/>
    <d v="2017-05-31T00:00:00"/>
    <x v="83"/>
    <n v="0"/>
  </r>
  <r>
    <x v="3543"/>
    <x v="1"/>
    <x v="1"/>
    <x v="0"/>
    <s v="GTXPro"/>
    <s v="Inity"/>
    <x v="0"/>
    <d v="2017-05-31T00:00:00"/>
    <x v="43"/>
    <n v="4192"/>
  </r>
  <r>
    <x v="3544"/>
    <x v="14"/>
    <x v="3"/>
    <x v="1"/>
    <s v="MG Special"/>
    <s v="Fasehatice"/>
    <x v="2"/>
    <d v="2017-05-31T00:00:00"/>
    <x v="157"/>
    <n v="0"/>
  </r>
  <r>
    <x v="3545"/>
    <x v="14"/>
    <x v="3"/>
    <x v="1"/>
    <s v="MG Advanced"/>
    <s v="Blackzim"/>
    <x v="2"/>
    <d v="2017-05-31T00:00:00"/>
    <x v="135"/>
    <n v="0"/>
  </r>
  <r>
    <x v="3546"/>
    <x v="14"/>
    <x v="3"/>
    <x v="1"/>
    <s v="MG Special"/>
    <s v="Sonron"/>
    <x v="0"/>
    <d v="2017-05-31T00:00:00"/>
    <x v="76"/>
    <n v="56"/>
  </r>
  <r>
    <x v="3547"/>
    <x v="21"/>
    <x v="5"/>
    <x v="2"/>
    <s v="GTX Basic"/>
    <s v="Gekko &amp; Co"/>
    <x v="0"/>
    <d v="2017-05-31T00:00:00"/>
    <x v="129"/>
    <n v="607"/>
  </r>
  <r>
    <x v="3548"/>
    <x v="8"/>
    <x v="1"/>
    <x v="0"/>
    <s v="MG Special"/>
    <s v="Condax"/>
    <x v="0"/>
    <d v="2017-05-31T00:00:00"/>
    <x v="73"/>
    <n v="48"/>
  </r>
  <r>
    <x v="3549"/>
    <x v="10"/>
    <x v="3"/>
    <x v="1"/>
    <s v="GTX Plus Basic"/>
    <s v="Nam-zim"/>
    <x v="1"/>
    <d v="2017-05-31T00:00:00"/>
    <x v="6"/>
    <m/>
  </r>
  <r>
    <x v="3550"/>
    <x v="7"/>
    <x v="2"/>
    <x v="1"/>
    <s v="GTX Basic"/>
    <s v="Singletechno"/>
    <x v="2"/>
    <d v="2017-05-31T00:00:00"/>
    <x v="156"/>
    <n v="0"/>
  </r>
  <r>
    <x v="3551"/>
    <x v="7"/>
    <x v="2"/>
    <x v="1"/>
    <s v="GTX Basic"/>
    <s v="Blackzim"/>
    <x v="0"/>
    <d v="2017-05-31T00:00:00"/>
    <x v="147"/>
    <n v="570"/>
  </r>
  <r>
    <x v="3552"/>
    <x v="7"/>
    <x v="2"/>
    <x v="1"/>
    <s v="GTX Plus Basic"/>
    <s v="Singletechno"/>
    <x v="0"/>
    <d v="2017-05-31T00:00:00"/>
    <x v="43"/>
    <n v="1056"/>
  </r>
  <r>
    <x v="3553"/>
    <x v="16"/>
    <x v="2"/>
    <x v="1"/>
    <s v="GTX Basic"/>
    <m/>
    <x v="1"/>
    <d v="2017-05-31T00:00:00"/>
    <x v="6"/>
    <m/>
  </r>
  <r>
    <x v="3554"/>
    <x v="16"/>
    <x v="2"/>
    <x v="1"/>
    <s v="GTX Basic"/>
    <s v="Lexiqvolax"/>
    <x v="0"/>
    <d v="2017-05-31T00:00:00"/>
    <x v="142"/>
    <n v="560"/>
  </r>
  <r>
    <x v="3555"/>
    <x v="18"/>
    <x v="2"/>
    <x v="1"/>
    <s v="GTX Plus Pro"/>
    <s v="Plexzap"/>
    <x v="2"/>
    <d v="2017-05-31T00:00:00"/>
    <x v="126"/>
    <n v="0"/>
  </r>
  <r>
    <x v="3556"/>
    <x v="18"/>
    <x v="2"/>
    <x v="1"/>
    <s v="GTX Basic"/>
    <s v="Groovestreet"/>
    <x v="0"/>
    <d v="2017-05-31T00:00:00"/>
    <x v="92"/>
    <n v="588"/>
  </r>
  <r>
    <x v="3557"/>
    <x v="18"/>
    <x v="2"/>
    <x v="1"/>
    <s v="GTXPro"/>
    <s v="Y-corporation"/>
    <x v="0"/>
    <d v="2017-05-31T00:00:00"/>
    <x v="145"/>
    <n v="4356"/>
  </r>
  <r>
    <x v="3558"/>
    <x v="18"/>
    <x v="2"/>
    <x v="1"/>
    <s v="MG Special"/>
    <s v="Labdrill"/>
    <x v="0"/>
    <d v="2017-05-31T00:00:00"/>
    <x v="141"/>
    <n v="69"/>
  </r>
  <r>
    <x v="3559"/>
    <x v="24"/>
    <x v="0"/>
    <x v="0"/>
    <s v="GTX Basic"/>
    <s v="Rangreen"/>
    <x v="0"/>
    <d v="2017-05-31T00:00:00"/>
    <x v="110"/>
    <n v="505"/>
  </r>
  <r>
    <x v="3560"/>
    <x v="5"/>
    <x v="3"/>
    <x v="1"/>
    <s v="GTX Basic"/>
    <s v="Sonron"/>
    <x v="0"/>
    <d v="2017-05-31T00:00:00"/>
    <x v="178"/>
    <n v="510"/>
  </r>
  <r>
    <x v="3561"/>
    <x v="5"/>
    <x v="3"/>
    <x v="1"/>
    <s v="MG Advanced"/>
    <s v="Zoomit"/>
    <x v="0"/>
    <d v="2017-05-31T00:00:00"/>
    <x v="178"/>
    <n v="3722"/>
  </r>
  <r>
    <x v="3562"/>
    <x v="9"/>
    <x v="2"/>
    <x v="1"/>
    <s v="MG Special"/>
    <m/>
    <x v="1"/>
    <d v="2017-05-31T00:00:00"/>
    <x v="6"/>
    <m/>
  </r>
  <r>
    <x v="3563"/>
    <x v="9"/>
    <x v="2"/>
    <x v="1"/>
    <s v="GTX Plus Basic"/>
    <s v="Finjob"/>
    <x v="0"/>
    <d v="2017-05-31T00:00:00"/>
    <x v="110"/>
    <n v="1145"/>
  </r>
  <r>
    <x v="3564"/>
    <x v="0"/>
    <x v="0"/>
    <x v="0"/>
    <s v="MG Special"/>
    <s v="Streethex"/>
    <x v="0"/>
    <d v="2017-05-31T00:00:00"/>
    <x v="151"/>
    <n v="53"/>
  </r>
  <r>
    <x v="3565"/>
    <x v="19"/>
    <x v="4"/>
    <x v="2"/>
    <s v="GTX Plus Basic"/>
    <s v="Kan-code"/>
    <x v="0"/>
    <d v="2017-05-31T00:00:00"/>
    <x v="75"/>
    <n v="1120"/>
  </r>
  <r>
    <x v="3566"/>
    <x v="19"/>
    <x v="4"/>
    <x v="2"/>
    <s v="MG Advanced"/>
    <s v="Initech"/>
    <x v="0"/>
    <d v="2017-05-31T00:00:00"/>
    <x v="179"/>
    <n v="3404"/>
  </r>
  <r>
    <x v="3567"/>
    <x v="12"/>
    <x v="0"/>
    <x v="0"/>
    <s v="MG Advanced"/>
    <s v="Zumgoity"/>
    <x v="2"/>
    <d v="2017-05-31T00:00:00"/>
    <x v="85"/>
    <n v="0"/>
  </r>
  <r>
    <x v="3568"/>
    <x v="12"/>
    <x v="0"/>
    <x v="0"/>
    <s v="MG Special"/>
    <s v="Ron-tech"/>
    <x v="0"/>
    <d v="2017-05-31T00:00:00"/>
    <x v="68"/>
    <n v="46"/>
  </r>
  <r>
    <x v="3569"/>
    <x v="20"/>
    <x v="5"/>
    <x v="2"/>
    <s v="MG Special"/>
    <s v="The New York Inquirer"/>
    <x v="0"/>
    <d v="2017-05-31T00:00:00"/>
    <x v="64"/>
    <n v="53"/>
  </r>
  <r>
    <x v="3570"/>
    <x v="2"/>
    <x v="2"/>
    <x v="1"/>
    <s v="GTX Basic"/>
    <s v="Singletechno"/>
    <x v="2"/>
    <d v="2017-05-31T00:00:00"/>
    <x v="136"/>
    <n v="0"/>
  </r>
  <r>
    <x v="3571"/>
    <x v="2"/>
    <x v="2"/>
    <x v="1"/>
    <s v="GTXPro"/>
    <s v="Condax"/>
    <x v="0"/>
    <d v="2017-05-31T00:00:00"/>
    <x v="48"/>
    <n v="4988"/>
  </r>
  <r>
    <x v="3572"/>
    <x v="2"/>
    <x v="2"/>
    <x v="1"/>
    <s v="MG Special"/>
    <s v="Rantouch"/>
    <x v="0"/>
    <d v="2017-05-31T00:00:00"/>
    <x v="116"/>
    <n v="53"/>
  </r>
  <r>
    <x v="3573"/>
    <x v="3"/>
    <x v="0"/>
    <x v="0"/>
    <s v="GTX Basic"/>
    <s v="Isdom"/>
    <x v="0"/>
    <d v="2017-06-01T00:00:00"/>
    <x v="85"/>
    <n v="523"/>
  </r>
  <r>
    <x v="3574"/>
    <x v="3"/>
    <x v="0"/>
    <x v="0"/>
    <s v="MG Special"/>
    <s v="Hottechi"/>
    <x v="0"/>
    <d v="2017-06-01T00:00:00"/>
    <x v="80"/>
    <n v="63"/>
  </r>
  <r>
    <x v="3575"/>
    <x v="3"/>
    <x v="0"/>
    <x v="0"/>
    <s v="MG Special"/>
    <s v="Stanredtax"/>
    <x v="0"/>
    <d v="2017-06-01T00:00:00"/>
    <x v="146"/>
    <n v="54"/>
  </r>
  <r>
    <x v="3576"/>
    <x v="25"/>
    <x v="4"/>
    <x v="2"/>
    <s v="GTX Plus Pro"/>
    <s v="Yearin"/>
    <x v="0"/>
    <d v="2017-06-01T00:00:00"/>
    <x v="167"/>
    <n v="6117"/>
  </r>
  <r>
    <x v="3577"/>
    <x v="23"/>
    <x v="4"/>
    <x v="2"/>
    <s v="GTX Plus Pro"/>
    <s v="Ontomedia"/>
    <x v="0"/>
    <d v="2017-06-01T00:00:00"/>
    <x v="73"/>
    <n v="5112"/>
  </r>
  <r>
    <x v="3578"/>
    <x v="27"/>
    <x v="5"/>
    <x v="2"/>
    <s v="MG Advanced"/>
    <s v="Kan-code"/>
    <x v="0"/>
    <d v="2017-06-01T00:00:00"/>
    <x v="142"/>
    <n v="3527"/>
  </r>
  <r>
    <x v="3579"/>
    <x v="13"/>
    <x v="4"/>
    <x v="2"/>
    <s v="GTXPro"/>
    <m/>
    <x v="1"/>
    <d v="2017-06-01T00:00:00"/>
    <x v="6"/>
    <m/>
  </r>
  <r>
    <x v="3580"/>
    <x v="1"/>
    <x v="1"/>
    <x v="0"/>
    <s v="GTX Plus Pro"/>
    <s v="Konmatfix"/>
    <x v="2"/>
    <d v="2017-06-01T00:00:00"/>
    <x v="80"/>
    <n v="0"/>
  </r>
  <r>
    <x v="3581"/>
    <x v="1"/>
    <x v="1"/>
    <x v="0"/>
    <s v="MG Special"/>
    <s v="Finhigh"/>
    <x v="2"/>
    <d v="2017-06-01T00:00:00"/>
    <x v="162"/>
    <n v="0"/>
  </r>
  <r>
    <x v="3582"/>
    <x v="1"/>
    <x v="1"/>
    <x v="0"/>
    <s v="MG Advanced"/>
    <s v="Warephase"/>
    <x v="2"/>
    <d v="2017-06-01T00:00:00"/>
    <x v="109"/>
    <n v="0"/>
  </r>
  <r>
    <x v="3583"/>
    <x v="1"/>
    <x v="1"/>
    <x v="0"/>
    <s v="GTX Basic"/>
    <s v="Inity"/>
    <x v="0"/>
    <d v="2017-06-01T00:00:00"/>
    <x v="64"/>
    <n v="565"/>
  </r>
  <r>
    <x v="3584"/>
    <x v="1"/>
    <x v="1"/>
    <x v="0"/>
    <s v="MG Advanced"/>
    <s v="Ron-tech"/>
    <x v="0"/>
    <d v="2017-06-01T00:00:00"/>
    <x v="73"/>
    <n v="3771"/>
  </r>
  <r>
    <x v="3585"/>
    <x v="14"/>
    <x v="3"/>
    <x v="1"/>
    <s v="MG Advanced"/>
    <s v="Fasehatice"/>
    <x v="2"/>
    <d v="2017-06-01T00:00:00"/>
    <x v="128"/>
    <n v="0"/>
  </r>
  <r>
    <x v="3586"/>
    <x v="8"/>
    <x v="1"/>
    <x v="0"/>
    <s v="GTX Plus Pro"/>
    <s v="Scottech"/>
    <x v="0"/>
    <d v="2017-06-01T00:00:00"/>
    <x v="145"/>
    <n v="6274"/>
  </r>
  <r>
    <x v="3587"/>
    <x v="10"/>
    <x v="3"/>
    <x v="1"/>
    <s v="MG Advanced"/>
    <s v="Plexzap"/>
    <x v="2"/>
    <d v="2017-06-01T00:00:00"/>
    <x v="126"/>
    <n v="0"/>
  </r>
  <r>
    <x v="3588"/>
    <x v="10"/>
    <x v="3"/>
    <x v="1"/>
    <s v="MG Advanced"/>
    <s v="Sunnamplex"/>
    <x v="0"/>
    <d v="2017-06-01T00:00:00"/>
    <x v="150"/>
    <n v="3480"/>
  </r>
  <r>
    <x v="3589"/>
    <x v="7"/>
    <x v="2"/>
    <x v="1"/>
    <s v="GTX Plus Pro"/>
    <s v="Fasehatice"/>
    <x v="0"/>
    <d v="2017-06-01T00:00:00"/>
    <x v="122"/>
    <n v="5770"/>
  </r>
  <r>
    <x v="3590"/>
    <x v="18"/>
    <x v="2"/>
    <x v="1"/>
    <s v="MG Advanced"/>
    <s v="Hottechi"/>
    <x v="2"/>
    <d v="2017-06-01T00:00:00"/>
    <x v="158"/>
    <n v="0"/>
  </r>
  <r>
    <x v="3591"/>
    <x v="24"/>
    <x v="0"/>
    <x v="0"/>
    <s v="GTX Plus Pro"/>
    <s v="Statholdings"/>
    <x v="2"/>
    <d v="2017-06-01T00:00:00"/>
    <x v="175"/>
    <n v="0"/>
  </r>
  <r>
    <x v="3592"/>
    <x v="0"/>
    <x v="0"/>
    <x v="0"/>
    <s v="GTX Basic"/>
    <s v="Rangreen"/>
    <x v="2"/>
    <d v="2017-06-01T00:00:00"/>
    <x v="137"/>
    <n v="0"/>
  </r>
  <r>
    <x v="3593"/>
    <x v="6"/>
    <x v="1"/>
    <x v="0"/>
    <s v="GTX Basic"/>
    <s v="Domzoom"/>
    <x v="2"/>
    <d v="2017-06-01T00:00:00"/>
    <x v="177"/>
    <n v="0"/>
  </r>
  <r>
    <x v="3594"/>
    <x v="6"/>
    <x v="1"/>
    <x v="0"/>
    <s v="GTX Basic"/>
    <s v="Ron-tech"/>
    <x v="2"/>
    <d v="2017-06-01T00:00:00"/>
    <x v="174"/>
    <n v="0"/>
  </r>
  <r>
    <x v="3595"/>
    <x v="19"/>
    <x v="4"/>
    <x v="2"/>
    <s v="GTX Basic"/>
    <s v="Konex"/>
    <x v="0"/>
    <d v="2017-06-01T00:00:00"/>
    <x v="82"/>
    <n v="562"/>
  </r>
  <r>
    <x v="3596"/>
    <x v="11"/>
    <x v="3"/>
    <x v="1"/>
    <s v="MG Special"/>
    <m/>
    <x v="1"/>
    <d v="2017-06-01T00:00:00"/>
    <x v="6"/>
    <m/>
  </r>
  <r>
    <x v="3597"/>
    <x v="17"/>
    <x v="5"/>
    <x v="2"/>
    <s v="GTXPro"/>
    <s v="Mathtouch"/>
    <x v="0"/>
    <d v="2017-06-01T00:00:00"/>
    <x v="126"/>
    <n v="4686"/>
  </r>
  <r>
    <x v="3598"/>
    <x v="4"/>
    <x v="3"/>
    <x v="1"/>
    <s v="MG Advanced"/>
    <s v="Newex"/>
    <x v="2"/>
    <d v="2017-06-01T00:00:00"/>
    <x v="161"/>
    <n v="0"/>
  </r>
  <r>
    <x v="3599"/>
    <x v="15"/>
    <x v="5"/>
    <x v="2"/>
    <s v="MG Special"/>
    <s v="Opentech"/>
    <x v="0"/>
    <d v="2017-06-01T00:00:00"/>
    <x v="145"/>
    <n v="38"/>
  </r>
  <r>
    <x v="3600"/>
    <x v="2"/>
    <x v="2"/>
    <x v="1"/>
    <s v="MG Advanced"/>
    <s v="Finjob"/>
    <x v="0"/>
    <d v="2017-06-01T00:00:00"/>
    <x v="129"/>
    <n v="3184"/>
  </r>
  <r>
    <x v="3601"/>
    <x v="3"/>
    <x v="0"/>
    <x v="0"/>
    <s v="GTX Plus Pro"/>
    <s v="Rundofase"/>
    <x v="0"/>
    <d v="2017-06-02T00:00:00"/>
    <x v="180"/>
    <n v="5373"/>
  </r>
  <r>
    <x v="3602"/>
    <x v="25"/>
    <x v="4"/>
    <x v="2"/>
    <s v="GTX Plus Basic"/>
    <s v="Bluth Company"/>
    <x v="0"/>
    <d v="2017-06-02T00:00:00"/>
    <x v="157"/>
    <n v="1239"/>
  </r>
  <r>
    <x v="3603"/>
    <x v="23"/>
    <x v="4"/>
    <x v="2"/>
    <s v="MG Advanced"/>
    <m/>
    <x v="1"/>
    <d v="2017-06-02T00:00:00"/>
    <x v="6"/>
    <m/>
  </r>
  <r>
    <x v="3604"/>
    <x v="28"/>
    <x v="0"/>
    <x v="0"/>
    <s v="MG Advanced"/>
    <s v="Isdom"/>
    <x v="2"/>
    <d v="2017-06-02T00:00:00"/>
    <x v="70"/>
    <n v="0"/>
  </r>
  <r>
    <x v="3605"/>
    <x v="28"/>
    <x v="0"/>
    <x v="0"/>
    <s v="MG Special"/>
    <s v="Streethex"/>
    <x v="0"/>
    <d v="2017-06-02T00:00:00"/>
    <x v="82"/>
    <n v="52"/>
  </r>
  <r>
    <x v="3606"/>
    <x v="27"/>
    <x v="5"/>
    <x v="2"/>
    <s v="GTX Basic"/>
    <s v="Ganjaflex"/>
    <x v="0"/>
    <d v="2017-06-02T00:00:00"/>
    <x v="165"/>
    <n v="651"/>
  </r>
  <r>
    <x v="3607"/>
    <x v="1"/>
    <x v="1"/>
    <x v="0"/>
    <s v="GTX Plus Pro"/>
    <s v="dambase"/>
    <x v="0"/>
    <d v="2017-06-02T00:00:00"/>
    <x v="110"/>
    <n v="6026"/>
  </r>
  <r>
    <x v="3608"/>
    <x v="7"/>
    <x v="2"/>
    <x v="1"/>
    <s v="MG Advanced"/>
    <m/>
    <x v="1"/>
    <d v="2017-06-02T00:00:00"/>
    <x v="6"/>
    <m/>
  </r>
  <r>
    <x v="3609"/>
    <x v="7"/>
    <x v="2"/>
    <x v="1"/>
    <s v="GTX Plus Pro"/>
    <s v="Green-Plus"/>
    <x v="0"/>
    <d v="2017-06-02T00:00:00"/>
    <x v="157"/>
    <n v="5569"/>
  </r>
  <r>
    <x v="3610"/>
    <x v="29"/>
    <x v="1"/>
    <x v="0"/>
    <s v="GTX Basic"/>
    <s v="Dontechi"/>
    <x v="2"/>
    <d v="2017-06-02T00:00:00"/>
    <x v="149"/>
    <n v="0"/>
  </r>
  <r>
    <x v="3611"/>
    <x v="29"/>
    <x v="1"/>
    <x v="0"/>
    <s v="GTX Basic"/>
    <s v="Hottechi"/>
    <x v="0"/>
    <d v="2017-06-02T00:00:00"/>
    <x v="164"/>
    <n v="519"/>
  </r>
  <r>
    <x v="3612"/>
    <x v="16"/>
    <x v="2"/>
    <x v="1"/>
    <s v="GTX Basic"/>
    <s v="Scotfind"/>
    <x v="0"/>
    <d v="2017-06-02T00:00:00"/>
    <x v="157"/>
    <n v="558"/>
  </r>
  <r>
    <x v="3613"/>
    <x v="18"/>
    <x v="2"/>
    <x v="1"/>
    <s v="GTX Basic"/>
    <s v="Sonron"/>
    <x v="0"/>
    <d v="2017-06-02T00:00:00"/>
    <x v="157"/>
    <n v="523"/>
  </r>
  <r>
    <x v="3614"/>
    <x v="18"/>
    <x v="2"/>
    <x v="1"/>
    <s v="GTXPro"/>
    <s v="Scotfind"/>
    <x v="0"/>
    <d v="2017-06-02T00:00:00"/>
    <x v="136"/>
    <n v="4869"/>
  </r>
  <r>
    <x v="3615"/>
    <x v="24"/>
    <x v="0"/>
    <x v="0"/>
    <s v="MG Special"/>
    <s v="Funholding"/>
    <x v="2"/>
    <d v="2017-06-02T00:00:00"/>
    <x v="110"/>
    <n v="0"/>
  </r>
  <r>
    <x v="3616"/>
    <x v="24"/>
    <x v="0"/>
    <x v="0"/>
    <s v="GTX Basic"/>
    <s v="Stanredtax"/>
    <x v="0"/>
    <d v="2017-06-02T00:00:00"/>
    <x v="128"/>
    <n v="588"/>
  </r>
  <r>
    <x v="3617"/>
    <x v="22"/>
    <x v="1"/>
    <x v="0"/>
    <s v="GTX Plus Pro"/>
    <s v="Condax"/>
    <x v="0"/>
    <d v="2017-06-02T00:00:00"/>
    <x v="134"/>
    <n v="5712"/>
  </r>
  <r>
    <x v="3618"/>
    <x v="9"/>
    <x v="2"/>
    <x v="1"/>
    <s v="GTX Plus Basic"/>
    <s v="Golddex"/>
    <x v="0"/>
    <d v="2017-06-02T00:00:00"/>
    <x v="175"/>
    <n v="1046"/>
  </r>
  <r>
    <x v="3619"/>
    <x v="9"/>
    <x v="2"/>
    <x v="1"/>
    <s v="MG Special"/>
    <s v="Singletechno"/>
    <x v="0"/>
    <d v="2017-06-02T00:00:00"/>
    <x v="150"/>
    <n v="54"/>
  </r>
  <r>
    <x v="3620"/>
    <x v="19"/>
    <x v="4"/>
    <x v="2"/>
    <s v="GTXPro"/>
    <s v="Xx-zobam"/>
    <x v="0"/>
    <d v="2017-06-02T00:00:00"/>
    <x v="116"/>
    <n v="4933"/>
  </r>
  <r>
    <x v="3621"/>
    <x v="19"/>
    <x v="4"/>
    <x v="2"/>
    <s v="MG Special"/>
    <s v="Umbrella Corporation"/>
    <x v="0"/>
    <d v="2017-06-02T00:00:00"/>
    <x v="168"/>
    <n v="60"/>
  </r>
  <r>
    <x v="3622"/>
    <x v="15"/>
    <x v="5"/>
    <x v="2"/>
    <s v="GTXPro"/>
    <s v="Zathunicon"/>
    <x v="1"/>
    <d v="2017-06-02T00:00:00"/>
    <x v="6"/>
    <m/>
  </r>
  <r>
    <x v="3623"/>
    <x v="15"/>
    <x v="5"/>
    <x v="2"/>
    <s v="GTX Basic"/>
    <s v="Silis"/>
    <x v="0"/>
    <d v="2017-06-02T00:00:00"/>
    <x v="158"/>
    <n v="572"/>
  </r>
  <r>
    <x v="3624"/>
    <x v="15"/>
    <x v="5"/>
    <x v="2"/>
    <s v="MG Special"/>
    <s v="Condax"/>
    <x v="0"/>
    <d v="2017-06-02T00:00:00"/>
    <x v="155"/>
    <n v="55"/>
  </r>
  <r>
    <x v="3625"/>
    <x v="15"/>
    <x v="5"/>
    <x v="2"/>
    <s v="MG Special"/>
    <s v="Xx-zobam"/>
    <x v="0"/>
    <d v="2017-06-02T00:00:00"/>
    <x v="161"/>
    <n v="51"/>
  </r>
  <r>
    <x v="3626"/>
    <x v="23"/>
    <x v="4"/>
    <x v="2"/>
    <s v="GTX Plus Pro"/>
    <s v="Vehement Capital Partners"/>
    <x v="2"/>
    <d v="2017-06-03T00:00:00"/>
    <x v="162"/>
    <n v="0"/>
  </r>
  <r>
    <x v="3627"/>
    <x v="23"/>
    <x v="4"/>
    <x v="2"/>
    <s v="MG Special"/>
    <s v="Opentech"/>
    <x v="0"/>
    <d v="2017-06-03T00:00:00"/>
    <x v="159"/>
    <n v="59"/>
  </r>
  <r>
    <x v="3628"/>
    <x v="13"/>
    <x v="4"/>
    <x v="2"/>
    <s v="GTXPro"/>
    <s v="Betasoloin"/>
    <x v="0"/>
    <d v="2017-06-03T00:00:00"/>
    <x v="47"/>
    <n v="4492"/>
  </r>
  <r>
    <x v="3629"/>
    <x v="1"/>
    <x v="1"/>
    <x v="0"/>
    <s v="GTX Basic"/>
    <s v="Treequote"/>
    <x v="2"/>
    <d v="2017-06-03T00:00:00"/>
    <x v="126"/>
    <n v="0"/>
  </r>
  <r>
    <x v="3630"/>
    <x v="1"/>
    <x v="1"/>
    <x v="0"/>
    <s v="GTXPro"/>
    <s v="Codehow"/>
    <x v="2"/>
    <d v="2017-06-03T00:00:00"/>
    <x v="175"/>
    <n v="0"/>
  </r>
  <r>
    <x v="3631"/>
    <x v="26"/>
    <x v="4"/>
    <x v="2"/>
    <s v="MG Advanced"/>
    <s v="Zathunicon"/>
    <x v="2"/>
    <d v="2017-06-03T00:00:00"/>
    <x v="151"/>
    <n v="0"/>
  </r>
  <r>
    <x v="3632"/>
    <x v="7"/>
    <x v="2"/>
    <x v="1"/>
    <s v="GTX Basic"/>
    <s v="Plexzap"/>
    <x v="2"/>
    <d v="2017-06-03T00:00:00"/>
    <x v="116"/>
    <n v="0"/>
  </r>
  <r>
    <x v="3633"/>
    <x v="7"/>
    <x v="2"/>
    <x v="1"/>
    <s v="GTXPro"/>
    <s v="Fasehatice"/>
    <x v="2"/>
    <d v="2017-06-03T00:00:00"/>
    <x v="112"/>
    <n v="0"/>
  </r>
  <r>
    <x v="3634"/>
    <x v="29"/>
    <x v="1"/>
    <x v="0"/>
    <s v="GTX Basic"/>
    <s v="Treequote"/>
    <x v="0"/>
    <d v="2017-06-03T00:00:00"/>
    <x v="81"/>
    <n v="639"/>
  </r>
  <r>
    <x v="3635"/>
    <x v="29"/>
    <x v="1"/>
    <x v="0"/>
    <s v="GTX Plus Basic"/>
    <s v="Globex Corporation"/>
    <x v="0"/>
    <d v="2017-06-03T00:00:00"/>
    <x v="92"/>
    <n v="1040"/>
  </r>
  <r>
    <x v="3636"/>
    <x v="29"/>
    <x v="1"/>
    <x v="0"/>
    <s v="GTXPro"/>
    <s v="Finhigh"/>
    <x v="0"/>
    <d v="2017-06-03T00:00:00"/>
    <x v="158"/>
    <n v="4138"/>
  </r>
  <r>
    <x v="3637"/>
    <x v="16"/>
    <x v="2"/>
    <x v="1"/>
    <s v="GTXPro"/>
    <s v="Faxquote"/>
    <x v="1"/>
    <d v="2017-06-03T00:00:00"/>
    <x v="6"/>
    <m/>
  </r>
  <r>
    <x v="3638"/>
    <x v="16"/>
    <x v="2"/>
    <x v="1"/>
    <s v="GTX Plus Basic"/>
    <s v="Plexzap"/>
    <x v="2"/>
    <d v="2017-06-03T00:00:00"/>
    <x v="109"/>
    <n v="0"/>
  </r>
  <r>
    <x v="3639"/>
    <x v="24"/>
    <x v="0"/>
    <x v="0"/>
    <s v="MG Special"/>
    <s v="Funholding"/>
    <x v="0"/>
    <d v="2017-06-03T00:00:00"/>
    <x v="178"/>
    <n v="54"/>
  </r>
  <r>
    <x v="3640"/>
    <x v="24"/>
    <x v="0"/>
    <x v="0"/>
    <s v="MG Advanced"/>
    <s v="Inity"/>
    <x v="0"/>
    <d v="2017-06-03T00:00:00"/>
    <x v="163"/>
    <n v="3438"/>
  </r>
  <r>
    <x v="3641"/>
    <x v="5"/>
    <x v="3"/>
    <x v="1"/>
    <s v="GTXPro"/>
    <s v="Finjob"/>
    <x v="2"/>
    <d v="2017-06-03T00:00:00"/>
    <x v="129"/>
    <n v="0"/>
  </r>
  <r>
    <x v="3642"/>
    <x v="22"/>
    <x v="1"/>
    <x v="0"/>
    <s v="GTX Plus Basic"/>
    <s v="Isdom"/>
    <x v="0"/>
    <d v="2017-06-03T00:00:00"/>
    <x v="129"/>
    <n v="1017"/>
  </r>
  <r>
    <x v="3643"/>
    <x v="11"/>
    <x v="3"/>
    <x v="1"/>
    <s v="MG Special"/>
    <s v="Dalttechnology"/>
    <x v="1"/>
    <d v="2017-06-03T00:00:00"/>
    <x v="6"/>
    <m/>
  </r>
  <r>
    <x v="3644"/>
    <x v="11"/>
    <x v="3"/>
    <x v="1"/>
    <s v="MG Advanced"/>
    <s v="Singletechno"/>
    <x v="0"/>
    <d v="2017-06-03T00:00:00"/>
    <x v="165"/>
    <n v="3314"/>
  </r>
  <r>
    <x v="3645"/>
    <x v="12"/>
    <x v="0"/>
    <x v="0"/>
    <s v="MG Special"/>
    <s v="Cancity"/>
    <x v="2"/>
    <d v="2017-06-03T00:00:00"/>
    <x v="116"/>
    <n v="0"/>
  </r>
  <r>
    <x v="3646"/>
    <x v="12"/>
    <x v="0"/>
    <x v="0"/>
    <s v="MG Special"/>
    <s v="Rangreen"/>
    <x v="0"/>
    <d v="2017-06-03T00:00:00"/>
    <x v="162"/>
    <n v="51"/>
  </r>
  <r>
    <x v="3647"/>
    <x v="4"/>
    <x v="3"/>
    <x v="1"/>
    <s v="MG Special"/>
    <s v="Kan-code"/>
    <x v="0"/>
    <d v="2017-06-03T00:00:00"/>
    <x v="154"/>
    <n v="50"/>
  </r>
  <r>
    <x v="3648"/>
    <x v="15"/>
    <x v="5"/>
    <x v="2"/>
    <s v="MG Special"/>
    <s v="Zathunicon"/>
    <x v="0"/>
    <d v="2017-06-03T00:00:00"/>
    <x v="73"/>
    <n v="54"/>
  </r>
  <r>
    <x v="3649"/>
    <x v="3"/>
    <x v="0"/>
    <x v="0"/>
    <s v="GTX Plus Pro"/>
    <s v="Scottech"/>
    <x v="2"/>
    <d v="2017-06-04T00:00:00"/>
    <x v="156"/>
    <n v="0"/>
  </r>
  <r>
    <x v="3650"/>
    <x v="3"/>
    <x v="0"/>
    <x v="0"/>
    <s v="MG Advanced"/>
    <s v="Rangreen"/>
    <x v="2"/>
    <d v="2017-06-04T00:00:00"/>
    <x v="169"/>
    <n v="0"/>
  </r>
  <r>
    <x v="3651"/>
    <x v="25"/>
    <x v="4"/>
    <x v="2"/>
    <s v="GTXPro"/>
    <s v="Condax"/>
    <x v="2"/>
    <d v="2017-06-04T00:00:00"/>
    <x v="157"/>
    <n v="0"/>
  </r>
  <r>
    <x v="3652"/>
    <x v="28"/>
    <x v="0"/>
    <x v="0"/>
    <s v="GTX Plus Basic"/>
    <s v="Hottechi"/>
    <x v="2"/>
    <d v="2017-06-04T00:00:00"/>
    <x v="122"/>
    <n v="0"/>
  </r>
  <r>
    <x v="3653"/>
    <x v="13"/>
    <x v="4"/>
    <x v="2"/>
    <s v="GTXPro"/>
    <s v="Ontomedia"/>
    <x v="0"/>
    <d v="2017-06-04T00:00:00"/>
    <x v="69"/>
    <n v="4942"/>
  </r>
  <r>
    <x v="3654"/>
    <x v="26"/>
    <x v="4"/>
    <x v="2"/>
    <s v="MG Special"/>
    <s v="Initech"/>
    <x v="2"/>
    <d v="2017-06-04T00:00:00"/>
    <x v="112"/>
    <n v="0"/>
  </r>
  <r>
    <x v="3655"/>
    <x v="26"/>
    <x v="4"/>
    <x v="2"/>
    <s v="GTXPro"/>
    <s v="Kan-code"/>
    <x v="0"/>
    <d v="2017-06-04T00:00:00"/>
    <x v="64"/>
    <n v="4612"/>
  </r>
  <r>
    <x v="3656"/>
    <x v="26"/>
    <x v="4"/>
    <x v="2"/>
    <s v="GTXPro"/>
    <s v="Zotware"/>
    <x v="0"/>
    <d v="2017-06-04T00:00:00"/>
    <x v="72"/>
    <n v="4308"/>
  </r>
  <r>
    <x v="3657"/>
    <x v="26"/>
    <x v="4"/>
    <x v="2"/>
    <s v="MG Advanced"/>
    <s v="Massive Dynamic"/>
    <x v="0"/>
    <d v="2017-06-04T00:00:00"/>
    <x v="164"/>
    <n v="2876"/>
  </r>
  <r>
    <x v="3658"/>
    <x v="8"/>
    <x v="1"/>
    <x v="0"/>
    <s v="GTX Plus Pro"/>
    <s v="Warephase"/>
    <x v="0"/>
    <d v="2017-06-04T00:00:00"/>
    <x v="155"/>
    <n v="4990"/>
  </r>
  <r>
    <x v="3659"/>
    <x v="10"/>
    <x v="3"/>
    <x v="1"/>
    <s v="GTX Plus Basic"/>
    <s v="Scotfind"/>
    <x v="2"/>
    <d v="2017-06-04T00:00:00"/>
    <x v="181"/>
    <n v="0"/>
  </r>
  <r>
    <x v="3660"/>
    <x v="10"/>
    <x v="3"/>
    <x v="1"/>
    <s v="GTX Plus Basic"/>
    <s v="Sonron"/>
    <x v="0"/>
    <d v="2017-06-04T00:00:00"/>
    <x v="172"/>
    <n v="1024"/>
  </r>
  <r>
    <x v="3661"/>
    <x v="16"/>
    <x v="2"/>
    <x v="1"/>
    <s v="GTX Plus Basic"/>
    <m/>
    <x v="1"/>
    <d v="2017-06-04T00:00:00"/>
    <x v="6"/>
    <m/>
  </r>
  <r>
    <x v="3662"/>
    <x v="16"/>
    <x v="2"/>
    <x v="1"/>
    <s v="MG Special"/>
    <s v="Lexiqvolax"/>
    <x v="0"/>
    <d v="2017-06-04T00:00:00"/>
    <x v="169"/>
    <n v="53"/>
  </r>
  <r>
    <x v="3663"/>
    <x v="18"/>
    <x v="2"/>
    <x v="1"/>
    <s v="GTX Basic"/>
    <m/>
    <x v="1"/>
    <d v="2017-06-04T00:00:00"/>
    <x v="6"/>
    <m/>
  </r>
  <r>
    <x v="3664"/>
    <x v="18"/>
    <x v="2"/>
    <x v="1"/>
    <s v="GTXPro"/>
    <m/>
    <x v="1"/>
    <d v="2017-06-04T00:00:00"/>
    <x v="6"/>
    <m/>
  </r>
  <r>
    <x v="3665"/>
    <x v="18"/>
    <x v="2"/>
    <x v="1"/>
    <s v="MG Special"/>
    <s v="Zencorporation"/>
    <x v="1"/>
    <d v="2017-06-04T00:00:00"/>
    <x v="6"/>
    <m/>
  </r>
  <r>
    <x v="3666"/>
    <x v="18"/>
    <x v="2"/>
    <x v="1"/>
    <s v="GTX Plus Basic"/>
    <s v="Singletechno"/>
    <x v="2"/>
    <d v="2017-06-04T00:00:00"/>
    <x v="180"/>
    <n v="0"/>
  </r>
  <r>
    <x v="3667"/>
    <x v="18"/>
    <x v="2"/>
    <x v="1"/>
    <s v="GTX Basic"/>
    <s v="J-Texon"/>
    <x v="0"/>
    <d v="2017-06-04T00:00:00"/>
    <x v="139"/>
    <n v="525"/>
  </r>
  <r>
    <x v="3668"/>
    <x v="18"/>
    <x v="2"/>
    <x v="1"/>
    <s v="MG Special"/>
    <s v="Nam-zim"/>
    <x v="0"/>
    <d v="2017-06-04T00:00:00"/>
    <x v="151"/>
    <n v="60"/>
  </r>
  <r>
    <x v="3669"/>
    <x v="5"/>
    <x v="3"/>
    <x v="1"/>
    <s v="GTX Plus Basic"/>
    <s v="Scotfind"/>
    <x v="0"/>
    <d v="2017-06-04T00:00:00"/>
    <x v="85"/>
    <n v="967"/>
  </r>
  <r>
    <x v="3670"/>
    <x v="9"/>
    <x v="2"/>
    <x v="1"/>
    <s v="GTX Basic"/>
    <s v="Rantouch"/>
    <x v="2"/>
    <d v="2017-06-04T00:00:00"/>
    <x v="124"/>
    <n v="0"/>
  </r>
  <r>
    <x v="3671"/>
    <x v="19"/>
    <x v="4"/>
    <x v="2"/>
    <s v="GTX Basic"/>
    <s v="Initech"/>
    <x v="0"/>
    <d v="2017-06-04T00:00:00"/>
    <x v="64"/>
    <n v="524"/>
  </r>
  <r>
    <x v="3672"/>
    <x v="11"/>
    <x v="3"/>
    <x v="1"/>
    <s v="MG Special"/>
    <s v="J-Texon"/>
    <x v="0"/>
    <d v="2017-06-04T00:00:00"/>
    <x v="154"/>
    <n v="57"/>
  </r>
  <r>
    <x v="3673"/>
    <x v="17"/>
    <x v="5"/>
    <x v="2"/>
    <s v="MG Advanced"/>
    <s v="Bubba Gump"/>
    <x v="2"/>
    <d v="2017-06-04T00:00:00"/>
    <x v="72"/>
    <n v="0"/>
  </r>
  <r>
    <x v="3674"/>
    <x v="12"/>
    <x v="0"/>
    <x v="0"/>
    <s v="GTX Plus Pro"/>
    <s v="Warephase"/>
    <x v="0"/>
    <d v="2017-06-04T00:00:00"/>
    <x v="68"/>
    <n v="5056"/>
  </r>
  <r>
    <x v="3675"/>
    <x v="4"/>
    <x v="3"/>
    <x v="1"/>
    <s v="GTX Basic"/>
    <s v="Konex"/>
    <x v="0"/>
    <d v="2017-06-04T00:00:00"/>
    <x v="85"/>
    <n v="600"/>
  </r>
  <r>
    <x v="3676"/>
    <x v="23"/>
    <x v="4"/>
    <x v="2"/>
    <s v="GTX Basic"/>
    <s v="Donware"/>
    <x v="0"/>
    <d v="2017-06-05T00:00:00"/>
    <x v="168"/>
    <n v="633"/>
  </r>
  <r>
    <x v="3677"/>
    <x v="23"/>
    <x v="4"/>
    <x v="2"/>
    <s v="GTXPro"/>
    <s v="Vehement Capital Partners"/>
    <x v="0"/>
    <d v="2017-06-05T00:00:00"/>
    <x v="151"/>
    <n v="4994"/>
  </r>
  <r>
    <x v="3678"/>
    <x v="27"/>
    <x v="5"/>
    <x v="2"/>
    <s v="GTX Plus Basic"/>
    <s v="Kan-code"/>
    <x v="0"/>
    <d v="2017-06-05T00:00:00"/>
    <x v="76"/>
    <n v="899"/>
  </r>
  <r>
    <x v="3679"/>
    <x v="1"/>
    <x v="1"/>
    <x v="0"/>
    <s v="GTXPro"/>
    <s v="Scottech"/>
    <x v="2"/>
    <d v="2017-06-05T00:00:00"/>
    <x v="112"/>
    <n v="0"/>
  </r>
  <r>
    <x v="3680"/>
    <x v="1"/>
    <x v="1"/>
    <x v="0"/>
    <s v="GTX Plus Pro"/>
    <s v="dambase"/>
    <x v="0"/>
    <d v="2017-06-05T00:00:00"/>
    <x v="149"/>
    <n v="5421"/>
  </r>
  <r>
    <x v="3681"/>
    <x v="1"/>
    <x v="1"/>
    <x v="0"/>
    <s v="GTXPro"/>
    <s v="Genco Pura Olive Oil Company"/>
    <x v="0"/>
    <d v="2017-06-05T00:00:00"/>
    <x v="147"/>
    <n v="5223"/>
  </r>
  <r>
    <x v="3682"/>
    <x v="1"/>
    <x v="1"/>
    <x v="0"/>
    <s v="GTXPro"/>
    <s v="Rundofase"/>
    <x v="0"/>
    <d v="2017-06-05T00:00:00"/>
    <x v="70"/>
    <n v="4794"/>
  </r>
  <r>
    <x v="3683"/>
    <x v="1"/>
    <x v="1"/>
    <x v="0"/>
    <s v="GTXPro"/>
    <s v="Toughzap"/>
    <x v="0"/>
    <d v="2017-06-05T00:00:00"/>
    <x v="144"/>
    <n v="4903"/>
  </r>
  <r>
    <x v="3684"/>
    <x v="1"/>
    <x v="1"/>
    <x v="0"/>
    <s v="MG Advanced"/>
    <s v="Dontechi"/>
    <x v="0"/>
    <d v="2017-06-05T00:00:00"/>
    <x v="140"/>
    <n v="3625"/>
  </r>
  <r>
    <x v="3685"/>
    <x v="8"/>
    <x v="1"/>
    <x v="0"/>
    <s v="GTX Basic"/>
    <s v="Globex Corporation"/>
    <x v="2"/>
    <d v="2017-06-05T00:00:00"/>
    <x v="146"/>
    <n v="0"/>
  </r>
  <r>
    <x v="3686"/>
    <x v="29"/>
    <x v="1"/>
    <x v="0"/>
    <s v="GTX Basic"/>
    <s v="Rundofase"/>
    <x v="0"/>
    <d v="2017-06-05T00:00:00"/>
    <x v="126"/>
    <n v="554"/>
  </r>
  <r>
    <x v="3687"/>
    <x v="16"/>
    <x v="2"/>
    <x v="1"/>
    <s v="GTX Basic"/>
    <s v="Singletechno"/>
    <x v="2"/>
    <d v="2017-06-05T00:00:00"/>
    <x v="142"/>
    <n v="0"/>
  </r>
  <r>
    <x v="3688"/>
    <x v="16"/>
    <x v="2"/>
    <x v="1"/>
    <s v="GTX Basic"/>
    <s v="Sunnamplex"/>
    <x v="2"/>
    <d v="2017-06-05T00:00:00"/>
    <x v="80"/>
    <n v="0"/>
  </r>
  <r>
    <x v="3689"/>
    <x v="18"/>
    <x v="2"/>
    <x v="1"/>
    <s v="GTX Basic"/>
    <m/>
    <x v="1"/>
    <d v="2017-06-05T00:00:00"/>
    <x v="6"/>
    <m/>
  </r>
  <r>
    <x v="3690"/>
    <x v="18"/>
    <x v="2"/>
    <x v="1"/>
    <s v="GTXPro"/>
    <s v="Hatfan"/>
    <x v="0"/>
    <d v="2017-06-05T00:00:00"/>
    <x v="157"/>
    <n v="5039"/>
  </r>
  <r>
    <x v="3691"/>
    <x v="5"/>
    <x v="3"/>
    <x v="1"/>
    <s v="GTX Plus Basic"/>
    <s v="Faxquote"/>
    <x v="0"/>
    <d v="2017-06-05T00:00:00"/>
    <x v="155"/>
    <n v="1169"/>
  </r>
  <r>
    <x v="3692"/>
    <x v="22"/>
    <x v="1"/>
    <x v="0"/>
    <s v="GTXPro"/>
    <s v="Toughzap"/>
    <x v="0"/>
    <d v="2017-06-05T00:00:00"/>
    <x v="165"/>
    <n v="5055"/>
  </r>
  <r>
    <x v="3693"/>
    <x v="22"/>
    <x v="1"/>
    <x v="0"/>
    <s v="MG Special"/>
    <s v="Scottech"/>
    <x v="0"/>
    <d v="2017-06-05T00:00:00"/>
    <x v="81"/>
    <n v="60"/>
  </r>
  <r>
    <x v="3694"/>
    <x v="9"/>
    <x v="2"/>
    <x v="1"/>
    <s v="GTX Plus Basic"/>
    <s v="Condax"/>
    <x v="2"/>
    <d v="2017-06-05T00:00:00"/>
    <x v="151"/>
    <n v="0"/>
  </r>
  <r>
    <x v="3695"/>
    <x v="9"/>
    <x v="2"/>
    <x v="1"/>
    <s v="GTX Basic"/>
    <s v="Golddex"/>
    <x v="0"/>
    <d v="2017-06-05T00:00:00"/>
    <x v="166"/>
    <n v="595"/>
  </r>
  <r>
    <x v="3696"/>
    <x v="9"/>
    <x v="2"/>
    <x v="1"/>
    <s v="MG Advanced"/>
    <s v="Plexzap"/>
    <x v="0"/>
    <d v="2017-06-05T00:00:00"/>
    <x v="92"/>
    <n v="3227"/>
  </r>
  <r>
    <x v="3697"/>
    <x v="0"/>
    <x v="0"/>
    <x v="0"/>
    <s v="GTX Plus Basic"/>
    <s v="Konmatfix"/>
    <x v="2"/>
    <d v="2017-06-05T00:00:00"/>
    <x v="80"/>
    <n v="0"/>
  </r>
  <r>
    <x v="3698"/>
    <x v="0"/>
    <x v="0"/>
    <x v="0"/>
    <s v="GTX Plus Basic"/>
    <s v="Ron-tech"/>
    <x v="2"/>
    <d v="2017-06-05T00:00:00"/>
    <x v="124"/>
    <n v="0"/>
  </r>
  <r>
    <x v="3699"/>
    <x v="0"/>
    <x v="0"/>
    <x v="0"/>
    <s v="MG Special"/>
    <s v="Hottechi"/>
    <x v="0"/>
    <d v="2017-06-05T00:00:00"/>
    <x v="170"/>
    <n v="59"/>
  </r>
  <r>
    <x v="3700"/>
    <x v="6"/>
    <x v="1"/>
    <x v="0"/>
    <s v="GTX Basic"/>
    <s v="Inity"/>
    <x v="0"/>
    <d v="2017-06-05T00:00:00"/>
    <x v="168"/>
    <n v="479"/>
  </r>
  <r>
    <x v="3701"/>
    <x v="6"/>
    <x v="1"/>
    <x v="0"/>
    <s v="MG Advanced"/>
    <s v="Globex Corporation"/>
    <x v="0"/>
    <d v="2017-06-05T00:00:00"/>
    <x v="163"/>
    <n v="3449"/>
  </r>
  <r>
    <x v="3702"/>
    <x v="19"/>
    <x v="4"/>
    <x v="2"/>
    <s v="MG Special"/>
    <s v="Massive Dynamic"/>
    <x v="0"/>
    <d v="2017-06-05T00:00:00"/>
    <x v="176"/>
    <n v="54"/>
  </r>
  <r>
    <x v="3703"/>
    <x v="4"/>
    <x v="3"/>
    <x v="1"/>
    <s v="MG Advanced"/>
    <s v="Hatfan"/>
    <x v="2"/>
    <d v="2017-06-05T00:00:00"/>
    <x v="124"/>
    <n v="0"/>
  </r>
  <r>
    <x v="3704"/>
    <x v="4"/>
    <x v="3"/>
    <x v="1"/>
    <s v="MG Special"/>
    <s v="Doncon"/>
    <x v="0"/>
    <d v="2017-06-05T00:00:00"/>
    <x v="139"/>
    <n v="59"/>
  </r>
  <r>
    <x v="3705"/>
    <x v="15"/>
    <x v="5"/>
    <x v="2"/>
    <s v="MG Special"/>
    <s v="Acme Corporation"/>
    <x v="2"/>
    <d v="2017-06-05T00:00:00"/>
    <x v="137"/>
    <n v="0"/>
  </r>
  <r>
    <x v="3706"/>
    <x v="2"/>
    <x v="2"/>
    <x v="1"/>
    <s v="MG Special"/>
    <m/>
    <x v="1"/>
    <d v="2017-06-05T00:00:00"/>
    <x v="6"/>
    <m/>
  </r>
  <r>
    <x v="3707"/>
    <x v="2"/>
    <x v="2"/>
    <x v="1"/>
    <s v="GTX Basic"/>
    <s v="Finjob"/>
    <x v="2"/>
    <d v="2017-06-05T00:00:00"/>
    <x v="173"/>
    <n v="0"/>
  </r>
  <r>
    <x v="3708"/>
    <x v="3"/>
    <x v="0"/>
    <x v="0"/>
    <s v="MG Special"/>
    <s v="Streethex"/>
    <x v="0"/>
    <d v="2017-06-06T00:00:00"/>
    <x v="173"/>
    <n v="55"/>
  </r>
  <r>
    <x v="3709"/>
    <x v="23"/>
    <x v="4"/>
    <x v="2"/>
    <s v="MG Advanced"/>
    <s v="Initech"/>
    <x v="0"/>
    <d v="2017-06-06T00:00:00"/>
    <x v="128"/>
    <n v="3042"/>
  </r>
  <r>
    <x v="3710"/>
    <x v="27"/>
    <x v="5"/>
    <x v="2"/>
    <s v="GTXPro"/>
    <s v="Ganjaflex"/>
    <x v="0"/>
    <d v="2017-06-06T00:00:00"/>
    <x v="138"/>
    <n v="4230"/>
  </r>
  <r>
    <x v="3711"/>
    <x v="13"/>
    <x v="4"/>
    <x v="2"/>
    <s v="GTX Plus Basic"/>
    <s v="Initech"/>
    <x v="0"/>
    <d v="2017-06-06T00:00:00"/>
    <x v="141"/>
    <n v="979"/>
  </r>
  <r>
    <x v="3712"/>
    <x v="13"/>
    <x v="4"/>
    <x v="2"/>
    <s v="GTX Plus Basic"/>
    <s v="Zotware"/>
    <x v="0"/>
    <d v="2017-06-06T00:00:00"/>
    <x v="69"/>
    <n v="1064"/>
  </r>
  <r>
    <x v="3713"/>
    <x v="13"/>
    <x v="4"/>
    <x v="2"/>
    <s v="GTXPro"/>
    <s v="Xx-zobam"/>
    <x v="0"/>
    <d v="2017-06-06T00:00:00"/>
    <x v="136"/>
    <n v="5166"/>
  </r>
  <r>
    <x v="3714"/>
    <x v="26"/>
    <x v="4"/>
    <x v="2"/>
    <s v="GTX Plus Basic"/>
    <s v="Bioplex"/>
    <x v="0"/>
    <d v="2017-06-06T00:00:00"/>
    <x v="147"/>
    <n v="1036"/>
  </r>
  <r>
    <x v="3715"/>
    <x v="14"/>
    <x v="3"/>
    <x v="1"/>
    <s v="GTXPro"/>
    <s v="Hottechi"/>
    <x v="0"/>
    <d v="2017-06-06T00:00:00"/>
    <x v="112"/>
    <n v="4330"/>
  </r>
  <r>
    <x v="3716"/>
    <x v="8"/>
    <x v="1"/>
    <x v="0"/>
    <s v="MG Advanced"/>
    <s v="Hottechi"/>
    <x v="0"/>
    <d v="2017-06-06T00:00:00"/>
    <x v="160"/>
    <n v="3598"/>
  </r>
  <r>
    <x v="3717"/>
    <x v="7"/>
    <x v="2"/>
    <x v="1"/>
    <s v="GTX Basic"/>
    <s v="Goodsilron"/>
    <x v="0"/>
    <d v="2017-06-06T00:00:00"/>
    <x v="122"/>
    <n v="431"/>
  </r>
  <r>
    <x v="3718"/>
    <x v="29"/>
    <x v="1"/>
    <x v="0"/>
    <s v="GTX Plus Basic"/>
    <s v="Funholding"/>
    <x v="2"/>
    <d v="2017-06-06T00:00:00"/>
    <x v="146"/>
    <n v="0"/>
  </r>
  <r>
    <x v="3719"/>
    <x v="29"/>
    <x v="1"/>
    <x v="0"/>
    <s v="GTX Basic"/>
    <s v="Funholding"/>
    <x v="0"/>
    <d v="2017-06-06T00:00:00"/>
    <x v="69"/>
    <n v="624"/>
  </r>
  <r>
    <x v="3720"/>
    <x v="29"/>
    <x v="1"/>
    <x v="0"/>
    <s v="GTX Plus Basic"/>
    <s v="Finhigh"/>
    <x v="0"/>
    <d v="2017-06-06T00:00:00"/>
    <x v="80"/>
    <n v="1140"/>
  </r>
  <r>
    <x v="3721"/>
    <x v="16"/>
    <x v="2"/>
    <x v="1"/>
    <s v="MG Special"/>
    <s v="Condax"/>
    <x v="0"/>
    <d v="2017-06-06T00:00:00"/>
    <x v="180"/>
    <n v="62"/>
  </r>
  <r>
    <x v="3722"/>
    <x v="18"/>
    <x v="2"/>
    <x v="1"/>
    <s v="GTX Basic"/>
    <s v="Fasehatice"/>
    <x v="2"/>
    <d v="2017-06-06T00:00:00"/>
    <x v="137"/>
    <n v="0"/>
  </r>
  <r>
    <x v="3723"/>
    <x v="24"/>
    <x v="0"/>
    <x v="0"/>
    <s v="GTX Basic"/>
    <s v="Streethex"/>
    <x v="0"/>
    <d v="2017-06-06T00:00:00"/>
    <x v="152"/>
    <n v="584"/>
  </r>
  <r>
    <x v="3724"/>
    <x v="5"/>
    <x v="3"/>
    <x v="1"/>
    <s v="MG Special"/>
    <s v="Lexiqvolax"/>
    <x v="2"/>
    <d v="2017-06-06T00:00:00"/>
    <x v="172"/>
    <n v="0"/>
  </r>
  <r>
    <x v="3725"/>
    <x v="5"/>
    <x v="3"/>
    <x v="1"/>
    <s v="MG Special"/>
    <s v="Goodsilron"/>
    <x v="0"/>
    <d v="2017-06-06T00:00:00"/>
    <x v="148"/>
    <n v="57"/>
  </r>
  <r>
    <x v="3726"/>
    <x v="6"/>
    <x v="1"/>
    <x v="0"/>
    <s v="GTX Plus Basic"/>
    <s v="Statholdings"/>
    <x v="0"/>
    <d v="2017-06-06T00:00:00"/>
    <x v="129"/>
    <n v="1267"/>
  </r>
  <r>
    <x v="3727"/>
    <x v="19"/>
    <x v="4"/>
    <x v="2"/>
    <s v="GTXPro"/>
    <s v="Umbrella Corporation"/>
    <x v="2"/>
    <d v="2017-06-06T00:00:00"/>
    <x v="80"/>
    <n v="0"/>
  </r>
  <r>
    <x v="3728"/>
    <x v="17"/>
    <x v="5"/>
    <x v="2"/>
    <s v="MG Special"/>
    <m/>
    <x v="1"/>
    <d v="2017-06-06T00:00:00"/>
    <x v="6"/>
    <m/>
  </r>
  <r>
    <x v="3729"/>
    <x v="4"/>
    <x v="3"/>
    <x v="1"/>
    <s v="MG Special"/>
    <s v="Plusstrip"/>
    <x v="0"/>
    <d v="2017-06-06T00:00:00"/>
    <x v="169"/>
    <n v="55"/>
  </r>
  <r>
    <x v="3730"/>
    <x v="15"/>
    <x v="5"/>
    <x v="2"/>
    <s v="MG Advanced"/>
    <m/>
    <x v="1"/>
    <d v="2017-06-06T00:00:00"/>
    <x v="6"/>
    <m/>
  </r>
  <r>
    <x v="3731"/>
    <x v="15"/>
    <x v="5"/>
    <x v="2"/>
    <s v="MG Special"/>
    <s v="Opentech"/>
    <x v="0"/>
    <d v="2017-06-06T00:00:00"/>
    <x v="154"/>
    <n v="63"/>
  </r>
  <r>
    <x v="3732"/>
    <x v="20"/>
    <x v="5"/>
    <x v="2"/>
    <s v="GTXPro"/>
    <s v="Donquadtech"/>
    <x v="0"/>
    <d v="2017-06-06T00:00:00"/>
    <x v="157"/>
    <n v="3961"/>
  </r>
  <r>
    <x v="3733"/>
    <x v="20"/>
    <x v="5"/>
    <x v="2"/>
    <s v="MG Special"/>
    <s v="Zathunicon"/>
    <x v="0"/>
    <d v="2017-06-06T00:00:00"/>
    <x v="135"/>
    <n v="45"/>
  </r>
  <r>
    <x v="3734"/>
    <x v="3"/>
    <x v="0"/>
    <x v="0"/>
    <s v="MG Special"/>
    <s v="Warephase"/>
    <x v="0"/>
    <d v="2017-06-07T00:00:00"/>
    <x v="136"/>
    <n v="61"/>
  </r>
  <r>
    <x v="3735"/>
    <x v="23"/>
    <x v="4"/>
    <x v="2"/>
    <s v="MG Advanced"/>
    <s v="Bubba Gump"/>
    <x v="2"/>
    <d v="2017-06-07T00:00:00"/>
    <x v="166"/>
    <n v="0"/>
  </r>
  <r>
    <x v="3736"/>
    <x v="1"/>
    <x v="1"/>
    <x v="0"/>
    <s v="GTX Plus Basic"/>
    <s v="Isdom"/>
    <x v="0"/>
    <d v="2017-06-07T00:00:00"/>
    <x v="159"/>
    <n v="1114"/>
  </r>
  <r>
    <x v="3737"/>
    <x v="14"/>
    <x v="3"/>
    <x v="1"/>
    <s v="MG Advanced"/>
    <s v="Zathunicon"/>
    <x v="1"/>
    <d v="2017-06-07T00:00:00"/>
    <x v="6"/>
    <m/>
  </r>
  <r>
    <x v="3738"/>
    <x v="21"/>
    <x v="5"/>
    <x v="2"/>
    <s v="GTX Basic"/>
    <s v="Kan-code"/>
    <x v="0"/>
    <d v="2017-06-07T00:00:00"/>
    <x v="129"/>
    <n v="566"/>
  </r>
  <r>
    <x v="3739"/>
    <x v="8"/>
    <x v="1"/>
    <x v="0"/>
    <s v="MG Advanced"/>
    <s v="dambase"/>
    <x v="2"/>
    <d v="2017-06-07T00:00:00"/>
    <x v="136"/>
    <n v="0"/>
  </r>
  <r>
    <x v="3740"/>
    <x v="10"/>
    <x v="3"/>
    <x v="1"/>
    <s v="MG Special"/>
    <s v="Green-Plus"/>
    <x v="0"/>
    <d v="2017-06-07T00:00:00"/>
    <x v="92"/>
    <n v="56"/>
  </r>
  <r>
    <x v="3741"/>
    <x v="29"/>
    <x v="1"/>
    <x v="0"/>
    <s v="GTX Basic"/>
    <s v="Ron-tech"/>
    <x v="0"/>
    <d v="2017-06-07T00:00:00"/>
    <x v="70"/>
    <n v="627"/>
  </r>
  <r>
    <x v="3742"/>
    <x v="5"/>
    <x v="3"/>
    <x v="1"/>
    <s v="MG Special"/>
    <m/>
    <x v="1"/>
    <d v="2017-06-07T00:00:00"/>
    <x v="6"/>
    <m/>
  </r>
  <r>
    <x v="3743"/>
    <x v="5"/>
    <x v="3"/>
    <x v="1"/>
    <s v="GTX Plus Basic"/>
    <s v="Dalttechnology"/>
    <x v="0"/>
    <d v="2017-06-07T00:00:00"/>
    <x v="122"/>
    <n v="1101"/>
  </r>
  <r>
    <x v="3744"/>
    <x v="5"/>
    <x v="3"/>
    <x v="1"/>
    <s v="MG Advanced"/>
    <s v="Hottechi"/>
    <x v="0"/>
    <d v="2017-06-07T00:00:00"/>
    <x v="180"/>
    <n v="2979"/>
  </r>
  <r>
    <x v="3745"/>
    <x v="22"/>
    <x v="1"/>
    <x v="0"/>
    <s v="MG Advanced"/>
    <s v="Isdom"/>
    <x v="2"/>
    <d v="2017-06-07T00:00:00"/>
    <x v="164"/>
    <n v="0"/>
  </r>
  <r>
    <x v="3746"/>
    <x v="19"/>
    <x v="4"/>
    <x v="2"/>
    <s v="GTXPro"/>
    <s v="Gekko &amp; Co"/>
    <x v="2"/>
    <d v="2017-06-07T00:00:00"/>
    <x v="129"/>
    <n v="0"/>
  </r>
  <r>
    <x v="3747"/>
    <x v="12"/>
    <x v="0"/>
    <x v="0"/>
    <s v="MG Advanced"/>
    <s v="Warephase"/>
    <x v="0"/>
    <d v="2017-06-07T00:00:00"/>
    <x v="69"/>
    <n v="3662"/>
  </r>
  <r>
    <x v="3748"/>
    <x v="4"/>
    <x v="3"/>
    <x v="1"/>
    <s v="GTX Plus Pro"/>
    <m/>
    <x v="1"/>
    <d v="2017-06-07T00:00:00"/>
    <x v="6"/>
    <m/>
  </r>
  <r>
    <x v="3749"/>
    <x v="15"/>
    <x v="5"/>
    <x v="2"/>
    <s v="MG Special"/>
    <m/>
    <x v="1"/>
    <d v="2017-06-07T00:00:00"/>
    <x v="6"/>
    <m/>
  </r>
  <r>
    <x v="3750"/>
    <x v="2"/>
    <x v="2"/>
    <x v="1"/>
    <s v="GTX Plus Basic"/>
    <s v="Conecom"/>
    <x v="1"/>
    <d v="2017-06-07T00:00:00"/>
    <x v="6"/>
    <m/>
  </r>
  <r>
    <x v="3751"/>
    <x v="2"/>
    <x v="2"/>
    <x v="1"/>
    <s v="GTXPro"/>
    <m/>
    <x v="1"/>
    <d v="2017-06-07T00:00:00"/>
    <x v="6"/>
    <m/>
  </r>
  <r>
    <x v="3752"/>
    <x v="2"/>
    <x v="2"/>
    <x v="1"/>
    <s v="GTXPro"/>
    <s v="Dalttechnology"/>
    <x v="2"/>
    <d v="2017-06-07T00:00:00"/>
    <x v="161"/>
    <n v="0"/>
  </r>
  <r>
    <x v="3753"/>
    <x v="2"/>
    <x v="2"/>
    <x v="1"/>
    <s v="GTXPro"/>
    <s v="Nam-zim"/>
    <x v="0"/>
    <d v="2017-06-07T00:00:00"/>
    <x v="150"/>
    <n v="5185"/>
  </r>
  <r>
    <x v="3754"/>
    <x v="25"/>
    <x v="4"/>
    <x v="2"/>
    <s v="MG Advanced"/>
    <s v="Umbrella Corporation"/>
    <x v="0"/>
    <d v="2017-06-08T00:00:00"/>
    <x v="90"/>
    <n v="3681"/>
  </r>
  <r>
    <x v="3755"/>
    <x v="28"/>
    <x v="0"/>
    <x v="0"/>
    <s v="MG Special"/>
    <s v="Dontechi"/>
    <x v="0"/>
    <d v="2017-06-08T00:00:00"/>
    <x v="70"/>
    <n v="59"/>
  </r>
  <r>
    <x v="3756"/>
    <x v="28"/>
    <x v="0"/>
    <x v="0"/>
    <s v="MG Special"/>
    <s v="Finhigh"/>
    <x v="0"/>
    <d v="2017-06-08T00:00:00"/>
    <x v="160"/>
    <n v="60"/>
  </r>
  <r>
    <x v="3757"/>
    <x v="27"/>
    <x v="5"/>
    <x v="2"/>
    <s v="GTX Basic"/>
    <s v="Bluth Company"/>
    <x v="0"/>
    <d v="2017-06-08T00:00:00"/>
    <x v="129"/>
    <n v="602"/>
  </r>
  <r>
    <x v="3758"/>
    <x v="27"/>
    <x v="5"/>
    <x v="2"/>
    <s v="GTX Basic"/>
    <s v="Xx-zobam"/>
    <x v="0"/>
    <d v="2017-06-08T00:00:00"/>
    <x v="116"/>
    <n v="515"/>
  </r>
  <r>
    <x v="3759"/>
    <x v="1"/>
    <x v="1"/>
    <x v="0"/>
    <s v="GTXPro"/>
    <s v="Streethex"/>
    <x v="2"/>
    <d v="2017-06-08T00:00:00"/>
    <x v="149"/>
    <n v="0"/>
  </r>
  <r>
    <x v="3760"/>
    <x v="1"/>
    <x v="1"/>
    <x v="0"/>
    <s v="GTX Plus Pro"/>
    <s v="Ron-tech"/>
    <x v="0"/>
    <d v="2017-06-08T00:00:00"/>
    <x v="92"/>
    <n v="5175"/>
  </r>
  <r>
    <x v="3761"/>
    <x v="26"/>
    <x v="4"/>
    <x v="2"/>
    <s v="GTXPro"/>
    <s v="Acme Corporation"/>
    <x v="2"/>
    <d v="2017-06-08T00:00:00"/>
    <x v="151"/>
    <n v="0"/>
  </r>
  <r>
    <x v="3762"/>
    <x v="26"/>
    <x v="4"/>
    <x v="2"/>
    <s v="GTXPro"/>
    <s v="Plussunin"/>
    <x v="0"/>
    <d v="2017-06-08T00:00:00"/>
    <x v="146"/>
    <n v="4780"/>
  </r>
  <r>
    <x v="3763"/>
    <x v="7"/>
    <x v="2"/>
    <x v="1"/>
    <s v="GTX Plus Pro"/>
    <s v="Cheers"/>
    <x v="1"/>
    <d v="2017-06-08T00:00:00"/>
    <x v="6"/>
    <m/>
  </r>
  <r>
    <x v="3764"/>
    <x v="29"/>
    <x v="1"/>
    <x v="0"/>
    <s v="GTX Plus Basic"/>
    <s v="Globex Corporation"/>
    <x v="2"/>
    <d v="2017-06-08T00:00:00"/>
    <x v="138"/>
    <n v="0"/>
  </r>
  <r>
    <x v="3765"/>
    <x v="29"/>
    <x v="1"/>
    <x v="0"/>
    <s v="GTX Basic"/>
    <s v="Globex Corporation"/>
    <x v="0"/>
    <d v="2017-06-08T00:00:00"/>
    <x v="83"/>
    <n v="614"/>
  </r>
  <r>
    <x v="3766"/>
    <x v="29"/>
    <x v="1"/>
    <x v="0"/>
    <s v="GTX Basic"/>
    <s v="Rangreen"/>
    <x v="0"/>
    <d v="2017-06-08T00:00:00"/>
    <x v="160"/>
    <n v="532"/>
  </r>
  <r>
    <x v="3767"/>
    <x v="29"/>
    <x v="1"/>
    <x v="0"/>
    <s v="GTX Plus Pro"/>
    <s v="Finhigh"/>
    <x v="0"/>
    <d v="2017-06-08T00:00:00"/>
    <x v="151"/>
    <n v="6096"/>
  </r>
  <r>
    <x v="3768"/>
    <x v="18"/>
    <x v="2"/>
    <x v="1"/>
    <s v="GTX Basic"/>
    <s v="Hottechi"/>
    <x v="0"/>
    <d v="2017-06-08T00:00:00"/>
    <x v="150"/>
    <n v="486"/>
  </r>
  <r>
    <x v="3769"/>
    <x v="24"/>
    <x v="0"/>
    <x v="0"/>
    <s v="GTX Basic"/>
    <s v="Funholding"/>
    <x v="0"/>
    <d v="2017-06-08T00:00:00"/>
    <x v="150"/>
    <n v="566"/>
  </r>
  <r>
    <x v="3770"/>
    <x v="5"/>
    <x v="3"/>
    <x v="1"/>
    <s v="MG Special"/>
    <s v="Singletechno"/>
    <x v="2"/>
    <d v="2017-06-08T00:00:00"/>
    <x v="81"/>
    <n v="0"/>
  </r>
  <r>
    <x v="3771"/>
    <x v="5"/>
    <x v="3"/>
    <x v="1"/>
    <s v="GTX Plus Basic"/>
    <s v="Green-Plus"/>
    <x v="0"/>
    <d v="2017-06-08T00:00:00"/>
    <x v="83"/>
    <n v="923"/>
  </r>
  <r>
    <x v="3772"/>
    <x v="5"/>
    <x v="3"/>
    <x v="1"/>
    <s v="GTXPro"/>
    <s v="Hottechi"/>
    <x v="0"/>
    <d v="2017-06-08T00:00:00"/>
    <x v="182"/>
    <n v="4744"/>
  </r>
  <r>
    <x v="3773"/>
    <x v="22"/>
    <x v="1"/>
    <x v="0"/>
    <s v="GTX Basic"/>
    <s v="Warephase"/>
    <x v="0"/>
    <d v="2017-06-08T00:00:00"/>
    <x v="148"/>
    <n v="517"/>
  </r>
  <r>
    <x v="3774"/>
    <x v="22"/>
    <x v="1"/>
    <x v="0"/>
    <s v="GTX Plus Basic"/>
    <s v="Zumgoity"/>
    <x v="0"/>
    <d v="2017-06-08T00:00:00"/>
    <x v="64"/>
    <n v="881"/>
  </r>
  <r>
    <x v="3775"/>
    <x v="22"/>
    <x v="1"/>
    <x v="0"/>
    <s v="GTXPro"/>
    <s v="Gogozoom"/>
    <x v="0"/>
    <d v="2017-06-08T00:00:00"/>
    <x v="90"/>
    <n v="4272"/>
  </r>
  <r>
    <x v="3776"/>
    <x v="9"/>
    <x v="2"/>
    <x v="1"/>
    <s v="GTXPro"/>
    <s v="Finjob"/>
    <x v="2"/>
    <d v="2017-06-08T00:00:00"/>
    <x v="135"/>
    <n v="0"/>
  </r>
  <r>
    <x v="3777"/>
    <x v="9"/>
    <x v="2"/>
    <x v="1"/>
    <s v="GTX Plus Basic"/>
    <s v="Lexiqvolax"/>
    <x v="0"/>
    <d v="2017-06-08T00:00:00"/>
    <x v="145"/>
    <n v="805"/>
  </r>
  <r>
    <x v="3778"/>
    <x v="17"/>
    <x v="5"/>
    <x v="2"/>
    <s v="MG Special"/>
    <m/>
    <x v="1"/>
    <d v="2017-06-08T00:00:00"/>
    <x v="6"/>
    <m/>
  </r>
  <r>
    <x v="3779"/>
    <x v="12"/>
    <x v="0"/>
    <x v="0"/>
    <s v="MG Special"/>
    <s v="Funholding"/>
    <x v="2"/>
    <d v="2017-06-08T00:00:00"/>
    <x v="156"/>
    <n v="0"/>
  </r>
  <r>
    <x v="3780"/>
    <x v="12"/>
    <x v="0"/>
    <x v="0"/>
    <s v="MG Special"/>
    <s v="Codehow"/>
    <x v="0"/>
    <d v="2017-06-08T00:00:00"/>
    <x v="160"/>
    <n v="55"/>
  </r>
  <r>
    <x v="3781"/>
    <x v="4"/>
    <x v="3"/>
    <x v="1"/>
    <s v="GTX Basic"/>
    <m/>
    <x v="1"/>
    <d v="2017-06-08T00:00:00"/>
    <x v="6"/>
    <m/>
  </r>
  <r>
    <x v="3782"/>
    <x v="4"/>
    <x v="3"/>
    <x v="1"/>
    <s v="GTX Basic"/>
    <s v="Sunnamplex"/>
    <x v="0"/>
    <d v="2017-06-08T00:00:00"/>
    <x v="75"/>
    <n v="507"/>
  </r>
  <r>
    <x v="3783"/>
    <x v="2"/>
    <x v="2"/>
    <x v="1"/>
    <s v="GTX Basic"/>
    <s v="Finjob"/>
    <x v="0"/>
    <d v="2017-06-08T00:00:00"/>
    <x v="166"/>
    <n v="520"/>
  </r>
  <r>
    <x v="3784"/>
    <x v="3"/>
    <x v="0"/>
    <x v="0"/>
    <s v="MG Advanced"/>
    <s v="Isdom"/>
    <x v="0"/>
    <d v="2017-06-09T00:00:00"/>
    <x v="141"/>
    <n v="3470"/>
  </r>
  <r>
    <x v="3785"/>
    <x v="25"/>
    <x v="4"/>
    <x v="2"/>
    <s v="GTXPro"/>
    <s v="Vehement Capital Partners"/>
    <x v="2"/>
    <d v="2017-06-09T00:00:00"/>
    <x v="124"/>
    <n v="0"/>
  </r>
  <r>
    <x v="3786"/>
    <x v="23"/>
    <x v="4"/>
    <x v="2"/>
    <s v="GTX Plus Basic"/>
    <s v="Zotware"/>
    <x v="0"/>
    <d v="2017-06-09T00:00:00"/>
    <x v="161"/>
    <n v="1176"/>
  </r>
  <r>
    <x v="3787"/>
    <x v="27"/>
    <x v="5"/>
    <x v="2"/>
    <s v="MG Special"/>
    <m/>
    <x v="1"/>
    <d v="2017-06-09T00:00:00"/>
    <x v="6"/>
    <m/>
  </r>
  <r>
    <x v="3788"/>
    <x v="27"/>
    <x v="5"/>
    <x v="2"/>
    <s v="MG Advanced"/>
    <s v="Massive Dynamic"/>
    <x v="1"/>
    <d v="2017-06-09T00:00:00"/>
    <x v="6"/>
    <m/>
  </r>
  <r>
    <x v="3789"/>
    <x v="13"/>
    <x v="4"/>
    <x v="2"/>
    <s v="GTX Plus Basic"/>
    <s v="Zotware"/>
    <x v="1"/>
    <d v="2017-06-09T00:00:00"/>
    <x v="6"/>
    <m/>
  </r>
  <r>
    <x v="3790"/>
    <x v="1"/>
    <x v="1"/>
    <x v="0"/>
    <s v="GTX Plus Basic"/>
    <s v="Treequote"/>
    <x v="2"/>
    <d v="2017-06-09T00:00:00"/>
    <x v="135"/>
    <n v="0"/>
  </r>
  <r>
    <x v="3791"/>
    <x v="26"/>
    <x v="4"/>
    <x v="2"/>
    <s v="GTXPro"/>
    <s v="Zotware"/>
    <x v="0"/>
    <d v="2017-06-09T00:00:00"/>
    <x v="110"/>
    <n v="4517"/>
  </r>
  <r>
    <x v="3792"/>
    <x v="7"/>
    <x v="2"/>
    <x v="1"/>
    <s v="GTX Plus Pro"/>
    <s v="Rantouch"/>
    <x v="0"/>
    <d v="2017-06-09T00:00:00"/>
    <x v="122"/>
    <n v="5125"/>
  </r>
  <r>
    <x v="3793"/>
    <x v="16"/>
    <x v="2"/>
    <x v="1"/>
    <s v="GTX Plus Basic"/>
    <s v="Nam-zim"/>
    <x v="1"/>
    <d v="2017-06-09T00:00:00"/>
    <x v="6"/>
    <m/>
  </r>
  <r>
    <x v="3794"/>
    <x v="16"/>
    <x v="2"/>
    <x v="1"/>
    <s v="GTXPro"/>
    <s v="Kan-code"/>
    <x v="0"/>
    <d v="2017-06-09T00:00:00"/>
    <x v="84"/>
    <n v="5339"/>
  </r>
  <r>
    <x v="3795"/>
    <x v="18"/>
    <x v="2"/>
    <x v="1"/>
    <s v="GTXPro"/>
    <s v="Plusstrip"/>
    <x v="2"/>
    <d v="2017-06-09T00:00:00"/>
    <x v="148"/>
    <n v="0"/>
  </r>
  <r>
    <x v="3796"/>
    <x v="5"/>
    <x v="3"/>
    <x v="1"/>
    <s v="GTX Plus Basic"/>
    <s v="Condax"/>
    <x v="0"/>
    <d v="2017-06-09T00:00:00"/>
    <x v="86"/>
    <n v="1135"/>
  </r>
  <r>
    <x v="3797"/>
    <x v="9"/>
    <x v="2"/>
    <x v="1"/>
    <s v="MG Special"/>
    <s v="Kan-code"/>
    <x v="0"/>
    <d v="2017-06-09T00:00:00"/>
    <x v="157"/>
    <n v="52"/>
  </r>
  <r>
    <x v="3798"/>
    <x v="0"/>
    <x v="0"/>
    <x v="0"/>
    <s v="GTX Plus Basic"/>
    <s v="Bioholding"/>
    <x v="0"/>
    <d v="2017-06-09T00:00:00"/>
    <x v="107"/>
    <n v="1017"/>
  </r>
  <r>
    <x v="3799"/>
    <x v="0"/>
    <x v="0"/>
    <x v="0"/>
    <s v="MG Advanced"/>
    <s v="Codehow"/>
    <x v="0"/>
    <d v="2017-06-09T00:00:00"/>
    <x v="87"/>
    <n v="3681"/>
  </r>
  <r>
    <x v="3800"/>
    <x v="6"/>
    <x v="1"/>
    <x v="0"/>
    <s v="GTX Plus Basic"/>
    <s v="Rundofase"/>
    <x v="2"/>
    <d v="2017-06-09T00:00:00"/>
    <x v="107"/>
    <n v="0"/>
  </r>
  <r>
    <x v="3801"/>
    <x v="19"/>
    <x v="4"/>
    <x v="2"/>
    <s v="GTXPro"/>
    <s v="Mathtouch"/>
    <x v="0"/>
    <d v="2017-06-09T00:00:00"/>
    <x v="179"/>
    <n v="4370"/>
  </r>
  <r>
    <x v="3802"/>
    <x v="23"/>
    <x v="4"/>
    <x v="2"/>
    <s v="MG Advanced"/>
    <s v="Iselectrics"/>
    <x v="0"/>
    <d v="2017-06-10T00:00:00"/>
    <x v="64"/>
    <n v="3772"/>
  </r>
  <r>
    <x v="3803"/>
    <x v="23"/>
    <x v="4"/>
    <x v="2"/>
    <s v="MG Advanced"/>
    <s v="Sumace"/>
    <x v="0"/>
    <d v="2017-06-10T00:00:00"/>
    <x v="88"/>
    <n v="2871"/>
  </r>
  <r>
    <x v="3804"/>
    <x v="28"/>
    <x v="0"/>
    <x v="0"/>
    <s v="GTX Plus Pro"/>
    <s v="Cancity"/>
    <x v="0"/>
    <d v="2017-06-10T00:00:00"/>
    <x v="107"/>
    <n v="4749"/>
  </r>
  <r>
    <x v="3805"/>
    <x v="27"/>
    <x v="5"/>
    <x v="2"/>
    <s v="MG Special"/>
    <s v="Ganjaflex"/>
    <x v="2"/>
    <d v="2017-06-10T00:00:00"/>
    <x v="151"/>
    <n v="0"/>
  </r>
  <r>
    <x v="3806"/>
    <x v="1"/>
    <x v="1"/>
    <x v="0"/>
    <s v="GTX Plus Basic"/>
    <s v="Ron-tech"/>
    <x v="0"/>
    <d v="2017-06-10T00:00:00"/>
    <x v="135"/>
    <n v="1075"/>
  </r>
  <r>
    <x v="3807"/>
    <x v="26"/>
    <x v="4"/>
    <x v="2"/>
    <s v="GTX Plus Pro"/>
    <s v="Kinnamplus"/>
    <x v="0"/>
    <d v="2017-06-10T00:00:00"/>
    <x v="177"/>
    <n v="5051"/>
  </r>
  <r>
    <x v="3808"/>
    <x v="14"/>
    <x v="3"/>
    <x v="1"/>
    <s v="GTK 500"/>
    <s v="Lexiqvolax"/>
    <x v="1"/>
    <d v="2017-06-10T00:00:00"/>
    <x v="6"/>
    <m/>
  </r>
  <r>
    <x v="3809"/>
    <x v="29"/>
    <x v="1"/>
    <x v="0"/>
    <s v="GTX Plus Basic"/>
    <s v="Isdom"/>
    <x v="0"/>
    <d v="2017-06-10T00:00:00"/>
    <x v="69"/>
    <n v="834"/>
  </r>
  <r>
    <x v="3810"/>
    <x v="16"/>
    <x v="2"/>
    <x v="1"/>
    <s v="MG Special"/>
    <s v="Green-Plus"/>
    <x v="2"/>
    <d v="2017-06-10T00:00:00"/>
    <x v="109"/>
    <n v="0"/>
  </r>
  <r>
    <x v="3811"/>
    <x v="22"/>
    <x v="1"/>
    <x v="0"/>
    <s v="MG Advanced"/>
    <s v="Toughzap"/>
    <x v="2"/>
    <d v="2017-06-10T00:00:00"/>
    <x v="165"/>
    <n v="0"/>
  </r>
  <r>
    <x v="3812"/>
    <x v="22"/>
    <x v="1"/>
    <x v="0"/>
    <s v="MG Special"/>
    <s v="Rangreen"/>
    <x v="0"/>
    <d v="2017-06-10T00:00:00"/>
    <x v="84"/>
    <n v="54"/>
  </r>
  <r>
    <x v="3813"/>
    <x v="6"/>
    <x v="1"/>
    <x v="0"/>
    <s v="GTX Basic"/>
    <s v="Streethex"/>
    <x v="2"/>
    <d v="2017-06-10T00:00:00"/>
    <x v="167"/>
    <n v="0"/>
  </r>
  <r>
    <x v="3814"/>
    <x v="6"/>
    <x v="1"/>
    <x v="0"/>
    <s v="GTX Basic"/>
    <s v="Domzoom"/>
    <x v="0"/>
    <d v="2017-06-10T00:00:00"/>
    <x v="92"/>
    <n v="527"/>
  </r>
  <r>
    <x v="3815"/>
    <x v="6"/>
    <x v="1"/>
    <x v="0"/>
    <s v="MG Advanced"/>
    <s v="Globex Corporation"/>
    <x v="0"/>
    <d v="2017-06-10T00:00:00"/>
    <x v="82"/>
    <n v="2724"/>
  </r>
  <r>
    <x v="3816"/>
    <x v="19"/>
    <x v="4"/>
    <x v="2"/>
    <s v="GTX Plus Pro"/>
    <s v="Betasoloin"/>
    <x v="2"/>
    <d v="2017-06-10T00:00:00"/>
    <x v="92"/>
    <n v="0"/>
  </r>
  <r>
    <x v="3817"/>
    <x v="19"/>
    <x v="4"/>
    <x v="2"/>
    <s v="GTX Basic"/>
    <s v="Kinnamplus"/>
    <x v="0"/>
    <d v="2017-06-10T00:00:00"/>
    <x v="157"/>
    <n v="551"/>
  </r>
  <r>
    <x v="3818"/>
    <x v="11"/>
    <x v="3"/>
    <x v="1"/>
    <s v="GTXPro"/>
    <s v="Vehement Capital Partners"/>
    <x v="1"/>
    <d v="2017-06-10T00:00:00"/>
    <x v="6"/>
    <m/>
  </r>
  <r>
    <x v="3819"/>
    <x v="4"/>
    <x v="3"/>
    <x v="1"/>
    <s v="GTX Plus Basic"/>
    <s v="Plusstrip"/>
    <x v="0"/>
    <d v="2017-06-10T00:00:00"/>
    <x v="92"/>
    <n v="1118"/>
  </r>
  <r>
    <x v="3820"/>
    <x v="4"/>
    <x v="3"/>
    <x v="1"/>
    <s v="GTX Plus Pro"/>
    <s v="Dalttechnology"/>
    <x v="0"/>
    <d v="2017-06-10T00:00:00"/>
    <x v="147"/>
    <n v="6094"/>
  </r>
  <r>
    <x v="3821"/>
    <x v="20"/>
    <x v="5"/>
    <x v="2"/>
    <s v="MG Special"/>
    <s v="Gekko &amp; Co"/>
    <x v="2"/>
    <d v="2017-06-10T00:00:00"/>
    <x v="161"/>
    <n v="0"/>
  </r>
  <r>
    <x v="3822"/>
    <x v="2"/>
    <x v="2"/>
    <x v="1"/>
    <s v="GTX Basic"/>
    <m/>
    <x v="1"/>
    <d v="2017-06-10T00:00:00"/>
    <x v="6"/>
    <m/>
  </r>
  <r>
    <x v="3823"/>
    <x v="2"/>
    <x v="2"/>
    <x v="1"/>
    <s v="GTX Basic"/>
    <s v="Nam-zim"/>
    <x v="0"/>
    <d v="2017-06-10T00:00:00"/>
    <x v="112"/>
    <n v="556"/>
  </r>
  <r>
    <x v="3824"/>
    <x v="3"/>
    <x v="0"/>
    <x v="0"/>
    <s v="GTX Basic"/>
    <s v="Globex Corporation"/>
    <x v="2"/>
    <d v="2017-06-11T00:00:00"/>
    <x v="169"/>
    <n v="0"/>
  </r>
  <r>
    <x v="3825"/>
    <x v="3"/>
    <x v="0"/>
    <x v="0"/>
    <s v="MG Special"/>
    <s v="Rangreen"/>
    <x v="0"/>
    <d v="2017-06-11T00:00:00"/>
    <x v="160"/>
    <n v="49"/>
  </r>
  <r>
    <x v="3826"/>
    <x v="23"/>
    <x v="4"/>
    <x v="2"/>
    <s v="GTX Plus Basic"/>
    <s v="Silis"/>
    <x v="2"/>
    <d v="2017-06-11T00:00:00"/>
    <x v="171"/>
    <n v="0"/>
  </r>
  <r>
    <x v="3827"/>
    <x v="28"/>
    <x v="0"/>
    <x v="0"/>
    <s v="GTX Plus Basic"/>
    <s v="Streethex"/>
    <x v="0"/>
    <d v="2017-06-11T00:00:00"/>
    <x v="174"/>
    <n v="1001"/>
  </r>
  <r>
    <x v="3828"/>
    <x v="27"/>
    <x v="5"/>
    <x v="2"/>
    <s v="MG Advanced"/>
    <s v="The New York Inquirer"/>
    <x v="0"/>
    <d v="2017-06-11T00:00:00"/>
    <x v="169"/>
    <n v="3777"/>
  </r>
  <r>
    <x v="3829"/>
    <x v="13"/>
    <x v="4"/>
    <x v="2"/>
    <s v="GTX Plus Basic"/>
    <s v="Initech"/>
    <x v="0"/>
    <d v="2017-06-11T00:00:00"/>
    <x v="150"/>
    <n v="892"/>
  </r>
  <r>
    <x v="3830"/>
    <x v="13"/>
    <x v="4"/>
    <x v="2"/>
    <s v="GTX Plus Pro"/>
    <s v="Iselectrics"/>
    <x v="0"/>
    <d v="2017-06-11T00:00:00"/>
    <x v="84"/>
    <n v="5353"/>
  </r>
  <r>
    <x v="3831"/>
    <x v="1"/>
    <x v="1"/>
    <x v="0"/>
    <s v="GTXPro"/>
    <s v="Betatech"/>
    <x v="0"/>
    <d v="2017-06-11T00:00:00"/>
    <x v="90"/>
    <n v="4410"/>
  </r>
  <r>
    <x v="3832"/>
    <x v="1"/>
    <x v="1"/>
    <x v="0"/>
    <s v="MG Advanced"/>
    <s v="Konmatfix"/>
    <x v="0"/>
    <d v="2017-06-11T00:00:00"/>
    <x v="142"/>
    <n v="3768"/>
  </r>
  <r>
    <x v="3833"/>
    <x v="26"/>
    <x v="4"/>
    <x v="2"/>
    <s v="GTX Basic"/>
    <s v="Bluth Company"/>
    <x v="2"/>
    <d v="2017-06-11T00:00:00"/>
    <x v="175"/>
    <n v="0"/>
  </r>
  <r>
    <x v="3834"/>
    <x v="7"/>
    <x v="2"/>
    <x v="1"/>
    <s v="GTX Basic"/>
    <s v="J-Texon"/>
    <x v="0"/>
    <d v="2017-06-11T00:00:00"/>
    <x v="133"/>
    <n v="507"/>
  </r>
  <r>
    <x v="3835"/>
    <x v="29"/>
    <x v="1"/>
    <x v="0"/>
    <s v="GTX Plus Basic"/>
    <s v="Zumgoity"/>
    <x v="0"/>
    <d v="2017-06-11T00:00:00"/>
    <x v="170"/>
    <n v="1144"/>
  </r>
  <r>
    <x v="3836"/>
    <x v="18"/>
    <x v="2"/>
    <x v="1"/>
    <s v="MG Special"/>
    <s v="Cheers"/>
    <x v="0"/>
    <d v="2017-06-11T00:00:00"/>
    <x v="179"/>
    <n v="44"/>
  </r>
  <r>
    <x v="3837"/>
    <x v="24"/>
    <x v="0"/>
    <x v="0"/>
    <s v="MG Advanced"/>
    <s v="Treequote"/>
    <x v="0"/>
    <d v="2017-06-11T00:00:00"/>
    <x v="87"/>
    <n v="3470"/>
  </r>
  <r>
    <x v="3838"/>
    <x v="5"/>
    <x v="3"/>
    <x v="1"/>
    <s v="MG Advanced"/>
    <s v="Dalttechnology"/>
    <x v="1"/>
    <d v="2017-06-11T00:00:00"/>
    <x v="6"/>
    <m/>
  </r>
  <r>
    <x v="3839"/>
    <x v="5"/>
    <x v="3"/>
    <x v="1"/>
    <s v="GTK 500"/>
    <s v="Cheers"/>
    <x v="0"/>
    <d v="2017-06-11T00:00:00"/>
    <x v="168"/>
    <n v="29166"/>
  </r>
  <r>
    <x v="3840"/>
    <x v="5"/>
    <x v="3"/>
    <x v="1"/>
    <s v="GTX Plus Basic"/>
    <s v="Kan-code"/>
    <x v="0"/>
    <d v="2017-06-11T00:00:00"/>
    <x v="133"/>
    <n v="1045"/>
  </r>
  <r>
    <x v="3841"/>
    <x v="9"/>
    <x v="2"/>
    <x v="1"/>
    <s v="GTX Plus Basic"/>
    <s v="Fasehatice"/>
    <x v="0"/>
    <d v="2017-06-11T00:00:00"/>
    <x v="158"/>
    <n v="951"/>
  </r>
  <r>
    <x v="3842"/>
    <x v="17"/>
    <x v="5"/>
    <x v="2"/>
    <s v="GTX Plus Basic"/>
    <s v="Zoomit"/>
    <x v="1"/>
    <d v="2017-06-11T00:00:00"/>
    <x v="6"/>
    <m/>
  </r>
  <r>
    <x v="3843"/>
    <x v="12"/>
    <x v="0"/>
    <x v="0"/>
    <s v="MG Special"/>
    <s v="Stanredtax"/>
    <x v="0"/>
    <d v="2017-06-11T00:00:00"/>
    <x v="136"/>
    <n v="43"/>
  </r>
  <r>
    <x v="3844"/>
    <x v="12"/>
    <x v="0"/>
    <x v="0"/>
    <s v="MG Special"/>
    <s v="Zumgoity"/>
    <x v="0"/>
    <d v="2017-06-11T00:00:00"/>
    <x v="75"/>
    <n v="55"/>
  </r>
  <r>
    <x v="3845"/>
    <x v="4"/>
    <x v="3"/>
    <x v="1"/>
    <s v="GTX Basic"/>
    <m/>
    <x v="1"/>
    <d v="2017-06-11T00:00:00"/>
    <x v="6"/>
    <m/>
  </r>
  <r>
    <x v="3846"/>
    <x v="23"/>
    <x v="4"/>
    <x v="2"/>
    <s v="GTXPro"/>
    <s v="Kan-code"/>
    <x v="0"/>
    <d v="2017-06-12T00:00:00"/>
    <x v="150"/>
    <n v="4294"/>
  </r>
  <r>
    <x v="3847"/>
    <x v="28"/>
    <x v="0"/>
    <x v="0"/>
    <s v="GTX Plus Pro"/>
    <s v="Streethex"/>
    <x v="0"/>
    <d v="2017-06-12T00:00:00"/>
    <x v="175"/>
    <n v="4961"/>
  </r>
  <r>
    <x v="3848"/>
    <x v="27"/>
    <x v="5"/>
    <x v="2"/>
    <s v="GTXPro"/>
    <s v="Betasoloin"/>
    <x v="1"/>
    <d v="2017-06-12T00:00:00"/>
    <x v="6"/>
    <m/>
  </r>
  <r>
    <x v="3849"/>
    <x v="27"/>
    <x v="5"/>
    <x v="2"/>
    <s v="GTX Basic"/>
    <s v="Iselectrics"/>
    <x v="2"/>
    <d v="2017-06-12T00:00:00"/>
    <x v="156"/>
    <n v="0"/>
  </r>
  <r>
    <x v="3850"/>
    <x v="13"/>
    <x v="4"/>
    <x v="2"/>
    <s v="GTXPro"/>
    <s v="Ontomedia"/>
    <x v="0"/>
    <d v="2017-06-12T00:00:00"/>
    <x v="178"/>
    <n v="4506"/>
  </r>
  <r>
    <x v="3851"/>
    <x v="26"/>
    <x v="4"/>
    <x v="2"/>
    <s v="GTXPro"/>
    <s v="Zencorporation"/>
    <x v="2"/>
    <d v="2017-06-12T00:00:00"/>
    <x v="86"/>
    <n v="0"/>
  </r>
  <r>
    <x v="3852"/>
    <x v="14"/>
    <x v="3"/>
    <x v="1"/>
    <s v="GTX Basic"/>
    <s v="Singletechno"/>
    <x v="0"/>
    <d v="2017-06-12T00:00:00"/>
    <x v="161"/>
    <n v="608"/>
  </r>
  <r>
    <x v="3853"/>
    <x v="21"/>
    <x v="5"/>
    <x v="2"/>
    <s v="GTX Plus Basic"/>
    <s v="Zathunicon"/>
    <x v="0"/>
    <d v="2017-06-12T00:00:00"/>
    <x v="170"/>
    <n v="851"/>
  </r>
  <r>
    <x v="3854"/>
    <x v="8"/>
    <x v="1"/>
    <x v="0"/>
    <s v="GTX Plus Basic"/>
    <s v="Inity"/>
    <x v="0"/>
    <d v="2017-06-12T00:00:00"/>
    <x v="170"/>
    <n v="1143"/>
  </r>
  <r>
    <x v="3855"/>
    <x v="8"/>
    <x v="1"/>
    <x v="0"/>
    <s v="GTX Plus Pro"/>
    <s v="Globex Corporation"/>
    <x v="0"/>
    <d v="2017-06-12T00:00:00"/>
    <x v="79"/>
    <n v="6365"/>
  </r>
  <r>
    <x v="3856"/>
    <x v="10"/>
    <x v="3"/>
    <x v="1"/>
    <s v="MG Special"/>
    <s v="Fasehatice"/>
    <x v="0"/>
    <d v="2017-06-12T00:00:00"/>
    <x v="134"/>
    <n v="54"/>
  </r>
  <r>
    <x v="3857"/>
    <x v="18"/>
    <x v="2"/>
    <x v="1"/>
    <s v="GTX Basic"/>
    <m/>
    <x v="1"/>
    <d v="2017-06-12T00:00:00"/>
    <x v="6"/>
    <m/>
  </r>
  <r>
    <x v="3858"/>
    <x v="18"/>
    <x v="2"/>
    <x v="1"/>
    <s v="GTX Basic"/>
    <s v="Sunnamplex"/>
    <x v="2"/>
    <d v="2017-06-12T00:00:00"/>
    <x v="124"/>
    <n v="0"/>
  </r>
  <r>
    <x v="3859"/>
    <x v="18"/>
    <x v="2"/>
    <x v="1"/>
    <s v="GTXPro"/>
    <s v="Sonron"/>
    <x v="0"/>
    <d v="2017-06-12T00:00:00"/>
    <x v="91"/>
    <n v="4798"/>
  </r>
  <r>
    <x v="3860"/>
    <x v="5"/>
    <x v="3"/>
    <x v="1"/>
    <s v="MG Special"/>
    <s v="Doncon"/>
    <x v="2"/>
    <d v="2017-06-12T00:00:00"/>
    <x v="175"/>
    <n v="0"/>
  </r>
  <r>
    <x v="3861"/>
    <x v="5"/>
    <x v="3"/>
    <x v="1"/>
    <s v="GTXPro"/>
    <s v="Fasehatice"/>
    <x v="0"/>
    <d v="2017-06-12T00:00:00"/>
    <x v="79"/>
    <n v="4733"/>
  </r>
  <r>
    <x v="3862"/>
    <x v="9"/>
    <x v="2"/>
    <x v="1"/>
    <s v="GTX Plus Basic"/>
    <s v="Cheers"/>
    <x v="0"/>
    <d v="2017-06-12T00:00:00"/>
    <x v="175"/>
    <n v="1250"/>
  </r>
  <r>
    <x v="3863"/>
    <x v="9"/>
    <x v="2"/>
    <x v="1"/>
    <s v="GTX Plus Pro"/>
    <s v="Faxquote"/>
    <x v="0"/>
    <d v="2017-06-12T00:00:00"/>
    <x v="139"/>
    <n v="5966"/>
  </r>
  <r>
    <x v="3864"/>
    <x v="6"/>
    <x v="1"/>
    <x v="0"/>
    <s v="MG Special"/>
    <s v="Domzoom"/>
    <x v="0"/>
    <d v="2017-06-12T00:00:00"/>
    <x v="154"/>
    <n v="61"/>
  </r>
  <r>
    <x v="3865"/>
    <x v="11"/>
    <x v="3"/>
    <x v="1"/>
    <s v="GTX Basic"/>
    <m/>
    <x v="1"/>
    <d v="2017-06-12T00:00:00"/>
    <x v="6"/>
    <m/>
  </r>
  <r>
    <x v="3866"/>
    <x v="11"/>
    <x v="3"/>
    <x v="1"/>
    <s v="GTXPro"/>
    <s v="Funholding"/>
    <x v="1"/>
    <d v="2017-06-12T00:00:00"/>
    <x v="6"/>
    <m/>
  </r>
  <r>
    <x v="3867"/>
    <x v="17"/>
    <x v="5"/>
    <x v="2"/>
    <s v="GTX Plus Basic"/>
    <m/>
    <x v="1"/>
    <d v="2017-06-12T00:00:00"/>
    <x v="6"/>
    <m/>
  </r>
  <r>
    <x v="3868"/>
    <x v="4"/>
    <x v="3"/>
    <x v="1"/>
    <s v="MG Special"/>
    <s v="Scotfind"/>
    <x v="0"/>
    <d v="2017-06-12T00:00:00"/>
    <x v="170"/>
    <n v="48"/>
  </r>
  <r>
    <x v="3869"/>
    <x v="15"/>
    <x v="5"/>
    <x v="2"/>
    <s v="GTX Plus Basic"/>
    <s v="Isdom"/>
    <x v="1"/>
    <d v="2017-06-12T00:00:00"/>
    <x v="6"/>
    <m/>
  </r>
  <r>
    <x v="3870"/>
    <x v="15"/>
    <x v="5"/>
    <x v="2"/>
    <s v="MG Special"/>
    <s v="Zathunicon"/>
    <x v="0"/>
    <d v="2017-06-12T00:00:00"/>
    <x v="177"/>
    <n v="53"/>
  </r>
  <r>
    <x v="3871"/>
    <x v="2"/>
    <x v="2"/>
    <x v="1"/>
    <s v="MG Special"/>
    <s v="Cheers"/>
    <x v="2"/>
    <d v="2017-06-12T00:00:00"/>
    <x v="72"/>
    <n v="0"/>
  </r>
  <r>
    <x v="3872"/>
    <x v="2"/>
    <x v="2"/>
    <x v="1"/>
    <s v="MG Special"/>
    <s v="Doncon"/>
    <x v="0"/>
    <d v="2017-06-12T00:00:00"/>
    <x v="156"/>
    <n v="51"/>
  </r>
  <r>
    <x v="3873"/>
    <x v="2"/>
    <x v="2"/>
    <x v="1"/>
    <s v="MG Advanced"/>
    <s v="Cheers"/>
    <x v="0"/>
    <d v="2017-06-12T00:00:00"/>
    <x v="164"/>
    <n v="3314"/>
  </r>
  <r>
    <x v="3874"/>
    <x v="3"/>
    <x v="0"/>
    <x v="0"/>
    <s v="MG Advanced"/>
    <s v="Treequote"/>
    <x v="2"/>
    <d v="2017-06-13T00:00:00"/>
    <x v="136"/>
    <n v="0"/>
  </r>
  <r>
    <x v="3875"/>
    <x v="3"/>
    <x v="0"/>
    <x v="0"/>
    <s v="MG Special"/>
    <s v="Genco Pura Olive Oil Company"/>
    <x v="0"/>
    <d v="2017-06-13T00:00:00"/>
    <x v="174"/>
    <n v="64"/>
  </r>
  <r>
    <x v="3876"/>
    <x v="3"/>
    <x v="0"/>
    <x v="0"/>
    <s v="MG Special"/>
    <s v="Isdom"/>
    <x v="0"/>
    <d v="2017-06-13T00:00:00"/>
    <x v="90"/>
    <n v="58"/>
  </r>
  <r>
    <x v="3877"/>
    <x v="23"/>
    <x v="4"/>
    <x v="2"/>
    <s v="MG Special"/>
    <m/>
    <x v="1"/>
    <d v="2017-06-13T00:00:00"/>
    <x v="6"/>
    <m/>
  </r>
  <r>
    <x v="3878"/>
    <x v="23"/>
    <x v="4"/>
    <x v="2"/>
    <s v="GTX Plus Basic"/>
    <s v="Mathtouch"/>
    <x v="2"/>
    <d v="2017-06-13T00:00:00"/>
    <x v="161"/>
    <n v="0"/>
  </r>
  <r>
    <x v="3879"/>
    <x v="23"/>
    <x v="4"/>
    <x v="2"/>
    <s v="GTX Plus Pro"/>
    <s v="Massive Dynamic"/>
    <x v="0"/>
    <d v="2017-06-13T00:00:00"/>
    <x v="107"/>
    <n v="4598"/>
  </r>
  <r>
    <x v="3880"/>
    <x v="23"/>
    <x v="4"/>
    <x v="2"/>
    <s v="MG Advanced"/>
    <s v="Mathtouch"/>
    <x v="0"/>
    <d v="2017-06-13T00:00:00"/>
    <x v="84"/>
    <n v="3424"/>
  </r>
  <r>
    <x v="3881"/>
    <x v="23"/>
    <x v="4"/>
    <x v="2"/>
    <s v="MG Advanced"/>
    <s v="Umbrella Corporation"/>
    <x v="0"/>
    <d v="2017-06-13T00:00:00"/>
    <x v="182"/>
    <n v="3399"/>
  </r>
  <r>
    <x v="3882"/>
    <x v="13"/>
    <x v="4"/>
    <x v="2"/>
    <s v="GTX Plus Basic"/>
    <s v="Betasoloin"/>
    <x v="2"/>
    <d v="2017-06-13T00:00:00"/>
    <x v="167"/>
    <n v="0"/>
  </r>
  <r>
    <x v="3883"/>
    <x v="1"/>
    <x v="1"/>
    <x v="0"/>
    <s v="GTX Basic"/>
    <s v="Konmatfix"/>
    <x v="2"/>
    <d v="2017-06-13T00:00:00"/>
    <x v="164"/>
    <n v="0"/>
  </r>
  <r>
    <x v="3884"/>
    <x v="1"/>
    <x v="1"/>
    <x v="0"/>
    <s v="GTX Plus Pro"/>
    <s v="Betatech"/>
    <x v="2"/>
    <d v="2017-06-13T00:00:00"/>
    <x v="122"/>
    <n v="0"/>
  </r>
  <r>
    <x v="3885"/>
    <x v="1"/>
    <x v="1"/>
    <x v="0"/>
    <s v="GTXPro"/>
    <s v="Treequote"/>
    <x v="0"/>
    <d v="2017-06-13T00:00:00"/>
    <x v="154"/>
    <n v="5322"/>
  </r>
  <r>
    <x v="3886"/>
    <x v="26"/>
    <x v="4"/>
    <x v="2"/>
    <s v="GTX Basic"/>
    <s v="Donquadtech"/>
    <x v="0"/>
    <d v="2017-06-13T00:00:00"/>
    <x v="146"/>
    <n v="496"/>
  </r>
  <r>
    <x v="3887"/>
    <x v="21"/>
    <x v="5"/>
    <x v="2"/>
    <s v="MG Advanced"/>
    <s v="Bubba Gump"/>
    <x v="0"/>
    <d v="2017-06-13T00:00:00"/>
    <x v="151"/>
    <n v="3279"/>
  </r>
  <r>
    <x v="3888"/>
    <x v="8"/>
    <x v="1"/>
    <x v="0"/>
    <s v="MG Special"/>
    <s v="Scottech"/>
    <x v="2"/>
    <d v="2017-06-13T00:00:00"/>
    <x v="183"/>
    <n v="0"/>
  </r>
  <r>
    <x v="3889"/>
    <x v="7"/>
    <x v="2"/>
    <x v="1"/>
    <s v="MG Special"/>
    <s v="Scotfind"/>
    <x v="0"/>
    <d v="2017-06-13T00:00:00"/>
    <x v="87"/>
    <n v="68"/>
  </r>
  <r>
    <x v="3890"/>
    <x v="29"/>
    <x v="1"/>
    <x v="0"/>
    <s v="GTX Basic"/>
    <s v="Treequote"/>
    <x v="2"/>
    <d v="2017-06-13T00:00:00"/>
    <x v="147"/>
    <n v="0"/>
  </r>
  <r>
    <x v="3891"/>
    <x v="18"/>
    <x v="2"/>
    <x v="1"/>
    <s v="GTX Plus Pro"/>
    <m/>
    <x v="1"/>
    <d v="2017-06-13T00:00:00"/>
    <x v="6"/>
    <m/>
  </r>
  <r>
    <x v="3892"/>
    <x v="9"/>
    <x v="2"/>
    <x v="1"/>
    <s v="GTX Plus Basic"/>
    <s v="Zoomit"/>
    <x v="1"/>
    <d v="2017-06-13T00:00:00"/>
    <x v="6"/>
    <m/>
  </r>
  <r>
    <x v="3893"/>
    <x v="6"/>
    <x v="1"/>
    <x v="0"/>
    <s v="GTX Plus Basic"/>
    <s v="Funholding"/>
    <x v="2"/>
    <d v="2017-06-13T00:00:00"/>
    <x v="134"/>
    <n v="0"/>
  </r>
  <r>
    <x v="3894"/>
    <x v="12"/>
    <x v="0"/>
    <x v="0"/>
    <s v="MG Special"/>
    <s v="Bioholding"/>
    <x v="0"/>
    <d v="2017-06-13T00:00:00"/>
    <x v="75"/>
    <n v="59"/>
  </r>
  <r>
    <x v="3895"/>
    <x v="4"/>
    <x v="3"/>
    <x v="1"/>
    <s v="MG Advanced"/>
    <s v="Fasehatice"/>
    <x v="0"/>
    <d v="2017-06-13T00:00:00"/>
    <x v="86"/>
    <n v="3205"/>
  </r>
  <r>
    <x v="3896"/>
    <x v="20"/>
    <x v="5"/>
    <x v="2"/>
    <s v="GTX Basic"/>
    <s v="Mathtouch"/>
    <x v="2"/>
    <d v="2017-06-13T00:00:00"/>
    <x v="87"/>
    <n v="0"/>
  </r>
  <r>
    <x v="3897"/>
    <x v="2"/>
    <x v="2"/>
    <x v="1"/>
    <s v="MG Advanced"/>
    <m/>
    <x v="1"/>
    <d v="2017-06-13T00:00:00"/>
    <x v="6"/>
    <m/>
  </r>
  <r>
    <x v="3898"/>
    <x v="3"/>
    <x v="0"/>
    <x v="0"/>
    <s v="MG Special"/>
    <s v="Globex Corporation"/>
    <x v="0"/>
    <d v="2017-06-14T00:00:00"/>
    <x v="78"/>
    <n v="55"/>
  </r>
  <r>
    <x v="3899"/>
    <x v="23"/>
    <x v="4"/>
    <x v="2"/>
    <s v="GTX Basic"/>
    <s v="Bubba Gump"/>
    <x v="2"/>
    <d v="2017-06-14T00:00:00"/>
    <x v="180"/>
    <n v="0"/>
  </r>
  <r>
    <x v="3900"/>
    <x v="27"/>
    <x v="5"/>
    <x v="2"/>
    <s v="GTX Plus Basic"/>
    <m/>
    <x v="1"/>
    <d v="2017-06-14T00:00:00"/>
    <x v="6"/>
    <m/>
  </r>
  <r>
    <x v="3901"/>
    <x v="27"/>
    <x v="5"/>
    <x v="2"/>
    <s v="GTX Basic"/>
    <s v="Ganjaflex"/>
    <x v="0"/>
    <d v="2017-06-14T00:00:00"/>
    <x v="145"/>
    <n v="525"/>
  </r>
  <r>
    <x v="3902"/>
    <x v="1"/>
    <x v="1"/>
    <x v="0"/>
    <s v="MG Advanced"/>
    <s v="Isdom"/>
    <x v="0"/>
    <d v="2017-06-14T00:00:00"/>
    <x v="149"/>
    <n v="3455"/>
  </r>
  <r>
    <x v="3903"/>
    <x v="14"/>
    <x v="3"/>
    <x v="1"/>
    <s v="MG Advanced"/>
    <s v="Faxquote"/>
    <x v="0"/>
    <d v="2017-06-14T00:00:00"/>
    <x v="79"/>
    <n v="3110"/>
  </r>
  <r>
    <x v="3904"/>
    <x v="21"/>
    <x v="5"/>
    <x v="2"/>
    <s v="MG Special"/>
    <s v="Kinnamplus"/>
    <x v="2"/>
    <d v="2017-06-14T00:00:00"/>
    <x v="87"/>
    <n v="0"/>
  </r>
  <r>
    <x v="3905"/>
    <x v="10"/>
    <x v="3"/>
    <x v="1"/>
    <s v="GTX Plus Pro"/>
    <s v="Scotfind"/>
    <x v="0"/>
    <d v="2017-06-14T00:00:00"/>
    <x v="171"/>
    <n v="5053"/>
  </r>
  <r>
    <x v="3906"/>
    <x v="10"/>
    <x v="3"/>
    <x v="1"/>
    <s v="MG Advanced"/>
    <s v="Groovestreet"/>
    <x v="0"/>
    <d v="2017-06-14T00:00:00"/>
    <x v="88"/>
    <n v="3539"/>
  </r>
  <r>
    <x v="3907"/>
    <x v="7"/>
    <x v="2"/>
    <x v="1"/>
    <s v="GTX Basic"/>
    <m/>
    <x v="1"/>
    <d v="2017-06-14T00:00:00"/>
    <x v="6"/>
    <m/>
  </r>
  <r>
    <x v="3908"/>
    <x v="29"/>
    <x v="1"/>
    <x v="0"/>
    <s v="GTX Basic"/>
    <s v="Rundofase"/>
    <x v="0"/>
    <d v="2017-06-14T00:00:00"/>
    <x v="147"/>
    <n v="580"/>
  </r>
  <r>
    <x v="3909"/>
    <x v="16"/>
    <x v="2"/>
    <x v="1"/>
    <s v="MG Advanced"/>
    <s v="Rantouch"/>
    <x v="2"/>
    <d v="2017-06-14T00:00:00"/>
    <x v="72"/>
    <n v="0"/>
  </r>
  <r>
    <x v="3910"/>
    <x v="24"/>
    <x v="0"/>
    <x v="0"/>
    <s v="MG Advanced"/>
    <s v="Warephase"/>
    <x v="0"/>
    <d v="2017-06-14T00:00:00"/>
    <x v="69"/>
    <n v="3468"/>
  </r>
  <r>
    <x v="3911"/>
    <x v="5"/>
    <x v="3"/>
    <x v="1"/>
    <s v="GTK 500"/>
    <s v="Treequote"/>
    <x v="1"/>
    <d v="2017-06-14T00:00:00"/>
    <x v="6"/>
    <m/>
  </r>
  <r>
    <x v="3912"/>
    <x v="5"/>
    <x v="3"/>
    <x v="1"/>
    <s v="GTXPro"/>
    <s v="Conecom"/>
    <x v="1"/>
    <d v="2017-06-14T00:00:00"/>
    <x v="6"/>
    <m/>
  </r>
  <r>
    <x v="3913"/>
    <x v="6"/>
    <x v="1"/>
    <x v="0"/>
    <s v="MG Special"/>
    <s v="Ron-tech"/>
    <x v="0"/>
    <d v="2017-06-14T00:00:00"/>
    <x v="165"/>
    <n v="54"/>
  </r>
  <r>
    <x v="3914"/>
    <x v="19"/>
    <x v="4"/>
    <x v="2"/>
    <s v="MG Advanced"/>
    <s v="Bluth Company"/>
    <x v="2"/>
    <d v="2017-06-14T00:00:00"/>
    <x v="87"/>
    <n v="0"/>
  </r>
  <r>
    <x v="3915"/>
    <x v="12"/>
    <x v="0"/>
    <x v="0"/>
    <s v="MG Special"/>
    <s v="Scottech"/>
    <x v="2"/>
    <d v="2017-06-14T00:00:00"/>
    <x v="138"/>
    <n v="0"/>
  </r>
  <r>
    <x v="3916"/>
    <x v="15"/>
    <x v="5"/>
    <x v="2"/>
    <s v="MG Special"/>
    <s v="Gekko &amp; Co"/>
    <x v="2"/>
    <d v="2017-06-14T00:00:00"/>
    <x v="136"/>
    <n v="0"/>
  </r>
  <r>
    <x v="3917"/>
    <x v="25"/>
    <x v="4"/>
    <x v="2"/>
    <s v="GTX Plus Pro"/>
    <s v="Zotware"/>
    <x v="0"/>
    <d v="2017-06-15T00:00:00"/>
    <x v="88"/>
    <n v="6040"/>
  </r>
  <r>
    <x v="3918"/>
    <x v="23"/>
    <x v="4"/>
    <x v="2"/>
    <s v="GTXPro"/>
    <s v="The New York Inquirer"/>
    <x v="0"/>
    <d v="2017-06-15T00:00:00"/>
    <x v="139"/>
    <n v="5857"/>
  </r>
  <r>
    <x v="3919"/>
    <x v="28"/>
    <x v="0"/>
    <x v="0"/>
    <s v="MG Advanced"/>
    <s v="dambase"/>
    <x v="0"/>
    <d v="2017-06-15T00:00:00"/>
    <x v="79"/>
    <n v="3785"/>
  </r>
  <r>
    <x v="3920"/>
    <x v="27"/>
    <x v="5"/>
    <x v="2"/>
    <s v="GTX Plus Basic"/>
    <s v="Zathunicon"/>
    <x v="2"/>
    <d v="2017-06-15T00:00:00"/>
    <x v="165"/>
    <n v="0"/>
  </r>
  <r>
    <x v="3921"/>
    <x v="13"/>
    <x v="4"/>
    <x v="2"/>
    <s v="GTX Basic"/>
    <s v="Initech"/>
    <x v="0"/>
    <d v="2017-06-15T00:00:00"/>
    <x v="86"/>
    <n v="420"/>
  </r>
  <r>
    <x v="3922"/>
    <x v="13"/>
    <x v="4"/>
    <x v="2"/>
    <s v="GTXPro"/>
    <s v="Xx-zobam"/>
    <x v="0"/>
    <d v="2017-06-15T00:00:00"/>
    <x v="72"/>
    <n v="4939"/>
  </r>
  <r>
    <x v="3923"/>
    <x v="1"/>
    <x v="1"/>
    <x v="0"/>
    <s v="GTXPro"/>
    <s v="Scottech"/>
    <x v="0"/>
    <d v="2017-06-15T00:00:00"/>
    <x v="89"/>
    <n v="4564"/>
  </r>
  <r>
    <x v="3924"/>
    <x v="1"/>
    <x v="1"/>
    <x v="0"/>
    <s v="MG Advanced"/>
    <s v="Rangreen"/>
    <x v="0"/>
    <d v="2017-06-15T00:00:00"/>
    <x v="172"/>
    <n v="2683"/>
  </r>
  <r>
    <x v="3925"/>
    <x v="14"/>
    <x v="3"/>
    <x v="1"/>
    <s v="GTK 500"/>
    <s v="Cheers"/>
    <x v="0"/>
    <d v="2017-06-15T00:00:00"/>
    <x v="89"/>
    <n v="25464"/>
  </r>
  <r>
    <x v="3926"/>
    <x v="29"/>
    <x v="1"/>
    <x v="0"/>
    <s v="GTX Basic"/>
    <s v="Hottechi"/>
    <x v="0"/>
    <d v="2017-06-15T00:00:00"/>
    <x v="172"/>
    <n v="460"/>
  </r>
  <r>
    <x v="3927"/>
    <x v="29"/>
    <x v="1"/>
    <x v="0"/>
    <s v="GTX Basic"/>
    <s v="Rundofase"/>
    <x v="0"/>
    <d v="2017-06-15T00:00:00"/>
    <x v="88"/>
    <n v="546"/>
  </r>
  <r>
    <x v="3928"/>
    <x v="29"/>
    <x v="1"/>
    <x v="0"/>
    <s v="GTX Plus Basic"/>
    <s v="Conecom"/>
    <x v="0"/>
    <d v="2017-06-15T00:00:00"/>
    <x v="174"/>
    <n v="918"/>
  </r>
  <r>
    <x v="3929"/>
    <x v="24"/>
    <x v="0"/>
    <x v="0"/>
    <s v="MG Advanced"/>
    <s v="Domzoom"/>
    <x v="2"/>
    <d v="2017-06-15T00:00:00"/>
    <x v="91"/>
    <n v="0"/>
  </r>
  <r>
    <x v="3930"/>
    <x v="24"/>
    <x v="0"/>
    <x v="0"/>
    <s v="MG Advanced"/>
    <s v="Toughzap"/>
    <x v="0"/>
    <d v="2017-06-15T00:00:00"/>
    <x v="110"/>
    <n v="3018"/>
  </r>
  <r>
    <x v="3931"/>
    <x v="5"/>
    <x v="3"/>
    <x v="1"/>
    <s v="MG Special"/>
    <s v="Sonron"/>
    <x v="0"/>
    <d v="2017-06-15T00:00:00"/>
    <x v="162"/>
    <n v="52"/>
  </r>
  <r>
    <x v="3932"/>
    <x v="9"/>
    <x v="2"/>
    <x v="1"/>
    <s v="GTX Basic"/>
    <m/>
    <x v="1"/>
    <d v="2017-06-15T00:00:00"/>
    <x v="6"/>
    <m/>
  </r>
  <r>
    <x v="3933"/>
    <x v="19"/>
    <x v="4"/>
    <x v="2"/>
    <s v="MG Special"/>
    <s v="Bioplex"/>
    <x v="0"/>
    <d v="2017-06-15T00:00:00"/>
    <x v="107"/>
    <n v="50"/>
  </r>
  <r>
    <x v="3934"/>
    <x v="11"/>
    <x v="3"/>
    <x v="1"/>
    <s v="MG Special"/>
    <m/>
    <x v="1"/>
    <d v="2017-06-15T00:00:00"/>
    <x v="6"/>
    <m/>
  </r>
  <r>
    <x v="3935"/>
    <x v="17"/>
    <x v="5"/>
    <x v="2"/>
    <s v="GTX Basic"/>
    <s v="Xx-zobam"/>
    <x v="0"/>
    <d v="2017-06-15T00:00:00"/>
    <x v="160"/>
    <n v="524"/>
  </r>
  <r>
    <x v="3936"/>
    <x v="17"/>
    <x v="5"/>
    <x v="2"/>
    <s v="MG Advanced"/>
    <s v="Xx-zobam"/>
    <x v="0"/>
    <d v="2017-06-15T00:00:00"/>
    <x v="91"/>
    <n v="3306"/>
  </r>
  <r>
    <x v="3937"/>
    <x v="4"/>
    <x v="3"/>
    <x v="1"/>
    <s v="GTX Basic"/>
    <m/>
    <x v="1"/>
    <d v="2017-06-15T00:00:00"/>
    <x v="6"/>
    <m/>
  </r>
  <r>
    <x v="3938"/>
    <x v="4"/>
    <x v="3"/>
    <x v="1"/>
    <s v="MG Special"/>
    <s v="Hatfan"/>
    <x v="0"/>
    <d v="2017-06-15T00:00:00"/>
    <x v="81"/>
    <n v="54"/>
  </r>
  <r>
    <x v="3939"/>
    <x v="4"/>
    <x v="3"/>
    <x v="1"/>
    <s v="MG Special"/>
    <s v="Hottechi"/>
    <x v="0"/>
    <d v="2017-06-15T00:00:00"/>
    <x v="88"/>
    <n v="53"/>
  </r>
  <r>
    <x v="3940"/>
    <x v="20"/>
    <x v="5"/>
    <x v="2"/>
    <s v="GTX Basic"/>
    <s v="Zencorporation"/>
    <x v="0"/>
    <d v="2017-06-15T00:00:00"/>
    <x v="175"/>
    <n v="514"/>
  </r>
  <r>
    <x v="3941"/>
    <x v="2"/>
    <x v="2"/>
    <x v="1"/>
    <s v="MG Advanced"/>
    <m/>
    <x v="1"/>
    <d v="2017-06-15T00:00:00"/>
    <x v="6"/>
    <m/>
  </r>
  <r>
    <x v="3942"/>
    <x v="23"/>
    <x v="4"/>
    <x v="2"/>
    <s v="MG Special"/>
    <s v="Bluth Company"/>
    <x v="1"/>
    <d v="2017-06-16T00:00:00"/>
    <x v="6"/>
    <m/>
  </r>
  <r>
    <x v="3943"/>
    <x v="13"/>
    <x v="4"/>
    <x v="2"/>
    <s v="GTX Plus Basic"/>
    <s v="Konex"/>
    <x v="0"/>
    <d v="2017-06-16T00:00:00"/>
    <x v="79"/>
    <n v="985"/>
  </r>
  <r>
    <x v="3944"/>
    <x v="1"/>
    <x v="1"/>
    <x v="0"/>
    <s v="GTXPro"/>
    <s v="Conecom"/>
    <x v="0"/>
    <d v="2017-06-16T00:00:00"/>
    <x v="138"/>
    <n v="5843"/>
  </r>
  <r>
    <x v="3945"/>
    <x v="1"/>
    <x v="1"/>
    <x v="0"/>
    <s v="GTXPro"/>
    <s v="Genco Pura Olive Oil Company"/>
    <x v="0"/>
    <d v="2017-06-16T00:00:00"/>
    <x v="180"/>
    <n v="4577"/>
  </r>
  <r>
    <x v="3946"/>
    <x v="1"/>
    <x v="1"/>
    <x v="0"/>
    <s v="MG Advanced"/>
    <s v="Isdom"/>
    <x v="0"/>
    <d v="2017-06-16T00:00:00"/>
    <x v="90"/>
    <n v="3323"/>
  </r>
  <r>
    <x v="3947"/>
    <x v="26"/>
    <x v="4"/>
    <x v="2"/>
    <s v="MG Advanced"/>
    <s v="Betasoloin"/>
    <x v="2"/>
    <d v="2017-06-16T00:00:00"/>
    <x v="159"/>
    <n v="0"/>
  </r>
  <r>
    <x v="3948"/>
    <x v="26"/>
    <x v="4"/>
    <x v="2"/>
    <s v="GTX Basic"/>
    <s v="Ontomedia"/>
    <x v="0"/>
    <d v="2017-06-16T00:00:00"/>
    <x v="180"/>
    <n v="483"/>
  </r>
  <r>
    <x v="3949"/>
    <x v="21"/>
    <x v="5"/>
    <x v="2"/>
    <s v="GTX Basic"/>
    <s v="Initech"/>
    <x v="2"/>
    <d v="2017-06-16T00:00:00"/>
    <x v="161"/>
    <n v="0"/>
  </r>
  <r>
    <x v="3950"/>
    <x v="21"/>
    <x v="5"/>
    <x v="2"/>
    <s v="GTXPro"/>
    <s v="Vehement Capital Partners"/>
    <x v="0"/>
    <d v="2017-06-16T00:00:00"/>
    <x v="153"/>
    <n v="5206"/>
  </r>
  <r>
    <x v="3951"/>
    <x v="8"/>
    <x v="1"/>
    <x v="0"/>
    <s v="MG Advanced"/>
    <s v="Finhigh"/>
    <x v="0"/>
    <d v="2017-06-16T00:00:00"/>
    <x v="164"/>
    <n v="3621"/>
  </r>
  <r>
    <x v="3952"/>
    <x v="16"/>
    <x v="2"/>
    <x v="1"/>
    <s v="GTXPro"/>
    <s v="Faxquote"/>
    <x v="0"/>
    <d v="2017-06-16T00:00:00"/>
    <x v="79"/>
    <n v="4756"/>
  </r>
  <r>
    <x v="3953"/>
    <x v="24"/>
    <x v="0"/>
    <x v="0"/>
    <s v="GTX Plus Basic"/>
    <s v="Isdom"/>
    <x v="2"/>
    <d v="2017-06-16T00:00:00"/>
    <x v="175"/>
    <n v="0"/>
  </r>
  <r>
    <x v="3954"/>
    <x v="24"/>
    <x v="0"/>
    <x v="0"/>
    <s v="MG Advanced"/>
    <s v="Stanredtax"/>
    <x v="0"/>
    <d v="2017-06-16T00:00:00"/>
    <x v="90"/>
    <n v="3228"/>
  </r>
  <r>
    <x v="3955"/>
    <x v="5"/>
    <x v="3"/>
    <x v="1"/>
    <s v="GTX Plus Basic"/>
    <s v="Toughzap"/>
    <x v="1"/>
    <d v="2017-06-16T00:00:00"/>
    <x v="6"/>
    <m/>
  </r>
  <r>
    <x v="3956"/>
    <x v="6"/>
    <x v="1"/>
    <x v="0"/>
    <s v="GTX Plus Basic"/>
    <s v="Bioholding"/>
    <x v="0"/>
    <d v="2017-06-16T00:00:00"/>
    <x v="180"/>
    <n v="1063"/>
  </r>
  <r>
    <x v="3957"/>
    <x v="19"/>
    <x v="4"/>
    <x v="2"/>
    <s v="GTX Plus Basic"/>
    <s v="Yearin"/>
    <x v="2"/>
    <d v="2017-06-16T00:00:00"/>
    <x v="148"/>
    <n v="0"/>
  </r>
  <r>
    <x v="3958"/>
    <x v="17"/>
    <x v="5"/>
    <x v="2"/>
    <s v="GTXPro"/>
    <s v="Xx-zobam"/>
    <x v="1"/>
    <d v="2017-06-16T00:00:00"/>
    <x v="6"/>
    <m/>
  </r>
  <r>
    <x v="3959"/>
    <x v="4"/>
    <x v="3"/>
    <x v="1"/>
    <s v="MG Special"/>
    <m/>
    <x v="1"/>
    <d v="2017-06-16T00:00:00"/>
    <x v="6"/>
    <m/>
  </r>
  <r>
    <x v="3960"/>
    <x v="15"/>
    <x v="5"/>
    <x v="2"/>
    <s v="MG Special"/>
    <m/>
    <x v="1"/>
    <d v="2017-06-16T00:00:00"/>
    <x v="6"/>
    <m/>
  </r>
  <r>
    <x v="3961"/>
    <x v="2"/>
    <x v="2"/>
    <x v="1"/>
    <s v="MG Advanced"/>
    <s v="Newex"/>
    <x v="0"/>
    <d v="2017-06-16T00:00:00"/>
    <x v="87"/>
    <n v="4234"/>
  </r>
  <r>
    <x v="3962"/>
    <x v="23"/>
    <x v="4"/>
    <x v="2"/>
    <s v="GTX Plus Basic"/>
    <s v="Plussunin"/>
    <x v="0"/>
    <d v="2017-06-17T00:00:00"/>
    <x v="169"/>
    <n v="1198"/>
  </r>
  <r>
    <x v="3963"/>
    <x v="27"/>
    <x v="5"/>
    <x v="2"/>
    <s v="GTXPro"/>
    <s v="Sumace"/>
    <x v="0"/>
    <d v="2017-06-17T00:00:00"/>
    <x v="172"/>
    <n v="4960"/>
  </r>
  <r>
    <x v="3964"/>
    <x v="1"/>
    <x v="1"/>
    <x v="0"/>
    <s v="GTX Basic"/>
    <s v="Betatech"/>
    <x v="0"/>
    <d v="2017-06-17T00:00:00"/>
    <x v="161"/>
    <n v="576"/>
  </r>
  <r>
    <x v="3965"/>
    <x v="1"/>
    <x v="1"/>
    <x v="0"/>
    <s v="GTX Plus Pro"/>
    <s v="Globex Corporation"/>
    <x v="0"/>
    <d v="2017-06-17T00:00:00"/>
    <x v="149"/>
    <n v="5614"/>
  </r>
  <r>
    <x v="3966"/>
    <x v="1"/>
    <x v="1"/>
    <x v="0"/>
    <s v="MG Advanced"/>
    <s v="Streethex"/>
    <x v="0"/>
    <d v="2017-06-17T00:00:00"/>
    <x v="155"/>
    <n v="3422"/>
  </r>
  <r>
    <x v="3967"/>
    <x v="14"/>
    <x v="3"/>
    <x v="1"/>
    <s v="GTX Basic"/>
    <s v="Rantouch"/>
    <x v="1"/>
    <d v="2017-06-17T00:00:00"/>
    <x v="6"/>
    <m/>
  </r>
  <r>
    <x v="3968"/>
    <x v="7"/>
    <x v="2"/>
    <x v="1"/>
    <s v="MG Advanced"/>
    <m/>
    <x v="1"/>
    <d v="2017-06-17T00:00:00"/>
    <x v="6"/>
    <m/>
  </r>
  <r>
    <x v="3969"/>
    <x v="7"/>
    <x v="2"/>
    <x v="1"/>
    <s v="GTX Plus Pro"/>
    <s v="Finjob"/>
    <x v="0"/>
    <d v="2017-06-17T00:00:00"/>
    <x v="90"/>
    <n v="5306"/>
  </r>
  <r>
    <x v="3970"/>
    <x v="16"/>
    <x v="2"/>
    <x v="1"/>
    <s v="GTX Basic"/>
    <m/>
    <x v="1"/>
    <d v="2017-06-17T00:00:00"/>
    <x v="6"/>
    <m/>
  </r>
  <r>
    <x v="3971"/>
    <x v="16"/>
    <x v="2"/>
    <x v="1"/>
    <s v="GTXPro"/>
    <m/>
    <x v="1"/>
    <d v="2017-06-17T00:00:00"/>
    <x v="6"/>
    <m/>
  </r>
  <r>
    <x v="3972"/>
    <x v="18"/>
    <x v="2"/>
    <x v="1"/>
    <s v="GTXPro"/>
    <s v="Sonron"/>
    <x v="1"/>
    <d v="2017-06-17T00:00:00"/>
    <x v="6"/>
    <m/>
  </r>
  <r>
    <x v="3973"/>
    <x v="18"/>
    <x v="2"/>
    <x v="1"/>
    <s v="GTXPro"/>
    <s v="Golddex"/>
    <x v="2"/>
    <d v="2017-06-17T00:00:00"/>
    <x v="144"/>
    <n v="0"/>
  </r>
  <r>
    <x v="3974"/>
    <x v="24"/>
    <x v="0"/>
    <x v="0"/>
    <s v="MG Special"/>
    <s v="Inity"/>
    <x v="0"/>
    <d v="2017-06-17T00:00:00"/>
    <x v="165"/>
    <n v="60"/>
  </r>
  <r>
    <x v="3975"/>
    <x v="5"/>
    <x v="3"/>
    <x v="1"/>
    <s v="GTX Basic"/>
    <m/>
    <x v="1"/>
    <d v="2017-06-17T00:00:00"/>
    <x v="6"/>
    <m/>
  </r>
  <r>
    <x v="3976"/>
    <x v="5"/>
    <x v="3"/>
    <x v="1"/>
    <s v="GTK 500"/>
    <s v="Konex"/>
    <x v="2"/>
    <d v="2017-06-17T00:00:00"/>
    <x v="141"/>
    <n v="0"/>
  </r>
  <r>
    <x v="3977"/>
    <x v="0"/>
    <x v="0"/>
    <x v="0"/>
    <s v="GTX Plus Pro"/>
    <s v="Bioholding"/>
    <x v="0"/>
    <d v="2017-06-17T00:00:00"/>
    <x v="122"/>
    <n v="5018"/>
  </r>
  <r>
    <x v="3978"/>
    <x v="4"/>
    <x v="3"/>
    <x v="1"/>
    <s v="GTX Basic"/>
    <m/>
    <x v="1"/>
    <d v="2017-06-17T00:00:00"/>
    <x v="6"/>
    <m/>
  </r>
  <r>
    <x v="3979"/>
    <x v="4"/>
    <x v="3"/>
    <x v="1"/>
    <s v="MG Advanced"/>
    <s v="Groovestreet"/>
    <x v="0"/>
    <d v="2017-06-17T00:00:00"/>
    <x v="180"/>
    <n v="3295"/>
  </r>
  <r>
    <x v="3980"/>
    <x v="3"/>
    <x v="0"/>
    <x v="0"/>
    <s v="MG Special"/>
    <s v="Rundofase"/>
    <x v="0"/>
    <d v="2017-06-18T00:00:00"/>
    <x v="175"/>
    <n v="61"/>
  </r>
  <r>
    <x v="3981"/>
    <x v="25"/>
    <x v="4"/>
    <x v="2"/>
    <s v="GTX Plus Pro"/>
    <s v="Mathtouch"/>
    <x v="2"/>
    <d v="2017-06-18T00:00:00"/>
    <x v="184"/>
    <n v="0"/>
  </r>
  <r>
    <x v="3982"/>
    <x v="23"/>
    <x v="4"/>
    <x v="2"/>
    <s v="GTX Plus Basic"/>
    <s v="Scottech"/>
    <x v="1"/>
    <d v="2017-06-18T00:00:00"/>
    <x v="6"/>
    <m/>
  </r>
  <r>
    <x v="3983"/>
    <x v="23"/>
    <x v="4"/>
    <x v="2"/>
    <s v="MG Special"/>
    <s v="Zathunicon"/>
    <x v="0"/>
    <d v="2017-06-18T00:00:00"/>
    <x v="178"/>
    <n v="59"/>
  </r>
  <r>
    <x v="3984"/>
    <x v="13"/>
    <x v="4"/>
    <x v="2"/>
    <s v="GTX Plus Pro"/>
    <m/>
    <x v="1"/>
    <d v="2017-06-18T00:00:00"/>
    <x v="6"/>
    <m/>
  </r>
  <r>
    <x v="3985"/>
    <x v="13"/>
    <x v="4"/>
    <x v="2"/>
    <s v="MG Advanced"/>
    <s v="Groovestreet"/>
    <x v="1"/>
    <d v="2017-06-18T00:00:00"/>
    <x v="6"/>
    <m/>
  </r>
  <r>
    <x v="3986"/>
    <x v="13"/>
    <x v="4"/>
    <x v="2"/>
    <s v="GTXPro"/>
    <s v="Mathtouch"/>
    <x v="0"/>
    <d v="2017-06-18T00:00:00"/>
    <x v="86"/>
    <n v="3720"/>
  </r>
  <r>
    <x v="3987"/>
    <x v="1"/>
    <x v="1"/>
    <x v="0"/>
    <s v="MG Advanced"/>
    <s v="Isdom"/>
    <x v="2"/>
    <d v="2017-06-18T00:00:00"/>
    <x v="141"/>
    <n v="0"/>
  </r>
  <r>
    <x v="3988"/>
    <x v="1"/>
    <x v="1"/>
    <x v="0"/>
    <s v="GTXPro"/>
    <s v="Funholding"/>
    <x v="0"/>
    <d v="2017-06-18T00:00:00"/>
    <x v="122"/>
    <n v="5088"/>
  </r>
  <r>
    <x v="3989"/>
    <x v="14"/>
    <x v="3"/>
    <x v="1"/>
    <s v="GTX Plus Pro"/>
    <s v="Scotfind"/>
    <x v="0"/>
    <d v="2017-06-18T00:00:00"/>
    <x v="88"/>
    <n v="6666"/>
  </r>
  <r>
    <x v="3990"/>
    <x v="8"/>
    <x v="1"/>
    <x v="0"/>
    <s v="GTX Plus Basic"/>
    <s v="Ron-tech"/>
    <x v="2"/>
    <d v="2017-06-18T00:00:00"/>
    <x v="110"/>
    <n v="0"/>
  </r>
  <r>
    <x v="3991"/>
    <x v="8"/>
    <x v="1"/>
    <x v="0"/>
    <s v="GTXPro"/>
    <s v="Isdom"/>
    <x v="0"/>
    <d v="2017-06-18T00:00:00"/>
    <x v="78"/>
    <n v="5115"/>
  </r>
  <r>
    <x v="3992"/>
    <x v="7"/>
    <x v="2"/>
    <x v="1"/>
    <s v="MG Advanced"/>
    <s v="Gekko &amp; Co"/>
    <x v="1"/>
    <d v="2017-06-18T00:00:00"/>
    <x v="6"/>
    <m/>
  </r>
  <r>
    <x v="3993"/>
    <x v="29"/>
    <x v="1"/>
    <x v="0"/>
    <s v="GTX Basic"/>
    <s v="Stanredtax"/>
    <x v="2"/>
    <d v="2017-06-18T00:00:00"/>
    <x v="134"/>
    <n v="0"/>
  </r>
  <r>
    <x v="3994"/>
    <x v="29"/>
    <x v="1"/>
    <x v="0"/>
    <s v="GTX Plus Basic"/>
    <s v="Isdom"/>
    <x v="0"/>
    <d v="2017-06-18T00:00:00"/>
    <x v="184"/>
    <n v="1149"/>
  </r>
  <r>
    <x v="3995"/>
    <x v="29"/>
    <x v="1"/>
    <x v="0"/>
    <s v="GTXPro"/>
    <s v="Bioholding"/>
    <x v="0"/>
    <d v="2017-06-18T00:00:00"/>
    <x v="152"/>
    <n v="5220"/>
  </r>
  <r>
    <x v="3996"/>
    <x v="29"/>
    <x v="1"/>
    <x v="0"/>
    <s v="MG Special"/>
    <s v="Stanredtax"/>
    <x v="0"/>
    <d v="2017-06-18T00:00:00"/>
    <x v="81"/>
    <n v="60"/>
  </r>
  <r>
    <x v="3997"/>
    <x v="16"/>
    <x v="2"/>
    <x v="1"/>
    <s v="GTX Basic"/>
    <m/>
    <x v="1"/>
    <d v="2017-06-18T00:00:00"/>
    <x v="6"/>
    <m/>
  </r>
  <r>
    <x v="3998"/>
    <x v="16"/>
    <x v="2"/>
    <x v="1"/>
    <s v="GTX Basic"/>
    <s v="Lexiqvolax"/>
    <x v="0"/>
    <d v="2017-06-18T00:00:00"/>
    <x v="81"/>
    <n v="551"/>
  </r>
  <r>
    <x v="3999"/>
    <x v="5"/>
    <x v="3"/>
    <x v="1"/>
    <s v="GTX Basic"/>
    <s v="Cheers"/>
    <x v="0"/>
    <d v="2017-06-18T00:00:00"/>
    <x v="183"/>
    <n v="505"/>
  </r>
  <r>
    <x v="4000"/>
    <x v="22"/>
    <x v="1"/>
    <x v="0"/>
    <s v="GTX Basic"/>
    <s v="Warephase"/>
    <x v="2"/>
    <d v="2017-06-18T00:00:00"/>
    <x v="142"/>
    <n v="0"/>
  </r>
  <r>
    <x v="4001"/>
    <x v="22"/>
    <x v="1"/>
    <x v="0"/>
    <s v="GTX Plus Pro"/>
    <s v="Globex Corporation"/>
    <x v="0"/>
    <d v="2017-06-18T00:00:00"/>
    <x v="134"/>
    <n v="5472"/>
  </r>
  <r>
    <x v="4002"/>
    <x v="6"/>
    <x v="1"/>
    <x v="0"/>
    <s v="GTXPro"/>
    <s v="Genco Pura Olive Oil Company"/>
    <x v="2"/>
    <d v="2017-06-18T00:00:00"/>
    <x v="92"/>
    <n v="0"/>
  </r>
  <r>
    <x v="4003"/>
    <x v="4"/>
    <x v="3"/>
    <x v="1"/>
    <s v="GTX Basic"/>
    <s v="Fasehatice"/>
    <x v="2"/>
    <d v="2017-06-18T00:00:00"/>
    <x v="175"/>
    <n v="0"/>
  </r>
  <r>
    <x v="4004"/>
    <x v="3"/>
    <x v="0"/>
    <x v="0"/>
    <s v="GTX Basic"/>
    <s v="Funholding"/>
    <x v="2"/>
    <d v="2017-06-19T00:00:00"/>
    <x v="146"/>
    <n v="0"/>
  </r>
  <r>
    <x v="4005"/>
    <x v="3"/>
    <x v="0"/>
    <x v="0"/>
    <s v="GTX Plus Pro"/>
    <s v="Hottechi"/>
    <x v="0"/>
    <d v="2017-06-19T00:00:00"/>
    <x v="162"/>
    <n v="5271"/>
  </r>
  <r>
    <x v="4006"/>
    <x v="25"/>
    <x v="4"/>
    <x v="2"/>
    <s v="MG Special"/>
    <s v="Bioplex"/>
    <x v="0"/>
    <d v="2017-06-19T00:00:00"/>
    <x v="147"/>
    <n v="49"/>
  </r>
  <r>
    <x v="4007"/>
    <x v="23"/>
    <x v="4"/>
    <x v="2"/>
    <s v="MG Advanced"/>
    <s v="Opentech"/>
    <x v="2"/>
    <d v="2017-06-19T00:00:00"/>
    <x v="89"/>
    <n v="0"/>
  </r>
  <r>
    <x v="4008"/>
    <x v="27"/>
    <x v="5"/>
    <x v="2"/>
    <s v="GTX Plus Basic"/>
    <m/>
    <x v="1"/>
    <d v="2017-06-19T00:00:00"/>
    <x v="6"/>
    <m/>
  </r>
  <r>
    <x v="4009"/>
    <x v="27"/>
    <x v="5"/>
    <x v="2"/>
    <s v="GTX Plus Basic"/>
    <s v="Initech"/>
    <x v="0"/>
    <d v="2017-06-19T00:00:00"/>
    <x v="177"/>
    <n v="1236"/>
  </r>
  <r>
    <x v="4010"/>
    <x v="13"/>
    <x v="4"/>
    <x v="2"/>
    <s v="GTXPro"/>
    <s v="Zencorporation"/>
    <x v="0"/>
    <d v="2017-06-19T00:00:00"/>
    <x v="92"/>
    <n v="5388"/>
  </r>
  <r>
    <x v="4011"/>
    <x v="1"/>
    <x v="1"/>
    <x v="0"/>
    <s v="GTXPro"/>
    <s v="Conecom"/>
    <x v="2"/>
    <d v="2017-06-19T00:00:00"/>
    <x v="151"/>
    <n v="0"/>
  </r>
  <r>
    <x v="4012"/>
    <x v="1"/>
    <x v="1"/>
    <x v="0"/>
    <s v="GTXPro"/>
    <s v="Funholding"/>
    <x v="0"/>
    <d v="2017-06-19T00:00:00"/>
    <x v="168"/>
    <n v="5449"/>
  </r>
  <r>
    <x v="4013"/>
    <x v="1"/>
    <x v="1"/>
    <x v="0"/>
    <s v="GTXPro"/>
    <s v="Funholding"/>
    <x v="0"/>
    <d v="2017-06-19T00:00:00"/>
    <x v="79"/>
    <n v="5030"/>
  </r>
  <r>
    <x v="4014"/>
    <x v="1"/>
    <x v="1"/>
    <x v="0"/>
    <s v="GTXPro"/>
    <s v="Hottechi"/>
    <x v="0"/>
    <d v="2017-06-19T00:00:00"/>
    <x v="161"/>
    <n v="5195"/>
  </r>
  <r>
    <x v="4015"/>
    <x v="10"/>
    <x v="3"/>
    <x v="1"/>
    <s v="MG Special"/>
    <s v="Condax"/>
    <x v="0"/>
    <d v="2017-06-19T00:00:00"/>
    <x v="79"/>
    <n v="55"/>
  </r>
  <r>
    <x v="4016"/>
    <x v="10"/>
    <x v="3"/>
    <x v="1"/>
    <s v="MG Special"/>
    <s v="Fasehatice"/>
    <x v="0"/>
    <d v="2017-06-19T00:00:00"/>
    <x v="181"/>
    <n v="62"/>
  </r>
  <r>
    <x v="4017"/>
    <x v="7"/>
    <x v="2"/>
    <x v="1"/>
    <s v="GTX Basic"/>
    <s v="Sunnamplex"/>
    <x v="0"/>
    <d v="2017-06-19T00:00:00"/>
    <x v="148"/>
    <n v="459"/>
  </r>
  <r>
    <x v="4018"/>
    <x v="16"/>
    <x v="2"/>
    <x v="1"/>
    <s v="GTX Basic"/>
    <s v="Y-corporation"/>
    <x v="2"/>
    <d v="2017-06-19T00:00:00"/>
    <x v="149"/>
    <n v="0"/>
  </r>
  <r>
    <x v="4019"/>
    <x v="16"/>
    <x v="2"/>
    <x v="1"/>
    <s v="GTX Plus Basic"/>
    <s v="Y-corporation"/>
    <x v="0"/>
    <d v="2017-06-19T00:00:00"/>
    <x v="109"/>
    <n v="1097"/>
  </r>
  <r>
    <x v="4020"/>
    <x v="16"/>
    <x v="2"/>
    <x v="1"/>
    <s v="GTX Plus Pro"/>
    <s v="Plexzap"/>
    <x v="0"/>
    <d v="2017-06-19T00:00:00"/>
    <x v="181"/>
    <n v="5033"/>
  </r>
  <r>
    <x v="4021"/>
    <x v="18"/>
    <x v="2"/>
    <x v="1"/>
    <s v="GTX Plus Basic"/>
    <m/>
    <x v="1"/>
    <d v="2017-06-19T00:00:00"/>
    <x v="6"/>
    <m/>
  </r>
  <r>
    <x v="4022"/>
    <x v="18"/>
    <x v="2"/>
    <x v="1"/>
    <s v="GTXPro"/>
    <s v="Blackzim"/>
    <x v="0"/>
    <d v="2017-06-19T00:00:00"/>
    <x v="179"/>
    <n v="4966"/>
  </r>
  <r>
    <x v="4023"/>
    <x v="18"/>
    <x v="2"/>
    <x v="1"/>
    <s v="MG Special"/>
    <s v="Finjob"/>
    <x v="0"/>
    <d v="2017-06-19T00:00:00"/>
    <x v="90"/>
    <n v="52"/>
  </r>
  <r>
    <x v="4024"/>
    <x v="5"/>
    <x v="3"/>
    <x v="1"/>
    <s v="MG Special"/>
    <s v="Doncon"/>
    <x v="0"/>
    <d v="2017-06-19T00:00:00"/>
    <x v="87"/>
    <n v="54"/>
  </r>
  <r>
    <x v="4025"/>
    <x v="9"/>
    <x v="2"/>
    <x v="1"/>
    <s v="GTXPro"/>
    <m/>
    <x v="1"/>
    <d v="2017-06-19T00:00:00"/>
    <x v="6"/>
    <m/>
  </r>
  <r>
    <x v="4026"/>
    <x v="9"/>
    <x v="2"/>
    <x v="1"/>
    <s v="GTX Plus Pro"/>
    <s v="Sonron"/>
    <x v="0"/>
    <d v="2017-06-19T00:00:00"/>
    <x v="158"/>
    <n v="5816"/>
  </r>
  <r>
    <x v="4027"/>
    <x v="9"/>
    <x v="2"/>
    <x v="1"/>
    <s v="MG Special"/>
    <s v="Condax"/>
    <x v="0"/>
    <d v="2017-06-19T00:00:00"/>
    <x v="142"/>
    <n v="53"/>
  </r>
  <r>
    <x v="4028"/>
    <x v="9"/>
    <x v="2"/>
    <x v="1"/>
    <s v="MG Advanced"/>
    <s v="Plexzap"/>
    <x v="0"/>
    <d v="2017-06-19T00:00:00"/>
    <x v="141"/>
    <n v="3994"/>
  </r>
  <r>
    <x v="4029"/>
    <x v="0"/>
    <x v="0"/>
    <x v="0"/>
    <s v="GTX Plus Pro"/>
    <s v="Warephase"/>
    <x v="2"/>
    <d v="2017-06-19T00:00:00"/>
    <x v="88"/>
    <n v="0"/>
  </r>
  <r>
    <x v="4030"/>
    <x v="0"/>
    <x v="0"/>
    <x v="0"/>
    <s v="MG Special"/>
    <s v="Statholdings"/>
    <x v="0"/>
    <d v="2017-06-19T00:00:00"/>
    <x v="164"/>
    <n v="57"/>
  </r>
  <r>
    <x v="4031"/>
    <x v="19"/>
    <x v="4"/>
    <x v="2"/>
    <s v="MG Special"/>
    <s v="Condax"/>
    <x v="2"/>
    <d v="2017-06-19T00:00:00"/>
    <x v="185"/>
    <n v="0"/>
  </r>
  <r>
    <x v="4032"/>
    <x v="11"/>
    <x v="3"/>
    <x v="1"/>
    <s v="MG Advanced"/>
    <s v="Scotfind"/>
    <x v="0"/>
    <d v="2017-06-19T00:00:00"/>
    <x v="129"/>
    <n v="3752"/>
  </r>
  <r>
    <x v="4033"/>
    <x v="17"/>
    <x v="5"/>
    <x v="2"/>
    <s v="GTXPro"/>
    <s v="Condax"/>
    <x v="0"/>
    <d v="2017-06-19T00:00:00"/>
    <x v="177"/>
    <n v="4759"/>
  </r>
  <r>
    <x v="4034"/>
    <x v="12"/>
    <x v="0"/>
    <x v="0"/>
    <s v="GTX Basic"/>
    <s v="Statholdings"/>
    <x v="0"/>
    <d v="2017-06-19T00:00:00"/>
    <x v="162"/>
    <n v="555"/>
  </r>
  <r>
    <x v="4035"/>
    <x v="15"/>
    <x v="5"/>
    <x v="2"/>
    <s v="GTX Basic"/>
    <s v="Umbrella Corporation"/>
    <x v="2"/>
    <d v="2017-06-19T00:00:00"/>
    <x v="90"/>
    <n v="0"/>
  </r>
  <r>
    <x v="4036"/>
    <x v="2"/>
    <x v="2"/>
    <x v="1"/>
    <s v="GTX Basic"/>
    <m/>
    <x v="1"/>
    <d v="2017-06-19T00:00:00"/>
    <x v="6"/>
    <m/>
  </r>
  <r>
    <x v="4037"/>
    <x v="2"/>
    <x v="2"/>
    <x v="1"/>
    <s v="GTX Plus Basic"/>
    <s v="Konex"/>
    <x v="0"/>
    <d v="2017-06-19T00:00:00"/>
    <x v="170"/>
    <n v="1213"/>
  </r>
  <r>
    <x v="4038"/>
    <x v="2"/>
    <x v="2"/>
    <x v="1"/>
    <s v="GTXPro"/>
    <s v="Sonron"/>
    <x v="0"/>
    <d v="2017-06-19T00:00:00"/>
    <x v="166"/>
    <n v="4428"/>
  </r>
  <r>
    <x v="4039"/>
    <x v="25"/>
    <x v="4"/>
    <x v="2"/>
    <s v="GTX Plus Pro"/>
    <s v="Xx-zobam"/>
    <x v="2"/>
    <d v="2017-06-20T00:00:00"/>
    <x v="185"/>
    <n v="0"/>
  </r>
  <r>
    <x v="4040"/>
    <x v="23"/>
    <x v="4"/>
    <x v="2"/>
    <s v="GTX Plus Pro"/>
    <s v="Condax"/>
    <x v="1"/>
    <d v="2017-06-20T00:00:00"/>
    <x v="6"/>
    <m/>
  </r>
  <r>
    <x v="4041"/>
    <x v="23"/>
    <x v="4"/>
    <x v="2"/>
    <s v="GTXPro"/>
    <s v="Konex"/>
    <x v="2"/>
    <d v="2017-06-20T00:00:00"/>
    <x v="143"/>
    <n v="0"/>
  </r>
  <r>
    <x v="4042"/>
    <x v="28"/>
    <x v="0"/>
    <x v="0"/>
    <s v="GTX Plus Pro"/>
    <s v="Streethex"/>
    <x v="2"/>
    <d v="2017-06-20T00:00:00"/>
    <x v="87"/>
    <n v="0"/>
  </r>
  <r>
    <x v="4043"/>
    <x v="27"/>
    <x v="5"/>
    <x v="2"/>
    <s v="GTX Basic"/>
    <s v="Xx-zobam"/>
    <x v="2"/>
    <d v="2017-06-20T00:00:00"/>
    <x v="177"/>
    <n v="0"/>
  </r>
  <r>
    <x v="4044"/>
    <x v="13"/>
    <x v="4"/>
    <x v="2"/>
    <s v="GTXPro"/>
    <s v="Iselectrics"/>
    <x v="2"/>
    <d v="2017-06-20T00:00:00"/>
    <x v="79"/>
    <n v="0"/>
  </r>
  <r>
    <x v="4045"/>
    <x v="13"/>
    <x v="4"/>
    <x v="2"/>
    <s v="MG Special"/>
    <s v="Kan-code"/>
    <x v="0"/>
    <d v="2017-06-20T00:00:00"/>
    <x v="149"/>
    <n v="62"/>
  </r>
  <r>
    <x v="4046"/>
    <x v="1"/>
    <x v="1"/>
    <x v="0"/>
    <s v="GTXPro"/>
    <s v="Bioholding"/>
    <x v="2"/>
    <d v="2017-06-20T00:00:00"/>
    <x v="171"/>
    <n v="0"/>
  </r>
  <r>
    <x v="4047"/>
    <x v="26"/>
    <x v="4"/>
    <x v="2"/>
    <s v="MG Advanced"/>
    <s v="Silis"/>
    <x v="0"/>
    <d v="2017-06-20T00:00:00"/>
    <x v="128"/>
    <n v="3546"/>
  </r>
  <r>
    <x v="4048"/>
    <x v="14"/>
    <x v="3"/>
    <x v="1"/>
    <s v="MG Special"/>
    <s v="Sumace"/>
    <x v="1"/>
    <d v="2017-06-20T00:00:00"/>
    <x v="6"/>
    <m/>
  </r>
  <r>
    <x v="4049"/>
    <x v="7"/>
    <x v="2"/>
    <x v="1"/>
    <s v="GTX Basic"/>
    <s v="Domzoom"/>
    <x v="1"/>
    <d v="2017-06-20T00:00:00"/>
    <x v="6"/>
    <m/>
  </r>
  <r>
    <x v="4050"/>
    <x v="7"/>
    <x v="2"/>
    <x v="1"/>
    <s v="MG Special"/>
    <m/>
    <x v="1"/>
    <d v="2017-06-20T00:00:00"/>
    <x v="6"/>
    <m/>
  </r>
  <r>
    <x v="4051"/>
    <x v="29"/>
    <x v="1"/>
    <x v="0"/>
    <s v="GTX Plus Basic"/>
    <s v="Hottechi"/>
    <x v="0"/>
    <d v="2017-06-20T00:00:00"/>
    <x v="136"/>
    <n v="1132"/>
  </r>
  <r>
    <x v="4052"/>
    <x v="16"/>
    <x v="2"/>
    <x v="1"/>
    <s v="MG Advanced"/>
    <m/>
    <x v="1"/>
    <d v="2017-06-20T00:00:00"/>
    <x v="6"/>
    <m/>
  </r>
  <r>
    <x v="4053"/>
    <x v="16"/>
    <x v="2"/>
    <x v="1"/>
    <s v="GTX Basic"/>
    <s v="Cheers"/>
    <x v="2"/>
    <d v="2017-06-20T00:00:00"/>
    <x v="140"/>
    <n v="0"/>
  </r>
  <r>
    <x v="4054"/>
    <x v="9"/>
    <x v="2"/>
    <x v="1"/>
    <s v="MG Special"/>
    <s v="Condax"/>
    <x v="0"/>
    <d v="2017-06-20T00:00:00"/>
    <x v="148"/>
    <n v="57"/>
  </r>
  <r>
    <x v="4055"/>
    <x v="9"/>
    <x v="2"/>
    <x v="1"/>
    <s v="MG Special"/>
    <s v="Fasehatice"/>
    <x v="0"/>
    <d v="2017-06-20T00:00:00"/>
    <x v="78"/>
    <n v="61"/>
  </r>
  <r>
    <x v="4056"/>
    <x v="9"/>
    <x v="2"/>
    <x v="1"/>
    <s v="MG Special"/>
    <s v="Plusstrip"/>
    <x v="0"/>
    <d v="2017-06-20T00:00:00"/>
    <x v="184"/>
    <n v="57"/>
  </r>
  <r>
    <x v="4057"/>
    <x v="19"/>
    <x v="4"/>
    <x v="2"/>
    <s v="GTX Basic"/>
    <s v="Massive Dynamic"/>
    <x v="0"/>
    <d v="2017-06-20T00:00:00"/>
    <x v="163"/>
    <n v="649"/>
  </r>
  <r>
    <x v="4058"/>
    <x v="17"/>
    <x v="5"/>
    <x v="2"/>
    <s v="GTXPro"/>
    <m/>
    <x v="1"/>
    <d v="2017-06-20T00:00:00"/>
    <x v="6"/>
    <m/>
  </r>
  <r>
    <x v="4059"/>
    <x v="17"/>
    <x v="5"/>
    <x v="2"/>
    <s v="GTXPro"/>
    <s v="Donware"/>
    <x v="2"/>
    <d v="2017-06-20T00:00:00"/>
    <x v="141"/>
    <n v="0"/>
  </r>
  <r>
    <x v="4060"/>
    <x v="12"/>
    <x v="0"/>
    <x v="0"/>
    <s v="GTX Plus Pro"/>
    <s v="Finhigh"/>
    <x v="0"/>
    <d v="2017-06-20T00:00:00"/>
    <x v="184"/>
    <n v="4813"/>
  </r>
  <r>
    <x v="4061"/>
    <x v="4"/>
    <x v="3"/>
    <x v="1"/>
    <s v="MG Special"/>
    <s v="Doncon"/>
    <x v="2"/>
    <d v="2017-06-20T00:00:00"/>
    <x v="78"/>
    <n v="0"/>
  </r>
  <r>
    <x v="4062"/>
    <x v="4"/>
    <x v="3"/>
    <x v="1"/>
    <s v="MG Special"/>
    <s v="Blackzim"/>
    <x v="0"/>
    <d v="2017-06-20T00:00:00"/>
    <x v="184"/>
    <n v="51"/>
  </r>
  <r>
    <x v="4063"/>
    <x v="4"/>
    <x v="3"/>
    <x v="1"/>
    <s v="MG Advanced"/>
    <s v="Goodsilron"/>
    <x v="0"/>
    <d v="2017-06-20T00:00:00"/>
    <x v="160"/>
    <n v="3241"/>
  </r>
  <r>
    <x v="4064"/>
    <x v="15"/>
    <x v="5"/>
    <x v="2"/>
    <s v="MG Special"/>
    <s v="Initech"/>
    <x v="2"/>
    <d v="2017-06-20T00:00:00"/>
    <x v="107"/>
    <n v="0"/>
  </r>
  <r>
    <x v="4065"/>
    <x v="15"/>
    <x v="5"/>
    <x v="2"/>
    <s v="GTX Basic"/>
    <s v="Sumace"/>
    <x v="0"/>
    <d v="2017-06-20T00:00:00"/>
    <x v="158"/>
    <n v="592"/>
  </r>
  <r>
    <x v="4066"/>
    <x v="20"/>
    <x v="5"/>
    <x v="2"/>
    <s v="MG Advanced"/>
    <m/>
    <x v="1"/>
    <d v="2017-06-20T00:00:00"/>
    <x v="6"/>
    <m/>
  </r>
  <r>
    <x v="4067"/>
    <x v="20"/>
    <x v="5"/>
    <x v="2"/>
    <s v="GTX Basic"/>
    <s v="Zotware"/>
    <x v="0"/>
    <d v="2017-06-20T00:00:00"/>
    <x v="170"/>
    <n v="506"/>
  </r>
  <r>
    <x v="4068"/>
    <x v="2"/>
    <x v="2"/>
    <x v="1"/>
    <s v="MG Advanced"/>
    <m/>
    <x v="1"/>
    <d v="2017-06-20T00:00:00"/>
    <x v="6"/>
    <m/>
  </r>
  <r>
    <x v="4069"/>
    <x v="2"/>
    <x v="2"/>
    <x v="1"/>
    <s v="GTX Basic"/>
    <s v="Labdrill"/>
    <x v="2"/>
    <d v="2017-06-20T00:00:00"/>
    <x v="174"/>
    <n v="0"/>
  </r>
  <r>
    <x v="4070"/>
    <x v="3"/>
    <x v="0"/>
    <x v="0"/>
    <s v="MG Advanced"/>
    <s v="Codehow"/>
    <x v="0"/>
    <d v="2017-06-21T00:00:00"/>
    <x v="144"/>
    <n v="3571"/>
  </r>
  <r>
    <x v="4071"/>
    <x v="23"/>
    <x v="4"/>
    <x v="2"/>
    <s v="GTX Basic"/>
    <s v="The New York Inquirer"/>
    <x v="2"/>
    <d v="2017-06-21T00:00:00"/>
    <x v="155"/>
    <n v="0"/>
  </r>
  <r>
    <x v="4072"/>
    <x v="23"/>
    <x v="4"/>
    <x v="2"/>
    <s v="MG Special"/>
    <s v="Iselectrics"/>
    <x v="0"/>
    <d v="2017-06-21T00:00:00"/>
    <x v="186"/>
    <n v="60"/>
  </r>
  <r>
    <x v="4073"/>
    <x v="23"/>
    <x v="4"/>
    <x v="2"/>
    <s v="MG Special"/>
    <s v="Konex"/>
    <x v="0"/>
    <d v="2017-06-21T00:00:00"/>
    <x v="152"/>
    <n v="59"/>
  </r>
  <r>
    <x v="4074"/>
    <x v="27"/>
    <x v="5"/>
    <x v="2"/>
    <s v="GTX Basic"/>
    <s v="Silis"/>
    <x v="0"/>
    <d v="2017-06-21T00:00:00"/>
    <x v="79"/>
    <n v="551"/>
  </r>
  <r>
    <x v="4075"/>
    <x v="13"/>
    <x v="4"/>
    <x v="2"/>
    <s v="GTXPro"/>
    <m/>
    <x v="1"/>
    <d v="2017-06-21T00:00:00"/>
    <x v="6"/>
    <m/>
  </r>
  <r>
    <x v="4076"/>
    <x v="1"/>
    <x v="1"/>
    <x v="0"/>
    <s v="GTXPro"/>
    <s v="Funholding"/>
    <x v="2"/>
    <d v="2017-06-21T00:00:00"/>
    <x v="184"/>
    <n v="0"/>
  </r>
  <r>
    <x v="4077"/>
    <x v="1"/>
    <x v="1"/>
    <x v="0"/>
    <s v="GTXPro"/>
    <s v="Isdom"/>
    <x v="2"/>
    <d v="2017-06-21T00:00:00"/>
    <x v="185"/>
    <n v="0"/>
  </r>
  <r>
    <x v="4078"/>
    <x v="1"/>
    <x v="1"/>
    <x v="0"/>
    <s v="GTXPro"/>
    <s v="Isdom"/>
    <x v="0"/>
    <d v="2017-06-21T00:00:00"/>
    <x v="184"/>
    <n v="4826"/>
  </r>
  <r>
    <x v="4079"/>
    <x v="14"/>
    <x v="3"/>
    <x v="1"/>
    <s v="MG Special"/>
    <s v="Green-Plus"/>
    <x v="0"/>
    <d v="2017-06-21T00:00:00"/>
    <x v="182"/>
    <n v="58"/>
  </r>
  <r>
    <x v="4080"/>
    <x v="21"/>
    <x v="5"/>
    <x v="2"/>
    <s v="GTXPro"/>
    <s v="Gekko &amp; Co"/>
    <x v="0"/>
    <d v="2017-06-21T00:00:00"/>
    <x v="86"/>
    <n v="5622"/>
  </r>
  <r>
    <x v="4081"/>
    <x v="8"/>
    <x v="1"/>
    <x v="0"/>
    <s v="MG Special"/>
    <s v="Hottechi"/>
    <x v="2"/>
    <d v="2017-06-21T00:00:00"/>
    <x v="185"/>
    <n v="0"/>
  </r>
  <r>
    <x v="4082"/>
    <x v="8"/>
    <x v="1"/>
    <x v="0"/>
    <s v="MG Advanced"/>
    <s v="Dontechi"/>
    <x v="0"/>
    <d v="2017-06-21T00:00:00"/>
    <x v="151"/>
    <n v="3177"/>
  </r>
  <r>
    <x v="4083"/>
    <x v="16"/>
    <x v="2"/>
    <x v="1"/>
    <s v="MG Special"/>
    <s v="Fasehatice"/>
    <x v="0"/>
    <d v="2017-06-21T00:00:00"/>
    <x v="138"/>
    <n v="56"/>
  </r>
  <r>
    <x v="4084"/>
    <x v="18"/>
    <x v="2"/>
    <x v="1"/>
    <s v="GTXPro"/>
    <m/>
    <x v="1"/>
    <d v="2017-06-21T00:00:00"/>
    <x v="6"/>
    <m/>
  </r>
  <r>
    <x v="4085"/>
    <x v="9"/>
    <x v="2"/>
    <x v="1"/>
    <s v="GTX Plus Basic"/>
    <s v="Kan-code"/>
    <x v="0"/>
    <d v="2017-06-21T00:00:00"/>
    <x v="179"/>
    <n v="990"/>
  </r>
  <r>
    <x v="4086"/>
    <x v="6"/>
    <x v="1"/>
    <x v="0"/>
    <s v="GTX Basic"/>
    <s v="Warephase"/>
    <x v="0"/>
    <d v="2017-06-21T00:00:00"/>
    <x v="182"/>
    <n v="587"/>
  </r>
  <r>
    <x v="4087"/>
    <x v="17"/>
    <x v="5"/>
    <x v="2"/>
    <s v="GTX Plus Pro"/>
    <s v="Bioplex"/>
    <x v="0"/>
    <d v="2017-06-21T00:00:00"/>
    <x v="87"/>
    <n v="6229"/>
  </r>
  <r>
    <x v="4088"/>
    <x v="12"/>
    <x v="0"/>
    <x v="0"/>
    <s v="MG Special"/>
    <s v="Warephase"/>
    <x v="2"/>
    <d v="2017-06-21T00:00:00"/>
    <x v="110"/>
    <n v="0"/>
  </r>
  <r>
    <x v="4089"/>
    <x v="4"/>
    <x v="3"/>
    <x v="1"/>
    <s v="GTX Plus Basic"/>
    <s v="Xx-holding"/>
    <x v="0"/>
    <d v="2017-06-21T00:00:00"/>
    <x v="178"/>
    <n v="1027"/>
  </r>
  <r>
    <x v="4090"/>
    <x v="4"/>
    <x v="3"/>
    <x v="1"/>
    <s v="MG Advanced"/>
    <s v="Scotfind"/>
    <x v="0"/>
    <d v="2017-06-21T00:00:00"/>
    <x v="78"/>
    <n v="3559"/>
  </r>
  <r>
    <x v="4091"/>
    <x v="2"/>
    <x v="2"/>
    <x v="1"/>
    <s v="GTX Basic"/>
    <s v="Green-Plus"/>
    <x v="0"/>
    <d v="2017-06-21T00:00:00"/>
    <x v="146"/>
    <n v="506"/>
  </r>
  <r>
    <x v="4092"/>
    <x v="3"/>
    <x v="0"/>
    <x v="0"/>
    <s v="MG Special"/>
    <s v="Gogozoom"/>
    <x v="2"/>
    <d v="2017-06-22T00:00:00"/>
    <x v="186"/>
    <n v="0"/>
  </r>
  <r>
    <x v="4093"/>
    <x v="3"/>
    <x v="0"/>
    <x v="0"/>
    <s v="MG Advanced"/>
    <s v="Genco Pura Olive Oil Company"/>
    <x v="2"/>
    <d v="2017-06-22T00:00:00"/>
    <x v="138"/>
    <n v="0"/>
  </r>
  <r>
    <x v="4094"/>
    <x v="3"/>
    <x v="0"/>
    <x v="0"/>
    <s v="GTX Plus Pro"/>
    <s v="Stanredtax"/>
    <x v="0"/>
    <d v="2017-06-22T00:00:00"/>
    <x v="158"/>
    <n v="6250"/>
  </r>
  <r>
    <x v="4095"/>
    <x v="28"/>
    <x v="0"/>
    <x v="0"/>
    <s v="MG Advanced"/>
    <s v="Hottechi"/>
    <x v="0"/>
    <d v="2017-06-22T00:00:00"/>
    <x v="158"/>
    <n v="3510"/>
  </r>
  <r>
    <x v="4096"/>
    <x v="13"/>
    <x v="4"/>
    <x v="2"/>
    <s v="MG Special"/>
    <m/>
    <x v="1"/>
    <d v="2017-06-22T00:00:00"/>
    <x v="6"/>
    <m/>
  </r>
  <r>
    <x v="4097"/>
    <x v="13"/>
    <x v="4"/>
    <x v="2"/>
    <s v="GTX Plus Basic"/>
    <s v="Umbrella Corporation"/>
    <x v="0"/>
    <d v="2017-06-22T00:00:00"/>
    <x v="171"/>
    <n v="1078"/>
  </r>
  <r>
    <x v="4098"/>
    <x v="26"/>
    <x v="4"/>
    <x v="2"/>
    <s v="GTX Basic"/>
    <s v="Massive Dynamic"/>
    <x v="0"/>
    <d v="2017-06-22T00:00:00"/>
    <x v="185"/>
    <n v="553"/>
  </r>
  <r>
    <x v="4099"/>
    <x v="29"/>
    <x v="1"/>
    <x v="0"/>
    <s v="GTX Basic"/>
    <s v="Toughzap"/>
    <x v="0"/>
    <d v="2017-06-22T00:00:00"/>
    <x v="151"/>
    <n v="612"/>
  </r>
  <r>
    <x v="4100"/>
    <x v="29"/>
    <x v="1"/>
    <x v="0"/>
    <s v="GTX Plus Basic"/>
    <s v="Funholding"/>
    <x v="0"/>
    <d v="2017-06-22T00:00:00"/>
    <x v="86"/>
    <n v="1033"/>
  </r>
  <r>
    <x v="4101"/>
    <x v="29"/>
    <x v="1"/>
    <x v="0"/>
    <s v="GTX Plus Basic"/>
    <s v="Inity"/>
    <x v="0"/>
    <d v="2017-06-22T00:00:00"/>
    <x v="160"/>
    <n v="1051"/>
  </r>
  <r>
    <x v="4102"/>
    <x v="18"/>
    <x v="2"/>
    <x v="1"/>
    <s v="GTX Basic"/>
    <s v="Y-corporation"/>
    <x v="0"/>
    <d v="2017-06-22T00:00:00"/>
    <x v="179"/>
    <n v="628"/>
  </r>
  <r>
    <x v="4103"/>
    <x v="5"/>
    <x v="3"/>
    <x v="1"/>
    <s v="GTX Plus Pro"/>
    <s v="Green-Plus"/>
    <x v="0"/>
    <d v="2017-06-22T00:00:00"/>
    <x v="164"/>
    <n v="4916"/>
  </r>
  <r>
    <x v="4104"/>
    <x v="22"/>
    <x v="1"/>
    <x v="0"/>
    <s v="MG Advanced"/>
    <s v="Stanredtax"/>
    <x v="0"/>
    <d v="2017-06-22T00:00:00"/>
    <x v="183"/>
    <n v="3590"/>
  </r>
  <r>
    <x v="4105"/>
    <x v="0"/>
    <x v="0"/>
    <x v="0"/>
    <s v="MG Advanced"/>
    <s v="Domzoom"/>
    <x v="0"/>
    <d v="2017-06-22T00:00:00"/>
    <x v="122"/>
    <n v="3207"/>
  </r>
  <r>
    <x v="4106"/>
    <x v="0"/>
    <x v="0"/>
    <x v="0"/>
    <s v="MG Advanced"/>
    <s v="Zumgoity"/>
    <x v="0"/>
    <d v="2017-06-22T00:00:00"/>
    <x v="177"/>
    <n v="2739"/>
  </r>
  <r>
    <x v="4107"/>
    <x v="6"/>
    <x v="1"/>
    <x v="0"/>
    <s v="GTX Basic"/>
    <s v="Gogozoom"/>
    <x v="0"/>
    <d v="2017-06-22T00:00:00"/>
    <x v="186"/>
    <n v="557"/>
  </r>
  <r>
    <x v="4108"/>
    <x v="19"/>
    <x v="4"/>
    <x v="2"/>
    <s v="GTXPro"/>
    <s v="Yearin"/>
    <x v="0"/>
    <d v="2017-06-22T00:00:00"/>
    <x v="89"/>
    <n v="5302"/>
  </r>
  <r>
    <x v="4109"/>
    <x v="12"/>
    <x v="0"/>
    <x v="0"/>
    <s v="MG Special"/>
    <s v="Domzoom"/>
    <x v="2"/>
    <d v="2017-06-22T00:00:00"/>
    <x v="135"/>
    <n v="0"/>
  </r>
  <r>
    <x v="4110"/>
    <x v="12"/>
    <x v="0"/>
    <x v="0"/>
    <s v="MG Advanced"/>
    <s v="Zumgoity"/>
    <x v="0"/>
    <d v="2017-06-22T00:00:00"/>
    <x v="184"/>
    <n v="3465"/>
  </r>
  <r>
    <x v="4111"/>
    <x v="2"/>
    <x v="2"/>
    <x v="1"/>
    <s v="GTX Plus Basic"/>
    <m/>
    <x v="1"/>
    <d v="2017-06-22T00:00:00"/>
    <x v="6"/>
    <m/>
  </r>
  <r>
    <x v="4112"/>
    <x v="2"/>
    <x v="2"/>
    <x v="1"/>
    <s v="GTXPro"/>
    <s v="Zoomit"/>
    <x v="0"/>
    <d v="2017-06-22T00:00:00"/>
    <x v="144"/>
    <n v="4356"/>
  </r>
  <r>
    <x v="4113"/>
    <x v="25"/>
    <x v="4"/>
    <x v="2"/>
    <s v="GTXPro"/>
    <s v="Gekko &amp; Co"/>
    <x v="0"/>
    <d v="2017-06-23T00:00:00"/>
    <x v="177"/>
    <n v="5301"/>
  </r>
  <r>
    <x v="4114"/>
    <x v="23"/>
    <x v="4"/>
    <x v="2"/>
    <s v="MG Advanced"/>
    <m/>
    <x v="1"/>
    <d v="2017-06-23T00:00:00"/>
    <x v="6"/>
    <m/>
  </r>
  <r>
    <x v="4115"/>
    <x v="28"/>
    <x v="0"/>
    <x v="0"/>
    <s v="MG Advanced"/>
    <s v="Rangreen"/>
    <x v="2"/>
    <d v="2017-06-23T00:00:00"/>
    <x v="187"/>
    <n v="0"/>
  </r>
  <r>
    <x v="4116"/>
    <x v="28"/>
    <x v="0"/>
    <x v="0"/>
    <s v="MG Special"/>
    <s v="Treequote"/>
    <x v="0"/>
    <d v="2017-06-23T00:00:00"/>
    <x v="188"/>
    <n v="66"/>
  </r>
  <r>
    <x v="4117"/>
    <x v="27"/>
    <x v="5"/>
    <x v="2"/>
    <s v="GTX Basic"/>
    <s v="Vehement Capital Partners"/>
    <x v="2"/>
    <d v="2017-06-23T00:00:00"/>
    <x v="186"/>
    <n v="0"/>
  </r>
  <r>
    <x v="4118"/>
    <x v="27"/>
    <x v="5"/>
    <x v="2"/>
    <s v="GTXPro"/>
    <s v="Acme Corporation"/>
    <x v="2"/>
    <d v="2017-06-23T00:00:00"/>
    <x v="184"/>
    <n v="0"/>
  </r>
  <r>
    <x v="4119"/>
    <x v="27"/>
    <x v="5"/>
    <x v="2"/>
    <s v="GTX Plus Pro"/>
    <s v="Iselectrics"/>
    <x v="0"/>
    <d v="2017-06-23T00:00:00"/>
    <x v="184"/>
    <n v="5640"/>
  </r>
  <r>
    <x v="4120"/>
    <x v="13"/>
    <x v="4"/>
    <x v="2"/>
    <s v="MG Advanced"/>
    <s v="Kinnamplus"/>
    <x v="2"/>
    <d v="2017-06-23T00:00:00"/>
    <x v="155"/>
    <n v="0"/>
  </r>
  <r>
    <x v="4121"/>
    <x v="13"/>
    <x v="4"/>
    <x v="2"/>
    <s v="GTX Plus Basic"/>
    <s v="Kan-code"/>
    <x v="0"/>
    <d v="2017-06-23T00:00:00"/>
    <x v="183"/>
    <n v="1291"/>
  </r>
  <r>
    <x v="4122"/>
    <x v="13"/>
    <x v="4"/>
    <x v="2"/>
    <s v="GTXPro"/>
    <s v="Mathtouch"/>
    <x v="0"/>
    <d v="2017-06-23T00:00:00"/>
    <x v="173"/>
    <n v="3729"/>
  </r>
  <r>
    <x v="4123"/>
    <x v="1"/>
    <x v="1"/>
    <x v="0"/>
    <s v="GTXPro"/>
    <s v="Treequote"/>
    <x v="2"/>
    <d v="2017-06-23T00:00:00"/>
    <x v="147"/>
    <n v="0"/>
  </r>
  <r>
    <x v="4124"/>
    <x v="8"/>
    <x v="1"/>
    <x v="0"/>
    <s v="MG Special"/>
    <s v="Conecom"/>
    <x v="0"/>
    <d v="2017-06-23T00:00:00"/>
    <x v="186"/>
    <n v="49"/>
  </r>
  <r>
    <x v="4125"/>
    <x v="10"/>
    <x v="3"/>
    <x v="1"/>
    <s v="MG Advanced"/>
    <s v="Singletechno"/>
    <x v="2"/>
    <d v="2017-06-23T00:00:00"/>
    <x v="186"/>
    <n v="0"/>
  </r>
  <r>
    <x v="4126"/>
    <x v="10"/>
    <x v="3"/>
    <x v="1"/>
    <s v="GTX Plus Basic"/>
    <s v="Plusstrip"/>
    <x v="0"/>
    <d v="2017-06-23T00:00:00"/>
    <x v="158"/>
    <n v="1099"/>
  </r>
  <r>
    <x v="4127"/>
    <x v="18"/>
    <x v="2"/>
    <x v="1"/>
    <s v="GTXPro"/>
    <s v="Labdrill"/>
    <x v="2"/>
    <d v="2017-06-23T00:00:00"/>
    <x v="187"/>
    <n v="0"/>
  </r>
  <r>
    <x v="4128"/>
    <x v="24"/>
    <x v="0"/>
    <x v="0"/>
    <s v="MG Advanced"/>
    <s v="Condax"/>
    <x v="2"/>
    <d v="2017-06-23T00:00:00"/>
    <x v="186"/>
    <n v="0"/>
  </r>
  <r>
    <x v="4129"/>
    <x v="22"/>
    <x v="1"/>
    <x v="0"/>
    <s v="MG Advanced"/>
    <s v="Konmatfix"/>
    <x v="2"/>
    <d v="2017-06-23T00:00:00"/>
    <x v="179"/>
    <n v="0"/>
  </r>
  <r>
    <x v="4130"/>
    <x v="6"/>
    <x v="1"/>
    <x v="0"/>
    <s v="GTX Plus Basic"/>
    <s v="Condax"/>
    <x v="0"/>
    <d v="2017-06-23T00:00:00"/>
    <x v="185"/>
    <n v="932"/>
  </r>
  <r>
    <x v="4131"/>
    <x v="19"/>
    <x v="4"/>
    <x v="2"/>
    <s v="GTX Basic"/>
    <s v="Silis"/>
    <x v="2"/>
    <d v="2017-06-23T00:00:00"/>
    <x v="184"/>
    <n v="0"/>
  </r>
  <r>
    <x v="4132"/>
    <x v="19"/>
    <x v="4"/>
    <x v="2"/>
    <s v="GTX Plus Basic"/>
    <s v="Donquadtech"/>
    <x v="0"/>
    <d v="2017-06-23T00:00:00"/>
    <x v="187"/>
    <n v="880"/>
  </r>
  <r>
    <x v="4133"/>
    <x v="19"/>
    <x v="4"/>
    <x v="2"/>
    <s v="GTXPro"/>
    <s v="Ganjaflex"/>
    <x v="0"/>
    <d v="2017-06-23T00:00:00"/>
    <x v="153"/>
    <n v="4801"/>
  </r>
  <r>
    <x v="4134"/>
    <x v="17"/>
    <x v="5"/>
    <x v="2"/>
    <s v="MG Special"/>
    <s v="Konex"/>
    <x v="0"/>
    <d v="2017-06-23T00:00:00"/>
    <x v="184"/>
    <n v="59"/>
  </r>
  <r>
    <x v="4135"/>
    <x v="12"/>
    <x v="0"/>
    <x v="0"/>
    <s v="MG Special"/>
    <s v="Finhigh"/>
    <x v="2"/>
    <d v="2017-06-23T00:00:00"/>
    <x v="188"/>
    <n v="0"/>
  </r>
  <r>
    <x v="4136"/>
    <x v="12"/>
    <x v="0"/>
    <x v="0"/>
    <s v="MG Special"/>
    <s v="Ron-tech"/>
    <x v="0"/>
    <d v="2017-06-23T00:00:00"/>
    <x v="181"/>
    <n v="52"/>
  </r>
  <r>
    <x v="4137"/>
    <x v="12"/>
    <x v="0"/>
    <x v="0"/>
    <s v="MG Advanced"/>
    <s v="Stanredtax"/>
    <x v="0"/>
    <d v="2017-06-23T00:00:00"/>
    <x v="177"/>
    <n v="2949"/>
  </r>
  <r>
    <x v="4138"/>
    <x v="4"/>
    <x v="3"/>
    <x v="1"/>
    <s v="GTXPro"/>
    <s v="Doncon"/>
    <x v="2"/>
    <d v="2017-06-23T00:00:00"/>
    <x v="189"/>
    <n v="0"/>
  </r>
  <r>
    <x v="4139"/>
    <x v="15"/>
    <x v="5"/>
    <x v="2"/>
    <s v="MG Special"/>
    <s v="Betasoloin"/>
    <x v="1"/>
    <d v="2017-06-23T00:00:00"/>
    <x v="6"/>
    <m/>
  </r>
  <r>
    <x v="4140"/>
    <x v="15"/>
    <x v="5"/>
    <x v="2"/>
    <s v="MG Special"/>
    <s v="Konex"/>
    <x v="0"/>
    <d v="2017-06-23T00:00:00"/>
    <x v="141"/>
    <n v="50"/>
  </r>
  <r>
    <x v="4141"/>
    <x v="15"/>
    <x v="5"/>
    <x v="2"/>
    <s v="MG Advanced"/>
    <s v="Plussunin"/>
    <x v="0"/>
    <d v="2017-06-23T00:00:00"/>
    <x v="89"/>
    <n v="3863"/>
  </r>
  <r>
    <x v="4142"/>
    <x v="2"/>
    <x v="2"/>
    <x v="1"/>
    <s v="GTXPro"/>
    <s v="Kan-code"/>
    <x v="1"/>
    <d v="2017-06-23T00:00:00"/>
    <x v="6"/>
    <m/>
  </r>
  <r>
    <x v="4143"/>
    <x v="2"/>
    <x v="2"/>
    <x v="1"/>
    <s v="GTX Basic"/>
    <s v="Golddex"/>
    <x v="2"/>
    <d v="2017-06-23T00:00:00"/>
    <x v="187"/>
    <n v="0"/>
  </r>
  <r>
    <x v="4144"/>
    <x v="3"/>
    <x v="0"/>
    <x v="0"/>
    <s v="MG Special"/>
    <s v="Stanredtax"/>
    <x v="0"/>
    <d v="2017-06-24T00:00:00"/>
    <x v="185"/>
    <n v="64"/>
  </r>
  <r>
    <x v="4145"/>
    <x v="25"/>
    <x v="4"/>
    <x v="2"/>
    <s v="GTX Plus Pro"/>
    <m/>
    <x v="1"/>
    <d v="2017-06-24T00:00:00"/>
    <x v="6"/>
    <m/>
  </r>
  <r>
    <x v="4146"/>
    <x v="27"/>
    <x v="5"/>
    <x v="2"/>
    <s v="GTXPro"/>
    <m/>
    <x v="1"/>
    <d v="2017-06-24T00:00:00"/>
    <x v="6"/>
    <m/>
  </r>
  <r>
    <x v="4147"/>
    <x v="27"/>
    <x v="5"/>
    <x v="2"/>
    <s v="GTX Plus Basic"/>
    <s v="Umbrella Corporation"/>
    <x v="2"/>
    <d v="2017-06-24T00:00:00"/>
    <x v="186"/>
    <n v="0"/>
  </r>
  <r>
    <x v="4148"/>
    <x v="27"/>
    <x v="5"/>
    <x v="2"/>
    <s v="GTX Plus Pro"/>
    <s v="Kinnamplus"/>
    <x v="0"/>
    <d v="2017-06-24T00:00:00"/>
    <x v="161"/>
    <n v="5038"/>
  </r>
  <r>
    <x v="4149"/>
    <x v="27"/>
    <x v="5"/>
    <x v="2"/>
    <s v="GTXPro"/>
    <s v="Zotware"/>
    <x v="0"/>
    <d v="2017-06-24T00:00:00"/>
    <x v="185"/>
    <n v="5088"/>
  </r>
  <r>
    <x v="4150"/>
    <x v="8"/>
    <x v="1"/>
    <x v="0"/>
    <s v="MG Special"/>
    <s v="Statholdings"/>
    <x v="0"/>
    <d v="2017-06-24T00:00:00"/>
    <x v="124"/>
    <n v="48"/>
  </r>
  <r>
    <x v="4151"/>
    <x v="10"/>
    <x v="3"/>
    <x v="1"/>
    <s v="GTX Plus Basic"/>
    <s v="Dalttechnology"/>
    <x v="2"/>
    <d v="2017-06-24T00:00:00"/>
    <x v="187"/>
    <n v="0"/>
  </r>
  <r>
    <x v="4152"/>
    <x v="18"/>
    <x v="2"/>
    <x v="1"/>
    <s v="GTXPro"/>
    <s v="Betasoloin"/>
    <x v="1"/>
    <d v="2017-06-24T00:00:00"/>
    <x v="6"/>
    <m/>
  </r>
  <r>
    <x v="4153"/>
    <x v="18"/>
    <x v="2"/>
    <x v="1"/>
    <s v="GTX Plus Basic"/>
    <s v="Green-Plus"/>
    <x v="2"/>
    <d v="2017-06-24T00:00:00"/>
    <x v="166"/>
    <n v="0"/>
  </r>
  <r>
    <x v="4154"/>
    <x v="18"/>
    <x v="2"/>
    <x v="1"/>
    <s v="GTX Plus Pro"/>
    <s v="Lexiqvolax"/>
    <x v="0"/>
    <d v="2017-06-24T00:00:00"/>
    <x v="182"/>
    <n v="5056"/>
  </r>
  <r>
    <x v="4155"/>
    <x v="5"/>
    <x v="3"/>
    <x v="1"/>
    <s v="MG Special"/>
    <s v="Blackzim"/>
    <x v="0"/>
    <d v="2017-06-24T00:00:00"/>
    <x v="185"/>
    <n v="59"/>
  </r>
  <r>
    <x v="4156"/>
    <x v="9"/>
    <x v="2"/>
    <x v="1"/>
    <s v="GTX Plus Basic"/>
    <s v="Cheers"/>
    <x v="2"/>
    <d v="2017-06-24T00:00:00"/>
    <x v="136"/>
    <n v="0"/>
  </r>
  <r>
    <x v="4157"/>
    <x v="9"/>
    <x v="2"/>
    <x v="1"/>
    <s v="GTX Basic"/>
    <s v="Faxquote"/>
    <x v="0"/>
    <d v="2017-06-24T00:00:00"/>
    <x v="134"/>
    <n v="562"/>
  </r>
  <r>
    <x v="4158"/>
    <x v="0"/>
    <x v="0"/>
    <x v="0"/>
    <s v="MG Special"/>
    <s v="Codehow"/>
    <x v="0"/>
    <d v="2017-06-24T00:00:00"/>
    <x v="154"/>
    <n v="63"/>
  </r>
  <r>
    <x v="4159"/>
    <x v="0"/>
    <x v="0"/>
    <x v="0"/>
    <s v="MG Advanced"/>
    <s v="Betatech"/>
    <x v="0"/>
    <d v="2017-06-24T00:00:00"/>
    <x v="188"/>
    <n v="3355"/>
  </r>
  <r>
    <x v="4160"/>
    <x v="4"/>
    <x v="3"/>
    <x v="1"/>
    <s v="MG Special"/>
    <m/>
    <x v="1"/>
    <d v="2017-06-24T00:00:00"/>
    <x v="6"/>
    <m/>
  </r>
  <r>
    <x v="4161"/>
    <x v="15"/>
    <x v="5"/>
    <x v="2"/>
    <s v="MG Advanced"/>
    <s v="Bluth Company"/>
    <x v="2"/>
    <d v="2017-06-24T00:00:00"/>
    <x v="188"/>
    <n v="0"/>
  </r>
  <r>
    <x v="4162"/>
    <x v="15"/>
    <x v="5"/>
    <x v="2"/>
    <s v="MG Special"/>
    <s v="Massive Dynamic"/>
    <x v="0"/>
    <d v="2017-06-24T00:00:00"/>
    <x v="180"/>
    <n v="55"/>
  </r>
  <r>
    <x v="4163"/>
    <x v="2"/>
    <x v="2"/>
    <x v="1"/>
    <s v="GTX Plus Pro"/>
    <s v="Newex"/>
    <x v="0"/>
    <d v="2017-06-24T00:00:00"/>
    <x v="178"/>
    <n v="4059"/>
  </r>
  <r>
    <x v="4164"/>
    <x v="23"/>
    <x v="4"/>
    <x v="2"/>
    <s v="MG Advanced"/>
    <s v="Bubba Gump"/>
    <x v="2"/>
    <d v="2017-06-25T00:00:00"/>
    <x v="187"/>
    <n v="0"/>
  </r>
  <r>
    <x v="4165"/>
    <x v="28"/>
    <x v="0"/>
    <x v="0"/>
    <s v="GTX Plus Basic"/>
    <s v="Codehow"/>
    <x v="0"/>
    <d v="2017-06-25T00:00:00"/>
    <x v="128"/>
    <n v="1128"/>
  </r>
  <r>
    <x v="4166"/>
    <x v="13"/>
    <x v="4"/>
    <x v="2"/>
    <s v="GTXPro"/>
    <m/>
    <x v="1"/>
    <d v="2017-06-25T00:00:00"/>
    <x v="6"/>
    <m/>
  </r>
  <r>
    <x v="4167"/>
    <x v="1"/>
    <x v="1"/>
    <x v="0"/>
    <s v="GTX Plus Basic"/>
    <s v="Conecom"/>
    <x v="2"/>
    <d v="2017-06-25T00:00:00"/>
    <x v="184"/>
    <n v="0"/>
  </r>
  <r>
    <x v="4168"/>
    <x v="1"/>
    <x v="1"/>
    <x v="0"/>
    <s v="GTX Plus Pro"/>
    <s v="Ron-tech"/>
    <x v="0"/>
    <d v="2017-06-25T00:00:00"/>
    <x v="190"/>
    <n v="5536"/>
  </r>
  <r>
    <x v="4169"/>
    <x v="1"/>
    <x v="1"/>
    <x v="0"/>
    <s v="GTXPro"/>
    <s v="Genco Pura Olive Oil Company"/>
    <x v="0"/>
    <d v="2017-06-25T00:00:00"/>
    <x v="142"/>
    <n v="4964"/>
  </r>
  <r>
    <x v="4170"/>
    <x v="1"/>
    <x v="1"/>
    <x v="0"/>
    <s v="MG Special"/>
    <s v="Domzoom"/>
    <x v="0"/>
    <d v="2017-06-25T00:00:00"/>
    <x v="186"/>
    <n v="54"/>
  </r>
  <r>
    <x v="4171"/>
    <x v="1"/>
    <x v="1"/>
    <x v="0"/>
    <s v="MG Special"/>
    <s v="Ron-tech"/>
    <x v="0"/>
    <d v="2017-06-25T00:00:00"/>
    <x v="110"/>
    <n v="56"/>
  </r>
  <r>
    <x v="4172"/>
    <x v="26"/>
    <x v="4"/>
    <x v="2"/>
    <s v="GTX Plus Pro"/>
    <s v="Vehement Capital Partners"/>
    <x v="2"/>
    <d v="2017-06-25T00:00:00"/>
    <x v="185"/>
    <n v="0"/>
  </r>
  <r>
    <x v="4173"/>
    <x v="26"/>
    <x v="4"/>
    <x v="2"/>
    <s v="GTXPro"/>
    <s v="Gekko &amp; Co"/>
    <x v="2"/>
    <d v="2017-06-25T00:00:00"/>
    <x v="148"/>
    <n v="0"/>
  </r>
  <r>
    <x v="4174"/>
    <x v="26"/>
    <x v="4"/>
    <x v="2"/>
    <s v="MG Advanced"/>
    <s v="Zotware"/>
    <x v="0"/>
    <d v="2017-06-25T00:00:00"/>
    <x v="188"/>
    <n v="3423"/>
  </r>
  <r>
    <x v="4175"/>
    <x v="14"/>
    <x v="3"/>
    <x v="1"/>
    <s v="MG Special"/>
    <s v="J-Texon"/>
    <x v="2"/>
    <d v="2017-06-25T00:00:00"/>
    <x v="160"/>
    <n v="0"/>
  </r>
  <r>
    <x v="4176"/>
    <x v="21"/>
    <x v="5"/>
    <x v="2"/>
    <s v="MG Advanced"/>
    <s v="Umbrella Corporation"/>
    <x v="2"/>
    <d v="2017-06-25T00:00:00"/>
    <x v="191"/>
    <n v="0"/>
  </r>
  <r>
    <x v="4177"/>
    <x v="8"/>
    <x v="1"/>
    <x v="0"/>
    <s v="GTX Plus Pro"/>
    <s v="Cancity"/>
    <x v="2"/>
    <d v="2017-06-25T00:00:00"/>
    <x v="186"/>
    <n v="0"/>
  </r>
  <r>
    <x v="4178"/>
    <x v="8"/>
    <x v="1"/>
    <x v="0"/>
    <s v="GTX Plus Basic"/>
    <s v="Rangreen"/>
    <x v="0"/>
    <d v="2017-06-25T00:00:00"/>
    <x v="163"/>
    <n v="1102"/>
  </r>
  <r>
    <x v="4179"/>
    <x v="16"/>
    <x v="2"/>
    <x v="1"/>
    <s v="GTX Basic"/>
    <s v="Goodsilron"/>
    <x v="0"/>
    <d v="2017-06-25T00:00:00"/>
    <x v="179"/>
    <n v="519"/>
  </r>
  <r>
    <x v="4180"/>
    <x v="18"/>
    <x v="2"/>
    <x v="1"/>
    <s v="GTX Plus Pro"/>
    <s v="Hatfan"/>
    <x v="2"/>
    <d v="2017-06-25T00:00:00"/>
    <x v="185"/>
    <n v="0"/>
  </r>
  <r>
    <x v="4181"/>
    <x v="18"/>
    <x v="2"/>
    <x v="1"/>
    <s v="MG Special"/>
    <s v="Hatfan"/>
    <x v="2"/>
    <d v="2017-06-25T00:00:00"/>
    <x v="151"/>
    <n v="0"/>
  </r>
  <r>
    <x v="4182"/>
    <x v="24"/>
    <x v="0"/>
    <x v="0"/>
    <s v="GTX Plus Basic"/>
    <s v="Isdom"/>
    <x v="2"/>
    <d v="2017-06-25T00:00:00"/>
    <x v="151"/>
    <n v="0"/>
  </r>
  <r>
    <x v="4183"/>
    <x v="24"/>
    <x v="0"/>
    <x v="0"/>
    <s v="MG Advanced"/>
    <s v="Bioholding"/>
    <x v="2"/>
    <d v="2017-06-25T00:00:00"/>
    <x v="187"/>
    <n v="0"/>
  </r>
  <r>
    <x v="4184"/>
    <x v="24"/>
    <x v="0"/>
    <x v="0"/>
    <s v="GTX Plus Pro"/>
    <s v="Isdom"/>
    <x v="0"/>
    <d v="2017-06-25T00:00:00"/>
    <x v="186"/>
    <n v="5536"/>
  </r>
  <r>
    <x v="4185"/>
    <x v="22"/>
    <x v="1"/>
    <x v="0"/>
    <s v="GTX Plus Pro"/>
    <s v="Betatech"/>
    <x v="2"/>
    <d v="2017-06-25T00:00:00"/>
    <x v="124"/>
    <n v="0"/>
  </r>
  <r>
    <x v="4186"/>
    <x v="22"/>
    <x v="1"/>
    <x v="0"/>
    <s v="GTX Plus Basic"/>
    <s v="Warephase"/>
    <x v="0"/>
    <d v="2017-06-25T00:00:00"/>
    <x v="185"/>
    <n v="839"/>
  </r>
  <r>
    <x v="4187"/>
    <x v="9"/>
    <x v="2"/>
    <x v="1"/>
    <s v="GTX Basic"/>
    <s v="Dalttechnology"/>
    <x v="0"/>
    <d v="2017-06-25T00:00:00"/>
    <x v="144"/>
    <n v="500"/>
  </r>
  <r>
    <x v="4188"/>
    <x v="0"/>
    <x v="0"/>
    <x v="0"/>
    <s v="MG Advanced"/>
    <s v="Rangreen"/>
    <x v="0"/>
    <d v="2017-06-25T00:00:00"/>
    <x v="176"/>
    <n v="3679"/>
  </r>
  <r>
    <x v="4189"/>
    <x v="6"/>
    <x v="1"/>
    <x v="0"/>
    <s v="GTX Plus Basic"/>
    <s v="Treequote"/>
    <x v="2"/>
    <d v="2017-06-25T00:00:00"/>
    <x v="188"/>
    <n v="0"/>
  </r>
  <r>
    <x v="4190"/>
    <x v="19"/>
    <x v="4"/>
    <x v="2"/>
    <s v="GTXPro"/>
    <s v="Plussunin"/>
    <x v="2"/>
    <d v="2017-06-25T00:00:00"/>
    <x v="187"/>
    <n v="0"/>
  </r>
  <r>
    <x v="4191"/>
    <x v="11"/>
    <x v="3"/>
    <x v="1"/>
    <s v="GTX Basic"/>
    <m/>
    <x v="1"/>
    <d v="2017-06-25T00:00:00"/>
    <x v="6"/>
    <m/>
  </r>
  <r>
    <x v="4192"/>
    <x v="17"/>
    <x v="5"/>
    <x v="2"/>
    <s v="GTX Basic"/>
    <s v="Ron-tech"/>
    <x v="1"/>
    <d v="2017-06-25T00:00:00"/>
    <x v="6"/>
    <m/>
  </r>
  <r>
    <x v="4193"/>
    <x v="12"/>
    <x v="0"/>
    <x v="0"/>
    <s v="MG Special"/>
    <s v="Codehow"/>
    <x v="2"/>
    <d v="2017-06-25T00:00:00"/>
    <x v="109"/>
    <n v="0"/>
  </r>
  <r>
    <x v="4194"/>
    <x v="4"/>
    <x v="3"/>
    <x v="1"/>
    <s v="GTX Plus Pro"/>
    <m/>
    <x v="1"/>
    <d v="2017-06-25T00:00:00"/>
    <x v="6"/>
    <m/>
  </r>
  <r>
    <x v="4195"/>
    <x v="4"/>
    <x v="3"/>
    <x v="1"/>
    <s v="GTXPro"/>
    <m/>
    <x v="1"/>
    <d v="2017-06-25T00:00:00"/>
    <x v="6"/>
    <m/>
  </r>
  <r>
    <x v="4196"/>
    <x v="4"/>
    <x v="3"/>
    <x v="1"/>
    <s v="GTX Basic"/>
    <s v="Scotfind"/>
    <x v="2"/>
    <d v="2017-06-25T00:00:00"/>
    <x v="187"/>
    <n v="0"/>
  </r>
  <r>
    <x v="4197"/>
    <x v="4"/>
    <x v="3"/>
    <x v="1"/>
    <s v="GTX Plus Pro"/>
    <s v="Blackzim"/>
    <x v="2"/>
    <d v="2017-06-25T00:00:00"/>
    <x v="185"/>
    <n v="0"/>
  </r>
  <r>
    <x v="4198"/>
    <x v="4"/>
    <x v="3"/>
    <x v="1"/>
    <s v="MG Advanced"/>
    <s v="Goodsilron"/>
    <x v="0"/>
    <d v="2017-06-25T00:00:00"/>
    <x v="89"/>
    <n v="3815"/>
  </r>
  <r>
    <x v="4199"/>
    <x v="4"/>
    <x v="3"/>
    <x v="1"/>
    <s v="MG Advanced"/>
    <s v="Sunnamplex"/>
    <x v="0"/>
    <d v="2017-06-25T00:00:00"/>
    <x v="87"/>
    <n v="2753"/>
  </r>
  <r>
    <x v="4200"/>
    <x v="15"/>
    <x v="5"/>
    <x v="2"/>
    <s v="MG Special"/>
    <m/>
    <x v="1"/>
    <d v="2017-06-25T00:00:00"/>
    <x v="6"/>
    <m/>
  </r>
  <r>
    <x v="4201"/>
    <x v="15"/>
    <x v="5"/>
    <x v="2"/>
    <s v="MG Special"/>
    <s v="Xx-zobam"/>
    <x v="0"/>
    <d v="2017-06-25T00:00:00"/>
    <x v="185"/>
    <n v="60"/>
  </r>
  <r>
    <x v="4202"/>
    <x v="2"/>
    <x v="2"/>
    <x v="1"/>
    <s v="GTX Basic"/>
    <s v="Kan-code"/>
    <x v="2"/>
    <d v="2017-06-25T00:00:00"/>
    <x v="185"/>
    <n v="0"/>
  </r>
  <r>
    <x v="4203"/>
    <x v="2"/>
    <x v="2"/>
    <x v="1"/>
    <s v="GTX Plus Basic"/>
    <s v="Rantouch"/>
    <x v="0"/>
    <d v="2017-06-25T00:00:00"/>
    <x v="186"/>
    <n v="1137"/>
  </r>
  <r>
    <x v="4204"/>
    <x v="25"/>
    <x v="4"/>
    <x v="2"/>
    <s v="GTX Plus Pro"/>
    <s v="Yearin"/>
    <x v="0"/>
    <d v="2017-06-26T00:00:00"/>
    <x v="187"/>
    <n v="5201"/>
  </r>
  <r>
    <x v="4205"/>
    <x v="23"/>
    <x v="4"/>
    <x v="2"/>
    <s v="GTX Basic"/>
    <s v="Mathtouch"/>
    <x v="2"/>
    <d v="2017-06-26T00:00:00"/>
    <x v="173"/>
    <n v="0"/>
  </r>
  <r>
    <x v="4206"/>
    <x v="23"/>
    <x v="4"/>
    <x v="2"/>
    <s v="MG Advanced"/>
    <s v="Bluth Company"/>
    <x v="2"/>
    <d v="2017-06-26T00:00:00"/>
    <x v="186"/>
    <n v="0"/>
  </r>
  <r>
    <x v="4207"/>
    <x v="28"/>
    <x v="0"/>
    <x v="0"/>
    <s v="GTX Basic"/>
    <s v="Toughzap"/>
    <x v="0"/>
    <d v="2017-06-26T00:00:00"/>
    <x v="189"/>
    <n v="612"/>
  </r>
  <r>
    <x v="4208"/>
    <x v="27"/>
    <x v="5"/>
    <x v="2"/>
    <s v="GTX Plus Pro"/>
    <s v="Donquadtech"/>
    <x v="0"/>
    <d v="2017-06-26T00:00:00"/>
    <x v="171"/>
    <n v="4905"/>
  </r>
  <r>
    <x v="4209"/>
    <x v="13"/>
    <x v="4"/>
    <x v="2"/>
    <s v="MG Advanced"/>
    <m/>
    <x v="1"/>
    <d v="2017-06-26T00:00:00"/>
    <x v="6"/>
    <m/>
  </r>
  <r>
    <x v="4210"/>
    <x v="13"/>
    <x v="4"/>
    <x v="2"/>
    <s v="MG Special"/>
    <s v="The New York Inquirer"/>
    <x v="2"/>
    <d v="2017-06-26T00:00:00"/>
    <x v="191"/>
    <n v="0"/>
  </r>
  <r>
    <x v="4211"/>
    <x v="1"/>
    <x v="1"/>
    <x v="0"/>
    <s v="GTXPro"/>
    <s v="Streethex"/>
    <x v="2"/>
    <d v="2017-06-26T00:00:00"/>
    <x v="186"/>
    <n v="0"/>
  </r>
  <r>
    <x v="4212"/>
    <x v="1"/>
    <x v="1"/>
    <x v="0"/>
    <s v="GTX Plus Basic"/>
    <s v="Streethex"/>
    <x v="0"/>
    <d v="2017-06-26T00:00:00"/>
    <x v="159"/>
    <n v="1028"/>
  </r>
  <r>
    <x v="4213"/>
    <x v="1"/>
    <x v="1"/>
    <x v="0"/>
    <s v="GTX Plus Pro"/>
    <s v="Codehow"/>
    <x v="0"/>
    <d v="2017-06-26T00:00:00"/>
    <x v="158"/>
    <n v="4430"/>
  </r>
  <r>
    <x v="4214"/>
    <x v="26"/>
    <x v="4"/>
    <x v="2"/>
    <s v="GTX Plus Basic"/>
    <s v="Donquadtech"/>
    <x v="2"/>
    <d v="2017-06-26T00:00:00"/>
    <x v="153"/>
    <n v="0"/>
  </r>
  <r>
    <x v="4215"/>
    <x v="26"/>
    <x v="4"/>
    <x v="2"/>
    <s v="GTX Plus Basic"/>
    <s v="Opentech"/>
    <x v="2"/>
    <d v="2017-06-26T00:00:00"/>
    <x v="192"/>
    <n v="0"/>
  </r>
  <r>
    <x v="4216"/>
    <x v="26"/>
    <x v="4"/>
    <x v="2"/>
    <s v="GTXPro"/>
    <s v="Zathunicon"/>
    <x v="2"/>
    <d v="2017-06-26T00:00:00"/>
    <x v="186"/>
    <n v="0"/>
  </r>
  <r>
    <x v="4217"/>
    <x v="26"/>
    <x v="4"/>
    <x v="2"/>
    <s v="GTX Basic"/>
    <s v="Bioplex"/>
    <x v="0"/>
    <d v="2017-06-26T00:00:00"/>
    <x v="189"/>
    <n v="541"/>
  </r>
  <r>
    <x v="4218"/>
    <x v="14"/>
    <x v="3"/>
    <x v="1"/>
    <s v="GTXPro"/>
    <s v="Groovestreet"/>
    <x v="2"/>
    <d v="2017-06-26T00:00:00"/>
    <x v="188"/>
    <n v="0"/>
  </r>
  <r>
    <x v="4219"/>
    <x v="8"/>
    <x v="1"/>
    <x v="0"/>
    <s v="GTXPro"/>
    <s v="Cancity"/>
    <x v="0"/>
    <d v="2017-06-26T00:00:00"/>
    <x v="185"/>
    <n v="5081"/>
  </r>
  <r>
    <x v="4220"/>
    <x v="8"/>
    <x v="1"/>
    <x v="0"/>
    <s v="MG Advanced"/>
    <s v="Rangreen"/>
    <x v="0"/>
    <d v="2017-06-26T00:00:00"/>
    <x v="88"/>
    <n v="3478"/>
  </r>
  <r>
    <x v="4221"/>
    <x v="7"/>
    <x v="2"/>
    <x v="1"/>
    <s v="GTXPro"/>
    <s v="J-Texon"/>
    <x v="0"/>
    <d v="2017-06-26T00:00:00"/>
    <x v="152"/>
    <n v="5541"/>
  </r>
  <r>
    <x v="4222"/>
    <x v="29"/>
    <x v="1"/>
    <x v="0"/>
    <s v="GTX Basic"/>
    <s v="Cancity"/>
    <x v="0"/>
    <d v="2017-06-26T00:00:00"/>
    <x v="186"/>
    <n v="504"/>
  </r>
  <r>
    <x v="4223"/>
    <x v="18"/>
    <x v="2"/>
    <x v="1"/>
    <s v="GTX Plus Basic"/>
    <m/>
    <x v="1"/>
    <d v="2017-06-26T00:00:00"/>
    <x v="6"/>
    <m/>
  </r>
  <r>
    <x v="4224"/>
    <x v="24"/>
    <x v="0"/>
    <x v="0"/>
    <s v="GTX Basic"/>
    <s v="Bioholding"/>
    <x v="2"/>
    <d v="2017-06-26T00:00:00"/>
    <x v="133"/>
    <n v="0"/>
  </r>
  <r>
    <x v="4225"/>
    <x v="24"/>
    <x v="0"/>
    <x v="0"/>
    <s v="GTX Basic"/>
    <s v="Dontechi"/>
    <x v="2"/>
    <d v="2017-06-26T00:00:00"/>
    <x v="186"/>
    <n v="0"/>
  </r>
  <r>
    <x v="4226"/>
    <x v="5"/>
    <x v="3"/>
    <x v="1"/>
    <s v="MG Advanced"/>
    <s v="Golddex"/>
    <x v="0"/>
    <d v="2017-06-26T00:00:00"/>
    <x v="162"/>
    <n v="3838"/>
  </r>
  <r>
    <x v="4227"/>
    <x v="22"/>
    <x v="1"/>
    <x v="0"/>
    <s v="GTX Plus Pro"/>
    <s v="Scottech"/>
    <x v="0"/>
    <d v="2017-06-26T00:00:00"/>
    <x v="135"/>
    <n v="5217"/>
  </r>
  <r>
    <x v="4228"/>
    <x v="22"/>
    <x v="1"/>
    <x v="0"/>
    <s v="GTX Plus Pro"/>
    <s v="Streethex"/>
    <x v="0"/>
    <d v="2017-06-26T00:00:00"/>
    <x v="188"/>
    <n v="4181"/>
  </r>
  <r>
    <x v="4229"/>
    <x v="9"/>
    <x v="2"/>
    <x v="1"/>
    <s v="GTX Basic"/>
    <s v="Hatfan"/>
    <x v="0"/>
    <d v="2017-06-26T00:00:00"/>
    <x v="189"/>
    <n v="518"/>
  </r>
  <r>
    <x v="4230"/>
    <x v="0"/>
    <x v="0"/>
    <x v="0"/>
    <s v="GTX Basic"/>
    <s v="Streethex"/>
    <x v="0"/>
    <d v="2017-06-26T00:00:00"/>
    <x v="180"/>
    <n v="533"/>
  </r>
  <r>
    <x v="4231"/>
    <x v="11"/>
    <x v="3"/>
    <x v="1"/>
    <s v="MG Advanced"/>
    <s v="Singletechno"/>
    <x v="0"/>
    <d v="2017-06-26T00:00:00"/>
    <x v="126"/>
    <n v="3855"/>
  </r>
  <r>
    <x v="4232"/>
    <x v="4"/>
    <x v="3"/>
    <x v="1"/>
    <s v="GTX Basic"/>
    <s v="Plusstrip"/>
    <x v="2"/>
    <d v="2017-06-26T00:00:00"/>
    <x v="191"/>
    <n v="0"/>
  </r>
  <r>
    <x v="4233"/>
    <x v="2"/>
    <x v="2"/>
    <x v="1"/>
    <s v="GTXPro"/>
    <s v="Plussunin"/>
    <x v="1"/>
    <d v="2017-06-26T00:00:00"/>
    <x v="6"/>
    <m/>
  </r>
  <r>
    <x v="4234"/>
    <x v="2"/>
    <x v="2"/>
    <x v="1"/>
    <s v="GTX Basic"/>
    <s v="Nam-zim"/>
    <x v="0"/>
    <d v="2017-06-26T00:00:00"/>
    <x v="187"/>
    <n v="617"/>
  </r>
  <r>
    <x v="4235"/>
    <x v="3"/>
    <x v="0"/>
    <x v="0"/>
    <s v="GTX Plus Basic"/>
    <s v="Warephase"/>
    <x v="0"/>
    <d v="2017-06-27T00:00:00"/>
    <x v="189"/>
    <n v="991"/>
  </r>
  <r>
    <x v="4236"/>
    <x v="23"/>
    <x v="4"/>
    <x v="2"/>
    <s v="GTXPro"/>
    <s v="Opentech"/>
    <x v="2"/>
    <d v="2017-06-27T00:00:00"/>
    <x v="162"/>
    <n v="0"/>
  </r>
  <r>
    <x v="4237"/>
    <x v="28"/>
    <x v="0"/>
    <x v="0"/>
    <s v="GTX Basic"/>
    <s v="Domzoom"/>
    <x v="0"/>
    <d v="2017-06-27T00:00:00"/>
    <x v="137"/>
    <n v="513"/>
  </r>
  <r>
    <x v="4238"/>
    <x v="27"/>
    <x v="5"/>
    <x v="2"/>
    <s v="GTX Plus Pro"/>
    <s v="Ganjaflex"/>
    <x v="0"/>
    <d v="2017-06-27T00:00:00"/>
    <x v="191"/>
    <n v="5121"/>
  </r>
  <r>
    <x v="4239"/>
    <x v="13"/>
    <x v="4"/>
    <x v="2"/>
    <s v="GTXPro"/>
    <m/>
    <x v="1"/>
    <d v="2017-06-27T00:00:00"/>
    <x v="6"/>
    <m/>
  </r>
  <r>
    <x v="4240"/>
    <x v="13"/>
    <x v="4"/>
    <x v="2"/>
    <s v="MG Advanced"/>
    <s v="Kan-code"/>
    <x v="2"/>
    <d v="2017-06-27T00:00:00"/>
    <x v="184"/>
    <n v="0"/>
  </r>
  <r>
    <x v="4241"/>
    <x v="1"/>
    <x v="1"/>
    <x v="0"/>
    <s v="GTX Basic"/>
    <s v="Condax"/>
    <x v="2"/>
    <d v="2017-06-27T00:00:00"/>
    <x v="189"/>
    <n v="0"/>
  </r>
  <r>
    <x v="4242"/>
    <x v="1"/>
    <x v="1"/>
    <x v="0"/>
    <s v="GTXPro"/>
    <s v="Zumgoity"/>
    <x v="0"/>
    <d v="2017-06-27T00:00:00"/>
    <x v="189"/>
    <n v="4635"/>
  </r>
  <r>
    <x v="4243"/>
    <x v="26"/>
    <x v="4"/>
    <x v="2"/>
    <s v="GTX Plus Pro"/>
    <s v="Zotware"/>
    <x v="2"/>
    <d v="2017-06-27T00:00:00"/>
    <x v="166"/>
    <n v="0"/>
  </r>
  <r>
    <x v="4244"/>
    <x v="21"/>
    <x v="5"/>
    <x v="2"/>
    <s v="GTX Basic"/>
    <s v="Iselectrics"/>
    <x v="0"/>
    <d v="2017-06-27T00:00:00"/>
    <x v="170"/>
    <n v="470"/>
  </r>
  <r>
    <x v="4245"/>
    <x v="8"/>
    <x v="1"/>
    <x v="0"/>
    <s v="MG Special"/>
    <s v="Isdom"/>
    <x v="2"/>
    <d v="2017-06-27T00:00:00"/>
    <x v="139"/>
    <n v="0"/>
  </r>
  <r>
    <x v="4246"/>
    <x v="8"/>
    <x v="1"/>
    <x v="0"/>
    <s v="GTX Plus Pro"/>
    <s v="Treequote"/>
    <x v="0"/>
    <d v="2017-06-27T00:00:00"/>
    <x v="180"/>
    <n v="6193"/>
  </r>
  <r>
    <x v="4247"/>
    <x v="7"/>
    <x v="2"/>
    <x v="1"/>
    <s v="GTXPro"/>
    <s v="Faxquote"/>
    <x v="0"/>
    <d v="2017-06-27T00:00:00"/>
    <x v="169"/>
    <n v="4277"/>
  </r>
  <r>
    <x v="4248"/>
    <x v="16"/>
    <x v="2"/>
    <x v="1"/>
    <s v="MG Special"/>
    <s v="Blackzim"/>
    <x v="0"/>
    <d v="2017-06-27T00:00:00"/>
    <x v="191"/>
    <n v="59"/>
  </r>
  <r>
    <x v="4249"/>
    <x v="18"/>
    <x v="2"/>
    <x v="1"/>
    <s v="GTXPro"/>
    <s v="Xx-holding"/>
    <x v="2"/>
    <d v="2017-06-27T00:00:00"/>
    <x v="166"/>
    <n v="0"/>
  </r>
  <r>
    <x v="4250"/>
    <x v="5"/>
    <x v="3"/>
    <x v="1"/>
    <s v="GTX Basic"/>
    <s v="Condax"/>
    <x v="2"/>
    <d v="2017-06-27T00:00:00"/>
    <x v="189"/>
    <n v="0"/>
  </r>
  <r>
    <x v="4251"/>
    <x v="5"/>
    <x v="3"/>
    <x v="1"/>
    <s v="GTXPro"/>
    <s v="Green-Plus"/>
    <x v="2"/>
    <d v="2017-06-27T00:00:00"/>
    <x v="188"/>
    <n v="0"/>
  </r>
  <r>
    <x v="4252"/>
    <x v="22"/>
    <x v="1"/>
    <x v="0"/>
    <s v="GTX Plus Basic"/>
    <s v="Globex Corporation"/>
    <x v="0"/>
    <d v="2017-06-27T00:00:00"/>
    <x v="185"/>
    <n v="1176"/>
  </r>
  <r>
    <x v="4253"/>
    <x v="0"/>
    <x v="0"/>
    <x v="0"/>
    <s v="GTX Plus Pro"/>
    <s v="Finhigh"/>
    <x v="2"/>
    <d v="2017-06-27T00:00:00"/>
    <x v="190"/>
    <n v="0"/>
  </r>
  <r>
    <x v="4254"/>
    <x v="0"/>
    <x v="0"/>
    <x v="0"/>
    <s v="GTX Basic"/>
    <s v="Statholdings"/>
    <x v="0"/>
    <d v="2017-06-27T00:00:00"/>
    <x v="188"/>
    <n v="541"/>
  </r>
  <r>
    <x v="4255"/>
    <x v="6"/>
    <x v="1"/>
    <x v="0"/>
    <s v="GTX Plus Pro"/>
    <s v="Domzoom"/>
    <x v="0"/>
    <d v="2017-06-27T00:00:00"/>
    <x v="184"/>
    <n v="4766"/>
  </r>
  <r>
    <x v="4256"/>
    <x v="19"/>
    <x v="4"/>
    <x v="2"/>
    <s v="MG Advanced"/>
    <s v="Iselectrics"/>
    <x v="2"/>
    <d v="2017-06-27T00:00:00"/>
    <x v="144"/>
    <n v="0"/>
  </r>
  <r>
    <x v="4257"/>
    <x v="19"/>
    <x v="4"/>
    <x v="2"/>
    <s v="GTXPro"/>
    <s v="Vehement Capital Partners"/>
    <x v="0"/>
    <d v="2017-06-27T00:00:00"/>
    <x v="184"/>
    <n v="4785"/>
  </r>
  <r>
    <x v="4258"/>
    <x v="12"/>
    <x v="0"/>
    <x v="0"/>
    <s v="MG Advanced"/>
    <s v="Rangreen"/>
    <x v="0"/>
    <d v="2017-06-27T00:00:00"/>
    <x v="158"/>
    <n v="3046"/>
  </r>
  <r>
    <x v="4259"/>
    <x v="12"/>
    <x v="0"/>
    <x v="0"/>
    <s v="MG Advanced"/>
    <s v="Ron-tech"/>
    <x v="0"/>
    <d v="2017-06-27T00:00:00"/>
    <x v="187"/>
    <n v="3548"/>
  </r>
  <r>
    <x v="4260"/>
    <x v="4"/>
    <x v="3"/>
    <x v="1"/>
    <s v="MG Advanced"/>
    <s v="Rantouch"/>
    <x v="2"/>
    <d v="2017-06-27T00:00:00"/>
    <x v="189"/>
    <n v="0"/>
  </r>
  <r>
    <x v="4261"/>
    <x v="4"/>
    <x v="3"/>
    <x v="1"/>
    <s v="MG Advanced"/>
    <s v="Rantouch"/>
    <x v="0"/>
    <d v="2017-06-27T00:00:00"/>
    <x v="191"/>
    <n v="3615"/>
  </r>
  <r>
    <x v="4262"/>
    <x v="15"/>
    <x v="5"/>
    <x v="2"/>
    <s v="GTXPro"/>
    <m/>
    <x v="1"/>
    <d v="2017-06-27T00:00:00"/>
    <x v="6"/>
    <m/>
  </r>
  <r>
    <x v="4263"/>
    <x v="3"/>
    <x v="0"/>
    <x v="0"/>
    <s v="GTX Basic"/>
    <s v="Genco Pura Olive Oil Company"/>
    <x v="0"/>
    <d v="2017-06-28T00:00:00"/>
    <x v="171"/>
    <n v="631"/>
  </r>
  <r>
    <x v="4264"/>
    <x v="23"/>
    <x v="4"/>
    <x v="2"/>
    <s v="GTX Basic"/>
    <s v="Kan-code"/>
    <x v="2"/>
    <d v="2017-06-28T00:00:00"/>
    <x v="184"/>
    <n v="0"/>
  </r>
  <r>
    <x v="4265"/>
    <x v="28"/>
    <x v="0"/>
    <x v="0"/>
    <s v="GTX Basic"/>
    <s v="Hottechi"/>
    <x v="2"/>
    <d v="2017-06-28T00:00:00"/>
    <x v="138"/>
    <n v="0"/>
  </r>
  <r>
    <x v="4266"/>
    <x v="28"/>
    <x v="0"/>
    <x v="0"/>
    <s v="MG Special"/>
    <s v="Genco Pura Olive Oil Company"/>
    <x v="2"/>
    <d v="2017-06-28T00:00:00"/>
    <x v="191"/>
    <n v="0"/>
  </r>
  <r>
    <x v="4267"/>
    <x v="13"/>
    <x v="4"/>
    <x v="2"/>
    <s v="GTXPro"/>
    <s v="Massive Dynamic"/>
    <x v="2"/>
    <d v="2017-06-28T00:00:00"/>
    <x v="124"/>
    <n v="0"/>
  </r>
  <r>
    <x v="4268"/>
    <x v="1"/>
    <x v="1"/>
    <x v="0"/>
    <s v="GTXPro"/>
    <s v="Condax"/>
    <x v="2"/>
    <d v="2017-06-28T00:00:00"/>
    <x v="191"/>
    <n v="0"/>
  </r>
  <r>
    <x v="4269"/>
    <x v="1"/>
    <x v="1"/>
    <x v="0"/>
    <s v="GTXPro"/>
    <s v="Stanredtax"/>
    <x v="2"/>
    <d v="2017-06-28T00:00:00"/>
    <x v="189"/>
    <n v="0"/>
  </r>
  <r>
    <x v="4270"/>
    <x v="1"/>
    <x v="1"/>
    <x v="0"/>
    <s v="GTXPro"/>
    <s v="Streethex"/>
    <x v="0"/>
    <d v="2017-06-28T00:00:00"/>
    <x v="191"/>
    <n v="4162"/>
  </r>
  <r>
    <x v="4271"/>
    <x v="1"/>
    <x v="1"/>
    <x v="0"/>
    <s v="MG Special"/>
    <s v="Toughzap"/>
    <x v="0"/>
    <d v="2017-06-28T00:00:00"/>
    <x v="181"/>
    <n v="54"/>
  </r>
  <r>
    <x v="4272"/>
    <x v="26"/>
    <x v="4"/>
    <x v="2"/>
    <s v="GTXPro"/>
    <s v="Iselectrics"/>
    <x v="0"/>
    <d v="2017-06-28T00:00:00"/>
    <x v="185"/>
    <n v="5064"/>
  </r>
  <r>
    <x v="4273"/>
    <x v="14"/>
    <x v="3"/>
    <x v="1"/>
    <s v="MG Advanced"/>
    <s v="Kan-code"/>
    <x v="2"/>
    <d v="2017-06-28T00:00:00"/>
    <x v="191"/>
    <n v="0"/>
  </r>
  <r>
    <x v="4274"/>
    <x v="8"/>
    <x v="1"/>
    <x v="0"/>
    <s v="GTX Plus Basic"/>
    <s v="Konmatfix"/>
    <x v="2"/>
    <d v="2017-06-28T00:00:00"/>
    <x v="175"/>
    <n v="0"/>
  </r>
  <r>
    <x v="4275"/>
    <x v="8"/>
    <x v="1"/>
    <x v="0"/>
    <s v="MG Special"/>
    <s v="Konmatfix"/>
    <x v="2"/>
    <d v="2017-06-28T00:00:00"/>
    <x v="192"/>
    <n v="0"/>
  </r>
  <r>
    <x v="4276"/>
    <x v="8"/>
    <x v="1"/>
    <x v="0"/>
    <s v="MG Advanced"/>
    <s v="Conecom"/>
    <x v="0"/>
    <d v="2017-06-28T00:00:00"/>
    <x v="191"/>
    <n v="3865"/>
  </r>
  <r>
    <x v="4277"/>
    <x v="10"/>
    <x v="3"/>
    <x v="1"/>
    <s v="MG Advanced"/>
    <s v="Konex"/>
    <x v="2"/>
    <d v="2017-06-28T00:00:00"/>
    <x v="163"/>
    <n v="0"/>
  </r>
  <r>
    <x v="4278"/>
    <x v="7"/>
    <x v="2"/>
    <x v="1"/>
    <s v="GTXPro"/>
    <s v="Plexzap"/>
    <x v="2"/>
    <d v="2017-06-28T00:00:00"/>
    <x v="187"/>
    <n v="0"/>
  </r>
  <r>
    <x v="4279"/>
    <x v="7"/>
    <x v="2"/>
    <x v="1"/>
    <s v="GTX Basic"/>
    <s v="Xx-holding"/>
    <x v="0"/>
    <d v="2017-06-28T00:00:00"/>
    <x v="133"/>
    <n v="553"/>
  </r>
  <r>
    <x v="4280"/>
    <x v="29"/>
    <x v="1"/>
    <x v="0"/>
    <s v="GTX Plus Basic"/>
    <s v="Finhigh"/>
    <x v="2"/>
    <d v="2017-06-28T00:00:00"/>
    <x v="186"/>
    <n v="0"/>
  </r>
  <r>
    <x v="4281"/>
    <x v="29"/>
    <x v="1"/>
    <x v="0"/>
    <s v="MG Advanced"/>
    <s v="Dontechi"/>
    <x v="2"/>
    <d v="2017-06-28T00:00:00"/>
    <x v="188"/>
    <n v="0"/>
  </r>
  <r>
    <x v="4282"/>
    <x v="29"/>
    <x v="1"/>
    <x v="0"/>
    <s v="GTX Basic"/>
    <s v="Ron-tech"/>
    <x v="0"/>
    <d v="2017-06-28T00:00:00"/>
    <x v="145"/>
    <n v="501"/>
  </r>
  <r>
    <x v="4283"/>
    <x v="18"/>
    <x v="2"/>
    <x v="1"/>
    <s v="GTX Basic"/>
    <s v="J-Texon"/>
    <x v="0"/>
    <d v="2017-06-28T00:00:00"/>
    <x v="173"/>
    <n v="539"/>
  </r>
  <r>
    <x v="4284"/>
    <x v="18"/>
    <x v="2"/>
    <x v="1"/>
    <s v="GTX Plus Basic"/>
    <s v="Singletechno"/>
    <x v="0"/>
    <d v="2017-06-28T00:00:00"/>
    <x v="187"/>
    <n v="1028"/>
  </r>
  <r>
    <x v="4285"/>
    <x v="18"/>
    <x v="2"/>
    <x v="1"/>
    <s v="GTXPro"/>
    <s v="Nam-zim"/>
    <x v="0"/>
    <d v="2017-06-28T00:00:00"/>
    <x v="160"/>
    <n v="3951"/>
  </r>
  <r>
    <x v="4286"/>
    <x v="24"/>
    <x v="0"/>
    <x v="0"/>
    <s v="GTX Basic"/>
    <s v="Finhigh"/>
    <x v="0"/>
    <d v="2017-06-28T00:00:00"/>
    <x v="138"/>
    <n v="560"/>
  </r>
  <r>
    <x v="4287"/>
    <x v="5"/>
    <x v="3"/>
    <x v="1"/>
    <s v="GTX Plus Pro"/>
    <s v="Goodsilron"/>
    <x v="2"/>
    <d v="2017-06-28T00:00:00"/>
    <x v="188"/>
    <n v="0"/>
  </r>
  <r>
    <x v="4288"/>
    <x v="0"/>
    <x v="0"/>
    <x v="0"/>
    <s v="GTX Plus Pro"/>
    <s v="Betatech"/>
    <x v="2"/>
    <d v="2017-06-28T00:00:00"/>
    <x v="162"/>
    <n v="0"/>
  </r>
  <r>
    <x v="4289"/>
    <x v="0"/>
    <x v="0"/>
    <x v="0"/>
    <s v="GTX Basic"/>
    <s v="Isdom"/>
    <x v="0"/>
    <d v="2017-06-28T00:00:00"/>
    <x v="182"/>
    <n v="530"/>
  </r>
  <r>
    <x v="4290"/>
    <x v="17"/>
    <x v="5"/>
    <x v="2"/>
    <s v="MG Advanced"/>
    <m/>
    <x v="1"/>
    <d v="2017-06-28T00:00:00"/>
    <x v="6"/>
    <m/>
  </r>
  <r>
    <x v="4291"/>
    <x v="12"/>
    <x v="0"/>
    <x v="0"/>
    <s v="GTX Basic"/>
    <s v="Dontechi"/>
    <x v="0"/>
    <d v="2017-06-28T00:00:00"/>
    <x v="185"/>
    <n v="462"/>
  </r>
  <r>
    <x v="4292"/>
    <x v="4"/>
    <x v="3"/>
    <x v="1"/>
    <s v="GTX Plus Basic"/>
    <s v="Blackzim"/>
    <x v="0"/>
    <d v="2017-06-28T00:00:00"/>
    <x v="167"/>
    <n v="1211"/>
  </r>
  <r>
    <x v="4293"/>
    <x v="4"/>
    <x v="3"/>
    <x v="1"/>
    <s v="GTXPro"/>
    <s v="Scotfind"/>
    <x v="0"/>
    <d v="2017-06-28T00:00:00"/>
    <x v="186"/>
    <n v="4264"/>
  </r>
  <r>
    <x v="4294"/>
    <x v="4"/>
    <x v="3"/>
    <x v="1"/>
    <s v="MG Advanced"/>
    <s v="Faxquote"/>
    <x v="0"/>
    <d v="2017-06-28T00:00:00"/>
    <x v="172"/>
    <n v="3104"/>
  </r>
  <r>
    <x v="4295"/>
    <x v="15"/>
    <x v="5"/>
    <x v="2"/>
    <s v="MG Advanced"/>
    <s v="Nam-zim"/>
    <x v="1"/>
    <d v="2017-06-28T00:00:00"/>
    <x v="6"/>
    <m/>
  </r>
  <r>
    <x v="4296"/>
    <x v="15"/>
    <x v="5"/>
    <x v="2"/>
    <s v="MG Special"/>
    <s v="Gekko &amp; Co"/>
    <x v="0"/>
    <d v="2017-06-28T00:00:00"/>
    <x v="182"/>
    <n v="56"/>
  </r>
  <r>
    <x v="4297"/>
    <x v="3"/>
    <x v="0"/>
    <x v="0"/>
    <s v="GTX Plus Basic"/>
    <s v="Betatech"/>
    <x v="0"/>
    <d v="2017-06-29T00:00:00"/>
    <x v="193"/>
    <n v="1047"/>
  </r>
  <r>
    <x v="4298"/>
    <x v="23"/>
    <x v="4"/>
    <x v="2"/>
    <s v="MG Advanced"/>
    <s v="Iselectrics"/>
    <x v="2"/>
    <d v="2017-06-29T00:00:00"/>
    <x v="190"/>
    <n v="0"/>
  </r>
  <r>
    <x v="4299"/>
    <x v="27"/>
    <x v="5"/>
    <x v="2"/>
    <s v="GTX Plus Basic"/>
    <m/>
    <x v="1"/>
    <d v="2017-06-29T00:00:00"/>
    <x v="6"/>
    <m/>
  </r>
  <r>
    <x v="4300"/>
    <x v="1"/>
    <x v="1"/>
    <x v="0"/>
    <s v="GTXPro"/>
    <s v="Statholdings"/>
    <x v="2"/>
    <d v="2017-06-29T00:00:00"/>
    <x v="189"/>
    <n v="0"/>
  </r>
  <r>
    <x v="4301"/>
    <x v="1"/>
    <x v="1"/>
    <x v="0"/>
    <s v="GTXPro"/>
    <s v="Warephase"/>
    <x v="0"/>
    <d v="2017-06-29T00:00:00"/>
    <x v="190"/>
    <n v="5321"/>
  </r>
  <r>
    <x v="4302"/>
    <x v="1"/>
    <x v="1"/>
    <x v="0"/>
    <s v="MG Special"/>
    <s v="Globex Corporation"/>
    <x v="0"/>
    <d v="2017-06-29T00:00:00"/>
    <x v="189"/>
    <n v="57"/>
  </r>
  <r>
    <x v="4303"/>
    <x v="21"/>
    <x v="5"/>
    <x v="2"/>
    <s v="GTX Plus Basic"/>
    <s v="Kan-code"/>
    <x v="0"/>
    <d v="2017-06-29T00:00:00"/>
    <x v="190"/>
    <n v="950"/>
  </r>
  <r>
    <x v="4304"/>
    <x v="21"/>
    <x v="5"/>
    <x v="2"/>
    <s v="MG Special"/>
    <s v="Mathtouch"/>
    <x v="0"/>
    <d v="2017-06-29T00:00:00"/>
    <x v="167"/>
    <n v="61"/>
  </r>
  <r>
    <x v="4305"/>
    <x v="21"/>
    <x v="5"/>
    <x v="2"/>
    <s v="MG Special"/>
    <s v="Xx-zobam"/>
    <x v="0"/>
    <d v="2017-06-29T00:00:00"/>
    <x v="190"/>
    <n v="62"/>
  </r>
  <r>
    <x v="4306"/>
    <x v="8"/>
    <x v="1"/>
    <x v="0"/>
    <s v="GTX Plus Basic"/>
    <s v="Isdom"/>
    <x v="0"/>
    <d v="2017-06-29T00:00:00"/>
    <x v="191"/>
    <n v="1105"/>
  </r>
  <r>
    <x v="4307"/>
    <x v="29"/>
    <x v="1"/>
    <x v="0"/>
    <s v="GTX Plus Basic"/>
    <s v="Ron-tech"/>
    <x v="0"/>
    <d v="2017-06-29T00:00:00"/>
    <x v="145"/>
    <n v="835"/>
  </r>
  <r>
    <x v="4308"/>
    <x v="16"/>
    <x v="2"/>
    <x v="1"/>
    <s v="GTX Plus Basic"/>
    <s v="Rantouch"/>
    <x v="0"/>
    <d v="2017-06-29T00:00:00"/>
    <x v="146"/>
    <n v="1104"/>
  </r>
  <r>
    <x v="4309"/>
    <x v="16"/>
    <x v="2"/>
    <x v="1"/>
    <s v="MG Advanced"/>
    <s v="Kan-code"/>
    <x v="0"/>
    <d v="2017-06-29T00:00:00"/>
    <x v="158"/>
    <n v="3464"/>
  </r>
  <r>
    <x v="4310"/>
    <x v="18"/>
    <x v="2"/>
    <x v="1"/>
    <s v="GTX Basic"/>
    <m/>
    <x v="1"/>
    <d v="2017-06-29T00:00:00"/>
    <x v="6"/>
    <m/>
  </r>
  <r>
    <x v="4311"/>
    <x v="18"/>
    <x v="2"/>
    <x v="1"/>
    <s v="GTX Basic"/>
    <s v="Sonron"/>
    <x v="2"/>
    <d v="2017-06-29T00:00:00"/>
    <x v="189"/>
    <n v="0"/>
  </r>
  <r>
    <x v="4312"/>
    <x v="24"/>
    <x v="0"/>
    <x v="0"/>
    <s v="MG Special"/>
    <s v="Scottech"/>
    <x v="2"/>
    <d v="2017-06-29T00:00:00"/>
    <x v="159"/>
    <n v="0"/>
  </r>
  <r>
    <x v="4313"/>
    <x v="24"/>
    <x v="0"/>
    <x v="0"/>
    <s v="MG Advanced"/>
    <s v="Streethex"/>
    <x v="2"/>
    <d v="2017-06-29T00:00:00"/>
    <x v="189"/>
    <n v="0"/>
  </r>
  <r>
    <x v="4314"/>
    <x v="5"/>
    <x v="3"/>
    <x v="1"/>
    <s v="GTXPro"/>
    <m/>
    <x v="1"/>
    <d v="2017-06-29T00:00:00"/>
    <x v="6"/>
    <m/>
  </r>
  <r>
    <x v="4315"/>
    <x v="5"/>
    <x v="3"/>
    <x v="1"/>
    <s v="GTX Basic"/>
    <s v="Hottechi"/>
    <x v="2"/>
    <d v="2017-06-29T00:00:00"/>
    <x v="193"/>
    <n v="0"/>
  </r>
  <r>
    <x v="4316"/>
    <x v="5"/>
    <x v="3"/>
    <x v="1"/>
    <s v="MG Special"/>
    <s v="Condax"/>
    <x v="2"/>
    <d v="2017-06-29T00:00:00"/>
    <x v="189"/>
    <n v="0"/>
  </r>
  <r>
    <x v="4317"/>
    <x v="5"/>
    <x v="3"/>
    <x v="1"/>
    <s v="MG Special"/>
    <s v="Singletechno"/>
    <x v="2"/>
    <d v="2017-06-29T00:00:00"/>
    <x v="189"/>
    <n v="0"/>
  </r>
  <r>
    <x v="4318"/>
    <x v="9"/>
    <x v="2"/>
    <x v="1"/>
    <s v="GTXPro"/>
    <s v="Dalttechnology"/>
    <x v="2"/>
    <d v="2017-06-29T00:00:00"/>
    <x v="193"/>
    <n v="0"/>
  </r>
  <r>
    <x v="4319"/>
    <x v="0"/>
    <x v="0"/>
    <x v="0"/>
    <s v="MG Advanced"/>
    <s v="Rundofase"/>
    <x v="0"/>
    <d v="2017-06-29T00:00:00"/>
    <x v="189"/>
    <n v="3676"/>
  </r>
  <r>
    <x v="4320"/>
    <x v="6"/>
    <x v="1"/>
    <x v="0"/>
    <s v="GTXPro"/>
    <s v="Konmatfix"/>
    <x v="2"/>
    <d v="2017-06-29T00:00:00"/>
    <x v="190"/>
    <n v="0"/>
  </r>
  <r>
    <x v="4321"/>
    <x v="6"/>
    <x v="1"/>
    <x v="0"/>
    <s v="GTX Basic"/>
    <s v="Treequote"/>
    <x v="0"/>
    <d v="2017-06-29T00:00:00"/>
    <x v="128"/>
    <n v="568"/>
  </r>
  <r>
    <x v="4322"/>
    <x v="19"/>
    <x v="4"/>
    <x v="2"/>
    <s v="GTXPro"/>
    <s v="Plussunin"/>
    <x v="0"/>
    <d v="2017-06-29T00:00:00"/>
    <x v="192"/>
    <n v="4837"/>
  </r>
  <r>
    <x v="4323"/>
    <x v="11"/>
    <x v="3"/>
    <x v="1"/>
    <s v="GTXPro"/>
    <s v="Sonron"/>
    <x v="0"/>
    <d v="2017-06-29T00:00:00"/>
    <x v="148"/>
    <n v="4936"/>
  </r>
  <r>
    <x v="4324"/>
    <x v="11"/>
    <x v="3"/>
    <x v="1"/>
    <s v="MG Special"/>
    <s v="Groovestreet"/>
    <x v="0"/>
    <d v="2017-06-29T00:00:00"/>
    <x v="142"/>
    <n v="55"/>
  </r>
  <r>
    <x v="4325"/>
    <x v="12"/>
    <x v="0"/>
    <x v="0"/>
    <s v="GTX Basic"/>
    <s v="Konmatfix"/>
    <x v="0"/>
    <d v="2017-06-29T00:00:00"/>
    <x v="193"/>
    <n v="466"/>
  </r>
  <r>
    <x v="4326"/>
    <x v="4"/>
    <x v="3"/>
    <x v="1"/>
    <s v="MG Advanced"/>
    <m/>
    <x v="1"/>
    <d v="2017-06-29T00:00:00"/>
    <x v="6"/>
    <m/>
  </r>
  <r>
    <x v="4327"/>
    <x v="4"/>
    <x v="3"/>
    <x v="1"/>
    <s v="MG Special"/>
    <s v="Finjob"/>
    <x v="2"/>
    <d v="2017-06-29T00:00:00"/>
    <x v="188"/>
    <n v="0"/>
  </r>
  <r>
    <x v="4328"/>
    <x v="4"/>
    <x v="3"/>
    <x v="1"/>
    <s v="GTXPro"/>
    <s v="Newex"/>
    <x v="0"/>
    <d v="2017-06-29T00:00:00"/>
    <x v="187"/>
    <n v="4856"/>
  </r>
  <r>
    <x v="4329"/>
    <x v="4"/>
    <x v="3"/>
    <x v="1"/>
    <s v="MG Advanced"/>
    <s v="Plexzap"/>
    <x v="0"/>
    <d v="2017-06-29T00:00:00"/>
    <x v="190"/>
    <n v="3562"/>
  </r>
  <r>
    <x v="4330"/>
    <x v="15"/>
    <x v="5"/>
    <x v="2"/>
    <s v="GTXPro"/>
    <s v="Mathtouch"/>
    <x v="0"/>
    <d v="2017-06-29T00:00:00"/>
    <x v="192"/>
    <n v="5159"/>
  </r>
  <r>
    <x v="4331"/>
    <x v="15"/>
    <x v="5"/>
    <x v="2"/>
    <s v="MG Advanced"/>
    <s v="Kinnamplus"/>
    <x v="0"/>
    <d v="2017-06-29T00:00:00"/>
    <x v="194"/>
    <n v="3172"/>
  </r>
  <r>
    <x v="4332"/>
    <x v="20"/>
    <x v="5"/>
    <x v="2"/>
    <s v="MG Advanced"/>
    <s v="Kinnamplus"/>
    <x v="0"/>
    <d v="2017-06-29T00:00:00"/>
    <x v="154"/>
    <n v="3350"/>
  </r>
  <r>
    <x v="4333"/>
    <x v="2"/>
    <x v="2"/>
    <x v="1"/>
    <s v="GTX Basic"/>
    <s v="Goodsilron"/>
    <x v="0"/>
    <d v="2017-06-29T00:00:00"/>
    <x v="193"/>
    <n v="595"/>
  </r>
  <r>
    <x v="4334"/>
    <x v="3"/>
    <x v="0"/>
    <x v="0"/>
    <s v="GTX Basic"/>
    <s v="Betatech"/>
    <x v="0"/>
    <d v="2017-06-30T00:00:00"/>
    <x v="173"/>
    <n v="560"/>
  </r>
  <r>
    <x v="4335"/>
    <x v="25"/>
    <x v="4"/>
    <x v="2"/>
    <s v="GTX Plus Basic"/>
    <m/>
    <x v="1"/>
    <d v="2017-06-30T00:00:00"/>
    <x v="6"/>
    <m/>
  </r>
  <r>
    <x v="4336"/>
    <x v="25"/>
    <x v="4"/>
    <x v="2"/>
    <s v="GTX Plus Basic"/>
    <s v="Yearin"/>
    <x v="0"/>
    <d v="2017-06-30T00:00:00"/>
    <x v="185"/>
    <n v="1167"/>
  </r>
  <r>
    <x v="4337"/>
    <x v="23"/>
    <x v="4"/>
    <x v="2"/>
    <s v="GTX Plus Pro"/>
    <s v="Initech"/>
    <x v="2"/>
    <d v="2017-06-30T00:00:00"/>
    <x v="193"/>
    <n v="0"/>
  </r>
  <r>
    <x v="4338"/>
    <x v="23"/>
    <x v="4"/>
    <x v="2"/>
    <s v="MG Advanced"/>
    <s v="Betasoloin"/>
    <x v="0"/>
    <d v="2017-06-30T00:00:00"/>
    <x v="168"/>
    <n v="3280"/>
  </r>
  <r>
    <x v="4339"/>
    <x v="28"/>
    <x v="0"/>
    <x v="0"/>
    <s v="MG Advanced"/>
    <s v="Genco Pura Olive Oil Company"/>
    <x v="0"/>
    <d v="2017-06-30T00:00:00"/>
    <x v="152"/>
    <n v="3427"/>
  </r>
  <r>
    <x v="4340"/>
    <x v="27"/>
    <x v="5"/>
    <x v="2"/>
    <s v="GTX Basic"/>
    <s v="Silis"/>
    <x v="2"/>
    <d v="2017-06-30T00:00:00"/>
    <x v="195"/>
    <n v="0"/>
  </r>
  <r>
    <x v="4341"/>
    <x v="13"/>
    <x v="4"/>
    <x v="2"/>
    <s v="GTX Plus Basic"/>
    <s v="Plussunin"/>
    <x v="2"/>
    <d v="2017-06-30T00:00:00"/>
    <x v="190"/>
    <n v="0"/>
  </r>
  <r>
    <x v="4342"/>
    <x v="13"/>
    <x v="4"/>
    <x v="2"/>
    <s v="GTX Plus Basic"/>
    <s v="Iselectrics"/>
    <x v="0"/>
    <d v="2017-06-30T00:00:00"/>
    <x v="173"/>
    <n v="940"/>
  </r>
  <r>
    <x v="4343"/>
    <x v="1"/>
    <x v="1"/>
    <x v="0"/>
    <s v="GTX Basic"/>
    <s v="Warephase"/>
    <x v="0"/>
    <d v="2017-06-30T00:00:00"/>
    <x v="181"/>
    <n v="565"/>
  </r>
  <r>
    <x v="4344"/>
    <x v="1"/>
    <x v="1"/>
    <x v="0"/>
    <s v="GTXPro"/>
    <s v="Conecom"/>
    <x v="0"/>
    <d v="2017-06-30T00:00:00"/>
    <x v="189"/>
    <n v="4749"/>
  </r>
  <r>
    <x v="4345"/>
    <x v="14"/>
    <x v="3"/>
    <x v="1"/>
    <s v="MG Special"/>
    <s v="Labdrill"/>
    <x v="0"/>
    <d v="2017-06-30T00:00:00"/>
    <x v="192"/>
    <n v="51"/>
  </r>
  <r>
    <x v="4346"/>
    <x v="8"/>
    <x v="1"/>
    <x v="0"/>
    <s v="MG Special"/>
    <s v="Statholdings"/>
    <x v="2"/>
    <d v="2017-06-30T00:00:00"/>
    <x v="146"/>
    <n v="0"/>
  </r>
  <r>
    <x v="4347"/>
    <x v="7"/>
    <x v="2"/>
    <x v="1"/>
    <s v="GTX Plus Basic"/>
    <m/>
    <x v="1"/>
    <d v="2017-06-30T00:00:00"/>
    <x v="6"/>
    <m/>
  </r>
  <r>
    <x v="4348"/>
    <x v="7"/>
    <x v="2"/>
    <x v="1"/>
    <s v="GTXPro"/>
    <s v="Y-corporation"/>
    <x v="2"/>
    <d v="2017-06-30T00:00:00"/>
    <x v="190"/>
    <n v="0"/>
  </r>
  <r>
    <x v="4349"/>
    <x v="29"/>
    <x v="1"/>
    <x v="0"/>
    <s v="GTX Basic"/>
    <s v="Warephase"/>
    <x v="2"/>
    <d v="2017-06-30T00:00:00"/>
    <x v="191"/>
    <n v="0"/>
  </r>
  <r>
    <x v="4350"/>
    <x v="5"/>
    <x v="3"/>
    <x v="1"/>
    <s v="MG Special"/>
    <s v="Doncon"/>
    <x v="2"/>
    <d v="2017-06-30T00:00:00"/>
    <x v="184"/>
    <n v="0"/>
  </r>
  <r>
    <x v="4351"/>
    <x v="22"/>
    <x v="1"/>
    <x v="0"/>
    <s v="MG Advanced"/>
    <s v="Konmatfix"/>
    <x v="0"/>
    <d v="2017-06-30T00:00:00"/>
    <x v="192"/>
    <n v="3699"/>
  </r>
  <r>
    <x v="4352"/>
    <x v="9"/>
    <x v="2"/>
    <x v="1"/>
    <s v="GTX Plus Pro"/>
    <s v="Cheers"/>
    <x v="0"/>
    <d v="2017-06-30T00:00:00"/>
    <x v="191"/>
    <n v="5909"/>
  </r>
  <r>
    <x v="4353"/>
    <x v="0"/>
    <x v="0"/>
    <x v="0"/>
    <s v="GTX Basic"/>
    <s v="Condax"/>
    <x v="2"/>
    <d v="2017-06-30T00:00:00"/>
    <x v="196"/>
    <n v="0"/>
  </r>
  <r>
    <x v="4354"/>
    <x v="6"/>
    <x v="1"/>
    <x v="0"/>
    <s v="GTXPro"/>
    <s v="Dontechi"/>
    <x v="2"/>
    <d v="2017-06-30T00:00:00"/>
    <x v="184"/>
    <n v="0"/>
  </r>
  <r>
    <x v="4355"/>
    <x v="19"/>
    <x v="4"/>
    <x v="2"/>
    <s v="GTX Plus Pro"/>
    <s v="Condax"/>
    <x v="2"/>
    <d v="2017-06-30T00:00:00"/>
    <x v="191"/>
    <n v="0"/>
  </r>
  <r>
    <x v="4356"/>
    <x v="19"/>
    <x v="4"/>
    <x v="2"/>
    <s v="GTX Plus Pro"/>
    <s v="Massive Dynamic"/>
    <x v="0"/>
    <d v="2017-06-30T00:00:00"/>
    <x v="165"/>
    <n v="5927"/>
  </r>
  <r>
    <x v="4357"/>
    <x v="19"/>
    <x v="4"/>
    <x v="2"/>
    <s v="MG Special"/>
    <s v="Bluth Company"/>
    <x v="0"/>
    <d v="2017-06-30T00:00:00"/>
    <x v="153"/>
    <n v="60"/>
  </r>
  <r>
    <x v="4358"/>
    <x v="19"/>
    <x v="4"/>
    <x v="2"/>
    <s v="MG Advanced"/>
    <s v="Zencorporation"/>
    <x v="0"/>
    <d v="2017-06-30T00:00:00"/>
    <x v="194"/>
    <n v="3351"/>
  </r>
  <r>
    <x v="4359"/>
    <x v="11"/>
    <x v="3"/>
    <x v="1"/>
    <s v="MG Special"/>
    <s v="Nam-zim"/>
    <x v="0"/>
    <d v="2017-06-30T00:00:00"/>
    <x v="192"/>
    <n v="64"/>
  </r>
  <r>
    <x v="4360"/>
    <x v="17"/>
    <x v="5"/>
    <x v="2"/>
    <s v="MG Advanced"/>
    <s v="Donquadtech"/>
    <x v="2"/>
    <d v="2017-06-30T00:00:00"/>
    <x v="185"/>
    <n v="0"/>
  </r>
  <r>
    <x v="4361"/>
    <x v="12"/>
    <x v="0"/>
    <x v="0"/>
    <s v="MG Special"/>
    <s v="dambase"/>
    <x v="0"/>
    <d v="2017-06-30T00:00:00"/>
    <x v="194"/>
    <n v="47"/>
  </r>
  <r>
    <x v="4362"/>
    <x v="12"/>
    <x v="0"/>
    <x v="0"/>
    <s v="MG Special"/>
    <s v="Dontechi"/>
    <x v="0"/>
    <d v="2017-06-30T00:00:00"/>
    <x v="184"/>
    <n v="53"/>
  </r>
  <r>
    <x v="4363"/>
    <x v="4"/>
    <x v="3"/>
    <x v="1"/>
    <s v="GTX Basic"/>
    <s v="Y-corporation"/>
    <x v="2"/>
    <d v="2017-06-30T00:00:00"/>
    <x v="195"/>
    <n v="0"/>
  </r>
  <r>
    <x v="4364"/>
    <x v="15"/>
    <x v="5"/>
    <x v="2"/>
    <s v="GTX Basic"/>
    <s v="Acme Corporation"/>
    <x v="2"/>
    <d v="2017-06-30T00:00:00"/>
    <x v="178"/>
    <n v="0"/>
  </r>
  <r>
    <x v="4365"/>
    <x v="25"/>
    <x v="4"/>
    <x v="2"/>
    <s v="GTX Plus Basic"/>
    <s v="Streethex"/>
    <x v="1"/>
    <d v="2017-07-01T00:00:00"/>
    <x v="6"/>
    <m/>
  </r>
  <r>
    <x v="4366"/>
    <x v="25"/>
    <x v="4"/>
    <x v="2"/>
    <s v="GTX Plus Basic"/>
    <s v="Acme Corporation"/>
    <x v="2"/>
    <d v="2017-07-01T00:00:00"/>
    <x v="141"/>
    <n v="0"/>
  </r>
  <r>
    <x v="4367"/>
    <x v="28"/>
    <x v="0"/>
    <x v="0"/>
    <s v="GTX Plus Pro"/>
    <s v="Globex Corporation"/>
    <x v="0"/>
    <d v="2017-07-01T00:00:00"/>
    <x v="194"/>
    <n v="4391"/>
  </r>
  <r>
    <x v="4368"/>
    <x v="27"/>
    <x v="5"/>
    <x v="2"/>
    <s v="GTX Plus Pro"/>
    <m/>
    <x v="1"/>
    <d v="2017-07-01T00:00:00"/>
    <x v="6"/>
    <m/>
  </r>
  <r>
    <x v="4369"/>
    <x v="27"/>
    <x v="5"/>
    <x v="2"/>
    <s v="MG Advanced"/>
    <m/>
    <x v="1"/>
    <d v="2017-07-01T00:00:00"/>
    <x v="6"/>
    <m/>
  </r>
  <r>
    <x v="4370"/>
    <x v="1"/>
    <x v="1"/>
    <x v="0"/>
    <s v="GTX Plus Basic"/>
    <s v="Statholdings"/>
    <x v="0"/>
    <d v="2017-07-01T00:00:00"/>
    <x v="194"/>
    <n v="1308"/>
  </r>
  <r>
    <x v="4371"/>
    <x v="1"/>
    <x v="1"/>
    <x v="0"/>
    <s v="GTXPro"/>
    <s v="Rangreen"/>
    <x v="0"/>
    <d v="2017-07-01T00:00:00"/>
    <x v="178"/>
    <n v="4888"/>
  </r>
  <r>
    <x v="4372"/>
    <x v="26"/>
    <x v="4"/>
    <x v="2"/>
    <s v="GTX Basic"/>
    <s v="Condax"/>
    <x v="0"/>
    <d v="2017-07-01T00:00:00"/>
    <x v="174"/>
    <n v="535"/>
  </r>
  <r>
    <x v="4373"/>
    <x v="14"/>
    <x v="3"/>
    <x v="1"/>
    <s v="GTX Plus Pro"/>
    <s v="Dalttechnology"/>
    <x v="2"/>
    <d v="2017-07-01T00:00:00"/>
    <x v="197"/>
    <n v="0"/>
  </r>
  <r>
    <x v="4374"/>
    <x v="21"/>
    <x v="5"/>
    <x v="2"/>
    <s v="MG Special"/>
    <s v="Betasoloin"/>
    <x v="2"/>
    <d v="2017-07-01T00:00:00"/>
    <x v="169"/>
    <n v="0"/>
  </r>
  <r>
    <x v="4375"/>
    <x v="8"/>
    <x v="1"/>
    <x v="0"/>
    <s v="MG Advanced"/>
    <s v="Isdom"/>
    <x v="0"/>
    <d v="2017-07-01T00:00:00"/>
    <x v="189"/>
    <n v="3252"/>
  </r>
  <r>
    <x v="4376"/>
    <x v="10"/>
    <x v="3"/>
    <x v="1"/>
    <s v="GTX Plus Basic"/>
    <m/>
    <x v="1"/>
    <d v="2017-07-01T00:00:00"/>
    <x v="6"/>
    <m/>
  </r>
  <r>
    <x v="4377"/>
    <x v="29"/>
    <x v="1"/>
    <x v="0"/>
    <s v="GTX Basic"/>
    <s v="Hottechi"/>
    <x v="2"/>
    <d v="2017-07-01T00:00:00"/>
    <x v="186"/>
    <n v="0"/>
  </r>
  <r>
    <x v="4378"/>
    <x v="29"/>
    <x v="1"/>
    <x v="0"/>
    <s v="MG Special"/>
    <s v="Toughzap"/>
    <x v="2"/>
    <d v="2017-07-01T00:00:00"/>
    <x v="151"/>
    <n v="0"/>
  </r>
  <r>
    <x v="4379"/>
    <x v="29"/>
    <x v="1"/>
    <x v="0"/>
    <s v="GTX Basic"/>
    <s v="Scottech"/>
    <x v="0"/>
    <d v="2017-07-01T00:00:00"/>
    <x v="194"/>
    <n v="574"/>
  </r>
  <r>
    <x v="4380"/>
    <x v="29"/>
    <x v="1"/>
    <x v="0"/>
    <s v="GTX Plus Basic"/>
    <s v="Codehow"/>
    <x v="0"/>
    <d v="2017-07-01T00:00:00"/>
    <x v="138"/>
    <n v="1012"/>
  </r>
  <r>
    <x v="4381"/>
    <x v="18"/>
    <x v="2"/>
    <x v="1"/>
    <s v="GTXPro"/>
    <s v="Dalttechnology"/>
    <x v="1"/>
    <d v="2017-07-01T00:00:00"/>
    <x v="6"/>
    <m/>
  </r>
  <r>
    <x v="4382"/>
    <x v="18"/>
    <x v="2"/>
    <x v="1"/>
    <s v="GTX Basic"/>
    <s v="Dalttechnology"/>
    <x v="0"/>
    <d v="2017-07-01T00:00:00"/>
    <x v="191"/>
    <n v="576"/>
  </r>
  <r>
    <x v="4383"/>
    <x v="24"/>
    <x v="0"/>
    <x v="0"/>
    <s v="MG Advanced"/>
    <s v="Isdom"/>
    <x v="2"/>
    <d v="2017-07-01T00:00:00"/>
    <x v="186"/>
    <n v="0"/>
  </r>
  <r>
    <x v="4384"/>
    <x v="5"/>
    <x v="3"/>
    <x v="1"/>
    <s v="MG Special"/>
    <s v="Sonron"/>
    <x v="2"/>
    <d v="2017-07-01T00:00:00"/>
    <x v="186"/>
    <n v="0"/>
  </r>
  <r>
    <x v="4385"/>
    <x v="5"/>
    <x v="3"/>
    <x v="1"/>
    <s v="MG Advanced"/>
    <s v="Hottechi"/>
    <x v="2"/>
    <d v="2017-07-01T00:00:00"/>
    <x v="190"/>
    <n v="0"/>
  </r>
  <r>
    <x v="4386"/>
    <x v="5"/>
    <x v="3"/>
    <x v="1"/>
    <s v="GTX Basic"/>
    <s v="J-Texon"/>
    <x v="0"/>
    <d v="2017-07-01T00:00:00"/>
    <x v="195"/>
    <n v="592"/>
  </r>
  <r>
    <x v="4387"/>
    <x v="5"/>
    <x v="3"/>
    <x v="1"/>
    <s v="GTXPro"/>
    <s v="Doncon"/>
    <x v="0"/>
    <d v="2017-07-01T00:00:00"/>
    <x v="192"/>
    <n v="4859"/>
  </r>
  <r>
    <x v="4388"/>
    <x v="5"/>
    <x v="3"/>
    <x v="1"/>
    <s v="MG Special"/>
    <s v="Green-Plus"/>
    <x v="0"/>
    <d v="2017-07-01T00:00:00"/>
    <x v="185"/>
    <n v="50"/>
  </r>
  <r>
    <x v="4389"/>
    <x v="5"/>
    <x v="3"/>
    <x v="1"/>
    <s v="MG Advanced"/>
    <s v="Konex"/>
    <x v="0"/>
    <d v="2017-07-01T00:00:00"/>
    <x v="182"/>
    <n v="3225"/>
  </r>
  <r>
    <x v="4390"/>
    <x v="22"/>
    <x v="1"/>
    <x v="0"/>
    <s v="GTX Plus Pro"/>
    <s v="Stanredtax"/>
    <x v="0"/>
    <d v="2017-07-01T00:00:00"/>
    <x v="192"/>
    <n v="5422"/>
  </r>
  <r>
    <x v="4391"/>
    <x v="22"/>
    <x v="1"/>
    <x v="0"/>
    <s v="MG Advanced"/>
    <s v="Domzoom"/>
    <x v="0"/>
    <d v="2017-07-01T00:00:00"/>
    <x v="194"/>
    <n v="3657"/>
  </r>
  <r>
    <x v="4392"/>
    <x v="9"/>
    <x v="2"/>
    <x v="1"/>
    <s v="GTX Plus Basic"/>
    <s v="Fasehatice"/>
    <x v="2"/>
    <d v="2017-07-01T00:00:00"/>
    <x v="191"/>
    <n v="0"/>
  </r>
  <r>
    <x v="4393"/>
    <x v="9"/>
    <x v="2"/>
    <x v="1"/>
    <s v="GTX Plus Pro"/>
    <s v="Goodsilron"/>
    <x v="0"/>
    <d v="2017-07-01T00:00:00"/>
    <x v="193"/>
    <n v="4974"/>
  </r>
  <r>
    <x v="4394"/>
    <x v="9"/>
    <x v="2"/>
    <x v="1"/>
    <s v="GTXPro"/>
    <s v="Lexiqvolax"/>
    <x v="0"/>
    <d v="2017-07-01T00:00:00"/>
    <x v="109"/>
    <n v="4689"/>
  </r>
  <r>
    <x v="4395"/>
    <x v="6"/>
    <x v="1"/>
    <x v="0"/>
    <s v="GTX Plus Basic"/>
    <s v="Toughzap"/>
    <x v="2"/>
    <d v="2017-07-01T00:00:00"/>
    <x v="193"/>
    <n v="0"/>
  </r>
  <r>
    <x v="4396"/>
    <x v="6"/>
    <x v="1"/>
    <x v="0"/>
    <s v="MG Special"/>
    <s v="Warephase"/>
    <x v="0"/>
    <d v="2017-07-01T00:00:00"/>
    <x v="195"/>
    <n v="50"/>
  </r>
  <r>
    <x v="4397"/>
    <x v="19"/>
    <x v="4"/>
    <x v="2"/>
    <s v="GTXPro"/>
    <s v="Mathtouch"/>
    <x v="2"/>
    <d v="2017-07-01T00:00:00"/>
    <x v="186"/>
    <n v="0"/>
  </r>
  <r>
    <x v="4398"/>
    <x v="19"/>
    <x v="4"/>
    <x v="2"/>
    <s v="GTXPro"/>
    <s v="Kan-code"/>
    <x v="0"/>
    <d v="2017-07-01T00:00:00"/>
    <x v="147"/>
    <n v="4611"/>
  </r>
  <r>
    <x v="4399"/>
    <x v="17"/>
    <x v="5"/>
    <x v="2"/>
    <s v="MG Advanced"/>
    <m/>
    <x v="1"/>
    <d v="2017-07-01T00:00:00"/>
    <x v="6"/>
    <m/>
  </r>
  <r>
    <x v="4400"/>
    <x v="12"/>
    <x v="0"/>
    <x v="0"/>
    <s v="MG Advanced"/>
    <s v="Stanredtax"/>
    <x v="2"/>
    <d v="2017-07-01T00:00:00"/>
    <x v="198"/>
    <n v="0"/>
  </r>
  <r>
    <x v="4401"/>
    <x v="4"/>
    <x v="3"/>
    <x v="1"/>
    <s v="GTX Basic"/>
    <m/>
    <x v="1"/>
    <d v="2017-07-01T00:00:00"/>
    <x v="6"/>
    <m/>
  </r>
  <r>
    <x v="4402"/>
    <x v="4"/>
    <x v="3"/>
    <x v="1"/>
    <s v="GTX Basic"/>
    <s v="Kan-code"/>
    <x v="0"/>
    <d v="2017-07-01T00:00:00"/>
    <x v="194"/>
    <n v="571"/>
  </r>
  <r>
    <x v="4403"/>
    <x v="15"/>
    <x v="5"/>
    <x v="2"/>
    <s v="MG Special"/>
    <s v="Umbrella Corporation"/>
    <x v="2"/>
    <d v="2017-07-01T00:00:00"/>
    <x v="186"/>
    <n v="0"/>
  </r>
  <r>
    <x v="4404"/>
    <x v="20"/>
    <x v="5"/>
    <x v="2"/>
    <s v="GTX Plus Pro"/>
    <s v="Betasoloin"/>
    <x v="2"/>
    <d v="2017-07-01T00:00:00"/>
    <x v="112"/>
    <n v="0"/>
  </r>
  <r>
    <x v="4405"/>
    <x v="3"/>
    <x v="0"/>
    <x v="0"/>
    <s v="GTX Plus Basic"/>
    <s v="Bioholding"/>
    <x v="2"/>
    <d v="2017-07-02T00:00:00"/>
    <x v="193"/>
    <n v="0"/>
  </r>
  <r>
    <x v="4406"/>
    <x v="3"/>
    <x v="0"/>
    <x v="0"/>
    <s v="MG Advanced"/>
    <s v="Stanredtax"/>
    <x v="2"/>
    <d v="2017-07-02T00:00:00"/>
    <x v="198"/>
    <n v="0"/>
  </r>
  <r>
    <x v="4407"/>
    <x v="3"/>
    <x v="0"/>
    <x v="0"/>
    <s v="GTX Plus Basic"/>
    <s v="Statholdings"/>
    <x v="0"/>
    <d v="2017-07-02T00:00:00"/>
    <x v="192"/>
    <n v="1180"/>
  </r>
  <r>
    <x v="4408"/>
    <x v="25"/>
    <x v="4"/>
    <x v="2"/>
    <s v="GTXPro"/>
    <m/>
    <x v="1"/>
    <d v="2017-07-02T00:00:00"/>
    <x v="6"/>
    <m/>
  </r>
  <r>
    <x v="4409"/>
    <x v="25"/>
    <x v="4"/>
    <x v="2"/>
    <s v="GTX Plus Pro"/>
    <s v="Vehement Capital Partners"/>
    <x v="2"/>
    <d v="2017-07-02T00:00:00"/>
    <x v="180"/>
    <n v="0"/>
  </r>
  <r>
    <x v="4410"/>
    <x v="23"/>
    <x v="4"/>
    <x v="2"/>
    <s v="GTX Basic"/>
    <s v="Bioplex"/>
    <x v="2"/>
    <d v="2017-07-02T00:00:00"/>
    <x v="186"/>
    <n v="0"/>
  </r>
  <r>
    <x v="4411"/>
    <x v="23"/>
    <x v="4"/>
    <x v="2"/>
    <s v="GTX Plus Pro"/>
    <s v="Zathunicon"/>
    <x v="0"/>
    <d v="2017-07-02T00:00:00"/>
    <x v="187"/>
    <n v="5274"/>
  </r>
  <r>
    <x v="4412"/>
    <x v="28"/>
    <x v="0"/>
    <x v="0"/>
    <s v="GTX Basic"/>
    <s v="Rundofase"/>
    <x v="0"/>
    <d v="2017-07-02T00:00:00"/>
    <x v="187"/>
    <n v="480"/>
  </r>
  <r>
    <x v="4413"/>
    <x v="27"/>
    <x v="5"/>
    <x v="2"/>
    <s v="GTXPro"/>
    <m/>
    <x v="1"/>
    <d v="2017-07-02T00:00:00"/>
    <x v="6"/>
    <m/>
  </r>
  <r>
    <x v="4414"/>
    <x v="27"/>
    <x v="5"/>
    <x v="2"/>
    <s v="GTXPro"/>
    <s v="Ontomedia"/>
    <x v="0"/>
    <d v="2017-07-02T00:00:00"/>
    <x v="190"/>
    <n v="4830"/>
  </r>
  <r>
    <x v="4415"/>
    <x v="13"/>
    <x v="4"/>
    <x v="2"/>
    <s v="GTX Plus Basic"/>
    <s v="Condax"/>
    <x v="1"/>
    <d v="2017-07-02T00:00:00"/>
    <x v="6"/>
    <m/>
  </r>
  <r>
    <x v="4416"/>
    <x v="13"/>
    <x v="4"/>
    <x v="2"/>
    <s v="GTX Plus Pro"/>
    <s v="Bluth Company"/>
    <x v="2"/>
    <d v="2017-07-02T00:00:00"/>
    <x v="186"/>
    <n v="0"/>
  </r>
  <r>
    <x v="4417"/>
    <x v="1"/>
    <x v="1"/>
    <x v="0"/>
    <s v="GTX Plus Pro"/>
    <s v="Finhigh"/>
    <x v="0"/>
    <d v="2017-07-02T00:00:00"/>
    <x v="187"/>
    <n v="5333"/>
  </r>
  <r>
    <x v="4418"/>
    <x v="14"/>
    <x v="3"/>
    <x v="1"/>
    <s v="MG Special"/>
    <m/>
    <x v="1"/>
    <d v="2017-07-02T00:00:00"/>
    <x v="6"/>
    <m/>
  </r>
  <r>
    <x v="4419"/>
    <x v="14"/>
    <x v="3"/>
    <x v="1"/>
    <s v="MG Advanced"/>
    <s v="Condax"/>
    <x v="2"/>
    <d v="2017-07-02T00:00:00"/>
    <x v="194"/>
    <n v="0"/>
  </r>
  <r>
    <x v="4420"/>
    <x v="8"/>
    <x v="1"/>
    <x v="0"/>
    <s v="GTX Plus Pro"/>
    <s v="Stanredtax"/>
    <x v="2"/>
    <d v="2017-07-02T00:00:00"/>
    <x v="162"/>
    <n v="0"/>
  </r>
  <r>
    <x v="4421"/>
    <x v="8"/>
    <x v="1"/>
    <x v="0"/>
    <s v="MG Advanced"/>
    <s v="Codehow"/>
    <x v="2"/>
    <d v="2017-07-02T00:00:00"/>
    <x v="186"/>
    <n v="0"/>
  </r>
  <r>
    <x v="4422"/>
    <x v="7"/>
    <x v="2"/>
    <x v="1"/>
    <s v="GTX Plus Pro"/>
    <s v="Hatfan"/>
    <x v="0"/>
    <d v="2017-07-02T00:00:00"/>
    <x v="169"/>
    <n v="6192"/>
  </r>
  <r>
    <x v="4423"/>
    <x v="16"/>
    <x v="2"/>
    <x v="1"/>
    <s v="GTXPro"/>
    <m/>
    <x v="1"/>
    <d v="2017-07-02T00:00:00"/>
    <x v="6"/>
    <m/>
  </r>
  <r>
    <x v="4424"/>
    <x v="16"/>
    <x v="2"/>
    <x v="1"/>
    <s v="GTX Basic"/>
    <s v="Rantouch"/>
    <x v="2"/>
    <d v="2017-07-02T00:00:00"/>
    <x v="122"/>
    <n v="0"/>
  </r>
  <r>
    <x v="4425"/>
    <x v="16"/>
    <x v="2"/>
    <x v="1"/>
    <s v="GTX Basic"/>
    <s v="Plexzap"/>
    <x v="0"/>
    <d v="2017-07-02T00:00:00"/>
    <x v="138"/>
    <n v="490"/>
  </r>
  <r>
    <x v="4426"/>
    <x v="18"/>
    <x v="2"/>
    <x v="1"/>
    <s v="GTX Plus Basic"/>
    <s v="Betasoloin"/>
    <x v="1"/>
    <d v="2017-07-02T00:00:00"/>
    <x v="6"/>
    <m/>
  </r>
  <r>
    <x v="4427"/>
    <x v="24"/>
    <x v="0"/>
    <x v="0"/>
    <s v="GTX Basic"/>
    <s v="Ron-tech"/>
    <x v="2"/>
    <d v="2017-07-02T00:00:00"/>
    <x v="187"/>
    <n v="0"/>
  </r>
  <r>
    <x v="4428"/>
    <x v="5"/>
    <x v="3"/>
    <x v="1"/>
    <s v="GTX Basic"/>
    <s v="Konex"/>
    <x v="2"/>
    <d v="2017-07-02T00:00:00"/>
    <x v="192"/>
    <n v="0"/>
  </r>
  <r>
    <x v="4429"/>
    <x v="6"/>
    <x v="1"/>
    <x v="0"/>
    <s v="GTX Plus Basic"/>
    <s v="Funholding"/>
    <x v="0"/>
    <d v="2017-07-02T00:00:00"/>
    <x v="178"/>
    <n v="1157"/>
  </r>
  <r>
    <x v="4430"/>
    <x v="4"/>
    <x v="3"/>
    <x v="1"/>
    <s v="MG Advanced"/>
    <s v="Fasehatice"/>
    <x v="2"/>
    <d v="2017-07-02T00:00:00"/>
    <x v="159"/>
    <n v="0"/>
  </r>
  <r>
    <x v="4431"/>
    <x v="4"/>
    <x v="3"/>
    <x v="1"/>
    <s v="MG Advanced"/>
    <s v="Lexiqvolax"/>
    <x v="2"/>
    <d v="2017-07-02T00:00:00"/>
    <x v="186"/>
    <n v="0"/>
  </r>
  <r>
    <x v="4432"/>
    <x v="15"/>
    <x v="5"/>
    <x v="2"/>
    <s v="MG Special"/>
    <s v="Yearin"/>
    <x v="0"/>
    <d v="2017-07-02T00:00:00"/>
    <x v="198"/>
    <n v="55"/>
  </r>
  <r>
    <x v="4433"/>
    <x v="2"/>
    <x v="2"/>
    <x v="1"/>
    <s v="MG Advanced"/>
    <s v="Sunnamplex"/>
    <x v="2"/>
    <d v="2017-07-02T00:00:00"/>
    <x v="189"/>
    <n v="0"/>
  </r>
  <r>
    <x v="4434"/>
    <x v="2"/>
    <x v="2"/>
    <x v="1"/>
    <s v="GTXPro"/>
    <s v="Doncon"/>
    <x v="0"/>
    <d v="2017-07-02T00:00:00"/>
    <x v="135"/>
    <n v="4655"/>
  </r>
  <r>
    <x v="4435"/>
    <x v="25"/>
    <x v="4"/>
    <x v="2"/>
    <s v="GTXPro"/>
    <s v="Massive Dynamic"/>
    <x v="0"/>
    <d v="2017-07-03T00:00:00"/>
    <x v="135"/>
    <n v="5833"/>
  </r>
  <r>
    <x v="4436"/>
    <x v="28"/>
    <x v="0"/>
    <x v="0"/>
    <s v="MG Special"/>
    <s v="Condax"/>
    <x v="0"/>
    <d v="2017-07-03T00:00:00"/>
    <x v="178"/>
    <n v="47"/>
  </r>
  <r>
    <x v="4437"/>
    <x v="28"/>
    <x v="0"/>
    <x v="0"/>
    <s v="MG Special"/>
    <s v="Warephase"/>
    <x v="0"/>
    <d v="2017-07-03T00:00:00"/>
    <x v="159"/>
    <n v="51"/>
  </r>
  <r>
    <x v="4438"/>
    <x v="1"/>
    <x v="1"/>
    <x v="0"/>
    <s v="GTXPro"/>
    <s v="Inity"/>
    <x v="2"/>
    <d v="2017-07-03T00:00:00"/>
    <x v="187"/>
    <n v="0"/>
  </r>
  <r>
    <x v="4439"/>
    <x v="1"/>
    <x v="1"/>
    <x v="0"/>
    <s v="MG Advanced"/>
    <s v="Gogozoom"/>
    <x v="2"/>
    <d v="2017-07-03T00:00:00"/>
    <x v="195"/>
    <n v="0"/>
  </r>
  <r>
    <x v="4440"/>
    <x v="26"/>
    <x v="4"/>
    <x v="2"/>
    <s v="GTX Basic"/>
    <s v="Initech"/>
    <x v="2"/>
    <d v="2017-07-03T00:00:00"/>
    <x v="174"/>
    <n v="0"/>
  </r>
  <r>
    <x v="4441"/>
    <x v="26"/>
    <x v="4"/>
    <x v="2"/>
    <s v="GTX Plus Pro"/>
    <s v="Plussunin"/>
    <x v="2"/>
    <d v="2017-07-03T00:00:00"/>
    <x v="154"/>
    <n v="0"/>
  </r>
  <r>
    <x v="4442"/>
    <x v="26"/>
    <x v="4"/>
    <x v="2"/>
    <s v="GTX Basic"/>
    <s v="Kan-code"/>
    <x v="0"/>
    <d v="2017-07-03T00:00:00"/>
    <x v="195"/>
    <n v="540"/>
  </r>
  <r>
    <x v="4443"/>
    <x v="26"/>
    <x v="4"/>
    <x v="2"/>
    <s v="GTX Plus Pro"/>
    <s v="Konex"/>
    <x v="0"/>
    <d v="2017-07-03T00:00:00"/>
    <x v="187"/>
    <n v="4915"/>
  </r>
  <r>
    <x v="4444"/>
    <x v="7"/>
    <x v="2"/>
    <x v="1"/>
    <s v="GTX Plus Pro"/>
    <s v="Rantouch"/>
    <x v="2"/>
    <d v="2017-07-03T00:00:00"/>
    <x v="187"/>
    <n v="0"/>
  </r>
  <r>
    <x v="4445"/>
    <x v="7"/>
    <x v="2"/>
    <x v="1"/>
    <s v="GTX Plus Pro"/>
    <s v="Singletechno"/>
    <x v="2"/>
    <d v="2017-07-03T00:00:00"/>
    <x v="188"/>
    <n v="0"/>
  </r>
  <r>
    <x v="4446"/>
    <x v="7"/>
    <x v="2"/>
    <x v="1"/>
    <s v="GTX Plus Pro"/>
    <s v="Sunnamplex"/>
    <x v="2"/>
    <d v="2017-07-03T00:00:00"/>
    <x v="193"/>
    <n v="0"/>
  </r>
  <r>
    <x v="4447"/>
    <x v="7"/>
    <x v="2"/>
    <x v="1"/>
    <s v="GTX Plus Pro"/>
    <s v="Lexiqvolax"/>
    <x v="0"/>
    <d v="2017-07-03T00:00:00"/>
    <x v="173"/>
    <n v="6693"/>
  </r>
  <r>
    <x v="4448"/>
    <x v="29"/>
    <x v="1"/>
    <x v="0"/>
    <s v="MG Advanced"/>
    <s v="Hottechi"/>
    <x v="0"/>
    <d v="2017-07-03T00:00:00"/>
    <x v="188"/>
    <n v="3101"/>
  </r>
  <r>
    <x v="4449"/>
    <x v="16"/>
    <x v="2"/>
    <x v="1"/>
    <s v="GTX Plus Basic"/>
    <s v="Y-corporation"/>
    <x v="2"/>
    <d v="2017-07-03T00:00:00"/>
    <x v="141"/>
    <n v="0"/>
  </r>
  <r>
    <x v="4450"/>
    <x v="16"/>
    <x v="2"/>
    <x v="1"/>
    <s v="MG Special"/>
    <s v="Hatfan"/>
    <x v="0"/>
    <d v="2017-07-03T00:00:00"/>
    <x v="145"/>
    <n v="56"/>
  </r>
  <r>
    <x v="4451"/>
    <x v="18"/>
    <x v="2"/>
    <x v="1"/>
    <s v="GTX Basic"/>
    <m/>
    <x v="1"/>
    <d v="2017-07-03T00:00:00"/>
    <x v="6"/>
    <m/>
  </r>
  <r>
    <x v="4452"/>
    <x v="18"/>
    <x v="2"/>
    <x v="1"/>
    <s v="GTX Plus Basic"/>
    <s v="Cheers"/>
    <x v="0"/>
    <d v="2017-07-03T00:00:00"/>
    <x v="195"/>
    <n v="935"/>
  </r>
  <r>
    <x v="4453"/>
    <x v="18"/>
    <x v="2"/>
    <x v="1"/>
    <s v="GTX Plus Basic"/>
    <s v="Singletechno"/>
    <x v="0"/>
    <d v="2017-07-03T00:00:00"/>
    <x v="198"/>
    <n v="1133"/>
  </r>
  <r>
    <x v="4454"/>
    <x v="18"/>
    <x v="2"/>
    <x v="1"/>
    <s v="GTXPro"/>
    <s v="Y-corporation"/>
    <x v="0"/>
    <d v="2017-07-03T00:00:00"/>
    <x v="116"/>
    <n v="4904"/>
  </r>
  <r>
    <x v="4455"/>
    <x v="24"/>
    <x v="0"/>
    <x v="0"/>
    <s v="MG Advanced"/>
    <s v="Bioholding"/>
    <x v="0"/>
    <d v="2017-07-03T00:00:00"/>
    <x v="178"/>
    <n v="2857"/>
  </r>
  <r>
    <x v="4456"/>
    <x v="24"/>
    <x v="0"/>
    <x v="0"/>
    <s v="MG Advanced"/>
    <s v="Dontechi"/>
    <x v="0"/>
    <d v="2017-07-03T00:00:00"/>
    <x v="145"/>
    <n v="3118"/>
  </r>
  <r>
    <x v="4457"/>
    <x v="22"/>
    <x v="1"/>
    <x v="0"/>
    <s v="GTX Plus Basic"/>
    <s v="Funholding"/>
    <x v="0"/>
    <d v="2017-07-03T00:00:00"/>
    <x v="194"/>
    <n v="1204"/>
  </r>
  <r>
    <x v="4458"/>
    <x v="9"/>
    <x v="2"/>
    <x v="1"/>
    <s v="MG Advanced"/>
    <s v="Y-corporation"/>
    <x v="2"/>
    <d v="2017-07-03T00:00:00"/>
    <x v="192"/>
    <n v="0"/>
  </r>
  <r>
    <x v="4459"/>
    <x v="0"/>
    <x v="0"/>
    <x v="0"/>
    <s v="GTX Basic"/>
    <s v="Conecom"/>
    <x v="0"/>
    <d v="2017-07-03T00:00:00"/>
    <x v="144"/>
    <n v="376"/>
  </r>
  <r>
    <x v="4460"/>
    <x v="12"/>
    <x v="0"/>
    <x v="0"/>
    <s v="GTX Basic"/>
    <s v="Toughzap"/>
    <x v="0"/>
    <d v="2017-07-03T00:00:00"/>
    <x v="199"/>
    <n v="511"/>
  </r>
  <r>
    <x v="4461"/>
    <x v="4"/>
    <x v="3"/>
    <x v="1"/>
    <s v="GTX Basic"/>
    <s v="Lexiqvolax"/>
    <x v="0"/>
    <d v="2017-07-03T00:00:00"/>
    <x v="200"/>
    <n v="491"/>
  </r>
  <r>
    <x v="4462"/>
    <x v="15"/>
    <x v="5"/>
    <x v="2"/>
    <s v="MG Special"/>
    <s v="Donware"/>
    <x v="2"/>
    <d v="2017-07-03T00:00:00"/>
    <x v="201"/>
    <n v="0"/>
  </r>
  <r>
    <x v="4463"/>
    <x v="20"/>
    <x v="5"/>
    <x v="2"/>
    <s v="MG Advanced"/>
    <s v="Betasoloin"/>
    <x v="2"/>
    <d v="2017-07-03T00:00:00"/>
    <x v="195"/>
    <n v="0"/>
  </r>
  <r>
    <x v="4464"/>
    <x v="20"/>
    <x v="5"/>
    <x v="2"/>
    <s v="MG Advanced"/>
    <s v="Donquadtech"/>
    <x v="0"/>
    <d v="2017-07-03T00:00:00"/>
    <x v="167"/>
    <n v="3101"/>
  </r>
  <r>
    <x v="4465"/>
    <x v="2"/>
    <x v="2"/>
    <x v="1"/>
    <s v="MG Special"/>
    <s v="Y-corporation"/>
    <x v="2"/>
    <d v="2017-07-03T00:00:00"/>
    <x v="161"/>
    <n v="0"/>
  </r>
  <r>
    <x v="4466"/>
    <x v="3"/>
    <x v="0"/>
    <x v="0"/>
    <s v="GTX Plus Pro"/>
    <s v="Cancity"/>
    <x v="2"/>
    <d v="2017-07-04T00:00:00"/>
    <x v="200"/>
    <n v="0"/>
  </r>
  <r>
    <x v="4467"/>
    <x v="3"/>
    <x v="0"/>
    <x v="0"/>
    <s v="MG Special"/>
    <s v="Dontechi"/>
    <x v="0"/>
    <d v="2017-07-04T00:00:00"/>
    <x v="189"/>
    <n v="56"/>
  </r>
  <r>
    <x v="4468"/>
    <x v="23"/>
    <x v="4"/>
    <x v="2"/>
    <s v="GTX Plus Pro"/>
    <s v="Scottech"/>
    <x v="1"/>
    <d v="2017-07-04T00:00:00"/>
    <x v="6"/>
    <m/>
  </r>
  <r>
    <x v="4469"/>
    <x v="23"/>
    <x v="4"/>
    <x v="2"/>
    <s v="GTX Basic"/>
    <s v="Opentech"/>
    <x v="2"/>
    <d v="2017-07-04T00:00:00"/>
    <x v="171"/>
    <n v="0"/>
  </r>
  <r>
    <x v="4470"/>
    <x v="1"/>
    <x v="1"/>
    <x v="0"/>
    <s v="GTX Plus Basic"/>
    <s v="Inity"/>
    <x v="2"/>
    <d v="2017-07-04T00:00:00"/>
    <x v="195"/>
    <n v="0"/>
  </r>
  <r>
    <x v="4471"/>
    <x v="1"/>
    <x v="1"/>
    <x v="0"/>
    <s v="GTX Plus Basic"/>
    <s v="Ron-tech"/>
    <x v="0"/>
    <d v="2017-07-04T00:00:00"/>
    <x v="157"/>
    <n v="1300"/>
  </r>
  <r>
    <x v="4472"/>
    <x v="1"/>
    <x v="1"/>
    <x v="0"/>
    <s v="GTXPro"/>
    <s v="Rundofase"/>
    <x v="0"/>
    <d v="2017-07-04T00:00:00"/>
    <x v="188"/>
    <n v="4544"/>
  </r>
  <r>
    <x v="4473"/>
    <x v="26"/>
    <x v="4"/>
    <x v="2"/>
    <s v="GTX Basic"/>
    <s v="Mathtouch"/>
    <x v="2"/>
    <d v="2017-07-04T00:00:00"/>
    <x v="188"/>
    <n v="0"/>
  </r>
  <r>
    <x v="4474"/>
    <x v="26"/>
    <x v="4"/>
    <x v="2"/>
    <s v="GTX Basic"/>
    <s v="Plussunin"/>
    <x v="2"/>
    <d v="2017-07-04T00:00:00"/>
    <x v="168"/>
    <n v="0"/>
  </r>
  <r>
    <x v="4475"/>
    <x v="26"/>
    <x v="4"/>
    <x v="2"/>
    <s v="GTX Basic"/>
    <s v="Betasoloin"/>
    <x v="0"/>
    <d v="2017-07-04T00:00:00"/>
    <x v="178"/>
    <n v="531"/>
  </r>
  <r>
    <x v="4476"/>
    <x v="26"/>
    <x v="4"/>
    <x v="2"/>
    <s v="GTXPro"/>
    <s v="Bubba Gump"/>
    <x v="0"/>
    <d v="2017-07-04T00:00:00"/>
    <x v="198"/>
    <n v="4669"/>
  </r>
  <r>
    <x v="4477"/>
    <x v="8"/>
    <x v="1"/>
    <x v="0"/>
    <s v="MG Special"/>
    <s v="Inity"/>
    <x v="2"/>
    <d v="2017-07-04T00:00:00"/>
    <x v="197"/>
    <n v="0"/>
  </r>
  <r>
    <x v="4478"/>
    <x v="16"/>
    <x v="2"/>
    <x v="1"/>
    <s v="GTXPro"/>
    <s v="Goodsilron"/>
    <x v="2"/>
    <d v="2017-07-04T00:00:00"/>
    <x v="189"/>
    <n v="0"/>
  </r>
  <r>
    <x v="4479"/>
    <x v="18"/>
    <x v="2"/>
    <x v="1"/>
    <s v="MG Advanced"/>
    <m/>
    <x v="1"/>
    <d v="2017-07-04T00:00:00"/>
    <x v="6"/>
    <m/>
  </r>
  <r>
    <x v="4480"/>
    <x v="18"/>
    <x v="2"/>
    <x v="1"/>
    <s v="GTX Basic"/>
    <s v="Dalttechnology"/>
    <x v="2"/>
    <d v="2017-07-04T00:00:00"/>
    <x v="194"/>
    <n v="0"/>
  </r>
  <r>
    <x v="4481"/>
    <x v="18"/>
    <x v="2"/>
    <x v="1"/>
    <s v="GTX Plus Basic"/>
    <s v="Green-Plus"/>
    <x v="2"/>
    <d v="2017-07-04T00:00:00"/>
    <x v="193"/>
    <n v="0"/>
  </r>
  <r>
    <x v="4482"/>
    <x v="5"/>
    <x v="3"/>
    <x v="1"/>
    <s v="GTX Basic"/>
    <s v="Plexzap"/>
    <x v="2"/>
    <d v="2017-07-04T00:00:00"/>
    <x v="165"/>
    <n v="0"/>
  </r>
  <r>
    <x v="4483"/>
    <x v="9"/>
    <x v="2"/>
    <x v="1"/>
    <s v="MG Special"/>
    <m/>
    <x v="1"/>
    <d v="2017-07-04T00:00:00"/>
    <x v="6"/>
    <m/>
  </r>
  <r>
    <x v="4484"/>
    <x v="0"/>
    <x v="0"/>
    <x v="0"/>
    <s v="MG Special"/>
    <s v="Hottechi"/>
    <x v="2"/>
    <d v="2017-07-04T00:00:00"/>
    <x v="194"/>
    <n v="0"/>
  </r>
  <r>
    <x v="4485"/>
    <x v="0"/>
    <x v="0"/>
    <x v="0"/>
    <s v="GTX Basic"/>
    <s v="Domzoom"/>
    <x v="0"/>
    <d v="2017-07-04T00:00:00"/>
    <x v="174"/>
    <n v="475"/>
  </r>
  <r>
    <x v="4486"/>
    <x v="0"/>
    <x v="0"/>
    <x v="0"/>
    <s v="GTX Plus Basic"/>
    <s v="Ron-tech"/>
    <x v="0"/>
    <d v="2017-07-04T00:00:00"/>
    <x v="188"/>
    <n v="1102"/>
  </r>
  <r>
    <x v="4487"/>
    <x v="0"/>
    <x v="0"/>
    <x v="0"/>
    <s v="MG Special"/>
    <s v="Zumgoity"/>
    <x v="0"/>
    <d v="2017-07-04T00:00:00"/>
    <x v="192"/>
    <n v="55"/>
  </r>
  <r>
    <x v="4488"/>
    <x v="6"/>
    <x v="1"/>
    <x v="0"/>
    <s v="GTX Basic"/>
    <s v="Treequote"/>
    <x v="2"/>
    <d v="2017-07-04T00:00:00"/>
    <x v="202"/>
    <n v="0"/>
  </r>
  <r>
    <x v="4489"/>
    <x v="12"/>
    <x v="0"/>
    <x v="0"/>
    <s v="MG Special"/>
    <s v="Scottech"/>
    <x v="2"/>
    <d v="2017-07-04T00:00:00"/>
    <x v="189"/>
    <n v="0"/>
  </r>
  <r>
    <x v="4490"/>
    <x v="12"/>
    <x v="0"/>
    <x v="0"/>
    <s v="MG Special"/>
    <s v="Cancity"/>
    <x v="0"/>
    <d v="2017-07-04T00:00:00"/>
    <x v="188"/>
    <n v="63"/>
  </r>
  <r>
    <x v="4491"/>
    <x v="4"/>
    <x v="3"/>
    <x v="1"/>
    <s v="MG Advanced"/>
    <s v="Kan-code"/>
    <x v="2"/>
    <d v="2017-07-04T00:00:00"/>
    <x v="195"/>
    <n v="0"/>
  </r>
  <r>
    <x v="4492"/>
    <x v="4"/>
    <x v="3"/>
    <x v="1"/>
    <s v="GTX Plus Pro"/>
    <s v="Plusstrip"/>
    <x v="0"/>
    <d v="2017-07-04T00:00:00"/>
    <x v="200"/>
    <n v="5971"/>
  </r>
  <r>
    <x v="4493"/>
    <x v="20"/>
    <x v="5"/>
    <x v="2"/>
    <s v="GTX Plus Pro"/>
    <s v="Ganjaflex"/>
    <x v="0"/>
    <d v="2017-07-04T00:00:00"/>
    <x v="151"/>
    <n v="5710"/>
  </r>
  <r>
    <x v="4494"/>
    <x v="2"/>
    <x v="2"/>
    <x v="1"/>
    <s v="GTXPro"/>
    <s v="Rantouch"/>
    <x v="2"/>
    <d v="2017-07-04T00:00:00"/>
    <x v="192"/>
    <n v="0"/>
  </r>
  <r>
    <x v="4495"/>
    <x v="2"/>
    <x v="2"/>
    <x v="1"/>
    <s v="MG Special"/>
    <s v="Plexzap"/>
    <x v="0"/>
    <d v="2017-07-04T00:00:00"/>
    <x v="177"/>
    <n v="52"/>
  </r>
  <r>
    <x v="4496"/>
    <x v="3"/>
    <x v="0"/>
    <x v="0"/>
    <s v="GTX Basic"/>
    <s v="Domzoom"/>
    <x v="0"/>
    <d v="2017-07-05T00:00:00"/>
    <x v="146"/>
    <n v="522"/>
  </r>
  <r>
    <x v="4497"/>
    <x v="23"/>
    <x v="4"/>
    <x v="2"/>
    <s v="GTX Basic"/>
    <m/>
    <x v="1"/>
    <d v="2017-07-05T00:00:00"/>
    <x v="6"/>
    <m/>
  </r>
  <r>
    <x v="4498"/>
    <x v="23"/>
    <x v="4"/>
    <x v="2"/>
    <s v="GTX Plus Basic"/>
    <s v="Iselectrics"/>
    <x v="2"/>
    <d v="2017-07-05T00:00:00"/>
    <x v="195"/>
    <n v="0"/>
  </r>
  <r>
    <x v="4499"/>
    <x v="23"/>
    <x v="4"/>
    <x v="2"/>
    <s v="GTX Plus Pro"/>
    <s v="Zathunicon"/>
    <x v="2"/>
    <d v="2017-07-05T00:00:00"/>
    <x v="198"/>
    <n v="0"/>
  </r>
  <r>
    <x v="4500"/>
    <x v="23"/>
    <x v="4"/>
    <x v="2"/>
    <s v="GTX Plus Basic"/>
    <s v="Betasoloin"/>
    <x v="0"/>
    <d v="2017-07-05T00:00:00"/>
    <x v="200"/>
    <n v="1109"/>
  </r>
  <r>
    <x v="4501"/>
    <x v="23"/>
    <x v="4"/>
    <x v="2"/>
    <s v="MG Advanced"/>
    <s v="The New York Inquirer"/>
    <x v="0"/>
    <d v="2017-07-05T00:00:00"/>
    <x v="189"/>
    <n v="3508"/>
  </r>
  <r>
    <x v="4502"/>
    <x v="27"/>
    <x v="5"/>
    <x v="2"/>
    <s v="GTX Plus Pro"/>
    <s v="Bluth Company"/>
    <x v="2"/>
    <d v="2017-07-05T00:00:00"/>
    <x v="200"/>
    <n v="0"/>
  </r>
  <r>
    <x v="4503"/>
    <x v="13"/>
    <x v="4"/>
    <x v="2"/>
    <s v="GTX Plus Basic"/>
    <s v="Plussunin"/>
    <x v="2"/>
    <d v="2017-07-05T00:00:00"/>
    <x v="201"/>
    <n v="0"/>
  </r>
  <r>
    <x v="4504"/>
    <x v="1"/>
    <x v="1"/>
    <x v="0"/>
    <s v="GTXPro"/>
    <s v="Hottechi"/>
    <x v="0"/>
    <d v="2017-07-05T00:00:00"/>
    <x v="175"/>
    <n v="4346"/>
  </r>
  <r>
    <x v="4505"/>
    <x v="26"/>
    <x v="4"/>
    <x v="2"/>
    <s v="GTX Basic"/>
    <s v="Kinnamplus"/>
    <x v="2"/>
    <d v="2017-07-05T00:00:00"/>
    <x v="189"/>
    <n v="0"/>
  </r>
  <r>
    <x v="4506"/>
    <x v="26"/>
    <x v="4"/>
    <x v="2"/>
    <s v="GTXPro"/>
    <s v="Xx-zobam"/>
    <x v="2"/>
    <d v="2017-07-05T00:00:00"/>
    <x v="192"/>
    <n v="0"/>
  </r>
  <r>
    <x v="4507"/>
    <x v="26"/>
    <x v="4"/>
    <x v="2"/>
    <s v="GTXPro"/>
    <s v="Umbrella Corporation"/>
    <x v="0"/>
    <d v="2017-07-05T00:00:00"/>
    <x v="133"/>
    <n v="4565"/>
  </r>
  <r>
    <x v="4508"/>
    <x v="21"/>
    <x v="5"/>
    <x v="2"/>
    <s v="GTX Plus Basic"/>
    <s v="Vehement Capital Partners"/>
    <x v="0"/>
    <d v="2017-07-05T00:00:00"/>
    <x v="181"/>
    <n v="1319"/>
  </r>
  <r>
    <x v="4509"/>
    <x v="7"/>
    <x v="2"/>
    <x v="1"/>
    <s v="GTXPro"/>
    <s v="Hottechi"/>
    <x v="0"/>
    <d v="2017-07-05T00:00:00"/>
    <x v="189"/>
    <n v="5157"/>
  </r>
  <r>
    <x v="4510"/>
    <x v="29"/>
    <x v="1"/>
    <x v="0"/>
    <s v="MG Advanced"/>
    <s v="Dontechi"/>
    <x v="2"/>
    <d v="2017-07-05T00:00:00"/>
    <x v="189"/>
    <n v="0"/>
  </r>
  <r>
    <x v="4511"/>
    <x v="29"/>
    <x v="1"/>
    <x v="0"/>
    <s v="GTXPro"/>
    <s v="Globex Corporation"/>
    <x v="0"/>
    <d v="2017-07-05T00:00:00"/>
    <x v="203"/>
    <n v="4213"/>
  </r>
  <r>
    <x v="4512"/>
    <x v="16"/>
    <x v="2"/>
    <x v="1"/>
    <s v="GTX Basic"/>
    <m/>
    <x v="1"/>
    <d v="2017-07-05T00:00:00"/>
    <x v="6"/>
    <m/>
  </r>
  <r>
    <x v="4513"/>
    <x v="16"/>
    <x v="2"/>
    <x v="1"/>
    <s v="GTX Plus Basic"/>
    <s v="Konex"/>
    <x v="0"/>
    <d v="2017-07-05T00:00:00"/>
    <x v="195"/>
    <n v="1230"/>
  </r>
  <r>
    <x v="4514"/>
    <x v="18"/>
    <x v="2"/>
    <x v="1"/>
    <s v="GTX Plus Pro"/>
    <s v="Dalttechnology"/>
    <x v="1"/>
    <d v="2017-07-05T00:00:00"/>
    <x v="6"/>
    <m/>
  </r>
  <r>
    <x v="4515"/>
    <x v="18"/>
    <x v="2"/>
    <x v="1"/>
    <s v="GTX Basic"/>
    <s v="Sunnamplex"/>
    <x v="0"/>
    <d v="2017-07-05T00:00:00"/>
    <x v="202"/>
    <n v="443"/>
  </r>
  <r>
    <x v="4516"/>
    <x v="18"/>
    <x v="2"/>
    <x v="1"/>
    <s v="GTX Plus Basic"/>
    <s v="Zoomit"/>
    <x v="0"/>
    <d v="2017-07-05T00:00:00"/>
    <x v="168"/>
    <n v="1043"/>
  </r>
  <r>
    <x v="4517"/>
    <x v="24"/>
    <x v="0"/>
    <x v="0"/>
    <s v="GTX Basic"/>
    <s v="dambase"/>
    <x v="2"/>
    <d v="2017-07-05T00:00:00"/>
    <x v="191"/>
    <n v="0"/>
  </r>
  <r>
    <x v="4518"/>
    <x v="5"/>
    <x v="3"/>
    <x v="1"/>
    <s v="MG Special"/>
    <s v="Groovestreet"/>
    <x v="2"/>
    <d v="2017-07-05T00:00:00"/>
    <x v="147"/>
    <n v="0"/>
  </r>
  <r>
    <x v="4519"/>
    <x v="22"/>
    <x v="1"/>
    <x v="0"/>
    <s v="MG Advanced"/>
    <s v="Globex Corporation"/>
    <x v="2"/>
    <d v="2017-07-05T00:00:00"/>
    <x v="198"/>
    <n v="0"/>
  </r>
  <r>
    <x v="4520"/>
    <x v="22"/>
    <x v="1"/>
    <x v="0"/>
    <s v="MG Advanced"/>
    <s v="Codehow"/>
    <x v="0"/>
    <d v="2017-07-05T00:00:00"/>
    <x v="143"/>
    <n v="3458"/>
  </r>
  <r>
    <x v="4521"/>
    <x v="9"/>
    <x v="2"/>
    <x v="1"/>
    <s v="GTX Plus Pro"/>
    <s v="Zoomit"/>
    <x v="2"/>
    <d v="2017-07-05T00:00:00"/>
    <x v="198"/>
    <n v="0"/>
  </r>
  <r>
    <x v="4522"/>
    <x v="11"/>
    <x v="3"/>
    <x v="1"/>
    <s v="MG Special"/>
    <s v="Plusstrip"/>
    <x v="2"/>
    <d v="2017-07-05T00:00:00"/>
    <x v="191"/>
    <n v="0"/>
  </r>
  <r>
    <x v="4523"/>
    <x v="17"/>
    <x v="5"/>
    <x v="2"/>
    <s v="MG Advanced"/>
    <s v="Kinnamplus"/>
    <x v="1"/>
    <d v="2017-07-05T00:00:00"/>
    <x v="6"/>
    <m/>
  </r>
  <r>
    <x v="4524"/>
    <x v="17"/>
    <x v="5"/>
    <x v="2"/>
    <s v="MG Special"/>
    <s v="Kan-code"/>
    <x v="0"/>
    <d v="2017-07-05T00:00:00"/>
    <x v="200"/>
    <n v="58"/>
  </r>
  <r>
    <x v="4525"/>
    <x v="12"/>
    <x v="0"/>
    <x v="0"/>
    <s v="MG Special"/>
    <s v="Codehow"/>
    <x v="2"/>
    <d v="2017-07-05T00:00:00"/>
    <x v="193"/>
    <n v="0"/>
  </r>
  <r>
    <x v="4526"/>
    <x v="4"/>
    <x v="3"/>
    <x v="1"/>
    <s v="GTX Basic"/>
    <s v="Hottechi"/>
    <x v="2"/>
    <d v="2017-07-05T00:00:00"/>
    <x v="189"/>
    <n v="0"/>
  </r>
  <r>
    <x v="4527"/>
    <x v="2"/>
    <x v="2"/>
    <x v="1"/>
    <s v="GTXPro"/>
    <s v="Cheers"/>
    <x v="2"/>
    <d v="2017-07-05T00:00:00"/>
    <x v="203"/>
    <n v="0"/>
  </r>
  <r>
    <x v="4528"/>
    <x v="2"/>
    <x v="2"/>
    <x v="1"/>
    <s v="GTX Basic"/>
    <s v="Y-corporation"/>
    <x v="0"/>
    <d v="2017-07-05T00:00:00"/>
    <x v="170"/>
    <n v="658"/>
  </r>
  <r>
    <x v="4529"/>
    <x v="3"/>
    <x v="0"/>
    <x v="0"/>
    <s v="GTX Plus Pro"/>
    <s v="Treequote"/>
    <x v="2"/>
    <d v="2017-07-06T00:00:00"/>
    <x v="201"/>
    <n v="0"/>
  </r>
  <r>
    <x v="4530"/>
    <x v="23"/>
    <x v="4"/>
    <x v="2"/>
    <s v="GTX Plus Pro"/>
    <s v="Donware"/>
    <x v="2"/>
    <d v="2017-07-06T00:00:00"/>
    <x v="191"/>
    <n v="0"/>
  </r>
  <r>
    <x v="4531"/>
    <x v="23"/>
    <x v="4"/>
    <x v="2"/>
    <s v="GTX Plus Pro"/>
    <s v="Plussunin"/>
    <x v="0"/>
    <d v="2017-07-06T00:00:00"/>
    <x v="139"/>
    <n v="4791"/>
  </r>
  <r>
    <x v="4532"/>
    <x v="28"/>
    <x v="0"/>
    <x v="0"/>
    <s v="GTX Basic"/>
    <s v="Inity"/>
    <x v="0"/>
    <d v="2017-07-06T00:00:00"/>
    <x v="190"/>
    <n v="590"/>
  </r>
  <r>
    <x v="4533"/>
    <x v="28"/>
    <x v="0"/>
    <x v="0"/>
    <s v="GTX Plus Pro"/>
    <s v="Isdom"/>
    <x v="0"/>
    <d v="2017-07-06T00:00:00"/>
    <x v="200"/>
    <n v="5629"/>
  </r>
  <r>
    <x v="4534"/>
    <x v="27"/>
    <x v="5"/>
    <x v="2"/>
    <s v="GTX Plus Basic"/>
    <m/>
    <x v="1"/>
    <d v="2017-07-06T00:00:00"/>
    <x v="6"/>
    <m/>
  </r>
  <r>
    <x v="4535"/>
    <x v="27"/>
    <x v="5"/>
    <x v="2"/>
    <s v="GTXPro"/>
    <s v="Vehement Capital Partners"/>
    <x v="2"/>
    <d v="2017-07-06T00:00:00"/>
    <x v="202"/>
    <n v="0"/>
  </r>
  <r>
    <x v="4536"/>
    <x v="13"/>
    <x v="4"/>
    <x v="2"/>
    <s v="MG Advanced"/>
    <m/>
    <x v="1"/>
    <d v="2017-07-06T00:00:00"/>
    <x v="6"/>
    <m/>
  </r>
  <r>
    <x v="4537"/>
    <x v="13"/>
    <x v="4"/>
    <x v="2"/>
    <s v="GTX Plus Pro"/>
    <s v="Massive Dynamic"/>
    <x v="2"/>
    <d v="2017-07-06T00:00:00"/>
    <x v="204"/>
    <n v="0"/>
  </r>
  <r>
    <x v="4538"/>
    <x v="13"/>
    <x v="4"/>
    <x v="2"/>
    <s v="GTXPro"/>
    <s v="Xx-zobam"/>
    <x v="2"/>
    <d v="2017-07-06T00:00:00"/>
    <x v="191"/>
    <n v="0"/>
  </r>
  <r>
    <x v="4539"/>
    <x v="1"/>
    <x v="1"/>
    <x v="0"/>
    <s v="GTXPro"/>
    <s v="Streethex"/>
    <x v="0"/>
    <d v="2017-07-06T00:00:00"/>
    <x v="158"/>
    <n v="4323"/>
  </r>
  <r>
    <x v="4540"/>
    <x v="1"/>
    <x v="1"/>
    <x v="0"/>
    <s v="GTXPro"/>
    <s v="Treequote"/>
    <x v="0"/>
    <d v="2017-07-06T00:00:00"/>
    <x v="195"/>
    <n v="5085"/>
  </r>
  <r>
    <x v="4541"/>
    <x v="26"/>
    <x v="4"/>
    <x v="2"/>
    <s v="MG Advanced"/>
    <s v="Zotware"/>
    <x v="0"/>
    <d v="2017-07-06T00:00:00"/>
    <x v="203"/>
    <n v="2996"/>
  </r>
  <r>
    <x v="4542"/>
    <x v="21"/>
    <x v="5"/>
    <x v="2"/>
    <s v="GTXPro"/>
    <s v="Condax"/>
    <x v="0"/>
    <d v="2017-07-06T00:00:00"/>
    <x v="200"/>
    <n v="4682"/>
  </r>
  <r>
    <x v="4543"/>
    <x v="10"/>
    <x v="3"/>
    <x v="1"/>
    <s v="MG Advanced"/>
    <s v="Sonron"/>
    <x v="0"/>
    <d v="2017-07-06T00:00:00"/>
    <x v="200"/>
    <n v="3250"/>
  </r>
  <r>
    <x v="4544"/>
    <x v="16"/>
    <x v="2"/>
    <x v="1"/>
    <s v="GTX Basic"/>
    <s v="Green-Plus"/>
    <x v="2"/>
    <d v="2017-07-06T00:00:00"/>
    <x v="195"/>
    <n v="0"/>
  </r>
  <r>
    <x v="4545"/>
    <x v="18"/>
    <x v="2"/>
    <x v="1"/>
    <s v="GTXPro"/>
    <s v="Kan-code"/>
    <x v="2"/>
    <d v="2017-07-06T00:00:00"/>
    <x v="201"/>
    <n v="0"/>
  </r>
  <r>
    <x v="4546"/>
    <x v="18"/>
    <x v="2"/>
    <x v="1"/>
    <s v="GTXPro"/>
    <s v="Kan-code"/>
    <x v="0"/>
    <d v="2017-07-06T00:00:00"/>
    <x v="144"/>
    <n v="5323"/>
  </r>
  <r>
    <x v="4547"/>
    <x v="22"/>
    <x v="1"/>
    <x v="0"/>
    <s v="GTX Basic"/>
    <s v="Condax"/>
    <x v="2"/>
    <d v="2017-07-06T00:00:00"/>
    <x v="191"/>
    <n v="0"/>
  </r>
  <r>
    <x v="4548"/>
    <x v="22"/>
    <x v="1"/>
    <x v="0"/>
    <s v="GTX Plus Pro"/>
    <s v="Funholding"/>
    <x v="0"/>
    <d v="2017-07-06T00:00:00"/>
    <x v="191"/>
    <n v="5966"/>
  </r>
  <r>
    <x v="4549"/>
    <x v="9"/>
    <x v="2"/>
    <x v="1"/>
    <s v="GTXPro"/>
    <m/>
    <x v="1"/>
    <d v="2017-07-06T00:00:00"/>
    <x v="6"/>
    <m/>
  </r>
  <r>
    <x v="4550"/>
    <x v="9"/>
    <x v="2"/>
    <x v="1"/>
    <s v="MG Advanced"/>
    <s v="Labdrill"/>
    <x v="0"/>
    <d v="2017-07-06T00:00:00"/>
    <x v="201"/>
    <n v="3452"/>
  </r>
  <r>
    <x v="4551"/>
    <x v="0"/>
    <x v="0"/>
    <x v="0"/>
    <s v="MG Special"/>
    <s v="Toughzap"/>
    <x v="2"/>
    <d v="2017-07-06T00:00:00"/>
    <x v="203"/>
    <n v="0"/>
  </r>
  <r>
    <x v="4552"/>
    <x v="0"/>
    <x v="0"/>
    <x v="0"/>
    <s v="MG Advanced"/>
    <s v="Stanredtax"/>
    <x v="2"/>
    <d v="2017-07-06T00:00:00"/>
    <x v="198"/>
    <n v="0"/>
  </r>
  <r>
    <x v="4553"/>
    <x v="11"/>
    <x v="3"/>
    <x v="1"/>
    <s v="GTX Basic"/>
    <s v="Labdrill"/>
    <x v="2"/>
    <d v="2017-07-06T00:00:00"/>
    <x v="194"/>
    <n v="0"/>
  </r>
  <r>
    <x v="4554"/>
    <x v="4"/>
    <x v="3"/>
    <x v="1"/>
    <s v="GTX Basic"/>
    <s v="Faxquote"/>
    <x v="0"/>
    <d v="2017-07-06T00:00:00"/>
    <x v="198"/>
    <n v="583"/>
  </r>
  <r>
    <x v="4555"/>
    <x v="15"/>
    <x v="5"/>
    <x v="2"/>
    <s v="MG Special"/>
    <s v="Ontomedia"/>
    <x v="2"/>
    <d v="2017-07-06T00:00:00"/>
    <x v="201"/>
    <n v="0"/>
  </r>
  <r>
    <x v="4556"/>
    <x v="2"/>
    <x v="2"/>
    <x v="1"/>
    <s v="GTX Plus Basic"/>
    <s v="Goodsilron"/>
    <x v="2"/>
    <d v="2017-07-06T00:00:00"/>
    <x v="198"/>
    <n v="0"/>
  </r>
  <r>
    <x v="4557"/>
    <x v="2"/>
    <x v="2"/>
    <x v="1"/>
    <s v="GTX Basic"/>
    <s v="J-Texon"/>
    <x v="0"/>
    <d v="2017-07-06T00:00:00"/>
    <x v="173"/>
    <n v="507"/>
  </r>
  <r>
    <x v="4558"/>
    <x v="3"/>
    <x v="0"/>
    <x v="0"/>
    <s v="GTX Basic"/>
    <s v="Inity"/>
    <x v="2"/>
    <d v="2017-07-07T00:00:00"/>
    <x v="202"/>
    <n v="0"/>
  </r>
  <r>
    <x v="4559"/>
    <x v="3"/>
    <x v="0"/>
    <x v="0"/>
    <s v="MG Special"/>
    <s v="Rangreen"/>
    <x v="2"/>
    <d v="2017-07-07T00:00:00"/>
    <x v="198"/>
    <n v="0"/>
  </r>
  <r>
    <x v="4560"/>
    <x v="25"/>
    <x v="4"/>
    <x v="2"/>
    <s v="GTXPro"/>
    <m/>
    <x v="1"/>
    <d v="2017-07-07T00:00:00"/>
    <x v="6"/>
    <m/>
  </r>
  <r>
    <x v="4561"/>
    <x v="25"/>
    <x v="4"/>
    <x v="2"/>
    <s v="GTX Basic"/>
    <s v="Betasoloin"/>
    <x v="0"/>
    <d v="2017-07-07T00:00:00"/>
    <x v="192"/>
    <n v="574"/>
  </r>
  <r>
    <x v="4562"/>
    <x v="23"/>
    <x v="4"/>
    <x v="2"/>
    <s v="GTX Plus Basic"/>
    <s v="Umbrella Corporation"/>
    <x v="1"/>
    <d v="2017-07-07T00:00:00"/>
    <x v="6"/>
    <m/>
  </r>
  <r>
    <x v="4563"/>
    <x v="23"/>
    <x v="4"/>
    <x v="2"/>
    <s v="MG Special"/>
    <s v="Opentech"/>
    <x v="0"/>
    <d v="2017-07-07T00:00:00"/>
    <x v="167"/>
    <n v="48"/>
  </r>
  <r>
    <x v="4564"/>
    <x v="28"/>
    <x v="0"/>
    <x v="0"/>
    <s v="MG Special"/>
    <s v="Statholdings"/>
    <x v="2"/>
    <d v="2017-07-07T00:00:00"/>
    <x v="203"/>
    <n v="0"/>
  </r>
  <r>
    <x v="4565"/>
    <x v="28"/>
    <x v="0"/>
    <x v="0"/>
    <s v="GTX Basic"/>
    <s v="Isdom"/>
    <x v="0"/>
    <d v="2017-07-07T00:00:00"/>
    <x v="202"/>
    <n v="458"/>
  </r>
  <r>
    <x v="4566"/>
    <x v="28"/>
    <x v="0"/>
    <x v="0"/>
    <s v="GTX Plus Pro"/>
    <s v="Codehow"/>
    <x v="0"/>
    <d v="2017-07-07T00:00:00"/>
    <x v="153"/>
    <n v="5455"/>
  </r>
  <r>
    <x v="4567"/>
    <x v="27"/>
    <x v="5"/>
    <x v="2"/>
    <s v="GTX Basic"/>
    <s v="Silis"/>
    <x v="2"/>
    <d v="2017-07-07T00:00:00"/>
    <x v="200"/>
    <n v="0"/>
  </r>
  <r>
    <x v="4568"/>
    <x v="27"/>
    <x v="5"/>
    <x v="2"/>
    <s v="GTX Plus Pro"/>
    <s v="Kan-code"/>
    <x v="0"/>
    <d v="2017-07-07T00:00:00"/>
    <x v="180"/>
    <n v="5666"/>
  </r>
  <r>
    <x v="4569"/>
    <x v="13"/>
    <x v="4"/>
    <x v="2"/>
    <s v="GTX Plus Basic"/>
    <s v="Bluth Company"/>
    <x v="0"/>
    <d v="2017-07-07T00:00:00"/>
    <x v="192"/>
    <n v="1107"/>
  </r>
  <r>
    <x v="4570"/>
    <x v="13"/>
    <x v="4"/>
    <x v="2"/>
    <s v="GTXPro"/>
    <s v="Acme Corporation"/>
    <x v="0"/>
    <d v="2017-07-07T00:00:00"/>
    <x v="190"/>
    <n v="4089"/>
  </r>
  <r>
    <x v="4571"/>
    <x v="26"/>
    <x v="4"/>
    <x v="2"/>
    <s v="GTX Basic"/>
    <s v="Ontomedia"/>
    <x v="0"/>
    <d v="2017-07-07T00:00:00"/>
    <x v="166"/>
    <n v="498"/>
  </r>
  <r>
    <x v="4572"/>
    <x v="14"/>
    <x v="3"/>
    <x v="1"/>
    <s v="MG Advanced"/>
    <s v="Hatfan"/>
    <x v="2"/>
    <d v="2017-07-07T00:00:00"/>
    <x v="167"/>
    <n v="0"/>
  </r>
  <r>
    <x v="4573"/>
    <x v="29"/>
    <x v="1"/>
    <x v="0"/>
    <s v="MG Special"/>
    <s v="Dontechi"/>
    <x v="0"/>
    <d v="2017-07-07T00:00:00"/>
    <x v="194"/>
    <n v="64"/>
  </r>
  <r>
    <x v="4574"/>
    <x v="16"/>
    <x v="2"/>
    <x v="1"/>
    <s v="MG Advanced"/>
    <s v="Xx-holding"/>
    <x v="2"/>
    <d v="2017-07-07T00:00:00"/>
    <x v="192"/>
    <n v="0"/>
  </r>
  <r>
    <x v="4575"/>
    <x v="18"/>
    <x v="2"/>
    <x v="1"/>
    <s v="GTX Plus Pro"/>
    <s v="Conecom"/>
    <x v="1"/>
    <d v="2017-07-07T00:00:00"/>
    <x v="6"/>
    <m/>
  </r>
  <r>
    <x v="4576"/>
    <x v="18"/>
    <x v="2"/>
    <x v="1"/>
    <s v="GTX Basic"/>
    <s v="Konex"/>
    <x v="2"/>
    <d v="2017-07-07T00:00:00"/>
    <x v="192"/>
    <n v="0"/>
  </r>
  <r>
    <x v="4577"/>
    <x v="18"/>
    <x v="2"/>
    <x v="1"/>
    <s v="GTX Basic"/>
    <s v="Finjob"/>
    <x v="0"/>
    <d v="2017-07-07T00:00:00"/>
    <x v="192"/>
    <n v="565"/>
  </r>
  <r>
    <x v="4578"/>
    <x v="18"/>
    <x v="2"/>
    <x v="1"/>
    <s v="GTX Basic"/>
    <s v="Kan-code"/>
    <x v="0"/>
    <d v="2017-07-07T00:00:00"/>
    <x v="203"/>
    <n v="579"/>
  </r>
  <r>
    <x v="4579"/>
    <x v="24"/>
    <x v="0"/>
    <x v="0"/>
    <s v="MG Special"/>
    <s v="Hottechi"/>
    <x v="0"/>
    <d v="2017-07-07T00:00:00"/>
    <x v="171"/>
    <n v="56"/>
  </r>
  <r>
    <x v="4580"/>
    <x v="5"/>
    <x v="3"/>
    <x v="1"/>
    <s v="GTXPro"/>
    <s v="Scotfind"/>
    <x v="0"/>
    <d v="2017-07-07T00:00:00"/>
    <x v="157"/>
    <n v="4063"/>
  </r>
  <r>
    <x v="4581"/>
    <x v="22"/>
    <x v="1"/>
    <x v="0"/>
    <s v="GTX Plus Basic"/>
    <s v="Inity"/>
    <x v="0"/>
    <d v="2017-07-07T00:00:00"/>
    <x v="203"/>
    <n v="1193"/>
  </r>
  <r>
    <x v="4582"/>
    <x v="0"/>
    <x v="0"/>
    <x v="0"/>
    <s v="GTX Basic"/>
    <s v="Scottech"/>
    <x v="2"/>
    <d v="2017-07-07T00:00:00"/>
    <x v="202"/>
    <n v="0"/>
  </r>
  <r>
    <x v="4583"/>
    <x v="6"/>
    <x v="1"/>
    <x v="0"/>
    <s v="GTX Plus Basic"/>
    <s v="Betatech"/>
    <x v="0"/>
    <d v="2017-07-07T00:00:00"/>
    <x v="194"/>
    <n v="1088"/>
  </r>
  <r>
    <x v="4584"/>
    <x v="19"/>
    <x v="4"/>
    <x v="2"/>
    <s v="GTX Plus Basic"/>
    <s v="Xx-zobam"/>
    <x v="2"/>
    <d v="2017-07-07T00:00:00"/>
    <x v="180"/>
    <n v="0"/>
  </r>
  <r>
    <x v="4585"/>
    <x v="11"/>
    <x v="3"/>
    <x v="1"/>
    <s v="MG Special"/>
    <s v="Xx-holding"/>
    <x v="0"/>
    <d v="2017-07-07T00:00:00"/>
    <x v="171"/>
    <n v="58"/>
  </r>
  <r>
    <x v="4586"/>
    <x v="17"/>
    <x v="5"/>
    <x v="2"/>
    <s v="GTX Plus Pro"/>
    <m/>
    <x v="1"/>
    <d v="2017-07-07T00:00:00"/>
    <x v="6"/>
    <m/>
  </r>
  <r>
    <x v="4587"/>
    <x v="4"/>
    <x v="3"/>
    <x v="1"/>
    <s v="MG Advanced"/>
    <s v="Golddex"/>
    <x v="2"/>
    <d v="2017-07-07T00:00:00"/>
    <x v="192"/>
    <n v="0"/>
  </r>
  <r>
    <x v="4588"/>
    <x v="4"/>
    <x v="3"/>
    <x v="1"/>
    <s v="GTX Plus Pro"/>
    <s v="Green-Plus"/>
    <x v="0"/>
    <d v="2017-07-07T00:00:00"/>
    <x v="198"/>
    <n v="4466"/>
  </r>
  <r>
    <x v="4589"/>
    <x v="15"/>
    <x v="5"/>
    <x v="2"/>
    <s v="MG Special"/>
    <m/>
    <x v="1"/>
    <d v="2017-07-07T00:00:00"/>
    <x v="6"/>
    <m/>
  </r>
  <r>
    <x v="4590"/>
    <x v="15"/>
    <x v="5"/>
    <x v="2"/>
    <s v="GTX Basic"/>
    <s v="Kinnamplus"/>
    <x v="2"/>
    <d v="2017-07-07T00:00:00"/>
    <x v="200"/>
    <n v="0"/>
  </r>
  <r>
    <x v="4591"/>
    <x v="15"/>
    <x v="5"/>
    <x v="2"/>
    <s v="MG Advanced"/>
    <s v="Xx-zobam"/>
    <x v="2"/>
    <d v="2017-07-07T00:00:00"/>
    <x v="202"/>
    <n v="0"/>
  </r>
  <r>
    <x v="4592"/>
    <x v="3"/>
    <x v="0"/>
    <x v="0"/>
    <s v="MG Special"/>
    <s v="Gogozoom"/>
    <x v="0"/>
    <d v="2017-07-08T00:00:00"/>
    <x v="205"/>
    <n v="55"/>
  </r>
  <r>
    <x v="4593"/>
    <x v="25"/>
    <x v="4"/>
    <x v="2"/>
    <s v="GTX Basic"/>
    <s v="Finhigh"/>
    <x v="1"/>
    <d v="2017-07-08T00:00:00"/>
    <x v="6"/>
    <m/>
  </r>
  <r>
    <x v="4594"/>
    <x v="23"/>
    <x v="4"/>
    <x v="2"/>
    <s v="GTX Plus Basic"/>
    <s v="Donware"/>
    <x v="2"/>
    <d v="2017-07-08T00:00:00"/>
    <x v="202"/>
    <n v="0"/>
  </r>
  <r>
    <x v="4595"/>
    <x v="23"/>
    <x v="4"/>
    <x v="2"/>
    <s v="GTX Plus Basic"/>
    <s v="Konex"/>
    <x v="0"/>
    <d v="2017-07-08T00:00:00"/>
    <x v="201"/>
    <n v="861"/>
  </r>
  <r>
    <x v="4596"/>
    <x v="27"/>
    <x v="5"/>
    <x v="2"/>
    <s v="GTX Basic"/>
    <s v="Acme Corporation"/>
    <x v="1"/>
    <d v="2017-07-08T00:00:00"/>
    <x v="6"/>
    <m/>
  </r>
  <r>
    <x v="4597"/>
    <x v="27"/>
    <x v="5"/>
    <x v="2"/>
    <s v="MG Advanced"/>
    <s v="Plussunin"/>
    <x v="2"/>
    <d v="2017-07-08T00:00:00"/>
    <x v="192"/>
    <n v="0"/>
  </r>
  <r>
    <x v="4598"/>
    <x v="27"/>
    <x v="5"/>
    <x v="2"/>
    <s v="GTXPro"/>
    <s v="Umbrella Corporation"/>
    <x v="0"/>
    <d v="2017-07-08T00:00:00"/>
    <x v="206"/>
    <n v="5137"/>
  </r>
  <r>
    <x v="4599"/>
    <x v="1"/>
    <x v="1"/>
    <x v="0"/>
    <s v="MG Special"/>
    <s v="Betatech"/>
    <x v="0"/>
    <d v="2017-07-08T00:00:00"/>
    <x v="201"/>
    <n v="54"/>
  </r>
  <r>
    <x v="4600"/>
    <x v="26"/>
    <x v="4"/>
    <x v="2"/>
    <s v="GTX Plus Basic"/>
    <s v="Kinnamplus"/>
    <x v="0"/>
    <d v="2017-07-08T00:00:00"/>
    <x v="200"/>
    <n v="1020"/>
  </r>
  <r>
    <x v="4601"/>
    <x v="26"/>
    <x v="4"/>
    <x v="2"/>
    <s v="GTX Plus Basic"/>
    <s v="Yearin"/>
    <x v="0"/>
    <d v="2017-07-08T00:00:00"/>
    <x v="183"/>
    <n v="1136"/>
  </r>
  <r>
    <x v="4602"/>
    <x v="26"/>
    <x v="4"/>
    <x v="2"/>
    <s v="MG Special"/>
    <s v="Konex"/>
    <x v="0"/>
    <d v="2017-07-08T00:00:00"/>
    <x v="200"/>
    <n v="55"/>
  </r>
  <r>
    <x v="4603"/>
    <x v="14"/>
    <x v="3"/>
    <x v="1"/>
    <s v="GTXPro"/>
    <s v="Groovestreet"/>
    <x v="0"/>
    <d v="2017-07-08T00:00:00"/>
    <x v="172"/>
    <n v="5097"/>
  </r>
  <r>
    <x v="4604"/>
    <x v="21"/>
    <x v="5"/>
    <x v="2"/>
    <s v="GTX Basic"/>
    <s v="Kinnamplus"/>
    <x v="0"/>
    <d v="2017-07-08T00:00:00"/>
    <x v="192"/>
    <n v="483"/>
  </r>
  <r>
    <x v="4605"/>
    <x v="7"/>
    <x v="2"/>
    <x v="1"/>
    <s v="GTX Basic"/>
    <m/>
    <x v="1"/>
    <d v="2017-07-08T00:00:00"/>
    <x v="6"/>
    <m/>
  </r>
  <r>
    <x v="4606"/>
    <x v="7"/>
    <x v="2"/>
    <x v="1"/>
    <s v="GTX Basic"/>
    <s v="Zoomit"/>
    <x v="0"/>
    <d v="2017-07-08T00:00:00"/>
    <x v="175"/>
    <n v="587"/>
  </r>
  <r>
    <x v="4607"/>
    <x v="7"/>
    <x v="2"/>
    <x v="1"/>
    <s v="GTX Plus Pro"/>
    <s v="Kan-code"/>
    <x v="0"/>
    <d v="2017-07-08T00:00:00"/>
    <x v="201"/>
    <n v="5284"/>
  </r>
  <r>
    <x v="4608"/>
    <x v="29"/>
    <x v="1"/>
    <x v="0"/>
    <s v="GTX Basic"/>
    <s v="Scottech"/>
    <x v="2"/>
    <d v="2017-07-08T00:00:00"/>
    <x v="192"/>
    <n v="0"/>
  </r>
  <r>
    <x v="4609"/>
    <x v="29"/>
    <x v="1"/>
    <x v="0"/>
    <s v="GTX Basic"/>
    <s v="Warephase"/>
    <x v="2"/>
    <d v="2017-07-08T00:00:00"/>
    <x v="158"/>
    <n v="0"/>
  </r>
  <r>
    <x v="4610"/>
    <x v="18"/>
    <x v="2"/>
    <x v="1"/>
    <s v="MG Advanced"/>
    <s v="Y-corporation"/>
    <x v="2"/>
    <d v="2017-07-08T00:00:00"/>
    <x v="183"/>
    <n v="0"/>
  </r>
  <r>
    <x v="4611"/>
    <x v="18"/>
    <x v="2"/>
    <x v="1"/>
    <s v="GTX Plus Basic"/>
    <s v="Green-Plus"/>
    <x v="0"/>
    <d v="2017-07-08T00:00:00"/>
    <x v="192"/>
    <n v="993"/>
  </r>
  <r>
    <x v="4612"/>
    <x v="5"/>
    <x v="3"/>
    <x v="1"/>
    <s v="GTX Basic"/>
    <s v="Groovestreet"/>
    <x v="2"/>
    <d v="2017-07-08T00:00:00"/>
    <x v="202"/>
    <n v="0"/>
  </r>
  <r>
    <x v="4613"/>
    <x v="9"/>
    <x v="2"/>
    <x v="1"/>
    <s v="GTXPro"/>
    <s v="Finjob"/>
    <x v="0"/>
    <d v="2017-07-08T00:00:00"/>
    <x v="165"/>
    <n v="4642"/>
  </r>
  <r>
    <x v="4614"/>
    <x v="19"/>
    <x v="4"/>
    <x v="2"/>
    <s v="GTXPro"/>
    <s v="Umbrella Corporation"/>
    <x v="2"/>
    <d v="2017-07-08T00:00:00"/>
    <x v="203"/>
    <n v="0"/>
  </r>
  <r>
    <x v="4615"/>
    <x v="19"/>
    <x v="4"/>
    <x v="2"/>
    <s v="GTXPro"/>
    <s v="Kan-code"/>
    <x v="0"/>
    <d v="2017-07-08T00:00:00"/>
    <x v="202"/>
    <n v="4530"/>
  </r>
  <r>
    <x v="4616"/>
    <x v="11"/>
    <x v="3"/>
    <x v="1"/>
    <s v="MG Special"/>
    <s v="Y-corporation"/>
    <x v="2"/>
    <d v="2017-07-08T00:00:00"/>
    <x v="193"/>
    <n v="0"/>
  </r>
  <r>
    <x v="4617"/>
    <x v="17"/>
    <x v="5"/>
    <x v="2"/>
    <s v="MG Advanced"/>
    <s v="Xx-zobam"/>
    <x v="0"/>
    <d v="2017-07-08T00:00:00"/>
    <x v="192"/>
    <n v="3569"/>
  </r>
  <r>
    <x v="4618"/>
    <x v="4"/>
    <x v="3"/>
    <x v="1"/>
    <s v="MG Advanced"/>
    <s v="Hottechi"/>
    <x v="0"/>
    <d v="2017-07-08T00:00:00"/>
    <x v="159"/>
    <n v="3276"/>
  </r>
  <r>
    <x v="4619"/>
    <x v="15"/>
    <x v="5"/>
    <x v="2"/>
    <s v="GTX Plus Basic"/>
    <m/>
    <x v="1"/>
    <d v="2017-07-08T00:00:00"/>
    <x v="6"/>
    <m/>
  </r>
  <r>
    <x v="4620"/>
    <x v="15"/>
    <x v="5"/>
    <x v="2"/>
    <s v="MG Special"/>
    <s v="Plussunin"/>
    <x v="1"/>
    <d v="2017-07-08T00:00:00"/>
    <x v="6"/>
    <m/>
  </r>
  <r>
    <x v="4621"/>
    <x v="15"/>
    <x v="5"/>
    <x v="2"/>
    <s v="MG Advanced"/>
    <s v="Mathtouch"/>
    <x v="2"/>
    <d v="2017-07-08T00:00:00"/>
    <x v="193"/>
    <n v="0"/>
  </r>
  <r>
    <x v="4622"/>
    <x v="2"/>
    <x v="2"/>
    <x v="1"/>
    <s v="GTX Basic"/>
    <s v="Finjob"/>
    <x v="2"/>
    <d v="2017-07-08T00:00:00"/>
    <x v="201"/>
    <n v="0"/>
  </r>
  <r>
    <x v="4623"/>
    <x v="2"/>
    <x v="2"/>
    <x v="1"/>
    <s v="GTX Plus Basic"/>
    <s v="Green-Plus"/>
    <x v="2"/>
    <d v="2017-07-08T00:00:00"/>
    <x v="201"/>
    <n v="0"/>
  </r>
  <r>
    <x v="4624"/>
    <x v="2"/>
    <x v="2"/>
    <x v="1"/>
    <s v="GTX Plus Pro"/>
    <s v="Doncon"/>
    <x v="2"/>
    <d v="2017-07-08T00:00:00"/>
    <x v="203"/>
    <n v="0"/>
  </r>
  <r>
    <x v="4625"/>
    <x v="2"/>
    <x v="2"/>
    <x v="1"/>
    <s v="GTX Plus Pro"/>
    <s v="Rantouch"/>
    <x v="2"/>
    <d v="2017-07-08T00:00:00"/>
    <x v="202"/>
    <n v="0"/>
  </r>
  <r>
    <x v="4626"/>
    <x v="2"/>
    <x v="2"/>
    <x v="1"/>
    <s v="GTXPro"/>
    <s v="Hatfan"/>
    <x v="2"/>
    <d v="2017-07-08T00:00:00"/>
    <x v="207"/>
    <n v="0"/>
  </r>
  <r>
    <x v="4627"/>
    <x v="2"/>
    <x v="2"/>
    <x v="1"/>
    <s v="GTX Plus Pro"/>
    <s v="Kan-code"/>
    <x v="0"/>
    <d v="2017-07-08T00:00:00"/>
    <x v="203"/>
    <n v="5576"/>
  </r>
  <r>
    <x v="4628"/>
    <x v="3"/>
    <x v="0"/>
    <x v="0"/>
    <s v="GTX Basic"/>
    <s v="Genco Pura Olive Oil Company"/>
    <x v="0"/>
    <d v="2017-07-09T00:00:00"/>
    <x v="169"/>
    <n v="460"/>
  </r>
  <r>
    <x v="4629"/>
    <x v="25"/>
    <x v="4"/>
    <x v="2"/>
    <s v="GTX Basic"/>
    <s v="Zathunicon"/>
    <x v="0"/>
    <d v="2017-07-09T00:00:00"/>
    <x v="201"/>
    <n v="457"/>
  </r>
  <r>
    <x v="4630"/>
    <x v="23"/>
    <x v="4"/>
    <x v="2"/>
    <s v="GTX Plus Pro"/>
    <m/>
    <x v="1"/>
    <d v="2017-07-09T00:00:00"/>
    <x v="6"/>
    <m/>
  </r>
  <r>
    <x v="4631"/>
    <x v="23"/>
    <x v="4"/>
    <x v="2"/>
    <s v="MG Advanced"/>
    <s v="Silis"/>
    <x v="2"/>
    <d v="2017-07-09T00:00:00"/>
    <x v="202"/>
    <n v="0"/>
  </r>
  <r>
    <x v="4632"/>
    <x v="27"/>
    <x v="5"/>
    <x v="2"/>
    <s v="GTX Basic"/>
    <s v="Gekko &amp; Co"/>
    <x v="0"/>
    <d v="2017-07-09T00:00:00"/>
    <x v="193"/>
    <n v="665"/>
  </r>
  <r>
    <x v="4633"/>
    <x v="27"/>
    <x v="5"/>
    <x v="2"/>
    <s v="GTX Plus Basic"/>
    <s v="Zathunicon"/>
    <x v="0"/>
    <d v="2017-07-09T00:00:00"/>
    <x v="202"/>
    <n v="1122"/>
  </r>
  <r>
    <x v="4634"/>
    <x v="27"/>
    <x v="5"/>
    <x v="2"/>
    <s v="GTX Plus Pro"/>
    <s v="Umbrella Corporation"/>
    <x v="0"/>
    <d v="2017-07-09T00:00:00"/>
    <x v="204"/>
    <n v="5578"/>
  </r>
  <r>
    <x v="4635"/>
    <x v="13"/>
    <x v="4"/>
    <x v="2"/>
    <s v="GTXPro"/>
    <s v="Betatech"/>
    <x v="1"/>
    <d v="2017-07-09T00:00:00"/>
    <x v="6"/>
    <m/>
  </r>
  <r>
    <x v="4636"/>
    <x v="1"/>
    <x v="1"/>
    <x v="0"/>
    <s v="GTX Basic"/>
    <s v="Rundofase"/>
    <x v="0"/>
    <d v="2017-07-09T00:00:00"/>
    <x v="166"/>
    <n v="460"/>
  </r>
  <r>
    <x v="4637"/>
    <x v="26"/>
    <x v="4"/>
    <x v="2"/>
    <s v="GTX Plus Basic"/>
    <s v="Donware"/>
    <x v="0"/>
    <d v="2017-07-09T00:00:00"/>
    <x v="159"/>
    <n v="1133"/>
  </r>
  <r>
    <x v="4638"/>
    <x v="26"/>
    <x v="4"/>
    <x v="2"/>
    <s v="GTX Plus Basic"/>
    <s v="Gekko &amp; Co"/>
    <x v="0"/>
    <d v="2017-07-09T00:00:00"/>
    <x v="153"/>
    <n v="1194"/>
  </r>
  <r>
    <x v="4639"/>
    <x v="26"/>
    <x v="4"/>
    <x v="2"/>
    <s v="GTX Plus Pro"/>
    <s v="Yearin"/>
    <x v="0"/>
    <d v="2017-07-09T00:00:00"/>
    <x v="169"/>
    <n v="5861"/>
  </r>
  <r>
    <x v="4640"/>
    <x v="14"/>
    <x v="3"/>
    <x v="1"/>
    <s v="GTX Plus Basic"/>
    <m/>
    <x v="1"/>
    <d v="2017-07-09T00:00:00"/>
    <x v="6"/>
    <m/>
  </r>
  <r>
    <x v="4641"/>
    <x v="8"/>
    <x v="1"/>
    <x v="0"/>
    <s v="GTX Basic"/>
    <s v="Dontechi"/>
    <x v="2"/>
    <d v="2017-07-09T00:00:00"/>
    <x v="203"/>
    <n v="0"/>
  </r>
  <r>
    <x v="4642"/>
    <x v="8"/>
    <x v="1"/>
    <x v="0"/>
    <s v="GTX Plus Basic"/>
    <s v="Stanredtax"/>
    <x v="0"/>
    <d v="2017-07-09T00:00:00"/>
    <x v="146"/>
    <n v="1194"/>
  </r>
  <r>
    <x v="4643"/>
    <x v="8"/>
    <x v="1"/>
    <x v="0"/>
    <s v="GTXPro"/>
    <s v="Funholding"/>
    <x v="0"/>
    <d v="2017-07-09T00:00:00"/>
    <x v="194"/>
    <n v="4440"/>
  </r>
  <r>
    <x v="4644"/>
    <x v="29"/>
    <x v="1"/>
    <x v="0"/>
    <s v="MG Special"/>
    <s v="Cancity"/>
    <x v="0"/>
    <d v="2017-07-09T00:00:00"/>
    <x v="206"/>
    <n v="53"/>
  </r>
  <r>
    <x v="4645"/>
    <x v="16"/>
    <x v="2"/>
    <x v="1"/>
    <s v="GTX Basic"/>
    <s v="Sonron"/>
    <x v="2"/>
    <d v="2017-07-09T00:00:00"/>
    <x v="200"/>
    <n v="0"/>
  </r>
  <r>
    <x v="4646"/>
    <x v="24"/>
    <x v="0"/>
    <x v="0"/>
    <s v="GTX Plus Basic"/>
    <s v="Inity"/>
    <x v="0"/>
    <d v="2017-07-09T00:00:00"/>
    <x v="198"/>
    <n v="1192"/>
  </r>
  <r>
    <x v="4647"/>
    <x v="22"/>
    <x v="1"/>
    <x v="0"/>
    <s v="MG Special"/>
    <s v="Conecom"/>
    <x v="0"/>
    <d v="2017-07-09T00:00:00"/>
    <x v="139"/>
    <n v="54"/>
  </r>
  <r>
    <x v="4648"/>
    <x v="0"/>
    <x v="0"/>
    <x v="0"/>
    <s v="MG Advanced"/>
    <s v="Ron-tech"/>
    <x v="2"/>
    <d v="2017-07-09T00:00:00"/>
    <x v="198"/>
    <n v="0"/>
  </r>
  <r>
    <x v="4649"/>
    <x v="0"/>
    <x v="0"/>
    <x v="0"/>
    <s v="GTX Plus Pro"/>
    <s v="Warephase"/>
    <x v="0"/>
    <d v="2017-07-09T00:00:00"/>
    <x v="204"/>
    <n v="4651"/>
  </r>
  <r>
    <x v="4650"/>
    <x v="6"/>
    <x v="1"/>
    <x v="0"/>
    <s v="GTX Plus Pro"/>
    <s v="Rangreen"/>
    <x v="2"/>
    <d v="2017-07-09T00:00:00"/>
    <x v="206"/>
    <n v="0"/>
  </r>
  <r>
    <x v="4651"/>
    <x v="6"/>
    <x v="1"/>
    <x v="0"/>
    <s v="GTX Plus Pro"/>
    <s v="Betatech"/>
    <x v="0"/>
    <d v="2017-07-09T00:00:00"/>
    <x v="176"/>
    <n v="5944"/>
  </r>
  <r>
    <x v="4652"/>
    <x v="19"/>
    <x v="4"/>
    <x v="2"/>
    <s v="MG Advanced"/>
    <s v="Gekko &amp; Co"/>
    <x v="2"/>
    <d v="2017-07-09T00:00:00"/>
    <x v="203"/>
    <n v="0"/>
  </r>
  <r>
    <x v="4653"/>
    <x v="11"/>
    <x v="3"/>
    <x v="1"/>
    <s v="GTXPro"/>
    <s v="Statholdings"/>
    <x v="1"/>
    <d v="2017-07-09T00:00:00"/>
    <x v="6"/>
    <m/>
  </r>
  <r>
    <x v="4654"/>
    <x v="11"/>
    <x v="3"/>
    <x v="1"/>
    <s v="MG Advanced"/>
    <m/>
    <x v="1"/>
    <d v="2017-07-09T00:00:00"/>
    <x v="6"/>
    <m/>
  </r>
  <r>
    <x v="4655"/>
    <x v="4"/>
    <x v="3"/>
    <x v="1"/>
    <s v="MG Advanced"/>
    <s v="Green-Plus"/>
    <x v="2"/>
    <d v="2017-07-09T00:00:00"/>
    <x v="203"/>
    <n v="0"/>
  </r>
  <r>
    <x v="4656"/>
    <x v="2"/>
    <x v="2"/>
    <x v="1"/>
    <s v="GTXPro"/>
    <m/>
    <x v="1"/>
    <d v="2017-07-09T00:00:00"/>
    <x v="6"/>
    <m/>
  </r>
  <r>
    <x v="4657"/>
    <x v="3"/>
    <x v="0"/>
    <x v="0"/>
    <s v="GTX Plus Basic"/>
    <s v="Domzoom"/>
    <x v="0"/>
    <d v="2017-07-10T00:00:00"/>
    <x v="203"/>
    <n v="962"/>
  </r>
  <r>
    <x v="4658"/>
    <x v="25"/>
    <x v="4"/>
    <x v="2"/>
    <s v="GTX Plus Basic"/>
    <s v="Silis"/>
    <x v="0"/>
    <d v="2017-07-10T00:00:00"/>
    <x v="208"/>
    <n v="1063"/>
  </r>
  <r>
    <x v="4659"/>
    <x v="23"/>
    <x v="4"/>
    <x v="2"/>
    <s v="MG Advanced"/>
    <s v="Zencorporation"/>
    <x v="2"/>
    <d v="2017-07-10T00:00:00"/>
    <x v="209"/>
    <n v="0"/>
  </r>
  <r>
    <x v="4660"/>
    <x v="28"/>
    <x v="0"/>
    <x v="0"/>
    <s v="GTX Basic"/>
    <s v="Gogozoom"/>
    <x v="2"/>
    <d v="2017-07-10T00:00:00"/>
    <x v="209"/>
    <n v="0"/>
  </r>
  <r>
    <x v="4661"/>
    <x v="1"/>
    <x v="1"/>
    <x v="0"/>
    <s v="GTX Plus Basic"/>
    <s v="Cancity"/>
    <x v="2"/>
    <d v="2017-07-10T00:00:00"/>
    <x v="195"/>
    <n v="0"/>
  </r>
  <r>
    <x v="4662"/>
    <x v="1"/>
    <x v="1"/>
    <x v="0"/>
    <s v="MG Special"/>
    <s v="Streethex"/>
    <x v="2"/>
    <d v="2017-07-10T00:00:00"/>
    <x v="203"/>
    <n v="0"/>
  </r>
  <r>
    <x v="4663"/>
    <x v="1"/>
    <x v="1"/>
    <x v="0"/>
    <s v="MG Advanced"/>
    <s v="Domzoom"/>
    <x v="0"/>
    <d v="2017-07-10T00:00:00"/>
    <x v="142"/>
    <n v="2572"/>
  </r>
  <r>
    <x v="4664"/>
    <x v="8"/>
    <x v="1"/>
    <x v="0"/>
    <s v="GTXPro"/>
    <s v="Globex Corporation"/>
    <x v="2"/>
    <d v="2017-07-10T00:00:00"/>
    <x v="194"/>
    <n v="0"/>
  </r>
  <r>
    <x v="4665"/>
    <x v="8"/>
    <x v="1"/>
    <x v="0"/>
    <s v="GTXPro"/>
    <s v="Warephase"/>
    <x v="0"/>
    <d v="2017-07-10T00:00:00"/>
    <x v="204"/>
    <n v="4631"/>
  </r>
  <r>
    <x v="4666"/>
    <x v="8"/>
    <x v="1"/>
    <x v="0"/>
    <s v="MG Advanced"/>
    <s v="Isdom"/>
    <x v="0"/>
    <d v="2017-07-10T00:00:00"/>
    <x v="206"/>
    <n v="3230"/>
  </r>
  <r>
    <x v="4667"/>
    <x v="10"/>
    <x v="3"/>
    <x v="1"/>
    <s v="MG Special"/>
    <s v="Condax"/>
    <x v="0"/>
    <d v="2017-07-10T00:00:00"/>
    <x v="206"/>
    <n v="59"/>
  </r>
  <r>
    <x v="4668"/>
    <x v="7"/>
    <x v="2"/>
    <x v="1"/>
    <s v="MG Advanced"/>
    <s v="Labdrill"/>
    <x v="0"/>
    <d v="2017-07-10T00:00:00"/>
    <x v="197"/>
    <n v="3624"/>
  </r>
  <r>
    <x v="4669"/>
    <x v="16"/>
    <x v="2"/>
    <x v="1"/>
    <s v="GTX Plus Basic"/>
    <s v="Labdrill"/>
    <x v="2"/>
    <d v="2017-07-10T00:00:00"/>
    <x v="210"/>
    <n v="0"/>
  </r>
  <r>
    <x v="4670"/>
    <x v="16"/>
    <x v="2"/>
    <x v="1"/>
    <s v="GTXPro"/>
    <s v="Golddex"/>
    <x v="2"/>
    <d v="2017-07-10T00:00:00"/>
    <x v="195"/>
    <n v="0"/>
  </r>
  <r>
    <x v="4671"/>
    <x v="16"/>
    <x v="2"/>
    <x v="1"/>
    <s v="GTX Plus Pro"/>
    <s v="Hatfan"/>
    <x v="0"/>
    <d v="2017-07-10T00:00:00"/>
    <x v="179"/>
    <n v="5848"/>
  </r>
  <r>
    <x v="4672"/>
    <x v="16"/>
    <x v="2"/>
    <x v="1"/>
    <s v="MG Special"/>
    <s v="Dalttechnology"/>
    <x v="0"/>
    <d v="2017-07-10T00:00:00"/>
    <x v="194"/>
    <n v="42"/>
  </r>
  <r>
    <x v="4673"/>
    <x v="18"/>
    <x v="2"/>
    <x v="1"/>
    <s v="GTX Plus Pro"/>
    <s v="Sunnamplex"/>
    <x v="2"/>
    <d v="2017-07-10T00:00:00"/>
    <x v="195"/>
    <n v="0"/>
  </r>
  <r>
    <x v="4674"/>
    <x v="18"/>
    <x v="2"/>
    <x v="1"/>
    <s v="GTXPro"/>
    <s v="Nam-zim"/>
    <x v="2"/>
    <d v="2017-07-10T00:00:00"/>
    <x v="203"/>
    <n v="0"/>
  </r>
  <r>
    <x v="4675"/>
    <x v="5"/>
    <x v="3"/>
    <x v="1"/>
    <s v="GTX Plus Pro"/>
    <s v="Hatfan"/>
    <x v="2"/>
    <d v="2017-07-10T00:00:00"/>
    <x v="175"/>
    <n v="0"/>
  </r>
  <r>
    <x v="4676"/>
    <x v="22"/>
    <x v="1"/>
    <x v="0"/>
    <s v="MG Advanced"/>
    <s v="Rangreen"/>
    <x v="2"/>
    <d v="2017-07-10T00:00:00"/>
    <x v="195"/>
    <n v="0"/>
  </r>
  <r>
    <x v="4677"/>
    <x v="0"/>
    <x v="0"/>
    <x v="0"/>
    <s v="MG Special"/>
    <s v="Cancity"/>
    <x v="2"/>
    <d v="2017-07-10T00:00:00"/>
    <x v="208"/>
    <n v="0"/>
  </r>
  <r>
    <x v="4678"/>
    <x v="0"/>
    <x v="0"/>
    <x v="0"/>
    <s v="GTX Basic"/>
    <s v="Isdom"/>
    <x v="0"/>
    <d v="2017-07-10T00:00:00"/>
    <x v="206"/>
    <n v="588"/>
  </r>
  <r>
    <x v="4679"/>
    <x v="19"/>
    <x v="4"/>
    <x v="2"/>
    <s v="GTX Plus Basic"/>
    <s v="Zencorporation"/>
    <x v="2"/>
    <d v="2017-07-10T00:00:00"/>
    <x v="204"/>
    <n v="0"/>
  </r>
  <r>
    <x v="4680"/>
    <x v="19"/>
    <x v="4"/>
    <x v="2"/>
    <s v="MG Special"/>
    <s v="Yearin"/>
    <x v="0"/>
    <d v="2017-07-10T00:00:00"/>
    <x v="203"/>
    <n v="54"/>
  </r>
  <r>
    <x v="4681"/>
    <x v="17"/>
    <x v="5"/>
    <x v="2"/>
    <s v="GTXPro"/>
    <m/>
    <x v="1"/>
    <d v="2017-07-10T00:00:00"/>
    <x v="6"/>
    <m/>
  </r>
  <r>
    <x v="4682"/>
    <x v="4"/>
    <x v="3"/>
    <x v="1"/>
    <s v="GTXPro"/>
    <s v="Singletechno"/>
    <x v="0"/>
    <d v="2017-07-10T00:00:00"/>
    <x v="144"/>
    <n v="5099"/>
  </r>
  <r>
    <x v="4683"/>
    <x v="15"/>
    <x v="5"/>
    <x v="2"/>
    <s v="GTX Basic"/>
    <m/>
    <x v="1"/>
    <d v="2017-07-10T00:00:00"/>
    <x v="6"/>
    <m/>
  </r>
  <r>
    <x v="4684"/>
    <x v="2"/>
    <x v="2"/>
    <x v="1"/>
    <s v="GTX Plus Pro"/>
    <s v="Plexzap"/>
    <x v="2"/>
    <d v="2017-07-10T00:00:00"/>
    <x v="202"/>
    <n v="0"/>
  </r>
  <r>
    <x v="4685"/>
    <x v="25"/>
    <x v="4"/>
    <x v="2"/>
    <s v="MG Advanced"/>
    <s v="Konex"/>
    <x v="2"/>
    <d v="2017-07-11T00:00:00"/>
    <x v="208"/>
    <n v="0"/>
  </r>
  <r>
    <x v="4686"/>
    <x v="23"/>
    <x v="4"/>
    <x v="2"/>
    <s v="GTX Plus Pro"/>
    <m/>
    <x v="1"/>
    <d v="2017-07-11T00:00:00"/>
    <x v="6"/>
    <m/>
  </r>
  <r>
    <x v="4687"/>
    <x v="28"/>
    <x v="0"/>
    <x v="0"/>
    <s v="GTX Basic"/>
    <s v="Scottech"/>
    <x v="2"/>
    <d v="2017-07-11T00:00:00"/>
    <x v="169"/>
    <n v="0"/>
  </r>
  <r>
    <x v="4688"/>
    <x v="28"/>
    <x v="0"/>
    <x v="0"/>
    <s v="GTX Plus Basic"/>
    <s v="Treequote"/>
    <x v="2"/>
    <d v="2017-07-11T00:00:00"/>
    <x v="198"/>
    <n v="0"/>
  </r>
  <r>
    <x v="4689"/>
    <x v="27"/>
    <x v="5"/>
    <x v="2"/>
    <s v="MG Advanced"/>
    <s v="Silis"/>
    <x v="2"/>
    <d v="2017-07-11T00:00:00"/>
    <x v="198"/>
    <n v="0"/>
  </r>
  <r>
    <x v="4690"/>
    <x v="13"/>
    <x v="4"/>
    <x v="2"/>
    <s v="GTXPro"/>
    <s v="Silis"/>
    <x v="2"/>
    <d v="2017-07-11T00:00:00"/>
    <x v="156"/>
    <n v="0"/>
  </r>
  <r>
    <x v="4691"/>
    <x v="13"/>
    <x v="4"/>
    <x v="2"/>
    <s v="GTX Plus Pro"/>
    <s v="Initech"/>
    <x v="0"/>
    <d v="2017-07-11T00:00:00"/>
    <x v="206"/>
    <n v="4881"/>
  </r>
  <r>
    <x v="4692"/>
    <x v="1"/>
    <x v="1"/>
    <x v="0"/>
    <s v="GTX Basic"/>
    <s v="Bioholding"/>
    <x v="2"/>
    <d v="2017-07-11T00:00:00"/>
    <x v="207"/>
    <n v="0"/>
  </r>
  <r>
    <x v="4693"/>
    <x v="1"/>
    <x v="1"/>
    <x v="0"/>
    <s v="GTXPro"/>
    <s v="Codehow"/>
    <x v="2"/>
    <d v="2017-07-11T00:00:00"/>
    <x v="195"/>
    <n v="0"/>
  </r>
  <r>
    <x v="4694"/>
    <x v="1"/>
    <x v="1"/>
    <x v="0"/>
    <s v="GTXPro"/>
    <s v="Stanredtax"/>
    <x v="2"/>
    <d v="2017-07-11T00:00:00"/>
    <x v="204"/>
    <n v="0"/>
  </r>
  <r>
    <x v="4695"/>
    <x v="8"/>
    <x v="1"/>
    <x v="0"/>
    <s v="MG Advanced"/>
    <s v="Genco Pura Olive Oil Company"/>
    <x v="0"/>
    <d v="2017-07-11T00:00:00"/>
    <x v="195"/>
    <n v="2878"/>
  </r>
  <r>
    <x v="4696"/>
    <x v="10"/>
    <x v="3"/>
    <x v="1"/>
    <s v="MG Special"/>
    <s v="Xx-holding"/>
    <x v="2"/>
    <d v="2017-07-11T00:00:00"/>
    <x v="195"/>
    <n v="0"/>
  </r>
  <r>
    <x v="4697"/>
    <x v="10"/>
    <x v="3"/>
    <x v="1"/>
    <s v="MG Advanced"/>
    <s v="Finjob"/>
    <x v="0"/>
    <d v="2017-07-11T00:00:00"/>
    <x v="166"/>
    <n v="3121"/>
  </r>
  <r>
    <x v="4698"/>
    <x v="7"/>
    <x v="2"/>
    <x v="1"/>
    <s v="GTX Plus Pro"/>
    <s v="Golddex"/>
    <x v="2"/>
    <d v="2017-07-11T00:00:00"/>
    <x v="195"/>
    <n v="0"/>
  </r>
  <r>
    <x v="4699"/>
    <x v="7"/>
    <x v="2"/>
    <x v="1"/>
    <s v="MG Special"/>
    <s v="Goodsilron"/>
    <x v="0"/>
    <d v="2017-07-11T00:00:00"/>
    <x v="204"/>
    <n v="57"/>
  </r>
  <r>
    <x v="4700"/>
    <x v="29"/>
    <x v="1"/>
    <x v="0"/>
    <s v="GTX Basic"/>
    <s v="Treequote"/>
    <x v="0"/>
    <d v="2017-07-11T00:00:00"/>
    <x v="195"/>
    <n v="576"/>
  </r>
  <r>
    <x v="4701"/>
    <x v="29"/>
    <x v="1"/>
    <x v="0"/>
    <s v="GTX Plus Basic"/>
    <s v="Konmatfix"/>
    <x v="0"/>
    <d v="2017-07-11T00:00:00"/>
    <x v="204"/>
    <n v="1258"/>
  </r>
  <r>
    <x v="4702"/>
    <x v="16"/>
    <x v="2"/>
    <x v="1"/>
    <s v="GTX Plus Basic"/>
    <s v="Singletechno"/>
    <x v="2"/>
    <d v="2017-07-11T00:00:00"/>
    <x v="161"/>
    <n v="0"/>
  </r>
  <r>
    <x v="4703"/>
    <x v="18"/>
    <x v="2"/>
    <x v="1"/>
    <s v="GTX Plus Pro"/>
    <m/>
    <x v="1"/>
    <d v="2017-07-11T00:00:00"/>
    <x v="6"/>
    <m/>
  </r>
  <r>
    <x v="4704"/>
    <x v="18"/>
    <x v="2"/>
    <x v="1"/>
    <s v="GTX Basic"/>
    <s v="Doncon"/>
    <x v="2"/>
    <d v="2017-07-11T00:00:00"/>
    <x v="181"/>
    <n v="0"/>
  </r>
  <r>
    <x v="4705"/>
    <x v="18"/>
    <x v="2"/>
    <x v="1"/>
    <s v="GTX Basic"/>
    <s v="Hottechi"/>
    <x v="0"/>
    <d v="2017-07-11T00:00:00"/>
    <x v="211"/>
    <n v="491"/>
  </r>
  <r>
    <x v="4706"/>
    <x v="5"/>
    <x v="3"/>
    <x v="1"/>
    <s v="GTX Basic"/>
    <s v="Sunnamplex"/>
    <x v="0"/>
    <d v="2017-07-11T00:00:00"/>
    <x v="147"/>
    <n v="494"/>
  </r>
  <r>
    <x v="4707"/>
    <x v="9"/>
    <x v="2"/>
    <x v="1"/>
    <s v="GTXPro"/>
    <s v="Dalttechnology"/>
    <x v="2"/>
    <d v="2017-07-11T00:00:00"/>
    <x v="211"/>
    <n v="0"/>
  </r>
  <r>
    <x v="4708"/>
    <x v="9"/>
    <x v="2"/>
    <x v="1"/>
    <s v="GTX Plus Basic"/>
    <s v="Zoomit"/>
    <x v="0"/>
    <d v="2017-07-11T00:00:00"/>
    <x v="165"/>
    <n v="882"/>
  </r>
  <r>
    <x v="4709"/>
    <x v="19"/>
    <x v="4"/>
    <x v="2"/>
    <s v="GTX Plus Basic"/>
    <s v="Konex"/>
    <x v="0"/>
    <d v="2017-07-11T00:00:00"/>
    <x v="211"/>
    <n v="1076"/>
  </r>
  <r>
    <x v="4710"/>
    <x v="11"/>
    <x v="3"/>
    <x v="1"/>
    <s v="GTK 500"/>
    <s v="Cheers"/>
    <x v="2"/>
    <d v="2017-07-11T00:00:00"/>
    <x v="204"/>
    <n v="0"/>
  </r>
  <r>
    <x v="4711"/>
    <x v="11"/>
    <x v="3"/>
    <x v="1"/>
    <s v="MG Special"/>
    <s v="Dalttechnology"/>
    <x v="2"/>
    <d v="2017-07-11T00:00:00"/>
    <x v="177"/>
    <n v="0"/>
  </r>
  <r>
    <x v="4712"/>
    <x v="11"/>
    <x v="3"/>
    <x v="1"/>
    <s v="MG Special"/>
    <s v="Zoomit"/>
    <x v="0"/>
    <d v="2017-07-11T00:00:00"/>
    <x v="206"/>
    <n v="57"/>
  </r>
  <r>
    <x v="4713"/>
    <x v="4"/>
    <x v="3"/>
    <x v="1"/>
    <s v="GTX Basic"/>
    <s v="Nam-zim"/>
    <x v="2"/>
    <d v="2017-07-11T00:00:00"/>
    <x v="198"/>
    <n v="0"/>
  </r>
  <r>
    <x v="4714"/>
    <x v="4"/>
    <x v="3"/>
    <x v="1"/>
    <s v="MG Advanced"/>
    <s v="Cheers"/>
    <x v="2"/>
    <d v="2017-07-11T00:00:00"/>
    <x v="212"/>
    <n v="0"/>
  </r>
  <r>
    <x v="4715"/>
    <x v="4"/>
    <x v="3"/>
    <x v="1"/>
    <s v="MG Advanced"/>
    <s v="Sonron"/>
    <x v="2"/>
    <d v="2017-07-11T00:00:00"/>
    <x v="195"/>
    <n v="0"/>
  </r>
  <r>
    <x v="4716"/>
    <x v="3"/>
    <x v="0"/>
    <x v="0"/>
    <s v="GTX Plus Basic"/>
    <s v="Bioholding"/>
    <x v="2"/>
    <d v="2017-07-12T00:00:00"/>
    <x v="159"/>
    <n v="0"/>
  </r>
  <r>
    <x v="4717"/>
    <x v="25"/>
    <x v="4"/>
    <x v="2"/>
    <s v="GTX Plus Basic"/>
    <s v="Plussunin"/>
    <x v="0"/>
    <d v="2017-07-12T00:00:00"/>
    <x v="183"/>
    <n v="1100"/>
  </r>
  <r>
    <x v="4718"/>
    <x v="23"/>
    <x v="4"/>
    <x v="2"/>
    <s v="MG Advanced"/>
    <s v="Donquadtech"/>
    <x v="0"/>
    <d v="2017-07-12T00:00:00"/>
    <x v="153"/>
    <n v="3630"/>
  </r>
  <r>
    <x v="4719"/>
    <x v="27"/>
    <x v="5"/>
    <x v="2"/>
    <s v="MG Special"/>
    <m/>
    <x v="1"/>
    <d v="2017-07-12T00:00:00"/>
    <x v="6"/>
    <m/>
  </r>
  <r>
    <x v="4720"/>
    <x v="13"/>
    <x v="4"/>
    <x v="2"/>
    <s v="GTX Basic"/>
    <s v="Dontechi"/>
    <x v="1"/>
    <d v="2017-07-12T00:00:00"/>
    <x v="6"/>
    <m/>
  </r>
  <r>
    <x v="4721"/>
    <x v="1"/>
    <x v="1"/>
    <x v="0"/>
    <s v="GTXPro"/>
    <s v="Bioholding"/>
    <x v="2"/>
    <d v="2017-07-12T00:00:00"/>
    <x v="209"/>
    <n v="0"/>
  </r>
  <r>
    <x v="4722"/>
    <x v="1"/>
    <x v="1"/>
    <x v="0"/>
    <s v="MG Advanced"/>
    <s v="Betatech"/>
    <x v="2"/>
    <d v="2017-07-12T00:00:00"/>
    <x v="208"/>
    <n v="0"/>
  </r>
  <r>
    <x v="4723"/>
    <x v="26"/>
    <x v="4"/>
    <x v="2"/>
    <s v="GTX Plus Basic"/>
    <s v="Ontomedia"/>
    <x v="2"/>
    <d v="2017-07-12T00:00:00"/>
    <x v="173"/>
    <n v="0"/>
  </r>
  <r>
    <x v="4724"/>
    <x v="26"/>
    <x v="4"/>
    <x v="2"/>
    <s v="GTX Plus Pro"/>
    <s v="Massive Dynamic"/>
    <x v="2"/>
    <d v="2017-07-12T00:00:00"/>
    <x v="183"/>
    <n v="0"/>
  </r>
  <r>
    <x v="4725"/>
    <x v="8"/>
    <x v="1"/>
    <x v="0"/>
    <s v="GTXPro"/>
    <s v="Condax"/>
    <x v="2"/>
    <d v="2017-07-12T00:00:00"/>
    <x v="198"/>
    <n v="0"/>
  </r>
  <r>
    <x v="4726"/>
    <x v="10"/>
    <x v="3"/>
    <x v="1"/>
    <s v="MG Advanced"/>
    <s v="Cheers"/>
    <x v="2"/>
    <d v="2017-07-12T00:00:00"/>
    <x v="213"/>
    <n v="0"/>
  </r>
  <r>
    <x v="4727"/>
    <x v="10"/>
    <x v="3"/>
    <x v="1"/>
    <s v="MG Advanced"/>
    <s v="Sunnamplex"/>
    <x v="0"/>
    <d v="2017-07-12T00:00:00"/>
    <x v="209"/>
    <n v="3741"/>
  </r>
  <r>
    <x v="4728"/>
    <x v="10"/>
    <x v="3"/>
    <x v="1"/>
    <s v="MG Advanced"/>
    <s v="Y-corporation"/>
    <x v="0"/>
    <d v="2017-07-12T00:00:00"/>
    <x v="200"/>
    <n v="2905"/>
  </r>
  <r>
    <x v="4729"/>
    <x v="7"/>
    <x v="2"/>
    <x v="1"/>
    <s v="GTX Plus Basic"/>
    <s v="Singletechno"/>
    <x v="2"/>
    <d v="2017-07-12T00:00:00"/>
    <x v="213"/>
    <n v="0"/>
  </r>
  <r>
    <x v="4730"/>
    <x v="9"/>
    <x v="2"/>
    <x v="1"/>
    <s v="GTX Plus Basic"/>
    <s v="Finjob"/>
    <x v="0"/>
    <d v="2017-07-12T00:00:00"/>
    <x v="163"/>
    <n v="1023"/>
  </r>
  <r>
    <x v="4731"/>
    <x v="9"/>
    <x v="2"/>
    <x v="1"/>
    <s v="MG Advanced"/>
    <s v="Y-corporation"/>
    <x v="0"/>
    <d v="2017-07-12T00:00:00"/>
    <x v="176"/>
    <n v="3257"/>
  </r>
  <r>
    <x v="4732"/>
    <x v="0"/>
    <x v="0"/>
    <x v="0"/>
    <s v="GTX Plus Pro"/>
    <s v="Codehow"/>
    <x v="2"/>
    <d v="2017-07-12T00:00:00"/>
    <x v="211"/>
    <n v="0"/>
  </r>
  <r>
    <x v="4733"/>
    <x v="6"/>
    <x v="1"/>
    <x v="0"/>
    <s v="GTX Plus Basic"/>
    <s v="Streethex"/>
    <x v="0"/>
    <d v="2017-07-12T00:00:00"/>
    <x v="136"/>
    <n v="960"/>
  </r>
  <r>
    <x v="4734"/>
    <x v="19"/>
    <x v="4"/>
    <x v="2"/>
    <s v="GTXPro"/>
    <s v="Silis"/>
    <x v="2"/>
    <d v="2017-07-12T00:00:00"/>
    <x v="200"/>
    <n v="0"/>
  </r>
  <r>
    <x v="4735"/>
    <x v="19"/>
    <x v="4"/>
    <x v="2"/>
    <s v="GTX Plus Pro"/>
    <s v="Silis"/>
    <x v="0"/>
    <d v="2017-07-12T00:00:00"/>
    <x v="204"/>
    <n v="5538"/>
  </r>
  <r>
    <x v="4736"/>
    <x v="2"/>
    <x v="2"/>
    <x v="1"/>
    <s v="GTX Basic"/>
    <m/>
    <x v="1"/>
    <d v="2017-07-12T00:00:00"/>
    <x v="6"/>
    <m/>
  </r>
  <r>
    <x v="4737"/>
    <x v="25"/>
    <x v="4"/>
    <x v="2"/>
    <s v="MG Advanced"/>
    <s v="Kan-code"/>
    <x v="0"/>
    <d v="2017-07-13T00:00:00"/>
    <x v="209"/>
    <n v="3420"/>
  </r>
  <r>
    <x v="4738"/>
    <x v="1"/>
    <x v="1"/>
    <x v="0"/>
    <s v="GTXPro"/>
    <s v="Treequote"/>
    <x v="2"/>
    <d v="2017-07-13T00:00:00"/>
    <x v="206"/>
    <n v="0"/>
  </r>
  <r>
    <x v="4739"/>
    <x v="1"/>
    <x v="1"/>
    <x v="0"/>
    <s v="GTXPro"/>
    <s v="Bioholding"/>
    <x v="0"/>
    <d v="2017-07-13T00:00:00"/>
    <x v="201"/>
    <n v="5382"/>
  </r>
  <r>
    <x v="4740"/>
    <x v="14"/>
    <x v="3"/>
    <x v="1"/>
    <s v="MG Special"/>
    <s v="Sonron"/>
    <x v="2"/>
    <d v="2017-07-13T00:00:00"/>
    <x v="214"/>
    <n v="0"/>
  </r>
  <r>
    <x v="4741"/>
    <x v="14"/>
    <x v="3"/>
    <x v="1"/>
    <s v="GTXPro"/>
    <s v="Faxquote"/>
    <x v="0"/>
    <d v="2017-07-13T00:00:00"/>
    <x v="204"/>
    <n v="5703"/>
  </r>
  <r>
    <x v="4742"/>
    <x v="21"/>
    <x v="5"/>
    <x v="2"/>
    <s v="MG Advanced"/>
    <s v="Mathtouch"/>
    <x v="0"/>
    <d v="2017-07-13T00:00:00"/>
    <x v="182"/>
    <n v="3340"/>
  </r>
  <r>
    <x v="4743"/>
    <x v="10"/>
    <x v="3"/>
    <x v="1"/>
    <s v="MG Advanced"/>
    <s v="Hottechi"/>
    <x v="2"/>
    <d v="2017-07-13T00:00:00"/>
    <x v="202"/>
    <n v="0"/>
  </r>
  <r>
    <x v="4744"/>
    <x v="18"/>
    <x v="2"/>
    <x v="1"/>
    <s v="GTX Plus Basic"/>
    <s v="Nam-zim"/>
    <x v="0"/>
    <d v="2017-07-13T00:00:00"/>
    <x v="128"/>
    <n v="1014"/>
  </r>
  <r>
    <x v="4745"/>
    <x v="24"/>
    <x v="0"/>
    <x v="0"/>
    <s v="GTX Basic"/>
    <s v="Inity"/>
    <x v="0"/>
    <d v="2017-07-13T00:00:00"/>
    <x v="206"/>
    <n v="536"/>
  </r>
  <r>
    <x v="4746"/>
    <x v="5"/>
    <x v="3"/>
    <x v="1"/>
    <s v="GTX Plus Basic"/>
    <s v="Konex"/>
    <x v="2"/>
    <d v="2017-07-13T00:00:00"/>
    <x v="200"/>
    <n v="0"/>
  </r>
  <r>
    <x v="4747"/>
    <x v="6"/>
    <x v="1"/>
    <x v="0"/>
    <s v="GTX Basic"/>
    <s v="Codehow"/>
    <x v="0"/>
    <d v="2017-07-13T00:00:00"/>
    <x v="214"/>
    <n v="550"/>
  </r>
  <r>
    <x v="4748"/>
    <x v="6"/>
    <x v="1"/>
    <x v="0"/>
    <s v="GTX Basic"/>
    <s v="Gogozoom"/>
    <x v="0"/>
    <d v="2017-07-13T00:00:00"/>
    <x v="183"/>
    <n v="469"/>
  </r>
  <r>
    <x v="4749"/>
    <x v="6"/>
    <x v="1"/>
    <x v="0"/>
    <s v="GTX Basic"/>
    <s v="Ron-tech"/>
    <x v="0"/>
    <d v="2017-07-13T00:00:00"/>
    <x v="200"/>
    <n v="585"/>
  </r>
  <r>
    <x v="4750"/>
    <x v="6"/>
    <x v="1"/>
    <x v="0"/>
    <s v="GTX Plus Basic"/>
    <s v="Scottech"/>
    <x v="0"/>
    <d v="2017-07-13T00:00:00"/>
    <x v="175"/>
    <n v="943"/>
  </r>
  <r>
    <x v="4751"/>
    <x v="19"/>
    <x v="4"/>
    <x v="2"/>
    <s v="GTX Basic"/>
    <s v="Bioplex"/>
    <x v="2"/>
    <d v="2017-07-13T00:00:00"/>
    <x v="208"/>
    <n v="0"/>
  </r>
  <r>
    <x v="4752"/>
    <x v="19"/>
    <x v="4"/>
    <x v="2"/>
    <s v="GTX Plus Basic"/>
    <s v="Plussunin"/>
    <x v="0"/>
    <d v="2017-07-13T00:00:00"/>
    <x v="137"/>
    <n v="1319"/>
  </r>
  <r>
    <x v="4753"/>
    <x v="19"/>
    <x v="4"/>
    <x v="2"/>
    <s v="GTXPro"/>
    <s v="Bubba Gump"/>
    <x v="0"/>
    <d v="2017-07-13T00:00:00"/>
    <x v="215"/>
    <n v="5873"/>
  </r>
  <r>
    <x v="4754"/>
    <x v="17"/>
    <x v="5"/>
    <x v="2"/>
    <s v="MG Special"/>
    <m/>
    <x v="1"/>
    <d v="2017-07-13T00:00:00"/>
    <x v="6"/>
    <m/>
  </r>
  <r>
    <x v="4755"/>
    <x v="4"/>
    <x v="3"/>
    <x v="1"/>
    <s v="MG Advanced"/>
    <s v="Kan-code"/>
    <x v="2"/>
    <d v="2017-07-13T00:00:00"/>
    <x v="146"/>
    <n v="0"/>
  </r>
  <r>
    <x v="4756"/>
    <x v="2"/>
    <x v="2"/>
    <x v="1"/>
    <s v="GTX Plus Basic"/>
    <s v="Lexiqvolax"/>
    <x v="2"/>
    <d v="2017-07-13T00:00:00"/>
    <x v="202"/>
    <n v="0"/>
  </r>
  <r>
    <x v="4757"/>
    <x v="3"/>
    <x v="0"/>
    <x v="0"/>
    <s v="MG Special"/>
    <s v="Treequote"/>
    <x v="0"/>
    <d v="2017-07-14T00:00:00"/>
    <x v="203"/>
    <n v="44"/>
  </r>
  <r>
    <x v="4758"/>
    <x v="25"/>
    <x v="4"/>
    <x v="2"/>
    <s v="MG Advanced"/>
    <s v="Plussunin"/>
    <x v="2"/>
    <d v="2017-07-14T00:00:00"/>
    <x v="216"/>
    <n v="0"/>
  </r>
  <r>
    <x v="4759"/>
    <x v="25"/>
    <x v="4"/>
    <x v="2"/>
    <s v="GTXPro"/>
    <s v="Mathtouch"/>
    <x v="0"/>
    <d v="2017-07-14T00:00:00"/>
    <x v="163"/>
    <n v="3834"/>
  </r>
  <r>
    <x v="4760"/>
    <x v="23"/>
    <x v="4"/>
    <x v="2"/>
    <s v="GTX Plus Basic"/>
    <s v="Zathunicon"/>
    <x v="2"/>
    <d v="2017-07-14T00:00:00"/>
    <x v="208"/>
    <n v="0"/>
  </r>
  <r>
    <x v="4761"/>
    <x v="23"/>
    <x v="4"/>
    <x v="2"/>
    <s v="GTX Plus Pro"/>
    <s v="Iselectrics"/>
    <x v="2"/>
    <d v="2017-07-14T00:00:00"/>
    <x v="202"/>
    <n v="0"/>
  </r>
  <r>
    <x v="4762"/>
    <x v="28"/>
    <x v="0"/>
    <x v="0"/>
    <s v="GTX Plus Pro"/>
    <s v="Inity"/>
    <x v="0"/>
    <d v="2017-07-14T00:00:00"/>
    <x v="201"/>
    <n v="5537"/>
  </r>
  <r>
    <x v="4763"/>
    <x v="27"/>
    <x v="5"/>
    <x v="2"/>
    <s v="GTX Basic"/>
    <s v="Donware"/>
    <x v="0"/>
    <d v="2017-07-14T00:00:00"/>
    <x v="152"/>
    <n v="530"/>
  </r>
  <r>
    <x v="4764"/>
    <x v="27"/>
    <x v="5"/>
    <x v="2"/>
    <s v="GTX Plus Pro"/>
    <s v="Konex"/>
    <x v="0"/>
    <d v="2017-07-14T00:00:00"/>
    <x v="178"/>
    <n v="4989"/>
  </r>
  <r>
    <x v="4765"/>
    <x v="1"/>
    <x v="1"/>
    <x v="0"/>
    <s v="GTX Plus Pro"/>
    <s v="Streethex"/>
    <x v="2"/>
    <d v="2017-07-14T00:00:00"/>
    <x v="213"/>
    <n v="0"/>
  </r>
  <r>
    <x v="4766"/>
    <x v="1"/>
    <x v="1"/>
    <x v="0"/>
    <s v="GTX Plus Basic"/>
    <s v="Statholdings"/>
    <x v="0"/>
    <d v="2017-07-14T00:00:00"/>
    <x v="216"/>
    <n v="1144"/>
  </r>
  <r>
    <x v="4767"/>
    <x v="26"/>
    <x v="4"/>
    <x v="2"/>
    <s v="GTX Basic"/>
    <s v="Konex"/>
    <x v="2"/>
    <d v="2017-07-14T00:00:00"/>
    <x v="202"/>
    <n v="0"/>
  </r>
  <r>
    <x v="4768"/>
    <x v="14"/>
    <x v="3"/>
    <x v="1"/>
    <s v="MG Advanced"/>
    <s v="Xx-holding"/>
    <x v="2"/>
    <d v="2017-07-14T00:00:00"/>
    <x v="166"/>
    <n v="0"/>
  </r>
  <r>
    <x v="4769"/>
    <x v="10"/>
    <x v="3"/>
    <x v="1"/>
    <s v="MG Advanced"/>
    <s v="Xx-holding"/>
    <x v="0"/>
    <d v="2017-07-14T00:00:00"/>
    <x v="202"/>
    <n v="3362"/>
  </r>
  <r>
    <x v="4770"/>
    <x v="7"/>
    <x v="2"/>
    <x v="1"/>
    <s v="GTXPro"/>
    <s v="Green-Plus"/>
    <x v="2"/>
    <d v="2017-07-14T00:00:00"/>
    <x v="213"/>
    <n v="0"/>
  </r>
  <r>
    <x v="4771"/>
    <x v="7"/>
    <x v="2"/>
    <x v="1"/>
    <s v="GTX Plus Pro"/>
    <s v="Goodsilron"/>
    <x v="0"/>
    <d v="2017-07-14T00:00:00"/>
    <x v="208"/>
    <n v="5013"/>
  </r>
  <r>
    <x v="4772"/>
    <x v="16"/>
    <x v="2"/>
    <x v="1"/>
    <s v="GTX Basic"/>
    <m/>
    <x v="1"/>
    <d v="2017-07-14T00:00:00"/>
    <x v="6"/>
    <m/>
  </r>
  <r>
    <x v="4773"/>
    <x v="16"/>
    <x v="2"/>
    <x v="1"/>
    <s v="GTX Basic"/>
    <s v="Hatfan"/>
    <x v="2"/>
    <d v="2017-07-14T00:00:00"/>
    <x v="202"/>
    <n v="0"/>
  </r>
  <r>
    <x v="4774"/>
    <x v="18"/>
    <x v="2"/>
    <x v="1"/>
    <s v="GTX Plus Basic"/>
    <s v="Blackzim"/>
    <x v="2"/>
    <d v="2017-07-14T00:00:00"/>
    <x v="201"/>
    <n v="0"/>
  </r>
  <r>
    <x v="4775"/>
    <x v="18"/>
    <x v="2"/>
    <x v="1"/>
    <s v="GTX Basic"/>
    <s v="Plusstrip"/>
    <x v="0"/>
    <d v="2017-07-14T00:00:00"/>
    <x v="151"/>
    <n v="431"/>
  </r>
  <r>
    <x v="4776"/>
    <x v="18"/>
    <x v="2"/>
    <x v="1"/>
    <s v="GTXPro"/>
    <s v="Groovestreet"/>
    <x v="0"/>
    <d v="2017-07-14T00:00:00"/>
    <x v="214"/>
    <n v="5161"/>
  </r>
  <r>
    <x v="4777"/>
    <x v="24"/>
    <x v="0"/>
    <x v="0"/>
    <s v="GTX Basic"/>
    <s v="Genco Pura Olive Oil Company"/>
    <x v="0"/>
    <d v="2017-07-14T00:00:00"/>
    <x v="201"/>
    <n v="579"/>
  </r>
  <r>
    <x v="4778"/>
    <x v="24"/>
    <x v="0"/>
    <x v="0"/>
    <s v="MG Advanced"/>
    <s v="Warephase"/>
    <x v="0"/>
    <d v="2017-07-14T00:00:00"/>
    <x v="214"/>
    <n v="3411"/>
  </r>
  <r>
    <x v="4779"/>
    <x v="5"/>
    <x v="3"/>
    <x v="1"/>
    <s v="MG Special"/>
    <s v="Xx-holding"/>
    <x v="2"/>
    <d v="2017-07-14T00:00:00"/>
    <x v="171"/>
    <n v="0"/>
  </r>
  <r>
    <x v="4780"/>
    <x v="5"/>
    <x v="3"/>
    <x v="1"/>
    <s v="MG Advanced"/>
    <s v="Plusstrip"/>
    <x v="0"/>
    <d v="2017-07-14T00:00:00"/>
    <x v="202"/>
    <n v="3973"/>
  </r>
  <r>
    <x v="4781"/>
    <x v="6"/>
    <x v="1"/>
    <x v="0"/>
    <s v="MG Advanced"/>
    <s v="Ron-tech"/>
    <x v="2"/>
    <d v="2017-07-14T00:00:00"/>
    <x v="207"/>
    <n v="0"/>
  </r>
  <r>
    <x v="4782"/>
    <x v="19"/>
    <x v="4"/>
    <x v="2"/>
    <s v="GTX Plus Basic"/>
    <s v="Zathunicon"/>
    <x v="0"/>
    <d v="2017-07-14T00:00:00"/>
    <x v="202"/>
    <n v="1029"/>
  </r>
  <r>
    <x v="4783"/>
    <x v="17"/>
    <x v="5"/>
    <x v="2"/>
    <s v="MG Special"/>
    <s v="Gekko &amp; Co"/>
    <x v="0"/>
    <d v="2017-07-14T00:00:00"/>
    <x v="209"/>
    <n v="59"/>
  </r>
  <r>
    <x v="4784"/>
    <x v="12"/>
    <x v="0"/>
    <x v="0"/>
    <s v="MG Special"/>
    <s v="Globex Corporation"/>
    <x v="2"/>
    <d v="2017-07-14T00:00:00"/>
    <x v="215"/>
    <n v="0"/>
  </r>
  <r>
    <x v="4785"/>
    <x v="4"/>
    <x v="3"/>
    <x v="1"/>
    <s v="MG Special"/>
    <m/>
    <x v="1"/>
    <d v="2017-07-14T00:00:00"/>
    <x v="6"/>
    <m/>
  </r>
  <r>
    <x v="4786"/>
    <x v="4"/>
    <x v="3"/>
    <x v="1"/>
    <s v="GTX Basic"/>
    <s v="Goodsilron"/>
    <x v="0"/>
    <d v="2017-07-14T00:00:00"/>
    <x v="181"/>
    <n v="534"/>
  </r>
  <r>
    <x v="4787"/>
    <x v="15"/>
    <x v="5"/>
    <x v="2"/>
    <s v="MG Special"/>
    <s v="Iselectrics"/>
    <x v="0"/>
    <d v="2017-07-14T00:00:00"/>
    <x v="202"/>
    <n v="48"/>
  </r>
  <r>
    <x v="4788"/>
    <x v="2"/>
    <x v="2"/>
    <x v="1"/>
    <s v="MG Special"/>
    <s v="Finjob"/>
    <x v="0"/>
    <d v="2017-07-14T00:00:00"/>
    <x v="213"/>
    <n v="57"/>
  </r>
  <r>
    <x v="4789"/>
    <x v="13"/>
    <x v="4"/>
    <x v="2"/>
    <s v="GTX Plus Pro"/>
    <s v="Donware"/>
    <x v="2"/>
    <d v="2017-07-15T00:00:00"/>
    <x v="203"/>
    <n v="0"/>
  </r>
  <r>
    <x v="4790"/>
    <x v="1"/>
    <x v="1"/>
    <x v="0"/>
    <s v="GTX Plus Pro"/>
    <s v="Stanredtax"/>
    <x v="0"/>
    <d v="2017-07-15T00:00:00"/>
    <x v="210"/>
    <n v="4009"/>
  </r>
  <r>
    <x v="4791"/>
    <x v="1"/>
    <x v="1"/>
    <x v="0"/>
    <s v="MG Advanced"/>
    <s v="dambase"/>
    <x v="0"/>
    <d v="2017-07-15T00:00:00"/>
    <x v="142"/>
    <n v="3255"/>
  </r>
  <r>
    <x v="4792"/>
    <x v="26"/>
    <x v="4"/>
    <x v="2"/>
    <s v="MG Advanced"/>
    <s v="Condax"/>
    <x v="0"/>
    <d v="2017-07-15T00:00:00"/>
    <x v="213"/>
    <n v="3724"/>
  </r>
  <r>
    <x v="4793"/>
    <x v="14"/>
    <x v="3"/>
    <x v="1"/>
    <s v="MG Advanced"/>
    <s v="Dalttechnology"/>
    <x v="2"/>
    <d v="2017-07-15T00:00:00"/>
    <x v="201"/>
    <n v="0"/>
  </r>
  <r>
    <x v="4794"/>
    <x v="10"/>
    <x v="3"/>
    <x v="1"/>
    <s v="GTX Plus Basic"/>
    <s v="Fasehatice"/>
    <x v="2"/>
    <d v="2017-07-15T00:00:00"/>
    <x v="214"/>
    <n v="0"/>
  </r>
  <r>
    <x v="4795"/>
    <x v="7"/>
    <x v="2"/>
    <x v="1"/>
    <s v="GTX Plus Basic"/>
    <s v="Golddex"/>
    <x v="2"/>
    <d v="2017-07-15T00:00:00"/>
    <x v="135"/>
    <n v="0"/>
  </r>
  <r>
    <x v="4796"/>
    <x v="29"/>
    <x v="1"/>
    <x v="0"/>
    <s v="MG Special"/>
    <s v="Rundofase"/>
    <x v="2"/>
    <d v="2017-07-15T00:00:00"/>
    <x v="217"/>
    <n v="0"/>
  </r>
  <r>
    <x v="4797"/>
    <x v="18"/>
    <x v="2"/>
    <x v="1"/>
    <s v="GTX Plus Pro"/>
    <s v="Labdrill"/>
    <x v="2"/>
    <d v="2017-07-15T00:00:00"/>
    <x v="215"/>
    <n v="0"/>
  </r>
  <r>
    <x v="4798"/>
    <x v="24"/>
    <x v="0"/>
    <x v="0"/>
    <s v="MG Special"/>
    <s v="Gogozoom"/>
    <x v="2"/>
    <d v="2017-07-15T00:00:00"/>
    <x v="201"/>
    <n v="0"/>
  </r>
  <r>
    <x v="4799"/>
    <x v="5"/>
    <x v="3"/>
    <x v="1"/>
    <s v="MG Advanced"/>
    <s v="Faxquote"/>
    <x v="2"/>
    <d v="2017-07-15T00:00:00"/>
    <x v="203"/>
    <n v="0"/>
  </r>
  <r>
    <x v="4800"/>
    <x v="5"/>
    <x v="3"/>
    <x v="1"/>
    <s v="MG Advanced"/>
    <s v="Cheers"/>
    <x v="0"/>
    <d v="2017-07-15T00:00:00"/>
    <x v="151"/>
    <n v="2791"/>
  </r>
  <r>
    <x v="4801"/>
    <x v="9"/>
    <x v="2"/>
    <x v="1"/>
    <s v="GTX Plus Basic"/>
    <m/>
    <x v="1"/>
    <d v="2017-07-15T00:00:00"/>
    <x v="6"/>
    <m/>
  </r>
  <r>
    <x v="4802"/>
    <x v="6"/>
    <x v="1"/>
    <x v="0"/>
    <s v="MG Advanced"/>
    <s v="Cancity"/>
    <x v="0"/>
    <d v="2017-07-15T00:00:00"/>
    <x v="145"/>
    <n v="3501"/>
  </r>
  <r>
    <x v="4803"/>
    <x v="19"/>
    <x v="4"/>
    <x v="2"/>
    <s v="GTX Plus Pro"/>
    <s v="Yearin"/>
    <x v="2"/>
    <d v="2017-07-15T00:00:00"/>
    <x v="218"/>
    <n v="0"/>
  </r>
  <r>
    <x v="4804"/>
    <x v="19"/>
    <x v="4"/>
    <x v="2"/>
    <s v="GTX Basic"/>
    <s v="Ganjaflex"/>
    <x v="0"/>
    <d v="2017-07-15T00:00:00"/>
    <x v="201"/>
    <n v="555"/>
  </r>
  <r>
    <x v="4805"/>
    <x v="11"/>
    <x v="3"/>
    <x v="1"/>
    <s v="MG Special"/>
    <m/>
    <x v="1"/>
    <d v="2017-07-15T00:00:00"/>
    <x v="6"/>
    <m/>
  </r>
  <r>
    <x v="4806"/>
    <x v="11"/>
    <x v="3"/>
    <x v="1"/>
    <s v="GTX Basic"/>
    <s v="Lexiqvolax"/>
    <x v="0"/>
    <d v="2017-07-15T00:00:00"/>
    <x v="209"/>
    <n v="650"/>
  </r>
  <r>
    <x v="4807"/>
    <x v="4"/>
    <x v="3"/>
    <x v="1"/>
    <s v="GTX Basic"/>
    <s v="Nam-zim"/>
    <x v="2"/>
    <d v="2017-07-15T00:00:00"/>
    <x v="216"/>
    <n v="0"/>
  </r>
  <r>
    <x v="4808"/>
    <x v="4"/>
    <x v="3"/>
    <x v="1"/>
    <s v="MG Special"/>
    <s v="Konex"/>
    <x v="0"/>
    <d v="2017-07-15T00:00:00"/>
    <x v="208"/>
    <n v="61"/>
  </r>
  <r>
    <x v="4809"/>
    <x v="4"/>
    <x v="3"/>
    <x v="1"/>
    <s v="MG Special"/>
    <s v="Newex"/>
    <x v="0"/>
    <d v="2017-07-15T00:00:00"/>
    <x v="203"/>
    <n v="54"/>
  </r>
  <r>
    <x v="4810"/>
    <x v="15"/>
    <x v="5"/>
    <x v="2"/>
    <s v="MG Special"/>
    <s v="Condax"/>
    <x v="2"/>
    <d v="2017-07-15T00:00:00"/>
    <x v="215"/>
    <n v="0"/>
  </r>
  <r>
    <x v="4811"/>
    <x v="20"/>
    <x v="5"/>
    <x v="2"/>
    <s v="MG Advanced"/>
    <s v="Silis"/>
    <x v="2"/>
    <d v="2017-07-15T00:00:00"/>
    <x v="209"/>
    <n v="0"/>
  </r>
  <r>
    <x v="4812"/>
    <x v="3"/>
    <x v="0"/>
    <x v="0"/>
    <s v="GTX Basic"/>
    <s v="Rundofase"/>
    <x v="2"/>
    <d v="2017-07-16T00:00:00"/>
    <x v="214"/>
    <n v="0"/>
  </r>
  <r>
    <x v="4813"/>
    <x v="3"/>
    <x v="0"/>
    <x v="0"/>
    <s v="MG Advanced"/>
    <s v="Funholding"/>
    <x v="2"/>
    <d v="2017-07-16T00:00:00"/>
    <x v="203"/>
    <n v="0"/>
  </r>
  <r>
    <x v="4814"/>
    <x v="3"/>
    <x v="0"/>
    <x v="0"/>
    <s v="MG Special"/>
    <s v="Rangreen"/>
    <x v="0"/>
    <d v="2017-07-16T00:00:00"/>
    <x v="213"/>
    <n v="59"/>
  </r>
  <r>
    <x v="4815"/>
    <x v="25"/>
    <x v="4"/>
    <x v="2"/>
    <s v="GTX Basic"/>
    <s v="Sunnamplex"/>
    <x v="1"/>
    <d v="2017-07-16T00:00:00"/>
    <x v="6"/>
    <m/>
  </r>
  <r>
    <x v="4816"/>
    <x v="23"/>
    <x v="4"/>
    <x v="2"/>
    <s v="GTXPro"/>
    <s v="Acme Corporation"/>
    <x v="0"/>
    <d v="2017-07-16T00:00:00"/>
    <x v="219"/>
    <n v="5318"/>
  </r>
  <r>
    <x v="4817"/>
    <x v="28"/>
    <x v="0"/>
    <x v="0"/>
    <s v="GTX Plus Pro"/>
    <s v="Conecom"/>
    <x v="0"/>
    <d v="2017-07-16T00:00:00"/>
    <x v="182"/>
    <n v="5753"/>
  </r>
  <r>
    <x v="4818"/>
    <x v="28"/>
    <x v="0"/>
    <x v="0"/>
    <s v="MG Special"/>
    <s v="Konmatfix"/>
    <x v="0"/>
    <d v="2017-07-16T00:00:00"/>
    <x v="214"/>
    <n v="62"/>
  </r>
  <r>
    <x v="4819"/>
    <x v="28"/>
    <x v="0"/>
    <x v="0"/>
    <s v="MG Advanced"/>
    <s v="Isdom"/>
    <x v="0"/>
    <d v="2017-07-16T00:00:00"/>
    <x v="116"/>
    <n v="3146"/>
  </r>
  <r>
    <x v="4820"/>
    <x v="1"/>
    <x v="1"/>
    <x v="0"/>
    <s v="GTX Basic"/>
    <s v="Rundofase"/>
    <x v="0"/>
    <d v="2017-07-16T00:00:00"/>
    <x v="204"/>
    <n v="538"/>
  </r>
  <r>
    <x v="4821"/>
    <x v="1"/>
    <x v="1"/>
    <x v="0"/>
    <s v="GTX Plus Basic"/>
    <s v="Betatech"/>
    <x v="0"/>
    <d v="2017-07-16T00:00:00"/>
    <x v="153"/>
    <n v="1071"/>
  </r>
  <r>
    <x v="4822"/>
    <x v="1"/>
    <x v="1"/>
    <x v="0"/>
    <s v="GTXPro"/>
    <s v="Betatech"/>
    <x v="0"/>
    <d v="2017-07-16T00:00:00"/>
    <x v="203"/>
    <n v="4488"/>
  </r>
  <r>
    <x v="4823"/>
    <x v="1"/>
    <x v="1"/>
    <x v="0"/>
    <s v="MG Advanced"/>
    <s v="Isdom"/>
    <x v="0"/>
    <d v="2017-07-16T00:00:00"/>
    <x v="110"/>
    <n v="2837"/>
  </r>
  <r>
    <x v="4824"/>
    <x v="26"/>
    <x v="4"/>
    <x v="2"/>
    <s v="MG Advanced"/>
    <s v="Kan-code"/>
    <x v="0"/>
    <d v="2017-07-16T00:00:00"/>
    <x v="182"/>
    <n v="3593"/>
  </r>
  <r>
    <x v="4825"/>
    <x v="14"/>
    <x v="3"/>
    <x v="1"/>
    <s v="GTX Basic"/>
    <s v="Hottechi"/>
    <x v="0"/>
    <d v="2017-07-16T00:00:00"/>
    <x v="183"/>
    <n v="583"/>
  </r>
  <r>
    <x v="4826"/>
    <x v="10"/>
    <x v="3"/>
    <x v="1"/>
    <s v="GTX Plus Pro"/>
    <m/>
    <x v="1"/>
    <d v="2017-07-16T00:00:00"/>
    <x v="6"/>
    <m/>
  </r>
  <r>
    <x v="4827"/>
    <x v="29"/>
    <x v="1"/>
    <x v="0"/>
    <s v="GTX Basic"/>
    <s v="Isdom"/>
    <x v="2"/>
    <d v="2017-07-16T00:00:00"/>
    <x v="213"/>
    <n v="0"/>
  </r>
  <r>
    <x v="4828"/>
    <x v="29"/>
    <x v="1"/>
    <x v="0"/>
    <s v="MG Advanced"/>
    <s v="Genco Pura Olive Oil Company"/>
    <x v="2"/>
    <d v="2017-07-16T00:00:00"/>
    <x v="219"/>
    <n v="0"/>
  </r>
  <r>
    <x v="4829"/>
    <x v="16"/>
    <x v="2"/>
    <x v="1"/>
    <s v="GTXPro"/>
    <s v="Scotfind"/>
    <x v="2"/>
    <d v="2017-07-16T00:00:00"/>
    <x v="209"/>
    <n v="0"/>
  </r>
  <r>
    <x v="4830"/>
    <x v="16"/>
    <x v="2"/>
    <x v="1"/>
    <s v="MG Advanced"/>
    <s v="Labdrill"/>
    <x v="2"/>
    <d v="2017-07-16T00:00:00"/>
    <x v="215"/>
    <n v="0"/>
  </r>
  <r>
    <x v="4831"/>
    <x v="16"/>
    <x v="2"/>
    <x v="1"/>
    <s v="GTX Plus Basic"/>
    <s v="Singletechno"/>
    <x v="0"/>
    <d v="2017-07-16T00:00:00"/>
    <x v="208"/>
    <n v="1109"/>
  </r>
  <r>
    <x v="4832"/>
    <x v="16"/>
    <x v="2"/>
    <x v="1"/>
    <s v="GTX Plus Basic"/>
    <s v="Zoomit"/>
    <x v="0"/>
    <d v="2017-07-16T00:00:00"/>
    <x v="209"/>
    <n v="1106"/>
  </r>
  <r>
    <x v="4833"/>
    <x v="18"/>
    <x v="2"/>
    <x v="1"/>
    <s v="GTX Plus Pro"/>
    <s v="Plusstrip"/>
    <x v="2"/>
    <d v="2017-07-16T00:00:00"/>
    <x v="214"/>
    <n v="0"/>
  </r>
  <r>
    <x v="4834"/>
    <x v="18"/>
    <x v="2"/>
    <x v="1"/>
    <s v="GTX Plus Pro"/>
    <s v="Labdrill"/>
    <x v="0"/>
    <d v="2017-07-16T00:00:00"/>
    <x v="216"/>
    <n v="5008"/>
  </r>
  <r>
    <x v="4835"/>
    <x v="18"/>
    <x v="2"/>
    <x v="1"/>
    <s v="GTXPro"/>
    <s v="Y-corporation"/>
    <x v="0"/>
    <d v="2017-07-16T00:00:00"/>
    <x v="206"/>
    <n v="5621"/>
  </r>
  <r>
    <x v="4836"/>
    <x v="24"/>
    <x v="0"/>
    <x v="0"/>
    <s v="GTX Basic"/>
    <s v="Rangreen"/>
    <x v="0"/>
    <d v="2017-07-16T00:00:00"/>
    <x v="203"/>
    <n v="550"/>
  </r>
  <r>
    <x v="4837"/>
    <x v="0"/>
    <x v="0"/>
    <x v="0"/>
    <s v="GTX Basic"/>
    <s v="Rangreen"/>
    <x v="0"/>
    <d v="2017-07-16T00:00:00"/>
    <x v="142"/>
    <n v="574"/>
  </r>
  <r>
    <x v="4838"/>
    <x v="11"/>
    <x v="3"/>
    <x v="1"/>
    <s v="MG Advanced"/>
    <s v="Hottechi"/>
    <x v="2"/>
    <d v="2017-07-16T00:00:00"/>
    <x v="214"/>
    <n v="0"/>
  </r>
  <r>
    <x v="4839"/>
    <x v="20"/>
    <x v="5"/>
    <x v="2"/>
    <s v="MG Special"/>
    <s v="Kinnamplus"/>
    <x v="0"/>
    <d v="2017-07-16T00:00:00"/>
    <x v="213"/>
    <n v="52"/>
  </r>
  <r>
    <x v="4840"/>
    <x v="2"/>
    <x v="2"/>
    <x v="1"/>
    <s v="GTX Basic"/>
    <s v="Xx-holding"/>
    <x v="0"/>
    <d v="2017-07-16T00:00:00"/>
    <x v="152"/>
    <n v="477"/>
  </r>
  <r>
    <x v="4841"/>
    <x v="3"/>
    <x v="0"/>
    <x v="0"/>
    <s v="GTX Basic"/>
    <s v="Betatech"/>
    <x v="2"/>
    <d v="2017-07-17T00:00:00"/>
    <x v="216"/>
    <n v="0"/>
  </r>
  <r>
    <x v="4842"/>
    <x v="3"/>
    <x v="0"/>
    <x v="0"/>
    <s v="MG Special"/>
    <s v="Streethex"/>
    <x v="2"/>
    <d v="2017-07-17T00:00:00"/>
    <x v="215"/>
    <n v="0"/>
  </r>
  <r>
    <x v="4843"/>
    <x v="25"/>
    <x v="4"/>
    <x v="2"/>
    <s v="GTX Basic"/>
    <s v="Kinnamplus"/>
    <x v="1"/>
    <d v="2017-07-17T00:00:00"/>
    <x v="6"/>
    <m/>
  </r>
  <r>
    <x v="4844"/>
    <x v="25"/>
    <x v="4"/>
    <x v="2"/>
    <s v="MG Special"/>
    <m/>
    <x v="1"/>
    <d v="2017-07-17T00:00:00"/>
    <x v="6"/>
    <m/>
  </r>
  <r>
    <x v="4845"/>
    <x v="23"/>
    <x v="4"/>
    <x v="2"/>
    <s v="MG Advanced"/>
    <m/>
    <x v="1"/>
    <d v="2017-07-17T00:00:00"/>
    <x v="6"/>
    <m/>
  </r>
  <r>
    <x v="4846"/>
    <x v="23"/>
    <x v="4"/>
    <x v="2"/>
    <s v="MG Advanced"/>
    <s v="Silis"/>
    <x v="2"/>
    <d v="2017-07-17T00:00:00"/>
    <x v="219"/>
    <n v="0"/>
  </r>
  <r>
    <x v="4847"/>
    <x v="23"/>
    <x v="4"/>
    <x v="2"/>
    <s v="GTX Plus Basic"/>
    <s v="Plussunin"/>
    <x v="0"/>
    <d v="2017-07-17T00:00:00"/>
    <x v="211"/>
    <n v="1202"/>
  </r>
  <r>
    <x v="4848"/>
    <x v="28"/>
    <x v="0"/>
    <x v="0"/>
    <s v="MG Advanced"/>
    <s v="Funholding"/>
    <x v="2"/>
    <d v="2017-07-17T00:00:00"/>
    <x v="129"/>
    <n v="0"/>
  </r>
  <r>
    <x v="4849"/>
    <x v="28"/>
    <x v="0"/>
    <x v="0"/>
    <s v="MG Special"/>
    <s v="Funholding"/>
    <x v="0"/>
    <d v="2017-07-17T00:00:00"/>
    <x v="197"/>
    <n v="51"/>
  </r>
  <r>
    <x v="4850"/>
    <x v="13"/>
    <x v="4"/>
    <x v="2"/>
    <s v="GTX Plus Basic"/>
    <s v="Kan-code"/>
    <x v="2"/>
    <d v="2017-07-17T00:00:00"/>
    <x v="204"/>
    <n v="0"/>
  </r>
  <r>
    <x v="4851"/>
    <x v="1"/>
    <x v="1"/>
    <x v="0"/>
    <s v="GTX Plus Basic"/>
    <s v="Finhigh"/>
    <x v="2"/>
    <d v="2017-07-17T00:00:00"/>
    <x v="204"/>
    <n v="0"/>
  </r>
  <r>
    <x v="4852"/>
    <x v="1"/>
    <x v="1"/>
    <x v="0"/>
    <s v="GTXPro"/>
    <s v="Rundofase"/>
    <x v="2"/>
    <d v="2017-07-17T00:00:00"/>
    <x v="219"/>
    <n v="0"/>
  </r>
  <r>
    <x v="4853"/>
    <x v="1"/>
    <x v="1"/>
    <x v="0"/>
    <s v="GTX Plus Basic"/>
    <s v="Scottech"/>
    <x v="0"/>
    <d v="2017-07-17T00:00:00"/>
    <x v="169"/>
    <n v="1203"/>
  </r>
  <r>
    <x v="4854"/>
    <x v="1"/>
    <x v="1"/>
    <x v="0"/>
    <s v="GTXPro"/>
    <s v="Isdom"/>
    <x v="0"/>
    <d v="2017-07-17T00:00:00"/>
    <x v="206"/>
    <n v="5673"/>
  </r>
  <r>
    <x v="4855"/>
    <x v="26"/>
    <x v="4"/>
    <x v="2"/>
    <s v="GTX Plus Pro"/>
    <s v="Gekko &amp; Co"/>
    <x v="0"/>
    <d v="2017-07-17T00:00:00"/>
    <x v="166"/>
    <n v="6205"/>
  </r>
  <r>
    <x v="4856"/>
    <x v="14"/>
    <x v="3"/>
    <x v="1"/>
    <s v="MG Advanced"/>
    <m/>
    <x v="1"/>
    <d v="2017-07-17T00:00:00"/>
    <x v="6"/>
    <m/>
  </r>
  <r>
    <x v="4857"/>
    <x v="14"/>
    <x v="3"/>
    <x v="1"/>
    <s v="GTX Plus Pro"/>
    <s v="Sonron"/>
    <x v="2"/>
    <d v="2017-07-17T00:00:00"/>
    <x v="126"/>
    <n v="0"/>
  </r>
  <r>
    <x v="4858"/>
    <x v="10"/>
    <x v="3"/>
    <x v="1"/>
    <s v="MG Advanced"/>
    <s v="Cheers"/>
    <x v="0"/>
    <d v="2017-07-17T00:00:00"/>
    <x v="214"/>
    <n v="3363"/>
  </r>
  <r>
    <x v="4859"/>
    <x v="10"/>
    <x v="3"/>
    <x v="1"/>
    <s v="MG Advanced"/>
    <s v="Konex"/>
    <x v="0"/>
    <d v="2017-07-17T00:00:00"/>
    <x v="197"/>
    <n v="3700"/>
  </r>
  <r>
    <x v="4860"/>
    <x v="7"/>
    <x v="2"/>
    <x v="1"/>
    <s v="GTXPro"/>
    <s v="Kan-code"/>
    <x v="2"/>
    <d v="2017-07-17T00:00:00"/>
    <x v="196"/>
    <n v="0"/>
  </r>
  <r>
    <x v="4861"/>
    <x v="29"/>
    <x v="1"/>
    <x v="0"/>
    <s v="GTX Basic"/>
    <s v="Codehow"/>
    <x v="0"/>
    <d v="2017-07-17T00:00:00"/>
    <x v="178"/>
    <n v="546"/>
  </r>
  <r>
    <x v="4862"/>
    <x v="29"/>
    <x v="1"/>
    <x v="0"/>
    <s v="GTX Basic"/>
    <s v="Toughzap"/>
    <x v="0"/>
    <d v="2017-07-17T00:00:00"/>
    <x v="214"/>
    <n v="617"/>
  </r>
  <r>
    <x v="4863"/>
    <x v="29"/>
    <x v="1"/>
    <x v="0"/>
    <s v="GTX Basic"/>
    <s v="Warephase"/>
    <x v="0"/>
    <d v="2017-07-17T00:00:00"/>
    <x v="216"/>
    <n v="490"/>
  </r>
  <r>
    <x v="4864"/>
    <x v="16"/>
    <x v="2"/>
    <x v="1"/>
    <s v="GTX Basic"/>
    <s v="Konex"/>
    <x v="2"/>
    <d v="2017-07-17T00:00:00"/>
    <x v="206"/>
    <n v="0"/>
  </r>
  <r>
    <x v="4865"/>
    <x v="16"/>
    <x v="2"/>
    <x v="1"/>
    <s v="GTX Basic"/>
    <s v="Nam-zim"/>
    <x v="2"/>
    <d v="2017-07-17T00:00:00"/>
    <x v="208"/>
    <n v="0"/>
  </r>
  <r>
    <x v="4866"/>
    <x v="18"/>
    <x v="2"/>
    <x v="1"/>
    <s v="MG Advanced"/>
    <s v="Kan-code"/>
    <x v="0"/>
    <d v="2017-07-17T00:00:00"/>
    <x v="216"/>
    <n v="3665"/>
  </r>
  <r>
    <x v="4867"/>
    <x v="24"/>
    <x v="0"/>
    <x v="0"/>
    <s v="GTX Plus Basic"/>
    <s v="Warephase"/>
    <x v="2"/>
    <d v="2017-07-17T00:00:00"/>
    <x v="214"/>
    <n v="0"/>
  </r>
  <r>
    <x v="4868"/>
    <x v="5"/>
    <x v="3"/>
    <x v="1"/>
    <s v="MG Advanced"/>
    <s v="Hatfan"/>
    <x v="2"/>
    <d v="2017-07-17T00:00:00"/>
    <x v="204"/>
    <n v="0"/>
  </r>
  <r>
    <x v="4869"/>
    <x v="22"/>
    <x v="1"/>
    <x v="0"/>
    <s v="MG Special"/>
    <s v="Rangreen"/>
    <x v="0"/>
    <d v="2017-07-17T00:00:00"/>
    <x v="216"/>
    <n v="53"/>
  </r>
  <r>
    <x v="4870"/>
    <x v="9"/>
    <x v="2"/>
    <x v="1"/>
    <s v="GTX Plus Basic"/>
    <s v="Finjob"/>
    <x v="2"/>
    <d v="2017-07-17T00:00:00"/>
    <x v="183"/>
    <n v="0"/>
  </r>
  <r>
    <x v="4871"/>
    <x v="9"/>
    <x v="2"/>
    <x v="1"/>
    <s v="GTX Plus Basic"/>
    <s v="Singletechno"/>
    <x v="0"/>
    <d v="2017-07-17T00:00:00"/>
    <x v="220"/>
    <n v="1075"/>
  </r>
  <r>
    <x v="4872"/>
    <x v="9"/>
    <x v="2"/>
    <x v="1"/>
    <s v="GTXPro"/>
    <s v="Sonron"/>
    <x v="0"/>
    <d v="2017-07-17T00:00:00"/>
    <x v="213"/>
    <n v="4683"/>
  </r>
  <r>
    <x v="4873"/>
    <x v="6"/>
    <x v="1"/>
    <x v="0"/>
    <s v="GTX Plus Basic"/>
    <s v="Statholdings"/>
    <x v="0"/>
    <d v="2017-07-17T00:00:00"/>
    <x v="218"/>
    <n v="1114"/>
  </r>
  <r>
    <x v="4874"/>
    <x v="19"/>
    <x v="4"/>
    <x v="2"/>
    <s v="GTXPro"/>
    <s v="Betasoloin"/>
    <x v="0"/>
    <d v="2017-07-17T00:00:00"/>
    <x v="221"/>
    <n v="5452"/>
  </r>
  <r>
    <x v="4875"/>
    <x v="11"/>
    <x v="3"/>
    <x v="1"/>
    <s v="GTXPro"/>
    <s v="Groovestreet"/>
    <x v="0"/>
    <d v="2017-07-17T00:00:00"/>
    <x v="167"/>
    <n v="5561"/>
  </r>
  <r>
    <x v="4876"/>
    <x v="17"/>
    <x v="5"/>
    <x v="2"/>
    <s v="MG Special"/>
    <s v="Plussunin"/>
    <x v="0"/>
    <d v="2017-07-17T00:00:00"/>
    <x v="213"/>
    <n v="57"/>
  </r>
  <r>
    <x v="4877"/>
    <x v="12"/>
    <x v="0"/>
    <x v="0"/>
    <s v="MG Special"/>
    <s v="Streethex"/>
    <x v="2"/>
    <d v="2017-07-17T00:00:00"/>
    <x v="126"/>
    <n v="0"/>
  </r>
  <r>
    <x v="4878"/>
    <x v="4"/>
    <x v="3"/>
    <x v="1"/>
    <s v="GTX Plus Pro"/>
    <s v="Sonron"/>
    <x v="1"/>
    <d v="2017-07-17T00:00:00"/>
    <x v="6"/>
    <m/>
  </r>
  <r>
    <x v="4879"/>
    <x v="4"/>
    <x v="3"/>
    <x v="1"/>
    <s v="GTXPro"/>
    <s v="Kan-code"/>
    <x v="2"/>
    <d v="2017-07-17T00:00:00"/>
    <x v="179"/>
    <n v="0"/>
  </r>
  <r>
    <x v="4880"/>
    <x v="4"/>
    <x v="3"/>
    <x v="1"/>
    <s v="MG Advanced"/>
    <s v="Cheers"/>
    <x v="2"/>
    <d v="2017-07-17T00:00:00"/>
    <x v="222"/>
    <n v="0"/>
  </r>
  <r>
    <x v="4881"/>
    <x v="4"/>
    <x v="3"/>
    <x v="1"/>
    <s v="GTX Basic"/>
    <s v="Goodsilron"/>
    <x v="0"/>
    <d v="2017-07-17T00:00:00"/>
    <x v="204"/>
    <n v="496"/>
  </r>
  <r>
    <x v="4882"/>
    <x v="4"/>
    <x v="3"/>
    <x v="1"/>
    <s v="GTXPro"/>
    <s v="Lexiqvolax"/>
    <x v="0"/>
    <d v="2017-07-17T00:00:00"/>
    <x v="180"/>
    <n v="5054"/>
  </r>
  <r>
    <x v="4883"/>
    <x v="15"/>
    <x v="5"/>
    <x v="2"/>
    <s v="MG Special"/>
    <s v="Bluth Company"/>
    <x v="2"/>
    <d v="2017-07-17T00:00:00"/>
    <x v="204"/>
    <n v="0"/>
  </r>
  <r>
    <x v="4884"/>
    <x v="15"/>
    <x v="5"/>
    <x v="2"/>
    <s v="MG Special"/>
    <s v="Gekko &amp; Co"/>
    <x v="0"/>
    <d v="2017-07-17T00:00:00"/>
    <x v="136"/>
    <n v="55"/>
  </r>
  <r>
    <x v="4885"/>
    <x v="2"/>
    <x v="2"/>
    <x v="1"/>
    <s v="GTX Plus Basic"/>
    <s v="Lexiqvolax"/>
    <x v="2"/>
    <d v="2017-07-17T00:00:00"/>
    <x v="216"/>
    <n v="0"/>
  </r>
  <r>
    <x v="4886"/>
    <x v="2"/>
    <x v="2"/>
    <x v="1"/>
    <s v="GTXPro"/>
    <s v="Xx-holding"/>
    <x v="2"/>
    <d v="2017-07-17T00:00:00"/>
    <x v="218"/>
    <n v="0"/>
  </r>
  <r>
    <x v="4887"/>
    <x v="2"/>
    <x v="2"/>
    <x v="1"/>
    <s v="GTX Plus Basic"/>
    <s v="Singletechno"/>
    <x v="0"/>
    <d v="2017-07-17T00:00:00"/>
    <x v="177"/>
    <n v="1064"/>
  </r>
  <r>
    <x v="4888"/>
    <x v="2"/>
    <x v="2"/>
    <x v="1"/>
    <s v="GTXPro"/>
    <s v="Goodsilron"/>
    <x v="0"/>
    <d v="2017-07-17T00:00:00"/>
    <x v="219"/>
    <n v="5268"/>
  </r>
  <r>
    <x v="4889"/>
    <x v="3"/>
    <x v="0"/>
    <x v="0"/>
    <s v="MG Special"/>
    <s v="Condax"/>
    <x v="0"/>
    <d v="2017-07-18T00:00:00"/>
    <x v="218"/>
    <n v="54"/>
  </r>
  <r>
    <x v="4890"/>
    <x v="23"/>
    <x v="4"/>
    <x v="2"/>
    <s v="MG Advanced"/>
    <s v="Opentech"/>
    <x v="0"/>
    <d v="2017-07-18T00:00:00"/>
    <x v="219"/>
    <n v="3407"/>
  </r>
  <r>
    <x v="4891"/>
    <x v="27"/>
    <x v="5"/>
    <x v="2"/>
    <s v="GTX Plus Basic"/>
    <m/>
    <x v="1"/>
    <d v="2017-07-18T00:00:00"/>
    <x v="6"/>
    <m/>
  </r>
  <r>
    <x v="4892"/>
    <x v="13"/>
    <x v="4"/>
    <x v="2"/>
    <s v="GTX Basic"/>
    <s v="Bubba Gump"/>
    <x v="2"/>
    <d v="2017-07-18T00:00:00"/>
    <x v="129"/>
    <n v="0"/>
  </r>
  <r>
    <x v="4893"/>
    <x v="1"/>
    <x v="1"/>
    <x v="0"/>
    <s v="GTXPro"/>
    <s v="Rundofase"/>
    <x v="2"/>
    <d v="2017-07-18T00:00:00"/>
    <x v="155"/>
    <n v="0"/>
  </r>
  <r>
    <x v="4894"/>
    <x v="1"/>
    <x v="1"/>
    <x v="0"/>
    <s v="MG Special"/>
    <s v="dambase"/>
    <x v="2"/>
    <d v="2017-07-18T00:00:00"/>
    <x v="216"/>
    <n v="0"/>
  </r>
  <r>
    <x v="4895"/>
    <x v="1"/>
    <x v="1"/>
    <x v="0"/>
    <s v="GTX Plus Basic"/>
    <s v="Treequote"/>
    <x v="0"/>
    <d v="2017-07-18T00:00:00"/>
    <x v="206"/>
    <n v="752"/>
  </r>
  <r>
    <x v="4896"/>
    <x v="1"/>
    <x v="1"/>
    <x v="0"/>
    <s v="MG Advanced"/>
    <s v="Statholdings"/>
    <x v="0"/>
    <d v="2017-07-18T00:00:00"/>
    <x v="142"/>
    <n v="3727"/>
  </r>
  <r>
    <x v="4897"/>
    <x v="14"/>
    <x v="3"/>
    <x v="1"/>
    <s v="MG Special"/>
    <s v="Condax"/>
    <x v="2"/>
    <d v="2017-07-18T00:00:00"/>
    <x v="223"/>
    <n v="0"/>
  </r>
  <r>
    <x v="4898"/>
    <x v="14"/>
    <x v="3"/>
    <x v="1"/>
    <s v="GTX Basic"/>
    <s v="Zoomit"/>
    <x v="0"/>
    <d v="2017-07-18T00:00:00"/>
    <x v="219"/>
    <n v="532"/>
  </r>
  <r>
    <x v="4899"/>
    <x v="21"/>
    <x v="5"/>
    <x v="2"/>
    <s v="GTX Plus Pro"/>
    <s v="Xx-zobam"/>
    <x v="2"/>
    <d v="2017-07-18T00:00:00"/>
    <x v="224"/>
    <n v="0"/>
  </r>
  <r>
    <x v="4900"/>
    <x v="8"/>
    <x v="1"/>
    <x v="0"/>
    <s v="GTX Plus Pro"/>
    <s v="Hottechi"/>
    <x v="2"/>
    <d v="2017-07-18T00:00:00"/>
    <x v="209"/>
    <n v="0"/>
  </r>
  <r>
    <x v="4901"/>
    <x v="8"/>
    <x v="1"/>
    <x v="0"/>
    <s v="GTX Plus Pro"/>
    <s v="Inity"/>
    <x v="2"/>
    <d v="2017-07-18T00:00:00"/>
    <x v="109"/>
    <n v="0"/>
  </r>
  <r>
    <x v="4902"/>
    <x v="8"/>
    <x v="1"/>
    <x v="0"/>
    <s v="MG Advanced"/>
    <s v="Condax"/>
    <x v="0"/>
    <d v="2017-07-18T00:00:00"/>
    <x v="173"/>
    <n v="3139"/>
  </r>
  <r>
    <x v="4903"/>
    <x v="10"/>
    <x v="3"/>
    <x v="1"/>
    <s v="MG Advanced"/>
    <s v="Finjob"/>
    <x v="0"/>
    <d v="2017-07-18T00:00:00"/>
    <x v="219"/>
    <n v="3403"/>
  </r>
  <r>
    <x v="4904"/>
    <x v="7"/>
    <x v="2"/>
    <x v="1"/>
    <s v="MG Advanced"/>
    <m/>
    <x v="1"/>
    <d v="2017-07-18T00:00:00"/>
    <x v="6"/>
    <m/>
  </r>
  <r>
    <x v="4905"/>
    <x v="7"/>
    <x v="2"/>
    <x v="1"/>
    <s v="GTX Plus Pro"/>
    <s v="Plusstrip"/>
    <x v="0"/>
    <d v="2017-07-18T00:00:00"/>
    <x v="218"/>
    <n v="5440"/>
  </r>
  <r>
    <x v="4906"/>
    <x v="22"/>
    <x v="1"/>
    <x v="0"/>
    <s v="GTX Plus Pro"/>
    <s v="Globex Corporation"/>
    <x v="0"/>
    <d v="2017-07-18T00:00:00"/>
    <x v="216"/>
    <n v="5698"/>
  </r>
  <r>
    <x v="4907"/>
    <x v="9"/>
    <x v="2"/>
    <x v="1"/>
    <s v="GTX Plus Basic"/>
    <m/>
    <x v="1"/>
    <d v="2017-07-18T00:00:00"/>
    <x v="6"/>
    <m/>
  </r>
  <r>
    <x v="4908"/>
    <x v="0"/>
    <x v="0"/>
    <x v="0"/>
    <s v="GTX Plus Pro"/>
    <s v="Streethex"/>
    <x v="2"/>
    <d v="2017-07-18T00:00:00"/>
    <x v="206"/>
    <n v="0"/>
  </r>
  <r>
    <x v="4909"/>
    <x v="0"/>
    <x v="0"/>
    <x v="0"/>
    <s v="GTX Basic"/>
    <s v="Genco Pura Olive Oil Company"/>
    <x v="0"/>
    <d v="2017-07-18T00:00:00"/>
    <x v="219"/>
    <n v="563"/>
  </r>
  <r>
    <x v="4910"/>
    <x v="6"/>
    <x v="1"/>
    <x v="0"/>
    <s v="GTX Basic"/>
    <s v="Stanredtax"/>
    <x v="2"/>
    <d v="2017-07-18T00:00:00"/>
    <x v="219"/>
    <n v="0"/>
  </r>
  <r>
    <x v="4911"/>
    <x v="17"/>
    <x v="5"/>
    <x v="2"/>
    <s v="GTX Basic"/>
    <s v="Kan-code"/>
    <x v="2"/>
    <d v="2017-07-18T00:00:00"/>
    <x v="216"/>
    <n v="0"/>
  </r>
  <r>
    <x v="4912"/>
    <x v="4"/>
    <x v="3"/>
    <x v="1"/>
    <s v="MG Special"/>
    <s v="Konex"/>
    <x v="2"/>
    <d v="2017-07-18T00:00:00"/>
    <x v="213"/>
    <n v="0"/>
  </r>
  <r>
    <x v="4913"/>
    <x v="4"/>
    <x v="3"/>
    <x v="1"/>
    <s v="GTX Plus Pro"/>
    <s v="Sonron"/>
    <x v="0"/>
    <d v="2017-07-18T00:00:00"/>
    <x v="218"/>
    <n v="4673"/>
  </r>
  <r>
    <x v="4914"/>
    <x v="4"/>
    <x v="3"/>
    <x v="1"/>
    <s v="MG Advanced"/>
    <s v="Konex"/>
    <x v="0"/>
    <d v="2017-07-18T00:00:00"/>
    <x v="219"/>
    <n v="3405"/>
  </r>
  <r>
    <x v="4915"/>
    <x v="15"/>
    <x v="5"/>
    <x v="2"/>
    <s v="GTX Basic"/>
    <m/>
    <x v="1"/>
    <d v="2017-07-18T00:00:00"/>
    <x v="6"/>
    <m/>
  </r>
  <r>
    <x v="4916"/>
    <x v="15"/>
    <x v="5"/>
    <x v="2"/>
    <s v="GTX Basic"/>
    <s v="Umbrella Corporation"/>
    <x v="0"/>
    <d v="2017-07-18T00:00:00"/>
    <x v="225"/>
    <n v="566"/>
  </r>
  <r>
    <x v="4917"/>
    <x v="20"/>
    <x v="5"/>
    <x v="2"/>
    <s v="GTX Plus Pro"/>
    <s v="Konex"/>
    <x v="0"/>
    <d v="2017-07-18T00:00:00"/>
    <x v="205"/>
    <n v="5559"/>
  </r>
  <r>
    <x v="4918"/>
    <x v="2"/>
    <x v="2"/>
    <x v="1"/>
    <s v="GTXPro"/>
    <s v="Scotfind"/>
    <x v="2"/>
    <d v="2017-07-18T00:00:00"/>
    <x v="213"/>
    <n v="0"/>
  </r>
  <r>
    <x v="4919"/>
    <x v="2"/>
    <x v="2"/>
    <x v="1"/>
    <s v="GTXPro"/>
    <s v="Goodsilron"/>
    <x v="0"/>
    <d v="2017-07-18T00:00:00"/>
    <x v="169"/>
    <n v="4797"/>
  </r>
  <r>
    <x v="4920"/>
    <x v="3"/>
    <x v="0"/>
    <x v="0"/>
    <s v="GTX Basic"/>
    <m/>
    <x v="1"/>
    <d v="2017-07-19T00:00:00"/>
    <x v="6"/>
    <m/>
  </r>
  <r>
    <x v="4921"/>
    <x v="3"/>
    <x v="0"/>
    <x v="0"/>
    <s v="MG Special"/>
    <s v="Dontechi"/>
    <x v="1"/>
    <d v="2017-07-19T00:00:00"/>
    <x v="6"/>
    <m/>
  </r>
  <r>
    <x v="4922"/>
    <x v="3"/>
    <x v="0"/>
    <x v="0"/>
    <s v="MG Special"/>
    <s v="Konmatfix"/>
    <x v="1"/>
    <d v="2017-07-19T00:00:00"/>
    <x v="6"/>
    <m/>
  </r>
  <r>
    <x v="4923"/>
    <x v="3"/>
    <x v="0"/>
    <x v="0"/>
    <s v="MG Special"/>
    <s v="Dontechi"/>
    <x v="2"/>
    <d v="2017-07-19T00:00:00"/>
    <x v="224"/>
    <n v="0"/>
  </r>
  <r>
    <x v="4924"/>
    <x v="3"/>
    <x v="0"/>
    <x v="0"/>
    <s v="MG Special"/>
    <s v="Betatech"/>
    <x v="0"/>
    <d v="2017-07-19T00:00:00"/>
    <x v="213"/>
    <n v="53"/>
  </r>
  <r>
    <x v="4925"/>
    <x v="23"/>
    <x v="4"/>
    <x v="2"/>
    <s v="MG Advanced"/>
    <s v="Zotware"/>
    <x v="2"/>
    <d v="2017-07-19T00:00:00"/>
    <x v="173"/>
    <n v="0"/>
  </r>
  <r>
    <x v="4926"/>
    <x v="28"/>
    <x v="0"/>
    <x v="0"/>
    <s v="MG Special"/>
    <m/>
    <x v="1"/>
    <d v="2017-07-19T00:00:00"/>
    <x v="6"/>
    <m/>
  </r>
  <r>
    <x v="4927"/>
    <x v="28"/>
    <x v="0"/>
    <x v="0"/>
    <s v="MG Special"/>
    <m/>
    <x v="1"/>
    <d v="2017-07-19T00:00:00"/>
    <x v="6"/>
    <m/>
  </r>
  <r>
    <x v="4928"/>
    <x v="27"/>
    <x v="5"/>
    <x v="2"/>
    <s v="GTX Plus Basic"/>
    <s v="Donquadtech"/>
    <x v="0"/>
    <d v="2017-07-19T00:00:00"/>
    <x v="224"/>
    <n v="955"/>
  </r>
  <r>
    <x v="4929"/>
    <x v="13"/>
    <x v="4"/>
    <x v="2"/>
    <s v="GTX Plus Pro"/>
    <s v="Yearin"/>
    <x v="2"/>
    <d v="2017-07-19T00:00:00"/>
    <x v="224"/>
    <n v="0"/>
  </r>
  <r>
    <x v="4930"/>
    <x v="1"/>
    <x v="1"/>
    <x v="0"/>
    <s v="GTX Basic"/>
    <m/>
    <x v="1"/>
    <d v="2017-07-19T00:00:00"/>
    <x v="6"/>
    <m/>
  </r>
  <r>
    <x v="4931"/>
    <x v="1"/>
    <x v="1"/>
    <x v="0"/>
    <s v="GTX Plus Pro"/>
    <s v="Isdom"/>
    <x v="1"/>
    <d v="2017-07-19T00:00:00"/>
    <x v="6"/>
    <m/>
  </r>
  <r>
    <x v="4932"/>
    <x v="1"/>
    <x v="1"/>
    <x v="0"/>
    <s v="GTXPro"/>
    <m/>
    <x v="1"/>
    <d v="2017-07-19T00:00:00"/>
    <x v="6"/>
    <m/>
  </r>
  <r>
    <x v="4933"/>
    <x v="1"/>
    <x v="1"/>
    <x v="0"/>
    <s v="GTXPro"/>
    <s v="Betatech"/>
    <x v="2"/>
    <d v="2017-07-19T00:00:00"/>
    <x v="215"/>
    <n v="0"/>
  </r>
  <r>
    <x v="4934"/>
    <x v="1"/>
    <x v="1"/>
    <x v="0"/>
    <s v="GTX Plus Basic"/>
    <s v="Globex Corporation"/>
    <x v="0"/>
    <d v="2017-07-19T00:00:00"/>
    <x v="126"/>
    <n v="1060"/>
  </r>
  <r>
    <x v="4935"/>
    <x v="1"/>
    <x v="1"/>
    <x v="0"/>
    <s v="GTXPro"/>
    <s v="Gogozoom"/>
    <x v="0"/>
    <d v="2017-07-19T00:00:00"/>
    <x v="216"/>
    <n v="5401"/>
  </r>
  <r>
    <x v="4936"/>
    <x v="14"/>
    <x v="3"/>
    <x v="1"/>
    <s v="GTXPro"/>
    <m/>
    <x v="1"/>
    <d v="2017-07-19T00:00:00"/>
    <x v="6"/>
    <m/>
  </r>
  <r>
    <x v="4937"/>
    <x v="21"/>
    <x v="5"/>
    <x v="2"/>
    <s v="GTX Plus Pro"/>
    <s v="Kan-code"/>
    <x v="0"/>
    <d v="2017-07-19T00:00:00"/>
    <x v="216"/>
    <n v="4895"/>
  </r>
  <r>
    <x v="4938"/>
    <x v="8"/>
    <x v="1"/>
    <x v="0"/>
    <s v="GTX Plus Pro"/>
    <s v="Treequote"/>
    <x v="0"/>
    <d v="2017-07-19T00:00:00"/>
    <x v="208"/>
    <n v="4907"/>
  </r>
  <r>
    <x v="4939"/>
    <x v="10"/>
    <x v="3"/>
    <x v="1"/>
    <s v="MG Special"/>
    <s v="Xx-zobam"/>
    <x v="1"/>
    <d v="2017-07-19T00:00:00"/>
    <x v="6"/>
    <m/>
  </r>
  <r>
    <x v="4940"/>
    <x v="10"/>
    <x v="3"/>
    <x v="1"/>
    <s v="MG Advanced"/>
    <s v="Y-corporation"/>
    <x v="2"/>
    <d v="2017-07-19T00:00:00"/>
    <x v="222"/>
    <n v="0"/>
  </r>
  <r>
    <x v="4941"/>
    <x v="10"/>
    <x v="3"/>
    <x v="1"/>
    <s v="GTX Plus Basic"/>
    <s v="Sunnamplex"/>
    <x v="0"/>
    <d v="2017-07-19T00:00:00"/>
    <x v="182"/>
    <n v="1170"/>
  </r>
  <r>
    <x v="4942"/>
    <x v="10"/>
    <x v="3"/>
    <x v="1"/>
    <s v="MG Advanced"/>
    <s v="Faxquote"/>
    <x v="0"/>
    <d v="2017-07-19T00:00:00"/>
    <x v="219"/>
    <n v="2718"/>
  </r>
  <r>
    <x v="4943"/>
    <x v="7"/>
    <x v="2"/>
    <x v="1"/>
    <s v="MG Special"/>
    <s v="Plusstrip"/>
    <x v="2"/>
    <d v="2017-07-19T00:00:00"/>
    <x v="155"/>
    <n v="0"/>
  </r>
  <r>
    <x v="4944"/>
    <x v="29"/>
    <x v="1"/>
    <x v="0"/>
    <s v="GTXPro"/>
    <s v="Inity"/>
    <x v="1"/>
    <d v="2017-07-19T00:00:00"/>
    <x v="6"/>
    <m/>
  </r>
  <r>
    <x v="4945"/>
    <x v="16"/>
    <x v="2"/>
    <x v="1"/>
    <s v="GTX Basic"/>
    <s v="Kan-code"/>
    <x v="2"/>
    <d v="2017-07-19T00:00:00"/>
    <x v="217"/>
    <n v="0"/>
  </r>
  <r>
    <x v="4946"/>
    <x v="18"/>
    <x v="2"/>
    <x v="1"/>
    <s v="GTX Basic"/>
    <s v="Green-Plus"/>
    <x v="2"/>
    <d v="2017-07-19T00:00:00"/>
    <x v="224"/>
    <n v="0"/>
  </r>
  <r>
    <x v="4947"/>
    <x v="18"/>
    <x v="2"/>
    <x v="1"/>
    <s v="MG Special"/>
    <s v="Plexzap"/>
    <x v="2"/>
    <d v="2017-07-19T00:00:00"/>
    <x v="208"/>
    <n v="0"/>
  </r>
  <r>
    <x v="4948"/>
    <x v="18"/>
    <x v="2"/>
    <x v="1"/>
    <s v="GTX Basic"/>
    <s v="Goodsilron"/>
    <x v="0"/>
    <d v="2017-07-19T00:00:00"/>
    <x v="143"/>
    <n v="624"/>
  </r>
  <r>
    <x v="4949"/>
    <x v="24"/>
    <x v="0"/>
    <x v="0"/>
    <s v="GTX Plus Basic"/>
    <s v="Konmatfix"/>
    <x v="1"/>
    <d v="2017-07-19T00:00:00"/>
    <x v="6"/>
    <m/>
  </r>
  <r>
    <x v="4950"/>
    <x v="24"/>
    <x v="0"/>
    <x v="0"/>
    <s v="MG Special"/>
    <m/>
    <x v="1"/>
    <d v="2017-07-19T00:00:00"/>
    <x v="6"/>
    <m/>
  </r>
  <r>
    <x v="4951"/>
    <x v="24"/>
    <x v="0"/>
    <x v="0"/>
    <s v="GTX Plus Pro"/>
    <s v="Isdom"/>
    <x v="2"/>
    <d v="2017-07-19T00:00:00"/>
    <x v="224"/>
    <n v="0"/>
  </r>
  <r>
    <x v="4952"/>
    <x v="24"/>
    <x v="0"/>
    <x v="0"/>
    <s v="MG Advanced"/>
    <s v="Cancity"/>
    <x v="2"/>
    <d v="2017-07-19T00:00:00"/>
    <x v="110"/>
    <n v="0"/>
  </r>
  <r>
    <x v="4953"/>
    <x v="24"/>
    <x v="0"/>
    <x v="0"/>
    <s v="GTX Basic"/>
    <s v="Genco Pura Olive Oil Company"/>
    <x v="0"/>
    <d v="2017-07-19T00:00:00"/>
    <x v="222"/>
    <n v="537"/>
  </r>
  <r>
    <x v="4954"/>
    <x v="24"/>
    <x v="0"/>
    <x v="0"/>
    <s v="GTX Plus Basic"/>
    <s v="Dontechi"/>
    <x v="0"/>
    <d v="2017-07-19T00:00:00"/>
    <x v="224"/>
    <n v="1089"/>
  </r>
  <r>
    <x v="4955"/>
    <x v="24"/>
    <x v="0"/>
    <x v="0"/>
    <s v="MG Advanced"/>
    <s v="Codehow"/>
    <x v="0"/>
    <d v="2017-07-19T00:00:00"/>
    <x v="218"/>
    <n v="3352"/>
  </r>
  <r>
    <x v="4956"/>
    <x v="5"/>
    <x v="3"/>
    <x v="1"/>
    <s v="GTXPro"/>
    <s v="Rantouch"/>
    <x v="2"/>
    <d v="2017-07-19T00:00:00"/>
    <x v="196"/>
    <n v="0"/>
  </r>
  <r>
    <x v="4957"/>
    <x v="5"/>
    <x v="3"/>
    <x v="1"/>
    <s v="GTX Basic"/>
    <s v="Singletechno"/>
    <x v="0"/>
    <d v="2017-07-19T00:00:00"/>
    <x v="209"/>
    <n v="535"/>
  </r>
  <r>
    <x v="4958"/>
    <x v="22"/>
    <x v="1"/>
    <x v="0"/>
    <s v="GTX Plus Pro"/>
    <s v="Ontomedia"/>
    <x v="1"/>
    <d v="2017-07-19T00:00:00"/>
    <x v="6"/>
    <m/>
  </r>
  <r>
    <x v="4959"/>
    <x v="22"/>
    <x v="1"/>
    <x v="0"/>
    <s v="MG Advanced"/>
    <m/>
    <x v="1"/>
    <d v="2017-07-19T00:00:00"/>
    <x v="6"/>
    <m/>
  </r>
  <r>
    <x v="4960"/>
    <x v="22"/>
    <x v="1"/>
    <x v="0"/>
    <s v="GTX Basic"/>
    <s v="Rangreen"/>
    <x v="0"/>
    <d v="2017-07-19T00:00:00"/>
    <x v="174"/>
    <n v="571"/>
  </r>
  <r>
    <x v="4961"/>
    <x v="9"/>
    <x v="2"/>
    <x v="1"/>
    <s v="MG Advanced"/>
    <s v="Cheers"/>
    <x v="0"/>
    <d v="2017-07-19T00:00:00"/>
    <x v="181"/>
    <n v="3535"/>
  </r>
  <r>
    <x v="4962"/>
    <x v="0"/>
    <x v="0"/>
    <x v="0"/>
    <s v="GTX Basic"/>
    <m/>
    <x v="1"/>
    <d v="2017-07-19T00:00:00"/>
    <x v="6"/>
    <m/>
  </r>
  <r>
    <x v="4963"/>
    <x v="0"/>
    <x v="0"/>
    <x v="0"/>
    <s v="MG Advanced"/>
    <s v="Bioholding"/>
    <x v="0"/>
    <d v="2017-07-19T00:00:00"/>
    <x v="218"/>
    <n v="3985"/>
  </r>
  <r>
    <x v="4964"/>
    <x v="6"/>
    <x v="1"/>
    <x v="0"/>
    <s v="GTX Basic"/>
    <s v="Hatfan"/>
    <x v="1"/>
    <d v="2017-07-19T00:00:00"/>
    <x v="6"/>
    <m/>
  </r>
  <r>
    <x v="4965"/>
    <x v="17"/>
    <x v="5"/>
    <x v="2"/>
    <s v="MG Advanced"/>
    <s v="Massive Dynamic"/>
    <x v="0"/>
    <d v="2017-07-19T00:00:00"/>
    <x v="208"/>
    <n v="3568"/>
  </r>
  <r>
    <x v="4966"/>
    <x v="12"/>
    <x v="0"/>
    <x v="0"/>
    <s v="GTX Basic"/>
    <m/>
    <x v="1"/>
    <d v="2017-07-19T00:00:00"/>
    <x v="6"/>
    <m/>
  </r>
  <r>
    <x v="4967"/>
    <x v="12"/>
    <x v="0"/>
    <x v="0"/>
    <s v="MG Special"/>
    <s v="Bioholding"/>
    <x v="2"/>
    <d v="2017-07-19T00:00:00"/>
    <x v="222"/>
    <n v="0"/>
  </r>
  <r>
    <x v="4968"/>
    <x v="12"/>
    <x v="0"/>
    <x v="0"/>
    <s v="MG Special"/>
    <s v="Funholding"/>
    <x v="0"/>
    <d v="2017-07-19T00:00:00"/>
    <x v="218"/>
    <n v="65"/>
  </r>
  <r>
    <x v="4969"/>
    <x v="12"/>
    <x v="0"/>
    <x v="0"/>
    <s v="MG Special"/>
    <s v="Funholding"/>
    <x v="0"/>
    <d v="2017-07-19T00:00:00"/>
    <x v="213"/>
    <n v="47"/>
  </r>
  <r>
    <x v="4970"/>
    <x v="4"/>
    <x v="3"/>
    <x v="1"/>
    <s v="GTXPro"/>
    <s v="Green-Plus"/>
    <x v="1"/>
    <d v="2017-07-19T00:00:00"/>
    <x v="6"/>
    <m/>
  </r>
  <r>
    <x v="4971"/>
    <x v="15"/>
    <x v="5"/>
    <x v="2"/>
    <s v="MG Advanced"/>
    <s v="Lexiqvolax"/>
    <x v="1"/>
    <d v="2017-07-19T00:00:00"/>
    <x v="6"/>
    <m/>
  </r>
  <r>
    <x v="4972"/>
    <x v="3"/>
    <x v="0"/>
    <x v="0"/>
    <s v="GTX Plus Basic"/>
    <m/>
    <x v="1"/>
    <d v="2017-07-20T00:00:00"/>
    <x v="6"/>
    <m/>
  </r>
  <r>
    <x v="4973"/>
    <x v="3"/>
    <x v="0"/>
    <x v="0"/>
    <s v="GTX Plus Pro"/>
    <s v="Groovestreet"/>
    <x v="1"/>
    <d v="2017-07-20T00:00:00"/>
    <x v="6"/>
    <m/>
  </r>
  <r>
    <x v="4974"/>
    <x v="3"/>
    <x v="0"/>
    <x v="0"/>
    <s v="GTX Plus Pro"/>
    <s v="Labdrill"/>
    <x v="1"/>
    <d v="2017-07-20T00:00:00"/>
    <x v="6"/>
    <m/>
  </r>
  <r>
    <x v="4975"/>
    <x v="3"/>
    <x v="0"/>
    <x v="0"/>
    <s v="MG Special"/>
    <s v="Silis"/>
    <x v="1"/>
    <d v="2017-07-20T00:00:00"/>
    <x v="6"/>
    <m/>
  </r>
  <r>
    <x v="4976"/>
    <x v="3"/>
    <x v="0"/>
    <x v="0"/>
    <s v="MG Special"/>
    <m/>
    <x v="1"/>
    <d v="2017-07-20T00:00:00"/>
    <x v="6"/>
    <m/>
  </r>
  <r>
    <x v="4977"/>
    <x v="3"/>
    <x v="0"/>
    <x v="0"/>
    <s v="GTX Plus Basic"/>
    <s v="Ron-tech"/>
    <x v="2"/>
    <d v="2017-07-20T00:00:00"/>
    <x v="210"/>
    <n v="0"/>
  </r>
  <r>
    <x v="4978"/>
    <x v="3"/>
    <x v="0"/>
    <x v="0"/>
    <s v="GTX Plus Basic"/>
    <s v="Ron-tech"/>
    <x v="0"/>
    <d v="2017-07-20T00:00:00"/>
    <x v="208"/>
    <n v="1160"/>
  </r>
  <r>
    <x v="4979"/>
    <x v="3"/>
    <x v="0"/>
    <x v="0"/>
    <s v="GTX Plus Pro"/>
    <s v="Stanredtax"/>
    <x v="0"/>
    <d v="2017-07-20T00:00:00"/>
    <x v="147"/>
    <n v="5847"/>
  </r>
  <r>
    <x v="4980"/>
    <x v="25"/>
    <x v="4"/>
    <x v="2"/>
    <s v="MG Advanced"/>
    <s v="Kan-code"/>
    <x v="2"/>
    <d v="2017-07-20T00:00:00"/>
    <x v="224"/>
    <n v="0"/>
  </r>
  <r>
    <x v="4981"/>
    <x v="25"/>
    <x v="4"/>
    <x v="2"/>
    <s v="GTX Plus Basic"/>
    <s v="Yearin"/>
    <x v="0"/>
    <d v="2017-07-20T00:00:00"/>
    <x v="170"/>
    <n v="1029"/>
  </r>
  <r>
    <x v="4982"/>
    <x v="27"/>
    <x v="5"/>
    <x v="2"/>
    <s v="GTX Plus Pro"/>
    <s v="Ontomedia"/>
    <x v="2"/>
    <d v="2017-07-20T00:00:00"/>
    <x v="208"/>
    <n v="0"/>
  </r>
  <r>
    <x v="4983"/>
    <x v="27"/>
    <x v="5"/>
    <x v="2"/>
    <s v="GTXPro"/>
    <s v="Donquadtech"/>
    <x v="2"/>
    <d v="2017-07-20T00:00:00"/>
    <x v="223"/>
    <n v="0"/>
  </r>
  <r>
    <x v="4984"/>
    <x v="13"/>
    <x v="4"/>
    <x v="2"/>
    <s v="GTX Plus Basic"/>
    <m/>
    <x v="1"/>
    <d v="2017-07-20T00:00:00"/>
    <x v="6"/>
    <m/>
  </r>
  <r>
    <x v="4985"/>
    <x v="13"/>
    <x v="4"/>
    <x v="2"/>
    <s v="MG Advanced"/>
    <s v="Konex"/>
    <x v="2"/>
    <d v="2017-07-20T00:00:00"/>
    <x v="207"/>
    <n v="0"/>
  </r>
  <r>
    <x v="4986"/>
    <x v="1"/>
    <x v="1"/>
    <x v="0"/>
    <s v="GTX Plus Basic"/>
    <m/>
    <x v="1"/>
    <d v="2017-07-20T00:00:00"/>
    <x v="6"/>
    <m/>
  </r>
  <r>
    <x v="4987"/>
    <x v="1"/>
    <x v="1"/>
    <x v="0"/>
    <s v="GTX Plus Basic"/>
    <m/>
    <x v="1"/>
    <d v="2017-07-20T00:00:00"/>
    <x v="6"/>
    <m/>
  </r>
  <r>
    <x v="4988"/>
    <x v="1"/>
    <x v="1"/>
    <x v="0"/>
    <s v="GTXPro"/>
    <m/>
    <x v="1"/>
    <d v="2017-07-20T00:00:00"/>
    <x v="6"/>
    <m/>
  </r>
  <r>
    <x v="4989"/>
    <x v="1"/>
    <x v="1"/>
    <x v="0"/>
    <s v="GTXPro"/>
    <s v="Funholding"/>
    <x v="2"/>
    <d v="2017-07-20T00:00:00"/>
    <x v="219"/>
    <n v="0"/>
  </r>
  <r>
    <x v="4990"/>
    <x v="1"/>
    <x v="1"/>
    <x v="0"/>
    <s v="GTXPro"/>
    <s v="Gogozoom"/>
    <x v="2"/>
    <d v="2017-07-20T00:00:00"/>
    <x v="219"/>
    <n v="0"/>
  </r>
  <r>
    <x v="4991"/>
    <x v="1"/>
    <x v="1"/>
    <x v="0"/>
    <s v="GTXPro"/>
    <s v="Rangreen"/>
    <x v="2"/>
    <d v="2017-07-20T00:00:00"/>
    <x v="107"/>
    <n v="0"/>
  </r>
  <r>
    <x v="4992"/>
    <x v="1"/>
    <x v="1"/>
    <x v="0"/>
    <s v="GTXPro"/>
    <s v="Stanredtax"/>
    <x v="2"/>
    <d v="2017-07-20T00:00:00"/>
    <x v="219"/>
    <n v="0"/>
  </r>
  <r>
    <x v="4993"/>
    <x v="1"/>
    <x v="1"/>
    <x v="0"/>
    <s v="MG Advanced"/>
    <s v="Bioholding"/>
    <x v="2"/>
    <d v="2017-07-20T00:00:00"/>
    <x v="209"/>
    <n v="0"/>
  </r>
  <r>
    <x v="4994"/>
    <x v="1"/>
    <x v="1"/>
    <x v="0"/>
    <s v="GTXPro"/>
    <s v="Treequote"/>
    <x v="0"/>
    <d v="2017-07-20T00:00:00"/>
    <x v="150"/>
    <n v="5058"/>
  </r>
  <r>
    <x v="4995"/>
    <x v="26"/>
    <x v="4"/>
    <x v="2"/>
    <s v="GTX Plus Basic"/>
    <s v="Gekko &amp; Co"/>
    <x v="2"/>
    <d v="2017-07-20T00:00:00"/>
    <x v="177"/>
    <n v="0"/>
  </r>
  <r>
    <x v="4996"/>
    <x v="26"/>
    <x v="4"/>
    <x v="2"/>
    <s v="GTXPro"/>
    <s v="Silis"/>
    <x v="2"/>
    <d v="2017-07-20T00:00:00"/>
    <x v="173"/>
    <n v="0"/>
  </r>
  <r>
    <x v="4997"/>
    <x v="26"/>
    <x v="4"/>
    <x v="2"/>
    <s v="GTXPro"/>
    <s v="Zathunicon"/>
    <x v="2"/>
    <d v="2017-07-20T00:00:00"/>
    <x v="219"/>
    <n v="0"/>
  </r>
  <r>
    <x v="4998"/>
    <x v="8"/>
    <x v="1"/>
    <x v="0"/>
    <s v="MG Advanced"/>
    <s v="Rangreen"/>
    <x v="0"/>
    <d v="2017-07-20T00:00:00"/>
    <x v="226"/>
    <n v="3552"/>
  </r>
  <r>
    <x v="4999"/>
    <x v="10"/>
    <x v="3"/>
    <x v="1"/>
    <s v="GTX Plus Basic"/>
    <s v="Konmatfix"/>
    <x v="1"/>
    <d v="2017-07-20T00:00:00"/>
    <x v="6"/>
    <m/>
  </r>
  <r>
    <x v="5000"/>
    <x v="10"/>
    <x v="3"/>
    <x v="1"/>
    <s v="GTX Plus Pro"/>
    <s v="Kan-code"/>
    <x v="0"/>
    <d v="2017-07-20T00:00:00"/>
    <x v="227"/>
    <n v="5526"/>
  </r>
  <r>
    <x v="5001"/>
    <x v="29"/>
    <x v="1"/>
    <x v="0"/>
    <s v="GTX Basic"/>
    <s v="Cheers"/>
    <x v="1"/>
    <d v="2017-07-20T00:00:00"/>
    <x v="6"/>
    <m/>
  </r>
  <r>
    <x v="5002"/>
    <x v="29"/>
    <x v="1"/>
    <x v="0"/>
    <s v="GTX Basic"/>
    <m/>
    <x v="1"/>
    <d v="2017-07-20T00:00:00"/>
    <x v="6"/>
    <m/>
  </r>
  <r>
    <x v="5003"/>
    <x v="29"/>
    <x v="1"/>
    <x v="0"/>
    <s v="GTX Basic"/>
    <m/>
    <x v="1"/>
    <d v="2017-07-20T00:00:00"/>
    <x v="6"/>
    <m/>
  </r>
  <r>
    <x v="5004"/>
    <x v="29"/>
    <x v="1"/>
    <x v="0"/>
    <s v="GTX Basic"/>
    <m/>
    <x v="1"/>
    <d v="2017-07-20T00:00:00"/>
    <x v="6"/>
    <m/>
  </r>
  <r>
    <x v="5005"/>
    <x v="29"/>
    <x v="1"/>
    <x v="0"/>
    <s v="GTX Plus Basic"/>
    <s v="Gekko &amp; Co"/>
    <x v="1"/>
    <d v="2017-07-20T00:00:00"/>
    <x v="6"/>
    <m/>
  </r>
  <r>
    <x v="5006"/>
    <x v="29"/>
    <x v="1"/>
    <x v="0"/>
    <s v="GTX Plus Basic"/>
    <m/>
    <x v="1"/>
    <d v="2017-07-20T00:00:00"/>
    <x v="6"/>
    <m/>
  </r>
  <r>
    <x v="5007"/>
    <x v="29"/>
    <x v="1"/>
    <x v="0"/>
    <s v="GTXPro"/>
    <m/>
    <x v="1"/>
    <d v="2017-07-20T00:00:00"/>
    <x v="6"/>
    <m/>
  </r>
  <r>
    <x v="5008"/>
    <x v="29"/>
    <x v="1"/>
    <x v="0"/>
    <s v="MG Special"/>
    <m/>
    <x v="1"/>
    <d v="2017-07-20T00:00:00"/>
    <x v="6"/>
    <m/>
  </r>
  <r>
    <x v="5009"/>
    <x v="16"/>
    <x v="2"/>
    <x v="1"/>
    <s v="MG Advanced"/>
    <s v="Kinnamplus"/>
    <x v="1"/>
    <d v="2017-07-20T00:00:00"/>
    <x v="6"/>
    <m/>
  </r>
  <r>
    <x v="5010"/>
    <x v="18"/>
    <x v="2"/>
    <x v="1"/>
    <s v="GTXPro"/>
    <s v="Plexzap"/>
    <x v="0"/>
    <d v="2017-07-20T00:00:00"/>
    <x v="216"/>
    <n v="4428"/>
  </r>
  <r>
    <x v="5011"/>
    <x v="22"/>
    <x v="1"/>
    <x v="0"/>
    <s v="GTXPro"/>
    <s v="Sumace"/>
    <x v="1"/>
    <d v="2017-07-20T00:00:00"/>
    <x v="6"/>
    <m/>
  </r>
  <r>
    <x v="5012"/>
    <x v="9"/>
    <x v="2"/>
    <x v="1"/>
    <s v="GTX Basic"/>
    <s v="Singletechno"/>
    <x v="0"/>
    <d v="2017-07-20T00:00:00"/>
    <x v="218"/>
    <n v="523"/>
  </r>
  <r>
    <x v="5013"/>
    <x v="0"/>
    <x v="0"/>
    <x v="0"/>
    <s v="GTX Basic"/>
    <m/>
    <x v="1"/>
    <d v="2017-07-20T00:00:00"/>
    <x v="6"/>
    <m/>
  </r>
  <r>
    <x v="5014"/>
    <x v="0"/>
    <x v="0"/>
    <x v="0"/>
    <s v="GTX Plus Pro"/>
    <s v="Genco Pura Olive Oil Company"/>
    <x v="1"/>
    <d v="2017-07-20T00:00:00"/>
    <x v="6"/>
    <m/>
  </r>
  <r>
    <x v="5015"/>
    <x v="6"/>
    <x v="1"/>
    <x v="0"/>
    <s v="GTX Plus Basic"/>
    <m/>
    <x v="1"/>
    <d v="2017-07-20T00:00:00"/>
    <x v="6"/>
    <m/>
  </r>
  <r>
    <x v="5016"/>
    <x v="6"/>
    <x v="1"/>
    <x v="0"/>
    <s v="GTX Plus Pro"/>
    <s v="Blackzim"/>
    <x v="1"/>
    <d v="2017-07-20T00:00:00"/>
    <x v="6"/>
    <m/>
  </r>
  <r>
    <x v="5017"/>
    <x v="19"/>
    <x v="4"/>
    <x v="2"/>
    <s v="GTX Plus Basic"/>
    <s v="Mathtouch"/>
    <x v="2"/>
    <d v="2017-07-20T00:00:00"/>
    <x v="215"/>
    <n v="0"/>
  </r>
  <r>
    <x v="5018"/>
    <x v="19"/>
    <x v="4"/>
    <x v="2"/>
    <s v="GTX Plus Pro"/>
    <s v="Plussunin"/>
    <x v="2"/>
    <d v="2017-07-20T00:00:00"/>
    <x v="224"/>
    <n v="0"/>
  </r>
  <r>
    <x v="5019"/>
    <x v="17"/>
    <x v="5"/>
    <x v="2"/>
    <s v="GTXPro"/>
    <s v="Mathtouch"/>
    <x v="0"/>
    <d v="2017-07-20T00:00:00"/>
    <x v="223"/>
    <n v="5392"/>
  </r>
  <r>
    <x v="5020"/>
    <x v="4"/>
    <x v="3"/>
    <x v="1"/>
    <s v="GTX Basic"/>
    <s v="Finjob"/>
    <x v="2"/>
    <d v="2017-07-20T00:00:00"/>
    <x v="218"/>
    <n v="0"/>
  </r>
  <r>
    <x v="5021"/>
    <x v="15"/>
    <x v="5"/>
    <x v="2"/>
    <s v="MG Special"/>
    <s v="Zencorporation"/>
    <x v="0"/>
    <d v="2017-07-20T00:00:00"/>
    <x v="219"/>
    <n v="55"/>
  </r>
  <r>
    <x v="5022"/>
    <x v="20"/>
    <x v="5"/>
    <x v="2"/>
    <s v="GTX Plus Basic"/>
    <s v="Plussunin"/>
    <x v="1"/>
    <d v="2017-07-20T00:00:00"/>
    <x v="6"/>
    <m/>
  </r>
  <r>
    <x v="5023"/>
    <x v="3"/>
    <x v="0"/>
    <x v="0"/>
    <s v="GTX Plus Basic"/>
    <m/>
    <x v="1"/>
    <d v="2017-07-21T00:00:00"/>
    <x v="6"/>
    <m/>
  </r>
  <r>
    <x v="5024"/>
    <x v="3"/>
    <x v="0"/>
    <x v="0"/>
    <s v="MG Advanced"/>
    <s v="Hatfan"/>
    <x v="1"/>
    <d v="2017-07-21T00:00:00"/>
    <x v="6"/>
    <m/>
  </r>
  <r>
    <x v="5025"/>
    <x v="3"/>
    <x v="0"/>
    <x v="0"/>
    <s v="GTX Basic"/>
    <s v="Treequote"/>
    <x v="2"/>
    <d v="2017-07-21T00:00:00"/>
    <x v="205"/>
    <n v="0"/>
  </r>
  <r>
    <x v="5026"/>
    <x v="25"/>
    <x v="4"/>
    <x v="2"/>
    <s v="GTXPro"/>
    <s v="Gekko &amp; Co"/>
    <x v="0"/>
    <d v="2017-07-21T00:00:00"/>
    <x v="228"/>
    <n v="4197"/>
  </r>
  <r>
    <x v="5027"/>
    <x v="25"/>
    <x v="4"/>
    <x v="2"/>
    <s v="MG Advanced"/>
    <s v="Mathtouch"/>
    <x v="0"/>
    <d v="2017-07-21T00:00:00"/>
    <x v="153"/>
    <n v="3830"/>
  </r>
  <r>
    <x v="5028"/>
    <x v="23"/>
    <x v="4"/>
    <x v="2"/>
    <s v="GTX Basic"/>
    <s v="Donware"/>
    <x v="0"/>
    <d v="2017-07-21T00:00:00"/>
    <x v="224"/>
    <n v="494"/>
  </r>
  <r>
    <x v="5029"/>
    <x v="28"/>
    <x v="0"/>
    <x v="0"/>
    <s v="GTX Plus Basic"/>
    <m/>
    <x v="1"/>
    <d v="2017-07-21T00:00:00"/>
    <x v="6"/>
    <m/>
  </r>
  <r>
    <x v="5030"/>
    <x v="28"/>
    <x v="0"/>
    <x v="0"/>
    <s v="GTX Plus Basic"/>
    <m/>
    <x v="1"/>
    <d v="2017-07-21T00:00:00"/>
    <x v="6"/>
    <m/>
  </r>
  <r>
    <x v="5031"/>
    <x v="28"/>
    <x v="0"/>
    <x v="0"/>
    <s v="MG Special"/>
    <m/>
    <x v="1"/>
    <d v="2017-07-21T00:00:00"/>
    <x v="6"/>
    <m/>
  </r>
  <r>
    <x v="5032"/>
    <x v="13"/>
    <x v="4"/>
    <x v="2"/>
    <s v="GTX Plus Pro"/>
    <s v="Konex"/>
    <x v="0"/>
    <d v="2017-07-21T00:00:00"/>
    <x v="215"/>
    <n v="5118"/>
  </r>
  <r>
    <x v="5033"/>
    <x v="1"/>
    <x v="1"/>
    <x v="0"/>
    <s v="GTXPro"/>
    <m/>
    <x v="1"/>
    <d v="2017-07-21T00:00:00"/>
    <x v="6"/>
    <m/>
  </r>
  <r>
    <x v="5034"/>
    <x v="1"/>
    <x v="1"/>
    <x v="0"/>
    <s v="GTXPro"/>
    <m/>
    <x v="1"/>
    <d v="2017-07-21T00:00:00"/>
    <x v="6"/>
    <m/>
  </r>
  <r>
    <x v="5035"/>
    <x v="1"/>
    <x v="1"/>
    <x v="0"/>
    <s v="MG Special"/>
    <s v="Betasoloin"/>
    <x v="1"/>
    <d v="2017-07-21T00:00:00"/>
    <x v="6"/>
    <m/>
  </r>
  <r>
    <x v="5036"/>
    <x v="1"/>
    <x v="1"/>
    <x v="0"/>
    <s v="MG Advanced"/>
    <s v="Bubba Gump"/>
    <x v="1"/>
    <d v="2017-07-21T00:00:00"/>
    <x v="6"/>
    <m/>
  </r>
  <r>
    <x v="5037"/>
    <x v="1"/>
    <x v="1"/>
    <x v="0"/>
    <s v="MG Advanced"/>
    <s v="Scotfind"/>
    <x v="1"/>
    <d v="2017-07-21T00:00:00"/>
    <x v="6"/>
    <m/>
  </r>
  <r>
    <x v="5038"/>
    <x v="1"/>
    <x v="1"/>
    <x v="0"/>
    <s v="GTX Plus Basic"/>
    <s v="Toughzap"/>
    <x v="0"/>
    <d v="2017-07-21T00:00:00"/>
    <x v="219"/>
    <n v="1000"/>
  </r>
  <r>
    <x v="5039"/>
    <x v="1"/>
    <x v="1"/>
    <x v="0"/>
    <s v="GTXPro"/>
    <s v="Conecom"/>
    <x v="0"/>
    <d v="2017-07-21T00:00:00"/>
    <x v="216"/>
    <n v="5347"/>
  </r>
  <r>
    <x v="5040"/>
    <x v="26"/>
    <x v="4"/>
    <x v="2"/>
    <s v="GTX Basic"/>
    <s v="Ganjaflex"/>
    <x v="2"/>
    <d v="2017-07-21T00:00:00"/>
    <x v="215"/>
    <n v="0"/>
  </r>
  <r>
    <x v="5041"/>
    <x v="26"/>
    <x v="4"/>
    <x v="2"/>
    <s v="GTX Basic"/>
    <s v="Sumace"/>
    <x v="2"/>
    <d v="2017-07-21T00:00:00"/>
    <x v="222"/>
    <n v="0"/>
  </r>
  <r>
    <x v="5042"/>
    <x v="26"/>
    <x v="4"/>
    <x v="2"/>
    <s v="GTX Plus Pro"/>
    <s v="Plussunin"/>
    <x v="0"/>
    <d v="2017-07-21T00:00:00"/>
    <x v="147"/>
    <n v="5340"/>
  </r>
  <r>
    <x v="5043"/>
    <x v="8"/>
    <x v="1"/>
    <x v="0"/>
    <s v="GTX Basic"/>
    <m/>
    <x v="1"/>
    <d v="2017-07-21T00:00:00"/>
    <x v="6"/>
    <m/>
  </r>
  <r>
    <x v="5044"/>
    <x v="8"/>
    <x v="1"/>
    <x v="0"/>
    <s v="MG Special"/>
    <s v="Silis"/>
    <x v="1"/>
    <d v="2017-07-21T00:00:00"/>
    <x v="6"/>
    <m/>
  </r>
  <r>
    <x v="5045"/>
    <x v="8"/>
    <x v="1"/>
    <x v="0"/>
    <s v="MG Advanced"/>
    <m/>
    <x v="1"/>
    <d v="2017-07-21T00:00:00"/>
    <x v="6"/>
    <m/>
  </r>
  <r>
    <x v="5046"/>
    <x v="8"/>
    <x v="1"/>
    <x v="0"/>
    <s v="GTX Basic"/>
    <s v="Streethex"/>
    <x v="2"/>
    <d v="2017-07-21T00:00:00"/>
    <x v="221"/>
    <n v="0"/>
  </r>
  <r>
    <x v="5047"/>
    <x v="8"/>
    <x v="1"/>
    <x v="0"/>
    <s v="MG Advanced"/>
    <s v="Stanredtax"/>
    <x v="0"/>
    <d v="2017-07-21T00:00:00"/>
    <x v="223"/>
    <n v="2970"/>
  </r>
  <r>
    <x v="5048"/>
    <x v="7"/>
    <x v="2"/>
    <x v="1"/>
    <s v="GTXPro"/>
    <s v="Rantouch"/>
    <x v="2"/>
    <d v="2017-07-21T00:00:00"/>
    <x v="219"/>
    <n v="0"/>
  </r>
  <r>
    <x v="5049"/>
    <x v="29"/>
    <x v="1"/>
    <x v="0"/>
    <s v="GTX Basic"/>
    <s v="Stanredtax"/>
    <x v="1"/>
    <d v="2017-07-21T00:00:00"/>
    <x v="6"/>
    <m/>
  </r>
  <r>
    <x v="5050"/>
    <x v="29"/>
    <x v="1"/>
    <x v="0"/>
    <s v="GTX Plus Basic"/>
    <m/>
    <x v="1"/>
    <d v="2017-07-21T00:00:00"/>
    <x v="6"/>
    <m/>
  </r>
  <r>
    <x v="5051"/>
    <x v="29"/>
    <x v="1"/>
    <x v="0"/>
    <s v="GTX Plus Basic"/>
    <m/>
    <x v="1"/>
    <d v="2017-07-21T00:00:00"/>
    <x v="6"/>
    <m/>
  </r>
  <r>
    <x v="5052"/>
    <x v="16"/>
    <x v="2"/>
    <x v="1"/>
    <s v="GTX Basic"/>
    <m/>
    <x v="1"/>
    <d v="2017-07-21T00:00:00"/>
    <x v="6"/>
    <m/>
  </r>
  <r>
    <x v="5053"/>
    <x v="18"/>
    <x v="2"/>
    <x v="1"/>
    <s v="GTX Plus Basic"/>
    <s v="Sonron"/>
    <x v="0"/>
    <d v="2017-07-21T00:00:00"/>
    <x v="224"/>
    <n v="997"/>
  </r>
  <r>
    <x v="5054"/>
    <x v="24"/>
    <x v="0"/>
    <x v="0"/>
    <s v="MG Special"/>
    <m/>
    <x v="1"/>
    <d v="2017-07-21T00:00:00"/>
    <x v="6"/>
    <m/>
  </r>
  <r>
    <x v="5055"/>
    <x v="24"/>
    <x v="0"/>
    <x v="0"/>
    <s v="GTX Plus Basic"/>
    <s v="Funholding"/>
    <x v="2"/>
    <d v="2017-07-21T00:00:00"/>
    <x v="222"/>
    <n v="0"/>
  </r>
  <r>
    <x v="5056"/>
    <x v="24"/>
    <x v="0"/>
    <x v="0"/>
    <s v="MG Advanced"/>
    <s v="Stanredtax"/>
    <x v="2"/>
    <d v="2017-07-21T00:00:00"/>
    <x v="224"/>
    <n v="0"/>
  </r>
  <r>
    <x v="5057"/>
    <x v="22"/>
    <x v="1"/>
    <x v="0"/>
    <s v="GTX Plus Basic"/>
    <s v="Treequote"/>
    <x v="1"/>
    <d v="2017-07-21T00:00:00"/>
    <x v="6"/>
    <m/>
  </r>
  <r>
    <x v="5058"/>
    <x v="22"/>
    <x v="1"/>
    <x v="0"/>
    <s v="GTX Plus Pro"/>
    <s v="Silis"/>
    <x v="1"/>
    <d v="2017-07-21T00:00:00"/>
    <x v="6"/>
    <m/>
  </r>
  <r>
    <x v="5059"/>
    <x v="9"/>
    <x v="2"/>
    <x v="1"/>
    <s v="GTX Plus Basic"/>
    <m/>
    <x v="1"/>
    <d v="2017-07-21T00:00:00"/>
    <x v="6"/>
    <m/>
  </r>
  <r>
    <x v="5060"/>
    <x v="9"/>
    <x v="2"/>
    <x v="1"/>
    <s v="GTXPro"/>
    <m/>
    <x v="1"/>
    <d v="2017-07-21T00:00:00"/>
    <x v="6"/>
    <m/>
  </r>
  <r>
    <x v="5061"/>
    <x v="0"/>
    <x v="0"/>
    <x v="0"/>
    <s v="MG Special"/>
    <m/>
    <x v="1"/>
    <d v="2017-07-21T00:00:00"/>
    <x v="6"/>
    <m/>
  </r>
  <r>
    <x v="5062"/>
    <x v="0"/>
    <x v="0"/>
    <x v="0"/>
    <s v="GTX Basic"/>
    <s v="Finhigh"/>
    <x v="0"/>
    <d v="2017-07-21T00:00:00"/>
    <x v="224"/>
    <n v="526"/>
  </r>
  <r>
    <x v="5063"/>
    <x v="6"/>
    <x v="1"/>
    <x v="0"/>
    <s v="GTX Plus Pro"/>
    <s v="Codehow"/>
    <x v="2"/>
    <d v="2017-07-21T00:00:00"/>
    <x v="219"/>
    <n v="0"/>
  </r>
  <r>
    <x v="5064"/>
    <x v="6"/>
    <x v="1"/>
    <x v="0"/>
    <s v="GTX Basic"/>
    <s v="Dontechi"/>
    <x v="0"/>
    <d v="2017-07-21T00:00:00"/>
    <x v="224"/>
    <n v="418"/>
  </r>
  <r>
    <x v="5065"/>
    <x v="6"/>
    <x v="1"/>
    <x v="0"/>
    <s v="MG Special"/>
    <s v="Streethex"/>
    <x v="0"/>
    <d v="2017-07-21T00:00:00"/>
    <x v="219"/>
    <n v="54"/>
  </r>
  <r>
    <x v="5066"/>
    <x v="11"/>
    <x v="3"/>
    <x v="1"/>
    <s v="GTX Basic"/>
    <s v="Groovestreet"/>
    <x v="0"/>
    <d v="2017-07-21T00:00:00"/>
    <x v="167"/>
    <n v="622"/>
  </r>
  <r>
    <x v="5067"/>
    <x v="17"/>
    <x v="5"/>
    <x v="2"/>
    <s v="GTX Plus Pro"/>
    <s v="Umbrella Corporation"/>
    <x v="0"/>
    <d v="2017-07-21T00:00:00"/>
    <x v="147"/>
    <n v="4930"/>
  </r>
  <r>
    <x v="5068"/>
    <x v="12"/>
    <x v="0"/>
    <x v="0"/>
    <s v="GTX Plus Pro"/>
    <m/>
    <x v="1"/>
    <d v="2017-07-21T00:00:00"/>
    <x v="6"/>
    <m/>
  </r>
  <r>
    <x v="5069"/>
    <x v="12"/>
    <x v="0"/>
    <x v="0"/>
    <s v="MG Special"/>
    <s v="Hottechi"/>
    <x v="1"/>
    <d v="2017-07-21T00:00:00"/>
    <x v="6"/>
    <m/>
  </r>
  <r>
    <x v="5070"/>
    <x v="12"/>
    <x v="0"/>
    <x v="0"/>
    <s v="MG Special"/>
    <s v="Scottech"/>
    <x v="0"/>
    <d v="2017-07-21T00:00:00"/>
    <x v="219"/>
    <n v="51"/>
  </r>
  <r>
    <x v="5071"/>
    <x v="12"/>
    <x v="0"/>
    <x v="0"/>
    <s v="MG Advanced"/>
    <s v="Betatech"/>
    <x v="0"/>
    <d v="2017-07-21T00:00:00"/>
    <x v="224"/>
    <n v="3167"/>
  </r>
  <r>
    <x v="5072"/>
    <x v="12"/>
    <x v="0"/>
    <x v="0"/>
    <s v="MG Advanced"/>
    <s v="Globex Corporation"/>
    <x v="0"/>
    <d v="2017-07-21T00:00:00"/>
    <x v="173"/>
    <n v="3038"/>
  </r>
  <r>
    <x v="5073"/>
    <x v="4"/>
    <x v="3"/>
    <x v="1"/>
    <s v="GTXPro"/>
    <s v="Umbrella Corporation"/>
    <x v="1"/>
    <d v="2017-07-21T00:00:00"/>
    <x v="6"/>
    <m/>
  </r>
  <r>
    <x v="5074"/>
    <x v="4"/>
    <x v="3"/>
    <x v="1"/>
    <s v="GTXPro"/>
    <m/>
    <x v="1"/>
    <d v="2017-07-21T00:00:00"/>
    <x v="6"/>
    <m/>
  </r>
  <r>
    <x v="5075"/>
    <x v="4"/>
    <x v="3"/>
    <x v="1"/>
    <s v="MG Advanced"/>
    <s v="Xx-holding"/>
    <x v="0"/>
    <d v="2017-07-21T00:00:00"/>
    <x v="176"/>
    <n v="2851"/>
  </r>
  <r>
    <x v="5076"/>
    <x v="15"/>
    <x v="5"/>
    <x v="2"/>
    <s v="GTX Plus Basic"/>
    <s v="Cheers"/>
    <x v="1"/>
    <d v="2017-07-21T00:00:00"/>
    <x v="6"/>
    <m/>
  </r>
  <r>
    <x v="5077"/>
    <x v="2"/>
    <x v="2"/>
    <x v="1"/>
    <s v="GTX Basic"/>
    <m/>
    <x v="1"/>
    <d v="2017-07-21T00:00:00"/>
    <x v="6"/>
    <m/>
  </r>
  <r>
    <x v="5078"/>
    <x v="2"/>
    <x v="2"/>
    <x v="1"/>
    <s v="GTX Basic"/>
    <m/>
    <x v="1"/>
    <d v="2017-07-21T00:00:00"/>
    <x v="6"/>
    <m/>
  </r>
  <r>
    <x v="5079"/>
    <x v="2"/>
    <x v="2"/>
    <x v="1"/>
    <s v="GTX Basic"/>
    <m/>
    <x v="1"/>
    <d v="2017-07-21T00:00:00"/>
    <x v="6"/>
    <m/>
  </r>
  <r>
    <x v="5080"/>
    <x v="2"/>
    <x v="2"/>
    <x v="1"/>
    <s v="GTX Basic"/>
    <s v="Dalttechnology"/>
    <x v="2"/>
    <d v="2017-07-21T00:00:00"/>
    <x v="229"/>
    <n v="0"/>
  </r>
  <r>
    <x v="5081"/>
    <x v="2"/>
    <x v="2"/>
    <x v="1"/>
    <s v="GTXPro"/>
    <s v="Doncon"/>
    <x v="0"/>
    <d v="2017-07-21T00:00:00"/>
    <x v="215"/>
    <n v="5283"/>
  </r>
  <r>
    <x v="5082"/>
    <x v="2"/>
    <x v="2"/>
    <x v="1"/>
    <s v="MG Special"/>
    <s v="Doncon"/>
    <x v="0"/>
    <d v="2017-07-21T00:00:00"/>
    <x v="209"/>
    <n v="49"/>
  </r>
  <r>
    <x v="5083"/>
    <x v="3"/>
    <x v="0"/>
    <x v="0"/>
    <s v="GTX Basic"/>
    <m/>
    <x v="1"/>
    <d v="2017-07-22T00:00:00"/>
    <x v="6"/>
    <m/>
  </r>
  <r>
    <x v="5084"/>
    <x v="3"/>
    <x v="0"/>
    <x v="0"/>
    <s v="GTX Plus Pro"/>
    <m/>
    <x v="1"/>
    <d v="2017-07-22T00:00:00"/>
    <x v="6"/>
    <m/>
  </r>
  <r>
    <x v="5085"/>
    <x v="3"/>
    <x v="0"/>
    <x v="0"/>
    <s v="MG Special"/>
    <s v="Singletechno"/>
    <x v="1"/>
    <d v="2017-07-22T00:00:00"/>
    <x v="6"/>
    <m/>
  </r>
  <r>
    <x v="5086"/>
    <x v="3"/>
    <x v="0"/>
    <x v="0"/>
    <s v="MG Special"/>
    <m/>
    <x v="1"/>
    <d v="2017-07-22T00:00:00"/>
    <x v="6"/>
    <m/>
  </r>
  <r>
    <x v="5087"/>
    <x v="3"/>
    <x v="0"/>
    <x v="0"/>
    <s v="MG Special"/>
    <m/>
    <x v="1"/>
    <d v="2017-07-22T00:00:00"/>
    <x v="6"/>
    <m/>
  </r>
  <r>
    <x v="5088"/>
    <x v="3"/>
    <x v="0"/>
    <x v="0"/>
    <s v="MG Special"/>
    <m/>
    <x v="1"/>
    <d v="2017-07-22T00:00:00"/>
    <x v="6"/>
    <m/>
  </r>
  <r>
    <x v="5089"/>
    <x v="3"/>
    <x v="0"/>
    <x v="0"/>
    <s v="MG Advanced"/>
    <m/>
    <x v="1"/>
    <d v="2017-07-22T00:00:00"/>
    <x v="6"/>
    <m/>
  </r>
  <r>
    <x v="5090"/>
    <x v="3"/>
    <x v="0"/>
    <x v="0"/>
    <s v="GTX Plus Basic"/>
    <s v="Condax"/>
    <x v="2"/>
    <d v="2017-07-22T00:00:00"/>
    <x v="222"/>
    <n v="0"/>
  </r>
  <r>
    <x v="5091"/>
    <x v="3"/>
    <x v="0"/>
    <x v="0"/>
    <s v="MG Advanced"/>
    <s v="Statholdings"/>
    <x v="2"/>
    <d v="2017-07-22T00:00:00"/>
    <x v="197"/>
    <n v="0"/>
  </r>
  <r>
    <x v="5092"/>
    <x v="23"/>
    <x v="4"/>
    <x v="2"/>
    <s v="GTX Plus Basic"/>
    <s v="Xx-zobam"/>
    <x v="2"/>
    <d v="2017-07-22T00:00:00"/>
    <x v="158"/>
    <n v="0"/>
  </r>
  <r>
    <x v="5093"/>
    <x v="23"/>
    <x v="4"/>
    <x v="2"/>
    <s v="MG Special"/>
    <s v="Gekko &amp; Co"/>
    <x v="2"/>
    <d v="2017-07-22T00:00:00"/>
    <x v="218"/>
    <n v="0"/>
  </r>
  <r>
    <x v="5094"/>
    <x v="23"/>
    <x v="4"/>
    <x v="2"/>
    <s v="MG Advanced"/>
    <s v="Initech"/>
    <x v="0"/>
    <d v="2017-07-22T00:00:00"/>
    <x v="209"/>
    <n v="3684"/>
  </r>
  <r>
    <x v="5095"/>
    <x v="23"/>
    <x v="4"/>
    <x v="2"/>
    <s v="MG Advanced"/>
    <s v="Silis"/>
    <x v="0"/>
    <d v="2017-07-22T00:00:00"/>
    <x v="230"/>
    <n v="2986"/>
  </r>
  <r>
    <x v="5096"/>
    <x v="28"/>
    <x v="0"/>
    <x v="0"/>
    <s v="GTX Basic"/>
    <m/>
    <x v="1"/>
    <d v="2017-07-22T00:00:00"/>
    <x v="6"/>
    <m/>
  </r>
  <r>
    <x v="5097"/>
    <x v="28"/>
    <x v="0"/>
    <x v="0"/>
    <s v="GTX Plus Basic"/>
    <m/>
    <x v="1"/>
    <d v="2017-07-22T00:00:00"/>
    <x v="6"/>
    <m/>
  </r>
  <r>
    <x v="5098"/>
    <x v="28"/>
    <x v="0"/>
    <x v="0"/>
    <s v="MG Advanced"/>
    <s v="Treequote"/>
    <x v="1"/>
    <d v="2017-07-22T00:00:00"/>
    <x v="6"/>
    <m/>
  </r>
  <r>
    <x v="5099"/>
    <x v="28"/>
    <x v="0"/>
    <x v="0"/>
    <s v="MG Special"/>
    <s v="Stanredtax"/>
    <x v="0"/>
    <d v="2017-07-22T00:00:00"/>
    <x v="209"/>
    <n v="50"/>
  </r>
  <r>
    <x v="5100"/>
    <x v="27"/>
    <x v="5"/>
    <x v="2"/>
    <s v="GTXPro"/>
    <s v="Donware"/>
    <x v="2"/>
    <d v="2017-07-22T00:00:00"/>
    <x v="110"/>
    <n v="0"/>
  </r>
  <r>
    <x v="5101"/>
    <x v="27"/>
    <x v="5"/>
    <x v="2"/>
    <s v="GTXPro"/>
    <s v="Ganjaflex"/>
    <x v="2"/>
    <d v="2017-07-22T00:00:00"/>
    <x v="222"/>
    <n v="0"/>
  </r>
  <r>
    <x v="5102"/>
    <x v="1"/>
    <x v="1"/>
    <x v="0"/>
    <s v="GTX Basic"/>
    <m/>
    <x v="1"/>
    <d v="2017-07-22T00:00:00"/>
    <x v="6"/>
    <m/>
  </r>
  <r>
    <x v="5103"/>
    <x v="1"/>
    <x v="1"/>
    <x v="0"/>
    <s v="GTX Plus Basic"/>
    <m/>
    <x v="1"/>
    <d v="2017-07-22T00:00:00"/>
    <x v="6"/>
    <m/>
  </r>
  <r>
    <x v="5104"/>
    <x v="1"/>
    <x v="1"/>
    <x v="0"/>
    <s v="GTXPro"/>
    <m/>
    <x v="1"/>
    <d v="2017-07-22T00:00:00"/>
    <x v="6"/>
    <m/>
  </r>
  <r>
    <x v="5105"/>
    <x v="1"/>
    <x v="1"/>
    <x v="0"/>
    <s v="MG Special"/>
    <m/>
    <x v="1"/>
    <d v="2017-07-22T00:00:00"/>
    <x v="6"/>
    <m/>
  </r>
  <r>
    <x v="5106"/>
    <x v="1"/>
    <x v="1"/>
    <x v="0"/>
    <s v="GTXPro"/>
    <s v="Streethex"/>
    <x v="2"/>
    <d v="2017-07-22T00:00:00"/>
    <x v="214"/>
    <n v="0"/>
  </r>
  <r>
    <x v="5107"/>
    <x v="1"/>
    <x v="1"/>
    <x v="0"/>
    <s v="GTX Plus Basic"/>
    <s v="Gogozoom"/>
    <x v="0"/>
    <d v="2017-07-22T00:00:00"/>
    <x v="222"/>
    <n v="927"/>
  </r>
  <r>
    <x v="5108"/>
    <x v="1"/>
    <x v="1"/>
    <x v="0"/>
    <s v="GTXPro"/>
    <s v="dambase"/>
    <x v="0"/>
    <d v="2017-07-22T00:00:00"/>
    <x v="157"/>
    <n v="5113"/>
  </r>
  <r>
    <x v="5109"/>
    <x v="14"/>
    <x v="3"/>
    <x v="1"/>
    <s v="MG Special"/>
    <s v="Blackzim"/>
    <x v="0"/>
    <d v="2017-07-22T00:00:00"/>
    <x v="209"/>
    <n v="51"/>
  </r>
  <r>
    <x v="5110"/>
    <x v="8"/>
    <x v="1"/>
    <x v="0"/>
    <s v="GTX Basic"/>
    <m/>
    <x v="1"/>
    <d v="2017-07-22T00:00:00"/>
    <x v="6"/>
    <m/>
  </r>
  <r>
    <x v="5111"/>
    <x v="8"/>
    <x v="1"/>
    <x v="0"/>
    <s v="GTX Plus Basic"/>
    <s v="Funholding"/>
    <x v="1"/>
    <d v="2017-07-22T00:00:00"/>
    <x v="6"/>
    <m/>
  </r>
  <r>
    <x v="5112"/>
    <x v="8"/>
    <x v="1"/>
    <x v="0"/>
    <s v="MG Special"/>
    <s v="Opentech"/>
    <x v="1"/>
    <d v="2017-07-22T00:00:00"/>
    <x v="6"/>
    <m/>
  </r>
  <r>
    <x v="5113"/>
    <x v="8"/>
    <x v="1"/>
    <x v="0"/>
    <s v="MG Special"/>
    <m/>
    <x v="1"/>
    <d v="2017-07-22T00:00:00"/>
    <x v="6"/>
    <m/>
  </r>
  <r>
    <x v="5114"/>
    <x v="8"/>
    <x v="1"/>
    <x v="0"/>
    <s v="MG Advanced"/>
    <s v="Mathtouch"/>
    <x v="1"/>
    <d v="2017-07-22T00:00:00"/>
    <x v="6"/>
    <m/>
  </r>
  <r>
    <x v="5115"/>
    <x v="10"/>
    <x v="3"/>
    <x v="1"/>
    <s v="MG Special"/>
    <s v="Finjob"/>
    <x v="0"/>
    <d v="2017-07-22T00:00:00"/>
    <x v="163"/>
    <n v="64"/>
  </r>
  <r>
    <x v="5116"/>
    <x v="7"/>
    <x v="2"/>
    <x v="1"/>
    <s v="MG Special"/>
    <m/>
    <x v="1"/>
    <d v="2017-07-22T00:00:00"/>
    <x v="6"/>
    <m/>
  </r>
  <r>
    <x v="5117"/>
    <x v="29"/>
    <x v="1"/>
    <x v="0"/>
    <s v="GTX Plus Basic"/>
    <m/>
    <x v="1"/>
    <d v="2017-07-22T00:00:00"/>
    <x v="6"/>
    <m/>
  </r>
  <r>
    <x v="5118"/>
    <x v="29"/>
    <x v="1"/>
    <x v="0"/>
    <s v="GTX Basic"/>
    <s v="Rundofase"/>
    <x v="2"/>
    <d v="2017-07-22T00:00:00"/>
    <x v="212"/>
    <n v="0"/>
  </r>
  <r>
    <x v="5119"/>
    <x v="29"/>
    <x v="1"/>
    <x v="0"/>
    <s v="GTX Plus Basic"/>
    <s v="Domzoom"/>
    <x v="2"/>
    <d v="2017-07-22T00:00:00"/>
    <x v="214"/>
    <n v="0"/>
  </r>
  <r>
    <x v="5120"/>
    <x v="29"/>
    <x v="1"/>
    <x v="0"/>
    <s v="GTXPro"/>
    <s v="Hottechi"/>
    <x v="2"/>
    <d v="2017-07-22T00:00:00"/>
    <x v="231"/>
    <n v="0"/>
  </r>
  <r>
    <x v="5121"/>
    <x v="18"/>
    <x v="2"/>
    <x v="1"/>
    <s v="GTX Basic"/>
    <s v="Konex"/>
    <x v="0"/>
    <d v="2017-07-22T00:00:00"/>
    <x v="209"/>
    <n v="442"/>
  </r>
  <r>
    <x v="5122"/>
    <x v="24"/>
    <x v="0"/>
    <x v="0"/>
    <s v="GTX Basic"/>
    <m/>
    <x v="1"/>
    <d v="2017-07-22T00:00:00"/>
    <x v="6"/>
    <m/>
  </r>
  <r>
    <x v="5123"/>
    <x v="24"/>
    <x v="0"/>
    <x v="0"/>
    <s v="GTX Plus Basic"/>
    <m/>
    <x v="1"/>
    <d v="2017-07-22T00:00:00"/>
    <x v="6"/>
    <m/>
  </r>
  <r>
    <x v="5124"/>
    <x v="24"/>
    <x v="0"/>
    <x v="0"/>
    <s v="GTX Plus Pro"/>
    <m/>
    <x v="1"/>
    <d v="2017-07-22T00:00:00"/>
    <x v="6"/>
    <m/>
  </r>
  <r>
    <x v="5125"/>
    <x v="24"/>
    <x v="0"/>
    <x v="0"/>
    <s v="MG Advanced"/>
    <m/>
    <x v="1"/>
    <d v="2017-07-22T00:00:00"/>
    <x v="6"/>
    <m/>
  </r>
  <r>
    <x v="5126"/>
    <x v="5"/>
    <x v="3"/>
    <x v="1"/>
    <s v="GTXPro"/>
    <s v="Fasehatice"/>
    <x v="2"/>
    <d v="2017-07-22T00:00:00"/>
    <x v="224"/>
    <n v="0"/>
  </r>
  <r>
    <x v="5127"/>
    <x v="5"/>
    <x v="3"/>
    <x v="1"/>
    <s v="MG Advanced"/>
    <s v="Blackzim"/>
    <x v="0"/>
    <d v="2017-07-22T00:00:00"/>
    <x v="182"/>
    <n v="3015"/>
  </r>
  <r>
    <x v="5128"/>
    <x v="22"/>
    <x v="1"/>
    <x v="0"/>
    <s v="MG Advanced"/>
    <s v="Cancity"/>
    <x v="2"/>
    <d v="2017-07-22T00:00:00"/>
    <x v="214"/>
    <n v="0"/>
  </r>
  <r>
    <x v="5129"/>
    <x v="9"/>
    <x v="2"/>
    <x v="1"/>
    <s v="GTX Plus Pro"/>
    <s v="Xx-holding"/>
    <x v="2"/>
    <d v="2017-07-22T00:00:00"/>
    <x v="209"/>
    <n v="0"/>
  </r>
  <r>
    <x v="5130"/>
    <x v="0"/>
    <x v="0"/>
    <x v="0"/>
    <s v="MG Special"/>
    <s v="Kinnamplus"/>
    <x v="1"/>
    <d v="2017-07-22T00:00:00"/>
    <x v="6"/>
    <m/>
  </r>
  <r>
    <x v="5131"/>
    <x v="0"/>
    <x v="0"/>
    <x v="0"/>
    <s v="MG Special"/>
    <m/>
    <x v="1"/>
    <d v="2017-07-22T00:00:00"/>
    <x v="6"/>
    <m/>
  </r>
  <r>
    <x v="5132"/>
    <x v="0"/>
    <x v="0"/>
    <x v="0"/>
    <s v="MG Advanced"/>
    <m/>
    <x v="1"/>
    <d v="2017-07-22T00:00:00"/>
    <x v="6"/>
    <m/>
  </r>
  <r>
    <x v="5133"/>
    <x v="0"/>
    <x v="0"/>
    <x v="0"/>
    <s v="MG Advanced"/>
    <m/>
    <x v="1"/>
    <d v="2017-07-22T00:00:00"/>
    <x v="6"/>
    <m/>
  </r>
  <r>
    <x v="5134"/>
    <x v="0"/>
    <x v="0"/>
    <x v="0"/>
    <s v="MG Advanced"/>
    <m/>
    <x v="1"/>
    <d v="2017-07-22T00:00:00"/>
    <x v="6"/>
    <m/>
  </r>
  <r>
    <x v="5135"/>
    <x v="0"/>
    <x v="0"/>
    <x v="0"/>
    <s v="MG Advanced"/>
    <s v="Condax"/>
    <x v="2"/>
    <d v="2017-07-22T00:00:00"/>
    <x v="209"/>
    <n v="0"/>
  </r>
  <r>
    <x v="5136"/>
    <x v="0"/>
    <x v="0"/>
    <x v="0"/>
    <s v="GTX Plus Basic"/>
    <s v="Stanredtax"/>
    <x v="0"/>
    <d v="2017-07-22T00:00:00"/>
    <x v="209"/>
    <n v="1174"/>
  </r>
  <r>
    <x v="5137"/>
    <x v="6"/>
    <x v="1"/>
    <x v="0"/>
    <s v="MG Advanced"/>
    <s v="Rangreen"/>
    <x v="0"/>
    <d v="2017-07-22T00:00:00"/>
    <x v="183"/>
    <n v="3696"/>
  </r>
  <r>
    <x v="5138"/>
    <x v="19"/>
    <x v="4"/>
    <x v="2"/>
    <s v="GTX Basic"/>
    <s v="Mathtouch"/>
    <x v="2"/>
    <d v="2017-07-22T00:00:00"/>
    <x v="224"/>
    <n v="0"/>
  </r>
  <r>
    <x v="5139"/>
    <x v="19"/>
    <x v="4"/>
    <x v="2"/>
    <s v="MG Advanced"/>
    <s v="Betasoloin"/>
    <x v="0"/>
    <d v="2017-07-22T00:00:00"/>
    <x v="197"/>
    <n v="3252"/>
  </r>
  <r>
    <x v="5140"/>
    <x v="12"/>
    <x v="0"/>
    <x v="0"/>
    <s v="MG Special"/>
    <m/>
    <x v="1"/>
    <d v="2017-07-22T00:00:00"/>
    <x v="6"/>
    <m/>
  </r>
  <r>
    <x v="5141"/>
    <x v="12"/>
    <x v="0"/>
    <x v="0"/>
    <s v="MG Special"/>
    <m/>
    <x v="1"/>
    <d v="2017-07-22T00:00:00"/>
    <x v="6"/>
    <m/>
  </r>
  <r>
    <x v="5142"/>
    <x v="12"/>
    <x v="0"/>
    <x v="0"/>
    <s v="MG Special"/>
    <m/>
    <x v="1"/>
    <d v="2017-07-22T00:00:00"/>
    <x v="6"/>
    <m/>
  </r>
  <r>
    <x v="5143"/>
    <x v="12"/>
    <x v="0"/>
    <x v="0"/>
    <s v="MG Advanced"/>
    <m/>
    <x v="1"/>
    <d v="2017-07-22T00:00:00"/>
    <x v="6"/>
    <m/>
  </r>
  <r>
    <x v="5144"/>
    <x v="12"/>
    <x v="0"/>
    <x v="0"/>
    <s v="MG Special"/>
    <s v="Genco Pura Olive Oil Company"/>
    <x v="2"/>
    <d v="2017-07-22T00:00:00"/>
    <x v="217"/>
    <n v="0"/>
  </r>
  <r>
    <x v="5145"/>
    <x v="12"/>
    <x v="0"/>
    <x v="0"/>
    <s v="MG Special"/>
    <s v="Globex Corporation"/>
    <x v="2"/>
    <d v="2017-07-22T00:00:00"/>
    <x v="209"/>
    <n v="0"/>
  </r>
  <r>
    <x v="5146"/>
    <x v="4"/>
    <x v="3"/>
    <x v="1"/>
    <s v="GTXPro"/>
    <s v="Doncon"/>
    <x v="2"/>
    <d v="2017-07-22T00:00:00"/>
    <x v="209"/>
    <n v="0"/>
  </r>
  <r>
    <x v="5147"/>
    <x v="4"/>
    <x v="3"/>
    <x v="1"/>
    <s v="MG Special"/>
    <s v="Hottechi"/>
    <x v="0"/>
    <d v="2017-07-22T00:00:00"/>
    <x v="178"/>
    <n v="65"/>
  </r>
  <r>
    <x v="5148"/>
    <x v="2"/>
    <x v="2"/>
    <x v="1"/>
    <s v="GTX Plus Basic"/>
    <s v="Statholdings"/>
    <x v="1"/>
    <d v="2017-07-22T00:00:00"/>
    <x v="6"/>
    <m/>
  </r>
  <r>
    <x v="5149"/>
    <x v="3"/>
    <x v="0"/>
    <x v="0"/>
    <s v="MG Special"/>
    <m/>
    <x v="1"/>
    <d v="2017-07-23T00:00:00"/>
    <x v="6"/>
    <m/>
  </r>
  <r>
    <x v="5150"/>
    <x v="3"/>
    <x v="0"/>
    <x v="0"/>
    <s v="MG Special"/>
    <m/>
    <x v="1"/>
    <d v="2017-07-23T00:00:00"/>
    <x v="6"/>
    <m/>
  </r>
  <r>
    <x v="5151"/>
    <x v="3"/>
    <x v="0"/>
    <x v="0"/>
    <s v="MG Advanced"/>
    <m/>
    <x v="1"/>
    <d v="2017-07-23T00:00:00"/>
    <x v="6"/>
    <m/>
  </r>
  <r>
    <x v="5152"/>
    <x v="23"/>
    <x v="4"/>
    <x v="2"/>
    <s v="GTX Plus Pro"/>
    <m/>
    <x v="1"/>
    <d v="2017-07-23T00:00:00"/>
    <x v="6"/>
    <m/>
  </r>
  <r>
    <x v="5153"/>
    <x v="23"/>
    <x v="4"/>
    <x v="2"/>
    <s v="GTX Plus Basic"/>
    <s v="Yearin"/>
    <x v="0"/>
    <d v="2017-07-23T00:00:00"/>
    <x v="157"/>
    <n v="904"/>
  </r>
  <r>
    <x v="5154"/>
    <x v="28"/>
    <x v="0"/>
    <x v="0"/>
    <s v="GTX Basic"/>
    <s v="Toughzap"/>
    <x v="0"/>
    <d v="2017-07-23T00:00:00"/>
    <x v="214"/>
    <n v="541"/>
  </r>
  <r>
    <x v="5155"/>
    <x v="27"/>
    <x v="5"/>
    <x v="2"/>
    <s v="GTX Basic"/>
    <s v="Kinnamplus"/>
    <x v="0"/>
    <d v="2017-07-23T00:00:00"/>
    <x v="213"/>
    <n v="630"/>
  </r>
  <r>
    <x v="5156"/>
    <x v="13"/>
    <x v="4"/>
    <x v="2"/>
    <s v="GTX Plus Basic"/>
    <s v="Xx-zobam"/>
    <x v="0"/>
    <d v="2017-07-23T00:00:00"/>
    <x v="224"/>
    <n v="1231"/>
  </r>
  <r>
    <x v="5157"/>
    <x v="1"/>
    <x v="1"/>
    <x v="0"/>
    <s v="GTX Basic"/>
    <m/>
    <x v="1"/>
    <d v="2017-07-23T00:00:00"/>
    <x v="6"/>
    <m/>
  </r>
  <r>
    <x v="5158"/>
    <x v="1"/>
    <x v="1"/>
    <x v="0"/>
    <s v="GTX Plus Basic"/>
    <m/>
    <x v="1"/>
    <d v="2017-07-23T00:00:00"/>
    <x v="6"/>
    <m/>
  </r>
  <r>
    <x v="5159"/>
    <x v="1"/>
    <x v="1"/>
    <x v="0"/>
    <s v="GTX Plus Basic"/>
    <m/>
    <x v="1"/>
    <d v="2017-07-23T00:00:00"/>
    <x v="6"/>
    <m/>
  </r>
  <r>
    <x v="5160"/>
    <x v="1"/>
    <x v="1"/>
    <x v="0"/>
    <s v="GTXPro"/>
    <m/>
    <x v="1"/>
    <d v="2017-07-23T00:00:00"/>
    <x v="6"/>
    <m/>
  </r>
  <r>
    <x v="5161"/>
    <x v="1"/>
    <x v="1"/>
    <x v="0"/>
    <s v="GTX Basic"/>
    <s v="Domzoom"/>
    <x v="0"/>
    <d v="2017-07-23T00:00:00"/>
    <x v="228"/>
    <n v="556"/>
  </r>
  <r>
    <x v="5162"/>
    <x v="1"/>
    <x v="1"/>
    <x v="0"/>
    <s v="GTX Plus Basic"/>
    <s v="Stanredtax"/>
    <x v="0"/>
    <d v="2017-07-23T00:00:00"/>
    <x v="223"/>
    <n v="1070"/>
  </r>
  <r>
    <x v="5163"/>
    <x v="14"/>
    <x v="3"/>
    <x v="1"/>
    <s v="MG Special"/>
    <s v="Newex"/>
    <x v="0"/>
    <d v="2017-07-23T00:00:00"/>
    <x v="213"/>
    <n v="57"/>
  </r>
  <r>
    <x v="5164"/>
    <x v="8"/>
    <x v="1"/>
    <x v="0"/>
    <s v="MG Special"/>
    <m/>
    <x v="1"/>
    <d v="2017-07-23T00:00:00"/>
    <x v="6"/>
    <m/>
  </r>
  <r>
    <x v="5165"/>
    <x v="8"/>
    <x v="1"/>
    <x v="0"/>
    <s v="MG Special"/>
    <m/>
    <x v="1"/>
    <d v="2017-07-23T00:00:00"/>
    <x v="6"/>
    <m/>
  </r>
  <r>
    <x v="5166"/>
    <x v="10"/>
    <x v="3"/>
    <x v="1"/>
    <s v="GTX Plus Basic"/>
    <s v="Hatfan"/>
    <x v="2"/>
    <d v="2017-07-23T00:00:00"/>
    <x v="223"/>
    <n v="0"/>
  </r>
  <r>
    <x v="5167"/>
    <x v="7"/>
    <x v="2"/>
    <x v="1"/>
    <s v="GTX Plus Pro"/>
    <s v="J-Texon"/>
    <x v="0"/>
    <d v="2017-07-23T00:00:00"/>
    <x v="213"/>
    <n v="4824"/>
  </r>
  <r>
    <x v="5168"/>
    <x v="29"/>
    <x v="1"/>
    <x v="0"/>
    <s v="GTX Plus Pro"/>
    <s v="Streethex"/>
    <x v="0"/>
    <d v="2017-07-23T00:00:00"/>
    <x v="232"/>
    <n v="6049"/>
  </r>
  <r>
    <x v="5169"/>
    <x v="16"/>
    <x v="2"/>
    <x v="1"/>
    <s v="MG Special"/>
    <s v="Doncon"/>
    <x v="0"/>
    <d v="2017-07-23T00:00:00"/>
    <x v="219"/>
    <n v="58"/>
  </r>
  <r>
    <x v="5170"/>
    <x v="16"/>
    <x v="2"/>
    <x v="1"/>
    <s v="MG Advanced"/>
    <s v="Konex"/>
    <x v="0"/>
    <d v="2017-07-23T00:00:00"/>
    <x v="136"/>
    <n v="3335"/>
  </r>
  <r>
    <x v="5171"/>
    <x v="18"/>
    <x v="2"/>
    <x v="1"/>
    <s v="GTX Plus Basic"/>
    <s v="Doncon"/>
    <x v="2"/>
    <d v="2017-07-23T00:00:00"/>
    <x v="224"/>
    <n v="0"/>
  </r>
  <r>
    <x v="5172"/>
    <x v="24"/>
    <x v="0"/>
    <x v="0"/>
    <s v="GTX Basic"/>
    <m/>
    <x v="1"/>
    <d v="2017-07-23T00:00:00"/>
    <x v="6"/>
    <m/>
  </r>
  <r>
    <x v="5173"/>
    <x v="24"/>
    <x v="0"/>
    <x v="0"/>
    <s v="GTX Basic"/>
    <m/>
    <x v="1"/>
    <d v="2017-07-23T00:00:00"/>
    <x v="6"/>
    <m/>
  </r>
  <r>
    <x v="5174"/>
    <x v="5"/>
    <x v="3"/>
    <x v="1"/>
    <s v="GTK 500"/>
    <s v="Rundofase"/>
    <x v="1"/>
    <d v="2017-07-23T00:00:00"/>
    <x v="6"/>
    <m/>
  </r>
  <r>
    <x v="5175"/>
    <x v="5"/>
    <x v="3"/>
    <x v="1"/>
    <s v="GTXPro"/>
    <s v="Kan-code"/>
    <x v="2"/>
    <d v="2017-07-23T00:00:00"/>
    <x v="233"/>
    <n v="0"/>
  </r>
  <r>
    <x v="5176"/>
    <x v="22"/>
    <x v="1"/>
    <x v="0"/>
    <s v="GTX Plus Basic"/>
    <s v="Dontechi"/>
    <x v="2"/>
    <d v="2017-07-23T00:00:00"/>
    <x v="213"/>
    <n v="0"/>
  </r>
  <r>
    <x v="5177"/>
    <x v="22"/>
    <x v="1"/>
    <x v="0"/>
    <s v="GTX Plus Basic"/>
    <s v="Toughzap"/>
    <x v="0"/>
    <d v="2017-07-23T00:00:00"/>
    <x v="109"/>
    <n v="1006"/>
  </r>
  <r>
    <x v="5178"/>
    <x v="22"/>
    <x v="1"/>
    <x v="0"/>
    <s v="MG Advanced"/>
    <s v="Streethex"/>
    <x v="0"/>
    <d v="2017-07-23T00:00:00"/>
    <x v="110"/>
    <n v="3367"/>
  </r>
  <r>
    <x v="5179"/>
    <x v="9"/>
    <x v="2"/>
    <x v="1"/>
    <s v="GTX Basic"/>
    <s v="Finjob"/>
    <x v="2"/>
    <d v="2017-07-23T00:00:00"/>
    <x v="234"/>
    <n v="0"/>
  </r>
  <r>
    <x v="5180"/>
    <x v="9"/>
    <x v="2"/>
    <x v="1"/>
    <s v="GTX Plus Basic"/>
    <s v="Sonron"/>
    <x v="2"/>
    <d v="2017-07-23T00:00:00"/>
    <x v="219"/>
    <n v="0"/>
  </r>
  <r>
    <x v="5181"/>
    <x v="0"/>
    <x v="0"/>
    <x v="0"/>
    <s v="GTX Basic"/>
    <m/>
    <x v="1"/>
    <d v="2017-07-23T00:00:00"/>
    <x v="6"/>
    <m/>
  </r>
  <r>
    <x v="5182"/>
    <x v="0"/>
    <x v="0"/>
    <x v="0"/>
    <s v="MG Special"/>
    <s v="Statholdings"/>
    <x v="2"/>
    <d v="2017-07-23T00:00:00"/>
    <x v="112"/>
    <n v="0"/>
  </r>
  <r>
    <x v="5183"/>
    <x v="6"/>
    <x v="1"/>
    <x v="0"/>
    <s v="GTX Plus Basic"/>
    <s v="Xx-zobam"/>
    <x v="1"/>
    <d v="2017-07-23T00:00:00"/>
    <x v="6"/>
    <m/>
  </r>
  <r>
    <x v="5184"/>
    <x v="6"/>
    <x v="1"/>
    <x v="0"/>
    <s v="MG Advanced"/>
    <m/>
    <x v="1"/>
    <d v="2017-07-23T00:00:00"/>
    <x v="6"/>
    <m/>
  </r>
  <r>
    <x v="5185"/>
    <x v="6"/>
    <x v="1"/>
    <x v="0"/>
    <s v="GTX Plus Basic"/>
    <s v="Cancity"/>
    <x v="2"/>
    <d v="2017-07-23T00:00:00"/>
    <x v="213"/>
    <n v="0"/>
  </r>
  <r>
    <x v="5186"/>
    <x v="19"/>
    <x v="4"/>
    <x v="2"/>
    <s v="GTXPro"/>
    <s v="Ontomedia"/>
    <x v="2"/>
    <d v="2017-07-23T00:00:00"/>
    <x v="223"/>
    <n v="0"/>
  </r>
  <r>
    <x v="5187"/>
    <x v="19"/>
    <x v="4"/>
    <x v="2"/>
    <s v="GTX Basic"/>
    <s v="Xx-zobam"/>
    <x v="0"/>
    <d v="2017-07-23T00:00:00"/>
    <x v="223"/>
    <n v="494"/>
  </r>
  <r>
    <x v="5188"/>
    <x v="19"/>
    <x v="4"/>
    <x v="2"/>
    <s v="GTXPro"/>
    <s v="Ontomedia"/>
    <x v="0"/>
    <d v="2017-07-23T00:00:00"/>
    <x v="224"/>
    <n v="4434"/>
  </r>
  <r>
    <x v="5189"/>
    <x v="12"/>
    <x v="0"/>
    <x v="0"/>
    <s v="GTX Plus Basic"/>
    <s v="Kinnamplus"/>
    <x v="1"/>
    <d v="2017-07-23T00:00:00"/>
    <x v="6"/>
    <m/>
  </r>
  <r>
    <x v="5190"/>
    <x v="12"/>
    <x v="0"/>
    <x v="0"/>
    <s v="MG Special"/>
    <m/>
    <x v="1"/>
    <d v="2017-07-23T00:00:00"/>
    <x v="6"/>
    <m/>
  </r>
  <r>
    <x v="5191"/>
    <x v="12"/>
    <x v="0"/>
    <x v="0"/>
    <s v="MG Special"/>
    <s v="Treequote"/>
    <x v="2"/>
    <d v="2017-07-23T00:00:00"/>
    <x v="219"/>
    <n v="0"/>
  </r>
  <r>
    <x v="5192"/>
    <x v="12"/>
    <x v="0"/>
    <x v="0"/>
    <s v="MG Advanced"/>
    <s v="Zumgoity"/>
    <x v="2"/>
    <d v="2017-07-23T00:00:00"/>
    <x v="157"/>
    <n v="0"/>
  </r>
  <r>
    <x v="5193"/>
    <x v="15"/>
    <x v="5"/>
    <x v="2"/>
    <s v="MG Special"/>
    <s v="Initech"/>
    <x v="0"/>
    <d v="2017-07-23T00:00:00"/>
    <x v="139"/>
    <n v="54"/>
  </r>
  <r>
    <x v="5194"/>
    <x v="15"/>
    <x v="5"/>
    <x v="2"/>
    <s v="MG Special"/>
    <s v="Kan-code"/>
    <x v="0"/>
    <d v="2017-07-23T00:00:00"/>
    <x v="112"/>
    <n v="48"/>
  </r>
  <r>
    <x v="5195"/>
    <x v="15"/>
    <x v="5"/>
    <x v="2"/>
    <s v="MG Advanced"/>
    <s v="Donware"/>
    <x v="0"/>
    <d v="2017-07-23T00:00:00"/>
    <x v="158"/>
    <n v="2855"/>
  </r>
  <r>
    <x v="5196"/>
    <x v="20"/>
    <x v="5"/>
    <x v="2"/>
    <s v="GTX Basic"/>
    <s v="Kinnamplus"/>
    <x v="0"/>
    <d v="2017-07-23T00:00:00"/>
    <x v="224"/>
    <n v="538"/>
  </r>
  <r>
    <x v="5197"/>
    <x v="2"/>
    <x v="2"/>
    <x v="1"/>
    <s v="GTX Basic"/>
    <m/>
    <x v="1"/>
    <d v="2017-07-23T00:00:00"/>
    <x v="6"/>
    <m/>
  </r>
  <r>
    <x v="5198"/>
    <x v="2"/>
    <x v="2"/>
    <x v="1"/>
    <s v="GTX Plus Pro"/>
    <s v="J-Texon"/>
    <x v="2"/>
    <d v="2017-07-23T00:00:00"/>
    <x v="181"/>
    <n v="0"/>
  </r>
  <r>
    <x v="5199"/>
    <x v="3"/>
    <x v="0"/>
    <x v="0"/>
    <s v="GTX Plus Pro"/>
    <s v="Scotfind"/>
    <x v="1"/>
    <d v="2017-07-24T00:00:00"/>
    <x v="6"/>
    <m/>
  </r>
  <r>
    <x v="5200"/>
    <x v="3"/>
    <x v="0"/>
    <x v="0"/>
    <s v="GTX Plus Pro"/>
    <m/>
    <x v="1"/>
    <d v="2017-07-24T00:00:00"/>
    <x v="6"/>
    <m/>
  </r>
  <r>
    <x v="5201"/>
    <x v="3"/>
    <x v="0"/>
    <x v="0"/>
    <s v="GTX Plus Pro"/>
    <s v="Funholding"/>
    <x v="2"/>
    <d v="2017-07-24T00:00:00"/>
    <x v="142"/>
    <n v="0"/>
  </r>
  <r>
    <x v="5202"/>
    <x v="23"/>
    <x v="4"/>
    <x v="2"/>
    <s v="MG Advanced"/>
    <m/>
    <x v="1"/>
    <d v="2017-07-24T00:00:00"/>
    <x v="6"/>
    <m/>
  </r>
  <r>
    <x v="5203"/>
    <x v="27"/>
    <x v="5"/>
    <x v="2"/>
    <s v="GTX Basic"/>
    <s v="Zotware"/>
    <x v="0"/>
    <d v="2017-07-24T00:00:00"/>
    <x v="216"/>
    <n v="458"/>
  </r>
  <r>
    <x v="5204"/>
    <x v="1"/>
    <x v="1"/>
    <x v="0"/>
    <s v="GTXPro"/>
    <s v="Dontechi"/>
    <x v="1"/>
    <d v="2017-07-24T00:00:00"/>
    <x v="6"/>
    <m/>
  </r>
  <r>
    <x v="5205"/>
    <x v="1"/>
    <x v="1"/>
    <x v="0"/>
    <s v="GTXPro"/>
    <m/>
    <x v="1"/>
    <d v="2017-07-24T00:00:00"/>
    <x v="6"/>
    <m/>
  </r>
  <r>
    <x v="5206"/>
    <x v="1"/>
    <x v="1"/>
    <x v="0"/>
    <s v="GTXPro"/>
    <m/>
    <x v="1"/>
    <d v="2017-07-24T00:00:00"/>
    <x v="6"/>
    <m/>
  </r>
  <r>
    <x v="5207"/>
    <x v="1"/>
    <x v="1"/>
    <x v="0"/>
    <s v="MG Special"/>
    <m/>
    <x v="1"/>
    <d v="2017-07-24T00:00:00"/>
    <x v="6"/>
    <m/>
  </r>
  <r>
    <x v="5208"/>
    <x v="1"/>
    <x v="1"/>
    <x v="0"/>
    <s v="MG Advanced"/>
    <m/>
    <x v="1"/>
    <d v="2017-07-24T00:00:00"/>
    <x v="6"/>
    <m/>
  </r>
  <r>
    <x v="5209"/>
    <x v="1"/>
    <x v="1"/>
    <x v="0"/>
    <s v="GTX Plus Basic"/>
    <s v="Warephase"/>
    <x v="0"/>
    <d v="2017-07-24T00:00:00"/>
    <x v="109"/>
    <n v="996"/>
  </r>
  <r>
    <x v="5210"/>
    <x v="1"/>
    <x v="1"/>
    <x v="0"/>
    <s v="GTXPro"/>
    <s v="Genco Pura Olive Oil Company"/>
    <x v="0"/>
    <d v="2017-07-24T00:00:00"/>
    <x v="223"/>
    <n v="4772"/>
  </r>
  <r>
    <x v="5211"/>
    <x v="26"/>
    <x v="4"/>
    <x v="2"/>
    <s v="GTXPro"/>
    <s v="Initech"/>
    <x v="0"/>
    <d v="2017-07-24T00:00:00"/>
    <x v="216"/>
    <n v="4490"/>
  </r>
  <r>
    <x v="5212"/>
    <x v="26"/>
    <x v="4"/>
    <x v="2"/>
    <s v="MG Advanced"/>
    <s v="Gekko &amp; Co"/>
    <x v="0"/>
    <d v="2017-07-24T00:00:00"/>
    <x v="199"/>
    <n v="3260"/>
  </r>
  <r>
    <x v="5213"/>
    <x v="14"/>
    <x v="3"/>
    <x v="1"/>
    <s v="GTX Basic"/>
    <s v="Doncon"/>
    <x v="0"/>
    <d v="2017-07-24T00:00:00"/>
    <x v="112"/>
    <n v="584"/>
  </r>
  <r>
    <x v="5214"/>
    <x v="14"/>
    <x v="3"/>
    <x v="1"/>
    <s v="MG Advanced"/>
    <s v="Kan-code"/>
    <x v="0"/>
    <d v="2017-07-24T00:00:00"/>
    <x v="224"/>
    <n v="3371"/>
  </r>
  <r>
    <x v="5215"/>
    <x v="8"/>
    <x v="1"/>
    <x v="0"/>
    <s v="GTX Basic"/>
    <m/>
    <x v="1"/>
    <d v="2017-07-24T00:00:00"/>
    <x v="6"/>
    <m/>
  </r>
  <r>
    <x v="5216"/>
    <x v="8"/>
    <x v="1"/>
    <x v="0"/>
    <s v="GTX Plus Pro"/>
    <s v="Y-corporation"/>
    <x v="1"/>
    <d v="2017-07-24T00:00:00"/>
    <x v="6"/>
    <m/>
  </r>
  <r>
    <x v="5217"/>
    <x v="8"/>
    <x v="1"/>
    <x v="0"/>
    <s v="GTXPro"/>
    <s v="Condax"/>
    <x v="0"/>
    <d v="2017-07-24T00:00:00"/>
    <x v="173"/>
    <n v="4868"/>
  </r>
  <r>
    <x v="5218"/>
    <x v="8"/>
    <x v="1"/>
    <x v="0"/>
    <s v="MG Advanced"/>
    <s v="Rangreen"/>
    <x v="0"/>
    <d v="2017-07-24T00:00:00"/>
    <x v="109"/>
    <n v="3271"/>
  </r>
  <r>
    <x v="5219"/>
    <x v="29"/>
    <x v="1"/>
    <x v="0"/>
    <s v="GTX Basic"/>
    <m/>
    <x v="1"/>
    <d v="2017-07-24T00:00:00"/>
    <x v="6"/>
    <m/>
  </r>
  <r>
    <x v="5220"/>
    <x v="29"/>
    <x v="1"/>
    <x v="0"/>
    <s v="GTXPro"/>
    <s v="Treequote"/>
    <x v="2"/>
    <d v="2017-07-24T00:00:00"/>
    <x v="213"/>
    <n v="0"/>
  </r>
  <r>
    <x v="5221"/>
    <x v="24"/>
    <x v="0"/>
    <x v="0"/>
    <s v="GTX Basic"/>
    <m/>
    <x v="1"/>
    <d v="2017-07-24T00:00:00"/>
    <x v="6"/>
    <m/>
  </r>
  <r>
    <x v="5222"/>
    <x v="24"/>
    <x v="0"/>
    <x v="0"/>
    <s v="MG Special"/>
    <s v="Condax"/>
    <x v="2"/>
    <d v="2017-07-24T00:00:00"/>
    <x v="146"/>
    <n v="0"/>
  </r>
  <r>
    <x v="5223"/>
    <x v="22"/>
    <x v="1"/>
    <x v="0"/>
    <s v="GTX Basic"/>
    <m/>
    <x v="1"/>
    <d v="2017-07-24T00:00:00"/>
    <x v="6"/>
    <m/>
  </r>
  <r>
    <x v="5224"/>
    <x v="22"/>
    <x v="1"/>
    <x v="0"/>
    <s v="GTX Plus Basic"/>
    <m/>
    <x v="1"/>
    <d v="2017-07-24T00:00:00"/>
    <x v="6"/>
    <m/>
  </r>
  <r>
    <x v="5225"/>
    <x v="22"/>
    <x v="1"/>
    <x v="0"/>
    <s v="GTX Plus Basic"/>
    <s v="Konmatfix"/>
    <x v="0"/>
    <d v="2017-07-24T00:00:00"/>
    <x v="213"/>
    <n v="1171"/>
  </r>
  <r>
    <x v="5226"/>
    <x v="9"/>
    <x v="2"/>
    <x v="1"/>
    <s v="MG Special"/>
    <m/>
    <x v="1"/>
    <d v="2017-07-24T00:00:00"/>
    <x v="6"/>
    <m/>
  </r>
  <r>
    <x v="5227"/>
    <x v="0"/>
    <x v="0"/>
    <x v="0"/>
    <s v="GTX Basic"/>
    <s v="Goodsilron"/>
    <x v="1"/>
    <d v="2017-07-24T00:00:00"/>
    <x v="6"/>
    <m/>
  </r>
  <r>
    <x v="5228"/>
    <x v="0"/>
    <x v="0"/>
    <x v="0"/>
    <s v="MG Special"/>
    <s v="Massive Dynamic"/>
    <x v="1"/>
    <d v="2017-07-24T00:00:00"/>
    <x v="6"/>
    <m/>
  </r>
  <r>
    <x v="5229"/>
    <x v="0"/>
    <x v="0"/>
    <x v="0"/>
    <s v="MG Special"/>
    <s v="Inity"/>
    <x v="0"/>
    <d v="2017-07-24T00:00:00"/>
    <x v="213"/>
    <n v="58"/>
  </r>
  <r>
    <x v="5230"/>
    <x v="6"/>
    <x v="1"/>
    <x v="0"/>
    <s v="GTXPro"/>
    <m/>
    <x v="1"/>
    <d v="2017-07-24T00:00:00"/>
    <x v="6"/>
    <m/>
  </r>
  <r>
    <x v="5231"/>
    <x v="6"/>
    <x v="1"/>
    <x v="0"/>
    <s v="GTX Basic"/>
    <s v="Streethex"/>
    <x v="2"/>
    <d v="2017-07-24T00:00:00"/>
    <x v="205"/>
    <n v="0"/>
  </r>
  <r>
    <x v="5232"/>
    <x v="17"/>
    <x v="5"/>
    <x v="2"/>
    <s v="GTXPro"/>
    <s v="Yearin"/>
    <x v="2"/>
    <d v="2017-07-24T00:00:00"/>
    <x v="216"/>
    <n v="0"/>
  </r>
  <r>
    <x v="5233"/>
    <x v="17"/>
    <x v="5"/>
    <x v="2"/>
    <s v="MG Special"/>
    <s v="Zotware"/>
    <x v="0"/>
    <d v="2017-07-24T00:00:00"/>
    <x v="213"/>
    <n v="59"/>
  </r>
  <r>
    <x v="5234"/>
    <x v="12"/>
    <x v="0"/>
    <x v="0"/>
    <s v="GTX Basic"/>
    <s v="Zathunicon"/>
    <x v="1"/>
    <d v="2017-07-24T00:00:00"/>
    <x v="6"/>
    <m/>
  </r>
  <r>
    <x v="5235"/>
    <x v="12"/>
    <x v="0"/>
    <x v="0"/>
    <s v="GTX Plus Basic"/>
    <m/>
    <x v="1"/>
    <d v="2017-07-24T00:00:00"/>
    <x v="6"/>
    <m/>
  </r>
  <r>
    <x v="5236"/>
    <x v="12"/>
    <x v="0"/>
    <x v="0"/>
    <s v="MG Special"/>
    <m/>
    <x v="1"/>
    <d v="2017-07-24T00:00:00"/>
    <x v="6"/>
    <m/>
  </r>
  <r>
    <x v="5237"/>
    <x v="12"/>
    <x v="0"/>
    <x v="0"/>
    <s v="MG Special"/>
    <m/>
    <x v="1"/>
    <d v="2017-07-24T00:00:00"/>
    <x v="6"/>
    <m/>
  </r>
  <r>
    <x v="5238"/>
    <x v="12"/>
    <x v="0"/>
    <x v="0"/>
    <s v="MG Special"/>
    <m/>
    <x v="1"/>
    <d v="2017-07-24T00:00:00"/>
    <x v="6"/>
    <m/>
  </r>
  <r>
    <x v="5239"/>
    <x v="12"/>
    <x v="0"/>
    <x v="0"/>
    <s v="MG Advanced"/>
    <s v="Doncon"/>
    <x v="1"/>
    <d v="2017-07-24T00:00:00"/>
    <x v="6"/>
    <m/>
  </r>
  <r>
    <x v="5240"/>
    <x v="12"/>
    <x v="0"/>
    <x v="0"/>
    <s v="MG Advanced"/>
    <s v="Ron-tech"/>
    <x v="1"/>
    <d v="2017-07-24T00:00:00"/>
    <x v="6"/>
    <m/>
  </r>
  <r>
    <x v="5241"/>
    <x v="12"/>
    <x v="0"/>
    <x v="0"/>
    <s v="MG Special"/>
    <s v="Hottechi"/>
    <x v="0"/>
    <d v="2017-07-24T00:00:00"/>
    <x v="223"/>
    <n v="50"/>
  </r>
  <r>
    <x v="5242"/>
    <x v="4"/>
    <x v="3"/>
    <x v="1"/>
    <s v="GTX Plus Pro"/>
    <s v="Hatfan"/>
    <x v="2"/>
    <d v="2017-07-24T00:00:00"/>
    <x v="235"/>
    <n v="0"/>
  </r>
  <r>
    <x v="5243"/>
    <x v="15"/>
    <x v="5"/>
    <x v="2"/>
    <s v="MG Special"/>
    <s v="Kinnamplus"/>
    <x v="2"/>
    <d v="2017-07-24T00:00:00"/>
    <x v="224"/>
    <n v="0"/>
  </r>
  <r>
    <x v="5244"/>
    <x v="3"/>
    <x v="0"/>
    <x v="0"/>
    <s v="MG Special"/>
    <s v="Dalttechnology"/>
    <x v="1"/>
    <d v="2017-07-25T00:00:00"/>
    <x v="6"/>
    <m/>
  </r>
  <r>
    <x v="5245"/>
    <x v="3"/>
    <x v="0"/>
    <x v="0"/>
    <s v="MG Advanced"/>
    <s v="Dalttechnology"/>
    <x v="1"/>
    <d v="2017-07-25T00:00:00"/>
    <x v="6"/>
    <m/>
  </r>
  <r>
    <x v="5246"/>
    <x v="3"/>
    <x v="0"/>
    <x v="0"/>
    <s v="MG Advanced"/>
    <s v="Donquadtech"/>
    <x v="1"/>
    <d v="2017-07-25T00:00:00"/>
    <x v="6"/>
    <m/>
  </r>
  <r>
    <x v="5247"/>
    <x v="25"/>
    <x v="4"/>
    <x v="2"/>
    <s v="GTX Basic"/>
    <s v="Opentech"/>
    <x v="2"/>
    <d v="2017-07-25T00:00:00"/>
    <x v="126"/>
    <n v="0"/>
  </r>
  <r>
    <x v="5248"/>
    <x v="25"/>
    <x v="4"/>
    <x v="2"/>
    <s v="MG Special"/>
    <s v="Iselectrics"/>
    <x v="0"/>
    <d v="2017-07-25T00:00:00"/>
    <x v="137"/>
    <n v="48"/>
  </r>
  <r>
    <x v="5249"/>
    <x v="23"/>
    <x v="4"/>
    <x v="2"/>
    <s v="GTX Basic"/>
    <s v="Bubba Gump"/>
    <x v="0"/>
    <d v="2017-07-25T00:00:00"/>
    <x v="134"/>
    <n v="511"/>
  </r>
  <r>
    <x v="5250"/>
    <x v="23"/>
    <x v="4"/>
    <x v="2"/>
    <s v="GTX Plus Basic"/>
    <s v="Massive Dynamic"/>
    <x v="0"/>
    <d v="2017-07-25T00:00:00"/>
    <x v="222"/>
    <n v="1311"/>
  </r>
  <r>
    <x v="5251"/>
    <x v="28"/>
    <x v="0"/>
    <x v="0"/>
    <s v="GTX Basic"/>
    <m/>
    <x v="1"/>
    <d v="2017-07-25T00:00:00"/>
    <x v="6"/>
    <m/>
  </r>
  <r>
    <x v="5252"/>
    <x v="28"/>
    <x v="0"/>
    <x v="0"/>
    <s v="MG Advanced"/>
    <s v="Gogozoom"/>
    <x v="1"/>
    <d v="2017-07-25T00:00:00"/>
    <x v="6"/>
    <m/>
  </r>
  <r>
    <x v="5253"/>
    <x v="28"/>
    <x v="0"/>
    <x v="0"/>
    <s v="MG Special"/>
    <s v="Dontechi"/>
    <x v="2"/>
    <d v="2017-07-25T00:00:00"/>
    <x v="218"/>
    <n v="0"/>
  </r>
  <r>
    <x v="5254"/>
    <x v="27"/>
    <x v="5"/>
    <x v="2"/>
    <s v="GTX Basic"/>
    <s v="Kan-code"/>
    <x v="2"/>
    <d v="2017-07-25T00:00:00"/>
    <x v="110"/>
    <n v="0"/>
  </r>
  <r>
    <x v="5255"/>
    <x v="13"/>
    <x v="4"/>
    <x v="2"/>
    <s v="GTX Plus Pro"/>
    <s v="Plussunin"/>
    <x v="0"/>
    <d v="2017-07-25T00:00:00"/>
    <x v="218"/>
    <n v="6100"/>
  </r>
  <r>
    <x v="5256"/>
    <x v="13"/>
    <x v="4"/>
    <x v="2"/>
    <s v="MG Special"/>
    <s v="Silis"/>
    <x v="0"/>
    <d v="2017-07-25T00:00:00"/>
    <x v="137"/>
    <n v="61"/>
  </r>
  <r>
    <x v="5257"/>
    <x v="1"/>
    <x v="1"/>
    <x v="0"/>
    <s v="GTX Basic"/>
    <m/>
    <x v="1"/>
    <d v="2017-07-25T00:00:00"/>
    <x v="6"/>
    <m/>
  </r>
  <r>
    <x v="5258"/>
    <x v="1"/>
    <x v="1"/>
    <x v="0"/>
    <s v="GTX Basic"/>
    <m/>
    <x v="1"/>
    <d v="2017-07-25T00:00:00"/>
    <x v="6"/>
    <m/>
  </r>
  <r>
    <x v="5259"/>
    <x v="1"/>
    <x v="1"/>
    <x v="0"/>
    <s v="GTXPro"/>
    <s v="Isdom"/>
    <x v="1"/>
    <d v="2017-07-25T00:00:00"/>
    <x v="6"/>
    <m/>
  </r>
  <r>
    <x v="5260"/>
    <x v="1"/>
    <x v="1"/>
    <x v="0"/>
    <s v="GTXPro"/>
    <s v="Isdom"/>
    <x v="1"/>
    <d v="2017-07-25T00:00:00"/>
    <x v="6"/>
    <m/>
  </r>
  <r>
    <x v="5261"/>
    <x v="1"/>
    <x v="1"/>
    <x v="0"/>
    <s v="GTXPro"/>
    <m/>
    <x v="1"/>
    <d v="2017-07-25T00:00:00"/>
    <x v="6"/>
    <m/>
  </r>
  <r>
    <x v="5262"/>
    <x v="1"/>
    <x v="1"/>
    <x v="0"/>
    <s v="GTXPro"/>
    <m/>
    <x v="1"/>
    <d v="2017-07-25T00:00:00"/>
    <x v="6"/>
    <m/>
  </r>
  <r>
    <x v="5263"/>
    <x v="1"/>
    <x v="1"/>
    <x v="0"/>
    <s v="MG Advanced"/>
    <m/>
    <x v="1"/>
    <d v="2017-07-25T00:00:00"/>
    <x v="6"/>
    <m/>
  </r>
  <r>
    <x v="5264"/>
    <x v="1"/>
    <x v="1"/>
    <x v="0"/>
    <s v="GTX Plus Basic"/>
    <s v="Isdom"/>
    <x v="2"/>
    <d v="2017-07-25T00:00:00"/>
    <x v="220"/>
    <n v="0"/>
  </r>
  <r>
    <x v="5265"/>
    <x v="1"/>
    <x v="1"/>
    <x v="0"/>
    <s v="GTXPro"/>
    <s v="dambase"/>
    <x v="2"/>
    <d v="2017-07-25T00:00:00"/>
    <x v="143"/>
    <n v="0"/>
  </r>
  <r>
    <x v="5266"/>
    <x v="1"/>
    <x v="1"/>
    <x v="0"/>
    <s v="GTX Basic"/>
    <s v="Ron-tech"/>
    <x v="0"/>
    <d v="2017-07-25T00:00:00"/>
    <x v="126"/>
    <n v="528"/>
  </r>
  <r>
    <x v="5267"/>
    <x v="1"/>
    <x v="1"/>
    <x v="0"/>
    <s v="GTX Basic"/>
    <s v="Stanredtax"/>
    <x v="0"/>
    <d v="2017-07-25T00:00:00"/>
    <x v="223"/>
    <n v="581"/>
  </r>
  <r>
    <x v="5268"/>
    <x v="1"/>
    <x v="1"/>
    <x v="0"/>
    <s v="GTX Plus Pro"/>
    <s v="Toughzap"/>
    <x v="0"/>
    <d v="2017-07-25T00:00:00"/>
    <x v="181"/>
    <n v="5947"/>
  </r>
  <r>
    <x v="5269"/>
    <x v="26"/>
    <x v="4"/>
    <x v="2"/>
    <s v="MG Advanced"/>
    <s v="Gekko &amp; Co"/>
    <x v="2"/>
    <d v="2017-07-25T00:00:00"/>
    <x v="110"/>
    <n v="0"/>
  </r>
  <r>
    <x v="5270"/>
    <x v="8"/>
    <x v="1"/>
    <x v="0"/>
    <s v="GTX Basic"/>
    <m/>
    <x v="1"/>
    <d v="2017-07-25T00:00:00"/>
    <x v="6"/>
    <m/>
  </r>
  <r>
    <x v="5271"/>
    <x v="8"/>
    <x v="1"/>
    <x v="0"/>
    <s v="MG Advanced"/>
    <m/>
    <x v="1"/>
    <d v="2017-07-25T00:00:00"/>
    <x v="6"/>
    <m/>
  </r>
  <r>
    <x v="5272"/>
    <x v="8"/>
    <x v="1"/>
    <x v="0"/>
    <s v="GTXPro"/>
    <s v="Isdom"/>
    <x v="2"/>
    <d v="2017-07-25T00:00:00"/>
    <x v="212"/>
    <n v="0"/>
  </r>
  <r>
    <x v="5273"/>
    <x v="10"/>
    <x v="3"/>
    <x v="1"/>
    <s v="MG Advanced"/>
    <m/>
    <x v="1"/>
    <d v="2017-07-25T00:00:00"/>
    <x v="6"/>
    <m/>
  </r>
  <r>
    <x v="5274"/>
    <x v="29"/>
    <x v="1"/>
    <x v="0"/>
    <s v="GTX Basic"/>
    <m/>
    <x v="1"/>
    <d v="2017-07-25T00:00:00"/>
    <x v="6"/>
    <m/>
  </r>
  <r>
    <x v="5275"/>
    <x v="16"/>
    <x v="2"/>
    <x v="1"/>
    <s v="GTX Basic"/>
    <s v="Green-Plus"/>
    <x v="0"/>
    <d v="2017-07-25T00:00:00"/>
    <x v="236"/>
    <n v="508"/>
  </r>
  <r>
    <x v="5276"/>
    <x v="18"/>
    <x v="2"/>
    <x v="1"/>
    <s v="MG Special"/>
    <m/>
    <x v="1"/>
    <d v="2017-07-25T00:00:00"/>
    <x v="6"/>
    <m/>
  </r>
  <r>
    <x v="5277"/>
    <x v="24"/>
    <x v="0"/>
    <x v="0"/>
    <s v="MG Special"/>
    <s v="Hottechi"/>
    <x v="1"/>
    <d v="2017-07-25T00:00:00"/>
    <x v="6"/>
    <m/>
  </r>
  <r>
    <x v="5278"/>
    <x v="24"/>
    <x v="0"/>
    <x v="0"/>
    <s v="MG Advanced"/>
    <s v="Umbrella Corporation"/>
    <x v="1"/>
    <d v="2017-07-25T00:00:00"/>
    <x v="6"/>
    <m/>
  </r>
  <r>
    <x v="5279"/>
    <x v="24"/>
    <x v="0"/>
    <x v="0"/>
    <s v="MG Advanced"/>
    <m/>
    <x v="1"/>
    <d v="2017-07-25T00:00:00"/>
    <x v="6"/>
    <m/>
  </r>
  <r>
    <x v="5280"/>
    <x v="24"/>
    <x v="0"/>
    <x v="0"/>
    <s v="GTX Basic"/>
    <s v="Dontechi"/>
    <x v="2"/>
    <d v="2017-07-25T00:00:00"/>
    <x v="223"/>
    <n v="0"/>
  </r>
  <r>
    <x v="5281"/>
    <x v="24"/>
    <x v="0"/>
    <x v="0"/>
    <s v="GTX Basic"/>
    <s v="Konmatfix"/>
    <x v="0"/>
    <d v="2017-07-25T00:00:00"/>
    <x v="224"/>
    <n v="537"/>
  </r>
  <r>
    <x v="5282"/>
    <x v="5"/>
    <x v="3"/>
    <x v="1"/>
    <s v="GTX Plus Basic"/>
    <s v="Blackzim"/>
    <x v="2"/>
    <d v="2017-07-25T00:00:00"/>
    <x v="237"/>
    <n v="0"/>
  </r>
  <r>
    <x v="5283"/>
    <x v="22"/>
    <x v="1"/>
    <x v="0"/>
    <s v="GTX Basic"/>
    <s v="Zotware"/>
    <x v="1"/>
    <d v="2017-07-25T00:00:00"/>
    <x v="6"/>
    <m/>
  </r>
  <r>
    <x v="5284"/>
    <x v="22"/>
    <x v="1"/>
    <x v="0"/>
    <s v="GTX Plus Pro"/>
    <m/>
    <x v="1"/>
    <d v="2017-07-25T00:00:00"/>
    <x v="6"/>
    <m/>
  </r>
  <r>
    <x v="5285"/>
    <x v="22"/>
    <x v="1"/>
    <x v="0"/>
    <s v="MG Special"/>
    <s v="Treequote"/>
    <x v="1"/>
    <d v="2017-07-25T00:00:00"/>
    <x v="6"/>
    <m/>
  </r>
  <r>
    <x v="5286"/>
    <x v="22"/>
    <x v="1"/>
    <x v="0"/>
    <s v="GTX Plus Basic"/>
    <s v="Cancity"/>
    <x v="0"/>
    <d v="2017-07-25T00:00:00"/>
    <x v="218"/>
    <n v="1031"/>
  </r>
  <r>
    <x v="5287"/>
    <x v="0"/>
    <x v="0"/>
    <x v="0"/>
    <s v="GTX Basic"/>
    <m/>
    <x v="1"/>
    <d v="2017-07-25T00:00:00"/>
    <x v="6"/>
    <m/>
  </r>
  <r>
    <x v="5288"/>
    <x v="0"/>
    <x v="0"/>
    <x v="0"/>
    <s v="MG Advanced"/>
    <s v="Xx-holding"/>
    <x v="1"/>
    <d v="2017-07-25T00:00:00"/>
    <x v="6"/>
    <m/>
  </r>
  <r>
    <x v="5289"/>
    <x v="6"/>
    <x v="1"/>
    <x v="0"/>
    <s v="GTX Plus Basic"/>
    <s v="Konex"/>
    <x v="1"/>
    <d v="2017-07-25T00:00:00"/>
    <x v="6"/>
    <m/>
  </r>
  <r>
    <x v="5290"/>
    <x v="6"/>
    <x v="1"/>
    <x v="0"/>
    <s v="GTX Plus Basic"/>
    <m/>
    <x v="1"/>
    <d v="2017-07-25T00:00:00"/>
    <x v="6"/>
    <m/>
  </r>
  <r>
    <x v="5291"/>
    <x v="6"/>
    <x v="1"/>
    <x v="0"/>
    <s v="MG Advanced"/>
    <s v="Faxquote"/>
    <x v="1"/>
    <d v="2017-07-25T00:00:00"/>
    <x v="6"/>
    <m/>
  </r>
  <r>
    <x v="5292"/>
    <x v="6"/>
    <x v="1"/>
    <x v="0"/>
    <s v="GTX Plus Basic"/>
    <s v="dambase"/>
    <x v="0"/>
    <d v="2017-07-25T00:00:00"/>
    <x v="197"/>
    <n v="1077"/>
  </r>
  <r>
    <x v="5293"/>
    <x v="11"/>
    <x v="3"/>
    <x v="1"/>
    <s v="MG Special"/>
    <m/>
    <x v="1"/>
    <d v="2017-07-25T00:00:00"/>
    <x v="6"/>
    <m/>
  </r>
  <r>
    <x v="5294"/>
    <x v="12"/>
    <x v="0"/>
    <x v="0"/>
    <s v="GTX Basic"/>
    <m/>
    <x v="1"/>
    <d v="2017-07-25T00:00:00"/>
    <x v="6"/>
    <m/>
  </r>
  <r>
    <x v="5295"/>
    <x v="12"/>
    <x v="0"/>
    <x v="0"/>
    <s v="MG Special"/>
    <s v="Sonron"/>
    <x v="1"/>
    <d v="2017-07-25T00:00:00"/>
    <x v="6"/>
    <m/>
  </r>
  <r>
    <x v="5296"/>
    <x v="12"/>
    <x v="0"/>
    <x v="0"/>
    <s v="MG Advanced"/>
    <s v="Dontechi"/>
    <x v="0"/>
    <d v="2017-07-25T00:00:00"/>
    <x v="217"/>
    <n v="3306"/>
  </r>
  <r>
    <x v="5297"/>
    <x v="15"/>
    <x v="5"/>
    <x v="2"/>
    <s v="GTX Basic"/>
    <s v="Bioplex"/>
    <x v="0"/>
    <d v="2017-07-25T00:00:00"/>
    <x v="216"/>
    <n v="491"/>
  </r>
  <r>
    <x v="5298"/>
    <x v="3"/>
    <x v="0"/>
    <x v="0"/>
    <s v="MG Special"/>
    <s v="Konmatfix"/>
    <x v="1"/>
    <d v="2017-07-26T00:00:00"/>
    <x v="6"/>
    <m/>
  </r>
  <r>
    <x v="5299"/>
    <x v="3"/>
    <x v="0"/>
    <x v="0"/>
    <s v="MG Special"/>
    <m/>
    <x v="1"/>
    <d v="2017-07-26T00:00:00"/>
    <x v="6"/>
    <m/>
  </r>
  <r>
    <x v="5300"/>
    <x v="3"/>
    <x v="0"/>
    <x v="0"/>
    <s v="MG Special"/>
    <s v="Streethex"/>
    <x v="0"/>
    <d v="2017-07-26T00:00:00"/>
    <x v="236"/>
    <n v="53"/>
  </r>
  <r>
    <x v="5301"/>
    <x v="23"/>
    <x v="4"/>
    <x v="2"/>
    <s v="GTX Plus Basic"/>
    <s v="Bluth Company"/>
    <x v="1"/>
    <d v="2017-07-26T00:00:00"/>
    <x v="6"/>
    <m/>
  </r>
  <r>
    <x v="5302"/>
    <x v="23"/>
    <x v="4"/>
    <x v="2"/>
    <s v="GTX Plus Pro"/>
    <s v="Initech"/>
    <x v="0"/>
    <d v="2017-07-26T00:00:00"/>
    <x v="173"/>
    <n v="5228"/>
  </r>
  <r>
    <x v="5303"/>
    <x v="28"/>
    <x v="0"/>
    <x v="0"/>
    <s v="GTX Plus Pro"/>
    <s v="Domzoom"/>
    <x v="2"/>
    <d v="2017-07-26T00:00:00"/>
    <x v="223"/>
    <n v="0"/>
  </r>
  <r>
    <x v="5304"/>
    <x v="1"/>
    <x v="1"/>
    <x v="0"/>
    <s v="GTX Plus Basic"/>
    <s v="Kinnamplus"/>
    <x v="1"/>
    <d v="2017-07-26T00:00:00"/>
    <x v="6"/>
    <m/>
  </r>
  <r>
    <x v="5305"/>
    <x v="1"/>
    <x v="1"/>
    <x v="0"/>
    <s v="GTX Plus Pro"/>
    <s v="Inity"/>
    <x v="1"/>
    <d v="2017-07-26T00:00:00"/>
    <x v="6"/>
    <m/>
  </r>
  <r>
    <x v="5306"/>
    <x v="1"/>
    <x v="1"/>
    <x v="0"/>
    <s v="GTXPro"/>
    <s v="Sumace"/>
    <x v="1"/>
    <d v="2017-07-26T00:00:00"/>
    <x v="6"/>
    <m/>
  </r>
  <r>
    <x v="5307"/>
    <x v="1"/>
    <x v="1"/>
    <x v="0"/>
    <s v="GTXPro"/>
    <m/>
    <x v="1"/>
    <d v="2017-07-26T00:00:00"/>
    <x v="6"/>
    <m/>
  </r>
  <r>
    <x v="5308"/>
    <x v="1"/>
    <x v="1"/>
    <x v="0"/>
    <s v="GTXPro"/>
    <m/>
    <x v="1"/>
    <d v="2017-07-26T00:00:00"/>
    <x v="6"/>
    <m/>
  </r>
  <r>
    <x v="5309"/>
    <x v="1"/>
    <x v="1"/>
    <x v="0"/>
    <s v="MG Advanced"/>
    <m/>
    <x v="1"/>
    <d v="2017-07-26T00:00:00"/>
    <x v="6"/>
    <m/>
  </r>
  <r>
    <x v="5310"/>
    <x v="1"/>
    <x v="1"/>
    <x v="0"/>
    <s v="GTXPro"/>
    <s v="Streethex"/>
    <x v="2"/>
    <d v="2017-07-26T00:00:00"/>
    <x v="221"/>
    <n v="0"/>
  </r>
  <r>
    <x v="5311"/>
    <x v="1"/>
    <x v="1"/>
    <x v="0"/>
    <s v="GTXPro"/>
    <s v="Domzoom"/>
    <x v="0"/>
    <d v="2017-07-26T00:00:00"/>
    <x v="218"/>
    <n v="4677"/>
  </r>
  <r>
    <x v="5312"/>
    <x v="26"/>
    <x v="4"/>
    <x v="2"/>
    <s v="GTX Plus Basic"/>
    <s v="Acme Corporation"/>
    <x v="2"/>
    <d v="2017-07-26T00:00:00"/>
    <x v="181"/>
    <n v="0"/>
  </r>
  <r>
    <x v="5313"/>
    <x v="26"/>
    <x v="4"/>
    <x v="2"/>
    <s v="GTXPro"/>
    <s v="Kan-code"/>
    <x v="2"/>
    <d v="2017-07-26T00:00:00"/>
    <x v="168"/>
    <n v="0"/>
  </r>
  <r>
    <x v="5314"/>
    <x v="26"/>
    <x v="4"/>
    <x v="2"/>
    <s v="GTX Basic"/>
    <s v="Xx-zobam"/>
    <x v="0"/>
    <d v="2017-07-26T00:00:00"/>
    <x v="219"/>
    <n v="554"/>
  </r>
  <r>
    <x v="5315"/>
    <x v="8"/>
    <x v="1"/>
    <x v="0"/>
    <s v="MG Special"/>
    <m/>
    <x v="1"/>
    <d v="2017-07-26T00:00:00"/>
    <x v="6"/>
    <m/>
  </r>
  <r>
    <x v="5316"/>
    <x v="8"/>
    <x v="1"/>
    <x v="0"/>
    <s v="MG Special"/>
    <m/>
    <x v="1"/>
    <d v="2017-07-26T00:00:00"/>
    <x v="6"/>
    <m/>
  </r>
  <r>
    <x v="5317"/>
    <x v="8"/>
    <x v="1"/>
    <x v="0"/>
    <s v="MG Advanced"/>
    <s v="Xx-holding"/>
    <x v="1"/>
    <d v="2017-07-26T00:00:00"/>
    <x v="6"/>
    <m/>
  </r>
  <r>
    <x v="5318"/>
    <x v="8"/>
    <x v="1"/>
    <x v="0"/>
    <s v="GTX Plus Pro"/>
    <s v="dambase"/>
    <x v="0"/>
    <d v="2017-07-26T00:00:00"/>
    <x v="178"/>
    <n v="5548"/>
  </r>
  <r>
    <x v="5319"/>
    <x v="8"/>
    <x v="1"/>
    <x v="0"/>
    <s v="MG Advanced"/>
    <s v="Funholding"/>
    <x v="0"/>
    <d v="2017-07-26T00:00:00"/>
    <x v="219"/>
    <n v="3809"/>
  </r>
  <r>
    <x v="5320"/>
    <x v="7"/>
    <x v="2"/>
    <x v="1"/>
    <s v="GTXPro"/>
    <s v="Donquadtech"/>
    <x v="1"/>
    <d v="2017-07-26T00:00:00"/>
    <x v="6"/>
    <m/>
  </r>
  <r>
    <x v="5321"/>
    <x v="29"/>
    <x v="1"/>
    <x v="0"/>
    <s v="GTX Basic"/>
    <m/>
    <x v="1"/>
    <d v="2017-07-26T00:00:00"/>
    <x v="6"/>
    <m/>
  </r>
  <r>
    <x v="5322"/>
    <x v="29"/>
    <x v="1"/>
    <x v="0"/>
    <s v="GTX Basic"/>
    <s v="Globex Corporation"/>
    <x v="2"/>
    <d v="2017-07-26T00:00:00"/>
    <x v="224"/>
    <n v="0"/>
  </r>
  <r>
    <x v="5323"/>
    <x v="18"/>
    <x v="2"/>
    <x v="1"/>
    <s v="GTX Plus Pro"/>
    <m/>
    <x v="1"/>
    <d v="2017-07-26T00:00:00"/>
    <x v="6"/>
    <m/>
  </r>
  <r>
    <x v="5324"/>
    <x v="18"/>
    <x v="2"/>
    <x v="1"/>
    <s v="MG Special"/>
    <s v="Scotfind"/>
    <x v="0"/>
    <d v="2017-07-26T00:00:00"/>
    <x v="133"/>
    <n v="53"/>
  </r>
  <r>
    <x v="5325"/>
    <x v="24"/>
    <x v="0"/>
    <x v="0"/>
    <s v="GTX Plus Pro"/>
    <m/>
    <x v="1"/>
    <d v="2017-07-26T00:00:00"/>
    <x v="6"/>
    <m/>
  </r>
  <r>
    <x v="5326"/>
    <x v="24"/>
    <x v="0"/>
    <x v="0"/>
    <s v="MG Advanced"/>
    <s v="The New York Inquirer"/>
    <x v="1"/>
    <d v="2017-07-26T00:00:00"/>
    <x v="6"/>
    <m/>
  </r>
  <r>
    <x v="5327"/>
    <x v="24"/>
    <x v="0"/>
    <x v="0"/>
    <s v="MG Advanced"/>
    <m/>
    <x v="1"/>
    <d v="2017-07-26T00:00:00"/>
    <x v="6"/>
    <m/>
  </r>
  <r>
    <x v="5328"/>
    <x v="24"/>
    <x v="0"/>
    <x v="0"/>
    <s v="MG Advanced"/>
    <s v="Betatech"/>
    <x v="2"/>
    <d v="2017-07-26T00:00:00"/>
    <x v="224"/>
    <n v="0"/>
  </r>
  <r>
    <x v="5329"/>
    <x v="22"/>
    <x v="1"/>
    <x v="0"/>
    <s v="GTX Plus Basic"/>
    <s v="Ron-tech"/>
    <x v="0"/>
    <d v="2017-07-26T00:00:00"/>
    <x v="219"/>
    <n v="1044"/>
  </r>
  <r>
    <x v="5330"/>
    <x v="9"/>
    <x v="2"/>
    <x v="1"/>
    <s v="GTXPro"/>
    <s v="Kan-code"/>
    <x v="2"/>
    <d v="2017-07-26T00:00:00"/>
    <x v="224"/>
    <n v="0"/>
  </r>
  <r>
    <x v="5331"/>
    <x v="0"/>
    <x v="0"/>
    <x v="0"/>
    <s v="MG Special"/>
    <m/>
    <x v="1"/>
    <d v="2017-07-26T00:00:00"/>
    <x v="6"/>
    <m/>
  </r>
  <r>
    <x v="5332"/>
    <x v="0"/>
    <x v="0"/>
    <x v="0"/>
    <s v="MG Advanced"/>
    <m/>
    <x v="1"/>
    <d v="2017-07-26T00:00:00"/>
    <x v="6"/>
    <m/>
  </r>
  <r>
    <x v="5333"/>
    <x v="0"/>
    <x v="0"/>
    <x v="0"/>
    <s v="MG Advanced"/>
    <m/>
    <x v="1"/>
    <d v="2017-07-26T00:00:00"/>
    <x v="6"/>
    <m/>
  </r>
  <r>
    <x v="5334"/>
    <x v="6"/>
    <x v="1"/>
    <x v="0"/>
    <s v="GTX Plus Basic"/>
    <s v="Umbrella Corporation"/>
    <x v="1"/>
    <d v="2017-07-26T00:00:00"/>
    <x v="6"/>
    <m/>
  </r>
  <r>
    <x v="5335"/>
    <x v="4"/>
    <x v="3"/>
    <x v="1"/>
    <s v="GTXPro"/>
    <m/>
    <x v="1"/>
    <d v="2017-07-26T00:00:00"/>
    <x v="6"/>
    <m/>
  </r>
  <r>
    <x v="5336"/>
    <x v="4"/>
    <x v="3"/>
    <x v="1"/>
    <s v="GTXPro"/>
    <s v="Faxquote"/>
    <x v="2"/>
    <d v="2017-07-26T00:00:00"/>
    <x v="112"/>
    <n v="0"/>
  </r>
  <r>
    <x v="5337"/>
    <x v="20"/>
    <x v="5"/>
    <x v="2"/>
    <s v="MG Advanced"/>
    <s v="Xx-zobam"/>
    <x v="0"/>
    <d v="2017-07-26T00:00:00"/>
    <x v="219"/>
    <n v="3596"/>
  </r>
  <r>
    <x v="5338"/>
    <x v="2"/>
    <x v="2"/>
    <x v="1"/>
    <s v="GTX Basic"/>
    <m/>
    <x v="1"/>
    <d v="2017-07-26T00:00:00"/>
    <x v="6"/>
    <m/>
  </r>
  <r>
    <x v="5339"/>
    <x v="2"/>
    <x v="2"/>
    <x v="1"/>
    <s v="GTX Plus Basic"/>
    <s v="Hottechi"/>
    <x v="2"/>
    <d v="2017-07-26T00:00:00"/>
    <x v="218"/>
    <n v="0"/>
  </r>
  <r>
    <x v="5340"/>
    <x v="2"/>
    <x v="2"/>
    <x v="1"/>
    <s v="GTX Plus Basic"/>
    <s v="Singletechno"/>
    <x v="0"/>
    <d v="2017-07-26T00:00:00"/>
    <x v="238"/>
    <n v="1091"/>
  </r>
  <r>
    <x v="5341"/>
    <x v="2"/>
    <x v="2"/>
    <x v="1"/>
    <s v="GTXPro"/>
    <s v="Plexzap"/>
    <x v="0"/>
    <d v="2017-07-26T00:00:00"/>
    <x v="168"/>
    <n v="6000"/>
  </r>
  <r>
    <x v="5342"/>
    <x v="3"/>
    <x v="0"/>
    <x v="0"/>
    <s v="GTX Plus Pro"/>
    <m/>
    <x v="1"/>
    <d v="2017-07-27T00:00:00"/>
    <x v="6"/>
    <m/>
  </r>
  <r>
    <x v="5343"/>
    <x v="3"/>
    <x v="0"/>
    <x v="0"/>
    <s v="GTX Plus Pro"/>
    <m/>
    <x v="1"/>
    <d v="2017-07-27T00:00:00"/>
    <x v="6"/>
    <m/>
  </r>
  <r>
    <x v="5344"/>
    <x v="3"/>
    <x v="0"/>
    <x v="0"/>
    <s v="MG Special"/>
    <s v="Golddex"/>
    <x v="1"/>
    <d v="2017-07-27T00:00:00"/>
    <x v="6"/>
    <m/>
  </r>
  <r>
    <x v="5345"/>
    <x v="3"/>
    <x v="0"/>
    <x v="0"/>
    <s v="MG Special"/>
    <m/>
    <x v="1"/>
    <d v="2017-07-27T00:00:00"/>
    <x v="6"/>
    <m/>
  </r>
  <r>
    <x v="5346"/>
    <x v="3"/>
    <x v="0"/>
    <x v="0"/>
    <s v="GTX Plus Pro"/>
    <s v="Bioholding"/>
    <x v="0"/>
    <d v="2017-07-27T00:00:00"/>
    <x v="222"/>
    <n v="5068"/>
  </r>
  <r>
    <x v="5347"/>
    <x v="3"/>
    <x v="0"/>
    <x v="0"/>
    <s v="MG Special"/>
    <s v="Globex Corporation"/>
    <x v="0"/>
    <d v="2017-07-27T00:00:00"/>
    <x v="222"/>
    <n v="46"/>
  </r>
  <r>
    <x v="5348"/>
    <x v="23"/>
    <x v="4"/>
    <x v="2"/>
    <s v="MG Advanced"/>
    <s v="Vehement Capital Partners"/>
    <x v="2"/>
    <d v="2017-07-27T00:00:00"/>
    <x v="239"/>
    <n v="0"/>
  </r>
  <r>
    <x v="5349"/>
    <x v="28"/>
    <x v="0"/>
    <x v="0"/>
    <s v="GTX Plus Basic"/>
    <m/>
    <x v="1"/>
    <d v="2017-07-27T00:00:00"/>
    <x v="6"/>
    <m/>
  </r>
  <r>
    <x v="5350"/>
    <x v="28"/>
    <x v="0"/>
    <x v="0"/>
    <s v="MG Advanced"/>
    <s v="Scottech"/>
    <x v="0"/>
    <d v="2017-07-27T00:00:00"/>
    <x v="110"/>
    <n v="3025"/>
  </r>
  <r>
    <x v="5351"/>
    <x v="27"/>
    <x v="5"/>
    <x v="2"/>
    <s v="GTX Plus Basic"/>
    <s v="Donware"/>
    <x v="2"/>
    <d v="2017-07-27T00:00:00"/>
    <x v="222"/>
    <n v="0"/>
  </r>
  <r>
    <x v="5352"/>
    <x v="1"/>
    <x v="1"/>
    <x v="0"/>
    <s v="GTX Plus Basic"/>
    <m/>
    <x v="1"/>
    <d v="2017-07-27T00:00:00"/>
    <x v="6"/>
    <m/>
  </r>
  <r>
    <x v="5353"/>
    <x v="1"/>
    <x v="1"/>
    <x v="0"/>
    <s v="GTXPro"/>
    <s v="Finjob"/>
    <x v="1"/>
    <d v="2017-07-27T00:00:00"/>
    <x v="6"/>
    <m/>
  </r>
  <r>
    <x v="5354"/>
    <x v="1"/>
    <x v="1"/>
    <x v="0"/>
    <s v="GTXPro"/>
    <s v="Funholding"/>
    <x v="1"/>
    <d v="2017-07-27T00:00:00"/>
    <x v="6"/>
    <m/>
  </r>
  <r>
    <x v="5355"/>
    <x v="1"/>
    <x v="1"/>
    <x v="0"/>
    <s v="GTXPro"/>
    <s v="Konex"/>
    <x v="1"/>
    <d v="2017-07-27T00:00:00"/>
    <x v="6"/>
    <m/>
  </r>
  <r>
    <x v="5356"/>
    <x v="1"/>
    <x v="1"/>
    <x v="0"/>
    <s v="GTXPro"/>
    <m/>
    <x v="1"/>
    <d v="2017-07-27T00:00:00"/>
    <x v="6"/>
    <m/>
  </r>
  <r>
    <x v="5357"/>
    <x v="1"/>
    <x v="1"/>
    <x v="0"/>
    <s v="GTXPro"/>
    <m/>
    <x v="1"/>
    <d v="2017-07-27T00:00:00"/>
    <x v="6"/>
    <m/>
  </r>
  <r>
    <x v="5358"/>
    <x v="1"/>
    <x v="1"/>
    <x v="0"/>
    <s v="GTXPro"/>
    <m/>
    <x v="1"/>
    <d v="2017-07-27T00:00:00"/>
    <x v="6"/>
    <m/>
  </r>
  <r>
    <x v="5359"/>
    <x v="1"/>
    <x v="1"/>
    <x v="0"/>
    <s v="GTXPro"/>
    <m/>
    <x v="1"/>
    <d v="2017-07-27T00:00:00"/>
    <x v="6"/>
    <m/>
  </r>
  <r>
    <x v="5360"/>
    <x v="1"/>
    <x v="1"/>
    <x v="0"/>
    <s v="MG Advanced"/>
    <m/>
    <x v="1"/>
    <d v="2017-07-27T00:00:00"/>
    <x v="6"/>
    <m/>
  </r>
  <r>
    <x v="5361"/>
    <x v="1"/>
    <x v="1"/>
    <x v="0"/>
    <s v="MG Advanced"/>
    <m/>
    <x v="1"/>
    <d v="2017-07-27T00:00:00"/>
    <x v="6"/>
    <m/>
  </r>
  <r>
    <x v="5362"/>
    <x v="1"/>
    <x v="1"/>
    <x v="0"/>
    <s v="GTXPro"/>
    <s v="dambase"/>
    <x v="0"/>
    <d v="2017-07-27T00:00:00"/>
    <x v="128"/>
    <n v="4790"/>
  </r>
  <r>
    <x v="5363"/>
    <x v="1"/>
    <x v="1"/>
    <x v="0"/>
    <s v="GTXPro"/>
    <s v="Zumgoity"/>
    <x v="0"/>
    <d v="2017-07-27T00:00:00"/>
    <x v="147"/>
    <n v="4861"/>
  </r>
  <r>
    <x v="5364"/>
    <x v="8"/>
    <x v="1"/>
    <x v="0"/>
    <s v="GTX Plus Pro"/>
    <m/>
    <x v="1"/>
    <d v="2017-07-27T00:00:00"/>
    <x v="6"/>
    <m/>
  </r>
  <r>
    <x v="5365"/>
    <x v="8"/>
    <x v="1"/>
    <x v="0"/>
    <s v="MG Advanced"/>
    <m/>
    <x v="1"/>
    <d v="2017-07-27T00:00:00"/>
    <x v="6"/>
    <m/>
  </r>
  <r>
    <x v="5366"/>
    <x v="8"/>
    <x v="1"/>
    <x v="0"/>
    <s v="GTX Basic"/>
    <s v="Cancity"/>
    <x v="2"/>
    <d v="2017-07-27T00:00:00"/>
    <x v="152"/>
    <n v="0"/>
  </r>
  <r>
    <x v="5367"/>
    <x v="10"/>
    <x v="3"/>
    <x v="1"/>
    <s v="GTX Plus Basic"/>
    <m/>
    <x v="1"/>
    <d v="2017-07-27T00:00:00"/>
    <x v="6"/>
    <m/>
  </r>
  <r>
    <x v="5368"/>
    <x v="7"/>
    <x v="2"/>
    <x v="1"/>
    <s v="GTX Basic"/>
    <s v="Hottechi"/>
    <x v="0"/>
    <d v="2017-07-27T00:00:00"/>
    <x v="152"/>
    <n v="586"/>
  </r>
  <r>
    <x v="5369"/>
    <x v="29"/>
    <x v="1"/>
    <x v="0"/>
    <s v="GTX Basic"/>
    <m/>
    <x v="1"/>
    <d v="2017-07-27T00:00:00"/>
    <x v="6"/>
    <m/>
  </r>
  <r>
    <x v="5370"/>
    <x v="29"/>
    <x v="1"/>
    <x v="0"/>
    <s v="GTX Basic"/>
    <m/>
    <x v="1"/>
    <d v="2017-07-27T00:00:00"/>
    <x v="6"/>
    <m/>
  </r>
  <r>
    <x v="5371"/>
    <x v="29"/>
    <x v="1"/>
    <x v="0"/>
    <s v="GTX Plus Basic"/>
    <s v="Singletechno"/>
    <x v="1"/>
    <d v="2017-07-27T00:00:00"/>
    <x v="6"/>
    <m/>
  </r>
  <r>
    <x v="5372"/>
    <x v="29"/>
    <x v="1"/>
    <x v="0"/>
    <s v="GTX Plus Basic"/>
    <m/>
    <x v="1"/>
    <d v="2017-07-27T00:00:00"/>
    <x v="6"/>
    <m/>
  </r>
  <r>
    <x v="5373"/>
    <x v="16"/>
    <x v="2"/>
    <x v="1"/>
    <s v="GTX Basic"/>
    <s v="Scotfind"/>
    <x v="0"/>
    <d v="2017-07-27T00:00:00"/>
    <x v="133"/>
    <n v="514"/>
  </r>
  <r>
    <x v="5374"/>
    <x v="5"/>
    <x v="3"/>
    <x v="1"/>
    <s v="GTXPro"/>
    <s v="Konex"/>
    <x v="0"/>
    <d v="2017-07-27T00:00:00"/>
    <x v="219"/>
    <n v="4209"/>
  </r>
  <r>
    <x v="5375"/>
    <x v="22"/>
    <x v="1"/>
    <x v="0"/>
    <s v="GTX Basic"/>
    <m/>
    <x v="1"/>
    <d v="2017-07-27T00:00:00"/>
    <x v="6"/>
    <m/>
  </r>
  <r>
    <x v="5376"/>
    <x v="22"/>
    <x v="1"/>
    <x v="0"/>
    <s v="GTX Plus Basic"/>
    <s v="Singletechno"/>
    <x v="1"/>
    <d v="2017-07-27T00:00:00"/>
    <x v="6"/>
    <m/>
  </r>
  <r>
    <x v="5377"/>
    <x v="22"/>
    <x v="1"/>
    <x v="0"/>
    <s v="GTX Plus Basic"/>
    <s v="Y-corporation"/>
    <x v="1"/>
    <d v="2017-07-27T00:00:00"/>
    <x v="6"/>
    <m/>
  </r>
  <r>
    <x v="5378"/>
    <x v="22"/>
    <x v="1"/>
    <x v="0"/>
    <s v="MG Special"/>
    <s v="Genco Pura Olive Oil Company"/>
    <x v="2"/>
    <d v="2017-07-27T00:00:00"/>
    <x v="137"/>
    <n v="0"/>
  </r>
  <r>
    <x v="5379"/>
    <x v="22"/>
    <x v="1"/>
    <x v="0"/>
    <s v="GTX Plus Basic"/>
    <s v="Domzoom"/>
    <x v="0"/>
    <d v="2017-07-27T00:00:00"/>
    <x v="109"/>
    <n v="965"/>
  </r>
  <r>
    <x v="5380"/>
    <x v="0"/>
    <x v="0"/>
    <x v="0"/>
    <s v="GTX Basic"/>
    <m/>
    <x v="1"/>
    <d v="2017-07-27T00:00:00"/>
    <x v="6"/>
    <m/>
  </r>
  <r>
    <x v="5381"/>
    <x v="6"/>
    <x v="1"/>
    <x v="0"/>
    <s v="GTX Basic"/>
    <m/>
    <x v="1"/>
    <d v="2017-07-27T00:00:00"/>
    <x v="6"/>
    <m/>
  </r>
  <r>
    <x v="5382"/>
    <x v="6"/>
    <x v="1"/>
    <x v="0"/>
    <s v="MG Special"/>
    <m/>
    <x v="1"/>
    <d v="2017-07-27T00:00:00"/>
    <x v="6"/>
    <m/>
  </r>
  <r>
    <x v="5383"/>
    <x v="11"/>
    <x v="3"/>
    <x v="1"/>
    <s v="GTK 500"/>
    <m/>
    <x v="1"/>
    <d v="2017-07-27T00:00:00"/>
    <x v="6"/>
    <m/>
  </r>
  <r>
    <x v="5384"/>
    <x v="11"/>
    <x v="3"/>
    <x v="1"/>
    <s v="GTX Plus Pro"/>
    <s v="Newex"/>
    <x v="2"/>
    <d v="2017-07-27T00:00:00"/>
    <x v="219"/>
    <n v="0"/>
  </r>
  <r>
    <x v="5385"/>
    <x v="12"/>
    <x v="0"/>
    <x v="0"/>
    <s v="GTX Plus Pro"/>
    <s v="Xx-zobam"/>
    <x v="1"/>
    <d v="2017-07-27T00:00:00"/>
    <x v="6"/>
    <m/>
  </r>
  <r>
    <x v="5386"/>
    <x v="12"/>
    <x v="0"/>
    <x v="0"/>
    <s v="MG Special"/>
    <m/>
    <x v="1"/>
    <d v="2017-07-27T00:00:00"/>
    <x v="6"/>
    <m/>
  </r>
  <r>
    <x v="5387"/>
    <x v="4"/>
    <x v="3"/>
    <x v="1"/>
    <s v="GTX Basic"/>
    <s v="Groovestreet"/>
    <x v="0"/>
    <d v="2017-07-27T00:00:00"/>
    <x v="112"/>
    <n v="651"/>
  </r>
  <r>
    <x v="5388"/>
    <x v="2"/>
    <x v="2"/>
    <x v="1"/>
    <s v="GTXPro"/>
    <s v="Toughzap"/>
    <x v="1"/>
    <d v="2017-07-27T00:00:00"/>
    <x v="6"/>
    <m/>
  </r>
  <r>
    <x v="5389"/>
    <x v="3"/>
    <x v="0"/>
    <x v="0"/>
    <s v="GTX Basic"/>
    <s v="Yearin"/>
    <x v="1"/>
    <d v="2017-07-28T00:00:00"/>
    <x v="6"/>
    <m/>
  </r>
  <r>
    <x v="5390"/>
    <x v="3"/>
    <x v="0"/>
    <x v="0"/>
    <s v="MG Special"/>
    <m/>
    <x v="1"/>
    <d v="2017-07-28T00:00:00"/>
    <x v="6"/>
    <m/>
  </r>
  <r>
    <x v="5391"/>
    <x v="3"/>
    <x v="0"/>
    <x v="0"/>
    <s v="MG Advanced"/>
    <s v="Conecom"/>
    <x v="2"/>
    <d v="2017-07-28T00:00:00"/>
    <x v="126"/>
    <n v="0"/>
  </r>
  <r>
    <x v="5392"/>
    <x v="25"/>
    <x v="4"/>
    <x v="2"/>
    <s v="GTX Basic"/>
    <m/>
    <x v="1"/>
    <d v="2017-07-28T00:00:00"/>
    <x v="6"/>
    <m/>
  </r>
  <r>
    <x v="5393"/>
    <x v="23"/>
    <x v="4"/>
    <x v="2"/>
    <s v="GTX Plus Basic"/>
    <s v="Umbrella Corporation"/>
    <x v="2"/>
    <d v="2017-07-28T00:00:00"/>
    <x v="233"/>
    <n v="0"/>
  </r>
  <r>
    <x v="5394"/>
    <x v="27"/>
    <x v="5"/>
    <x v="2"/>
    <s v="GTX Basic"/>
    <s v="Ganjaflex"/>
    <x v="0"/>
    <d v="2017-07-28T00:00:00"/>
    <x v="210"/>
    <n v="550"/>
  </r>
  <r>
    <x v="5395"/>
    <x v="13"/>
    <x v="4"/>
    <x v="2"/>
    <s v="GTX Plus Basic"/>
    <m/>
    <x v="1"/>
    <d v="2017-07-28T00:00:00"/>
    <x v="6"/>
    <m/>
  </r>
  <r>
    <x v="5396"/>
    <x v="1"/>
    <x v="1"/>
    <x v="0"/>
    <s v="GTX Plus Basic"/>
    <s v="Statholdings"/>
    <x v="1"/>
    <d v="2017-07-28T00:00:00"/>
    <x v="6"/>
    <m/>
  </r>
  <r>
    <x v="5397"/>
    <x v="1"/>
    <x v="1"/>
    <x v="0"/>
    <s v="GTXPro"/>
    <s v="Xx-zobam"/>
    <x v="1"/>
    <d v="2017-07-28T00:00:00"/>
    <x v="6"/>
    <m/>
  </r>
  <r>
    <x v="5398"/>
    <x v="1"/>
    <x v="1"/>
    <x v="0"/>
    <s v="GTXPro"/>
    <m/>
    <x v="1"/>
    <d v="2017-07-28T00:00:00"/>
    <x v="6"/>
    <m/>
  </r>
  <r>
    <x v="5399"/>
    <x v="1"/>
    <x v="1"/>
    <x v="0"/>
    <s v="MG Special"/>
    <m/>
    <x v="1"/>
    <d v="2017-07-28T00:00:00"/>
    <x v="6"/>
    <m/>
  </r>
  <r>
    <x v="5400"/>
    <x v="1"/>
    <x v="1"/>
    <x v="0"/>
    <s v="GTXPro"/>
    <s v="Ron-tech"/>
    <x v="2"/>
    <d v="2017-07-28T00:00:00"/>
    <x v="222"/>
    <n v="0"/>
  </r>
  <r>
    <x v="5401"/>
    <x v="1"/>
    <x v="1"/>
    <x v="0"/>
    <s v="GTX Basic"/>
    <s v="Conecom"/>
    <x v="0"/>
    <d v="2017-07-28T00:00:00"/>
    <x v="147"/>
    <n v="589"/>
  </r>
  <r>
    <x v="5402"/>
    <x v="1"/>
    <x v="1"/>
    <x v="0"/>
    <s v="GTXPro"/>
    <s v="Inity"/>
    <x v="0"/>
    <d v="2017-07-28T00:00:00"/>
    <x v="224"/>
    <n v="4387"/>
  </r>
  <r>
    <x v="5403"/>
    <x v="1"/>
    <x v="1"/>
    <x v="0"/>
    <s v="GTXPro"/>
    <s v="Streethex"/>
    <x v="0"/>
    <d v="2017-07-28T00:00:00"/>
    <x v="224"/>
    <n v="4555"/>
  </r>
  <r>
    <x v="5404"/>
    <x v="26"/>
    <x v="4"/>
    <x v="2"/>
    <s v="GTXPro"/>
    <s v="Massive Dynamic"/>
    <x v="2"/>
    <d v="2017-07-28T00:00:00"/>
    <x v="112"/>
    <n v="0"/>
  </r>
  <r>
    <x v="5405"/>
    <x v="14"/>
    <x v="3"/>
    <x v="1"/>
    <s v="GTX Basic"/>
    <s v="Green-Plus"/>
    <x v="0"/>
    <d v="2017-07-28T00:00:00"/>
    <x v="222"/>
    <n v="514"/>
  </r>
  <r>
    <x v="5406"/>
    <x v="8"/>
    <x v="1"/>
    <x v="0"/>
    <s v="GTXPro"/>
    <s v="Newex"/>
    <x v="1"/>
    <d v="2017-07-28T00:00:00"/>
    <x v="6"/>
    <m/>
  </r>
  <r>
    <x v="5407"/>
    <x v="10"/>
    <x v="3"/>
    <x v="1"/>
    <s v="GTX Plus Basic"/>
    <s v="Nam-zim"/>
    <x v="2"/>
    <d v="2017-07-28T00:00:00"/>
    <x v="222"/>
    <n v="0"/>
  </r>
  <r>
    <x v="5408"/>
    <x v="29"/>
    <x v="1"/>
    <x v="0"/>
    <s v="GTX Basic"/>
    <m/>
    <x v="1"/>
    <d v="2017-07-28T00:00:00"/>
    <x v="6"/>
    <m/>
  </r>
  <r>
    <x v="5409"/>
    <x v="29"/>
    <x v="1"/>
    <x v="0"/>
    <s v="GTXPro"/>
    <m/>
    <x v="1"/>
    <d v="2017-07-28T00:00:00"/>
    <x v="6"/>
    <m/>
  </r>
  <r>
    <x v="5410"/>
    <x v="29"/>
    <x v="1"/>
    <x v="0"/>
    <s v="GTXPro"/>
    <s v="Cancity"/>
    <x v="0"/>
    <d v="2017-07-28T00:00:00"/>
    <x v="222"/>
    <n v="4671"/>
  </r>
  <r>
    <x v="5411"/>
    <x v="16"/>
    <x v="2"/>
    <x v="1"/>
    <s v="MG Special"/>
    <s v="Labdrill"/>
    <x v="2"/>
    <d v="2017-07-28T00:00:00"/>
    <x v="222"/>
    <n v="0"/>
  </r>
  <r>
    <x v="5412"/>
    <x v="16"/>
    <x v="2"/>
    <x v="1"/>
    <s v="GTX Basic"/>
    <s v="Singletechno"/>
    <x v="0"/>
    <d v="2017-07-28T00:00:00"/>
    <x v="225"/>
    <n v="518"/>
  </r>
  <r>
    <x v="5413"/>
    <x v="24"/>
    <x v="0"/>
    <x v="0"/>
    <s v="GTX Basic"/>
    <s v="Nam-zim"/>
    <x v="1"/>
    <d v="2017-07-28T00:00:00"/>
    <x v="6"/>
    <m/>
  </r>
  <r>
    <x v="5414"/>
    <x v="24"/>
    <x v="0"/>
    <x v="0"/>
    <s v="GTX Basic"/>
    <m/>
    <x v="1"/>
    <d v="2017-07-28T00:00:00"/>
    <x v="6"/>
    <m/>
  </r>
  <r>
    <x v="5415"/>
    <x v="24"/>
    <x v="0"/>
    <x v="0"/>
    <s v="GTX Basic"/>
    <m/>
    <x v="1"/>
    <d v="2017-07-28T00:00:00"/>
    <x v="6"/>
    <m/>
  </r>
  <r>
    <x v="5416"/>
    <x v="24"/>
    <x v="0"/>
    <x v="0"/>
    <s v="MG Special"/>
    <s v="Dalttechnology"/>
    <x v="1"/>
    <d v="2017-07-28T00:00:00"/>
    <x v="6"/>
    <m/>
  </r>
  <r>
    <x v="5417"/>
    <x v="22"/>
    <x v="1"/>
    <x v="0"/>
    <s v="GTX Basic"/>
    <m/>
    <x v="1"/>
    <d v="2017-07-28T00:00:00"/>
    <x v="6"/>
    <m/>
  </r>
  <r>
    <x v="5418"/>
    <x v="22"/>
    <x v="1"/>
    <x v="0"/>
    <s v="GTX Plus Basic"/>
    <m/>
    <x v="1"/>
    <d v="2017-07-28T00:00:00"/>
    <x v="6"/>
    <m/>
  </r>
  <r>
    <x v="5419"/>
    <x v="22"/>
    <x v="1"/>
    <x v="0"/>
    <s v="GTXPro"/>
    <s v="Cancity"/>
    <x v="0"/>
    <d v="2017-07-28T00:00:00"/>
    <x v="222"/>
    <n v="4172"/>
  </r>
  <r>
    <x v="5420"/>
    <x v="0"/>
    <x v="0"/>
    <x v="0"/>
    <s v="MG Special"/>
    <m/>
    <x v="1"/>
    <d v="2017-07-28T00:00:00"/>
    <x v="6"/>
    <m/>
  </r>
  <r>
    <x v="5421"/>
    <x v="0"/>
    <x v="0"/>
    <x v="0"/>
    <s v="GTX Plus Pro"/>
    <s v="dambase"/>
    <x v="2"/>
    <d v="2017-07-28T00:00:00"/>
    <x v="133"/>
    <n v="0"/>
  </r>
  <r>
    <x v="5422"/>
    <x v="6"/>
    <x v="1"/>
    <x v="0"/>
    <s v="MG Advanced"/>
    <s v="Treequote"/>
    <x v="1"/>
    <d v="2017-07-28T00:00:00"/>
    <x v="6"/>
    <m/>
  </r>
  <r>
    <x v="5423"/>
    <x v="19"/>
    <x v="4"/>
    <x v="2"/>
    <s v="MG Special"/>
    <s v="Massive Dynamic"/>
    <x v="0"/>
    <d v="2017-07-28T00:00:00"/>
    <x v="133"/>
    <n v="53"/>
  </r>
  <r>
    <x v="5424"/>
    <x v="11"/>
    <x v="3"/>
    <x v="1"/>
    <s v="GTX Basic"/>
    <m/>
    <x v="1"/>
    <d v="2017-07-28T00:00:00"/>
    <x v="6"/>
    <m/>
  </r>
  <r>
    <x v="5425"/>
    <x v="17"/>
    <x v="5"/>
    <x v="2"/>
    <s v="MG Advanced"/>
    <s v="Gekko &amp; Co"/>
    <x v="2"/>
    <d v="2017-07-28T00:00:00"/>
    <x v="237"/>
    <n v="0"/>
  </r>
  <r>
    <x v="5426"/>
    <x v="12"/>
    <x v="0"/>
    <x v="0"/>
    <s v="GTX Basic"/>
    <s v="Kan-code"/>
    <x v="1"/>
    <d v="2017-07-28T00:00:00"/>
    <x v="6"/>
    <m/>
  </r>
  <r>
    <x v="5427"/>
    <x v="12"/>
    <x v="0"/>
    <x v="0"/>
    <s v="MG Special"/>
    <s v="Bioholding"/>
    <x v="0"/>
    <d v="2017-07-28T00:00:00"/>
    <x v="148"/>
    <n v="53"/>
  </r>
  <r>
    <x v="5428"/>
    <x v="12"/>
    <x v="0"/>
    <x v="0"/>
    <s v="MG Special"/>
    <s v="Condax"/>
    <x v="0"/>
    <d v="2017-07-28T00:00:00"/>
    <x v="126"/>
    <n v="60"/>
  </r>
  <r>
    <x v="5429"/>
    <x v="12"/>
    <x v="0"/>
    <x v="0"/>
    <s v="MG Special"/>
    <s v="Inity"/>
    <x v="0"/>
    <d v="2017-07-28T00:00:00"/>
    <x v="196"/>
    <n v="53"/>
  </r>
  <r>
    <x v="5430"/>
    <x v="15"/>
    <x v="5"/>
    <x v="2"/>
    <s v="GTXPro"/>
    <s v="Acme Corporation"/>
    <x v="2"/>
    <d v="2017-07-28T00:00:00"/>
    <x v="222"/>
    <n v="0"/>
  </r>
  <r>
    <x v="5431"/>
    <x v="20"/>
    <x v="5"/>
    <x v="2"/>
    <s v="MG Special"/>
    <s v="Zathunicon"/>
    <x v="2"/>
    <d v="2017-07-28T00:00:00"/>
    <x v="236"/>
    <n v="0"/>
  </r>
  <r>
    <x v="5432"/>
    <x v="2"/>
    <x v="2"/>
    <x v="1"/>
    <s v="GTX Basic"/>
    <s v="Green-Plus"/>
    <x v="2"/>
    <d v="2017-07-28T00:00:00"/>
    <x v="224"/>
    <n v="0"/>
  </r>
  <r>
    <x v="5433"/>
    <x v="3"/>
    <x v="0"/>
    <x v="0"/>
    <s v="GTX Plus Pro"/>
    <m/>
    <x v="1"/>
    <d v="2017-07-29T00:00:00"/>
    <x v="6"/>
    <m/>
  </r>
  <r>
    <x v="5434"/>
    <x v="3"/>
    <x v="0"/>
    <x v="0"/>
    <s v="MG Advanced"/>
    <m/>
    <x v="1"/>
    <d v="2017-07-29T00:00:00"/>
    <x v="6"/>
    <m/>
  </r>
  <r>
    <x v="5435"/>
    <x v="3"/>
    <x v="0"/>
    <x v="0"/>
    <s v="GTX Plus Pro"/>
    <s v="Isdom"/>
    <x v="0"/>
    <d v="2017-07-29T00:00:00"/>
    <x v="129"/>
    <n v="4603"/>
  </r>
  <r>
    <x v="5436"/>
    <x v="28"/>
    <x v="0"/>
    <x v="0"/>
    <s v="MG Special"/>
    <m/>
    <x v="1"/>
    <d v="2017-07-29T00:00:00"/>
    <x v="6"/>
    <m/>
  </r>
  <r>
    <x v="5437"/>
    <x v="28"/>
    <x v="0"/>
    <x v="0"/>
    <s v="GTX Basic"/>
    <s v="Finhigh"/>
    <x v="0"/>
    <d v="2017-07-29T00:00:00"/>
    <x v="157"/>
    <n v="610"/>
  </r>
  <r>
    <x v="5438"/>
    <x v="27"/>
    <x v="5"/>
    <x v="2"/>
    <s v="MG Advanced"/>
    <m/>
    <x v="1"/>
    <d v="2017-07-29T00:00:00"/>
    <x v="6"/>
    <m/>
  </r>
  <r>
    <x v="5439"/>
    <x v="13"/>
    <x v="4"/>
    <x v="2"/>
    <s v="GTX Plus Basic"/>
    <s v="Konex"/>
    <x v="0"/>
    <d v="2017-07-29T00:00:00"/>
    <x v="112"/>
    <n v="1189"/>
  </r>
  <r>
    <x v="5440"/>
    <x v="1"/>
    <x v="1"/>
    <x v="0"/>
    <s v="GTX Basic"/>
    <s v="Codehow"/>
    <x v="1"/>
    <d v="2017-07-29T00:00:00"/>
    <x v="6"/>
    <m/>
  </r>
  <r>
    <x v="5441"/>
    <x v="1"/>
    <x v="1"/>
    <x v="0"/>
    <s v="GTX Plus Basic"/>
    <m/>
    <x v="1"/>
    <d v="2017-07-29T00:00:00"/>
    <x v="6"/>
    <m/>
  </r>
  <r>
    <x v="5442"/>
    <x v="1"/>
    <x v="1"/>
    <x v="0"/>
    <s v="GTXPro"/>
    <s v="The New York Inquirer"/>
    <x v="1"/>
    <d v="2017-07-29T00:00:00"/>
    <x v="6"/>
    <m/>
  </r>
  <r>
    <x v="5443"/>
    <x v="1"/>
    <x v="1"/>
    <x v="0"/>
    <s v="GTXPro"/>
    <m/>
    <x v="1"/>
    <d v="2017-07-29T00:00:00"/>
    <x v="6"/>
    <m/>
  </r>
  <r>
    <x v="5444"/>
    <x v="1"/>
    <x v="1"/>
    <x v="0"/>
    <s v="GTXPro"/>
    <m/>
    <x v="1"/>
    <d v="2017-07-29T00:00:00"/>
    <x v="6"/>
    <m/>
  </r>
  <r>
    <x v="5445"/>
    <x v="1"/>
    <x v="1"/>
    <x v="0"/>
    <s v="MG Special"/>
    <s v="Singletechno"/>
    <x v="1"/>
    <d v="2017-07-29T00:00:00"/>
    <x v="6"/>
    <m/>
  </r>
  <r>
    <x v="5446"/>
    <x v="26"/>
    <x v="4"/>
    <x v="2"/>
    <s v="GTXPro"/>
    <s v="Massive Dynamic"/>
    <x v="2"/>
    <d v="2017-07-29T00:00:00"/>
    <x v="224"/>
    <n v="0"/>
  </r>
  <r>
    <x v="5447"/>
    <x v="26"/>
    <x v="4"/>
    <x v="2"/>
    <s v="GTX Plus Pro"/>
    <s v="Sumace"/>
    <x v="0"/>
    <d v="2017-07-29T00:00:00"/>
    <x v="223"/>
    <n v="5480"/>
  </r>
  <r>
    <x v="5448"/>
    <x v="14"/>
    <x v="3"/>
    <x v="1"/>
    <s v="MG Special"/>
    <s v="Sonron"/>
    <x v="0"/>
    <d v="2017-07-29T00:00:00"/>
    <x v="199"/>
    <n v="56"/>
  </r>
  <r>
    <x v="5449"/>
    <x v="21"/>
    <x v="5"/>
    <x v="2"/>
    <s v="GTX Plus Basic"/>
    <s v="Ontomedia"/>
    <x v="2"/>
    <d v="2017-07-29T00:00:00"/>
    <x v="110"/>
    <n v="0"/>
  </r>
  <r>
    <x v="5450"/>
    <x v="21"/>
    <x v="5"/>
    <x v="2"/>
    <s v="GTX Plus Basic"/>
    <s v="Zotware"/>
    <x v="0"/>
    <d v="2017-07-29T00:00:00"/>
    <x v="169"/>
    <n v="983"/>
  </r>
  <r>
    <x v="5451"/>
    <x v="21"/>
    <x v="5"/>
    <x v="2"/>
    <s v="GTXPro"/>
    <s v="Massive Dynamic"/>
    <x v="0"/>
    <d v="2017-07-29T00:00:00"/>
    <x v="122"/>
    <n v="5319"/>
  </r>
  <r>
    <x v="5452"/>
    <x v="8"/>
    <x v="1"/>
    <x v="0"/>
    <s v="MG Special"/>
    <m/>
    <x v="1"/>
    <d v="2017-07-29T00:00:00"/>
    <x v="6"/>
    <m/>
  </r>
  <r>
    <x v="5453"/>
    <x v="7"/>
    <x v="2"/>
    <x v="1"/>
    <s v="GTXPro"/>
    <s v="Konex"/>
    <x v="0"/>
    <d v="2017-07-29T00:00:00"/>
    <x v="143"/>
    <n v="4941"/>
  </r>
  <r>
    <x v="5454"/>
    <x v="7"/>
    <x v="2"/>
    <x v="1"/>
    <s v="MG Advanced"/>
    <s v="Sunnamplex"/>
    <x v="0"/>
    <d v="2017-07-29T00:00:00"/>
    <x v="110"/>
    <n v="3260"/>
  </r>
  <r>
    <x v="5455"/>
    <x v="29"/>
    <x v="1"/>
    <x v="0"/>
    <s v="GTX Plus Basic"/>
    <m/>
    <x v="1"/>
    <d v="2017-07-29T00:00:00"/>
    <x v="6"/>
    <m/>
  </r>
  <r>
    <x v="5456"/>
    <x v="29"/>
    <x v="1"/>
    <x v="0"/>
    <s v="MG Special"/>
    <m/>
    <x v="1"/>
    <d v="2017-07-29T00:00:00"/>
    <x v="6"/>
    <m/>
  </r>
  <r>
    <x v="5457"/>
    <x v="16"/>
    <x v="2"/>
    <x v="1"/>
    <s v="GTX Plus Basic"/>
    <s v="Bluth Company"/>
    <x v="1"/>
    <d v="2017-07-29T00:00:00"/>
    <x v="6"/>
    <m/>
  </r>
  <r>
    <x v="5458"/>
    <x v="16"/>
    <x v="2"/>
    <x v="1"/>
    <s v="MG Advanced"/>
    <m/>
    <x v="1"/>
    <d v="2017-07-29T00:00:00"/>
    <x v="6"/>
    <m/>
  </r>
  <r>
    <x v="5459"/>
    <x v="16"/>
    <x v="2"/>
    <x v="1"/>
    <s v="GTX Plus Basic"/>
    <s v="Hottechi"/>
    <x v="2"/>
    <d v="2017-07-29T00:00:00"/>
    <x v="126"/>
    <n v="0"/>
  </r>
  <r>
    <x v="5460"/>
    <x v="16"/>
    <x v="2"/>
    <x v="1"/>
    <s v="GTX Plus Pro"/>
    <s v="Goodsilron"/>
    <x v="0"/>
    <d v="2017-07-29T00:00:00"/>
    <x v="223"/>
    <n v="4842"/>
  </r>
  <r>
    <x v="5461"/>
    <x v="16"/>
    <x v="2"/>
    <x v="1"/>
    <s v="MG Advanced"/>
    <s v="Blackzim"/>
    <x v="0"/>
    <d v="2017-07-29T00:00:00"/>
    <x v="181"/>
    <n v="3463"/>
  </r>
  <r>
    <x v="5462"/>
    <x v="24"/>
    <x v="0"/>
    <x v="0"/>
    <s v="GTX Basic"/>
    <m/>
    <x v="1"/>
    <d v="2017-07-29T00:00:00"/>
    <x v="6"/>
    <m/>
  </r>
  <r>
    <x v="5463"/>
    <x v="24"/>
    <x v="0"/>
    <x v="0"/>
    <s v="MG Special"/>
    <s v="Zumgoity"/>
    <x v="1"/>
    <d v="2017-07-29T00:00:00"/>
    <x v="6"/>
    <m/>
  </r>
  <r>
    <x v="5464"/>
    <x v="24"/>
    <x v="0"/>
    <x v="0"/>
    <s v="GTX Basic"/>
    <s v="Konmatfix"/>
    <x v="2"/>
    <d v="2017-07-29T00:00:00"/>
    <x v="137"/>
    <n v="0"/>
  </r>
  <r>
    <x v="5465"/>
    <x v="22"/>
    <x v="1"/>
    <x v="0"/>
    <s v="GTX Basic"/>
    <m/>
    <x v="1"/>
    <d v="2017-07-29T00:00:00"/>
    <x v="6"/>
    <m/>
  </r>
  <r>
    <x v="5466"/>
    <x v="9"/>
    <x v="2"/>
    <x v="1"/>
    <s v="GTX Basic"/>
    <s v="Newex"/>
    <x v="2"/>
    <d v="2017-07-29T00:00:00"/>
    <x v="224"/>
    <n v="0"/>
  </r>
  <r>
    <x v="5467"/>
    <x v="19"/>
    <x v="4"/>
    <x v="2"/>
    <s v="GTXPro"/>
    <s v="Mathtouch"/>
    <x v="0"/>
    <d v="2017-07-29T00:00:00"/>
    <x v="143"/>
    <n v="4252"/>
  </r>
  <r>
    <x v="5468"/>
    <x v="17"/>
    <x v="5"/>
    <x v="2"/>
    <s v="GTXPro"/>
    <s v="Zotware"/>
    <x v="0"/>
    <d v="2017-07-29T00:00:00"/>
    <x v="164"/>
    <n v="4906"/>
  </r>
  <r>
    <x v="5469"/>
    <x v="12"/>
    <x v="0"/>
    <x v="0"/>
    <s v="GTX Plus Pro"/>
    <m/>
    <x v="1"/>
    <d v="2017-07-29T00:00:00"/>
    <x v="6"/>
    <m/>
  </r>
  <r>
    <x v="5470"/>
    <x v="12"/>
    <x v="0"/>
    <x v="0"/>
    <s v="MG Special"/>
    <s v="Yearin"/>
    <x v="1"/>
    <d v="2017-07-29T00:00:00"/>
    <x v="6"/>
    <m/>
  </r>
  <r>
    <x v="5471"/>
    <x v="12"/>
    <x v="0"/>
    <x v="0"/>
    <s v="MG Special"/>
    <m/>
    <x v="1"/>
    <d v="2017-07-29T00:00:00"/>
    <x v="6"/>
    <m/>
  </r>
  <r>
    <x v="5472"/>
    <x v="12"/>
    <x v="0"/>
    <x v="0"/>
    <s v="MG Special"/>
    <s v="Inity"/>
    <x v="2"/>
    <d v="2017-07-29T00:00:00"/>
    <x v="133"/>
    <n v="0"/>
  </r>
  <r>
    <x v="5473"/>
    <x v="20"/>
    <x v="5"/>
    <x v="2"/>
    <s v="MG Advanced"/>
    <m/>
    <x v="1"/>
    <d v="2017-07-29T00:00:00"/>
    <x v="6"/>
    <m/>
  </r>
  <r>
    <x v="5474"/>
    <x v="3"/>
    <x v="0"/>
    <x v="0"/>
    <s v="GTX Basic"/>
    <m/>
    <x v="1"/>
    <d v="2017-07-30T00:00:00"/>
    <x v="6"/>
    <m/>
  </r>
  <r>
    <x v="5475"/>
    <x v="3"/>
    <x v="0"/>
    <x v="0"/>
    <s v="GTX Basic"/>
    <m/>
    <x v="1"/>
    <d v="2017-07-30T00:00:00"/>
    <x v="6"/>
    <m/>
  </r>
  <r>
    <x v="5476"/>
    <x v="3"/>
    <x v="0"/>
    <x v="0"/>
    <s v="MG Special"/>
    <m/>
    <x v="1"/>
    <d v="2017-07-30T00:00:00"/>
    <x v="6"/>
    <m/>
  </r>
  <r>
    <x v="5477"/>
    <x v="3"/>
    <x v="0"/>
    <x v="0"/>
    <s v="MG Special"/>
    <m/>
    <x v="1"/>
    <d v="2017-07-30T00:00:00"/>
    <x v="6"/>
    <m/>
  </r>
  <r>
    <x v="5478"/>
    <x v="3"/>
    <x v="0"/>
    <x v="0"/>
    <s v="GTX Plus Pro"/>
    <s v="Finhigh"/>
    <x v="2"/>
    <d v="2017-07-30T00:00:00"/>
    <x v="109"/>
    <n v="0"/>
  </r>
  <r>
    <x v="5479"/>
    <x v="25"/>
    <x v="4"/>
    <x v="2"/>
    <s v="MG Special"/>
    <s v="Acme Corporation"/>
    <x v="1"/>
    <d v="2017-07-30T00:00:00"/>
    <x v="6"/>
    <m/>
  </r>
  <r>
    <x v="5480"/>
    <x v="23"/>
    <x v="4"/>
    <x v="2"/>
    <s v="GTX Plus Basic"/>
    <m/>
    <x v="1"/>
    <d v="2017-07-30T00:00:00"/>
    <x v="6"/>
    <m/>
  </r>
  <r>
    <x v="5481"/>
    <x v="28"/>
    <x v="0"/>
    <x v="0"/>
    <s v="MG Advanced"/>
    <m/>
    <x v="1"/>
    <d v="2017-07-30T00:00:00"/>
    <x v="6"/>
    <m/>
  </r>
  <r>
    <x v="5482"/>
    <x v="27"/>
    <x v="5"/>
    <x v="2"/>
    <s v="MG Advanced"/>
    <s v="Umbrella Corporation"/>
    <x v="0"/>
    <d v="2017-07-30T00:00:00"/>
    <x v="229"/>
    <n v="3113"/>
  </r>
  <r>
    <x v="5483"/>
    <x v="13"/>
    <x v="4"/>
    <x v="2"/>
    <s v="GTX Plus Basic"/>
    <s v="Bluth Company"/>
    <x v="0"/>
    <d v="2017-07-30T00:00:00"/>
    <x v="133"/>
    <n v="1097"/>
  </r>
  <r>
    <x v="5484"/>
    <x v="1"/>
    <x v="1"/>
    <x v="0"/>
    <s v="GTX Basic"/>
    <m/>
    <x v="1"/>
    <d v="2017-07-30T00:00:00"/>
    <x v="6"/>
    <m/>
  </r>
  <r>
    <x v="5485"/>
    <x v="1"/>
    <x v="1"/>
    <x v="0"/>
    <s v="GTX Plus Basic"/>
    <m/>
    <x v="1"/>
    <d v="2017-07-30T00:00:00"/>
    <x v="6"/>
    <m/>
  </r>
  <r>
    <x v="5486"/>
    <x v="1"/>
    <x v="1"/>
    <x v="0"/>
    <s v="GTX Plus Pro"/>
    <s v="Scottech"/>
    <x v="1"/>
    <d v="2017-07-30T00:00:00"/>
    <x v="6"/>
    <m/>
  </r>
  <r>
    <x v="5487"/>
    <x v="1"/>
    <x v="1"/>
    <x v="0"/>
    <s v="GTXPro"/>
    <s v="J-Texon"/>
    <x v="1"/>
    <d v="2017-07-30T00:00:00"/>
    <x v="6"/>
    <m/>
  </r>
  <r>
    <x v="5488"/>
    <x v="1"/>
    <x v="1"/>
    <x v="0"/>
    <s v="MG Advanced"/>
    <m/>
    <x v="1"/>
    <d v="2017-07-30T00:00:00"/>
    <x v="6"/>
    <m/>
  </r>
  <r>
    <x v="5489"/>
    <x v="1"/>
    <x v="1"/>
    <x v="0"/>
    <s v="MG Advanced"/>
    <m/>
    <x v="1"/>
    <d v="2017-07-30T00:00:00"/>
    <x v="6"/>
    <m/>
  </r>
  <r>
    <x v="5490"/>
    <x v="1"/>
    <x v="1"/>
    <x v="0"/>
    <s v="MG Advanced"/>
    <s v="Hottechi"/>
    <x v="2"/>
    <d v="2017-07-30T00:00:00"/>
    <x v="129"/>
    <n v="0"/>
  </r>
  <r>
    <x v="5491"/>
    <x v="1"/>
    <x v="1"/>
    <x v="0"/>
    <s v="GTX Plus Basic"/>
    <s v="Condax"/>
    <x v="0"/>
    <d v="2017-07-30T00:00:00"/>
    <x v="240"/>
    <n v="1245"/>
  </r>
  <r>
    <x v="5492"/>
    <x v="1"/>
    <x v="1"/>
    <x v="0"/>
    <s v="GTX Plus Basic"/>
    <s v="Scottech"/>
    <x v="0"/>
    <d v="2017-07-30T00:00:00"/>
    <x v="107"/>
    <n v="1160"/>
  </r>
  <r>
    <x v="5493"/>
    <x v="1"/>
    <x v="1"/>
    <x v="0"/>
    <s v="MG Special"/>
    <s v="Bioholding"/>
    <x v="0"/>
    <d v="2017-07-30T00:00:00"/>
    <x v="223"/>
    <n v="53"/>
  </r>
  <r>
    <x v="5494"/>
    <x v="26"/>
    <x v="4"/>
    <x v="2"/>
    <s v="GTXPro"/>
    <s v="Initech"/>
    <x v="2"/>
    <d v="2017-07-30T00:00:00"/>
    <x v="138"/>
    <n v="0"/>
  </r>
  <r>
    <x v="5495"/>
    <x v="8"/>
    <x v="1"/>
    <x v="0"/>
    <s v="GTX Plus Basic"/>
    <m/>
    <x v="1"/>
    <d v="2017-07-30T00:00:00"/>
    <x v="6"/>
    <m/>
  </r>
  <r>
    <x v="5496"/>
    <x v="8"/>
    <x v="1"/>
    <x v="0"/>
    <s v="GTXPro"/>
    <m/>
    <x v="1"/>
    <d v="2017-07-30T00:00:00"/>
    <x v="6"/>
    <m/>
  </r>
  <r>
    <x v="5497"/>
    <x v="8"/>
    <x v="1"/>
    <x v="0"/>
    <s v="MG Special"/>
    <m/>
    <x v="1"/>
    <d v="2017-07-30T00:00:00"/>
    <x v="6"/>
    <m/>
  </r>
  <r>
    <x v="5498"/>
    <x v="8"/>
    <x v="1"/>
    <x v="0"/>
    <s v="MG Advanced"/>
    <s v="Funholding"/>
    <x v="2"/>
    <d v="2017-07-30T00:00:00"/>
    <x v="112"/>
    <n v="0"/>
  </r>
  <r>
    <x v="5499"/>
    <x v="10"/>
    <x v="3"/>
    <x v="1"/>
    <s v="MG Advanced"/>
    <s v="Newex"/>
    <x v="2"/>
    <d v="2017-07-30T00:00:00"/>
    <x v="223"/>
    <n v="0"/>
  </r>
  <r>
    <x v="5500"/>
    <x v="7"/>
    <x v="2"/>
    <x v="1"/>
    <s v="GTXPro"/>
    <s v="Cheers"/>
    <x v="0"/>
    <d v="2017-07-30T00:00:00"/>
    <x v="154"/>
    <n v="5031"/>
  </r>
  <r>
    <x v="5501"/>
    <x v="29"/>
    <x v="1"/>
    <x v="0"/>
    <s v="GTXPro"/>
    <s v="Rangreen"/>
    <x v="0"/>
    <d v="2017-07-30T00:00:00"/>
    <x v="223"/>
    <n v="5741"/>
  </r>
  <r>
    <x v="5502"/>
    <x v="16"/>
    <x v="2"/>
    <x v="1"/>
    <s v="MG Special"/>
    <m/>
    <x v="1"/>
    <d v="2017-07-30T00:00:00"/>
    <x v="6"/>
    <m/>
  </r>
  <r>
    <x v="5503"/>
    <x v="16"/>
    <x v="2"/>
    <x v="1"/>
    <s v="GTX Plus Basic"/>
    <s v="Plusstrip"/>
    <x v="0"/>
    <d v="2017-07-30T00:00:00"/>
    <x v="128"/>
    <n v="1038"/>
  </r>
  <r>
    <x v="5504"/>
    <x v="18"/>
    <x v="2"/>
    <x v="1"/>
    <s v="GTX Basic"/>
    <m/>
    <x v="1"/>
    <d v="2017-07-30T00:00:00"/>
    <x v="6"/>
    <m/>
  </r>
  <r>
    <x v="5505"/>
    <x v="18"/>
    <x v="2"/>
    <x v="1"/>
    <s v="GTX Basic"/>
    <s v="Condax"/>
    <x v="2"/>
    <d v="2017-07-30T00:00:00"/>
    <x v="129"/>
    <n v="0"/>
  </r>
  <r>
    <x v="5506"/>
    <x v="18"/>
    <x v="2"/>
    <x v="1"/>
    <s v="GTX Basic"/>
    <s v="J-Texon"/>
    <x v="2"/>
    <d v="2017-07-30T00:00:00"/>
    <x v="228"/>
    <n v="0"/>
  </r>
  <r>
    <x v="5507"/>
    <x v="24"/>
    <x v="0"/>
    <x v="0"/>
    <s v="GTX Basic"/>
    <m/>
    <x v="1"/>
    <d v="2017-07-30T00:00:00"/>
    <x v="6"/>
    <m/>
  </r>
  <r>
    <x v="5508"/>
    <x v="24"/>
    <x v="0"/>
    <x v="0"/>
    <s v="MG Special"/>
    <s v="Bioholding"/>
    <x v="1"/>
    <d v="2017-07-30T00:00:00"/>
    <x v="6"/>
    <m/>
  </r>
  <r>
    <x v="5509"/>
    <x v="24"/>
    <x v="0"/>
    <x v="0"/>
    <s v="GTX Basic"/>
    <s v="Funholding"/>
    <x v="0"/>
    <d v="2017-07-30T00:00:00"/>
    <x v="128"/>
    <n v="502"/>
  </r>
  <r>
    <x v="5510"/>
    <x v="22"/>
    <x v="1"/>
    <x v="0"/>
    <s v="GTX Plus Basic"/>
    <m/>
    <x v="1"/>
    <d v="2017-07-30T00:00:00"/>
    <x v="6"/>
    <m/>
  </r>
  <r>
    <x v="5511"/>
    <x v="22"/>
    <x v="1"/>
    <x v="0"/>
    <s v="MG Special"/>
    <m/>
    <x v="1"/>
    <d v="2017-07-30T00:00:00"/>
    <x v="6"/>
    <m/>
  </r>
  <r>
    <x v="5512"/>
    <x v="9"/>
    <x v="2"/>
    <x v="1"/>
    <s v="GTX Plus Basic"/>
    <m/>
    <x v="1"/>
    <d v="2017-07-30T00:00:00"/>
    <x v="6"/>
    <m/>
  </r>
  <r>
    <x v="5513"/>
    <x v="9"/>
    <x v="2"/>
    <x v="1"/>
    <s v="GTXPro"/>
    <s v="Nam-zim"/>
    <x v="0"/>
    <d v="2017-07-30T00:00:00"/>
    <x v="223"/>
    <n v="4913"/>
  </r>
  <r>
    <x v="5514"/>
    <x v="0"/>
    <x v="0"/>
    <x v="0"/>
    <s v="GTX Basic"/>
    <m/>
    <x v="1"/>
    <d v="2017-07-30T00:00:00"/>
    <x v="6"/>
    <m/>
  </r>
  <r>
    <x v="5515"/>
    <x v="0"/>
    <x v="0"/>
    <x v="0"/>
    <s v="MG Special"/>
    <s v="Plusstrip"/>
    <x v="1"/>
    <d v="2017-07-30T00:00:00"/>
    <x v="6"/>
    <m/>
  </r>
  <r>
    <x v="5516"/>
    <x v="0"/>
    <x v="0"/>
    <x v="0"/>
    <s v="MG Advanced"/>
    <s v="Rundofase"/>
    <x v="0"/>
    <d v="2017-07-30T00:00:00"/>
    <x v="165"/>
    <n v="3457"/>
  </r>
  <r>
    <x v="5517"/>
    <x v="6"/>
    <x v="1"/>
    <x v="0"/>
    <s v="GTX Basic"/>
    <s v="Donquadtech"/>
    <x v="1"/>
    <d v="2017-07-30T00:00:00"/>
    <x v="6"/>
    <m/>
  </r>
  <r>
    <x v="5518"/>
    <x v="6"/>
    <x v="1"/>
    <x v="0"/>
    <s v="GTX Basic"/>
    <m/>
    <x v="1"/>
    <d v="2017-07-30T00:00:00"/>
    <x v="6"/>
    <m/>
  </r>
  <r>
    <x v="5519"/>
    <x v="6"/>
    <x v="1"/>
    <x v="0"/>
    <s v="GTX Plus Basic"/>
    <s v="Dontechi"/>
    <x v="1"/>
    <d v="2017-07-30T00:00:00"/>
    <x v="6"/>
    <m/>
  </r>
  <r>
    <x v="5520"/>
    <x v="6"/>
    <x v="1"/>
    <x v="0"/>
    <s v="MG Special"/>
    <m/>
    <x v="1"/>
    <d v="2017-07-30T00:00:00"/>
    <x v="6"/>
    <m/>
  </r>
  <r>
    <x v="5521"/>
    <x v="19"/>
    <x v="4"/>
    <x v="2"/>
    <s v="GTX Plus Pro"/>
    <s v="Opentech"/>
    <x v="0"/>
    <d v="2017-07-30T00:00:00"/>
    <x v="143"/>
    <n v="5204"/>
  </r>
  <r>
    <x v="5522"/>
    <x v="17"/>
    <x v="5"/>
    <x v="2"/>
    <s v="MG Advanced"/>
    <s v="Plussunin"/>
    <x v="0"/>
    <d v="2017-07-30T00:00:00"/>
    <x v="109"/>
    <n v="3019"/>
  </r>
  <r>
    <x v="5523"/>
    <x v="17"/>
    <x v="5"/>
    <x v="2"/>
    <s v="MG Advanced"/>
    <s v="Sumace"/>
    <x v="0"/>
    <d v="2017-07-30T00:00:00"/>
    <x v="156"/>
    <n v="3453"/>
  </r>
  <r>
    <x v="5524"/>
    <x v="12"/>
    <x v="0"/>
    <x v="0"/>
    <s v="MG Special"/>
    <m/>
    <x v="1"/>
    <d v="2017-07-30T00:00:00"/>
    <x v="6"/>
    <m/>
  </r>
  <r>
    <x v="5525"/>
    <x v="12"/>
    <x v="0"/>
    <x v="0"/>
    <s v="MG Advanced"/>
    <m/>
    <x v="1"/>
    <d v="2017-07-30T00:00:00"/>
    <x v="6"/>
    <m/>
  </r>
  <r>
    <x v="5526"/>
    <x v="4"/>
    <x v="3"/>
    <x v="1"/>
    <s v="MG Advanced"/>
    <s v="Labdrill"/>
    <x v="0"/>
    <d v="2017-07-30T00:00:00"/>
    <x v="220"/>
    <n v="3464"/>
  </r>
  <r>
    <x v="5527"/>
    <x v="15"/>
    <x v="5"/>
    <x v="2"/>
    <s v="MG Special"/>
    <m/>
    <x v="1"/>
    <d v="2017-07-30T00:00:00"/>
    <x v="6"/>
    <m/>
  </r>
  <r>
    <x v="5528"/>
    <x v="15"/>
    <x v="5"/>
    <x v="2"/>
    <s v="MG Advanced"/>
    <s v="Zathunicon"/>
    <x v="0"/>
    <d v="2017-07-30T00:00:00"/>
    <x v="148"/>
    <n v="2937"/>
  </r>
  <r>
    <x v="5529"/>
    <x v="20"/>
    <x v="5"/>
    <x v="2"/>
    <s v="GTX Basic"/>
    <s v="Kan-code"/>
    <x v="0"/>
    <d v="2017-07-30T00:00:00"/>
    <x v="141"/>
    <n v="463"/>
  </r>
  <r>
    <x v="5530"/>
    <x v="3"/>
    <x v="0"/>
    <x v="0"/>
    <s v="MG Special"/>
    <s v="Rangreen"/>
    <x v="1"/>
    <d v="2017-07-31T00:00:00"/>
    <x v="6"/>
    <m/>
  </r>
  <r>
    <x v="5531"/>
    <x v="25"/>
    <x v="4"/>
    <x v="2"/>
    <s v="GTXPro"/>
    <s v="Bluth Company"/>
    <x v="0"/>
    <d v="2017-07-31T00:00:00"/>
    <x v="171"/>
    <n v="4096"/>
  </r>
  <r>
    <x v="5532"/>
    <x v="28"/>
    <x v="0"/>
    <x v="0"/>
    <s v="MG Advanced"/>
    <m/>
    <x v="1"/>
    <d v="2017-07-31T00:00:00"/>
    <x v="6"/>
    <m/>
  </r>
  <r>
    <x v="5533"/>
    <x v="1"/>
    <x v="1"/>
    <x v="0"/>
    <s v="GTXPro"/>
    <m/>
    <x v="1"/>
    <d v="2017-07-31T00:00:00"/>
    <x v="6"/>
    <m/>
  </r>
  <r>
    <x v="5534"/>
    <x v="1"/>
    <x v="1"/>
    <x v="0"/>
    <s v="GTXPro"/>
    <m/>
    <x v="1"/>
    <d v="2017-07-31T00:00:00"/>
    <x v="6"/>
    <m/>
  </r>
  <r>
    <x v="5535"/>
    <x v="1"/>
    <x v="1"/>
    <x v="0"/>
    <s v="MG Special"/>
    <m/>
    <x v="1"/>
    <d v="2017-07-31T00:00:00"/>
    <x v="6"/>
    <m/>
  </r>
  <r>
    <x v="5536"/>
    <x v="8"/>
    <x v="1"/>
    <x v="0"/>
    <s v="GTX Basic"/>
    <s v="Sumace"/>
    <x v="1"/>
    <d v="2017-07-31T00:00:00"/>
    <x v="6"/>
    <m/>
  </r>
  <r>
    <x v="5537"/>
    <x v="8"/>
    <x v="1"/>
    <x v="0"/>
    <s v="MG Advanced"/>
    <s v="Sumace"/>
    <x v="1"/>
    <d v="2017-07-31T00:00:00"/>
    <x v="6"/>
    <m/>
  </r>
  <r>
    <x v="5538"/>
    <x v="10"/>
    <x v="3"/>
    <x v="1"/>
    <s v="MG Advanced"/>
    <m/>
    <x v="1"/>
    <d v="2017-07-31T00:00:00"/>
    <x v="6"/>
    <m/>
  </r>
  <r>
    <x v="5539"/>
    <x v="7"/>
    <x v="2"/>
    <x v="1"/>
    <s v="GTX Plus Pro"/>
    <m/>
    <x v="1"/>
    <d v="2017-07-31T00:00:00"/>
    <x v="6"/>
    <m/>
  </r>
  <r>
    <x v="5540"/>
    <x v="29"/>
    <x v="1"/>
    <x v="0"/>
    <s v="GTX Basic"/>
    <m/>
    <x v="1"/>
    <d v="2017-07-31T00:00:00"/>
    <x v="6"/>
    <m/>
  </r>
  <r>
    <x v="5541"/>
    <x v="24"/>
    <x v="0"/>
    <x v="0"/>
    <s v="GTX Basic"/>
    <m/>
    <x v="1"/>
    <d v="2017-07-31T00:00:00"/>
    <x v="6"/>
    <m/>
  </r>
  <r>
    <x v="5542"/>
    <x v="24"/>
    <x v="0"/>
    <x v="0"/>
    <s v="GTX Plus Basic"/>
    <m/>
    <x v="1"/>
    <d v="2017-07-31T00:00:00"/>
    <x v="6"/>
    <m/>
  </r>
  <r>
    <x v="5543"/>
    <x v="24"/>
    <x v="0"/>
    <x v="0"/>
    <s v="MG Advanced"/>
    <s v="Acme Corporation"/>
    <x v="1"/>
    <d v="2017-07-31T00:00:00"/>
    <x v="6"/>
    <m/>
  </r>
  <r>
    <x v="5544"/>
    <x v="24"/>
    <x v="0"/>
    <x v="0"/>
    <s v="MG Advanced"/>
    <m/>
    <x v="1"/>
    <d v="2017-07-31T00:00:00"/>
    <x v="6"/>
    <m/>
  </r>
  <r>
    <x v="5545"/>
    <x v="5"/>
    <x v="3"/>
    <x v="1"/>
    <s v="GTX Plus Pro"/>
    <m/>
    <x v="1"/>
    <d v="2017-07-31T00:00:00"/>
    <x v="6"/>
    <m/>
  </r>
  <r>
    <x v="5546"/>
    <x v="5"/>
    <x v="3"/>
    <x v="1"/>
    <s v="GTX Plus Basic"/>
    <s v="Plexzap"/>
    <x v="2"/>
    <d v="2017-07-31T00:00:00"/>
    <x v="107"/>
    <n v="0"/>
  </r>
  <r>
    <x v="5547"/>
    <x v="5"/>
    <x v="3"/>
    <x v="1"/>
    <s v="GTXPro"/>
    <s v="Y-corporation"/>
    <x v="2"/>
    <d v="2017-07-31T00:00:00"/>
    <x v="230"/>
    <n v="0"/>
  </r>
  <r>
    <x v="5548"/>
    <x v="5"/>
    <x v="3"/>
    <x v="1"/>
    <s v="MG Advanced"/>
    <s v="Sunnamplex"/>
    <x v="0"/>
    <d v="2017-07-31T00:00:00"/>
    <x v="133"/>
    <n v="3187"/>
  </r>
  <r>
    <x v="5549"/>
    <x v="22"/>
    <x v="1"/>
    <x v="0"/>
    <s v="GTX Plus Basic"/>
    <m/>
    <x v="1"/>
    <d v="2017-07-31T00:00:00"/>
    <x v="6"/>
    <m/>
  </r>
  <r>
    <x v="5550"/>
    <x v="0"/>
    <x v="0"/>
    <x v="0"/>
    <s v="GTX Plus Basic"/>
    <m/>
    <x v="1"/>
    <d v="2017-07-31T00:00:00"/>
    <x v="6"/>
    <m/>
  </r>
  <r>
    <x v="5551"/>
    <x v="0"/>
    <x v="0"/>
    <x v="0"/>
    <s v="MG Advanced"/>
    <m/>
    <x v="1"/>
    <d v="2017-07-31T00:00:00"/>
    <x v="6"/>
    <m/>
  </r>
  <r>
    <x v="5552"/>
    <x v="0"/>
    <x v="0"/>
    <x v="0"/>
    <s v="MG Special"/>
    <s v="Cancity"/>
    <x v="2"/>
    <d v="2017-07-31T00:00:00"/>
    <x v="199"/>
    <n v="0"/>
  </r>
  <r>
    <x v="5553"/>
    <x v="0"/>
    <x v="0"/>
    <x v="0"/>
    <s v="GTX Plus Pro"/>
    <s v="Rangreen"/>
    <x v="0"/>
    <d v="2017-07-31T00:00:00"/>
    <x v="234"/>
    <n v="5234"/>
  </r>
  <r>
    <x v="5554"/>
    <x v="6"/>
    <x v="1"/>
    <x v="0"/>
    <s v="GTX Basic"/>
    <s v="Kan-code"/>
    <x v="1"/>
    <d v="2017-07-31T00:00:00"/>
    <x v="6"/>
    <m/>
  </r>
  <r>
    <x v="5555"/>
    <x v="6"/>
    <x v="1"/>
    <x v="0"/>
    <s v="GTX Plus Basic"/>
    <m/>
    <x v="1"/>
    <d v="2017-07-31T00:00:00"/>
    <x v="6"/>
    <m/>
  </r>
  <r>
    <x v="5556"/>
    <x v="19"/>
    <x v="4"/>
    <x v="2"/>
    <s v="GTX Plus Pro"/>
    <s v="Zotware"/>
    <x v="0"/>
    <d v="2017-07-31T00:00:00"/>
    <x v="183"/>
    <n v="6180"/>
  </r>
  <r>
    <x v="5557"/>
    <x v="12"/>
    <x v="0"/>
    <x v="0"/>
    <s v="MG Special"/>
    <m/>
    <x v="1"/>
    <d v="2017-07-31T00:00:00"/>
    <x v="6"/>
    <m/>
  </r>
  <r>
    <x v="5558"/>
    <x v="12"/>
    <x v="0"/>
    <x v="0"/>
    <s v="MG Special"/>
    <s v="Inity"/>
    <x v="0"/>
    <d v="2017-07-31T00:00:00"/>
    <x v="133"/>
    <n v="53"/>
  </r>
  <r>
    <x v="5559"/>
    <x v="4"/>
    <x v="3"/>
    <x v="1"/>
    <s v="MG Special"/>
    <s v="Konex"/>
    <x v="2"/>
    <d v="2017-07-31T00:00:00"/>
    <x v="129"/>
    <n v="0"/>
  </r>
  <r>
    <x v="5560"/>
    <x v="4"/>
    <x v="3"/>
    <x v="1"/>
    <s v="MG Advanced"/>
    <s v="Cheers"/>
    <x v="0"/>
    <d v="2017-07-31T00:00:00"/>
    <x v="116"/>
    <n v="3687"/>
  </r>
  <r>
    <x v="5561"/>
    <x v="15"/>
    <x v="5"/>
    <x v="2"/>
    <s v="MG Special"/>
    <m/>
    <x v="1"/>
    <d v="2017-07-31T00:00:00"/>
    <x v="6"/>
    <m/>
  </r>
  <r>
    <x v="5562"/>
    <x v="2"/>
    <x v="2"/>
    <x v="1"/>
    <s v="GTXPro"/>
    <s v="Konex"/>
    <x v="0"/>
    <d v="2017-07-31T00:00:00"/>
    <x v="136"/>
    <n v="6069"/>
  </r>
  <r>
    <x v="5563"/>
    <x v="3"/>
    <x v="0"/>
    <x v="0"/>
    <s v="GTX Plus Basic"/>
    <m/>
    <x v="1"/>
    <d v="2017-08-01T00:00:00"/>
    <x v="6"/>
    <m/>
  </r>
  <r>
    <x v="5564"/>
    <x v="3"/>
    <x v="0"/>
    <x v="0"/>
    <s v="GTX Plus Basic"/>
    <m/>
    <x v="1"/>
    <d v="2017-08-01T00:00:00"/>
    <x v="6"/>
    <m/>
  </r>
  <r>
    <x v="5565"/>
    <x v="3"/>
    <x v="0"/>
    <x v="0"/>
    <s v="MG Special"/>
    <s v="Plusstrip"/>
    <x v="1"/>
    <d v="2017-08-01T00:00:00"/>
    <x v="6"/>
    <m/>
  </r>
  <r>
    <x v="5566"/>
    <x v="3"/>
    <x v="0"/>
    <x v="0"/>
    <s v="MG Special"/>
    <m/>
    <x v="1"/>
    <d v="2017-08-01T00:00:00"/>
    <x v="6"/>
    <m/>
  </r>
  <r>
    <x v="5567"/>
    <x v="3"/>
    <x v="0"/>
    <x v="0"/>
    <s v="GTX Plus Basic"/>
    <s v="Genco Pura Olive Oil Company"/>
    <x v="2"/>
    <d v="2017-08-01T00:00:00"/>
    <x v="138"/>
    <n v="0"/>
  </r>
  <r>
    <x v="5568"/>
    <x v="3"/>
    <x v="0"/>
    <x v="0"/>
    <s v="MG Advanced"/>
    <s v="Konmatfix"/>
    <x v="0"/>
    <d v="2017-08-01T00:00:00"/>
    <x v="122"/>
    <n v="3452"/>
  </r>
  <r>
    <x v="5569"/>
    <x v="23"/>
    <x v="4"/>
    <x v="2"/>
    <s v="MG Advanced"/>
    <m/>
    <x v="1"/>
    <d v="2017-08-01T00:00:00"/>
    <x v="6"/>
    <m/>
  </r>
  <r>
    <x v="5570"/>
    <x v="23"/>
    <x v="4"/>
    <x v="2"/>
    <s v="MG Advanced"/>
    <s v="Kinnamplus"/>
    <x v="0"/>
    <d v="2017-08-01T00:00:00"/>
    <x v="128"/>
    <n v="3156"/>
  </r>
  <r>
    <x v="5571"/>
    <x v="13"/>
    <x v="4"/>
    <x v="2"/>
    <s v="GTX Basic"/>
    <s v="Gekko &amp; Co"/>
    <x v="2"/>
    <d v="2017-08-01T00:00:00"/>
    <x v="124"/>
    <n v="0"/>
  </r>
  <r>
    <x v="5572"/>
    <x v="1"/>
    <x v="1"/>
    <x v="0"/>
    <s v="GTXPro"/>
    <m/>
    <x v="1"/>
    <d v="2017-08-01T00:00:00"/>
    <x v="6"/>
    <m/>
  </r>
  <r>
    <x v="5573"/>
    <x v="1"/>
    <x v="1"/>
    <x v="0"/>
    <s v="GTXPro"/>
    <m/>
    <x v="1"/>
    <d v="2017-08-01T00:00:00"/>
    <x v="6"/>
    <m/>
  </r>
  <r>
    <x v="5574"/>
    <x v="1"/>
    <x v="1"/>
    <x v="0"/>
    <s v="MG Special"/>
    <s v="Rundofase"/>
    <x v="1"/>
    <d v="2017-08-01T00:00:00"/>
    <x v="6"/>
    <m/>
  </r>
  <r>
    <x v="5575"/>
    <x v="1"/>
    <x v="1"/>
    <x v="0"/>
    <s v="MG Special"/>
    <m/>
    <x v="1"/>
    <d v="2017-08-01T00:00:00"/>
    <x v="6"/>
    <m/>
  </r>
  <r>
    <x v="5576"/>
    <x v="1"/>
    <x v="1"/>
    <x v="0"/>
    <s v="MG Advanced"/>
    <s v="Statholdings"/>
    <x v="2"/>
    <d v="2017-08-01T00:00:00"/>
    <x v="230"/>
    <n v="0"/>
  </r>
  <r>
    <x v="5577"/>
    <x v="8"/>
    <x v="1"/>
    <x v="0"/>
    <s v="GTX Basic"/>
    <m/>
    <x v="1"/>
    <d v="2017-08-01T00:00:00"/>
    <x v="6"/>
    <m/>
  </r>
  <r>
    <x v="5578"/>
    <x v="8"/>
    <x v="1"/>
    <x v="0"/>
    <s v="GTX Plus Basic"/>
    <m/>
    <x v="1"/>
    <d v="2017-08-01T00:00:00"/>
    <x v="6"/>
    <m/>
  </r>
  <r>
    <x v="5579"/>
    <x v="8"/>
    <x v="1"/>
    <x v="0"/>
    <s v="MG Special"/>
    <m/>
    <x v="1"/>
    <d v="2017-08-01T00:00:00"/>
    <x v="6"/>
    <m/>
  </r>
  <r>
    <x v="5580"/>
    <x v="8"/>
    <x v="1"/>
    <x v="0"/>
    <s v="MG Advanced"/>
    <m/>
    <x v="1"/>
    <d v="2017-08-01T00:00:00"/>
    <x v="6"/>
    <m/>
  </r>
  <r>
    <x v="5581"/>
    <x v="10"/>
    <x v="3"/>
    <x v="1"/>
    <s v="GTX Plus Basic"/>
    <m/>
    <x v="1"/>
    <d v="2017-08-01T00:00:00"/>
    <x v="6"/>
    <m/>
  </r>
  <r>
    <x v="5582"/>
    <x v="10"/>
    <x v="3"/>
    <x v="1"/>
    <s v="GTX Plus Basic"/>
    <s v="Rantouch"/>
    <x v="0"/>
    <d v="2017-08-01T00:00:00"/>
    <x v="112"/>
    <n v="1157"/>
  </r>
  <r>
    <x v="5583"/>
    <x v="7"/>
    <x v="2"/>
    <x v="1"/>
    <s v="GTX Plus Basic"/>
    <s v="Plexzap"/>
    <x v="0"/>
    <d v="2017-08-01T00:00:00"/>
    <x v="241"/>
    <n v="1040"/>
  </r>
  <r>
    <x v="5584"/>
    <x v="29"/>
    <x v="1"/>
    <x v="0"/>
    <s v="MG Special"/>
    <s v="Streethex"/>
    <x v="0"/>
    <d v="2017-08-01T00:00:00"/>
    <x v="242"/>
    <n v="49"/>
  </r>
  <r>
    <x v="5585"/>
    <x v="24"/>
    <x v="0"/>
    <x v="0"/>
    <s v="GTX Basic"/>
    <m/>
    <x v="1"/>
    <d v="2017-08-01T00:00:00"/>
    <x v="6"/>
    <m/>
  </r>
  <r>
    <x v="5586"/>
    <x v="24"/>
    <x v="0"/>
    <x v="0"/>
    <s v="GTX Basic"/>
    <s v="Inity"/>
    <x v="0"/>
    <d v="2017-08-01T00:00:00"/>
    <x v="165"/>
    <n v="454"/>
  </r>
  <r>
    <x v="5587"/>
    <x v="5"/>
    <x v="3"/>
    <x v="1"/>
    <s v="GTX Plus Basic"/>
    <s v="Zoomit"/>
    <x v="0"/>
    <d v="2017-08-01T00:00:00"/>
    <x v="229"/>
    <n v="1106"/>
  </r>
  <r>
    <x v="5588"/>
    <x v="22"/>
    <x v="1"/>
    <x v="0"/>
    <s v="GTK 500"/>
    <m/>
    <x v="1"/>
    <d v="2017-08-01T00:00:00"/>
    <x v="6"/>
    <m/>
  </r>
  <r>
    <x v="5589"/>
    <x v="22"/>
    <x v="1"/>
    <x v="0"/>
    <s v="GTX Plus Pro"/>
    <m/>
    <x v="1"/>
    <d v="2017-08-01T00:00:00"/>
    <x v="6"/>
    <m/>
  </r>
  <r>
    <x v="5590"/>
    <x v="22"/>
    <x v="1"/>
    <x v="0"/>
    <s v="GTXPro"/>
    <m/>
    <x v="1"/>
    <d v="2017-08-01T00:00:00"/>
    <x v="6"/>
    <m/>
  </r>
  <r>
    <x v="5591"/>
    <x v="9"/>
    <x v="2"/>
    <x v="1"/>
    <s v="GTX Plus Basic"/>
    <s v="Goodsilron"/>
    <x v="0"/>
    <d v="2017-08-01T00:00:00"/>
    <x v="143"/>
    <n v="1143"/>
  </r>
  <r>
    <x v="5592"/>
    <x v="9"/>
    <x v="2"/>
    <x v="1"/>
    <s v="GTX Plus Pro"/>
    <s v="J-Texon"/>
    <x v="0"/>
    <d v="2017-08-01T00:00:00"/>
    <x v="205"/>
    <n v="4434"/>
  </r>
  <r>
    <x v="5593"/>
    <x v="0"/>
    <x v="0"/>
    <x v="0"/>
    <s v="MG Special"/>
    <s v="Plussunin"/>
    <x v="1"/>
    <d v="2017-08-01T00:00:00"/>
    <x v="6"/>
    <m/>
  </r>
  <r>
    <x v="5594"/>
    <x v="6"/>
    <x v="1"/>
    <x v="0"/>
    <s v="GTX Plus Basic"/>
    <s v="Rangreen"/>
    <x v="1"/>
    <d v="2017-08-01T00:00:00"/>
    <x v="6"/>
    <m/>
  </r>
  <r>
    <x v="5595"/>
    <x v="6"/>
    <x v="1"/>
    <x v="0"/>
    <s v="GTXPro"/>
    <s v="Zotware"/>
    <x v="1"/>
    <d v="2017-08-01T00:00:00"/>
    <x v="6"/>
    <m/>
  </r>
  <r>
    <x v="5596"/>
    <x v="12"/>
    <x v="0"/>
    <x v="0"/>
    <s v="GTX Plus Pro"/>
    <s v="Hatfan"/>
    <x v="1"/>
    <d v="2017-08-01T00:00:00"/>
    <x v="6"/>
    <m/>
  </r>
  <r>
    <x v="5597"/>
    <x v="12"/>
    <x v="0"/>
    <x v="0"/>
    <s v="MG Special"/>
    <s v="Cancity"/>
    <x v="1"/>
    <d v="2017-08-01T00:00:00"/>
    <x v="6"/>
    <m/>
  </r>
  <r>
    <x v="5598"/>
    <x v="12"/>
    <x v="0"/>
    <x v="0"/>
    <s v="MG Special"/>
    <s v="Hatfan"/>
    <x v="1"/>
    <d v="2017-08-01T00:00:00"/>
    <x v="6"/>
    <m/>
  </r>
  <r>
    <x v="5599"/>
    <x v="12"/>
    <x v="0"/>
    <x v="0"/>
    <s v="MG Special"/>
    <s v="Mathtouch"/>
    <x v="1"/>
    <d v="2017-08-01T00:00:00"/>
    <x v="6"/>
    <m/>
  </r>
  <r>
    <x v="5600"/>
    <x v="12"/>
    <x v="0"/>
    <x v="0"/>
    <s v="MG Special"/>
    <m/>
    <x v="1"/>
    <d v="2017-08-01T00:00:00"/>
    <x v="6"/>
    <m/>
  </r>
  <r>
    <x v="5601"/>
    <x v="12"/>
    <x v="0"/>
    <x v="0"/>
    <s v="MG Special"/>
    <m/>
    <x v="1"/>
    <d v="2017-08-01T00:00:00"/>
    <x v="6"/>
    <m/>
  </r>
  <r>
    <x v="5602"/>
    <x v="4"/>
    <x v="3"/>
    <x v="1"/>
    <s v="GTX Plus Basic"/>
    <s v="Rantouch"/>
    <x v="0"/>
    <d v="2017-08-01T00:00:00"/>
    <x v="168"/>
    <n v="1193"/>
  </r>
  <r>
    <x v="5603"/>
    <x v="4"/>
    <x v="3"/>
    <x v="1"/>
    <s v="GTXPro"/>
    <s v="Goodsilron"/>
    <x v="0"/>
    <d v="2017-08-01T00:00:00"/>
    <x v="134"/>
    <n v="5049"/>
  </r>
  <r>
    <x v="5604"/>
    <x v="4"/>
    <x v="3"/>
    <x v="1"/>
    <s v="GTXPro"/>
    <s v="Konex"/>
    <x v="0"/>
    <d v="2017-08-01T00:00:00"/>
    <x v="148"/>
    <n v="5300"/>
  </r>
  <r>
    <x v="5605"/>
    <x v="4"/>
    <x v="3"/>
    <x v="1"/>
    <s v="MG Advanced"/>
    <s v="Singletechno"/>
    <x v="0"/>
    <d v="2017-08-01T00:00:00"/>
    <x v="228"/>
    <n v="3597"/>
  </r>
  <r>
    <x v="5606"/>
    <x v="15"/>
    <x v="5"/>
    <x v="2"/>
    <s v="GTXPro"/>
    <s v="Xx-zobam"/>
    <x v="2"/>
    <d v="2017-08-01T00:00:00"/>
    <x v="210"/>
    <n v="0"/>
  </r>
  <r>
    <x v="5607"/>
    <x v="2"/>
    <x v="2"/>
    <x v="1"/>
    <s v="MG Advanced"/>
    <m/>
    <x v="1"/>
    <d v="2017-08-01T00:00:00"/>
    <x v="6"/>
    <m/>
  </r>
  <r>
    <x v="5608"/>
    <x v="2"/>
    <x v="2"/>
    <x v="1"/>
    <s v="GTX Basic"/>
    <s v="Sonron"/>
    <x v="0"/>
    <d v="2017-08-01T00:00:00"/>
    <x v="112"/>
    <n v="606"/>
  </r>
  <r>
    <x v="5609"/>
    <x v="27"/>
    <x v="5"/>
    <x v="2"/>
    <s v="GTX Plus Basic"/>
    <s v="Condax"/>
    <x v="0"/>
    <d v="2017-08-02T00:00:00"/>
    <x v="207"/>
    <n v="1123"/>
  </r>
  <r>
    <x v="5610"/>
    <x v="27"/>
    <x v="5"/>
    <x v="2"/>
    <s v="GTXPro"/>
    <s v="Initech"/>
    <x v="0"/>
    <d v="2017-08-02T00:00:00"/>
    <x v="116"/>
    <n v="5205"/>
  </r>
  <r>
    <x v="5611"/>
    <x v="13"/>
    <x v="4"/>
    <x v="2"/>
    <s v="GTX Basic"/>
    <s v="Yearin"/>
    <x v="0"/>
    <d v="2017-08-02T00:00:00"/>
    <x v="196"/>
    <n v="592"/>
  </r>
  <r>
    <x v="5612"/>
    <x v="13"/>
    <x v="4"/>
    <x v="2"/>
    <s v="GTX Plus Pro"/>
    <s v="Umbrella Corporation"/>
    <x v="0"/>
    <d v="2017-08-02T00:00:00"/>
    <x v="124"/>
    <n v="6284"/>
  </r>
  <r>
    <x v="5613"/>
    <x v="8"/>
    <x v="1"/>
    <x v="0"/>
    <s v="MG Special"/>
    <s v="Warephase"/>
    <x v="2"/>
    <d v="2017-08-02T00:00:00"/>
    <x v="233"/>
    <n v="0"/>
  </r>
  <r>
    <x v="5614"/>
    <x v="10"/>
    <x v="3"/>
    <x v="1"/>
    <s v="MG Advanced"/>
    <s v="Labdrill"/>
    <x v="2"/>
    <d v="2017-08-02T00:00:00"/>
    <x v="133"/>
    <n v="0"/>
  </r>
  <r>
    <x v="5615"/>
    <x v="7"/>
    <x v="2"/>
    <x v="1"/>
    <s v="GTXPro"/>
    <s v="Lexiqvolax"/>
    <x v="2"/>
    <d v="2017-08-02T00:00:00"/>
    <x v="199"/>
    <n v="0"/>
  </r>
  <r>
    <x v="5616"/>
    <x v="7"/>
    <x v="2"/>
    <x v="1"/>
    <s v="GTX Plus Pro"/>
    <s v="Kan-code"/>
    <x v="0"/>
    <d v="2017-08-02T00:00:00"/>
    <x v="129"/>
    <n v="4231"/>
  </r>
  <r>
    <x v="5617"/>
    <x v="29"/>
    <x v="1"/>
    <x v="0"/>
    <s v="GTX Basic"/>
    <m/>
    <x v="1"/>
    <d v="2017-08-02T00:00:00"/>
    <x v="6"/>
    <m/>
  </r>
  <r>
    <x v="5618"/>
    <x v="24"/>
    <x v="0"/>
    <x v="0"/>
    <s v="GTX Plus Pro"/>
    <s v="Warephase"/>
    <x v="2"/>
    <d v="2017-08-02T00:00:00"/>
    <x v="140"/>
    <n v="0"/>
  </r>
  <r>
    <x v="5619"/>
    <x v="24"/>
    <x v="0"/>
    <x v="0"/>
    <s v="MG Advanced"/>
    <s v="Zumgoity"/>
    <x v="2"/>
    <d v="2017-08-02T00:00:00"/>
    <x v="140"/>
    <n v="0"/>
  </r>
  <r>
    <x v="5620"/>
    <x v="0"/>
    <x v="0"/>
    <x v="0"/>
    <s v="MG Advanced"/>
    <s v="Domzoom"/>
    <x v="1"/>
    <d v="2017-08-02T00:00:00"/>
    <x v="6"/>
    <m/>
  </r>
  <r>
    <x v="5621"/>
    <x v="6"/>
    <x v="1"/>
    <x v="0"/>
    <s v="GTXPro"/>
    <m/>
    <x v="1"/>
    <d v="2017-08-02T00:00:00"/>
    <x v="6"/>
    <m/>
  </r>
  <r>
    <x v="5622"/>
    <x v="19"/>
    <x v="4"/>
    <x v="2"/>
    <s v="MG Advanced"/>
    <s v="Kinnamplus"/>
    <x v="2"/>
    <d v="2017-08-02T00:00:00"/>
    <x v="230"/>
    <n v="0"/>
  </r>
  <r>
    <x v="5623"/>
    <x v="12"/>
    <x v="0"/>
    <x v="0"/>
    <s v="MG Special"/>
    <m/>
    <x v="1"/>
    <d v="2017-08-02T00:00:00"/>
    <x v="6"/>
    <m/>
  </r>
  <r>
    <x v="5624"/>
    <x v="12"/>
    <x v="0"/>
    <x v="0"/>
    <s v="MG Special"/>
    <m/>
    <x v="1"/>
    <d v="2017-08-02T00:00:00"/>
    <x v="6"/>
    <m/>
  </r>
  <r>
    <x v="5625"/>
    <x v="4"/>
    <x v="3"/>
    <x v="1"/>
    <s v="MG Advanced"/>
    <m/>
    <x v="1"/>
    <d v="2017-08-02T00:00:00"/>
    <x v="6"/>
    <m/>
  </r>
  <r>
    <x v="5626"/>
    <x v="15"/>
    <x v="5"/>
    <x v="2"/>
    <s v="MG Special"/>
    <s v="Bluth Company"/>
    <x v="0"/>
    <d v="2017-08-02T00:00:00"/>
    <x v="133"/>
    <n v="53"/>
  </r>
  <r>
    <x v="5627"/>
    <x v="3"/>
    <x v="0"/>
    <x v="0"/>
    <s v="MG Special"/>
    <m/>
    <x v="1"/>
    <d v="2017-08-03T00:00:00"/>
    <x v="6"/>
    <m/>
  </r>
  <r>
    <x v="5628"/>
    <x v="3"/>
    <x v="0"/>
    <x v="0"/>
    <s v="MG Advanced"/>
    <s v="Ganjaflex"/>
    <x v="1"/>
    <d v="2017-08-03T00:00:00"/>
    <x v="6"/>
    <m/>
  </r>
  <r>
    <x v="5629"/>
    <x v="3"/>
    <x v="0"/>
    <x v="0"/>
    <s v="MG Special"/>
    <s v="Cancity"/>
    <x v="0"/>
    <d v="2017-08-03T00:00:00"/>
    <x v="122"/>
    <n v="52"/>
  </r>
  <r>
    <x v="5630"/>
    <x v="25"/>
    <x v="4"/>
    <x v="2"/>
    <s v="GTX Plus Basic"/>
    <s v="Gekko &amp; Co"/>
    <x v="0"/>
    <d v="2017-08-03T00:00:00"/>
    <x v="161"/>
    <n v="938"/>
  </r>
  <r>
    <x v="5631"/>
    <x v="23"/>
    <x v="4"/>
    <x v="2"/>
    <s v="GTX Plus Pro"/>
    <m/>
    <x v="1"/>
    <d v="2017-08-03T00:00:00"/>
    <x v="6"/>
    <m/>
  </r>
  <r>
    <x v="5632"/>
    <x v="28"/>
    <x v="0"/>
    <x v="0"/>
    <s v="MG Advanced"/>
    <m/>
    <x v="1"/>
    <d v="2017-08-03T00:00:00"/>
    <x v="6"/>
    <m/>
  </r>
  <r>
    <x v="5633"/>
    <x v="1"/>
    <x v="1"/>
    <x v="0"/>
    <s v="MG Advanced"/>
    <s v="Inity"/>
    <x v="2"/>
    <d v="2017-08-03T00:00:00"/>
    <x v="143"/>
    <n v="0"/>
  </r>
  <r>
    <x v="5634"/>
    <x v="26"/>
    <x v="4"/>
    <x v="2"/>
    <s v="GTX Plus Basic"/>
    <s v="Bioplex"/>
    <x v="0"/>
    <d v="2017-08-03T00:00:00"/>
    <x v="160"/>
    <n v="1050"/>
  </r>
  <r>
    <x v="5635"/>
    <x v="26"/>
    <x v="4"/>
    <x v="2"/>
    <s v="MG Advanced"/>
    <s v="Vehement Capital Partners"/>
    <x v="0"/>
    <d v="2017-08-03T00:00:00"/>
    <x v="138"/>
    <n v="3440"/>
  </r>
  <r>
    <x v="5636"/>
    <x v="14"/>
    <x v="3"/>
    <x v="1"/>
    <s v="GTK 500"/>
    <m/>
    <x v="1"/>
    <d v="2017-08-03T00:00:00"/>
    <x v="6"/>
    <m/>
  </r>
  <r>
    <x v="5637"/>
    <x v="8"/>
    <x v="1"/>
    <x v="0"/>
    <s v="MG Special"/>
    <s v="Betatech"/>
    <x v="1"/>
    <d v="2017-08-03T00:00:00"/>
    <x v="6"/>
    <m/>
  </r>
  <r>
    <x v="5638"/>
    <x v="8"/>
    <x v="1"/>
    <x v="0"/>
    <s v="MG Special"/>
    <m/>
    <x v="1"/>
    <d v="2017-08-03T00:00:00"/>
    <x v="6"/>
    <m/>
  </r>
  <r>
    <x v="5639"/>
    <x v="8"/>
    <x v="1"/>
    <x v="0"/>
    <s v="GTXPro"/>
    <s v="Rundofase"/>
    <x v="2"/>
    <d v="2017-08-03T00:00:00"/>
    <x v="141"/>
    <n v="0"/>
  </r>
  <r>
    <x v="5640"/>
    <x v="29"/>
    <x v="1"/>
    <x v="0"/>
    <s v="GTX Basic"/>
    <m/>
    <x v="1"/>
    <d v="2017-08-03T00:00:00"/>
    <x v="6"/>
    <m/>
  </r>
  <r>
    <x v="5641"/>
    <x v="16"/>
    <x v="2"/>
    <x v="1"/>
    <s v="MG Special"/>
    <s v="Cancity"/>
    <x v="1"/>
    <d v="2017-08-03T00:00:00"/>
    <x v="6"/>
    <m/>
  </r>
  <r>
    <x v="5642"/>
    <x v="18"/>
    <x v="2"/>
    <x v="1"/>
    <s v="GTX Basic"/>
    <m/>
    <x v="1"/>
    <d v="2017-08-03T00:00:00"/>
    <x v="6"/>
    <m/>
  </r>
  <r>
    <x v="5643"/>
    <x v="18"/>
    <x v="2"/>
    <x v="1"/>
    <s v="GTX Plus Basic"/>
    <s v="Konex"/>
    <x v="2"/>
    <d v="2017-08-03T00:00:00"/>
    <x v="207"/>
    <n v="0"/>
  </r>
  <r>
    <x v="5644"/>
    <x v="24"/>
    <x v="0"/>
    <x v="0"/>
    <s v="MG Special"/>
    <m/>
    <x v="1"/>
    <d v="2017-08-03T00:00:00"/>
    <x v="6"/>
    <m/>
  </r>
  <r>
    <x v="5645"/>
    <x v="24"/>
    <x v="0"/>
    <x v="0"/>
    <s v="MG Advanced"/>
    <s v="Acme Corporation"/>
    <x v="1"/>
    <d v="2017-08-03T00:00:00"/>
    <x v="6"/>
    <m/>
  </r>
  <r>
    <x v="5646"/>
    <x v="22"/>
    <x v="1"/>
    <x v="0"/>
    <s v="MG Advanced"/>
    <m/>
    <x v="1"/>
    <d v="2017-08-03T00:00:00"/>
    <x v="6"/>
    <m/>
  </r>
  <r>
    <x v="5647"/>
    <x v="0"/>
    <x v="0"/>
    <x v="0"/>
    <s v="MG Advanced"/>
    <s v="Umbrella Corporation"/>
    <x v="1"/>
    <d v="2017-08-03T00:00:00"/>
    <x v="6"/>
    <m/>
  </r>
  <r>
    <x v="5648"/>
    <x v="6"/>
    <x v="1"/>
    <x v="0"/>
    <s v="GTX Plus Basic"/>
    <s v="Gogozoom"/>
    <x v="1"/>
    <d v="2017-08-03T00:00:00"/>
    <x v="6"/>
    <m/>
  </r>
  <r>
    <x v="5649"/>
    <x v="6"/>
    <x v="1"/>
    <x v="0"/>
    <s v="MG Special"/>
    <m/>
    <x v="1"/>
    <d v="2017-08-03T00:00:00"/>
    <x v="6"/>
    <m/>
  </r>
  <r>
    <x v="5650"/>
    <x v="6"/>
    <x v="1"/>
    <x v="0"/>
    <s v="GTX Plus Basic"/>
    <s v="Inity"/>
    <x v="0"/>
    <d v="2017-08-03T00:00:00"/>
    <x v="134"/>
    <n v="1126"/>
  </r>
  <r>
    <x v="5651"/>
    <x v="19"/>
    <x v="4"/>
    <x v="2"/>
    <s v="GTXPro"/>
    <s v="Donquadtech"/>
    <x v="0"/>
    <d v="2017-08-03T00:00:00"/>
    <x v="124"/>
    <n v="3963"/>
  </r>
  <r>
    <x v="5652"/>
    <x v="19"/>
    <x v="4"/>
    <x v="2"/>
    <s v="GTXPro"/>
    <s v="Kinnamplus"/>
    <x v="0"/>
    <d v="2017-08-03T00:00:00"/>
    <x v="138"/>
    <n v="5401"/>
  </r>
  <r>
    <x v="5653"/>
    <x v="17"/>
    <x v="5"/>
    <x v="2"/>
    <s v="MG Advanced"/>
    <s v="Silis"/>
    <x v="2"/>
    <d v="2017-08-03T00:00:00"/>
    <x v="136"/>
    <n v="0"/>
  </r>
  <r>
    <x v="5654"/>
    <x v="17"/>
    <x v="5"/>
    <x v="2"/>
    <s v="GTX Plus Basic"/>
    <s v="Silis"/>
    <x v="0"/>
    <d v="2017-08-03T00:00:00"/>
    <x v="236"/>
    <n v="965"/>
  </r>
  <r>
    <x v="5655"/>
    <x v="12"/>
    <x v="0"/>
    <x v="0"/>
    <s v="GTX Basic"/>
    <m/>
    <x v="1"/>
    <d v="2017-08-03T00:00:00"/>
    <x v="6"/>
    <m/>
  </r>
  <r>
    <x v="5656"/>
    <x v="12"/>
    <x v="0"/>
    <x v="0"/>
    <s v="MG Special"/>
    <m/>
    <x v="1"/>
    <d v="2017-08-03T00:00:00"/>
    <x v="6"/>
    <m/>
  </r>
  <r>
    <x v="5657"/>
    <x v="12"/>
    <x v="0"/>
    <x v="0"/>
    <s v="GTX Basic"/>
    <s v="Hottechi"/>
    <x v="0"/>
    <d v="2017-08-03T00:00:00"/>
    <x v="196"/>
    <n v="534"/>
  </r>
  <r>
    <x v="5658"/>
    <x v="4"/>
    <x v="3"/>
    <x v="1"/>
    <s v="MG Special"/>
    <s v="Mathtouch"/>
    <x v="1"/>
    <d v="2017-08-03T00:00:00"/>
    <x v="6"/>
    <m/>
  </r>
  <r>
    <x v="5659"/>
    <x v="20"/>
    <x v="5"/>
    <x v="2"/>
    <s v="MG Special"/>
    <s v="Massive Dynamic"/>
    <x v="0"/>
    <d v="2017-08-03T00:00:00"/>
    <x v="235"/>
    <n v="50"/>
  </r>
  <r>
    <x v="5660"/>
    <x v="27"/>
    <x v="5"/>
    <x v="2"/>
    <s v="MG Special"/>
    <s v="Cancity"/>
    <x v="1"/>
    <d v="2017-08-04T00:00:00"/>
    <x v="6"/>
    <m/>
  </r>
  <r>
    <x v="5661"/>
    <x v="13"/>
    <x v="4"/>
    <x v="2"/>
    <s v="GTX Plus Basic"/>
    <m/>
    <x v="1"/>
    <d v="2017-08-04T00:00:00"/>
    <x v="6"/>
    <m/>
  </r>
  <r>
    <x v="5662"/>
    <x v="1"/>
    <x v="1"/>
    <x v="0"/>
    <s v="GTXPro"/>
    <m/>
    <x v="1"/>
    <d v="2017-08-04T00:00:00"/>
    <x v="6"/>
    <m/>
  </r>
  <r>
    <x v="5663"/>
    <x v="1"/>
    <x v="1"/>
    <x v="0"/>
    <s v="GTXPro"/>
    <m/>
    <x v="1"/>
    <d v="2017-08-04T00:00:00"/>
    <x v="6"/>
    <m/>
  </r>
  <r>
    <x v="5664"/>
    <x v="26"/>
    <x v="4"/>
    <x v="2"/>
    <s v="GTXPro"/>
    <s v="Konex"/>
    <x v="0"/>
    <d v="2017-08-04T00:00:00"/>
    <x v="138"/>
    <n v="5186"/>
  </r>
  <r>
    <x v="5665"/>
    <x v="14"/>
    <x v="3"/>
    <x v="1"/>
    <s v="MG Advanced"/>
    <s v="J-Texon"/>
    <x v="0"/>
    <d v="2017-08-04T00:00:00"/>
    <x v="217"/>
    <n v="3308"/>
  </r>
  <r>
    <x v="5666"/>
    <x v="8"/>
    <x v="1"/>
    <x v="0"/>
    <s v="MG Special"/>
    <m/>
    <x v="1"/>
    <d v="2017-08-04T00:00:00"/>
    <x v="6"/>
    <m/>
  </r>
  <r>
    <x v="5667"/>
    <x v="8"/>
    <x v="1"/>
    <x v="0"/>
    <s v="MG Advanced"/>
    <s v="Finhigh"/>
    <x v="0"/>
    <d v="2017-08-04T00:00:00"/>
    <x v="243"/>
    <n v="3367"/>
  </r>
  <r>
    <x v="5668"/>
    <x v="29"/>
    <x v="1"/>
    <x v="0"/>
    <s v="GTX Plus Basic"/>
    <m/>
    <x v="1"/>
    <d v="2017-08-04T00:00:00"/>
    <x v="6"/>
    <m/>
  </r>
  <r>
    <x v="5669"/>
    <x v="18"/>
    <x v="2"/>
    <x v="1"/>
    <s v="GTX Plus Basic"/>
    <s v="Labdrill"/>
    <x v="2"/>
    <d v="2017-08-04T00:00:00"/>
    <x v="143"/>
    <n v="0"/>
  </r>
  <r>
    <x v="5670"/>
    <x v="18"/>
    <x v="2"/>
    <x v="1"/>
    <s v="GTX Basic"/>
    <s v="Scotfind"/>
    <x v="0"/>
    <d v="2017-08-04T00:00:00"/>
    <x v="169"/>
    <n v="518"/>
  </r>
  <r>
    <x v="5671"/>
    <x v="24"/>
    <x v="0"/>
    <x v="0"/>
    <s v="GTX Basic"/>
    <m/>
    <x v="1"/>
    <d v="2017-08-04T00:00:00"/>
    <x v="6"/>
    <m/>
  </r>
  <r>
    <x v="5672"/>
    <x v="0"/>
    <x v="0"/>
    <x v="0"/>
    <s v="GTX Basic"/>
    <s v="Condax"/>
    <x v="1"/>
    <d v="2017-08-04T00:00:00"/>
    <x v="6"/>
    <m/>
  </r>
  <r>
    <x v="5673"/>
    <x v="0"/>
    <x v="0"/>
    <x v="0"/>
    <s v="MG Advanced"/>
    <s v="Funholding"/>
    <x v="1"/>
    <d v="2017-08-04T00:00:00"/>
    <x v="6"/>
    <m/>
  </r>
  <r>
    <x v="5674"/>
    <x v="6"/>
    <x v="1"/>
    <x v="0"/>
    <s v="GTX Plus Basic"/>
    <s v="Betasoloin"/>
    <x v="1"/>
    <d v="2017-08-04T00:00:00"/>
    <x v="6"/>
    <m/>
  </r>
  <r>
    <x v="5675"/>
    <x v="19"/>
    <x v="4"/>
    <x v="2"/>
    <s v="GTXPro"/>
    <s v="Initech"/>
    <x v="2"/>
    <d v="2017-08-04T00:00:00"/>
    <x v="133"/>
    <n v="0"/>
  </r>
  <r>
    <x v="5676"/>
    <x v="19"/>
    <x v="4"/>
    <x v="2"/>
    <s v="GTX Plus Basic"/>
    <s v="Kan-code"/>
    <x v="0"/>
    <d v="2017-08-04T00:00:00"/>
    <x v="171"/>
    <n v="1128"/>
  </r>
  <r>
    <x v="5677"/>
    <x v="19"/>
    <x v="4"/>
    <x v="2"/>
    <s v="GTX Plus Pro"/>
    <s v="Bioplex"/>
    <x v="0"/>
    <d v="2017-08-04T00:00:00"/>
    <x v="242"/>
    <n v="6318"/>
  </r>
  <r>
    <x v="5678"/>
    <x v="15"/>
    <x v="5"/>
    <x v="2"/>
    <s v="MG Special"/>
    <m/>
    <x v="1"/>
    <d v="2017-08-04T00:00:00"/>
    <x v="6"/>
    <m/>
  </r>
  <r>
    <x v="5679"/>
    <x v="3"/>
    <x v="0"/>
    <x v="0"/>
    <s v="GTX Basic"/>
    <m/>
    <x v="1"/>
    <d v="2017-08-05T00:00:00"/>
    <x v="6"/>
    <m/>
  </r>
  <r>
    <x v="5680"/>
    <x v="3"/>
    <x v="0"/>
    <x v="0"/>
    <s v="GTX Plus Pro"/>
    <m/>
    <x v="1"/>
    <d v="2017-08-05T00:00:00"/>
    <x v="6"/>
    <m/>
  </r>
  <r>
    <x v="5681"/>
    <x v="3"/>
    <x v="0"/>
    <x v="0"/>
    <s v="MG Special"/>
    <m/>
    <x v="1"/>
    <d v="2017-08-05T00:00:00"/>
    <x v="6"/>
    <m/>
  </r>
  <r>
    <x v="5682"/>
    <x v="3"/>
    <x v="0"/>
    <x v="0"/>
    <s v="MG Special"/>
    <m/>
    <x v="1"/>
    <d v="2017-08-05T00:00:00"/>
    <x v="6"/>
    <m/>
  </r>
  <r>
    <x v="5683"/>
    <x v="3"/>
    <x v="0"/>
    <x v="0"/>
    <s v="MG Advanced"/>
    <s v="Cancity"/>
    <x v="2"/>
    <d v="2017-08-05T00:00:00"/>
    <x v="244"/>
    <n v="0"/>
  </r>
  <r>
    <x v="5684"/>
    <x v="25"/>
    <x v="4"/>
    <x v="2"/>
    <s v="GTXPro"/>
    <m/>
    <x v="1"/>
    <d v="2017-08-05T00:00:00"/>
    <x v="6"/>
    <m/>
  </r>
  <r>
    <x v="5685"/>
    <x v="13"/>
    <x v="4"/>
    <x v="2"/>
    <s v="GTXPro"/>
    <s v="Bioholding"/>
    <x v="1"/>
    <d v="2017-08-05T00:00:00"/>
    <x v="6"/>
    <m/>
  </r>
  <r>
    <x v="5686"/>
    <x v="13"/>
    <x v="4"/>
    <x v="2"/>
    <s v="GTXPro"/>
    <s v="Ontomedia"/>
    <x v="0"/>
    <d v="2017-08-05T00:00:00"/>
    <x v="165"/>
    <n v="4935"/>
  </r>
  <r>
    <x v="5687"/>
    <x v="1"/>
    <x v="1"/>
    <x v="0"/>
    <s v="GTX Plus Pro"/>
    <m/>
    <x v="1"/>
    <d v="2017-08-05T00:00:00"/>
    <x v="6"/>
    <m/>
  </r>
  <r>
    <x v="5688"/>
    <x v="1"/>
    <x v="1"/>
    <x v="0"/>
    <s v="GTX Plus Pro"/>
    <m/>
    <x v="1"/>
    <d v="2017-08-05T00:00:00"/>
    <x v="6"/>
    <m/>
  </r>
  <r>
    <x v="5689"/>
    <x v="1"/>
    <x v="1"/>
    <x v="0"/>
    <s v="GTX Plus Basic"/>
    <s v="Scottech"/>
    <x v="0"/>
    <d v="2017-08-05T00:00:00"/>
    <x v="245"/>
    <n v="1013"/>
  </r>
  <r>
    <x v="5690"/>
    <x v="26"/>
    <x v="4"/>
    <x v="2"/>
    <s v="GTX Basic"/>
    <s v="Yearin"/>
    <x v="0"/>
    <d v="2017-08-05T00:00:00"/>
    <x v="245"/>
    <n v="573"/>
  </r>
  <r>
    <x v="5691"/>
    <x v="26"/>
    <x v="4"/>
    <x v="2"/>
    <s v="GTX Basic"/>
    <s v="Zathunicon"/>
    <x v="0"/>
    <d v="2017-08-05T00:00:00"/>
    <x v="240"/>
    <n v="535"/>
  </r>
  <r>
    <x v="5692"/>
    <x v="14"/>
    <x v="3"/>
    <x v="1"/>
    <s v="MG Special"/>
    <s v="Bioplex"/>
    <x v="1"/>
    <d v="2017-08-05T00:00:00"/>
    <x v="6"/>
    <m/>
  </r>
  <r>
    <x v="5693"/>
    <x v="14"/>
    <x v="3"/>
    <x v="1"/>
    <s v="MG Advanced"/>
    <s v="Fasehatice"/>
    <x v="2"/>
    <d v="2017-08-05T00:00:00"/>
    <x v="246"/>
    <n v="0"/>
  </r>
  <r>
    <x v="5694"/>
    <x v="18"/>
    <x v="2"/>
    <x v="1"/>
    <s v="GTX Plus Pro"/>
    <s v="Betasoloin"/>
    <x v="1"/>
    <d v="2017-08-05T00:00:00"/>
    <x v="6"/>
    <m/>
  </r>
  <r>
    <x v="5695"/>
    <x v="24"/>
    <x v="0"/>
    <x v="0"/>
    <s v="GTX Plus Basic"/>
    <s v="Condax"/>
    <x v="0"/>
    <d v="2017-08-05T00:00:00"/>
    <x v="199"/>
    <n v="1080"/>
  </r>
  <r>
    <x v="5696"/>
    <x v="22"/>
    <x v="1"/>
    <x v="0"/>
    <s v="GTX Basic"/>
    <s v="Finhigh"/>
    <x v="0"/>
    <d v="2017-08-05T00:00:00"/>
    <x v="247"/>
    <n v="609"/>
  </r>
  <r>
    <x v="5697"/>
    <x v="0"/>
    <x v="0"/>
    <x v="0"/>
    <s v="GTX Basic"/>
    <s v="Zencorporation"/>
    <x v="1"/>
    <d v="2017-08-05T00:00:00"/>
    <x v="6"/>
    <m/>
  </r>
  <r>
    <x v="5698"/>
    <x v="0"/>
    <x v="0"/>
    <x v="0"/>
    <s v="GTX Plus Basic"/>
    <s v="Treequote"/>
    <x v="1"/>
    <d v="2017-08-05T00:00:00"/>
    <x v="6"/>
    <m/>
  </r>
  <r>
    <x v="5699"/>
    <x v="0"/>
    <x v="0"/>
    <x v="0"/>
    <s v="GTX Basic"/>
    <s v="Bioholding"/>
    <x v="2"/>
    <d v="2017-08-05T00:00:00"/>
    <x v="210"/>
    <n v="0"/>
  </r>
  <r>
    <x v="5700"/>
    <x v="0"/>
    <x v="0"/>
    <x v="0"/>
    <s v="MG Special"/>
    <s v="Scottech"/>
    <x v="2"/>
    <d v="2017-08-05T00:00:00"/>
    <x v="141"/>
    <n v="0"/>
  </r>
  <r>
    <x v="5701"/>
    <x v="12"/>
    <x v="0"/>
    <x v="0"/>
    <s v="MG Special"/>
    <m/>
    <x v="1"/>
    <d v="2017-08-05T00:00:00"/>
    <x v="6"/>
    <m/>
  </r>
  <r>
    <x v="5702"/>
    <x v="12"/>
    <x v="0"/>
    <x v="0"/>
    <s v="MG Advanced"/>
    <s v="Gogozoom"/>
    <x v="2"/>
    <d v="2017-08-05T00:00:00"/>
    <x v="227"/>
    <n v="0"/>
  </r>
  <r>
    <x v="5703"/>
    <x v="12"/>
    <x v="0"/>
    <x v="0"/>
    <s v="GTX Basic"/>
    <s v="Rundofase"/>
    <x v="0"/>
    <d v="2017-08-05T00:00:00"/>
    <x v="207"/>
    <n v="563"/>
  </r>
  <r>
    <x v="5704"/>
    <x v="4"/>
    <x v="3"/>
    <x v="1"/>
    <s v="MG Advanced"/>
    <s v="Domzoom"/>
    <x v="1"/>
    <d v="2017-08-05T00:00:00"/>
    <x v="6"/>
    <m/>
  </r>
  <r>
    <x v="5705"/>
    <x v="2"/>
    <x v="2"/>
    <x v="1"/>
    <s v="GTXPro"/>
    <s v="Plexzap"/>
    <x v="2"/>
    <d v="2017-08-05T00:00:00"/>
    <x v="233"/>
    <n v="0"/>
  </r>
  <r>
    <x v="5706"/>
    <x v="3"/>
    <x v="0"/>
    <x v="0"/>
    <s v="MG Special"/>
    <s v="Betatech"/>
    <x v="2"/>
    <d v="2017-08-06T00:00:00"/>
    <x v="246"/>
    <n v="0"/>
  </r>
  <r>
    <x v="5707"/>
    <x v="25"/>
    <x v="4"/>
    <x v="2"/>
    <s v="GTX Plus Pro"/>
    <m/>
    <x v="1"/>
    <d v="2017-08-06T00:00:00"/>
    <x v="6"/>
    <m/>
  </r>
  <r>
    <x v="5708"/>
    <x v="25"/>
    <x v="4"/>
    <x v="2"/>
    <s v="MG Special"/>
    <s v="Vehement Capital Partners"/>
    <x v="1"/>
    <d v="2017-08-06T00:00:00"/>
    <x v="6"/>
    <m/>
  </r>
  <r>
    <x v="5709"/>
    <x v="28"/>
    <x v="0"/>
    <x v="0"/>
    <s v="MG Special"/>
    <s v="Streethex"/>
    <x v="1"/>
    <d v="2017-08-06T00:00:00"/>
    <x v="6"/>
    <m/>
  </r>
  <r>
    <x v="5710"/>
    <x v="27"/>
    <x v="5"/>
    <x v="2"/>
    <s v="GTX Plus Basic"/>
    <s v="Konex"/>
    <x v="2"/>
    <d v="2017-08-06T00:00:00"/>
    <x v="217"/>
    <n v="0"/>
  </r>
  <r>
    <x v="5711"/>
    <x v="27"/>
    <x v="5"/>
    <x v="2"/>
    <s v="MG Special"/>
    <s v="Bluth Company"/>
    <x v="0"/>
    <d v="2017-08-06T00:00:00"/>
    <x v="238"/>
    <n v="59"/>
  </r>
  <r>
    <x v="5712"/>
    <x v="27"/>
    <x v="5"/>
    <x v="2"/>
    <s v="MG Special"/>
    <s v="Donquadtech"/>
    <x v="0"/>
    <d v="2017-08-06T00:00:00"/>
    <x v="226"/>
    <n v="54"/>
  </r>
  <r>
    <x v="5713"/>
    <x v="13"/>
    <x v="4"/>
    <x v="2"/>
    <s v="MG Advanced"/>
    <s v="Donquadtech"/>
    <x v="2"/>
    <d v="2017-08-06T00:00:00"/>
    <x v="227"/>
    <n v="0"/>
  </r>
  <r>
    <x v="5714"/>
    <x v="1"/>
    <x v="1"/>
    <x v="0"/>
    <s v="GTXPro"/>
    <m/>
    <x v="1"/>
    <d v="2017-08-06T00:00:00"/>
    <x v="6"/>
    <m/>
  </r>
  <r>
    <x v="5715"/>
    <x v="1"/>
    <x v="1"/>
    <x v="0"/>
    <s v="GTX Plus Basic"/>
    <s v="Cancity"/>
    <x v="2"/>
    <d v="2017-08-06T00:00:00"/>
    <x v="124"/>
    <n v="0"/>
  </r>
  <r>
    <x v="5716"/>
    <x v="26"/>
    <x v="4"/>
    <x v="2"/>
    <s v="MG Advanced"/>
    <s v="Mathtouch"/>
    <x v="0"/>
    <d v="2017-08-06T00:00:00"/>
    <x v="138"/>
    <n v="3114"/>
  </r>
  <r>
    <x v="5717"/>
    <x v="14"/>
    <x v="3"/>
    <x v="1"/>
    <s v="MG Special"/>
    <s v="Rantouch"/>
    <x v="0"/>
    <d v="2017-08-06T00:00:00"/>
    <x v="150"/>
    <n v="60"/>
  </r>
  <r>
    <x v="5718"/>
    <x v="21"/>
    <x v="5"/>
    <x v="2"/>
    <s v="GTX Basic"/>
    <s v="Donware"/>
    <x v="2"/>
    <d v="2017-08-06T00:00:00"/>
    <x v="227"/>
    <n v="0"/>
  </r>
  <r>
    <x v="5719"/>
    <x v="21"/>
    <x v="5"/>
    <x v="2"/>
    <s v="GTX Basic"/>
    <s v="Kan-code"/>
    <x v="0"/>
    <d v="2017-08-06T00:00:00"/>
    <x v="151"/>
    <n v="422"/>
  </r>
  <r>
    <x v="5720"/>
    <x v="21"/>
    <x v="5"/>
    <x v="2"/>
    <s v="MG Advanced"/>
    <s v="Konex"/>
    <x v="0"/>
    <d v="2017-08-06T00:00:00"/>
    <x v="170"/>
    <n v="3971"/>
  </r>
  <r>
    <x v="5721"/>
    <x v="8"/>
    <x v="1"/>
    <x v="0"/>
    <s v="GTXPro"/>
    <s v="Plusstrip"/>
    <x v="1"/>
    <d v="2017-08-06T00:00:00"/>
    <x v="6"/>
    <m/>
  </r>
  <r>
    <x v="5722"/>
    <x v="16"/>
    <x v="2"/>
    <x v="1"/>
    <s v="GTX Basic"/>
    <m/>
    <x v="1"/>
    <d v="2017-08-06T00:00:00"/>
    <x v="6"/>
    <m/>
  </r>
  <r>
    <x v="5723"/>
    <x v="16"/>
    <x v="2"/>
    <x v="1"/>
    <s v="GTX Plus Basic"/>
    <s v="Faxquote"/>
    <x v="2"/>
    <d v="2017-08-06T00:00:00"/>
    <x v="217"/>
    <n v="0"/>
  </r>
  <r>
    <x v="5724"/>
    <x v="16"/>
    <x v="2"/>
    <x v="1"/>
    <s v="GTX Basic"/>
    <s v="Konex"/>
    <x v="0"/>
    <d v="2017-08-06T00:00:00"/>
    <x v="248"/>
    <n v="510"/>
  </r>
  <r>
    <x v="5725"/>
    <x v="16"/>
    <x v="2"/>
    <x v="1"/>
    <s v="MG Advanced"/>
    <s v="Scotfind"/>
    <x v="0"/>
    <d v="2017-08-06T00:00:00"/>
    <x v="232"/>
    <n v="4032"/>
  </r>
  <r>
    <x v="5726"/>
    <x v="18"/>
    <x v="2"/>
    <x v="1"/>
    <s v="GTXPro"/>
    <m/>
    <x v="1"/>
    <d v="2017-08-06T00:00:00"/>
    <x v="6"/>
    <m/>
  </r>
  <r>
    <x v="5727"/>
    <x v="24"/>
    <x v="0"/>
    <x v="0"/>
    <s v="MG Advanced"/>
    <s v="Globex Corporation"/>
    <x v="1"/>
    <d v="2017-08-06T00:00:00"/>
    <x v="6"/>
    <m/>
  </r>
  <r>
    <x v="5728"/>
    <x v="24"/>
    <x v="0"/>
    <x v="0"/>
    <s v="GTX Basic"/>
    <s v="Dontechi"/>
    <x v="2"/>
    <d v="2017-08-06T00:00:00"/>
    <x v="249"/>
    <n v="0"/>
  </r>
  <r>
    <x v="5729"/>
    <x v="22"/>
    <x v="1"/>
    <x v="0"/>
    <s v="GTX Plus Pro"/>
    <m/>
    <x v="1"/>
    <d v="2017-08-06T00:00:00"/>
    <x v="6"/>
    <m/>
  </r>
  <r>
    <x v="5730"/>
    <x v="17"/>
    <x v="5"/>
    <x v="2"/>
    <s v="GTX Plus Pro"/>
    <m/>
    <x v="1"/>
    <d v="2017-08-06T00:00:00"/>
    <x v="6"/>
    <m/>
  </r>
  <r>
    <x v="5731"/>
    <x v="17"/>
    <x v="5"/>
    <x v="2"/>
    <s v="MG Special"/>
    <s v="Plussunin"/>
    <x v="0"/>
    <d v="2017-08-06T00:00:00"/>
    <x v="116"/>
    <n v="52"/>
  </r>
  <r>
    <x v="5732"/>
    <x v="12"/>
    <x v="0"/>
    <x v="0"/>
    <s v="MG Advanced"/>
    <m/>
    <x v="1"/>
    <d v="2017-08-06T00:00:00"/>
    <x v="6"/>
    <m/>
  </r>
  <r>
    <x v="5733"/>
    <x v="12"/>
    <x v="0"/>
    <x v="0"/>
    <s v="MG Advanced"/>
    <m/>
    <x v="1"/>
    <d v="2017-08-06T00:00:00"/>
    <x v="6"/>
    <m/>
  </r>
  <r>
    <x v="5734"/>
    <x v="3"/>
    <x v="0"/>
    <x v="0"/>
    <s v="GTX Plus Basic"/>
    <s v="Kan-code"/>
    <x v="1"/>
    <d v="2017-08-07T00:00:00"/>
    <x v="6"/>
    <m/>
  </r>
  <r>
    <x v="5735"/>
    <x v="25"/>
    <x v="4"/>
    <x v="2"/>
    <s v="GTX Basic"/>
    <s v="Funholding"/>
    <x v="1"/>
    <d v="2017-08-07T00:00:00"/>
    <x v="6"/>
    <m/>
  </r>
  <r>
    <x v="5736"/>
    <x v="25"/>
    <x v="4"/>
    <x v="2"/>
    <s v="MG Advanced"/>
    <s v="Sumace"/>
    <x v="2"/>
    <d v="2017-08-07T00:00:00"/>
    <x v="250"/>
    <n v="0"/>
  </r>
  <r>
    <x v="5737"/>
    <x v="28"/>
    <x v="0"/>
    <x v="0"/>
    <s v="MG Advanced"/>
    <s v="Globex Corporation"/>
    <x v="0"/>
    <d v="2017-08-07T00:00:00"/>
    <x v="221"/>
    <n v="3684"/>
  </r>
  <r>
    <x v="5738"/>
    <x v="27"/>
    <x v="5"/>
    <x v="2"/>
    <s v="GTX Plus Basic"/>
    <s v="Sumace"/>
    <x v="2"/>
    <d v="2017-08-07T00:00:00"/>
    <x v="251"/>
    <n v="0"/>
  </r>
  <r>
    <x v="5739"/>
    <x v="27"/>
    <x v="5"/>
    <x v="2"/>
    <s v="GTX Plus Pro"/>
    <s v="Zotware"/>
    <x v="0"/>
    <d v="2017-08-07T00:00:00"/>
    <x v="232"/>
    <n v="4648"/>
  </r>
  <r>
    <x v="5740"/>
    <x v="27"/>
    <x v="5"/>
    <x v="2"/>
    <s v="GTXPro"/>
    <s v="Gekko &amp; Co"/>
    <x v="0"/>
    <d v="2017-08-07T00:00:00"/>
    <x v="252"/>
    <n v="4639"/>
  </r>
  <r>
    <x v="5741"/>
    <x v="1"/>
    <x v="1"/>
    <x v="0"/>
    <s v="GTXPro"/>
    <s v="Betatech"/>
    <x v="2"/>
    <d v="2017-08-07T00:00:00"/>
    <x v="156"/>
    <n v="0"/>
  </r>
  <r>
    <x v="5742"/>
    <x v="1"/>
    <x v="1"/>
    <x v="0"/>
    <s v="GTX Plus Pro"/>
    <s v="Inity"/>
    <x v="0"/>
    <d v="2017-08-07T00:00:00"/>
    <x v="180"/>
    <n v="6360"/>
  </r>
  <r>
    <x v="5743"/>
    <x v="14"/>
    <x v="3"/>
    <x v="1"/>
    <s v="GTX Plus Basic"/>
    <s v="Singletechno"/>
    <x v="2"/>
    <d v="2017-08-07T00:00:00"/>
    <x v="251"/>
    <n v="0"/>
  </r>
  <r>
    <x v="5744"/>
    <x v="8"/>
    <x v="1"/>
    <x v="0"/>
    <s v="GTXPro"/>
    <s v="Inity"/>
    <x v="0"/>
    <d v="2017-08-07T00:00:00"/>
    <x v="179"/>
    <n v="4722"/>
  </r>
  <r>
    <x v="5745"/>
    <x v="10"/>
    <x v="3"/>
    <x v="1"/>
    <s v="GTX Plus Basic"/>
    <s v="Rantouch"/>
    <x v="2"/>
    <d v="2017-08-07T00:00:00"/>
    <x v="135"/>
    <n v="0"/>
  </r>
  <r>
    <x v="5746"/>
    <x v="7"/>
    <x v="2"/>
    <x v="1"/>
    <s v="MG Advanced"/>
    <s v="Sunnamplex"/>
    <x v="0"/>
    <d v="2017-08-07T00:00:00"/>
    <x v="150"/>
    <n v="3039"/>
  </r>
  <r>
    <x v="5747"/>
    <x v="29"/>
    <x v="1"/>
    <x v="0"/>
    <s v="GTX Plus Basic"/>
    <s v="Rundofase"/>
    <x v="0"/>
    <d v="2017-08-07T00:00:00"/>
    <x v="196"/>
    <n v="1080"/>
  </r>
  <r>
    <x v="5748"/>
    <x v="16"/>
    <x v="2"/>
    <x v="1"/>
    <s v="GTX Plus Basic"/>
    <s v="Blackzim"/>
    <x v="2"/>
    <d v="2017-08-07T00:00:00"/>
    <x v="253"/>
    <n v="0"/>
  </r>
  <r>
    <x v="5749"/>
    <x v="24"/>
    <x v="0"/>
    <x v="0"/>
    <s v="MG Advanced"/>
    <s v="Globex Corporation"/>
    <x v="0"/>
    <d v="2017-08-07T00:00:00"/>
    <x v="254"/>
    <n v="3063"/>
  </r>
  <r>
    <x v="5750"/>
    <x v="5"/>
    <x v="3"/>
    <x v="1"/>
    <s v="GTX Plus Basic"/>
    <m/>
    <x v="1"/>
    <d v="2017-08-07T00:00:00"/>
    <x v="6"/>
    <m/>
  </r>
  <r>
    <x v="5751"/>
    <x v="5"/>
    <x v="3"/>
    <x v="1"/>
    <s v="MG Advanced"/>
    <m/>
    <x v="1"/>
    <d v="2017-08-07T00:00:00"/>
    <x v="6"/>
    <m/>
  </r>
  <r>
    <x v="5752"/>
    <x v="5"/>
    <x v="3"/>
    <x v="1"/>
    <s v="GTX Basic"/>
    <s v="Konex"/>
    <x v="2"/>
    <d v="2017-08-07T00:00:00"/>
    <x v="221"/>
    <n v="0"/>
  </r>
  <r>
    <x v="5753"/>
    <x v="6"/>
    <x v="1"/>
    <x v="0"/>
    <s v="GTX Plus Basic"/>
    <s v="Betatech"/>
    <x v="1"/>
    <d v="2017-08-07T00:00:00"/>
    <x v="6"/>
    <m/>
  </r>
  <r>
    <x v="5754"/>
    <x v="6"/>
    <x v="1"/>
    <x v="0"/>
    <s v="GTXPro"/>
    <m/>
    <x v="1"/>
    <d v="2017-08-07T00:00:00"/>
    <x v="6"/>
    <m/>
  </r>
  <r>
    <x v="5755"/>
    <x v="4"/>
    <x v="3"/>
    <x v="1"/>
    <s v="GTX Basic"/>
    <m/>
    <x v="1"/>
    <d v="2017-08-07T00:00:00"/>
    <x v="6"/>
    <m/>
  </r>
  <r>
    <x v="5756"/>
    <x v="4"/>
    <x v="3"/>
    <x v="1"/>
    <s v="MG Special"/>
    <s v="J-Texon"/>
    <x v="2"/>
    <d v="2017-08-07T00:00:00"/>
    <x v="140"/>
    <n v="0"/>
  </r>
  <r>
    <x v="5757"/>
    <x v="15"/>
    <x v="5"/>
    <x v="2"/>
    <s v="MG Special"/>
    <s v="Acme Corporation"/>
    <x v="0"/>
    <d v="2017-08-07T00:00:00"/>
    <x v="217"/>
    <n v="52"/>
  </r>
  <r>
    <x v="5758"/>
    <x v="15"/>
    <x v="5"/>
    <x v="2"/>
    <s v="MG Special"/>
    <s v="Bluth Company"/>
    <x v="0"/>
    <d v="2017-08-07T00:00:00"/>
    <x v="207"/>
    <n v="51"/>
  </r>
  <r>
    <x v="5759"/>
    <x v="2"/>
    <x v="2"/>
    <x v="1"/>
    <s v="GTXPro"/>
    <s v="Condax"/>
    <x v="0"/>
    <d v="2017-08-07T00:00:00"/>
    <x v="237"/>
    <n v="4480"/>
  </r>
  <r>
    <x v="5760"/>
    <x v="3"/>
    <x v="0"/>
    <x v="0"/>
    <s v="MG Special"/>
    <s v="dambase"/>
    <x v="0"/>
    <d v="2017-08-08T00:00:00"/>
    <x v="156"/>
    <n v="53"/>
  </r>
  <r>
    <x v="5761"/>
    <x v="23"/>
    <x v="4"/>
    <x v="2"/>
    <s v="GTX Basic"/>
    <s v="Xx-zobam"/>
    <x v="0"/>
    <d v="2017-08-08T00:00:00"/>
    <x v="151"/>
    <n v="582"/>
  </r>
  <r>
    <x v="5762"/>
    <x v="28"/>
    <x v="0"/>
    <x v="0"/>
    <s v="MG Advanced"/>
    <m/>
    <x v="1"/>
    <d v="2017-08-08T00:00:00"/>
    <x v="6"/>
    <m/>
  </r>
  <r>
    <x v="5763"/>
    <x v="28"/>
    <x v="0"/>
    <x v="0"/>
    <s v="GTX Plus Pro"/>
    <s v="Cancity"/>
    <x v="2"/>
    <d v="2017-08-08T00:00:00"/>
    <x v="196"/>
    <n v="0"/>
  </r>
  <r>
    <x v="5764"/>
    <x v="28"/>
    <x v="0"/>
    <x v="0"/>
    <s v="MG Advanced"/>
    <s v="Warephase"/>
    <x v="0"/>
    <d v="2017-08-08T00:00:00"/>
    <x v="227"/>
    <n v="3354"/>
  </r>
  <r>
    <x v="5765"/>
    <x v="13"/>
    <x v="4"/>
    <x v="2"/>
    <s v="MG Advanced"/>
    <s v="Donware"/>
    <x v="2"/>
    <d v="2017-08-08T00:00:00"/>
    <x v="128"/>
    <n v="0"/>
  </r>
  <r>
    <x v="5766"/>
    <x v="13"/>
    <x v="4"/>
    <x v="2"/>
    <s v="GTX Plus Basic"/>
    <s v="Konex"/>
    <x v="0"/>
    <d v="2017-08-08T00:00:00"/>
    <x v="255"/>
    <n v="1135"/>
  </r>
  <r>
    <x v="5767"/>
    <x v="1"/>
    <x v="1"/>
    <x v="0"/>
    <s v="GTXPro"/>
    <m/>
    <x v="1"/>
    <d v="2017-08-08T00:00:00"/>
    <x v="6"/>
    <m/>
  </r>
  <r>
    <x v="5768"/>
    <x v="26"/>
    <x v="4"/>
    <x v="2"/>
    <s v="GTXPro"/>
    <s v="Initech"/>
    <x v="0"/>
    <d v="2017-08-08T00:00:00"/>
    <x v="138"/>
    <n v="4859"/>
  </r>
  <r>
    <x v="5769"/>
    <x v="29"/>
    <x v="1"/>
    <x v="0"/>
    <s v="GTX Plus Basic"/>
    <s v="Toughzap"/>
    <x v="0"/>
    <d v="2017-08-08T00:00:00"/>
    <x v="150"/>
    <n v="1085"/>
  </r>
  <r>
    <x v="5770"/>
    <x v="16"/>
    <x v="2"/>
    <x v="1"/>
    <s v="GTX Basic"/>
    <s v="Cancity"/>
    <x v="1"/>
    <d v="2017-08-08T00:00:00"/>
    <x v="6"/>
    <m/>
  </r>
  <r>
    <x v="5771"/>
    <x v="18"/>
    <x v="2"/>
    <x v="1"/>
    <s v="MG Special"/>
    <s v="Singletechno"/>
    <x v="2"/>
    <d v="2017-08-08T00:00:00"/>
    <x v="176"/>
    <n v="0"/>
  </r>
  <r>
    <x v="5772"/>
    <x v="24"/>
    <x v="0"/>
    <x v="0"/>
    <s v="GTX Basic"/>
    <m/>
    <x v="1"/>
    <d v="2017-08-08T00:00:00"/>
    <x v="6"/>
    <m/>
  </r>
  <r>
    <x v="5773"/>
    <x v="24"/>
    <x v="0"/>
    <x v="0"/>
    <s v="GTX Basic"/>
    <s v="Finhigh"/>
    <x v="2"/>
    <d v="2017-08-08T00:00:00"/>
    <x v="220"/>
    <n v="0"/>
  </r>
  <r>
    <x v="5774"/>
    <x v="22"/>
    <x v="1"/>
    <x v="0"/>
    <s v="GTX Plus Basic"/>
    <s v="Zumgoity"/>
    <x v="0"/>
    <d v="2017-08-08T00:00:00"/>
    <x v="233"/>
    <n v="1196"/>
  </r>
  <r>
    <x v="5775"/>
    <x v="22"/>
    <x v="1"/>
    <x v="0"/>
    <s v="GTX Plus Pro"/>
    <s v="Warephase"/>
    <x v="0"/>
    <d v="2017-08-08T00:00:00"/>
    <x v="148"/>
    <n v="5572"/>
  </r>
  <r>
    <x v="5776"/>
    <x v="9"/>
    <x v="2"/>
    <x v="1"/>
    <s v="MG Advanced"/>
    <s v="J-Texon"/>
    <x v="0"/>
    <d v="2017-08-08T00:00:00"/>
    <x v="205"/>
    <n v="3415"/>
  </r>
  <r>
    <x v="5777"/>
    <x v="17"/>
    <x v="5"/>
    <x v="2"/>
    <s v="MG Advanced"/>
    <m/>
    <x v="1"/>
    <d v="2017-08-08T00:00:00"/>
    <x v="6"/>
    <m/>
  </r>
  <r>
    <x v="5778"/>
    <x v="12"/>
    <x v="0"/>
    <x v="0"/>
    <s v="MG Special"/>
    <s v="Scottech"/>
    <x v="2"/>
    <d v="2017-08-08T00:00:00"/>
    <x v="141"/>
    <n v="0"/>
  </r>
  <r>
    <x v="5779"/>
    <x v="3"/>
    <x v="0"/>
    <x v="0"/>
    <s v="GTX Plus Pro"/>
    <m/>
    <x v="1"/>
    <d v="2017-08-09T00:00:00"/>
    <x v="6"/>
    <m/>
  </r>
  <r>
    <x v="5780"/>
    <x v="23"/>
    <x v="4"/>
    <x v="2"/>
    <s v="GTX Basic"/>
    <m/>
    <x v="1"/>
    <d v="2017-08-09T00:00:00"/>
    <x v="6"/>
    <m/>
  </r>
  <r>
    <x v="5781"/>
    <x v="23"/>
    <x v="4"/>
    <x v="2"/>
    <s v="GTX Basic"/>
    <s v="Kinnamplus"/>
    <x v="2"/>
    <d v="2017-08-09T00:00:00"/>
    <x v="252"/>
    <n v="0"/>
  </r>
  <r>
    <x v="5782"/>
    <x v="13"/>
    <x v="4"/>
    <x v="2"/>
    <s v="GTX Plus Basic"/>
    <s v="Vehement Capital Partners"/>
    <x v="2"/>
    <d v="2017-08-09T00:00:00"/>
    <x v="231"/>
    <n v="0"/>
  </r>
  <r>
    <x v="5783"/>
    <x v="13"/>
    <x v="4"/>
    <x v="2"/>
    <s v="GTX Plus Basic"/>
    <s v="Plussunin"/>
    <x v="0"/>
    <d v="2017-08-09T00:00:00"/>
    <x v="176"/>
    <n v="1176"/>
  </r>
  <r>
    <x v="5784"/>
    <x v="1"/>
    <x v="1"/>
    <x v="0"/>
    <s v="GTX Plus Basic"/>
    <s v="Goodsilron"/>
    <x v="1"/>
    <d v="2017-08-09T00:00:00"/>
    <x v="6"/>
    <m/>
  </r>
  <r>
    <x v="5785"/>
    <x v="1"/>
    <x v="1"/>
    <x v="0"/>
    <s v="GTXPro"/>
    <m/>
    <x v="1"/>
    <d v="2017-08-09T00:00:00"/>
    <x v="6"/>
    <m/>
  </r>
  <r>
    <x v="5786"/>
    <x v="1"/>
    <x v="1"/>
    <x v="0"/>
    <s v="GTXPro"/>
    <s v="Streethex"/>
    <x v="0"/>
    <d v="2017-08-09T00:00:00"/>
    <x v="199"/>
    <n v="4313"/>
  </r>
  <r>
    <x v="5787"/>
    <x v="26"/>
    <x v="4"/>
    <x v="2"/>
    <s v="GTXPro"/>
    <s v="Konex"/>
    <x v="0"/>
    <d v="2017-08-09T00:00:00"/>
    <x v="152"/>
    <n v="4662"/>
  </r>
  <r>
    <x v="5788"/>
    <x v="14"/>
    <x v="3"/>
    <x v="1"/>
    <s v="GTX Basic"/>
    <s v="Singletechno"/>
    <x v="2"/>
    <d v="2017-08-09T00:00:00"/>
    <x v="116"/>
    <n v="0"/>
  </r>
  <r>
    <x v="5789"/>
    <x v="14"/>
    <x v="3"/>
    <x v="1"/>
    <s v="MG Advanced"/>
    <s v="Cheers"/>
    <x v="2"/>
    <d v="2017-08-09T00:00:00"/>
    <x v="229"/>
    <n v="0"/>
  </r>
  <r>
    <x v="5790"/>
    <x v="21"/>
    <x v="5"/>
    <x v="2"/>
    <s v="GTXPro"/>
    <s v="Xx-zobam"/>
    <x v="2"/>
    <d v="2017-08-09T00:00:00"/>
    <x v="228"/>
    <n v="0"/>
  </r>
  <r>
    <x v="5791"/>
    <x v="21"/>
    <x v="5"/>
    <x v="2"/>
    <s v="MG Advanced"/>
    <s v="Plussunin"/>
    <x v="0"/>
    <d v="2017-08-09T00:00:00"/>
    <x v="233"/>
    <n v="2715"/>
  </r>
  <r>
    <x v="5792"/>
    <x v="10"/>
    <x v="3"/>
    <x v="1"/>
    <s v="GTX Plus Basic"/>
    <s v="Hatfan"/>
    <x v="2"/>
    <d v="2017-08-09T00:00:00"/>
    <x v="232"/>
    <n v="0"/>
  </r>
  <r>
    <x v="5793"/>
    <x v="7"/>
    <x v="2"/>
    <x v="1"/>
    <s v="GTX Basic"/>
    <s v="Hottechi"/>
    <x v="0"/>
    <d v="2017-08-09T00:00:00"/>
    <x v="251"/>
    <n v="511"/>
  </r>
  <r>
    <x v="5794"/>
    <x v="29"/>
    <x v="1"/>
    <x v="0"/>
    <s v="GTX Basic"/>
    <m/>
    <x v="1"/>
    <d v="2017-08-09T00:00:00"/>
    <x v="6"/>
    <m/>
  </r>
  <r>
    <x v="5795"/>
    <x v="24"/>
    <x v="0"/>
    <x v="0"/>
    <s v="GTX Basic"/>
    <s v="The New York Inquirer"/>
    <x v="1"/>
    <d v="2017-08-09T00:00:00"/>
    <x v="6"/>
    <m/>
  </r>
  <r>
    <x v="5796"/>
    <x v="5"/>
    <x v="3"/>
    <x v="1"/>
    <s v="GTX Plus Basic"/>
    <s v="Goodsilron"/>
    <x v="0"/>
    <d v="2017-08-09T00:00:00"/>
    <x v="250"/>
    <n v="1017"/>
  </r>
  <r>
    <x v="5797"/>
    <x v="22"/>
    <x v="1"/>
    <x v="0"/>
    <s v="GTX Plus Pro"/>
    <s v="Hatfan"/>
    <x v="1"/>
    <d v="2017-08-09T00:00:00"/>
    <x v="6"/>
    <m/>
  </r>
  <r>
    <x v="5798"/>
    <x v="22"/>
    <x v="1"/>
    <x v="0"/>
    <s v="MG Advanced"/>
    <m/>
    <x v="1"/>
    <d v="2017-08-09T00:00:00"/>
    <x v="6"/>
    <m/>
  </r>
  <r>
    <x v="5799"/>
    <x v="9"/>
    <x v="2"/>
    <x v="1"/>
    <s v="GTX Plus Basic"/>
    <s v="Labdrill"/>
    <x v="2"/>
    <d v="2017-08-09T00:00:00"/>
    <x v="136"/>
    <n v="0"/>
  </r>
  <r>
    <x v="5800"/>
    <x v="9"/>
    <x v="2"/>
    <x v="1"/>
    <s v="GTX Plus Basic"/>
    <s v="Konex"/>
    <x v="0"/>
    <d v="2017-08-09T00:00:00"/>
    <x v="133"/>
    <n v="1102"/>
  </r>
  <r>
    <x v="5801"/>
    <x v="9"/>
    <x v="2"/>
    <x v="1"/>
    <s v="MG Special"/>
    <s v="Kan-code"/>
    <x v="0"/>
    <d v="2017-08-09T00:00:00"/>
    <x v="240"/>
    <n v="67"/>
  </r>
  <r>
    <x v="5802"/>
    <x v="0"/>
    <x v="0"/>
    <x v="0"/>
    <s v="MG Special"/>
    <s v="Genco Pura Olive Oil Company"/>
    <x v="0"/>
    <d v="2017-08-09T00:00:00"/>
    <x v="172"/>
    <n v="59"/>
  </r>
  <r>
    <x v="5803"/>
    <x v="6"/>
    <x v="1"/>
    <x v="0"/>
    <s v="GTX Plus Pro"/>
    <s v="Domzoom"/>
    <x v="2"/>
    <d v="2017-08-09T00:00:00"/>
    <x v="256"/>
    <n v="0"/>
  </r>
  <r>
    <x v="5804"/>
    <x v="6"/>
    <x v="1"/>
    <x v="0"/>
    <s v="GTX Basic"/>
    <s v="Hottechi"/>
    <x v="0"/>
    <d v="2017-08-09T00:00:00"/>
    <x v="257"/>
    <n v="569"/>
  </r>
  <r>
    <x v="5805"/>
    <x v="19"/>
    <x v="4"/>
    <x v="2"/>
    <s v="GTX Basic"/>
    <s v="Xx-zobam"/>
    <x v="0"/>
    <d v="2017-08-09T00:00:00"/>
    <x v="254"/>
    <n v="517"/>
  </r>
  <r>
    <x v="5806"/>
    <x v="4"/>
    <x v="3"/>
    <x v="1"/>
    <s v="GTX Basic"/>
    <m/>
    <x v="1"/>
    <d v="2017-08-09T00:00:00"/>
    <x v="6"/>
    <m/>
  </r>
  <r>
    <x v="5807"/>
    <x v="20"/>
    <x v="5"/>
    <x v="2"/>
    <s v="GTX Basic"/>
    <s v="Iselectrics"/>
    <x v="2"/>
    <d v="2017-08-09T00:00:00"/>
    <x v="197"/>
    <n v="0"/>
  </r>
  <r>
    <x v="5808"/>
    <x v="25"/>
    <x v="4"/>
    <x v="2"/>
    <s v="GTX Plus Basic"/>
    <s v="Donware"/>
    <x v="0"/>
    <d v="2017-08-10T00:00:00"/>
    <x v="161"/>
    <n v="1171"/>
  </r>
  <r>
    <x v="5809"/>
    <x v="27"/>
    <x v="5"/>
    <x v="2"/>
    <s v="GTX Basic"/>
    <s v="Kinnamplus"/>
    <x v="2"/>
    <d v="2017-08-10T00:00:00"/>
    <x v="161"/>
    <n v="0"/>
  </r>
  <r>
    <x v="5810"/>
    <x v="27"/>
    <x v="5"/>
    <x v="2"/>
    <s v="GTX Plus Basic"/>
    <s v="Donquadtech"/>
    <x v="0"/>
    <d v="2017-08-10T00:00:00"/>
    <x v="136"/>
    <n v="1143"/>
  </r>
  <r>
    <x v="5811"/>
    <x v="13"/>
    <x v="4"/>
    <x v="2"/>
    <s v="GTXPro"/>
    <s v="Kan-code"/>
    <x v="0"/>
    <d v="2017-08-10T00:00:00"/>
    <x v="243"/>
    <n v="5315"/>
  </r>
  <r>
    <x v="5812"/>
    <x v="1"/>
    <x v="1"/>
    <x v="0"/>
    <s v="GTX Plus Pro"/>
    <m/>
    <x v="1"/>
    <d v="2017-08-10T00:00:00"/>
    <x v="6"/>
    <m/>
  </r>
  <r>
    <x v="5813"/>
    <x v="1"/>
    <x v="1"/>
    <x v="0"/>
    <s v="MG Advanced"/>
    <s v="Codehow"/>
    <x v="2"/>
    <d v="2017-08-10T00:00:00"/>
    <x v="116"/>
    <n v="0"/>
  </r>
  <r>
    <x v="5814"/>
    <x v="14"/>
    <x v="3"/>
    <x v="1"/>
    <s v="MG Special"/>
    <s v="Scotfind"/>
    <x v="0"/>
    <d v="2017-08-10T00:00:00"/>
    <x v="122"/>
    <n v="49"/>
  </r>
  <r>
    <x v="5815"/>
    <x v="21"/>
    <x v="5"/>
    <x v="2"/>
    <s v="GTX Plus Pro"/>
    <s v="Bubba Gump"/>
    <x v="2"/>
    <d v="2017-08-10T00:00:00"/>
    <x v="205"/>
    <n v="0"/>
  </r>
  <r>
    <x v="5816"/>
    <x v="10"/>
    <x v="3"/>
    <x v="1"/>
    <s v="GTX Plus Basic"/>
    <m/>
    <x v="1"/>
    <d v="2017-08-10T00:00:00"/>
    <x v="6"/>
    <m/>
  </r>
  <r>
    <x v="5817"/>
    <x v="10"/>
    <x v="3"/>
    <x v="1"/>
    <s v="MG Advanced"/>
    <s v="J-Texon"/>
    <x v="0"/>
    <d v="2017-08-10T00:00:00"/>
    <x v="140"/>
    <n v="3511"/>
  </r>
  <r>
    <x v="5818"/>
    <x v="29"/>
    <x v="1"/>
    <x v="0"/>
    <s v="GTX Basic"/>
    <s v="Plexzap"/>
    <x v="1"/>
    <d v="2017-08-10T00:00:00"/>
    <x v="6"/>
    <m/>
  </r>
  <r>
    <x v="5819"/>
    <x v="29"/>
    <x v="1"/>
    <x v="0"/>
    <s v="GTXPro"/>
    <s v="Codehow"/>
    <x v="2"/>
    <d v="2017-08-10T00:00:00"/>
    <x v="230"/>
    <n v="0"/>
  </r>
  <r>
    <x v="5820"/>
    <x v="18"/>
    <x v="2"/>
    <x v="1"/>
    <s v="GTXPro"/>
    <s v="Y-corporation"/>
    <x v="2"/>
    <d v="2017-08-10T00:00:00"/>
    <x v="228"/>
    <n v="0"/>
  </r>
  <r>
    <x v="5821"/>
    <x v="24"/>
    <x v="0"/>
    <x v="0"/>
    <s v="GTX Plus Basic"/>
    <m/>
    <x v="1"/>
    <d v="2017-08-10T00:00:00"/>
    <x v="6"/>
    <m/>
  </r>
  <r>
    <x v="5822"/>
    <x v="5"/>
    <x v="3"/>
    <x v="1"/>
    <s v="GTX Basic"/>
    <m/>
    <x v="1"/>
    <d v="2017-08-10T00:00:00"/>
    <x v="6"/>
    <m/>
  </r>
  <r>
    <x v="5823"/>
    <x v="22"/>
    <x v="1"/>
    <x v="0"/>
    <s v="GTX Plus Pro"/>
    <s v="Sumace"/>
    <x v="1"/>
    <d v="2017-08-10T00:00:00"/>
    <x v="6"/>
    <m/>
  </r>
  <r>
    <x v="5824"/>
    <x v="22"/>
    <x v="1"/>
    <x v="0"/>
    <s v="MG Special"/>
    <m/>
    <x v="1"/>
    <d v="2017-08-10T00:00:00"/>
    <x v="6"/>
    <m/>
  </r>
  <r>
    <x v="5825"/>
    <x v="22"/>
    <x v="1"/>
    <x v="0"/>
    <s v="GTX Plus Basic"/>
    <s v="Codehow"/>
    <x v="0"/>
    <d v="2017-08-10T00:00:00"/>
    <x v="151"/>
    <n v="1108"/>
  </r>
  <r>
    <x v="5826"/>
    <x v="9"/>
    <x v="2"/>
    <x v="1"/>
    <s v="MG Special"/>
    <s v="Golddex"/>
    <x v="2"/>
    <d v="2017-08-10T00:00:00"/>
    <x v="233"/>
    <n v="0"/>
  </r>
  <r>
    <x v="5827"/>
    <x v="9"/>
    <x v="2"/>
    <x v="1"/>
    <s v="MG Special"/>
    <s v="Groovestreet"/>
    <x v="2"/>
    <d v="2017-08-10T00:00:00"/>
    <x v="197"/>
    <n v="0"/>
  </r>
  <r>
    <x v="5828"/>
    <x v="6"/>
    <x v="1"/>
    <x v="0"/>
    <s v="GTX Plus Basic"/>
    <m/>
    <x v="1"/>
    <d v="2017-08-10T00:00:00"/>
    <x v="6"/>
    <m/>
  </r>
  <r>
    <x v="5829"/>
    <x v="6"/>
    <x v="1"/>
    <x v="0"/>
    <s v="GTX Basic"/>
    <s v="Stanredtax"/>
    <x v="2"/>
    <d v="2017-08-10T00:00:00"/>
    <x v="169"/>
    <n v="0"/>
  </r>
  <r>
    <x v="5830"/>
    <x v="6"/>
    <x v="1"/>
    <x v="0"/>
    <s v="GTX Plus Pro"/>
    <s v="Inity"/>
    <x v="0"/>
    <d v="2017-08-10T00:00:00"/>
    <x v="149"/>
    <n v="5671"/>
  </r>
  <r>
    <x v="5831"/>
    <x v="17"/>
    <x v="5"/>
    <x v="2"/>
    <s v="GTXPro"/>
    <s v="Faxquote"/>
    <x v="1"/>
    <d v="2017-08-10T00:00:00"/>
    <x v="6"/>
    <m/>
  </r>
  <r>
    <x v="5832"/>
    <x v="17"/>
    <x v="5"/>
    <x v="2"/>
    <s v="GTX Basic"/>
    <s v="Bubba Gump"/>
    <x v="2"/>
    <d v="2017-08-10T00:00:00"/>
    <x v="172"/>
    <n v="0"/>
  </r>
  <r>
    <x v="5833"/>
    <x v="12"/>
    <x v="0"/>
    <x v="0"/>
    <s v="GTX Basic"/>
    <s v="Bioholding"/>
    <x v="0"/>
    <d v="2017-08-10T00:00:00"/>
    <x v="176"/>
    <n v="546"/>
  </r>
  <r>
    <x v="5834"/>
    <x v="4"/>
    <x v="3"/>
    <x v="1"/>
    <s v="MG Special"/>
    <s v="Golddex"/>
    <x v="0"/>
    <d v="2017-08-10T00:00:00"/>
    <x v="258"/>
    <n v="57"/>
  </r>
  <r>
    <x v="5835"/>
    <x v="4"/>
    <x v="3"/>
    <x v="1"/>
    <s v="MG Advanced"/>
    <s v="Doncon"/>
    <x v="0"/>
    <d v="2017-08-10T00:00:00"/>
    <x v="183"/>
    <n v="3195"/>
  </r>
  <r>
    <x v="5836"/>
    <x v="15"/>
    <x v="5"/>
    <x v="2"/>
    <s v="GTX Basic"/>
    <s v="Zotware"/>
    <x v="2"/>
    <d v="2017-08-10T00:00:00"/>
    <x v="205"/>
    <n v="0"/>
  </r>
  <r>
    <x v="5837"/>
    <x v="3"/>
    <x v="0"/>
    <x v="0"/>
    <s v="MG Special"/>
    <s v="Globex Corporation"/>
    <x v="2"/>
    <d v="2017-08-11T00:00:00"/>
    <x v="205"/>
    <n v="0"/>
  </r>
  <r>
    <x v="5838"/>
    <x v="3"/>
    <x v="0"/>
    <x v="0"/>
    <s v="MG Special"/>
    <s v="Globex Corporation"/>
    <x v="2"/>
    <d v="2017-08-11T00:00:00"/>
    <x v="147"/>
    <n v="0"/>
  </r>
  <r>
    <x v="5839"/>
    <x v="3"/>
    <x v="0"/>
    <x v="0"/>
    <s v="MG Special"/>
    <s v="Dontechi"/>
    <x v="0"/>
    <d v="2017-08-11T00:00:00"/>
    <x v="156"/>
    <n v="46"/>
  </r>
  <r>
    <x v="5840"/>
    <x v="3"/>
    <x v="0"/>
    <x v="0"/>
    <s v="MG Special"/>
    <s v="Streethex"/>
    <x v="0"/>
    <d v="2017-08-11T00:00:00"/>
    <x v="233"/>
    <n v="65"/>
  </r>
  <r>
    <x v="5841"/>
    <x v="14"/>
    <x v="3"/>
    <x v="1"/>
    <s v="GTX Basic"/>
    <m/>
    <x v="1"/>
    <d v="2017-08-11T00:00:00"/>
    <x v="6"/>
    <m/>
  </r>
  <r>
    <x v="5842"/>
    <x v="8"/>
    <x v="1"/>
    <x v="0"/>
    <s v="GTX Plus Pro"/>
    <s v="The New York Inquirer"/>
    <x v="1"/>
    <d v="2017-08-11T00:00:00"/>
    <x v="6"/>
    <m/>
  </r>
  <r>
    <x v="5843"/>
    <x v="7"/>
    <x v="2"/>
    <x v="1"/>
    <s v="GTXPro"/>
    <s v="Cheers"/>
    <x v="2"/>
    <d v="2017-08-11T00:00:00"/>
    <x v="162"/>
    <n v="0"/>
  </r>
  <r>
    <x v="5844"/>
    <x v="29"/>
    <x v="1"/>
    <x v="0"/>
    <s v="GTX Basic"/>
    <s v="Rangreen"/>
    <x v="0"/>
    <d v="2017-08-11T00:00:00"/>
    <x v="210"/>
    <n v="526"/>
  </r>
  <r>
    <x v="5845"/>
    <x v="29"/>
    <x v="1"/>
    <x v="0"/>
    <s v="GTXPro"/>
    <s v="Genco Pura Olive Oil Company"/>
    <x v="0"/>
    <d v="2017-08-11T00:00:00"/>
    <x v="234"/>
    <n v="4809"/>
  </r>
  <r>
    <x v="5846"/>
    <x v="5"/>
    <x v="3"/>
    <x v="1"/>
    <s v="MG Special"/>
    <m/>
    <x v="1"/>
    <d v="2017-08-11T00:00:00"/>
    <x v="6"/>
    <m/>
  </r>
  <r>
    <x v="5847"/>
    <x v="5"/>
    <x v="3"/>
    <x v="1"/>
    <s v="GTX Plus Basic"/>
    <s v="Green-Plus"/>
    <x v="0"/>
    <d v="2017-08-11T00:00:00"/>
    <x v="124"/>
    <n v="1105"/>
  </r>
  <r>
    <x v="5848"/>
    <x v="22"/>
    <x v="1"/>
    <x v="0"/>
    <s v="MG Advanced"/>
    <s v="Streethex"/>
    <x v="1"/>
    <d v="2017-08-11T00:00:00"/>
    <x v="6"/>
    <m/>
  </r>
  <r>
    <x v="5849"/>
    <x v="9"/>
    <x v="2"/>
    <x v="1"/>
    <s v="GTX Basic"/>
    <m/>
    <x v="1"/>
    <d v="2017-08-11T00:00:00"/>
    <x v="6"/>
    <m/>
  </r>
  <r>
    <x v="5850"/>
    <x v="12"/>
    <x v="0"/>
    <x v="0"/>
    <s v="MG Special"/>
    <m/>
    <x v="1"/>
    <d v="2017-08-11T00:00:00"/>
    <x v="6"/>
    <m/>
  </r>
  <r>
    <x v="5851"/>
    <x v="12"/>
    <x v="0"/>
    <x v="0"/>
    <s v="MG Special"/>
    <s v="Bioholding"/>
    <x v="2"/>
    <d v="2017-08-11T00:00:00"/>
    <x v="150"/>
    <n v="0"/>
  </r>
  <r>
    <x v="5852"/>
    <x v="4"/>
    <x v="3"/>
    <x v="1"/>
    <s v="MG Special"/>
    <s v="Sunnamplex"/>
    <x v="0"/>
    <d v="2017-08-11T00:00:00"/>
    <x v="122"/>
    <n v="56"/>
  </r>
  <r>
    <x v="5853"/>
    <x v="15"/>
    <x v="5"/>
    <x v="2"/>
    <s v="GTX Plus Basic"/>
    <s v="Iselectrics"/>
    <x v="2"/>
    <d v="2017-08-11T00:00:00"/>
    <x v="207"/>
    <n v="0"/>
  </r>
  <r>
    <x v="5854"/>
    <x v="2"/>
    <x v="2"/>
    <x v="1"/>
    <s v="GTXPro"/>
    <s v="Hatfan"/>
    <x v="2"/>
    <d v="2017-08-11T00:00:00"/>
    <x v="246"/>
    <n v="0"/>
  </r>
  <r>
    <x v="5855"/>
    <x v="23"/>
    <x v="4"/>
    <x v="2"/>
    <s v="GTXPro"/>
    <m/>
    <x v="1"/>
    <d v="2017-08-12T00:00:00"/>
    <x v="6"/>
    <m/>
  </r>
  <r>
    <x v="5856"/>
    <x v="23"/>
    <x v="4"/>
    <x v="2"/>
    <s v="GTX Basic"/>
    <s v="Zathunicon"/>
    <x v="2"/>
    <d v="2017-08-12T00:00:00"/>
    <x v="162"/>
    <n v="0"/>
  </r>
  <r>
    <x v="5857"/>
    <x v="23"/>
    <x v="4"/>
    <x v="2"/>
    <s v="GTXPro"/>
    <s v="Ganjaflex"/>
    <x v="0"/>
    <d v="2017-08-12T00:00:00"/>
    <x v="234"/>
    <n v="4161"/>
  </r>
  <r>
    <x v="5858"/>
    <x v="28"/>
    <x v="0"/>
    <x v="0"/>
    <s v="MG Special"/>
    <m/>
    <x v="1"/>
    <d v="2017-08-12T00:00:00"/>
    <x v="6"/>
    <m/>
  </r>
  <r>
    <x v="5859"/>
    <x v="28"/>
    <x v="0"/>
    <x v="0"/>
    <s v="MG Advanced"/>
    <m/>
    <x v="1"/>
    <d v="2017-08-12T00:00:00"/>
    <x v="6"/>
    <m/>
  </r>
  <r>
    <x v="5860"/>
    <x v="28"/>
    <x v="0"/>
    <x v="0"/>
    <s v="MG Special"/>
    <s v="Codehow"/>
    <x v="0"/>
    <d v="2017-08-12T00:00:00"/>
    <x v="230"/>
    <n v="65"/>
  </r>
  <r>
    <x v="5861"/>
    <x v="27"/>
    <x v="5"/>
    <x v="2"/>
    <s v="GTXPro"/>
    <s v="Umbrella Corporation"/>
    <x v="2"/>
    <d v="2017-08-12T00:00:00"/>
    <x v="140"/>
    <n v="0"/>
  </r>
  <r>
    <x v="5862"/>
    <x v="27"/>
    <x v="5"/>
    <x v="2"/>
    <s v="GTX Basic"/>
    <s v="Zathunicon"/>
    <x v="0"/>
    <d v="2017-08-12T00:00:00"/>
    <x v="142"/>
    <n v="524"/>
  </r>
  <r>
    <x v="5863"/>
    <x v="1"/>
    <x v="1"/>
    <x v="0"/>
    <s v="MG Special"/>
    <s v="Finjob"/>
    <x v="1"/>
    <d v="2017-08-12T00:00:00"/>
    <x v="6"/>
    <m/>
  </r>
  <r>
    <x v="5864"/>
    <x v="1"/>
    <x v="1"/>
    <x v="0"/>
    <s v="GTXPro"/>
    <s v="Ron-tech"/>
    <x v="2"/>
    <d v="2017-08-12T00:00:00"/>
    <x v="196"/>
    <n v="0"/>
  </r>
  <r>
    <x v="5865"/>
    <x v="1"/>
    <x v="1"/>
    <x v="0"/>
    <s v="GTX Basic"/>
    <s v="Inity"/>
    <x v="0"/>
    <d v="2017-08-12T00:00:00"/>
    <x v="228"/>
    <n v="481"/>
  </r>
  <r>
    <x v="5866"/>
    <x v="1"/>
    <x v="1"/>
    <x v="0"/>
    <s v="GTX Basic"/>
    <s v="Treequote"/>
    <x v="0"/>
    <d v="2017-08-12T00:00:00"/>
    <x v="210"/>
    <n v="520"/>
  </r>
  <r>
    <x v="5867"/>
    <x v="1"/>
    <x v="1"/>
    <x v="0"/>
    <s v="GTXPro"/>
    <s v="Codehow"/>
    <x v="0"/>
    <d v="2017-08-12T00:00:00"/>
    <x v="217"/>
    <n v="4582"/>
  </r>
  <r>
    <x v="5868"/>
    <x v="14"/>
    <x v="3"/>
    <x v="1"/>
    <s v="MG Special"/>
    <s v="Fasehatice"/>
    <x v="0"/>
    <d v="2017-08-12T00:00:00"/>
    <x v="134"/>
    <n v="53"/>
  </r>
  <r>
    <x v="5869"/>
    <x v="7"/>
    <x v="2"/>
    <x v="1"/>
    <s v="GTX Basic"/>
    <m/>
    <x v="1"/>
    <d v="2017-08-12T00:00:00"/>
    <x v="6"/>
    <m/>
  </r>
  <r>
    <x v="5870"/>
    <x v="18"/>
    <x v="2"/>
    <x v="1"/>
    <s v="GTX Plus Basic"/>
    <s v="Labdrill"/>
    <x v="2"/>
    <d v="2017-08-12T00:00:00"/>
    <x v="259"/>
    <n v="0"/>
  </r>
  <r>
    <x v="5871"/>
    <x v="24"/>
    <x v="0"/>
    <x v="0"/>
    <s v="GTX Basic"/>
    <s v="Stanredtax"/>
    <x v="2"/>
    <d v="2017-08-12T00:00:00"/>
    <x v="158"/>
    <n v="0"/>
  </r>
  <r>
    <x v="5872"/>
    <x v="22"/>
    <x v="1"/>
    <x v="0"/>
    <s v="GTX Basic"/>
    <s v="Bluth Company"/>
    <x v="1"/>
    <d v="2017-08-12T00:00:00"/>
    <x v="6"/>
    <m/>
  </r>
  <r>
    <x v="5873"/>
    <x v="9"/>
    <x v="2"/>
    <x v="1"/>
    <s v="GTX Plus Basic"/>
    <m/>
    <x v="1"/>
    <d v="2017-08-12T00:00:00"/>
    <x v="6"/>
    <m/>
  </r>
  <r>
    <x v="5874"/>
    <x v="9"/>
    <x v="2"/>
    <x v="1"/>
    <s v="GTX Basic"/>
    <s v="Hottechi"/>
    <x v="0"/>
    <d v="2017-08-12T00:00:00"/>
    <x v="179"/>
    <n v="559"/>
  </r>
  <r>
    <x v="5875"/>
    <x v="0"/>
    <x v="0"/>
    <x v="0"/>
    <s v="MG Special"/>
    <s v="Zoomit"/>
    <x v="1"/>
    <d v="2017-08-12T00:00:00"/>
    <x v="6"/>
    <m/>
  </r>
  <r>
    <x v="5876"/>
    <x v="0"/>
    <x v="0"/>
    <x v="0"/>
    <s v="MG Special"/>
    <m/>
    <x v="1"/>
    <d v="2017-08-12T00:00:00"/>
    <x v="6"/>
    <m/>
  </r>
  <r>
    <x v="5877"/>
    <x v="0"/>
    <x v="0"/>
    <x v="0"/>
    <s v="MG Special"/>
    <m/>
    <x v="1"/>
    <d v="2017-08-12T00:00:00"/>
    <x v="6"/>
    <m/>
  </r>
  <r>
    <x v="5878"/>
    <x v="0"/>
    <x v="0"/>
    <x v="0"/>
    <s v="MG Advanced"/>
    <s v="Isdom"/>
    <x v="2"/>
    <d v="2017-08-12T00:00:00"/>
    <x v="150"/>
    <n v="0"/>
  </r>
  <r>
    <x v="5879"/>
    <x v="12"/>
    <x v="0"/>
    <x v="0"/>
    <s v="MG Special"/>
    <s v="Gekko &amp; Co"/>
    <x v="1"/>
    <d v="2017-08-12T00:00:00"/>
    <x v="6"/>
    <m/>
  </r>
  <r>
    <x v="5880"/>
    <x v="12"/>
    <x v="0"/>
    <x v="0"/>
    <s v="MG Advanced"/>
    <s v="Treequote"/>
    <x v="0"/>
    <d v="2017-08-12T00:00:00"/>
    <x v="246"/>
    <n v="3165"/>
  </r>
  <r>
    <x v="5881"/>
    <x v="4"/>
    <x v="3"/>
    <x v="1"/>
    <s v="GTX Basic"/>
    <m/>
    <x v="1"/>
    <d v="2017-08-12T00:00:00"/>
    <x v="6"/>
    <m/>
  </r>
  <r>
    <x v="5882"/>
    <x v="4"/>
    <x v="3"/>
    <x v="1"/>
    <s v="GTX Basic"/>
    <m/>
    <x v="1"/>
    <d v="2017-08-12T00:00:00"/>
    <x v="6"/>
    <m/>
  </r>
  <r>
    <x v="5883"/>
    <x v="4"/>
    <x v="3"/>
    <x v="1"/>
    <s v="GTX Plus Pro"/>
    <m/>
    <x v="1"/>
    <d v="2017-08-12T00:00:00"/>
    <x v="6"/>
    <m/>
  </r>
  <r>
    <x v="5884"/>
    <x v="4"/>
    <x v="3"/>
    <x v="1"/>
    <s v="GTXPro"/>
    <s v="Cancity"/>
    <x v="1"/>
    <d v="2017-08-12T00:00:00"/>
    <x v="6"/>
    <m/>
  </r>
  <r>
    <x v="5885"/>
    <x v="4"/>
    <x v="3"/>
    <x v="1"/>
    <s v="MG Advanced"/>
    <s v="Blackzim"/>
    <x v="0"/>
    <d v="2017-08-12T00:00:00"/>
    <x v="226"/>
    <n v="3779"/>
  </r>
  <r>
    <x v="5886"/>
    <x v="15"/>
    <x v="5"/>
    <x v="2"/>
    <s v="GTX Basic"/>
    <m/>
    <x v="1"/>
    <d v="2017-08-12T00:00:00"/>
    <x v="6"/>
    <m/>
  </r>
  <r>
    <x v="5887"/>
    <x v="15"/>
    <x v="5"/>
    <x v="2"/>
    <s v="MG Special"/>
    <s v="Donquadtech"/>
    <x v="0"/>
    <d v="2017-08-12T00:00:00"/>
    <x v="231"/>
    <n v="48"/>
  </r>
  <r>
    <x v="5888"/>
    <x v="3"/>
    <x v="0"/>
    <x v="0"/>
    <s v="MG Special"/>
    <s v="Streethex"/>
    <x v="0"/>
    <d v="2017-08-13T00:00:00"/>
    <x v="199"/>
    <n v="50"/>
  </r>
  <r>
    <x v="5889"/>
    <x v="25"/>
    <x v="4"/>
    <x v="2"/>
    <s v="MG Special"/>
    <s v="Umbrella Corporation"/>
    <x v="2"/>
    <d v="2017-08-13T00:00:00"/>
    <x v="241"/>
    <n v="0"/>
  </r>
  <r>
    <x v="5890"/>
    <x v="23"/>
    <x v="4"/>
    <x v="2"/>
    <s v="MG Advanced"/>
    <s v="Xx-zobam"/>
    <x v="2"/>
    <d v="2017-08-13T00:00:00"/>
    <x v="253"/>
    <n v="0"/>
  </r>
  <r>
    <x v="5891"/>
    <x v="27"/>
    <x v="5"/>
    <x v="2"/>
    <s v="MG Advanced"/>
    <m/>
    <x v="1"/>
    <d v="2017-08-13T00:00:00"/>
    <x v="6"/>
    <m/>
  </r>
  <r>
    <x v="5892"/>
    <x v="27"/>
    <x v="5"/>
    <x v="2"/>
    <s v="GTXPro"/>
    <s v="Zotware"/>
    <x v="0"/>
    <d v="2017-08-13T00:00:00"/>
    <x v="161"/>
    <n v="4498"/>
  </r>
  <r>
    <x v="5893"/>
    <x v="27"/>
    <x v="5"/>
    <x v="2"/>
    <s v="MG Special"/>
    <s v="Zencorporation"/>
    <x v="0"/>
    <d v="2017-08-13T00:00:00"/>
    <x v="139"/>
    <n v="59"/>
  </r>
  <r>
    <x v="5894"/>
    <x v="13"/>
    <x v="4"/>
    <x v="2"/>
    <s v="GTXPro"/>
    <s v="The New York Inquirer"/>
    <x v="2"/>
    <d v="2017-08-13T00:00:00"/>
    <x v="150"/>
    <n v="0"/>
  </r>
  <r>
    <x v="5895"/>
    <x v="1"/>
    <x v="1"/>
    <x v="0"/>
    <s v="GTX Plus Basic"/>
    <m/>
    <x v="1"/>
    <d v="2017-08-13T00:00:00"/>
    <x v="6"/>
    <m/>
  </r>
  <r>
    <x v="5896"/>
    <x v="1"/>
    <x v="1"/>
    <x v="0"/>
    <s v="GTXPro"/>
    <s v="Dontechi"/>
    <x v="0"/>
    <d v="2017-08-13T00:00:00"/>
    <x v="212"/>
    <n v="4810"/>
  </r>
  <r>
    <x v="5897"/>
    <x v="8"/>
    <x v="1"/>
    <x v="0"/>
    <s v="GTX Basic"/>
    <m/>
    <x v="1"/>
    <d v="2017-08-13T00:00:00"/>
    <x v="6"/>
    <m/>
  </r>
  <r>
    <x v="5898"/>
    <x v="10"/>
    <x v="3"/>
    <x v="1"/>
    <s v="GTX Plus Basic"/>
    <m/>
    <x v="1"/>
    <d v="2017-08-13T00:00:00"/>
    <x v="6"/>
    <m/>
  </r>
  <r>
    <x v="5899"/>
    <x v="10"/>
    <x v="3"/>
    <x v="1"/>
    <s v="GTX Plus Pro"/>
    <m/>
    <x v="1"/>
    <d v="2017-08-13T00:00:00"/>
    <x v="6"/>
    <m/>
  </r>
  <r>
    <x v="5900"/>
    <x v="7"/>
    <x v="2"/>
    <x v="1"/>
    <s v="MG Advanced"/>
    <s v="Kan-code"/>
    <x v="0"/>
    <d v="2017-08-13T00:00:00"/>
    <x v="233"/>
    <n v="3972"/>
  </r>
  <r>
    <x v="5901"/>
    <x v="18"/>
    <x v="2"/>
    <x v="1"/>
    <s v="GTX Plus Pro"/>
    <s v="Kan-code"/>
    <x v="1"/>
    <d v="2017-08-13T00:00:00"/>
    <x v="6"/>
    <m/>
  </r>
  <r>
    <x v="5902"/>
    <x v="18"/>
    <x v="2"/>
    <x v="1"/>
    <s v="MG Special"/>
    <s v="J-Texon"/>
    <x v="2"/>
    <d v="2017-08-13T00:00:00"/>
    <x v="162"/>
    <n v="0"/>
  </r>
  <r>
    <x v="5903"/>
    <x v="18"/>
    <x v="2"/>
    <x v="1"/>
    <s v="GTX Basic"/>
    <s v="Konex"/>
    <x v="0"/>
    <d v="2017-08-13T00:00:00"/>
    <x v="156"/>
    <n v="573"/>
  </r>
  <r>
    <x v="5904"/>
    <x v="24"/>
    <x v="0"/>
    <x v="0"/>
    <s v="GTX Basic"/>
    <m/>
    <x v="1"/>
    <d v="2017-08-13T00:00:00"/>
    <x v="6"/>
    <m/>
  </r>
  <r>
    <x v="5905"/>
    <x v="24"/>
    <x v="0"/>
    <x v="0"/>
    <s v="MG Special"/>
    <s v="Initech"/>
    <x v="1"/>
    <d v="2017-08-13T00:00:00"/>
    <x v="6"/>
    <m/>
  </r>
  <r>
    <x v="5906"/>
    <x v="5"/>
    <x v="3"/>
    <x v="1"/>
    <s v="MG Advanced"/>
    <m/>
    <x v="1"/>
    <d v="2017-08-13T00:00:00"/>
    <x v="6"/>
    <m/>
  </r>
  <r>
    <x v="5907"/>
    <x v="5"/>
    <x v="3"/>
    <x v="1"/>
    <s v="GTX Plus Pro"/>
    <s v="Fasehatice"/>
    <x v="2"/>
    <d v="2017-08-13T00:00:00"/>
    <x v="229"/>
    <n v="0"/>
  </r>
  <r>
    <x v="5908"/>
    <x v="5"/>
    <x v="3"/>
    <x v="1"/>
    <s v="GTXPro"/>
    <s v="Goodsilron"/>
    <x v="2"/>
    <d v="2017-08-13T00:00:00"/>
    <x v="134"/>
    <n v="0"/>
  </r>
  <r>
    <x v="5909"/>
    <x v="5"/>
    <x v="3"/>
    <x v="1"/>
    <s v="GTXPro"/>
    <s v="Zoomit"/>
    <x v="0"/>
    <d v="2017-08-13T00:00:00"/>
    <x v="260"/>
    <n v="5540"/>
  </r>
  <r>
    <x v="5910"/>
    <x v="22"/>
    <x v="1"/>
    <x v="0"/>
    <s v="GTX Plus Basic"/>
    <m/>
    <x v="1"/>
    <d v="2017-08-13T00:00:00"/>
    <x v="6"/>
    <m/>
  </r>
  <r>
    <x v="5911"/>
    <x v="22"/>
    <x v="1"/>
    <x v="0"/>
    <s v="GTXPro"/>
    <m/>
    <x v="1"/>
    <d v="2017-08-13T00:00:00"/>
    <x v="6"/>
    <m/>
  </r>
  <r>
    <x v="5912"/>
    <x v="22"/>
    <x v="1"/>
    <x v="0"/>
    <s v="MG Special"/>
    <s v="Konmatfix"/>
    <x v="2"/>
    <d v="2017-08-13T00:00:00"/>
    <x v="256"/>
    <n v="0"/>
  </r>
  <r>
    <x v="5913"/>
    <x v="9"/>
    <x v="2"/>
    <x v="1"/>
    <s v="MG Special"/>
    <m/>
    <x v="1"/>
    <d v="2017-08-13T00:00:00"/>
    <x v="6"/>
    <m/>
  </r>
  <r>
    <x v="5914"/>
    <x v="9"/>
    <x v="2"/>
    <x v="1"/>
    <s v="GTX Plus Basic"/>
    <s v="Cheers"/>
    <x v="0"/>
    <d v="2017-08-13T00:00:00"/>
    <x v="162"/>
    <n v="1130"/>
  </r>
  <r>
    <x v="5915"/>
    <x v="0"/>
    <x v="0"/>
    <x v="0"/>
    <s v="MG Advanced"/>
    <m/>
    <x v="1"/>
    <d v="2017-08-13T00:00:00"/>
    <x v="6"/>
    <m/>
  </r>
  <r>
    <x v="5916"/>
    <x v="19"/>
    <x v="4"/>
    <x v="2"/>
    <s v="GTXPro"/>
    <s v="Zotware"/>
    <x v="0"/>
    <d v="2017-08-13T00:00:00"/>
    <x v="199"/>
    <n v="4743"/>
  </r>
  <r>
    <x v="5917"/>
    <x v="19"/>
    <x v="4"/>
    <x v="2"/>
    <s v="MG Advanced"/>
    <s v="Plussunin"/>
    <x v="0"/>
    <d v="2017-08-13T00:00:00"/>
    <x v="175"/>
    <n v="3732"/>
  </r>
  <r>
    <x v="5918"/>
    <x v="4"/>
    <x v="3"/>
    <x v="1"/>
    <s v="MG Special"/>
    <s v="Finjob"/>
    <x v="0"/>
    <d v="2017-08-13T00:00:00"/>
    <x v="244"/>
    <n v="59"/>
  </r>
  <r>
    <x v="5919"/>
    <x v="2"/>
    <x v="2"/>
    <x v="1"/>
    <s v="GTXPro"/>
    <s v="Goodsilron"/>
    <x v="2"/>
    <d v="2017-08-13T00:00:00"/>
    <x v="233"/>
    <n v="0"/>
  </r>
  <r>
    <x v="5920"/>
    <x v="2"/>
    <x v="2"/>
    <x v="1"/>
    <s v="GTX Basic"/>
    <s v="Konex"/>
    <x v="0"/>
    <d v="2017-08-13T00:00:00"/>
    <x v="225"/>
    <n v="510"/>
  </r>
  <r>
    <x v="5921"/>
    <x v="3"/>
    <x v="0"/>
    <x v="0"/>
    <s v="GTX Plus Basic"/>
    <m/>
    <x v="1"/>
    <d v="2017-08-14T00:00:00"/>
    <x v="6"/>
    <m/>
  </r>
  <r>
    <x v="5922"/>
    <x v="3"/>
    <x v="0"/>
    <x v="0"/>
    <s v="GTX Plus Pro"/>
    <s v="Bioholding"/>
    <x v="1"/>
    <d v="2017-08-14T00:00:00"/>
    <x v="6"/>
    <m/>
  </r>
  <r>
    <x v="5923"/>
    <x v="3"/>
    <x v="0"/>
    <x v="0"/>
    <s v="MG Special"/>
    <m/>
    <x v="1"/>
    <d v="2017-08-14T00:00:00"/>
    <x v="6"/>
    <m/>
  </r>
  <r>
    <x v="5924"/>
    <x v="3"/>
    <x v="0"/>
    <x v="0"/>
    <s v="MG Special"/>
    <m/>
    <x v="1"/>
    <d v="2017-08-14T00:00:00"/>
    <x v="6"/>
    <m/>
  </r>
  <r>
    <x v="5925"/>
    <x v="3"/>
    <x v="0"/>
    <x v="0"/>
    <s v="GTX Plus Pro"/>
    <s v="Inity"/>
    <x v="2"/>
    <d v="2017-08-14T00:00:00"/>
    <x v="136"/>
    <n v="0"/>
  </r>
  <r>
    <x v="5926"/>
    <x v="23"/>
    <x v="4"/>
    <x v="2"/>
    <s v="GTXPro"/>
    <m/>
    <x v="1"/>
    <d v="2017-08-14T00:00:00"/>
    <x v="6"/>
    <m/>
  </r>
  <r>
    <x v="5927"/>
    <x v="23"/>
    <x v="4"/>
    <x v="2"/>
    <s v="MG Advanced"/>
    <s v="Ganjaflex"/>
    <x v="2"/>
    <d v="2017-08-14T00:00:00"/>
    <x v="161"/>
    <n v="0"/>
  </r>
  <r>
    <x v="5928"/>
    <x v="23"/>
    <x v="4"/>
    <x v="2"/>
    <s v="GTX Plus Basic"/>
    <s v="Kan-code"/>
    <x v="0"/>
    <d v="2017-08-14T00:00:00"/>
    <x v="155"/>
    <n v="907"/>
  </r>
  <r>
    <x v="5929"/>
    <x v="23"/>
    <x v="4"/>
    <x v="2"/>
    <s v="GTX Plus Pro"/>
    <s v="Acme Corporation"/>
    <x v="0"/>
    <d v="2017-08-14T00:00:00"/>
    <x v="261"/>
    <n v="5881"/>
  </r>
  <r>
    <x v="5930"/>
    <x v="28"/>
    <x v="0"/>
    <x v="0"/>
    <s v="GTX Plus Pro"/>
    <s v="Betatech"/>
    <x v="2"/>
    <d v="2017-08-14T00:00:00"/>
    <x v="207"/>
    <n v="0"/>
  </r>
  <r>
    <x v="5931"/>
    <x v="1"/>
    <x v="1"/>
    <x v="0"/>
    <s v="GTXPro"/>
    <m/>
    <x v="1"/>
    <d v="2017-08-14T00:00:00"/>
    <x v="6"/>
    <m/>
  </r>
  <r>
    <x v="5932"/>
    <x v="1"/>
    <x v="1"/>
    <x v="0"/>
    <s v="GTXPro"/>
    <m/>
    <x v="1"/>
    <d v="2017-08-14T00:00:00"/>
    <x v="6"/>
    <m/>
  </r>
  <r>
    <x v="5933"/>
    <x v="1"/>
    <x v="1"/>
    <x v="0"/>
    <s v="GTXPro"/>
    <s v="Rundofase"/>
    <x v="0"/>
    <d v="2017-08-14T00:00:00"/>
    <x v="217"/>
    <n v="3902"/>
  </r>
  <r>
    <x v="5934"/>
    <x v="14"/>
    <x v="3"/>
    <x v="1"/>
    <s v="MG Special"/>
    <m/>
    <x v="1"/>
    <d v="2017-08-14T00:00:00"/>
    <x v="6"/>
    <m/>
  </r>
  <r>
    <x v="5935"/>
    <x v="10"/>
    <x v="3"/>
    <x v="1"/>
    <s v="MG Advanced"/>
    <m/>
    <x v="1"/>
    <d v="2017-08-14T00:00:00"/>
    <x v="6"/>
    <m/>
  </r>
  <r>
    <x v="5936"/>
    <x v="10"/>
    <x v="3"/>
    <x v="1"/>
    <s v="MG Advanced"/>
    <s v="Y-corporation"/>
    <x v="2"/>
    <d v="2017-08-14T00:00:00"/>
    <x v="246"/>
    <n v="0"/>
  </r>
  <r>
    <x v="5937"/>
    <x v="29"/>
    <x v="1"/>
    <x v="0"/>
    <s v="GTX Basic"/>
    <m/>
    <x v="1"/>
    <d v="2017-08-14T00:00:00"/>
    <x v="6"/>
    <m/>
  </r>
  <r>
    <x v="5938"/>
    <x v="29"/>
    <x v="1"/>
    <x v="0"/>
    <s v="GTX Plus Basic"/>
    <m/>
    <x v="1"/>
    <d v="2017-08-14T00:00:00"/>
    <x v="6"/>
    <m/>
  </r>
  <r>
    <x v="5939"/>
    <x v="29"/>
    <x v="1"/>
    <x v="0"/>
    <s v="GTXPro"/>
    <m/>
    <x v="1"/>
    <d v="2017-08-14T00:00:00"/>
    <x v="6"/>
    <m/>
  </r>
  <r>
    <x v="5940"/>
    <x v="16"/>
    <x v="2"/>
    <x v="1"/>
    <s v="GTX Plus Pro"/>
    <s v="Goodsilron"/>
    <x v="0"/>
    <d v="2017-08-14T00:00:00"/>
    <x v="234"/>
    <n v="6186"/>
  </r>
  <r>
    <x v="5941"/>
    <x v="18"/>
    <x v="2"/>
    <x v="1"/>
    <s v="GTX Plus Basic"/>
    <s v="Plexzap"/>
    <x v="0"/>
    <d v="2017-08-14T00:00:00"/>
    <x v="162"/>
    <n v="1094"/>
  </r>
  <r>
    <x v="5942"/>
    <x v="24"/>
    <x v="0"/>
    <x v="0"/>
    <s v="MG Advanced"/>
    <s v="Plussunin"/>
    <x v="1"/>
    <d v="2017-08-14T00:00:00"/>
    <x v="6"/>
    <m/>
  </r>
  <r>
    <x v="5943"/>
    <x v="22"/>
    <x v="1"/>
    <x v="0"/>
    <s v="MG Advanced"/>
    <s v="Singletechno"/>
    <x v="1"/>
    <d v="2017-08-14T00:00:00"/>
    <x v="6"/>
    <m/>
  </r>
  <r>
    <x v="5944"/>
    <x v="9"/>
    <x v="2"/>
    <x v="1"/>
    <s v="GTXPro"/>
    <m/>
    <x v="1"/>
    <d v="2017-08-14T00:00:00"/>
    <x v="6"/>
    <m/>
  </r>
  <r>
    <x v="5945"/>
    <x v="9"/>
    <x v="2"/>
    <x v="1"/>
    <s v="GTX Plus Basic"/>
    <s v="Golddex"/>
    <x v="2"/>
    <d v="2017-08-14T00:00:00"/>
    <x v="146"/>
    <n v="0"/>
  </r>
  <r>
    <x v="5946"/>
    <x v="17"/>
    <x v="5"/>
    <x v="2"/>
    <s v="GTXPro"/>
    <m/>
    <x v="1"/>
    <d v="2017-08-14T00:00:00"/>
    <x v="6"/>
    <m/>
  </r>
  <r>
    <x v="5947"/>
    <x v="12"/>
    <x v="0"/>
    <x v="0"/>
    <s v="MG Special"/>
    <s v="Rangreen"/>
    <x v="0"/>
    <d v="2017-08-14T00:00:00"/>
    <x v="262"/>
    <n v="53"/>
  </r>
  <r>
    <x v="5948"/>
    <x v="4"/>
    <x v="3"/>
    <x v="1"/>
    <s v="MG Advanced"/>
    <s v="Iselectrics"/>
    <x v="1"/>
    <d v="2017-08-14T00:00:00"/>
    <x v="6"/>
    <m/>
  </r>
  <r>
    <x v="5949"/>
    <x v="4"/>
    <x v="3"/>
    <x v="1"/>
    <s v="GTX Basic"/>
    <s v="Plexzap"/>
    <x v="0"/>
    <d v="2017-08-14T00:00:00"/>
    <x v="148"/>
    <n v="551"/>
  </r>
  <r>
    <x v="5950"/>
    <x v="20"/>
    <x v="5"/>
    <x v="2"/>
    <s v="MG Advanced"/>
    <m/>
    <x v="1"/>
    <d v="2017-08-14T00:00:00"/>
    <x v="6"/>
    <m/>
  </r>
  <r>
    <x v="5951"/>
    <x v="2"/>
    <x v="2"/>
    <x v="1"/>
    <s v="MG Special"/>
    <s v="Blackzim"/>
    <x v="2"/>
    <d v="2017-08-14T00:00:00"/>
    <x v="156"/>
    <n v="0"/>
  </r>
  <r>
    <x v="5952"/>
    <x v="3"/>
    <x v="0"/>
    <x v="0"/>
    <s v="MG Special"/>
    <m/>
    <x v="1"/>
    <d v="2017-08-15T00:00:00"/>
    <x v="6"/>
    <m/>
  </r>
  <r>
    <x v="5953"/>
    <x v="3"/>
    <x v="0"/>
    <x v="0"/>
    <s v="GTX Plus Basic"/>
    <s v="Betatech"/>
    <x v="2"/>
    <d v="2017-08-15T00:00:00"/>
    <x v="173"/>
    <n v="0"/>
  </r>
  <r>
    <x v="5954"/>
    <x v="3"/>
    <x v="0"/>
    <x v="0"/>
    <s v="GTX Plus Pro"/>
    <s v="Inity"/>
    <x v="2"/>
    <d v="2017-08-15T00:00:00"/>
    <x v="225"/>
    <n v="0"/>
  </r>
  <r>
    <x v="5955"/>
    <x v="3"/>
    <x v="0"/>
    <x v="0"/>
    <s v="MG Special"/>
    <s v="Globex Corporation"/>
    <x v="0"/>
    <d v="2017-08-15T00:00:00"/>
    <x v="212"/>
    <n v="57"/>
  </r>
  <r>
    <x v="5956"/>
    <x v="23"/>
    <x v="4"/>
    <x v="2"/>
    <s v="MG Advanced"/>
    <m/>
    <x v="1"/>
    <d v="2017-08-15T00:00:00"/>
    <x v="6"/>
    <m/>
  </r>
  <r>
    <x v="5957"/>
    <x v="23"/>
    <x v="4"/>
    <x v="2"/>
    <s v="GTX Basic"/>
    <s v="Gekko &amp; Co"/>
    <x v="0"/>
    <d v="2017-08-15T00:00:00"/>
    <x v="149"/>
    <n v="552"/>
  </r>
  <r>
    <x v="5958"/>
    <x v="27"/>
    <x v="5"/>
    <x v="2"/>
    <s v="MG Advanced"/>
    <s v="Condax"/>
    <x v="2"/>
    <d v="2017-08-15T00:00:00"/>
    <x v="146"/>
    <n v="0"/>
  </r>
  <r>
    <x v="5959"/>
    <x v="27"/>
    <x v="5"/>
    <x v="2"/>
    <s v="GTX Plus Pro"/>
    <s v="The New York Inquirer"/>
    <x v="0"/>
    <d v="2017-08-15T00:00:00"/>
    <x v="139"/>
    <n v="4520"/>
  </r>
  <r>
    <x v="5960"/>
    <x v="27"/>
    <x v="5"/>
    <x v="2"/>
    <s v="GTXPro"/>
    <s v="Umbrella Corporation"/>
    <x v="0"/>
    <d v="2017-08-15T00:00:00"/>
    <x v="207"/>
    <n v="5868"/>
  </r>
  <r>
    <x v="5961"/>
    <x v="13"/>
    <x v="4"/>
    <x v="2"/>
    <s v="MG Advanced"/>
    <s v="Bioplex"/>
    <x v="0"/>
    <d v="2017-08-15T00:00:00"/>
    <x v="161"/>
    <n v="2682"/>
  </r>
  <r>
    <x v="5962"/>
    <x v="1"/>
    <x v="1"/>
    <x v="0"/>
    <s v="GTX Plus Basic"/>
    <s v="Dontechi"/>
    <x v="2"/>
    <d v="2017-08-15T00:00:00"/>
    <x v="259"/>
    <n v="0"/>
  </r>
  <r>
    <x v="5963"/>
    <x v="1"/>
    <x v="1"/>
    <x v="0"/>
    <s v="GTXPro"/>
    <s v="Ron-tech"/>
    <x v="2"/>
    <d v="2017-08-15T00:00:00"/>
    <x v="228"/>
    <n v="0"/>
  </r>
  <r>
    <x v="5964"/>
    <x v="1"/>
    <x v="1"/>
    <x v="0"/>
    <s v="GTX Plus Basic"/>
    <s v="Rundofase"/>
    <x v="0"/>
    <d v="2017-08-15T00:00:00"/>
    <x v="149"/>
    <n v="1104"/>
  </r>
  <r>
    <x v="5965"/>
    <x v="1"/>
    <x v="1"/>
    <x v="0"/>
    <s v="GTXPro"/>
    <s v="Globex Corporation"/>
    <x v="0"/>
    <d v="2017-08-15T00:00:00"/>
    <x v="207"/>
    <n v="5107"/>
  </r>
  <r>
    <x v="5966"/>
    <x v="26"/>
    <x v="4"/>
    <x v="2"/>
    <s v="GTX Basic"/>
    <s v="Ontomedia"/>
    <x v="0"/>
    <d v="2017-08-15T00:00:00"/>
    <x v="256"/>
    <n v="533"/>
  </r>
  <r>
    <x v="5967"/>
    <x v="26"/>
    <x v="4"/>
    <x v="2"/>
    <s v="GTX Plus Pro"/>
    <s v="Plussunin"/>
    <x v="0"/>
    <d v="2017-08-15T00:00:00"/>
    <x v="263"/>
    <n v="5454"/>
  </r>
  <r>
    <x v="5968"/>
    <x v="8"/>
    <x v="1"/>
    <x v="0"/>
    <s v="GTX Plus Pro"/>
    <s v="Warephase"/>
    <x v="2"/>
    <d v="2017-08-15T00:00:00"/>
    <x v="157"/>
    <n v="0"/>
  </r>
  <r>
    <x v="5969"/>
    <x v="8"/>
    <x v="1"/>
    <x v="0"/>
    <s v="GTXPro"/>
    <s v="dambase"/>
    <x v="2"/>
    <d v="2017-08-15T00:00:00"/>
    <x v="196"/>
    <n v="0"/>
  </r>
  <r>
    <x v="5970"/>
    <x v="7"/>
    <x v="2"/>
    <x v="1"/>
    <s v="MG Advanced"/>
    <m/>
    <x v="1"/>
    <d v="2017-08-15T00:00:00"/>
    <x v="6"/>
    <m/>
  </r>
  <r>
    <x v="5971"/>
    <x v="7"/>
    <x v="2"/>
    <x v="1"/>
    <s v="GTX Plus Pro"/>
    <s v="Plusstrip"/>
    <x v="0"/>
    <d v="2017-08-15T00:00:00"/>
    <x v="142"/>
    <n v="5533"/>
  </r>
  <r>
    <x v="5972"/>
    <x v="29"/>
    <x v="1"/>
    <x v="0"/>
    <s v="MG Special"/>
    <s v="Statholdings"/>
    <x v="0"/>
    <d v="2017-08-15T00:00:00"/>
    <x v="231"/>
    <n v="57"/>
  </r>
  <r>
    <x v="5973"/>
    <x v="16"/>
    <x v="2"/>
    <x v="1"/>
    <s v="GTX Basic"/>
    <s v="Scotfind"/>
    <x v="0"/>
    <d v="2017-08-15T00:00:00"/>
    <x v="147"/>
    <n v="557"/>
  </r>
  <r>
    <x v="5974"/>
    <x v="24"/>
    <x v="0"/>
    <x v="0"/>
    <s v="GTX Basic"/>
    <m/>
    <x v="1"/>
    <d v="2017-08-15T00:00:00"/>
    <x v="6"/>
    <m/>
  </r>
  <r>
    <x v="5975"/>
    <x v="5"/>
    <x v="3"/>
    <x v="1"/>
    <s v="GTX Plus Pro"/>
    <m/>
    <x v="1"/>
    <d v="2017-08-15T00:00:00"/>
    <x v="6"/>
    <m/>
  </r>
  <r>
    <x v="5976"/>
    <x v="5"/>
    <x v="3"/>
    <x v="1"/>
    <s v="GTX Plus Basic"/>
    <s v="Scotfind"/>
    <x v="2"/>
    <d v="2017-08-15T00:00:00"/>
    <x v="231"/>
    <n v="0"/>
  </r>
  <r>
    <x v="5977"/>
    <x v="5"/>
    <x v="3"/>
    <x v="1"/>
    <s v="MG Advanced"/>
    <s v="Fasehatice"/>
    <x v="0"/>
    <d v="2017-08-15T00:00:00"/>
    <x v="135"/>
    <n v="3271"/>
  </r>
  <r>
    <x v="5978"/>
    <x v="22"/>
    <x v="1"/>
    <x v="0"/>
    <s v="GTX Plus Pro"/>
    <s v="Isdom"/>
    <x v="2"/>
    <d v="2017-08-15T00:00:00"/>
    <x v="151"/>
    <n v="0"/>
  </r>
  <r>
    <x v="5979"/>
    <x v="0"/>
    <x v="0"/>
    <x v="0"/>
    <s v="MG Special"/>
    <s v="Codehow"/>
    <x v="2"/>
    <d v="2017-08-15T00:00:00"/>
    <x v="234"/>
    <n v="0"/>
  </r>
  <r>
    <x v="5980"/>
    <x v="0"/>
    <x v="0"/>
    <x v="0"/>
    <s v="GTX Basic"/>
    <s v="Scottech"/>
    <x v="0"/>
    <d v="2017-08-15T00:00:00"/>
    <x v="248"/>
    <n v="716"/>
  </r>
  <r>
    <x v="5981"/>
    <x v="6"/>
    <x v="1"/>
    <x v="0"/>
    <s v="GTX Plus Basic"/>
    <m/>
    <x v="1"/>
    <d v="2017-08-15T00:00:00"/>
    <x v="6"/>
    <m/>
  </r>
  <r>
    <x v="5982"/>
    <x v="6"/>
    <x v="1"/>
    <x v="0"/>
    <s v="GTXPro"/>
    <m/>
    <x v="1"/>
    <d v="2017-08-15T00:00:00"/>
    <x v="6"/>
    <m/>
  </r>
  <r>
    <x v="5983"/>
    <x v="19"/>
    <x v="4"/>
    <x v="2"/>
    <s v="GTX Plus Basic"/>
    <s v="Zencorporation"/>
    <x v="0"/>
    <d v="2017-08-15T00:00:00"/>
    <x v="142"/>
    <n v="1024"/>
  </r>
  <r>
    <x v="5984"/>
    <x v="19"/>
    <x v="4"/>
    <x v="2"/>
    <s v="GTXPro"/>
    <s v="Mathtouch"/>
    <x v="0"/>
    <d v="2017-08-15T00:00:00"/>
    <x v="147"/>
    <n v="4545"/>
  </r>
  <r>
    <x v="5985"/>
    <x v="17"/>
    <x v="5"/>
    <x v="2"/>
    <s v="MG Special"/>
    <s v="Acme Corporation"/>
    <x v="2"/>
    <d v="2017-08-15T00:00:00"/>
    <x v="221"/>
    <n v="0"/>
  </r>
  <r>
    <x v="5986"/>
    <x v="12"/>
    <x v="0"/>
    <x v="0"/>
    <s v="MG Special"/>
    <s v="Finhigh"/>
    <x v="1"/>
    <d v="2017-08-15T00:00:00"/>
    <x v="6"/>
    <m/>
  </r>
  <r>
    <x v="5987"/>
    <x v="4"/>
    <x v="3"/>
    <x v="1"/>
    <s v="GTXPro"/>
    <m/>
    <x v="1"/>
    <d v="2017-08-15T00:00:00"/>
    <x v="6"/>
    <m/>
  </r>
  <r>
    <x v="5988"/>
    <x v="4"/>
    <x v="3"/>
    <x v="1"/>
    <s v="GTXPro"/>
    <s v="Faxquote"/>
    <x v="2"/>
    <d v="2017-08-15T00:00:00"/>
    <x v="147"/>
    <n v="0"/>
  </r>
  <r>
    <x v="5989"/>
    <x v="15"/>
    <x v="5"/>
    <x v="2"/>
    <s v="MG Special"/>
    <s v="Donquadtech"/>
    <x v="0"/>
    <d v="2017-08-15T00:00:00"/>
    <x v="230"/>
    <n v="55"/>
  </r>
  <r>
    <x v="5990"/>
    <x v="2"/>
    <x v="2"/>
    <x v="1"/>
    <s v="GTXPro"/>
    <s v="Green-Plus"/>
    <x v="1"/>
    <d v="2017-08-15T00:00:00"/>
    <x v="6"/>
    <m/>
  </r>
  <r>
    <x v="5991"/>
    <x v="3"/>
    <x v="0"/>
    <x v="0"/>
    <s v="MG Special"/>
    <s v="Treequote"/>
    <x v="0"/>
    <d v="2017-08-16T00:00:00"/>
    <x v="175"/>
    <n v="53"/>
  </r>
  <r>
    <x v="5992"/>
    <x v="25"/>
    <x v="4"/>
    <x v="2"/>
    <s v="GTX Plus Basic"/>
    <s v="Stanredtax"/>
    <x v="1"/>
    <d v="2017-08-16T00:00:00"/>
    <x v="6"/>
    <m/>
  </r>
  <r>
    <x v="5993"/>
    <x v="25"/>
    <x v="4"/>
    <x v="2"/>
    <s v="GTXPro"/>
    <s v="Kan-code"/>
    <x v="0"/>
    <d v="2017-08-16T00:00:00"/>
    <x v="244"/>
    <n v="4732"/>
  </r>
  <r>
    <x v="5994"/>
    <x v="23"/>
    <x v="4"/>
    <x v="2"/>
    <s v="GTX Basic"/>
    <s v="Zencorporation"/>
    <x v="0"/>
    <d v="2017-08-16T00:00:00"/>
    <x v="264"/>
    <n v="578"/>
  </r>
  <r>
    <x v="5995"/>
    <x v="16"/>
    <x v="2"/>
    <x v="1"/>
    <s v="GTX Basic"/>
    <s v="Blackzim"/>
    <x v="0"/>
    <d v="2017-08-16T00:00:00"/>
    <x v="147"/>
    <n v="557"/>
  </r>
  <r>
    <x v="5996"/>
    <x v="16"/>
    <x v="2"/>
    <x v="1"/>
    <s v="MG Special"/>
    <s v="Finjob"/>
    <x v="0"/>
    <d v="2017-08-16T00:00:00"/>
    <x v="164"/>
    <n v="57"/>
  </r>
  <r>
    <x v="5997"/>
    <x v="5"/>
    <x v="3"/>
    <x v="1"/>
    <s v="GTX Basic"/>
    <s v="Kan-code"/>
    <x v="2"/>
    <d v="2017-08-16T00:00:00"/>
    <x v="135"/>
    <n v="0"/>
  </r>
  <r>
    <x v="5998"/>
    <x v="17"/>
    <x v="5"/>
    <x v="2"/>
    <s v="GTX Basic"/>
    <s v="Kan-code"/>
    <x v="0"/>
    <d v="2017-08-16T00:00:00"/>
    <x v="176"/>
    <n v="501"/>
  </r>
  <r>
    <x v="5999"/>
    <x v="12"/>
    <x v="0"/>
    <x v="0"/>
    <s v="GTX Plus Basic"/>
    <s v="Rangreen"/>
    <x v="0"/>
    <d v="2017-08-16T00:00:00"/>
    <x v="175"/>
    <n v="1084"/>
  </r>
  <r>
    <x v="6000"/>
    <x v="12"/>
    <x v="0"/>
    <x v="0"/>
    <s v="MG Special"/>
    <s v="Dontechi"/>
    <x v="0"/>
    <d v="2017-08-16T00:00:00"/>
    <x v="145"/>
    <n v="56"/>
  </r>
  <r>
    <x v="6001"/>
    <x v="4"/>
    <x v="3"/>
    <x v="1"/>
    <s v="MG Special"/>
    <m/>
    <x v="1"/>
    <d v="2017-08-16T00:00:00"/>
    <x v="6"/>
    <m/>
  </r>
  <r>
    <x v="6002"/>
    <x v="2"/>
    <x v="2"/>
    <x v="1"/>
    <s v="GTX Basic"/>
    <s v="Singletechno"/>
    <x v="2"/>
    <d v="2017-08-16T00:00:00"/>
    <x v="220"/>
    <n v="0"/>
  </r>
  <r>
    <x v="6003"/>
    <x v="3"/>
    <x v="0"/>
    <x v="0"/>
    <s v="GTX Plus Pro"/>
    <s v="Hottechi"/>
    <x v="0"/>
    <d v="2017-08-17T00:00:00"/>
    <x v="241"/>
    <n v="5468"/>
  </r>
  <r>
    <x v="6004"/>
    <x v="23"/>
    <x v="4"/>
    <x v="2"/>
    <s v="GTX Basic"/>
    <m/>
    <x v="1"/>
    <d v="2017-08-17T00:00:00"/>
    <x v="6"/>
    <m/>
  </r>
  <r>
    <x v="6005"/>
    <x v="23"/>
    <x v="4"/>
    <x v="2"/>
    <s v="GTX Plus Basic"/>
    <s v="Rantouch"/>
    <x v="1"/>
    <d v="2017-08-17T00:00:00"/>
    <x v="6"/>
    <m/>
  </r>
  <r>
    <x v="6006"/>
    <x v="23"/>
    <x v="4"/>
    <x v="2"/>
    <s v="GTX Basic"/>
    <s v="Zencorporation"/>
    <x v="0"/>
    <d v="2017-08-17T00:00:00"/>
    <x v="232"/>
    <n v="567"/>
  </r>
  <r>
    <x v="6007"/>
    <x v="27"/>
    <x v="5"/>
    <x v="2"/>
    <s v="GTX Plus Basic"/>
    <s v="Gekko &amp; Co"/>
    <x v="2"/>
    <d v="2017-08-17T00:00:00"/>
    <x v="212"/>
    <n v="0"/>
  </r>
  <r>
    <x v="6008"/>
    <x v="13"/>
    <x v="4"/>
    <x v="2"/>
    <s v="GTXPro"/>
    <m/>
    <x v="1"/>
    <d v="2017-08-17T00:00:00"/>
    <x v="6"/>
    <m/>
  </r>
  <r>
    <x v="6009"/>
    <x v="13"/>
    <x v="4"/>
    <x v="2"/>
    <s v="GTXPro"/>
    <m/>
    <x v="1"/>
    <d v="2017-08-17T00:00:00"/>
    <x v="6"/>
    <m/>
  </r>
  <r>
    <x v="6010"/>
    <x v="1"/>
    <x v="1"/>
    <x v="0"/>
    <s v="GTX Plus Basic"/>
    <s v="Dontechi"/>
    <x v="0"/>
    <d v="2017-08-17T00:00:00"/>
    <x v="232"/>
    <n v="1029"/>
  </r>
  <r>
    <x v="6011"/>
    <x v="18"/>
    <x v="2"/>
    <x v="1"/>
    <s v="GTX Basic"/>
    <s v="Fasehatice"/>
    <x v="0"/>
    <d v="2017-08-17T00:00:00"/>
    <x v="227"/>
    <n v="430"/>
  </r>
  <r>
    <x v="6012"/>
    <x v="9"/>
    <x v="2"/>
    <x v="1"/>
    <s v="GTXPro"/>
    <s v="Kan-code"/>
    <x v="0"/>
    <d v="2017-08-17T00:00:00"/>
    <x v="221"/>
    <n v="5316"/>
  </r>
  <r>
    <x v="6013"/>
    <x v="0"/>
    <x v="0"/>
    <x v="0"/>
    <s v="MG Advanced"/>
    <s v="Ron-tech"/>
    <x v="2"/>
    <d v="2017-08-17T00:00:00"/>
    <x v="146"/>
    <n v="0"/>
  </r>
  <r>
    <x v="6014"/>
    <x v="11"/>
    <x v="3"/>
    <x v="1"/>
    <s v="MG Special"/>
    <s v="Ganjaflex"/>
    <x v="1"/>
    <d v="2017-08-17T00:00:00"/>
    <x v="6"/>
    <m/>
  </r>
  <r>
    <x v="6015"/>
    <x v="17"/>
    <x v="5"/>
    <x v="2"/>
    <s v="MG Advanced"/>
    <s v="Kan-code"/>
    <x v="0"/>
    <d v="2017-08-17T00:00:00"/>
    <x v="164"/>
    <n v="3913"/>
  </r>
  <r>
    <x v="6016"/>
    <x v="12"/>
    <x v="0"/>
    <x v="0"/>
    <s v="GTX Basic"/>
    <s v="Zumgoity"/>
    <x v="2"/>
    <d v="2017-08-17T00:00:00"/>
    <x v="162"/>
    <n v="0"/>
  </r>
  <r>
    <x v="6017"/>
    <x v="12"/>
    <x v="0"/>
    <x v="0"/>
    <s v="MG Special"/>
    <s v="Toughzap"/>
    <x v="2"/>
    <d v="2017-08-17T00:00:00"/>
    <x v="136"/>
    <n v="0"/>
  </r>
  <r>
    <x v="6018"/>
    <x v="4"/>
    <x v="3"/>
    <x v="1"/>
    <s v="MG Advanced"/>
    <s v="Condax"/>
    <x v="2"/>
    <d v="2017-08-17T00:00:00"/>
    <x v="156"/>
    <n v="0"/>
  </r>
  <r>
    <x v="6019"/>
    <x v="4"/>
    <x v="3"/>
    <x v="1"/>
    <s v="MG Advanced"/>
    <s v="Plexzap"/>
    <x v="2"/>
    <d v="2017-08-17T00:00:00"/>
    <x v="210"/>
    <n v="0"/>
  </r>
  <r>
    <x v="6020"/>
    <x v="15"/>
    <x v="5"/>
    <x v="2"/>
    <s v="MG Special"/>
    <s v="Hatfan"/>
    <x v="1"/>
    <d v="2017-08-17T00:00:00"/>
    <x v="6"/>
    <m/>
  </r>
  <r>
    <x v="6021"/>
    <x v="2"/>
    <x v="2"/>
    <x v="1"/>
    <s v="GTX Basic"/>
    <s v="Hottechi"/>
    <x v="0"/>
    <d v="2017-08-17T00:00:00"/>
    <x v="142"/>
    <n v="655"/>
  </r>
  <r>
    <x v="6022"/>
    <x v="2"/>
    <x v="2"/>
    <x v="1"/>
    <s v="MG Special"/>
    <s v="Groovestreet"/>
    <x v="0"/>
    <d v="2017-08-17T00:00:00"/>
    <x v="159"/>
    <n v="46"/>
  </r>
  <r>
    <x v="6023"/>
    <x v="25"/>
    <x v="4"/>
    <x v="2"/>
    <s v="GTX Plus Pro"/>
    <s v="Acme Corporation"/>
    <x v="2"/>
    <d v="2017-08-18T00:00:00"/>
    <x v="135"/>
    <n v="0"/>
  </r>
  <r>
    <x v="6024"/>
    <x v="28"/>
    <x v="0"/>
    <x v="0"/>
    <s v="MG Advanced"/>
    <s v="dambase"/>
    <x v="2"/>
    <d v="2017-08-18T00:00:00"/>
    <x v="162"/>
    <n v="0"/>
  </r>
  <r>
    <x v="6025"/>
    <x v="27"/>
    <x v="5"/>
    <x v="2"/>
    <s v="MG Advanced"/>
    <m/>
    <x v="1"/>
    <d v="2017-08-18T00:00:00"/>
    <x v="6"/>
    <m/>
  </r>
  <r>
    <x v="6026"/>
    <x v="27"/>
    <x v="5"/>
    <x v="2"/>
    <s v="MG Advanced"/>
    <s v="Betasoloin"/>
    <x v="2"/>
    <d v="2017-08-18T00:00:00"/>
    <x v="159"/>
    <n v="0"/>
  </r>
  <r>
    <x v="6027"/>
    <x v="27"/>
    <x v="5"/>
    <x v="2"/>
    <s v="GTX Plus Pro"/>
    <s v="Silis"/>
    <x v="0"/>
    <d v="2017-08-18T00:00:00"/>
    <x v="217"/>
    <n v="6372"/>
  </r>
  <r>
    <x v="6028"/>
    <x v="1"/>
    <x v="1"/>
    <x v="0"/>
    <s v="GTX Plus Basic"/>
    <s v="Warephase"/>
    <x v="0"/>
    <d v="2017-08-18T00:00:00"/>
    <x v="220"/>
    <n v="986"/>
  </r>
  <r>
    <x v="6029"/>
    <x v="1"/>
    <x v="1"/>
    <x v="0"/>
    <s v="GTXPro"/>
    <s v="Betatech"/>
    <x v="0"/>
    <d v="2017-08-18T00:00:00"/>
    <x v="139"/>
    <n v="4817"/>
  </r>
  <r>
    <x v="6030"/>
    <x v="8"/>
    <x v="1"/>
    <x v="0"/>
    <s v="GTXPro"/>
    <s v="Stanredtax"/>
    <x v="2"/>
    <d v="2017-08-18T00:00:00"/>
    <x v="159"/>
    <n v="0"/>
  </r>
  <r>
    <x v="6031"/>
    <x v="10"/>
    <x v="3"/>
    <x v="1"/>
    <s v="GTX Plus Pro"/>
    <s v="Green-Plus"/>
    <x v="0"/>
    <d v="2017-08-18T00:00:00"/>
    <x v="136"/>
    <n v="6529"/>
  </r>
  <r>
    <x v="6032"/>
    <x v="29"/>
    <x v="1"/>
    <x v="0"/>
    <s v="GTXPro"/>
    <s v="Scottech"/>
    <x v="2"/>
    <d v="2017-08-18T00:00:00"/>
    <x v="149"/>
    <n v="0"/>
  </r>
  <r>
    <x v="6033"/>
    <x v="16"/>
    <x v="2"/>
    <x v="1"/>
    <s v="GTXPro"/>
    <m/>
    <x v="1"/>
    <d v="2017-08-18T00:00:00"/>
    <x v="6"/>
    <m/>
  </r>
  <r>
    <x v="6034"/>
    <x v="18"/>
    <x v="2"/>
    <x v="1"/>
    <s v="GTX Basic"/>
    <m/>
    <x v="1"/>
    <d v="2017-08-18T00:00:00"/>
    <x v="6"/>
    <m/>
  </r>
  <r>
    <x v="6035"/>
    <x v="18"/>
    <x v="2"/>
    <x v="1"/>
    <s v="GTX Basic"/>
    <s v="Hottechi"/>
    <x v="2"/>
    <d v="2017-08-18T00:00:00"/>
    <x v="226"/>
    <n v="0"/>
  </r>
  <r>
    <x v="6036"/>
    <x v="18"/>
    <x v="2"/>
    <x v="1"/>
    <s v="GTX Plus Pro"/>
    <s v="Condax"/>
    <x v="0"/>
    <d v="2017-08-18T00:00:00"/>
    <x v="226"/>
    <n v="4454"/>
  </r>
  <r>
    <x v="6037"/>
    <x v="5"/>
    <x v="3"/>
    <x v="1"/>
    <s v="GTX Plus Basic"/>
    <s v="Cheers"/>
    <x v="0"/>
    <d v="2017-08-18T00:00:00"/>
    <x v="163"/>
    <n v="1002"/>
  </r>
  <r>
    <x v="6038"/>
    <x v="5"/>
    <x v="3"/>
    <x v="1"/>
    <s v="MG Special"/>
    <s v="Green-Plus"/>
    <x v="0"/>
    <d v="2017-08-18T00:00:00"/>
    <x v="217"/>
    <n v="63"/>
  </r>
  <r>
    <x v="6039"/>
    <x v="22"/>
    <x v="1"/>
    <x v="0"/>
    <s v="GTX Basic"/>
    <s v="Ron-tech"/>
    <x v="0"/>
    <d v="2017-08-18T00:00:00"/>
    <x v="265"/>
    <n v="580"/>
  </r>
  <r>
    <x v="6040"/>
    <x v="9"/>
    <x v="2"/>
    <x v="1"/>
    <s v="GTX Basic"/>
    <s v="Donquadtech"/>
    <x v="1"/>
    <d v="2017-08-18T00:00:00"/>
    <x v="6"/>
    <m/>
  </r>
  <r>
    <x v="6041"/>
    <x v="4"/>
    <x v="3"/>
    <x v="1"/>
    <s v="MG Advanced"/>
    <m/>
    <x v="1"/>
    <d v="2017-08-18T00:00:00"/>
    <x v="6"/>
    <m/>
  </r>
  <r>
    <x v="6042"/>
    <x v="15"/>
    <x v="5"/>
    <x v="2"/>
    <s v="MG Special"/>
    <s v="Vehement Capital Partners"/>
    <x v="0"/>
    <d v="2017-08-18T00:00:00"/>
    <x v="243"/>
    <n v="49"/>
  </r>
  <r>
    <x v="6043"/>
    <x v="25"/>
    <x v="4"/>
    <x v="2"/>
    <s v="GTX Plus Pro"/>
    <s v="Mathtouch"/>
    <x v="0"/>
    <d v="2017-08-19T00:00:00"/>
    <x v="259"/>
    <n v="5703"/>
  </r>
  <r>
    <x v="6044"/>
    <x v="23"/>
    <x v="4"/>
    <x v="2"/>
    <s v="MG Special"/>
    <s v="Opentech"/>
    <x v="2"/>
    <d v="2017-08-19T00:00:00"/>
    <x v="135"/>
    <n v="0"/>
  </r>
  <r>
    <x v="6045"/>
    <x v="13"/>
    <x v="4"/>
    <x v="2"/>
    <s v="MG Special"/>
    <m/>
    <x v="1"/>
    <d v="2017-08-19T00:00:00"/>
    <x v="6"/>
    <m/>
  </r>
  <r>
    <x v="6046"/>
    <x v="1"/>
    <x v="1"/>
    <x v="0"/>
    <s v="GTX Basic"/>
    <s v="Finhigh"/>
    <x v="2"/>
    <d v="2017-08-19T00:00:00"/>
    <x v="161"/>
    <n v="0"/>
  </r>
  <r>
    <x v="6047"/>
    <x v="1"/>
    <x v="1"/>
    <x v="0"/>
    <s v="MG Advanced"/>
    <s v="Dontechi"/>
    <x v="2"/>
    <d v="2017-08-19T00:00:00"/>
    <x v="135"/>
    <n v="0"/>
  </r>
  <r>
    <x v="6048"/>
    <x v="26"/>
    <x v="4"/>
    <x v="2"/>
    <s v="GTXPro"/>
    <s v="Kan-code"/>
    <x v="2"/>
    <d v="2017-08-19T00:00:00"/>
    <x v="210"/>
    <n v="0"/>
  </r>
  <r>
    <x v="6049"/>
    <x v="29"/>
    <x v="1"/>
    <x v="0"/>
    <s v="GTX Plus Basic"/>
    <s v="Funholding"/>
    <x v="0"/>
    <d v="2017-08-19T00:00:00"/>
    <x v="238"/>
    <n v="1148"/>
  </r>
  <r>
    <x v="6050"/>
    <x v="16"/>
    <x v="2"/>
    <x v="1"/>
    <s v="GTX Basic"/>
    <s v="Singletechno"/>
    <x v="2"/>
    <d v="2017-08-19T00:00:00"/>
    <x v="149"/>
    <n v="0"/>
  </r>
  <r>
    <x v="6051"/>
    <x v="18"/>
    <x v="2"/>
    <x v="1"/>
    <s v="GTX Basic"/>
    <s v="J-Texon"/>
    <x v="2"/>
    <d v="2017-08-19T00:00:00"/>
    <x v="146"/>
    <n v="0"/>
  </r>
  <r>
    <x v="6052"/>
    <x v="18"/>
    <x v="2"/>
    <x v="1"/>
    <s v="GTX Plus Basic"/>
    <s v="Groovestreet"/>
    <x v="2"/>
    <d v="2017-08-19T00:00:00"/>
    <x v="244"/>
    <n v="0"/>
  </r>
  <r>
    <x v="6053"/>
    <x v="18"/>
    <x v="2"/>
    <x v="1"/>
    <s v="GTXPro"/>
    <s v="Hottechi"/>
    <x v="0"/>
    <d v="2017-08-19T00:00:00"/>
    <x v="266"/>
    <n v="4009"/>
  </r>
  <r>
    <x v="6054"/>
    <x v="24"/>
    <x v="0"/>
    <x v="0"/>
    <s v="MG Advanced"/>
    <s v="Rangreen"/>
    <x v="0"/>
    <d v="2017-08-19T00:00:00"/>
    <x v="199"/>
    <n v="3024"/>
  </r>
  <r>
    <x v="6055"/>
    <x v="9"/>
    <x v="2"/>
    <x v="1"/>
    <s v="GTX Plus Basic"/>
    <s v="Kan-code"/>
    <x v="1"/>
    <d v="2017-08-19T00:00:00"/>
    <x v="6"/>
    <m/>
  </r>
  <r>
    <x v="6056"/>
    <x v="0"/>
    <x v="0"/>
    <x v="0"/>
    <s v="MG Advanced"/>
    <s v="Funholding"/>
    <x v="2"/>
    <d v="2017-08-19T00:00:00"/>
    <x v="228"/>
    <n v="0"/>
  </r>
  <r>
    <x v="6057"/>
    <x v="17"/>
    <x v="5"/>
    <x v="2"/>
    <s v="MG Special"/>
    <s v="Xx-zobam"/>
    <x v="2"/>
    <d v="2017-08-19T00:00:00"/>
    <x v="210"/>
    <n v="0"/>
  </r>
  <r>
    <x v="6058"/>
    <x v="4"/>
    <x v="3"/>
    <x v="1"/>
    <s v="GTXPro"/>
    <s v="Doncon"/>
    <x v="0"/>
    <d v="2017-08-19T00:00:00"/>
    <x v="237"/>
    <n v="5058"/>
  </r>
  <r>
    <x v="6059"/>
    <x v="2"/>
    <x v="2"/>
    <x v="1"/>
    <s v="GTX Basic"/>
    <s v="Cheers"/>
    <x v="2"/>
    <d v="2017-08-19T00:00:00"/>
    <x v="256"/>
    <n v="0"/>
  </r>
  <r>
    <x v="6060"/>
    <x v="25"/>
    <x v="4"/>
    <x v="2"/>
    <s v="GTXPro"/>
    <s v="Ontomedia"/>
    <x v="2"/>
    <d v="2017-08-20T00:00:00"/>
    <x v="145"/>
    <n v="0"/>
  </r>
  <r>
    <x v="6061"/>
    <x v="23"/>
    <x v="4"/>
    <x v="2"/>
    <s v="GTX Basic"/>
    <s v="Bluth Company"/>
    <x v="0"/>
    <d v="2017-08-20T00:00:00"/>
    <x v="171"/>
    <n v="566"/>
  </r>
  <r>
    <x v="6062"/>
    <x v="23"/>
    <x v="4"/>
    <x v="2"/>
    <s v="GTX Basic"/>
    <s v="Donquadtech"/>
    <x v="0"/>
    <d v="2017-08-20T00:00:00"/>
    <x v="199"/>
    <n v="578"/>
  </r>
  <r>
    <x v="6063"/>
    <x v="1"/>
    <x v="1"/>
    <x v="0"/>
    <s v="GTX Basic"/>
    <s v="Toughzap"/>
    <x v="0"/>
    <d v="2017-08-20T00:00:00"/>
    <x v="155"/>
    <n v="620"/>
  </r>
  <r>
    <x v="6064"/>
    <x v="1"/>
    <x v="1"/>
    <x v="0"/>
    <s v="GTXPro"/>
    <s v="Finhigh"/>
    <x v="0"/>
    <d v="2017-08-20T00:00:00"/>
    <x v="142"/>
    <n v="4310"/>
  </r>
  <r>
    <x v="6065"/>
    <x v="10"/>
    <x v="3"/>
    <x v="1"/>
    <s v="MG Advanced"/>
    <s v="Scotfind"/>
    <x v="0"/>
    <d v="2017-08-20T00:00:00"/>
    <x v="134"/>
    <n v="3448"/>
  </r>
  <r>
    <x v="6066"/>
    <x v="7"/>
    <x v="2"/>
    <x v="1"/>
    <s v="GTX Basic"/>
    <s v="Hatfan"/>
    <x v="2"/>
    <d v="2017-08-20T00:00:00"/>
    <x v="260"/>
    <n v="0"/>
  </r>
  <r>
    <x v="6067"/>
    <x v="16"/>
    <x v="2"/>
    <x v="1"/>
    <s v="MG Advanced"/>
    <s v="Xx-holding"/>
    <x v="0"/>
    <d v="2017-08-20T00:00:00"/>
    <x v="232"/>
    <n v="3517"/>
  </r>
  <r>
    <x v="6068"/>
    <x v="18"/>
    <x v="2"/>
    <x v="1"/>
    <s v="GTX Basic"/>
    <m/>
    <x v="1"/>
    <d v="2017-08-20T00:00:00"/>
    <x v="6"/>
    <m/>
  </r>
  <r>
    <x v="6069"/>
    <x v="18"/>
    <x v="2"/>
    <x v="1"/>
    <s v="GTX Plus Basic"/>
    <s v="Labdrill"/>
    <x v="1"/>
    <d v="2017-08-20T00:00:00"/>
    <x v="6"/>
    <m/>
  </r>
  <r>
    <x v="6070"/>
    <x v="9"/>
    <x v="2"/>
    <x v="1"/>
    <s v="GTXPro"/>
    <m/>
    <x v="1"/>
    <d v="2017-08-20T00:00:00"/>
    <x v="6"/>
    <m/>
  </r>
  <r>
    <x v="6071"/>
    <x v="9"/>
    <x v="2"/>
    <x v="1"/>
    <s v="GTXPro"/>
    <s v="Kan-code"/>
    <x v="0"/>
    <d v="2017-08-20T00:00:00"/>
    <x v="267"/>
    <n v="3854"/>
  </r>
  <r>
    <x v="6072"/>
    <x v="0"/>
    <x v="0"/>
    <x v="0"/>
    <s v="MG Advanced"/>
    <s v="Stanredtax"/>
    <x v="0"/>
    <d v="2017-08-20T00:00:00"/>
    <x v="268"/>
    <n v="3894"/>
  </r>
  <r>
    <x v="6073"/>
    <x v="4"/>
    <x v="3"/>
    <x v="1"/>
    <s v="MG Special"/>
    <s v="Mathtouch"/>
    <x v="1"/>
    <d v="2017-08-20T00:00:00"/>
    <x v="6"/>
    <m/>
  </r>
  <r>
    <x v="6074"/>
    <x v="4"/>
    <x v="3"/>
    <x v="1"/>
    <s v="MG Advanced"/>
    <s v="Rantouch"/>
    <x v="0"/>
    <d v="2017-08-20T00:00:00"/>
    <x v="255"/>
    <n v="2833"/>
  </r>
  <r>
    <x v="6075"/>
    <x v="15"/>
    <x v="5"/>
    <x v="2"/>
    <s v="MG Advanced"/>
    <s v="Vehement Capital Partners"/>
    <x v="2"/>
    <d v="2017-08-20T00:00:00"/>
    <x v="144"/>
    <n v="0"/>
  </r>
  <r>
    <x v="6076"/>
    <x v="3"/>
    <x v="0"/>
    <x v="0"/>
    <s v="MG Special"/>
    <s v="Domzoom"/>
    <x v="0"/>
    <d v="2017-08-21T00:00:00"/>
    <x v="197"/>
    <n v="54"/>
  </r>
  <r>
    <x v="6077"/>
    <x v="25"/>
    <x v="4"/>
    <x v="2"/>
    <s v="GTX Plus Basic"/>
    <s v="Condax"/>
    <x v="1"/>
    <d v="2017-08-21T00:00:00"/>
    <x v="6"/>
    <m/>
  </r>
  <r>
    <x v="6078"/>
    <x v="1"/>
    <x v="1"/>
    <x v="0"/>
    <s v="GTX Plus Basic"/>
    <s v="Codehow"/>
    <x v="2"/>
    <d v="2017-08-21T00:00:00"/>
    <x v="237"/>
    <n v="0"/>
  </r>
  <r>
    <x v="6079"/>
    <x v="1"/>
    <x v="1"/>
    <x v="0"/>
    <s v="GTX Basic"/>
    <s v="Funholding"/>
    <x v="0"/>
    <d v="2017-08-21T00:00:00"/>
    <x v="231"/>
    <n v="509"/>
  </r>
  <r>
    <x v="6080"/>
    <x v="8"/>
    <x v="1"/>
    <x v="0"/>
    <s v="MG Advanced"/>
    <s v="Treequote"/>
    <x v="0"/>
    <d v="2017-08-21T00:00:00"/>
    <x v="258"/>
    <n v="3436"/>
  </r>
  <r>
    <x v="6081"/>
    <x v="10"/>
    <x v="3"/>
    <x v="1"/>
    <s v="MG Advanced"/>
    <s v="Plusstrip"/>
    <x v="0"/>
    <d v="2017-08-21T00:00:00"/>
    <x v="237"/>
    <n v="3514"/>
  </r>
  <r>
    <x v="6082"/>
    <x v="29"/>
    <x v="1"/>
    <x v="0"/>
    <s v="GTX Basic"/>
    <s v="Rangreen"/>
    <x v="0"/>
    <d v="2017-08-21T00:00:00"/>
    <x v="265"/>
    <n v="611"/>
  </r>
  <r>
    <x v="6083"/>
    <x v="16"/>
    <x v="2"/>
    <x v="1"/>
    <s v="GTX Plus Basic"/>
    <m/>
    <x v="1"/>
    <d v="2017-08-21T00:00:00"/>
    <x v="6"/>
    <m/>
  </r>
  <r>
    <x v="6084"/>
    <x v="18"/>
    <x v="2"/>
    <x v="1"/>
    <s v="MG Special"/>
    <s v="Doncon"/>
    <x v="0"/>
    <d v="2017-08-21T00:00:00"/>
    <x v="227"/>
    <n v="58"/>
  </r>
  <r>
    <x v="6085"/>
    <x v="24"/>
    <x v="0"/>
    <x v="0"/>
    <s v="MG Advanced"/>
    <s v="Finhigh"/>
    <x v="2"/>
    <d v="2017-08-21T00:00:00"/>
    <x v="221"/>
    <n v="0"/>
  </r>
  <r>
    <x v="6086"/>
    <x v="24"/>
    <x v="0"/>
    <x v="0"/>
    <s v="GTX Basic"/>
    <s v="Streethex"/>
    <x v="0"/>
    <d v="2017-08-21T00:00:00"/>
    <x v="254"/>
    <n v="513"/>
  </r>
  <r>
    <x v="6087"/>
    <x v="5"/>
    <x v="3"/>
    <x v="1"/>
    <s v="MG Special"/>
    <m/>
    <x v="1"/>
    <d v="2017-08-21T00:00:00"/>
    <x v="6"/>
    <m/>
  </r>
  <r>
    <x v="6088"/>
    <x v="5"/>
    <x v="3"/>
    <x v="1"/>
    <s v="GTX Plus Basic"/>
    <s v="Newex"/>
    <x v="2"/>
    <d v="2017-08-21T00:00:00"/>
    <x v="175"/>
    <n v="0"/>
  </r>
  <r>
    <x v="6089"/>
    <x v="0"/>
    <x v="0"/>
    <x v="0"/>
    <s v="GTX Plus Basic"/>
    <s v="Codehow"/>
    <x v="2"/>
    <d v="2017-08-21T00:00:00"/>
    <x v="197"/>
    <n v="0"/>
  </r>
  <r>
    <x v="6090"/>
    <x v="11"/>
    <x v="3"/>
    <x v="1"/>
    <s v="MG Special"/>
    <s v="Xx-holding"/>
    <x v="1"/>
    <d v="2017-08-21T00:00:00"/>
    <x v="6"/>
    <m/>
  </r>
  <r>
    <x v="6091"/>
    <x v="12"/>
    <x v="0"/>
    <x v="0"/>
    <s v="MG Special"/>
    <s v="Treequote"/>
    <x v="0"/>
    <d v="2017-08-21T00:00:00"/>
    <x v="166"/>
    <n v="54"/>
  </r>
  <r>
    <x v="6092"/>
    <x v="4"/>
    <x v="3"/>
    <x v="1"/>
    <s v="MG Special"/>
    <m/>
    <x v="1"/>
    <d v="2017-08-21T00:00:00"/>
    <x v="6"/>
    <m/>
  </r>
  <r>
    <x v="6093"/>
    <x v="4"/>
    <x v="3"/>
    <x v="1"/>
    <s v="GTX Basic"/>
    <s v="Nam-zim"/>
    <x v="0"/>
    <d v="2017-08-21T00:00:00"/>
    <x v="269"/>
    <n v="547"/>
  </r>
  <r>
    <x v="6094"/>
    <x v="15"/>
    <x v="5"/>
    <x v="2"/>
    <s v="MG Advanced"/>
    <s v="Yearin"/>
    <x v="2"/>
    <d v="2017-08-21T00:00:00"/>
    <x v="250"/>
    <n v="0"/>
  </r>
  <r>
    <x v="6095"/>
    <x v="15"/>
    <x v="5"/>
    <x v="2"/>
    <s v="GTX Basic"/>
    <s v="Ganjaflex"/>
    <x v="0"/>
    <d v="2017-08-21T00:00:00"/>
    <x v="135"/>
    <n v="592"/>
  </r>
  <r>
    <x v="6096"/>
    <x v="20"/>
    <x v="5"/>
    <x v="2"/>
    <s v="MG Advanced"/>
    <s v="The New York Inquirer"/>
    <x v="2"/>
    <d v="2017-08-21T00:00:00"/>
    <x v="263"/>
    <n v="0"/>
  </r>
  <r>
    <x v="6097"/>
    <x v="23"/>
    <x v="4"/>
    <x v="2"/>
    <s v="MG Advanced"/>
    <m/>
    <x v="1"/>
    <d v="2017-08-22T00:00:00"/>
    <x v="6"/>
    <m/>
  </r>
  <r>
    <x v="6098"/>
    <x v="23"/>
    <x v="4"/>
    <x v="2"/>
    <s v="MG Advanced"/>
    <s v="Ganjaflex"/>
    <x v="2"/>
    <d v="2017-08-22T00:00:00"/>
    <x v="252"/>
    <n v="0"/>
  </r>
  <r>
    <x v="6099"/>
    <x v="27"/>
    <x v="5"/>
    <x v="2"/>
    <s v="GTX Plus Pro"/>
    <s v="The New York Inquirer"/>
    <x v="0"/>
    <d v="2017-08-22T00:00:00"/>
    <x v="205"/>
    <n v="5529"/>
  </r>
  <r>
    <x v="6100"/>
    <x v="27"/>
    <x v="5"/>
    <x v="2"/>
    <s v="GTXPro"/>
    <s v="Gekko &amp; Co"/>
    <x v="0"/>
    <d v="2017-08-22T00:00:00"/>
    <x v="145"/>
    <n v="5002"/>
  </r>
  <r>
    <x v="6101"/>
    <x v="26"/>
    <x v="4"/>
    <x v="2"/>
    <s v="GTX Basic"/>
    <s v="Umbrella Corporation"/>
    <x v="2"/>
    <d v="2017-08-22T00:00:00"/>
    <x v="139"/>
    <n v="0"/>
  </r>
  <r>
    <x v="6102"/>
    <x v="26"/>
    <x v="4"/>
    <x v="2"/>
    <s v="GTXPro"/>
    <s v="Zotware"/>
    <x v="2"/>
    <d v="2017-08-22T00:00:00"/>
    <x v="196"/>
    <n v="0"/>
  </r>
  <r>
    <x v="6103"/>
    <x v="7"/>
    <x v="2"/>
    <x v="1"/>
    <s v="GTX Basic"/>
    <s v="Green-Plus"/>
    <x v="0"/>
    <d v="2017-08-22T00:00:00"/>
    <x v="245"/>
    <n v="476"/>
  </r>
  <r>
    <x v="6104"/>
    <x v="5"/>
    <x v="3"/>
    <x v="1"/>
    <s v="MG Special"/>
    <s v="Dalttechnology"/>
    <x v="0"/>
    <d v="2017-08-22T00:00:00"/>
    <x v="229"/>
    <n v="56"/>
  </r>
  <r>
    <x v="6105"/>
    <x v="22"/>
    <x v="1"/>
    <x v="0"/>
    <s v="GTX Plus Pro"/>
    <s v="Isdom"/>
    <x v="2"/>
    <d v="2017-08-22T00:00:00"/>
    <x v="159"/>
    <n v="0"/>
  </r>
  <r>
    <x v="6106"/>
    <x v="9"/>
    <x v="2"/>
    <x v="1"/>
    <s v="GTX Plus Basic"/>
    <s v="Konex"/>
    <x v="2"/>
    <d v="2017-08-22T00:00:00"/>
    <x v="238"/>
    <n v="0"/>
  </r>
  <r>
    <x v="6107"/>
    <x v="9"/>
    <x v="2"/>
    <x v="1"/>
    <s v="GTX Basic"/>
    <s v="Singletechno"/>
    <x v="0"/>
    <d v="2017-08-22T00:00:00"/>
    <x v="262"/>
    <n v="601"/>
  </r>
  <r>
    <x v="6108"/>
    <x v="9"/>
    <x v="2"/>
    <x v="1"/>
    <s v="GTX Plus Basic"/>
    <s v="Doncon"/>
    <x v="0"/>
    <d v="2017-08-22T00:00:00"/>
    <x v="270"/>
    <n v="1005"/>
  </r>
  <r>
    <x v="6109"/>
    <x v="0"/>
    <x v="0"/>
    <x v="0"/>
    <s v="GTX Plus Pro"/>
    <s v="Warephase"/>
    <x v="0"/>
    <d v="2017-08-22T00:00:00"/>
    <x v="210"/>
    <n v="4731"/>
  </r>
  <r>
    <x v="6110"/>
    <x v="19"/>
    <x v="4"/>
    <x v="2"/>
    <s v="GTX Plus Pro"/>
    <s v="Bubba Gump"/>
    <x v="2"/>
    <d v="2017-08-22T00:00:00"/>
    <x v="234"/>
    <n v="0"/>
  </r>
  <r>
    <x v="6111"/>
    <x v="19"/>
    <x v="4"/>
    <x v="2"/>
    <s v="GTXPro"/>
    <s v="Ganjaflex"/>
    <x v="0"/>
    <d v="2017-08-22T00:00:00"/>
    <x v="145"/>
    <n v="4649"/>
  </r>
  <r>
    <x v="6112"/>
    <x v="17"/>
    <x v="5"/>
    <x v="2"/>
    <s v="GTXPro"/>
    <s v="Umbrella Corporation"/>
    <x v="0"/>
    <d v="2017-08-22T00:00:00"/>
    <x v="139"/>
    <n v="4787"/>
  </r>
  <r>
    <x v="6113"/>
    <x v="20"/>
    <x v="5"/>
    <x v="2"/>
    <s v="MG Advanced"/>
    <m/>
    <x v="1"/>
    <d v="2017-08-22T00:00:00"/>
    <x v="6"/>
    <m/>
  </r>
  <r>
    <x v="6114"/>
    <x v="20"/>
    <x v="5"/>
    <x v="2"/>
    <s v="MG Advanced"/>
    <s v="The New York Inquirer"/>
    <x v="0"/>
    <d v="2017-08-22T00:00:00"/>
    <x v="255"/>
    <n v="2994"/>
  </r>
  <r>
    <x v="6115"/>
    <x v="2"/>
    <x v="2"/>
    <x v="1"/>
    <s v="GTX Plus Basic"/>
    <m/>
    <x v="1"/>
    <d v="2017-08-22T00:00:00"/>
    <x v="6"/>
    <m/>
  </r>
  <r>
    <x v="6116"/>
    <x v="2"/>
    <x v="2"/>
    <x v="1"/>
    <s v="GTXPro"/>
    <m/>
    <x v="1"/>
    <d v="2017-08-22T00:00:00"/>
    <x v="6"/>
    <m/>
  </r>
  <r>
    <x v="6117"/>
    <x v="3"/>
    <x v="0"/>
    <x v="0"/>
    <s v="MG Advanced"/>
    <s v="Funholding"/>
    <x v="2"/>
    <d v="2017-08-23T00:00:00"/>
    <x v="227"/>
    <n v="0"/>
  </r>
  <r>
    <x v="6118"/>
    <x v="3"/>
    <x v="0"/>
    <x v="0"/>
    <s v="MG Special"/>
    <s v="Condax"/>
    <x v="0"/>
    <d v="2017-08-23T00:00:00"/>
    <x v="226"/>
    <n v="58"/>
  </r>
  <r>
    <x v="6119"/>
    <x v="25"/>
    <x v="4"/>
    <x v="2"/>
    <s v="MG Advanced"/>
    <m/>
    <x v="1"/>
    <d v="2017-08-23T00:00:00"/>
    <x v="6"/>
    <m/>
  </r>
  <r>
    <x v="6120"/>
    <x v="28"/>
    <x v="0"/>
    <x v="0"/>
    <s v="GTX Plus Basic"/>
    <s v="Betatech"/>
    <x v="0"/>
    <d v="2017-08-23T00:00:00"/>
    <x v="220"/>
    <n v="1074"/>
  </r>
  <r>
    <x v="6121"/>
    <x v="28"/>
    <x v="0"/>
    <x v="0"/>
    <s v="MG Special"/>
    <s v="Isdom"/>
    <x v="0"/>
    <d v="2017-08-23T00:00:00"/>
    <x v="135"/>
    <n v="54"/>
  </r>
  <r>
    <x v="6122"/>
    <x v="13"/>
    <x v="4"/>
    <x v="2"/>
    <s v="GTXPro"/>
    <m/>
    <x v="1"/>
    <d v="2017-08-23T00:00:00"/>
    <x v="6"/>
    <m/>
  </r>
  <r>
    <x v="6123"/>
    <x v="13"/>
    <x v="4"/>
    <x v="2"/>
    <s v="GTX Basic"/>
    <s v="Ganjaflex"/>
    <x v="2"/>
    <d v="2017-08-23T00:00:00"/>
    <x v="196"/>
    <n v="0"/>
  </r>
  <r>
    <x v="6124"/>
    <x v="13"/>
    <x v="4"/>
    <x v="2"/>
    <s v="GTX Plus Basic"/>
    <s v="Ganjaflex"/>
    <x v="0"/>
    <d v="2017-08-23T00:00:00"/>
    <x v="259"/>
    <n v="1054"/>
  </r>
  <r>
    <x v="6125"/>
    <x v="1"/>
    <x v="1"/>
    <x v="0"/>
    <s v="GTXPro"/>
    <s v="Betatech"/>
    <x v="0"/>
    <d v="2017-08-23T00:00:00"/>
    <x v="226"/>
    <n v="4833"/>
  </r>
  <r>
    <x v="6126"/>
    <x v="1"/>
    <x v="1"/>
    <x v="0"/>
    <s v="GTXPro"/>
    <s v="Dontechi"/>
    <x v="0"/>
    <d v="2017-08-23T00:00:00"/>
    <x v="245"/>
    <n v="4744"/>
  </r>
  <r>
    <x v="6127"/>
    <x v="21"/>
    <x v="5"/>
    <x v="2"/>
    <s v="MG Advanced"/>
    <s v="Plussunin"/>
    <x v="2"/>
    <d v="2017-08-23T00:00:00"/>
    <x v="197"/>
    <n v="0"/>
  </r>
  <r>
    <x v="6128"/>
    <x v="7"/>
    <x v="2"/>
    <x v="1"/>
    <s v="GTX Basic"/>
    <s v="Labdrill"/>
    <x v="0"/>
    <d v="2017-08-23T00:00:00"/>
    <x v="246"/>
    <n v="508"/>
  </r>
  <r>
    <x v="6129"/>
    <x v="29"/>
    <x v="1"/>
    <x v="0"/>
    <s v="MG Special"/>
    <s v="Gogozoom"/>
    <x v="0"/>
    <d v="2017-08-23T00:00:00"/>
    <x v="232"/>
    <n v="57"/>
  </r>
  <r>
    <x v="6130"/>
    <x v="16"/>
    <x v="2"/>
    <x v="1"/>
    <s v="GTX Basic"/>
    <s v="Lexiqvolax"/>
    <x v="1"/>
    <d v="2017-08-23T00:00:00"/>
    <x v="6"/>
    <m/>
  </r>
  <r>
    <x v="6131"/>
    <x v="18"/>
    <x v="2"/>
    <x v="1"/>
    <s v="GTX Plus Basic"/>
    <s v="J-Texon"/>
    <x v="2"/>
    <d v="2017-08-23T00:00:00"/>
    <x v="160"/>
    <n v="0"/>
  </r>
  <r>
    <x v="6132"/>
    <x v="18"/>
    <x v="2"/>
    <x v="1"/>
    <s v="GTXPro"/>
    <s v="Scotfind"/>
    <x v="0"/>
    <d v="2017-08-23T00:00:00"/>
    <x v="225"/>
    <n v="5280"/>
  </r>
  <r>
    <x v="6133"/>
    <x v="18"/>
    <x v="2"/>
    <x v="1"/>
    <s v="MG Special"/>
    <s v="Sunnamplex"/>
    <x v="0"/>
    <d v="2017-08-23T00:00:00"/>
    <x v="149"/>
    <n v="62"/>
  </r>
  <r>
    <x v="6134"/>
    <x v="24"/>
    <x v="0"/>
    <x v="0"/>
    <s v="MG Advanced"/>
    <s v="Hottechi"/>
    <x v="2"/>
    <d v="2017-08-23T00:00:00"/>
    <x v="233"/>
    <n v="0"/>
  </r>
  <r>
    <x v="6135"/>
    <x v="24"/>
    <x v="0"/>
    <x v="0"/>
    <s v="GTX Basic"/>
    <s v="Inity"/>
    <x v="0"/>
    <d v="2017-08-23T00:00:00"/>
    <x v="235"/>
    <n v="528"/>
  </r>
  <r>
    <x v="6136"/>
    <x v="9"/>
    <x v="2"/>
    <x v="1"/>
    <s v="GTX Plus Basic"/>
    <s v="Labdrill"/>
    <x v="0"/>
    <d v="2017-08-23T00:00:00"/>
    <x v="151"/>
    <n v="993"/>
  </r>
  <r>
    <x v="6137"/>
    <x v="9"/>
    <x v="2"/>
    <x v="1"/>
    <s v="GTX Plus Basic"/>
    <s v="Y-corporation"/>
    <x v="0"/>
    <d v="2017-08-23T00:00:00"/>
    <x v="154"/>
    <n v="1121"/>
  </r>
  <r>
    <x v="6138"/>
    <x v="9"/>
    <x v="2"/>
    <x v="1"/>
    <s v="GTX Plus Pro"/>
    <s v="Faxquote"/>
    <x v="0"/>
    <d v="2017-08-23T00:00:00"/>
    <x v="259"/>
    <n v="5110"/>
  </r>
  <r>
    <x v="6139"/>
    <x v="0"/>
    <x v="0"/>
    <x v="0"/>
    <s v="MG Special"/>
    <s v="Conecom"/>
    <x v="0"/>
    <d v="2017-08-23T00:00:00"/>
    <x v="254"/>
    <n v="51"/>
  </r>
  <r>
    <x v="6140"/>
    <x v="6"/>
    <x v="1"/>
    <x v="0"/>
    <s v="GTX Basic"/>
    <s v="Isdom"/>
    <x v="2"/>
    <d v="2017-08-23T00:00:00"/>
    <x v="157"/>
    <n v="0"/>
  </r>
  <r>
    <x v="6141"/>
    <x v="17"/>
    <x v="5"/>
    <x v="2"/>
    <s v="GTX Plus Pro"/>
    <s v="Kan-code"/>
    <x v="2"/>
    <d v="2017-08-23T00:00:00"/>
    <x v="271"/>
    <n v="0"/>
  </r>
  <r>
    <x v="6142"/>
    <x v="17"/>
    <x v="5"/>
    <x v="2"/>
    <s v="MG Advanced"/>
    <s v="Silis"/>
    <x v="2"/>
    <d v="2017-08-23T00:00:00"/>
    <x v="260"/>
    <n v="0"/>
  </r>
  <r>
    <x v="6143"/>
    <x v="12"/>
    <x v="0"/>
    <x v="0"/>
    <s v="MG Special"/>
    <s v="Zumgoity"/>
    <x v="2"/>
    <d v="2017-08-23T00:00:00"/>
    <x v="157"/>
    <n v="0"/>
  </r>
  <r>
    <x v="6144"/>
    <x v="4"/>
    <x v="3"/>
    <x v="1"/>
    <s v="GTX Basic"/>
    <m/>
    <x v="1"/>
    <d v="2017-08-23T00:00:00"/>
    <x v="6"/>
    <m/>
  </r>
  <r>
    <x v="6145"/>
    <x v="4"/>
    <x v="3"/>
    <x v="1"/>
    <s v="MG Special"/>
    <s v="Isdom"/>
    <x v="1"/>
    <d v="2017-08-23T00:00:00"/>
    <x v="6"/>
    <m/>
  </r>
  <r>
    <x v="6146"/>
    <x v="15"/>
    <x v="5"/>
    <x v="2"/>
    <s v="GTXPro"/>
    <m/>
    <x v="1"/>
    <d v="2017-08-23T00:00:00"/>
    <x v="6"/>
    <m/>
  </r>
  <r>
    <x v="6147"/>
    <x v="15"/>
    <x v="5"/>
    <x v="2"/>
    <s v="GTX Basic"/>
    <s v="Ganjaflex"/>
    <x v="0"/>
    <d v="2017-08-23T00:00:00"/>
    <x v="250"/>
    <n v="542"/>
  </r>
  <r>
    <x v="6148"/>
    <x v="15"/>
    <x v="5"/>
    <x v="2"/>
    <s v="GTX Basic"/>
    <s v="Yearin"/>
    <x v="0"/>
    <d v="2017-08-23T00:00:00"/>
    <x v="261"/>
    <n v="576"/>
  </r>
  <r>
    <x v="6149"/>
    <x v="20"/>
    <x v="5"/>
    <x v="2"/>
    <s v="GTX Plus Pro"/>
    <s v="Donquadtech"/>
    <x v="2"/>
    <d v="2017-08-23T00:00:00"/>
    <x v="159"/>
    <n v="0"/>
  </r>
  <r>
    <x v="6150"/>
    <x v="23"/>
    <x v="4"/>
    <x v="2"/>
    <s v="GTXPro"/>
    <m/>
    <x v="1"/>
    <d v="2017-08-24T00:00:00"/>
    <x v="6"/>
    <m/>
  </r>
  <r>
    <x v="6151"/>
    <x v="13"/>
    <x v="4"/>
    <x v="2"/>
    <s v="GTX Plus Basic"/>
    <s v="Stanredtax"/>
    <x v="1"/>
    <d v="2017-08-24T00:00:00"/>
    <x v="6"/>
    <m/>
  </r>
  <r>
    <x v="6152"/>
    <x v="13"/>
    <x v="4"/>
    <x v="2"/>
    <s v="GTX Plus Pro"/>
    <m/>
    <x v="1"/>
    <d v="2017-08-24T00:00:00"/>
    <x v="6"/>
    <m/>
  </r>
  <r>
    <x v="6153"/>
    <x v="26"/>
    <x v="4"/>
    <x v="2"/>
    <s v="GTXPro"/>
    <s v="Zotware"/>
    <x v="2"/>
    <d v="2017-08-24T00:00:00"/>
    <x v="260"/>
    <n v="0"/>
  </r>
  <r>
    <x v="6154"/>
    <x v="7"/>
    <x v="2"/>
    <x v="1"/>
    <s v="GTX Basic"/>
    <s v="Zoomit"/>
    <x v="2"/>
    <d v="2017-08-24T00:00:00"/>
    <x v="266"/>
    <n v="0"/>
  </r>
  <r>
    <x v="6155"/>
    <x v="7"/>
    <x v="2"/>
    <x v="1"/>
    <s v="GTX Basic"/>
    <s v="Hottechi"/>
    <x v="0"/>
    <d v="2017-08-24T00:00:00"/>
    <x v="155"/>
    <n v="551"/>
  </r>
  <r>
    <x v="6156"/>
    <x v="16"/>
    <x v="2"/>
    <x v="1"/>
    <s v="GTXPro"/>
    <m/>
    <x v="1"/>
    <d v="2017-08-24T00:00:00"/>
    <x v="6"/>
    <m/>
  </r>
  <r>
    <x v="6157"/>
    <x v="16"/>
    <x v="2"/>
    <x v="1"/>
    <s v="GTX Basic"/>
    <s v="Singletechno"/>
    <x v="0"/>
    <d v="2017-08-24T00:00:00"/>
    <x v="154"/>
    <n v="597"/>
  </r>
  <r>
    <x v="6158"/>
    <x v="18"/>
    <x v="2"/>
    <x v="1"/>
    <s v="GTX Plus Basic"/>
    <s v="Lexiqvolax"/>
    <x v="0"/>
    <d v="2017-08-24T00:00:00"/>
    <x v="220"/>
    <n v="948"/>
  </r>
  <r>
    <x v="6159"/>
    <x v="18"/>
    <x v="2"/>
    <x v="1"/>
    <s v="MG Special"/>
    <s v="Zoomit"/>
    <x v="0"/>
    <d v="2017-08-24T00:00:00"/>
    <x v="248"/>
    <n v="62"/>
  </r>
  <r>
    <x v="6160"/>
    <x v="5"/>
    <x v="3"/>
    <x v="1"/>
    <s v="MG Advanced"/>
    <s v="Scotfind"/>
    <x v="0"/>
    <d v="2017-08-24T00:00:00"/>
    <x v="250"/>
    <n v="4139"/>
  </r>
  <r>
    <x v="6161"/>
    <x v="22"/>
    <x v="1"/>
    <x v="0"/>
    <s v="GTX Plus Pro"/>
    <s v="dambase"/>
    <x v="0"/>
    <d v="2017-08-24T00:00:00"/>
    <x v="197"/>
    <n v="6322"/>
  </r>
  <r>
    <x v="6162"/>
    <x v="9"/>
    <x v="2"/>
    <x v="1"/>
    <s v="GTX Basic"/>
    <s v="Konex"/>
    <x v="2"/>
    <d v="2017-08-24T00:00:00"/>
    <x v="159"/>
    <n v="0"/>
  </r>
  <r>
    <x v="6163"/>
    <x v="6"/>
    <x v="1"/>
    <x v="0"/>
    <s v="MG Special"/>
    <s v="Finhigh"/>
    <x v="2"/>
    <d v="2017-08-24T00:00:00"/>
    <x v="159"/>
    <n v="0"/>
  </r>
  <r>
    <x v="6164"/>
    <x v="19"/>
    <x v="4"/>
    <x v="2"/>
    <s v="GTX Plus Pro"/>
    <s v="Kan-code"/>
    <x v="0"/>
    <d v="2017-08-24T00:00:00"/>
    <x v="145"/>
    <n v="5415"/>
  </r>
  <r>
    <x v="6165"/>
    <x v="11"/>
    <x v="3"/>
    <x v="1"/>
    <s v="GTX Basic"/>
    <s v="Sonron"/>
    <x v="0"/>
    <d v="2017-08-24T00:00:00"/>
    <x v="221"/>
    <n v="432"/>
  </r>
  <r>
    <x v="6166"/>
    <x v="11"/>
    <x v="3"/>
    <x v="1"/>
    <s v="MG Special"/>
    <s v="Condax"/>
    <x v="0"/>
    <d v="2017-08-24T00:00:00"/>
    <x v="155"/>
    <n v="53"/>
  </r>
  <r>
    <x v="6167"/>
    <x v="12"/>
    <x v="0"/>
    <x v="0"/>
    <s v="MG Special"/>
    <s v="Rundofase"/>
    <x v="0"/>
    <d v="2017-08-24T00:00:00"/>
    <x v="142"/>
    <n v="57"/>
  </r>
  <r>
    <x v="6168"/>
    <x v="12"/>
    <x v="0"/>
    <x v="0"/>
    <s v="MG Special"/>
    <s v="Streethex"/>
    <x v="0"/>
    <d v="2017-08-24T00:00:00"/>
    <x v="257"/>
    <n v="56"/>
  </r>
  <r>
    <x v="6169"/>
    <x v="15"/>
    <x v="5"/>
    <x v="2"/>
    <s v="MG Special"/>
    <s v="Donware"/>
    <x v="0"/>
    <d v="2017-08-24T00:00:00"/>
    <x v="142"/>
    <n v="55"/>
  </r>
  <r>
    <x v="6170"/>
    <x v="15"/>
    <x v="5"/>
    <x v="2"/>
    <s v="MG Advanced"/>
    <s v="Acme Corporation"/>
    <x v="0"/>
    <d v="2017-08-24T00:00:00"/>
    <x v="149"/>
    <n v="3146"/>
  </r>
  <r>
    <x v="6171"/>
    <x v="2"/>
    <x v="2"/>
    <x v="1"/>
    <s v="GTX Basic"/>
    <m/>
    <x v="1"/>
    <d v="2017-08-24T00:00:00"/>
    <x v="6"/>
    <m/>
  </r>
  <r>
    <x v="6172"/>
    <x v="3"/>
    <x v="0"/>
    <x v="0"/>
    <s v="MG Special"/>
    <s v="Stanredtax"/>
    <x v="0"/>
    <d v="2017-08-25T00:00:00"/>
    <x v="197"/>
    <n v="67"/>
  </r>
  <r>
    <x v="6173"/>
    <x v="23"/>
    <x v="4"/>
    <x v="2"/>
    <s v="GTX Basic"/>
    <s v="Kan-code"/>
    <x v="2"/>
    <d v="2017-08-25T00:00:00"/>
    <x v="197"/>
    <n v="0"/>
  </r>
  <r>
    <x v="6174"/>
    <x v="23"/>
    <x v="4"/>
    <x v="2"/>
    <s v="MG Advanced"/>
    <s v="Ganjaflex"/>
    <x v="0"/>
    <d v="2017-08-25T00:00:00"/>
    <x v="240"/>
    <n v="2613"/>
  </r>
  <r>
    <x v="6175"/>
    <x v="27"/>
    <x v="5"/>
    <x v="2"/>
    <s v="GTX Plus Pro"/>
    <m/>
    <x v="1"/>
    <d v="2017-08-25T00:00:00"/>
    <x v="6"/>
    <m/>
  </r>
  <r>
    <x v="6176"/>
    <x v="27"/>
    <x v="5"/>
    <x v="2"/>
    <s v="GTX Plus Basic"/>
    <s v="Yearin"/>
    <x v="0"/>
    <d v="2017-08-25T00:00:00"/>
    <x v="199"/>
    <n v="977"/>
  </r>
  <r>
    <x v="6177"/>
    <x v="13"/>
    <x v="4"/>
    <x v="2"/>
    <s v="GTX Plus Basic"/>
    <s v="Scottech"/>
    <x v="1"/>
    <d v="2017-08-25T00:00:00"/>
    <x v="6"/>
    <m/>
  </r>
  <r>
    <x v="6178"/>
    <x v="13"/>
    <x v="4"/>
    <x v="2"/>
    <s v="MG Advanced"/>
    <s v="Bubba Gump"/>
    <x v="2"/>
    <d v="2017-08-25T00:00:00"/>
    <x v="256"/>
    <n v="0"/>
  </r>
  <r>
    <x v="6179"/>
    <x v="13"/>
    <x v="4"/>
    <x v="2"/>
    <s v="GTXPro"/>
    <s v="Gekko &amp; Co"/>
    <x v="0"/>
    <d v="2017-08-25T00:00:00"/>
    <x v="167"/>
    <n v="4445"/>
  </r>
  <r>
    <x v="6180"/>
    <x v="26"/>
    <x v="4"/>
    <x v="2"/>
    <s v="GTX Plus Basic"/>
    <s v="Donquadtech"/>
    <x v="2"/>
    <d v="2017-08-25T00:00:00"/>
    <x v="229"/>
    <n v="0"/>
  </r>
  <r>
    <x v="6181"/>
    <x v="21"/>
    <x v="5"/>
    <x v="2"/>
    <s v="MG Special"/>
    <s v="Zotware"/>
    <x v="0"/>
    <d v="2017-08-25T00:00:00"/>
    <x v="272"/>
    <n v="54"/>
  </r>
  <r>
    <x v="6182"/>
    <x v="10"/>
    <x v="3"/>
    <x v="1"/>
    <s v="MG Advanced"/>
    <s v="Labdrill"/>
    <x v="0"/>
    <d v="2017-08-25T00:00:00"/>
    <x v="238"/>
    <n v="3331"/>
  </r>
  <r>
    <x v="6183"/>
    <x v="29"/>
    <x v="1"/>
    <x v="0"/>
    <s v="GTX Basic"/>
    <s v="Dontechi"/>
    <x v="0"/>
    <d v="2017-08-25T00:00:00"/>
    <x v="157"/>
    <n v="474"/>
  </r>
  <r>
    <x v="6184"/>
    <x v="16"/>
    <x v="2"/>
    <x v="1"/>
    <s v="GTX Plus Basic"/>
    <s v="Blackzim"/>
    <x v="2"/>
    <d v="2017-08-25T00:00:00"/>
    <x v="159"/>
    <n v="0"/>
  </r>
  <r>
    <x v="6185"/>
    <x v="16"/>
    <x v="2"/>
    <x v="1"/>
    <s v="GTX Plus Basic"/>
    <s v="Condax"/>
    <x v="0"/>
    <d v="2017-08-25T00:00:00"/>
    <x v="220"/>
    <n v="994"/>
  </r>
  <r>
    <x v="6186"/>
    <x v="16"/>
    <x v="2"/>
    <x v="1"/>
    <s v="GTX Plus Pro"/>
    <s v="Singletechno"/>
    <x v="0"/>
    <d v="2017-08-25T00:00:00"/>
    <x v="230"/>
    <n v="4773"/>
  </r>
  <r>
    <x v="6187"/>
    <x v="24"/>
    <x v="0"/>
    <x v="0"/>
    <s v="MG Special"/>
    <s v="dambase"/>
    <x v="2"/>
    <d v="2017-08-25T00:00:00"/>
    <x v="256"/>
    <n v="0"/>
  </r>
  <r>
    <x v="6188"/>
    <x v="5"/>
    <x v="3"/>
    <x v="1"/>
    <s v="GTX Plus Basic"/>
    <m/>
    <x v="1"/>
    <d v="2017-08-25T00:00:00"/>
    <x v="6"/>
    <m/>
  </r>
  <r>
    <x v="6189"/>
    <x v="6"/>
    <x v="1"/>
    <x v="0"/>
    <s v="GTX Plus Basic"/>
    <s v="Stanredtax"/>
    <x v="2"/>
    <d v="2017-08-25T00:00:00"/>
    <x v="155"/>
    <n v="0"/>
  </r>
  <r>
    <x v="6190"/>
    <x v="6"/>
    <x v="1"/>
    <x v="0"/>
    <s v="MG Special"/>
    <s v="Rangreen"/>
    <x v="0"/>
    <d v="2017-08-25T00:00:00"/>
    <x v="241"/>
    <n v="63"/>
  </r>
  <r>
    <x v="6191"/>
    <x v="11"/>
    <x v="3"/>
    <x v="1"/>
    <s v="GTX Plus Pro"/>
    <s v="Hatfan"/>
    <x v="0"/>
    <d v="2017-08-25T00:00:00"/>
    <x v="160"/>
    <n v="6391"/>
  </r>
  <r>
    <x v="6192"/>
    <x v="17"/>
    <x v="5"/>
    <x v="2"/>
    <s v="MG Special"/>
    <s v="Donware"/>
    <x v="0"/>
    <d v="2017-08-25T00:00:00"/>
    <x v="273"/>
    <n v="58"/>
  </r>
  <r>
    <x v="6193"/>
    <x v="12"/>
    <x v="0"/>
    <x v="0"/>
    <s v="MG Special"/>
    <s v="Finhigh"/>
    <x v="0"/>
    <d v="2017-08-25T00:00:00"/>
    <x v="240"/>
    <n v="54"/>
  </r>
  <r>
    <x v="6194"/>
    <x v="4"/>
    <x v="3"/>
    <x v="1"/>
    <s v="GTX Plus Pro"/>
    <s v="Plexzap"/>
    <x v="2"/>
    <d v="2017-08-25T00:00:00"/>
    <x v="241"/>
    <n v="0"/>
  </r>
  <r>
    <x v="6195"/>
    <x v="4"/>
    <x v="3"/>
    <x v="1"/>
    <s v="GTX Plus Pro"/>
    <s v="Rantouch"/>
    <x v="0"/>
    <d v="2017-08-25T00:00:00"/>
    <x v="235"/>
    <n v="5129"/>
  </r>
  <r>
    <x v="6196"/>
    <x v="15"/>
    <x v="5"/>
    <x v="2"/>
    <s v="MG Special"/>
    <s v="Vehement Capital Partners"/>
    <x v="1"/>
    <d v="2017-08-25T00:00:00"/>
    <x v="6"/>
    <m/>
  </r>
  <r>
    <x v="6197"/>
    <x v="15"/>
    <x v="5"/>
    <x v="2"/>
    <s v="MG Advanced"/>
    <s v="Ganjaflex"/>
    <x v="2"/>
    <d v="2017-08-25T00:00:00"/>
    <x v="155"/>
    <n v="0"/>
  </r>
  <r>
    <x v="6198"/>
    <x v="2"/>
    <x v="2"/>
    <x v="1"/>
    <s v="GTX Plus Basic"/>
    <s v="Labdrill"/>
    <x v="1"/>
    <d v="2017-08-25T00:00:00"/>
    <x v="6"/>
    <m/>
  </r>
  <r>
    <x v="6199"/>
    <x v="2"/>
    <x v="2"/>
    <x v="1"/>
    <s v="GTXPro"/>
    <s v="Condax"/>
    <x v="1"/>
    <d v="2017-08-25T00:00:00"/>
    <x v="6"/>
    <m/>
  </r>
  <r>
    <x v="6200"/>
    <x v="2"/>
    <x v="2"/>
    <x v="1"/>
    <s v="GTX Basic"/>
    <s v="Hatfan"/>
    <x v="0"/>
    <d v="2017-08-25T00:00:00"/>
    <x v="232"/>
    <n v="454"/>
  </r>
  <r>
    <x v="6201"/>
    <x v="3"/>
    <x v="0"/>
    <x v="0"/>
    <s v="GTX Plus Pro"/>
    <s v="Bioholding"/>
    <x v="0"/>
    <d v="2017-08-26T00:00:00"/>
    <x v="199"/>
    <n v="6659"/>
  </r>
  <r>
    <x v="6202"/>
    <x v="23"/>
    <x v="4"/>
    <x v="2"/>
    <s v="GTX Basic"/>
    <s v="Bioplex"/>
    <x v="0"/>
    <d v="2017-08-26T00:00:00"/>
    <x v="166"/>
    <n v="572"/>
  </r>
  <r>
    <x v="6203"/>
    <x v="27"/>
    <x v="5"/>
    <x v="2"/>
    <s v="GTX Plus Basic"/>
    <s v="Bubba Gump"/>
    <x v="0"/>
    <d v="2017-08-26T00:00:00"/>
    <x v="232"/>
    <n v="1046"/>
  </r>
  <r>
    <x v="6204"/>
    <x v="13"/>
    <x v="4"/>
    <x v="2"/>
    <s v="GTX Plus Basic"/>
    <m/>
    <x v="1"/>
    <d v="2017-08-26T00:00:00"/>
    <x v="6"/>
    <m/>
  </r>
  <r>
    <x v="6205"/>
    <x v="26"/>
    <x v="4"/>
    <x v="2"/>
    <s v="MG Advanced"/>
    <s v="Gekko &amp; Co"/>
    <x v="0"/>
    <d v="2017-08-26T00:00:00"/>
    <x v="238"/>
    <n v="3281"/>
  </r>
  <r>
    <x v="6206"/>
    <x v="8"/>
    <x v="1"/>
    <x v="0"/>
    <s v="MG Special"/>
    <s v="Statholdings"/>
    <x v="2"/>
    <d v="2017-08-26T00:00:00"/>
    <x v="157"/>
    <n v="0"/>
  </r>
  <r>
    <x v="6207"/>
    <x v="10"/>
    <x v="3"/>
    <x v="1"/>
    <s v="MG Advanced"/>
    <s v="Singletechno"/>
    <x v="0"/>
    <d v="2017-08-26T00:00:00"/>
    <x v="154"/>
    <n v="3462"/>
  </r>
  <r>
    <x v="6208"/>
    <x v="7"/>
    <x v="2"/>
    <x v="1"/>
    <s v="GTX Plus Pro"/>
    <s v="Scotfind"/>
    <x v="0"/>
    <d v="2017-08-26T00:00:00"/>
    <x v="144"/>
    <n v="6029"/>
  </r>
  <r>
    <x v="6209"/>
    <x v="16"/>
    <x v="2"/>
    <x v="1"/>
    <s v="GTX Plus Pro"/>
    <s v="Labdrill"/>
    <x v="1"/>
    <d v="2017-08-26T00:00:00"/>
    <x v="6"/>
    <m/>
  </r>
  <r>
    <x v="6210"/>
    <x v="16"/>
    <x v="2"/>
    <x v="1"/>
    <s v="GTX Basic"/>
    <s v="Finjob"/>
    <x v="0"/>
    <d v="2017-08-26T00:00:00"/>
    <x v="240"/>
    <n v="566"/>
  </r>
  <r>
    <x v="6211"/>
    <x v="18"/>
    <x v="2"/>
    <x v="1"/>
    <s v="GTXPro"/>
    <s v="Fasehatice"/>
    <x v="2"/>
    <d v="2017-08-26T00:00:00"/>
    <x v="227"/>
    <n v="0"/>
  </r>
  <r>
    <x v="6212"/>
    <x v="0"/>
    <x v="0"/>
    <x v="0"/>
    <s v="MG Special"/>
    <s v="Scottech"/>
    <x v="2"/>
    <d v="2017-08-26T00:00:00"/>
    <x v="231"/>
    <n v="0"/>
  </r>
  <r>
    <x v="6213"/>
    <x v="0"/>
    <x v="0"/>
    <x v="0"/>
    <s v="GTX Plus Basic"/>
    <s v="Isdom"/>
    <x v="0"/>
    <d v="2017-08-26T00:00:00"/>
    <x v="220"/>
    <n v="1042"/>
  </r>
  <r>
    <x v="6214"/>
    <x v="19"/>
    <x v="4"/>
    <x v="2"/>
    <s v="GTX Basic"/>
    <s v="Betasoloin"/>
    <x v="0"/>
    <d v="2017-08-26T00:00:00"/>
    <x v="233"/>
    <n v="539"/>
  </r>
  <r>
    <x v="6215"/>
    <x v="11"/>
    <x v="3"/>
    <x v="1"/>
    <s v="MG Special"/>
    <m/>
    <x v="1"/>
    <d v="2017-08-26T00:00:00"/>
    <x v="6"/>
    <m/>
  </r>
  <r>
    <x v="6216"/>
    <x v="11"/>
    <x v="3"/>
    <x v="1"/>
    <s v="MG Special"/>
    <s v="Kan-code"/>
    <x v="0"/>
    <d v="2017-08-26T00:00:00"/>
    <x v="264"/>
    <n v="56"/>
  </r>
  <r>
    <x v="6217"/>
    <x v="12"/>
    <x v="0"/>
    <x v="0"/>
    <s v="MG Special"/>
    <s v="Gogozoom"/>
    <x v="0"/>
    <d v="2017-08-26T00:00:00"/>
    <x v="260"/>
    <n v="60"/>
  </r>
  <r>
    <x v="6218"/>
    <x v="4"/>
    <x v="3"/>
    <x v="1"/>
    <s v="MG Special"/>
    <s v="Scotfind"/>
    <x v="2"/>
    <d v="2017-08-26T00:00:00"/>
    <x v="151"/>
    <n v="0"/>
  </r>
  <r>
    <x v="6219"/>
    <x v="4"/>
    <x v="3"/>
    <x v="1"/>
    <s v="MG Advanced"/>
    <s v="Sunnamplex"/>
    <x v="0"/>
    <d v="2017-08-26T00:00:00"/>
    <x v="217"/>
    <n v="3966"/>
  </r>
  <r>
    <x v="6220"/>
    <x v="15"/>
    <x v="5"/>
    <x v="2"/>
    <s v="MG Special"/>
    <s v="Bluth Company"/>
    <x v="2"/>
    <d v="2017-08-26T00:00:00"/>
    <x v="151"/>
    <n v="0"/>
  </r>
  <r>
    <x v="6221"/>
    <x v="20"/>
    <x v="5"/>
    <x v="2"/>
    <s v="GTX Basic"/>
    <s v="Umbrella Corporation"/>
    <x v="0"/>
    <d v="2017-08-26T00:00:00"/>
    <x v="230"/>
    <n v="471"/>
  </r>
  <r>
    <x v="6222"/>
    <x v="2"/>
    <x v="2"/>
    <x v="1"/>
    <s v="GTXPro"/>
    <m/>
    <x v="1"/>
    <d v="2017-08-26T00:00:00"/>
    <x v="6"/>
    <m/>
  </r>
  <r>
    <x v="6223"/>
    <x v="3"/>
    <x v="0"/>
    <x v="0"/>
    <s v="GTX Basic"/>
    <s v="Cancity"/>
    <x v="0"/>
    <d v="2017-08-27T00:00:00"/>
    <x v="157"/>
    <n v="597"/>
  </r>
  <r>
    <x v="6224"/>
    <x v="3"/>
    <x v="0"/>
    <x v="0"/>
    <s v="MG Special"/>
    <s v="Condax"/>
    <x v="0"/>
    <d v="2017-08-27T00:00:00"/>
    <x v="226"/>
    <n v="53"/>
  </r>
  <r>
    <x v="6225"/>
    <x v="3"/>
    <x v="0"/>
    <x v="0"/>
    <s v="MG Special"/>
    <s v="Dontechi"/>
    <x v="0"/>
    <d v="2017-08-27T00:00:00"/>
    <x v="160"/>
    <n v="59"/>
  </r>
  <r>
    <x v="6226"/>
    <x v="23"/>
    <x v="4"/>
    <x v="2"/>
    <s v="GTX Plus Basic"/>
    <s v="Y-corporation"/>
    <x v="1"/>
    <d v="2017-08-27T00:00:00"/>
    <x v="6"/>
    <m/>
  </r>
  <r>
    <x v="6227"/>
    <x v="23"/>
    <x v="4"/>
    <x v="2"/>
    <s v="GTX Basic"/>
    <s v="Bubba Gump"/>
    <x v="0"/>
    <d v="2017-08-27T00:00:00"/>
    <x v="250"/>
    <n v="606"/>
  </r>
  <r>
    <x v="6228"/>
    <x v="27"/>
    <x v="5"/>
    <x v="2"/>
    <s v="GTX Plus Pro"/>
    <s v="Lexiqvolax"/>
    <x v="1"/>
    <d v="2017-08-27T00:00:00"/>
    <x v="6"/>
    <m/>
  </r>
  <r>
    <x v="6229"/>
    <x v="26"/>
    <x v="4"/>
    <x v="2"/>
    <s v="GTX Plus Basic"/>
    <s v="Kan-code"/>
    <x v="2"/>
    <d v="2017-08-27T00:00:00"/>
    <x v="228"/>
    <n v="0"/>
  </r>
  <r>
    <x v="6230"/>
    <x v="26"/>
    <x v="4"/>
    <x v="2"/>
    <s v="GTXPro"/>
    <s v="Zotware"/>
    <x v="0"/>
    <d v="2017-08-27T00:00:00"/>
    <x v="256"/>
    <n v="5305"/>
  </r>
  <r>
    <x v="6231"/>
    <x v="10"/>
    <x v="3"/>
    <x v="1"/>
    <s v="GTX Plus Basic"/>
    <s v="Zoomit"/>
    <x v="2"/>
    <d v="2017-08-27T00:00:00"/>
    <x v="199"/>
    <n v="0"/>
  </r>
  <r>
    <x v="6232"/>
    <x v="16"/>
    <x v="2"/>
    <x v="1"/>
    <s v="GTXPro"/>
    <m/>
    <x v="1"/>
    <d v="2017-08-27T00:00:00"/>
    <x v="6"/>
    <m/>
  </r>
  <r>
    <x v="6233"/>
    <x v="16"/>
    <x v="2"/>
    <x v="1"/>
    <s v="MG Special"/>
    <m/>
    <x v="1"/>
    <d v="2017-08-27T00:00:00"/>
    <x v="6"/>
    <m/>
  </r>
  <r>
    <x v="6234"/>
    <x v="16"/>
    <x v="2"/>
    <x v="1"/>
    <s v="GTX Basic"/>
    <s v="Kan-code"/>
    <x v="2"/>
    <d v="2017-08-27T00:00:00"/>
    <x v="264"/>
    <n v="0"/>
  </r>
  <r>
    <x v="6235"/>
    <x v="16"/>
    <x v="2"/>
    <x v="1"/>
    <s v="GTX Basic"/>
    <s v="Green-Plus"/>
    <x v="0"/>
    <d v="2017-08-27T00:00:00"/>
    <x v="172"/>
    <n v="596"/>
  </r>
  <r>
    <x v="6236"/>
    <x v="18"/>
    <x v="2"/>
    <x v="1"/>
    <s v="GTX Basic"/>
    <s v="Singletechno"/>
    <x v="0"/>
    <d v="2017-08-27T00:00:00"/>
    <x v="217"/>
    <n v="545"/>
  </r>
  <r>
    <x v="6237"/>
    <x v="5"/>
    <x v="3"/>
    <x v="1"/>
    <s v="GTX Basic"/>
    <s v="Labdrill"/>
    <x v="0"/>
    <d v="2017-08-27T00:00:00"/>
    <x v="175"/>
    <n v="548"/>
  </r>
  <r>
    <x v="6238"/>
    <x v="22"/>
    <x v="1"/>
    <x v="0"/>
    <s v="MG Advanced"/>
    <s v="Finhigh"/>
    <x v="2"/>
    <d v="2017-08-27T00:00:00"/>
    <x v="273"/>
    <n v="0"/>
  </r>
  <r>
    <x v="6239"/>
    <x v="19"/>
    <x v="4"/>
    <x v="2"/>
    <s v="GTX Basic"/>
    <s v="Umbrella Corporation"/>
    <x v="0"/>
    <d v="2017-08-27T00:00:00"/>
    <x v="177"/>
    <n v="415"/>
  </r>
  <r>
    <x v="6240"/>
    <x v="4"/>
    <x v="3"/>
    <x v="1"/>
    <s v="GTXPro"/>
    <s v="Singletechno"/>
    <x v="0"/>
    <d v="2017-08-27T00:00:00"/>
    <x v="146"/>
    <n v="3754"/>
  </r>
  <r>
    <x v="6241"/>
    <x v="2"/>
    <x v="2"/>
    <x v="1"/>
    <s v="GTX Basic"/>
    <m/>
    <x v="1"/>
    <d v="2017-08-27T00:00:00"/>
    <x v="6"/>
    <m/>
  </r>
  <r>
    <x v="6242"/>
    <x v="2"/>
    <x v="2"/>
    <x v="1"/>
    <s v="GTX Basic"/>
    <m/>
    <x v="1"/>
    <d v="2017-08-27T00:00:00"/>
    <x v="6"/>
    <m/>
  </r>
  <r>
    <x v="6243"/>
    <x v="2"/>
    <x v="2"/>
    <x v="1"/>
    <s v="GTX Basic"/>
    <s v="Plusstrip"/>
    <x v="0"/>
    <d v="2017-08-27T00:00:00"/>
    <x v="246"/>
    <n v="498"/>
  </r>
  <r>
    <x v="6244"/>
    <x v="25"/>
    <x v="4"/>
    <x v="2"/>
    <s v="GTX Basic"/>
    <s v="Condax"/>
    <x v="0"/>
    <d v="2017-08-28T00:00:00"/>
    <x v="261"/>
    <n v="489"/>
  </r>
  <r>
    <x v="6245"/>
    <x v="25"/>
    <x v="4"/>
    <x v="2"/>
    <s v="GTX Plus Basic"/>
    <s v="Ontomedia"/>
    <x v="0"/>
    <d v="2017-08-28T00:00:00"/>
    <x v="157"/>
    <n v="1022"/>
  </r>
  <r>
    <x v="6246"/>
    <x v="27"/>
    <x v="5"/>
    <x v="2"/>
    <s v="GTX Plus Pro"/>
    <s v="Acme Corporation"/>
    <x v="2"/>
    <d v="2017-08-28T00:00:00"/>
    <x v="233"/>
    <n v="0"/>
  </r>
  <r>
    <x v="6247"/>
    <x v="1"/>
    <x v="1"/>
    <x v="0"/>
    <s v="GTX Basic"/>
    <s v="Cancity"/>
    <x v="0"/>
    <d v="2017-08-28T00:00:00"/>
    <x v="171"/>
    <n v="525"/>
  </r>
  <r>
    <x v="6248"/>
    <x v="1"/>
    <x v="1"/>
    <x v="0"/>
    <s v="GTX Plus Basic"/>
    <s v="Codehow"/>
    <x v="0"/>
    <d v="2017-08-28T00:00:00"/>
    <x v="167"/>
    <n v="1252"/>
  </r>
  <r>
    <x v="6249"/>
    <x v="14"/>
    <x v="3"/>
    <x v="1"/>
    <s v="GTXPro"/>
    <m/>
    <x v="1"/>
    <d v="2017-08-28T00:00:00"/>
    <x v="6"/>
    <m/>
  </r>
  <r>
    <x v="6250"/>
    <x v="8"/>
    <x v="1"/>
    <x v="0"/>
    <s v="MG Advanced"/>
    <s v="dambase"/>
    <x v="2"/>
    <d v="2017-08-28T00:00:00"/>
    <x v="256"/>
    <n v="0"/>
  </r>
  <r>
    <x v="6251"/>
    <x v="8"/>
    <x v="1"/>
    <x v="0"/>
    <s v="MG Special"/>
    <s v="Conecom"/>
    <x v="0"/>
    <d v="2017-08-28T00:00:00"/>
    <x v="171"/>
    <n v="63"/>
  </r>
  <r>
    <x v="6252"/>
    <x v="10"/>
    <x v="3"/>
    <x v="1"/>
    <s v="MG Special"/>
    <s v="J-Texon"/>
    <x v="2"/>
    <d v="2017-08-28T00:00:00"/>
    <x v="210"/>
    <n v="0"/>
  </r>
  <r>
    <x v="6253"/>
    <x v="16"/>
    <x v="2"/>
    <x v="1"/>
    <s v="GTX Basic"/>
    <s v="Zoomit"/>
    <x v="0"/>
    <d v="2017-08-28T00:00:00"/>
    <x v="270"/>
    <n v="474"/>
  </r>
  <r>
    <x v="6254"/>
    <x v="16"/>
    <x v="2"/>
    <x v="1"/>
    <s v="GTX Plus Basic"/>
    <s v="Xx-holding"/>
    <x v="0"/>
    <d v="2017-08-28T00:00:00"/>
    <x v="232"/>
    <n v="1132"/>
  </r>
  <r>
    <x v="6255"/>
    <x v="24"/>
    <x v="0"/>
    <x v="0"/>
    <s v="GTX Plus Basic"/>
    <s v="Warephase"/>
    <x v="2"/>
    <d v="2017-08-28T00:00:00"/>
    <x v="163"/>
    <n v="0"/>
  </r>
  <r>
    <x v="6256"/>
    <x v="24"/>
    <x v="0"/>
    <x v="0"/>
    <s v="GTX Plus Basic"/>
    <s v="dambase"/>
    <x v="0"/>
    <d v="2017-08-28T00:00:00"/>
    <x v="231"/>
    <n v="1215"/>
  </r>
  <r>
    <x v="6257"/>
    <x v="5"/>
    <x v="3"/>
    <x v="1"/>
    <s v="GTX Plus Basic"/>
    <s v="Kan-code"/>
    <x v="0"/>
    <d v="2017-08-28T00:00:00"/>
    <x v="173"/>
    <n v="1081"/>
  </r>
  <r>
    <x v="6258"/>
    <x v="5"/>
    <x v="3"/>
    <x v="1"/>
    <s v="MG Special"/>
    <s v="Sonron"/>
    <x v="0"/>
    <d v="2017-08-28T00:00:00"/>
    <x v="233"/>
    <n v="49"/>
  </r>
  <r>
    <x v="6259"/>
    <x v="9"/>
    <x v="2"/>
    <x v="1"/>
    <s v="GTX Basic"/>
    <s v="Hottechi"/>
    <x v="0"/>
    <d v="2017-08-28T00:00:00"/>
    <x v="163"/>
    <n v="653"/>
  </r>
  <r>
    <x v="6260"/>
    <x v="0"/>
    <x v="0"/>
    <x v="0"/>
    <s v="GTX Plus Basic"/>
    <s v="Rundofase"/>
    <x v="2"/>
    <d v="2017-08-28T00:00:00"/>
    <x v="262"/>
    <n v="0"/>
  </r>
  <r>
    <x v="6261"/>
    <x v="0"/>
    <x v="0"/>
    <x v="0"/>
    <s v="MG Advanced"/>
    <s v="Genco Pura Olive Oil Company"/>
    <x v="2"/>
    <d v="2017-08-28T00:00:00"/>
    <x v="237"/>
    <n v="0"/>
  </r>
  <r>
    <x v="6262"/>
    <x v="6"/>
    <x v="1"/>
    <x v="0"/>
    <s v="GTX Plus Basic"/>
    <s v="Rundofase"/>
    <x v="0"/>
    <d v="2017-08-28T00:00:00"/>
    <x v="160"/>
    <n v="1105"/>
  </r>
  <r>
    <x v="6263"/>
    <x v="19"/>
    <x v="4"/>
    <x v="2"/>
    <s v="GTX Plus Basic"/>
    <s v="The New York Inquirer"/>
    <x v="0"/>
    <d v="2017-08-28T00:00:00"/>
    <x v="177"/>
    <n v="948"/>
  </r>
  <r>
    <x v="6264"/>
    <x v="4"/>
    <x v="3"/>
    <x v="1"/>
    <s v="MG Advanced"/>
    <s v="Zoomit"/>
    <x v="2"/>
    <d v="2017-08-28T00:00:00"/>
    <x v="154"/>
    <n v="0"/>
  </r>
  <r>
    <x v="6265"/>
    <x v="15"/>
    <x v="5"/>
    <x v="2"/>
    <s v="MG Special"/>
    <s v="Bluth Company"/>
    <x v="2"/>
    <d v="2017-08-28T00:00:00"/>
    <x v="210"/>
    <n v="0"/>
  </r>
  <r>
    <x v="6266"/>
    <x v="3"/>
    <x v="0"/>
    <x v="0"/>
    <s v="GTX Plus Basic"/>
    <s v="Streethex"/>
    <x v="2"/>
    <d v="2017-08-29T00:00:00"/>
    <x v="157"/>
    <n v="0"/>
  </r>
  <r>
    <x v="6267"/>
    <x v="3"/>
    <x v="0"/>
    <x v="0"/>
    <s v="MG Special"/>
    <s v="Gogozoom"/>
    <x v="0"/>
    <d v="2017-08-29T00:00:00"/>
    <x v="259"/>
    <n v="44"/>
  </r>
  <r>
    <x v="6268"/>
    <x v="23"/>
    <x v="4"/>
    <x v="2"/>
    <s v="GTX Plus Basic"/>
    <s v="Rantouch"/>
    <x v="1"/>
    <d v="2017-08-29T00:00:00"/>
    <x v="6"/>
    <m/>
  </r>
  <r>
    <x v="6269"/>
    <x v="23"/>
    <x v="4"/>
    <x v="2"/>
    <s v="GTXPro"/>
    <s v="Opentech"/>
    <x v="0"/>
    <d v="2017-08-29T00:00:00"/>
    <x v="225"/>
    <n v="4343"/>
  </r>
  <r>
    <x v="6270"/>
    <x v="28"/>
    <x v="0"/>
    <x v="0"/>
    <s v="GTX Plus Pro"/>
    <s v="Treequote"/>
    <x v="0"/>
    <d v="2017-08-29T00:00:00"/>
    <x v="160"/>
    <n v="5096"/>
  </r>
  <r>
    <x v="6271"/>
    <x v="28"/>
    <x v="0"/>
    <x v="0"/>
    <s v="GTX Plus Pro"/>
    <s v="Warephase"/>
    <x v="0"/>
    <d v="2017-08-29T00:00:00"/>
    <x v="182"/>
    <n v="4994"/>
  </r>
  <r>
    <x v="6272"/>
    <x v="27"/>
    <x v="5"/>
    <x v="2"/>
    <s v="GTX Plus Basic"/>
    <s v="Donquadtech"/>
    <x v="0"/>
    <d v="2017-08-29T00:00:00"/>
    <x v="238"/>
    <n v="1251"/>
  </r>
  <r>
    <x v="6273"/>
    <x v="26"/>
    <x v="4"/>
    <x v="2"/>
    <s v="GTX Basic"/>
    <s v="Gekko &amp; Co"/>
    <x v="0"/>
    <d v="2017-08-29T00:00:00"/>
    <x v="210"/>
    <n v="602"/>
  </r>
  <r>
    <x v="6274"/>
    <x v="26"/>
    <x v="4"/>
    <x v="2"/>
    <s v="GTX Basic"/>
    <s v="Sumace"/>
    <x v="0"/>
    <d v="2017-08-29T00:00:00"/>
    <x v="166"/>
    <n v="600"/>
  </r>
  <r>
    <x v="6275"/>
    <x v="26"/>
    <x v="4"/>
    <x v="2"/>
    <s v="GTX Basic"/>
    <s v="Yearin"/>
    <x v="0"/>
    <d v="2017-08-29T00:00:00"/>
    <x v="172"/>
    <n v="595"/>
  </r>
  <r>
    <x v="6276"/>
    <x v="14"/>
    <x v="3"/>
    <x v="1"/>
    <s v="MG Special"/>
    <s v="Sonron"/>
    <x v="2"/>
    <d v="2017-08-29T00:00:00"/>
    <x v="256"/>
    <n v="0"/>
  </r>
  <r>
    <x v="6277"/>
    <x v="8"/>
    <x v="1"/>
    <x v="0"/>
    <s v="GTXPro"/>
    <s v="Codehow"/>
    <x v="2"/>
    <d v="2017-08-29T00:00:00"/>
    <x v="196"/>
    <n v="0"/>
  </r>
  <r>
    <x v="6278"/>
    <x v="10"/>
    <x v="3"/>
    <x v="1"/>
    <s v="MG Advanced"/>
    <s v="Hottechi"/>
    <x v="0"/>
    <d v="2017-08-29T00:00:00"/>
    <x v="271"/>
    <n v="3064"/>
  </r>
  <r>
    <x v="6279"/>
    <x v="5"/>
    <x v="3"/>
    <x v="1"/>
    <s v="MG Advanced"/>
    <s v="Iselectrics"/>
    <x v="1"/>
    <d v="2017-08-29T00:00:00"/>
    <x v="6"/>
    <m/>
  </r>
  <r>
    <x v="6280"/>
    <x v="0"/>
    <x v="0"/>
    <x v="0"/>
    <s v="MG Special"/>
    <s v="Ron-tech"/>
    <x v="2"/>
    <d v="2017-08-29T00:00:00"/>
    <x v="264"/>
    <n v="0"/>
  </r>
  <r>
    <x v="6281"/>
    <x v="6"/>
    <x v="1"/>
    <x v="0"/>
    <s v="MG Advanced"/>
    <s v="Zumgoity"/>
    <x v="2"/>
    <d v="2017-08-29T00:00:00"/>
    <x v="260"/>
    <n v="0"/>
  </r>
  <r>
    <x v="6282"/>
    <x v="19"/>
    <x v="4"/>
    <x v="2"/>
    <s v="GTX Plus Pro"/>
    <s v="Acme Corporation"/>
    <x v="0"/>
    <d v="2017-08-29T00:00:00"/>
    <x v="267"/>
    <n v="5790"/>
  </r>
  <r>
    <x v="6283"/>
    <x v="17"/>
    <x v="5"/>
    <x v="2"/>
    <s v="GTXPro"/>
    <s v="Vehement Capital Partners"/>
    <x v="0"/>
    <d v="2017-08-29T00:00:00"/>
    <x v="157"/>
    <n v="5688"/>
  </r>
  <r>
    <x v="6284"/>
    <x v="12"/>
    <x v="0"/>
    <x v="0"/>
    <s v="GTX Basic"/>
    <s v="Cancity"/>
    <x v="0"/>
    <d v="2017-08-29T00:00:00"/>
    <x v="199"/>
    <n v="672"/>
  </r>
  <r>
    <x v="6285"/>
    <x v="12"/>
    <x v="0"/>
    <x v="0"/>
    <s v="MG Special"/>
    <s v="Bioholding"/>
    <x v="0"/>
    <d v="2017-08-29T00:00:00"/>
    <x v="250"/>
    <n v="62"/>
  </r>
  <r>
    <x v="6286"/>
    <x v="4"/>
    <x v="3"/>
    <x v="1"/>
    <s v="GTXPro"/>
    <s v="Fasehatice"/>
    <x v="0"/>
    <d v="2017-08-29T00:00:00"/>
    <x v="251"/>
    <n v="4577"/>
  </r>
  <r>
    <x v="6287"/>
    <x v="15"/>
    <x v="5"/>
    <x v="2"/>
    <s v="GTX Basic"/>
    <m/>
    <x v="1"/>
    <d v="2017-08-29T00:00:00"/>
    <x v="6"/>
    <m/>
  </r>
  <r>
    <x v="6288"/>
    <x v="3"/>
    <x v="0"/>
    <x v="0"/>
    <s v="MG Special"/>
    <s v="Funholding"/>
    <x v="2"/>
    <d v="2017-08-30T00:00:00"/>
    <x v="232"/>
    <n v="0"/>
  </r>
  <r>
    <x v="6289"/>
    <x v="3"/>
    <x v="0"/>
    <x v="0"/>
    <s v="GTX Plus Basic"/>
    <s v="Warephase"/>
    <x v="0"/>
    <d v="2017-08-30T00:00:00"/>
    <x v="274"/>
    <n v="1118"/>
  </r>
  <r>
    <x v="6290"/>
    <x v="3"/>
    <x v="0"/>
    <x v="0"/>
    <s v="MG Special"/>
    <s v="Statholdings"/>
    <x v="0"/>
    <d v="2017-08-30T00:00:00"/>
    <x v="166"/>
    <n v="55"/>
  </r>
  <r>
    <x v="6291"/>
    <x v="25"/>
    <x v="4"/>
    <x v="2"/>
    <s v="GTXPro"/>
    <s v="Ganjaflex"/>
    <x v="0"/>
    <d v="2017-08-30T00:00:00"/>
    <x v="261"/>
    <n v="5052"/>
  </r>
  <r>
    <x v="6292"/>
    <x v="25"/>
    <x v="4"/>
    <x v="2"/>
    <s v="GTXPro"/>
    <s v="Zotware"/>
    <x v="0"/>
    <d v="2017-08-30T00:00:00"/>
    <x v="164"/>
    <n v="4023"/>
  </r>
  <r>
    <x v="6293"/>
    <x v="23"/>
    <x v="4"/>
    <x v="2"/>
    <s v="MG Special"/>
    <m/>
    <x v="1"/>
    <d v="2017-08-30T00:00:00"/>
    <x v="6"/>
    <m/>
  </r>
  <r>
    <x v="6294"/>
    <x v="23"/>
    <x v="4"/>
    <x v="2"/>
    <s v="MG Special"/>
    <s v="Iselectrics"/>
    <x v="0"/>
    <d v="2017-08-30T00:00:00"/>
    <x v="166"/>
    <n v="57"/>
  </r>
  <r>
    <x v="6295"/>
    <x v="27"/>
    <x v="5"/>
    <x v="2"/>
    <s v="MG Special"/>
    <s v="Gekko &amp; Co"/>
    <x v="0"/>
    <d v="2017-08-30T00:00:00"/>
    <x v="230"/>
    <n v="59"/>
  </r>
  <r>
    <x v="6296"/>
    <x v="13"/>
    <x v="4"/>
    <x v="2"/>
    <s v="MG Special"/>
    <s v="Xx-zobam"/>
    <x v="2"/>
    <d v="2017-08-30T00:00:00"/>
    <x v="229"/>
    <n v="0"/>
  </r>
  <r>
    <x v="6297"/>
    <x v="13"/>
    <x v="4"/>
    <x v="2"/>
    <s v="GTXPro"/>
    <s v="Kinnamplus"/>
    <x v="0"/>
    <d v="2017-08-30T00:00:00"/>
    <x v="167"/>
    <n v="5544"/>
  </r>
  <r>
    <x v="6298"/>
    <x v="1"/>
    <x v="1"/>
    <x v="0"/>
    <s v="GTXPro"/>
    <s v="Warephase"/>
    <x v="2"/>
    <d v="2017-08-30T00:00:00"/>
    <x v="225"/>
    <n v="0"/>
  </r>
  <r>
    <x v="6299"/>
    <x v="1"/>
    <x v="1"/>
    <x v="0"/>
    <s v="MG Special"/>
    <s v="Treequote"/>
    <x v="2"/>
    <d v="2017-08-30T00:00:00"/>
    <x v="159"/>
    <n v="0"/>
  </r>
  <r>
    <x v="6300"/>
    <x v="1"/>
    <x v="1"/>
    <x v="0"/>
    <s v="GTXPro"/>
    <s v="Condax"/>
    <x v="0"/>
    <d v="2017-08-30T00:00:00"/>
    <x v="153"/>
    <n v="4598"/>
  </r>
  <r>
    <x v="6301"/>
    <x v="1"/>
    <x v="1"/>
    <x v="0"/>
    <s v="GTXPro"/>
    <s v="Conecom"/>
    <x v="0"/>
    <d v="2017-08-30T00:00:00"/>
    <x v="154"/>
    <n v="5008"/>
  </r>
  <r>
    <x v="6302"/>
    <x v="1"/>
    <x v="1"/>
    <x v="0"/>
    <s v="GTXPro"/>
    <s v="Statholdings"/>
    <x v="0"/>
    <d v="2017-08-30T00:00:00"/>
    <x v="257"/>
    <n v="3932"/>
  </r>
  <r>
    <x v="6303"/>
    <x v="26"/>
    <x v="4"/>
    <x v="2"/>
    <s v="GTX Plus Basic"/>
    <s v="Zathunicon"/>
    <x v="0"/>
    <d v="2017-08-30T00:00:00"/>
    <x v="272"/>
    <n v="1166"/>
  </r>
  <r>
    <x v="6304"/>
    <x v="8"/>
    <x v="1"/>
    <x v="0"/>
    <s v="GTX Plus Basic"/>
    <s v="Ron-tech"/>
    <x v="2"/>
    <d v="2017-08-30T00:00:00"/>
    <x v="258"/>
    <n v="0"/>
  </r>
  <r>
    <x v="6305"/>
    <x v="10"/>
    <x v="3"/>
    <x v="1"/>
    <s v="GTX Plus Basic"/>
    <s v="Dalttechnology"/>
    <x v="0"/>
    <d v="2017-08-30T00:00:00"/>
    <x v="144"/>
    <n v="1195"/>
  </r>
  <r>
    <x v="6306"/>
    <x v="7"/>
    <x v="2"/>
    <x v="1"/>
    <s v="MG Special"/>
    <s v="Xx-holding"/>
    <x v="2"/>
    <d v="2017-08-30T00:00:00"/>
    <x v="217"/>
    <n v="0"/>
  </r>
  <r>
    <x v="6307"/>
    <x v="29"/>
    <x v="1"/>
    <x v="0"/>
    <s v="GTX Basic"/>
    <s v="Genco Pura Olive Oil Company"/>
    <x v="0"/>
    <d v="2017-08-30T00:00:00"/>
    <x v="269"/>
    <n v="551"/>
  </r>
  <r>
    <x v="6308"/>
    <x v="29"/>
    <x v="1"/>
    <x v="0"/>
    <s v="GTX Basic"/>
    <s v="Globex Corporation"/>
    <x v="0"/>
    <d v="2017-08-30T00:00:00"/>
    <x v="166"/>
    <n v="623"/>
  </r>
  <r>
    <x v="6309"/>
    <x v="18"/>
    <x v="2"/>
    <x v="1"/>
    <s v="GTXPro"/>
    <s v="Kan-code"/>
    <x v="2"/>
    <d v="2017-08-30T00:00:00"/>
    <x v="264"/>
    <n v="0"/>
  </r>
  <r>
    <x v="6310"/>
    <x v="18"/>
    <x v="2"/>
    <x v="1"/>
    <s v="MG Special"/>
    <s v="Plexzap"/>
    <x v="2"/>
    <d v="2017-08-30T00:00:00"/>
    <x v="212"/>
    <n v="0"/>
  </r>
  <r>
    <x v="6311"/>
    <x v="24"/>
    <x v="0"/>
    <x v="0"/>
    <s v="MG Special"/>
    <s v="Genco Pura Olive Oil Company"/>
    <x v="2"/>
    <d v="2017-08-30T00:00:00"/>
    <x v="154"/>
    <n v="0"/>
  </r>
  <r>
    <x v="6312"/>
    <x v="5"/>
    <x v="3"/>
    <x v="1"/>
    <s v="MG Special"/>
    <m/>
    <x v="1"/>
    <d v="2017-08-30T00:00:00"/>
    <x v="6"/>
    <m/>
  </r>
  <r>
    <x v="6313"/>
    <x v="5"/>
    <x v="3"/>
    <x v="1"/>
    <s v="GTX Basic"/>
    <s v="Labdrill"/>
    <x v="2"/>
    <d v="2017-08-30T00:00:00"/>
    <x v="165"/>
    <n v="0"/>
  </r>
  <r>
    <x v="6314"/>
    <x v="5"/>
    <x v="3"/>
    <x v="1"/>
    <s v="GTXPro"/>
    <s v="Xx-holding"/>
    <x v="0"/>
    <d v="2017-08-30T00:00:00"/>
    <x v="152"/>
    <n v="4592"/>
  </r>
  <r>
    <x v="6315"/>
    <x v="22"/>
    <x v="1"/>
    <x v="0"/>
    <s v="GTX Basic"/>
    <s v="Condax"/>
    <x v="0"/>
    <d v="2017-08-30T00:00:00"/>
    <x v="255"/>
    <n v="555"/>
  </r>
  <r>
    <x v="6316"/>
    <x v="22"/>
    <x v="1"/>
    <x v="0"/>
    <s v="MG Advanced"/>
    <s v="Dontechi"/>
    <x v="0"/>
    <d v="2017-08-30T00:00:00"/>
    <x v="226"/>
    <n v="3703"/>
  </r>
  <r>
    <x v="6317"/>
    <x v="9"/>
    <x v="2"/>
    <x v="1"/>
    <s v="GTX Plus Basic"/>
    <s v="Scotfind"/>
    <x v="0"/>
    <d v="2017-08-30T00:00:00"/>
    <x v="254"/>
    <n v="942"/>
  </r>
  <r>
    <x v="6318"/>
    <x v="9"/>
    <x v="2"/>
    <x v="1"/>
    <s v="GTX Plus Pro"/>
    <s v="Groovestreet"/>
    <x v="0"/>
    <d v="2017-08-30T00:00:00"/>
    <x v="250"/>
    <n v="6489"/>
  </r>
  <r>
    <x v="6319"/>
    <x v="6"/>
    <x v="1"/>
    <x v="0"/>
    <s v="GTXPro"/>
    <s v="Cancity"/>
    <x v="2"/>
    <d v="2017-08-30T00:00:00"/>
    <x v="228"/>
    <n v="0"/>
  </r>
  <r>
    <x v="6320"/>
    <x v="11"/>
    <x v="3"/>
    <x v="1"/>
    <s v="MG Special"/>
    <m/>
    <x v="1"/>
    <d v="2017-08-30T00:00:00"/>
    <x v="6"/>
    <m/>
  </r>
  <r>
    <x v="6321"/>
    <x v="11"/>
    <x v="3"/>
    <x v="1"/>
    <s v="MG Special"/>
    <s v="Sunnamplex"/>
    <x v="0"/>
    <d v="2017-08-30T00:00:00"/>
    <x v="221"/>
    <n v="63"/>
  </r>
  <r>
    <x v="6322"/>
    <x v="17"/>
    <x v="5"/>
    <x v="2"/>
    <s v="GTXPro"/>
    <s v="Bubba Gump"/>
    <x v="0"/>
    <d v="2017-08-30T00:00:00"/>
    <x v="250"/>
    <n v="3974"/>
  </r>
  <r>
    <x v="6323"/>
    <x v="12"/>
    <x v="0"/>
    <x v="0"/>
    <s v="MG Special"/>
    <s v="Conecom"/>
    <x v="0"/>
    <d v="2017-08-30T00:00:00"/>
    <x v="264"/>
    <n v="66"/>
  </r>
  <r>
    <x v="6324"/>
    <x v="4"/>
    <x v="3"/>
    <x v="1"/>
    <s v="GTX Basic"/>
    <s v="Finjob"/>
    <x v="0"/>
    <d v="2017-08-30T00:00:00"/>
    <x v="247"/>
    <n v="532"/>
  </r>
  <r>
    <x v="6325"/>
    <x v="15"/>
    <x v="5"/>
    <x v="2"/>
    <s v="MG Special"/>
    <m/>
    <x v="1"/>
    <d v="2017-08-30T00:00:00"/>
    <x v="6"/>
    <m/>
  </r>
  <r>
    <x v="6326"/>
    <x v="2"/>
    <x v="2"/>
    <x v="1"/>
    <s v="GTX Basic"/>
    <s v="Dalttechnology"/>
    <x v="0"/>
    <d v="2017-08-30T00:00:00"/>
    <x v="261"/>
    <n v="503"/>
  </r>
  <r>
    <x v="6327"/>
    <x v="3"/>
    <x v="0"/>
    <x v="0"/>
    <s v="GTX Basic"/>
    <s v="Zumgoity"/>
    <x v="0"/>
    <d v="2017-08-31T00:00:00"/>
    <x v="253"/>
    <n v="594"/>
  </r>
  <r>
    <x v="6328"/>
    <x v="25"/>
    <x v="4"/>
    <x v="2"/>
    <s v="GTX Basic"/>
    <m/>
    <x v="1"/>
    <d v="2017-08-31T00:00:00"/>
    <x v="6"/>
    <m/>
  </r>
  <r>
    <x v="6329"/>
    <x v="23"/>
    <x v="4"/>
    <x v="2"/>
    <s v="GTXPro"/>
    <s v="Ganjaflex"/>
    <x v="0"/>
    <d v="2017-08-31T00:00:00"/>
    <x v="145"/>
    <n v="4958"/>
  </r>
  <r>
    <x v="6330"/>
    <x v="23"/>
    <x v="4"/>
    <x v="2"/>
    <s v="GTXPro"/>
    <s v="Mathtouch"/>
    <x v="0"/>
    <d v="2017-08-31T00:00:00"/>
    <x v="262"/>
    <n v="4201"/>
  </r>
  <r>
    <x v="6331"/>
    <x v="28"/>
    <x v="0"/>
    <x v="0"/>
    <s v="MG Special"/>
    <s v="Streethex"/>
    <x v="2"/>
    <d v="2017-08-31T00:00:00"/>
    <x v="160"/>
    <n v="0"/>
  </r>
  <r>
    <x v="6332"/>
    <x v="27"/>
    <x v="5"/>
    <x v="2"/>
    <s v="MG Advanced"/>
    <s v="Plussunin"/>
    <x v="2"/>
    <d v="2017-08-31T00:00:00"/>
    <x v="220"/>
    <n v="0"/>
  </r>
  <r>
    <x v="6333"/>
    <x v="13"/>
    <x v="4"/>
    <x v="2"/>
    <s v="GTX Plus Pro"/>
    <s v="Mathtouch"/>
    <x v="2"/>
    <d v="2017-08-31T00:00:00"/>
    <x v="205"/>
    <n v="0"/>
  </r>
  <r>
    <x v="6334"/>
    <x v="1"/>
    <x v="1"/>
    <x v="0"/>
    <s v="GTX Plus Pro"/>
    <s v="Finhigh"/>
    <x v="0"/>
    <d v="2017-08-31T00:00:00"/>
    <x v="154"/>
    <n v="5293"/>
  </r>
  <r>
    <x v="6335"/>
    <x v="26"/>
    <x v="4"/>
    <x v="2"/>
    <s v="MG Advanced"/>
    <s v="Ganjaflex"/>
    <x v="0"/>
    <d v="2017-08-31T00:00:00"/>
    <x v="244"/>
    <n v="4456"/>
  </r>
  <r>
    <x v="6336"/>
    <x v="10"/>
    <x v="3"/>
    <x v="1"/>
    <s v="GTX Plus Basic"/>
    <s v="Newex"/>
    <x v="2"/>
    <d v="2017-08-31T00:00:00"/>
    <x v="229"/>
    <n v="0"/>
  </r>
  <r>
    <x v="6337"/>
    <x v="29"/>
    <x v="1"/>
    <x v="0"/>
    <s v="GTXPro"/>
    <s v="Globex Corporation"/>
    <x v="2"/>
    <d v="2017-08-31T00:00:00"/>
    <x v="229"/>
    <n v="0"/>
  </r>
  <r>
    <x v="6338"/>
    <x v="29"/>
    <x v="1"/>
    <x v="0"/>
    <s v="GTX Basic"/>
    <s v="Globex Corporation"/>
    <x v="0"/>
    <d v="2017-08-31T00:00:00"/>
    <x v="245"/>
    <n v="525"/>
  </r>
  <r>
    <x v="6339"/>
    <x v="16"/>
    <x v="2"/>
    <x v="1"/>
    <s v="GTXPro"/>
    <s v="Opentech"/>
    <x v="1"/>
    <d v="2017-08-31T00:00:00"/>
    <x v="6"/>
    <m/>
  </r>
  <r>
    <x v="6340"/>
    <x v="18"/>
    <x v="2"/>
    <x v="1"/>
    <s v="GTX Basic"/>
    <s v="Finhigh"/>
    <x v="1"/>
    <d v="2017-08-31T00:00:00"/>
    <x v="6"/>
    <m/>
  </r>
  <r>
    <x v="6341"/>
    <x v="18"/>
    <x v="2"/>
    <x v="1"/>
    <s v="GTXPro"/>
    <m/>
    <x v="1"/>
    <d v="2017-08-31T00:00:00"/>
    <x v="6"/>
    <m/>
  </r>
  <r>
    <x v="6342"/>
    <x v="22"/>
    <x v="1"/>
    <x v="0"/>
    <s v="GTX Plus Pro"/>
    <s v="Dontechi"/>
    <x v="0"/>
    <d v="2017-08-31T00:00:00"/>
    <x v="169"/>
    <n v="4809"/>
  </r>
  <r>
    <x v="6343"/>
    <x v="9"/>
    <x v="2"/>
    <x v="1"/>
    <s v="GTX Plus Basic"/>
    <m/>
    <x v="1"/>
    <d v="2017-08-31T00:00:00"/>
    <x v="6"/>
    <m/>
  </r>
  <r>
    <x v="6344"/>
    <x v="0"/>
    <x v="0"/>
    <x v="0"/>
    <s v="GTX Plus Basic"/>
    <s v="Warephase"/>
    <x v="0"/>
    <d v="2017-08-31T00:00:00"/>
    <x v="268"/>
    <n v="1374"/>
  </r>
  <r>
    <x v="6345"/>
    <x v="0"/>
    <x v="0"/>
    <x v="0"/>
    <s v="MG Special"/>
    <s v="Scottech"/>
    <x v="0"/>
    <d v="2017-08-31T00:00:00"/>
    <x v="227"/>
    <n v="57"/>
  </r>
  <r>
    <x v="6346"/>
    <x v="17"/>
    <x v="5"/>
    <x v="2"/>
    <s v="GTX Basic"/>
    <m/>
    <x v="1"/>
    <d v="2017-08-31T00:00:00"/>
    <x v="6"/>
    <m/>
  </r>
  <r>
    <x v="6347"/>
    <x v="12"/>
    <x v="0"/>
    <x v="0"/>
    <s v="GTX Basic"/>
    <s v="Zumgoity"/>
    <x v="0"/>
    <d v="2017-08-31T00:00:00"/>
    <x v="152"/>
    <n v="552"/>
  </r>
  <r>
    <x v="6348"/>
    <x v="12"/>
    <x v="0"/>
    <x v="0"/>
    <s v="MG Special"/>
    <s v="Toughzap"/>
    <x v="0"/>
    <d v="2017-08-31T00:00:00"/>
    <x v="142"/>
    <n v="59"/>
  </r>
  <r>
    <x v="6349"/>
    <x v="12"/>
    <x v="0"/>
    <x v="0"/>
    <s v="MG Advanced"/>
    <s v="Betatech"/>
    <x v="0"/>
    <d v="2017-08-31T00:00:00"/>
    <x v="182"/>
    <n v="4011"/>
  </r>
  <r>
    <x v="6350"/>
    <x v="4"/>
    <x v="3"/>
    <x v="1"/>
    <s v="GTX Basic"/>
    <m/>
    <x v="1"/>
    <d v="2017-08-31T00:00:00"/>
    <x v="6"/>
    <m/>
  </r>
  <r>
    <x v="6351"/>
    <x v="4"/>
    <x v="3"/>
    <x v="1"/>
    <s v="MG Special"/>
    <s v="Rantouch"/>
    <x v="0"/>
    <d v="2017-08-31T00:00:00"/>
    <x v="245"/>
    <n v="54"/>
  </r>
  <r>
    <x v="6352"/>
    <x v="4"/>
    <x v="3"/>
    <x v="1"/>
    <s v="MG Advanced"/>
    <s v="Green-Plus"/>
    <x v="0"/>
    <d v="2017-08-31T00:00:00"/>
    <x v="167"/>
    <n v="3337"/>
  </r>
  <r>
    <x v="6353"/>
    <x v="15"/>
    <x v="5"/>
    <x v="2"/>
    <s v="MG Special"/>
    <s v="Yearin"/>
    <x v="0"/>
    <d v="2017-08-31T00:00:00"/>
    <x v="179"/>
    <n v="60"/>
  </r>
  <r>
    <x v="6354"/>
    <x v="2"/>
    <x v="2"/>
    <x v="1"/>
    <s v="GTX Basic"/>
    <m/>
    <x v="1"/>
    <d v="2017-08-31T00:00:00"/>
    <x v="6"/>
    <m/>
  </r>
  <r>
    <x v="6355"/>
    <x v="2"/>
    <x v="2"/>
    <x v="1"/>
    <s v="GTX Plus Basic"/>
    <s v="Blackzim"/>
    <x v="0"/>
    <d v="2017-08-31T00:00:00"/>
    <x v="232"/>
    <n v="1011"/>
  </r>
  <r>
    <x v="6356"/>
    <x v="3"/>
    <x v="0"/>
    <x v="0"/>
    <s v="GTX Basic"/>
    <s v="Stanredtax"/>
    <x v="0"/>
    <d v="2017-09-01T00:00:00"/>
    <x v="259"/>
    <n v="514"/>
  </r>
  <r>
    <x v="6357"/>
    <x v="3"/>
    <x v="0"/>
    <x v="0"/>
    <s v="GTX Plus Basic"/>
    <s v="Streethex"/>
    <x v="0"/>
    <d v="2017-09-01T00:00:00"/>
    <x v="220"/>
    <n v="1060"/>
  </r>
  <r>
    <x v="6358"/>
    <x v="3"/>
    <x v="0"/>
    <x v="0"/>
    <s v="MG Special"/>
    <s v="Treequote"/>
    <x v="0"/>
    <d v="2017-09-01T00:00:00"/>
    <x v="227"/>
    <n v="58"/>
  </r>
  <r>
    <x v="6359"/>
    <x v="23"/>
    <x v="4"/>
    <x v="2"/>
    <s v="GTXPro"/>
    <s v="Zotware"/>
    <x v="1"/>
    <d v="2017-09-01T00:00:00"/>
    <x v="6"/>
    <m/>
  </r>
  <r>
    <x v="6360"/>
    <x v="28"/>
    <x v="0"/>
    <x v="0"/>
    <s v="MG Advanced"/>
    <s v="Isdom"/>
    <x v="2"/>
    <d v="2017-09-01T00:00:00"/>
    <x v="238"/>
    <n v="0"/>
  </r>
  <r>
    <x v="6361"/>
    <x v="27"/>
    <x v="5"/>
    <x v="2"/>
    <s v="GTX Plus Pro"/>
    <s v="Goodsilron"/>
    <x v="1"/>
    <d v="2017-09-01T00:00:00"/>
    <x v="6"/>
    <m/>
  </r>
  <r>
    <x v="6362"/>
    <x v="1"/>
    <x v="1"/>
    <x v="0"/>
    <s v="GTXPro"/>
    <s v="Isdom"/>
    <x v="2"/>
    <d v="2017-09-01T00:00:00"/>
    <x v="180"/>
    <n v="0"/>
  </r>
  <r>
    <x v="6363"/>
    <x v="1"/>
    <x v="1"/>
    <x v="0"/>
    <s v="GTXPro"/>
    <s v="Cancity"/>
    <x v="0"/>
    <d v="2017-09-01T00:00:00"/>
    <x v="158"/>
    <n v="4375"/>
  </r>
  <r>
    <x v="6364"/>
    <x v="1"/>
    <x v="1"/>
    <x v="0"/>
    <s v="GTXPro"/>
    <s v="Rundofase"/>
    <x v="0"/>
    <d v="2017-09-01T00:00:00"/>
    <x v="240"/>
    <n v="4819"/>
  </r>
  <r>
    <x v="6365"/>
    <x v="14"/>
    <x v="3"/>
    <x v="1"/>
    <s v="MG Special"/>
    <m/>
    <x v="1"/>
    <d v="2017-09-01T00:00:00"/>
    <x v="6"/>
    <m/>
  </r>
  <r>
    <x v="6366"/>
    <x v="8"/>
    <x v="1"/>
    <x v="0"/>
    <s v="GTXPro"/>
    <s v="Stanredtax"/>
    <x v="0"/>
    <d v="2017-09-01T00:00:00"/>
    <x v="217"/>
    <n v="5729"/>
  </r>
  <r>
    <x v="6367"/>
    <x v="8"/>
    <x v="1"/>
    <x v="0"/>
    <s v="MG Advanced"/>
    <s v="Warephase"/>
    <x v="0"/>
    <d v="2017-09-01T00:00:00"/>
    <x v="205"/>
    <n v="3447"/>
  </r>
  <r>
    <x v="6368"/>
    <x v="7"/>
    <x v="2"/>
    <x v="1"/>
    <s v="GTX Plus Pro"/>
    <m/>
    <x v="1"/>
    <d v="2017-09-01T00:00:00"/>
    <x v="6"/>
    <m/>
  </r>
  <r>
    <x v="6369"/>
    <x v="7"/>
    <x v="2"/>
    <x v="1"/>
    <s v="GTX Plus Pro"/>
    <s v="Doncon"/>
    <x v="0"/>
    <d v="2017-09-01T00:00:00"/>
    <x v="220"/>
    <n v="6101"/>
  </r>
  <r>
    <x v="6370"/>
    <x v="16"/>
    <x v="2"/>
    <x v="1"/>
    <s v="GTX Plus Basic"/>
    <s v="J-Texon"/>
    <x v="0"/>
    <d v="2017-09-01T00:00:00"/>
    <x v="153"/>
    <n v="1088"/>
  </r>
  <r>
    <x v="6371"/>
    <x v="16"/>
    <x v="2"/>
    <x v="1"/>
    <s v="GTX Plus Pro"/>
    <s v="Sunnamplex"/>
    <x v="0"/>
    <d v="2017-09-01T00:00:00"/>
    <x v="180"/>
    <n v="5431"/>
  </r>
  <r>
    <x v="6372"/>
    <x v="16"/>
    <x v="2"/>
    <x v="1"/>
    <s v="MG Special"/>
    <s v="Hottechi"/>
    <x v="0"/>
    <d v="2017-09-01T00:00:00"/>
    <x v="254"/>
    <n v="50"/>
  </r>
  <r>
    <x v="6373"/>
    <x v="16"/>
    <x v="2"/>
    <x v="1"/>
    <s v="MG Special"/>
    <s v="Konex"/>
    <x v="0"/>
    <d v="2017-09-01T00:00:00"/>
    <x v="256"/>
    <n v="62"/>
  </r>
  <r>
    <x v="6374"/>
    <x v="18"/>
    <x v="2"/>
    <x v="1"/>
    <s v="MG Special"/>
    <s v="Zoomit"/>
    <x v="0"/>
    <d v="2017-09-01T00:00:00"/>
    <x v="246"/>
    <n v="57"/>
  </r>
  <r>
    <x v="6375"/>
    <x v="6"/>
    <x v="1"/>
    <x v="0"/>
    <s v="GTX Plus Basic"/>
    <s v="Zumgoity"/>
    <x v="0"/>
    <d v="2017-09-01T00:00:00"/>
    <x v="163"/>
    <n v="1098"/>
  </r>
  <r>
    <x v="6376"/>
    <x v="17"/>
    <x v="5"/>
    <x v="2"/>
    <s v="GTX Plus Basic"/>
    <s v="Umbrella Corporation"/>
    <x v="0"/>
    <d v="2017-09-01T00:00:00"/>
    <x v="264"/>
    <n v="975"/>
  </r>
  <r>
    <x v="6377"/>
    <x v="17"/>
    <x v="5"/>
    <x v="2"/>
    <s v="MG Special"/>
    <s v="Plussunin"/>
    <x v="0"/>
    <d v="2017-09-01T00:00:00"/>
    <x v="212"/>
    <n v="56"/>
  </r>
  <r>
    <x v="6378"/>
    <x v="12"/>
    <x v="0"/>
    <x v="0"/>
    <s v="MG Special"/>
    <s v="Globex Corporation"/>
    <x v="0"/>
    <d v="2017-09-01T00:00:00"/>
    <x v="163"/>
    <n v="63"/>
  </r>
  <r>
    <x v="6379"/>
    <x v="12"/>
    <x v="0"/>
    <x v="0"/>
    <s v="MG Special"/>
    <s v="Isdom"/>
    <x v="0"/>
    <d v="2017-09-01T00:00:00"/>
    <x v="171"/>
    <n v="61"/>
  </r>
  <r>
    <x v="6380"/>
    <x v="2"/>
    <x v="2"/>
    <x v="1"/>
    <s v="GTX Basic"/>
    <s v="Labdrill"/>
    <x v="0"/>
    <d v="2017-09-01T00:00:00"/>
    <x v="259"/>
    <n v="614"/>
  </r>
  <r>
    <x v="6381"/>
    <x v="3"/>
    <x v="0"/>
    <x v="0"/>
    <s v="MG Special"/>
    <s v="Gogozoom"/>
    <x v="2"/>
    <d v="2017-09-02T00:00:00"/>
    <x v="217"/>
    <n v="0"/>
  </r>
  <r>
    <x v="6382"/>
    <x v="1"/>
    <x v="1"/>
    <x v="0"/>
    <s v="GTXPro"/>
    <s v="Betatech"/>
    <x v="2"/>
    <d v="2017-09-02T00:00:00"/>
    <x v="254"/>
    <n v="0"/>
  </r>
  <r>
    <x v="6383"/>
    <x v="14"/>
    <x v="3"/>
    <x v="1"/>
    <s v="GTX Plus Pro"/>
    <s v="Plexzap"/>
    <x v="1"/>
    <d v="2017-09-02T00:00:00"/>
    <x v="6"/>
    <m/>
  </r>
  <r>
    <x v="6384"/>
    <x v="21"/>
    <x v="5"/>
    <x v="2"/>
    <s v="MG Special"/>
    <s v="Acme Corporation"/>
    <x v="0"/>
    <d v="2017-09-02T00:00:00"/>
    <x v="180"/>
    <n v="57"/>
  </r>
  <r>
    <x v="6385"/>
    <x v="8"/>
    <x v="1"/>
    <x v="0"/>
    <s v="MG Special"/>
    <s v="Domzoom"/>
    <x v="0"/>
    <d v="2017-09-02T00:00:00"/>
    <x v="240"/>
    <n v="58"/>
  </r>
  <r>
    <x v="6386"/>
    <x v="10"/>
    <x v="3"/>
    <x v="1"/>
    <s v="GTX Plus Basic"/>
    <s v="Hatfan"/>
    <x v="2"/>
    <d v="2017-09-02T00:00:00"/>
    <x v="245"/>
    <n v="0"/>
  </r>
  <r>
    <x v="6387"/>
    <x v="10"/>
    <x v="3"/>
    <x v="1"/>
    <s v="MG Advanced"/>
    <s v="Goodsilron"/>
    <x v="0"/>
    <d v="2017-09-02T00:00:00"/>
    <x v="273"/>
    <n v="3482"/>
  </r>
  <r>
    <x v="6388"/>
    <x v="7"/>
    <x v="2"/>
    <x v="1"/>
    <s v="GTX Plus Pro"/>
    <s v="Hatfan"/>
    <x v="2"/>
    <d v="2017-09-02T00:00:00"/>
    <x v="212"/>
    <n v="0"/>
  </r>
  <r>
    <x v="6389"/>
    <x v="7"/>
    <x v="2"/>
    <x v="1"/>
    <s v="GTX Plus Pro"/>
    <s v="Singletechno"/>
    <x v="2"/>
    <d v="2017-09-02T00:00:00"/>
    <x v="210"/>
    <n v="0"/>
  </r>
  <r>
    <x v="6390"/>
    <x v="7"/>
    <x v="2"/>
    <x v="1"/>
    <s v="GTX Basic"/>
    <s v="Plusstrip"/>
    <x v="0"/>
    <d v="2017-09-02T00:00:00"/>
    <x v="253"/>
    <n v="529"/>
  </r>
  <r>
    <x v="6391"/>
    <x v="18"/>
    <x v="2"/>
    <x v="1"/>
    <s v="MG Advanced"/>
    <s v="Blackzim"/>
    <x v="2"/>
    <d v="2017-09-02T00:00:00"/>
    <x v="253"/>
    <n v="0"/>
  </r>
  <r>
    <x v="6392"/>
    <x v="18"/>
    <x v="2"/>
    <x v="1"/>
    <s v="GTX Basic"/>
    <s v="Plusstrip"/>
    <x v="0"/>
    <d v="2017-09-02T00:00:00"/>
    <x v="227"/>
    <n v="505"/>
  </r>
  <r>
    <x v="6393"/>
    <x v="5"/>
    <x v="3"/>
    <x v="1"/>
    <s v="GTX Basic"/>
    <s v="Sonron"/>
    <x v="0"/>
    <d v="2017-09-02T00:00:00"/>
    <x v="275"/>
    <n v="456"/>
  </r>
  <r>
    <x v="6394"/>
    <x v="22"/>
    <x v="1"/>
    <x v="0"/>
    <s v="GTX Plus Basic"/>
    <s v="Bioholding"/>
    <x v="2"/>
    <d v="2017-09-02T00:00:00"/>
    <x v="254"/>
    <n v="0"/>
  </r>
  <r>
    <x v="6395"/>
    <x v="22"/>
    <x v="1"/>
    <x v="0"/>
    <s v="GTX Plus Basic"/>
    <s v="Stanredtax"/>
    <x v="2"/>
    <d v="2017-09-02T00:00:00"/>
    <x v="246"/>
    <n v="0"/>
  </r>
  <r>
    <x v="6396"/>
    <x v="12"/>
    <x v="0"/>
    <x v="0"/>
    <s v="GTX Basic"/>
    <s v="Globex Corporation"/>
    <x v="2"/>
    <d v="2017-09-02T00:00:00"/>
    <x v="210"/>
    <n v="0"/>
  </r>
  <r>
    <x v="6397"/>
    <x v="12"/>
    <x v="0"/>
    <x v="0"/>
    <s v="MG Special"/>
    <s v="Hottechi"/>
    <x v="2"/>
    <d v="2017-09-02T00:00:00"/>
    <x v="262"/>
    <n v="0"/>
  </r>
  <r>
    <x v="6398"/>
    <x v="4"/>
    <x v="3"/>
    <x v="1"/>
    <s v="GTX Basic"/>
    <s v="Lexiqvolax"/>
    <x v="0"/>
    <d v="2017-09-02T00:00:00"/>
    <x v="169"/>
    <n v="555"/>
  </r>
  <r>
    <x v="6399"/>
    <x v="4"/>
    <x v="3"/>
    <x v="1"/>
    <s v="MG Special"/>
    <s v="Konex"/>
    <x v="0"/>
    <d v="2017-09-02T00:00:00"/>
    <x v="178"/>
    <n v="47"/>
  </r>
  <r>
    <x v="6400"/>
    <x v="2"/>
    <x v="2"/>
    <x v="1"/>
    <s v="GTX Plus Pro"/>
    <m/>
    <x v="1"/>
    <d v="2017-09-02T00:00:00"/>
    <x v="6"/>
    <m/>
  </r>
  <r>
    <x v="6401"/>
    <x v="2"/>
    <x v="2"/>
    <x v="1"/>
    <s v="GTX Basic"/>
    <s v="Finjob"/>
    <x v="0"/>
    <d v="2017-09-02T00:00:00"/>
    <x v="240"/>
    <n v="585"/>
  </r>
  <r>
    <x v="6402"/>
    <x v="3"/>
    <x v="0"/>
    <x v="0"/>
    <s v="MG Special"/>
    <s v="Bioholding"/>
    <x v="0"/>
    <d v="2017-09-03T00:00:00"/>
    <x v="144"/>
    <n v="64"/>
  </r>
  <r>
    <x v="6403"/>
    <x v="3"/>
    <x v="0"/>
    <x v="0"/>
    <s v="MG Special"/>
    <s v="Inity"/>
    <x v="0"/>
    <d v="2017-09-03T00:00:00"/>
    <x v="235"/>
    <n v="58"/>
  </r>
  <r>
    <x v="6404"/>
    <x v="23"/>
    <x v="4"/>
    <x v="2"/>
    <s v="GTX Basic"/>
    <m/>
    <x v="1"/>
    <d v="2017-09-03T00:00:00"/>
    <x v="6"/>
    <m/>
  </r>
  <r>
    <x v="6405"/>
    <x v="26"/>
    <x v="4"/>
    <x v="2"/>
    <s v="GTX Basic"/>
    <s v="Gekko &amp; Co"/>
    <x v="0"/>
    <d v="2017-09-03T00:00:00"/>
    <x v="166"/>
    <n v="635"/>
  </r>
  <r>
    <x v="6406"/>
    <x v="26"/>
    <x v="4"/>
    <x v="2"/>
    <s v="GTXPro"/>
    <s v="Donquadtech"/>
    <x v="0"/>
    <d v="2017-09-03T00:00:00"/>
    <x v="160"/>
    <n v="5626"/>
  </r>
  <r>
    <x v="6407"/>
    <x v="26"/>
    <x v="4"/>
    <x v="2"/>
    <s v="MG Advanced"/>
    <s v="Xx-zobam"/>
    <x v="0"/>
    <d v="2017-09-03T00:00:00"/>
    <x v="247"/>
    <n v="3595"/>
  </r>
  <r>
    <x v="6408"/>
    <x v="14"/>
    <x v="3"/>
    <x v="1"/>
    <s v="MG Special"/>
    <m/>
    <x v="1"/>
    <d v="2017-09-03T00:00:00"/>
    <x v="6"/>
    <m/>
  </r>
  <r>
    <x v="6409"/>
    <x v="8"/>
    <x v="1"/>
    <x v="0"/>
    <s v="GTXPro"/>
    <s v="Treequote"/>
    <x v="2"/>
    <d v="2017-09-03T00:00:00"/>
    <x v="217"/>
    <n v="0"/>
  </r>
  <r>
    <x v="6410"/>
    <x v="8"/>
    <x v="1"/>
    <x v="0"/>
    <s v="GTXPro"/>
    <s v="Inity"/>
    <x v="0"/>
    <d v="2017-09-03T00:00:00"/>
    <x v="236"/>
    <n v="4981"/>
  </r>
  <r>
    <x v="6411"/>
    <x v="10"/>
    <x v="3"/>
    <x v="1"/>
    <s v="GTX Plus Basic"/>
    <m/>
    <x v="1"/>
    <d v="2017-09-03T00:00:00"/>
    <x v="6"/>
    <m/>
  </r>
  <r>
    <x v="6412"/>
    <x v="10"/>
    <x v="3"/>
    <x v="1"/>
    <s v="MG Special"/>
    <s v="Finhigh"/>
    <x v="1"/>
    <d v="2017-09-03T00:00:00"/>
    <x v="6"/>
    <m/>
  </r>
  <r>
    <x v="6413"/>
    <x v="7"/>
    <x v="2"/>
    <x v="1"/>
    <s v="GTX Basic"/>
    <s v="Hatfan"/>
    <x v="0"/>
    <d v="2017-09-03T00:00:00"/>
    <x v="163"/>
    <n v="524"/>
  </r>
  <r>
    <x v="6414"/>
    <x v="7"/>
    <x v="2"/>
    <x v="1"/>
    <s v="MG Special"/>
    <s v="Nam-zim"/>
    <x v="0"/>
    <d v="2017-09-03T00:00:00"/>
    <x v="258"/>
    <n v="54"/>
  </r>
  <r>
    <x v="6415"/>
    <x v="29"/>
    <x v="1"/>
    <x v="0"/>
    <s v="GTXPro"/>
    <s v="Funholding"/>
    <x v="0"/>
    <d v="2017-09-03T00:00:00"/>
    <x v="169"/>
    <n v="5080"/>
  </r>
  <r>
    <x v="6416"/>
    <x v="18"/>
    <x v="2"/>
    <x v="1"/>
    <s v="GTX Plus Pro"/>
    <m/>
    <x v="1"/>
    <d v="2017-09-03T00:00:00"/>
    <x v="6"/>
    <m/>
  </r>
  <r>
    <x v="6417"/>
    <x v="5"/>
    <x v="3"/>
    <x v="1"/>
    <s v="MG Special"/>
    <s v="Scotfind"/>
    <x v="0"/>
    <d v="2017-09-03T00:00:00"/>
    <x v="239"/>
    <n v="50"/>
  </r>
  <r>
    <x v="6418"/>
    <x v="9"/>
    <x v="2"/>
    <x v="1"/>
    <s v="GTX Plus Pro"/>
    <s v="Nam-zim"/>
    <x v="0"/>
    <d v="2017-09-03T00:00:00"/>
    <x v="172"/>
    <n v="6656"/>
  </r>
  <r>
    <x v="6419"/>
    <x v="19"/>
    <x v="4"/>
    <x v="2"/>
    <s v="GTXPro"/>
    <s v="Donquadtech"/>
    <x v="0"/>
    <d v="2017-09-03T00:00:00"/>
    <x v="154"/>
    <n v="4641"/>
  </r>
  <r>
    <x v="6420"/>
    <x v="11"/>
    <x v="3"/>
    <x v="1"/>
    <s v="GTK 500"/>
    <s v="Xx-holding"/>
    <x v="0"/>
    <d v="2017-09-03T00:00:00"/>
    <x v="234"/>
    <n v="26186"/>
  </r>
  <r>
    <x v="6421"/>
    <x v="4"/>
    <x v="3"/>
    <x v="1"/>
    <s v="MG Special"/>
    <m/>
    <x v="1"/>
    <d v="2017-09-03T00:00:00"/>
    <x v="6"/>
    <m/>
  </r>
  <r>
    <x v="6422"/>
    <x v="4"/>
    <x v="3"/>
    <x v="1"/>
    <s v="MG Advanced"/>
    <s v="Newex"/>
    <x v="0"/>
    <d v="2017-09-03T00:00:00"/>
    <x v="163"/>
    <n v="4251"/>
  </r>
  <r>
    <x v="6423"/>
    <x v="15"/>
    <x v="5"/>
    <x v="2"/>
    <s v="GTX Basic"/>
    <m/>
    <x v="1"/>
    <d v="2017-09-03T00:00:00"/>
    <x v="6"/>
    <m/>
  </r>
  <r>
    <x v="6424"/>
    <x v="15"/>
    <x v="5"/>
    <x v="2"/>
    <s v="MG Special"/>
    <s v="Ganjaflex"/>
    <x v="0"/>
    <d v="2017-09-03T00:00:00"/>
    <x v="171"/>
    <n v="51"/>
  </r>
  <r>
    <x v="6425"/>
    <x v="15"/>
    <x v="5"/>
    <x v="2"/>
    <s v="MG Special"/>
    <s v="Gekko &amp; Co"/>
    <x v="0"/>
    <d v="2017-09-03T00:00:00"/>
    <x v="207"/>
    <n v="62"/>
  </r>
  <r>
    <x v="6426"/>
    <x v="2"/>
    <x v="2"/>
    <x v="1"/>
    <s v="GTX Basic"/>
    <s v="Golddex"/>
    <x v="2"/>
    <d v="2017-09-03T00:00:00"/>
    <x v="196"/>
    <n v="0"/>
  </r>
  <r>
    <x v="6427"/>
    <x v="3"/>
    <x v="0"/>
    <x v="0"/>
    <s v="MG Advanced"/>
    <s v="Stanredtax"/>
    <x v="2"/>
    <d v="2017-09-04T00:00:00"/>
    <x v="231"/>
    <n v="0"/>
  </r>
  <r>
    <x v="6428"/>
    <x v="3"/>
    <x v="0"/>
    <x v="0"/>
    <s v="MG Special"/>
    <s v="Scottech"/>
    <x v="0"/>
    <d v="2017-09-04T00:00:00"/>
    <x v="235"/>
    <n v="58"/>
  </r>
  <r>
    <x v="6429"/>
    <x v="25"/>
    <x v="4"/>
    <x v="2"/>
    <s v="GTX Plus Basic"/>
    <s v="Donware"/>
    <x v="0"/>
    <d v="2017-09-04T00:00:00"/>
    <x v="210"/>
    <n v="973"/>
  </r>
  <r>
    <x v="6430"/>
    <x v="25"/>
    <x v="4"/>
    <x v="2"/>
    <s v="GTX Plus Pro"/>
    <s v="Kinnamplus"/>
    <x v="0"/>
    <d v="2017-09-04T00:00:00"/>
    <x v="160"/>
    <n v="4954"/>
  </r>
  <r>
    <x v="6431"/>
    <x v="23"/>
    <x v="4"/>
    <x v="2"/>
    <s v="GTXPro"/>
    <s v="Condax"/>
    <x v="0"/>
    <d v="2017-09-04T00:00:00"/>
    <x v="144"/>
    <n v="5113"/>
  </r>
  <r>
    <x v="6432"/>
    <x v="27"/>
    <x v="5"/>
    <x v="2"/>
    <s v="GTXPro"/>
    <m/>
    <x v="1"/>
    <d v="2017-09-04T00:00:00"/>
    <x v="6"/>
    <m/>
  </r>
  <r>
    <x v="6433"/>
    <x v="27"/>
    <x v="5"/>
    <x v="2"/>
    <s v="GTX Plus Pro"/>
    <s v="Xx-zobam"/>
    <x v="0"/>
    <d v="2017-09-04T00:00:00"/>
    <x v="274"/>
    <n v="4631"/>
  </r>
  <r>
    <x v="6434"/>
    <x v="13"/>
    <x v="4"/>
    <x v="2"/>
    <s v="GTX Plus Pro"/>
    <s v="Condax"/>
    <x v="0"/>
    <d v="2017-09-04T00:00:00"/>
    <x v="196"/>
    <n v="5807"/>
  </r>
  <r>
    <x v="6435"/>
    <x v="1"/>
    <x v="1"/>
    <x v="0"/>
    <s v="GTX Plus Basic"/>
    <s v="Hottechi"/>
    <x v="2"/>
    <d v="2017-09-04T00:00:00"/>
    <x v="262"/>
    <n v="0"/>
  </r>
  <r>
    <x v="6436"/>
    <x v="8"/>
    <x v="1"/>
    <x v="0"/>
    <s v="GTX Basic"/>
    <s v="Zumgoity"/>
    <x v="0"/>
    <d v="2017-09-04T00:00:00"/>
    <x v="247"/>
    <n v="640"/>
  </r>
  <r>
    <x v="6437"/>
    <x v="8"/>
    <x v="1"/>
    <x v="0"/>
    <s v="MG Advanced"/>
    <s v="Konmatfix"/>
    <x v="0"/>
    <d v="2017-09-04T00:00:00"/>
    <x v="256"/>
    <n v="3830"/>
  </r>
  <r>
    <x v="6438"/>
    <x v="7"/>
    <x v="2"/>
    <x v="1"/>
    <s v="GTX Plus Pro"/>
    <s v="Cheers"/>
    <x v="0"/>
    <d v="2017-09-04T00:00:00"/>
    <x v="270"/>
    <n v="5285"/>
  </r>
  <r>
    <x v="6439"/>
    <x v="29"/>
    <x v="1"/>
    <x v="0"/>
    <s v="GTXPro"/>
    <s v="Betatech"/>
    <x v="2"/>
    <d v="2017-09-04T00:00:00"/>
    <x v="232"/>
    <n v="0"/>
  </r>
  <r>
    <x v="6440"/>
    <x v="16"/>
    <x v="2"/>
    <x v="1"/>
    <s v="GTX Basic"/>
    <s v="Xx-holding"/>
    <x v="2"/>
    <d v="2017-09-04T00:00:00"/>
    <x v="229"/>
    <n v="0"/>
  </r>
  <r>
    <x v="6441"/>
    <x v="0"/>
    <x v="0"/>
    <x v="0"/>
    <s v="GTX Plus Basic"/>
    <s v="Domzoom"/>
    <x v="0"/>
    <d v="2017-09-04T00:00:00"/>
    <x v="271"/>
    <n v="975"/>
  </r>
  <r>
    <x v="6442"/>
    <x v="0"/>
    <x v="0"/>
    <x v="0"/>
    <s v="GTX Plus Basic"/>
    <s v="Funholding"/>
    <x v="0"/>
    <d v="2017-09-04T00:00:00"/>
    <x v="254"/>
    <n v="847"/>
  </r>
  <r>
    <x v="6443"/>
    <x v="6"/>
    <x v="1"/>
    <x v="0"/>
    <s v="MG Advanced"/>
    <s v="Rangreen"/>
    <x v="0"/>
    <d v="2017-09-04T00:00:00"/>
    <x v="273"/>
    <n v="2814"/>
  </r>
  <r>
    <x v="6444"/>
    <x v="11"/>
    <x v="3"/>
    <x v="1"/>
    <s v="MG Advanced"/>
    <s v="Lexiqvolax"/>
    <x v="0"/>
    <d v="2017-09-04T00:00:00"/>
    <x v="205"/>
    <n v="3275"/>
  </r>
  <r>
    <x v="6445"/>
    <x v="12"/>
    <x v="0"/>
    <x v="0"/>
    <s v="MG Special"/>
    <s v="Betatech"/>
    <x v="0"/>
    <d v="2017-09-04T00:00:00"/>
    <x v="274"/>
    <n v="41"/>
  </r>
  <r>
    <x v="6446"/>
    <x v="4"/>
    <x v="3"/>
    <x v="1"/>
    <s v="GTX Plus Pro"/>
    <s v="Dalttechnology"/>
    <x v="0"/>
    <d v="2017-09-04T00:00:00"/>
    <x v="232"/>
    <n v="5185"/>
  </r>
  <r>
    <x v="6447"/>
    <x v="4"/>
    <x v="3"/>
    <x v="1"/>
    <s v="GTXPro"/>
    <s v="Dalttechnology"/>
    <x v="0"/>
    <d v="2017-09-04T00:00:00"/>
    <x v="152"/>
    <n v="5191"/>
  </r>
  <r>
    <x v="6448"/>
    <x v="15"/>
    <x v="5"/>
    <x v="2"/>
    <s v="GTX Plus Basic"/>
    <m/>
    <x v="1"/>
    <d v="2017-09-04T00:00:00"/>
    <x v="6"/>
    <m/>
  </r>
  <r>
    <x v="6449"/>
    <x v="15"/>
    <x v="5"/>
    <x v="2"/>
    <s v="MG Special"/>
    <s v="Mathtouch"/>
    <x v="0"/>
    <d v="2017-09-04T00:00:00"/>
    <x v="233"/>
    <n v="59"/>
  </r>
  <r>
    <x v="6450"/>
    <x v="15"/>
    <x v="5"/>
    <x v="2"/>
    <s v="MG Special"/>
    <s v="Silis"/>
    <x v="0"/>
    <d v="2017-09-04T00:00:00"/>
    <x v="250"/>
    <n v="54"/>
  </r>
  <r>
    <x v="6451"/>
    <x v="2"/>
    <x v="2"/>
    <x v="1"/>
    <s v="GTX Basic"/>
    <m/>
    <x v="1"/>
    <d v="2017-09-04T00:00:00"/>
    <x v="6"/>
    <m/>
  </r>
  <r>
    <x v="6452"/>
    <x v="2"/>
    <x v="2"/>
    <x v="1"/>
    <s v="MG Advanced"/>
    <m/>
    <x v="1"/>
    <d v="2017-09-04T00:00:00"/>
    <x v="6"/>
    <m/>
  </r>
  <r>
    <x v="6453"/>
    <x v="25"/>
    <x v="4"/>
    <x v="2"/>
    <s v="GTXPro"/>
    <m/>
    <x v="1"/>
    <d v="2017-09-05T00:00:00"/>
    <x v="6"/>
    <m/>
  </r>
  <r>
    <x v="6454"/>
    <x v="27"/>
    <x v="5"/>
    <x v="2"/>
    <s v="GTX Plus Basic"/>
    <s v="Iselectrics"/>
    <x v="0"/>
    <d v="2017-09-05T00:00:00"/>
    <x v="221"/>
    <n v="1076"/>
  </r>
  <r>
    <x v="6455"/>
    <x v="13"/>
    <x v="4"/>
    <x v="2"/>
    <s v="GTX Basic"/>
    <s v="Plussunin"/>
    <x v="0"/>
    <d v="2017-09-05T00:00:00"/>
    <x v="228"/>
    <n v="490"/>
  </r>
  <r>
    <x v="6456"/>
    <x v="1"/>
    <x v="1"/>
    <x v="0"/>
    <s v="GTX Plus Pro"/>
    <s v="dambase"/>
    <x v="2"/>
    <d v="2017-09-05T00:00:00"/>
    <x v="253"/>
    <n v="0"/>
  </r>
  <r>
    <x v="6457"/>
    <x v="1"/>
    <x v="1"/>
    <x v="0"/>
    <s v="GTXPro"/>
    <s v="Betatech"/>
    <x v="2"/>
    <d v="2017-09-05T00:00:00"/>
    <x v="160"/>
    <n v="0"/>
  </r>
  <r>
    <x v="6458"/>
    <x v="8"/>
    <x v="1"/>
    <x v="0"/>
    <s v="MG Special"/>
    <s v="Betatech"/>
    <x v="2"/>
    <d v="2017-09-05T00:00:00"/>
    <x v="249"/>
    <n v="0"/>
  </r>
  <r>
    <x v="6459"/>
    <x v="10"/>
    <x v="3"/>
    <x v="1"/>
    <s v="GTX Plus Pro"/>
    <s v="Konmatfix"/>
    <x v="1"/>
    <d v="2017-09-05T00:00:00"/>
    <x v="6"/>
    <m/>
  </r>
  <r>
    <x v="6460"/>
    <x v="16"/>
    <x v="2"/>
    <x v="1"/>
    <s v="GTX Basic"/>
    <m/>
    <x v="1"/>
    <d v="2017-09-05T00:00:00"/>
    <x v="6"/>
    <m/>
  </r>
  <r>
    <x v="6461"/>
    <x v="18"/>
    <x v="2"/>
    <x v="1"/>
    <s v="GTX Basic"/>
    <s v="Konex"/>
    <x v="2"/>
    <d v="2017-09-05T00:00:00"/>
    <x v="220"/>
    <n v="0"/>
  </r>
  <r>
    <x v="6462"/>
    <x v="18"/>
    <x v="2"/>
    <x v="1"/>
    <s v="GTXPro"/>
    <s v="Labdrill"/>
    <x v="0"/>
    <d v="2017-09-05T00:00:00"/>
    <x v="275"/>
    <n v="5663"/>
  </r>
  <r>
    <x v="6463"/>
    <x v="5"/>
    <x v="3"/>
    <x v="1"/>
    <s v="GTX Plus Basic"/>
    <s v="Hottechi"/>
    <x v="2"/>
    <d v="2017-09-05T00:00:00"/>
    <x v="205"/>
    <n v="0"/>
  </r>
  <r>
    <x v="6464"/>
    <x v="9"/>
    <x v="2"/>
    <x v="1"/>
    <s v="GTX Basic"/>
    <s v="Bioplex"/>
    <x v="1"/>
    <d v="2017-09-05T00:00:00"/>
    <x v="6"/>
    <m/>
  </r>
  <r>
    <x v="6465"/>
    <x v="6"/>
    <x v="1"/>
    <x v="0"/>
    <s v="GTX Plus Basic"/>
    <s v="Rundofase"/>
    <x v="2"/>
    <d v="2017-09-05T00:00:00"/>
    <x v="244"/>
    <n v="0"/>
  </r>
  <r>
    <x v="6466"/>
    <x v="6"/>
    <x v="1"/>
    <x v="0"/>
    <s v="GTX Plus Basic"/>
    <s v="Dontechi"/>
    <x v="0"/>
    <d v="2017-09-05T00:00:00"/>
    <x v="169"/>
    <n v="1166"/>
  </r>
  <r>
    <x v="6467"/>
    <x v="11"/>
    <x v="3"/>
    <x v="1"/>
    <s v="MG Special"/>
    <s v="Nam-zim"/>
    <x v="2"/>
    <d v="2017-09-05T00:00:00"/>
    <x v="163"/>
    <n v="0"/>
  </r>
  <r>
    <x v="6468"/>
    <x v="12"/>
    <x v="0"/>
    <x v="0"/>
    <s v="MG Special"/>
    <s v="Konmatfix"/>
    <x v="2"/>
    <d v="2017-09-05T00:00:00"/>
    <x v="152"/>
    <n v="0"/>
  </r>
  <r>
    <x v="6469"/>
    <x v="12"/>
    <x v="0"/>
    <x v="0"/>
    <s v="MG Special"/>
    <s v="Rangreen"/>
    <x v="2"/>
    <d v="2017-09-05T00:00:00"/>
    <x v="244"/>
    <n v="0"/>
  </r>
  <r>
    <x v="6470"/>
    <x v="4"/>
    <x v="3"/>
    <x v="1"/>
    <s v="GTX Basic"/>
    <s v="Lexiqvolax"/>
    <x v="0"/>
    <d v="2017-09-05T00:00:00"/>
    <x v="240"/>
    <n v="491"/>
  </r>
  <r>
    <x v="6471"/>
    <x v="4"/>
    <x v="3"/>
    <x v="1"/>
    <s v="GTX Plus Pro"/>
    <s v="Green-Plus"/>
    <x v="0"/>
    <d v="2017-09-05T00:00:00"/>
    <x v="233"/>
    <n v="5532"/>
  </r>
  <r>
    <x v="6472"/>
    <x v="4"/>
    <x v="3"/>
    <x v="1"/>
    <s v="MG Advanced"/>
    <s v="Blackzim"/>
    <x v="0"/>
    <d v="2017-09-05T00:00:00"/>
    <x v="226"/>
    <n v="3930"/>
  </r>
  <r>
    <x v="6473"/>
    <x v="4"/>
    <x v="3"/>
    <x v="1"/>
    <s v="MG Advanced"/>
    <s v="Labdrill"/>
    <x v="0"/>
    <d v="2017-09-05T00:00:00"/>
    <x v="235"/>
    <n v="2689"/>
  </r>
  <r>
    <x v="6474"/>
    <x v="23"/>
    <x v="4"/>
    <x v="2"/>
    <s v="GTX Basic"/>
    <m/>
    <x v="1"/>
    <d v="2017-09-06T00:00:00"/>
    <x v="6"/>
    <m/>
  </r>
  <r>
    <x v="6475"/>
    <x v="23"/>
    <x v="4"/>
    <x v="2"/>
    <s v="GTX Plus Basic"/>
    <s v="Ontomedia"/>
    <x v="1"/>
    <d v="2017-09-06T00:00:00"/>
    <x v="6"/>
    <m/>
  </r>
  <r>
    <x v="6476"/>
    <x v="13"/>
    <x v="4"/>
    <x v="2"/>
    <s v="GTX Basic"/>
    <m/>
    <x v="1"/>
    <d v="2017-09-06T00:00:00"/>
    <x v="6"/>
    <m/>
  </r>
  <r>
    <x v="6477"/>
    <x v="1"/>
    <x v="1"/>
    <x v="0"/>
    <s v="GTXPro"/>
    <s v="Codehow"/>
    <x v="0"/>
    <d v="2017-09-06T00:00:00"/>
    <x v="232"/>
    <n v="5987"/>
  </r>
  <r>
    <x v="6478"/>
    <x v="1"/>
    <x v="1"/>
    <x v="0"/>
    <s v="GTXPro"/>
    <s v="Treequote"/>
    <x v="0"/>
    <d v="2017-09-06T00:00:00"/>
    <x v="265"/>
    <n v="5141"/>
  </r>
  <r>
    <x v="6479"/>
    <x v="1"/>
    <x v="1"/>
    <x v="0"/>
    <s v="MG Special"/>
    <s v="Codehow"/>
    <x v="0"/>
    <d v="2017-09-06T00:00:00"/>
    <x v="160"/>
    <n v="48"/>
  </r>
  <r>
    <x v="6480"/>
    <x v="26"/>
    <x v="4"/>
    <x v="2"/>
    <s v="GTXPro"/>
    <s v="Plussunin"/>
    <x v="2"/>
    <d v="2017-09-06T00:00:00"/>
    <x v="197"/>
    <n v="0"/>
  </r>
  <r>
    <x v="6481"/>
    <x v="26"/>
    <x v="4"/>
    <x v="2"/>
    <s v="MG Advanced"/>
    <s v="Xx-zobam"/>
    <x v="0"/>
    <d v="2017-09-06T00:00:00"/>
    <x v="170"/>
    <n v="3206"/>
  </r>
  <r>
    <x v="6482"/>
    <x v="14"/>
    <x v="3"/>
    <x v="1"/>
    <s v="MG Special"/>
    <s v="Labdrill"/>
    <x v="0"/>
    <d v="2017-09-06T00:00:00"/>
    <x v="246"/>
    <n v="61"/>
  </r>
  <r>
    <x v="6483"/>
    <x v="21"/>
    <x v="5"/>
    <x v="2"/>
    <s v="GTX Plus Basic"/>
    <s v="Acme Corporation"/>
    <x v="2"/>
    <d v="2017-09-06T00:00:00"/>
    <x v="240"/>
    <n v="0"/>
  </r>
  <r>
    <x v="6484"/>
    <x v="8"/>
    <x v="1"/>
    <x v="0"/>
    <s v="GTXPro"/>
    <s v="Konmatfix"/>
    <x v="0"/>
    <d v="2017-09-06T00:00:00"/>
    <x v="241"/>
    <n v="5078"/>
  </r>
  <r>
    <x v="6485"/>
    <x v="29"/>
    <x v="1"/>
    <x v="0"/>
    <s v="GTX Basic"/>
    <s v="Statholdings"/>
    <x v="2"/>
    <d v="2017-09-06T00:00:00"/>
    <x v="232"/>
    <n v="0"/>
  </r>
  <r>
    <x v="6486"/>
    <x v="29"/>
    <x v="1"/>
    <x v="0"/>
    <s v="GTX Basic"/>
    <s v="Streethex"/>
    <x v="0"/>
    <d v="2017-09-06T00:00:00"/>
    <x v="233"/>
    <n v="532"/>
  </r>
  <r>
    <x v="6487"/>
    <x v="16"/>
    <x v="2"/>
    <x v="1"/>
    <s v="GTX Basic"/>
    <m/>
    <x v="1"/>
    <d v="2017-09-06T00:00:00"/>
    <x v="6"/>
    <m/>
  </r>
  <r>
    <x v="6488"/>
    <x v="16"/>
    <x v="2"/>
    <x v="1"/>
    <s v="MG Special"/>
    <s v="Lexiqvolax"/>
    <x v="0"/>
    <d v="2017-09-06T00:00:00"/>
    <x v="152"/>
    <n v="56"/>
  </r>
  <r>
    <x v="6489"/>
    <x v="18"/>
    <x v="2"/>
    <x v="1"/>
    <s v="GTX Basic"/>
    <s v="Iselectrics"/>
    <x v="1"/>
    <d v="2017-09-06T00:00:00"/>
    <x v="6"/>
    <m/>
  </r>
  <r>
    <x v="6490"/>
    <x v="5"/>
    <x v="3"/>
    <x v="1"/>
    <s v="GTX Plus Basic"/>
    <s v="Scotfind"/>
    <x v="0"/>
    <d v="2017-09-06T00:00:00"/>
    <x v="257"/>
    <n v="1182"/>
  </r>
  <r>
    <x v="6491"/>
    <x v="22"/>
    <x v="1"/>
    <x v="0"/>
    <s v="GTX Plus Pro"/>
    <s v="Funholding"/>
    <x v="0"/>
    <d v="2017-09-06T00:00:00"/>
    <x v="245"/>
    <n v="5788"/>
  </r>
  <r>
    <x v="6492"/>
    <x v="12"/>
    <x v="0"/>
    <x v="0"/>
    <s v="MG Special"/>
    <s v="Streethex"/>
    <x v="2"/>
    <d v="2017-09-06T00:00:00"/>
    <x v="160"/>
    <n v="0"/>
  </r>
  <r>
    <x v="6493"/>
    <x v="12"/>
    <x v="0"/>
    <x v="0"/>
    <s v="MG Special"/>
    <s v="Cancity"/>
    <x v="0"/>
    <d v="2017-09-06T00:00:00"/>
    <x v="158"/>
    <n v="61"/>
  </r>
  <r>
    <x v="6494"/>
    <x v="4"/>
    <x v="3"/>
    <x v="1"/>
    <s v="GTXPro"/>
    <s v="Scotfind"/>
    <x v="0"/>
    <d v="2017-09-06T00:00:00"/>
    <x v="242"/>
    <n v="5115"/>
  </r>
  <r>
    <x v="6495"/>
    <x v="4"/>
    <x v="3"/>
    <x v="1"/>
    <s v="GTXPro"/>
    <s v="Y-corporation"/>
    <x v="0"/>
    <d v="2017-09-06T00:00:00"/>
    <x v="152"/>
    <n v="5227"/>
  </r>
  <r>
    <x v="6496"/>
    <x v="15"/>
    <x v="5"/>
    <x v="2"/>
    <s v="MG Special"/>
    <m/>
    <x v="1"/>
    <d v="2017-09-06T00:00:00"/>
    <x v="6"/>
    <m/>
  </r>
  <r>
    <x v="6497"/>
    <x v="20"/>
    <x v="5"/>
    <x v="2"/>
    <s v="GTX Plus Basic"/>
    <s v="Zathunicon"/>
    <x v="0"/>
    <d v="2017-09-06T00:00:00"/>
    <x v="258"/>
    <n v="1144"/>
  </r>
  <r>
    <x v="6498"/>
    <x v="2"/>
    <x v="2"/>
    <x v="1"/>
    <s v="MG Special"/>
    <s v="Groovestreet"/>
    <x v="1"/>
    <d v="2017-09-06T00:00:00"/>
    <x v="6"/>
    <m/>
  </r>
  <r>
    <x v="6499"/>
    <x v="3"/>
    <x v="0"/>
    <x v="0"/>
    <s v="MG Special"/>
    <s v="Statholdings"/>
    <x v="2"/>
    <d v="2017-09-07T00:00:00"/>
    <x v="229"/>
    <n v="0"/>
  </r>
  <r>
    <x v="6500"/>
    <x v="3"/>
    <x v="0"/>
    <x v="0"/>
    <s v="GTX Plus Basic"/>
    <s v="Ron-tech"/>
    <x v="0"/>
    <d v="2017-09-07T00:00:00"/>
    <x v="239"/>
    <n v="1249"/>
  </r>
  <r>
    <x v="6501"/>
    <x v="25"/>
    <x v="4"/>
    <x v="2"/>
    <s v="GTX Plus Basic"/>
    <m/>
    <x v="1"/>
    <d v="2017-09-07T00:00:00"/>
    <x v="6"/>
    <m/>
  </r>
  <r>
    <x v="6502"/>
    <x v="25"/>
    <x v="4"/>
    <x v="2"/>
    <s v="GTX Plus Basic"/>
    <s v="Sumace"/>
    <x v="0"/>
    <d v="2017-09-07T00:00:00"/>
    <x v="259"/>
    <n v="1106"/>
  </r>
  <r>
    <x v="6503"/>
    <x v="23"/>
    <x v="4"/>
    <x v="2"/>
    <s v="GTX Plus Basic"/>
    <s v="Bubba Gump"/>
    <x v="0"/>
    <d v="2017-09-07T00:00:00"/>
    <x v="229"/>
    <n v="1251"/>
  </r>
  <r>
    <x v="6504"/>
    <x v="27"/>
    <x v="5"/>
    <x v="2"/>
    <s v="GTXPro"/>
    <s v="Plussunin"/>
    <x v="2"/>
    <d v="2017-09-07T00:00:00"/>
    <x v="229"/>
    <n v="0"/>
  </r>
  <r>
    <x v="6505"/>
    <x v="27"/>
    <x v="5"/>
    <x v="2"/>
    <s v="GTXPro"/>
    <s v="Donware"/>
    <x v="0"/>
    <d v="2017-09-07T00:00:00"/>
    <x v="153"/>
    <n v="4975"/>
  </r>
  <r>
    <x v="6506"/>
    <x v="27"/>
    <x v="5"/>
    <x v="2"/>
    <s v="MG Special"/>
    <s v="Umbrella Corporation"/>
    <x v="0"/>
    <d v="2017-09-07T00:00:00"/>
    <x v="180"/>
    <n v="54"/>
  </r>
  <r>
    <x v="6507"/>
    <x v="1"/>
    <x v="1"/>
    <x v="0"/>
    <s v="GTXPro"/>
    <s v="Ron-tech"/>
    <x v="0"/>
    <d v="2017-09-07T00:00:00"/>
    <x v="207"/>
    <n v="3975"/>
  </r>
  <r>
    <x v="6508"/>
    <x v="1"/>
    <x v="1"/>
    <x v="0"/>
    <s v="MG Advanced"/>
    <s v="Codehow"/>
    <x v="0"/>
    <d v="2017-09-07T00:00:00"/>
    <x v="158"/>
    <n v="2969"/>
  </r>
  <r>
    <x v="6509"/>
    <x v="21"/>
    <x v="5"/>
    <x v="2"/>
    <s v="GTX Basic"/>
    <s v="Sumace"/>
    <x v="0"/>
    <d v="2017-09-07T00:00:00"/>
    <x v="160"/>
    <n v="558"/>
  </r>
  <r>
    <x v="6510"/>
    <x v="8"/>
    <x v="1"/>
    <x v="0"/>
    <s v="GTXPro"/>
    <s v="Isdom"/>
    <x v="2"/>
    <d v="2017-09-07T00:00:00"/>
    <x v="246"/>
    <n v="0"/>
  </r>
  <r>
    <x v="6511"/>
    <x v="29"/>
    <x v="1"/>
    <x v="0"/>
    <s v="GTX Basic"/>
    <s v="Betatech"/>
    <x v="0"/>
    <d v="2017-09-07T00:00:00"/>
    <x v="153"/>
    <n v="585"/>
  </r>
  <r>
    <x v="6512"/>
    <x v="18"/>
    <x v="2"/>
    <x v="1"/>
    <s v="GTX Basic"/>
    <s v="Plexzap"/>
    <x v="0"/>
    <d v="2017-09-07T00:00:00"/>
    <x v="268"/>
    <n v="566"/>
  </r>
  <r>
    <x v="6513"/>
    <x v="5"/>
    <x v="3"/>
    <x v="1"/>
    <s v="GTXPro"/>
    <s v="Scotfind"/>
    <x v="0"/>
    <d v="2017-09-07T00:00:00"/>
    <x v="264"/>
    <n v="4722"/>
  </r>
  <r>
    <x v="6514"/>
    <x v="0"/>
    <x v="0"/>
    <x v="0"/>
    <s v="GTX Plus Basic"/>
    <s v="Condax"/>
    <x v="0"/>
    <d v="2017-09-07T00:00:00"/>
    <x v="263"/>
    <n v="1033"/>
  </r>
  <r>
    <x v="6515"/>
    <x v="6"/>
    <x v="1"/>
    <x v="0"/>
    <s v="GTX Basic"/>
    <s v="Dontechi"/>
    <x v="0"/>
    <d v="2017-09-07T00:00:00"/>
    <x v="251"/>
    <n v="587"/>
  </r>
  <r>
    <x v="6516"/>
    <x v="19"/>
    <x v="4"/>
    <x v="2"/>
    <s v="GTX Plus Pro"/>
    <s v="Silis"/>
    <x v="2"/>
    <d v="2017-09-07T00:00:00"/>
    <x v="237"/>
    <n v="0"/>
  </r>
  <r>
    <x v="6517"/>
    <x v="11"/>
    <x v="3"/>
    <x v="1"/>
    <s v="MG Special"/>
    <s v="Iselectrics"/>
    <x v="1"/>
    <d v="2017-09-07T00:00:00"/>
    <x v="6"/>
    <m/>
  </r>
  <r>
    <x v="6518"/>
    <x v="12"/>
    <x v="0"/>
    <x v="0"/>
    <s v="MG Special"/>
    <s v="Funholding"/>
    <x v="0"/>
    <d v="2017-09-07T00:00:00"/>
    <x v="199"/>
    <n v="62"/>
  </r>
  <r>
    <x v="6519"/>
    <x v="12"/>
    <x v="0"/>
    <x v="0"/>
    <s v="MG Special"/>
    <s v="Konmatfix"/>
    <x v="0"/>
    <d v="2017-09-07T00:00:00"/>
    <x v="239"/>
    <n v="54"/>
  </r>
  <r>
    <x v="6520"/>
    <x v="4"/>
    <x v="3"/>
    <x v="1"/>
    <s v="GTX Basic"/>
    <s v="Condax"/>
    <x v="0"/>
    <d v="2017-09-07T00:00:00"/>
    <x v="197"/>
    <n v="499"/>
  </r>
  <r>
    <x v="6521"/>
    <x v="20"/>
    <x v="5"/>
    <x v="2"/>
    <s v="GTX Plus Pro"/>
    <s v="Zotware"/>
    <x v="2"/>
    <d v="2017-09-07T00:00:00"/>
    <x v="221"/>
    <n v="0"/>
  </r>
  <r>
    <x v="6522"/>
    <x v="2"/>
    <x v="2"/>
    <x v="1"/>
    <s v="GTX Basic"/>
    <s v="Nam-zim"/>
    <x v="1"/>
    <d v="2017-09-07T00:00:00"/>
    <x v="6"/>
    <m/>
  </r>
  <r>
    <x v="6523"/>
    <x v="2"/>
    <x v="2"/>
    <x v="1"/>
    <s v="GTX Basic"/>
    <s v="Faxquote"/>
    <x v="0"/>
    <d v="2017-09-07T00:00:00"/>
    <x v="244"/>
    <n v="458"/>
  </r>
  <r>
    <x v="6524"/>
    <x v="2"/>
    <x v="2"/>
    <x v="1"/>
    <s v="MG Special"/>
    <s v="Condax"/>
    <x v="0"/>
    <d v="2017-09-07T00:00:00"/>
    <x v="262"/>
    <n v="61"/>
  </r>
  <r>
    <x v="6525"/>
    <x v="3"/>
    <x v="0"/>
    <x v="0"/>
    <s v="MG Special"/>
    <s v="Treequote"/>
    <x v="2"/>
    <d v="2017-09-08T00:00:00"/>
    <x v="268"/>
    <n v="0"/>
  </r>
  <r>
    <x v="6526"/>
    <x v="3"/>
    <x v="0"/>
    <x v="0"/>
    <s v="GTX Plus Pro"/>
    <s v="Funholding"/>
    <x v="0"/>
    <d v="2017-09-08T00:00:00"/>
    <x v="176"/>
    <n v="5600"/>
  </r>
  <r>
    <x v="6527"/>
    <x v="25"/>
    <x v="4"/>
    <x v="2"/>
    <s v="GTX Plus Pro"/>
    <s v="Umbrella Corporation"/>
    <x v="2"/>
    <d v="2017-09-08T00:00:00"/>
    <x v="232"/>
    <n v="0"/>
  </r>
  <r>
    <x v="6528"/>
    <x v="25"/>
    <x v="4"/>
    <x v="2"/>
    <s v="GTX Plus Basic"/>
    <s v="Zotware"/>
    <x v="0"/>
    <d v="2017-09-08T00:00:00"/>
    <x v="268"/>
    <n v="1259"/>
  </r>
  <r>
    <x v="6529"/>
    <x v="25"/>
    <x v="4"/>
    <x v="2"/>
    <s v="GTX Plus Basic"/>
    <s v="Zotware"/>
    <x v="0"/>
    <d v="2017-09-08T00:00:00"/>
    <x v="163"/>
    <n v="1114"/>
  </r>
  <r>
    <x v="6530"/>
    <x v="25"/>
    <x v="4"/>
    <x v="2"/>
    <s v="MG Special"/>
    <s v="Kinnamplus"/>
    <x v="0"/>
    <d v="2017-09-08T00:00:00"/>
    <x v="256"/>
    <n v="57"/>
  </r>
  <r>
    <x v="6531"/>
    <x v="23"/>
    <x v="4"/>
    <x v="2"/>
    <s v="GTX Plus Basic"/>
    <s v="Donquadtech"/>
    <x v="2"/>
    <d v="2017-09-08T00:00:00"/>
    <x v="256"/>
    <n v="0"/>
  </r>
  <r>
    <x v="6532"/>
    <x v="28"/>
    <x v="0"/>
    <x v="0"/>
    <s v="MG Special"/>
    <s v="Scottech"/>
    <x v="2"/>
    <d v="2017-09-08T00:00:00"/>
    <x v="221"/>
    <n v="0"/>
  </r>
  <r>
    <x v="6533"/>
    <x v="27"/>
    <x v="5"/>
    <x v="2"/>
    <s v="GTXPro"/>
    <s v="Bluth Company"/>
    <x v="2"/>
    <d v="2017-09-08T00:00:00"/>
    <x v="265"/>
    <n v="0"/>
  </r>
  <r>
    <x v="6534"/>
    <x v="13"/>
    <x v="4"/>
    <x v="2"/>
    <s v="GTXPro"/>
    <s v="Betasoloin"/>
    <x v="2"/>
    <d v="2017-09-08T00:00:00"/>
    <x v="165"/>
    <n v="0"/>
  </r>
  <r>
    <x v="6535"/>
    <x v="1"/>
    <x v="1"/>
    <x v="0"/>
    <s v="MG Advanced"/>
    <s v="Funholding"/>
    <x v="0"/>
    <d v="2017-09-08T00:00:00"/>
    <x v="154"/>
    <n v="3346"/>
  </r>
  <r>
    <x v="6536"/>
    <x v="26"/>
    <x v="4"/>
    <x v="2"/>
    <s v="GTX Basic"/>
    <s v="Kan-code"/>
    <x v="2"/>
    <d v="2017-09-08T00:00:00"/>
    <x v="153"/>
    <n v="0"/>
  </r>
  <r>
    <x v="6537"/>
    <x v="26"/>
    <x v="4"/>
    <x v="2"/>
    <s v="GTX Basic"/>
    <s v="Kan-code"/>
    <x v="2"/>
    <d v="2017-09-08T00:00:00"/>
    <x v="179"/>
    <n v="0"/>
  </r>
  <r>
    <x v="6538"/>
    <x v="26"/>
    <x v="4"/>
    <x v="2"/>
    <s v="MG Advanced"/>
    <s v="Ontomedia"/>
    <x v="2"/>
    <d v="2017-09-08T00:00:00"/>
    <x v="169"/>
    <n v="0"/>
  </r>
  <r>
    <x v="6539"/>
    <x v="14"/>
    <x v="3"/>
    <x v="1"/>
    <s v="GTX Basic"/>
    <s v="Green-Plus"/>
    <x v="2"/>
    <d v="2017-09-08T00:00:00"/>
    <x v="256"/>
    <n v="0"/>
  </r>
  <r>
    <x v="6540"/>
    <x v="7"/>
    <x v="2"/>
    <x v="1"/>
    <s v="GTXPro"/>
    <m/>
    <x v="1"/>
    <d v="2017-09-08T00:00:00"/>
    <x v="6"/>
    <m/>
  </r>
  <r>
    <x v="6541"/>
    <x v="7"/>
    <x v="2"/>
    <x v="1"/>
    <s v="MG Advanced"/>
    <m/>
    <x v="1"/>
    <d v="2017-09-08T00:00:00"/>
    <x v="6"/>
    <m/>
  </r>
  <r>
    <x v="6542"/>
    <x v="7"/>
    <x v="2"/>
    <x v="1"/>
    <s v="GTX Basic"/>
    <s v="Newex"/>
    <x v="0"/>
    <d v="2017-09-08T00:00:00"/>
    <x v="217"/>
    <n v="546"/>
  </r>
  <r>
    <x v="6543"/>
    <x v="29"/>
    <x v="1"/>
    <x v="0"/>
    <s v="GTX Basic"/>
    <s v="Bioholding"/>
    <x v="2"/>
    <d v="2017-09-08T00:00:00"/>
    <x v="217"/>
    <n v="0"/>
  </r>
  <r>
    <x v="6544"/>
    <x v="16"/>
    <x v="2"/>
    <x v="1"/>
    <s v="GTX Basic"/>
    <s v="Cheers"/>
    <x v="2"/>
    <d v="2017-09-08T00:00:00"/>
    <x v="226"/>
    <n v="0"/>
  </r>
  <r>
    <x v="6545"/>
    <x v="16"/>
    <x v="2"/>
    <x v="1"/>
    <s v="GTX Basic"/>
    <s v="Finjob"/>
    <x v="0"/>
    <d v="2017-09-08T00:00:00"/>
    <x v="253"/>
    <n v="596"/>
  </r>
  <r>
    <x v="6546"/>
    <x v="18"/>
    <x v="2"/>
    <x v="1"/>
    <s v="GTX Plus Basic"/>
    <s v="Sonron"/>
    <x v="2"/>
    <d v="2017-09-08T00:00:00"/>
    <x v="261"/>
    <n v="0"/>
  </r>
  <r>
    <x v="6547"/>
    <x v="18"/>
    <x v="2"/>
    <x v="1"/>
    <s v="GTX Plus Basic"/>
    <s v="Fasehatice"/>
    <x v="0"/>
    <d v="2017-09-08T00:00:00"/>
    <x v="250"/>
    <n v="1171"/>
  </r>
  <r>
    <x v="6548"/>
    <x v="22"/>
    <x v="1"/>
    <x v="0"/>
    <s v="GTX Plus Basic"/>
    <s v="Globex Corporation"/>
    <x v="0"/>
    <d v="2017-09-08T00:00:00"/>
    <x v="259"/>
    <n v="1021"/>
  </r>
  <r>
    <x v="6549"/>
    <x v="9"/>
    <x v="2"/>
    <x v="1"/>
    <s v="MG Special"/>
    <m/>
    <x v="1"/>
    <d v="2017-09-08T00:00:00"/>
    <x v="6"/>
    <m/>
  </r>
  <r>
    <x v="6550"/>
    <x v="19"/>
    <x v="4"/>
    <x v="2"/>
    <s v="MG Advanced"/>
    <s v="Kan-code"/>
    <x v="2"/>
    <d v="2017-09-08T00:00:00"/>
    <x v="221"/>
    <n v="0"/>
  </r>
  <r>
    <x v="6551"/>
    <x v="17"/>
    <x v="5"/>
    <x v="2"/>
    <s v="GTX Plus Pro"/>
    <s v="Donquadtech"/>
    <x v="2"/>
    <d v="2017-09-08T00:00:00"/>
    <x v="236"/>
    <n v="0"/>
  </r>
  <r>
    <x v="6552"/>
    <x v="2"/>
    <x v="2"/>
    <x v="1"/>
    <s v="MG Special"/>
    <s v="Fasehatice"/>
    <x v="2"/>
    <d v="2017-09-08T00:00:00"/>
    <x v="217"/>
    <n v="0"/>
  </r>
  <r>
    <x v="6553"/>
    <x v="2"/>
    <x v="2"/>
    <x v="1"/>
    <s v="MG Advanced"/>
    <s v="Kan-code"/>
    <x v="2"/>
    <d v="2017-09-08T00:00:00"/>
    <x v="247"/>
    <n v="0"/>
  </r>
  <r>
    <x v="6554"/>
    <x v="25"/>
    <x v="4"/>
    <x v="2"/>
    <s v="GTXPro"/>
    <s v="Mathtouch"/>
    <x v="0"/>
    <d v="2017-09-09T00:00:00"/>
    <x v="179"/>
    <n v="4609"/>
  </r>
  <r>
    <x v="6555"/>
    <x v="23"/>
    <x v="4"/>
    <x v="2"/>
    <s v="GTX Plus Basic"/>
    <s v="Zathunicon"/>
    <x v="2"/>
    <d v="2017-09-09T00:00:00"/>
    <x v="235"/>
    <n v="0"/>
  </r>
  <r>
    <x v="6556"/>
    <x v="28"/>
    <x v="0"/>
    <x v="0"/>
    <s v="GTX Basic"/>
    <s v="Bioholding"/>
    <x v="0"/>
    <d v="2017-09-09T00:00:00"/>
    <x v="179"/>
    <n v="600"/>
  </r>
  <r>
    <x v="6557"/>
    <x v="27"/>
    <x v="5"/>
    <x v="2"/>
    <s v="GTXPro"/>
    <s v="Konex"/>
    <x v="0"/>
    <d v="2017-09-09T00:00:00"/>
    <x v="160"/>
    <n v="5067"/>
  </r>
  <r>
    <x v="6558"/>
    <x v="1"/>
    <x v="1"/>
    <x v="0"/>
    <s v="GTXPro"/>
    <s v="Scottech"/>
    <x v="0"/>
    <d v="2017-09-09T00:00:00"/>
    <x v="252"/>
    <n v="5127"/>
  </r>
  <r>
    <x v="6559"/>
    <x v="26"/>
    <x v="4"/>
    <x v="2"/>
    <s v="GTX Basic"/>
    <s v="Ganjaflex"/>
    <x v="0"/>
    <d v="2017-09-09T00:00:00"/>
    <x v="274"/>
    <n v="547"/>
  </r>
  <r>
    <x v="6560"/>
    <x v="21"/>
    <x v="5"/>
    <x v="2"/>
    <s v="GTX Plus Pro"/>
    <s v="Plussunin"/>
    <x v="2"/>
    <d v="2017-09-09T00:00:00"/>
    <x v="173"/>
    <n v="0"/>
  </r>
  <r>
    <x v="6561"/>
    <x v="7"/>
    <x v="2"/>
    <x v="1"/>
    <s v="GTX Plus Basic"/>
    <s v="Initech"/>
    <x v="1"/>
    <d v="2017-09-09T00:00:00"/>
    <x v="6"/>
    <m/>
  </r>
  <r>
    <x v="6562"/>
    <x v="16"/>
    <x v="2"/>
    <x v="1"/>
    <s v="MG Advanced"/>
    <s v="Faxquote"/>
    <x v="2"/>
    <d v="2017-09-09T00:00:00"/>
    <x v="262"/>
    <n v="0"/>
  </r>
  <r>
    <x v="6563"/>
    <x v="16"/>
    <x v="2"/>
    <x v="1"/>
    <s v="GTX Basic"/>
    <s v="Faxquote"/>
    <x v="0"/>
    <d v="2017-09-09T00:00:00"/>
    <x v="247"/>
    <n v="582"/>
  </r>
  <r>
    <x v="6564"/>
    <x v="16"/>
    <x v="2"/>
    <x v="1"/>
    <s v="GTX Plus Basic"/>
    <s v="J-Texon"/>
    <x v="0"/>
    <d v="2017-09-09T00:00:00"/>
    <x v="174"/>
    <n v="1047"/>
  </r>
  <r>
    <x v="6565"/>
    <x v="24"/>
    <x v="0"/>
    <x v="0"/>
    <s v="MG Special"/>
    <s v="Funholding"/>
    <x v="2"/>
    <d v="2017-09-09T00:00:00"/>
    <x v="235"/>
    <n v="0"/>
  </r>
  <r>
    <x v="6566"/>
    <x v="5"/>
    <x v="3"/>
    <x v="1"/>
    <s v="GTX Plus Basic"/>
    <m/>
    <x v="1"/>
    <d v="2017-09-09T00:00:00"/>
    <x v="6"/>
    <m/>
  </r>
  <r>
    <x v="6567"/>
    <x v="6"/>
    <x v="1"/>
    <x v="0"/>
    <s v="GTXPro"/>
    <s v="Finhigh"/>
    <x v="2"/>
    <d v="2017-09-09T00:00:00"/>
    <x v="225"/>
    <n v="0"/>
  </r>
  <r>
    <x v="6568"/>
    <x v="6"/>
    <x v="1"/>
    <x v="0"/>
    <s v="GTX Basic"/>
    <s v="Domzoom"/>
    <x v="0"/>
    <d v="2017-09-09T00:00:00"/>
    <x v="176"/>
    <n v="568"/>
  </r>
  <r>
    <x v="6569"/>
    <x v="6"/>
    <x v="1"/>
    <x v="0"/>
    <s v="GTX Plus Pro"/>
    <s v="Inity"/>
    <x v="0"/>
    <d v="2017-09-09T00:00:00"/>
    <x v="237"/>
    <n v="6255"/>
  </r>
  <r>
    <x v="6570"/>
    <x v="19"/>
    <x v="4"/>
    <x v="2"/>
    <s v="GTXPro"/>
    <s v="Bubba Gump"/>
    <x v="0"/>
    <d v="2017-09-09T00:00:00"/>
    <x v="259"/>
    <n v="4647"/>
  </r>
  <r>
    <x v="6571"/>
    <x v="17"/>
    <x v="5"/>
    <x v="2"/>
    <s v="GTXPro"/>
    <s v="Vehement Capital Partners"/>
    <x v="0"/>
    <d v="2017-09-09T00:00:00"/>
    <x v="227"/>
    <n v="5042"/>
  </r>
  <r>
    <x v="6572"/>
    <x v="12"/>
    <x v="0"/>
    <x v="0"/>
    <s v="MG Special"/>
    <s v="Dontechi"/>
    <x v="0"/>
    <d v="2017-09-09T00:00:00"/>
    <x v="271"/>
    <n v="57"/>
  </r>
  <r>
    <x v="6573"/>
    <x v="12"/>
    <x v="0"/>
    <x v="0"/>
    <s v="MG Special"/>
    <s v="Rundofase"/>
    <x v="0"/>
    <d v="2017-09-09T00:00:00"/>
    <x v="243"/>
    <n v="53"/>
  </r>
  <r>
    <x v="6574"/>
    <x v="12"/>
    <x v="0"/>
    <x v="0"/>
    <s v="MG Advanced"/>
    <s v="Konmatfix"/>
    <x v="0"/>
    <d v="2017-09-09T00:00:00"/>
    <x v="239"/>
    <n v="3811"/>
  </r>
  <r>
    <x v="6575"/>
    <x v="4"/>
    <x v="3"/>
    <x v="1"/>
    <s v="GTX Basic"/>
    <s v="Hottechi"/>
    <x v="0"/>
    <d v="2017-09-09T00:00:00"/>
    <x v="239"/>
    <n v="456"/>
  </r>
  <r>
    <x v="6576"/>
    <x v="15"/>
    <x v="5"/>
    <x v="2"/>
    <s v="GTXPro"/>
    <s v="Mathtouch"/>
    <x v="2"/>
    <d v="2017-09-09T00:00:00"/>
    <x v="251"/>
    <n v="0"/>
  </r>
  <r>
    <x v="6577"/>
    <x v="23"/>
    <x v="4"/>
    <x v="2"/>
    <s v="MG Advanced"/>
    <s v="Xx-zobam"/>
    <x v="0"/>
    <d v="2017-09-10T00:00:00"/>
    <x v="252"/>
    <n v="3371"/>
  </r>
  <r>
    <x v="6578"/>
    <x v="28"/>
    <x v="0"/>
    <x v="0"/>
    <s v="GTX Plus Basic"/>
    <s v="Treequote"/>
    <x v="0"/>
    <d v="2017-09-10T00:00:00"/>
    <x v="246"/>
    <n v="1151"/>
  </r>
  <r>
    <x v="6579"/>
    <x v="28"/>
    <x v="0"/>
    <x v="0"/>
    <s v="MG Advanced"/>
    <s v="Scottech"/>
    <x v="0"/>
    <d v="2017-09-10T00:00:00"/>
    <x v="267"/>
    <n v="3748"/>
  </r>
  <r>
    <x v="6580"/>
    <x v="27"/>
    <x v="5"/>
    <x v="2"/>
    <s v="GTX Plus Pro"/>
    <s v="Umbrella Corporation"/>
    <x v="0"/>
    <d v="2017-09-10T00:00:00"/>
    <x v="152"/>
    <n v="5717"/>
  </r>
  <r>
    <x v="6581"/>
    <x v="27"/>
    <x v="5"/>
    <x v="2"/>
    <s v="GTXPro"/>
    <s v="Donquadtech"/>
    <x v="0"/>
    <d v="2017-09-10T00:00:00"/>
    <x v="152"/>
    <n v="5027"/>
  </r>
  <r>
    <x v="6582"/>
    <x v="13"/>
    <x v="4"/>
    <x v="2"/>
    <s v="GTX Plus Basic"/>
    <s v="Iselectrics"/>
    <x v="0"/>
    <d v="2017-09-10T00:00:00"/>
    <x v="254"/>
    <n v="1111"/>
  </r>
  <r>
    <x v="6583"/>
    <x v="1"/>
    <x v="1"/>
    <x v="0"/>
    <s v="GTX Plus Basic"/>
    <s v="Bioholding"/>
    <x v="0"/>
    <d v="2017-09-10T00:00:00"/>
    <x v="180"/>
    <n v="1159"/>
  </r>
  <r>
    <x v="6584"/>
    <x v="1"/>
    <x v="1"/>
    <x v="0"/>
    <s v="MG Advanced"/>
    <s v="Rangreen"/>
    <x v="0"/>
    <d v="2017-09-10T00:00:00"/>
    <x v="205"/>
    <n v="3251"/>
  </r>
  <r>
    <x v="6585"/>
    <x v="21"/>
    <x v="5"/>
    <x v="2"/>
    <s v="GTX Plus Pro"/>
    <s v="Bubba Gump"/>
    <x v="2"/>
    <d v="2017-09-10T00:00:00"/>
    <x v="196"/>
    <n v="0"/>
  </r>
  <r>
    <x v="6586"/>
    <x v="8"/>
    <x v="1"/>
    <x v="0"/>
    <s v="MG Advanced"/>
    <s v="Genco Pura Olive Oil Company"/>
    <x v="2"/>
    <d v="2017-09-10T00:00:00"/>
    <x v="243"/>
    <n v="0"/>
  </r>
  <r>
    <x v="6587"/>
    <x v="8"/>
    <x v="1"/>
    <x v="0"/>
    <s v="GTX Plus Basic"/>
    <s v="Codehow"/>
    <x v="0"/>
    <d v="2017-09-10T00:00:00"/>
    <x v="248"/>
    <n v="1083"/>
  </r>
  <r>
    <x v="6588"/>
    <x v="8"/>
    <x v="1"/>
    <x v="0"/>
    <s v="MG Special"/>
    <s v="Bioholding"/>
    <x v="0"/>
    <d v="2017-09-10T00:00:00"/>
    <x v="227"/>
    <n v="54"/>
  </r>
  <r>
    <x v="6589"/>
    <x v="10"/>
    <x v="3"/>
    <x v="1"/>
    <s v="MG Advanced"/>
    <m/>
    <x v="1"/>
    <d v="2017-09-10T00:00:00"/>
    <x v="6"/>
    <m/>
  </r>
  <r>
    <x v="6590"/>
    <x v="10"/>
    <x v="3"/>
    <x v="1"/>
    <s v="MG Advanced"/>
    <s v="Blackzim"/>
    <x v="0"/>
    <d v="2017-09-10T00:00:00"/>
    <x v="272"/>
    <n v="3302"/>
  </r>
  <r>
    <x v="6591"/>
    <x v="7"/>
    <x v="2"/>
    <x v="1"/>
    <s v="GTXPro"/>
    <m/>
    <x v="1"/>
    <d v="2017-09-10T00:00:00"/>
    <x v="6"/>
    <m/>
  </r>
  <r>
    <x v="6592"/>
    <x v="7"/>
    <x v="2"/>
    <x v="1"/>
    <s v="GTX Basic"/>
    <s v="Golddex"/>
    <x v="0"/>
    <d v="2017-09-10T00:00:00"/>
    <x v="256"/>
    <n v="552"/>
  </r>
  <r>
    <x v="6593"/>
    <x v="7"/>
    <x v="2"/>
    <x v="1"/>
    <s v="GTX Basic"/>
    <s v="Singletechno"/>
    <x v="0"/>
    <d v="2017-09-10T00:00:00"/>
    <x v="264"/>
    <n v="468"/>
  </r>
  <r>
    <x v="6594"/>
    <x v="29"/>
    <x v="1"/>
    <x v="0"/>
    <s v="GTX Basic"/>
    <s v="dambase"/>
    <x v="2"/>
    <d v="2017-09-10T00:00:00"/>
    <x v="221"/>
    <n v="0"/>
  </r>
  <r>
    <x v="6595"/>
    <x v="29"/>
    <x v="1"/>
    <x v="0"/>
    <s v="GTX Basic"/>
    <s v="Hottechi"/>
    <x v="2"/>
    <d v="2017-09-10T00:00:00"/>
    <x v="240"/>
    <n v="0"/>
  </r>
  <r>
    <x v="6596"/>
    <x v="16"/>
    <x v="2"/>
    <x v="1"/>
    <s v="GTXPro"/>
    <m/>
    <x v="1"/>
    <d v="2017-09-10T00:00:00"/>
    <x v="6"/>
    <m/>
  </r>
  <r>
    <x v="6597"/>
    <x v="16"/>
    <x v="2"/>
    <x v="1"/>
    <s v="GTX Plus Pro"/>
    <s v="Rantouch"/>
    <x v="2"/>
    <d v="2017-09-10T00:00:00"/>
    <x v="173"/>
    <n v="0"/>
  </r>
  <r>
    <x v="6598"/>
    <x v="16"/>
    <x v="2"/>
    <x v="1"/>
    <s v="GTXPro"/>
    <s v="J-Texon"/>
    <x v="0"/>
    <d v="2017-09-10T00:00:00"/>
    <x v="231"/>
    <n v="4467"/>
  </r>
  <r>
    <x v="6599"/>
    <x v="18"/>
    <x v="2"/>
    <x v="1"/>
    <s v="GTX Basic"/>
    <s v="Cheers"/>
    <x v="0"/>
    <d v="2017-09-10T00:00:00"/>
    <x v="252"/>
    <n v="538"/>
  </r>
  <r>
    <x v="6600"/>
    <x v="18"/>
    <x v="2"/>
    <x v="1"/>
    <s v="MG Advanced"/>
    <s v="Y-corporation"/>
    <x v="0"/>
    <d v="2017-09-10T00:00:00"/>
    <x v="239"/>
    <n v="3021"/>
  </r>
  <r>
    <x v="6601"/>
    <x v="24"/>
    <x v="0"/>
    <x v="0"/>
    <s v="GTX Basic"/>
    <s v="Codehow"/>
    <x v="0"/>
    <d v="2017-09-10T00:00:00"/>
    <x v="231"/>
    <n v="511"/>
  </r>
  <r>
    <x v="6602"/>
    <x v="9"/>
    <x v="2"/>
    <x v="1"/>
    <s v="GTX Plus Pro"/>
    <s v="Blackzim"/>
    <x v="0"/>
    <d v="2017-09-10T00:00:00"/>
    <x v="177"/>
    <n v="5832"/>
  </r>
  <r>
    <x v="6603"/>
    <x v="11"/>
    <x v="3"/>
    <x v="1"/>
    <s v="MG Special"/>
    <s v="Bubba Gump"/>
    <x v="1"/>
    <d v="2017-09-10T00:00:00"/>
    <x v="6"/>
    <m/>
  </r>
  <r>
    <x v="6604"/>
    <x v="11"/>
    <x v="3"/>
    <x v="1"/>
    <s v="MG Special"/>
    <m/>
    <x v="1"/>
    <d v="2017-09-10T00:00:00"/>
    <x v="6"/>
    <m/>
  </r>
  <r>
    <x v="6605"/>
    <x v="12"/>
    <x v="0"/>
    <x v="0"/>
    <s v="GTX Plus Pro"/>
    <s v="Inity"/>
    <x v="2"/>
    <d v="2017-09-10T00:00:00"/>
    <x v="182"/>
    <n v="0"/>
  </r>
  <r>
    <x v="6606"/>
    <x v="12"/>
    <x v="0"/>
    <x v="0"/>
    <s v="MG Advanced"/>
    <s v="Conecom"/>
    <x v="2"/>
    <d v="2017-09-10T00:00:00"/>
    <x v="253"/>
    <n v="0"/>
  </r>
  <r>
    <x v="6607"/>
    <x v="12"/>
    <x v="0"/>
    <x v="0"/>
    <s v="MG Special"/>
    <s v="Warephase"/>
    <x v="0"/>
    <d v="2017-09-10T00:00:00"/>
    <x v="237"/>
    <n v="50"/>
  </r>
  <r>
    <x v="6608"/>
    <x v="4"/>
    <x v="3"/>
    <x v="1"/>
    <s v="MG Advanced"/>
    <s v="Scotfind"/>
    <x v="2"/>
    <d v="2017-09-10T00:00:00"/>
    <x v="253"/>
    <n v="0"/>
  </r>
  <r>
    <x v="6609"/>
    <x v="4"/>
    <x v="3"/>
    <x v="1"/>
    <s v="MG Special"/>
    <s v="Plexzap"/>
    <x v="0"/>
    <d v="2017-09-10T00:00:00"/>
    <x v="241"/>
    <n v="58"/>
  </r>
  <r>
    <x v="6610"/>
    <x v="15"/>
    <x v="5"/>
    <x v="2"/>
    <s v="GTX Basic"/>
    <s v="Umbrella Corporation"/>
    <x v="2"/>
    <d v="2017-09-10T00:00:00"/>
    <x v="253"/>
    <n v="0"/>
  </r>
  <r>
    <x v="6611"/>
    <x v="15"/>
    <x v="5"/>
    <x v="2"/>
    <s v="MG Special"/>
    <s v="Mathtouch"/>
    <x v="0"/>
    <d v="2017-09-10T00:00:00"/>
    <x v="173"/>
    <n v="66"/>
  </r>
  <r>
    <x v="6612"/>
    <x v="2"/>
    <x v="2"/>
    <x v="1"/>
    <s v="GTXPro"/>
    <m/>
    <x v="1"/>
    <d v="2017-09-10T00:00:00"/>
    <x v="6"/>
    <m/>
  </r>
  <r>
    <x v="6613"/>
    <x v="3"/>
    <x v="0"/>
    <x v="0"/>
    <s v="GTX Basic"/>
    <s v="Finhigh"/>
    <x v="2"/>
    <d v="2017-09-11T00:00:00"/>
    <x v="160"/>
    <n v="0"/>
  </r>
  <r>
    <x v="6614"/>
    <x v="3"/>
    <x v="0"/>
    <x v="0"/>
    <s v="GTX Plus Pro"/>
    <s v="Toughzap"/>
    <x v="2"/>
    <d v="2017-09-11T00:00:00"/>
    <x v="226"/>
    <n v="0"/>
  </r>
  <r>
    <x v="6615"/>
    <x v="3"/>
    <x v="0"/>
    <x v="0"/>
    <s v="MG Special"/>
    <s v="Cancity"/>
    <x v="0"/>
    <d v="2017-09-11T00:00:00"/>
    <x v="221"/>
    <n v="44"/>
  </r>
  <r>
    <x v="6616"/>
    <x v="25"/>
    <x v="4"/>
    <x v="2"/>
    <s v="GTX Plus Basic"/>
    <s v="Konex"/>
    <x v="0"/>
    <d v="2017-09-11T00:00:00"/>
    <x v="265"/>
    <n v="1140"/>
  </r>
  <r>
    <x v="6617"/>
    <x v="23"/>
    <x v="4"/>
    <x v="2"/>
    <s v="GTX Plus Pro"/>
    <s v="Zencorporation"/>
    <x v="0"/>
    <d v="2017-09-11T00:00:00"/>
    <x v="177"/>
    <n v="5245"/>
  </r>
  <r>
    <x v="6618"/>
    <x v="28"/>
    <x v="0"/>
    <x v="0"/>
    <s v="GTX Plus Pro"/>
    <s v="Gogozoom"/>
    <x v="0"/>
    <d v="2017-09-11T00:00:00"/>
    <x v="240"/>
    <n v="5520"/>
  </r>
  <r>
    <x v="6619"/>
    <x v="27"/>
    <x v="5"/>
    <x v="2"/>
    <s v="GTX Basic"/>
    <m/>
    <x v="1"/>
    <d v="2017-09-11T00:00:00"/>
    <x v="6"/>
    <m/>
  </r>
  <r>
    <x v="6620"/>
    <x v="27"/>
    <x v="5"/>
    <x v="2"/>
    <s v="GTXPro"/>
    <m/>
    <x v="1"/>
    <d v="2017-09-11T00:00:00"/>
    <x v="6"/>
    <m/>
  </r>
  <r>
    <x v="6621"/>
    <x v="1"/>
    <x v="1"/>
    <x v="0"/>
    <s v="GTX Plus Pro"/>
    <s v="Inity"/>
    <x v="2"/>
    <d v="2017-09-11T00:00:00"/>
    <x v="232"/>
    <n v="0"/>
  </r>
  <r>
    <x v="6622"/>
    <x v="1"/>
    <x v="1"/>
    <x v="0"/>
    <s v="GTXPro"/>
    <s v="Ron-tech"/>
    <x v="2"/>
    <d v="2017-09-11T00:00:00"/>
    <x v="226"/>
    <n v="0"/>
  </r>
  <r>
    <x v="6623"/>
    <x v="21"/>
    <x v="5"/>
    <x v="2"/>
    <s v="MG Special"/>
    <s v="Yearin"/>
    <x v="2"/>
    <d v="2017-09-11T00:00:00"/>
    <x v="269"/>
    <n v="0"/>
  </r>
  <r>
    <x v="6624"/>
    <x v="8"/>
    <x v="1"/>
    <x v="0"/>
    <s v="MG Special"/>
    <s v="Streethex"/>
    <x v="0"/>
    <d v="2017-09-11T00:00:00"/>
    <x v="170"/>
    <n v="53"/>
  </r>
  <r>
    <x v="6625"/>
    <x v="7"/>
    <x v="2"/>
    <x v="1"/>
    <s v="GTX Plus Pro"/>
    <m/>
    <x v="1"/>
    <d v="2017-09-11T00:00:00"/>
    <x v="6"/>
    <m/>
  </r>
  <r>
    <x v="6626"/>
    <x v="16"/>
    <x v="2"/>
    <x v="1"/>
    <s v="GTX Plus Pro"/>
    <s v="Plusstrip"/>
    <x v="0"/>
    <d v="2017-09-11T00:00:00"/>
    <x v="249"/>
    <n v="4872"/>
  </r>
  <r>
    <x v="6627"/>
    <x v="18"/>
    <x v="2"/>
    <x v="1"/>
    <s v="GTX Basic"/>
    <s v="Doncon"/>
    <x v="2"/>
    <d v="2017-09-11T00:00:00"/>
    <x v="253"/>
    <n v="0"/>
  </r>
  <r>
    <x v="6628"/>
    <x v="5"/>
    <x v="3"/>
    <x v="1"/>
    <s v="MG Advanced"/>
    <s v="Hatfan"/>
    <x v="0"/>
    <d v="2017-09-11T00:00:00"/>
    <x v="177"/>
    <n v="3138"/>
  </r>
  <r>
    <x v="6629"/>
    <x v="9"/>
    <x v="2"/>
    <x v="1"/>
    <s v="GTX Basic"/>
    <s v="Finjob"/>
    <x v="2"/>
    <d v="2017-09-11T00:00:00"/>
    <x v="183"/>
    <n v="0"/>
  </r>
  <r>
    <x v="6630"/>
    <x v="0"/>
    <x v="0"/>
    <x v="0"/>
    <s v="GTX Basic"/>
    <s v="Bioholding"/>
    <x v="0"/>
    <d v="2017-09-11T00:00:00"/>
    <x v="259"/>
    <n v="513"/>
  </r>
  <r>
    <x v="6631"/>
    <x v="19"/>
    <x v="4"/>
    <x v="2"/>
    <s v="GTX Plus Basic"/>
    <s v="Iselectrics"/>
    <x v="2"/>
    <d v="2017-09-11T00:00:00"/>
    <x v="270"/>
    <n v="0"/>
  </r>
  <r>
    <x v="6632"/>
    <x v="11"/>
    <x v="3"/>
    <x v="1"/>
    <s v="MG Special"/>
    <m/>
    <x v="1"/>
    <d v="2017-09-11T00:00:00"/>
    <x v="6"/>
    <m/>
  </r>
  <r>
    <x v="6633"/>
    <x v="17"/>
    <x v="5"/>
    <x v="2"/>
    <s v="GTXPro"/>
    <s v="Sonron"/>
    <x v="1"/>
    <d v="2017-09-11T00:00:00"/>
    <x v="6"/>
    <m/>
  </r>
  <r>
    <x v="6634"/>
    <x v="15"/>
    <x v="5"/>
    <x v="2"/>
    <s v="GTX Basic"/>
    <s v="Kan-code"/>
    <x v="0"/>
    <d v="2017-09-11T00:00:00"/>
    <x v="248"/>
    <n v="644"/>
  </r>
  <r>
    <x v="6635"/>
    <x v="2"/>
    <x v="2"/>
    <x v="1"/>
    <s v="GTX Plus Basic"/>
    <s v="J-Texon"/>
    <x v="1"/>
    <d v="2017-09-11T00:00:00"/>
    <x v="6"/>
    <m/>
  </r>
  <r>
    <x v="6636"/>
    <x v="2"/>
    <x v="2"/>
    <x v="1"/>
    <s v="GTXPro"/>
    <s v="Lexiqvolax"/>
    <x v="2"/>
    <d v="2017-09-11T00:00:00"/>
    <x v="226"/>
    <n v="0"/>
  </r>
  <r>
    <x v="6637"/>
    <x v="2"/>
    <x v="2"/>
    <x v="1"/>
    <s v="GTX Basic"/>
    <s v="Newex"/>
    <x v="0"/>
    <d v="2017-09-11T00:00:00"/>
    <x v="165"/>
    <n v="560"/>
  </r>
  <r>
    <x v="6638"/>
    <x v="3"/>
    <x v="0"/>
    <x v="0"/>
    <s v="GTX Plus Pro"/>
    <s v="Treequote"/>
    <x v="2"/>
    <d v="2017-09-12T00:00:00"/>
    <x v="258"/>
    <n v="0"/>
  </r>
  <r>
    <x v="6639"/>
    <x v="3"/>
    <x v="0"/>
    <x v="0"/>
    <s v="MG Advanced"/>
    <s v="Statholdings"/>
    <x v="2"/>
    <d v="2017-09-12T00:00:00"/>
    <x v="237"/>
    <n v="0"/>
  </r>
  <r>
    <x v="6640"/>
    <x v="3"/>
    <x v="0"/>
    <x v="0"/>
    <s v="GTX Plus Basic"/>
    <s v="dambase"/>
    <x v="0"/>
    <d v="2017-09-12T00:00:00"/>
    <x v="274"/>
    <n v="866"/>
  </r>
  <r>
    <x v="6641"/>
    <x v="25"/>
    <x v="4"/>
    <x v="2"/>
    <s v="GTX Plus Basic"/>
    <s v="Plussunin"/>
    <x v="2"/>
    <d v="2017-09-12T00:00:00"/>
    <x v="165"/>
    <n v="0"/>
  </r>
  <r>
    <x v="6642"/>
    <x v="23"/>
    <x v="4"/>
    <x v="2"/>
    <s v="GTX Basic"/>
    <m/>
    <x v="1"/>
    <d v="2017-09-12T00:00:00"/>
    <x v="6"/>
    <m/>
  </r>
  <r>
    <x v="6643"/>
    <x v="27"/>
    <x v="5"/>
    <x v="2"/>
    <s v="MG Special"/>
    <s v="Kan-code"/>
    <x v="2"/>
    <d v="2017-09-12T00:00:00"/>
    <x v="238"/>
    <n v="0"/>
  </r>
  <r>
    <x v="6644"/>
    <x v="1"/>
    <x v="1"/>
    <x v="0"/>
    <s v="GTXPro"/>
    <s v="Inity"/>
    <x v="2"/>
    <d v="2017-09-12T00:00:00"/>
    <x v="225"/>
    <n v="0"/>
  </r>
  <r>
    <x v="6645"/>
    <x v="1"/>
    <x v="1"/>
    <x v="0"/>
    <s v="GTX Basic"/>
    <s v="Finhigh"/>
    <x v="0"/>
    <d v="2017-09-12T00:00:00"/>
    <x v="242"/>
    <n v="626"/>
  </r>
  <r>
    <x v="6646"/>
    <x v="1"/>
    <x v="1"/>
    <x v="0"/>
    <s v="GTXPro"/>
    <s v="Toughzap"/>
    <x v="0"/>
    <d v="2017-09-12T00:00:00"/>
    <x v="259"/>
    <n v="4079"/>
  </r>
  <r>
    <x v="6647"/>
    <x v="21"/>
    <x v="5"/>
    <x v="2"/>
    <s v="MG Advanced"/>
    <s v="Konex"/>
    <x v="0"/>
    <d v="2017-09-12T00:00:00"/>
    <x v="252"/>
    <n v="3497"/>
  </r>
  <r>
    <x v="6648"/>
    <x v="21"/>
    <x v="5"/>
    <x v="2"/>
    <s v="MG Advanced"/>
    <s v="Opentech"/>
    <x v="0"/>
    <d v="2017-09-12T00:00:00"/>
    <x v="264"/>
    <n v="3072"/>
  </r>
  <r>
    <x v="6649"/>
    <x v="8"/>
    <x v="1"/>
    <x v="0"/>
    <s v="MG Advanced"/>
    <s v="Genco Pura Olive Oil Company"/>
    <x v="2"/>
    <d v="2017-09-12T00:00:00"/>
    <x v="273"/>
    <n v="0"/>
  </r>
  <r>
    <x v="6650"/>
    <x v="10"/>
    <x v="3"/>
    <x v="1"/>
    <s v="MG Advanced"/>
    <s v="Labdrill"/>
    <x v="0"/>
    <d v="2017-09-12T00:00:00"/>
    <x v="244"/>
    <n v="3473"/>
  </r>
  <r>
    <x v="6651"/>
    <x v="29"/>
    <x v="1"/>
    <x v="0"/>
    <s v="GTX Basic"/>
    <s v="Conecom"/>
    <x v="0"/>
    <d v="2017-09-12T00:00:00"/>
    <x v="165"/>
    <n v="530"/>
  </r>
  <r>
    <x v="6652"/>
    <x v="29"/>
    <x v="1"/>
    <x v="0"/>
    <s v="GTX Plus Basic"/>
    <s v="Gogozoom"/>
    <x v="0"/>
    <d v="2017-09-12T00:00:00"/>
    <x v="242"/>
    <n v="1066"/>
  </r>
  <r>
    <x v="6653"/>
    <x v="29"/>
    <x v="1"/>
    <x v="0"/>
    <s v="MG Special"/>
    <s v="Cancity"/>
    <x v="0"/>
    <d v="2017-09-12T00:00:00"/>
    <x v="248"/>
    <n v="64"/>
  </r>
  <r>
    <x v="6654"/>
    <x v="29"/>
    <x v="1"/>
    <x v="0"/>
    <s v="MG Special"/>
    <s v="Rangreen"/>
    <x v="0"/>
    <d v="2017-09-12T00:00:00"/>
    <x v="267"/>
    <n v="59"/>
  </r>
  <r>
    <x v="6655"/>
    <x v="18"/>
    <x v="2"/>
    <x v="1"/>
    <s v="GTX Plus Basic"/>
    <s v="Goodsilron"/>
    <x v="0"/>
    <d v="2017-09-12T00:00:00"/>
    <x v="262"/>
    <n v="1077"/>
  </r>
  <r>
    <x v="6656"/>
    <x v="18"/>
    <x v="2"/>
    <x v="1"/>
    <s v="GTXPro"/>
    <s v="Sunnamplex"/>
    <x v="0"/>
    <d v="2017-09-12T00:00:00"/>
    <x v="235"/>
    <n v="4999"/>
  </r>
  <r>
    <x v="6657"/>
    <x v="22"/>
    <x v="1"/>
    <x v="0"/>
    <s v="MG Special"/>
    <s v="Betatech"/>
    <x v="0"/>
    <d v="2017-09-12T00:00:00"/>
    <x v="177"/>
    <n v="72"/>
  </r>
  <r>
    <x v="6658"/>
    <x v="9"/>
    <x v="2"/>
    <x v="1"/>
    <s v="GTX Plus Pro"/>
    <s v="Kan-code"/>
    <x v="0"/>
    <d v="2017-09-12T00:00:00"/>
    <x v="170"/>
    <n v="4870"/>
  </r>
  <r>
    <x v="6659"/>
    <x v="19"/>
    <x v="4"/>
    <x v="2"/>
    <s v="GTX Plus Basic"/>
    <s v="Initech"/>
    <x v="2"/>
    <d v="2017-09-12T00:00:00"/>
    <x v="170"/>
    <n v="0"/>
  </r>
  <r>
    <x v="6660"/>
    <x v="19"/>
    <x v="4"/>
    <x v="2"/>
    <s v="GTXPro"/>
    <s v="Zencorporation"/>
    <x v="2"/>
    <d v="2017-09-12T00:00:00"/>
    <x v="248"/>
    <n v="0"/>
  </r>
  <r>
    <x v="6661"/>
    <x v="12"/>
    <x v="0"/>
    <x v="0"/>
    <s v="MG Special"/>
    <s v="Konmatfix"/>
    <x v="0"/>
    <d v="2017-09-12T00:00:00"/>
    <x v="168"/>
    <n v="54"/>
  </r>
  <r>
    <x v="6662"/>
    <x v="12"/>
    <x v="0"/>
    <x v="0"/>
    <s v="MG Special"/>
    <s v="Toughzap"/>
    <x v="0"/>
    <d v="2017-09-12T00:00:00"/>
    <x v="257"/>
    <n v="50"/>
  </r>
  <r>
    <x v="6663"/>
    <x v="4"/>
    <x v="3"/>
    <x v="1"/>
    <s v="GTX Basic"/>
    <s v="Genco Pura Olive Oil Company"/>
    <x v="1"/>
    <d v="2017-09-12T00:00:00"/>
    <x v="6"/>
    <m/>
  </r>
  <r>
    <x v="6664"/>
    <x v="4"/>
    <x v="3"/>
    <x v="1"/>
    <s v="GTX Plus Basic"/>
    <s v="Zoomit"/>
    <x v="1"/>
    <d v="2017-09-12T00:00:00"/>
    <x v="6"/>
    <m/>
  </r>
  <r>
    <x v="6665"/>
    <x v="4"/>
    <x v="3"/>
    <x v="1"/>
    <s v="MG Special"/>
    <s v="Xx-holding"/>
    <x v="2"/>
    <d v="2017-09-12T00:00:00"/>
    <x v="196"/>
    <n v="0"/>
  </r>
  <r>
    <x v="6666"/>
    <x v="15"/>
    <x v="5"/>
    <x v="2"/>
    <s v="MG Advanced"/>
    <m/>
    <x v="1"/>
    <d v="2017-09-12T00:00:00"/>
    <x v="6"/>
    <m/>
  </r>
  <r>
    <x v="6667"/>
    <x v="15"/>
    <x v="5"/>
    <x v="2"/>
    <s v="GTX Plus Pro"/>
    <s v="Initech"/>
    <x v="2"/>
    <d v="2017-09-12T00:00:00"/>
    <x v="152"/>
    <n v="0"/>
  </r>
  <r>
    <x v="6668"/>
    <x v="2"/>
    <x v="2"/>
    <x v="1"/>
    <s v="GTX Plus Basic"/>
    <s v="Konex"/>
    <x v="0"/>
    <d v="2017-09-12T00:00:00"/>
    <x v="228"/>
    <n v="1029"/>
  </r>
  <r>
    <x v="6669"/>
    <x v="3"/>
    <x v="0"/>
    <x v="0"/>
    <s v="GTX Basic"/>
    <s v="Cancity"/>
    <x v="0"/>
    <d v="2017-09-13T00:00:00"/>
    <x v="256"/>
    <n v="629"/>
  </r>
  <r>
    <x v="6670"/>
    <x v="23"/>
    <x v="4"/>
    <x v="2"/>
    <s v="GTX Plus Basic"/>
    <m/>
    <x v="1"/>
    <d v="2017-09-13T00:00:00"/>
    <x v="6"/>
    <m/>
  </r>
  <r>
    <x v="6671"/>
    <x v="23"/>
    <x v="4"/>
    <x v="2"/>
    <s v="GTX Basic"/>
    <s v="Iselectrics"/>
    <x v="0"/>
    <d v="2017-09-13T00:00:00"/>
    <x v="176"/>
    <n v="600"/>
  </r>
  <r>
    <x v="6672"/>
    <x v="27"/>
    <x v="5"/>
    <x v="2"/>
    <s v="GTX Basic"/>
    <s v="Konex"/>
    <x v="2"/>
    <d v="2017-09-13T00:00:00"/>
    <x v="197"/>
    <n v="0"/>
  </r>
  <r>
    <x v="6673"/>
    <x v="27"/>
    <x v="5"/>
    <x v="2"/>
    <s v="GTXPro"/>
    <s v="Kinnamplus"/>
    <x v="0"/>
    <d v="2017-09-13T00:00:00"/>
    <x v="153"/>
    <n v="4535"/>
  </r>
  <r>
    <x v="6674"/>
    <x v="13"/>
    <x v="4"/>
    <x v="2"/>
    <s v="GTXPro"/>
    <m/>
    <x v="1"/>
    <d v="2017-09-13T00:00:00"/>
    <x v="6"/>
    <m/>
  </r>
  <r>
    <x v="6675"/>
    <x v="26"/>
    <x v="4"/>
    <x v="2"/>
    <s v="MG Advanced"/>
    <s v="Ontomedia"/>
    <x v="2"/>
    <d v="2017-09-13T00:00:00"/>
    <x v="246"/>
    <n v="0"/>
  </r>
  <r>
    <x v="6676"/>
    <x v="14"/>
    <x v="3"/>
    <x v="1"/>
    <s v="MG Special"/>
    <s v="Dalttechnology"/>
    <x v="2"/>
    <d v="2017-09-13T00:00:00"/>
    <x v="165"/>
    <n v="0"/>
  </r>
  <r>
    <x v="6677"/>
    <x v="8"/>
    <x v="1"/>
    <x v="0"/>
    <s v="GTXPro"/>
    <s v="Conecom"/>
    <x v="0"/>
    <d v="2017-09-13T00:00:00"/>
    <x v="181"/>
    <n v="4805"/>
  </r>
  <r>
    <x v="6678"/>
    <x v="16"/>
    <x v="2"/>
    <x v="1"/>
    <s v="GTXPro"/>
    <s v="Kan-code"/>
    <x v="2"/>
    <d v="2017-09-13T00:00:00"/>
    <x v="221"/>
    <n v="0"/>
  </r>
  <r>
    <x v="6679"/>
    <x v="18"/>
    <x v="2"/>
    <x v="1"/>
    <s v="GTX Plus Pro"/>
    <s v="Labdrill"/>
    <x v="0"/>
    <d v="2017-09-13T00:00:00"/>
    <x v="239"/>
    <n v="5158"/>
  </r>
  <r>
    <x v="6680"/>
    <x v="22"/>
    <x v="1"/>
    <x v="0"/>
    <s v="GTX Basic"/>
    <s v="Cancity"/>
    <x v="0"/>
    <d v="2017-09-13T00:00:00"/>
    <x v="235"/>
    <n v="477"/>
  </r>
  <r>
    <x v="6681"/>
    <x v="9"/>
    <x v="2"/>
    <x v="1"/>
    <s v="GTX Plus Pro"/>
    <s v="Lexiqvolax"/>
    <x v="0"/>
    <d v="2017-09-13T00:00:00"/>
    <x v="264"/>
    <n v="4972"/>
  </r>
  <r>
    <x v="6682"/>
    <x v="6"/>
    <x v="1"/>
    <x v="0"/>
    <s v="MG Advanced"/>
    <s v="Treequote"/>
    <x v="0"/>
    <d v="2017-09-13T00:00:00"/>
    <x v="262"/>
    <n v="3902"/>
  </r>
  <r>
    <x v="6683"/>
    <x v="19"/>
    <x v="4"/>
    <x v="2"/>
    <s v="GTX Plus Basic"/>
    <s v="Plussunin"/>
    <x v="0"/>
    <d v="2017-09-13T00:00:00"/>
    <x v="247"/>
    <n v="1176"/>
  </r>
  <r>
    <x v="6684"/>
    <x v="19"/>
    <x v="4"/>
    <x v="2"/>
    <s v="GTXPro"/>
    <s v="Yearin"/>
    <x v="0"/>
    <d v="2017-09-13T00:00:00"/>
    <x v="247"/>
    <n v="4140"/>
  </r>
  <r>
    <x v="6685"/>
    <x v="11"/>
    <x v="3"/>
    <x v="1"/>
    <s v="MG Special"/>
    <s v="Golddex"/>
    <x v="0"/>
    <d v="2017-09-13T00:00:00"/>
    <x v="262"/>
    <n v="54"/>
  </r>
  <r>
    <x v="6686"/>
    <x v="4"/>
    <x v="3"/>
    <x v="1"/>
    <s v="MG Special"/>
    <m/>
    <x v="1"/>
    <d v="2017-09-13T00:00:00"/>
    <x v="6"/>
    <m/>
  </r>
  <r>
    <x v="6687"/>
    <x v="4"/>
    <x v="3"/>
    <x v="1"/>
    <s v="MG Special"/>
    <s v="Dalttechnology"/>
    <x v="0"/>
    <d v="2017-09-13T00:00:00"/>
    <x v="246"/>
    <n v="51"/>
  </r>
  <r>
    <x v="6688"/>
    <x v="2"/>
    <x v="2"/>
    <x v="1"/>
    <s v="GTX Basic"/>
    <s v="Labdrill"/>
    <x v="0"/>
    <d v="2017-09-13T00:00:00"/>
    <x v="177"/>
    <n v="518"/>
  </r>
  <r>
    <x v="6689"/>
    <x v="2"/>
    <x v="2"/>
    <x v="1"/>
    <s v="GTX Basic"/>
    <s v="Sonron"/>
    <x v="0"/>
    <d v="2017-09-13T00:00:00"/>
    <x v="258"/>
    <n v="505"/>
  </r>
  <r>
    <x v="6690"/>
    <x v="3"/>
    <x v="0"/>
    <x v="0"/>
    <s v="GTX Plus Pro"/>
    <s v="Stanredtax"/>
    <x v="0"/>
    <d v="2017-09-14T00:00:00"/>
    <x v="153"/>
    <n v="5421"/>
  </r>
  <r>
    <x v="6691"/>
    <x v="23"/>
    <x v="4"/>
    <x v="2"/>
    <s v="GTXPro"/>
    <s v="Kan-code"/>
    <x v="0"/>
    <d v="2017-09-14T00:00:00"/>
    <x v="230"/>
    <n v="3822"/>
  </r>
  <r>
    <x v="6692"/>
    <x v="1"/>
    <x v="1"/>
    <x v="0"/>
    <s v="GTXPro"/>
    <s v="Conecom"/>
    <x v="2"/>
    <d v="2017-09-14T00:00:00"/>
    <x v="228"/>
    <n v="0"/>
  </r>
  <r>
    <x v="6693"/>
    <x v="26"/>
    <x v="4"/>
    <x v="2"/>
    <s v="MG Advanced"/>
    <s v="Ontomedia"/>
    <x v="0"/>
    <d v="2017-09-14T00:00:00"/>
    <x v="268"/>
    <n v="3331"/>
  </r>
  <r>
    <x v="6694"/>
    <x v="10"/>
    <x v="3"/>
    <x v="1"/>
    <s v="MG Special"/>
    <s v="Zoomit"/>
    <x v="2"/>
    <d v="2017-09-14T00:00:00"/>
    <x v="237"/>
    <n v="0"/>
  </r>
  <r>
    <x v="6695"/>
    <x v="7"/>
    <x v="2"/>
    <x v="1"/>
    <s v="GTX Basic"/>
    <s v="Newex"/>
    <x v="0"/>
    <d v="2017-09-14T00:00:00"/>
    <x v="245"/>
    <n v="504"/>
  </r>
  <r>
    <x v="6696"/>
    <x v="7"/>
    <x v="2"/>
    <x v="1"/>
    <s v="GTX Plus Basic"/>
    <s v="Plexzap"/>
    <x v="0"/>
    <d v="2017-09-14T00:00:00"/>
    <x v="249"/>
    <n v="1117"/>
  </r>
  <r>
    <x v="6697"/>
    <x v="7"/>
    <x v="2"/>
    <x v="1"/>
    <s v="GTXPro"/>
    <s v="Lexiqvolax"/>
    <x v="0"/>
    <d v="2017-09-14T00:00:00"/>
    <x v="243"/>
    <n v="5230"/>
  </r>
  <r>
    <x v="6698"/>
    <x v="16"/>
    <x v="2"/>
    <x v="1"/>
    <s v="GTXPro"/>
    <s v="Fasehatice"/>
    <x v="0"/>
    <d v="2017-09-14T00:00:00"/>
    <x v="169"/>
    <n v="4844"/>
  </r>
  <r>
    <x v="6699"/>
    <x v="16"/>
    <x v="2"/>
    <x v="1"/>
    <s v="MG Advanced"/>
    <s v="Labdrill"/>
    <x v="0"/>
    <d v="2017-09-14T00:00:00"/>
    <x v="178"/>
    <n v="3596"/>
  </r>
  <r>
    <x v="6700"/>
    <x v="18"/>
    <x v="2"/>
    <x v="1"/>
    <s v="GTXPro"/>
    <s v="Plexzap"/>
    <x v="2"/>
    <d v="2017-09-14T00:00:00"/>
    <x v="182"/>
    <n v="0"/>
  </r>
  <r>
    <x v="6701"/>
    <x v="18"/>
    <x v="2"/>
    <x v="1"/>
    <s v="GTXPro"/>
    <s v="Scotfind"/>
    <x v="0"/>
    <d v="2017-09-14T00:00:00"/>
    <x v="196"/>
    <n v="4593"/>
  </r>
  <r>
    <x v="6702"/>
    <x v="24"/>
    <x v="0"/>
    <x v="0"/>
    <s v="GTX Basic"/>
    <s v="dambase"/>
    <x v="0"/>
    <d v="2017-09-14T00:00:00"/>
    <x v="239"/>
    <n v="545"/>
  </r>
  <r>
    <x v="6703"/>
    <x v="24"/>
    <x v="0"/>
    <x v="0"/>
    <s v="MG Advanced"/>
    <s v="Rangreen"/>
    <x v="0"/>
    <d v="2017-09-14T00:00:00"/>
    <x v="227"/>
    <n v="3362"/>
  </r>
  <r>
    <x v="6704"/>
    <x v="22"/>
    <x v="1"/>
    <x v="0"/>
    <s v="GTX Plus Basic"/>
    <s v="Bioholding"/>
    <x v="0"/>
    <d v="2017-09-14T00:00:00"/>
    <x v="247"/>
    <n v="1086"/>
  </r>
  <r>
    <x v="6705"/>
    <x v="9"/>
    <x v="2"/>
    <x v="1"/>
    <s v="GTX Plus Pro"/>
    <m/>
    <x v="1"/>
    <d v="2017-09-14T00:00:00"/>
    <x v="6"/>
    <m/>
  </r>
  <r>
    <x v="6706"/>
    <x v="19"/>
    <x v="4"/>
    <x v="2"/>
    <s v="GTX Basic"/>
    <s v="Acme Corporation"/>
    <x v="2"/>
    <d v="2017-09-14T00:00:00"/>
    <x v="183"/>
    <n v="0"/>
  </r>
  <r>
    <x v="6707"/>
    <x v="17"/>
    <x v="5"/>
    <x v="2"/>
    <s v="GTXPro"/>
    <s v="Konex"/>
    <x v="0"/>
    <d v="2017-09-14T00:00:00"/>
    <x v="271"/>
    <n v="5153"/>
  </r>
  <r>
    <x v="6708"/>
    <x v="12"/>
    <x v="0"/>
    <x v="0"/>
    <s v="MG Special"/>
    <s v="Konmatfix"/>
    <x v="2"/>
    <d v="2017-09-14T00:00:00"/>
    <x v="246"/>
    <n v="0"/>
  </r>
  <r>
    <x v="6709"/>
    <x v="4"/>
    <x v="3"/>
    <x v="1"/>
    <s v="GTXPro"/>
    <s v="Konex"/>
    <x v="0"/>
    <d v="2017-09-14T00:00:00"/>
    <x v="225"/>
    <n v="5348"/>
  </r>
  <r>
    <x v="6710"/>
    <x v="2"/>
    <x v="2"/>
    <x v="1"/>
    <s v="GTX Basic"/>
    <m/>
    <x v="1"/>
    <d v="2017-09-14T00:00:00"/>
    <x v="6"/>
    <m/>
  </r>
  <r>
    <x v="6711"/>
    <x v="2"/>
    <x v="2"/>
    <x v="1"/>
    <s v="GTXPro"/>
    <s v="Finjob"/>
    <x v="0"/>
    <d v="2017-09-14T00:00:00"/>
    <x v="212"/>
    <n v="5170"/>
  </r>
  <r>
    <x v="6712"/>
    <x v="2"/>
    <x v="2"/>
    <x v="1"/>
    <s v="GTXPro"/>
    <s v="Scotfind"/>
    <x v="0"/>
    <d v="2017-09-14T00:00:00"/>
    <x v="174"/>
    <n v="4050"/>
  </r>
  <r>
    <x v="6713"/>
    <x v="27"/>
    <x v="5"/>
    <x v="2"/>
    <s v="GTX Basic"/>
    <m/>
    <x v="1"/>
    <d v="2017-09-15T00:00:00"/>
    <x v="6"/>
    <m/>
  </r>
  <r>
    <x v="6714"/>
    <x v="13"/>
    <x v="4"/>
    <x v="2"/>
    <s v="GTX Plus Basic"/>
    <s v="Bubba Gump"/>
    <x v="2"/>
    <d v="2017-09-15T00:00:00"/>
    <x v="243"/>
    <n v="0"/>
  </r>
  <r>
    <x v="6715"/>
    <x v="13"/>
    <x v="4"/>
    <x v="2"/>
    <s v="GTX Plus Basic"/>
    <s v="Vehement Capital Partners"/>
    <x v="0"/>
    <d v="2017-09-15T00:00:00"/>
    <x v="181"/>
    <n v="1221"/>
  </r>
  <r>
    <x v="6716"/>
    <x v="1"/>
    <x v="1"/>
    <x v="0"/>
    <s v="MG Advanced"/>
    <s v="Toughzap"/>
    <x v="2"/>
    <d v="2017-09-15T00:00:00"/>
    <x v="264"/>
    <n v="0"/>
  </r>
  <r>
    <x v="6717"/>
    <x v="1"/>
    <x v="1"/>
    <x v="0"/>
    <s v="GTX Plus Pro"/>
    <s v="Warephase"/>
    <x v="0"/>
    <d v="2017-09-15T00:00:00"/>
    <x v="257"/>
    <n v="5669"/>
  </r>
  <r>
    <x v="6718"/>
    <x v="8"/>
    <x v="1"/>
    <x v="0"/>
    <s v="GTX Plus Pro"/>
    <s v="Finhigh"/>
    <x v="0"/>
    <d v="2017-09-15T00:00:00"/>
    <x v="251"/>
    <n v="5385"/>
  </r>
  <r>
    <x v="6719"/>
    <x v="5"/>
    <x v="3"/>
    <x v="1"/>
    <s v="GTX Basic"/>
    <s v="Hottechi"/>
    <x v="2"/>
    <d v="2017-09-15T00:00:00"/>
    <x v="275"/>
    <n v="0"/>
  </r>
  <r>
    <x v="6720"/>
    <x v="5"/>
    <x v="3"/>
    <x v="1"/>
    <s v="MG Special"/>
    <s v="Zoomit"/>
    <x v="0"/>
    <d v="2017-09-15T00:00:00"/>
    <x v="257"/>
    <n v="48"/>
  </r>
  <r>
    <x v="6721"/>
    <x v="5"/>
    <x v="3"/>
    <x v="1"/>
    <s v="MG Advanced"/>
    <s v="Plexzap"/>
    <x v="0"/>
    <d v="2017-09-15T00:00:00"/>
    <x v="238"/>
    <n v="3663"/>
  </r>
  <r>
    <x v="6722"/>
    <x v="9"/>
    <x v="2"/>
    <x v="1"/>
    <s v="GTX Plus Basic"/>
    <m/>
    <x v="1"/>
    <d v="2017-09-15T00:00:00"/>
    <x v="6"/>
    <m/>
  </r>
  <r>
    <x v="6723"/>
    <x v="9"/>
    <x v="2"/>
    <x v="1"/>
    <s v="GTXPro"/>
    <s v="Groovestreet"/>
    <x v="0"/>
    <d v="2017-09-15T00:00:00"/>
    <x v="182"/>
    <n v="4695"/>
  </r>
  <r>
    <x v="6724"/>
    <x v="4"/>
    <x v="3"/>
    <x v="1"/>
    <s v="MG Special"/>
    <s v="Fasehatice"/>
    <x v="2"/>
    <d v="2017-09-15T00:00:00"/>
    <x v="265"/>
    <n v="0"/>
  </r>
  <r>
    <x v="6725"/>
    <x v="20"/>
    <x v="5"/>
    <x v="2"/>
    <s v="MG Advanced"/>
    <m/>
    <x v="1"/>
    <d v="2017-09-15T00:00:00"/>
    <x v="6"/>
    <m/>
  </r>
  <r>
    <x v="6726"/>
    <x v="2"/>
    <x v="2"/>
    <x v="1"/>
    <s v="MG Advanced"/>
    <s v="Rantouch"/>
    <x v="0"/>
    <d v="2017-09-15T00:00:00"/>
    <x v="233"/>
    <n v="2712"/>
  </r>
  <r>
    <x v="6727"/>
    <x v="3"/>
    <x v="0"/>
    <x v="0"/>
    <s v="MG Special"/>
    <s v="Ron-tech"/>
    <x v="0"/>
    <d v="2017-09-16T00:00:00"/>
    <x v="243"/>
    <n v="65"/>
  </r>
  <r>
    <x v="6728"/>
    <x v="3"/>
    <x v="0"/>
    <x v="0"/>
    <s v="MG Special"/>
    <s v="Statholdings"/>
    <x v="0"/>
    <d v="2017-09-16T00:00:00"/>
    <x v="178"/>
    <n v="55"/>
  </r>
  <r>
    <x v="6729"/>
    <x v="3"/>
    <x v="0"/>
    <x v="0"/>
    <s v="MG Special"/>
    <s v="Streethex"/>
    <x v="0"/>
    <d v="2017-09-16T00:00:00"/>
    <x v="265"/>
    <n v="58"/>
  </r>
  <r>
    <x v="6730"/>
    <x v="23"/>
    <x v="4"/>
    <x v="2"/>
    <s v="GTX Plus Pro"/>
    <m/>
    <x v="1"/>
    <d v="2017-09-16T00:00:00"/>
    <x v="6"/>
    <m/>
  </r>
  <r>
    <x v="6731"/>
    <x v="23"/>
    <x v="4"/>
    <x v="2"/>
    <s v="GTX Basic"/>
    <s v="Ontomedia"/>
    <x v="0"/>
    <d v="2017-09-16T00:00:00"/>
    <x v="173"/>
    <n v="512"/>
  </r>
  <r>
    <x v="6732"/>
    <x v="27"/>
    <x v="5"/>
    <x v="2"/>
    <s v="GTX Plus Pro"/>
    <s v="Kan-code"/>
    <x v="0"/>
    <d v="2017-09-16T00:00:00"/>
    <x v="176"/>
    <n v="5820"/>
  </r>
  <r>
    <x v="6733"/>
    <x v="13"/>
    <x v="4"/>
    <x v="2"/>
    <s v="GTX Plus Pro"/>
    <s v="Donware"/>
    <x v="2"/>
    <d v="2017-09-16T00:00:00"/>
    <x v="262"/>
    <n v="0"/>
  </r>
  <r>
    <x v="6734"/>
    <x v="1"/>
    <x v="1"/>
    <x v="0"/>
    <s v="GTX Plus Basic"/>
    <s v="Codehow"/>
    <x v="0"/>
    <d v="2017-09-16T00:00:00"/>
    <x v="256"/>
    <n v="1179"/>
  </r>
  <r>
    <x v="6735"/>
    <x v="1"/>
    <x v="1"/>
    <x v="0"/>
    <s v="GTX Plus Basic"/>
    <s v="Rangreen"/>
    <x v="0"/>
    <d v="2017-09-16T00:00:00"/>
    <x v="168"/>
    <n v="1153"/>
  </r>
  <r>
    <x v="6736"/>
    <x v="26"/>
    <x v="4"/>
    <x v="2"/>
    <s v="GTX Plus Basic"/>
    <s v="Ganjaflex"/>
    <x v="0"/>
    <d v="2017-09-16T00:00:00"/>
    <x v="177"/>
    <n v="892"/>
  </r>
  <r>
    <x v="6737"/>
    <x v="26"/>
    <x v="4"/>
    <x v="2"/>
    <s v="GTX Plus Basic"/>
    <s v="Zathunicon"/>
    <x v="0"/>
    <d v="2017-09-16T00:00:00"/>
    <x v="241"/>
    <n v="1231"/>
  </r>
  <r>
    <x v="6738"/>
    <x v="26"/>
    <x v="4"/>
    <x v="2"/>
    <s v="MG Advanced"/>
    <s v="Plussunin"/>
    <x v="0"/>
    <d v="2017-09-16T00:00:00"/>
    <x v="267"/>
    <n v="3091"/>
  </r>
  <r>
    <x v="6739"/>
    <x v="21"/>
    <x v="5"/>
    <x v="2"/>
    <s v="GTX Basic"/>
    <s v="Xx-zobam"/>
    <x v="0"/>
    <d v="2017-09-16T00:00:00"/>
    <x v="253"/>
    <n v="547"/>
  </r>
  <r>
    <x v="6740"/>
    <x v="7"/>
    <x v="2"/>
    <x v="1"/>
    <s v="MG Special"/>
    <s v="Labdrill"/>
    <x v="2"/>
    <d v="2017-09-16T00:00:00"/>
    <x v="220"/>
    <n v="0"/>
  </r>
  <r>
    <x v="6741"/>
    <x v="7"/>
    <x v="2"/>
    <x v="1"/>
    <s v="GTX Plus Pro"/>
    <s v="Goodsilron"/>
    <x v="0"/>
    <d v="2017-09-16T00:00:00"/>
    <x v="153"/>
    <n v="5919"/>
  </r>
  <r>
    <x v="6742"/>
    <x v="7"/>
    <x v="2"/>
    <x v="1"/>
    <s v="GTX Plus Pro"/>
    <s v="Groovestreet"/>
    <x v="0"/>
    <d v="2017-09-16T00:00:00"/>
    <x v="234"/>
    <n v="5745"/>
  </r>
  <r>
    <x v="6743"/>
    <x v="29"/>
    <x v="1"/>
    <x v="0"/>
    <s v="GTX Basic"/>
    <s v="Stanredtax"/>
    <x v="2"/>
    <d v="2017-09-16T00:00:00"/>
    <x v="232"/>
    <n v="0"/>
  </r>
  <r>
    <x v="6744"/>
    <x v="29"/>
    <x v="1"/>
    <x v="0"/>
    <s v="GTX Basic"/>
    <s v="Streethex"/>
    <x v="2"/>
    <d v="2017-09-16T00:00:00"/>
    <x v="244"/>
    <n v="0"/>
  </r>
  <r>
    <x v="6745"/>
    <x v="29"/>
    <x v="1"/>
    <x v="0"/>
    <s v="GTXPro"/>
    <s v="Warephase"/>
    <x v="2"/>
    <d v="2017-09-16T00:00:00"/>
    <x v="255"/>
    <n v="0"/>
  </r>
  <r>
    <x v="6746"/>
    <x v="24"/>
    <x v="0"/>
    <x v="0"/>
    <s v="MG Advanced"/>
    <s v="Cancity"/>
    <x v="2"/>
    <d v="2017-09-16T00:00:00"/>
    <x v="258"/>
    <n v="0"/>
  </r>
  <r>
    <x v="6747"/>
    <x v="5"/>
    <x v="3"/>
    <x v="1"/>
    <s v="GTX Plus Pro"/>
    <s v="Konex"/>
    <x v="2"/>
    <d v="2017-09-16T00:00:00"/>
    <x v="257"/>
    <n v="0"/>
  </r>
  <r>
    <x v="6748"/>
    <x v="5"/>
    <x v="3"/>
    <x v="1"/>
    <s v="GTX Plus Basic"/>
    <s v="Singletechno"/>
    <x v="0"/>
    <d v="2017-09-16T00:00:00"/>
    <x v="273"/>
    <n v="1252"/>
  </r>
  <r>
    <x v="6749"/>
    <x v="0"/>
    <x v="0"/>
    <x v="0"/>
    <s v="MG Special"/>
    <s v="dambase"/>
    <x v="2"/>
    <d v="2017-09-16T00:00:00"/>
    <x v="235"/>
    <n v="0"/>
  </r>
  <r>
    <x v="6750"/>
    <x v="0"/>
    <x v="0"/>
    <x v="0"/>
    <s v="MG Advanced"/>
    <s v="Stanredtax"/>
    <x v="0"/>
    <d v="2017-09-16T00:00:00"/>
    <x v="252"/>
    <n v="3039"/>
  </r>
  <r>
    <x v="6751"/>
    <x v="6"/>
    <x v="1"/>
    <x v="0"/>
    <s v="GTX Basic"/>
    <s v="Treequote"/>
    <x v="0"/>
    <d v="2017-09-16T00:00:00"/>
    <x v="232"/>
    <n v="637"/>
  </r>
  <r>
    <x v="6752"/>
    <x v="19"/>
    <x v="4"/>
    <x v="2"/>
    <s v="GTX Basic"/>
    <s v="Acme Corporation"/>
    <x v="2"/>
    <d v="2017-09-16T00:00:00"/>
    <x v="168"/>
    <n v="0"/>
  </r>
  <r>
    <x v="6753"/>
    <x v="11"/>
    <x v="3"/>
    <x v="1"/>
    <s v="GTXPro"/>
    <s v="Zoomit"/>
    <x v="0"/>
    <d v="2017-09-16T00:00:00"/>
    <x v="250"/>
    <n v="4614"/>
  </r>
  <r>
    <x v="6754"/>
    <x v="17"/>
    <x v="5"/>
    <x v="2"/>
    <s v="MG Special"/>
    <s v="Gekko &amp; Co"/>
    <x v="0"/>
    <d v="2017-09-16T00:00:00"/>
    <x v="237"/>
    <n v="51"/>
  </r>
  <r>
    <x v="6755"/>
    <x v="4"/>
    <x v="3"/>
    <x v="1"/>
    <s v="GTX Plus Pro"/>
    <m/>
    <x v="1"/>
    <d v="2017-09-16T00:00:00"/>
    <x v="6"/>
    <m/>
  </r>
  <r>
    <x v="6756"/>
    <x v="4"/>
    <x v="3"/>
    <x v="1"/>
    <s v="GTX Basic"/>
    <s v="Plexzap"/>
    <x v="2"/>
    <d v="2017-09-16T00:00:00"/>
    <x v="232"/>
    <n v="0"/>
  </r>
  <r>
    <x v="6757"/>
    <x v="4"/>
    <x v="3"/>
    <x v="1"/>
    <s v="GTX Basic"/>
    <s v="Plexzap"/>
    <x v="0"/>
    <d v="2017-09-16T00:00:00"/>
    <x v="240"/>
    <n v="595"/>
  </r>
  <r>
    <x v="6758"/>
    <x v="4"/>
    <x v="3"/>
    <x v="1"/>
    <s v="MG Special"/>
    <s v="Zoomit"/>
    <x v="0"/>
    <d v="2017-09-16T00:00:00"/>
    <x v="274"/>
    <n v="52"/>
  </r>
  <r>
    <x v="6759"/>
    <x v="15"/>
    <x v="5"/>
    <x v="2"/>
    <s v="GTXPro"/>
    <s v="Konex"/>
    <x v="0"/>
    <d v="2017-09-16T00:00:00"/>
    <x v="182"/>
    <n v="5604"/>
  </r>
  <r>
    <x v="6760"/>
    <x v="2"/>
    <x v="2"/>
    <x v="1"/>
    <s v="GTX Plus Basic"/>
    <s v="Dalttechnology"/>
    <x v="2"/>
    <d v="2017-09-16T00:00:00"/>
    <x v="229"/>
    <n v="0"/>
  </r>
  <r>
    <x v="6761"/>
    <x v="2"/>
    <x v="2"/>
    <x v="1"/>
    <s v="GTX Plus Basic"/>
    <s v="Hatfan"/>
    <x v="2"/>
    <d v="2017-09-16T00:00:00"/>
    <x v="231"/>
    <n v="0"/>
  </r>
  <r>
    <x v="6762"/>
    <x v="2"/>
    <x v="2"/>
    <x v="1"/>
    <s v="GTX Plus Basic"/>
    <s v="Plusstrip"/>
    <x v="2"/>
    <d v="2017-09-16T00:00:00"/>
    <x v="244"/>
    <n v="0"/>
  </r>
  <r>
    <x v="6763"/>
    <x v="2"/>
    <x v="2"/>
    <x v="1"/>
    <s v="GTXPro"/>
    <s v="Konex"/>
    <x v="0"/>
    <d v="2017-09-16T00:00:00"/>
    <x v="173"/>
    <n v="5360"/>
  </r>
  <r>
    <x v="6764"/>
    <x v="25"/>
    <x v="4"/>
    <x v="2"/>
    <s v="GTX Plus Basic"/>
    <m/>
    <x v="1"/>
    <d v="2017-09-17T00:00:00"/>
    <x v="6"/>
    <m/>
  </r>
  <r>
    <x v="6765"/>
    <x v="23"/>
    <x v="4"/>
    <x v="2"/>
    <s v="GTX Basic"/>
    <s v="Xx-zobam"/>
    <x v="2"/>
    <d v="2017-09-17T00:00:00"/>
    <x v="254"/>
    <n v="0"/>
  </r>
  <r>
    <x v="6766"/>
    <x v="28"/>
    <x v="0"/>
    <x v="0"/>
    <s v="MG Special"/>
    <s v="Betatech"/>
    <x v="2"/>
    <d v="2017-09-17T00:00:00"/>
    <x v="220"/>
    <n v="0"/>
  </r>
  <r>
    <x v="6767"/>
    <x v="27"/>
    <x v="5"/>
    <x v="2"/>
    <s v="GTXPro"/>
    <s v="Ganjaflex"/>
    <x v="2"/>
    <d v="2017-09-17T00:00:00"/>
    <x v="226"/>
    <n v="0"/>
  </r>
  <r>
    <x v="6768"/>
    <x v="27"/>
    <x v="5"/>
    <x v="2"/>
    <s v="GTX Basic"/>
    <s v="Sumace"/>
    <x v="0"/>
    <d v="2017-09-17T00:00:00"/>
    <x v="251"/>
    <n v="538"/>
  </r>
  <r>
    <x v="6769"/>
    <x v="1"/>
    <x v="1"/>
    <x v="0"/>
    <s v="GTXPro"/>
    <s v="Cancity"/>
    <x v="2"/>
    <d v="2017-09-17T00:00:00"/>
    <x v="236"/>
    <n v="0"/>
  </r>
  <r>
    <x v="6770"/>
    <x v="1"/>
    <x v="1"/>
    <x v="0"/>
    <s v="GTX Plus Pro"/>
    <s v="Conecom"/>
    <x v="0"/>
    <d v="2017-09-17T00:00:00"/>
    <x v="260"/>
    <n v="5668"/>
  </r>
  <r>
    <x v="6771"/>
    <x v="1"/>
    <x v="1"/>
    <x v="0"/>
    <s v="GTXPro"/>
    <s v="Warephase"/>
    <x v="0"/>
    <d v="2017-09-17T00:00:00"/>
    <x v="263"/>
    <n v="5220"/>
  </r>
  <r>
    <x v="6772"/>
    <x v="26"/>
    <x v="4"/>
    <x v="2"/>
    <s v="GTXPro"/>
    <s v="Betasoloin"/>
    <x v="0"/>
    <d v="2017-09-17T00:00:00"/>
    <x v="168"/>
    <n v="5763"/>
  </r>
  <r>
    <x v="6773"/>
    <x v="7"/>
    <x v="2"/>
    <x v="1"/>
    <s v="GTX Plus Pro"/>
    <s v="Sunnamplex"/>
    <x v="2"/>
    <d v="2017-09-17T00:00:00"/>
    <x v="244"/>
    <n v="0"/>
  </r>
  <r>
    <x v="6774"/>
    <x v="16"/>
    <x v="2"/>
    <x v="1"/>
    <s v="GTX Basic"/>
    <m/>
    <x v="1"/>
    <d v="2017-09-17T00:00:00"/>
    <x v="6"/>
    <m/>
  </r>
  <r>
    <x v="6775"/>
    <x v="18"/>
    <x v="2"/>
    <x v="1"/>
    <s v="GTX Plus Basic"/>
    <s v="Lexiqvolax"/>
    <x v="0"/>
    <d v="2017-09-17T00:00:00"/>
    <x v="226"/>
    <n v="948"/>
  </r>
  <r>
    <x v="6776"/>
    <x v="24"/>
    <x v="0"/>
    <x v="0"/>
    <s v="GTX Basic"/>
    <s v="Rundofase"/>
    <x v="0"/>
    <d v="2017-09-17T00:00:00"/>
    <x v="232"/>
    <n v="487"/>
  </r>
  <r>
    <x v="6777"/>
    <x v="24"/>
    <x v="0"/>
    <x v="0"/>
    <s v="GTX Plus Basic"/>
    <s v="Funholding"/>
    <x v="0"/>
    <d v="2017-09-17T00:00:00"/>
    <x v="229"/>
    <n v="1072"/>
  </r>
  <r>
    <x v="6778"/>
    <x v="5"/>
    <x v="3"/>
    <x v="1"/>
    <s v="MG Special"/>
    <s v="Singletechno"/>
    <x v="0"/>
    <d v="2017-09-17T00:00:00"/>
    <x v="242"/>
    <n v="56"/>
  </r>
  <r>
    <x v="6779"/>
    <x v="9"/>
    <x v="2"/>
    <x v="1"/>
    <s v="MG Advanced"/>
    <s v="Donware"/>
    <x v="1"/>
    <d v="2017-09-17T00:00:00"/>
    <x v="6"/>
    <m/>
  </r>
  <r>
    <x v="6780"/>
    <x v="9"/>
    <x v="2"/>
    <x v="1"/>
    <s v="GTXPro"/>
    <s v="Kan-code"/>
    <x v="0"/>
    <d v="2017-09-17T00:00:00"/>
    <x v="275"/>
    <n v="4812"/>
  </r>
  <r>
    <x v="6781"/>
    <x v="19"/>
    <x v="4"/>
    <x v="2"/>
    <s v="GTX Basic"/>
    <s v="Betasoloin"/>
    <x v="2"/>
    <d v="2017-09-17T00:00:00"/>
    <x v="237"/>
    <n v="0"/>
  </r>
  <r>
    <x v="6782"/>
    <x v="19"/>
    <x v="4"/>
    <x v="2"/>
    <s v="GTX Plus Basic"/>
    <s v="Initech"/>
    <x v="2"/>
    <d v="2017-09-17T00:00:00"/>
    <x v="261"/>
    <n v="0"/>
  </r>
  <r>
    <x v="6783"/>
    <x v="19"/>
    <x v="4"/>
    <x v="2"/>
    <s v="GTX Plus Pro"/>
    <s v="Betasoloin"/>
    <x v="2"/>
    <d v="2017-09-17T00:00:00"/>
    <x v="231"/>
    <n v="0"/>
  </r>
  <r>
    <x v="6784"/>
    <x v="19"/>
    <x v="4"/>
    <x v="2"/>
    <s v="GTXPro"/>
    <s v="Bioplex"/>
    <x v="0"/>
    <d v="2017-09-17T00:00:00"/>
    <x v="232"/>
    <n v="5186"/>
  </r>
  <r>
    <x v="6785"/>
    <x v="11"/>
    <x v="3"/>
    <x v="1"/>
    <s v="MG Special"/>
    <s v="Konex"/>
    <x v="0"/>
    <d v="2017-09-17T00:00:00"/>
    <x v="236"/>
    <n v="49"/>
  </r>
  <r>
    <x v="6786"/>
    <x v="2"/>
    <x v="2"/>
    <x v="1"/>
    <s v="GTXPro"/>
    <s v="Konex"/>
    <x v="0"/>
    <d v="2017-09-17T00:00:00"/>
    <x v="173"/>
    <n v="4800"/>
  </r>
  <r>
    <x v="6787"/>
    <x v="13"/>
    <x v="4"/>
    <x v="2"/>
    <s v="GTXPro"/>
    <s v="Initech"/>
    <x v="0"/>
    <d v="2017-09-18T00:00:00"/>
    <x v="266"/>
    <n v="5627"/>
  </r>
  <r>
    <x v="6788"/>
    <x v="1"/>
    <x v="1"/>
    <x v="0"/>
    <s v="GTX Basic"/>
    <s v="Gogozoom"/>
    <x v="2"/>
    <d v="2017-09-18T00:00:00"/>
    <x v="176"/>
    <n v="0"/>
  </r>
  <r>
    <x v="6789"/>
    <x v="1"/>
    <x v="1"/>
    <x v="0"/>
    <s v="GTXPro"/>
    <s v="Stanredtax"/>
    <x v="0"/>
    <d v="2017-09-18T00:00:00"/>
    <x v="258"/>
    <n v="3779"/>
  </r>
  <r>
    <x v="6790"/>
    <x v="1"/>
    <x v="1"/>
    <x v="0"/>
    <s v="GTXPro"/>
    <s v="Warephase"/>
    <x v="0"/>
    <d v="2017-09-18T00:00:00"/>
    <x v="212"/>
    <n v="5231"/>
  </r>
  <r>
    <x v="6791"/>
    <x v="26"/>
    <x v="4"/>
    <x v="2"/>
    <s v="GTX Plus Pro"/>
    <s v="Mathtouch"/>
    <x v="2"/>
    <d v="2017-09-18T00:00:00"/>
    <x v="183"/>
    <n v="0"/>
  </r>
  <r>
    <x v="6792"/>
    <x v="26"/>
    <x v="4"/>
    <x v="2"/>
    <s v="GTX Plus Pro"/>
    <s v="Xx-zobam"/>
    <x v="2"/>
    <d v="2017-09-18T00:00:00"/>
    <x v="244"/>
    <n v="0"/>
  </r>
  <r>
    <x v="6793"/>
    <x v="10"/>
    <x v="3"/>
    <x v="1"/>
    <s v="MG Advanced"/>
    <s v="Faxquote"/>
    <x v="0"/>
    <d v="2017-09-18T00:00:00"/>
    <x v="236"/>
    <n v="2918"/>
  </r>
  <r>
    <x v="6794"/>
    <x v="7"/>
    <x v="2"/>
    <x v="1"/>
    <s v="MG Advanced"/>
    <m/>
    <x v="1"/>
    <d v="2017-09-18T00:00:00"/>
    <x v="6"/>
    <m/>
  </r>
  <r>
    <x v="6795"/>
    <x v="29"/>
    <x v="1"/>
    <x v="0"/>
    <s v="GTX Plus Basic"/>
    <s v="Funholding"/>
    <x v="2"/>
    <d v="2017-09-18T00:00:00"/>
    <x v="252"/>
    <n v="0"/>
  </r>
  <r>
    <x v="6796"/>
    <x v="29"/>
    <x v="1"/>
    <x v="0"/>
    <s v="GTXPro"/>
    <s v="Finhigh"/>
    <x v="0"/>
    <d v="2017-09-18T00:00:00"/>
    <x v="173"/>
    <n v="4902"/>
  </r>
  <r>
    <x v="6797"/>
    <x v="16"/>
    <x v="2"/>
    <x v="1"/>
    <s v="GTX Basic"/>
    <s v="Hatfan"/>
    <x v="0"/>
    <d v="2017-09-18T00:00:00"/>
    <x v="241"/>
    <n v="531"/>
  </r>
  <r>
    <x v="6798"/>
    <x v="18"/>
    <x v="2"/>
    <x v="1"/>
    <s v="GTX Basic"/>
    <m/>
    <x v="1"/>
    <d v="2017-09-18T00:00:00"/>
    <x v="6"/>
    <m/>
  </r>
  <r>
    <x v="6799"/>
    <x v="18"/>
    <x v="2"/>
    <x v="1"/>
    <s v="GTX Plus Pro"/>
    <s v="Singletechno"/>
    <x v="2"/>
    <d v="2017-09-18T00:00:00"/>
    <x v="235"/>
    <n v="0"/>
  </r>
  <r>
    <x v="6800"/>
    <x v="18"/>
    <x v="2"/>
    <x v="1"/>
    <s v="GTX Basic"/>
    <s v="Singletechno"/>
    <x v="0"/>
    <d v="2017-09-18T00:00:00"/>
    <x v="262"/>
    <n v="526"/>
  </r>
  <r>
    <x v="6801"/>
    <x v="24"/>
    <x v="0"/>
    <x v="0"/>
    <s v="GTX Basic"/>
    <s v="Ron-tech"/>
    <x v="2"/>
    <d v="2017-09-18T00:00:00"/>
    <x v="210"/>
    <n v="0"/>
  </r>
  <r>
    <x v="6802"/>
    <x v="24"/>
    <x v="0"/>
    <x v="0"/>
    <s v="GTX Basic"/>
    <s v="Konmatfix"/>
    <x v="0"/>
    <d v="2017-09-18T00:00:00"/>
    <x v="221"/>
    <n v="485"/>
  </r>
  <r>
    <x v="6803"/>
    <x v="9"/>
    <x v="2"/>
    <x v="1"/>
    <s v="MG Advanced"/>
    <m/>
    <x v="1"/>
    <d v="2017-09-18T00:00:00"/>
    <x v="6"/>
    <m/>
  </r>
  <r>
    <x v="6804"/>
    <x v="0"/>
    <x v="0"/>
    <x v="0"/>
    <s v="GTX Basic"/>
    <s v="Rundofase"/>
    <x v="0"/>
    <d v="2017-09-18T00:00:00"/>
    <x v="267"/>
    <n v="520"/>
  </r>
  <r>
    <x v="6805"/>
    <x v="6"/>
    <x v="1"/>
    <x v="0"/>
    <s v="GTX Plus Basic"/>
    <s v="Dontechi"/>
    <x v="0"/>
    <d v="2017-09-18T00:00:00"/>
    <x v="269"/>
    <n v="1020"/>
  </r>
  <r>
    <x v="6806"/>
    <x v="19"/>
    <x v="4"/>
    <x v="2"/>
    <s v="GTX Plus Basic"/>
    <s v="Mathtouch"/>
    <x v="2"/>
    <d v="2017-09-18T00:00:00"/>
    <x v="240"/>
    <n v="0"/>
  </r>
  <r>
    <x v="6807"/>
    <x v="19"/>
    <x v="4"/>
    <x v="2"/>
    <s v="MG Advanced"/>
    <s v="Yearin"/>
    <x v="2"/>
    <d v="2017-09-18T00:00:00"/>
    <x v="245"/>
    <n v="0"/>
  </r>
  <r>
    <x v="6808"/>
    <x v="17"/>
    <x v="5"/>
    <x v="2"/>
    <s v="GTXPro"/>
    <s v="Donquadtech"/>
    <x v="0"/>
    <d v="2017-09-18T00:00:00"/>
    <x v="225"/>
    <n v="4205"/>
  </r>
  <r>
    <x v="6809"/>
    <x v="4"/>
    <x v="3"/>
    <x v="1"/>
    <s v="GTX Basic"/>
    <s v="Dalttechnology"/>
    <x v="2"/>
    <d v="2017-09-18T00:00:00"/>
    <x v="212"/>
    <n v="0"/>
  </r>
  <r>
    <x v="6810"/>
    <x v="2"/>
    <x v="2"/>
    <x v="1"/>
    <s v="GTX Plus Pro"/>
    <s v="Initech"/>
    <x v="1"/>
    <d v="2017-09-18T00:00:00"/>
    <x v="6"/>
    <m/>
  </r>
  <r>
    <x v="6811"/>
    <x v="2"/>
    <x v="2"/>
    <x v="1"/>
    <s v="MG Special"/>
    <s v="Toughzap"/>
    <x v="1"/>
    <d v="2017-09-18T00:00:00"/>
    <x v="6"/>
    <m/>
  </r>
  <r>
    <x v="6812"/>
    <x v="3"/>
    <x v="0"/>
    <x v="0"/>
    <s v="GTX Plus Basic"/>
    <s v="Funholding"/>
    <x v="2"/>
    <d v="2017-09-19T00:00:00"/>
    <x v="182"/>
    <n v="0"/>
  </r>
  <r>
    <x v="6813"/>
    <x v="28"/>
    <x v="0"/>
    <x v="0"/>
    <s v="GTX Plus Basic"/>
    <s v="Ron-tech"/>
    <x v="2"/>
    <d v="2017-09-19T00:00:00"/>
    <x v="227"/>
    <n v="0"/>
  </r>
  <r>
    <x v="6814"/>
    <x v="27"/>
    <x v="5"/>
    <x v="2"/>
    <s v="GTX Plus Pro"/>
    <m/>
    <x v="1"/>
    <d v="2017-09-19T00:00:00"/>
    <x v="6"/>
    <m/>
  </r>
  <r>
    <x v="6815"/>
    <x v="1"/>
    <x v="1"/>
    <x v="0"/>
    <s v="GTXPro"/>
    <s v="dambase"/>
    <x v="0"/>
    <d v="2017-09-19T00:00:00"/>
    <x v="243"/>
    <n v="4990"/>
  </r>
  <r>
    <x v="6816"/>
    <x v="1"/>
    <x v="1"/>
    <x v="0"/>
    <s v="GTXPro"/>
    <s v="Domzoom"/>
    <x v="0"/>
    <d v="2017-09-19T00:00:00"/>
    <x v="181"/>
    <n v="5450"/>
  </r>
  <r>
    <x v="6817"/>
    <x v="14"/>
    <x v="3"/>
    <x v="1"/>
    <s v="MG Special"/>
    <s v="Groovestreet"/>
    <x v="0"/>
    <d v="2017-09-19T00:00:00"/>
    <x v="210"/>
    <n v="53"/>
  </r>
  <r>
    <x v="6818"/>
    <x v="29"/>
    <x v="1"/>
    <x v="0"/>
    <s v="GTXPro"/>
    <s v="Inity"/>
    <x v="0"/>
    <d v="2017-09-19T00:00:00"/>
    <x v="174"/>
    <n v="3678"/>
  </r>
  <r>
    <x v="6819"/>
    <x v="16"/>
    <x v="2"/>
    <x v="1"/>
    <s v="GTXPro"/>
    <s v="Newex"/>
    <x v="2"/>
    <d v="2017-09-19T00:00:00"/>
    <x v="181"/>
    <n v="0"/>
  </r>
  <r>
    <x v="6820"/>
    <x v="16"/>
    <x v="2"/>
    <x v="1"/>
    <s v="MG Advanced"/>
    <s v="Nam-zim"/>
    <x v="2"/>
    <d v="2017-09-19T00:00:00"/>
    <x v="237"/>
    <n v="0"/>
  </r>
  <r>
    <x v="6821"/>
    <x v="18"/>
    <x v="2"/>
    <x v="1"/>
    <s v="GTX Basic"/>
    <s v="Fasehatice"/>
    <x v="0"/>
    <d v="2017-09-19T00:00:00"/>
    <x v="229"/>
    <n v="555"/>
  </r>
  <r>
    <x v="6822"/>
    <x v="24"/>
    <x v="0"/>
    <x v="0"/>
    <s v="GTX Basic"/>
    <s v="Rangreen"/>
    <x v="0"/>
    <d v="2017-09-19T00:00:00"/>
    <x v="242"/>
    <n v="492"/>
  </r>
  <r>
    <x v="6823"/>
    <x v="22"/>
    <x v="1"/>
    <x v="0"/>
    <s v="GTX Plus Basic"/>
    <s v="Codehow"/>
    <x v="2"/>
    <d v="2017-09-19T00:00:00"/>
    <x v="230"/>
    <n v="0"/>
  </r>
  <r>
    <x v="6824"/>
    <x v="22"/>
    <x v="1"/>
    <x v="0"/>
    <s v="GTX Plus Basic"/>
    <s v="Warephase"/>
    <x v="2"/>
    <d v="2017-09-19T00:00:00"/>
    <x v="234"/>
    <n v="0"/>
  </r>
  <r>
    <x v="6825"/>
    <x v="22"/>
    <x v="1"/>
    <x v="0"/>
    <s v="GTX Basic"/>
    <s v="Gogozoom"/>
    <x v="0"/>
    <d v="2017-09-19T00:00:00"/>
    <x v="221"/>
    <n v="574"/>
  </r>
  <r>
    <x v="6826"/>
    <x v="9"/>
    <x v="2"/>
    <x v="1"/>
    <s v="GTX Plus Basic"/>
    <m/>
    <x v="1"/>
    <d v="2017-09-19T00:00:00"/>
    <x v="6"/>
    <m/>
  </r>
  <r>
    <x v="6827"/>
    <x v="9"/>
    <x v="2"/>
    <x v="1"/>
    <s v="GTXPro"/>
    <s v="Finjob"/>
    <x v="0"/>
    <d v="2017-09-19T00:00:00"/>
    <x v="257"/>
    <n v="4709"/>
  </r>
  <r>
    <x v="6828"/>
    <x v="6"/>
    <x v="1"/>
    <x v="0"/>
    <s v="MG Advanced"/>
    <s v="Condax"/>
    <x v="0"/>
    <d v="2017-09-19T00:00:00"/>
    <x v="240"/>
    <n v="3079"/>
  </r>
  <r>
    <x v="6829"/>
    <x v="19"/>
    <x v="4"/>
    <x v="2"/>
    <s v="GTXPro"/>
    <s v="Massive Dynamic"/>
    <x v="0"/>
    <d v="2017-09-19T00:00:00"/>
    <x v="176"/>
    <n v="4369"/>
  </r>
  <r>
    <x v="6830"/>
    <x v="17"/>
    <x v="5"/>
    <x v="2"/>
    <s v="MG Advanced"/>
    <m/>
    <x v="1"/>
    <d v="2017-09-19T00:00:00"/>
    <x v="6"/>
    <m/>
  </r>
  <r>
    <x v="6831"/>
    <x v="12"/>
    <x v="0"/>
    <x v="0"/>
    <s v="MG Special"/>
    <s v="Rangreen"/>
    <x v="2"/>
    <d v="2017-09-19T00:00:00"/>
    <x v="179"/>
    <n v="0"/>
  </r>
  <r>
    <x v="6832"/>
    <x v="12"/>
    <x v="0"/>
    <x v="0"/>
    <s v="GTX Plus Pro"/>
    <s v="Statholdings"/>
    <x v="0"/>
    <d v="2017-09-19T00:00:00"/>
    <x v="271"/>
    <n v="6000"/>
  </r>
  <r>
    <x v="6833"/>
    <x v="15"/>
    <x v="5"/>
    <x v="2"/>
    <s v="MG Advanced"/>
    <s v="Kan-code"/>
    <x v="0"/>
    <d v="2017-09-19T00:00:00"/>
    <x v="271"/>
    <n v="3248"/>
  </r>
  <r>
    <x v="6834"/>
    <x v="2"/>
    <x v="2"/>
    <x v="1"/>
    <s v="MG Advanced"/>
    <s v="Nam-zim"/>
    <x v="0"/>
    <d v="2017-09-19T00:00:00"/>
    <x v="232"/>
    <n v="4249"/>
  </r>
  <r>
    <x v="6835"/>
    <x v="25"/>
    <x v="4"/>
    <x v="2"/>
    <s v="MG Advanced"/>
    <s v="Toughzap"/>
    <x v="1"/>
    <d v="2017-09-20T00:00:00"/>
    <x v="6"/>
    <m/>
  </r>
  <r>
    <x v="6836"/>
    <x v="25"/>
    <x v="4"/>
    <x v="2"/>
    <s v="GTX Basic"/>
    <s v="Betasoloin"/>
    <x v="0"/>
    <d v="2017-09-20T00:00:00"/>
    <x v="274"/>
    <n v="563"/>
  </r>
  <r>
    <x v="6837"/>
    <x v="27"/>
    <x v="5"/>
    <x v="2"/>
    <s v="GTXPro"/>
    <s v="Gekko &amp; Co"/>
    <x v="0"/>
    <d v="2017-09-20T00:00:00"/>
    <x v="181"/>
    <n v="5037"/>
  </r>
  <r>
    <x v="6838"/>
    <x v="13"/>
    <x v="4"/>
    <x v="2"/>
    <s v="GTXPro"/>
    <s v="Kan-code"/>
    <x v="0"/>
    <d v="2017-09-20T00:00:00"/>
    <x v="242"/>
    <n v="4865"/>
  </r>
  <r>
    <x v="6839"/>
    <x v="1"/>
    <x v="1"/>
    <x v="0"/>
    <s v="GTXPro"/>
    <s v="Warephase"/>
    <x v="0"/>
    <d v="2017-09-20T00:00:00"/>
    <x v="248"/>
    <n v="5192"/>
  </r>
  <r>
    <x v="6840"/>
    <x v="26"/>
    <x v="4"/>
    <x v="2"/>
    <s v="GTX Plus Basic"/>
    <s v="Kan-code"/>
    <x v="2"/>
    <d v="2017-09-20T00:00:00"/>
    <x v="269"/>
    <n v="0"/>
  </r>
  <r>
    <x v="6841"/>
    <x v="14"/>
    <x v="3"/>
    <x v="1"/>
    <s v="GTX Plus Pro"/>
    <m/>
    <x v="1"/>
    <d v="2017-09-20T00:00:00"/>
    <x v="6"/>
    <m/>
  </r>
  <r>
    <x v="6842"/>
    <x v="14"/>
    <x v="3"/>
    <x v="1"/>
    <s v="MG Special"/>
    <m/>
    <x v="1"/>
    <d v="2017-09-20T00:00:00"/>
    <x v="6"/>
    <m/>
  </r>
  <r>
    <x v="6843"/>
    <x v="14"/>
    <x v="3"/>
    <x v="1"/>
    <s v="MG Special"/>
    <s v="Doncon"/>
    <x v="0"/>
    <d v="2017-09-20T00:00:00"/>
    <x v="271"/>
    <n v="41"/>
  </r>
  <r>
    <x v="6844"/>
    <x v="10"/>
    <x v="3"/>
    <x v="1"/>
    <s v="MG Special"/>
    <s v="Dalttechnology"/>
    <x v="0"/>
    <d v="2017-09-20T00:00:00"/>
    <x v="168"/>
    <n v="59"/>
  </r>
  <r>
    <x v="6845"/>
    <x v="7"/>
    <x v="2"/>
    <x v="1"/>
    <s v="GTX Plus Pro"/>
    <s v="Goodsilron"/>
    <x v="2"/>
    <d v="2017-09-20T00:00:00"/>
    <x v="276"/>
    <n v="0"/>
  </r>
  <r>
    <x v="6846"/>
    <x v="7"/>
    <x v="2"/>
    <x v="1"/>
    <s v="MG Special"/>
    <s v="Blackzim"/>
    <x v="0"/>
    <d v="2017-09-20T00:00:00"/>
    <x v="253"/>
    <n v="58"/>
  </r>
  <r>
    <x v="6847"/>
    <x v="29"/>
    <x v="1"/>
    <x v="0"/>
    <s v="GTXPro"/>
    <s v="Ron-tech"/>
    <x v="0"/>
    <d v="2017-09-20T00:00:00"/>
    <x v="182"/>
    <n v="4361"/>
  </r>
  <r>
    <x v="6848"/>
    <x v="16"/>
    <x v="2"/>
    <x v="1"/>
    <s v="GTXPro"/>
    <m/>
    <x v="1"/>
    <d v="2017-09-20T00:00:00"/>
    <x v="6"/>
    <m/>
  </r>
  <r>
    <x v="6849"/>
    <x v="16"/>
    <x v="2"/>
    <x v="1"/>
    <s v="GTX Plus Pro"/>
    <s v="Lexiqvolax"/>
    <x v="0"/>
    <d v="2017-09-20T00:00:00"/>
    <x v="257"/>
    <n v="4906"/>
  </r>
  <r>
    <x v="6850"/>
    <x v="5"/>
    <x v="3"/>
    <x v="1"/>
    <s v="GTX Basic"/>
    <s v="Goodsilron"/>
    <x v="0"/>
    <d v="2017-09-20T00:00:00"/>
    <x v="181"/>
    <n v="587"/>
  </r>
  <r>
    <x v="6851"/>
    <x v="5"/>
    <x v="3"/>
    <x v="1"/>
    <s v="GTXPro"/>
    <s v="Y-corporation"/>
    <x v="0"/>
    <d v="2017-09-20T00:00:00"/>
    <x v="253"/>
    <n v="4487"/>
  </r>
  <r>
    <x v="6852"/>
    <x v="0"/>
    <x v="0"/>
    <x v="0"/>
    <s v="MG Advanced"/>
    <s v="Cancity"/>
    <x v="0"/>
    <d v="2017-09-20T00:00:00"/>
    <x v="270"/>
    <n v="3627"/>
  </r>
  <r>
    <x v="6853"/>
    <x v="11"/>
    <x v="3"/>
    <x v="1"/>
    <s v="GTX Plus Basic"/>
    <s v="Dalttechnology"/>
    <x v="1"/>
    <d v="2017-09-20T00:00:00"/>
    <x v="6"/>
    <m/>
  </r>
  <r>
    <x v="6854"/>
    <x v="11"/>
    <x v="3"/>
    <x v="1"/>
    <s v="GTX Plus Basic"/>
    <s v="Plexzap"/>
    <x v="0"/>
    <d v="2017-09-20T00:00:00"/>
    <x v="255"/>
    <n v="920"/>
  </r>
  <r>
    <x v="6855"/>
    <x v="4"/>
    <x v="3"/>
    <x v="1"/>
    <s v="MG Special"/>
    <s v="Zumgoity"/>
    <x v="1"/>
    <d v="2017-09-20T00:00:00"/>
    <x v="6"/>
    <m/>
  </r>
  <r>
    <x v="6856"/>
    <x v="4"/>
    <x v="3"/>
    <x v="1"/>
    <s v="MG Advanced"/>
    <m/>
    <x v="1"/>
    <d v="2017-09-20T00:00:00"/>
    <x v="6"/>
    <m/>
  </r>
  <r>
    <x v="6857"/>
    <x v="4"/>
    <x v="3"/>
    <x v="1"/>
    <s v="GTX Basic"/>
    <s v="Golddex"/>
    <x v="0"/>
    <d v="2017-09-20T00:00:00"/>
    <x v="276"/>
    <n v="552"/>
  </r>
  <r>
    <x v="6858"/>
    <x v="4"/>
    <x v="3"/>
    <x v="1"/>
    <s v="MG Special"/>
    <s v="Labdrill"/>
    <x v="0"/>
    <d v="2017-09-20T00:00:00"/>
    <x v="273"/>
    <n v="54"/>
  </r>
  <r>
    <x v="6859"/>
    <x v="15"/>
    <x v="5"/>
    <x v="2"/>
    <s v="GTX Basic"/>
    <s v="Bubba Gump"/>
    <x v="0"/>
    <d v="2017-09-20T00:00:00"/>
    <x v="247"/>
    <n v="472"/>
  </r>
  <r>
    <x v="6860"/>
    <x v="20"/>
    <x v="5"/>
    <x v="2"/>
    <s v="GTX Plus Pro"/>
    <s v="Xx-zobam"/>
    <x v="2"/>
    <d v="2017-09-20T00:00:00"/>
    <x v="253"/>
    <n v="0"/>
  </r>
  <r>
    <x v="6861"/>
    <x v="2"/>
    <x v="2"/>
    <x v="1"/>
    <s v="GTXPro"/>
    <m/>
    <x v="1"/>
    <d v="2017-09-20T00:00:00"/>
    <x v="6"/>
    <m/>
  </r>
  <r>
    <x v="6862"/>
    <x v="3"/>
    <x v="0"/>
    <x v="0"/>
    <s v="MG Special"/>
    <s v="Toughzap"/>
    <x v="0"/>
    <d v="2017-09-21T00:00:00"/>
    <x v="182"/>
    <n v="66"/>
  </r>
  <r>
    <x v="6863"/>
    <x v="25"/>
    <x v="4"/>
    <x v="2"/>
    <s v="GTXPro"/>
    <s v="Yearin"/>
    <x v="2"/>
    <d v="2017-09-21T00:00:00"/>
    <x v="236"/>
    <n v="0"/>
  </r>
  <r>
    <x v="6864"/>
    <x v="23"/>
    <x v="4"/>
    <x v="2"/>
    <s v="GTX Plus Basic"/>
    <s v="Massive Dynamic"/>
    <x v="0"/>
    <d v="2017-09-21T00:00:00"/>
    <x v="235"/>
    <n v="1039"/>
  </r>
  <r>
    <x v="6865"/>
    <x v="27"/>
    <x v="5"/>
    <x v="2"/>
    <s v="GTX Plus Basic"/>
    <s v="Plussunin"/>
    <x v="2"/>
    <d v="2017-09-21T00:00:00"/>
    <x v="241"/>
    <n v="0"/>
  </r>
  <r>
    <x v="6866"/>
    <x v="27"/>
    <x v="5"/>
    <x v="2"/>
    <s v="GTXPro"/>
    <s v="Kan-code"/>
    <x v="2"/>
    <d v="2017-09-21T00:00:00"/>
    <x v="174"/>
    <n v="0"/>
  </r>
  <r>
    <x v="6867"/>
    <x v="27"/>
    <x v="5"/>
    <x v="2"/>
    <s v="GTX Basic"/>
    <s v="Bluth Company"/>
    <x v="0"/>
    <d v="2017-09-21T00:00:00"/>
    <x v="261"/>
    <n v="550"/>
  </r>
  <r>
    <x v="6868"/>
    <x v="13"/>
    <x v="4"/>
    <x v="2"/>
    <s v="GTXPro"/>
    <m/>
    <x v="1"/>
    <d v="2017-09-21T00:00:00"/>
    <x v="6"/>
    <m/>
  </r>
  <r>
    <x v="6869"/>
    <x v="1"/>
    <x v="1"/>
    <x v="0"/>
    <s v="GTXPro"/>
    <s v="Rangreen"/>
    <x v="2"/>
    <d v="2017-09-21T00:00:00"/>
    <x v="256"/>
    <n v="0"/>
  </r>
  <r>
    <x v="6870"/>
    <x v="1"/>
    <x v="1"/>
    <x v="0"/>
    <s v="GTXPro"/>
    <s v="Treequote"/>
    <x v="0"/>
    <d v="2017-09-21T00:00:00"/>
    <x v="265"/>
    <n v="4570"/>
  </r>
  <r>
    <x v="6871"/>
    <x v="26"/>
    <x v="4"/>
    <x v="2"/>
    <s v="GTXPro"/>
    <s v="Betasoloin"/>
    <x v="2"/>
    <d v="2017-09-21T00:00:00"/>
    <x v="262"/>
    <n v="0"/>
  </r>
  <r>
    <x v="6872"/>
    <x v="8"/>
    <x v="1"/>
    <x v="0"/>
    <s v="GTX Plus Pro"/>
    <s v="Condax"/>
    <x v="0"/>
    <d v="2017-09-21T00:00:00"/>
    <x v="252"/>
    <n v="5138"/>
  </r>
  <r>
    <x v="6873"/>
    <x v="7"/>
    <x v="2"/>
    <x v="1"/>
    <s v="MG Advanced"/>
    <s v="Labdrill"/>
    <x v="0"/>
    <d v="2017-09-21T00:00:00"/>
    <x v="236"/>
    <n v="3063"/>
  </r>
  <r>
    <x v="6874"/>
    <x v="16"/>
    <x v="2"/>
    <x v="1"/>
    <s v="GTX Plus Basic"/>
    <s v="Sunnamplex"/>
    <x v="2"/>
    <d v="2017-09-21T00:00:00"/>
    <x v="277"/>
    <n v="0"/>
  </r>
  <r>
    <x v="6875"/>
    <x v="18"/>
    <x v="2"/>
    <x v="1"/>
    <s v="GTX Basic"/>
    <s v="Green-Plus"/>
    <x v="0"/>
    <d v="2017-09-21T00:00:00"/>
    <x v="265"/>
    <n v="613"/>
  </r>
  <r>
    <x v="6876"/>
    <x v="18"/>
    <x v="2"/>
    <x v="1"/>
    <s v="GTXPro"/>
    <s v="Plexzap"/>
    <x v="0"/>
    <d v="2017-09-21T00:00:00"/>
    <x v="226"/>
    <n v="4808"/>
  </r>
  <r>
    <x v="6877"/>
    <x v="24"/>
    <x v="0"/>
    <x v="0"/>
    <s v="GTX Plus Pro"/>
    <s v="Condax"/>
    <x v="0"/>
    <d v="2017-09-21T00:00:00"/>
    <x v="244"/>
    <n v="5160"/>
  </r>
  <r>
    <x v="6878"/>
    <x v="5"/>
    <x v="3"/>
    <x v="1"/>
    <s v="GTX Basic"/>
    <s v="J-Texon"/>
    <x v="0"/>
    <d v="2017-09-21T00:00:00"/>
    <x v="276"/>
    <n v="566"/>
  </r>
  <r>
    <x v="6879"/>
    <x v="22"/>
    <x v="1"/>
    <x v="0"/>
    <s v="MG Special"/>
    <s v="Warephase"/>
    <x v="0"/>
    <d v="2017-09-21T00:00:00"/>
    <x v="173"/>
    <n v="68"/>
  </r>
  <r>
    <x v="6880"/>
    <x v="9"/>
    <x v="2"/>
    <x v="1"/>
    <s v="GTX Basic"/>
    <s v="Kan-code"/>
    <x v="2"/>
    <d v="2017-09-21T00:00:00"/>
    <x v="278"/>
    <n v="0"/>
  </r>
  <r>
    <x v="6881"/>
    <x v="19"/>
    <x v="4"/>
    <x v="2"/>
    <s v="GTXPro"/>
    <s v="The New York Inquirer"/>
    <x v="0"/>
    <d v="2017-09-21T00:00:00"/>
    <x v="255"/>
    <n v="5600"/>
  </r>
  <r>
    <x v="6882"/>
    <x v="12"/>
    <x v="0"/>
    <x v="0"/>
    <s v="MG Special"/>
    <s v="dambase"/>
    <x v="0"/>
    <d v="2017-09-21T00:00:00"/>
    <x v="239"/>
    <n v="61"/>
  </r>
  <r>
    <x v="6883"/>
    <x v="4"/>
    <x v="3"/>
    <x v="1"/>
    <s v="MG Special"/>
    <s v="Groovestreet"/>
    <x v="2"/>
    <d v="2017-09-21T00:00:00"/>
    <x v="259"/>
    <n v="0"/>
  </r>
  <r>
    <x v="6884"/>
    <x v="20"/>
    <x v="5"/>
    <x v="2"/>
    <s v="MG Advanced"/>
    <s v="Xx-zobam"/>
    <x v="2"/>
    <d v="2017-09-21T00:00:00"/>
    <x v="246"/>
    <n v="0"/>
  </r>
  <r>
    <x v="6885"/>
    <x v="23"/>
    <x v="4"/>
    <x v="2"/>
    <s v="GTX Plus Basic"/>
    <s v="Plussunin"/>
    <x v="2"/>
    <d v="2017-09-22T00:00:00"/>
    <x v="237"/>
    <n v="0"/>
  </r>
  <r>
    <x v="6886"/>
    <x v="23"/>
    <x v="4"/>
    <x v="2"/>
    <s v="GTX Plus Pro"/>
    <s v="Donware"/>
    <x v="2"/>
    <d v="2017-09-22T00:00:00"/>
    <x v="253"/>
    <n v="0"/>
  </r>
  <r>
    <x v="6887"/>
    <x v="27"/>
    <x v="5"/>
    <x v="2"/>
    <s v="GTX Basic"/>
    <s v="Zotware"/>
    <x v="2"/>
    <d v="2017-09-22T00:00:00"/>
    <x v="246"/>
    <n v="0"/>
  </r>
  <r>
    <x v="6888"/>
    <x v="13"/>
    <x v="4"/>
    <x v="2"/>
    <s v="GTX Plus Pro"/>
    <m/>
    <x v="1"/>
    <d v="2017-09-22T00:00:00"/>
    <x v="6"/>
    <m/>
  </r>
  <r>
    <x v="6889"/>
    <x v="13"/>
    <x v="4"/>
    <x v="2"/>
    <s v="GTXPro"/>
    <s v="The New York Inquirer"/>
    <x v="0"/>
    <d v="2017-09-22T00:00:00"/>
    <x v="269"/>
    <n v="4976"/>
  </r>
  <r>
    <x v="6890"/>
    <x v="1"/>
    <x v="1"/>
    <x v="0"/>
    <s v="GTXPro"/>
    <s v="Gogozoom"/>
    <x v="2"/>
    <d v="2017-09-22T00:00:00"/>
    <x v="278"/>
    <n v="0"/>
  </r>
  <r>
    <x v="6891"/>
    <x v="1"/>
    <x v="1"/>
    <x v="0"/>
    <s v="GTXPro"/>
    <s v="Inity"/>
    <x v="0"/>
    <d v="2017-09-22T00:00:00"/>
    <x v="266"/>
    <n v="4991"/>
  </r>
  <r>
    <x v="6892"/>
    <x v="26"/>
    <x v="4"/>
    <x v="2"/>
    <s v="GTX Basic"/>
    <s v="Bioplex"/>
    <x v="2"/>
    <d v="2017-09-22T00:00:00"/>
    <x v="279"/>
    <n v="0"/>
  </r>
  <r>
    <x v="6893"/>
    <x v="26"/>
    <x v="4"/>
    <x v="2"/>
    <s v="GTXPro"/>
    <s v="Vehement Capital Partners"/>
    <x v="0"/>
    <d v="2017-09-22T00:00:00"/>
    <x v="279"/>
    <n v="5868"/>
  </r>
  <r>
    <x v="6894"/>
    <x v="14"/>
    <x v="3"/>
    <x v="1"/>
    <s v="MG Advanced"/>
    <s v="Labdrill"/>
    <x v="1"/>
    <d v="2017-09-22T00:00:00"/>
    <x v="6"/>
    <m/>
  </r>
  <r>
    <x v="6895"/>
    <x v="8"/>
    <x v="1"/>
    <x v="0"/>
    <s v="GTX Plus Basic"/>
    <s v="Isdom"/>
    <x v="2"/>
    <d v="2017-09-22T00:00:00"/>
    <x v="261"/>
    <n v="0"/>
  </r>
  <r>
    <x v="6896"/>
    <x v="8"/>
    <x v="1"/>
    <x v="0"/>
    <s v="GTXPro"/>
    <s v="Bioholding"/>
    <x v="0"/>
    <d v="2017-09-22T00:00:00"/>
    <x v="253"/>
    <n v="4938"/>
  </r>
  <r>
    <x v="6897"/>
    <x v="8"/>
    <x v="1"/>
    <x v="0"/>
    <s v="MG Advanced"/>
    <s v="Ron-tech"/>
    <x v="0"/>
    <d v="2017-09-22T00:00:00"/>
    <x v="247"/>
    <n v="3772"/>
  </r>
  <r>
    <x v="6898"/>
    <x v="7"/>
    <x v="2"/>
    <x v="1"/>
    <s v="GTX Plus Pro"/>
    <s v="Cheers"/>
    <x v="0"/>
    <d v="2017-09-22T00:00:00"/>
    <x v="277"/>
    <n v="5784"/>
  </r>
  <r>
    <x v="6899"/>
    <x v="29"/>
    <x v="1"/>
    <x v="0"/>
    <s v="GTXPro"/>
    <s v="Conecom"/>
    <x v="0"/>
    <d v="2017-09-22T00:00:00"/>
    <x v="277"/>
    <n v="3485"/>
  </r>
  <r>
    <x v="6900"/>
    <x v="16"/>
    <x v="2"/>
    <x v="1"/>
    <s v="GTX Basic"/>
    <s v="Fasehatice"/>
    <x v="0"/>
    <d v="2017-09-22T00:00:00"/>
    <x v="183"/>
    <n v="675"/>
  </r>
  <r>
    <x v="6901"/>
    <x v="18"/>
    <x v="2"/>
    <x v="1"/>
    <s v="GTX Basic"/>
    <s v="Sonron"/>
    <x v="2"/>
    <d v="2017-09-22T00:00:00"/>
    <x v="260"/>
    <n v="0"/>
  </r>
  <r>
    <x v="6902"/>
    <x v="9"/>
    <x v="2"/>
    <x v="1"/>
    <s v="MG Special"/>
    <s v="Plusstrip"/>
    <x v="2"/>
    <d v="2017-09-22T00:00:00"/>
    <x v="260"/>
    <n v="0"/>
  </r>
  <r>
    <x v="6903"/>
    <x v="11"/>
    <x v="3"/>
    <x v="1"/>
    <s v="GTX Plus Basic"/>
    <s v="Doncon"/>
    <x v="2"/>
    <d v="2017-09-22T00:00:00"/>
    <x v="199"/>
    <n v="0"/>
  </r>
  <r>
    <x v="6904"/>
    <x v="11"/>
    <x v="3"/>
    <x v="1"/>
    <s v="MG Special"/>
    <s v="Newex"/>
    <x v="0"/>
    <d v="2017-09-22T00:00:00"/>
    <x v="276"/>
    <n v="55"/>
  </r>
  <r>
    <x v="6905"/>
    <x v="12"/>
    <x v="0"/>
    <x v="0"/>
    <s v="MG Special"/>
    <s v="Toughzap"/>
    <x v="2"/>
    <d v="2017-09-22T00:00:00"/>
    <x v="242"/>
    <n v="0"/>
  </r>
  <r>
    <x v="6906"/>
    <x v="12"/>
    <x v="0"/>
    <x v="0"/>
    <s v="MG Advanced"/>
    <s v="Rangreen"/>
    <x v="2"/>
    <d v="2017-09-22T00:00:00"/>
    <x v="239"/>
    <n v="0"/>
  </r>
  <r>
    <x v="6907"/>
    <x v="12"/>
    <x v="0"/>
    <x v="0"/>
    <s v="GTX Plus Pro"/>
    <s v="Inity"/>
    <x v="0"/>
    <d v="2017-09-22T00:00:00"/>
    <x v="276"/>
    <n v="5775"/>
  </r>
  <r>
    <x v="6908"/>
    <x v="4"/>
    <x v="3"/>
    <x v="1"/>
    <s v="GTX Basic"/>
    <s v="Hottechi"/>
    <x v="0"/>
    <d v="2017-09-22T00:00:00"/>
    <x v="229"/>
    <n v="651"/>
  </r>
  <r>
    <x v="6909"/>
    <x v="4"/>
    <x v="3"/>
    <x v="1"/>
    <s v="GTX Basic"/>
    <s v="Scotfind"/>
    <x v="0"/>
    <d v="2017-09-22T00:00:00"/>
    <x v="241"/>
    <n v="570"/>
  </r>
  <r>
    <x v="6910"/>
    <x v="4"/>
    <x v="3"/>
    <x v="1"/>
    <s v="MG Special"/>
    <s v="Blackzim"/>
    <x v="0"/>
    <d v="2017-09-22T00:00:00"/>
    <x v="265"/>
    <n v="54"/>
  </r>
  <r>
    <x v="6911"/>
    <x v="4"/>
    <x v="3"/>
    <x v="1"/>
    <s v="MG Special"/>
    <s v="Scotfind"/>
    <x v="0"/>
    <d v="2017-09-22T00:00:00"/>
    <x v="181"/>
    <n v="47"/>
  </r>
  <r>
    <x v="6912"/>
    <x v="20"/>
    <x v="5"/>
    <x v="2"/>
    <s v="MG Special"/>
    <s v="Silis"/>
    <x v="0"/>
    <d v="2017-09-22T00:00:00"/>
    <x v="227"/>
    <n v="56"/>
  </r>
  <r>
    <x v="6913"/>
    <x v="25"/>
    <x v="4"/>
    <x v="2"/>
    <s v="GTX Plus Basic"/>
    <s v="Vehement Capital Partners"/>
    <x v="2"/>
    <d v="2017-09-23T00:00:00"/>
    <x v="280"/>
    <n v="0"/>
  </r>
  <r>
    <x v="6914"/>
    <x v="1"/>
    <x v="1"/>
    <x v="0"/>
    <s v="GTXPro"/>
    <s v="Rangreen"/>
    <x v="2"/>
    <d v="2017-09-23T00:00:00"/>
    <x v="239"/>
    <n v="0"/>
  </r>
  <r>
    <x v="6915"/>
    <x v="1"/>
    <x v="1"/>
    <x v="0"/>
    <s v="GTXPro"/>
    <s v="Bioholding"/>
    <x v="0"/>
    <d v="2017-09-23T00:00:00"/>
    <x v="182"/>
    <n v="4422"/>
  </r>
  <r>
    <x v="6916"/>
    <x v="1"/>
    <x v="1"/>
    <x v="0"/>
    <s v="GTXPro"/>
    <s v="Hottechi"/>
    <x v="0"/>
    <d v="2017-09-23T00:00:00"/>
    <x v="277"/>
    <n v="5357"/>
  </r>
  <r>
    <x v="6917"/>
    <x v="8"/>
    <x v="1"/>
    <x v="0"/>
    <s v="MG Special"/>
    <s v="Bioholding"/>
    <x v="2"/>
    <d v="2017-09-23T00:00:00"/>
    <x v="276"/>
    <n v="0"/>
  </r>
  <r>
    <x v="6918"/>
    <x v="8"/>
    <x v="1"/>
    <x v="0"/>
    <s v="GTX Plus Basic"/>
    <s v="Conecom"/>
    <x v="0"/>
    <d v="2017-09-23T00:00:00"/>
    <x v="173"/>
    <n v="1047"/>
  </r>
  <r>
    <x v="6919"/>
    <x v="8"/>
    <x v="1"/>
    <x v="0"/>
    <s v="GTXPro"/>
    <s v="Ron-tech"/>
    <x v="0"/>
    <d v="2017-09-23T00:00:00"/>
    <x v="272"/>
    <n v="5013"/>
  </r>
  <r>
    <x v="6920"/>
    <x v="10"/>
    <x v="3"/>
    <x v="1"/>
    <s v="MG Advanced"/>
    <s v="Finjob"/>
    <x v="0"/>
    <d v="2017-09-23T00:00:00"/>
    <x v="174"/>
    <n v="3197"/>
  </r>
  <r>
    <x v="6921"/>
    <x v="29"/>
    <x v="1"/>
    <x v="0"/>
    <s v="GTX Plus Basic"/>
    <s v="Inity"/>
    <x v="2"/>
    <d v="2017-09-23T00:00:00"/>
    <x v="280"/>
    <n v="0"/>
  </r>
  <r>
    <x v="6922"/>
    <x v="29"/>
    <x v="1"/>
    <x v="0"/>
    <s v="GTX Plus Basic"/>
    <s v="Zumgoity"/>
    <x v="0"/>
    <d v="2017-09-23T00:00:00"/>
    <x v="277"/>
    <n v="1127"/>
  </r>
  <r>
    <x v="6923"/>
    <x v="16"/>
    <x v="2"/>
    <x v="1"/>
    <s v="GTX Basic"/>
    <m/>
    <x v="1"/>
    <d v="2017-09-23T00:00:00"/>
    <x v="6"/>
    <m/>
  </r>
  <r>
    <x v="6924"/>
    <x v="16"/>
    <x v="2"/>
    <x v="1"/>
    <s v="GTXPro"/>
    <s v="Kan-code"/>
    <x v="1"/>
    <d v="2017-09-23T00:00:00"/>
    <x v="6"/>
    <m/>
  </r>
  <r>
    <x v="6925"/>
    <x v="16"/>
    <x v="2"/>
    <x v="1"/>
    <s v="GTX Basic"/>
    <s v="Plexzap"/>
    <x v="0"/>
    <d v="2017-09-23T00:00:00"/>
    <x v="266"/>
    <n v="468"/>
  </r>
  <r>
    <x v="6926"/>
    <x v="16"/>
    <x v="2"/>
    <x v="1"/>
    <s v="MG Special"/>
    <s v="Rantouch"/>
    <x v="0"/>
    <d v="2017-09-23T00:00:00"/>
    <x v="232"/>
    <n v="55"/>
  </r>
  <r>
    <x v="6927"/>
    <x v="18"/>
    <x v="2"/>
    <x v="1"/>
    <s v="MG Special"/>
    <s v="Finjob"/>
    <x v="0"/>
    <d v="2017-09-23T00:00:00"/>
    <x v="276"/>
    <n v="57"/>
  </r>
  <r>
    <x v="6928"/>
    <x v="24"/>
    <x v="0"/>
    <x v="0"/>
    <s v="MG Special"/>
    <s v="Zumgoity"/>
    <x v="2"/>
    <d v="2017-09-23T00:00:00"/>
    <x v="233"/>
    <n v="0"/>
  </r>
  <r>
    <x v="6929"/>
    <x v="24"/>
    <x v="0"/>
    <x v="0"/>
    <s v="GTX Plus Basic"/>
    <s v="Rangreen"/>
    <x v="0"/>
    <d v="2017-09-23T00:00:00"/>
    <x v="237"/>
    <n v="946"/>
  </r>
  <r>
    <x v="6930"/>
    <x v="5"/>
    <x v="3"/>
    <x v="1"/>
    <s v="GTX Basic"/>
    <s v="Xx-holding"/>
    <x v="2"/>
    <d v="2017-09-23T00:00:00"/>
    <x v="277"/>
    <n v="0"/>
  </r>
  <r>
    <x v="6931"/>
    <x v="9"/>
    <x v="2"/>
    <x v="1"/>
    <s v="GTX Basic"/>
    <s v="Zoomit"/>
    <x v="2"/>
    <d v="2017-09-23T00:00:00"/>
    <x v="226"/>
    <n v="0"/>
  </r>
  <r>
    <x v="6932"/>
    <x v="9"/>
    <x v="2"/>
    <x v="1"/>
    <s v="MG Special"/>
    <s v="Golddex"/>
    <x v="2"/>
    <d v="2017-09-23T00:00:00"/>
    <x v="205"/>
    <n v="0"/>
  </r>
  <r>
    <x v="6933"/>
    <x v="0"/>
    <x v="0"/>
    <x v="0"/>
    <s v="MG Special"/>
    <s v="Dontechi"/>
    <x v="2"/>
    <d v="2017-09-23T00:00:00"/>
    <x v="237"/>
    <n v="0"/>
  </r>
  <r>
    <x v="6934"/>
    <x v="17"/>
    <x v="5"/>
    <x v="2"/>
    <s v="GTXPro"/>
    <s v="Massive Dynamic"/>
    <x v="2"/>
    <d v="2017-09-23T00:00:00"/>
    <x v="280"/>
    <n v="0"/>
  </r>
  <r>
    <x v="6935"/>
    <x v="4"/>
    <x v="3"/>
    <x v="1"/>
    <s v="MG Advanced"/>
    <m/>
    <x v="1"/>
    <d v="2017-09-23T00:00:00"/>
    <x v="6"/>
    <m/>
  </r>
  <r>
    <x v="6936"/>
    <x v="4"/>
    <x v="3"/>
    <x v="1"/>
    <s v="GTXPro"/>
    <s v="Hottechi"/>
    <x v="0"/>
    <d v="2017-09-23T00:00:00"/>
    <x v="268"/>
    <n v="4415"/>
  </r>
  <r>
    <x v="6937"/>
    <x v="15"/>
    <x v="5"/>
    <x v="2"/>
    <s v="MG Special"/>
    <s v="Bioplex"/>
    <x v="0"/>
    <d v="2017-09-23T00:00:00"/>
    <x v="277"/>
    <n v="60"/>
  </r>
  <r>
    <x v="6938"/>
    <x v="2"/>
    <x v="2"/>
    <x v="1"/>
    <s v="GTX Plus Pro"/>
    <s v="Green-Plus"/>
    <x v="0"/>
    <d v="2017-09-23T00:00:00"/>
    <x v="276"/>
    <n v="5865"/>
  </r>
  <r>
    <x v="6939"/>
    <x v="3"/>
    <x v="0"/>
    <x v="0"/>
    <s v="GTX Plus Pro"/>
    <s v="Treequote"/>
    <x v="2"/>
    <d v="2017-09-24T00:00:00"/>
    <x v="230"/>
    <n v="0"/>
  </r>
  <r>
    <x v="6940"/>
    <x v="3"/>
    <x v="0"/>
    <x v="0"/>
    <s v="MG Special"/>
    <s v="Codehow"/>
    <x v="2"/>
    <d v="2017-09-24T00:00:00"/>
    <x v="237"/>
    <n v="0"/>
  </r>
  <r>
    <x v="6941"/>
    <x v="25"/>
    <x v="4"/>
    <x v="2"/>
    <s v="GTX Plus Basic"/>
    <s v="Kan-code"/>
    <x v="2"/>
    <d v="2017-09-24T00:00:00"/>
    <x v="247"/>
    <n v="0"/>
  </r>
  <r>
    <x v="6942"/>
    <x v="28"/>
    <x v="0"/>
    <x v="0"/>
    <s v="MG Advanced"/>
    <s v="Globex Corporation"/>
    <x v="2"/>
    <d v="2017-09-24T00:00:00"/>
    <x v="279"/>
    <n v="0"/>
  </r>
  <r>
    <x v="6943"/>
    <x v="28"/>
    <x v="0"/>
    <x v="0"/>
    <s v="MG Special"/>
    <s v="Rundofase"/>
    <x v="0"/>
    <d v="2017-09-24T00:00:00"/>
    <x v="277"/>
    <n v="54"/>
  </r>
  <r>
    <x v="6944"/>
    <x v="27"/>
    <x v="5"/>
    <x v="2"/>
    <s v="GTXPro"/>
    <s v="Opentech"/>
    <x v="0"/>
    <d v="2017-09-24T00:00:00"/>
    <x v="275"/>
    <n v="5069"/>
  </r>
  <r>
    <x v="6945"/>
    <x v="13"/>
    <x v="4"/>
    <x v="2"/>
    <s v="GTX Plus Pro"/>
    <s v="Konex"/>
    <x v="0"/>
    <d v="2017-09-24T00:00:00"/>
    <x v="280"/>
    <n v="5378"/>
  </r>
  <r>
    <x v="6946"/>
    <x v="13"/>
    <x v="4"/>
    <x v="2"/>
    <s v="GTXPro"/>
    <s v="Mathtouch"/>
    <x v="0"/>
    <d v="2017-09-24T00:00:00"/>
    <x v="240"/>
    <n v="5255"/>
  </r>
  <r>
    <x v="6947"/>
    <x v="1"/>
    <x v="1"/>
    <x v="0"/>
    <s v="GTX Plus Basic"/>
    <s v="Domzoom"/>
    <x v="2"/>
    <d v="2017-09-24T00:00:00"/>
    <x v="279"/>
    <n v="0"/>
  </r>
  <r>
    <x v="6948"/>
    <x v="1"/>
    <x v="1"/>
    <x v="0"/>
    <s v="GTX Plus Pro"/>
    <s v="Conecom"/>
    <x v="0"/>
    <d v="2017-09-24T00:00:00"/>
    <x v="278"/>
    <n v="5144"/>
  </r>
  <r>
    <x v="6949"/>
    <x v="26"/>
    <x v="4"/>
    <x v="2"/>
    <s v="GTX Plus Pro"/>
    <s v="Donware"/>
    <x v="2"/>
    <d v="2017-09-24T00:00:00"/>
    <x v="264"/>
    <n v="0"/>
  </r>
  <r>
    <x v="6950"/>
    <x v="7"/>
    <x v="2"/>
    <x v="1"/>
    <s v="GTX Plus Pro"/>
    <s v="Plusstrip"/>
    <x v="0"/>
    <d v="2017-09-24T00:00:00"/>
    <x v="278"/>
    <n v="5527"/>
  </r>
  <r>
    <x v="6951"/>
    <x v="18"/>
    <x v="2"/>
    <x v="1"/>
    <s v="MG Advanced"/>
    <s v="Nam-zim"/>
    <x v="2"/>
    <d v="2017-09-24T00:00:00"/>
    <x v="251"/>
    <n v="0"/>
  </r>
  <r>
    <x v="6952"/>
    <x v="24"/>
    <x v="0"/>
    <x v="0"/>
    <s v="GTX Basic"/>
    <s v="Hottechi"/>
    <x v="2"/>
    <d v="2017-09-24T00:00:00"/>
    <x v="277"/>
    <n v="0"/>
  </r>
  <r>
    <x v="6953"/>
    <x v="24"/>
    <x v="0"/>
    <x v="0"/>
    <s v="GTX Basic"/>
    <s v="dambase"/>
    <x v="0"/>
    <d v="2017-09-24T00:00:00"/>
    <x v="261"/>
    <n v="452"/>
  </r>
  <r>
    <x v="6954"/>
    <x v="5"/>
    <x v="3"/>
    <x v="1"/>
    <s v="MG Advanced"/>
    <s v="Kan-code"/>
    <x v="2"/>
    <d v="2017-09-24T00:00:00"/>
    <x v="280"/>
    <n v="0"/>
  </r>
  <r>
    <x v="6955"/>
    <x v="0"/>
    <x v="0"/>
    <x v="0"/>
    <s v="GTX Plus Pro"/>
    <s v="Toughzap"/>
    <x v="0"/>
    <d v="2017-09-24T00:00:00"/>
    <x v="270"/>
    <n v="7300"/>
  </r>
  <r>
    <x v="6956"/>
    <x v="12"/>
    <x v="0"/>
    <x v="0"/>
    <s v="MG Special"/>
    <s v="Genco Pura Olive Oil Company"/>
    <x v="2"/>
    <d v="2017-09-24T00:00:00"/>
    <x v="207"/>
    <n v="0"/>
  </r>
  <r>
    <x v="6957"/>
    <x v="4"/>
    <x v="3"/>
    <x v="1"/>
    <s v="GTX Plus Pro"/>
    <s v="Blackzim"/>
    <x v="0"/>
    <d v="2017-09-24T00:00:00"/>
    <x v="244"/>
    <n v="5196"/>
  </r>
  <r>
    <x v="6958"/>
    <x v="4"/>
    <x v="3"/>
    <x v="1"/>
    <s v="GTX Plus Pro"/>
    <s v="Faxquote"/>
    <x v="0"/>
    <d v="2017-09-24T00:00:00"/>
    <x v="274"/>
    <n v="5624"/>
  </r>
  <r>
    <x v="6959"/>
    <x v="4"/>
    <x v="3"/>
    <x v="1"/>
    <s v="MG Advanced"/>
    <s v="J-Texon"/>
    <x v="0"/>
    <d v="2017-09-24T00:00:00"/>
    <x v="273"/>
    <n v="4110"/>
  </r>
  <r>
    <x v="6960"/>
    <x v="3"/>
    <x v="0"/>
    <x v="0"/>
    <s v="GTX Basic"/>
    <s v="Inity"/>
    <x v="2"/>
    <d v="2017-09-25T00:00:00"/>
    <x v="279"/>
    <n v="0"/>
  </r>
  <r>
    <x v="6961"/>
    <x v="3"/>
    <x v="0"/>
    <x v="0"/>
    <s v="MG Special"/>
    <s v="Codehow"/>
    <x v="0"/>
    <d v="2017-09-25T00:00:00"/>
    <x v="248"/>
    <n v="53"/>
  </r>
  <r>
    <x v="6962"/>
    <x v="23"/>
    <x v="4"/>
    <x v="2"/>
    <s v="GTXPro"/>
    <s v="Massive Dynamic"/>
    <x v="0"/>
    <d v="2017-09-25T00:00:00"/>
    <x v="173"/>
    <n v="5727"/>
  </r>
  <r>
    <x v="6963"/>
    <x v="23"/>
    <x v="4"/>
    <x v="2"/>
    <s v="GTXPro"/>
    <s v="Plussunin"/>
    <x v="0"/>
    <d v="2017-09-25T00:00:00"/>
    <x v="183"/>
    <n v="4308"/>
  </r>
  <r>
    <x v="6964"/>
    <x v="23"/>
    <x v="4"/>
    <x v="2"/>
    <s v="MG Advanced"/>
    <s v="Plussunin"/>
    <x v="0"/>
    <d v="2017-09-25T00:00:00"/>
    <x v="257"/>
    <n v="3329"/>
  </r>
  <r>
    <x v="6965"/>
    <x v="13"/>
    <x v="4"/>
    <x v="2"/>
    <s v="GTX Plus Basic"/>
    <s v="Kinnamplus"/>
    <x v="2"/>
    <d v="2017-09-25T00:00:00"/>
    <x v="278"/>
    <n v="0"/>
  </r>
  <r>
    <x v="6966"/>
    <x v="1"/>
    <x v="1"/>
    <x v="0"/>
    <s v="GTX Plus Pro"/>
    <s v="Hottechi"/>
    <x v="2"/>
    <d v="2017-09-25T00:00:00"/>
    <x v="279"/>
    <n v="0"/>
  </r>
  <r>
    <x v="6967"/>
    <x v="14"/>
    <x v="3"/>
    <x v="1"/>
    <s v="MG Special"/>
    <s v="Doncon"/>
    <x v="2"/>
    <d v="2017-09-25T00:00:00"/>
    <x v="279"/>
    <n v="0"/>
  </r>
  <r>
    <x v="6968"/>
    <x v="7"/>
    <x v="2"/>
    <x v="1"/>
    <s v="MG Special"/>
    <s v="Betasoloin"/>
    <x v="1"/>
    <d v="2017-09-25T00:00:00"/>
    <x v="6"/>
    <m/>
  </r>
  <r>
    <x v="6969"/>
    <x v="29"/>
    <x v="1"/>
    <x v="0"/>
    <s v="GTX Basic"/>
    <s v="Gogozoom"/>
    <x v="2"/>
    <d v="2017-09-25T00:00:00"/>
    <x v="278"/>
    <n v="0"/>
  </r>
  <r>
    <x v="6970"/>
    <x v="29"/>
    <x v="1"/>
    <x v="0"/>
    <s v="GTX Plus Pro"/>
    <s v="Dontechi"/>
    <x v="2"/>
    <d v="2017-09-25T00:00:00"/>
    <x v="250"/>
    <n v="0"/>
  </r>
  <r>
    <x v="6971"/>
    <x v="16"/>
    <x v="2"/>
    <x v="1"/>
    <s v="GTX Plus Pro"/>
    <s v="Labdrill"/>
    <x v="0"/>
    <d v="2017-09-25T00:00:00"/>
    <x v="237"/>
    <n v="6105"/>
  </r>
  <r>
    <x v="6972"/>
    <x v="18"/>
    <x v="2"/>
    <x v="1"/>
    <s v="GTX Basic"/>
    <s v="Xx-holding"/>
    <x v="0"/>
    <d v="2017-09-25T00:00:00"/>
    <x v="220"/>
    <n v="549"/>
  </r>
  <r>
    <x v="6973"/>
    <x v="18"/>
    <x v="2"/>
    <x v="1"/>
    <s v="GTXPro"/>
    <s v="Doncon"/>
    <x v="0"/>
    <d v="2017-09-25T00:00:00"/>
    <x v="231"/>
    <n v="4828"/>
  </r>
  <r>
    <x v="6974"/>
    <x v="22"/>
    <x v="1"/>
    <x v="0"/>
    <s v="GTX Plus Basic"/>
    <s v="Dontechi"/>
    <x v="2"/>
    <d v="2017-09-25T00:00:00"/>
    <x v="279"/>
    <n v="0"/>
  </r>
  <r>
    <x v="6975"/>
    <x v="9"/>
    <x v="2"/>
    <x v="1"/>
    <s v="GTX Basic"/>
    <s v="Y-corporation"/>
    <x v="2"/>
    <d v="2017-09-25T00:00:00"/>
    <x v="278"/>
    <n v="0"/>
  </r>
  <r>
    <x v="6976"/>
    <x v="0"/>
    <x v="0"/>
    <x v="0"/>
    <s v="GTX Basic"/>
    <s v="Finhigh"/>
    <x v="2"/>
    <d v="2017-09-25T00:00:00"/>
    <x v="279"/>
    <n v="0"/>
  </r>
  <r>
    <x v="6977"/>
    <x v="0"/>
    <x v="0"/>
    <x v="0"/>
    <s v="MG Special"/>
    <s v="Zumgoity"/>
    <x v="2"/>
    <d v="2017-09-25T00:00:00"/>
    <x v="262"/>
    <n v="0"/>
  </r>
  <r>
    <x v="6978"/>
    <x v="6"/>
    <x v="1"/>
    <x v="0"/>
    <s v="GTX Plus Basic"/>
    <s v="Zumgoity"/>
    <x v="0"/>
    <d v="2017-09-25T00:00:00"/>
    <x v="279"/>
    <n v="1189"/>
  </r>
  <r>
    <x v="6979"/>
    <x v="6"/>
    <x v="1"/>
    <x v="0"/>
    <s v="MG Special"/>
    <s v="Hottechi"/>
    <x v="0"/>
    <d v="2017-09-25T00:00:00"/>
    <x v="260"/>
    <n v="51"/>
  </r>
  <r>
    <x v="6980"/>
    <x v="19"/>
    <x v="4"/>
    <x v="2"/>
    <s v="GTX Plus Basic"/>
    <s v="Mathtouch"/>
    <x v="2"/>
    <d v="2017-09-25T00:00:00"/>
    <x v="266"/>
    <n v="0"/>
  </r>
  <r>
    <x v="6981"/>
    <x v="11"/>
    <x v="3"/>
    <x v="1"/>
    <s v="GTXPro"/>
    <m/>
    <x v="1"/>
    <d v="2017-09-25T00:00:00"/>
    <x v="6"/>
    <m/>
  </r>
  <r>
    <x v="6982"/>
    <x v="11"/>
    <x v="3"/>
    <x v="1"/>
    <s v="MG Advanced"/>
    <s v="Xx-holding"/>
    <x v="2"/>
    <d v="2017-09-25T00:00:00"/>
    <x v="278"/>
    <n v="0"/>
  </r>
  <r>
    <x v="6983"/>
    <x v="12"/>
    <x v="0"/>
    <x v="0"/>
    <s v="GTX Plus Basic"/>
    <s v="Dontechi"/>
    <x v="2"/>
    <d v="2017-09-25T00:00:00"/>
    <x v="278"/>
    <n v="0"/>
  </r>
  <r>
    <x v="6984"/>
    <x v="12"/>
    <x v="0"/>
    <x v="0"/>
    <s v="MG Special"/>
    <s v="Condax"/>
    <x v="0"/>
    <d v="2017-09-25T00:00:00"/>
    <x v="228"/>
    <n v="55"/>
  </r>
  <r>
    <x v="6985"/>
    <x v="12"/>
    <x v="0"/>
    <x v="0"/>
    <s v="MG Special"/>
    <s v="dambase"/>
    <x v="0"/>
    <d v="2017-09-25T00:00:00"/>
    <x v="279"/>
    <n v="53"/>
  </r>
  <r>
    <x v="6986"/>
    <x v="4"/>
    <x v="3"/>
    <x v="1"/>
    <s v="MG Special"/>
    <s v="Plusstrip"/>
    <x v="2"/>
    <d v="2017-09-25T00:00:00"/>
    <x v="280"/>
    <n v="0"/>
  </r>
  <r>
    <x v="6987"/>
    <x v="20"/>
    <x v="5"/>
    <x v="2"/>
    <s v="GTX Plus Pro"/>
    <s v="Donquadtech"/>
    <x v="0"/>
    <d v="2017-09-25T00:00:00"/>
    <x v="257"/>
    <n v="5960"/>
  </r>
  <r>
    <x v="6988"/>
    <x v="2"/>
    <x v="2"/>
    <x v="1"/>
    <s v="MG Advanced"/>
    <s v="Groovestreet"/>
    <x v="0"/>
    <d v="2017-09-25T00:00:00"/>
    <x v="279"/>
    <n v="3438"/>
  </r>
  <r>
    <x v="6989"/>
    <x v="3"/>
    <x v="0"/>
    <x v="0"/>
    <s v="MG Special"/>
    <s v="Cancity"/>
    <x v="2"/>
    <d v="2017-09-26T00:00:00"/>
    <x v="281"/>
    <n v="0"/>
  </r>
  <r>
    <x v="6990"/>
    <x v="3"/>
    <x v="0"/>
    <x v="0"/>
    <s v="MG Special"/>
    <s v="Globex Corporation"/>
    <x v="0"/>
    <d v="2017-09-26T00:00:00"/>
    <x v="197"/>
    <n v="54"/>
  </r>
  <r>
    <x v="6991"/>
    <x v="25"/>
    <x v="4"/>
    <x v="2"/>
    <s v="GTX Plus Basic"/>
    <s v="Konex"/>
    <x v="2"/>
    <d v="2017-09-26T00:00:00"/>
    <x v="205"/>
    <n v="0"/>
  </r>
  <r>
    <x v="6992"/>
    <x v="23"/>
    <x v="4"/>
    <x v="2"/>
    <s v="GTX Basic"/>
    <s v="Kinnamplus"/>
    <x v="2"/>
    <d v="2017-09-26T00:00:00"/>
    <x v="280"/>
    <n v="0"/>
  </r>
  <r>
    <x v="6993"/>
    <x v="23"/>
    <x v="4"/>
    <x v="2"/>
    <s v="MG Advanced"/>
    <s v="Iselectrics"/>
    <x v="2"/>
    <d v="2017-09-26T00:00:00"/>
    <x v="183"/>
    <n v="0"/>
  </r>
  <r>
    <x v="6994"/>
    <x v="28"/>
    <x v="0"/>
    <x v="0"/>
    <s v="GTX Plus Pro"/>
    <s v="Toughzap"/>
    <x v="2"/>
    <d v="2017-09-26T00:00:00"/>
    <x v="281"/>
    <n v="0"/>
  </r>
  <r>
    <x v="6995"/>
    <x v="28"/>
    <x v="0"/>
    <x v="0"/>
    <s v="MG Special"/>
    <s v="Isdom"/>
    <x v="2"/>
    <d v="2017-09-26T00:00:00"/>
    <x v="282"/>
    <n v="0"/>
  </r>
  <r>
    <x v="6996"/>
    <x v="28"/>
    <x v="0"/>
    <x v="0"/>
    <s v="MG Special"/>
    <s v="Statholdings"/>
    <x v="0"/>
    <d v="2017-09-26T00:00:00"/>
    <x v="278"/>
    <n v="55"/>
  </r>
  <r>
    <x v="6997"/>
    <x v="27"/>
    <x v="5"/>
    <x v="2"/>
    <s v="GTXPro"/>
    <m/>
    <x v="1"/>
    <d v="2017-09-26T00:00:00"/>
    <x v="6"/>
    <m/>
  </r>
  <r>
    <x v="6998"/>
    <x v="27"/>
    <x v="5"/>
    <x v="2"/>
    <s v="GTX Plus Basic"/>
    <s v="Xx-zobam"/>
    <x v="2"/>
    <d v="2017-09-26T00:00:00"/>
    <x v="232"/>
    <n v="0"/>
  </r>
  <r>
    <x v="6999"/>
    <x v="13"/>
    <x v="4"/>
    <x v="2"/>
    <s v="GTX Plus Basic"/>
    <s v="Konex"/>
    <x v="2"/>
    <d v="2017-09-26T00:00:00"/>
    <x v="232"/>
    <n v="0"/>
  </r>
  <r>
    <x v="7000"/>
    <x v="1"/>
    <x v="1"/>
    <x v="0"/>
    <s v="GTXPro"/>
    <s v="Hottechi"/>
    <x v="2"/>
    <d v="2017-09-26T00:00:00"/>
    <x v="278"/>
    <n v="0"/>
  </r>
  <r>
    <x v="7001"/>
    <x v="1"/>
    <x v="1"/>
    <x v="0"/>
    <s v="MG Special"/>
    <s v="Streethex"/>
    <x v="2"/>
    <d v="2017-09-26T00:00:00"/>
    <x v="277"/>
    <n v="0"/>
  </r>
  <r>
    <x v="7002"/>
    <x v="26"/>
    <x v="4"/>
    <x v="2"/>
    <s v="GTXPro"/>
    <s v="Ganjaflex"/>
    <x v="2"/>
    <d v="2017-09-26T00:00:00"/>
    <x v="220"/>
    <n v="0"/>
  </r>
  <r>
    <x v="7003"/>
    <x v="14"/>
    <x v="3"/>
    <x v="1"/>
    <s v="GTXPro"/>
    <s v="Sonron"/>
    <x v="2"/>
    <d v="2017-09-26T00:00:00"/>
    <x v="283"/>
    <n v="0"/>
  </r>
  <r>
    <x v="7004"/>
    <x v="14"/>
    <x v="3"/>
    <x v="1"/>
    <s v="MG Special"/>
    <s v="Sonron"/>
    <x v="0"/>
    <d v="2017-09-26T00:00:00"/>
    <x v="237"/>
    <n v="48"/>
  </r>
  <r>
    <x v="7005"/>
    <x v="10"/>
    <x v="3"/>
    <x v="1"/>
    <s v="GTX Plus Basic"/>
    <s v="Hottechi"/>
    <x v="2"/>
    <d v="2017-09-26T00:00:00"/>
    <x v="253"/>
    <n v="0"/>
  </r>
  <r>
    <x v="7006"/>
    <x v="10"/>
    <x v="3"/>
    <x v="1"/>
    <s v="MG Advanced"/>
    <s v="Finjob"/>
    <x v="0"/>
    <d v="2017-09-26T00:00:00"/>
    <x v="247"/>
    <n v="3553"/>
  </r>
  <r>
    <x v="7007"/>
    <x v="7"/>
    <x v="2"/>
    <x v="1"/>
    <s v="GTX Plus Pro"/>
    <s v="Xx-holding"/>
    <x v="2"/>
    <d v="2017-09-26T00:00:00"/>
    <x v="279"/>
    <n v="0"/>
  </r>
  <r>
    <x v="7008"/>
    <x v="18"/>
    <x v="2"/>
    <x v="1"/>
    <s v="GTXPro"/>
    <s v="J-Texon"/>
    <x v="0"/>
    <d v="2017-09-26T00:00:00"/>
    <x v="280"/>
    <n v="4727"/>
  </r>
  <r>
    <x v="7009"/>
    <x v="18"/>
    <x v="2"/>
    <x v="1"/>
    <s v="MG Special"/>
    <s v="Sunnamplex"/>
    <x v="0"/>
    <d v="2017-09-26T00:00:00"/>
    <x v="277"/>
    <n v="65"/>
  </r>
  <r>
    <x v="7010"/>
    <x v="24"/>
    <x v="0"/>
    <x v="0"/>
    <s v="GTX Basic"/>
    <s v="Rangreen"/>
    <x v="0"/>
    <d v="2017-09-26T00:00:00"/>
    <x v="267"/>
    <n v="585"/>
  </r>
  <r>
    <x v="7011"/>
    <x v="5"/>
    <x v="3"/>
    <x v="1"/>
    <s v="GTX Plus Basic"/>
    <m/>
    <x v="1"/>
    <d v="2017-09-26T00:00:00"/>
    <x v="6"/>
    <m/>
  </r>
  <r>
    <x v="7012"/>
    <x v="5"/>
    <x v="3"/>
    <x v="1"/>
    <s v="MG Special"/>
    <s v="Plexzap"/>
    <x v="2"/>
    <d v="2017-09-26T00:00:00"/>
    <x v="278"/>
    <n v="0"/>
  </r>
  <r>
    <x v="7013"/>
    <x v="22"/>
    <x v="1"/>
    <x v="0"/>
    <s v="GTX Plus Basic"/>
    <s v="Domzoom"/>
    <x v="2"/>
    <d v="2017-09-26T00:00:00"/>
    <x v="278"/>
    <n v="0"/>
  </r>
  <r>
    <x v="7014"/>
    <x v="22"/>
    <x v="1"/>
    <x v="0"/>
    <s v="MG Advanced"/>
    <s v="Cancity"/>
    <x v="2"/>
    <d v="2017-09-26T00:00:00"/>
    <x v="282"/>
    <n v="0"/>
  </r>
  <r>
    <x v="7015"/>
    <x v="22"/>
    <x v="1"/>
    <x v="0"/>
    <s v="MG Advanced"/>
    <s v="Rangreen"/>
    <x v="2"/>
    <d v="2017-09-26T00:00:00"/>
    <x v="279"/>
    <n v="0"/>
  </r>
  <r>
    <x v="7016"/>
    <x v="22"/>
    <x v="1"/>
    <x v="0"/>
    <s v="GTX Plus Pro"/>
    <s v="Konmatfix"/>
    <x v="0"/>
    <d v="2017-09-26T00:00:00"/>
    <x v="282"/>
    <n v="5708"/>
  </r>
  <r>
    <x v="7017"/>
    <x v="9"/>
    <x v="2"/>
    <x v="1"/>
    <s v="MG Special"/>
    <s v="Hottechi"/>
    <x v="2"/>
    <d v="2017-09-26T00:00:00"/>
    <x v="280"/>
    <n v="0"/>
  </r>
  <r>
    <x v="7018"/>
    <x v="0"/>
    <x v="0"/>
    <x v="0"/>
    <s v="GTX Basic"/>
    <s v="Bioholding"/>
    <x v="0"/>
    <d v="2017-09-26T00:00:00"/>
    <x v="225"/>
    <n v="571"/>
  </r>
  <r>
    <x v="7019"/>
    <x v="0"/>
    <x v="0"/>
    <x v="0"/>
    <s v="GTX Basic"/>
    <s v="Scottech"/>
    <x v="0"/>
    <d v="2017-09-26T00:00:00"/>
    <x v="266"/>
    <n v="619"/>
  </r>
  <r>
    <x v="7020"/>
    <x v="19"/>
    <x v="4"/>
    <x v="2"/>
    <s v="MG Advanced"/>
    <s v="Donware"/>
    <x v="0"/>
    <d v="2017-09-26T00:00:00"/>
    <x v="278"/>
    <n v="2984"/>
  </r>
  <r>
    <x v="7021"/>
    <x v="17"/>
    <x v="5"/>
    <x v="2"/>
    <s v="GTX Basic"/>
    <s v="Bioplex"/>
    <x v="0"/>
    <d v="2017-09-26T00:00:00"/>
    <x v="276"/>
    <n v="558"/>
  </r>
  <r>
    <x v="7022"/>
    <x v="17"/>
    <x v="5"/>
    <x v="2"/>
    <s v="MG Special"/>
    <s v="Condax"/>
    <x v="0"/>
    <d v="2017-09-26T00:00:00"/>
    <x v="236"/>
    <n v="57"/>
  </r>
  <r>
    <x v="7023"/>
    <x v="15"/>
    <x v="5"/>
    <x v="2"/>
    <s v="MG Special"/>
    <s v="Initech"/>
    <x v="0"/>
    <d v="2017-09-26T00:00:00"/>
    <x v="262"/>
    <n v="61"/>
  </r>
  <r>
    <x v="7024"/>
    <x v="3"/>
    <x v="0"/>
    <x v="0"/>
    <s v="GTX Basic"/>
    <s v="Hottechi"/>
    <x v="0"/>
    <d v="2017-09-27T00:00:00"/>
    <x v="274"/>
    <n v="543"/>
  </r>
  <r>
    <x v="7025"/>
    <x v="25"/>
    <x v="4"/>
    <x v="2"/>
    <s v="GTXPro"/>
    <s v="Zotware"/>
    <x v="0"/>
    <d v="2017-09-27T00:00:00"/>
    <x v="239"/>
    <n v="4125"/>
  </r>
  <r>
    <x v="7026"/>
    <x v="23"/>
    <x v="4"/>
    <x v="2"/>
    <s v="GTX Plus Pro"/>
    <s v="Ganjaflex"/>
    <x v="0"/>
    <d v="2017-09-27T00:00:00"/>
    <x v="272"/>
    <n v="5301"/>
  </r>
  <r>
    <x v="7027"/>
    <x v="27"/>
    <x v="5"/>
    <x v="2"/>
    <s v="GTX Basic"/>
    <s v="Kinnamplus"/>
    <x v="0"/>
    <d v="2017-09-27T00:00:00"/>
    <x v="280"/>
    <n v="495"/>
  </r>
  <r>
    <x v="7028"/>
    <x v="27"/>
    <x v="5"/>
    <x v="2"/>
    <s v="GTX Plus Basic"/>
    <s v="Bioplex"/>
    <x v="0"/>
    <d v="2017-09-27T00:00:00"/>
    <x v="280"/>
    <n v="955"/>
  </r>
  <r>
    <x v="7029"/>
    <x v="13"/>
    <x v="4"/>
    <x v="2"/>
    <s v="GTX Plus Basic"/>
    <s v="Iselectrics"/>
    <x v="0"/>
    <d v="2017-09-27T00:00:00"/>
    <x v="279"/>
    <n v="1225"/>
  </r>
  <r>
    <x v="7030"/>
    <x v="1"/>
    <x v="1"/>
    <x v="0"/>
    <s v="GTXPro"/>
    <s v="Ron-tech"/>
    <x v="2"/>
    <d v="2017-09-27T00:00:00"/>
    <x v="277"/>
    <n v="0"/>
  </r>
  <r>
    <x v="7031"/>
    <x v="1"/>
    <x v="1"/>
    <x v="0"/>
    <s v="GTX Basic"/>
    <s v="Conecom"/>
    <x v="0"/>
    <d v="2017-09-27T00:00:00"/>
    <x v="267"/>
    <n v="608"/>
  </r>
  <r>
    <x v="7032"/>
    <x v="1"/>
    <x v="1"/>
    <x v="0"/>
    <s v="GTXPro"/>
    <s v="Warephase"/>
    <x v="0"/>
    <d v="2017-09-27T00:00:00"/>
    <x v="220"/>
    <n v="4515"/>
  </r>
  <r>
    <x v="7033"/>
    <x v="26"/>
    <x v="4"/>
    <x v="2"/>
    <s v="GTXPro"/>
    <s v="Silis"/>
    <x v="2"/>
    <d v="2017-09-27T00:00:00"/>
    <x v="281"/>
    <n v="0"/>
  </r>
  <r>
    <x v="7034"/>
    <x v="14"/>
    <x v="3"/>
    <x v="1"/>
    <s v="MG Advanced"/>
    <s v="Green-Plus"/>
    <x v="0"/>
    <d v="2017-09-27T00:00:00"/>
    <x v="248"/>
    <n v="3772"/>
  </r>
  <r>
    <x v="7035"/>
    <x v="21"/>
    <x v="5"/>
    <x v="2"/>
    <s v="MG Advanced"/>
    <s v="Kan-code"/>
    <x v="2"/>
    <d v="2017-09-27T00:00:00"/>
    <x v="280"/>
    <n v="0"/>
  </r>
  <r>
    <x v="7036"/>
    <x v="8"/>
    <x v="1"/>
    <x v="0"/>
    <s v="GTX Basic"/>
    <s v="Bioholding"/>
    <x v="0"/>
    <d v="2017-09-27T00:00:00"/>
    <x v="250"/>
    <n v="540"/>
  </r>
  <r>
    <x v="7037"/>
    <x v="8"/>
    <x v="1"/>
    <x v="0"/>
    <s v="MG Advanced"/>
    <s v="Cancity"/>
    <x v="0"/>
    <d v="2017-09-27T00:00:00"/>
    <x v="182"/>
    <n v="2800"/>
  </r>
  <r>
    <x v="7038"/>
    <x v="8"/>
    <x v="1"/>
    <x v="0"/>
    <s v="MG Advanced"/>
    <s v="Stanredtax"/>
    <x v="0"/>
    <d v="2017-09-27T00:00:00"/>
    <x v="280"/>
    <n v="3250"/>
  </r>
  <r>
    <x v="7039"/>
    <x v="10"/>
    <x v="3"/>
    <x v="1"/>
    <s v="GTX Plus Basic"/>
    <s v="Plexzap"/>
    <x v="0"/>
    <d v="2017-09-27T00:00:00"/>
    <x v="282"/>
    <n v="1232"/>
  </r>
  <r>
    <x v="7040"/>
    <x v="10"/>
    <x v="3"/>
    <x v="1"/>
    <s v="MG Advanced"/>
    <s v="Hatfan"/>
    <x v="0"/>
    <d v="2017-09-27T00:00:00"/>
    <x v="279"/>
    <n v="2811"/>
  </r>
  <r>
    <x v="7041"/>
    <x v="7"/>
    <x v="2"/>
    <x v="1"/>
    <s v="GTXPro"/>
    <m/>
    <x v="1"/>
    <d v="2017-09-27T00:00:00"/>
    <x v="6"/>
    <m/>
  </r>
  <r>
    <x v="7042"/>
    <x v="7"/>
    <x v="2"/>
    <x v="1"/>
    <s v="GTX Plus Basic"/>
    <s v="Lexiqvolax"/>
    <x v="0"/>
    <d v="2017-09-27T00:00:00"/>
    <x v="243"/>
    <n v="1178"/>
  </r>
  <r>
    <x v="7043"/>
    <x v="29"/>
    <x v="1"/>
    <x v="0"/>
    <s v="GTXPro"/>
    <s v="Treequote"/>
    <x v="0"/>
    <d v="2017-09-27T00:00:00"/>
    <x v="255"/>
    <n v="4869"/>
  </r>
  <r>
    <x v="7044"/>
    <x v="16"/>
    <x v="2"/>
    <x v="1"/>
    <s v="MG Advanced"/>
    <s v="Cheers"/>
    <x v="2"/>
    <d v="2017-09-27T00:00:00"/>
    <x v="259"/>
    <n v="0"/>
  </r>
  <r>
    <x v="7045"/>
    <x v="24"/>
    <x v="0"/>
    <x v="0"/>
    <s v="GTX Plus Pro"/>
    <s v="Inity"/>
    <x v="2"/>
    <d v="2017-09-27T00:00:00"/>
    <x v="277"/>
    <n v="0"/>
  </r>
  <r>
    <x v="7046"/>
    <x v="24"/>
    <x v="0"/>
    <x v="0"/>
    <s v="GTX Basic"/>
    <s v="Condax"/>
    <x v="0"/>
    <d v="2017-09-27T00:00:00"/>
    <x v="248"/>
    <n v="507"/>
  </r>
  <r>
    <x v="7047"/>
    <x v="24"/>
    <x v="0"/>
    <x v="0"/>
    <s v="MG Advanced"/>
    <s v="Bioholding"/>
    <x v="0"/>
    <d v="2017-09-27T00:00:00"/>
    <x v="281"/>
    <n v="3681"/>
  </r>
  <r>
    <x v="7048"/>
    <x v="5"/>
    <x v="3"/>
    <x v="1"/>
    <s v="GTX Plus Basic"/>
    <s v="Doncon"/>
    <x v="2"/>
    <d v="2017-09-27T00:00:00"/>
    <x v="276"/>
    <n v="0"/>
  </r>
  <r>
    <x v="7049"/>
    <x v="22"/>
    <x v="1"/>
    <x v="0"/>
    <s v="GTX Plus Basic"/>
    <s v="Dontechi"/>
    <x v="2"/>
    <d v="2017-09-27T00:00:00"/>
    <x v="277"/>
    <n v="0"/>
  </r>
  <r>
    <x v="7050"/>
    <x v="22"/>
    <x v="1"/>
    <x v="0"/>
    <s v="GTX Plus Pro"/>
    <s v="Treequote"/>
    <x v="0"/>
    <d v="2017-09-27T00:00:00"/>
    <x v="280"/>
    <n v="5280"/>
  </r>
  <r>
    <x v="7051"/>
    <x v="11"/>
    <x v="3"/>
    <x v="1"/>
    <s v="GTK 500"/>
    <s v="Betasoloin"/>
    <x v="1"/>
    <d v="2017-09-27T00:00:00"/>
    <x v="6"/>
    <m/>
  </r>
  <r>
    <x v="7052"/>
    <x v="11"/>
    <x v="3"/>
    <x v="1"/>
    <s v="MG Special"/>
    <s v="Finjob"/>
    <x v="0"/>
    <d v="2017-09-27T00:00:00"/>
    <x v="237"/>
    <n v="50"/>
  </r>
  <r>
    <x v="7053"/>
    <x v="12"/>
    <x v="0"/>
    <x v="0"/>
    <s v="MG Special"/>
    <s v="Genco Pura Olive Oil Company"/>
    <x v="0"/>
    <d v="2017-09-27T00:00:00"/>
    <x v="181"/>
    <n v="59"/>
  </r>
  <r>
    <x v="7054"/>
    <x v="4"/>
    <x v="3"/>
    <x v="1"/>
    <s v="MG Advanced"/>
    <s v="Kan-code"/>
    <x v="0"/>
    <d v="2017-09-27T00:00:00"/>
    <x v="278"/>
    <n v="3794"/>
  </r>
  <r>
    <x v="7055"/>
    <x v="20"/>
    <x v="5"/>
    <x v="2"/>
    <s v="MG Advanced"/>
    <s v="Ganjaflex"/>
    <x v="0"/>
    <d v="2017-09-27T00:00:00"/>
    <x v="278"/>
    <n v="3786"/>
  </r>
  <r>
    <x v="7056"/>
    <x v="23"/>
    <x v="4"/>
    <x v="2"/>
    <s v="GTX Plus Basic"/>
    <s v="Condax"/>
    <x v="2"/>
    <d v="2017-09-28T00:00:00"/>
    <x v="282"/>
    <n v="0"/>
  </r>
  <r>
    <x v="7057"/>
    <x v="26"/>
    <x v="4"/>
    <x v="2"/>
    <s v="MG Advanced"/>
    <s v="Plussunin"/>
    <x v="2"/>
    <d v="2017-09-28T00:00:00"/>
    <x v="251"/>
    <n v="0"/>
  </r>
  <r>
    <x v="7058"/>
    <x v="26"/>
    <x v="4"/>
    <x v="2"/>
    <s v="GTXPro"/>
    <s v="Mathtouch"/>
    <x v="0"/>
    <d v="2017-09-28T00:00:00"/>
    <x v="282"/>
    <n v="5553"/>
  </r>
  <r>
    <x v="7059"/>
    <x v="26"/>
    <x v="4"/>
    <x v="2"/>
    <s v="MG Advanced"/>
    <s v="Konex"/>
    <x v="0"/>
    <d v="2017-09-28T00:00:00"/>
    <x v="284"/>
    <n v="3557"/>
  </r>
  <r>
    <x v="7060"/>
    <x v="14"/>
    <x v="3"/>
    <x v="1"/>
    <s v="MG Special"/>
    <s v="Green-Plus"/>
    <x v="0"/>
    <d v="2017-09-28T00:00:00"/>
    <x v="284"/>
    <n v="63"/>
  </r>
  <r>
    <x v="7061"/>
    <x v="8"/>
    <x v="1"/>
    <x v="0"/>
    <s v="GTX Basic"/>
    <s v="Conecom"/>
    <x v="2"/>
    <d v="2017-09-28T00:00:00"/>
    <x v="210"/>
    <n v="0"/>
  </r>
  <r>
    <x v="7062"/>
    <x v="24"/>
    <x v="0"/>
    <x v="0"/>
    <s v="MG Advanced"/>
    <s v="Scottech"/>
    <x v="0"/>
    <d v="2017-09-28T00:00:00"/>
    <x v="281"/>
    <n v="3704"/>
  </r>
  <r>
    <x v="7063"/>
    <x v="5"/>
    <x v="3"/>
    <x v="1"/>
    <s v="GTXPro"/>
    <m/>
    <x v="1"/>
    <d v="2017-09-28T00:00:00"/>
    <x v="6"/>
    <m/>
  </r>
  <r>
    <x v="7064"/>
    <x v="22"/>
    <x v="1"/>
    <x v="0"/>
    <s v="GTX Plus Basic"/>
    <s v="Gogozoom"/>
    <x v="2"/>
    <d v="2017-09-28T00:00:00"/>
    <x v="197"/>
    <n v="0"/>
  </r>
  <r>
    <x v="7065"/>
    <x v="22"/>
    <x v="1"/>
    <x v="0"/>
    <s v="MG Advanced"/>
    <s v="Hottechi"/>
    <x v="2"/>
    <d v="2017-09-28T00:00:00"/>
    <x v="278"/>
    <n v="0"/>
  </r>
  <r>
    <x v="7066"/>
    <x v="22"/>
    <x v="1"/>
    <x v="0"/>
    <s v="GTX Plus Basic"/>
    <s v="Ron-tech"/>
    <x v="0"/>
    <d v="2017-09-28T00:00:00"/>
    <x v="262"/>
    <n v="1133"/>
  </r>
  <r>
    <x v="7067"/>
    <x v="9"/>
    <x v="2"/>
    <x v="1"/>
    <s v="GTX Plus Basic"/>
    <s v="Konex"/>
    <x v="0"/>
    <d v="2017-09-28T00:00:00"/>
    <x v="257"/>
    <n v="1292"/>
  </r>
  <r>
    <x v="7068"/>
    <x v="11"/>
    <x v="3"/>
    <x v="1"/>
    <s v="MG Advanced"/>
    <s v="Plusstrip"/>
    <x v="0"/>
    <d v="2017-09-28T00:00:00"/>
    <x v="240"/>
    <n v="3278"/>
  </r>
  <r>
    <x v="7069"/>
    <x v="12"/>
    <x v="0"/>
    <x v="0"/>
    <s v="MG Special"/>
    <s v="Codehow"/>
    <x v="0"/>
    <d v="2017-09-28T00:00:00"/>
    <x v="280"/>
    <n v="55"/>
  </r>
  <r>
    <x v="7070"/>
    <x v="4"/>
    <x v="3"/>
    <x v="1"/>
    <s v="GTX Basic"/>
    <s v="Finjob"/>
    <x v="0"/>
    <d v="2017-09-28T00:00:00"/>
    <x v="269"/>
    <n v="498"/>
  </r>
  <r>
    <x v="7071"/>
    <x v="4"/>
    <x v="3"/>
    <x v="1"/>
    <s v="MG Special"/>
    <s v="Sunnamplex"/>
    <x v="0"/>
    <d v="2017-09-28T00:00:00"/>
    <x v="265"/>
    <n v="55"/>
  </r>
  <r>
    <x v="7072"/>
    <x v="20"/>
    <x v="5"/>
    <x v="2"/>
    <s v="GTX Plus Pro"/>
    <m/>
    <x v="1"/>
    <d v="2017-09-28T00:00:00"/>
    <x v="6"/>
    <m/>
  </r>
  <r>
    <x v="7073"/>
    <x v="2"/>
    <x v="2"/>
    <x v="1"/>
    <s v="GTX Basic"/>
    <s v="Cheers"/>
    <x v="0"/>
    <d v="2017-09-28T00:00:00"/>
    <x v="280"/>
    <n v="571"/>
  </r>
  <r>
    <x v="7074"/>
    <x v="13"/>
    <x v="4"/>
    <x v="2"/>
    <s v="GTX Plus Basic"/>
    <m/>
    <x v="1"/>
    <d v="2017-09-29T00:00:00"/>
    <x v="6"/>
    <m/>
  </r>
  <r>
    <x v="7075"/>
    <x v="13"/>
    <x v="4"/>
    <x v="2"/>
    <s v="GTXPro"/>
    <s v="Bubba Gump"/>
    <x v="0"/>
    <d v="2017-09-29T00:00:00"/>
    <x v="280"/>
    <n v="4942"/>
  </r>
  <r>
    <x v="7076"/>
    <x v="1"/>
    <x v="1"/>
    <x v="0"/>
    <s v="GTX Plus Basic"/>
    <s v="Streethex"/>
    <x v="2"/>
    <d v="2017-09-29T00:00:00"/>
    <x v="280"/>
    <n v="0"/>
  </r>
  <r>
    <x v="7077"/>
    <x v="26"/>
    <x v="4"/>
    <x v="2"/>
    <s v="MG Special"/>
    <s v="Bioplex"/>
    <x v="2"/>
    <d v="2017-09-29T00:00:00"/>
    <x v="243"/>
    <n v="0"/>
  </r>
  <r>
    <x v="7078"/>
    <x v="14"/>
    <x v="3"/>
    <x v="1"/>
    <s v="GTXPro"/>
    <s v="Singletechno"/>
    <x v="0"/>
    <d v="2017-09-29T00:00:00"/>
    <x v="276"/>
    <n v="5340"/>
  </r>
  <r>
    <x v="7079"/>
    <x v="21"/>
    <x v="5"/>
    <x v="2"/>
    <s v="GTX Basic"/>
    <s v="Vehement Capital Partners"/>
    <x v="2"/>
    <d v="2017-09-29T00:00:00"/>
    <x v="278"/>
    <n v="0"/>
  </r>
  <r>
    <x v="7080"/>
    <x v="21"/>
    <x v="5"/>
    <x v="2"/>
    <s v="MG Advanced"/>
    <s v="Zotware"/>
    <x v="2"/>
    <d v="2017-09-29T00:00:00"/>
    <x v="284"/>
    <n v="0"/>
  </r>
  <r>
    <x v="7081"/>
    <x v="8"/>
    <x v="1"/>
    <x v="0"/>
    <s v="GTX Plus Pro"/>
    <s v="Isdom"/>
    <x v="0"/>
    <d v="2017-09-29T00:00:00"/>
    <x v="283"/>
    <n v="5689"/>
  </r>
  <r>
    <x v="7082"/>
    <x v="7"/>
    <x v="2"/>
    <x v="1"/>
    <s v="GTX Basic"/>
    <s v="Rantouch"/>
    <x v="2"/>
    <d v="2017-09-29T00:00:00"/>
    <x v="284"/>
    <n v="0"/>
  </r>
  <r>
    <x v="7083"/>
    <x v="7"/>
    <x v="2"/>
    <x v="1"/>
    <s v="MG Special"/>
    <s v="Lexiqvolax"/>
    <x v="2"/>
    <d v="2017-09-29T00:00:00"/>
    <x v="285"/>
    <n v="0"/>
  </r>
  <r>
    <x v="7084"/>
    <x v="24"/>
    <x v="0"/>
    <x v="0"/>
    <s v="MG Special"/>
    <s v="Dontechi"/>
    <x v="0"/>
    <d v="2017-09-29T00:00:00"/>
    <x v="265"/>
    <n v="52"/>
  </r>
  <r>
    <x v="7085"/>
    <x v="24"/>
    <x v="0"/>
    <x v="0"/>
    <s v="MG Advanced"/>
    <s v="Rangreen"/>
    <x v="0"/>
    <d v="2017-09-29T00:00:00"/>
    <x v="249"/>
    <n v="3131"/>
  </r>
  <r>
    <x v="7086"/>
    <x v="5"/>
    <x v="3"/>
    <x v="1"/>
    <s v="GTX Plus Basic"/>
    <s v="Konex"/>
    <x v="2"/>
    <d v="2017-09-29T00:00:00"/>
    <x v="283"/>
    <n v="0"/>
  </r>
  <r>
    <x v="7087"/>
    <x v="5"/>
    <x v="3"/>
    <x v="1"/>
    <s v="GTX Plus Pro"/>
    <s v="Singletechno"/>
    <x v="2"/>
    <d v="2017-09-29T00:00:00"/>
    <x v="281"/>
    <n v="0"/>
  </r>
  <r>
    <x v="7088"/>
    <x v="5"/>
    <x v="3"/>
    <x v="1"/>
    <s v="MG Special"/>
    <s v="Blackzim"/>
    <x v="2"/>
    <d v="2017-09-29T00:00:00"/>
    <x v="237"/>
    <n v="0"/>
  </r>
  <r>
    <x v="7089"/>
    <x v="5"/>
    <x v="3"/>
    <x v="1"/>
    <s v="MG Advanced"/>
    <s v="Goodsilron"/>
    <x v="2"/>
    <d v="2017-09-29T00:00:00"/>
    <x v="286"/>
    <n v="0"/>
  </r>
  <r>
    <x v="7090"/>
    <x v="22"/>
    <x v="1"/>
    <x v="0"/>
    <s v="MG Advanced"/>
    <s v="Toughzap"/>
    <x v="0"/>
    <d v="2017-09-29T00:00:00"/>
    <x v="280"/>
    <n v="3957"/>
  </r>
  <r>
    <x v="7091"/>
    <x v="6"/>
    <x v="1"/>
    <x v="0"/>
    <s v="GTX Basic"/>
    <s v="Treequote"/>
    <x v="0"/>
    <d v="2017-09-29T00:00:00"/>
    <x v="265"/>
    <n v="523"/>
  </r>
  <r>
    <x v="7092"/>
    <x v="6"/>
    <x v="1"/>
    <x v="0"/>
    <s v="GTX Plus Basic"/>
    <s v="Treequote"/>
    <x v="0"/>
    <d v="2017-09-29T00:00:00"/>
    <x v="261"/>
    <n v="1156"/>
  </r>
  <r>
    <x v="7093"/>
    <x v="19"/>
    <x v="4"/>
    <x v="2"/>
    <s v="GTXPro"/>
    <s v="Bubba Gump"/>
    <x v="2"/>
    <d v="2017-09-29T00:00:00"/>
    <x v="281"/>
    <n v="0"/>
  </r>
  <r>
    <x v="7094"/>
    <x v="11"/>
    <x v="3"/>
    <x v="1"/>
    <s v="MG Advanced"/>
    <s v="Plexzap"/>
    <x v="0"/>
    <d v="2017-09-29T00:00:00"/>
    <x v="262"/>
    <n v="3509"/>
  </r>
  <r>
    <x v="7095"/>
    <x v="17"/>
    <x v="5"/>
    <x v="2"/>
    <s v="GTXPro"/>
    <m/>
    <x v="1"/>
    <d v="2017-09-29T00:00:00"/>
    <x v="6"/>
    <m/>
  </r>
  <r>
    <x v="7096"/>
    <x v="12"/>
    <x v="0"/>
    <x v="0"/>
    <s v="MG Special"/>
    <s v="Hottechi"/>
    <x v="2"/>
    <d v="2017-09-29T00:00:00"/>
    <x v="284"/>
    <n v="0"/>
  </r>
  <r>
    <x v="7097"/>
    <x v="12"/>
    <x v="0"/>
    <x v="0"/>
    <s v="MG Advanced"/>
    <s v="Dontechi"/>
    <x v="2"/>
    <d v="2017-09-29T00:00:00"/>
    <x v="278"/>
    <n v="0"/>
  </r>
  <r>
    <x v="7098"/>
    <x v="4"/>
    <x v="3"/>
    <x v="1"/>
    <s v="MG Special"/>
    <m/>
    <x v="1"/>
    <d v="2017-09-29T00:00:00"/>
    <x v="6"/>
    <m/>
  </r>
  <r>
    <x v="7099"/>
    <x v="4"/>
    <x v="3"/>
    <x v="1"/>
    <s v="GTX Basic"/>
    <s v="Lexiqvolax"/>
    <x v="2"/>
    <d v="2017-09-29T00:00:00"/>
    <x v="281"/>
    <n v="0"/>
  </r>
  <r>
    <x v="7100"/>
    <x v="4"/>
    <x v="3"/>
    <x v="1"/>
    <s v="MG Special"/>
    <s v="Sonron"/>
    <x v="0"/>
    <d v="2017-09-29T00:00:00"/>
    <x v="250"/>
    <n v="59"/>
  </r>
  <r>
    <x v="7101"/>
    <x v="15"/>
    <x v="5"/>
    <x v="2"/>
    <s v="MG Special"/>
    <s v="Kinnamplus"/>
    <x v="2"/>
    <d v="2017-09-29T00:00:00"/>
    <x v="284"/>
    <n v="0"/>
  </r>
  <r>
    <x v="7102"/>
    <x v="2"/>
    <x v="2"/>
    <x v="1"/>
    <s v="GTX Basic"/>
    <s v="J-Texon"/>
    <x v="0"/>
    <d v="2017-09-29T00:00:00"/>
    <x v="280"/>
    <n v="502"/>
  </r>
  <r>
    <x v="7103"/>
    <x v="3"/>
    <x v="0"/>
    <x v="0"/>
    <s v="GTX Basic"/>
    <s v="Rangreen"/>
    <x v="2"/>
    <d v="2017-09-30T00:00:00"/>
    <x v="240"/>
    <n v="0"/>
  </r>
  <r>
    <x v="7104"/>
    <x v="3"/>
    <x v="0"/>
    <x v="0"/>
    <s v="GTX Plus Pro"/>
    <s v="Toughzap"/>
    <x v="2"/>
    <d v="2017-09-30T00:00:00"/>
    <x v="276"/>
    <n v="0"/>
  </r>
  <r>
    <x v="7105"/>
    <x v="25"/>
    <x v="4"/>
    <x v="2"/>
    <s v="GTX Basic"/>
    <s v="Silis"/>
    <x v="0"/>
    <d v="2017-09-30T00:00:00"/>
    <x v="252"/>
    <n v="541"/>
  </r>
  <r>
    <x v="7106"/>
    <x v="23"/>
    <x v="4"/>
    <x v="2"/>
    <s v="GTX Plus Pro"/>
    <s v="Ontomedia"/>
    <x v="0"/>
    <d v="2017-09-30T00:00:00"/>
    <x v="251"/>
    <n v="5026"/>
  </r>
  <r>
    <x v="7107"/>
    <x v="28"/>
    <x v="0"/>
    <x v="0"/>
    <s v="MG Advanced"/>
    <s v="Dontechi"/>
    <x v="0"/>
    <d v="2017-09-30T00:00:00"/>
    <x v="286"/>
    <n v="3148"/>
  </r>
  <r>
    <x v="7108"/>
    <x v="1"/>
    <x v="1"/>
    <x v="0"/>
    <s v="GTX Plus Basic"/>
    <s v="Isdom"/>
    <x v="2"/>
    <d v="2017-09-30T00:00:00"/>
    <x v="281"/>
    <n v="0"/>
  </r>
  <r>
    <x v="7109"/>
    <x v="1"/>
    <x v="1"/>
    <x v="0"/>
    <s v="GTXPro"/>
    <s v="Bioholding"/>
    <x v="2"/>
    <d v="2017-09-30T00:00:00"/>
    <x v="287"/>
    <n v="0"/>
  </r>
  <r>
    <x v="7110"/>
    <x v="1"/>
    <x v="1"/>
    <x v="0"/>
    <s v="GTXPro"/>
    <s v="Isdom"/>
    <x v="2"/>
    <d v="2017-09-30T00:00:00"/>
    <x v="280"/>
    <n v="0"/>
  </r>
  <r>
    <x v="7111"/>
    <x v="1"/>
    <x v="1"/>
    <x v="0"/>
    <s v="MG Advanced"/>
    <s v="Rundofase"/>
    <x v="0"/>
    <d v="2017-09-30T00:00:00"/>
    <x v="283"/>
    <n v="3006"/>
  </r>
  <r>
    <x v="7112"/>
    <x v="21"/>
    <x v="5"/>
    <x v="2"/>
    <s v="MG Special"/>
    <s v="Mathtouch"/>
    <x v="2"/>
    <d v="2017-09-30T00:00:00"/>
    <x v="251"/>
    <n v="0"/>
  </r>
  <r>
    <x v="7113"/>
    <x v="21"/>
    <x v="5"/>
    <x v="2"/>
    <s v="GTXPro"/>
    <s v="Kan-code"/>
    <x v="0"/>
    <d v="2017-09-30T00:00:00"/>
    <x v="282"/>
    <n v="5203"/>
  </r>
  <r>
    <x v="7114"/>
    <x v="8"/>
    <x v="1"/>
    <x v="0"/>
    <s v="MG Special"/>
    <s v="Condax"/>
    <x v="2"/>
    <d v="2017-09-30T00:00:00"/>
    <x v="282"/>
    <n v="0"/>
  </r>
  <r>
    <x v="7115"/>
    <x v="10"/>
    <x v="3"/>
    <x v="1"/>
    <s v="MG Advanced"/>
    <s v="Xx-holding"/>
    <x v="0"/>
    <d v="2017-09-30T00:00:00"/>
    <x v="249"/>
    <n v="2927"/>
  </r>
  <r>
    <x v="7116"/>
    <x v="7"/>
    <x v="2"/>
    <x v="1"/>
    <s v="GTX Plus Pro"/>
    <m/>
    <x v="1"/>
    <d v="2017-09-30T00:00:00"/>
    <x v="6"/>
    <m/>
  </r>
  <r>
    <x v="7117"/>
    <x v="18"/>
    <x v="2"/>
    <x v="1"/>
    <s v="GTX Basic"/>
    <m/>
    <x v="1"/>
    <d v="2017-09-30T00:00:00"/>
    <x v="6"/>
    <m/>
  </r>
  <r>
    <x v="7118"/>
    <x v="18"/>
    <x v="2"/>
    <x v="1"/>
    <s v="GTX Basic"/>
    <s v="Rantouch"/>
    <x v="2"/>
    <d v="2017-09-30T00:00:00"/>
    <x v="284"/>
    <n v="0"/>
  </r>
  <r>
    <x v="7119"/>
    <x v="24"/>
    <x v="0"/>
    <x v="0"/>
    <s v="GTX Basic"/>
    <s v="Finhigh"/>
    <x v="2"/>
    <d v="2017-09-30T00:00:00"/>
    <x v="282"/>
    <n v="0"/>
  </r>
  <r>
    <x v="7120"/>
    <x v="24"/>
    <x v="0"/>
    <x v="0"/>
    <s v="MG Advanced"/>
    <s v="Isdom"/>
    <x v="2"/>
    <d v="2017-09-30T00:00:00"/>
    <x v="245"/>
    <n v="0"/>
  </r>
  <r>
    <x v="7121"/>
    <x v="24"/>
    <x v="0"/>
    <x v="0"/>
    <s v="GTX Plus Pro"/>
    <s v="Betatech"/>
    <x v="0"/>
    <d v="2017-09-30T00:00:00"/>
    <x v="285"/>
    <n v="6156"/>
  </r>
  <r>
    <x v="7122"/>
    <x v="22"/>
    <x v="1"/>
    <x v="0"/>
    <s v="GTXPro"/>
    <s v="Warephase"/>
    <x v="0"/>
    <d v="2017-09-30T00:00:00"/>
    <x v="283"/>
    <n v="5007"/>
  </r>
  <r>
    <x v="7123"/>
    <x v="9"/>
    <x v="2"/>
    <x v="1"/>
    <s v="GTX Plus Pro"/>
    <m/>
    <x v="1"/>
    <d v="2017-09-30T00:00:00"/>
    <x v="6"/>
    <m/>
  </r>
  <r>
    <x v="7124"/>
    <x v="9"/>
    <x v="2"/>
    <x v="1"/>
    <s v="MG Special"/>
    <s v="Scotfind"/>
    <x v="0"/>
    <d v="2017-09-30T00:00:00"/>
    <x v="258"/>
    <n v="59"/>
  </r>
  <r>
    <x v="7125"/>
    <x v="0"/>
    <x v="0"/>
    <x v="0"/>
    <s v="GTX Basic"/>
    <s v="Cancity"/>
    <x v="0"/>
    <d v="2017-09-30T00:00:00"/>
    <x v="282"/>
    <n v="549"/>
  </r>
  <r>
    <x v="7126"/>
    <x v="6"/>
    <x v="1"/>
    <x v="0"/>
    <s v="GTX Plus Basic"/>
    <s v="Isdom"/>
    <x v="0"/>
    <d v="2017-09-30T00:00:00"/>
    <x v="237"/>
    <n v="1117"/>
  </r>
  <r>
    <x v="7127"/>
    <x v="12"/>
    <x v="0"/>
    <x v="0"/>
    <s v="MG Special"/>
    <s v="Stanredtax"/>
    <x v="0"/>
    <d v="2017-09-30T00:00:00"/>
    <x v="284"/>
    <n v="57"/>
  </r>
  <r>
    <x v="7128"/>
    <x v="4"/>
    <x v="3"/>
    <x v="1"/>
    <s v="GTX Plus Pro"/>
    <s v="Treequote"/>
    <x v="1"/>
    <d v="2017-09-30T00:00:00"/>
    <x v="6"/>
    <m/>
  </r>
  <r>
    <x v="7129"/>
    <x v="4"/>
    <x v="3"/>
    <x v="1"/>
    <s v="GTX Basic"/>
    <s v="Lexiqvolax"/>
    <x v="2"/>
    <d v="2017-09-30T00:00:00"/>
    <x v="283"/>
    <n v="0"/>
  </r>
  <r>
    <x v="7130"/>
    <x v="15"/>
    <x v="5"/>
    <x v="2"/>
    <s v="MG Special"/>
    <s v="Acme Corporation"/>
    <x v="2"/>
    <d v="2017-09-30T00:00:00"/>
    <x v="284"/>
    <n v="0"/>
  </r>
  <r>
    <x v="7131"/>
    <x v="15"/>
    <x v="5"/>
    <x v="2"/>
    <s v="MG Special"/>
    <s v="Silis"/>
    <x v="0"/>
    <d v="2017-09-30T00:00:00"/>
    <x v="266"/>
    <n v="55"/>
  </r>
  <r>
    <x v="7132"/>
    <x v="15"/>
    <x v="5"/>
    <x v="2"/>
    <s v="MG Special"/>
    <s v="Umbrella Corporation"/>
    <x v="0"/>
    <d v="2017-09-30T00:00:00"/>
    <x v="255"/>
    <n v="63"/>
  </r>
  <r>
    <x v="7133"/>
    <x v="2"/>
    <x v="2"/>
    <x v="1"/>
    <s v="GTX Plus Basic"/>
    <s v="Rantouch"/>
    <x v="0"/>
    <d v="2017-09-30T00:00:00"/>
    <x v="284"/>
    <n v="1108"/>
  </r>
  <r>
    <x v="7134"/>
    <x v="2"/>
    <x v="2"/>
    <x v="1"/>
    <s v="GTX Plus Basic"/>
    <s v="Y-corporation"/>
    <x v="0"/>
    <d v="2017-09-30T00:00:00"/>
    <x v="249"/>
    <n v="944"/>
  </r>
  <r>
    <x v="7135"/>
    <x v="3"/>
    <x v="0"/>
    <x v="0"/>
    <s v="GTX Basic"/>
    <s v="Finhigh"/>
    <x v="2"/>
    <d v="2017-10-01T00:00:00"/>
    <x v="285"/>
    <n v="0"/>
  </r>
  <r>
    <x v="7136"/>
    <x v="25"/>
    <x v="4"/>
    <x v="2"/>
    <s v="MG Advanced"/>
    <s v="The New York Inquirer"/>
    <x v="2"/>
    <d v="2017-10-01T00:00:00"/>
    <x v="281"/>
    <n v="0"/>
  </r>
  <r>
    <x v="7137"/>
    <x v="23"/>
    <x v="4"/>
    <x v="2"/>
    <s v="GTX Basic"/>
    <s v="Scotfind"/>
    <x v="1"/>
    <d v="2017-10-01T00:00:00"/>
    <x v="6"/>
    <m/>
  </r>
  <r>
    <x v="7138"/>
    <x v="23"/>
    <x v="4"/>
    <x v="2"/>
    <s v="GTX Plus Basic"/>
    <s v="Cheers"/>
    <x v="1"/>
    <d v="2017-10-01T00:00:00"/>
    <x v="6"/>
    <m/>
  </r>
  <r>
    <x v="7139"/>
    <x v="23"/>
    <x v="4"/>
    <x v="2"/>
    <s v="GTX Basic"/>
    <s v="Konex"/>
    <x v="2"/>
    <d v="2017-10-01T00:00:00"/>
    <x v="238"/>
    <n v="0"/>
  </r>
  <r>
    <x v="7140"/>
    <x v="28"/>
    <x v="0"/>
    <x v="0"/>
    <s v="GTX Plus Pro"/>
    <s v="Streethex"/>
    <x v="0"/>
    <d v="2017-10-01T00:00:00"/>
    <x v="249"/>
    <n v="3704"/>
  </r>
  <r>
    <x v="7141"/>
    <x v="27"/>
    <x v="5"/>
    <x v="2"/>
    <s v="GTX Plus Pro"/>
    <s v="Konex"/>
    <x v="2"/>
    <d v="2017-10-01T00:00:00"/>
    <x v="282"/>
    <n v="0"/>
  </r>
  <r>
    <x v="7142"/>
    <x v="27"/>
    <x v="5"/>
    <x v="2"/>
    <s v="GTX Plus Basic"/>
    <s v="Donquadtech"/>
    <x v="0"/>
    <d v="2017-10-01T00:00:00"/>
    <x v="278"/>
    <n v="1076"/>
  </r>
  <r>
    <x v="7143"/>
    <x v="27"/>
    <x v="5"/>
    <x v="2"/>
    <s v="GTX Plus Pro"/>
    <s v="Mathtouch"/>
    <x v="0"/>
    <d v="2017-10-01T00:00:00"/>
    <x v="248"/>
    <n v="5528"/>
  </r>
  <r>
    <x v="7144"/>
    <x v="13"/>
    <x v="4"/>
    <x v="2"/>
    <s v="GTX Plus Basic"/>
    <s v="Xx-zobam"/>
    <x v="1"/>
    <d v="2017-10-01T00:00:00"/>
    <x v="6"/>
    <m/>
  </r>
  <r>
    <x v="7145"/>
    <x v="13"/>
    <x v="4"/>
    <x v="2"/>
    <s v="GTX Plus Basic"/>
    <s v="Initech"/>
    <x v="2"/>
    <d v="2017-10-01T00:00:00"/>
    <x v="286"/>
    <n v="0"/>
  </r>
  <r>
    <x v="7146"/>
    <x v="13"/>
    <x v="4"/>
    <x v="2"/>
    <s v="GTXPro"/>
    <s v="Yearin"/>
    <x v="2"/>
    <d v="2017-10-01T00:00:00"/>
    <x v="238"/>
    <n v="0"/>
  </r>
  <r>
    <x v="7147"/>
    <x v="1"/>
    <x v="1"/>
    <x v="0"/>
    <s v="GTXPro"/>
    <s v="Rundofase"/>
    <x v="2"/>
    <d v="2017-10-01T00:00:00"/>
    <x v="284"/>
    <n v="0"/>
  </r>
  <r>
    <x v="7148"/>
    <x v="1"/>
    <x v="1"/>
    <x v="0"/>
    <s v="GTXPro"/>
    <s v="Globex Corporation"/>
    <x v="0"/>
    <d v="2017-10-01T00:00:00"/>
    <x v="283"/>
    <n v="4594"/>
  </r>
  <r>
    <x v="7149"/>
    <x v="1"/>
    <x v="1"/>
    <x v="0"/>
    <s v="GTXPro"/>
    <s v="Scottech"/>
    <x v="0"/>
    <d v="2017-10-01T00:00:00"/>
    <x v="258"/>
    <n v="6166"/>
  </r>
  <r>
    <x v="7150"/>
    <x v="26"/>
    <x v="4"/>
    <x v="2"/>
    <s v="GTX Basic"/>
    <s v="Kinnamplus"/>
    <x v="2"/>
    <d v="2017-10-01T00:00:00"/>
    <x v="282"/>
    <n v="0"/>
  </r>
  <r>
    <x v="7151"/>
    <x v="26"/>
    <x v="4"/>
    <x v="2"/>
    <s v="GTX Plus Pro"/>
    <s v="Bluth Company"/>
    <x v="0"/>
    <d v="2017-10-01T00:00:00"/>
    <x v="265"/>
    <n v="5270"/>
  </r>
  <r>
    <x v="7152"/>
    <x v="21"/>
    <x v="5"/>
    <x v="2"/>
    <s v="GTX Plus Pro"/>
    <s v="Sumace"/>
    <x v="2"/>
    <d v="2017-10-01T00:00:00"/>
    <x v="221"/>
    <n v="0"/>
  </r>
  <r>
    <x v="7153"/>
    <x v="10"/>
    <x v="3"/>
    <x v="1"/>
    <s v="GTX Plus Basic"/>
    <s v="Xx-holding"/>
    <x v="2"/>
    <d v="2017-10-01T00:00:00"/>
    <x v="284"/>
    <n v="0"/>
  </r>
  <r>
    <x v="7154"/>
    <x v="10"/>
    <x v="3"/>
    <x v="1"/>
    <s v="MG Advanced"/>
    <s v="Cheers"/>
    <x v="0"/>
    <d v="2017-10-01T00:00:00"/>
    <x v="280"/>
    <n v="3169"/>
  </r>
  <r>
    <x v="7155"/>
    <x v="29"/>
    <x v="1"/>
    <x v="0"/>
    <s v="GTX Basic"/>
    <s v="Treequote"/>
    <x v="0"/>
    <d v="2017-10-01T00:00:00"/>
    <x v="253"/>
    <n v="571"/>
  </r>
  <r>
    <x v="7156"/>
    <x v="16"/>
    <x v="2"/>
    <x v="1"/>
    <s v="GTX Basic"/>
    <s v="Goodsilron"/>
    <x v="2"/>
    <d v="2017-10-01T00:00:00"/>
    <x v="259"/>
    <n v="0"/>
  </r>
  <r>
    <x v="7157"/>
    <x v="16"/>
    <x v="2"/>
    <x v="1"/>
    <s v="GTX Plus Pro"/>
    <s v="Green-Plus"/>
    <x v="0"/>
    <d v="2017-10-01T00:00:00"/>
    <x v="288"/>
    <n v="6304"/>
  </r>
  <r>
    <x v="7158"/>
    <x v="5"/>
    <x v="3"/>
    <x v="1"/>
    <s v="MG Special"/>
    <s v="Acme Corporation"/>
    <x v="1"/>
    <d v="2017-10-01T00:00:00"/>
    <x v="6"/>
    <m/>
  </r>
  <r>
    <x v="7159"/>
    <x v="5"/>
    <x v="3"/>
    <x v="1"/>
    <s v="GTX Basic"/>
    <s v="Cheers"/>
    <x v="2"/>
    <d v="2017-10-01T00:00:00"/>
    <x v="277"/>
    <n v="0"/>
  </r>
  <r>
    <x v="7160"/>
    <x v="5"/>
    <x v="3"/>
    <x v="1"/>
    <s v="GTXPro"/>
    <s v="Groovestreet"/>
    <x v="2"/>
    <d v="2017-10-01T00:00:00"/>
    <x v="280"/>
    <n v="0"/>
  </r>
  <r>
    <x v="7161"/>
    <x v="22"/>
    <x v="1"/>
    <x v="0"/>
    <s v="GTX Basic"/>
    <s v="Statholdings"/>
    <x v="2"/>
    <d v="2017-10-01T00:00:00"/>
    <x v="287"/>
    <n v="0"/>
  </r>
  <r>
    <x v="7162"/>
    <x v="22"/>
    <x v="1"/>
    <x v="0"/>
    <s v="GTXPro"/>
    <s v="Condax"/>
    <x v="0"/>
    <d v="2017-10-01T00:00:00"/>
    <x v="273"/>
    <n v="4578"/>
  </r>
  <r>
    <x v="7163"/>
    <x v="19"/>
    <x v="4"/>
    <x v="2"/>
    <s v="MG Special"/>
    <s v="Bluth Company"/>
    <x v="0"/>
    <d v="2017-10-01T00:00:00"/>
    <x v="248"/>
    <n v="62"/>
  </r>
  <r>
    <x v="7164"/>
    <x v="11"/>
    <x v="3"/>
    <x v="1"/>
    <s v="MG Special"/>
    <s v="J-Texon"/>
    <x v="0"/>
    <d v="2017-10-01T00:00:00"/>
    <x v="284"/>
    <n v="51"/>
  </r>
  <r>
    <x v="7165"/>
    <x v="17"/>
    <x v="5"/>
    <x v="2"/>
    <s v="GTXPro"/>
    <s v="Bluth Company"/>
    <x v="0"/>
    <d v="2017-10-01T00:00:00"/>
    <x v="262"/>
    <n v="4881"/>
  </r>
  <r>
    <x v="7166"/>
    <x v="4"/>
    <x v="3"/>
    <x v="1"/>
    <s v="GTX Basic"/>
    <s v="Golddex"/>
    <x v="0"/>
    <d v="2017-10-01T00:00:00"/>
    <x v="248"/>
    <n v="544"/>
  </r>
  <r>
    <x v="7167"/>
    <x v="4"/>
    <x v="3"/>
    <x v="1"/>
    <s v="MG Advanced"/>
    <s v="Goodsilron"/>
    <x v="0"/>
    <d v="2017-10-01T00:00:00"/>
    <x v="242"/>
    <n v="2941"/>
  </r>
  <r>
    <x v="7168"/>
    <x v="20"/>
    <x v="5"/>
    <x v="2"/>
    <s v="GTX Plus Pro"/>
    <m/>
    <x v="1"/>
    <d v="2017-10-01T00:00:00"/>
    <x v="6"/>
    <m/>
  </r>
  <r>
    <x v="7169"/>
    <x v="20"/>
    <x v="5"/>
    <x v="2"/>
    <s v="MG Advanced"/>
    <s v="Ganjaflex"/>
    <x v="2"/>
    <d v="2017-10-01T00:00:00"/>
    <x v="254"/>
    <n v="0"/>
  </r>
  <r>
    <x v="7170"/>
    <x v="20"/>
    <x v="5"/>
    <x v="2"/>
    <s v="MG Special"/>
    <s v="Condax"/>
    <x v="0"/>
    <d v="2017-10-01T00:00:00"/>
    <x v="285"/>
    <n v="44"/>
  </r>
  <r>
    <x v="7171"/>
    <x v="2"/>
    <x v="2"/>
    <x v="1"/>
    <s v="GTX Plus Pro"/>
    <s v="Doncon"/>
    <x v="0"/>
    <d v="2017-10-01T00:00:00"/>
    <x v="269"/>
    <n v="4910"/>
  </r>
  <r>
    <x v="7172"/>
    <x v="3"/>
    <x v="0"/>
    <x v="0"/>
    <s v="GTX Plus Pro"/>
    <s v="Warephase"/>
    <x v="2"/>
    <d v="2017-10-02T00:00:00"/>
    <x v="289"/>
    <n v="0"/>
  </r>
  <r>
    <x v="7173"/>
    <x v="25"/>
    <x v="4"/>
    <x v="2"/>
    <s v="GTX Plus Basic"/>
    <s v="Konex"/>
    <x v="2"/>
    <d v="2017-10-02T00:00:00"/>
    <x v="279"/>
    <n v="0"/>
  </r>
  <r>
    <x v="7174"/>
    <x v="23"/>
    <x v="4"/>
    <x v="2"/>
    <s v="GTX Plus Pro"/>
    <s v="Bioplex"/>
    <x v="0"/>
    <d v="2017-10-02T00:00:00"/>
    <x v="252"/>
    <n v="5469"/>
  </r>
  <r>
    <x v="7175"/>
    <x v="28"/>
    <x v="0"/>
    <x v="0"/>
    <s v="MG Advanced"/>
    <s v="Scottech"/>
    <x v="2"/>
    <d v="2017-10-02T00:00:00"/>
    <x v="278"/>
    <n v="0"/>
  </r>
  <r>
    <x v="7176"/>
    <x v="28"/>
    <x v="0"/>
    <x v="0"/>
    <s v="MG Advanced"/>
    <s v="Treequote"/>
    <x v="2"/>
    <d v="2017-10-02T00:00:00"/>
    <x v="245"/>
    <n v="0"/>
  </r>
  <r>
    <x v="7177"/>
    <x v="28"/>
    <x v="0"/>
    <x v="0"/>
    <s v="GTX Basic"/>
    <s v="Zumgoity"/>
    <x v="0"/>
    <d v="2017-10-02T00:00:00"/>
    <x v="243"/>
    <n v="568"/>
  </r>
  <r>
    <x v="7178"/>
    <x v="1"/>
    <x v="1"/>
    <x v="0"/>
    <s v="GTX Plus Basic"/>
    <s v="Cancity"/>
    <x v="2"/>
    <d v="2017-10-02T00:00:00"/>
    <x v="287"/>
    <n v="0"/>
  </r>
  <r>
    <x v="7179"/>
    <x v="1"/>
    <x v="1"/>
    <x v="0"/>
    <s v="MG Advanced"/>
    <s v="Genco Pura Olive Oil Company"/>
    <x v="2"/>
    <d v="2017-10-02T00:00:00"/>
    <x v="283"/>
    <n v="0"/>
  </r>
  <r>
    <x v="7180"/>
    <x v="1"/>
    <x v="1"/>
    <x v="0"/>
    <s v="GTX Plus Pro"/>
    <s v="Codehow"/>
    <x v="0"/>
    <d v="2017-10-02T00:00:00"/>
    <x v="279"/>
    <n v="5263"/>
  </r>
  <r>
    <x v="7181"/>
    <x v="1"/>
    <x v="1"/>
    <x v="0"/>
    <s v="GTXPro"/>
    <s v="Toughzap"/>
    <x v="0"/>
    <d v="2017-10-02T00:00:00"/>
    <x v="283"/>
    <n v="4201"/>
  </r>
  <r>
    <x v="7182"/>
    <x v="29"/>
    <x v="1"/>
    <x v="0"/>
    <s v="GTX Basic"/>
    <s v="Warephase"/>
    <x v="2"/>
    <d v="2017-10-02T00:00:00"/>
    <x v="282"/>
    <n v="0"/>
  </r>
  <r>
    <x v="7183"/>
    <x v="29"/>
    <x v="1"/>
    <x v="0"/>
    <s v="GTX Plus Basic"/>
    <s v="dambase"/>
    <x v="2"/>
    <d v="2017-10-02T00:00:00"/>
    <x v="268"/>
    <n v="0"/>
  </r>
  <r>
    <x v="7184"/>
    <x v="29"/>
    <x v="1"/>
    <x v="0"/>
    <s v="GTX Plus Basic"/>
    <s v="Dontechi"/>
    <x v="2"/>
    <d v="2017-10-02T00:00:00"/>
    <x v="286"/>
    <n v="0"/>
  </r>
  <r>
    <x v="7185"/>
    <x v="29"/>
    <x v="1"/>
    <x v="0"/>
    <s v="GTX Plus Basic"/>
    <s v="Isdom"/>
    <x v="2"/>
    <d v="2017-10-02T00:00:00"/>
    <x v="248"/>
    <n v="0"/>
  </r>
  <r>
    <x v="7186"/>
    <x v="16"/>
    <x v="2"/>
    <x v="1"/>
    <s v="GTXPro"/>
    <s v="Groovestreet"/>
    <x v="2"/>
    <d v="2017-10-02T00:00:00"/>
    <x v="279"/>
    <n v="0"/>
  </r>
  <r>
    <x v="7187"/>
    <x v="16"/>
    <x v="2"/>
    <x v="1"/>
    <s v="GTX Plus Basic"/>
    <s v="Sunnamplex"/>
    <x v="0"/>
    <d v="2017-10-02T00:00:00"/>
    <x v="278"/>
    <n v="1048"/>
  </r>
  <r>
    <x v="7188"/>
    <x v="18"/>
    <x v="2"/>
    <x v="1"/>
    <s v="GTX Basic"/>
    <s v="Hatfan"/>
    <x v="0"/>
    <d v="2017-10-02T00:00:00"/>
    <x v="217"/>
    <n v="631"/>
  </r>
  <r>
    <x v="7189"/>
    <x v="24"/>
    <x v="0"/>
    <x v="0"/>
    <s v="MG Advanced"/>
    <s v="Hottechi"/>
    <x v="2"/>
    <d v="2017-10-02T00:00:00"/>
    <x v="288"/>
    <n v="0"/>
  </r>
  <r>
    <x v="7190"/>
    <x v="24"/>
    <x v="0"/>
    <x v="0"/>
    <s v="GTX Basic"/>
    <s v="Betatech"/>
    <x v="0"/>
    <d v="2017-10-02T00:00:00"/>
    <x v="287"/>
    <n v="536"/>
  </r>
  <r>
    <x v="7191"/>
    <x v="24"/>
    <x v="0"/>
    <x v="0"/>
    <s v="GTX Plus Basic"/>
    <s v="Genco Pura Olive Oil Company"/>
    <x v="0"/>
    <d v="2017-10-02T00:00:00"/>
    <x v="248"/>
    <n v="1127"/>
  </r>
  <r>
    <x v="7192"/>
    <x v="22"/>
    <x v="1"/>
    <x v="0"/>
    <s v="GTX Plus Basic"/>
    <s v="Ron-tech"/>
    <x v="2"/>
    <d v="2017-10-02T00:00:00"/>
    <x v="279"/>
    <n v="0"/>
  </r>
  <r>
    <x v="7193"/>
    <x v="22"/>
    <x v="1"/>
    <x v="0"/>
    <s v="MG Special"/>
    <s v="Cancity"/>
    <x v="0"/>
    <d v="2017-10-02T00:00:00"/>
    <x v="283"/>
    <n v="56"/>
  </r>
  <r>
    <x v="7194"/>
    <x v="9"/>
    <x v="2"/>
    <x v="1"/>
    <s v="GTX Basic"/>
    <s v="Hottechi"/>
    <x v="2"/>
    <d v="2017-10-02T00:00:00"/>
    <x v="273"/>
    <n v="0"/>
  </r>
  <r>
    <x v="7195"/>
    <x v="19"/>
    <x v="4"/>
    <x v="2"/>
    <s v="GTXPro"/>
    <s v="Bluth Company"/>
    <x v="0"/>
    <d v="2017-10-02T00:00:00"/>
    <x v="286"/>
    <n v="4186"/>
  </r>
  <r>
    <x v="7196"/>
    <x v="19"/>
    <x v="4"/>
    <x v="2"/>
    <s v="MG Advanced"/>
    <s v="Konex"/>
    <x v="0"/>
    <d v="2017-10-02T00:00:00"/>
    <x v="287"/>
    <n v="3670"/>
  </r>
  <r>
    <x v="7197"/>
    <x v="19"/>
    <x v="4"/>
    <x v="2"/>
    <s v="MG Advanced"/>
    <s v="Umbrella Corporation"/>
    <x v="0"/>
    <d v="2017-10-02T00:00:00"/>
    <x v="287"/>
    <n v="3482"/>
  </r>
  <r>
    <x v="7198"/>
    <x v="17"/>
    <x v="5"/>
    <x v="2"/>
    <s v="GTX Plus Basic"/>
    <s v="Gekko &amp; Co"/>
    <x v="2"/>
    <d v="2017-10-02T00:00:00"/>
    <x v="287"/>
    <n v="0"/>
  </r>
  <r>
    <x v="7199"/>
    <x v="12"/>
    <x v="0"/>
    <x v="0"/>
    <s v="MG Special"/>
    <s v="Funholding"/>
    <x v="2"/>
    <d v="2017-10-02T00:00:00"/>
    <x v="279"/>
    <n v="0"/>
  </r>
  <r>
    <x v="7200"/>
    <x v="15"/>
    <x v="5"/>
    <x v="2"/>
    <s v="MG Special"/>
    <s v="Kinnamplus"/>
    <x v="0"/>
    <d v="2017-10-02T00:00:00"/>
    <x v="285"/>
    <n v="50"/>
  </r>
  <r>
    <x v="7201"/>
    <x v="15"/>
    <x v="5"/>
    <x v="2"/>
    <s v="MG Advanced"/>
    <s v="Massive Dynamic"/>
    <x v="0"/>
    <d v="2017-10-02T00:00:00"/>
    <x v="271"/>
    <n v="3629"/>
  </r>
  <r>
    <x v="7202"/>
    <x v="2"/>
    <x v="2"/>
    <x v="1"/>
    <s v="GTX Basic"/>
    <s v="Hottechi"/>
    <x v="2"/>
    <d v="2017-10-02T00:00:00"/>
    <x v="278"/>
    <n v="0"/>
  </r>
  <r>
    <x v="7203"/>
    <x v="2"/>
    <x v="2"/>
    <x v="1"/>
    <s v="GTXPro"/>
    <s v="Groovestreet"/>
    <x v="2"/>
    <d v="2017-10-02T00:00:00"/>
    <x v="285"/>
    <n v="0"/>
  </r>
  <r>
    <x v="7204"/>
    <x v="2"/>
    <x v="2"/>
    <x v="1"/>
    <s v="GTX Basic"/>
    <s v="Condax"/>
    <x v="0"/>
    <d v="2017-10-02T00:00:00"/>
    <x v="287"/>
    <n v="544"/>
  </r>
  <r>
    <x v="7205"/>
    <x v="3"/>
    <x v="0"/>
    <x v="0"/>
    <s v="GTX Plus Pro"/>
    <s v="Rundofase"/>
    <x v="2"/>
    <d v="2017-10-03T00:00:00"/>
    <x v="283"/>
    <n v="0"/>
  </r>
  <r>
    <x v="7206"/>
    <x v="28"/>
    <x v="0"/>
    <x v="0"/>
    <s v="MG Advanced"/>
    <s v="Stanredtax"/>
    <x v="0"/>
    <d v="2017-10-03T00:00:00"/>
    <x v="286"/>
    <n v="3415"/>
  </r>
  <r>
    <x v="7207"/>
    <x v="27"/>
    <x v="5"/>
    <x v="2"/>
    <s v="GTX Basic"/>
    <s v="Bubba Gump"/>
    <x v="0"/>
    <d v="2017-10-03T00:00:00"/>
    <x v="279"/>
    <n v="616"/>
  </r>
  <r>
    <x v="7208"/>
    <x v="13"/>
    <x v="4"/>
    <x v="2"/>
    <s v="GTX Plus Basic"/>
    <s v="Donware"/>
    <x v="0"/>
    <d v="2017-10-03T00:00:00"/>
    <x v="284"/>
    <n v="1050"/>
  </r>
  <r>
    <x v="7209"/>
    <x v="1"/>
    <x v="1"/>
    <x v="0"/>
    <s v="MG Special"/>
    <s v="Toughzap"/>
    <x v="0"/>
    <d v="2017-10-03T00:00:00"/>
    <x v="286"/>
    <n v="58"/>
  </r>
  <r>
    <x v="7210"/>
    <x v="26"/>
    <x v="4"/>
    <x v="2"/>
    <s v="MG Advanced"/>
    <s v="Zotware"/>
    <x v="0"/>
    <d v="2017-10-03T00:00:00"/>
    <x v="280"/>
    <n v="3858"/>
  </r>
  <r>
    <x v="7211"/>
    <x v="14"/>
    <x v="3"/>
    <x v="1"/>
    <s v="MG Special"/>
    <s v="Condax"/>
    <x v="2"/>
    <d v="2017-10-03T00:00:00"/>
    <x v="288"/>
    <n v="0"/>
  </r>
  <r>
    <x v="7212"/>
    <x v="8"/>
    <x v="1"/>
    <x v="0"/>
    <s v="GTX Basic"/>
    <s v="Hottechi"/>
    <x v="2"/>
    <d v="2017-10-03T00:00:00"/>
    <x v="279"/>
    <n v="0"/>
  </r>
  <r>
    <x v="7213"/>
    <x v="8"/>
    <x v="1"/>
    <x v="0"/>
    <s v="GTX Plus Pro"/>
    <s v="Funholding"/>
    <x v="2"/>
    <d v="2017-10-03T00:00:00"/>
    <x v="280"/>
    <n v="0"/>
  </r>
  <r>
    <x v="7214"/>
    <x v="8"/>
    <x v="1"/>
    <x v="0"/>
    <s v="MG Advanced"/>
    <s v="Ron-tech"/>
    <x v="2"/>
    <d v="2017-10-03T00:00:00"/>
    <x v="286"/>
    <n v="0"/>
  </r>
  <r>
    <x v="7215"/>
    <x v="8"/>
    <x v="1"/>
    <x v="0"/>
    <s v="MG Advanced"/>
    <s v="Inity"/>
    <x v="0"/>
    <d v="2017-10-03T00:00:00"/>
    <x v="227"/>
    <n v="3207"/>
  </r>
  <r>
    <x v="7216"/>
    <x v="10"/>
    <x v="3"/>
    <x v="1"/>
    <s v="MG Advanced"/>
    <s v="Konex"/>
    <x v="0"/>
    <d v="2017-10-03T00:00:00"/>
    <x v="235"/>
    <n v="3795"/>
  </r>
  <r>
    <x v="7217"/>
    <x v="29"/>
    <x v="1"/>
    <x v="0"/>
    <s v="MG Special"/>
    <s v="Rundofase"/>
    <x v="2"/>
    <d v="2017-10-03T00:00:00"/>
    <x v="264"/>
    <n v="0"/>
  </r>
  <r>
    <x v="7218"/>
    <x v="16"/>
    <x v="2"/>
    <x v="1"/>
    <s v="GTX Plus Basic"/>
    <s v="J-Texon"/>
    <x v="0"/>
    <d v="2017-10-03T00:00:00"/>
    <x v="284"/>
    <n v="1028"/>
  </r>
  <r>
    <x v="7219"/>
    <x v="16"/>
    <x v="2"/>
    <x v="1"/>
    <s v="MG Special"/>
    <s v="Doncon"/>
    <x v="0"/>
    <d v="2017-10-03T00:00:00"/>
    <x v="290"/>
    <n v="64"/>
  </r>
  <r>
    <x v="7220"/>
    <x v="18"/>
    <x v="2"/>
    <x v="1"/>
    <s v="GTX Basic"/>
    <m/>
    <x v="1"/>
    <d v="2017-10-03T00:00:00"/>
    <x v="6"/>
    <m/>
  </r>
  <r>
    <x v="7221"/>
    <x v="22"/>
    <x v="1"/>
    <x v="0"/>
    <s v="GTXPro"/>
    <s v="Rangreen"/>
    <x v="2"/>
    <d v="2017-10-03T00:00:00"/>
    <x v="253"/>
    <n v="0"/>
  </r>
  <r>
    <x v="7222"/>
    <x v="19"/>
    <x v="4"/>
    <x v="2"/>
    <s v="GTX Plus Basic"/>
    <s v="Bluth Company"/>
    <x v="0"/>
    <d v="2017-10-03T00:00:00"/>
    <x v="257"/>
    <n v="1284"/>
  </r>
  <r>
    <x v="7223"/>
    <x v="19"/>
    <x v="4"/>
    <x v="2"/>
    <s v="GTXPro"/>
    <s v="Iselectrics"/>
    <x v="0"/>
    <d v="2017-10-03T00:00:00"/>
    <x v="270"/>
    <n v="5044"/>
  </r>
  <r>
    <x v="7224"/>
    <x v="11"/>
    <x v="3"/>
    <x v="1"/>
    <s v="MG Special"/>
    <s v="Y-corporation"/>
    <x v="2"/>
    <d v="2017-10-03T00:00:00"/>
    <x v="281"/>
    <n v="0"/>
  </r>
  <r>
    <x v="7225"/>
    <x v="12"/>
    <x v="0"/>
    <x v="0"/>
    <s v="MG Advanced"/>
    <s v="Rangreen"/>
    <x v="0"/>
    <d v="2017-10-03T00:00:00"/>
    <x v="283"/>
    <n v="3254"/>
  </r>
  <r>
    <x v="7226"/>
    <x v="4"/>
    <x v="3"/>
    <x v="1"/>
    <s v="GTX Plus Pro"/>
    <m/>
    <x v="1"/>
    <d v="2017-10-03T00:00:00"/>
    <x v="6"/>
    <m/>
  </r>
  <r>
    <x v="7227"/>
    <x v="4"/>
    <x v="3"/>
    <x v="1"/>
    <s v="GTXPro"/>
    <s v="Hottechi"/>
    <x v="2"/>
    <d v="2017-10-03T00:00:00"/>
    <x v="284"/>
    <n v="0"/>
  </r>
  <r>
    <x v="7228"/>
    <x v="15"/>
    <x v="5"/>
    <x v="2"/>
    <s v="MG Special"/>
    <s v="Xx-zobam"/>
    <x v="2"/>
    <d v="2017-10-03T00:00:00"/>
    <x v="269"/>
    <n v="0"/>
  </r>
  <r>
    <x v="7229"/>
    <x v="20"/>
    <x v="5"/>
    <x v="2"/>
    <s v="GTXPro"/>
    <s v="Vehement Capital Partners"/>
    <x v="0"/>
    <d v="2017-10-03T00:00:00"/>
    <x v="286"/>
    <n v="5127"/>
  </r>
  <r>
    <x v="7230"/>
    <x v="2"/>
    <x v="2"/>
    <x v="1"/>
    <s v="GTXPro"/>
    <s v="Green-Plus"/>
    <x v="0"/>
    <d v="2017-10-03T00:00:00"/>
    <x v="205"/>
    <n v="4194"/>
  </r>
  <r>
    <x v="7231"/>
    <x v="2"/>
    <x v="2"/>
    <x v="1"/>
    <s v="GTXPro"/>
    <s v="Singletechno"/>
    <x v="0"/>
    <d v="2017-10-03T00:00:00"/>
    <x v="285"/>
    <n v="4105"/>
  </r>
  <r>
    <x v="7232"/>
    <x v="3"/>
    <x v="0"/>
    <x v="0"/>
    <s v="MG Special"/>
    <s v="Cancity"/>
    <x v="2"/>
    <d v="2017-10-04T00:00:00"/>
    <x v="288"/>
    <n v="0"/>
  </r>
  <r>
    <x v="7233"/>
    <x v="3"/>
    <x v="0"/>
    <x v="0"/>
    <s v="MG Special"/>
    <s v="Gogozoom"/>
    <x v="0"/>
    <d v="2017-10-04T00:00:00"/>
    <x v="242"/>
    <n v="59"/>
  </r>
  <r>
    <x v="7234"/>
    <x v="25"/>
    <x v="4"/>
    <x v="2"/>
    <s v="MG Advanced"/>
    <m/>
    <x v="1"/>
    <d v="2017-10-04T00:00:00"/>
    <x v="6"/>
    <m/>
  </r>
  <r>
    <x v="7235"/>
    <x v="25"/>
    <x v="4"/>
    <x v="2"/>
    <s v="GTX Plus Pro"/>
    <s v="Bluth Company"/>
    <x v="2"/>
    <d v="2017-10-04T00:00:00"/>
    <x v="196"/>
    <n v="0"/>
  </r>
  <r>
    <x v="7236"/>
    <x v="25"/>
    <x v="4"/>
    <x v="2"/>
    <s v="MG Advanced"/>
    <s v="Acme Corporation"/>
    <x v="2"/>
    <d v="2017-10-04T00:00:00"/>
    <x v="285"/>
    <n v="0"/>
  </r>
  <r>
    <x v="7237"/>
    <x v="25"/>
    <x v="4"/>
    <x v="2"/>
    <s v="MG Special"/>
    <s v="Bubba Gump"/>
    <x v="0"/>
    <d v="2017-10-04T00:00:00"/>
    <x v="285"/>
    <n v="54"/>
  </r>
  <r>
    <x v="7238"/>
    <x v="23"/>
    <x v="4"/>
    <x v="2"/>
    <s v="GTX Plus Pro"/>
    <s v="Plussunin"/>
    <x v="0"/>
    <d v="2017-10-04T00:00:00"/>
    <x v="289"/>
    <n v="5989"/>
  </r>
  <r>
    <x v="7239"/>
    <x v="27"/>
    <x v="5"/>
    <x v="2"/>
    <s v="GTX Basic"/>
    <m/>
    <x v="1"/>
    <d v="2017-10-04T00:00:00"/>
    <x v="6"/>
    <m/>
  </r>
  <r>
    <x v="7240"/>
    <x v="13"/>
    <x v="4"/>
    <x v="2"/>
    <s v="GTX Plus Basic"/>
    <m/>
    <x v="1"/>
    <d v="2017-10-04T00:00:00"/>
    <x v="6"/>
    <m/>
  </r>
  <r>
    <x v="7241"/>
    <x v="13"/>
    <x v="4"/>
    <x v="2"/>
    <s v="GTXPro"/>
    <s v="Silis"/>
    <x v="2"/>
    <d v="2017-10-04T00:00:00"/>
    <x v="290"/>
    <n v="0"/>
  </r>
  <r>
    <x v="7242"/>
    <x v="1"/>
    <x v="1"/>
    <x v="0"/>
    <s v="GTXPro"/>
    <s v="Betatech"/>
    <x v="2"/>
    <d v="2017-10-04T00:00:00"/>
    <x v="287"/>
    <n v="0"/>
  </r>
  <r>
    <x v="7243"/>
    <x v="1"/>
    <x v="1"/>
    <x v="0"/>
    <s v="GTX Plus Pro"/>
    <s v="Finhigh"/>
    <x v="0"/>
    <d v="2017-10-04T00:00:00"/>
    <x v="261"/>
    <n v="4735"/>
  </r>
  <r>
    <x v="7244"/>
    <x v="1"/>
    <x v="1"/>
    <x v="0"/>
    <s v="GTXPro"/>
    <s v="Rangreen"/>
    <x v="0"/>
    <d v="2017-10-04T00:00:00"/>
    <x v="286"/>
    <n v="5055"/>
  </r>
  <r>
    <x v="7245"/>
    <x v="7"/>
    <x v="2"/>
    <x v="1"/>
    <s v="GTX Plus Pro"/>
    <s v="Fasehatice"/>
    <x v="0"/>
    <d v="2017-10-04T00:00:00"/>
    <x v="252"/>
    <n v="4527"/>
  </r>
  <r>
    <x v="7246"/>
    <x v="29"/>
    <x v="1"/>
    <x v="0"/>
    <s v="GTX Basic"/>
    <s v="dambase"/>
    <x v="2"/>
    <d v="2017-10-04T00:00:00"/>
    <x v="269"/>
    <n v="0"/>
  </r>
  <r>
    <x v="7247"/>
    <x v="29"/>
    <x v="1"/>
    <x v="0"/>
    <s v="GTXPro"/>
    <s v="Scottech"/>
    <x v="2"/>
    <d v="2017-10-04T00:00:00"/>
    <x v="290"/>
    <n v="0"/>
  </r>
  <r>
    <x v="7248"/>
    <x v="29"/>
    <x v="1"/>
    <x v="0"/>
    <s v="MG Special"/>
    <s v="Inity"/>
    <x v="0"/>
    <d v="2017-10-04T00:00:00"/>
    <x v="281"/>
    <n v="58"/>
  </r>
  <r>
    <x v="7249"/>
    <x v="18"/>
    <x v="2"/>
    <x v="1"/>
    <s v="GTX Basic"/>
    <s v="J-Texon"/>
    <x v="2"/>
    <d v="2017-10-04T00:00:00"/>
    <x v="221"/>
    <n v="0"/>
  </r>
  <r>
    <x v="7250"/>
    <x v="5"/>
    <x v="3"/>
    <x v="1"/>
    <s v="MG Special"/>
    <s v="Rantouch"/>
    <x v="0"/>
    <d v="2017-10-04T00:00:00"/>
    <x v="259"/>
    <n v="62"/>
  </r>
  <r>
    <x v="7251"/>
    <x v="9"/>
    <x v="2"/>
    <x v="1"/>
    <s v="GTXPro"/>
    <s v="Blackzim"/>
    <x v="0"/>
    <d v="2017-10-04T00:00:00"/>
    <x v="245"/>
    <n v="5026"/>
  </r>
  <r>
    <x v="7252"/>
    <x v="4"/>
    <x v="3"/>
    <x v="1"/>
    <s v="MG Special"/>
    <s v="Nam-zim"/>
    <x v="2"/>
    <d v="2017-10-04T00:00:00"/>
    <x v="288"/>
    <n v="0"/>
  </r>
  <r>
    <x v="7253"/>
    <x v="4"/>
    <x v="3"/>
    <x v="1"/>
    <s v="GTX Basic"/>
    <s v="Y-corporation"/>
    <x v="0"/>
    <d v="2017-10-04T00:00:00"/>
    <x v="245"/>
    <n v="496"/>
  </r>
  <r>
    <x v="7254"/>
    <x v="20"/>
    <x v="5"/>
    <x v="2"/>
    <s v="GTXPro"/>
    <s v="Gogozoom"/>
    <x v="1"/>
    <d v="2017-10-04T00:00:00"/>
    <x v="6"/>
    <m/>
  </r>
  <r>
    <x v="7255"/>
    <x v="2"/>
    <x v="2"/>
    <x v="1"/>
    <s v="GTXPro"/>
    <s v="Plusstrip"/>
    <x v="0"/>
    <d v="2017-10-04T00:00:00"/>
    <x v="270"/>
    <n v="5491"/>
  </r>
  <r>
    <x v="7256"/>
    <x v="3"/>
    <x v="0"/>
    <x v="0"/>
    <s v="MG Special"/>
    <s v="Hottechi"/>
    <x v="2"/>
    <d v="2017-10-05T00:00:00"/>
    <x v="287"/>
    <n v="0"/>
  </r>
  <r>
    <x v="7257"/>
    <x v="28"/>
    <x v="0"/>
    <x v="0"/>
    <s v="GTX Basic"/>
    <s v="Stanredtax"/>
    <x v="0"/>
    <d v="2017-10-05T00:00:00"/>
    <x v="285"/>
    <n v="622"/>
  </r>
  <r>
    <x v="7258"/>
    <x v="27"/>
    <x v="5"/>
    <x v="2"/>
    <s v="GTXPro"/>
    <s v="Zotware"/>
    <x v="2"/>
    <d v="2017-10-05T00:00:00"/>
    <x v="288"/>
    <n v="0"/>
  </r>
  <r>
    <x v="7259"/>
    <x v="1"/>
    <x v="1"/>
    <x v="0"/>
    <s v="GTX Plus Basic"/>
    <s v="Rangreen"/>
    <x v="0"/>
    <d v="2017-10-05T00:00:00"/>
    <x v="286"/>
    <n v="1132"/>
  </r>
  <r>
    <x v="7260"/>
    <x v="1"/>
    <x v="1"/>
    <x v="0"/>
    <s v="GTX Plus Pro"/>
    <s v="Condax"/>
    <x v="0"/>
    <d v="2017-10-05T00:00:00"/>
    <x v="247"/>
    <n v="5422"/>
  </r>
  <r>
    <x v="7261"/>
    <x v="1"/>
    <x v="1"/>
    <x v="0"/>
    <s v="GTXPro"/>
    <s v="Inity"/>
    <x v="0"/>
    <d v="2017-10-05T00:00:00"/>
    <x v="289"/>
    <n v="5170"/>
  </r>
  <r>
    <x v="7262"/>
    <x v="1"/>
    <x v="1"/>
    <x v="0"/>
    <s v="GTXPro"/>
    <s v="Stanredtax"/>
    <x v="0"/>
    <d v="2017-10-05T00:00:00"/>
    <x v="255"/>
    <n v="5009"/>
  </r>
  <r>
    <x v="7263"/>
    <x v="26"/>
    <x v="4"/>
    <x v="2"/>
    <s v="MG Advanced"/>
    <s v="Zathunicon"/>
    <x v="2"/>
    <d v="2017-10-05T00:00:00"/>
    <x v="286"/>
    <n v="0"/>
  </r>
  <r>
    <x v="7264"/>
    <x v="14"/>
    <x v="3"/>
    <x v="1"/>
    <s v="MG Special"/>
    <m/>
    <x v="1"/>
    <d v="2017-10-05T00:00:00"/>
    <x v="6"/>
    <m/>
  </r>
  <r>
    <x v="7265"/>
    <x v="14"/>
    <x v="3"/>
    <x v="1"/>
    <s v="GTK 500"/>
    <s v="Konex"/>
    <x v="2"/>
    <d v="2017-10-05T00:00:00"/>
    <x v="291"/>
    <n v="0"/>
  </r>
  <r>
    <x v="7266"/>
    <x v="21"/>
    <x v="5"/>
    <x v="2"/>
    <s v="GTX Plus Pro"/>
    <s v="Acme Corporation"/>
    <x v="0"/>
    <d v="2017-10-05T00:00:00"/>
    <x v="282"/>
    <n v="5331"/>
  </r>
  <r>
    <x v="7267"/>
    <x v="10"/>
    <x v="3"/>
    <x v="1"/>
    <s v="MG Advanced"/>
    <s v="Scotfind"/>
    <x v="2"/>
    <d v="2017-10-05T00:00:00"/>
    <x v="254"/>
    <n v="0"/>
  </r>
  <r>
    <x v="7268"/>
    <x v="7"/>
    <x v="2"/>
    <x v="1"/>
    <s v="GTX Basic"/>
    <s v="Groovestreet"/>
    <x v="2"/>
    <d v="2017-10-05T00:00:00"/>
    <x v="286"/>
    <n v="0"/>
  </r>
  <r>
    <x v="7269"/>
    <x v="7"/>
    <x v="2"/>
    <x v="1"/>
    <s v="GTXPro"/>
    <s v="Labdrill"/>
    <x v="2"/>
    <d v="2017-10-05T00:00:00"/>
    <x v="230"/>
    <n v="0"/>
  </r>
  <r>
    <x v="7270"/>
    <x v="7"/>
    <x v="2"/>
    <x v="1"/>
    <s v="GTX Plus Basic"/>
    <s v="Hatfan"/>
    <x v="0"/>
    <d v="2017-10-05T00:00:00"/>
    <x v="291"/>
    <n v="1132"/>
  </r>
  <r>
    <x v="7271"/>
    <x v="7"/>
    <x v="2"/>
    <x v="1"/>
    <s v="GTX Plus Pro"/>
    <s v="Blackzim"/>
    <x v="0"/>
    <d v="2017-10-05T00:00:00"/>
    <x v="285"/>
    <n v="5004"/>
  </r>
  <r>
    <x v="7272"/>
    <x v="29"/>
    <x v="1"/>
    <x v="0"/>
    <s v="GTX Basic"/>
    <s v="Inity"/>
    <x v="0"/>
    <d v="2017-10-05T00:00:00"/>
    <x v="286"/>
    <n v="556"/>
  </r>
  <r>
    <x v="7273"/>
    <x v="29"/>
    <x v="1"/>
    <x v="0"/>
    <s v="MG Special"/>
    <s v="Gogozoom"/>
    <x v="0"/>
    <d v="2017-10-05T00:00:00"/>
    <x v="287"/>
    <n v="53"/>
  </r>
  <r>
    <x v="7274"/>
    <x v="16"/>
    <x v="2"/>
    <x v="1"/>
    <s v="GTXPro"/>
    <s v="Finjob"/>
    <x v="0"/>
    <d v="2017-10-05T00:00:00"/>
    <x v="253"/>
    <n v="4362"/>
  </r>
  <r>
    <x v="7275"/>
    <x v="18"/>
    <x v="2"/>
    <x v="1"/>
    <s v="GTXPro"/>
    <m/>
    <x v="1"/>
    <d v="2017-10-05T00:00:00"/>
    <x v="6"/>
    <m/>
  </r>
  <r>
    <x v="7276"/>
    <x v="22"/>
    <x v="1"/>
    <x v="0"/>
    <s v="GTX Basic"/>
    <s v="Warephase"/>
    <x v="0"/>
    <d v="2017-10-05T00:00:00"/>
    <x v="266"/>
    <n v="550"/>
  </r>
  <r>
    <x v="7277"/>
    <x v="0"/>
    <x v="0"/>
    <x v="0"/>
    <s v="MG Special"/>
    <s v="Stanredtax"/>
    <x v="0"/>
    <d v="2017-10-05T00:00:00"/>
    <x v="270"/>
    <n v="50"/>
  </r>
  <r>
    <x v="7278"/>
    <x v="6"/>
    <x v="1"/>
    <x v="0"/>
    <s v="GTX Plus Basic"/>
    <s v="Dontechi"/>
    <x v="2"/>
    <d v="2017-10-05T00:00:00"/>
    <x v="288"/>
    <n v="0"/>
  </r>
  <r>
    <x v="7279"/>
    <x v="6"/>
    <x v="1"/>
    <x v="0"/>
    <s v="GTX Plus Basic"/>
    <s v="Dontechi"/>
    <x v="2"/>
    <d v="2017-10-05T00:00:00"/>
    <x v="290"/>
    <n v="0"/>
  </r>
  <r>
    <x v="7280"/>
    <x v="6"/>
    <x v="1"/>
    <x v="0"/>
    <s v="GTXPro"/>
    <s v="Funholding"/>
    <x v="2"/>
    <d v="2017-10-05T00:00:00"/>
    <x v="290"/>
    <n v="0"/>
  </r>
  <r>
    <x v="7281"/>
    <x v="19"/>
    <x v="4"/>
    <x v="2"/>
    <s v="GTXPro"/>
    <s v="Gekko &amp; Co"/>
    <x v="0"/>
    <d v="2017-10-05T00:00:00"/>
    <x v="271"/>
    <n v="4651"/>
  </r>
  <r>
    <x v="7282"/>
    <x v="19"/>
    <x v="4"/>
    <x v="2"/>
    <s v="MG Advanced"/>
    <s v="Umbrella Corporation"/>
    <x v="0"/>
    <d v="2017-10-05T00:00:00"/>
    <x v="268"/>
    <n v="3285"/>
  </r>
  <r>
    <x v="7283"/>
    <x v="11"/>
    <x v="3"/>
    <x v="1"/>
    <s v="GTX Basic"/>
    <s v="Faxquote"/>
    <x v="2"/>
    <d v="2017-10-05T00:00:00"/>
    <x v="285"/>
    <n v="0"/>
  </r>
  <r>
    <x v="7284"/>
    <x v="17"/>
    <x v="5"/>
    <x v="2"/>
    <s v="MG Advanced"/>
    <s v="Umbrella Corporation"/>
    <x v="0"/>
    <d v="2017-10-05T00:00:00"/>
    <x v="285"/>
    <n v="3002"/>
  </r>
  <r>
    <x v="7285"/>
    <x v="12"/>
    <x v="0"/>
    <x v="0"/>
    <s v="GTX Basic"/>
    <s v="Betatech"/>
    <x v="2"/>
    <d v="2017-10-05T00:00:00"/>
    <x v="292"/>
    <n v="0"/>
  </r>
  <r>
    <x v="7286"/>
    <x v="12"/>
    <x v="0"/>
    <x v="0"/>
    <s v="MG Special"/>
    <s v="Conecom"/>
    <x v="0"/>
    <d v="2017-10-05T00:00:00"/>
    <x v="282"/>
    <n v="58"/>
  </r>
  <r>
    <x v="7287"/>
    <x v="4"/>
    <x v="3"/>
    <x v="1"/>
    <s v="MG Special"/>
    <s v="Zoomit"/>
    <x v="2"/>
    <d v="2017-10-05T00:00:00"/>
    <x v="284"/>
    <n v="0"/>
  </r>
  <r>
    <x v="7288"/>
    <x v="4"/>
    <x v="3"/>
    <x v="1"/>
    <s v="MG Advanced"/>
    <s v="Doncon"/>
    <x v="0"/>
    <d v="2017-10-05T00:00:00"/>
    <x v="284"/>
    <n v="3435"/>
  </r>
  <r>
    <x v="7289"/>
    <x v="2"/>
    <x v="2"/>
    <x v="1"/>
    <s v="MG Special"/>
    <s v="Xx-holding"/>
    <x v="2"/>
    <d v="2017-10-05T00:00:00"/>
    <x v="282"/>
    <n v="0"/>
  </r>
  <r>
    <x v="7290"/>
    <x v="3"/>
    <x v="0"/>
    <x v="0"/>
    <s v="MG Special"/>
    <s v="Funholding"/>
    <x v="2"/>
    <d v="2017-10-06T00:00:00"/>
    <x v="253"/>
    <n v="0"/>
  </r>
  <r>
    <x v="7291"/>
    <x v="3"/>
    <x v="0"/>
    <x v="0"/>
    <s v="MG Advanced"/>
    <s v="Ron-tech"/>
    <x v="2"/>
    <d v="2017-10-06T00:00:00"/>
    <x v="284"/>
    <n v="0"/>
  </r>
  <r>
    <x v="7292"/>
    <x v="25"/>
    <x v="4"/>
    <x v="2"/>
    <s v="GTX Basic"/>
    <s v="Konex"/>
    <x v="0"/>
    <d v="2017-10-06T00:00:00"/>
    <x v="247"/>
    <n v="492"/>
  </r>
  <r>
    <x v="7293"/>
    <x v="25"/>
    <x v="4"/>
    <x v="2"/>
    <s v="GTXPro"/>
    <s v="Xx-zobam"/>
    <x v="0"/>
    <d v="2017-10-06T00:00:00"/>
    <x v="282"/>
    <n v="4401"/>
  </r>
  <r>
    <x v="7294"/>
    <x v="23"/>
    <x v="4"/>
    <x v="2"/>
    <s v="MG Special"/>
    <s v="Zathunicon"/>
    <x v="0"/>
    <d v="2017-10-06T00:00:00"/>
    <x v="274"/>
    <n v="50"/>
  </r>
  <r>
    <x v="7295"/>
    <x v="23"/>
    <x v="4"/>
    <x v="2"/>
    <s v="MG Advanced"/>
    <s v="Bubba Gump"/>
    <x v="0"/>
    <d v="2017-10-06T00:00:00"/>
    <x v="231"/>
    <n v="3333"/>
  </r>
  <r>
    <x v="7296"/>
    <x v="27"/>
    <x v="5"/>
    <x v="2"/>
    <s v="GTX Plus Basic"/>
    <s v="Donware"/>
    <x v="0"/>
    <d v="2017-10-06T00:00:00"/>
    <x v="292"/>
    <n v="1095"/>
  </r>
  <r>
    <x v="7297"/>
    <x v="13"/>
    <x v="4"/>
    <x v="2"/>
    <s v="MG Advanced"/>
    <m/>
    <x v="1"/>
    <d v="2017-10-06T00:00:00"/>
    <x v="6"/>
    <m/>
  </r>
  <r>
    <x v="7298"/>
    <x v="1"/>
    <x v="1"/>
    <x v="0"/>
    <s v="GTX Plus Pro"/>
    <s v="dambase"/>
    <x v="0"/>
    <d v="2017-10-06T00:00:00"/>
    <x v="241"/>
    <n v="5595"/>
  </r>
  <r>
    <x v="7299"/>
    <x v="1"/>
    <x v="1"/>
    <x v="0"/>
    <s v="GTXPro"/>
    <s v="Finhigh"/>
    <x v="0"/>
    <d v="2017-10-06T00:00:00"/>
    <x v="284"/>
    <n v="4461"/>
  </r>
  <r>
    <x v="7300"/>
    <x v="26"/>
    <x v="4"/>
    <x v="2"/>
    <s v="GTX Plus Basic"/>
    <s v="Yearin"/>
    <x v="2"/>
    <d v="2017-10-06T00:00:00"/>
    <x v="292"/>
    <n v="0"/>
  </r>
  <r>
    <x v="7301"/>
    <x v="14"/>
    <x v="3"/>
    <x v="1"/>
    <s v="MG Special"/>
    <m/>
    <x v="1"/>
    <d v="2017-10-06T00:00:00"/>
    <x v="6"/>
    <m/>
  </r>
  <r>
    <x v="7302"/>
    <x v="8"/>
    <x v="1"/>
    <x v="0"/>
    <s v="GTX Basic"/>
    <s v="Streethex"/>
    <x v="0"/>
    <d v="2017-10-06T00:00:00"/>
    <x v="228"/>
    <n v="415"/>
  </r>
  <r>
    <x v="7303"/>
    <x v="8"/>
    <x v="1"/>
    <x v="0"/>
    <s v="MG Advanced"/>
    <s v="Stanredtax"/>
    <x v="0"/>
    <d v="2017-10-06T00:00:00"/>
    <x v="284"/>
    <n v="3212"/>
  </r>
  <r>
    <x v="7304"/>
    <x v="7"/>
    <x v="2"/>
    <x v="1"/>
    <s v="GTX Basic"/>
    <s v="Groovestreet"/>
    <x v="0"/>
    <d v="2017-10-06T00:00:00"/>
    <x v="271"/>
    <n v="457"/>
  </r>
  <r>
    <x v="7305"/>
    <x v="29"/>
    <x v="1"/>
    <x v="0"/>
    <s v="GTX Plus Basic"/>
    <s v="Condax"/>
    <x v="2"/>
    <d v="2017-10-06T00:00:00"/>
    <x v="293"/>
    <n v="0"/>
  </r>
  <r>
    <x v="7306"/>
    <x v="29"/>
    <x v="1"/>
    <x v="0"/>
    <s v="GTX Basic"/>
    <s v="Codehow"/>
    <x v="0"/>
    <d v="2017-10-06T00:00:00"/>
    <x v="271"/>
    <n v="546"/>
  </r>
  <r>
    <x v="7307"/>
    <x v="24"/>
    <x v="0"/>
    <x v="0"/>
    <s v="GTX Plus Basic"/>
    <s v="Statholdings"/>
    <x v="2"/>
    <d v="2017-10-06T00:00:00"/>
    <x v="287"/>
    <n v="0"/>
  </r>
  <r>
    <x v="7308"/>
    <x v="24"/>
    <x v="0"/>
    <x v="0"/>
    <s v="GTX Basic"/>
    <s v="Globex Corporation"/>
    <x v="0"/>
    <d v="2017-10-06T00:00:00"/>
    <x v="261"/>
    <n v="453"/>
  </r>
  <r>
    <x v="7309"/>
    <x v="5"/>
    <x v="3"/>
    <x v="1"/>
    <s v="GTXPro"/>
    <s v="Hatfan"/>
    <x v="2"/>
    <d v="2017-10-06T00:00:00"/>
    <x v="290"/>
    <n v="0"/>
  </r>
  <r>
    <x v="7310"/>
    <x v="0"/>
    <x v="0"/>
    <x v="0"/>
    <s v="GTX Basic"/>
    <s v="dambase"/>
    <x v="0"/>
    <d v="2017-10-06T00:00:00"/>
    <x v="282"/>
    <n v="510"/>
  </r>
  <r>
    <x v="7311"/>
    <x v="0"/>
    <x v="0"/>
    <x v="0"/>
    <s v="GTX Basic"/>
    <s v="Gogozoom"/>
    <x v="0"/>
    <d v="2017-10-06T00:00:00"/>
    <x v="289"/>
    <n v="552"/>
  </r>
  <r>
    <x v="7312"/>
    <x v="19"/>
    <x v="4"/>
    <x v="2"/>
    <s v="MG Advanced"/>
    <s v="Zencorporation"/>
    <x v="0"/>
    <d v="2017-10-06T00:00:00"/>
    <x v="282"/>
    <n v="3203"/>
  </r>
  <r>
    <x v="7313"/>
    <x v="17"/>
    <x v="5"/>
    <x v="2"/>
    <s v="GTX Plus Pro"/>
    <s v="The New York Inquirer"/>
    <x v="0"/>
    <d v="2017-10-06T00:00:00"/>
    <x v="289"/>
    <n v="6228"/>
  </r>
  <r>
    <x v="7314"/>
    <x v="12"/>
    <x v="0"/>
    <x v="0"/>
    <s v="MG Special"/>
    <s v="dambase"/>
    <x v="0"/>
    <d v="2017-10-06T00:00:00"/>
    <x v="285"/>
    <n v="59"/>
  </r>
  <r>
    <x v="7315"/>
    <x v="20"/>
    <x v="5"/>
    <x v="2"/>
    <s v="GTXPro"/>
    <s v="Mathtouch"/>
    <x v="2"/>
    <d v="2017-10-06T00:00:00"/>
    <x v="284"/>
    <n v="0"/>
  </r>
  <r>
    <x v="7316"/>
    <x v="2"/>
    <x v="2"/>
    <x v="1"/>
    <s v="GTX Plus Basic"/>
    <s v="Condax"/>
    <x v="0"/>
    <d v="2017-10-06T00:00:00"/>
    <x v="269"/>
    <n v="1129"/>
  </r>
  <r>
    <x v="7317"/>
    <x v="3"/>
    <x v="0"/>
    <x v="0"/>
    <s v="GTX Plus Pro"/>
    <s v="Streethex"/>
    <x v="0"/>
    <d v="2017-10-07T00:00:00"/>
    <x v="288"/>
    <n v="5349"/>
  </r>
  <r>
    <x v="7318"/>
    <x v="25"/>
    <x v="4"/>
    <x v="2"/>
    <s v="GTX Plus Basic"/>
    <s v="Umbrella Corporation"/>
    <x v="0"/>
    <d v="2017-10-07T00:00:00"/>
    <x v="232"/>
    <n v="1148"/>
  </r>
  <r>
    <x v="7319"/>
    <x v="23"/>
    <x v="4"/>
    <x v="2"/>
    <s v="GTX Basic"/>
    <s v="Zotware"/>
    <x v="2"/>
    <d v="2017-10-07T00:00:00"/>
    <x v="284"/>
    <n v="0"/>
  </r>
  <r>
    <x v="7320"/>
    <x v="28"/>
    <x v="0"/>
    <x v="0"/>
    <s v="MG Special"/>
    <s v="Toughzap"/>
    <x v="0"/>
    <d v="2017-10-07T00:00:00"/>
    <x v="294"/>
    <n v="52"/>
  </r>
  <r>
    <x v="7321"/>
    <x v="28"/>
    <x v="0"/>
    <x v="0"/>
    <s v="MG Advanced"/>
    <s v="Finhigh"/>
    <x v="0"/>
    <d v="2017-10-07T00:00:00"/>
    <x v="270"/>
    <n v="3253"/>
  </r>
  <r>
    <x v="7322"/>
    <x v="13"/>
    <x v="4"/>
    <x v="2"/>
    <s v="GTX Plus Basic"/>
    <s v="Gekko &amp; Co"/>
    <x v="0"/>
    <d v="2017-10-07T00:00:00"/>
    <x v="217"/>
    <n v="1267"/>
  </r>
  <r>
    <x v="7323"/>
    <x v="13"/>
    <x v="4"/>
    <x v="2"/>
    <s v="GTX Plus Basic"/>
    <s v="Initech"/>
    <x v="0"/>
    <d v="2017-10-07T00:00:00"/>
    <x v="288"/>
    <n v="1096"/>
  </r>
  <r>
    <x v="7324"/>
    <x v="1"/>
    <x v="1"/>
    <x v="0"/>
    <s v="MG Advanced"/>
    <s v="Hottechi"/>
    <x v="2"/>
    <d v="2017-10-07T00:00:00"/>
    <x v="269"/>
    <n v="0"/>
  </r>
  <r>
    <x v="7325"/>
    <x v="1"/>
    <x v="1"/>
    <x v="0"/>
    <s v="MG Special"/>
    <s v="Genco Pura Olive Oil Company"/>
    <x v="0"/>
    <d v="2017-10-07T00:00:00"/>
    <x v="265"/>
    <n v="54"/>
  </r>
  <r>
    <x v="7326"/>
    <x v="10"/>
    <x v="3"/>
    <x v="1"/>
    <s v="MG Advanced"/>
    <s v="Green-Plus"/>
    <x v="0"/>
    <d v="2017-10-07T00:00:00"/>
    <x v="254"/>
    <n v="3293"/>
  </r>
  <r>
    <x v="7327"/>
    <x v="29"/>
    <x v="1"/>
    <x v="0"/>
    <s v="GTXPro"/>
    <s v="Rundofase"/>
    <x v="0"/>
    <d v="2017-10-07T00:00:00"/>
    <x v="255"/>
    <n v="4404"/>
  </r>
  <r>
    <x v="7328"/>
    <x v="29"/>
    <x v="1"/>
    <x v="0"/>
    <s v="GTXPro"/>
    <s v="Zumgoity"/>
    <x v="0"/>
    <d v="2017-10-07T00:00:00"/>
    <x v="283"/>
    <n v="5212"/>
  </r>
  <r>
    <x v="7329"/>
    <x v="16"/>
    <x v="2"/>
    <x v="1"/>
    <s v="GTX Basic"/>
    <s v="Plexzap"/>
    <x v="2"/>
    <d v="2017-10-07T00:00:00"/>
    <x v="256"/>
    <n v="0"/>
  </r>
  <r>
    <x v="7330"/>
    <x v="18"/>
    <x v="2"/>
    <x v="1"/>
    <s v="GTX Basic"/>
    <s v="Dalttechnology"/>
    <x v="0"/>
    <d v="2017-10-07T00:00:00"/>
    <x v="250"/>
    <n v="488"/>
  </r>
  <r>
    <x v="7331"/>
    <x v="24"/>
    <x v="0"/>
    <x v="0"/>
    <s v="GTX Basic"/>
    <s v="Globex Corporation"/>
    <x v="0"/>
    <d v="2017-10-07T00:00:00"/>
    <x v="288"/>
    <n v="594"/>
  </r>
  <r>
    <x v="7332"/>
    <x v="5"/>
    <x v="3"/>
    <x v="1"/>
    <s v="GTX Basic"/>
    <s v="Singletechno"/>
    <x v="0"/>
    <d v="2017-10-07T00:00:00"/>
    <x v="265"/>
    <n v="464"/>
  </r>
  <r>
    <x v="7333"/>
    <x v="5"/>
    <x v="3"/>
    <x v="1"/>
    <s v="MG Special"/>
    <s v="Cheers"/>
    <x v="0"/>
    <d v="2017-10-07T00:00:00"/>
    <x v="254"/>
    <n v="53"/>
  </r>
  <r>
    <x v="7334"/>
    <x v="22"/>
    <x v="1"/>
    <x v="0"/>
    <s v="GTX Plus Basic"/>
    <s v="Finhigh"/>
    <x v="2"/>
    <d v="2017-10-07T00:00:00"/>
    <x v="290"/>
    <n v="0"/>
  </r>
  <r>
    <x v="7335"/>
    <x v="22"/>
    <x v="1"/>
    <x v="0"/>
    <s v="GTX Basic"/>
    <s v="Streethex"/>
    <x v="0"/>
    <d v="2017-10-07T00:00:00"/>
    <x v="284"/>
    <n v="661"/>
  </r>
  <r>
    <x v="7336"/>
    <x v="22"/>
    <x v="1"/>
    <x v="0"/>
    <s v="GTX Plus Basic"/>
    <s v="Genco Pura Olive Oil Company"/>
    <x v="0"/>
    <d v="2017-10-07T00:00:00"/>
    <x v="289"/>
    <n v="1240"/>
  </r>
  <r>
    <x v="7337"/>
    <x v="22"/>
    <x v="1"/>
    <x v="0"/>
    <s v="MG Advanced"/>
    <s v="Isdom"/>
    <x v="0"/>
    <d v="2017-10-07T00:00:00"/>
    <x v="245"/>
    <n v="2763"/>
  </r>
  <r>
    <x v="7338"/>
    <x v="9"/>
    <x v="2"/>
    <x v="1"/>
    <s v="GTX Basic"/>
    <s v="Condax"/>
    <x v="0"/>
    <d v="2017-10-07T00:00:00"/>
    <x v="252"/>
    <n v="610"/>
  </r>
  <r>
    <x v="7339"/>
    <x v="9"/>
    <x v="2"/>
    <x v="1"/>
    <s v="MG Special"/>
    <s v="Hatfan"/>
    <x v="0"/>
    <d v="2017-10-07T00:00:00"/>
    <x v="247"/>
    <n v="59"/>
  </r>
  <r>
    <x v="7340"/>
    <x v="0"/>
    <x v="0"/>
    <x v="0"/>
    <s v="GTX Basic"/>
    <s v="Rangreen"/>
    <x v="0"/>
    <d v="2017-10-07T00:00:00"/>
    <x v="294"/>
    <n v="577"/>
  </r>
  <r>
    <x v="7341"/>
    <x v="11"/>
    <x v="3"/>
    <x v="1"/>
    <s v="MG Special"/>
    <s v="Kan-code"/>
    <x v="2"/>
    <d v="2017-10-07T00:00:00"/>
    <x v="290"/>
    <n v="0"/>
  </r>
  <r>
    <x v="7342"/>
    <x v="4"/>
    <x v="3"/>
    <x v="1"/>
    <s v="GTX Plus Basic"/>
    <s v="Finjob"/>
    <x v="0"/>
    <d v="2017-10-07T00:00:00"/>
    <x v="283"/>
    <n v="1139"/>
  </r>
  <r>
    <x v="7343"/>
    <x v="3"/>
    <x v="0"/>
    <x v="0"/>
    <s v="GTX Plus Pro"/>
    <s v="Treequote"/>
    <x v="0"/>
    <d v="2017-10-08T00:00:00"/>
    <x v="265"/>
    <n v="6038"/>
  </r>
  <r>
    <x v="7344"/>
    <x v="25"/>
    <x v="4"/>
    <x v="2"/>
    <s v="GTXPro"/>
    <s v="Umbrella Corporation"/>
    <x v="0"/>
    <d v="2017-10-08T00:00:00"/>
    <x v="289"/>
    <n v="4605"/>
  </r>
  <r>
    <x v="7345"/>
    <x v="25"/>
    <x v="4"/>
    <x v="2"/>
    <s v="MG Advanced"/>
    <s v="Konex"/>
    <x v="0"/>
    <d v="2017-10-08T00:00:00"/>
    <x v="235"/>
    <n v="3264"/>
  </r>
  <r>
    <x v="7346"/>
    <x v="23"/>
    <x v="4"/>
    <x v="2"/>
    <s v="MG Advanced"/>
    <s v="Betasoloin"/>
    <x v="0"/>
    <d v="2017-10-08T00:00:00"/>
    <x v="293"/>
    <n v="3472"/>
  </r>
  <r>
    <x v="7347"/>
    <x v="28"/>
    <x v="0"/>
    <x v="0"/>
    <s v="GTX Plus Basic"/>
    <s v="Rangreen"/>
    <x v="0"/>
    <d v="2017-10-08T00:00:00"/>
    <x v="290"/>
    <n v="1186"/>
  </r>
  <r>
    <x v="7348"/>
    <x v="27"/>
    <x v="5"/>
    <x v="2"/>
    <s v="GTX Basic"/>
    <s v="Zotware"/>
    <x v="2"/>
    <d v="2017-10-08T00:00:00"/>
    <x v="292"/>
    <n v="0"/>
  </r>
  <r>
    <x v="7349"/>
    <x v="13"/>
    <x v="4"/>
    <x v="2"/>
    <s v="GTXPro"/>
    <s v="Sumace"/>
    <x v="0"/>
    <d v="2017-10-08T00:00:00"/>
    <x v="247"/>
    <n v="4964"/>
  </r>
  <r>
    <x v="7350"/>
    <x v="1"/>
    <x v="1"/>
    <x v="0"/>
    <s v="MG Special"/>
    <s v="Domzoom"/>
    <x v="2"/>
    <d v="2017-10-08T00:00:00"/>
    <x v="286"/>
    <n v="0"/>
  </r>
  <r>
    <x v="7351"/>
    <x v="26"/>
    <x v="4"/>
    <x v="2"/>
    <s v="GTX Plus Basic"/>
    <s v="Massive Dynamic"/>
    <x v="2"/>
    <d v="2017-10-08T00:00:00"/>
    <x v="235"/>
    <n v="0"/>
  </r>
  <r>
    <x v="7352"/>
    <x v="21"/>
    <x v="5"/>
    <x v="2"/>
    <s v="MG Advanced"/>
    <s v="Vehement Capital Partners"/>
    <x v="0"/>
    <d v="2017-10-08T00:00:00"/>
    <x v="295"/>
    <n v="2812"/>
  </r>
  <r>
    <x v="7353"/>
    <x v="8"/>
    <x v="1"/>
    <x v="0"/>
    <s v="GTX Plus Basic"/>
    <s v="Globex Corporation"/>
    <x v="2"/>
    <d v="2017-10-08T00:00:00"/>
    <x v="289"/>
    <n v="0"/>
  </r>
  <r>
    <x v="7354"/>
    <x v="8"/>
    <x v="1"/>
    <x v="0"/>
    <s v="GTXPro"/>
    <s v="Toughzap"/>
    <x v="2"/>
    <d v="2017-10-08T00:00:00"/>
    <x v="283"/>
    <n v="0"/>
  </r>
  <r>
    <x v="7355"/>
    <x v="10"/>
    <x v="3"/>
    <x v="1"/>
    <s v="MG Advanced"/>
    <s v="Blackzim"/>
    <x v="0"/>
    <d v="2017-10-08T00:00:00"/>
    <x v="255"/>
    <n v="3517"/>
  </r>
  <r>
    <x v="7356"/>
    <x v="29"/>
    <x v="1"/>
    <x v="0"/>
    <s v="GTXPro"/>
    <s v="dambase"/>
    <x v="2"/>
    <d v="2017-10-08T00:00:00"/>
    <x v="274"/>
    <n v="0"/>
  </r>
  <r>
    <x v="7357"/>
    <x v="16"/>
    <x v="2"/>
    <x v="1"/>
    <s v="GTX Plus Basic"/>
    <m/>
    <x v="1"/>
    <d v="2017-10-08T00:00:00"/>
    <x v="6"/>
    <m/>
  </r>
  <r>
    <x v="7358"/>
    <x v="16"/>
    <x v="2"/>
    <x v="1"/>
    <s v="GTX Basic"/>
    <s v="Sunnamplex"/>
    <x v="2"/>
    <d v="2017-10-08T00:00:00"/>
    <x v="283"/>
    <n v="0"/>
  </r>
  <r>
    <x v="7359"/>
    <x v="16"/>
    <x v="2"/>
    <x v="1"/>
    <s v="GTX Basic"/>
    <s v="Xx-holding"/>
    <x v="0"/>
    <d v="2017-10-08T00:00:00"/>
    <x v="286"/>
    <n v="608"/>
  </r>
  <r>
    <x v="7360"/>
    <x v="18"/>
    <x v="2"/>
    <x v="1"/>
    <s v="GTX Plus Pro"/>
    <s v="Fasehatice"/>
    <x v="0"/>
    <d v="2017-10-08T00:00:00"/>
    <x v="292"/>
    <n v="4989"/>
  </r>
  <r>
    <x v="7361"/>
    <x v="18"/>
    <x v="2"/>
    <x v="1"/>
    <s v="GTXPro"/>
    <s v="Newex"/>
    <x v="0"/>
    <d v="2017-10-08T00:00:00"/>
    <x v="230"/>
    <n v="4780"/>
  </r>
  <r>
    <x v="7362"/>
    <x v="5"/>
    <x v="3"/>
    <x v="1"/>
    <s v="MG Special"/>
    <m/>
    <x v="1"/>
    <d v="2017-10-08T00:00:00"/>
    <x v="6"/>
    <m/>
  </r>
  <r>
    <x v="7363"/>
    <x v="5"/>
    <x v="3"/>
    <x v="1"/>
    <s v="GTX Plus Basic"/>
    <s v="Blackzim"/>
    <x v="2"/>
    <d v="2017-10-08T00:00:00"/>
    <x v="286"/>
    <n v="0"/>
  </r>
  <r>
    <x v="7364"/>
    <x v="5"/>
    <x v="3"/>
    <x v="1"/>
    <s v="MG Special"/>
    <s v="Labdrill"/>
    <x v="2"/>
    <d v="2017-10-08T00:00:00"/>
    <x v="289"/>
    <n v="0"/>
  </r>
  <r>
    <x v="7365"/>
    <x v="11"/>
    <x v="3"/>
    <x v="1"/>
    <s v="MG Special"/>
    <s v="Zoomit"/>
    <x v="2"/>
    <d v="2017-10-08T00:00:00"/>
    <x v="295"/>
    <n v="0"/>
  </r>
  <r>
    <x v="7366"/>
    <x v="4"/>
    <x v="3"/>
    <x v="1"/>
    <s v="MG Advanced"/>
    <s v="Newex"/>
    <x v="0"/>
    <d v="2017-10-08T00:00:00"/>
    <x v="283"/>
    <n v="3023"/>
  </r>
  <r>
    <x v="7367"/>
    <x v="2"/>
    <x v="2"/>
    <x v="1"/>
    <s v="MG Special"/>
    <m/>
    <x v="1"/>
    <d v="2017-10-08T00:00:00"/>
    <x v="6"/>
    <m/>
  </r>
  <r>
    <x v="7368"/>
    <x v="3"/>
    <x v="0"/>
    <x v="0"/>
    <s v="GTX Plus Pro"/>
    <s v="Conecom"/>
    <x v="2"/>
    <d v="2017-10-09T00:00:00"/>
    <x v="293"/>
    <n v="0"/>
  </r>
  <r>
    <x v="7369"/>
    <x v="3"/>
    <x v="0"/>
    <x v="0"/>
    <s v="MG Advanced"/>
    <s v="Ron-tech"/>
    <x v="0"/>
    <d v="2017-10-09T00:00:00"/>
    <x v="295"/>
    <n v="3100"/>
  </r>
  <r>
    <x v="7370"/>
    <x v="25"/>
    <x v="4"/>
    <x v="2"/>
    <s v="GTX Plus Pro"/>
    <s v="Donquadtech"/>
    <x v="0"/>
    <d v="2017-10-09T00:00:00"/>
    <x v="265"/>
    <n v="6406"/>
  </r>
  <r>
    <x v="7371"/>
    <x v="27"/>
    <x v="5"/>
    <x v="2"/>
    <s v="GTX Plus Pro"/>
    <s v="Kinnamplus"/>
    <x v="0"/>
    <d v="2017-10-09T00:00:00"/>
    <x v="290"/>
    <n v="5711"/>
  </r>
  <r>
    <x v="7372"/>
    <x v="13"/>
    <x v="4"/>
    <x v="2"/>
    <s v="GTXPro"/>
    <m/>
    <x v="1"/>
    <d v="2017-10-09T00:00:00"/>
    <x v="6"/>
    <m/>
  </r>
  <r>
    <x v="7373"/>
    <x v="13"/>
    <x v="4"/>
    <x v="2"/>
    <s v="MG Special"/>
    <s v="Ontomedia"/>
    <x v="0"/>
    <d v="2017-10-09T00:00:00"/>
    <x v="291"/>
    <n v="58"/>
  </r>
  <r>
    <x v="7374"/>
    <x v="1"/>
    <x v="1"/>
    <x v="0"/>
    <s v="GTXPro"/>
    <s v="Statholdings"/>
    <x v="2"/>
    <d v="2017-10-09T00:00:00"/>
    <x v="286"/>
    <n v="0"/>
  </r>
  <r>
    <x v="7375"/>
    <x v="21"/>
    <x v="5"/>
    <x v="2"/>
    <s v="GTX Basic"/>
    <s v="Zotware"/>
    <x v="0"/>
    <d v="2017-10-09T00:00:00"/>
    <x v="286"/>
    <n v="552"/>
  </r>
  <r>
    <x v="7376"/>
    <x v="21"/>
    <x v="5"/>
    <x v="2"/>
    <s v="MG Advanced"/>
    <s v="The New York Inquirer"/>
    <x v="0"/>
    <d v="2017-10-09T00:00:00"/>
    <x v="295"/>
    <n v="3215"/>
  </r>
  <r>
    <x v="7377"/>
    <x v="8"/>
    <x v="1"/>
    <x v="0"/>
    <s v="GTX Basic"/>
    <s v="Konmatfix"/>
    <x v="2"/>
    <d v="2017-10-09T00:00:00"/>
    <x v="237"/>
    <n v="0"/>
  </r>
  <r>
    <x v="7378"/>
    <x v="7"/>
    <x v="2"/>
    <x v="1"/>
    <s v="GTX Plus Basic"/>
    <s v="Finjob"/>
    <x v="0"/>
    <d v="2017-10-09T00:00:00"/>
    <x v="230"/>
    <n v="1112"/>
  </r>
  <r>
    <x v="7379"/>
    <x v="29"/>
    <x v="1"/>
    <x v="0"/>
    <s v="GTX Basic"/>
    <s v="Stanredtax"/>
    <x v="2"/>
    <d v="2017-10-09T00:00:00"/>
    <x v="296"/>
    <n v="0"/>
  </r>
  <r>
    <x v="7380"/>
    <x v="29"/>
    <x v="1"/>
    <x v="0"/>
    <s v="GTX Plus Basic"/>
    <s v="Warephase"/>
    <x v="0"/>
    <d v="2017-10-09T00:00:00"/>
    <x v="256"/>
    <n v="1190"/>
  </r>
  <r>
    <x v="7381"/>
    <x v="16"/>
    <x v="2"/>
    <x v="1"/>
    <s v="GTX Basic"/>
    <s v="Finjob"/>
    <x v="0"/>
    <d v="2017-10-09T00:00:00"/>
    <x v="255"/>
    <n v="446"/>
  </r>
  <r>
    <x v="7382"/>
    <x v="16"/>
    <x v="2"/>
    <x v="1"/>
    <s v="GTX Basic"/>
    <s v="Konex"/>
    <x v="0"/>
    <d v="2017-10-09T00:00:00"/>
    <x v="286"/>
    <n v="565"/>
  </r>
  <r>
    <x v="7383"/>
    <x v="18"/>
    <x v="2"/>
    <x v="1"/>
    <s v="GTX Basic"/>
    <s v="Singletechno"/>
    <x v="2"/>
    <d v="2017-10-09T00:00:00"/>
    <x v="291"/>
    <n v="0"/>
  </r>
  <r>
    <x v="7384"/>
    <x v="5"/>
    <x v="3"/>
    <x v="1"/>
    <s v="MG Special"/>
    <m/>
    <x v="1"/>
    <d v="2017-10-09T00:00:00"/>
    <x v="6"/>
    <m/>
  </r>
  <r>
    <x v="7385"/>
    <x v="5"/>
    <x v="3"/>
    <x v="1"/>
    <s v="GTXPro"/>
    <s v="Singletechno"/>
    <x v="0"/>
    <d v="2017-10-09T00:00:00"/>
    <x v="267"/>
    <n v="4753"/>
  </r>
  <r>
    <x v="7386"/>
    <x v="22"/>
    <x v="1"/>
    <x v="0"/>
    <s v="GTX Plus Basic"/>
    <s v="Genco Pura Olive Oil Company"/>
    <x v="2"/>
    <d v="2017-10-09T00:00:00"/>
    <x v="262"/>
    <n v="0"/>
  </r>
  <r>
    <x v="7387"/>
    <x v="9"/>
    <x v="2"/>
    <x v="1"/>
    <s v="GTX Basic"/>
    <s v="Sunnamplex"/>
    <x v="2"/>
    <d v="2017-10-09T00:00:00"/>
    <x v="294"/>
    <n v="0"/>
  </r>
  <r>
    <x v="7388"/>
    <x v="6"/>
    <x v="1"/>
    <x v="0"/>
    <s v="GTX Basic"/>
    <s v="Statholdings"/>
    <x v="2"/>
    <d v="2017-10-09T00:00:00"/>
    <x v="296"/>
    <n v="0"/>
  </r>
  <r>
    <x v="7389"/>
    <x v="6"/>
    <x v="1"/>
    <x v="0"/>
    <s v="GTX Plus Basic"/>
    <s v="Stanredtax"/>
    <x v="0"/>
    <d v="2017-10-09T00:00:00"/>
    <x v="286"/>
    <n v="1129"/>
  </r>
  <r>
    <x v="7390"/>
    <x v="11"/>
    <x v="3"/>
    <x v="1"/>
    <s v="MG Special"/>
    <s v="Sunnamplex"/>
    <x v="0"/>
    <d v="2017-10-09T00:00:00"/>
    <x v="286"/>
    <n v="56"/>
  </r>
  <r>
    <x v="7391"/>
    <x v="11"/>
    <x v="3"/>
    <x v="1"/>
    <s v="MG Advanced"/>
    <s v="Singletechno"/>
    <x v="0"/>
    <d v="2017-10-09T00:00:00"/>
    <x v="285"/>
    <n v="3435"/>
  </r>
  <r>
    <x v="7392"/>
    <x v="12"/>
    <x v="0"/>
    <x v="0"/>
    <s v="MG Advanced"/>
    <s v="Rangreen"/>
    <x v="0"/>
    <d v="2017-10-09T00:00:00"/>
    <x v="289"/>
    <n v="3860"/>
  </r>
  <r>
    <x v="7393"/>
    <x v="15"/>
    <x v="5"/>
    <x v="2"/>
    <s v="MG Special"/>
    <s v="Yearin"/>
    <x v="2"/>
    <d v="2017-10-09T00:00:00"/>
    <x v="269"/>
    <n v="0"/>
  </r>
  <r>
    <x v="7394"/>
    <x v="2"/>
    <x v="2"/>
    <x v="1"/>
    <s v="GTX Basic"/>
    <s v="Hottechi"/>
    <x v="2"/>
    <d v="2017-10-09T00:00:00"/>
    <x v="293"/>
    <n v="0"/>
  </r>
  <r>
    <x v="7395"/>
    <x v="2"/>
    <x v="2"/>
    <x v="1"/>
    <s v="MG Advanced"/>
    <s v="Condax"/>
    <x v="2"/>
    <d v="2017-10-09T00:00:00"/>
    <x v="285"/>
    <n v="0"/>
  </r>
  <r>
    <x v="7396"/>
    <x v="2"/>
    <x v="2"/>
    <x v="1"/>
    <s v="GTX Basic"/>
    <s v="Y-corporation"/>
    <x v="0"/>
    <d v="2017-10-09T00:00:00"/>
    <x v="268"/>
    <n v="482"/>
  </r>
  <r>
    <x v="7397"/>
    <x v="3"/>
    <x v="0"/>
    <x v="0"/>
    <s v="MG Special"/>
    <s v="Codehow"/>
    <x v="2"/>
    <d v="2017-10-10T00:00:00"/>
    <x v="294"/>
    <n v="0"/>
  </r>
  <r>
    <x v="7398"/>
    <x v="3"/>
    <x v="0"/>
    <x v="0"/>
    <s v="GTX Plus Basic"/>
    <s v="Gogozoom"/>
    <x v="0"/>
    <d v="2017-10-10T00:00:00"/>
    <x v="285"/>
    <n v="1166"/>
  </r>
  <r>
    <x v="7399"/>
    <x v="25"/>
    <x v="4"/>
    <x v="2"/>
    <s v="MG Special"/>
    <s v="Kinnamplus"/>
    <x v="2"/>
    <d v="2017-10-10T00:00:00"/>
    <x v="291"/>
    <n v="0"/>
  </r>
  <r>
    <x v="7400"/>
    <x v="27"/>
    <x v="5"/>
    <x v="2"/>
    <s v="GTX Plus Basic"/>
    <s v="Kan-code"/>
    <x v="2"/>
    <d v="2017-10-10T00:00:00"/>
    <x v="290"/>
    <n v="0"/>
  </r>
  <r>
    <x v="7401"/>
    <x v="13"/>
    <x v="4"/>
    <x v="2"/>
    <s v="GTX Plus Basic"/>
    <s v="Yearin"/>
    <x v="2"/>
    <d v="2017-10-10T00:00:00"/>
    <x v="220"/>
    <n v="0"/>
  </r>
  <r>
    <x v="7402"/>
    <x v="13"/>
    <x v="4"/>
    <x v="2"/>
    <s v="GTXPro"/>
    <s v="Zencorporation"/>
    <x v="0"/>
    <d v="2017-10-10T00:00:00"/>
    <x v="248"/>
    <n v="5112"/>
  </r>
  <r>
    <x v="7403"/>
    <x v="1"/>
    <x v="1"/>
    <x v="0"/>
    <s v="GTX Plus Basic"/>
    <s v="Toughzap"/>
    <x v="2"/>
    <d v="2017-10-10T00:00:00"/>
    <x v="274"/>
    <n v="0"/>
  </r>
  <r>
    <x v="7404"/>
    <x v="1"/>
    <x v="1"/>
    <x v="0"/>
    <s v="GTXPro"/>
    <s v="Warephase"/>
    <x v="2"/>
    <d v="2017-10-10T00:00:00"/>
    <x v="289"/>
    <n v="0"/>
  </r>
  <r>
    <x v="7405"/>
    <x v="10"/>
    <x v="3"/>
    <x v="1"/>
    <s v="MG Advanced"/>
    <s v="Lexiqvolax"/>
    <x v="2"/>
    <d v="2017-10-10T00:00:00"/>
    <x v="290"/>
    <n v="0"/>
  </r>
  <r>
    <x v="7406"/>
    <x v="29"/>
    <x v="1"/>
    <x v="0"/>
    <s v="MG Advanced"/>
    <s v="Treequote"/>
    <x v="0"/>
    <d v="2017-10-10T00:00:00"/>
    <x v="295"/>
    <n v="3892"/>
  </r>
  <r>
    <x v="7407"/>
    <x v="16"/>
    <x v="2"/>
    <x v="1"/>
    <s v="GTX Basic"/>
    <s v="Dalttechnology"/>
    <x v="0"/>
    <d v="2017-10-10T00:00:00"/>
    <x v="285"/>
    <n v="473"/>
  </r>
  <r>
    <x v="7408"/>
    <x v="18"/>
    <x v="2"/>
    <x v="1"/>
    <s v="GTX Basic"/>
    <s v="Groovestreet"/>
    <x v="2"/>
    <d v="2017-10-10T00:00:00"/>
    <x v="289"/>
    <n v="0"/>
  </r>
  <r>
    <x v="7409"/>
    <x v="18"/>
    <x v="2"/>
    <x v="1"/>
    <s v="GTX Plus Basic"/>
    <s v="Scotfind"/>
    <x v="2"/>
    <d v="2017-10-10T00:00:00"/>
    <x v="285"/>
    <n v="0"/>
  </r>
  <r>
    <x v="7410"/>
    <x v="18"/>
    <x v="2"/>
    <x v="1"/>
    <s v="GTX Basic"/>
    <s v="Faxquote"/>
    <x v="0"/>
    <d v="2017-10-10T00:00:00"/>
    <x v="228"/>
    <n v="511"/>
  </r>
  <r>
    <x v="7411"/>
    <x v="18"/>
    <x v="2"/>
    <x v="1"/>
    <s v="GTX Basic"/>
    <s v="Hottechi"/>
    <x v="0"/>
    <d v="2017-10-10T00:00:00"/>
    <x v="287"/>
    <n v="509"/>
  </r>
  <r>
    <x v="7412"/>
    <x v="18"/>
    <x v="2"/>
    <x v="1"/>
    <s v="GTX Basic"/>
    <s v="Labdrill"/>
    <x v="0"/>
    <d v="2017-10-10T00:00:00"/>
    <x v="297"/>
    <n v="528"/>
  </r>
  <r>
    <x v="7413"/>
    <x v="18"/>
    <x v="2"/>
    <x v="1"/>
    <s v="GTX Basic"/>
    <s v="Sunnamplex"/>
    <x v="0"/>
    <d v="2017-10-10T00:00:00"/>
    <x v="289"/>
    <n v="549"/>
  </r>
  <r>
    <x v="7414"/>
    <x v="24"/>
    <x v="0"/>
    <x v="0"/>
    <s v="GTX Basic"/>
    <s v="Rundofase"/>
    <x v="2"/>
    <d v="2017-10-10T00:00:00"/>
    <x v="267"/>
    <n v="0"/>
  </r>
  <r>
    <x v="7415"/>
    <x v="24"/>
    <x v="0"/>
    <x v="0"/>
    <s v="MG Special"/>
    <s v="Gogozoom"/>
    <x v="2"/>
    <d v="2017-10-10T00:00:00"/>
    <x v="294"/>
    <n v="0"/>
  </r>
  <r>
    <x v="7416"/>
    <x v="22"/>
    <x v="1"/>
    <x v="0"/>
    <s v="GTX Basic"/>
    <s v="Scottech"/>
    <x v="2"/>
    <d v="2017-10-10T00:00:00"/>
    <x v="294"/>
    <n v="0"/>
  </r>
  <r>
    <x v="7417"/>
    <x v="22"/>
    <x v="1"/>
    <x v="0"/>
    <s v="MG Advanced"/>
    <s v="Globex Corporation"/>
    <x v="0"/>
    <d v="2017-10-10T00:00:00"/>
    <x v="293"/>
    <n v="3578"/>
  </r>
  <r>
    <x v="7418"/>
    <x v="0"/>
    <x v="0"/>
    <x v="0"/>
    <s v="GTX Basic"/>
    <s v="dambase"/>
    <x v="0"/>
    <d v="2017-10-10T00:00:00"/>
    <x v="272"/>
    <n v="523"/>
  </r>
  <r>
    <x v="7419"/>
    <x v="17"/>
    <x v="5"/>
    <x v="2"/>
    <s v="GTXPro"/>
    <s v="Zencorporation"/>
    <x v="0"/>
    <d v="2017-10-10T00:00:00"/>
    <x v="285"/>
    <n v="4575"/>
  </r>
  <r>
    <x v="7420"/>
    <x v="4"/>
    <x v="3"/>
    <x v="1"/>
    <s v="GTXPro"/>
    <s v="Plusstrip"/>
    <x v="0"/>
    <d v="2017-10-10T00:00:00"/>
    <x v="287"/>
    <n v="4552"/>
  </r>
  <r>
    <x v="7421"/>
    <x v="2"/>
    <x v="2"/>
    <x v="1"/>
    <s v="GTX Basic"/>
    <s v="Konex"/>
    <x v="2"/>
    <d v="2017-10-10T00:00:00"/>
    <x v="285"/>
    <n v="0"/>
  </r>
  <r>
    <x v="7422"/>
    <x v="2"/>
    <x v="2"/>
    <x v="1"/>
    <s v="GTX Basic"/>
    <s v="Blackzim"/>
    <x v="0"/>
    <d v="2017-10-10T00:00:00"/>
    <x v="269"/>
    <n v="551"/>
  </r>
  <r>
    <x v="7423"/>
    <x v="2"/>
    <x v="2"/>
    <x v="1"/>
    <s v="GTX Basic"/>
    <s v="Faxquote"/>
    <x v="0"/>
    <d v="2017-10-10T00:00:00"/>
    <x v="291"/>
    <n v="545"/>
  </r>
  <r>
    <x v="7424"/>
    <x v="2"/>
    <x v="2"/>
    <x v="1"/>
    <s v="GTX Plus Basic"/>
    <s v="Y-corporation"/>
    <x v="0"/>
    <d v="2017-10-10T00:00:00"/>
    <x v="290"/>
    <n v="1134"/>
  </r>
  <r>
    <x v="7425"/>
    <x v="3"/>
    <x v="0"/>
    <x v="0"/>
    <s v="MG Advanced"/>
    <s v="Statholdings"/>
    <x v="2"/>
    <d v="2017-10-11T00:00:00"/>
    <x v="288"/>
    <n v="0"/>
  </r>
  <r>
    <x v="7426"/>
    <x v="3"/>
    <x v="0"/>
    <x v="0"/>
    <s v="MG Advanced"/>
    <s v="Scottech"/>
    <x v="0"/>
    <d v="2017-10-11T00:00:00"/>
    <x v="292"/>
    <n v="3434"/>
  </r>
  <r>
    <x v="7427"/>
    <x v="25"/>
    <x v="4"/>
    <x v="2"/>
    <s v="GTX Basic"/>
    <s v="Condax"/>
    <x v="0"/>
    <d v="2017-10-11T00:00:00"/>
    <x v="275"/>
    <n v="505"/>
  </r>
  <r>
    <x v="7428"/>
    <x v="25"/>
    <x v="4"/>
    <x v="2"/>
    <s v="GTX Plus Basic"/>
    <s v="Ganjaflex"/>
    <x v="0"/>
    <d v="2017-10-11T00:00:00"/>
    <x v="296"/>
    <n v="1066"/>
  </r>
  <r>
    <x v="7429"/>
    <x v="23"/>
    <x v="4"/>
    <x v="2"/>
    <s v="GTX Basic"/>
    <s v="Zathunicon"/>
    <x v="0"/>
    <d v="2017-10-11T00:00:00"/>
    <x v="231"/>
    <n v="580"/>
  </r>
  <r>
    <x v="7430"/>
    <x v="27"/>
    <x v="5"/>
    <x v="2"/>
    <s v="GTXPro"/>
    <s v="Initech"/>
    <x v="0"/>
    <d v="2017-10-11T00:00:00"/>
    <x v="245"/>
    <n v="4501"/>
  </r>
  <r>
    <x v="7431"/>
    <x v="1"/>
    <x v="1"/>
    <x v="0"/>
    <s v="GTX Plus Basic"/>
    <s v="Globex Corporation"/>
    <x v="2"/>
    <d v="2017-10-11T00:00:00"/>
    <x v="294"/>
    <n v="0"/>
  </r>
  <r>
    <x v="7432"/>
    <x v="1"/>
    <x v="1"/>
    <x v="0"/>
    <s v="GTX Plus Pro"/>
    <s v="Rundofase"/>
    <x v="2"/>
    <d v="2017-10-11T00:00:00"/>
    <x v="288"/>
    <n v="0"/>
  </r>
  <r>
    <x v="7433"/>
    <x v="1"/>
    <x v="1"/>
    <x v="0"/>
    <s v="GTX Plus Pro"/>
    <s v="Treequote"/>
    <x v="0"/>
    <d v="2017-10-11T00:00:00"/>
    <x v="197"/>
    <n v="6182"/>
  </r>
  <r>
    <x v="7434"/>
    <x v="26"/>
    <x v="4"/>
    <x v="2"/>
    <s v="GTXPro"/>
    <s v="Bubba Gump"/>
    <x v="0"/>
    <d v="2017-10-11T00:00:00"/>
    <x v="287"/>
    <n v="4763"/>
  </r>
  <r>
    <x v="7435"/>
    <x v="26"/>
    <x v="4"/>
    <x v="2"/>
    <s v="MG Advanced"/>
    <s v="Gekko &amp; Co"/>
    <x v="0"/>
    <d v="2017-10-11T00:00:00"/>
    <x v="295"/>
    <n v="3024"/>
  </r>
  <r>
    <x v="7436"/>
    <x v="21"/>
    <x v="5"/>
    <x v="2"/>
    <s v="MG Special"/>
    <s v="Ganjaflex"/>
    <x v="2"/>
    <d v="2017-10-11T00:00:00"/>
    <x v="287"/>
    <n v="0"/>
  </r>
  <r>
    <x v="7437"/>
    <x v="7"/>
    <x v="2"/>
    <x v="1"/>
    <s v="GTX Basic"/>
    <s v="Green-Plus"/>
    <x v="2"/>
    <d v="2017-10-11T00:00:00"/>
    <x v="288"/>
    <n v="0"/>
  </r>
  <r>
    <x v="7438"/>
    <x v="7"/>
    <x v="2"/>
    <x v="1"/>
    <s v="GTX Plus Pro"/>
    <s v="Goodsilron"/>
    <x v="0"/>
    <d v="2017-10-11T00:00:00"/>
    <x v="294"/>
    <n v="6751"/>
  </r>
  <r>
    <x v="7439"/>
    <x v="7"/>
    <x v="2"/>
    <x v="1"/>
    <s v="MG Special"/>
    <s v="Goodsilron"/>
    <x v="0"/>
    <d v="2017-10-11T00:00:00"/>
    <x v="291"/>
    <n v="54"/>
  </r>
  <r>
    <x v="7440"/>
    <x v="29"/>
    <x v="1"/>
    <x v="0"/>
    <s v="GTX Basic"/>
    <s v="Stanredtax"/>
    <x v="0"/>
    <d v="2017-10-11T00:00:00"/>
    <x v="267"/>
    <n v="592"/>
  </r>
  <r>
    <x v="7441"/>
    <x v="29"/>
    <x v="1"/>
    <x v="0"/>
    <s v="GTX Plus Basic"/>
    <s v="Cancity"/>
    <x v="0"/>
    <d v="2017-10-11T00:00:00"/>
    <x v="297"/>
    <n v="969"/>
  </r>
  <r>
    <x v="7442"/>
    <x v="16"/>
    <x v="2"/>
    <x v="1"/>
    <s v="MG Special"/>
    <s v="Dalttechnology"/>
    <x v="0"/>
    <d v="2017-10-11T00:00:00"/>
    <x v="287"/>
    <n v="48"/>
  </r>
  <r>
    <x v="7443"/>
    <x v="18"/>
    <x v="2"/>
    <x v="1"/>
    <s v="GTX Basic"/>
    <s v="Konex"/>
    <x v="2"/>
    <d v="2017-10-11T00:00:00"/>
    <x v="288"/>
    <n v="0"/>
  </r>
  <r>
    <x v="7444"/>
    <x v="18"/>
    <x v="2"/>
    <x v="1"/>
    <s v="GTX Plus Basic"/>
    <s v="Labdrill"/>
    <x v="2"/>
    <d v="2017-10-11T00:00:00"/>
    <x v="269"/>
    <n v="0"/>
  </r>
  <r>
    <x v="7445"/>
    <x v="18"/>
    <x v="2"/>
    <x v="1"/>
    <s v="GTX Plus Pro"/>
    <s v="Hatfan"/>
    <x v="0"/>
    <d v="2017-10-11T00:00:00"/>
    <x v="296"/>
    <n v="6555"/>
  </r>
  <r>
    <x v="7446"/>
    <x v="24"/>
    <x v="0"/>
    <x v="0"/>
    <s v="MG Advanced"/>
    <s v="Treequote"/>
    <x v="2"/>
    <d v="2017-10-11T00:00:00"/>
    <x v="294"/>
    <n v="0"/>
  </r>
  <r>
    <x v="7447"/>
    <x v="5"/>
    <x v="3"/>
    <x v="1"/>
    <s v="MG Special"/>
    <m/>
    <x v="1"/>
    <d v="2017-10-11T00:00:00"/>
    <x v="6"/>
    <m/>
  </r>
  <r>
    <x v="7448"/>
    <x v="22"/>
    <x v="1"/>
    <x v="0"/>
    <s v="GTX Plus Pro"/>
    <s v="Bioholding"/>
    <x v="0"/>
    <d v="2017-10-11T00:00:00"/>
    <x v="273"/>
    <n v="5271"/>
  </r>
  <r>
    <x v="7449"/>
    <x v="11"/>
    <x v="3"/>
    <x v="1"/>
    <s v="MG Advanced"/>
    <s v="Zoomit"/>
    <x v="1"/>
    <d v="2017-10-11T00:00:00"/>
    <x v="6"/>
    <m/>
  </r>
  <r>
    <x v="7450"/>
    <x v="17"/>
    <x v="5"/>
    <x v="2"/>
    <s v="MG Special"/>
    <s v="Kan-code"/>
    <x v="2"/>
    <d v="2017-10-11T00:00:00"/>
    <x v="241"/>
    <n v="0"/>
  </r>
  <r>
    <x v="7451"/>
    <x v="17"/>
    <x v="5"/>
    <x v="2"/>
    <s v="GTX Basic"/>
    <s v="Yearin"/>
    <x v="0"/>
    <d v="2017-10-11T00:00:00"/>
    <x v="249"/>
    <n v="472"/>
  </r>
  <r>
    <x v="7452"/>
    <x v="12"/>
    <x v="0"/>
    <x v="0"/>
    <s v="GTX Plus Pro"/>
    <s v="Cancity"/>
    <x v="0"/>
    <d v="2017-10-11T00:00:00"/>
    <x v="246"/>
    <n v="5211"/>
  </r>
  <r>
    <x v="7453"/>
    <x v="4"/>
    <x v="3"/>
    <x v="1"/>
    <s v="GTX Basic"/>
    <s v="Y-corporation"/>
    <x v="0"/>
    <d v="2017-10-11T00:00:00"/>
    <x v="263"/>
    <n v="430"/>
  </r>
  <r>
    <x v="7454"/>
    <x v="2"/>
    <x v="2"/>
    <x v="1"/>
    <s v="GTX Basic"/>
    <s v="Silis"/>
    <x v="1"/>
    <d v="2017-10-11T00:00:00"/>
    <x v="6"/>
    <m/>
  </r>
  <r>
    <x v="7455"/>
    <x v="2"/>
    <x v="2"/>
    <x v="1"/>
    <s v="GTX Basic"/>
    <s v="Fasehatice"/>
    <x v="2"/>
    <d v="2017-10-11T00:00:00"/>
    <x v="295"/>
    <n v="0"/>
  </r>
  <r>
    <x v="7456"/>
    <x v="2"/>
    <x v="2"/>
    <x v="1"/>
    <s v="GTXPro"/>
    <s v="Singletechno"/>
    <x v="0"/>
    <d v="2017-10-11T00:00:00"/>
    <x v="255"/>
    <n v="4545"/>
  </r>
  <r>
    <x v="7457"/>
    <x v="25"/>
    <x v="4"/>
    <x v="2"/>
    <s v="GTX Plus Basic"/>
    <s v="Umbrella Corporation"/>
    <x v="2"/>
    <d v="2017-10-12T00:00:00"/>
    <x v="294"/>
    <n v="0"/>
  </r>
  <r>
    <x v="7458"/>
    <x v="27"/>
    <x v="5"/>
    <x v="2"/>
    <s v="GTX Plus Basic"/>
    <m/>
    <x v="1"/>
    <d v="2017-10-12T00:00:00"/>
    <x v="6"/>
    <m/>
  </r>
  <r>
    <x v="7459"/>
    <x v="1"/>
    <x v="1"/>
    <x v="0"/>
    <s v="MG Special"/>
    <s v="Zumgoity"/>
    <x v="2"/>
    <d v="2017-10-12T00:00:00"/>
    <x v="293"/>
    <n v="0"/>
  </r>
  <r>
    <x v="7460"/>
    <x v="29"/>
    <x v="1"/>
    <x v="0"/>
    <s v="MG Advanced"/>
    <s v="Ron-tech"/>
    <x v="2"/>
    <d v="2017-10-12T00:00:00"/>
    <x v="288"/>
    <n v="0"/>
  </r>
  <r>
    <x v="7461"/>
    <x v="29"/>
    <x v="1"/>
    <x v="0"/>
    <s v="GTX Basic"/>
    <s v="Scottech"/>
    <x v="0"/>
    <d v="2017-10-12T00:00:00"/>
    <x v="296"/>
    <n v="528"/>
  </r>
  <r>
    <x v="7462"/>
    <x v="29"/>
    <x v="1"/>
    <x v="0"/>
    <s v="GTXPro"/>
    <s v="Conecom"/>
    <x v="0"/>
    <d v="2017-10-12T00:00:00"/>
    <x v="270"/>
    <n v="5064"/>
  </r>
  <r>
    <x v="7463"/>
    <x v="29"/>
    <x v="1"/>
    <x v="0"/>
    <s v="MG Advanced"/>
    <s v="Conecom"/>
    <x v="0"/>
    <d v="2017-10-12T00:00:00"/>
    <x v="258"/>
    <n v="3203"/>
  </r>
  <r>
    <x v="7464"/>
    <x v="16"/>
    <x v="2"/>
    <x v="1"/>
    <s v="GTX Basic"/>
    <s v="Scotfind"/>
    <x v="0"/>
    <d v="2017-10-12T00:00:00"/>
    <x v="199"/>
    <n v="549"/>
  </r>
  <r>
    <x v="7465"/>
    <x v="18"/>
    <x v="2"/>
    <x v="1"/>
    <s v="GTX Basic"/>
    <s v="Dalttechnology"/>
    <x v="0"/>
    <d v="2017-10-12T00:00:00"/>
    <x v="298"/>
    <n v="594"/>
  </r>
  <r>
    <x v="7466"/>
    <x v="24"/>
    <x v="0"/>
    <x v="0"/>
    <s v="GTX Basic"/>
    <s v="Globex Corporation"/>
    <x v="2"/>
    <d v="2017-10-12T00:00:00"/>
    <x v="296"/>
    <n v="0"/>
  </r>
  <r>
    <x v="7467"/>
    <x v="24"/>
    <x v="0"/>
    <x v="0"/>
    <s v="GTX Basic"/>
    <s v="Globex Corporation"/>
    <x v="2"/>
    <d v="2017-10-12T00:00:00"/>
    <x v="297"/>
    <n v="0"/>
  </r>
  <r>
    <x v="7468"/>
    <x v="5"/>
    <x v="3"/>
    <x v="1"/>
    <s v="GTX Basic"/>
    <s v="Labdrill"/>
    <x v="0"/>
    <d v="2017-10-12T00:00:00"/>
    <x v="196"/>
    <n v="529"/>
  </r>
  <r>
    <x v="7469"/>
    <x v="9"/>
    <x v="2"/>
    <x v="1"/>
    <s v="GTXPro"/>
    <s v="Fasehatice"/>
    <x v="0"/>
    <d v="2017-10-12T00:00:00"/>
    <x v="293"/>
    <n v="4505"/>
  </r>
  <r>
    <x v="7470"/>
    <x v="0"/>
    <x v="0"/>
    <x v="0"/>
    <s v="GTX Basic"/>
    <s v="Finhigh"/>
    <x v="0"/>
    <d v="2017-10-12T00:00:00"/>
    <x v="263"/>
    <n v="457"/>
  </r>
  <r>
    <x v="7471"/>
    <x v="0"/>
    <x v="0"/>
    <x v="0"/>
    <s v="MG Advanced"/>
    <s v="Warephase"/>
    <x v="0"/>
    <d v="2017-10-12T00:00:00"/>
    <x v="288"/>
    <n v="3090"/>
  </r>
  <r>
    <x v="7472"/>
    <x v="19"/>
    <x v="4"/>
    <x v="2"/>
    <s v="MG Special"/>
    <s v="Zencorporation"/>
    <x v="0"/>
    <d v="2017-10-12T00:00:00"/>
    <x v="289"/>
    <n v="53"/>
  </r>
  <r>
    <x v="7473"/>
    <x v="15"/>
    <x v="5"/>
    <x v="2"/>
    <s v="GTX Plus Basic"/>
    <s v="Gekko &amp; Co"/>
    <x v="0"/>
    <d v="2017-10-12T00:00:00"/>
    <x v="293"/>
    <n v="1004"/>
  </r>
  <r>
    <x v="7474"/>
    <x v="2"/>
    <x v="2"/>
    <x v="1"/>
    <s v="MG Advanced"/>
    <s v="Hottechi"/>
    <x v="2"/>
    <d v="2017-10-12T00:00:00"/>
    <x v="294"/>
    <n v="0"/>
  </r>
  <r>
    <x v="7475"/>
    <x v="2"/>
    <x v="2"/>
    <x v="1"/>
    <s v="GTX Basic"/>
    <s v="J-Texon"/>
    <x v="0"/>
    <d v="2017-10-12T00:00:00"/>
    <x v="296"/>
    <n v="696"/>
  </r>
  <r>
    <x v="7476"/>
    <x v="3"/>
    <x v="0"/>
    <x v="0"/>
    <s v="MG Special"/>
    <s v="Treequote"/>
    <x v="2"/>
    <d v="2017-10-13T00:00:00"/>
    <x v="297"/>
    <n v="0"/>
  </r>
  <r>
    <x v="7477"/>
    <x v="23"/>
    <x v="4"/>
    <x v="2"/>
    <s v="GTX Plus Basic"/>
    <s v="Opentech"/>
    <x v="0"/>
    <d v="2017-10-13T00:00:00"/>
    <x v="298"/>
    <n v="888"/>
  </r>
  <r>
    <x v="7478"/>
    <x v="28"/>
    <x v="0"/>
    <x v="0"/>
    <s v="MG Advanced"/>
    <s v="Warephase"/>
    <x v="2"/>
    <d v="2017-10-13T00:00:00"/>
    <x v="291"/>
    <n v="0"/>
  </r>
  <r>
    <x v="7479"/>
    <x v="27"/>
    <x v="5"/>
    <x v="2"/>
    <s v="GTX Plus Basic"/>
    <s v="Zathunicon"/>
    <x v="2"/>
    <d v="2017-10-13T00:00:00"/>
    <x v="295"/>
    <n v="0"/>
  </r>
  <r>
    <x v="7480"/>
    <x v="27"/>
    <x v="5"/>
    <x v="2"/>
    <s v="GTX Plus Pro"/>
    <s v="Yearin"/>
    <x v="2"/>
    <d v="2017-10-13T00:00:00"/>
    <x v="235"/>
    <n v="0"/>
  </r>
  <r>
    <x v="7481"/>
    <x v="13"/>
    <x v="4"/>
    <x v="2"/>
    <s v="GTXPro"/>
    <s v="Konex"/>
    <x v="2"/>
    <d v="2017-10-13T00:00:00"/>
    <x v="297"/>
    <n v="0"/>
  </r>
  <r>
    <x v="7482"/>
    <x v="1"/>
    <x v="1"/>
    <x v="0"/>
    <s v="GTXPro"/>
    <s v="Gogozoom"/>
    <x v="0"/>
    <d v="2017-10-13T00:00:00"/>
    <x v="299"/>
    <n v="4767"/>
  </r>
  <r>
    <x v="7483"/>
    <x v="1"/>
    <x v="1"/>
    <x v="0"/>
    <s v="GTXPro"/>
    <s v="Hottechi"/>
    <x v="0"/>
    <d v="2017-10-13T00:00:00"/>
    <x v="245"/>
    <n v="4869"/>
  </r>
  <r>
    <x v="7484"/>
    <x v="1"/>
    <x v="1"/>
    <x v="0"/>
    <s v="MG Advanced"/>
    <s v="Ron-tech"/>
    <x v="0"/>
    <d v="2017-10-13T00:00:00"/>
    <x v="289"/>
    <n v="3475"/>
  </r>
  <r>
    <x v="7485"/>
    <x v="26"/>
    <x v="4"/>
    <x v="2"/>
    <s v="GTX Basic"/>
    <s v="Initech"/>
    <x v="2"/>
    <d v="2017-10-13T00:00:00"/>
    <x v="290"/>
    <n v="0"/>
  </r>
  <r>
    <x v="7486"/>
    <x v="26"/>
    <x v="4"/>
    <x v="2"/>
    <s v="MG Special"/>
    <s v="Donware"/>
    <x v="2"/>
    <d v="2017-10-13T00:00:00"/>
    <x v="257"/>
    <n v="0"/>
  </r>
  <r>
    <x v="7487"/>
    <x v="26"/>
    <x v="4"/>
    <x v="2"/>
    <s v="MG Advanced"/>
    <s v="Kan-code"/>
    <x v="2"/>
    <d v="2017-10-13T00:00:00"/>
    <x v="249"/>
    <n v="0"/>
  </r>
  <r>
    <x v="7488"/>
    <x v="10"/>
    <x v="3"/>
    <x v="1"/>
    <s v="GTX Plus Basic"/>
    <s v="Rantouch"/>
    <x v="2"/>
    <d v="2017-10-13T00:00:00"/>
    <x v="295"/>
    <n v="0"/>
  </r>
  <r>
    <x v="7489"/>
    <x v="10"/>
    <x v="3"/>
    <x v="1"/>
    <s v="MG Advanced"/>
    <s v="Kan-code"/>
    <x v="0"/>
    <d v="2017-10-13T00:00:00"/>
    <x v="289"/>
    <n v="3250"/>
  </r>
  <r>
    <x v="7490"/>
    <x v="7"/>
    <x v="2"/>
    <x v="1"/>
    <s v="GTX Plus Pro"/>
    <s v="Singletechno"/>
    <x v="2"/>
    <d v="2017-10-13T00:00:00"/>
    <x v="259"/>
    <n v="0"/>
  </r>
  <r>
    <x v="7491"/>
    <x v="16"/>
    <x v="2"/>
    <x v="1"/>
    <s v="GTX Plus Basic"/>
    <m/>
    <x v="1"/>
    <d v="2017-10-13T00:00:00"/>
    <x v="6"/>
    <m/>
  </r>
  <r>
    <x v="7492"/>
    <x v="18"/>
    <x v="2"/>
    <x v="1"/>
    <s v="GTX Basic"/>
    <s v="Hottechi"/>
    <x v="1"/>
    <d v="2017-10-13T00:00:00"/>
    <x v="6"/>
    <m/>
  </r>
  <r>
    <x v="7493"/>
    <x v="5"/>
    <x v="3"/>
    <x v="1"/>
    <s v="GTX Basic"/>
    <m/>
    <x v="1"/>
    <d v="2017-10-13T00:00:00"/>
    <x v="6"/>
    <m/>
  </r>
  <r>
    <x v="7494"/>
    <x v="5"/>
    <x v="3"/>
    <x v="1"/>
    <s v="MG Advanced"/>
    <s v="Nam-zim"/>
    <x v="2"/>
    <d v="2017-10-13T00:00:00"/>
    <x v="291"/>
    <n v="0"/>
  </r>
  <r>
    <x v="7495"/>
    <x v="9"/>
    <x v="2"/>
    <x v="1"/>
    <s v="MG Advanced"/>
    <s v="Cheers"/>
    <x v="2"/>
    <d v="2017-10-13T00:00:00"/>
    <x v="300"/>
    <n v="0"/>
  </r>
  <r>
    <x v="7496"/>
    <x v="0"/>
    <x v="0"/>
    <x v="0"/>
    <s v="MG Advanced"/>
    <s v="Inity"/>
    <x v="2"/>
    <d v="2017-10-13T00:00:00"/>
    <x v="246"/>
    <n v="0"/>
  </r>
  <r>
    <x v="7497"/>
    <x v="0"/>
    <x v="0"/>
    <x v="0"/>
    <s v="GTX Plus Basic"/>
    <s v="Rangreen"/>
    <x v="0"/>
    <d v="2017-10-13T00:00:00"/>
    <x v="301"/>
    <n v="978"/>
  </r>
  <r>
    <x v="7498"/>
    <x v="19"/>
    <x v="4"/>
    <x v="2"/>
    <s v="MG Special"/>
    <s v="Bubba Gump"/>
    <x v="0"/>
    <d v="2017-10-13T00:00:00"/>
    <x v="247"/>
    <n v="49"/>
  </r>
  <r>
    <x v="7499"/>
    <x v="12"/>
    <x v="0"/>
    <x v="0"/>
    <s v="MG Special"/>
    <s v="Stanredtax"/>
    <x v="0"/>
    <d v="2017-10-13T00:00:00"/>
    <x v="299"/>
    <n v="49"/>
  </r>
  <r>
    <x v="7500"/>
    <x v="4"/>
    <x v="3"/>
    <x v="1"/>
    <s v="GTX Plus Pro"/>
    <s v="Xx-holding"/>
    <x v="2"/>
    <d v="2017-10-13T00:00:00"/>
    <x v="297"/>
    <n v="0"/>
  </r>
  <r>
    <x v="7501"/>
    <x v="4"/>
    <x v="3"/>
    <x v="1"/>
    <s v="GTX Basic"/>
    <s v="Hottechi"/>
    <x v="0"/>
    <d v="2017-10-13T00:00:00"/>
    <x v="249"/>
    <n v="563"/>
  </r>
  <r>
    <x v="7502"/>
    <x v="15"/>
    <x v="5"/>
    <x v="2"/>
    <s v="GTX Plus Basic"/>
    <s v="Umbrella Corporation"/>
    <x v="2"/>
    <d v="2017-10-13T00:00:00"/>
    <x v="296"/>
    <n v="0"/>
  </r>
  <r>
    <x v="7503"/>
    <x v="15"/>
    <x v="5"/>
    <x v="2"/>
    <s v="MG Special"/>
    <s v="Donware"/>
    <x v="2"/>
    <d v="2017-10-13T00:00:00"/>
    <x v="290"/>
    <n v="0"/>
  </r>
  <r>
    <x v="7504"/>
    <x v="15"/>
    <x v="5"/>
    <x v="2"/>
    <s v="MG Special"/>
    <s v="Zencorporation"/>
    <x v="0"/>
    <d v="2017-10-13T00:00:00"/>
    <x v="299"/>
    <n v="53"/>
  </r>
  <r>
    <x v="7505"/>
    <x v="28"/>
    <x v="0"/>
    <x v="0"/>
    <s v="GTX Plus Basic"/>
    <s v="Rangreen"/>
    <x v="0"/>
    <d v="2017-10-14T00:00:00"/>
    <x v="301"/>
    <n v="1168"/>
  </r>
  <r>
    <x v="7506"/>
    <x v="27"/>
    <x v="5"/>
    <x v="2"/>
    <s v="GTX Basic"/>
    <s v="The New York Inquirer"/>
    <x v="0"/>
    <d v="2017-10-14T00:00:00"/>
    <x v="221"/>
    <n v="560"/>
  </r>
  <r>
    <x v="7507"/>
    <x v="13"/>
    <x v="4"/>
    <x v="2"/>
    <s v="GTX Plus Basic"/>
    <s v="Gekko &amp; Co"/>
    <x v="2"/>
    <d v="2017-10-14T00:00:00"/>
    <x v="265"/>
    <n v="0"/>
  </r>
  <r>
    <x v="7508"/>
    <x v="1"/>
    <x v="1"/>
    <x v="0"/>
    <s v="GTXPro"/>
    <s v="Stanredtax"/>
    <x v="2"/>
    <d v="2017-10-14T00:00:00"/>
    <x v="290"/>
    <n v="0"/>
  </r>
  <r>
    <x v="7509"/>
    <x v="1"/>
    <x v="1"/>
    <x v="0"/>
    <s v="MG Special"/>
    <s v="Bioholding"/>
    <x v="2"/>
    <d v="2017-10-14T00:00:00"/>
    <x v="296"/>
    <n v="0"/>
  </r>
  <r>
    <x v="7510"/>
    <x v="1"/>
    <x v="1"/>
    <x v="0"/>
    <s v="GTXPro"/>
    <s v="Dontechi"/>
    <x v="0"/>
    <d v="2017-10-14T00:00:00"/>
    <x v="291"/>
    <n v="4810"/>
  </r>
  <r>
    <x v="7511"/>
    <x v="26"/>
    <x v="4"/>
    <x v="2"/>
    <s v="MG Special"/>
    <s v="Donware"/>
    <x v="2"/>
    <d v="2017-10-14T00:00:00"/>
    <x v="196"/>
    <n v="0"/>
  </r>
  <r>
    <x v="7512"/>
    <x v="26"/>
    <x v="4"/>
    <x v="2"/>
    <s v="GTXPro"/>
    <s v="Silis"/>
    <x v="0"/>
    <d v="2017-10-14T00:00:00"/>
    <x v="299"/>
    <n v="4521"/>
  </r>
  <r>
    <x v="7513"/>
    <x v="21"/>
    <x v="5"/>
    <x v="2"/>
    <s v="GTX Basic"/>
    <s v="Opentech"/>
    <x v="2"/>
    <d v="2017-10-14T00:00:00"/>
    <x v="291"/>
    <n v="0"/>
  </r>
  <r>
    <x v="7514"/>
    <x v="21"/>
    <x v="5"/>
    <x v="2"/>
    <s v="GTX Plus Basic"/>
    <s v="Donquadtech"/>
    <x v="2"/>
    <d v="2017-10-14T00:00:00"/>
    <x v="290"/>
    <n v="0"/>
  </r>
  <r>
    <x v="7515"/>
    <x v="10"/>
    <x v="3"/>
    <x v="1"/>
    <s v="GTX Plus Basic"/>
    <s v="Hatfan"/>
    <x v="0"/>
    <d v="2017-10-14T00:00:00"/>
    <x v="290"/>
    <n v="881"/>
  </r>
  <r>
    <x v="7516"/>
    <x v="7"/>
    <x v="2"/>
    <x v="1"/>
    <s v="GTX Basic"/>
    <s v="Finjob"/>
    <x v="2"/>
    <d v="2017-10-14T00:00:00"/>
    <x v="262"/>
    <n v="0"/>
  </r>
  <r>
    <x v="7517"/>
    <x v="29"/>
    <x v="1"/>
    <x v="0"/>
    <s v="GTX Basic"/>
    <s v="Conecom"/>
    <x v="0"/>
    <d v="2017-10-14T00:00:00"/>
    <x v="297"/>
    <n v="472"/>
  </r>
  <r>
    <x v="7518"/>
    <x v="16"/>
    <x v="2"/>
    <x v="1"/>
    <s v="GTX Basic"/>
    <s v="Newex"/>
    <x v="0"/>
    <d v="2017-10-14T00:00:00"/>
    <x v="259"/>
    <n v="562"/>
  </r>
  <r>
    <x v="7519"/>
    <x v="24"/>
    <x v="0"/>
    <x v="0"/>
    <s v="GTX Basic"/>
    <s v="Conecom"/>
    <x v="2"/>
    <d v="2017-10-14T00:00:00"/>
    <x v="295"/>
    <n v="0"/>
  </r>
  <r>
    <x v="7520"/>
    <x v="24"/>
    <x v="0"/>
    <x v="0"/>
    <s v="MG Special"/>
    <s v="Toughzap"/>
    <x v="0"/>
    <d v="2017-10-14T00:00:00"/>
    <x v="292"/>
    <n v="42"/>
  </r>
  <r>
    <x v="7521"/>
    <x v="22"/>
    <x v="1"/>
    <x v="0"/>
    <s v="GTXPro"/>
    <s v="Streethex"/>
    <x v="2"/>
    <d v="2017-10-14T00:00:00"/>
    <x v="291"/>
    <n v="0"/>
  </r>
  <r>
    <x v="7522"/>
    <x v="22"/>
    <x v="1"/>
    <x v="0"/>
    <s v="GTX Basic"/>
    <s v="Dontechi"/>
    <x v="0"/>
    <d v="2017-10-14T00:00:00"/>
    <x v="274"/>
    <n v="615"/>
  </r>
  <r>
    <x v="7523"/>
    <x v="6"/>
    <x v="1"/>
    <x v="0"/>
    <s v="GTX Plus Basic"/>
    <s v="Ron-tech"/>
    <x v="2"/>
    <d v="2017-10-14T00:00:00"/>
    <x v="271"/>
    <n v="0"/>
  </r>
  <r>
    <x v="7524"/>
    <x v="11"/>
    <x v="3"/>
    <x v="1"/>
    <s v="MG Advanced"/>
    <s v="Newex"/>
    <x v="2"/>
    <d v="2017-10-14T00:00:00"/>
    <x v="298"/>
    <n v="0"/>
  </r>
  <r>
    <x v="7525"/>
    <x v="12"/>
    <x v="0"/>
    <x v="0"/>
    <s v="MG Special"/>
    <s v="Scottech"/>
    <x v="0"/>
    <d v="2017-10-14T00:00:00"/>
    <x v="297"/>
    <n v="58"/>
  </r>
  <r>
    <x v="7526"/>
    <x v="4"/>
    <x v="3"/>
    <x v="1"/>
    <s v="GTX Plus Pro"/>
    <m/>
    <x v="1"/>
    <d v="2017-10-14T00:00:00"/>
    <x v="6"/>
    <m/>
  </r>
  <r>
    <x v="7527"/>
    <x v="4"/>
    <x v="3"/>
    <x v="1"/>
    <s v="MG Special"/>
    <s v="Green-Plus"/>
    <x v="2"/>
    <d v="2017-10-14T00:00:00"/>
    <x v="196"/>
    <n v="0"/>
  </r>
  <r>
    <x v="7528"/>
    <x v="2"/>
    <x v="2"/>
    <x v="1"/>
    <s v="GTX Plus Pro"/>
    <s v="Hatfan"/>
    <x v="2"/>
    <d v="2017-10-14T00:00:00"/>
    <x v="298"/>
    <n v="0"/>
  </r>
  <r>
    <x v="7529"/>
    <x v="2"/>
    <x v="2"/>
    <x v="1"/>
    <s v="GTXPro"/>
    <s v="Xx-holding"/>
    <x v="0"/>
    <d v="2017-10-14T00:00:00"/>
    <x v="290"/>
    <n v="4882"/>
  </r>
  <r>
    <x v="7530"/>
    <x v="3"/>
    <x v="0"/>
    <x v="0"/>
    <s v="MG Special"/>
    <s v="Isdom"/>
    <x v="2"/>
    <d v="2017-10-15T00:00:00"/>
    <x v="299"/>
    <n v="0"/>
  </r>
  <r>
    <x v="7531"/>
    <x v="23"/>
    <x v="4"/>
    <x v="2"/>
    <s v="GTXPro"/>
    <s v="Toughzap"/>
    <x v="1"/>
    <d v="2017-10-15T00:00:00"/>
    <x v="6"/>
    <m/>
  </r>
  <r>
    <x v="7532"/>
    <x v="23"/>
    <x v="4"/>
    <x v="2"/>
    <s v="GTX Plus Pro"/>
    <s v="Zotware"/>
    <x v="2"/>
    <d v="2017-10-15T00:00:00"/>
    <x v="299"/>
    <n v="0"/>
  </r>
  <r>
    <x v="7533"/>
    <x v="28"/>
    <x v="0"/>
    <x v="0"/>
    <s v="MG Advanced"/>
    <s v="Streethex"/>
    <x v="2"/>
    <d v="2017-10-15T00:00:00"/>
    <x v="292"/>
    <n v="0"/>
  </r>
  <r>
    <x v="7534"/>
    <x v="13"/>
    <x v="4"/>
    <x v="2"/>
    <s v="GTX Plus Pro"/>
    <s v="Ganjaflex"/>
    <x v="2"/>
    <d v="2017-10-15T00:00:00"/>
    <x v="300"/>
    <n v="0"/>
  </r>
  <r>
    <x v="7535"/>
    <x v="13"/>
    <x v="4"/>
    <x v="2"/>
    <s v="GTXPro"/>
    <s v="Kinnamplus"/>
    <x v="0"/>
    <d v="2017-10-15T00:00:00"/>
    <x v="196"/>
    <n v="5113"/>
  </r>
  <r>
    <x v="7536"/>
    <x v="1"/>
    <x v="1"/>
    <x v="0"/>
    <s v="GTX Plus Basic"/>
    <s v="Ron-tech"/>
    <x v="0"/>
    <d v="2017-10-15T00:00:00"/>
    <x v="292"/>
    <n v="1154"/>
  </r>
  <r>
    <x v="7537"/>
    <x v="1"/>
    <x v="1"/>
    <x v="0"/>
    <s v="GTXPro"/>
    <s v="Dontechi"/>
    <x v="0"/>
    <d v="2017-10-15T00:00:00"/>
    <x v="292"/>
    <n v="4885"/>
  </r>
  <r>
    <x v="7538"/>
    <x v="1"/>
    <x v="1"/>
    <x v="0"/>
    <s v="GTXPro"/>
    <s v="Streethex"/>
    <x v="0"/>
    <d v="2017-10-15T00:00:00"/>
    <x v="292"/>
    <n v="4936"/>
  </r>
  <r>
    <x v="7539"/>
    <x v="26"/>
    <x v="4"/>
    <x v="2"/>
    <s v="GTX Plus Basic"/>
    <s v="Condax"/>
    <x v="0"/>
    <d v="2017-10-15T00:00:00"/>
    <x v="302"/>
    <n v="1062"/>
  </r>
  <r>
    <x v="7540"/>
    <x v="8"/>
    <x v="1"/>
    <x v="0"/>
    <s v="GTXPro"/>
    <s v="Codehow"/>
    <x v="2"/>
    <d v="2017-10-15T00:00:00"/>
    <x v="294"/>
    <n v="0"/>
  </r>
  <r>
    <x v="7541"/>
    <x v="10"/>
    <x v="3"/>
    <x v="1"/>
    <s v="MG Special"/>
    <s v="Faxquote"/>
    <x v="2"/>
    <d v="2017-10-15T00:00:00"/>
    <x v="296"/>
    <n v="0"/>
  </r>
  <r>
    <x v="7542"/>
    <x v="10"/>
    <x v="3"/>
    <x v="1"/>
    <s v="GTX Plus Basic"/>
    <s v="Groovestreet"/>
    <x v="0"/>
    <d v="2017-10-15T00:00:00"/>
    <x v="245"/>
    <n v="954"/>
  </r>
  <r>
    <x v="7543"/>
    <x v="18"/>
    <x v="2"/>
    <x v="1"/>
    <s v="GTX Basic"/>
    <s v="Finjob"/>
    <x v="2"/>
    <d v="2017-10-15T00:00:00"/>
    <x v="298"/>
    <n v="0"/>
  </r>
  <r>
    <x v="7544"/>
    <x v="18"/>
    <x v="2"/>
    <x v="1"/>
    <s v="GTX Basic"/>
    <s v="Konex"/>
    <x v="2"/>
    <d v="2017-10-15T00:00:00"/>
    <x v="301"/>
    <n v="0"/>
  </r>
  <r>
    <x v="7545"/>
    <x v="18"/>
    <x v="2"/>
    <x v="1"/>
    <s v="GTX Plus Basic"/>
    <s v="Xx-holding"/>
    <x v="0"/>
    <d v="2017-10-15T00:00:00"/>
    <x v="292"/>
    <n v="868"/>
  </r>
  <r>
    <x v="7546"/>
    <x v="18"/>
    <x v="2"/>
    <x v="1"/>
    <s v="GTX Plus Pro"/>
    <s v="Doncon"/>
    <x v="0"/>
    <d v="2017-10-15T00:00:00"/>
    <x v="244"/>
    <n v="5867"/>
  </r>
  <r>
    <x v="7547"/>
    <x v="18"/>
    <x v="2"/>
    <x v="1"/>
    <s v="GTXPro"/>
    <s v="Fasehatice"/>
    <x v="0"/>
    <d v="2017-10-15T00:00:00"/>
    <x v="292"/>
    <n v="5344"/>
  </r>
  <r>
    <x v="7548"/>
    <x v="24"/>
    <x v="0"/>
    <x v="0"/>
    <s v="MG Special"/>
    <s v="dambase"/>
    <x v="2"/>
    <d v="2017-10-15T00:00:00"/>
    <x v="296"/>
    <n v="0"/>
  </r>
  <r>
    <x v="7549"/>
    <x v="22"/>
    <x v="1"/>
    <x v="0"/>
    <s v="GTX Plus Pro"/>
    <s v="Globex Corporation"/>
    <x v="2"/>
    <d v="2017-10-15T00:00:00"/>
    <x v="299"/>
    <n v="0"/>
  </r>
  <r>
    <x v="7550"/>
    <x v="22"/>
    <x v="1"/>
    <x v="0"/>
    <s v="GTXPro"/>
    <s v="Streethex"/>
    <x v="2"/>
    <d v="2017-10-15T00:00:00"/>
    <x v="298"/>
    <n v="0"/>
  </r>
  <r>
    <x v="7551"/>
    <x v="0"/>
    <x v="0"/>
    <x v="0"/>
    <s v="GTX Plus Pro"/>
    <s v="Codehow"/>
    <x v="0"/>
    <d v="2017-10-15T00:00:00"/>
    <x v="298"/>
    <n v="5449"/>
  </r>
  <r>
    <x v="7552"/>
    <x v="19"/>
    <x v="4"/>
    <x v="2"/>
    <s v="MG Advanced"/>
    <s v="The New York Inquirer"/>
    <x v="2"/>
    <d v="2017-10-15T00:00:00"/>
    <x v="275"/>
    <n v="0"/>
  </r>
  <r>
    <x v="7553"/>
    <x v="19"/>
    <x v="4"/>
    <x v="2"/>
    <s v="GTX Plus Pro"/>
    <s v="Initech"/>
    <x v="0"/>
    <d v="2017-10-15T00:00:00"/>
    <x v="260"/>
    <n v="4500"/>
  </r>
  <r>
    <x v="7554"/>
    <x v="12"/>
    <x v="0"/>
    <x v="0"/>
    <s v="MG Special"/>
    <s v="Inity"/>
    <x v="2"/>
    <d v="2017-10-15T00:00:00"/>
    <x v="300"/>
    <n v="0"/>
  </r>
  <r>
    <x v="7555"/>
    <x v="20"/>
    <x v="5"/>
    <x v="2"/>
    <s v="MG Special"/>
    <s v="Sumace"/>
    <x v="0"/>
    <d v="2017-10-15T00:00:00"/>
    <x v="298"/>
    <n v="51"/>
  </r>
  <r>
    <x v="7556"/>
    <x v="2"/>
    <x v="2"/>
    <x v="1"/>
    <s v="GTX Plus Pro"/>
    <s v="Dalttechnology"/>
    <x v="0"/>
    <d v="2017-10-15T00:00:00"/>
    <x v="298"/>
    <n v="6637"/>
  </r>
  <r>
    <x v="7557"/>
    <x v="3"/>
    <x v="0"/>
    <x v="0"/>
    <s v="MG Special"/>
    <s v="Stanredtax"/>
    <x v="0"/>
    <d v="2017-10-16T00:00:00"/>
    <x v="254"/>
    <n v="57"/>
  </r>
  <r>
    <x v="7558"/>
    <x v="28"/>
    <x v="0"/>
    <x v="0"/>
    <s v="GTX Plus Basic"/>
    <s v="Statholdings"/>
    <x v="0"/>
    <d v="2017-10-16T00:00:00"/>
    <x v="197"/>
    <n v="990"/>
  </r>
  <r>
    <x v="7559"/>
    <x v="27"/>
    <x v="5"/>
    <x v="2"/>
    <s v="GTXPro"/>
    <s v="Zencorporation"/>
    <x v="0"/>
    <d v="2017-10-16T00:00:00"/>
    <x v="293"/>
    <n v="4247"/>
  </r>
  <r>
    <x v="7560"/>
    <x v="13"/>
    <x v="4"/>
    <x v="2"/>
    <s v="GTX Plus Basic"/>
    <s v="Sumace"/>
    <x v="0"/>
    <d v="2017-10-16T00:00:00"/>
    <x v="267"/>
    <n v="1008"/>
  </r>
  <r>
    <x v="7561"/>
    <x v="1"/>
    <x v="1"/>
    <x v="0"/>
    <s v="GTXPro"/>
    <s v="Stanredtax"/>
    <x v="2"/>
    <d v="2017-10-16T00:00:00"/>
    <x v="294"/>
    <n v="0"/>
  </r>
  <r>
    <x v="7562"/>
    <x v="1"/>
    <x v="1"/>
    <x v="0"/>
    <s v="MG Special"/>
    <s v="Zumgoity"/>
    <x v="2"/>
    <d v="2017-10-16T00:00:00"/>
    <x v="293"/>
    <n v="0"/>
  </r>
  <r>
    <x v="7563"/>
    <x v="1"/>
    <x v="1"/>
    <x v="0"/>
    <s v="GTXPro"/>
    <s v="Ron-tech"/>
    <x v="0"/>
    <d v="2017-10-16T00:00:00"/>
    <x v="300"/>
    <n v="4834"/>
  </r>
  <r>
    <x v="7564"/>
    <x v="1"/>
    <x v="1"/>
    <x v="0"/>
    <s v="MG Advanced"/>
    <s v="Conecom"/>
    <x v="0"/>
    <d v="2017-10-16T00:00:00"/>
    <x v="293"/>
    <n v="3490"/>
  </r>
  <r>
    <x v="7565"/>
    <x v="26"/>
    <x v="4"/>
    <x v="2"/>
    <s v="GTX Basic"/>
    <s v="Initech"/>
    <x v="2"/>
    <d v="2017-10-16T00:00:00"/>
    <x v="301"/>
    <n v="0"/>
  </r>
  <r>
    <x v="7566"/>
    <x v="8"/>
    <x v="1"/>
    <x v="0"/>
    <s v="MG Special"/>
    <s v="Codehow"/>
    <x v="2"/>
    <d v="2017-10-16T00:00:00"/>
    <x v="299"/>
    <n v="0"/>
  </r>
  <r>
    <x v="7567"/>
    <x v="10"/>
    <x v="3"/>
    <x v="1"/>
    <s v="MG Advanced"/>
    <s v="Cheers"/>
    <x v="0"/>
    <d v="2017-10-16T00:00:00"/>
    <x v="295"/>
    <n v="3744"/>
  </r>
  <r>
    <x v="7568"/>
    <x v="16"/>
    <x v="2"/>
    <x v="1"/>
    <s v="GTXPro"/>
    <s v="Sonron"/>
    <x v="2"/>
    <d v="2017-10-16T00:00:00"/>
    <x v="297"/>
    <n v="0"/>
  </r>
  <r>
    <x v="7569"/>
    <x v="18"/>
    <x v="2"/>
    <x v="1"/>
    <s v="GTX Basic"/>
    <s v="Faxquote"/>
    <x v="2"/>
    <d v="2017-10-16T00:00:00"/>
    <x v="301"/>
    <n v="0"/>
  </r>
  <r>
    <x v="7570"/>
    <x v="18"/>
    <x v="2"/>
    <x v="1"/>
    <s v="GTX Basic"/>
    <s v="Singletechno"/>
    <x v="2"/>
    <d v="2017-10-16T00:00:00"/>
    <x v="296"/>
    <n v="0"/>
  </r>
  <r>
    <x v="7571"/>
    <x v="18"/>
    <x v="2"/>
    <x v="1"/>
    <s v="GTX Basic"/>
    <s v="Nam-zim"/>
    <x v="0"/>
    <d v="2017-10-16T00:00:00"/>
    <x v="231"/>
    <n v="591"/>
  </r>
  <r>
    <x v="7572"/>
    <x v="18"/>
    <x v="2"/>
    <x v="1"/>
    <s v="MG Special"/>
    <s v="Dalttechnology"/>
    <x v="0"/>
    <d v="2017-10-16T00:00:00"/>
    <x v="299"/>
    <n v="48"/>
  </r>
  <r>
    <x v="7573"/>
    <x v="5"/>
    <x v="3"/>
    <x v="1"/>
    <s v="GTX Plus Basic"/>
    <s v="Golddex"/>
    <x v="0"/>
    <d v="2017-10-16T00:00:00"/>
    <x v="298"/>
    <n v="1060"/>
  </r>
  <r>
    <x v="7574"/>
    <x v="22"/>
    <x v="1"/>
    <x v="0"/>
    <s v="GTX Plus Basic"/>
    <s v="Hottechi"/>
    <x v="2"/>
    <d v="2017-10-16T00:00:00"/>
    <x v="296"/>
    <n v="0"/>
  </r>
  <r>
    <x v="7575"/>
    <x v="0"/>
    <x v="0"/>
    <x v="0"/>
    <s v="GTX Basic"/>
    <s v="Betatech"/>
    <x v="0"/>
    <d v="2017-10-16T00:00:00"/>
    <x v="302"/>
    <n v="562"/>
  </r>
  <r>
    <x v="7576"/>
    <x v="6"/>
    <x v="1"/>
    <x v="0"/>
    <s v="GTX Plus Basic"/>
    <s v="Hottechi"/>
    <x v="2"/>
    <d v="2017-10-16T00:00:00"/>
    <x v="232"/>
    <n v="0"/>
  </r>
  <r>
    <x v="7577"/>
    <x v="17"/>
    <x v="5"/>
    <x v="2"/>
    <s v="GTXPro"/>
    <s v="Vehement Capital Partners"/>
    <x v="2"/>
    <d v="2017-10-16T00:00:00"/>
    <x v="291"/>
    <n v="0"/>
  </r>
  <r>
    <x v="7578"/>
    <x v="12"/>
    <x v="0"/>
    <x v="0"/>
    <s v="MG Special"/>
    <s v="Isdom"/>
    <x v="0"/>
    <d v="2017-10-16T00:00:00"/>
    <x v="293"/>
    <n v="57"/>
  </r>
  <r>
    <x v="7579"/>
    <x v="4"/>
    <x v="3"/>
    <x v="1"/>
    <s v="GTX Basic"/>
    <s v="Green-Plus"/>
    <x v="0"/>
    <d v="2017-10-16T00:00:00"/>
    <x v="261"/>
    <n v="535"/>
  </r>
  <r>
    <x v="7580"/>
    <x v="4"/>
    <x v="3"/>
    <x v="1"/>
    <s v="GTXPro"/>
    <s v="Condax"/>
    <x v="0"/>
    <d v="2017-10-16T00:00:00"/>
    <x v="300"/>
    <n v="4580"/>
  </r>
  <r>
    <x v="7581"/>
    <x v="4"/>
    <x v="3"/>
    <x v="1"/>
    <s v="MG Special"/>
    <s v="Lexiqvolax"/>
    <x v="0"/>
    <d v="2017-10-16T00:00:00"/>
    <x v="291"/>
    <n v="56"/>
  </r>
  <r>
    <x v="7582"/>
    <x v="15"/>
    <x v="5"/>
    <x v="2"/>
    <s v="GTX Basic"/>
    <m/>
    <x v="1"/>
    <d v="2017-10-16T00:00:00"/>
    <x v="6"/>
    <m/>
  </r>
  <r>
    <x v="7583"/>
    <x v="15"/>
    <x v="5"/>
    <x v="2"/>
    <s v="GTX Plus Basic"/>
    <m/>
    <x v="1"/>
    <d v="2017-10-16T00:00:00"/>
    <x v="6"/>
    <m/>
  </r>
  <r>
    <x v="7584"/>
    <x v="2"/>
    <x v="2"/>
    <x v="1"/>
    <s v="GTX Plus Pro"/>
    <s v="Goodsilron"/>
    <x v="0"/>
    <d v="2017-10-16T00:00:00"/>
    <x v="298"/>
    <n v="4942"/>
  </r>
  <r>
    <x v="7585"/>
    <x v="3"/>
    <x v="0"/>
    <x v="0"/>
    <s v="MG Special"/>
    <s v="dambase"/>
    <x v="0"/>
    <d v="2017-10-17T00:00:00"/>
    <x v="298"/>
    <n v="55"/>
  </r>
  <r>
    <x v="7586"/>
    <x v="25"/>
    <x v="4"/>
    <x v="2"/>
    <s v="GTX Plus Pro"/>
    <s v="Yearin"/>
    <x v="2"/>
    <d v="2017-10-17T00:00:00"/>
    <x v="300"/>
    <n v="0"/>
  </r>
  <r>
    <x v="7587"/>
    <x v="23"/>
    <x v="4"/>
    <x v="2"/>
    <s v="GTXPro"/>
    <s v="Xx-zobam"/>
    <x v="0"/>
    <d v="2017-10-17T00:00:00"/>
    <x v="303"/>
    <n v="5144"/>
  </r>
  <r>
    <x v="7588"/>
    <x v="27"/>
    <x v="5"/>
    <x v="2"/>
    <s v="MG Advanced"/>
    <s v="Plussunin"/>
    <x v="2"/>
    <d v="2017-10-17T00:00:00"/>
    <x v="254"/>
    <n v="0"/>
  </r>
  <r>
    <x v="7589"/>
    <x v="1"/>
    <x v="1"/>
    <x v="0"/>
    <s v="GTXPro"/>
    <s v="Rundofase"/>
    <x v="2"/>
    <d v="2017-10-17T00:00:00"/>
    <x v="299"/>
    <n v="0"/>
  </r>
  <r>
    <x v="7590"/>
    <x v="1"/>
    <x v="1"/>
    <x v="0"/>
    <s v="GTXPro"/>
    <s v="Cancity"/>
    <x v="0"/>
    <d v="2017-10-17T00:00:00"/>
    <x v="298"/>
    <n v="5458"/>
  </r>
  <r>
    <x v="7591"/>
    <x v="8"/>
    <x v="1"/>
    <x v="0"/>
    <s v="GTXPro"/>
    <s v="Rundofase"/>
    <x v="2"/>
    <d v="2017-10-17T00:00:00"/>
    <x v="298"/>
    <n v="0"/>
  </r>
  <r>
    <x v="7592"/>
    <x v="29"/>
    <x v="1"/>
    <x v="0"/>
    <s v="GTXPro"/>
    <s v="Stanredtax"/>
    <x v="0"/>
    <d v="2017-10-17T00:00:00"/>
    <x v="294"/>
    <n v="5046"/>
  </r>
  <r>
    <x v="7593"/>
    <x v="16"/>
    <x v="2"/>
    <x v="1"/>
    <s v="GTX Plus Basic"/>
    <m/>
    <x v="1"/>
    <d v="2017-10-17T00:00:00"/>
    <x v="6"/>
    <m/>
  </r>
  <r>
    <x v="7594"/>
    <x v="16"/>
    <x v="2"/>
    <x v="1"/>
    <s v="GTXPro"/>
    <m/>
    <x v="1"/>
    <d v="2017-10-17T00:00:00"/>
    <x v="6"/>
    <m/>
  </r>
  <r>
    <x v="7595"/>
    <x v="5"/>
    <x v="3"/>
    <x v="1"/>
    <s v="GTX Basic"/>
    <s v="Hatfan"/>
    <x v="2"/>
    <d v="2017-10-17T00:00:00"/>
    <x v="298"/>
    <n v="0"/>
  </r>
  <r>
    <x v="7596"/>
    <x v="5"/>
    <x v="3"/>
    <x v="1"/>
    <s v="MG Special"/>
    <s v="Goodsilron"/>
    <x v="2"/>
    <d v="2017-10-17T00:00:00"/>
    <x v="301"/>
    <n v="0"/>
  </r>
  <r>
    <x v="7597"/>
    <x v="5"/>
    <x v="3"/>
    <x v="1"/>
    <s v="MG Special"/>
    <s v="Nam-zim"/>
    <x v="2"/>
    <d v="2017-10-17T00:00:00"/>
    <x v="301"/>
    <n v="0"/>
  </r>
  <r>
    <x v="7598"/>
    <x v="22"/>
    <x v="1"/>
    <x v="0"/>
    <s v="MG Special"/>
    <s v="dambase"/>
    <x v="0"/>
    <d v="2017-10-17T00:00:00"/>
    <x v="301"/>
    <n v="64"/>
  </r>
  <r>
    <x v="7599"/>
    <x v="12"/>
    <x v="0"/>
    <x v="0"/>
    <s v="MG Special"/>
    <s v="Betatech"/>
    <x v="0"/>
    <d v="2017-10-17T00:00:00"/>
    <x v="304"/>
    <n v="54"/>
  </r>
  <r>
    <x v="7600"/>
    <x v="4"/>
    <x v="3"/>
    <x v="1"/>
    <s v="MG Special"/>
    <s v="Xx-holding"/>
    <x v="0"/>
    <d v="2017-10-17T00:00:00"/>
    <x v="301"/>
    <n v="68"/>
  </r>
  <r>
    <x v="7601"/>
    <x v="15"/>
    <x v="5"/>
    <x v="2"/>
    <s v="GTX Plus Basic"/>
    <s v="Betasoloin"/>
    <x v="2"/>
    <d v="2017-10-17T00:00:00"/>
    <x v="291"/>
    <n v="0"/>
  </r>
  <r>
    <x v="7602"/>
    <x v="15"/>
    <x v="5"/>
    <x v="2"/>
    <s v="MG Special"/>
    <s v="The New York Inquirer"/>
    <x v="2"/>
    <d v="2017-10-17T00:00:00"/>
    <x v="291"/>
    <n v="0"/>
  </r>
  <r>
    <x v="7603"/>
    <x v="20"/>
    <x v="5"/>
    <x v="2"/>
    <s v="MG Special"/>
    <s v="Massive Dynamic"/>
    <x v="2"/>
    <d v="2017-10-17T00:00:00"/>
    <x v="294"/>
    <n v="0"/>
  </r>
  <r>
    <x v="7604"/>
    <x v="2"/>
    <x v="2"/>
    <x v="1"/>
    <s v="GTX Plus Basic"/>
    <s v="Kan-code"/>
    <x v="0"/>
    <d v="2017-10-17T00:00:00"/>
    <x v="249"/>
    <n v="1129"/>
  </r>
  <r>
    <x v="7605"/>
    <x v="23"/>
    <x v="4"/>
    <x v="2"/>
    <s v="MG Advanced"/>
    <s v="The New York Inquirer"/>
    <x v="2"/>
    <d v="2017-10-18T00:00:00"/>
    <x v="294"/>
    <n v="0"/>
  </r>
  <r>
    <x v="7606"/>
    <x v="28"/>
    <x v="0"/>
    <x v="0"/>
    <s v="GTX Plus Basic"/>
    <s v="Inity"/>
    <x v="0"/>
    <d v="2017-10-18T00:00:00"/>
    <x v="295"/>
    <n v="1200"/>
  </r>
  <r>
    <x v="7607"/>
    <x v="28"/>
    <x v="0"/>
    <x v="0"/>
    <s v="MG Advanced"/>
    <s v="Globex Corporation"/>
    <x v="0"/>
    <d v="2017-10-18T00:00:00"/>
    <x v="251"/>
    <n v="3164"/>
  </r>
  <r>
    <x v="7608"/>
    <x v="27"/>
    <x v="5"/>
    <x v="2"/>
    <s v="GTX Plus Basic"/>
    <s v="Konex"/>
    <x v="2"/>
    <d v="2017-10-18T00:00:00"/>
    <x v="300"/>
    <n v="0"/>
  </r>
  <r>
    <x v="7609"/>
    <x v="27"/>
    <x v="5"/>
    <x v="2"/>
    <s v="MG Advanced"/>
    <s v="Zotware"/>
    <x v="0"/>
    <d v="2017-10-18T00:00:00"/>
    <x v="301"/>
    <n v="3225"/>
  </r>
  <r>
    <x v="7610"/>
    <x v="13"/>
    <x v="4"/>
    <x v="2"/>
    <s v="GTX Plus Basic"/>
    <s v="Massive Dynamic"/>
    <x v="2"/>
    <d v="2017-10-18T00:00:00"/>
    <x v="212"/>
    <n v="0"/>
  </r>
  <r>
    <x v="7611"/>
    <x v="1"/>
    <x v="1"/>
    <x v="0"/>
    <s v="GTXPro"/>
    <s v="Rangreen"/>
    <x v="0"/>
    <d v="2017-10-18T00:00:00"/>
    <x v="295"/>
    <n v="4130"/>
  </r>
  <r>
    <x v="7612"/>
    <x v="26"/>
    <x v="4"/>
    <x v="2"/>
    <s v="GTX Basic"/>
    <s v="Bluth Company"/>
    <x v="2"/>
    <d v="2017-10-18T00:00:00"/>
    <x v="299"/>
    <n v="0"/>
  </r>
  <r>
    <x v="7613"/>
    <x v="26"/>
    <x v="4"/>
    <x v="2"/>
    <s v="GTXPro"/>
    <s v="Donware"/>
    <x v="2"/>
    <d v="2017-10-18T00:00:00"/>
    <x v="246"/>
    <n v="0"/>
  </r>
  <r>
    <x v="7614"/>
    <x v="14"/>
    <x v="3"/>
    <x v="1"/>
    <s v="MG Special"/>
    <s v="Singletechno"/>
    <x v="0"/>
    <d v="2017-10-18T00:00:00"/>
    <x v="295"/>
    <n v="47"/>
  </r>
  <r>
    <x v="7615"/>
    <x v="21"/>
    <x v="5"/>
    <x v="2"/>
    <s v="GTX Plus Pro"/>
    <s v="Konex"/>
    <x v="0"/>
    <d v="2017-10-18T00:00:00"/>
    <x v="300"/>
    <n v="4751"/>
  </r>
  <r>
    <x v="7616"/>
    <x v="8"/>
    <x v="1"/>
    <x v="0"/>
    <s v="MG Advanced"/>
    <s v="Konmatfix"/>
    <x v="2"/>
    <d v="2017-10-18T00:00:00"/>
    <x v="299"/>
    <n v="0"/>
  </r>
  <r>
    <x v="7617"/>
    <x v="10"/>
    <x v="3"/>
    <x v="1"/>
    <s v="MG Advanced"/>
    <s v="Green-Plus"/>
    <x v="2"/>
    <d v="2017-10-18T00:00:00"/>
    <x v="294"/>
    <n v="0"/>
  </r>
  <r>
    <x v="7618"/>
    <x v="10"/>
    <x v="3"/>
    <x v="1"/>
    <s v="MG Special"/>
    <s v="Y-corporation"/>
    <x v="0"/>
    <d v="2017-10-18T00:00:00"/>
    <x v="245"/>
    <n v="51"/>
  </r>
  <r>
    <x v="7619"/>
    <x v="10"/>
    <x v="3"/>
    <x v="1"/>
    <s v="MG Advanced"/>
    <s v="Singletechno"/>
    <x v="0"/>
    <d v="2017-10-18T00:00:00"/>
    <x v="297"/>
    <n v="3696"/>
  </r>
  <r>
    <x v="7620"/>
    <x v="16"/>
    <x v="2"/>
    <x v="1"/>
    <s v="GTXPro"/>
    <s v="Plexzap"/>
    <x v="2"/>
    <d v="2017-10-18T00:00:00"/>
    <x v="301"/>
    <n v="0"/>
  </r>
  <r>
    <x v="7621"/>
    <x v="16"/>
    <x v="2"/>
    <x v="1"/>
    <s v="MG Advanced"/>
    <s v="Groovestreet"/>
    <x v="0"/>
    <d v="2017-10-18T00:00:00"/>
    <x v="299"/>
    <n v="3536"/>
  </r>
  <r>
    <x v="7622"/>
    <x v="18"/>
    <x v="2"/>
    <x v="1"/>
    <s v="GTX Basic"/>
    <s v="Dalttechnology"/>
    <x v="2"/>
    <d v="2017-10-18T00:00:00"/>
    <x v="241"/>
    <n v="0"/>
  </r>
  <r>
    <x v="7623"/>
    <x v="18"/>
    <x v="2"/>
    <x v="1"/>
    <s v="MG Special"/>
    <s v="Nam-zim"/>
    <x v="2"/>
    <d v="2017-10-18T00:00:00"/>
    <x v="212"/>
    <n v="0"/>
  </r>
  <r>
    <x v="7624"/>
    <x v="18"/>
    <x v="2"/>
    <x v="1"/>
    <s v="MG Special"/>
    <s v="Plusstrip"/>
    <x v="0"/>
    <d v="2017-10-18T00:00:00"/>
    <x v="268"/>
    <n v="59"/>
  </r>
  <r>
    <x v="7625"/>
    <x v="24"/>
    <x v="0"/>
    <x v="0"/>
    <s v="GTX Basic"/>
    <s v="Funholding"/>
    <x v="0"/>
    <d v="2017-10-18T00:00:00"/>
    <x v="295"/>
    <n v="474"/>
  </r>
  <r>
    <x v="7626"/>
    <x v="22"/>
    <x v="1"/>
    <x v="0"/>
    <s v="MG Special"/>
    <s v="Bioholding"/>
    <x v="0"/>
    <d v="2017-10-18T00:00:00"/>
    <x v="305"/>
    <n v="43"/>
  </r>
  <r>
    <x v="7627"/>
    <x v="22"/>
    <x v="1"/>
    <x v="0"/>
    <s v="MG Special"/>
    <s v="Hottechi"/>
    <x v="0"/>
    <d v="2017-10-18T00:00:00"/>
    <x v="251"/>
    <n v="60"/>
  </r>
  <r>
    <x v="7628"/>
    <x v="6"/>
    <x v="1"/>
    <x v="0"/>
    <s v="GTX Basic"/>
    <s v="Treequote"/>
    <x v="2"/>
    <d v="2017-10-18T00:00:00"/>
    <x v="303"/>
    <n v="0"/>
  </r>
  <r>
    <x v="7629"/>
    <x v="6"/>
    <x v="1"/>
    <x v="0"/>
    <s v="GTX Basic"/>
    <s v="Ron-tech"/>
    <x v="0"/>
    <d v="2017-10-18T00:00:00"/>
    <x v="304"/>
    <n v="461"/>
  </r>
  <r>
    <x v="7630"/>
    <x v="19"/>
    <x v="4"/>
    <x v="2"/>
    <s v="GTX Plus Basic"/>
    <s v="Xx-zobam"/>
    <x v="2"/>
    <d v="2017-10-18T00:00:00"/>
    <x v="263"/>
    <n v="0"/>
  </r>
  <r>
    <x v="7631"/>
    <x v="19"/>
    <x v="4"/>
    <x v="2"/>
    <s v="MG Special"/>
    <s v="Gekko &amp; Co"/>
    <x v="0"/>
    <d v="2017-10-18T00:00:00"/>
    <x v="294"/>
    <n v="54"/>
  </r>
  <r>
    <x v="7632"/>
    <x v="11"/>
    <x v="3"/>
    <x v="1"/>
    <s v="MG Special"/>
    <m/>
    <x v="1"/>
    <d v="2017-10-18T00:00:00"/>
    <x v="6"/>
    <m/>
  </r>
  <r>
    <x v="7633"/>
    <x v="11"/>
    <x v="3"/>
    <x v="1"/>
    <s v="MG Special"/>
    <s v="Plusstrip"/>
    <x v="2"/>
    <d v="2017-10-18T00:00:00"/>
    <x v="236"/>
    <n v="0"/>
  </r>
  <r>
    <x v="7634"/>
    <x v="17"/>
    <x v="5"/>
    <x v="2"/>
    <s v="GTX Plus Basic"/>
    <s v="Umbrella Corporation"/>
    <x v="2"/>
    <d v="2017-10-18T00:00:00"/>
    <x v="300"/>
    <n v="0"/>
  </r>
  <r>
    <x v="7635"/>
    <x v="17"/>
    <x v="5"/>
    <x v="2"/>
    <s v="MG Special"/>
    <s v="Initech"/>
    <x v="2"/>
    <d v="2017-10-18T00:00:00"/>
    <x v="302"/>
    <n v="0"/>
  </r>
  <r>
    <x v="7636"/>
    <x v="4"/>
    <x v="3"/>
    <x v="1"/>
    <s v="GTX Basic"/>
    <s v="Doncon"/>
    <x v="2"/>
    <d v="2017-10-18T00:00:00"/>
    <x v="271"/>
    <n v="0"/>
  </r>
  <r>
    <x v="7637"/>
    <x v="4"/>
    <x v="3"/>
    <x v="1"/>
    <s v="MG Advanced"/>
    <s v="Hottechi"/>
    <x v="2"/>
    <d v="2017-10-18T00:00:00"/>
    <x v="299"/>
    <n v="0"/>
  </r>
  <r>
    <x v="7638"/>
    <x v="4"/>
    <x v="3"/>
    <x v="1"/>
    <s v="MG Advanced"/>
    <s v="Rantouch"/>
    <x v="0"/>
    <d v="2017-10-18T00:00:00"/>
    <x v="304"/>
    <n v="3363"/>
  </r>
  <r>
    <x v="7639"/>
    <x v="3"/>
    <x v="0"/>
    <x v="0"/>
    <s v="GTX Plus Basic"/>
    <s v="Hottechi"/>
    <x v="0"/>
    <d v="2017-10-19T00:00:00"/>
    <x v="305"/>
    <n v="1089"/>
  </r>
  <r>
    <x v="7640"/>
    <x v="23"/>
    <x v="4"/>
    <x v="2"/>
    <s v="GTXPro"/>
    <s v="Opentech"/>
    <x v="2"/>
    <d v="2017-10-19T00:00:00"/>
    <x v="306"/>
    <n v="0"/>
  </r>
  <r>
    <x v="7641"/>
    <x v="23"/>
    <x v="4"/>
    <x v="2"/>
    <s v="GTX Plus Basic"/>
    <s v="Acme Corporation"/>
    <x v="0"/>
    <d v="2017-10-19T00:00:00"/>
    <x v="296"/>
    <n v="1096"/>
  </r>
  <r>
    <x v="7642"/>
    <x v="28"/>
    <x v="0"/>
    <x v="0"/>
    <s v="MG Special"/>
    <s v="Ron-tech"/>
    <x v="0"/>
    <d v="2017-10-19T00:00:00"/>
    <x v="303"/>
    <n v="62"/>
  </r>
  <r>
    <x v="7643"/>
    <x v="27"/>
    <x v="5"/>
    <x v="2"/>
    <s v="MG Advanced"/>
    <s v="Kan-code"/>
    <x v="2"/>
    <d v="2017-10-19T00:00:00"/>
    <x v="274"/>
    <n v="0"/>
  </r>
  <r>
    <x v="7644"/>
    <x v="27"/>
    <x v="5"/>
    <x v="2"/>
    <s v="GTX Plus Basic"/>
    <s v="Konex"/>
    <x v="0"/>
    <d v="2017-10-19T00:00:00"/>
    <x v="296"/>
    <n v="1105"/>
  </r>
  <r>
    <x v="7645"/>
    <x v="13"/>
    <x v="4"/>
    <x v="2"/>
    <s v="GTXPro"/>
    <s v="Bluth Company"/>
    <x v="2"/>
    <d v="2017-10-19T00:00:00"/>
    <x v="302"/>
    <n v="0"/>
  </r>
  <r>
    <x v="7646"/>
    <x v="13"/>
    <x v="4"/>
    <x v="2"/>
    <s v="GTXPro"/>
    <s v="Bioplex"/>
    <x v="0"/>
    <d v="2017-10-19T00:00:00"/>
    <x v="299"/>
    <n v="4353"/>
  </r>
  <r>
    <x v="7647"/>
    <x v="1"/>
    <x v="1"/>
    <x v="0"/>
    <s v="GTXPro"/>
    <s v="Finhigh"/>
    <x v="2"/>
    <d v="2017-10-19T00:00:00"/>
    <x v="302"/>
    <n v="0"/>
  </r>
  <r>
    <x v="7648"/>
    <x v="1"/>
    <x v="1"/>
    <x v="0"/>
    <s v="GTX Plus Pro"/>
    <s v="Warephase"/>
    <x v="0"/>
    <d v="2017-10-19T00:00:00"/>
    <x v="304"/>
    <n v="6276"/>
  </r>
  <r>
    <x v="7649"/>
    <x v="1"/>
    <x v="1"/>
    <x v="0"/>
    <s v="GTXPro"/>
    <s v="Betatech"/>
    <x v="0"/>
    <d v="2017-10-19T00:00:00"/>
    <x v="304"/>
    <n v="4688"/>
  </r>
  <r>
    <x v="7650"/>
    <x v="21"/>
    <x v="5"/>
    <x v="2"/>
    <s v="GTX Basic"/>
    <s v="Ontomedia"/>
    <x v="2"/>
    <d v="2017-10-19T00:00:00"/>
    <x v="301"/>
    <n v="0"/>
  </r>
  <r>
    <x v="7651"/>
    <x v="21"/>
    <x v="5"/>
    <x v="2"/>
    <s v="MG Advanced"/>
    <s v="Opentech"/>
    <x v="0"/>
    <d v="2017-10-19T00:00:00"/>
    <x v="196"/>
    <n v="3422"/>
  </r>
  <r>
    <x v="7652"/>
    <x v="8"/>
    <x v="1"/>
    <x v="0"/>
    <s v="MG Special"/>
    <s v="Hottechi"/>
    <x v="2"/>
    <d v="2017-10-19T00:00:00"/>
    <x v="295"/>
    <n v="0"/>
  </r>
  <r>
    <x v="7653"/>
    <x v="8"/>
    <x v="1"/>
    <x v="0"/>
    <s v="GTXPro"/>
    <s v="Inity"/>
    <x v="0"/>
    <d v="2017-10-19T00:00:00"/>
    <x v="257"/>
    <n v="5192"/>
  </r>
  <r>
    <x v="7654"/>
    <x v="10"/>
    <x v="3"/>
    <x v="1"/>
    <s v="GTX Plus Basic"/>
    <s v="Hottechi"/>
    <x v="0"/>
    <d v="2017-10-19T00:00:00"/>
    <x v="302"/>
    <n v="1226"/>
  </r>
  <r>
    <x v="7655"/>
    <x v="10"/>
    <x v="3"/>
    <x v="1"/>
    <s v="GTX Plus Pro"/>
    <s v="J-Texon"/>
    <x v="0"/>
    <d v="2017-10-19T00:00:00"/>
    <x v="300"/>
    <n v="4552"/>
  </r>
  <r>
    <x v="7656"/>
    <x v="7"/>
    <x v="2"/>
    <x v="1"/>
    <s v="GTX Plus Pro"/>
    <m/>
    <x v="1"/>
    <d v="2017-10-19T00:00:00"/>
    <x v="6"/>
    <m/>
  </r>
  <r>
    <x v="7657"/>
    <x v="7"/>
    <x v="2"/>
    <x v="1"/>
    <s v="GTX Plus Pro"/>
    <s v="Xx-holding"/>
    <x v="0"/>
    <d v="2017-10-19T00:00:00"/>
    <x v="301"/>
    <n v="5569"/>
  </r>
  <r>
    <x v="7658"/>
    <x v="7"/>
    <x v="2"/>
    <x v="1"/>
    <s v="GTXPro"/>
    <s v="Fasehatice"/>
    <x v="0"/>
    <d v="2017-10-19T00:00:00"/>
    <x v="295"/>
    <n v="4389"/>
  </r>
  <r>
    <x v="7659"/>
    <x v="29"/>
    <x v="1"/>
    <x v="0"/>
    <s v="GTX Plus Pro"/>
    <s v="Hottechi"/>
    <x v="2"/>
    <d v="2017-10-19T00:00:00"/>
    <x v="196"/>
    <n v="0"/>
  </r>
  <r>
    <x v="7660"/>
    <x v="16"/>
    <x v="2"/>
    <x v="1"/>
    <s v="GTXPro"/>
    <m/>
    <x v="1"/>
    <d v="2017-10-19T00:00:00"/>
    <x v="6"/>
    <m/>
  </r>
  <r>
    <x v="7661"/>
    <x v="18"/>
    <x v="2"/>
    <x v="1"/>
    <s v="MG Advanced"/>
    <m/>
    <x v="1"/>
    <d v="2017-10-19T00:00:00"/>
    <x v="6"/>
    <m/>
  </r>
  <r>
    <x v="7662"/>
    <x v="24"/>
    <x v="0"/>
    <x v="0"/>
    <s v="MG Advanced"/>
    <s v="Globex Corporation"/>
    <x v="2"/>
    <d v="2017-10-19T00:00:00"/>
    <x v="296"/>
    <n v="0"/>
  </r>
  <r>
    <x v="7663"/>
    <x v="24"/>
    <x v="0"/>
    <x v="0"/>
    <s v="GTX Basic"/>
    <s v="Ron-tech"/>
    <x v="0"/>
    <d v="2017-10-19T00:00:00"/>
    <x v="301"/>
    <n v="451"/>
  </r>
  <r>
    <x v="7664"/>
    <x v="5"/>
    <x v="3"/>
    <x v="1"/>
    <s v="MG Special"/>
    <m/>
    <x v="1"/>
    <d v="2017-10-19T00:00:00"/>
    <x v="6"/>
    <m/>
  </r>
  <r>
    <x v="7665"/>
    <x v="5"/>
    <x v="3"/>
    <x v="1"/>
    <s v="MG Special"/>
    <m/>
    <x v="1"/>
    <d v="2017-10-19T00:00:00"/>
    <x v="6"/>
    <m/>
  </r>
  <r>
    <x v="7666"/>
    <x v="5"/>
    <x v="3"/>
    <x v="1"/>
    <s v="MG Advanced"/>
    <s v="Plexzap"/>
    <x v="2"/>
    <d v="2017-10-19T00:00:00"/>
    <x v="260"/>
    <n v="0"/>
  </r>
  <r>
    <x v="7667"/>
    <x v="5"/>
    <x v="3"/>
    <x v="1"/>
    <s v="GTX Basic"/>
    <s v="Goodsilron"/>
    <x v="0"/>
    <d v="2017-10-19T00:00:00"/>
    <x v="296"/>
    <n v="553"/>
  </r>
  <r>
    <x v="7668"/>
    <x v="22"/>
    <x v="1"/>
    <x v="0"/>
    <s v="GTXPro"/>
    <s v="Scottech"/>
    <x v="2"/>
    <d v="2017-10-19T00:00:00"/>
    <x v="303"/>
    <n v="0"/>
  </r>
  <r>
    <x v="7669"/>
    <x v="9"/>
    <x v="2"/>
    <x v="1"/>
    <s v="GTX Plus Basic"/>
    <m/>
    <x v="1"/>
    <d v="2017-10-19T00:00:00"/>
    <x v="6"/>
    <m/>
  </r>
  <r>
    <x v="7670"/>
    <x v="9"/>
    <x v="2"/>
    <x v="1"/>
    <s v="GTX Basic"/>
    <s v="Blackzim"/>
    <x v="0"/>
    <d v="2017-10-19T00:00:00"/>
    <x v="196"/>
    <n v="524"/>
  </r>
  <r>
    <x v="7671"/>
    <x v="19"/>
    <x v="4"/>
    <x v="2"/>
    <s v="MG Advanced"/>
    <s v="Plussunin"/>
    <x v="2"/>
    <d v="2017-10-19T00:00:00"/>
    <x v="296"/>
    <n v="0"/>
  </r>
  <r>
    <x v="7672"/>
    <x v="12"/>
    <x v="0"/>
    <x v="0"/>
    <s v="GTX Plus Basic"/>
    <s v="Ron-tech"/>
    <x v="2"/>
    <d v="2017-10-19T00:00:00"/>
    <x v="306"/>
    <n v="0"/>
  </r>
  <r>
    <x v="7673"/>
    <x v="12"/>
    <x v="0"/>
    <x v="0"/>
    <s v="MG Special"/>
    <s v="Inity"/>
    <x v="0"/>
    <d v="2017-10-19T00:00:00"/>
    <x v="304"/>
    <n v="53"/>
  </r>
  <r>
    <x v="7674"/>
    <x v="12"/>
    <x v="0"/>
    <x v="0"/>
    <s v="MG Advanced"/>
    <s v="Statholdings"/>
    <x v="0"/>
    <d v="2017-10-19T00:00:00"/>
    <x v="295"/>
    <n v="2749"/>
  </r>
  <r>
    <x v="7675"/>
    <x v="4"/>
    <x v="3"/>
    <x v="1"/>
    <s v="GTXPro"/>
    <s v="J-Texon"/>
    <x v="2"/>
    <d v="2017-10-19T00:00:00"/>
    <x v="301"/>
    <n v="0"/>
  </r>
  <r>
    <x v="7676"/>
    <x v="4"/>
    <x v="3"/>
    <x v="1"/>
    <s v="GTXPro"/>
    <s v="Rantouch"/>
    <x v="2"/>
    <d v="2017-10-19T00:00:00"/>
    <x v="296"/>
    <n v="0"/>
  </r>
  <r>
    <x v="7677"/>
    <x v="4"/>
    <x v="3"/>
    <x v="1"/>
    <s v="GTX Plus Pro"/>
    <s v="Groovestreet"/>
    <x v="0"/>
    <d v="2017-10-19T00:00:00"/>
    <x v="295"/>
    <n v="5368"/>
  </r>
  <r>
    <x v="7678"/>
    <x v="20"/>
    <x v="5"/>
    <x v="2"/>
    <s v="GTXPro"/>
    <s v="Kan-code"/>
    <x v="0"/>
    <d v="2017-10-19T00:00:00"/>
    <x v="267"/>
    <n v="4734"/>
  </r>
  <r>
    <x v="7679"/>
    <x v="20"/>
    <x v="5"/>
    <x v="2"/>
    <s v="MG Advanced"/>
    <s v="Condax"/>
    <x v="0"/>
    <d v="2017-10-19T00:00:00"/>
    <x v="242"/>
    <n v="3089"/>
  </r>
  <r>
    <x v="7680"/>
    <x v="3"/>
    <x v="0"/>
    <x v="0"/>
    <s v="MG Advanced"/>
    <s v="Dontechi"/>
    <x v="2"/>
    <d v="2017-10-20T00:00:00"/>
    <x v="296"/>
    <n v="0"/>
  </r>
  <r>
    <x v="7681"/>
    <x v="3"/>
    <x v="0"/>
    <x v="0"/>
    <s v="MG Special"/>
    <s v="Gogozoom"/>
    <x v="0"/>
    <d v="2017-10-20T00:00:00"/>
    <x v="305"/>
    <n v="54"/>
  </r>
  <r>
    <x v="7682"/>
    <x v="23"/>
    <x v="4"/>
    <x v="2"/>
    <s v="GTXPro"/>
    <s v="Silis"/>
    <x v="0"/>
    <d v="2017-10-20T00:00:00"/>
    <x v="304"/>
    <n v="4345"/>
  </r>
  <r>
    <x v="7683"/>
    <x v="28"/>
    <x v="0"/>
    <x v="0"/>
    <s v="MG Advanced"/>
    <s v="Warephase"/>
    <x v="0"/>
    <d v="2017-10-20T00:00:00"/>
    <x v="304"/>
    <n v="3848"/>
  </r>
  <r>
    <x v="7684"/>
    <x v="27"/>
    <x v="5"/>
    <x v="2"/>
    <s v="GTXPro"/>
    <s v="Initech"/>
    <x v="0"/>
    <d v="2017-10-20T00:00:00"/>
    <x v="301"/>
    <n v="4287"/>
  </r>
  <r>
    <x v="7685"/>
    <x v="1"/>
    <x v="1"/>
    <x v="0"/>
    <s v="GTXPro"/>
    <s v="Codehow"/>
    <x v="0"/>
    <d v="2017-10-20T00:00:00"/>
    <x v="304"/>
    <n v="4435"/>
  </r>
  <r>
    <x v="7686"/>
    <x v="1"/>
    <x v="1"/>
    <x v="0"/>
    <s v="GTXPro"/>
    <s v="Stanredtax"/>
    <x v="0"/>
    <d v="2017-10-20T00:00:00"/>
    <x v="302"/>
    <n v="4699"/>
  </r>
  <r>
    <x v="7687"/>
    <x v="8"/>
    <x v="1"/>
    <x v="0"/>
    <s v="GTX Plus Pro"/>
    <s v="Cancity"/>
    <x v="2"/>
    <d v="2017-10-20T00:00:00"/>
    <x v="299"/>
    <n v="0"/>
  </r>
  <r>
    <x v="7688"/>
    <x v="8"/>
    <x v="1"/>
    <x v="0"/>
    <s v="MG Special"/>
    <s v="Genco Pura Olive Oil Company"/>
    <x v="2"/>
    <d v="2017-10-20T00:00:00"/>
    <x v="297"/>
    <n v="0"/>
  </r>
  <r>
    <x v="7689"/>
    <x v="8"/>
    <x v="1"/>
    <x v="0"/>
    <s v="MG Special"/>
    <s v="Stanredtax"/>
    <x v="0"/>
    <d v="2017-10-20T00:00:00"/>
    <x v="305"/>
    <n v="60"/>
  </r>
  <r>
    <x v="7690"/>
    <x v="10"/>
    <x v="3"/>
    <x v="1"/>
    <s v="GTX Plus Pro"/>
    <s v="Hatfan"/>
    <x v="0"/>
    <d v="2017-10-20T00:00:00"/>
    <x v="296"/>
    <n v="6026"/>
  </r>
  <r>
    <x v="7691"/>
    <x v="7"/>
    <x v="2"/>
    <x v="1"/>
    <s v="GTX Plus Pro"/>
    <s v="Golddex"/>
    <x v="2"/>
    <d v="2017-10-20T00:00:00"/>
    <x v="304"/>
    <n v="0"/>
  </r>
  <r>
    <x v="7692"/>
    <x v="7"/>
    <x v="2"/>
    <x v="1"/>
    <s v="GTX Plus Pro"/>
    <s v="Newex"/>
    <x v="0"/>
    <d v="2017-10-20T00:00:00"/>
    <x v="267"/>
    <n v="5095"/>
  </r>
  <r>
    <x v="7693"/>
    <x v="16"/>
    <x v="2"/>
    <x v="1"/>
    <s v="GTX Basic"/>
    <s v="Fasehatice"/>
    <x v="1"/>
    <d v="2017-10-20T00:00:00"/>
    <x v="6"/>
    <m/>
  </r>
  <r>
    <x v="7694"/>
    <x v="16"/>
    <x v="2"/>
    <x v="1"/>
    <s v="GTX Basic"/>
    <s v="Sunnamplex"/>
    <x v="0"/>
    <d v="2017-10-20T00:00:00"/>
    <x v="242"/>
    <n v="565"/>
  </r>
  <r>
    <x v="7695"/>
    <x v="9"/>
    <x v="2"/>
    <x v="1"/>
    <s v="GTX Plus Pro"/>
    <s v="Y-corporation"/>
    <x v="0"/>
    <d v="2017-10-20T00:00:00"/>
    <x v="255"/>
    <n v="5883"/>
  </r>
  <r>
    <x v="7696"/>
    <x v="6"/>
    <x v="1"/>
    <x v="0"/>
    <s v="GTX Plus Basic"/>
    <s v="Funholding"/>
    <x v="0"/>
    <d v="2017-10-20T00:00:00"/>
    <x v="239"/>
    <n v="1135"/>
  </r>
  <r>
    <x v="7697"/>
    <x v="19"/>
    <x v="4"/>
    <x v="2"/>
    <s v="GTX Plus Basic"/>
    <s v="Konex"/>
    <x v="0"/>
    <d v="2017-10-20T00:00:00"/>
    <x v="261"/>
    <n v="903"/>
  </r>
  <r>
    <x v="7698"/>
    <x v="17"/>
    <x v="5"/>
    <x v="2"/>
    <s v="GTXPro"/>
    <s v="Konex"/>
    <x v="1"/>
    <d v="2017-10-20T00:00:00"/>
    <x v="6"/>
    <m/>
  </r>
  <r>
    <x v="7699"/>
    <x v="4"/>
    <x v="3"/>
    <x v="1"/>
    <s v="MG Special"/>
    <s v="Green-Plus"/>
    <x v="2"/>
    <d v="2017-10-20T00:00:00"/>
    <x v="304"/>
    <n v="0"/>
  </r>
  <r>
    <x v="7700"/>
    <x v="4"/>
    <x v="3"/>
    <x v="1"/>
    <s v="MG Special"/>
    <s v="Lexiqvolax"/>
    <x v="2"/>
    <d v="2017-10-20T00:00:00"/>
    <x v="302"/>
    <n v="0"/>
  </r>
  <r>
    <x v="7701"/>
    <x v="4"/>
    <x v="3"/>
    <x v="1"/>
    <s v="MG Special"/>
    <s v="Dalttechnology"/>
    <x v="0"/>
    <d v="2017-10-20T00:00:00"/>
    <x v="197"/>
    <n v="48"/>
  </r>
  <r>
    <x v="7702"/>
    <x v="2"/>
    <x v="2"/>
    <x v="1"/>
    <s v="GTX Plus Pro"/>
    <s v="Hatfan"/>
    <x v="0"/>
    <d v="2017-10-20T00:00:00"/>
    <x v="305"/>
    <n v="5388"/>
  </r>
  <r>
    <x v="7703"/>
    <x v="2"/>
    <x v="2"/>
    <x v="1"/>
    <s v="GTXPro"/>
    <s v="Plexzap"/>
    <x v="0"/>
    <d v="2017-10-20T00:00:00"/>
    <x v="304"/>
    <n v="4109"/>
  </r>
  <r>
    <x v="7704"/>
    <x v="3"/>
    <x v="0"/>
    <x v="0"/>
    <s v="GTX Plus Basic"/>
    <s v="dambase"/>
    <x v="2"/>
    <d v="2017-10-21T00:00:00"/>
    <x v="298"/>
    <n v="0"/>
  </r>
  <r>
    <x v="7705"/>
    <x v="3"/>
    <x v="0"/>
    <x v="0"/>
    <s v="MG Special"/>
    <s v="Ron-tech"/>
    <x v="2"/>
    <d v="2017-10-21T00:00:00"/>
    <x v="304"/>
    <n v="0"/>
  </r>
  <r>
    <x v="7706"/>
    <x v="3"/>
    <x v="0"/>
    <x v="0"/>
    <s v="GTX Plus Pro"/>
    <s v="Codehow"/>
    <x v="0"/>
    <d v="2017-10-21T00:00:00"/>
    <x v="242"/>
    <n v="5543"/>
  </r>
  <r>
    <x v="7707"/>
    <x v="23"/>
    <x v="4"/>
    <x v="2"/>
    <s v="GTX Plus Basic"/>
    <s v="Donware"/>
    <x v="2"/>
    <d v="2017-10-21T00:00:00"/>
    <x v="246"/>
    <n v="0"/>
  </r>
  <r>
    <x v="7708"/>
    <x v="28"/>
    <x v="0"/>
    <x v="0"/>
    <s v="GTX Plus Basic"/>
    <s v="Streethex"/>
    <x v="2"/>
    <d v="2017-10-21T00:00:00"/>
    <x v="302"/>
    <n v="0"/>
  </r>
  <r>
    <x v="7709"/>
    <x v="28"/>
    <x v="0"/>
    <x v="0"/>
    <s v="MG Advanced"/>
    <s v="Genco Pura Olive Oil Company"/>
    <x v="2"/>
    <d v="2017-10-21T00:00:00"/>
    <x v="304"/>
    <n v="0"/>
  </r>
  <r>
    <x v="7710"/>
    <x v="1"/>
    <x v="1"/>
    <x v="0"/>
    <s v="GTXPro"/>
    <s v="Bioholding"/>
    <x v="2"/>
    <d v="2017-10-21T00:00:00"/>
    <x v="306"/>
    <n v="0"/>
  </r>
  <r>
    <x v="7711"/>
    <x v="1"/>
    <x v="1"/>
    <x v="0"/>
    <s v="GTXPro"/>
    <s v="Statholdings"/>
    <x v="0"/>
    <d v="2017-10-21T00:00:00"/>
    <x v="303"/>
    <n v="4732"/>
  </r>
  <r>
    <x v="7712"/>
    <x v="1"/>
    <x v="1"/>
    <x v="0"/>
    <s v="MG Special"/>
    <s v="Codehow"/>
    <x v="0"/>
    <d v="2017-10-21T00:00:00"/>
    <x v="233"/>
    <n v="55"/>
  </r>
  <r>
    <x v="7713"/>
    <x v="26"/>
    <x v="4"/>
    <x v="2"/>
    <s v="GTX Basic"/>
    <s v="Xx-zobam"/>
    <x v="2"/>
    <d v="2017-10-21T00:00:00"/>
    <x v="305"/>
    <n v="0"/>
  </r>
  <r>
    <x v="7714"/>
    <x v="26"/>
    <x v="4"/>
    <x v="2"/>
    <s v="GTX Plus Pro"/>
    <s v="The New York Inquirer"/>
    <x v="2"/>
    <d v="2017-10-21T00:00:00"/>
    <x v="303"/>
    <n v="0"/>
  </r>
  <r>
    <x v="7715"/>
    <x v="8"/>
    <x v="1"/>
    <x v="0"/>
    <s v="MG Special"/>
    <s v="Konmatfix"/>
    <x v="0"/>
    <d v="2017-10-21T00:00:00"/>
    <x v="305"/>
    <n v="52"/>
  </r>
  <r>
    <x v="7716"/>
    <x v="29"/>
    <x v="1"/>
    <x v="0"/>
    <s v="GTX Basic"/>
    <s v="Genco Pura Olive Oil Company"/>
    <x v="2"/>
    <d v="2017-10-21T00:00:00"/>
    <x v="297"/>
    <n v="0"/>
  </r>
  <r>
    <x v="7717"/>
    <x v="16"/>
    <x v="2"/>
    <x v="1"/>
    <s v="GTX Basic"/>
    <s v="Doncon"/>
    <x v="2"/>
    <d v="2017-10-21T00:00:00"/>
    <x v="247"/>
    <n v="0"/>
  </r>
  <r>
    <x v="7718"/>
    <x v="18"/>
    <x v="2"/>
    <x v="1"/>
    <s v="GTX Basic"/>
    <s v="Cheers"/>
    <x v="2"/>
    <d v="2017-10-21T00:00:00"/>
    <x v="298"/>
    <n v="0"/>
  </r>
  <r>
    <x v="7719"/>
    <x v="18"/>
    <x v="2"/>
    <x v="1"/>
    <s v="GTX Basic"/>
    <s v="Labdrill"/>
    <x v="0"/>
    <d v="2017-10-21T00:00:00"/>
    <x v="304"/>
    <n v="575"/>
  </r>
  <r>
    <x v="7720"/>
    <x v="9"/>
    <x v="2"/>
    <x v="1"/>
    <s v="GTX Basic"/>
    <s v="Green-Plus"/>
    <x v="2"/>
    <d v="2017-10-21T00:00:00"/>
    <x v="305"/>
    <n v="0"/>
  </r>
  <r>
    <x v="7721"/>
    <x v="6"/>
    <x v="1"/>
    <x v="0"/>
    <s v="MG Special"/>
    <s v="Domzoom"/>
    <x v="2"/>
    <d v="2017-10-21T00:00:00"/>
    <x v="196"/>
    <n v="0"/>
  </r>
  <r>
    <x v="7722"/>
    <x v="19"/>
    <x v="4"/>
    <x v="2"/>
    <s v="MG Advanced"/>
    <s v="Plussunin"/>
    <x v="0"/>
    <d v="2017-10-21T00:00:00"/>
    <x v="303"/>
    <n v="3612"/>
  </r>
  <r>
    <x v="7723"/>
    <x v="15"/>
    <x v="5"/>
    <x v="2"/>
    <s v="MG Special"/>
    <s v="Zathunicon"/>
    <x v="2"/>
    <d v="2017-10-21T00:00:00"/>
    <x v="300"/>
    <n v="0"/>
  </r>
  <r>
    <x v="7724"/>
    <x v="20"/>
    <x v="5"/>
    <x v="2"/>
    <s v="GTXPro"/>
    <s v="Iselectrics"/>
    <x v="0"/>
    <d v="2017-10-21T00:00:00"/>
    <x v="273"/>
    <n v="4970"/>
  </r>
  <r>
    <x v="7725"/>
    <x v="20"/>
    <x v="5"/>
    <x v="2"/>
    <s v="MG Advanced"/>
    <s v="Ganjaflex"/>
    <x v="0"/>
    <d v="2017-10-21T00:00:00"/>
    <x v="306"/>
    <n v="2995"/>
  </r>
  <r>
    <x v="7726"/>
    <x v="25"/>
    <x v="4"/>
    <x v="2"/>
    <s v="GTX Basic"/>
    <s v="Zathunicon"/>
    <x v="0"/>
    <d v="2017-10-22T00:00:00"/>
    <x v="265"/>
    <n v="546"/>
  </r>
  <r>
    <x v="7727"/>
    <x v="25"/>
    <x v="4"/>
    <x v="2"/>
    <s v="GTX Plus Basic"/>
    <s v="Gekko &amp; Co"/>
    <x v="0"/>
    <d v="2017-10-22T00:00:00"/>
    <x v="245"/>
    <n v="1184"/>
  </r>
  <r>
    <x v="7728"/>
    <x v="23"/>
    <x v="4"/>
    <x v="2"/>
    <s v="GTX Plus Pro"/>
    <s v="Plussunin"/>
    <x v="0"/>
    <d v="2017-10-22T00:00:00"/>
    <x v="299"/>
    <n v="5500"/>
  </r>
  <r>
    <x v="7729"/>
    <x v="28"/>
    <x v="0"/>
    <x v="0"/>
    <s v="MG Advanced"/>
    <s v="Domzoom"/>
    <x v="0"/>
    <d v="2017-10-22T00:00:00"/>
    <x v="299"/>
    <n v="3616"/>
  </r>
  <r>
    <x v="7730"/>
    <x v="27"/>
    <x v="5"/>
    <x v="2"/>
    <s v="GTK 500"/>
    <s v="Kan-code"/>
    <x v="2"/>
    <d v="2017-10-22T00:00:00"/>
    <x v="262"/>
    <n v="0"/>
  </r>
  <r>
    <x v="7731"/>
    <x v="13"/>
    <x v="4"/>
    <x v="2"/>
    <s v="MG Advanced"/>
    <s v="Mathtouch"/>
    <x v="2"/>
    <d v="2017-10-22T00:00:00"/>
    <x v="301"/>
    <n v="0"/>
  </r>
  <r>
    <x v="7732"/>
    <x v="1"/>
    <x v="1"/>
    <x v="0"/>
    <s v="GTX Plus Basic"/>
    <s v="Rundofase"/>
    <x v="0"/>
    <d v="2017-10-22T00:00:00"/>
    <x v="272"/>
    <n v="1087"/>
  </r>
  <r>
    <x v="7733"/>
    <x v="1"/>
    <x v="1"/>
    <x v="0"/>
    <s v="GTXPro"/>
    <s v="Inity"/>
    <x v="0"/>
    <d v="2017-10-22T00:00:00"/>
    <x v="305"/>
    <n v="3578"/>
  </r>
  <r>
    <x v="7734"/>
    <x v="14"/>
    <x v="3"/>
    <x v="1"/>
    <s v="GTX Basic"/>
    <s v="Finjob"/>
    <x v="0"/>
    <d v="2017-10-22T00:00:00"/>
    <x v="303"/>
    <n v="544"/>
  </r>
  <r>
    <x v="7735"/>
    <x v="14"/>
    <x v="3"/>
    <x v="1"/>
    <s v="MG Advanced"/>
    <s v="Dalttechnology"/>
    <x v="0"/>
    <d v="2017-10-22T00:00:00"/>
    <x v="303"/>
    <n v="3082"/>
  </r>
  <r>
    <x v="7736"/>
    <x v="14"/>
    <x v="3"/>
    <x v="1"/>
    <s v="MG Advanced"/>
    <s v="Hottechi"/>
    <x v="0"/>
    <d v="2017-10-22T00:00:00"/>
    <x v="299"/>
    <n v="3450"/>
  </r>
  <r>
    <x v="7737"/>
    <x v="21"/>
    <x v="5"/>
    <x v="2"/>
    <s v="GTXPro"/>
    <s v="Kan-code"/>
    <x v="0"/>
    <d v="2017-10-22T00:00:00"/>
    <x v="303"/>
    <n v="5360"/>
  </r>
  <r>
    <x v="7738"/>
    <x v="7"/>
    <x v="2"/>
    <x v="1"/>
    <s v="GTXPro"/>
    <s v="Cheers"/>
    <x v="0"/>
    <d v="2017-10-22T00:00:00"/>
    <x v="196"/>
    <n v="4991"/>
  </r>
  <r>
    <x v="7739"/>
    <x v="7"/>
    <x v="2"/>
    <x v="1"/>
    <s v="MG Advanced"/>
    <s v="Cheers"/>
    <x v="0"/>
    <d v="2017-10-22T00:00:00"/>
    <x v="305"/>
    <n v="3294"/>
  </r>
  <r>
    <x v="7740"/>
    <x v="29"/>
    <x v="1"/>
    <x v="0"/>
    <s v="GTX Plus Basic"/>
    <s v="Conecom"/>
    <x v="2"/>
    <d v="2017-10-22T00:00:00"/>
    <x v="305"/>
    <n v="0"/>
  </r>
  <r>
    <x v="7741"/>
    <x v="5"/>
    <x v="3"/>
    <x v="1"/>
    <s v="GTX Plus Basic"/>
    <s v="Rantouch"/>
    <x v="0"/>
    <d v="2017-10-22T00:00:00"/>
    <x v="306"/>
    <n v="981"/>
  </r>
  <r>
    <x v="7742"/>
    <x v="22"/>
    <x v="1"/>
    <x v="0"/>
    <s v="GTX Plus Basic"/>
    <s v="Isdom"/>
    <x v="2"/>
    <d v="2017-10-22T00:00:00"/>
    <x v="197"/>
    <n v="0"/>
  </r>
  <r>
    <x v="7743"/>
    <x v="22"/>
    <x v="1"/>
    <x v="0"/>
    <s v="GTX Plus Pro"/>
    <s v="Streethex"/>
    <x v="0"/>
    <d v="2017-10-22T00:00:00"/>
    <x v="298"/>
    <n v="6233"/>
  </r>
  <r>
    <x v="7744"/>
    <x v="22"/>
    <x v="1"/>
    <x v="0"/>
    <s v="MG Special"/>
    <s v="Domzoom"/>
    <x v="0"/>
    <d v="2017-10-22T00:00:00"/>
    <x v="260"/>
    <n v="55"/>
  </r>
  <r>
    <x v="7745"/>
    <x v="6"/>
    <x v="1"/>
    <x v="0"/>
    <s v="MG Special"/>
    <s v="Globex Corporation"/>
    <x v="2"/>
    <d v="2017-10-22T00:00:00"/>
    <x v="302"/>
    <n v="0"/>
  </r>
  <r>
    <x v="7746"/>
    <x v="6"/>
    <x v="1"/>
    <x v="0"/>
    <s v="GTX Plus Pro"/>
    <s v="Conecom"/>
    <x v="0"/>
    <d v="2017-10-22T00:00:00"/>
    <x v="249"/>
    <n v="6142"/>
  </r>
  <r>
    <x v="7747"/>
    <x v="11"/>
    <x v="3"/>
    <x v="1"/>
    <s v="GTX Basic"/>
    <m/>
    <x v="1"/>
    <d v="2017-10-22T00:00:00"/>
    <x v="6"/>
    <m/>
  </r>
  <r>
    <x v="7748"/>
    <x v="11"/>
    <x v="3"/>
    <x v="1"/>
    <s v="MG Special"/>
    <s v="Golddex"/>
    <x v="2"/>
    <d v="2017-10-22T00:00:00"/>
    <x v="303"/>
    <n v="0"/>
  </r>
  <r>
    <x v="7749"/>
    <x v="17"/>
    <x v="5"/>
    <x v="2"/>
    <s v="GTX Plus Basic"/>
    <s v="Umbrella Corporation"/>
    <x v="2"/>
    <d v="2017-10-22T00:00:00"/>
    <x v="258"/>
    <n v="0"/>
  </r>
  <r>
    <x v="7750"/>
    <x v="4"/>
    <x v="3"/>
    <x v="1"/>
    <s v="GTXPro"/>
    <s v="Hatfan"/>
    <x v="0"/>
    <d v="2017-10-22T00:00:00"/>
    <x v="302"/>
    <n v="5190"/>
  </r>
  <r>
    <x v="7751"/>
    <x v="23"/>
    <x v="4"/>
    <x v="2"/>
    <s v="MG Advanced"/>
    <s v="Initech"/>
    <x v="2"/>
    <d v="2017-10-23T00:00:00"/>
    <x v="300"/>
    <n v="0"/>
  </r>
  <r>
    <x v="7752"/>
    <x v="23"/>
    <x v="4"/>
    <x v="2"/>
    <s v="GTX Plus Basic"/>
    <s v="Gekko &amp; Co"/>
    <x v="0"/>
    <d v="2017-10-23T00:00:00"/>
    <x v="196"/>
    <n v="1027"/>
  </r>
  <r>
    <x v="7753"/>
    <x v="1"/>
    <x v="1"/>
    <x v="0"/>
    <s v="GTX Plus Basic"/>
    <s v="Dontechi"/>
    <x v="0"/>
    <d v="2017-10-23T00:00:00"/>
    <x v="306"/>
    <n v="1237"/>
  </r>
  <r>
    <x v="7754"/>
    <x v="1"/>
    <x v="1"/>
    <x v="0"/>
    <s v="GTX Plus Basic"/>
    <s v="Streethex"/>
    <x v="0"/>
    <d v="2017-10-23T00:00:00"/>
    <x v="303"/>
    <n v="965"/>
  </r>
  <r>
    <x v="7755"/>
    <x v="1"/>
    <x v="1"/>
    <x v="0"/>
    <s v="GTXPro"/>
    <s v="Inity"/>
    <x v="0"/>
    <d v="2017-10-23T00:00:00"/>
    <x v="197"/>
    <n v="5729"/>
  </r>
  <r>
    <x v="7756"/>
    <x v="1"/>
    <x v="1"/>
    <x v="0"/>
    <s v="GTXPro"/>
    <s v="Isdom"/>
    <x v="0"/>
    <d v="2017-10-23T00:00:00"/>
    <x v="299"/>
    <n v="5685"/>
  </r>
  <r>
    <x v="7757"/>
    <x v="1"/>
    <x v="1"/>
    <x v="0"/>
    <s v="GTXPro"/>
    <s v="Rundofase"/>
    <x v="0"/>
    <d v="2017-10-23T00:00:00"/>
    <x v="301"/>
    <n v="4024"/>
  </r>
  <r>
    <x v="7758"/>
    <x v="26"/>
    <x v="4"/>
    <x v="2"/>
    <s v="GTX Basic"/>
    <s v="Silis"/>
    <x v="0"/>
    <d v="2017-10-23T00:00:00"/>
    <x v="239"/>
    <n v="511"/>
  </r>
  <r>
    <x v="7759"/>
    <x v="14"/>
    <x v="3"/>
    <x v="1"/>
    <s v="GTX Plus Pro"/>
    <s v="Sonron"/>
    <x v="2"/>
    <d v="2017-10-23T00:00:00"/>
    <x v="305"/>
    <n v="0"/>
  </r>
  <r>
    <x v="7760"/>
    <x v="21"/>
    <x v="5"/>
    <x v="2"/>
    <s v="GTXPro"/>
    <s v="Ontomedia"/>
    <x v="2"/>
    <d v="2017-10-23T00:00:00"/>
    <x v="217"/>
    <n v="0"/>
  </r>
  <r>
    <x v="7761"/>
    <x v="8"/>
    <x v="1"/>
    <x v="0"/>
    <s v="MG Advanced"/>
    <s v="Stanredtax"/>
    <x v="2"/>
    <d v="2017-10-23T00:00:00"/>
    <x v="299"/>
    <n v="0"/>
  </r>
  <r>
    <x v="7762"/>
    <x v="18"/>
    <x v="2"/>
    <x v="1"/>
    <s v="GTX Plus Pro"/>
    <s v="Rangreen"/>
    <x v="1"/>
    <d v="2017-10-23T00:00:00"/>
    <x v="6"/>
    <m/>
  </r>
  <r>
    <x v="7763"/>
    <x v="18"/>
    <x v="2"/>
    <x v="1"/>
    <s v="GTXPro"/>
    <s v="Y-corporation"/>
    <x v="0"/>
    <d v="2017-10-23T00:00:00"/>
    <x v="212"/>
    <n v="4382"/>
  </r>
  <r>
    <x v="7764"/>
    <x v="22"/>
    <x v="1"/>
    <x v="0"/>
    <s v="GTX Plus Basic"/>
    <s v="Funholding"/>
    <x v="2"/>
    <d v="2017-10-23T00:00:00"/>
    <x v="232"/>
    <n v="0"/>
  </r>
  <r>
    <x v="7765"/>
    <x v="22"/>
    <x v="1"/>
    <x v="0"/>
    <s v="GTX Plus Pro"/>
    <s v="Treequote"/>
    <x v="0"/>
    <d v="2017-10-23T00:00:00"/>
    <x v="305"/>
    <n v="5516"/>
  </r>
  <r>
    <x v="7766"/>
    <x v="12"/>
    <x v="0"/>
    <x v="0"/>
    <s v="GTX Plus Pro"/>
    <s v="Finhigh"/>
    <x v="2"/>
    <d v="2017-10-23T00:00:00"/>
    <x v="205"/>
    <n v="0"/>
  </r>
  <r>
    <x v="7767"/>
    <x v="4"/>
    <x v="3"/>
    <x v="1"/>
    <s v="GTX Plus Pro"/>
    <m/>
    <x v="1"/>
    <d v="2017-10-23T00:00:00"/>
    <x v="6"/>
    <m/>
  </r>
  <r>
    <x v="7768"/>
    <x v="4"/>
    <x v="3"/>
    <x v="1"/>
    <s v="GTXPro"/>
    <s v="Rantouch"/>
    <x v="2"/>
    <d v="2017-10-23T00:00:00"/>
    <x v="299"/>
    <n v="0"/>
  </r>
  <r>
    <x v="7769"/>
    <x v="4"/>
    <x v="3"/>
    <x v="1"/>
    <s v="MG Special"/>
    <s v="Condax"/>
    <x v="0"/>
    <d v="2017-10-23T00:00:00"/>
    <x v="270"/>
    <n v="51"/>
  </r>
  <r>
    <x v="7770"/>
    <x v="2"/>
    <x v="2"/>
    <x v="1"/>
    <s v="GTX Plus Basic"/>
    <s v="Groovestreet"/>
    <x v="2"/>
    <d v="2017-10-23T00:00:00"/>
    <x v="302"/>
    <n v="0"/>
  </r>
  <r>
    <x v="7771"/>
    <x v="2"/>
    <x v="2"/>
    <x v="1"/>
    <s v="GTX Plus Basic"/>
    <s v="Kan-code"/>
    <x v="0"/>
    <d v="2017-10-23T00:00:00"/>
    <x v="306"/>
    <n v="1195"/>
  </r>
  <r>
    <x v="7772"/>
    <x v="25"/>
    <x v="4"/>
    <x v="2"/>
    <s v="GTX Plus Basic"/>
    <s v="Mathtouch"/>
    <x v="2"/>
    <d v="2017-10-24T00:00:00"/>
    <x v="301"/>
    <n v="0"/>
  </r>
  <r>
    <x v="7773"/>
    <x v="23"/>
    <x v="4"/>
    <x v="2"/>
    <s v="GTX Plus Pro"/>
    <s v="Silis"/>
    <x v="2"/>
    <d v="2017-10-24T00:00:00"/>
    <x v="300"/>
    <n v="0"/>
  </r>
  <r>
    <x v="7774"/>
    <x v="23"/>
    <x v="4"/>
    <x v="2"/>
    <s v="MG Advanced"/>
    <s v="Kinnamplus"/>
    <x v="0"/>
    <d v="2017-10-24T00:00:00"/>
    <x v="199"/>
    <n v="3588"/>
  </r>
  <r>
    <x v="7775"/>
    <x v="27"/>
    <x v="5"/>
    <x v="2"/>
    <s v="MG Special"/>
    <m/>
    <x v="1"/>
    <d v="2017-10-24T00:00:00"/>
    <x v="6"/>
    <m/>
  </r>
  <r>
    <x v="7776"/>
    <x v="13"/>
    <x v="4"/>
    <x v="2"/>
    <s v="GTX Plus Basic"/>
    <s v="Massive Dynamic"/>
    <x v="2"/>
    <d v="2017-10-24T00:00:00"/>
    <x v="303"/>
    <n v="0"/>
  </r>
  <r>
    <x v="7777"/>
    <x v="1"/>
    <x v="1"/>
    <x v="0"/>
    <s v="GTX Plus Basic"/>
    <s v="Codehow"/>
    <x v="2"/>
    <d v="2017-10-24T00:00:00"/>
    <x v="227"/>
    <n v="0"/>
  </r>
  <r>
    <x v="7778"/>
    <x v="1"/>
    <x v="1"/>
    <x v="0"/>
    <s v="GTXPro"/>
    <s v="Stanredtax"/>
    <x v="0"/>
    <d v="2017-10-24T00:00:00"/>
    <x v="238"/>
    <n v="5542"/>
  </r>
  <r>
    <x v="7779"/>
    <x v="7"/>
    <x v="2"/>
    <x v="1"/>
    <s v="MG Advanced"/>
    <s v="Finjob"/>
    <x v="0"/>
    <d v="2017-10-24T00:00:00"/>
    <x v="271"/>
    <n v="3296"/>
  </r>
  <r>
    <x v="7780"/>
    <x v="29"/>
    <x v="1"/>
    <x v="0"/>
    <s v="GTX Plus Basic"/>
    <s v="Domzoom"/>
    <x v="2"/>
    <d v="2017-10-24T00:00:00"/>
    <x v="300"/>
    <n v="0"/>
  </r>
  <r>
    <x v="7781"/>
    <x v="29"/>
    <x v="1"/>
    <x v="0"/>
    <s v="GTX Basic"/>
    <s v="Betatech"/>
    <x v="0"/>
    <d v="2017-10-24T00:00:00"/>
    <x v="303"/>
    <n v="519"/>
  </r>
  <r>
    <x v="7782"/>
    <x v="29"/>
    <x v="1"/>
    <x v="0"/>
    <s v="GTX Plus Basic"/>
    <s v="Betatech"/>
    <x v="0"/>
    <d v="2017-10-24T00:00:00"/>
    <x v="300"/>
    <n v="1243"/>
  </r>
  <r>
    <x v="7783"/>
    <x v="16"/>
    <x v="2"/>
    <x v="1"/>
    <s v="MG Advanced"/>
    <s v="Fasehatice"/>
    <x v="2"/>
    <d v="2017-10-24T00:00:00"/>
    <x v="301"/>
    <n v="0"/>
  </r>
  <r>
    <x v="7784"/>
    <x v="24"/>
    <x v="0"/>
    <x v="0"/>
    <s v="GTX Plus Basic"/>
    <s v="Ron-tech"/>
    <x v="0"/>
    <d v="2017-10-24T00:00:00"/>
    <x v="306"/>
    <n v="1133"/>
  </r>
  <r>
    <x v="7785"/>
    <x v="22"/>
    <x v="1"/>
    <x v="0"/>
    <s v="GTX Basic"/>
    <s v="Hottechi"/>
    <x v="2"/>
    <d v="2017-10-24T00:00:00"/>
    <x v="266"/>
    <n v="0"/>
  </r>
  <r>
    <x v="7786"/>
    <x v="22"/>
    <x v="1"/>
    <x v="0"/>
    <s v="MG Advanced"/>
    <s v="Genco Pura Olive Oil Company"/>
    <x v="2"/>
    <d v="2017-10-24T00:00:00"/>
    <x v="272"/>
    <n v="0"/>
  </r>
  <r>
    <x v="7787"/>
    <x v="9"/>
    <x v="2"/>
    <x v="1"/>
    <s v="GTX Plus Pro"/>
    <s v="Dalttechnology"/>
    <x v="0"/>
    <d v="2017-10-24T00:00:00"/>
    <x v="234"/>
    <n v="4945"/>
  </r>
  <r>
    <x v="7788"/>
    <x v="12"/>
    <x v="0"/>
    <x v="0"/>
    <s v="MG Advanced"/>
    <s v="Treequote"/>
    <x v="2"/>
    <d v="2017-10-24T00:00:00"/>
    <x v="305"/>
    <n v="0"/>
  </r>
  <r>
    <x v="7789"/>
    <x v="4"/>
    <x v="3"/>
    <x v="1"/>
    <s v="GTX Basic"/>
    <s v="Cheers"/>
    <x v="0"/>
    <d v="2017-10-24T00:00:00"/>
    <x v="301"/>
    <n v="535"/>
  </r>
  <r>
    <x v="7790"/>
    <x v="20"/>
    <x v="5"/>
    <x v="2"/>
    <s v="GTX Basic"/>
    <m/>
    <x v="1"/>
    <d v="2017-10-24T00:00:00"/>
    <x v="6"/>
    <m/>
  </r>
  <r>
    <x v="7791"/>
    <x v="2"/>
    <x v="2"/>
    <x v="1"/>
    <s v="MG Advanced"/>
    <s v="Zoomit"/>
    <x v="2"/>
    <d v="2017-10-24T00:00:00"/>
    <x v="233"/>
    <n v="0"/>
  </r>
  <r>
    <x v="7792"/>
    <x v="3"/>
    <x v="0"/>
    <x v="0"/>
    <s v="MG Special"/>
    <s v="Cancity"/>
    <x v="0"/>
    <d v="2017-10-25T00:00:00"/>
    <x v="244"/>
    <n v="59"/>
  </r>
  <r>
    <x v="7793"/>
    <x v="27"/>
    <x v="5"/>
    <x v="2"/>
    <s v="GTX Basic"/>
    <m/>
    <x v="1"/>
    <d v="2017-10-25T00:00:00"/>
    <x v="6"/>
    <m/>
  </r>
  <r>
    <x v="7794"/>
    <x v="13"/>
    <x v="4"/>
    <x v="2"/>
    <s v="GTX Basic"/>
    <s v="Condax"/>
    <x v="0"/>
    <d v="2017-10-25T00:00:00"/>
    <x v="304"/>
    <n v="526"/>
  </r>
  <r>
    <x v="7795"/>
    <x v="26"/>
    <x v="4"/>
    <x v="2"/>
    <s v="GTX Basic"/>
    <s v="Acme Corporation"/>
    <x v="0"/>
    <d v="2017-10-25T00:00:00"/>
    <x v="212"/>
    <n v="586"/>
  </r>
  <r>
    <x v="7796"/>
    <x v="8"/>
    <x v="1"/>
    <x v="0"/>
    <s v="MG Advanced"/>
    <s v="Scottech"/>
    <x v="2"/>
    <d v="2017-10-25T00:00:00"/>
    <x v="304"/>
    <n v="0"/>
  </r>
  <r>
    <x v="7797"/>
    <x v="29"/>
    <x v="1"/>
    <x v="0"/>
    <s v="GTXPro"/>
    <s v="Rundofase"/>
    <x v="0"/>
    <d v="2017-10-25T00:00:00"/>
    <x v="234"/>
    <n v="4356"/>
  </r>
  <r>
    <x v="7798"/>
    <x v="5"/>
    <x v="3"/>
    <x v="1"/>
    <s v="GTX Basic"/>
    <s v="Condax"/>
    <x v="0"/>
    <d v="2017-10-25T00:00:00"/>
    <x v="301"/>
    <n v="566"/>
  </r>
  <r>
    <x v="7799"/>
    <x v="9"/>
    <x v="2"/>
    <x v="1"/>
    <s v="MG Advanced"/>
    <m/>
    <x v="1"/>
    <d v="2017-10-25T00:00:00"/>
    <x v="6"/>
    <m/>
  </r>
  <r>
    <x v="7800"/>
    <x v="0"/>
    <x v="0"/>
    <x v="0"/>
    <s v="GTX Basic"/>
    <s v="Hottechi"/>
    <x v="0"/>
    <d v="2017-10-25T00:00:00"/>
    <x v="265"/>
    <n v="537"/>
  </r>
  <r>
    <x v="7801"/>
    <x v="15"/>
    <x v="5"/>
    <x v="2"/>
    <s v="MG Special"/>
    <s v="The New York Inquirer"/>
    <x v="0"/>
    <d v="2017-10-25T00:00:00"/>
    <x v="261"/>
    <n v="47"/>
  </r>
  <r>
    <x v="7802"/>
    <x v="2"/>
    <x v="2"/>
    <x v="1"/>
    <s v="GTX Basic"/>
    <s v="Condax"/>
    <x v="0"/>
    <d v="2017-10-25T00:00:00"/>
    <x v="197"/>
    <n v="447"/>
  </r>
  <r>
    <x v="7803"/>
    <x v="3"/>
    <x v="0"/>
    <x v="0"/>
    <s v="GTX Plus Basic"/>
    <s v="Domzoom"/>
    <x v="0"/>
    <d v="2017-10-26T00:00:00"/>
    <x v="304"/>
    <n v="1103"/>
  </r>
  <r>
    <x v="7804"/>
    <x v="3"/>
    <x v="0"/>
    <x v="0"/>
    <s v="MG Special"/>
    <s v="Finhigh"/>
    <x v="0"/>
    <d v="2017-10-26T00:00:00"/>
    <x v="270"/>
    <n v="57"/>
  </r>
  <r>
    <x v="7805"/>
    <x v="23"/>
    <x v="4"/>
    <x v="2"/>
    <s v="GTX Basic"/>
    <s v="Betasoloin"/>
    <x v="2"/>
    <d v="2017-10-26T00:00:00"/>
    <x v="205"/>
    <n v="0"/>
  </r>
  <r>
    <x v="7806"/>
    <x v="28"/>
    <x v="0"/>
    <x v="0"/>
    <s v="GTX Plus Pro"/>
    <s v="Hottechi"/>
    <x v="2"/>
    <d v="2017-10-26T00:00:00"/>
    <x v="253"/>
    <n v="0"/>
  </r>
  <r>
    <x v="7807"/>
    <x v="27"/>
    <x v="5"/>
    <x v="2"/>
    <s v="GTXPro"/>
    <s v="Ontomedia"/>
    <x v="0"/>
    <d v="2017-10-26T00:00:00"/>
    <x v="217"/>
    <n v="4525"/>
  </r>
  <r>
    <x v="7808"/>
    <x v="1"/>
    <x v="1"/>
    <x v="0"/>
    <s v="GTXPro"/>
    <s v="Isdom"/>
    <x v="2"/>
    <d v="2017-10-26T00:00:00"/>
    <x v="305"/>
    <n v="0"/>
  </r>
  <r>
    <x v="7809"/>
    <x v="1"/>
    <x v="1"/>
    <x v="0"/>
    <s v="GTXPro"/>
    <s v="Zumgoity"/>
    <x v="2"/>
    <d v="2017-10-26T00:00:00"/>
    <x v="304"/>
    <n v="0"/>
  </r>
  <r>
    <x v="7810"/>
    <x v="14"/>
    <x v="3"/>
    <x v="1"/>
    <s v="GTX Basic"/>
    <s v="Fasehatice"/>
    <x v="0"/>
    <d v="2017-10-26T00:00:00"/>
    <x v="302"/>
    <n v="504"/>
  </r>
  <r>
    <x v="7811"/>
    <x v="8"/>
    <x v="1"/>
    <x v="0"/>
    <s v="GTXPro"/>
    <s v="Dontechi"/>
    <x v="2"/>
    <d v="2017-10-26T00:00:00"/>
    <x v="304"/>
    <n v="0"/>
  </r>
  <r>
    <x v="7812"/>
    <x v="22"/>
    <x v="1"/>
    <x v="0"/>
    <s v="GTXPro"/>
    <s v="Scottech"/>
    <x v="0"/>
    <d v="2017-10-26T00:00:00"/>
    <x v="306"/>
    <n v="4377"/>
  </r>
  <r>
    <x v="7813"/>
    <x v="22"/>
    <x v="1"/>
    <x v="0"/>
    <s v="MG Advanced"/>
    <s v="Betatech"/>
    <x v="0"/>
    <d v="2017-10-26T00:00:00"/>
    <x v="304"/>
    <n v="3353"/>
  </r>
  <r>
    <x v="7814"/>
    <x v="9"/>
    <x v="2"/>
    <x v="1"/>
    <s v="GTX Plus Pro"/>
    <s v="Kan-code"/>
    <x v="2"/>
    <d v="2017-10-26T00:00:00"/>
    <x v="306"/>
    <n v="0"/>
  </r>
  <r>
    <x v="7815"/>
    <x v="9"/>
    <x v="2"/>
    <x v="1"/>
    <s v="MG Special"/>
    <s v="Fasehatice"/>
    <x v="0"/>
    <d v="2017-10-26T00:00:00"/>
    <x v="197"/>
    <n v="50"/>
  </r>
  <r>
    <x v="7816"/>
    <x v="6"/>
    <x v="1"/>
    <x v="0"/>
    <s v="GTX Basic"/>
    <s v="Conecom"/>
    <x v="2"/>
    <d v="2017-10-26T00:00:00"/>
    <x v="305"/>
    <n v="0"/>
  </r>
  <r>
    <x v="7817"/>
    <x v="4"/>
    <x v="3"/>
    <x v="1"/>
    <s v="GTX Basic"/>
    <m/>
    <x v="1"/>
    <d v="2017-10-26T00:00:00"/>
    <x v="6"/>
    <m/>
  </r>
  <r>
    <x v="7818"/>
    <x v="4"/>
    <x v="3"/>
    <x v="1"/>
    <s v="GTX Basic"/>
    <s v="Blackzim"/>
    <x v="2"/>
    <d v="2017-10-26T00:00:00"/>
    <x v="302"/>
    <n v="0"/>
  </r>
  <r>
    <x v="7819"/>
    <x v="4"/>
    <x v="3"/>
    <x v="1"/>
    <s v="GTX Basic"/>
    <s v="Groovestreet"/>
    <x v="2"/>
    <d v="2017-10-26T00:00:00"/>
    <x v="304"/>
    <n v="0"/>
  </r>
  <r>
    <x v="7820"/>
    <x v="4"/>
    <x v="3"/>
    <x v="1"/>
    <s v="MG Advanced"/>
    <s v="Sunnamplex"/>
    <x v="2"/>
    <d v="2017-10-26T00:00:00"/>
    <x v="217"/>
    <n v="0"/>
  </r>
  <r>
    <x v="7821"/>
    <x v="15"/>
    <x v="5"/>
    <x v="2"/>
    <s v="GTX Basic"/>
    <s v="Ganjaflex"/>
    <x v="2"/>
    <d v="2017-10-26T00:00:00"/>
    <x v="306"/>
    <n v="0"/>
  </r>
  <r>
    <x v="7822"/>
    <x v="15"/>
    <x v="5"/>
    <x v="2"/>
    <s v="GTX Basic"/>
    <s v="Zencorporation"/>
    <x v="2"/>
    <d v="2017-10-26T00:00:00"/>
    <x v="302"/>
    <n v="0"/>
  </r>
  <r>
    <x v="7823"/>
    <x v="2"/>
    <x v="2"/>
    <x v="1"/>
    <s v="GTXPro"/>
    <s v="Gogozoom"/>
    <x v="1"/>
    <d v="2017-10-26T00:00:00"/>
    <x v="6"/>
    <m/>
  </r>
  <r>
    <x v="7824"/>
    <x v="3"/>
    <x v="0"/>
    <x v="0"/>
    <s v="GTX Plus Pro"/>
    <s v="Rundofase"/>
    <x v="0"/>
    <d v="2017-10-27T00:00:00"/>
    <x v="243"/>
    <n v="5269"/>
  </r>
  <r>
    <x v="7825"/>
    <x v="25"/>
    <x v="4"/>
    <x v="2"/>
    <s v="GTXPro"/>
    <s v="Bioplex"/>
    <x v="0"/>
    <d v="2017-10-27T00:00:00"/>
    <x v="302"/>
    <n v="5275"/>
  </r>
  <r>
    <x v="7826"/>
    <x v="23"/>
    <x v="4"/>
    <x v="2"/>
    <s v="GTX Plus Pro"/>
    <s v="Xx-zobam"/>
    <x v="2"/>
    <d v="2017-10-27T00:00:00"/>
    <x v="303"/>
    <n v="0"/>
  </r>
  <r>
    <x v="7827"/>
    <x v="28"/>
    <x v="0"/>
    <x v="0"/>
    <s v="MG Advanced"/>
    <s v="Conecom"/>
    <x v="2"/>
    <d v="2017-10-27T00:00:00"/>
    <x v="233"/>
    <n v="0"/>
  </r>
  <r>
    <x v="7828"/>
    <x v="27"/>
    <x v="5"/>
    <x v="2"/>
    <s v="GTX Basic"/>
    <s v="Mathtouch"/>
    <x v="0"/>
    <d v="2017-10-27T00:00:00"/>
    <x v="303"/>
    <n v="601"/>
  </r>
  <r>
    <x v="7829"/>
    <x v="1"/>
    <x v="1"/>
    <x v="0"/>
    <s v="GTK 500"/>
    <s v="Treequote"/>
    <x v="2"/>
    <d v="2017-10-27T00:00:00"/>
    <x v="234"/>
    <n v="0"/>
  </r>
  <r>
    <x v="7830"/>
    <x v="1"/>
    <x v="1"/>
    <x v="0"/>
    <s v="MG Special"/>
    <s v="Finhigh"/>
    <x v="0"/>
    <d v="2017-10-27T00:00:00"/>
    <x v="272"/>
    <n v="53"/>
  </r>
  <r>
    <x v="7831"/>
    <x v="14"/>
    <x v="3"/>
    <x v="1"/>
    <s v="MG Special"/>
    <s v="Groovestreet"/>
    <x v="0"/>
    <d v="2017-10-27T00:00:00"/>
    <x v="234"/>
    <n v="46"/>
  </r>
  <r>
    <x v="7832"/>
    <x v="7"/>
    <x v="2"/>
    <x v="1"/>
    <s v="GTXPro"/>
    <s v="Hatfan"/>
    <x v="2"/>
    <d v="2017-10-27T00:00:00"/>
    <x v="303"/>
    <n v="0"/>
  </r>
  <r>
    <x v="7833"/>
    <x v="29"/>
    <x v="1"/>
    <x v="0"/>
    <s v="GTX Basic"/>
    <s v="Treequote"/>
    <x v="0"/>
    <d v="2017-10-27T00:00:00"/>
    <x v="303"/>
    <n v="538"/>
  </r>
  <r>
    <x v="7834"/>
    <x v="16"/>
    <x v="2"/>
    <x v="1"/>
    <s v="MG Special"/>
    <s v="Plexzap"/>
    <x v="0"/>
    <d v="2017-10-27T00:00:00"/>
    <x v="273"/>
    <n v="53"/>
  </r>
  <r>
    <x v="7835"/>
    <x v="24"/>
    <x v="0"/>
    <x v="0"/>
    <s v="MG Advanced"/>
    <s v="Dontechi"/>
    <x v="0"/>
    <d v="2017-10-27T00:00:00"/>
    <x v="197"/>
    <n v="3296"/>
  </r>
  <r>
    <x v="7836"/>
    <x v="5"/>
    <x v="3"/>
    <x v="1"/>
    <s v="GTX Basic"/>
    <s v="Doncon"/>
    <x v="2"/>
    <d v="2017-10-27T00:00:00"/>
    <x v="302"/>
    <n v="0"/>
  </r>
  <r>
    <x v="7837"/>
    <x v="22"/>
    <x v="1"/>
    <x v="0"/>
    <s v="MG Advanced"/>
    <s v="Isdom"/>
    <x v="0"/>
    <d v="2017-10-27T00:00:00"/>
    <x v="233"/>
    <n v="3561"/>
  </r>
  <r>
    <x v="7838"/>
    <x v="9"/>
    <x v="2"/>
    <x v="1"/>
    <s v="GTX Plus Pro"/>
    <s v="Singletechno"/>
    <x v="0"/>
    <d v="2017-10-27T00:00:00"/>
    <x v="205"/>
    <n v="5655"/>
  </r>
  <r>
    <x v="7839"/>
    <x v="0"/>
    <x v="0"/>
    <x v="0"/>
    <s v="GTX Basic"/>
    <s v="Domzoom"/>
    <x v="0"/>
    <d v="2017-10-27T00:00:00"/>
    <x v="247"/>
    <n v="656"/>
  </r>
  <r>
    <x v="7840"/>
    <x v="19"/>
    <x v="4"/>
    <x v="2"/>
    <s v="MG Advanced"/>
    <s v="Donquadtech"/>
    <x v="0"/>
    <d v="2017-10-27T00:00:00"/>
    <x v="212"/>
    <n v="3258"/>
  </r>
  <r>
    <x v="7841"/>
    <x v="11"/>
    <x v="3"/>
    <x v="1"/>
    <s v="GTX Basic"/>
    <s v="Goodsilron"/>
    <x v="0"/>
    <d v="2017-10-27T00:00:00"/>
    <x v="231"/>
    <n v="577"/>
  </r>
  <r>
    <x v="7842"/>
    <x v="12"/>
    <x v="0"/>
    <x v="0"/>
    <s v="MG Special"/>
    <s v="Statholdings"/>
    <x v="0"/>
    <d v="2017-10-27T00:00:00"/>
    <x v="302"/>
    <n v="50"/>
  </r>
  <r>
    <x v="7843"/>
    <x v="4"/>
    <x v="3"/>
    <x v="1"/>
    <s v="GTX Basic"/>
    <s v="Lexiqvolax"/>
    <x v="2"/>
    <d v="2017-10-27T00:00:00"/>
    <x v="303"/>
    <n v="0"/>
  </r>
  <r>
    <x v="7844"/>
    <x v="3"/>
    <x v="0"/>
    <x v="0"/>
    <s v="MG Special"/>
    <s v="dambase"/>
    <x v="0"/>
    <d v="2017-10-28T00:00:00"/>
    <x v="303"/>
    <n v="66"/>
  </r>
  <r>
    <x v="7845"/>
    <x v="27"/>
    <x v="5"/>
    <x v="2"/>
    <s v="GTX Plus Basic"/>
    <s v="Gekko &amp; Co"/>
    <x v="0"/>
    <d v="2017-10-28T00:00:00"/>
    <x v="231"/>
    <n v="1079"/>
  </r>
  <r>
    <x v="7846"/>
    <x v="1"/>
    <x v="1"/>
    <x v="0"/>
    <s v="MG Advanced"/>
    <s v="Conecom"/>
    <x v="2"/>
    <d v="2017-10-28T00:00:00"/>
    <x v="303"/>
    <n v="0"/>
  </r>
  <r>
    <x v="7847"/>
    <x v="26"/>
    <x v="4"/>
    <x v="2"/>
    <s v="MG Advanced"/>
    <s v="Donquadtech"/>
    <x v="2"/>
    <d v="2017-10-28T00:00:00"/>
    <x v="197"/>
    <n v="0"/>
  </r>
  <r>
    <x v="7848"/>
    <x v="14"/>
    <x v="3"/>
    <x v="1"/>
    <s v="GTK 500"/>
    <s v="Cheers"/>
    <x v="0"/>
    <d v="2017-10-28T00:00:00"/>
    <x v="303"/>
    <n v="27971"/>
  </r>
  <r>
    <x v="7849"/>
    <x v="16"/>
    <x v="2"/>
    <x v="1"/>
    <s v="GTX Plus Pro"/>
    <m/>
    <x v="1"/>
    <d v="2017-10-28T00:00:00"/>
    <x v="6"/>
    <m/>
  </r>
  <r>
    <x v="7850"/>
    <x v="18"/>
    <x v="2"/>
    <x v="1"/>
    <s v="GTX Basic"/>
    <s v="Xx-holding"/>
    <x v="1"/>
    <d v="2017-10-28T00:00:00"/>
    <x v="6"/>
    <m/>
  </r>
  <r>
    <x v="7851"/>
    <x v="5"/>
    <x v="3"/>
    <x v="1"/>
    <s v="GTX Basic"/>
    <s v="Y-corporation"/>
    <x v="0"/>
    <d v="2017-10-28T00:00:00"/>
    <x v="210"/>
    <n v="598"/>
  </r>
  <r>
    <x v="7852"/>
    <x v="12"/>
    <x v="0"/>
    <x v="0"/>
    <s v="MG Special"/>
    <s v="Statholdings"/>
    <x v="2"/>
    <d v="2017-10-28T00:00:00"/>
    <x v="303"/>
    <n v="0"/>
  </r>
  <r>
    <x v="7853"/>
    <x v="4"/>
    <x v="3"/>
    <x v="1"/>
    <s v="GTXPro"/>
    <s v="J-Texon"/>
    <x v="2"/>
    <d v="2017-10-28T00:00:00"/>
    <x v="303"/>
    <n v="0"/>
  </r>
  <r>
    <x v="7854"/>
    <x v="15"/>
    <x v="5"/>
    <x v="2"/>
    <s v="MG Special"/>
    <s v="Bluth Company"/>
    <x v="0"/>
    <d v="2017-10-28T00:00:00"/>
    <x v="226"/>
    <n v="61"/>
  </r>
  <r>
    <x v="7855"/>
    <x v="2"/>
    <x v="2"/>
    <x v="1"/>
    <s v="GTX Basic"/>
    <s v="Rantouch"/>
    <x v="2"/>
    <d v="2017-10-28T00:00:00"/>
    <x v="233"/>
    <n v="0"/>
  </r>
  <r>
    <x v="7856"/>
    <x v="2"/>
    <x v="2"/>
    <x v="1"/>
    <s v="MG Advanced"/>
    <s v="Plusstrip"/>
    <x v="0"/>
    <d v="2017-10-28T00:00:00"/>
    <x v="231"/>
    <n v="3082"/>
  </r>
  <r>
    <x v="7857"/>
    <x v="23"/>
    <x v="4"/>
    <x v="2"/>
    <s v="GTX Basic"/>
    <s v="Gekko &amp; Co"/>
    <x v="2"/>
    <d v="2017-10-29T00:00:00"/>
    <x v="231"/>
    <n v="0"/>
  </r>
  <r>
    <x v="7858"/>
    <x v="27"/>
    <x v="5"/>
    <x v="2"/>
    <s v="GTX Plus Pro"/>
    <s v="Ontomedia"/>
    <x v="0"/>
    <d v="2017-10-29T00:00:00"/>
    <x v="210"/>
    <n v="5646"/>
  </r>
  <r>
    <x v="7859"/>
    <x v="1"/>
    <x v="1"/>
    <x v="0"/>
    <s v="MG Advanced"/>
    <s v="Codehow"/>
    <x v="2"/>
    <d v="2017-10-29T00:00:00"/>
    <x v="217"/>
    <n v="0"/>
  </r>
  <r>
    <x v="7860"/>
    <x v="1"/>
    <x v="1"/>
    <x v="0"/>
    <s v="GTXPro"/>
    <s v="Codehow"/>
    <x v="0"/>
    <d v="2017-10-29T00:00:00"/>
    <x v="305"/>
    <n v="4733"/>
  </r>
  <r>
    <x v="7861"/>
    <x v="8"/>
    <x v="1"/>
    <x v="0"/>
    <s v="MG Advanced"/>
    <s v="Cancity"/>
    <x v="0"/>
    <d v="2017-10-29T00:00:00"/>
    <x v="265"/>
    <n v="2931"/>
  </r>
  <r>
    <x v="7862"/>
    <x v="29"/>
    <x v="1"/>
    <x v="0"/>
    <s v="MG Special"/>
    <s v="Bioholding"/>
    <x v="0"/>
    <d v="2017-10-29T00:00:00"/>
    <x v="306"/>
    <n v="62"/>
  </r>
  <r>
    <x v="7863"/>
    <x v="17"/>
    <x v="5"/>
    <x v="2"/>
    <s v="MG Advanced"/>
    <s v="Konex"/>
    <x v="2"/>
    <d v="2017-10-29T00:00:00"/>
    <x v="197"/>
    <n v="0"/>
  </r>
  <r>
    <x v="7864"/>
    <x v="2"/>
    <x v="2"/>
    <x v="1"/>
    <s v="GTXPro"/>
    <s v="Green-Plus"/>
    <x v="0"/>
    <d v="2017-10-29T00:00:00"/>
    <x v="306"/>
    <n v="4178"/>
  </r>
  <r>
    <x v="7865"/>
    <x v="23"/>
    <x v="4"/>
    <x v="2"/>
    <s v="GTXPro"/>
    <s v="Kinnamplus"/>
    <x v="0"/>
    <d v="2017-10-30T00:00:00"/>
    <x v="217"/>
    <n v="5239"/>
  </r>
  <r>
    <x v="7866"/>
    <x v="13"/>
    <x v="4"/>
    <x v="2"/>
    <s v="GTX Plus Basic"/>
    <s v="Acme Corporation"/>
    <x v="1"/>
    <d v="2017-10-30T00:00:00"/>
    <x v="6"/>
    <m/>
  </r>
  <r>
    <x v="7867"/>
    <x v="8"/>
    <x v="1"/>
    <x v="0"/>
    <s v="GTX Basic"/>
    <s v="Treequote"/>
    <x v="0"/>
    <d v="2017-10-30T00:00:00"/>
    <x v="210"/>
    <n v="539"/>
  </r>
  <r>
    <x v="7868"/>
    <x v="10"/>
    <x v="3"/>
    <x v="1"/>
    <s v="MG Special"/>
    <m/>
    <x v="1"/>
    <d v="2017-10-30T00:00:00"/>
    <x v="6"/>
    <m/>
  </r>
  <r>
    <x v="7869"/>
    <x v="29"/>
    <x v="1"/>
    <x v="0"/>
    <s v="GTX Plus Basic"/>
    <s v="Rangreen"/>
    <x v="0"/>
    <d v="2017-10-30T00:00:00"/>
    <x v="306"/>
    <n v="973"/>
  </r>
  <r>
    <x v="7870"/>
    <x v="24"/>
    <x v="0"/>
    <x v="0"/>
    <s v="MG Special"/>
    <s v="Statholdings"/>
    <x v="2"/>
    <d v="2017-10-30T00:00:00"/>
    <x v="306"/>
    <n v="0"/>
  </r>
  <r>
    <x v="7871"/>
    <x v="19"/>
    <x v="4"/>
    <x v="2"/>
    <s v="GTX Plus Pro"/>
    <s v="Ganjaflex"/>
    <x v="2"/>
    <d v="2017-10-30T00:00:00"/>
    <x v="306"/>
    <n v="0"/>
  </r>
  <r>
    <x v="7872"/>
    <x v="4"/>
    <x v="3"/>
    <x v="1"/>
    <s v="GTX Basic"/>
    <s v="Konex"/>
    <x v="0"/>
    <d v="2017-10-30T00:00:00"/>
    <x v="217"/>
    <n v="622"/>
  </r>
  <r>
    <x v="7873"/>
    <x v="2"/>
    <x v="2"/>
    <x v="1"/>
    <s v="GTX Plus Basic"/>
    <s v="Sunnamplex"/>
    <x v="2"/>
    <d v="2017-10-30T00:00:00"/>
    <x v="225"/>
    <n v="0"/>
  </r>
  <r>
    <x v="7874"/>
    <x v="3"/>
    <x v="0"/>
    <x v="0"/>
    <s v="MG Special"/>
    <s v="Isdom"/>
    <x v="2"/>
    <d v="2017-10-31T00:00:00"/>
    <x v="234"/>
    <n v="0"/>
  </r>
  <r>
    <x v="7875"/>
    <x v="25"/>
    <x v="4"/>
    <x v="2"/>
    <s v="MG Advanced"/>
    <s v="Condax"/>
    <x v="0"/>
    <d v="2017-10-31T00:00:00"/>
    <x v="233"/>
    <n v="4172"/>
  </r>
  <r>
    <x v="7876"/>
    <x v="23"/>
    <x v="4"/>
    <x v="2"/>
    <s v="GTXPro"/>
    <s v="Umbrella Corporation"/>
    <x v="0"/>
    <d v="2017-10-31T00:00:00"/>
    <x v="226"/>
    <n v="4529"/>
  </r>
  <r>
    <x v="7877"/>
    <x v="23"/>
    <x v="4"/>
    <x v="2"/>
    <s v="MG Advanced"/>
    <s v="Konex"/>
    <x v="0"/>
    <d v="2017-10-31T00:00:00"/>
    <x v="249"/>
    <n v="2695"/>
  </r>
  <r>
    <x v="7878"/>
    <x v="1"/>
    <x v="1"/>
    <x v="0"/>
    <s v="GTXPro"/>
    <s v="Cancity"/>
    <x v="2"/>
    <d v="2017-10-31T00:00:00"/>
    <x v="255"/>
    <n v="0"/>
  </r>
  <r>
    <x v="7879"/>
    <x v="1"/>
    <x v="1"/>
    <x v="0"/>
    <s v="GTXPro"/>
    <s v="Conecom"/>
    <x v="2"/>
    <d v="2017-10-31T00:00:00"/>
    <x v="234"/>
    <n v="0"/>
  </r>
  <r>
    <x v="7880"/>
    <x v="26"/>
    <x v="4"/>
    <x v="2"/>
    <s v="GTX Basic"/>
    <s v="Ganjaflex"/>
    <x v="0"/>
    <d v="2017-10-31T00:00:00"/>
    <x v="207"/>
    <n v="486"/>
  </r>
  <r>
    <x v="7881"/>
    <x v="26"/>
    <x v="4"/>
    <x v="2"/>
    <s v="GTX Basic"/>
    <s v="Plussunin"/>
    <x v="0"/>
    <d v="2017-10-31T00:00:00"/>
    <x v="227"/>
    <n v="450"/>
  </r>
  <r>
    <x v="7882"/>
    <x v="14"/>
    <x v="3"/>
    <x v="1"/>
    <s v="MG Special"/>
    <m/>
    <x v="1"/>
    <d v="2017-10-31T00:00:00"/>
    <x v="6"/>
    <m/>
  </r>
  <r>
    <x v="7883"/>
    <x v="14"/>
    <x v="3"/>
    <x v="1"/>
    <s v="MG Special"/>
    <s v="Finjob"/>
    <x v="2"/>
    <d v="2017-10-31T00:00:00"/>
    <x v="207"/>
    <n v="0"/>
  </r>
  <r>
    <x v="7884"/>
    <x v="21"/>
    <x v="5"/>
    <x v="2"/>
    <s v="GTX Plus Pro"/>
    <s v="Ontomedia"/>
    <x v="0"/>
    <d v="2017-10-31T00:00:00"/>
    <x v="227"/>
    <n v="6818"/>
  </r>
  <r>
    <x v="7885"/>
    <x v="8"/>
    <x v="1"/>
    <x v="0"/>
    <s v="MG Advanced"/>
    <s v="Condax"/>
    <x v="0"/>
    <d v="2017-10-31T00:00:00"/>
    <x v="261"/>
    <n v="3298"/>
  </r>
  <r>
    <x v="7886"/>
    <x v="7"/>
    <x v="2"/>
    <x v="1"/>
    <s v="GTXPro"/>
    <m/>
    <x v="1"/>
    <d v="2017-10-31T00:00:00"/>
    <x v="6"/>
    <m/>
  </r>
  <r>
    <x v="7887"/>
    <x v="16"/>
    <x v="2"/>
    <x v="1"/>
    <s v="GTX Plus Pro"/>
    <s v="Goodsilron"/>
    <x v="0"/>
    <d v="2017-10-31T00:00:00"/>
    <x v="207"/>
    <n v="5512"/>
  </r>
  <r>
    <x v="7888"/>
    <x v="16"/>
    <x v="2"/>
    <x v="1"/>
    <s v="GTX Plus Pro"/>
    <s v="Kan-code"/>
    <x v="0"/>
    <d v="2017-10-31T00:00:00"/>
    <x v="233"/>
    <n v="4742"/>
  </r>
  <r>
    <x v="7889"/>
    <x v="18"/>
    <x v="2"/>
    <x v="1"/>
    <s v="GTX Basic"/>
    <s v="Y-corporation"/>
    <x v="0"/>
    <d v="2017-10-31T00:00:00"/>
    <x v="199"/>
    <n v="653"/>
  </r>
  <r>
    <x v="7890"/>
    <x v="24"/>
    <x v="0"/>
    <x v="0"/>
    <s v="GTX Plus Basic"/>
    <s v="Conecom"/>
    <x v="2"/>
    <d v="2017-10-31T00:00:00"/>
    <x v="234"/>
    <n v="0"/>
  </r>
  <r>
    <x v="7891"/>
    <x v="5"/>
    <x v="3"/>
    <x v="1"/>
    <s v="MG Advanced"/>
    <s v="Dalttechnology"/>
    <x v="0"/>
    <d v="2017-10-31T00:00:00"/>
    <x v="210"/>
    <n v="4058"/>
  </r>
  <r>
    <x v="7892"/>
    <x v="19"/>
    <x v="4"/>
    <x v="2"/>
    <s v="GTX Basic"/>
    <s v="Condax"/>
    <x v="0"/>
    <d v="2017-10-31T00:00:00"/>
    <x v="196"/>
    <n v="553"/>
  </r>
  <r>
    <x v="7893"/>
    <x v="17"/>
    <x v="5"/>
    <x v="2"/>
    <s v="GTX Plus Pro"/>
    <s v="Xx-zobam"/>
    <x v="2"/>
    <d v="2017-10-31T00:00:00"/>
    <x v="233"/>
    <n v="0"/>
  </r>
  <r>
    <x v="7894"/>
    <x v="4"/>
    <x v="3"/>
    <x v="1"/>
    <s v="MG Special"/>
    <s v="Kan-code"/>
    <x v="2"/>
    <d v="2017-10-31T00:00:00"/>
    <x v="197"/>
    <n v="0"/>
  </r>
  <r>
    <x v="7895"/>
    <x v="20"/>
    <x v="5"/>
    <x v="2"/>
    <s v="GTX Plus Pro"/>
    <m/>
    <x v="1"/>
    <d v="2017-10-31T00:00:00"/>
    <x v="6"/>
    <m/>
  </r>
  <r>
    <x v="7896"/>
    <x v="23"/>
    <x v="4"/>
    <x v="2"/>
    <s v="GTX Plus Basic"/>
    <s v="Kan-code"/>
    <x v="2"/>
    <d v="2017-11-01T00:00:00"/>
    <x v="220"/>
    <n v="0"/>
  </r>
  <r>
    <x v="7897"/>
    <x v="28"/>
    <x v="0"/>
    <x v="0"/>
    <s v="GTX Plus Pro"/>
    <s v="Globex Corporation"/>
    <x v="2"/>
    <d v="2017-11-01T00:00:00"/>
    <x v="225"/>
    <n v="0"/>
  </r>
  <r>
    <x v="7898"/>
    <x v="28"/>
    <x v="0"/>
    <x v="0"/>
    <s v="GTX Plus Pro"/>
    <s v="Isdom"/>
    <x v="0"/>
    <d v="2017-11-01T00:00:00"/>
    <x v="255"/>
    <n v="5504"/>
  </r>
  <r>
    <x v="7899"/>
    <x v="8"/>
    <x v="1"/>
    <x v="0"/>
    <s v="MG Special"/>
    <s v="Betatech"/>
    <x v="0"/>
    <d v="2017-11-01T00:00:00"/>
    <x v="212"/>
    <n v="53"/>
  </r>
  <r>
    <x v="7900"/>
    <x v="29"/>
    <x v="1"/>
    <x v="0"/>
    <s v="GTX Basic"/>
    <s v="Treequote"/>
    <x v="2"/>
    <d v="2017-11-01T00:00:00"/>
    <x v="221"/>
    <n v="0"/>
  </r>
  <r>
    <x v="7901"/>
    <x v="16"/>
    <x v="2"/>
    <x v="1"/>
    <s v="MG Advanced"/>
    <s v="Fasehatice"/>
    <x v="0"/>
    <d v="2017-11-01T00:00:00"/>
    <x v="205"/>
    <n v="3064"/>
  </r>
  <r>
    <x v="7902"/>
    <x v="9"/>
    <x v="2"/>
    <x v="1"/>
    <s v="MG Advanced"/>
    <s v="Rantouch"/>
    <x v="0"/>
    <d v="2017-11-01T00:00:00"/>
    <x v="226"/>
    <n v="2866"/>
  </r>
  <r>
    <x v="7903"/>
    <x v="4"/>
    <x v="3"/>
    <x v="1"/>
    <s v="GTX Basic"/>
    <s v="Goodsilron"/>
    <x v="2"/>
    <d v="2017-11-01T00:00:00"/>
    <x v="205"/>
    <n v="0"/>
  </r>
  <r>
    <x v="7904"/>
    <x v="4"/>
    <x v="3"/>
    <x v="1"/>
    <s v="GTX Plus Pro"/>
    <s v="Xx-holding"/>
    <x v="2"/>
    <d v="2017-11-01T00:00:00"/>
    <x v="234"/>
    <n v="0"/>
  </r>
  <r>
    <x v="7905"/>
    <x v="4"/>
    <x v="3"/>
    <x v="1"/>
    <s v="GTX Plus Basic"/>
    <s v="Lexiqvolax"/>
    <x v="0"/>
    <d v="2017-11-01T00:00:00"/>
    <x v="234"/>
    <n v="960"/>
  </r>
  <r>
    <x v="7906"/>
    <x v="4"/>
    <x v="3"/>
    <x v="1"/>
    <s v="MG Special"/>
    <s v="Nam-zim"/>
    <x v="0"/>
    <d v="2017-11-01T00:00:00"/>
    <x v="199"/>
    <n v="55"/>
  </r>
  <r>
    <x v="7907"/>
    <x v="15"/>
    <x v="5"/>
    <x v="2"/>
    <s v="MG Special"/>
    <m/>
    <x v="1"/>
    <d v="2017-11-01T00:00:00"/>
    <x v="6"/>
    <m/>
  </r>
  <r>
    <x v="7908"/>
    <x v="25"/>
    <x v="4"/>
    <x v="2"/>
    <s v="GTXPro"/>
    <s v="Donquadtech"/>
    <x v="0"/>
    <d v="2017-11-02T00:00:00"/>
    <x v="233"/>
    <n v="4155"/>
  </r>
  <r>
    <x v="7909"/>
    <x v="27"/>
    <x v="5"/>
    <x v="2"/>
    <s v="MG Special"/>
    <m/>
    <x v="1"/>
    <d v="2017-11-02T00:00:00"/>
    <x v="6"/>
    <m/>
  </r>
  <r>
    <x v="7910"/>
    <x v="13"/>
    <x v="4"/>
    <x v="2"/>
    <s v="GTX Plus Basic"/>
    <s v="Condax"/>
    <x v="2"/>
    <d v="2017-11-02T00:00:00"/>
    <x v="212"/>
    <n v="0"/>
  </r>
  <r>
    <x v="7911"/>
    <x v="26"/>
    <x v="4"/>
    <x v="2"/>
    <s v="GTX Basic"/>
    <s v="Bubba Gump"/>
    <x v="0"/>
    <d v="2017-11-02T00:00:00"/>
    <x v="260"/>
    <n v="532"/>
  </r>
  <r>
    <x v="7912"/>
    <x v="29"/>
    <x v="1"/>
    <x v="0"/>
    <s v="GTX Basic"/>
    <s v="Cancity"/>
    <x v="0"/>
    <d v="2017-11-02T00:00:00"/>
    <x v="197"/>
    <n v="479"/>
  </r>
  <r>
    <x v="7913"/>
    <x v="16"/>
    <x v="2"/>
    <x v="1"/>
    <s v="GTX Basic"/>
    <s v="Xx-holding"/>
    <x v="2"/>
    <d v="2017-11-02T00:00:00"/>
    <x v="233"/>
    <n v="0"/>
  </r>
  <r>
    <x v="7914"/>
    <x v="5"/>
    <x v="3"/>
    <x v="1"/>
    <s v="GTXPro"/>
    <m/>
    <x v="1"/>
    <d v="2017-11-02T00:00:00"/>
    <x v="6"/>
    <m/>
  </r>
  <r>
    <x v="7915"/>
    <x v="5"/>
    <x v="3"/>
    <x v="1"/>
    <s v="GTXPro"/>
    <s v="Xx-holding"/>
    <x v="0"/>
    <d v="2017-11-02T00:00:00"/>
    <x v="246"/>
    <n v="4521"/>
  </r>
  <r>
    <x v="7916"/>
    <x v="19"/>
    <x v="4"/>
    <x v="2"/>
    <s v="GTX Basic"/>
    <s v="Ganjaflex"/>
    <x v="0"/>
    <d v="2017-11-02T00:00:00"/>
    <x v="264"/>
    <n v="585"/>
  </r>
  <r>
    <x v="7917"/>
    <x v="4"/>
    <x v="3"/>
    <x v="1"/>
    <s v="GTX Basic"/>
    <s v="Sunnamplex"/>
    <x v="2"/>
    <d v="2017-11-02T00:00:00"/>
    <x v="233"/>
    <n v="0"/>
  </r>
  <r>
    <x v="7918"/>
    <x v="4"/>
    <x v="3"/>
    <x v="1"/>
    <s v="GTX Basic"/>
    <s v="Sonron"/>
    <x v="0"/>
    <d v="2017-11-02T00:00:00"/>
    <x v="205"/>
    <n v="430"/>
  </r>
  <r>
    <x v="7919"/>
    <x v="1"/>
    <x v="1"/>
    <x v="0"/>
    <s v="GTXPro"/>
    <s v="Codehow"/>
    <x v="2"/>
    <d v="2017-11-03T00:00:00"/>
    <x v="207"/>
    <n v="0"/>
  </r>
  <r>
    <x v="7920"/>
    <x v="29"/>
    <x v="1"/>
    <x v="0"/>
    <s v="GTX Basic"/>
    <s v="Genco Pura Olive Oil Company"/>
    <x v="0"/>
    <d v="2017-11-03T00:00:00"/>
    <x v="236"/>
    <n v="577"/>
  </r>
  <r>
    <x v="7921"/>
    <x v="16"/>
    <x v="2"/>
    <x v="1"/>
    <s v="GTX Basic"/>
    <m/>
    <x v="1"/>
    <d v="2017-11-03T00:00:00"/>
    <x v="6"/>
    <m/>
  </r>
  <r>
    <x v="7922"/>
    <x v="5"/>
    <x v="3"/>
    <x v="1"/>
    <s v="GTX Plus Basic"/>
    <s v="Zoomit"/>
    <x v="1"/>
    <d v="2017-11-03T00:00:00"/>
    <x v="6"/>
    <m/>
  </r>
  <r>
    <x v="7923"/>
    <x v="22"/>
    <x v="1"/>
    <x v="0"/>
    <s v="GTXPro"/>
    <s v="Treequote"/>
    <x v="0"/>
    <d v="2017-11-03T00:00:00"/>
    <x v="248"/>
    <n v="4591"/>
  </r>
  <r>
    <x v="7924"/>
    <x v="9"/>
    <x v="2"/>
    <x v="1"/>
    <s v="GTX Basic"/>
    <s v="Groovestreet"/>
    <x v="0"/>
    <d v="2017-11-03T00:00:00"/>
    <x v="229"/>
    <n v="662"/>
  </r>
  <r>
    <x v="7925"/>
    <x v="9"/>
    <x v="2"/>
    <x v="1"/>
    <s v="GTX Plus Pro"/>
    <s v="Plusstrip"/>
    <x v="0"/>
    <d v="2017-11-03T00:00:00"/>
    <x v="271"/>
    <n v="5091"/>
  </r>
  <r>
    <x v="7926"/>
    <x v="25"/>
    <x v="4"/>
    <x v="2"/>
    <s v="GTX Plus Pro"/>
    <s v="Plussunin"/>
    <x v="0"/>
    <d v="2017-11-04T00:00:00"/>
    <x v="250"/>
    <n v="5737"/>
  </r>
  <r>
    <x v="7927"/>
    <x v="23"/>
    <x v="4"/>
    <x v="2"/>
    <s v="GTXPro"/>
    <s v="Inity"/>
    <x v="1"/>
    <d v="2017-11-04T00:00:00"/>
    <x v="6"/>
    <m/>
  </r>
  <r>
    <x v="7928"/>
    <x v="23"/>
    <x v="4"/>
    <x v="2"/>
    <s v="GTX Basic"/>
    <s v="Donquadtech"/>
    <x v="0"/>
    <d v="2017-11-04T00:00:00"/>
    <x v="205"/>
    <n v="583"/>
  </r>
  <r>
    <x v="7929"/>
    <x v="1"/>
    <x v="1"/>
    <x v="0"/>
    <s v="GTXPro"/>
    <s v="Hottechi"/>
    <x v="2"/>
    <d v="2017-11-04T00:00:00"/>
    <x v="227"/>
    <n v="0"/>
  </r>
  <r>
    <x v="7930"/>
    <x v="7"/>
    <x v="2"/>
    <x v="1"/>
    <s v="GTX Plus Pro"/>
    <s v="Sunnamplex"/>
    <x v="0"/>
    <d v="2017-11-04T00:00:00"/>
    <x v="234"/>
    <n v="5031"/>
  </r>
  <r>
    <x v="7931"/>
    <x v="18"/>
    <x v="2"/>
    <x v="1"/>
    <s v="GTXPro"/>
    <s v="Zencorporation"/>
    <x v="1"/>
    <d v="2017-11-04T00:00:00"/>
    <x v="6"/>
    <m/>
  </r>
  <r>
    <x v="7932"/>
    <x v="5"/>
    <x v="3"/>
    <x v="1"/>
    <s v="GTXPro"/>
    <m/>
    <x v="1"/>
    <d v="2017-11-04T00:00:00"/>
    <x v="6"/>
    <m/>
  </r>
  <r>
    <x v="7933"/>
    <x v="22"/>
    <x v="1"/>
    <x v="0"/>
    <s v="GTXPro"/>
    <s v="Rangreen"/>
    <x v="2"/>
    <d v="2017-11-04T00:00:00"/>
    <x v="212"/>
    <n v="0"/>
  </r>
  <r>
    <x v="7934"/>
    <x v="9"/>
    <x v="2"/>
    <x v="1"/>
    <s v="GTX Plus Pro"/>
    <m/>
    <x v="1"/>
    <d v="2017-11-04T00:00:00"/>
    <x v="6"/>
    <m/>
  </r>
  <r>
    <x v="7935"/>
    <x v="19"/>
    <x v="4"/>
    <x v="2"/>
    <s v="GTXPro"/>
    <s v="Plussunin"/>
    <x v="0"/>
    <d v="2017-11-04T00:00:00"/>
    <x v="235"/>
    <n v="4237"/>
  </r>
  <r>
    <x v="7936"/>
    <x v="17"/>
    <x v="5"/>
    <x v="2"/>
    <s v="GTX Plus Pro"/>
    <s v="Konex"/>
    <x v="2"/>
    <d v="2017-11-04T00:00:00"/>
    <x v="226"/>
    <n v="0"/>
  </r>
  <r>
    <x v="7937"/>
    <x v="2"/>
    <x v="2"/>
    <x v="1"/>
    <s v="GTX Basic"/>
    <m/>
    <x v="1"/>
    <d v="2017-11-04T00:00:00"/>
    <x v="6"/>
    <m/>
  </r>
  <r>
    <x v="7938"/>
    <x v="2"/>
    <x v="2"/>
    <x v="1"/>
    <s v="GTX Basic"/>
    <s v="Fasehatice"/>
    <x v="0"/>
    <d v="2017-11-04T00:00:00"/>
    <x v="239"/>
    <n v="481"/>
  </r>
  <r>
    <x v="7939"/>
    <x v="3"/>
    <x v="0"/>
    <x v="0"/>
    <s v="GTX Basic"/>
    <s v="Betatech"/>
    <x v="0"/>
    <d v="2017-11-05T00:00:00"/>
    <x v="207"/>
    <n v="480"/>
  </r>
  <r>
    <x v="7940"/>
    <x v="23"/>
    <x v="4"/>
    <x v="2"/>
    <s v="MG Special"/>
    <m/>
    <x v="1"/>
    <d v="2017-11-05T00:00:00"/>
    <x v="6"/>
    <m/>
  </r>
  <r>
    <x v="7941"/>
    <x v="27"/>
    <x v="5"/>
    <x v="2"/>
    <s v="MG Advanced"/>
    <m/>
    <x v="1"/>
    <d v="2017-11-05T00:00:00"/>
    <x v="6"/>
    <m/>
  </r>
  <r>
    <x v="7942"/>
    <x v="13"/>
    <x v="4"/>
    <x v="2"/>
    <s v="GTX Basic"/>
    <s v="Iselectrics"/>
    <x v="1"/>
    <d v="2017-11-05T00:00:00"/>
    <x v="6"/>
    <m/>
  </r>
  <r>
    <x v="7943"/>
    <x v="14"/>
    <x v="3"/>
    <x v="1"/>
    <s v="MG Special"/>
    <s v="Nam-zim"/>
    <x v="0"/>
    <d v="2017-11-05T00:00:00"/>
    <x v="264"/>
    <n v="51"/>
  </r>
  <r>
    <x v="7944"/>
    <x v="8"/>
    <x v="1"/>
    <x v="0"/>
    <s v="GTX Basic"/>
    <s v="Cancity"/>
    <x v="2"/>
    <d v="2017-11-05T00:00:00"/>
    <x v="264"/>
    <n v="0"/>
  </r>
  <r>
    <x v="7945"/>
    <x v="8"/>
    <x v="1"/>
    <x v="0"/>
    <s v="MG Special"/>
    <s v="Gogozoom"/>
    <x v="0"/>
    <d v="2017-11-05T00:00:00"/>
    <x v="271"/>
    <n v="52"/>
  </r>
  <r>
    <x v="7946"/>
    <x v="7"/>
    <x v="2"/>
    <x v="1"/>
    <s v="GTX Plus Pro"/>
    <m/>
    <x v="1"/>
    <d v="2017-11-05T00:00:00"/>
    <x v="6"/>
    <m/>
  </r>
  <r>
    <x v="7947"/>
    <x v="7"/>
    <x v="2"/>
    <x v="1"/>
    <s v="GTX Plus Basic"/>
    <s v="Sunnamplex"/>
    <x v="0"/>
    <d v="2017-11-05T00:00:00"/>
    <x v="241"/>
    <n v="1218"/>
  </r>
  <r>
    <x v="7948"/>
    <x v="18"/>
    <x v="2"/>
    <x v="1"/>
    <s v="GTX Plus Pro"/>
    <s v="Plusstrip"/>
    <x v="0"/>
    <d v="2017-11-05T00:00:00"/>
    <x v="231"/>
    <n v="5681"/>
  </r>
  <r>
    <x v="7949"/>
    <x v="22"/>
    <x v="1"/>
    <x v="0"/>
    <s v="MG Advanced"/>
    <s v="Dontechi"/>
    <x v="2"/>
    <d v="2017-11-05T00:00:00"/>
    <x v="221"/>
    <n v="0"/>
  </r>
  <r>
    <x v="7950"/>
    <x v="19"/>
    <x v="4"/>
    <x v="2"/>
    <s v="MG Special"/>
    <s v="Massive Dynamic"/>
    <x v="2"/>
    <d v="2017-11-05T00:00:00"/>
    <x v="221"/>
    <n v="0"/>
  </r>
  <r>
    <x v="7951"/>
    <x v="19"/>
    <x v="4"/>
    <x v="2"/>
    <s v="GTX Plus Pro"/>
    <s v="Konex"/>
    <x v="0"/>
    <d v="2017-11-05T00:00:00"/>
    <x v="233"/>
    <n v="6767"/>
  </r>
  <r>
    <x v="7952"/>
    <x v="17"/>
    <x v="5"/>
    <x v="2"/>
    <s v="GTXPro"/>
    <m/>
    <x v="1"/>
    <d v="2017-11-05T00:00:00"/>
    <x v="6"/>
    <m/>
  </r>
  <r>
    <x v="7953"/>
    <x v="12"/>
    <x v="0"/>
    <x v="0"/>
    <s v="MG Special"/>
    <s v="Cancity"/>
    <x v="0"/>
    <d v="2017-11-05T00:00:00"/>
    <x v="210"/>
    <n v="61"/>
  </r>
  <r>
    <x v="7954"/>
    <x v="15"/>
    <x v="5"/>
    <x v="2"/>
    <s v="MG Special"/>
    <s v="Opentech"/>
    <x v="2"/>
    <d v="2017-11-05T00:00:00"/>
    <x v="235"/>
    <n v="0"/>
  </r>
  <r>
    <x v="7955"/>
    <x v="2"/>
    <x v="2"/>
    <x v="1"/>
    <s v="MG Special"/>
    <s v="Scotfind"/>
    <x v="0"/>
    <d v="2017-11-05T00:00:00"/>
    <x v="221"/>
    <n v="62"/>
  </r>
  <r>
    <x v="7956"/>
    <x v="25"/>
    <x v="4"/>
    <x v="2"/>
    <s v="GTX Plus Pro"/>
    <s v="Bluth Company"/>
    <x v="1"/>
    <d v="2017-11-06T00:00:00"/>
    <x v="6"/>
    <m/>
  </r>
  <r>
    <x v="7957"/>
    <x v="1"/>
    <x v="1"/>
    <x v="0"/>
    <s v="GTXPro"/>
    <s v="Betatech"/>
    <x v="2"/>
    <d v="2017-11-06T00:00:00"/>
    <x v="233"/>
    <n v="0"/>
  </r>
  <r>
    <x v="7958"/>
    <x v="14"/>
    <x v="3"/>
    <x v="1"/>
    <s v="GTX Plus Basic"/>
    <s v="Faxquote"/>
    <x v="2"/>
    <d v="2017-11-06T00:00:00"/>
    <x v="233"/>
    <n v="0"/>
  </r>
  <r>
    <x v="7959"/>
    <x v="8"/>
    <x v="1"/>
    <x v="0"/>
    <s v="MG Special"/>
    <s v="Konmatfix"/>
    <x v="0"/>
    <d v="2017-11-06T00:00:00"/>
    <x v="251"/>
    <n v="48"/>
  </r>
  <r>
    <x v="7960"/>
    <x v="18"/>
    <x v="2"/>
    <x v="1"/>
    <s v="GTX Basic"/>
    <s v="Golddex"/>
    <x v="1"/>
    <d v="2017-11-06T00:00:00"/>
    <x v="6"/>
    <m/>
  </r>
  <r>
    <x v="7961"/>
    <x v="6"/>
    <x v="1"/>
    <x v="0"/>
    <s v="GTXPro"/>
    <s v="Funholding"/>
    <x v="2"/>
    <d v="2017-11-06T00:00:00"/>
    <x v="220"/>
    <n v="0"/>
  </r>
  <r>
    <x v="7962"/>
    <x v="15"/>
    <x v="5"/>
    <x v="2"/>
    <s v="MG Special"/>
    <m/>
    <x v="1"/>
    <d v="2017-11-06T00:00:00"/>
    <x v="6"/>
    <m/>
  </r>
  <r>
    <x v="7963"/>
    <x v="28"/>
    <x v="0"/>
    <x v="0"/>
    <s v="GTX Plus Basic"/>
    <s v="Stanredtax"/>
    <x v="0"/>
    <d v="2017-11-07T00:00:00"/>
    <x v="229"/>
    <n v="1059"/>
  </r>
  <r>
    <x v="7964"/>
    <x v="27"/>
    <x v="5"/>
    <x v="2"/>
    <s v="GTXPro"/>
    <m/>
    <x v="1"/>
    <d v="2017-11-07T00:00:00"/>
    <x v="6"/>
    <m/>
  </r>
  <r>
    <x v="7965"/>
    <x v="1"/>
    <x v="1"/>
    <x v="0"/>
    <s v="GTXPro"/>
    <s v="Konmatfix"/>
    <x v="0"/>
    <d v="2017-11-07T00:00:00"/>
    <x v="245"/>
    <n v="5031"/>
  </r>
  <r>
    <x v="7966"/>
    <x v="24"/>
    <x v="0"/>
    <x v="0"/>
    <s v="GTX Basic"/>
    <s v="dambase"/>
    <x v="0"/>
    <d v="2017-11-07T00:00:00"/>
    <x v="255"/>
    <n v="557"/>
  </r>
  <r>
    <x v="7967"/>
    <x v="17"/>
    <x v="5"/>
    <x v="2"/>
    <s v="MG Advanced"/>
    <s v="Bluth Company"/>
    <x v="0"/>
    <d v="2017-11-07T00:00:00"/>
    <x v="226"/>
    <n v="3426"/>
  </r>
  <r>
    <x v="7968"/>
    <x v="28"/>
    <x v="0"/>
    <x v="0"/>
    <s v="MG Advanced"/>
    <s v="Funholding"/>
    <x v="0"/>
    <d v="2017-11-08T00:00:00"/>
    <x v="244"/>
    <n v="2968"/>
  </r>
  <r>
    <x v="7969"/>
    <x v="8"/>
    <x v="1"/>
    <x v="0"/>
    <s v="GTX Plus Basic"/>
    <s v="Genco Pura Olive Oil Company"/>
    <x v="0"/>
    <d v="2017-11-08T00:00:00"/>
    <x v="232"/>
    <n v="1071"/>
  </r>
  <r>
    <x v="7970"/>
    <x v="29"/>
    <x v="1"/>
    <x v="0"/>
    <s v="GTXPro"/>
    <s v="Treequote"/>
    <x v="2"/>
    <d v="2017-11-08T00:00:00"/>
    <x v="264"/>
    <n v="0"/>
  </r>
  <r>
    <x v="7971"/>
    <x v="16"/>
    <x v="2"/>
    <x v="1"/>
    <s v="GTX Plus Pro"/>
    <s v="Sunnamplex"/>
    <x v="2"/>
    <d v="2017-11-08T00:00:00"/>
    <x v="244"/>
    <n v="0"/>
  </r>
  <r>
    <x v="7972"/>
    <x v="16"/>
    <x v="2"/>
    <x v="1"/>
    <s v="GTX Plus Basic"/>
    <s v="Plusstrip"/>
    <x v="0"/>
    <d v="2017-11-08T00:00:00"/>
    <x v="240"/>
    <n v="1082"/>
  </r>
  <r>
    <x v="7973"/>
    <x v="18"/>
    <x v="2"/>
    <x v="1"/>
    <s v="GTX Plus Basic"/>
    <s v="Plexzap"/>
    <x v="0"/>
    <d v="2017-11-08T00:00:00"/>
    <x v="210"/>
    <n v="1203"/>
  </r>
  <r>
    <x v="7974"/>
    <x v="24"/>
    <x v="0"/>
    <x v="0"/>
    <s v="MG Special"/>
    <s v="Konmatfix"/>
    <x v="2"/>
    <d v="2017-11-08T00:00:00"/>
    <x v="265"/>
    <n v="0"/>
  </r>
  <r>
    <x v="7975"/>
    <x v="22"/>
    <x v="1"/>
    <x v="0"/>
    <s v="GTX Plus Basic"/>
    <s v="Warephase"/>
    <x v="0"/>
    <d v="2017-11-08T00:00:00"/>
    <x v="221"/>
    <n v="985"/>
  </r>
  <r>
    <x v="7976"/>
    <x v="6"/>
    <x v="1"/>
    <x v="0"/>
    <s v="GTX Plus Basic"/>
    <s v="Scottech"/>
    <x v="0"/>
    <d v="2017-11-08T00:00:00"/>
    <x v="228"/>
    <n v="1133"/>
  </r>
  <r>
    <x v="7977"/>
    <x v="15"/>
    <x v="5"/>
    <x v="2"/>
    <s v="MG Special"/>
    <s v="Bubba Gump"/>
    <x v="0"/>
    <d v="2017-11-08T00:00:00"/>
    <x v="275"/>
    <n v="56"/>
  </r>
  <r>
    <x v="7978"/>
    <x v="20"/>
    <x v="5"/>
    <x v="2"/>
    <s v="GTX Plus Basic"/>
    <m/>
    <x v="1"/>
    <d v="2017-11-08T00:00:00"/>
    <x v="6"/>
    <m/>
  </r>
  <r>
    <x v="7979"/>
    <x v="25"/>
    <x v="4"/>
    <x v="2"/>
    <s v="GTX Basic"/>
    <m/>
    <x v="1"/>
    <d v="2017-11-09T00:00:00"/>
    <x v="6"/>
    <m/>
  </r>
  <r>
    <x v="7980"/>
    <x v="26"/>
    <x v="4"/>
    <x v="2"/>
    <s v="GTX Basic"/>
    <s v="Zencorporation"/>
    <x v="2"/>
    <d v="2017-11-09T00:00:00"/>
    <x v="220"/>
    <n v="0"/>
  </r>
  <r>
    <x v="7981"/>
    <x v="21"/>
    <x v="5"/>
    <x v="2"/>
    <s v="GTX Plus Pro"/>
    <s v="Sumace"/>
    <x v="0"/>
    <d v="2017-11-09T00:00:00"/>
    <x v="237"/>
    <n v="4884"/>
  </r>
  <r>
    <x v="7982"/>
    <x v="7"/>
    <x v="2"/>
    <x v="1"/>
    <s v="GTX Basic"/>
    <s v="Kan-code"/>
    <x v="0"/>
    <d v="2017-11-09T00:00:00"/>
    <x v="241"/>
    <n v="443"/>
  </r>
  <r>
    <x v="7983"/>
    <x v="16"/>
    <x v="2"/>
    <x v="1"/>
    <s v="GTX Basic"/>
    <s v="Goodsilron"/>
    <x v="0"/>
    <d v="2017-11-09T00:00:00"/>
    <x v="230"/>
    <n v="562"/>
  </r>
  <r>
    <x v="7984"/>
    <x v="16"/>
    <x v="2"/>
    <x v="1"/>
    <s v="GTX Basic"/>
    <s v="Groovestreet"/>
    <x v="0"/>
    <d v="2017-11-09T00:00:00"/>
    <x v="235"/>
    <n v="437"/>
  </r>
  <r>
    <x v="7985"/>
    <x v="18"/>
    <x v="2"/>
    <x v="1"/>
    <s v="MG Advanced"/>
    <s v="Rantouch"/>
    <x v="2"/>
    <d v="2017-11-09T00:00:00"/>
    <x v="230"/>
    <n v="0"/>
  </r>
  <r>
    <x v="7986"/>
    <x v="18"/>
    <x v="2"/>
    <x v="1"/>
    <s v="GTX Basic"/>
    <s v="Kan-code"/>
    <x v="0"/>
    <d v="2017-11-09T00:00:00"/>
    <x v="226"/>
    <n v="606"/>
  </r>
  <r>
    <x v="7987"/>
    <x v="5"/>
    <x v="3"/>
    <x v="1"/>
    <s v="MG Special"/>
    <s v="Sonron"/>
    <x v="0"/>
    <d v="2017-11-09T00:00:00"/>
    <x v="249"/>
    <n v="56"/>
  </r>
  <r>
    <x v="7988"/>
    <x v="9"/>
    <x v="2"/>
    <x v="1"/>
    <s v="MG Advanced"/>
    <s v="Sunnamplex"/>
    <x v="2"/>
    <d v="2017-11-09T00:00:00"/>
    <x v="237"/>
    <n v="0"/>
  </r>
  <r>
    <x v="7989"/>
    <x v="0"/>
    <x v="0"/>
    <x v="0"/>
    <s v="MG Special"/>
    <s v="Warephase"/>
    <x v="0"/>
    <d v="2017-11-09T00:00:00"/>
    <x v="235"/>
    <n v="54"/>
  </r>
  <r>
    <x v="7990"/>
    <x v="4"/>
    <x v="3"/>
    <x v="1"/>
    <s v="GTXPro"/>
    <m/>
    <x v="1"/>
    <d v="2017-11-09T00:00:00"/>
    <x v="6"/>
    <m/>
  </r>
  <r>
    <x v="7991"/>
    <x v="20"/>
    <x v="5"/>
    <x v="2"/>
    <s v="GTXPro"/>
    <s v="Acme Corporation"/>
    <x v="2"/>
    <d v="2017-11-09T00:00:00"/>
    <x v="230"/>
    <n v="0"/>
  </r>
  <r>
    <x v="7992"/>
    <x v="27"/>
    <x v="5"/>
    <x v="2"/>
    <s v="GTX Basic"/>
    <s v="Acme Corporation"/>
    <x v="0"/>
    <d v="2017-11-10T00:00:00"/>
    <x v="229"/>
    <n v="577"/>
  </r>
  <r>
    <x v="7993"/>
    <x v="13"/>
    <x v="4"/>
    <x v="2"/>
    <s v="GTX Plus Basic"/>
    <s v="Massive Dynamic"/>
    <x v="2"/>
    <d v="2017-11-10T00:00:00"/>
    <x v="264"/>
    <n v="0"/>
  </r>
  <r>
    <x v="7994"/>
    <x v="1"/>
    <x v="1"/>
    <x v="0"/>
    <s v="GTXPro"/>
    <s v="Ron-tech"/>
    <x v="0"/>
    <d v="2017-11-10T00:00:00"/>
    <x v="228"/>
    <n v="4480"/>
  </r>
  <r>
    <x v="7995"/>
    <x v="18"/>
    <x v="2"/>
    <x v="1"/>
    <s v="GTX Plus Pro"/>
    <s v="Lexiqvolax"/>
    <x v="0"/>
    <d v="2017-11-10T00:00:00"/>
    <x v="255"/>
    <n v="6299"/>
  </r>
  <r>
    <x v="7996"/>
    <x v="18"/>
    <x v="2"/>
    <x v="1"/>
    <s v="GTXPro"/>
    <s v="Condax"/>
    <x v="0"/>
    <d v="2017-11-10T00:00:00"/>
    <x v="238"/>
    <n v="4673"/>
  </r>
  <r>
    <x v="7997"/>
    <x v="5"/>
    <x v="3"/>
    <x v="1"/>
    <s v="GTK 500"/>
    <s v="Xx-holding"/>
    <x v="2"/>
    <d v="2017-11-10T00:00:00"/>
    <x v="244"/>
    <n v="0"/>
  </r>
  <r>
    <x v="7998"/>
    <x v="19"/>
    <x v="4"/>
    <x v="2"/>
    <s v="GTX Plus Pro"/>
    <s v="Zathunicon"/>
    <x v="0"/>
    <d v="2017-11-10T00:00:00"/>
    <x v="272"/>
    <n v="4659"/>
  </r>
  <r>
    <x v="7999"/>
    <x v="11"/>
    <x v="3"/>
    <x v="1"/>
    <s v="MG Special"/>
    <m/>
    <x v="1"/>
    <d v="2017-11-10T00:00:00"/>
    <x v="6"/>
    <m/>
  </r>
  <r>
    <x v="8000"/>
    <x v="27"/>
    <x v="5"/>
    <x v="2"/>
    <s v="GTX Plus Basic"/>
    <s v="Kinnamplus"/>
    <x v="0"/>
    <d v="2017-11-11T00:00:00"/>
    <x v="228"/>
    <n v="1180"/>
  </r>
  <r>
    <x v="8001"/>
    <x v="1"/>
    <x v="1"/>
    <x v="0"/>
    <s v="GTX Plus Pro"/>
    <s v="Betatech"/>
    <x v="2"/>
    <d v="2017-11-11T00:00:00"/>
    <x v="226"/>
    <n v="0"/>
  </r>
  <r>
    <x v="8002"/>
    <x v="26"/>
    <x v="4"/>
    <x v="2"/>
    <s v="GTX Plus Basic"/>
    <s v="Opentech"/>
    <x v="2"/>
    <d v="2017-11-11T00:00:00"/>
    <x v="229"/>
    <n v="0"/>
  </r>
  <r>
    <x v="8003"/>
    <x v="29"/>
    <x v="1"/>
    <x v="0"/>
    <s v="MG Special"/>
    <s v="Treequote"/>
    <x v="0"/>
    <d v="2017-11-11T00:00:00"/>
    <x v="240"/>
    <n v="57"/>
  </r>
  <r>
    <x v="8004"/>
    <x v="22"/>
    <x v="1"/>
    <x v="0"/>
    <s v="GTX Plus Pro"/>
    <s v="Toughzap"/>
    <x v="2"/>
    <d v="2017-11-11T00:00:00"/>
    <x v="241"/>
    <n v="0"/>
  </r>
  <r>
    <x v="8005"/>
    <x v="6"/>
    <x v="1"/>
    <x v="0"/>
    <s v="GTX Plus Basic"/>
    <s v="Genco Pura Olive Oil Company"/>
    <x v="2"/>
    <d v="2017-11-11T00:00:00"/>
    <x v="241"/>
    <n v="0"/>
  </r>
  <r>
    <x v="8006"/>
    <x v="12"/>
    <x v="0"/>
    <x v="0"/>
    <s v="MG Special"/>
    <s v="Codehow"/>
    <x v="0"/>
    <d v="2017-11-11T00:00:00"/>
    <x v="245"/>
    <n v="48"/>
  </r>
  <r>
    <x v="8007"/>
    <x v="15"/>
    <x v="5"/>
    <x v="2"/>
    <s v="MG Special"/>
    <s v="Bioplex"/>
    <x v="0"/>
    <d v="2017-11-11T00:00:00"/>
    <x v="220"/>
    <n v="51"/>
  </r>
  <r>
    <x v="8008"/>
    <x v="3"/>
    <x v="0"/>
    <x v="0"/>
    <s v="MG Special"/>
    <s v="Inity"/>
    <x v="2"/>
    <d v="2017-11-12T00:00:00"/>
    <x v="256"/>
    <n v="0"/>
  </r>
  <r>
    <x v="8009"/>
    <x v="27"/>
    <x v="5"/>
    <x v="2"/>
    <s v="GTX Plus Basic"/>
    <s v="Umbrella Corporation"/>
    <x v="0"/>
    <d v="2017-11-12T00:00:00"/>
    <x v="220"/>
    <n v="1138"/>
  </r>
  <r>
    <x v="8010"/>
    <x v="1"/>
    <x v="1"/>
    <x v="0"/>
    <s v="MG Special"/>
    <s v="Streethex"/>
    <x v="0"/>
    <d v="2017-11-12T00:00:00"/>
    <x v="261"/>
    <n v="49"/>
  </r>
  <r>
    <x v="8011"/>
    <x v="21"/>
    <x v="5"/>
    <x v="2"/>
    <s v="MG Advanced"/>
    <s v="Sumace"/>
    <x v="2"/>
    <d v="2017-11-12T00:00:00"/>
    <x v="235"/>
    <n v="0"/>
  </r>
  <r>
    <x v="8012"/>
    <x v="8"/>
    <x v="1"/>
    <x v="0"/>
    <s v="GTX Basic"/>
    <s v="Genco Pura Olive Oil Company"/>
    <x v="0"/>
    <d v="2017-11-12T00:00:00"/>
    <x v="270"/>
    <n v="650"/>
  </r>
  <r>
    <x v="8013"/>
    <x v="18"/>
    <x v="2"/>
    <x v="1"/>
    <s v="GTX Basic"/>
    <s v="Lexiqvolax"/>
    <x v="0"/>
    <d v="2017-11-12T00:00:00"/>
    <x v="272"/>
    <n v="470"/>
  </r>
  <r>
    <x v="8014"/>
    <x v="24"/>
    <x v="0"/>
    <x v="0"/>
    <s v="GTX Basic"/>
    <s v="Isdom"/>
    <x v="0"/>
    <d v="2017-11-12T00:00:00"/>
    <x v="271"/>
    <n v="567"/>
  </r>
  <r>
    <x v="8015"/>
    <x v="5"/>
    <x v="3"/>
    <x v="1"/>
    <s v="MG Advanced"/>
    <s v="Newex"/>
    <x v="0"/>
    <d v="2017-11-12T00:00:00"/>
    <x v="267"/>
    <n v="3836"/>
  </r>
  <r>
    <x v="8016"/>
    <x v="22"/>
    <x v="1"/>
    <x v="0"/>
    <s v="GTX Plus Pro"/>
    <s v="Rangreen"/>
    <x v="0"/>
    <d v="2017-11-12T00:00:00"/>
    <x v="226"/>
    <n v="5916"/>
  </r>
  <r>
    <x v="8017"/>
    <x v="9"/>
    <x v="2"/>
    <x v="1"/>
    <s v="GTX Plus Basic"/>
    <s v="Cheers"/>
    <x v="0"/>
    <d v="2017-11-12T00:00:00"/>
    <x v="241"/>
    <n v="938"/>
  </r>
  <r>
    <x v="8018"/>
    <x v="9"/>
    <x v="2"/>
    <x v="1"/>
    <s v="GTX Plus Basic"/>
    <s v="Kan-code"/>
    <x v="0"/>
    <d v="2017-11-12T00:00:00"/>
    <x v="225"/>
    <n v="1124"/>
  </r>
  <r>
    <x v="8019"/>
    <x v="12"/>
    <x v="0"/>
    <x v="0"/>
    <s v="MG Special"/>
    <s v="Gogozoom"/>
    <x v="0"/>
    <d v="2017-11-12T00:00:00"/>
    <x v="238"/>
    <n v="61"/>
  </r>
  <r>
    <x v="8020"/>
    <x v="4"/>
    <x v="3"/>
    <x v="1"/>
    <s v="MG Special"/>
    <s v="Faxquote"/>
    <x v="2"/>
    <d v="2017-11-12T00:00:00"/>
    <x v="266"/>
    <n v="0"/>
  </r>
  <r>
    <x v="8021"/>
    <x v="20"/>
    <x v="5"/>
    <x v="2"/>
    <s v="MG Advanced"/>
    <s v="Mathtouch"/>
    <x v="0"/>
    <d v="2017-11-12T00:00:00"/>
    <x v="232"/>
    <n v="4011"/>
  </r>
  <r>
    <x v="8022"/>
    <x v="2"/>
    <x v="2"/>
    <x v="1"/>
    <s v="GTX Plus Basic"/>
    <s v="Hatfan"/>
    <x v="2"/>
    <d v="2017-11-12T00:00:00"/>
    <x v="225"/>
    <n v="0"/>
  </r>
  <r>
    <x v="8023"/>
    <x v="2"/>
    <x v="2"/>
    <x v="1"/>
    <s v="GTXPro"/>
    <s v="Plusstrip"/>
    <x v="0"/>
    <d v="2017-11-12T00:00:00"/>
    <x v="221"/>
    <n v="5144"/>
  </r>
  <r>
    <x v="8024"/>
    <x v="25"/>
    <x v="4"/>
    <x v="2"/>
    <s v="GTX Basic"/>
    <s v="Zotware"/>
    <x v="0"/>
    <d v="2017-11-13T00:00:00"/>
    <x v="253"/>
    <n v="493"/>
  </r>
  <r>
    <x v="8025"/>
    <x v="23"/>
    <x v="4"/>
    <x v="2"/>
    <s v="GTX Basic"/>
    <s v="Kinnamplus"/>
    <x v="2"/>
    <d v="2017-11-13T00:00:00"/>
    <x v="230"/>
    <n v="0"/>
  </r>
  <r>
    <x v="8026"/>
    <x v="13"/>
    <x v="4"/>
    <x v="2"/>
    <s v="GTX Plus Basic"/>
    <s v="Kinnamplus"/>
    <x v="0"/>
    <d v="2017-11-13T00:00:00"/>
    <x v="228"/>
    <n v="1224"/>
  </r>
  <r>
    <x v="8027"/>
    <x v="29"/>
    <x v="1"/>
    <x v="0"/>
    <s v="GTX Basic"/>
    <s v="Isdom"/>
    <x v="2"/>
    <d v="2017-11-13T00:00:00"/>
    <x v="235"/>
    <n v="0"/>
  </r>
  <r>
    <x v="8028"/>
    <x v="16"/>
    <x v="2"/>
    <x v="1"/>
    <s v="GTX Basic"/>
    <s v="Konex"/>
    <x v="2"/>
    <d v="2017-11-13T00:00:00"/>
    <x v="226"/>
    <n v="0"/>
  </r>
  <r>
    <x v="8029"/>
    <x v="16"/>
    <x v="2"/>
    <x v="1"/>
    <s v="GTXPro"/>
    <s v="Hottechi"/>
    <x v="2"/>
    <d v="2017-11-13T00:00:00"/>
    <x v="262"/>
    <n v="0"/>
  </r>
  <r>
    <x v="8030"/>
    <x v="24"/>
    <x v="0"/>
    <x v="0"/>
    <s v="GTX Basic"/>
    <s v="Streethex"/>
    <x v="2"/>
    <d v="2017-11-13T00:00:00"/>
    <x v="232"/>
    <n v="0"/>
  </r>
  <r>
    <x v="8031"/>
    <x v="9"/>
    <x v="2"/>
    <x v="1"/>
    <s v="GTX Plus Basic"/>
    <m/>
    <x v="1"/>
    <d v="2017-11-13T00:00:00"/>
    <x v="6"/>
    <m/>
  </r>
  <r>
    <x v="8032"/>
    <x v="3"/>
    <x v="0"/>
    <x v="0"/>
    <s v="GTX Plus Pro"/>
    <s v="Treequote"/>
    <x v="0"/>
    <d v="2017-11-14T00:00:00"/>
    <x v="225"/>
    <n v="5276"/>
  </r>
  <r>
    <x v="8033"/>
    <x v="13"/>
    <x v="4"/>
    <x v="2"/>
    <s v="GTX Plus Basic"/>
    <s v="Cancity"/>
    <x v="1"/>
    <d v="2017-11-14T00:00:00"/>
    <x v="6"/>
    <m/>
  </r>
  <r>
    <x v="8034"/>
    <x v="21"/>
    <x v="5"/>
    <x v="2"/>
    <s v="GTX Plus Pro"/>
    <s v="Bioplex"/>
    <x v="2"/>
    <d v="2017-11-14T00:00:00"/>
    <x v="260"/>
    <n v="0"/>
  </r>
  <r>
    <x v="8035"/>
    <x v="8"/>
    <x v="1"/>
    <x v="0"/>
    <s v="GTX Plus Basic"/>
    <s v="Konmatfix"/>
    <x v="2"/>
    <d v="2017-11-14T00:00:00"/>
    <x v="228"/>
    <n v="0"/>
  </r>
  <r>
    <x v="8036"/>
    <x v="10"/>
    <x v="3"/>
    <x v="1"/>
    <s v="MG Advanced"/>
    <s v="Scotfind"/>
    <x v="2"/>
    <d v="2017-11-14T00:00:00"/>
    <x v="230"/>
    <n v="0"/>
  </r>
  <r>
    <x v="8037"/>
    <x v="7"/>
    <x v="2"/>
    <x v="1"/>
    <s v="GTX Basic"/>
    <s v="Y-corporation"/>
    <x v="2"/>
    <d v="2017-11-14T00:00:00"/>
    <x v="264"/>
    <n v="0"/>
  </r>
  <r>
    <x v="8038"/>
    <x v="22"/>
    <x v="1"/>
    <x v="0"/>
    <s v="GTX Plus Basic"/>
    <s v="Ron-tech"/>
    <x v="0"/>
    <d v="2017-11-14T00:00:00"/>
    <x v="230"/>
    <n v="947"/>
  </r>
  <r>
    <x v="8039"/>
    <x v="19"/>
    <x v="4"/>
    <x v="2"/>
    <s v="GTX Plus Pro"/>
    <s v="Konex"/>
    <x v="2"/>
    <d v="2017-11-14T00:00:00"/>
    <x v="230"/>
    <n v="0"/>
  </r>
  <r>
    <x v="8040"/>
    <x v="15"/>
    <x v="5"/>
    <x v="2"/>
    <s v="MG Advanced"/>
    <s v="Kinnamplus"/>
    <x v="0"/>
    <d v="2017-11-14T00:00:00"/>
    <x v="246"/>
    <n v="3342"/>
  </r>
  <r>
    <x v="8041"/>
    <x v="25"/>
    <x v="4"/>
    <x v="2"/>
    <s v="GTX Plus Pro"/>
    <s v="Ganjaflex"/>
    <x v="0"/>
    <d v="2017-11-15T00:00:00"/>
    <x v="265"/>
    <n v="5610"/>
  </r>
  <r>
    <x v="8042"/>
    <x v="23"/>
    <x v="4"/>
    <x v="2"/>
    <s v="MG Advanced"/>
    <s v="Condax"/>
    <x v="2"/>
    <d v="2017-11-15T00:00:00"/>
    <x v="273"/>
    <n v="0"/>
  </r>
  <r>
    <x v="8043"/>
    <x v="23"/>
    <x v="4"/>
    <x v="2"/>
    <s v="GTX Basic"/>
    <s v="Donquadtech"/>
    <x v="0"/>
    <d v="2017-11-15T00:00:00"/>
    <x v="262"/>
    <n v="557"/>
  </r>
  <r>
    <x v="8044"/>
    <x v="1"/>
    <x v="1"/>
    <x v="0"/>
    <s v="GTXPro"/>
    <s v="Warephase"/>
    <x v="2"/>
    <d v="2017-11-15T00:00:00"/>
    <x v="228"/>
    <n v="0"/>
  </r>
  <r>
    <x v="8045"/>
    <x v="1"/>
    <x v="1"/>
    <x v="0"/>
    <s v="GTXPro"/>
    <s v="dambase"/>
    <x v="0"/>
    <d v="2017-11-15T00:00:00"/>
    <x v="262"/>
    <n v="5600"/>
  </r>
  <r>
    <x v="8046"/>
    <x v="26"/>
    <x v="4"/>
    <x v="2"/>
    <s v="GTXPro"/>
    <s v="Acme Corporation"/>
    <x v="0"/>
    <d v="2017-11-15T00:00:00"/>
    <x v="275"/>
    <n v="4980"/>
  </r>
  <r>
    <x v="8047"/>
    <x v="16"/>
    <x v="2"/>
    <x v="1"/>
    <s v="MG Special"/>
    <s v="Scotfind"/>
    <x v="1"/>
    <d v="2017-11-15T00:00:00"/>
    <x v="6"/>
    <m/>
  </r>
  <r>
    <x v="8048"/>
    <x v="16"/>
    <x v="2"/>
    <x v="1"/>
    <s v="GTXPro"/>
    <s v="Kan-code"/>
    <x v="2"/>
    <d v="2017-11-15T00:00:00"/>
    <x v="241"/>
    <n v="0"/>
  </r>
  <r>
    <x v="8049"/>
    <x v="18"/>
    <x v="2"/>
    <x v="1"/>
    <s v="GTX Basic"/>
    <s v="Konex"/>
    <x v="2"/>
    <d v="2017-11-15T00:00:00"/>
    <x v="260"/>
    <n v="0"/>
  </r>
  <r>
    <x v="8050"/>
    <x v="2"/>
    <x v="2"/>
    <x v="1"/>
    <s v="GTX Basic"/>
    <s v="Kan-code"/>
    <x v="0"/>
    <d v="2017-11-15T00:00:00"/>
    <x v="256"/>
    <n v="530"/>
  </r>
  <r>
    <x v="8051"/>
    <x v="3"/>
    <x v="0"/>
    <x v="0"/>
    <s v="MG Advanced"/>
    <s v="Hottechi"/>
    <x v="0"/>
    <d v="2017-11-16T00:00:00"/>
    <x v="271"/>
    <n v="3300"/>
  </r>
  <r>
    <x v="8052"/>
    <x v="25"/>
    <x v="4"/>
    <x v="2"/>
    <s v="MG Advanced"/>
    <m/>
    <x v="1"/>
    <d v="2017-11-16T00:00:00"/>
    <x v="6"/>
    <m/>
  </r>
  <r>
    <x v="8053"/>
    <x v="10"/>
    <x v="3"/>
    <x v="1"/>
    <s v="MG Advanced"/>
    <s v="Konex"/>
    <x v="0"/>
    <d v="2017-11-16T00:00:00"/>
    <x v="228"/>
    <n v="3664"/>
  </r>
  <r>
    <x v="8054"/>
    <x v="7"/>
    <x v="2"/>
    <x v="1"/>
    <s v="GTX Plus Pro"/>
    <s v="Konex"/>
    <x v="2"/>
    <d v="2017-11-16T00:00:00"/>
    <x v="228"/>
    <n v="0"/>
  </r>
  <r>
    <x v="8055"/>
    <x v="29"/>
    <x v="1"/>
    <x v="0"/>
    <s v="GTX Basic"/>
    <s v="Stanredtax"/>
    <x v="0"/>
    <d v="2017-11-16T00:00:00"/>
    <x v="241"/>
    <n v="575"/>
  </r>
  <r>
    <x v="8056"/>
    <x v="5"/>
    <x v="3"/>
    <x v="1"/>
    <s v="MG Special"/>
    <s v="Blackzim"/>
    <x v="2"/>
    <d v="2017-11-16T00:00:00"/>
    <x v="230"/>
    <n v="0"/>
  </r>
  <r>
    <x v="8057"/>
    <x v="9"/>
    <x v="2"/>
    <x v="1"/>
    <s v="GTX Plus Basic"/>
    <m/>
    <x v="1"/>
    <d v="2017-11-16T00:00:00"/>
    <x v="6"/>
    <m/>
  </r>
  <r>
    <x v="8058"/>
    <x v="9"/>
    <x v="2"/>
    <x v="1"/>
    <s v="MG Advanced"/>
    <s v="J-Texon"/>
    <x v="0"/>
    <d v="2017-11-16T00:00:00"/>
    <x v="238"/>
    <n v="3271"/>
  </r>
  <r>
    <x v="8059"/>
    <x v="0"/>
    <x v="0"/>
    <x v="0"/>
    <s v="GTX Plus Pro"/>
    <s v="Bioholding"/>
    <x v="2"/>
    <d v="2017-11-16T00:00:00"/>
    <x v="221"/>
    <n v="0"/>
  </r>
  <r>
    <x v="8060"/>
    <x v="6"/>
    <x v="1"/>
    <x v="0"/>
    <s v="GTX Plus Basic"/>
    <s v="Cancity"/>
    <x v="2"/>
    <d v="2017-11-16T00:00:00"/>
    <x v="244"/>
    <n v="0"/>
  </r>
  <r>
    <x v="8061"/>
    <x v="19"/>
    <x v="4"/>
    <x v="2"/>
    <s v="GTX Plus Basic"/>
    <s v="Mathtouch"/>
    <x v="0"/>
    <d v="2017-11-16T00:00:00"/>
    <x v="253"/>
    <n v="1035"/>
  </r>
  <r>
    <x v="8062"/>
    <x v="25"/>
    <x v="4"/>
    <x v="2"/>
    <s v="MG Special"/>
    <s v="Plussunin"/>
    <x v="2"/>
    <d v="2017-11-17T00:00:00"/>
    <x v="240"/>
    <n v="0"/>
  </r>
  <r>
    <x v="8063"/>
    <x v="1"/>
    <x v="1"/>
    <x v="0"/>
    <s v="GTX Plus Pro"/>
    <s v="Inity"/>
    <x v="0"/>
    <d v="2017-11-17T00:00:00"/>
    <x v="253"/>
    <n v="4880"/>
  </r>
  <r>
    <x v="8064"/>
    <x v="26"/>
    <x v="4"/>
    <x v="2"/>
    <s v="MG Advanced"/>
    <s v="Yearin"/>
    <x v="0"/>
    <d v="2017-11-17T00:00:00"/>
    <x v="246"/>
    <n v="3644"/>
  </r>
  <r>
    <x v="8065"/>
    <x v="14"/>
    <x v="3"/>
    <x v="1"/>
    <s v="MG Advanced"/>
    <s v="Plusstrip"/>
    <x v="0"/>
    <d v="2017-11-17T00:00:00"/>
    <x v="254"/>
    <n v="3538"/>
  </r>
  <r>
    <x v="8066"/>
    <x v="16"/>
    <x v="2"/>
    <x v="1"/>
    <s v="GTX Plus Basic"/>
    <s v="Cheers"/>
    <x v="2"/>
    <d v="2017-11-17T00:00:00"/>
    <x v="237"/>
    <n v="0"/>
  </r>
  <r>
    <x v="8067"/>
    <x v="18"/>
    <x v="2"/>
    <x v="1"/>
    <s v="GTX Basic"/>
    <s v="Goodsilron"/>
    <x v="2"/>
    <d v="2017-11-17T00:00:00"/>
    <x v="237"/>
    <n v="0"/>
  </r>
  <r>
    <x v="8068"/>
    <x v="19"/>
    <x v="4"/>
    <x v="2"/>
    <s v="GTXPro"/>
    <s v="Bubba Gump"/>
    <x v="0"/>
    <d v="2017-11-17T00:00:00"/>
    <x v="258"/>
    <n v="4154"/>
  </r>
  <r>
    <x v="8069"/>
    <x v="17"/>
    <x v="5"/>
    <x v="2"/>
    <s v="GTXPro"/>
    <s v="Donware"/>
    <x v="0"/>
    <d v="2017-11-17T00:00:00"/>
    <x v="244"/>
    <n v="4620"/>
  </r>
  <r>
    <x v="8070"/>
    <x v="12"/>
    <x v="0"/>
    <x v="0"/>
    <s v="GTX Plus Pro"/>
    <s v="Domzoom"/>
    <x v="0"/>
    <d v="2017-11-17T00:00:00"/>
    <x v="229"/>
    <n v="5653"/>
  </r>
  <r>
    <x v="8071"/>
    <x v="15"/>
    <x v="5"/>
    <x v="2"/>
    <s v="MG Special"/>
    <s v="Bioplex"/>
    <x v="2"/>
    <d v="2017-11-17T00:00:00"/>
    <x v="256"/>
    <n v="0"/>
  </r>
  <r>
    <x v="8072"/>
    <x v="15"/>
    <x v="5"/>
    <x v="2"/>
    <s v="MG Special"/>
    <s v="Donquadtech"/>
    <x v="0"/>
    <d v="2017-11-17T00:00:00"/>
    <x v="244"/>
    <n v="65"/>
  </r>
  <r>
    <x v="8073"/>
    <x v="2"/>
    <x v="2"/>
    <x v="1"/>
    <s v="GTX Basic"/>
    <s v="Newex"/>
    <x v="0"/>
    <d v="2017-11-17T00:00:00"/>
    <x v="252"/>
    <n v="497"/>
  </r>
  <r>
    <x v="8074"/>
    <x v="25"/>
    <x v="4"/>
    <x v="2"/>
    <s v="GTXPro"/>
    <s v="Sumace"/>
    <x v="0"/>
    <d v="2017-11-18T00:00:00"/>
    <x v="243"/>
    <n v="4645"/>
  </r>
  <r>
    <x v="8075"/>
    <x v="23"/>
    <x v="4"/>
    <x v="2"/>
    <s v="GTXPro"/>
    <s v="Massive Dynamic"/>
    <x v="0"/>
    <d v="2017-11-18T00:00:00"/>
    <x v="235"/>
    <n v="4243"/>
  </r>
  <r>
    <x v="8076"/>
    <x v="13"/>
    <x v="4"/>
    <x v="2"/>
    <s v="GTX Plus Basic"/>
    <s v="Opentech"/>
    <x v="2"/>
    <d v="2017-11-18T00:00:00"/>
    <x v="258"/>
    <n v="0"/>
  </r>
  <r>
    <x v="8077"/>
    <x v="1"/>
    <x v="1"/>
    <x v="0"/>
    <s v="GTXPro"/>
    <s v="Cancity"/>
    <x v="0"/>
    <d v="2017-11-18T00:00:00"/>
    <x v="246"/>
    <n v="4617"/>
  </r>
  <r>
    <x v="8078"/>
    <x v="14"/>
    <x v="3"/>
    <x v="1"/>
    <s v="GTK 500"/>
    <s v="Xx-holding"/>
    <x v="0"/>
    <d v="2017-11-18T00:00:00"/>
    <x v="240"/>
    <n v="29220"/>
  </r>
  <r>
    <x v="8079"/>
    <x v="29"/>
    <x v="1"/>
    <x v="0"/>
    <s v="GTX Plus Basic"/>
    <s v="Funholding"/>
    <x v="2"/>
    <d v="2017-11-18T00:00:00"/>
    <x v="262"/>
    <n v="0"/>
  </r>
  <r>
    <x v="8080"/>
    <x v="16"/>
    <x v="2"/>
    <x v="1"/>
    <s v="GTX Basic"/>
    <s v="Konex"/>
    <x v="0"/>
    <d v="2017-11-18T00:00:00"/>
    <x v="240"/>
    <n v="643"/>
  </r>
  <r>
    <x v="8081"/>
    <x v="18"/>
    <x v="2"/>
    <x v="1"/>
    <s v="GTX Basic"/>
    <s v="Scotfind"/>
    <x v="2"/>
    <d v="2017-11-18T00:00:00"/>
    <x v="235"/>
    <n v="0"/>
  </r>
  <r>
    <x v="8082"/>
    <x v="9"/>
    <x v="2"/>
    <x v="1"/>
    <s v="GTX Plus Pro"/>
    <s v="Blackzim"/>
    <x v="2"/>
    <d v="2017-11-18T00:00:00"/>
    <x v="252"/>
    <n v="0"/>
  </r>
  <r>
    <x v="8083"/>
    <x v="0"/>
    <x v="0"/>
    <x v="0"/>
    <s v="MG Special"/>
    <s v="Funholding"/>
    <x v="2"/>
    <d v="2017-11-18T00:00:00"/>
    <x v="260"/>
    <n v="0"/>
  </r>
  <r>
    <x v="8084"/>
    <x v="25"/>
    <x v="4"/>
    <x v="2"/>
    <s v="GTX Plus Basic"/>
    <s v="Mathtouch"/>
    <x v="0"/>
    <d v="2017-11-19T00:00:00"/>
    <x v="228"/>
    <n v="886"/>
  </r>
  <r>
    <x v="8085"/>
    <x v="28"/>
    <x v="0"/>
    <x v="0"/>
    <s v="MG Advanced"/>
    <s v="Rangreen"/>
    <x v="0"/>
    <d v="2017-11-19T00:00:00"/>
    <x v="260"/>
    <n v="3206"/>
  </r>
  <r>
    <x v="8086"/>
    <x v="13"/>
    <x v="4"/>
    <x v="2"/>
    <s v="GTX Basic"/>
    <s v="Gekko &amp; Co"/>
    <x v="0"/>
    <d v="2017-11-19T00:00:00"/>
    <x v="228"/>
    <n v="678"/>
  </r>
  <r>
    <x v="8087"/>
    <x v="1"/>
    <x v="1"/>
    <x v="0"/>
    <s v="GTX Basic"/>
    <s v="Funholding"/>
    <x v="0"/>
    <d v="2017-11-19T00:00:00"/>
    <x v="228"/>
    <n v="549"/>
  </r>
  <r>
    <x v="8088"/>
    <x v="26"/>
    <x v="4"/>
    <x v="2"/>
    <s v="GTX Plus Pro"/>
    <s v="Kan-code"/>
    <x v="0"/>
    <d v="2017-11-19T00:00:00"/>
    <x v="260"/>
    <n v="6540"/>
  </r>
  <r>
    <x v="8089"/>
    <x v="29"/>
    <x v="1"/>
    <x v="0"/>
    <s v="GTX Basic"/>
    <s v="Toughzap"/>
    <x v="2"/>
    <d v="2017-11-19T00:00:00"/>
    <x v="235"/>
    <n v="0"/>
  </r>
  <r>
    <x v="8090"/>
    <x v="9"/>
    <x v="2"/>
    <x v="1"/>
    <s v="MG Advanced"/>
    <s v="Lexiqvolax"/>
    <x v="2"/>
    <d v="2017-11-19T00:00:00"/>
    <x v="240"/>
    <n v="0"/>
  </r>
  <r>
    <x v="8091"/>
    <x v="6"/>
    <x v="1"/>
    <x v="0"/>
    <s v="GTX Basic"/>
    <s v="Isdom"/>
    <x v="0"/>
    <d v="2017-11-19T00:00:00"/>
    <x v="260"/>
    <n v="662"/>
  </r>
  <r>
    <x v="8092"/>
    <x v="4"/>
    <x v="3"/>
    <x v="1"/>
    <s v="GTXPro"/>
    <s v="Finjob"/>
    <x v="0"/>
    <d v="2017-11-19T00:00:00"/>
    <x v="253"/>
    <n v="4540"/>
  </r>
  <r>
    <x v="8093"/>
    <x v="3"/>
    <x v="0"/>
    <x v="0"/>
    <s v="MG Special"/>
    <s v="Rundofase"/>
    <x v="0"/>
    <d v="2017-11-20T00:00:00"/>
    <x v="246"/>
    <n v="52"/>
  </r>
  <r>
    <x v="8094"/>
    <x v="23"/>
    <x v="4"/>
    <x v="2"/>
    <s v="GTX Plus Basic"/>
    <m/>
    <x v="1"/>
    <d v="2017-11-20T00:00:00"/>
    <x v="6"/>
    <m/>
  </r>
  <r>
    <x v="8095"/>
    <x v="27"/>
    <x v="5"/>
    <x v="2"/>
    <s v="GTXPro"/>
    <s v="Yearin"/>
    <x v="2"/>
    <d v="2017-11-20T00:00:00"/>
    <x v="237"/>
    <n v="0"/>
  </r>
  <r>
    <x v="8096"/>
    <x v="16"/>
    <x v="2"/>
    <x v="1"/>
    <s v="GTX Basic"/>
    <s v="Goodsilron"/>
    <x v="0"/>
    <d v="2017-11-20T00:00:00"/>
    <x v="250"/>
    <n v="504"/>
  </r>
  <r>
    <x v="8097"/>
    <x v="18"/>
    <x v="2"/>
    <x v="1"/>
    <s v="GTX Basic"/>
    <s v="Kan-code"/>
    <x v="0"/>
    <d v="2017-11-20T00:00:00"/>
    <x v="240"/>
    <n v="589"/>
  </r>
  <r>
    <x v="8098"/>
    <x v="0"/>
    <x v="0"/>
    <x v="0"/>
    <s v="GTX Plus Pro"/>
    <s v="Stanredtax"/>
    <x v="0"/>
    <d v="2017-11-20T00:00:00"/>
    <x v="257"/>
    <n v="5756"/>
  </r>
  <r>
    <x v="8099"/>
    <x v="0"/>
    <x v="0"/>
    <x v="0"/>
    <s v="MG Advanced"/>
    <s v="Streethex"/>
    <x v="0"/>
    <d v="2017-11-20T00:00:00"/>
    <x v="230"/>
    <n v="3161"/>
  </r>
  <r>
    <x v="8100"/>
    <x v="15"/>
    <x v="5"/>
    <x v="2"/>
    <s v="MG Special"/>
    <m/>
    <x v="1"/>
    <d v="2017-11-20T00:00:00"/>
    <x v="6"/>
    <m/>
  </r>
  <r>
    <x v="8101"/>
    <x v="20"/>
    <x v="5"/>
    <x v="2"/>
    <s v="GTX Plus Pro"/>
    <s v="Umbrella Corporation"/>
    <x v="0"/>
    <d v="2017-11-20T00:00:00"/>
    <x v="250"/>
    <n v="5209"/>
  </r>
  <r>
    <x v="8102"/>
    <x v="23"/>
    <x v="4"/>
    <x v="2"/>
    <s v="MG Advanced"/>
    <s v="Kan-code"/>
    <x v="2"/>
    <d v="2017-11-21T00:00:00"/>
    <x v="256"/>
    <n v="0"/>
  </r>
  <r>
    <x v="8103"/>
    <x v="28"/>
    <x v="0"/>
    <x v="0"/>
    <s v="MG Special"/>
    <s v="dambase"/>
    <x v="0"/>
    <d v="2017-11-21T00:00:00"/>
    <x v="250"/>
    <n v="58"/>
  </r>
  <r>
    <x v="8104"/>
    <x v="27"/>
    <x v="5"/>
    <x v="2"/>
    <s v="MG Special"/>
    <s v="Massive Dynamic"/>
    <x v="0"/>
    <d v="2017-11-21T00:00:00"/>
    <x v="261"/>
    <n v="57"/>
  </r>
  <r>
    <x v="8105"/>
    <x v="26"/>
    <x v="4"/>
    <x v="2"/>
    <s v="GTXPro"/>
    <s v="Bubba Gump"/>
    <x v="0"/>
    <d v="2017-11-21T00:00:00"/>
    <x v="249"/>
    <n v="5466"/>
  </r>
  <r>
    <x v="8106"/>
    <x v="8"/>
    <x v="1"/>
    <x v="0"/>
    <s v="GTX Plus Pro"/>
    <s v="Domzoom"/>
    <x v="2"/>
    <d v="2017-11-21T00:00:00"/>
    <x v="253"/>
    <n v="0"/>
  </r>
  <r>
    <x v="8107"/>
    <x v="7"/>
    <x v="2"/>
    <x v="1"/>
    <s v="GTX Plus Pro"/>
    <s v="Lexiqvolax"/>
    <x v="0"/>
    <d v="2017-11-21T00:00:00"/>
    <x v="256"/>
    <n v="6932"/>
  </r>
  <r>
    <x v="8108"/>
    <x v="18"/>
    <x v="2"/>
    <x v="1"/>
    <s v="GTX Basic"/>
    <s v="Newex"/>
    <x v="0"/>
    <d v="2017-11-21T00:00:00"/>
    <x v="255"/>
    <n v="597"/>
  </r>
  <r>
    <x v="8109"/>
    <x v="5"/>
    <x v="3"/>
    <x v="1"/>
    <s v="MG Advanced"/>
    <s v="Green-Plus"/>
    <x v="2"/>
    <d v="2017-11-21T00:00:00"/>
    <x v="237"/>
    <n v="0"/>
  </r>
  <r>
    <x v="8110"/>
    <x v="9"/>
    <x v="2"/>
    <x v="1"/>
    <s v="GTX Basic"/>
    <s v="Cheers"/>
    <x v="0"/>
    <d v="2017-11-21T00:00:00"/>
    <x v="272"/>
    <n v="619"/>
  </r>
  <r>
    <x v="8111"/>
    <x v="4"/>
    <x v="3"/>
    <x v="1"/>
    <s v="MG Advanced"/>
    <s v="Faxquote"/>
    <x v="0"/>
    <d v="2017-11-21T00:00:00"/>
    <x v="238"/>
    <n v="2590"/>
  </r>
  <r>
    <x v="8112"/>
    <x v="20"/>
    <x v="5"/>
    <x v="2"/>
    <s v="GTXPro"/>
    <s v="Sumace"/>
    <x v="2"/>
    <d v="2017-11-21T00:00:00"/>
    <x v="244"/>
    <n v="0"/>
  </r>
  <r>
    <x v="8113"/>
    <x v="23"/>
    <x v="4"/>
    <x v="2"/>
    <s v="GTX Basic"/>
    <s v="Yearin"/>
    <x v="0"/>
    <d v="2017-11-22T00:00:00"/>
    <x v="243"/>
    <n v="609"/>
  </r>
  <r>
    <x v="8114"/>
    <x v="27"/>
    <x v="5"/>
    <x v="2"/>
    <s v="GTXPro"/>
    <s v="Konex"/>
    <x v="0"/>
    <d v="2017-11-22T00:00:00"/>
    <x v="258"/>
    <n v="4492"/>
  </r>
  <r>
    <x v="8115"/>
    <x v="9"/>
    <x v="2"/>
    <x v="1"/>
    <s v="GTX Plus Basic"/>
    <s v="Rantouch"/>
    <x v="2"/>
    <d v="2017-11-22T00:00:00"/>
    <x v="237"/>
    <n v="0"/>
  </r>
  <r>
    <x v="8116"/>
    <x v="19"/>
    <x v="4"/>
    <x v="2"/>
    <s v="GTXPro"/>
    <s v="Yearin"/>
    <x v="2"/>
    <d v="2017-11-22T00:00:00"/>
    <x v="258"/>
    <n v="0"/>
  </r>
  <r>
    <x v="8117"/>
    <x v="15"/>
    <x v="5"/>
    <x v="2"/>
    <s v="MG Special"/>
    <s v="Kan-code"/>
    <x v="0"/>
    <d v="2017-11-22T00:00:00"/>
    <x v="252"/>
    <n v="47"/>
  </r>
  <r>
    <x v="8118"/>
    <x v="2"/>
    <x v="2"/>
    <x v="1"/>
    <s v="GTX Basic"/>
    <s v="Goodsilron"/>
    <x v="1"/>
    <d v="2017-11-22T00:00:00"/>
    <x v="6"/>
    <m/>
  </r>
  <r>
    <x v="8119"/>
    <x v="27"/>
    <x v="5"/>
    <x v="2"/>
    <s v="GTX Basic"/>
    <s v="Donquadtech"/>
    <x v="2"/>
    <d v="2017-11-23T00:00:00"/>
    <x v="236"/>
    <n v="0"/>
  </r>
  <r>
    <x v="8120"/>
    <x v="18"/>
    <x v="2"/>
    <x v="1"/>
    <s v="GTX Plus Basic"/>
    <s v="Warephase"/>
    <x v="1"/>
    <d v="2017-11-23T00:00:00"/>
    <x v="6"/>
    <m/>
  </r>
  <r>
    <x v="8121"/>
    <x v="18"/>
    <x v="2"/>
    <x v="1"/>
    <s v="GTX Basic"/>
    <s v="Sonron"/>
    <x v="0"/>
    <d v="2017-11-23T00:00:00"/>
    <x v="250"/>
    <n v="484"/>
  </r>
  <r>
    <x v="8122"/>
    <x v="22"/>
    <x v="1"/>
    <x v="0"/>
    <s v="MG Advanced"/>
    <s v="Ron-tech"/>
    <x v="2"/>
    <d v="2017-11-23T00:00:00"/>
    <x v="256"/>
    <n v="0"/>
  </r>
  <r>
    <x v="8123"/>
    <x v="6"/>
    <x v="1"/>
    <x v="0"/>
    <s v="MG Special"/>
    <s v="Toughzap"/>
    <x v="2"/>
    <d v="2017-11-23T00:00:00"/>
    <x v="260"/>
    <n v="0"/>
  </r>
  <r>
    <x v="8124"/>
    <x v="11"/>
    <x v="3"/>
    <x v="1"/>
    <s v="MG Special"/>
    <s v="Dalttechnology"/>
    <x v="0"/>
    <d v="2017-11-23T00:00:00"/>
    <x v="243"/>
    <n v="49"/>
  </r>
  <r>
    <x v="8125"/>
    <x v="4"/>
    <x v="3"/>
    <x v="1"/>
    <s v="MG Special"/>
    <m/>
    <x v="1"/>
    <d v="2017-11-23T00:00:00"/>
    <x v="6"/>
    <m/>
  </r>
  <r>
    <x v="8126"/>
    <x v="15"/>
    <x v="5"/>
    <x v="2"/>
    <s v="MG Special"/>
    <s v="Kan-code"/>
    <x v="1"/>
    <d v="2017-11-23T00:00:00"/>
    <x v="6"/>
    <m/>
  </r>
  <r>
    <x v="8127"/>
    <x v="23"/>
    <x v="4"/>
    <x v="2"/>
    <s v="GTX Plus Basic"/>
    <s v="Ganjaflex"/>
    <x v="0"/>
    <d v="2017-11-24T00:00:00"/>
    <x v="252"/>
    <n v="927"/>
  </r>
  <r>
    <x v="8128"/>
    <x v="13"/>
    <x v="4"/>
    <x v="2"/>
    <s v="GTXPro"/>
    <s v="Acme Corporation"/>
    <x v="0"/>
    <d v="2017-11-24T00:00:00"/>
    <x v="257"/>
    <n v="4445"/>
  </r>
  <r>
    <x v="8129"/>
    <x v="1"/>
    <x v="1"/>
    <x v="0"/>
    <s v="GTXPro"/>
    <s v="Codehow"/>
    <x v="0"/>
    <d v="2017-11-24T00:00:00"/>
    <x v="240"/>
    <n v="5110"/>
  </r>
  <r>
    <x v="8130"/>
    <x v="14"/>
    <x v="3"/>
    <x v="1"/>
    <s v="MG Special"/>
    <s v="Blackzim"/>
    <x v="0"/>
    <d v="2017-11-24T00:00:00"/>
    <x v="248"/>
    <n v="62"/>
  </r>
  <r>
    <x v="8131"/>
    <x v="7"/>
    <x v="2"/>
    <x v="1"/>
    <s v="GTX Plus Basic"/>
    <s v="Konex"/>
    <x v="0"/>
    <d v="2017-11-24T00:00:00"/>
    <x v="263"/>
    <n v="1049"/>
  </r>
  <r>
    <x v="8132"/>
    <x v="16"/>
    <x v="2"/>
    <x v="1"/>
    <s v="GTX Plus Basic"/>
    <s v="Labdrill"/>
    <x v="0"/>
    <d v="2017-11-24T00:00:00"/>
    <x v="252"/>
    <n v="885"/>
  </r>
  <r>
    <x v="8133"/>
    <x v="18"/>
    <x v="2"/>
    <x v="1"/>
    <s v="GTXPro"/>
    <s v="Newex"/>
    <x v="1"/>
    <d v="2017-11-24T00:00:00"/>
    <x v="6"/>
    <m/>
  </r>
  <r>
    <x v="8134"/>
    <x v="5"/>
    <x v="3"/>
    <x v="1"/>
    <s v="MG Advanced"/>
    <s v="Golddex"/>
    <x v="2"/>
    <d v="2017-11-24T00:00:00"/>
    <x v="246"/>
    <n v="0"/>
  </r>
  <r>
    <x v="8135"/>
    <x v="15"/>
    <x v="5"/>
    <x v="2"/>
    <s v="MG Advanced"/>
    <s v="Gekko &amp; Co"/>
    <x v="0"/>
    <d v="2017-11-24T00:00:00"/>
    <x v="252"/>
    <n v="3612"/>
  </r>
  <r>
    <x v="8136"/>
    <x v="20"/>
    <x v="5"/>
    <x v="2"/>
    <s v="GTXPro"/>
    <s v="Zencorporation"/>
    <x v="0"/>
    <d v="2017-11-24T00:00:00"/>
    <x v="246"/>
    <n v="5106"/>
  </r>
  <r>
    <x v="8137"/>
    <x v="3"/>
    <x v="0"/>
    <x v="0"/>
    <s v="MG Advanced"/>
    <s v="Genco Pura Olive Oil Company"/>
    <x v="0"/>
    <d v="2017-11-25T00:00:00"/>
    <x v="270"/>
    <n v="2477"/>
  </r>
  <r>
    <x v="8138"/>
    <x v="23"/>
    <x v="4"/>
    <x v="2"/>
    <s v="MG Special"/>
    <s v="Donquadtech"/>
    <x v="2"/>
    <d v="2017-11-25T00:00:00"/>
    <x v="249"/>
    <n v="0"/>
  </r>
  <r>
    <x v="8139"/>
    <x v="1"/>
    <x v="1"/>
    <x v="0"/>
    <s v="GTX Basic"/>
    <s v="Warephase"/>
    <x v="0"/>
    <d v="2017-11-25T00:00:00"/>
    <x v="263"/>
    <n v="537"/>
  </r>
  <r>
    <x v="8140"/>
    <x v="7"/>
    <x v="2"/>
    <x v="1"/>
    <s v="GTX Plus Pro"/>
    <s v="Hatfan"/>
    <x v="0"/>
    <d v="2017-11-25T00:00:00"/>
    <x v="249"/>
    <n v="5547"/>
  </r>
  <r>
    <x v="8141"/>
    <x v="0"/>
    <x v="0"/>
    <x v="0"/>
    <s v="GTX Plus Basic"/>
    <s v="Konmatfix"/>
    <x v="0"/>
    <d v="2017-11-25T00:00:00"/>
    <x v="246"/>
    <n v="1001"/>
  </r>
  <r>
    <x v="8142"/>
    <x v="4"/>
    <x v="3"/>
    <x v="1"/>
    <s v="GTX Plus Pro"/>
    <s v="Kan-code"/>
    <x v="2"/>
    <d v="2017-11-25T00:00:00"/>
    <x v="252"/>
    <n v="0"/>
  </r>
  <r>
    <x v="8143"/>
    <x v="15"/>
    <x v="5"/>
    <x v="2"/>
    <s v="GTX Plus Basic"/>
    <s v="Yearin"/>
    <x v="2"/>
    <d v="2017-11-25T00:00:00"/>
    <x v="246"/>
    <n v="0"/>
  </r>
  <r>
    <x v="8144"/>
    <x v="20"/>
    <x v="5"/>
    <x v="2"/>
    <s v="GTXPro"/>
    <s v="Umbrella Corporation"/>
    <x v="0"/>
    <d v="2017-11-25T00:00:00"/>
    <x v="246"/>
    <n v="5077"/>
  </r>
  <r>
    <x v="8145"/>
    <x v="3"/>
    <x v="0"/>
    <x v="0"/>
    <s v="MG Advanced"/>
    <s v="dambase"/>
    <x v="0"/>
    <d v="2017-11-26T00:00:00"/>
    <x v="243"/>
    <n v="3844"/>
  </r>
  <r>
    <x v="8146"/>
    <x v="27"/>
    <x v="5"/>
    <x v="2"/>
    <s v="GTX Plus Pro"/>
    <s v="Sumace"/>
    <x v="2"/>
    <d v="2017-11-26T00:00:00"/>
    <x v="249"/>
    <n v="0"/>
  </r>
  <r>
    <x v="8147"/>
    <x v="27"/>
    <x v="5"/>
    <x v="2"/>
    <s v="GTX Plus Basic"/>
    <s v="Opentech"/>
    <x v="0"/>
    <d v="2017-11-26T00:00:00"/>
    <x v="247"/>
    <n v="1204"/>
  </r>
  <r>
    <x v="8148"/>
    <x v="1"/>
    <x v="1"/>
    <x v="0"/>
    <s v="MG Advanced"/>
    <s v="Isdom"/>
    <x v="2"/>
    <d v="2017-11-26T00:00:00"/>
    <x v="263"/>
    <n v="0"/>
  </r>
  <r>
    <x v="8149"/>
    <x v="8"/>
    <x v="1"/>
    <x v="0"/>
    <s v="GTX Basic"/>
    <s v="Stanredtax"/>
    <x v="0"/>
    <d v="2017-11-26T00:00:00"/>
    <x v="243"/>
    <n v="562"/>
  </r>
  <r>
    <x v="8150"/>
    <x v="16"/>
    <x v="2"/>
    <x v="1"/>
    <s v="GTX Plus Basic"/>
    <s v="Faxquote"/>
    <x v="2"/>
    <d v="2017-11-26T00:00:00"/>
    <x v="267"/>
    <n v="0"/>
  </r>
  <r>
    <x v="8151"/>
    <x v="16"/>
    <x v="2"/>
    <x v="1"/>
    <s v="GTX Basic"/>
    <s v="Sunnamplex"/>
    <x v="0"/>
    <d v="2017-11-26T00:00:00"/>
    <x v="238"/>
    <n v="460"/>
  </r>
  <r>
    <x v="8152"/>
    <x v="12"/>
    <x v="0"/>
    <x v="0"/>
    <s v="MG Special"/>
    <s v="Rundofase"/>
    <x v="0"/>
    <d v="2017-11-26T00:00:00"/>
    <x v="263"/>
    <n v="66"/>
  </r>
  <r>
    <x v="8153"/>
    <x v="12"/>
    <x v="0"/>
    <x v="0"/>
    <s v="MG Advanced"/>
    <s v="Cancity"/>
    <x v="0"/>
    <d v="2017-11-26T00:00:00"/>
    <x v="239"/>
    <n v="3309"/>
  </r>
  <r>
    <x v="8154"/>
    <x v="15"/>
    <x v="5"/>
    <x v="2"/>
    <s v="MG Advanced"/>
    <s v="Massive Dynamic"/>
    <x v="2"/>
    <d v="2017-11-26T00:00:00"/>
    <x v="237"/>
    <n v="0"/>
  </r>
  <r>
    <x v="8155"/>
    <x v="1"/>
    <x v="1"/>
    <x v="0"/>
    <s v="GTXPro"/>
    <s v="Genco Pura Olive Oil Company"/>
    <x v="0"/>
    <d v="2017-11-27T00:00:00"/>
    <x v="262"/>
    <n v="4888"/>
  </r>
  <r>
    <x v="8156"/>
    <x v="10"/>
    <x v="3"/>
    <x v="1"/>
    <s v="GTX Plus Basic"/>
    <s v="J-Texon"/>
    <x v="0"/>
    <d v="2017-11-27T00:00:00"/>
    <x v="239"/>
    <n v="1192"/>
  </r>
  <r>
    <x v="8157"/>
    <x v="19"/>
    <x v="4"/>
    <x v="2"/>
    <s v="MG Advanced"/>
    <s v="Bluth Company"/>
    <x v="2"/>
    <d v="2017-11-27T00:00:00"/>
    <x v="239"/>
    <n v="0"/>
  </r>
  <r>
    <x v="8158"/>
    <x v="11"/>
    <x v="3"/>
    <x v="1"/>
    <s v="MG Special"/>
    <m/>
    <x v="1"/>
    <d v="2017-11-27T00:00:00"/>
    <x v="6"/>
    <m/>
  </r>
  <r>
    <x v="8159"/>
    <x v="2"/>
    <x v="2"/>
    <x v="1"/>
    <s v="GTX Basic"/>
    <s v="Inity"/>
    <x v="1"/>
    <d v="2017-11-27T00:00:00"/>
    <x v="6"/>
    <m/>
  </r>
  <r>
    <x v="8160"/>
    <x v="26"/>
    <x v="4"/>
    <x v="2"/>
    <s v="GTX Plus Basic"/>
    <s v="Gekko &amp; Co"/>
    <x v="0"/>
    <d v="2017-11-28T00:00:00"/>
    <x v="257"/>
    <n v="1131"/>
  </r>
  <r>
    <x v="8161"/>
    <x v="10"/>
    <x v="3"/>
    <x v="1"/>
    <s v="GTX Plus Pro"/>
    <s v="Goodsilron"/>
    <x v="0"/>
    <d v="2017-11-28T00:00:00"/>
    <x v="239"/>
    <n v="5702"/>
  </r>
  <r>
    <x v="8162"/>
    <x v="16"/>
    <x v="2"/>
    <x v="1"/>
    <s v="GTX Basic"/>
    <s v="Cheers"/>
    <x v="0"/>
    <d v="2017-11-28T00:00:00"/>
    <x v="254"/>
    <n v="563"/>
  </r>
  <r>
    <x v="8163"/>
    <x v="9"/>
    <x v="2"/>
    <x v="1"/>
    <s v="GTX Plus Pro"/>
    <s v="Xx-holding"/>
    <x v="0"/>
    <d v="2017-11-28T00:00:00"/>
    <x v="263"/>
    <n v="5886"/>
  </r>
  <r>
    <x v="8164"/>
    <x v="6"/>
    <x v="1"/>
    <x v="0"/>
    <s v="GTX Basic"/>
    <s v="Domzoom"/>
    <x v="2"/>
    <d v="2017-11-28T00:00:00"/>
    <x v="252"/>
    <n v="0"/>
  </r>
  <r>
    <x v="8165"/>
    <x v="4"/>
    <x v="3"/>
    <x v="1"/>
    <s v="MG Advanced"/>
    <s v="Hatfan"/>
    <x v="2"/>
    <d v="2017-11-28T00:00:00"/>
    <x v="236"/>
    <n v="0"/>
  </r>
  <r>
    <x v="8166"/>
    <x v="2"/>
    <x v="2"/>
    <x v="1"/>
    <s v="GTX Plus Basic"/>
    <m/>
    <x v="1"/>
    <d v="2017-11-28T00:00:00"/>
    <x v="6"/>
    <m/>
  </r>
  <r>
    <x v="8167"/>
    <x v="2"/>
    <x v="2"/>
    <x v="1"/>
    <s v="GTX Basic"/>
    <s v="Rantouch"/>
    <x v="0"/>
    <d v="2017-11-28T00:00:00"/>
    <x v="240"/>
    <n v="601"/>
  </r>
  <r>
    <x v="8168"/>
    <x v="14"/>
    <x v="3"/>
    <x v="1"/>
    <s v="MG Special"/>
    <s v="Sonron"/>
    <x v="0"/>
    <d v="2017-11-29T00:00:00"/>
    <x v="248"/>
    <n v="58"/>
  </r>
  <r>
    <x v="8169"/>
    <x v="10"/>
    <x v="3"/>
    <x v="1"/>
    <s v="MG Special"/>
    <s v="Blackzim"/>
    <x v="0"/>
    <d v="2017-11-29T00:00:00"/>
    <x v="247"/>
    <n v="58"/>
  </r>
  <r>
    <x v="8170"/>
    <x v="10"/>
    <x v="3"/>
    <x v="1"/>
    <s v="MG Advanced"/>
    <s v="Finjob"/>
    <x v="0"/>
    <d v="2017-11-29T00:00:00"/>
    <x v="247"/>
    <n v="3285"/>
  </r>
  <r>
    <x v="8171"/>
    <x v="19"/>
    <x v="4"/>
    <x v="2"/>
    <s v="MG Advanced"/>
    <s v="Plussunin"/>
    <x v="0"/>
    <d v="2017-11-29T00:00:00"/>
    <x v="250"/>
    <n v="3494"/>
  </r>
  <r>
    <x v="8172"/>
    <x v="27"/>
    <x v="5"/>
    <x v="2"/>
    <s v="GTX Plus Pro"/>
    <m/>
    <x v="1"/>
    <d v="2017-11-30T00:00:00"/>
    <x v="6"/>
    <m/>
  </r>
  <r>
    <x v="8173"/>
    <x v="1"/>
    <x v="1"/>
    <x v="0"/>
    <s v="MG Advanced"/>
    <s v="Finhigh"/>
    <x v="2"/>
    <d v="2017-11-30T00:00:00"/>
    <x v="247"/>
    <n v="0"/>
  </r>
  <r>
    <x v="8174"/>
    <x v="26"/>
    <x v="4"/>
    <x v="2"/>
    <s v="GTX Plus Pro"/>
    <s v="Initech"/>
    <x v="0"/>
    <d v="2017-11-30T00:00:00"/>
    <x v="247"/>
    <n v="5204"/>
  </r>
  <r>
    <x v="8175"/>
    <x v="21"/>
    <x v="5"/>
    <x v="2"/>
    <s v="GTX Basic"/>
    <s v="The New York Inquirer"/>
    <x v="0"/>
    <d v="2017-11-30T00:00:00"/>
    <x v="273"/>
    <n v="579"/>
  </r>
  <r>
    <x v="8176"/>
    <x v="18"/>
    <x v="2"/>
    <x v="1"/>
    <s v="GTX Plus Basic"/>
    <s v="Cheers"/>
    <x v="0"/>
    <d v="2017-11-30T00:00:00"/>
    <x v="247"/>
    <n v="1195"/>
  </r>
  <r>
    <x v="8177"/>
    <x v="24"/>
    <x v="0"/>
    <x v="0"/>
    <s v="GTX Plus Pro"/>
    <s v="Streethex"/>
    <x v="0"/>
    <d v="2017-11-30T00:00:00"/>
    <x v="272"/>
    <n v="6340"/>
  </r>
  <r>
    <x v="8178"/>
    <x v="20"/>
    <x v="5"/>
    <x v="2"/>
    <s v="GTX Plus Basic"/>
    <s v="Zathunicon"/>
    <x v="0"/>
    <d v="2017-11-30T00:00:00"/>
    <x v="251"/>
    <n v="1179"/>
  </r>
  <r>
    <x v="8179"/>
    <x v="3"/>
    <x v="0"/>
    <x v="0"/>
    <s v="GTX Plus Basic"/>
    <s v="Condax"/>
    <x v="0"/>
    <d v="2017-12-01T00:00:00"/>
    <x v="255"/>
    <n v="1243"/>
  </r>
  <r>
    <x v="8180"/>
    <x v="14"/>
    <x v="3"/>
    <x v="1"/>
    <s v="GTX Plus Basic"/>
    <s v="Zoomit"/>
    <x v="0"/>
    <d v="2017-12-01T00:00:00"/>
    <x v="273"/>
    <n v="953"/>
  </r>
  <r>
    <x v="8181"/>
    <x v="16"/>
    <x v="2"/>
    <x v="1"/>
    <s v="GTX Basic"/>
    <m/>
    <x v="1"/>
    <d v="2017-12-01T00:00:00"/>
    <x v="6"/>
    <m/>
  </r>
  <r>
    <x v="8182"/>
    <x v="0"/>
    <x v="0"/>
    <x v="0"/>
    <s v="GTX Plus Pro"/>
    <s v="Genco Pura Olive Oil Company"/>
    <x v="0"/>
    <d v="2017-12-01T00:00:00"/>
    <x v="257"/>
    <n v="5619"/>
  </r>
  <r>
    <x v="8183"/>
    <x v="26"/>
    <x v="4"/>
    <x v="2"/>
    <s v="GTX Plus Basic"/>
    <s v="Betasoloin"/>
    <x v="2"/>
    <d v="2017-12-02T00:00:00"/>
    <x v="239"/>
    <n v="0"/>
  </r>
  <r>
    <x v="8184"/>
    <x v="26"/>
    <x v="4"/>
    <x v="2"/>
    <s v="GTX Plus Basic"/>
    <s v="Donware"/>
    <x v="2"/>
    <d v="2017-12-02T00:00:00"/>
    <x v="263"/>
    <n v="0"/>
  </r>
  <r>
    <x v="8185"/>
    <x v="10"/>
    <x v="3"/>
    <x v="1"/>
    <s v="MG Advanced"/>
    <s v="Plexzap"/>
    <x v="0"/>
    <d v="2017-12-02T00:00:00"/>
    <x v="245"/>
    <n v="3547"/>
  </r>
  <r>
    <x v="8186"/>
    <x v="16"/>
    <x v="2"/>
    <x v="1"/>
    <s v="GTXPro"/>
    <s v="Green-Plus"/>
    <x v="0"/>
    <d v="2017-12-02T00:00:00"/>
    <x v="273"/>
    <n v="4899"/>
  </r>
  <r>
    <x v="8187"/>
    <x v="18"/>
    <x v="2"/>
    <x v="1"/>
    <s v="GTX Plus Basic"/>
    <s v="Singletechno"/>
    <x v="0"/>
    <d v="2017-12-02T00:00:00"/>
    <x v="245"/>
    <n v="993"/>
  </r>
  <r>
    <x v="8188"/>
    <x v="7"/>
    <x v="2"/>
    <x v="1"/>
    <s v="MG Special"/>
    <s v="Doncon"/>
    <x v="0"/>
    <d v="2017-12-03T00:00:00"/>
    <x v="249"/>
    <n v="54"/>
  </r>
  <r>
    <x v="8189"/>
    <x v="29"/>
    <x v="1"/>
    <x v="0"/>
    <s v="GTX Plus Basic"/>
    <s v="Codehow"/>
    <x v="2"/>
    <d v="2017-12-03T00:00:00"/>
    <x v="245"/>
    <n v="0"/>
  </r>
  <r>
    <x v="8190"/>
    <x v="17"/>
    <x v="5"/>
    <x v="2"/>
    <s v="MG Special"/>
    <s v="Initech"/>
    <x v="0"/>
    <d v="2017-12-03T00:00:00"/>
    <x v="266"/>
    <n v="58"/>
  </r>
  <r>
    <x v="8191"/>
    <x v="3"/>
    <x v="0"/>
    <x v="0"/>
    <s v="MG Special"/>
    <s v="Hottechi"/>
    <x v="0"/>
    <d v="2017-12-04T00:00:00"/>
    <x v="254"/>
    <n v="57"/>
  </r>
  <r>
    <x v="8192"/>
    <x v="8"/>
    <x v="1"/>
    <x v="0"/>
    <s v="MG Special"/>
    <s v="Streethex"/>
    <x v="2"/>
    <d v="2017-12-04T00:00:00"/>
    <x v="266"/>
    <n v="0"/>
  </r>
  <r>
    <x v="8193"/>
    <x v="8"/>
    <x v="1"/>
    <x v="0"/>
    <s v="GTX Plus Basic"/>
    <s v="Inity"/>
    <x v="0"/>
    <d v="2017-12-04T00:00:00"/>
    <x v="263"/>
    <n v="1110"/>
  </r>
  <r>
    <x v="8194"/>
    <x v="12"/>
    <x v="0"/>
    <x v="0"/>
    <s v="MG Special"/>
    <s v="Rundofase"/>
    <x v="0"/>
    <d v="2017-12-04T00:00:00"/>
    <x v="250"/>
    <n v="57"/>
  </r>
  <r>
    <x v="8195"/>
    <x v="2"/>
    <x v="2"/>
    <x v="1"/>
    <s v="GTXPro"/>
    <s v="Finjob"/>
    <x v="2"/>
    <d v="2017-12-04T00:00:00"/>
    <x v="245"/>
    <n v="0"/>
  </r>
  <r>
    <x v="8196"/>
    <x v="2"/>
    <x v="2"/>
    <x v="1"/>
    <s v="MG Special"/>
    <s v="Nam-zim"/>
    <x v="0"/>
    <d v="2017-12-04T00:00:00"/>
    <x v="273"/>
    <n v="64"/>
  </r>
  <r>
    <x v="8197"/>
    <x v="25"/>
    <x v="4"/>
    <x v="2"/>
    <s v="GTX Plus Pro"/>
    <s v="Zotware"/>
    <x v="0"/>
    <d v="2017-12-05T00:00:00"/>
    <x v="243"/>
    <n v="5172"/>
  </r>
  <r>
    <x v="8198"/>
    <x v="27"/>
    <x v="5"/>
    <x v="2"/>
    <s v="GTX Plus Basic"/>
    <s v="Zotware"/>
    <x v="2"/>
    <d v="2017-12-05T00:00:00"/>
    <x v="275"/>
    <n v="0"/>
  </r>
  <r>
    <x v="8199"/>
    <x v="18"/>
    <x v="2"/>
    <x v="1"/>
    <s v="GTX Basic"/>
    <s v="Golddex"/>
    <x v="2"/>
    <d v="2017-12-05T00:00:00"/>
    <x v="267"/>
    <n v="0"/>
  </r>
  <r>
    <x v="8200"/>
    <x v="5"/>
    <x v="3"/>
    <x v="1"/>
    <s v="MG Special"/>
    <s v="Faxquote"/>
    <x v="2"/>
    <d v="2017-12-05T00:00:00"/>
    <x v="251"/>
    <n v="0"/>
  </r>
  <r>
    <x v="8201"/>
    <x v="6"/>
    <x v="1"/>
    <x v="0"/>
    <s v="GTX Plus Pro"/>
    <s v="Funholding"/>
    <x v="0"/>
    <d v="2017-12-05T00:00:00"/>
    <x v="251"/>
    <n v="6141"/>
  </r>
  <r>
    <x v="8202"/>
    <x v="15"/>
    <x v="5"/>
    <x v="2"/>
    <s v="MG Special"/>
    <m/>
    <x v="1"/>
    <d v="2017-12-05T00:00:00"/>
    <x v="6"/>
    <m/>
  </r>
  <r>
    <x v="8203"/>
    <x v="3"/>
    <x v="0"/>
    <x v="0"/>
    <s v="MG Special"/>
    <s v="Statholdings"/>
    <x v="0"/>
    <d v="2017-12-06T00:00:00"/>
    <x v="247"/>
    <n v="56"/>
  </r>
  <r>
    <x v="8204"/>
    <x v="28"/>
    <x v="0"/>
    <x v="0"/>
    <s v="GTX Basic"/>
    <s v="Dontechi"/>
    <x v="0"/>
    <d v="2017-12-06T00:00:00"/>
    <x v="239"/>
    <n v="515"/>
  </r>
  <r>
    <x v="8205"/>
    <x v="26"/>
    <x v="4"/>
    <x v="2"/>
    <s v="GTX Basic"/>
    <s v="Donware"/>
    <x v="0"/>
    <d v="2017-12-06T00:00:00"/>
    <x v="269"/>
    <n v="698"/>
  </r>
  <r>
    <x v="8206"/>
    <x v="26"/>
    <x v="4"/>
    <x v="2"/>
    <s v="GTX Basic"/>
    <s v="Yearin"/>
    <x v="0"/>
    <d v="2017-12-06T00:00:00"/>
    <x v="265"/>
    <n v="481"/>
  </r>
  <r>
    <x v="8207"/>
    <x v="18"/>
    <x v="2"/>
    <x v="1"/>
    <s v="GTXPro"/>
    <s v="Faxquote"/>
    <x v="2"/>
    <d v="2017-12-06T00:00:00"/>
    <x v="255"/>
    <n v="0"/>
  </r>
  <r>
    <x v="8208"/>
    <x v="12"/>
    <x v="0"/>
    <x v="0"/>
    <s v="MG Special"/>
    <s v="Rangreen"/>
    <x v="0"/>
    <d v="2017-12-06T00:00:00"/>
    <x v="247"/>
    <n v="49"/>
  </r>
  <r>
    <x v="8209"/>
    <x v="18"/>
    <x v="2"/>
    <x v="1"/>
    <s v="GTX Plus Basic"/>
    <s v="Xx-holding"/>
    <x v="0"/>
    <d v="2017-12-07T00:00:00"/>
    <x v="248"/>
    <n v="1111"/>
  </r>
  <r>
    <x v="8210"/>
    <x v="22"/>
    <x v="1"/>
    <x v="0"/>
    <s v="GTX Plus Pro"/>
    <s v="Toughzap"/>
    <x v="0"/>
    <d v="2017-12-07T00:00:00"/>
    <x v="270"/>
    <n v="5862"/>
  </r>
  <r>
    <x v="8211"/>
    <x v="11"/>
    <x v="3"/>
    <x v="1"/>
    <s v="MG Special"/>
    <s v="J-Texon"/>
    <x v="0"/>
    <d v="2017-12-07T00:00:00"/>
    <x v="242"/>
    <n v="54"/>
  </r>
  <r>
    <x v="8212"/>
    <x v="2"/>
    <x v="2"/>
    <x v="1"/>
    <s v="GTX Plus Basic"/>
    <m/>
    <x v="1"/>
    <d v="2017-12-07T00:00:00"/>
    <x v="6"/>
    <m/>
  </r>
  <r>
    <x v="8213"/>
    <x v="3"/>
    <x v="0"/>
    <x v="0"/>
    <s v="MG Special"/>
    <s v="Cancity"/>
    <x v="0"/>
    <d v="2017-12-08T00:00:00"/>
    <x v="248"/>
    <n v="60"/>
  </r>
  <r>
    <x v="8214"/>
    <x v="26"/>
    <x v="4"/>
    <x v="2"/>
    <s v="GTXPro"/>
    <s v="Plussunin"/>
    <x v="2"/>
    <d v="2017-12-08T00:00:00"/>
    <x v="255"/>
    <n v="0"/>
  </r>
  <r>
    <x v="8215"/>
    <x v="18"/>
    <x v="2"/>
    <x v="1"/>
    <s v="GTX Plus Basic"/>
    <m/>
    <x v="1"/>
    <d v="2017-12-08T00:00:00"/>
    <x v="6"/>
    <m/>
  </r>
  <r>
    <x v="8216"/>
    <x v="18"/>
    <x v="2"/>
    <x v="1"/>
    <s v="GTX Plus Basic"/>
    <s v="Golddex"/>
    <x v="0"/>
    <d v="2017-12-08T00:00:00"/>
    <x v="272"/>
    <n v="1168"/>
  </r>
  <r>
    <x v="8217"/>
    <x v="15"/>
    <x v="5"/>
    <x v="2"/>
    <s v="MG Special"/>
    <s v="Gekko &amp; Co"/>
    <x v="0"/>
    <d v="2017-12-08T00:00:00"/>
    <x v="248"/>
    <n v="48"/>
  </r>
  <r>
    <x v="8218"/>
    <x v="28"/>
    <x v="0"/>
    <x v="0"/>
    <s v="GTX Plus Basic"/>
    <s v="Cancity"/>
    <x v="0"/>
    <d v="2017-12-09T00:00:00"/>
    <x v="266"/>
    <n v="986"/>
  </r>
  <r>
    <x v="8219"/>
    <x v="28"/>
    <x v="0"/>
    <x v="0"/>
    <s v="MG Advanced"/>
    <s v="Toughzap"/>
    <x v="0"/>
    <d v="2017-12-09T00:00:00"/>
    <x v="242"/>
    <n v="3843"/>
  </r>
  <r>
    <x v="8220"/>
    <x v="27"/>
    <x v="5"/>
    <x v="2"/>
    <s v="GTX Plus Pro"/>
    <s v="Gekko &amp; Co"/>
    <x v="0"/>
    <d v="2017-12-09T00:00:00"/>
    <x v="268"/>
    <n v="5143"/>
  </r>
  <r>
    <x v="8221"/>
    <x v="8"/>
    <x v="1"/>
    <x v="0"/>
    <s v="MG Special"/>
    <s v="Codehow"/>
    <x v="0"/>
    <d v="2017-12-09T00:00:00"/>
    <x v="266"/>
    <n v="52"/>
  </r>
  <r>
    <x v="8222"/>
    <x v="7"/>
    <x v="2"/>
    <x v="1"/>
    <s v="GTX Plus Pro"/>
    <s v="Scotfind"/>
    <x v="0"/>
    <d v="2017-12-09T00:00:00"/>
    <x v="269"/>
    <n v="5576"/>
  </r>
  <r>
    <x v="8223"/>
    <x v="16"/>
    <x v="2"/>
    <x v="1"/>
    <s v="MG Special"/>
    <s v="Sunnamplex"/>
    <x v="0"/>
    <d v="2017-12-09T00:00:00"/>
    <x v="248"/>
    <n v="59"/>
  </r>
  <r>
    <x v="8224"/>
    <x v="18"/>
    <x v="2"/>
    <x v="1"/>
    <s v="GTXPro"/>
    <s v="J-Texon"/>
    <x v="0"/>
    <d v="2017-12-09T00:00:00"/>
    <x v="275"/>
    <n v="4178"/>
  </r>
  <r>
    <x v="8225"/>
    <x v="5"/>
    <x v="3"/>
    <x v="1"/>
    <s v="GTX Plus Basic"/>
    <s v="Lexiqvolax"/>
    <x v="0"/>
    <d v="2017-12-09T00:00:00"/>
    <x v="267"/>
    <n v="1192"/>
  </r>
  <r>
    <x v="8226"/>
    <x v="9"/>
    <x v="2"/>
    <x v="1"/>
    <s v="GTX Basic"/>
    <m/>
    <x v="1"/>
    <d v="2017-12-09T00:00:00"/>
    <x v="6"/>
    <m/>
  </r>
  <r>
    <x v="8227"/>
    <x v="6"/>
    <x v="1"/>
    <x v="0"/>
    <s v="GTX Plus Basic"/>
    <s v="Conecom"/>
    <x v="0"/>
    <d v="2017-12-09T00:00:00"/>
    <x v="266"/>
    <n v="1047"/>
  </r>
  <r>
    <x v="8228"/>
    <x v="19"/>
    <x v="4"/>
    <x v="2"/>
    <s v="GTX Plus Pro"/>
    <s v="Kan-code"/>
    <x v="0"/>
    <d v="2017-12-09T00:00:00"/>
    <x v="268"/>
    <n v="6456"/>
  </r>
  <r>
    <x v="8229"/>
    <x v="17"/>
    <x v="5"/>
    <x v="2"/>
    <s v="GTXPro"/>
    <s v="Xx-zobam"/>
    <x v="2"/>
    <d v="2017-12-09T00:00:00"/>
    <x v="272"/>
    <n v="0"/>
  </r>
  <r>
    <x v="8230"/>
    <x v="3"/>
    <x v="0"/>
    <x v="0"/>
    <s v="GTX Basic"/>
    <s v="Ron-tech"/>
    <x v="2"/>
    <d v="2017-12-10T00:00:00"/>
    <x v="251"/>
    <n v="0"/>
  </r>
  <r>
    <x v="8231"/>
    <x v="1"/>
    <x v="1"/>
    <x v="0"/>
    <s v="GTXPro"/>
    <s v="Inity"/>
    <x v="0"/>
    <d v="2017-12-10T00:00:00"/>
    <x v="268"/>
    <n v="4755"/>
  </r>
  <r>
    <x v="8232"/>
    <x v="9"/>
    <x v="2"/>
    <x v="1"/>
    <s v="MG Special"/>
    <s v="Y-corporation"/>
    <x v="0"/>
    <d v="2017-12-10T00:00:00"/>
    <x v="267"/>
    <n v="55"/>
  </r>
  <r>
    <x v="8233"/>
    <x v="4"/>
    <x v="3"/>
    <x v="1"/>
    <s v="MG Advanced"/>
    <s v="Faxquote"/>
    <x v="0"/>
    <d v="2017-12-10T00:00:00"/>
    <x v="248"/>
    <n v="3078"/>
  </r>
  <r>
    <x v="8234"/>
    <x v="2"/>
    <x v="2"/>
    <x v="1"/>
    <s v="GTX Plus Pro"/>
    <s v="The New York Inquirer"/>
    <x v="1"/>
    <d v="2017-12-10T00:00:00"/>
    <x v="6"/>
    <m/>
  </r>
  <r>
    <x v="8235"/>
    <x v="3"/>
    <x v="0"/>
    <x v="0"/>
    <s v="GTX Basic"/>
    <s v="Codehow"/>
    <x v="0"/>
    <d v="2017-12-11T00:00:00"/>
    <x v="270"/>
    <n v="537"/>
  </r>
  <r>
    <x v="8236"/>
    <x v="8"/>
    <x v="1"/>
    <x v="0"/>
    <s v="GTX Plus Basic"/>
    <s v="Hottechi"/>
    <x v="0"/>
    <d v="2017-12-11T00:00:00"/>
    <x v="248"/>
    <n v="1220"/>
  </r>
  <r>
    <x v="8237"/>
    <x v="5"/>
    <x v="3"/>
    <x v="1"/>
    <s v="MG Special"/>
    <s v="Finjob"/>
    <x v="0"/>
    <d v="2017-12-11T00:00:00"/>
    <x v="261"/>
    <n v="53"/>
  </r>
  <r>
    <x v="8238"/>
    <x v="12"/>
    <x v="0"/>
    <x v="0"/>
    <s v="MG Special"/>
    <s v="Scottech"/>
    <x v="0"/>
    <d v="2017-12-11T00:00:00"/>
    <x v="248"/>
    <n v="60"/>
  </r>
  <r>
    <x v="8239"/>
    <x v="4"/>
    <x v="3"/>
    <x v="1"/>
    <s v="GTX Basic"/>
    <s v="Hottechi"/>
    <x v="0"/>
    <d v="2017-12-11T00:00:00"/>
    <x v="272"/>
    <n v="494"/>
  </r>
  <r>
    <x v="8240"/>
    <x v="29"/>
    <x v="1"/>
    <x v="0"/>
    <s v="GTX Basic"/>
    <s v="Genco Pura Olive Oil Company"/>
    <x v="0"/>
    <d v="2017-12-12T00:00:00"/>
    <x v="248"/>
    <n v="480"/>
  </r>
  <r>
    <x v="8241"/>
    <x v="16"/>
    <x v="2"/>
    <x v="1"/>
    <s v="GTX Basic"/>
    <s v="Cheers"/>
    <x v="2"/>
    <d v="2017-12-12T00:00:00"/>
    <x v="272"/>
    <n v="0"/>
  </r>
  <r>
    <x v="8242"/>
    <x v="24"/>
    <x v="0"/>
    <x v="0"/>
    <s v="GTX Basic"/>
    <s v="Toughzap"/>
    <x v="2"/>
    <d v="2017-12-12T00:00:00"/>
    <x v="273"/>
    <n v="0"/>
  </r>
  <r>
    <x v="8243"/>
    <x v="9"/>
    <x v="2"/>
    <x v="1"/>
    <s v="GTX Plus Basic"/>
    <s v="Hottechi"/>
    <x v="0"/>
    <d v="2017-12-12T00:00:00"/>
    <x v="274"/>
    <n v="1075"/>
  </r>
  <r>
    <x v="8244"/>
    <x v="19"/>
    <x v="4"/>
    <x v="2"/>
    <s v="GTX Plus Basic"/>
    <s v="Ganjaflex"/>
    <x v="2"/>
    <d v="2017-12-12T00:00:00"/>
    <x v="267"/>
    <n v="0"/>
  </r>
  <r>
    <x v="8245"/>
    <x v="23"/>
    <x v="4"/>
    <x v="2"/>
    <s v="GTX Plus Basic"/>
    <s v="Xx-holding"/>
    <x v="1"/>
    <d v="2017-12-13T00:00:00"/>
    <x v="6"/>
    <m/>
  </r>
  <r>
    <x v="8246"/>
    <x v="14"/>
    <x v="3"/>
    <x v="1"/>
    <s v="GTX Plus Basic"/>
    <m/>
    <x v="1"/>
    <d v="2017-12-13T00:00:00"/>
    <x v="6"/>
    <m/>
  </r>
  <r>
    <x v="8247"/>
    <x v="29"/>
    <x v="1"/>
    <x v="0"/>
    <s v="GTX Plus Basic"/>
    <s v="Conecom"/>
    <x v="0"/>
    <d v="2017-12-13T00:00:00"/>
    <x v="270"/>
    <n v="1166"/>
  </r>
  <r>
    <x v="8248"/>
    <x v="18"/>
    <x v="2"/>
    <x v="1"/>
    <s v="GTX Plus Basic"/>
    <s v="Hatfan"/>
    <x v="0"/>
    <d v="2017-12-13T00:00:00"/>
    <x v="274"/>
    <n v="921"/>
  </r>
  <r>
    <x v="8249"/>
    <x v="5"/>
    <x v="3"/>
    <x v="1"/>
    <s v="MG Advanced"/>
    <s v="Lexiqvolax"/>
    <x v="1"/>
    <d v="2017-12-13T00:00:00"/>
    <x v="6"/>
    <m/>
  </r>
  <r>
    <x v="8250"/>
    <x v="5"/>
    <x v="3"/>
    <x v="1"/>
    <s v="MG Advanced"/>
    <s v="Faxquote"/>
    <x v="0"/>
    <d v="2017-12-13T00:00:00"/>
    <x v="275"/>
    <n v="3442"/>
  </r>
  <r>
    <x v="8251"/>
    <x v="12"/>
    <x v="0"/>
    <x v="0"/>
    <s v="MG Advanced"/>
    <s v="Zumgoity"/>
    <x v="0"/>
    <d v="2017-12-13T00:00:00"/>
    <x v="275"/>
    <n v="3735"/>
  </r>
  <r>
    <x v="8252"/>
    <x v="4"/>
    <x v="3"/>
    <x v="1"/>
    <s v="MG Special"/>
    <s v="Finjob"/>
    <x v="0"/>
    <d v="2017-12-13T00:00:00"/>
    <x v="268"/>
    <n v="50"/>
  </r>
  <r>
    <x v="8253"/>
    <x v="1"/>
    <x v="1"/>
    <x v="0"/>
    <s v="GTXPro"/>
    <s v="Domzoom"/>
    <x v="0"/>
    <d v="2017-12-14T00:00:00"/>
    <x v="251"/>
    <n v="5052"/>
  </r>
  <r>
    <x v="8254"/>
    <x v="18"/>
    <x v="2"/>
    <x v="1"/>
    <s v="GTX Basic"/>
    <s v="Cheers"/>
    <x v="2"/>
    <d v="2017-12-14T00:00:00"/>
    <x v="272"/>
    <n v="0"/>
  </r>
  <r>
    <x v="8255"/>
    <x v="18"/>
    <x v="2"/>
    <x v="1"/>
    <s v="MG Special"/>
    <s v="Hatfan"/>
    <x v="0"/>
    <d v="2017-12-14T00:00:00"/>
    <x v="265"/>
    <n v="44"/>
  </r>
  <r>
    <x v="8256"/>
    <x v="4"/>
    <x v="3"/>
    <x v="1"/>
    <s v="MG Special"/>
    <s v="Doncon"/>
    <x v="2"/>
    <d v="2017-12-14T00:00:00"/>
    <x v="255"/>
    <n v="0"/>
  </r>
  <r>
    <x v="8257"/>
    <x v="15"/>
    <x v="5"/>
    <x v="2"/>
    <s v="GTX Plus Basic"/>
    <s v="Massive Dynamic"/>
    <x v="0"/>
    <d v="2017-12-14T00:00:00"/>
    <x v="242"/>
    <n v="960"/>
  </r>
  <r>
    <x v="8258"/>
    <x v="25"/>
    <x v="4"/>
    <x v="2"/>
    <s v="GTX Plus Pro"/>
    <s v="Zotware"/>
    <x v="0"/>
    <d v="2017-12-15T00:00:00"/>
    <x v="265"/>
    <n v="6469"/>
  </r>
  <r>
    <x v="8259"/>
    <x v="13"/>
    <x v="4"/>
    <x v="2"/>
    <s v="GTX Plus Basic"/>
    <s v="Bioholding"/>
    <x v="1"/>
    <d v="2017-12-15T00:00:00"/>
    <x v="6"/>
    <m/>
  </r>
  <r>
    <x v="8260"/>
    <x v="9"/>
    <x v="2"/>
    <x v="1"/>
    <s v="GTX Plus Basic"/>
    <s v="Cheers"/>
    <x v="0"/>
    <d v="2017-12-15T00:00:00"/>
    <x v="251"/>
    <n v="914"/>
  </r>
  <r>
    <x v="8261"/>
    <x v="12"/>
    <x v="0"/>
    <x v="0"/>
    <s v="MG Advanced"/>
    <s v="Funholding"/>
    <x v="2"/>
    <d v="2017-12-15T00:00:00"/>
    <x v="274"/>
    <n v="0"/>
  </r>
  <r>
    <x v="8262"/>
    <x v="2"/>
    <x v="2"/>
    <x v="1"/>
    <s v="GTX Basic"/>
    <s v="Bioplex"/>
    <x v="1"/>
    <d v="2017-12-15T00:00:00"/>
    <x v="6"/>
    <m/>
  </r>
  <r>
    <x v="8263"/>
    <x v="11"/>
    <x v="3"/>
    <x v="1"/>
    <s v="MG Special"/>
    <s v="Newex"/>
    <x v="2"/>
    <d v="2017-12-16T00:00:00"/>
    <x v="261"/>
    <n v="0"/>
  </r>
  <r>
    <x v="8264"/>
    <x v="11"/>
    <x v="3"/>
    <x v="1"/>
    <s v="MG Advanced"/>
    <s v="J-Texon"/>
    <x v="0"/>
    <d v="2017-12-16T00:00:00"/>
    <x v="266"/>
    <n v="3379"/>
  </r>
  <r>
    <x v="8265"/>
    <x v="3"/>
    <x v="0"/>
    <x v="0"/>
    <s v="MG Advanced"/>
    <s v="Domzoom"/>
    <x v="0"/>
    <d v="2017-12-17T00:00:00"/>
    <x v="274"/>
    <n v="3240"/>
  </r>
  <r>
    <x v="8266"/>
    <x v="7"/>
    <x v="2"/>
    <x v="1"/>
    <s v="GTX Plus Basic"/>
    <s v="Cheers"/>
    <x v="0"/>
    <d v="2017-12-17T00:00:00"/>
    <x v="271"/>
    <n v="1007"/>
  </r>
  <r>
    <x v="8267"/>
    <x v="18"/>
    <x v="2"/>
    <x v="1"/>
    <s v="GTXPro"/>
    <s v="Conecom"/>
    <x v="1"/>
    <d v="2017-12-17T00:00:00"/>
    <x v="6"/>
    <m/>
  </r>
  <r>
    <x v="8268"/>
    <x v="5"/>
    <x v="3"/>
    <x v="1"/>
    <s v="MG Special"/>
    <s v="J-Texon"/>
    <x v="0"/>
    <d v="2017-12-17T00:00:00"/>
    <x v="270"/>
    <n v="54"/>
  </r>
  <r>
    <x v="8269"/>
    <x v="11"/>
    <x v="3"/>
    <x v="1"/>
    <s v="MG Special"/>
    <s v="Golddex"/>
    <x v="0"/>
    <d v="2017-12-17T00:00:00"/>
    <x v="267"/>
    <n v="49"/>
  </r>
  <r>
    <x v="8270"/>
    <x v="4"/>
    <x v="3"/>
    <x v="1"/>
    <s v="GTX Plus Basic"/>
    <s v="Sonron"/>
    <x v="2"/>
    <d v="2017-12-17T00:00:00"/>
    <x v="271"/>
    <n v="0"/>
  </r>
  <r>
    <x v="8271"/>
    <x v="15"/>
    <x v="5"/>
    <x v="2"/>
    <s v="MG Special"/>
    <m/>
    <x v="1"/>
    <d v="2017-12-17T00:00:00"/>
    <x v="6"/>
    <m/>
  </r>
  <r>
    <x v="8272"/>
    <x v="15"/>
    <x v="5"/>
    <x v="2"/>
    <s v="MG Special"/>
    <s v="Konex"/>
    <x v="0"/>
    <d v="2017-12-17T00:00:00"/>
    <x v="266"/>
    <n v="55"/>
  </r>
  <r>
    <x v="8273"/>
    <x v="2"/>
    <x v="2"/>
    <x v="1"/>
    <s v="GTXPro"/>
    <s v="Blackzim"/>
    <x v="0"/>
    <d v="2017-12-17T00:00:00"/>
    <x v="274"/>
    <n v="5196"/>
  </r>
  <r>
    <x v="8274"/>
    <x v="3"/>
    <x v="0"/>
    <x v="0"/>
    <s v="MG Special"/>
    <s v="Rundofase"/>
    <x v="0"/>
    <d v="2017-12-18T00:00:00"/>
    <x v="271"/>
    <n v="54"/>
  </r>
  <r>
    <x v="8275"/>
    <x v="14"/>
    <x v="3"/>
    <x v="1"/>
    <s v="GTXPro"/>
    <s v="Doncon"/>
    <x v="0"/>
    <d v="2017-12-18T00:00:00"/>
    <x v="274"/>
    <n v="4953"/>
  </r>
  <r>
    <x v="8276"/>
    <x v="20"/>
    <x v="5"/>
    <x v="2"/>
    <s v="MG Advanced"/>
    <s v="Zotware"/>
    <x v="0"/>
    <d v="2017-12-18T00:00:00"/>
    <x v="266"/>
    <n v="3155"/>
  </r>
  <r>
    <x v="8277"/>
    <x v="25"/>
    <x v="4"/>
    <x v="2"/>
    <s v="GTXPro"/>
    <m/>
    <x v="1"/>
    <d v="2017-12-19T00:00:00"/>
    <x v="6"/>
    <m/>
  </r>
  <r>
    <x v="8278"/>
    <x v="1"/>
    <x v="1"/>
    <x v="0"/>
    <s v="GTXPro"/>
    <s v="Bioholding"/>
    <x v="2"/>
    <d v="2017-12-19T00:00:00"/>
    <x v="265"/>
    <n v="0"/>
  </r>
  <r>
    <x v="8279"/>
    <x v="17"/>
    <x v="5"/>
    <x v="2"/>
    <s v="GTXPro"/>
    <s v="Plussunin"/>
    <x v="0"/>
    <d v="2017-12-19T00:00:00"/>
    <x v="265"/>
    <n v="4566"/>
  </r>
  <r>
    <x v="8280"/>
    <x v="12"/>
    <x v="0"/>
    <x v="0"/>
    <s v="MG Special"/>
    <s v="Bioholding"/>
    <x v="0"/>
    <d v="2017-12-19T00:00:00"/>
    <x v="270"/>
    <n v="58"/>
  </r>
  <r>
    <x v="8281"/>
    <x v="20"/>
    <x v="5"/>
    <x v="2"/>
    <s v="GTXPro"/>
    <s v="Umbrella Corporation"/>
    <x v="0"/>
    <d v="2017-12-19T00:00:00"/>
    <x v="270"/>
    <n v="4315"/>
  </r>
  <r>
    <x v="8282"/>
    <x v="26"/>
    <x v="4"/>
    <x v="2"/>
    <s v="MG Advanced"/>
    <s v="Xx-zobam"/>
    <x v="2"/>
    <d v="2017-12-20T00:00:00"/>
    <x v="270"/>
    <n v="0"/>
  </r>
  <r>
    <x v="8283"/>
    <x v="10"/>
    <x v="3"/>
    <x v="1"/>
    <s v="MG Special"/>
    <s v="Silis"/>
    <x v="1"/>
    <d v="2017-12-20T00:00:00"/>
    <x v="6"/>
    <m/>
  </r>
  <r>
    <x v="8284"/>
    <x v="17"/>
    <x v="5"/>
    <x v="2"/>
    <s v="GTXPro"/>
    <s v="Vehement Capital Partners"/>
    <x v="0"/>
    <d v="2017-12-20T00:00:00"/>
    <x v="272"/>
    <n v="5574"/>
  </r>
  <r>
    <x v="8285"/>
    <x v="20"/>
    <x v="5"/>
    <x v="2"/>
    <s v="GTX Plus Basic"/>
    <m/>
    <x v="1"/>
    <d v="2017-12-20T00:00:00"/>
    <x v="6"/>
    <m/>
  </r>
  <r>
    <x v="8286"/>
    <x v="23"/>
    <x v="4"/>
    <x v="2"/>
    <s v="GTX Plus Pro"/>
    <m/>
    <x v="1"/>
    <d v="2017-12-21T00:00:00"/>
    <x v="6"/>
    <m/>
  </r>
  <r>
    <x v="8287"/>
    <x v="8"/>
    <x v="1"/>
    <x v="0"/>
    <s v="MG Advanced"/>
    <s v="Genco Pura Olive Oil Company"/>
    <x v="0"/>
    <d v="2017-12-21T00:00:00"/>
    <x v="265"/>
    <n v="3494"/>
  </r>
  <r>
    <x v="8288"/>
    <x v="16"/>
    <x v="2"/>
    <x v="1"/>
    <s v="MG Special"/>
    <s v="Doncon"/>
    <x v="0"/>
    <d v="2017-12-21T00:00:00"/>
    <x v="270"/>
    <n v="50"/>
  </r>
  <r>
    <x v="8289"/>
    <x v="4"/>
    <x v="3"/>
    <x v="1"/>
    <s v="MG Special"/>
    <s v="Hottechi"/>
    <x v="0"/>
    <d v="2017-12-21T00:00:00"/>
    <x v="270"/>
    <n v="61"/>
  </r>
  <r>
    <x v="8290"/>
    <x v="14"/>
    <x v="3"/>
    <x v="1"/>
    <s v="MG Special"/>
    <m/>
    <x v="1"/>
    <d v="2017-12-22T00:00:00"/>
    <x v="6"/>
    <m/>
  </r>
  <r>
    <x v="8291"/>
    <x v="18"/>
    <x v="2"/>
    <x v="1"/>
    <s v="MG Special"/>
    <s v="Sunnamplex"/>
    <x v="2"/>
    <d v="2017-12-22T00:00:00"/>
    <x v="271"/>
    <n v="0"/>
  </r>
  <r>
    <x v="8292"/>
    <x v="15"/>
    <x v="5"/>
    <x v="2"/>
    <s v="MG Advanced"/>
    <s v="Betasoloin"/>
    <x v="0"/>
    <d v="2017-12-22T00:00:00"/>
    <x v="270"/>
    <n v="3673"/>
  </r>
  <r>
    <x v="8293"/>
    <x v="23"/>
    <x v="4"/>
    <x v="2"/>
    <s v="GTX Basic"/>
    <s v="Ganjaflex"/>
    <x v="0"/>
    <d v="2017-12-23T00:00:00"/>
    <x v="271"/>
    <n v="576"/>
  </r>
  <r>
    <x v="8294"/>
    <x v="7"/>
    <x v="2"/>
    <x v="1"/>
    <s v="GTX Basic"/>
    <s v="Singletechno"/>
    <x v="0"/>
    <d v="2017-12-24T00:00:00"/>
    <x v="274"/>
    <n v="538"/>
  </r>
  <r>
    <x v="8295"/>
    <x v="24"/>
    <x v="0"/>
    <x v="0"/>
    <s v="GTX Basic"/>
    <s v="Conecom"/>
    <x v="0"/>
    <d v="2017-12-24T00:00:00"/>
    <x v="274"/>
    <n v="622"/>
  </r>
  <r>
    <x v="8296"/>
    <x v="15"/>
    <x v="5"/>
    <x v="2"/>
    <s v="GTX Plus Basic"/>
    <s v="Bluth Company"/>
    <x v="0"/>
    <d v="2017-12-24T00:00:00"/>
    <x v="265"/>
    <n v="1093"/>
  </r>
  <r>
    <x v="8297"/>
    <x v="9"/>
    <x v="2"/>
    <x v="1"/>
    <s v="GTXPro"/>
    <s v="Hottechi"/>
    <x v="0"/>
    <d v="2017-12-26T00:00:00"/>
    <x v="272"/>
    <n v="4433"/>
  </r>
  <r>
    <x v="8298"/>
    <x v="8"/>
    <x v="1"/>
    <x v="0"/>
    <s v="GTX Plus Basic"/>
    <s v="Inity"/>
    <x v="0"/>
    <d v="2017-12-27T00:00:00"/>
    <x v="265"/>
    <n v="1052"/>
  </r>
  <r>
    <x v="8299"/>
    <x v="8"/>
    <x v="1"/>
    <x v="0"/>
    <s v="MG Special"/>
    <s v="Betatech"/>
    <x v="0"/>
    <d v="2017-12-27T00:00:00"/>
    <x v="272"/>
    <n v="67"/>
  </r>
  <r>
    <x v="8300"/>
    <x v="3"/>
    <x v="0"/>
    <x v="0"/>
    <s v="GTX Basic"/>
    <s v="Green-Plus"/>
    <x v="3"/>
    <m/>
    <x v="6"/>
    <m/>
  </r>
  <r>
    <x v="8301"/>
    <x v="3"/>
    <x v="0"/>
    <x v="0"/>
    <s v="GTX Basic"/>
    <m/>
    <x v="3"/>
    <m/>
    <x v="6"/>
    <m/>
  </r>
  <r>
    <x v="8302"/>
    <x v="3"/>
    <x v="0"/>
    <x v="0"/>
    <s v="GTX Basic"/>
    <m/>
    <x v="3"/>
    <m/>
    <x v="6"/>
    <m/>
  </r>
  <r>
    <x v="8303"/>
    <x v="3"/>
    <x v="0"/>
    <x v="0"/>
    <s v="GTX Basic"/>
    <m/>
    <x v="3"/>
    <m/>
    <x v="6"/>
    <m/>
  </r>
  <r>
    <x v="8304"/>
    <x v="3"/>
    <x v="0"/>
    <x v="0"/>
    <s v="GTX Basic"/>
    <m/>
    <x v="3"/>
    <m/>
    <x v="6"/>
    <m/>
  </r>
  <r>
    <x v="8305"/>
    <x v="3"/>
    <x v="0"/>
    <x v="0"/>
    <s v="GTX Basic"/>
    <m/>
    <x v="3"/>
    <m/>
    <x v="6"/>
    <m/>
  </r>
  <r>
    <x v="8306"/>
    <x v="3"/>
    <x v="0"/>
    <x v="0"/>
    <s v="GTX Basic"/>
    <m/>
    <x v="3"/>
    <m/>
    <x v="6"/>
    <m/>
  </r>
  <r>
    <x v="8307"/>
    <x v="3"/>
    <x v="0"/>
    <x v="0"/>
    <s v="GTX Plus Basic"/>
    <s v="Plusstrip"/>
    <x v="3"/>
    <m/>
    <x v="6"/>
    <m/>
  </r>
  <r>
    <x v="8308"/>
    <x v="3"/>
    <x v="0"/>
    <x v="0"/>
    <s v="GTX Plus Basic"/>
    <s v="Zumgoity"/>
    <x v="3"/>
    <m/>
    <x v="6"/>
    <m/>
  </r>
  <r>
    <x v="8309"/>
    <x v="3"/>
    <x v="0"/>
    <x v="0"/>
    <s v="GTX Plus Basic"/>
    <m/>
    <x v="3"/>
    <m/>
    <x v="6"/>
    <m/>
  </r>
  <r>
    <x v="8310"/>
    <x v="3"/>
    <x v="0"/>
    <x v="0"/>
    <s v="GTX Plus Basic"/>
    <m/>
    <x v="3"/>
    <m/>
    <x v="6"/>
    <m/>
  </r>
  <r>
    <x v="8311"/>
    <x v="3"/>
    <x v="0"/>
    <x v="0"/>
    <s v="GTX Plus Pro"/>
    <s v="Hatfan"/>
    <x v="3"/>
    <m/>
    <x v="6"/>
    <m/>
  </r>
  <r>
    <x v="8312"/>
    <x v="3"/>
    <x v="0"/>
    <x v="0"/>
    <s v="GTX Plus Pro"/>
    <s v="Sumace"/>
    <x v="3"/>
    <m/>
    <x v="6"/>
    <m/>
  </r>
  <r>
    <x v="8313"/>
    <x v="3"/>
    <x v="0"/>
    <x v="0"/>
    <s v="GTX Plus Pro"/>
    <m/>
    <x v="3"/>
    <m/>
    <x v="6"/>
    <m/>
  </r>
  <r>
    <x v="8314"/>
    <x v="3"/>
    <x v="0"/>
    <x v="0"/>
    <s v="GTX Plus Pro"/>
    <m/>
    <x v="3"/>
    <m/>
    <x v="6"/>
    <m/>
  </r>
  <r>
    <x v="8315"/>
    <x v="3"/>
    <x v="0"/>
    <x v="0"/>
    <s v="GTX Plus Pro"/>
    <m/>
    <x v="3"/>
    <m/>
    <x v="6"/>
    <m/>
  </r>
  <r>
    <x v="8316"/>
    <x v="3"/>
    <x v="0"/>
    <x v="0"/>
    <s v="MG Special"/>
    <s v="Conecom"/>
    <x v="3"/>
    <m/>
    <x v="6"/>
    <m/>
  </r>
  <r>
    <x v="8317"/>
    <x v="3"/>
    <x v="0"/>
    <x v="0"/>
    <s v="MG Special"/>
    <s v="Dontechi"/>
    <x v="3"/>
    <m/>
    <x v="6"/>
    <m/>
  </r>
  <r>
    <x v="8318"/>
    <x v="3"/>
    <x v="0"/>
    <x v="0"/>
    <s v="MG Special"/>
    <s v="Finhigh"/>
    <x v="3"/>
    <m/>
    <x v="6"/>
    <m/>
  </r>
  <r>
    <x v="8319"/>
    <x v="3"/>
    <x v="0"/>
    <x v="0"/>
    <s v="MG Special"/>
    <s v="Ganjaflex"/>
    <x v="3"/>
    <m/>
    <x v="6"/>
    <m/>
  </r>
  <r>
    <x v="8320"/>
    <x v="3"/>
    <x v="0"/>
    <x v="0"/>
    <s v="MG Special"/>
    <s v="Green-Plus"/>
    <x v="3"/>
    <m/>
    <x v="6"/>
    <m/>
  </r>
  <r>
    <x v="8321"/>
    <x v="3"/>
    <x v="0"/>
    <x v="0"/>
    <s v="MG Special"/>
    <s v="J-Texon"/>
    <x v="3"/>
    <m/>
    <x v="6"/>
    <m/>
  </r>
  <r>
    <x v="8322"/>
    <x v="3"/>
    <x v="0"/>
    <x v="0"/>
    <s v="MG Special"/>
    <s v="Labdrill"/>
    <x v="3"/>
    <m/>
    <x v="6"/>
    <m/>
  </r>
  <r>
    <x v="8323"/>
    <x v="3"/>
    <x v="0"/>
    <x v="0"/>
    <s v="MG Special"/>
    <s v="Nam-zim"/>
    <x v="3"/>
    <m/>
    <x v="6"/>
    <m/>
  </r>
  <r>
    <x v="8324"/>
    <x v="3"/>
    <x v="0"/>
    <x v="0"/>
    <s v="MG Special"/>
    <s v="Plussunin"/>
    <x v="3"/>
    <m/>
    <x v="6"/>
    <m/>
  </r>
  <r>
    <x v="8325"/>
    <x v="3"/>
    <x v="0"/>
    <x v="0"/>
    <s v="MG Special"/>
    <s v="Plussunin"/>
    <x v="3"/>
    <m/>
    <x v="6"/>
    <m/>
  </r>
  <r>
    <x v="8326"/>
    <x v="3"/>
    <x v="0"/>
    <x v="0"/>
    <s v="MG Special"/>
    <s v="Scotfind"/>
    <x v="3"/>
    <m/>
    <x v="6"/>
    <m/>
  </r>
  <r>
    <x v="8327"/>
    <x v="3"/>
    <x v="0"/>
    <x v="0"/>
    <s v="MG Special"/>
    <s v="Sonron"/>
    <x v="3"/>
    <m/>
    <x v="6"/>
    <m/>
  </r>
  <r>
    <x v="8328"/>
    <x v="3"/>
    <x v="0"/>
    <x v="0"/>
    <s v="MG Special"/>
    <s v="Vehement Capital Partners"/>
    <x v="3"/>
    <m/>
    <x v="6"/>
    <m/>
  </r>
  <r>
    <x v="8329"/>
    <x v="3"/>
    <x v="0"/>
    <x v="0"/>
    <s v="MG Special"/>
    <s v="Zoomit"/>
    <x v="3"/>
    <m/>
    <x v="6"/>
    <m/>
  </r>
  <r>
    <x v="8330"/>
    <x v="3"/>
    <x v="0"/>
    <x v="0"/>
    <s v="MG Special"/>
    <m/>
    <x v="3"/>
    <m/>
    <x v="6"/>
    <m/>
  </r>
  <r>
    <x v="8331"/>
    <x v="3"/>
    <x v="0"/>
    <x v="0"/>
    <s v="MG Special"/>
    <m/>
    <x v="3"/>
    <m/>
    <x v="6"/>
    <m/>
  </r>
  <r>
    <x v="8332"/>
    <x v="3"/>
    <x v="0"/>
    <x v="0"/>
    <s v="MG Special"/>
    <m/>
    <x v="3"/>
    <m/>
    <x v="6"/>
    <m/>
  </r>
  <r>
    <x v="8333"/>
    <x v="3"/>
    <x v="0"/>
    <x v="0"/>
    <s v="MG Special"/>
    <m/>
    <x v="3"/>
    <m/>
    <x v="6"/>
    <m/>
  </r>
  <r>
    <x v="8334"/>
    <x v="3"/>
    <x v="0"/>
    <x v="0"/>
    <s v="MG Special"/>
    <m/>
    <x v="3"/>
    <m/>
    <x v="6"/>
    <m/>
  </r>
  <r>
    <x v="8335"/>
    <x v="3"/>
    <x v="0"/>
    <x v="0"/>
    <s v="MG Special"/>
    <m/>
    <x v="3"/>
    <m/>
    <x v="6"/>
    <m/>
  </r>
  <r>
    <x v="8336"/>
    <x v="3"/>
    <x v="0"/>
    <x v="0"/>
    <s v="MG Special"/>
    <m/>
    <x v="3"/>
    <m/>
    <x v="6"/>
    <m/>
  </r>
  <r>
    <x v="8337"/>
    <x v="3"/>
    <x v="0"/>
    <x v="0"/>
    <s v="MG Special"/>
    <m/>
    <x v="3"/>
    <m/>
    <x v="6"/>
    <m/>
  </r>
  <r>
    <x v="8338"/>
    <x v="3"/>
    <x v="0"/>
    <x v="0"/>
    <s v="MG Special"/>
    <m/>
    <x v="3"/>
    <m/>
    <x v="6"/>
    <m/>
  </r>
  <r>
    <x v="8339"/>
    <x v="3"/>
    <x v="0"/>
    <x v="0"/>
    <s v="MG Special"/>
    <m/>
    <x v="3"/>
    <m/>
    <x v="6"/>
    <m/>
  </r>
  <r>
    <x v="8340"/>
    <x v="3"/>
    <x v="0"/>
    <x v="0"/>
    <s v="MG Special"/>
    <m/>
    <x v="3"/>
    <m/>
    <x v="6"/>
    <m/>
  </r>
  <r>
    <x v="8341"/>
    <x v="3"/>
    <x v="0"/>
    <x v="0"/>
    <s v="MG Special"/>
    <m/>
    <x v="3"/>
    <m/>
    <x v="6"/>
    <m/>
  </r>
  <r>
    <x v="8342"/>
    <x v="3"/>
    <x v="0"/>
    <x v="0"/>
    <s v="MG Special"/>
    <m/>
    <x v="3"/>
    <m/>
    <x v="6"/>
    <m/>
  </r>
  <r>
    <x v="8343"/>
    <x v="3"/>
    <x v="0"/>
    <x v="0"/>
    <s v="MG Advanced"/>
    <s v="Betasoloin"/>
    <x v="3"/>
    <m/>
    <x v="6"/>
    <m/>
  </r>
  <r>
    <x v="8344"/>
    <x v="3"/>
    <x v="0"/>
    <x v="0"/>
    <s v="MG Advanced"/>
    <s v="Bioplex"/>
    <x v="3"/>
    <m/>
    <x v="6"/>
    <m/>
  </r>
  <r>
    <x v="8345"/>
    <x v="3"/>
    <x v="0"/>
    <x v="0"/>
    <s v="MG Advanced"/>
    <s v="Fasehatice"/>
    <x v="3"/>
    <m/>
    <x v="6"/>
    <m/>
  </r>
  <r>
    <x v="8346"/>
    <x v="3"/>
    <x v="0"/>
    <x v="0"/>
    <s v="MG Advanced"/>
    <s v="Inity"/>
    <x v="3"/>
    <m/>
    <x v="6"/>
    <m/>
  </r>
  <r>
    <x v="8347"/>
    <x v="3"/>
    <x v="0"/>
    <x v="0"/>
    <s v="MG Advanced"/>
    <s v="Streethex"/>
    <x v="3"/>
    <m/>
    <x v="6"/>
    <m/>
  </r>
  <r>
    <x v="8348"/>
    <x v="3"/>
    <x v="0"/>
    <x v="0"/>
    <s v="MG Advanced"/>
    <m/>
    <x v="3"/>
    <m/>
    <x v="6"/>
    <m/>
  </r>
  <r>
    <x v="8349"/>
    <x v="3"/>
    <x v="0"/>
    <x v="0"/>
    <s v="MG Advanced"/>
    <m/>
    <x v="3"/>
    <m/>
    <x v="6"/>
    <m/>
  </r>
  <r>
    <x v="8350"/>
    <x v="3"/>
    <x v="0"/>
    <x v="0"/>
    <s v="MG Advanced"/>
    <m/>
    <x v="3"/>
    <m/>
    <x v="6"/>
    <m/>
  </r>
  <r>
    <x v="8351"/>
    <x v="3"/>
    <x v="0"/>
    <x v="0"/>
    <s v="MG Advanced"/>
    <m/>
    <x v="3"/>
    <m/>
    <x v="6"/>
    <m/>
  </r>
  <r>
    <x v="8352"/>
    <x v="3"/>
    <x v="0"/>
    <x v="0"/>
    <s v="MG Advanced"/>
    <m/>
    <x v="3"/>
    <m/>
    <x v="6"/>
    <m/>
  </r>
  <r>
    <x v="8353"/>
    <x v="3"/>
    <x v="0"/>
    <x v="0"/>
    <s v="MG Advanced"/>
    <m/>
    <x v="3"/>
    <m/>
    <x v="6"/>
    <m/>
  </r>
  <r>
    <x v="8354"/>
    <x v="3"/>
    <x v="0"/>
    <x v="0"/>
    <s v="MG Advanced"/>
    <m/>
    <x v="3"/>
    <m/>
    <x v="6"/>
    <m/>
  </r>
  <r>
    <x v="8355"/>
    <x v="28"/>
    <x v="0"/>
    <x v="0"/>
    <s v="GTX Basic"/>
    <s v="Fasehatice"/>
    <x v="3"/>
    <m/>
    <x v="6"/>
    <m/>
  </r>
  <r>
    <x v="8356"/>
    <x v="28"/>
    <x v="0"/>
    <x v="0"/>
    <s v="GTX Basic"/>
    <m/>
    <x v="3"/>
    <m/>
    <x v="6"/>
    <m/>
  </r>
  <r>
    <x v="8357"/>
    <x v="28"/>
    <x v="0"/>
    <x v="0"/>
    <s v="GTX Plus Basic"/>
    <m/>
    <x v="3"/>
    <m/>
    <x v="6"/>
    <m/>
  </r>
  <r>
    <x v="8358"/>
    <x v="28"/>
    <x v="0"/>
    <x v="0"/>
    <s v="GTX Plus Basic"/>
    <m/>
    <x v="3"/>
    <m/>
    <x v="6"/>
    <m/>
  </r>
  <r>
    <x v="8359"/>
    <x v="28"/>
    <x v="0"/>
    <x v="0"/>
    <s v="GTX Plus Basic"/>
    <m/>
    <x v="3"/>
    <m/>
    <x v="6"/>
    <m/>
  </r>
  <r>
    <x v="8360"/>
    <x v="28"/>
    <x v="0"/>
    <x v="0"/>
    <s v="GTX Plus Pro"/>
    <s v="Sunnamplex"/>
    <x v="3"/>
    <m/>
    <x v="6"/>
    <m/>
  </r>
  <r>
    <x v="8361"/>
    <x v="28"/>
    <x v="0"/>
    <x v="0"/>
    <s v="GTX Plus Pro"/>
    <m/>
    <x v="3"/>
    <m/>
    <x v="6"/>
    <m/>
  </r>
  <r>
    <x v="8362"/>
    <x v="28"/>
    <x v="0"/>
    <x v="0"/>
    <s v="GTX Plus Pro"/>
    <m/>
    <x v="3"/>
    <m/>
    <x v="6"/>
    <m/>
  </r>
  <r>
    <x v="8363"/>
    <x v="28"/>
    <x v="0"/>
    <x v="0"/>
    <s v="GTX Plus Pro"/>
    <m/>
    <x v="3"/>
    <m/>
    <x v="6"/>
    <m/>
  </r>
  <r>
    <x v="8364"/>
    <x v="28"/>
    <x v="0"/>
    <x v="0"/>
    <s v="MG Special"/>
    <s v="Betatech"/>
    <x v="3"/>
    <m/>
    <x v="6"/>
    <m/>
  </r>
  <r>
    <x v="8365"/>
    <x v="28"/>
    <x v="0"/>
    <x v="0"/>
    <s v="MG Special"/>
    <s v="Conecom"/>
    <x v="3"/>
    <m/>
    <x v="6"/>
    <m/>
  </r>
  <r>
    <x v="8366"/>
    <x v="28"/>
    <x v="0"/>
    <x v="0"/>
    <s v="MG Special"/>
    <s v="Goodsilron"/>
    <x v="3"/>
    <m/>
    <x v="6"/>
    <m/>
  </r>
  <r>
    <x v="8367"/>
    <x v="28"/>
    <x v="0"/>
    <x v="0"/>
    <s v="MG Special"/>
    <s v="Sumace"/>
    <x v="3"/>
    <m/>
    <x v="6"/>
    <m/>
  </r>
  <r>
    <x v="8368"/>
    <x v="28"/>
    <x v="0"/>
    <x v="0"/>
    <s v="MG Special"/>
    <m/>
    <x v="3"/>
    <m/>
    <x v="6"/>
    <m/>
  </r>
  <r>
    <x v="8369"/>
    <x v="28"/>
    <x v="0"/>
    <x v="0"/>
    <s v="MG Special"/>
    <m/>
    <x v="3"/>
    <m/>
    <x v="6"/>
    <m/>
  </r>
  <r>
    <x v="8370"/>
    <x v="28"/>
    <x v="0"/>
    <x v="0"/>
    <s v="MG Advanced"/>
    <s v="Singletechno"/>
    <x v="3"/>
    <m/>
    <x v="6"/>
    <m/>
  </r>
  <r>
    <x v="8371"/>
    <x v="28"/>
    <x v="0"/>
    <x v="0"/>
    <s v="MG Advanced"/>
    <m/>
    <x v="3"/>
    <m/>
    <x v="6"/>
    <m/>
  </r>
  <r>
    <x v="8372"/>
    <x v="28"/>
    <x v="0"/>
    <x v="0"/>
    <s v="MG Advanced"/>
    <m/>
    <x v="3"/>
    <m/>
    <x v="6"/>
    <m/>
  </r>
  <r>
    <x v="8373"/>
    <x v="28"/>
    <x v="0"/>
    <x v="0"/>
    <s v="MG Advanced"/>
    <m/>
    <x v="3"/>
    <m/>
    <x v="6"/>
    <m/>
  </r>
  <r>
    <x v="8374"/>
    <x v="28"/>
    <x v="0"/>
    <x v="0"/>
    <s v="MG Advanced"/>
    <m/>
    <x v="3"/>
    <m/>
    <x v="6"/>
    <m/>
  </r>
  <r>
    <x v="8375"/>
    <x v="28"/>
    <x v="0"/>
    <x v="0"/>
    <s v="MG Advanced"/>
    <m/>
    <x v="3"/>
    <m/>
    <x v="6"/>
    <m/>
  </r>
  <r>
    <x v="8376"/>
    <x v="28"/>
    <x v="0"/>
    <x v="0"/>
    <s v="MG Advanced"/>
    <m/>
    <x v="3"/>
    <m/>
    <x v="6"/>
    <m/>
  </r>
  <r>
    <x v="8377"/>
    <x v="28"/>
    <x v="0"/>
    <x v="0"/>
    <s v="MG Advanced"/>
    <m/>
    <x v="3"/>
    <m/>
    <x v="6"/>
    <m/>
  </r>
  <r>
    <x v="8378"/>
    <x v="28"/>
    <x v="0"/>
    <x v="0"/>
    <s v="MG Advanced"/>
    <m/>
    <x v="3"/>
    <m/>
    <x v="6"/>
    <m/>
  </r>
  <r>
    <x v="8379"/>
    <x v="1"/>
    <x v="1"/>
    <x v="0"/>
    <s v="GTX Basic"/>
    <s v="Donquadtech"/>
    <x v="3"/>
    <m/>
    <x v="6"/>
    <m/>
  </r>
  <r>
    <x v="8380"/>
    <x v="1"/>
    <x v="1"/>
    <x v="0"/>
    <s v="GTX Basic"/>
    <s v="Kinnamplus"/>
    <x v="3"/>
    <m/>
    <x v="6"/>
    <m/>
  </r>
  <r>
    <x v="8381"/>
    <x v="1"/>
    <x v="1"/>
    <x v="0"/>
    <s v="GTX Basic"/>
    <s v="Konmatfix"/>
    <x v="3"/>
    <m/>
    <x v="6"/>
    <m/>
  </r>
  <r>
    <x v="8382"/>
    <x v="1"/>
    <x v="1"/>
    <x v="0"/>
    <s v="GTX Basic"/>
    <m/>
    <x v="3"/>
    <m/>
    <x v="6"/>
    <m/>
  </r>
  <r>
    <x v="8383"/>
    <x v="1"/>
    <x v="1"/>
    <x v="0"/>
    <s v="GTX Basic"/>
    <m/>
    <x v="3"/>
    <m/>
    <x v="6"/>
    <m/>
  </r>
  <r>
    <x v="8384"/>
    <x v="1"/>
    <x v="1"/>
    <x v="0"/>
    <s v="GTX Basic"/>
    <m/>
    <x v="3"/>
    <m/>
    <x v="6"/>
    <m/>
  </r>
  <r>
    <x v="8385"/>
    <x v="1"/>
    <x v="1"/>
    <x v="0"/>
    <s v="GTX Basic"/>
    <m/>
    <x v="3"/>
    <m/>
    <x v="6"/>
    <m/>
  </r>
  <r>
    <x v="8386"/>
    <x v="1"/>
    <x v="1"/>
    <x v="0"/>
    <s v="GTX Basic"/>
    <m/>
    <x v="3"/>
    <m/>
    <x v="6"/>
    <m/>
  </r>
  <r>
    <x v="8387"/>
    <x v="1"/>
    <x v="1"/>
    <x v="0"/>
    <s v="GTX Basic"/>
    <m/>
    <x v="3"/>
    <m/>
    <x v="6"/>
    <m/>
  </r>
  <r>
    <x v="8388"/>
    <x v="1"/>
    <x v="1"/>
    <x v="0"/>
    <s v="GTX Plus Basic"/>
    <s v="Acme Corporation"/>
    <x v="3"/>
    <m/>
    <x v="6"/>
    <m/>
  </r>
  <r>
    <x v="8389"/>
    <x v="1"/>
    <x v="1"/>
    <x v="0"/>
    <s v="GTX Plus Basic"/>
    <s v="Faxquote"/>
    <x v="3"/>
    <m/>
    <x v="6"/>
    <m/>
  </r>
  <r>
    <x v="8390"/>
    <x v="1"/>
    <x v="1"/>
    <x v="0"/>
    <s v="GTX Plus Basic"/>
    <s v="Yearin"/>
    <x v="3"/>
    <m/>
    <x v="6"/>
    <m/>
  </r>
  <r>
    <x v="8391"/>
    <x v="1"/>
    <x v="1"/>
    <x v="0"/>
    <s v="GTX Plus Basic"/>
    <m/>
    <x v="3"/>
    <m/>
    <x v="6"/>
    <m/>
  </r>
  <r>
    <x v="8392"/>
    <x v="1"/>
    <x v="1"/>
    <x v="0"/>
    <s v="GTX Plus Basic"/>
    <m/>
    <x v="3"/>
    <m/>
    <x v="6"/>
    <m/>
  </r>
  <r>
    <x v="8393"/>
    <x v="1"/>
    <x v="1"/>
    <x v="0"/>
    <s v="GTX Plus Basic"/>
    <m/>
    <x v="3"/>
    <m/>
    <x v="6"/>
    <m/>
  </r>
  <r>
    <x v="8394"/>
    <x v="1"/>
    <x v="1"/>
    <x v="0"/>
    <s v="GTX Plus Basic"/>
    <m/>
    <x v="3"/>
    <m/>
    <x v="6"/>
    <m/>
  </r>
  <r>
    <x v="8395"/>
    <x v="1"/>
    <x v="1"/>
    <x v="0"/>
    <s v="GTX Plus Basic"/>
    <m/>
    <x v="3"/>
    <m/>
    <x v="6"/>
    <m/>
  </r>
  <r>
    <x v="8396"/>
    <x v="1"/>
    <x v="1"/>
    <x v="0"/>
    <s v="GTX Plus Basic"/>
    <m/>
    <x v="3"/>
    <m/>
    <x v="6"/>
    <m/>
  </r>
  <r>
    <x v="8397"/>
    <x v="1"/>
    <x v="1"/>
    <x v="0"/>
    <s v="GTX Plus Basic"/>
    <m/>
    <x v="3"/>
    <m/>
    <x v="6"/>
    <m/>
  </r>
  <r>
    <x v="8398"/>
    <x v="1"/>
    <x v="1"/>
    <x v="0"/>
    <s v="GTX Plus Basic"/>
    <m/>
    <x v="3"/>
    <m/>
    <x v="6"/>
    <m/>
  </r>
  <r>
    <x v="8399"/>
    <x v="1"/>
    <x v="1"/>
    <x v="0"/>
    <s v="GTX Plus Basic"/>
    <m/>
    <x v="3"/>
    <m/>
    <x v="6"/>
    <m/>
  </r>
  <r>
    <x v="8400"/>
    <x v="1"/>
    <x v="1"/>
    <x v="0"/>
    <s v="GTX Plus Basic"/>
    <m/>
    <x v="3"/>
    <m/>
    <x v="6"/>
    <m/>
  </r>
  <r>
    <x v="8401"/>
    <x v="1"/>
    <x v="1"/>
    <x v="0"/>
    <s v="GTX Plus Basic"/>
    <m/>
    <x v="3"/>
    <m/>
    <x v="6"/>
    <m/>
  </r>
  <r>
    <x v="8402"/>
    <x v="1"/>
    <x v="1"/>
    <x v="0"/>
    <s v="GTX Plus Basic"/>
    <m/>
    <x v="3"/>
    <m/>
    <x v="6"/>
    <m/>
  </r>
  <r>
    <x v="8403"/>
    <x v="1"/>
    <x v="1"/>
    <x v="0"/>
    <s v="GTX Plus Basic"/>
    <m/>
    <x v="3"/>
    <m/>
    <x v="6"/>
    <m/>
  </r>
  <r>
    <x v="8404"/>
    <x v="1"/>
    <x v="1"/>
    <x v="0"/>
    <s v="GTX Plus Basic"/>
    <m/>
    <x v="3"/>
    <m/>
    <x v="6"/>
    <m/>
  </r>
  <r>
    <x v="8405"/>
    <x v="1"/>
    <x v="1"/>
    <x v="0"/>
    <s v="GTX Plus Basic"/>
    <m/>
    <x v="3"/>
    <m/>
    <x v="6"/>
    <m/>
  </r>
  <r>
    <x v="8406"/>
    <x v="1"/>
    <x v="1"/>
    <x v="0"/>
    <s v="GTX Plus Basic"/>
    <m/>
    <x v="3"/>
    <m/>
    <x v="6"/>
    <m/>
  </r>
  <r>
    <x v="8407"/>
    <x v="1"/>
    <x v="1"/>
    <x v="0"/>
    <s v="GTX Plus Basic"/>
    <m/>
    <x v="3"/>
    <m/>
    <x v="6"/>
    <m/>
  </r>
  <r>
    <x v="8408"/>
    <x v="1"/>
    <x v="1"/>
    <x v="0"/>
    <s v="GTX Plus Basic"/>
    <m/>
    <x v="3"/>
    <m/>
    <x v="6"/>
    <m/>
  </r>
  <r>
    <x v="8409"/>
    <x v="1"/>
    <x v="1"/>
    <x v="0"/>
    <s v="GTX Plus Pro"/>
    <s v="Finjob"/>
    <x v="3"/>
    <m/>
    <x v="6"/>
    <m/>
  </r>
  <r>
    <x v="8410"/>
    <x v="1"/>
    <x v="1"/>
    <x v="0"/>
    <s v="GTX Plus Pro"/>
    <s v="Green-Plus"/>
    <x v="3"/>
    <m/>
    <x v="6"/>
    <m/>
  </r>
  <r>
    <x v="8411"/>
    <x v="1"/>
    <x v="1"/>
    <x v="0"/>
    <s v="GTX Plus Pro"/>
    <s v="Hatfan"/>
    <x v="3"/>
    <m/>
    <x v="6"/>
    <m/>
  </r>
  <r>
    <x v="8412"/>
    <x v="1"/>
    <x v="1"/>
    <x v="0"/>
    <s v="GTX Plus Pro"/>
    <s v="Zathunicon"/>
    <x v="3"/>
    <m/>
    <x v="6"/>
    <m/>
  </r>
  <r>
    <x v="8413"/>
    <x v="1"/>
    <x v="1"/>
    <x v="0"/>
    <s v="GTX Plus Pro"/>
    <m/>
    <x v="3"/>
    <m/>
    <x v="6"/>
    <m/>
  </r>
  <r>
    <x v="8414"/>
    <x v="1"/>
    <x v="1"/>
    <x v="0"/>
    <s v="GTX Plus Pro"/>
    <m/>
    <x v="3"/>
    <m/>
    <x v="6"/>
    <m/>
  </r>
  <r>
    <x v="8415"/>
    <x v="1"/>
    <x v="1"/>
    <x v="0"/>
    <s v="GTX Plus Pro"/>
    <m/>
    <x v="3"/>
    <m/>
    <x v="6"/>
    <m/>
  </r>
  <r>
    <x v="8416"/>
    <x v="1"/>
    <x v="1"/>
    <x v="0"/>
    <s v="GTX Plus Pro"/>
    <m/>
    <x v="3"/>
    <m/>
    <x v="6"/>
    <m/>
  </r>
  <r>
    <x v="8417"/>
    <x v="1"/>
    <x v="1"/>
    <x v="0"/>
    <s v="GTX Plus Pro"/>
    <m/>
    <x v="3"/>
    <m/>
    <x v="6"/>
    <m/>
  </r>
  <r>
    <x v="8418"/>
    <x v="1"/>
    <x v="1"/>
    <x v="0"/>
    <s v="GTX Plus Pro"/>
    <m/>
    <x v="3"/>
    <m/>
    <x v="6"/>
    <m/>
  </r>
  <r>
    <x v="8419"/>
    <x v="1"/>
    <x v="1"/>
    <x v="0"/>
    <s v="GTX Plus Pro"/>
    <m/>
    <x v="3"/>
    <m/>
    <x v="6"/>
    <m/>
  </r>
  <r>
    <x v="8420"/>
    <x v="1"/>
    <x v="1"/>
    <x v="0"/>
    <s v="GTX Plus Pro"/>
    <m/>
    <x v="3"/>
    <m/>
    <x v="6"/>
    <m/>
  </r>
  <r>
    <x v="8421"/>
    <x v="1"/>
    <x v="1"/>
    <x v="0"/>
    <s v="GTX Plus Pro"/>
    <m/>
    <x v="3"/>
    <m/>
    <x v="6"/>
    <m/>
  </r>
  <r>
    <x v="8422"/>
    <x v="1"/>
    <x v="1"/>
    <x v="0"/>
    <s v="GTXPro"/>
    <s v="Bioholding"/>
    <x v="3"/>
    <m/>
    <x v="6"/>
    <m/>
  </r>
  <r>
    <x v="8423"/>
    <x v="1"/>
    <x v="1"/>
    <x v="0"/>
    <s v="GTXPro"/>
    <s v="Blackzim"/>
    <x v="3"/>
    <m/>
    <x v="6"/>
    <m/>
  </r>
  <r>
    <x v="8424"/>
    <x v="1"/>
    <x v="1"/>
    <x v="0"/>
    <s v="GTXPro"/>
    <s v="Bluth Company"/>
    <x v="3"/>
    <m/>
    <x v="6"/>
    <m/>
  </r>
  <r>
    <x v="8425"/>
    <x v="1"/>
    <x v="1"/>
    <x v="0"/>
    <s v="GTXPro"/>
    <s v="Condax"/>
    <x v="3"/>
    <m/>
    <x v="6"/>
    <m/>
  </r>
  <r>
    <x v="8426"/>
    <x v="1"/>
    <x v="1"/>
    <x v="0"/>
    <s v="GTXPro"/>
    <s v="Condax"/>
    <x v="3"/>
    <m/>
    <x v="6"/>
    <m/>
  </r>
  <r>
    <x v="8427"/>
    <x v="1"/>
    <x v="1"/>
    <x v="0"/>
    <s v="GTXPro"/>
    <s v="Donquadtech"/>
    <x v="3"/>
    <m/>
    <x v="6"/>
    <m/>
  </r>
  <r>
    <x v="8428"/>
    <x v="1"/>
    <x v="1"/>
    <x v="0"/>
    <s v="GTXPro"/>
    <s v="Dontechi"/>
    <x v="3"/>
    <m/>
    <x v="6"/>
    <m/>
  </r>
  <r>
    <x v="8429"/>
    <x v="1"/>
    <x v="1"/>
    <x v="0"/>
    <s v="GTXPro"/>
    <s v="Faxquote"/>
    <x v="3"/>
    <m/>
    <x v="6"/>
    <m/>
  </r>
  <r>
    <x v="8430"/>
    <x v="1"/>
    <x v="1"/>
    <x v="0"/>
    <s v="GTXPro"/>
    <s v="Faxquote"/>
    <x v="3"/>
    <m/>
    <x v="6"/>
    <m/>
  </r>
  <r>
    <x v="8431"/>
    <x v="1"/>
    <x v="1"/>
    <x v="0"/>
    <s v="GTXPro"/>
    <s v="Finjob"/>
    <x v="3"/>
    <m/>
    <x v="6"/>
    <m/>
  </r>
  <r>
    <x v="8432"/>
    <x v="1"/>
    <x v="1"/>
    <x v="0"/>
    <s v="GTXPro"/>
    <s v="Initech"/>
    <x v="3"/>
    <m/>
    <x v="6"/>
    <m/>
  </r>
  <r>
    <x v="8433"/>
    <x v="1"/>
    <x v="1"/>
    <x v="0"/>
    <s v="GTXPro"/>
    <s v="Inity"/>
    <x v="3"/>
    <m/>
    <x v="6"/>
    <m/>
  </r>
  <r>
    <x v="8434"/>
    <x v="1"/>
    <x v="1"/>
    <x v="0"/>
    <s v="GTXPro"/>
    <s v="Iselectrics"/>
    <x v="3"/>
    <m/>
    <x v="6"/>
    <m/>
  </r>
  <r>
    <x v="8435"/>
    <x v="1"/>
    <x v="1"/>
    <x v="0"/>
    <s v="GTXPro"/>
    <s v="Opentech"/>
    <x v="3"/>
    <m/>
    <x v="6"/>
    <m/>
  </r>
  <r>
    <x v="8436"/>
    <x v="1"/>
    <x v="1"/>
    <x v="0"/>
    <s v="GTXPro"/>
    <s v="Plusstrip"/>
    <x v="3"/>
    <m/>
    <x v="6"/>
    <m/>
  </r>
  <r>
    <x v="8437"/>
    <x v="1"/>
    <x v="1"/>
    <x v="0"/>
    <s v="GTXPro"/>
    <s v="Ron-tech"/>
    <x v="3"/>
    <m/>
    <x v="6"/>
    <m/>
  </r>
  <r>
    <x v="8438"/>
    <x v="1"/>
    <x v="1"/>
    <x v="0"/>
    <s v="GTXPro"/>
    <s v="Ron-tech"/>
    <x v="3"/>
    <m/>
    <x v="6"/>
    <m/>
  </r>
  <r>
    <x v="8439"/>
    <x v="1"/>
    <x v="1"/>
    <x v="0"/>
    <s v="GTXPro"/>
    <s v="Rundofase"/>
    <x v="3"/>
    <m/>
    <x v="6"/>
    <m/>
  </r>
  <r>
    <x v="8440"/>
    <x v="1"/>
    <x v="1"/>
    <x v="0"/>
    <s v="GTXPro"/>
    <s v="Rundofase"/>
    <x v="3"/>
    <m/>
    <x v="6"/>
    <m/>
  </r>
  <r>
    <x v="8441"/>
    <x v="1"/>
    <x v="1"/>
    <x v="0"/>
    <s v="GTXPro"/>
    <s v="Warephase"/>
    <x v="3"/>
    <m/>
    <x v="6"/>
    <m/>
  </r>
  <r>
    <x v="8442"/>
    <x v="1"/>
    <x v="1"/>
    <x v="0"/>
    <s v="GTXPro"/>
    <s v="Xx-zobam"/>
    <x v="3"/>
    <m/>
    <x v="6"/>
    <m/>
  </r>
  <r>
    <x v="8443"/>
    <x v="1"/>
    <x v="1"/>
    <x v="0"/>
    <s v="GTXPro"/>
    <s v="Yearin"/>
    <x v="3"/>
    <m/>
    <x v="6"/>
    <m/>
  </r>
  <r>
    <x v="8444"/>
    <x v="1"/>
    <x v="1"/>
    <x v="0"/>
    <s v="GTXPro"/>
    <s v="Zathunicon"/>
    <x v="3"/>
    <m/>
    <x v="6"/>
    <m/>
  </r>
  <r>
    <x v="8445"/>
    <x v="1"/>
    <x v="1"/>
    <x v="0"/>
    <s v="GTXPro"/>
    <s v="Zencorporation"/>
    <x v="3"/>
    <m/>
    <x v="6"/>
    <m/>
  </r>
  <r>
    <x v="8446"/>
    <x v="1"/>
    <x v="1"/>
    <x v="0"/>
    <s v="GTXPro"/>
    <s v="Zumgoity"/>
    <x v="3"/>
    <m/>
    <x v="6"/>
    <m/>
  </r>
  <r>
    <x v="8447"/>
    <x v="1"/>
    <x v="1"/>
    <x v="0"/>
    <s v="GTXPro"/>
    <m/>
    <x v="3"/>
    <m/>
    <x v="6"/>
    <m/>
  </r>
  <r>
    <x v="8448"/>
    <x v="1"/>
    <x v="1"/>
    <x v="0"/>
    <s v="GTXPro"/>
    <m/>
    <x v="3"/>
    <m/>
    <x v="6"/>
    <m/>
  </r>
  <r>
    <x v="8449"/>
    <x v="1"/>
    <x v="1"/>
    <x v="0"/>
    <s v="GTXPro"/>
    <m/>
    <x v="3"/>
    <m/>
    <x v="6"/>
    <m/>
  </r>
  <r>
    <x v="8450"/>
    <x v="1"/>
    <x v="1"/>
    <x v="0"/>
    <s v="GTXPro"/>
    <m/>
    <x v="3"/>
    <m/>
    <x v="6"/>
    <m/>
  </r>
  <r>
    <x v="8451"/>
    <x v="1"/>
    <x v="1"/>
    <x v="0"/>
    <s v="GTXPro"/>
    <m/>
    <x v="3"/>
    <m/>
    <x v="6"/>
    <m/>
  </r>
  <r>
    <x v="8452"/>
    <x v="1"/>
    <x v="1"/>
    <x v="0"/>
    <s v="GTXPro"/>
    <m/>
    <x v="3"/>
    <m/>
    <x v="6"/>
    <m/>
  </r>
  <r>
    <x v="8453"/>
    <x v="1"/>
    <x v="1"/>
    <x v="0"/>
    <s v="GTXPro"/>
    <m/>
    <x v="3"/>
    <m/>
    <x v="6"/>
    <m/>
  </r>
  <r>
    <x v="8454"/>
    <x v="1"/>
    <x v="1"/>
    <x v="0"/>
    <s v="GTXPro"/>
    <m/>
    <x v="3"/>
    <m/>
    <x v="6"/>
    <m/>
  </r>
  <r>
    <x v="8455"/>
    <x v="1"/>
    <x v="1"/>
    <x v="0"/>
    <s v="GTXPro"/>
    <m/>
    <x v="3"/>
    <m/>
    <x v="6"/>
    <m/>
  </r>
  <r>
    <x v="8456"/>
    <x v="1"/>
    <x v="1"/>
    <x v="0"/>
    <s v="GTXPro"/>
    <m/>
    <x v="3"/>
    <m/>
    <x v="6"/>
    <m/>
  </r>
  <r>
    <x v="8457"/>
    <x v="1"/>
    <x v="1"/>
    <x v="0"/>
    <s v="GTXPro"/>
    <m/>
    <x v="3"/>
    <m/>
    <x v="6"/>
    <m/>
  </r>
  <r>
    <x v="8458"/>
    <x v="1"/>
    <x v="1"/>
    <x v="0"/>
    <s v="GTXPro"/>
    <m/>
    <x v="3"/>
    <m/>
    <x v="6"/>
    <m/>
  </r>
  <r>
    <x v="8459"/>
    <x v="1"/>
    <x v="1"/>
    <x v="0"/>
    <s v="GTXPro"/>
    <m/>
    <x v="3"/>
    <m/>
    <x v="6"/>
    <m/>
  </r>
  <r>
    <x v="8460"/>
    <x v="1"/>
    <x v="1"/>
    <x v="0"/>
    <s v="GTXPro"/>
    <m/>
    <x v="3"/>
    <m/>
    <x v="6"/>
    <m/>
  </r>
  <r>
    <x v="8461"/>
    <x v="1"/>
    <x v="1"/>
    <x v="0"/>
    <s v="GTXPro"/>
    <m/>
    <x v="3"/>
    <m/>
    <x v="6"/>
    <m/>
  </r>
  <r>
    <x v="8462"/>
    <x v="1"/>
    <x v="1"/>
    <x v="0"/>
    <s v="GTXPro"/>
    <m/>
    <x v="3"/>
    <m/>
    <x v="6"/>
    <m/>
  </r>
  <r>
    <x v="8463"/>
    <x v="1"/>
    <x v="1"/>
    <x v="0"/>
    <s v="GTXPro"/>
    <m/>
    <x v="3"/>
    <m/>
    <x v="6"/>
    <m/>
  </r>
  <r>
    <x v="8464"/>
    <x v="1"/>
    <x v="1"/>
    <x v="0"/>
    <s v="GTXPro"/>
    <m/>
    <x v="3"/>
    <m/>
    <x v="6"/>
    <m/>
  </r>
  <r>
    <x v="8465"/>
    <x v="1"/>
    <x v="1"/>
    <x v="0"/>
    <s v="GTXPro"/>
    <m/>
    <x v="3"/>
    <m/>
    <x v="6"/>
    <m/>
  </r>
  <r>
    <x v="8466"/>
    <x v="1"/>
    <x v="1"/>
    <x v="0"/>
    <s v="GTXPro"/>
    <m/>
    <x v="3"/>
    <m/>
    <x v="6"/>
    <m/>
  </r>
  <r>
    <x v="8467"/>
    <x v="1"/>
    <x v="1"/>
    <x v="0"/>
    <s v="GTXPro"/>
    <m/>
    <x v="3"/>
    <m/>
    <x v="6"/>
    <m/>
  </r>
  <r>
    <x v="8468"/>
    <x v="1"/>
    <x v="1"/>
    <x v="0"/>
    <s v="GTXPro"/>
    <m/>
    <x v="3"/>
    <m/>
    <x v="6"/>
    <m/>
  </r>
  <r>
    <x v="8469"/>
    <x v="1"/>
    <x v="1"/>
    <x v="0"/>
    <s v="GTXPro"/>
    <m/>
    <x v="3"/>
    <m/>
    <x v="6"/>
    <m/>
  </r>
  <r>
    <x v="8470"/>
    <x v="1"/>
    <x v="1"/>
    <x v="0"/>
    <s v="GTXPro"/>
    <m/>
    <x v="3"/>
    <m/>
    <x v="6"/>
    <m/>
  </r>
  <r>
    <x v="8471"/>
    <x v="1"/>
    <x v="1"/>
    <x v="0"/>
    <s v="GTXPro"/>
    <m/>
    <x v="3"/>
    <m/>
    <x v="6"/>
    <m/>
  </r>
  <r>
    <x v="8472"/>
    <x v="1"/>
    <x v="1"/>
    <x v="0"/>
    <s v="GTXPro"/>
    <m/>
    <x v="3"/>
    <m/>
    <x v="6"/>
    <m/>
  </r>
  <r>
    <x v="8473"/>
    <x v="1"/>
    <x v="1"/>
    <x v="0"/>
    <s v="GTXPro"/>
    <m/>
    <x v="3"/>
    <m/>
    <x v="6"/>
    <m/>
  </r>
  <r>
    <x v="8474"/>
    <x v="1"/>
    <x v="1"/>
    <x v="0"/>
    <s v="GTXPro"/>
    <m/>
    <x v="3"/>
    <m/>
    <x v="6"/>
    <m/>
  </r>
  <r>
    <x v="8475"/>
    <x v="1"/>
    <x v="1"/>
    <x v="0"/>
    <s v="MG Special"/>
    <m/>
    <x v="3"/>
    <m/>
    <x v="6"/>
    <m/>
  </r>
  <r>
    <x v="8476"/>
    <x v="1"/>
    <x v="1"/>
    <x v="0"/>
    <s v="MG Special"/>
    <m/>
    <x v="3"/>
    <m/>
    <x v="6"/>
    <m/>
  </r>
  <r>
    <x v="8477"/>
    <x v="1"/>
    <x v="1"/>
    <x v="0"/>
    <s v="MG Special"/>
    <m/>
    <x v="3"/>
    <m/>
    <x v="6"/>
    <m/>
  </r>
  <r>
    <x v="8478"/>
    <x v="1"/>
    <x v="1"/>
    <x v="0"/>
    <s v="MG Special"/>
    <m/>
    <x v="3"/>
    <m/>
    <x v="6"/>
    <m/>
  </r>
  <r>
    <x v="8479"/>
    <x v="1"/>
    <x v="1"/>
    <x v="0"/>
    <s v="MG Special"/>
    <m/>
    <x v="3"/>
    <m/>
    <x v="6"/>
    <m/>
  </r>
  <r>
    <x v="8480"/>
    <x v="1"/>
    <x v="1"/>
    <x v="0"/>
    <s v="MG Special"/>
    <m/>
    <x v="3"/>
    <m/>
    <x v="6"/>
    <m/>
  </r>
  <r>
    <x v="8481"/>
    <x v="1"/>
    <x v="1"/>
    <x v="0"/>
    <s v="MG Special"/>
    <m/>
    <x v="3"/>
    <m/>
    <x v="6"/>
    <m/>
  </r>
  <r>
    <x v="8482"/>
    <x v="1"/>
    <x v="1"/>
    <x v="0"/>
    <s v="MG Advanced"/>
    <s v="Bubba Gump"/>
    <x v="3"/>
    <m/>
    <x v="6"/>
    <m/>
  </r>
  <r>
    <x v="8483"/>
    <x v="1"/>
    <x v="1"/>
    <x v="0"/>
    <s v="MG Advanced"/>
    <s v="Donquadtech"/>
    <x v="3"/>
    <m/>
    <x v="6"/>
    <m/>
  </r>
  <r>
    <x v="8484"/>
    <x v="1"/>
    <x v="1"/>
    <x v="0"/>
    <s v="MG Advanced"/>
    <m/>
    <x v="3"/>
    <m/>
    <x v="6"/>
    <m/>
  </r>
  <r>
    <x v="8485"/>
    <x v="1"/>
    <x v="1"/>
    <x v="0"/>
    <s v="MG Advanced"/>
    <m/>
    <x v="3"/>
    <m/>
    <x v="6"/>
    <m/>
  </r>
  <r>
    <x v="8486"/>
    <x v="1"/>
    <x v="1"/>
    <x v="0"/>
    <s v="MG Advanced"/>
    <m/>
    <x v="3"/>
    <m/>
    <x v="6"/>
    <m/>
  </r>
  <r>
    <x v="8487"/>
    <x v="1"/>
    <x v="1"/>
    <x v="0"/>
    <s v="MG Advanced"/>
    <m/>
    <x v="3"/>
    <m/>
    <x v="6"/>
    <m/>
  </r>
  <r>
    <x v="8488"/>
    <x v="1"/>
    <x v="1"/>
    <x v="0"/>
    <s v="MG Advanced"/>
    <m/>
    <x v="3"/>
    <m/>
    <x v="6"/>
    <m/>
  </r>
  <r>
    <x v="8489"/>
    <x v="1"/>
    <x v="1"/>
    <x v="0"/>
    <s v="MG Advanced"/>
    <m/>
    <x v="3"/>
    <m/>
    <x v="6"/>
    <m/>
  </r>
  <r>
    <x v="8490"/>
    <x v="8"/>
    <x v="1"/>
    <x v="0"/>
    <s v="GTX Basic"/>
    <s v="Hottechi"/>
    <x v="3"/>
    <m/>
    <x v="6"/>
    <m/>
  </r>
  <r>
    <x v="8491"/>
    <x v="8"/>
    <x v="1"/>
    <x v="0"/>
    <s v="GTX Basic"/>
    <m/>
    <x v="3"/>
    <m/>
    <x v="6"/>
    <m/>
  </r>
  <r>
    <x v="8492"/>
    <x v="8"/>
    <x v="1"/>
    <x v="0"/>
    <s v="GTX Basic"/>
    <m/>
    <x v="3"/>
    <m/>
    <x v="6"/>
    <m/>
  </r>
  <r>
    <x v="8493"/>
    <x v="8"/>
    <x v="1"/>
    <x v="0"/>
    <s v="GTX Basic"/>
    <m/>
    <x v="3"/>
    <m/>
    <x v="6"/>
    <m/>
  </r>
  <r>
    <x v="8494"/>
    <x v="8"/>
    <x v="1"/>
    <x v="0"/>
    <s v="GTX Plus Basic"/>
    <s v="Iselectrics"/>
    <x v="3"/>
    <m/>
    <x v="6"/>
    <m/>
  </r>
  <r>
    <x v="8495"/>
    <x v="8"/>
    <x v="1"/>
    <x v="0"/>
    <s v="GTX Plus Basic"/>
    <s v="Plexzap"/>
    <x v="3"/>
    <m/>
    <x v="6"/>
    <m/>
  </r>
  <r>
    <x v="8496"/>
    <x v="8"/>
    <x v="1"/>
    <x v="0"/>
    <s v="GTX Plus Basic"/>
    <m/>
    <x v="3"/>
    <m/>
    <x v="6"/>
    <m/>
  </r>
  <r>
    <x v="8497"/>
    <x v="8"/>
    <x v="1"/>
    <x v="0"/>
    <s v="GTX Plus Basic"/>
    <m/>
    <x v="3"/>
    <m/>
    <x v="6"/>
    <m/>
  </r>
  <r>
    <x v="8498"/>
    <x v="8"/>
    <x v="1"/>
    <x v="0"/>
    <s v="GTX Plus Basic"/>
    <m/>
    <x v="3"/>
    <m/>
    <x v="6"/>
    <m/>
  </r>
  <r>
    <x v="8499"/>
    <x v="8"/>
    <x v="1"/>
    <x v="0"/>
    <s v="GTX Plus Basic"/>
    <m/>
    <x v="3"/>
    <m/>
    <x v="6"/>
    <m/>
  </r>
  <r>
    <x v="8500"/>
    <x v="8"/>
    <x v="1"/>
    <x v="0"/>
    <s v="GTX Plus Basic"/>
    <m/>
    <x v="3"/>
    <m/>
    <x v="6"/>
    <m/>
  </r>
  <r>
    <x v="8501"/>
    <x v="8"/>
    <x v="1"/>
    <x v="0"/>
    <s v="GTX Plus Basic"/>
    <m/>
    <x v="3"/>
    <m/>
    <x v="6"/>
    <m/>
  </r>
  <r>
    <x v="8502"/>
    <x v="8"/>
    <x v="1"/>
    <x v="0"/>
    <s v="GTX Plus Basic"/>
    <m/>
    <x v="3"/>
    <m/>
    <x v="6"/>
    <m/>
  </r>
  <r>
    <x v="8503"/>
    <x v="8"/>
    <x v="1"/>
    <x v="0"/>
    <s v="GTX Plus Pro"/>
    <s v="Kan-code"/>
    <x v="3"/>
    <m/>
    <x v="6"/>
    <m/>
  </r>
  <r>
    <x v="8504"/>
    <x v="8"/>
    <x v="1"/>
    <x v="0"/>
    <s v="GTX Plus Pro"/>
    <s v="Plussunin"/>
    <x v="3"/>
    <m/>
    <x v="6"/>
    <m/>
  </r>
  <r>
    <x v="8505"/>
    <x v="8"/>
    <x v="1"/>
    <x v="0"/>
    <s v="GTX Plus Pro"/>
    <s v="Vehement Capital Partners"/>
    <x v="3"/>
    <m/>
    <x v="6"/>
    <m/>
  </r>
  <r>
    <x v="8506"/>
    <x v="8"/>
    <x v="1"/>
    <x v="0"/>
    <s v="GTX Plus Pro"/>
    <m/>
    <x v="3"/>
    <m/>
    <x v="6"/>
    <m/>
  </r>
  <r>
    <x v="8507"/>
    <x v="8"/>
    <x v="1"/>
    <x v="0"/>
    <s v="GTX Plus Pro"/>
    <m/>
    <x v="3"/>
    <m/>
    <x v="6"/>
    <m/>
  </r>
  <r>
    <x v="8508"/>
    <x v="8"/>
    <x v="1"/>
    <x v="0"/>
    <s v="GTX Plus Pro"/>
    <m/>
    <x v="3"/>
    <m/>
    <x v="6"/>
    <m/>
  </r>
  <r>
    <x v="8509"/>
    <x v="8"/>
    <x v="1"/>
    <x v="0"/>
    <s v="GTX Plus Pro"/>
    <m/>
    <x v="3"/>
    <m/>
    <x v="6"/>
    <m/>
  </r>
  <r>
    <x v="8510"/>
    <x v="8"/>
    <x v="1"/>
    <x v="0"/>
    <s v="GTX Plus Pro"/>
    <m/>
    <x v="3"/>
    <m/>
    <x v="6"/>
    <m/>
  </r>
  <r>
    <x v="8511"/>
    <x v="8"/>
    <x v="1"/>
    <x v="0"/>
    <s v="GTX Plus Pro"/>
    <m/>
    <x v="3"/>
    <m/>
    <x v="6"/>
    <m/>
  </r>
  <r>
    <x v="8512"/>
    <x v="8"/>
    <x v="1"/>
    <x v="0"/>
    <s v="GTXPro"/>
    <s v="Bioholding"/>
    <x v="3"/>
    <m/>
    <x v="6"/>
    <m/>
  </r>
  <r>
    <x v="8513"/>
    <x v="8"/>
    <x v="1"/>
    <x v="0"/>
    <s v="GTXPro"/>
    <s v="Genco Pura Olive Oil Company"/>
    <x v="3"/>
    <m/>
    <x v="6"/>
    <m/>
  </r>
  <r>
    <x v="8514"/>
    <x v="8"/>
    <x v="1"/>
    <x v="0"/>
    <s v="GTXPro"/>
    <s v="Treequote"/>
    <x v="3"/>
    <m/>
    <x v="6"/>
    <m/>
  </r>
  <r>
    <x v="8515"/>
    <x v="8"/>
    <x v="1"/>
    <x v="0"/>
    <s v="GTXPro"/>
    <m/>
    <x v="3"/>
    <m/>
    <x v="6"/>
    <m/>
  </r>
  <r>
    <x v="8516"/>
    <x v="8"/>
    <x v="1"/>
    <x v="0"/>
    <s v="GTXPro"/>
    <m/>
    <x v="3"/>
    <m/>
    <x v="6"/>
    <m/>
  </r>
  <r>
    <x v="8517"/>
    <x v="8"/>
    <x v="1"/>
    <x v="0"/>
    <s v="GTXPro"/>
    <m/>
    <x v="3"/>
    <m/>
    <x v="6"/>
    <m/>
  </r>
  <r>
    <x v="8518"/>
    <x v="8"/>
    <x v="1"/>
    <x v="0"/>
    <s v="GTXPro"/>
    <m/>
    <x v="3"/>
    <m/>
    <x v="6"/>
    <m/>
  </r>
  <r>
    <x v="8519"/>
    <x v="8"/>
    <x v="1"/>
    <x v="0"/>
    <s v="MG Special"/>
    <s v="Codehow"/>
    <x v="3"/>
    <m/>
    <x v="6"/>
    <m/>
  </r>
  <r>
    <x v="8520"/>
    <x v="8"/>
    <x v="1"/>
    <x v="0"/>
    <s v="MG Special"/>
    <s v="Plexzap"/>
    <x v="3"/>
    <m/>
    <x v="6"/>
    <m/>
  </r>
  <r>
    <x v="8521"/>
    <x v="8"/>
    <x v="1"/>
    <x v="0"/>
    <s v="MG Special"/>
    <s v="Rundofase"/>
    <x v="3"/>
    <m/>
    <x v="6"/>
    <m/>
  </r>
  <r>
    <x v="8522"/>
    <x v="8"/>
    <x v="1"/>
    <x v="0"/>
    <s v="MG Special"/>
    <s v="The New York Inquirer"/>
    <x v="3"/>
    <m/>
    <x v="6"/>
    <m/>
  </r>
  <r>
    <x v="8523"/>
    <x v="8"/>
    <x v="1"/>
    <x v="0"/>
    <s v="MG Special"/>
    <s v="Yearin"/>
    <x v="3"/>
    <m/>
    <x v="6"/>
    <m/>
  </r>
  <r>
    <x v="8524"/>
    <x v="8"/>
    <x v="1"/>
    <x v="0"/>
    <s v="MG Special"/>
    <m/>
    <x v="3"/>
    <m/>
    <x v="6"/>
    <m/>
  </r>
  <r>
    <x v="8525"/>
    <x v="8"/>
    <x v="1"/>
    <x v="0"/>
    <s v="MG Special"/>
    <m/>
    <x v="3"/>
    <m/>
    <x v="6"/>
    <m/>
  </r>
  <r>
    <x v="8526"/>
    <x v="8"/>
    <x v="1"/>
    <x v="0"/>
    <s v="MG Special"/>
    <m/>
    <x v="3"/>
    <m/>
    <x v="6"/>
    <m/>
  </r>
  <r>
    <x v="8527"/>
    <x v="8"/>
    <x v="1"/>
    <x v="0"/>
    <s v="MG Special"/>
    <m/>
    <x v="3"/>
    <m/>
    <x v="6"/>
    <m/>
  </r>
  <r>
    <x v="8528"/>
    <x v="8"/>
    <x v="1"/>
    <x v="0"/>
    <s v="MG Special"/>
    <m/>
    <x v="3"/>
    <m/>
    <x v="6"/>
    <m/>
  </r>
  <r>
    <x v="8529"/>
    <x v="8"/>
    <x v="1"/>
    <x v="0"/>
    <s v="MG Advanced"/>
    <s v="Cancity"/>
    <x v="3"/>
    <m/>
    <x v="6"/>
    <m/>
  </r>
  <r>
    <x v="8530"/>
    <x v="8"/>
    <x v="1"/>
    <x v="0"/>
    <s v="MG Advanced"/>
    <s v="Plusstrip"/>
    <x v="3"/>
    <m/>
    <x v="6"/>
    <m/>
  </r>
  <r>
    <x v="8531"/>
    <x v="8"/>
    <x v="1"/>
    <x v="0"/>
    <s v="MG Advanced"/>
    <s v="Ron-tech"/>
    <x v="3"/>
    <m/>
    <x v="6"/>
    <m/>
  </r>
  <r>
    <x v="8532"/>
    <x v="8"/>
    <x v="1"/>
    <x v="0"/>
    <s v="MG Advanced"/>
    <s v="Xx-zobam"/>
    <x v="3"/>
    <m/>
    <x v="6"/>
    <m/>
  </r>
  <r>
    <x v="8533"/>
    <x v="8"/>
    <x v="1"/>
    <x v="0"/>
    <s v="MG Advanced"/>
    <m/>
    <x v="3"/>
    <m/>
    <x v="6"/>
    <m/>
  </r>
  <r>
    <x v="8534"/>
    <x v="8"/>
    <x v="1"/>
    <x v="0"/>
    <s v="MG Advanced"/>
    <m/>
    <x v="3"/>
    <m/>
    <x v="6"/>
    <m/>
  </r>
  <r>
    <x v="8535"/>
    <x v="8"/>
    <x v="1"/>
    <x v="0"/>
    <s v="MG Advanced"/>
    <m/>
    <x v="3"/>
    <m/>
    <x v="6"/>
    <m/>
  </r>
  <r>
    <x v="8536"/>
    <x v="8"/>
    <x v="1"/>
    <x v="0"/>
    <s v="MG Advanced"/>
    <m/>
    <x v="3"/>
    <m/>
    <x v="6"/>
    <m/>
  </r>
  <r>
    <x v="8537"/>
    <x v="8"/>
    <x v="1"/>
    <x v="0"/>
    <s v="MG Advanced"/>
    <m/>
    <x v="3"/>
    <m/>
    <x v="6"/>
    <m/>
  </r>
  <r>
    <x v="8538"/>
    <x v="8"/>
    <x v="1"/>
    <x v="0"/>
    <s v="MG Advanced"/>
    <m/>
    <x v="3"/>
    <m/>
    <x v="6"/>
    <m/>
  </r>
  <r>
    <x v="8539"/>
    <x v="29"/>
    <x v="1"/>
    <x v="0"/>
    <s v="GTX Basic"/>
    <s v="Bluth Company"/>
    <x v="3"/>
    <m/>
    <x v="6"/>
    <m/>
  </r>
  <r>
    <x v="8540"/>
    <x v="29"/>
    <x v="1"/>
    <x v="0"/>
    <s v="GTX Basic"/>
    <s v="Conecom"/>
    <x v="3"/>
    <m/>
    <x v="6"/>
    <m/>
  </r>
  <r>
    <x v="8541"/>
    <x v="29"/>
    <x v="1"/>
    <x v="0"/>
    <s v="GTX Basic"/>
    <s v="Dontechi"/>
    <x v="3"/>
    <m/>
    <x v="6"/>
    <m/>
  </r>
  <r>
    <x v="8542"/>
    <x v="29"/>
    <x v="1"/>
    <x v="0"/>
    <s v="GTX Basic"/>
    <s v="Gogozoom"/>
    <x v="3"/>
    <m/>
    <x v="6"/>
    <m/>
  </r>
  <r>
    <x v="8543"/>
    <x v="29"/>
    <x v="1"/>
    <x v="0"/>
    <s v="GTX Basic"/>
    <s v="Groovestreet"/>
    <x v="3"/>
    <m/>
    <x v="6"/>
    <m/>
  </r>
  <r>
    <x v="8544"/>
    <x v="29"/>
    <x v="1"/>
    <x v="0"/>
    <s v="GTX Basic"/>
    <s v="Lexiqvolax"/>
    <x v="3"/>
    <m/>
    <x v="6"/>
    <m/>
  </r>
  <r>
    <x v="8545"/>
    <x v="29"/>
    <x v="1"/>
    <x v="0"/>
    <s v="GTX Basic"/>
    <s v="Vehement Capital Partners"/>
    <x v="3"/>
    <m/>
    <x v="6"/>
    <m/>
  </r>
  <r>
    <x v="8546"/>
    <x v="29"/>
    <x v="1"/>
    <x v="0"/>
    <s v="GTX Basic"/>
    <s v="Xx-zobam"/>
    <x v="3"/>
    <m/>
    <x v="6"/>
    <m/>
  </r>
  <r>
    <x v="8547"/>
    <x v="29"/>
    <x v="1"/>
    <x v="0"/>
    <s v="GTX Basic"/>
    <s v="Zencorporation"/>
    <x v="3"/>
    <m/>
    <x v="6"/>
    <m/>
  </r>
  <r>
    <x v="8548"/>
    <x v="29"/>
    <x v="1"/>
    <x v="0"/>
    <s v="GTX Basic"/>
    <m/>
    <x v="3"/>
    <m/>
    <x v="6"/>
    <m/>
  </r>
  <r>
    <x v="8549"/>
    <x v="29"/>
    <x v="1"/>
    <x v="0"/>
    <s v="GTX Basic"/>
    <m/>
    <x v="3"/>
    <m/>
    <x v="6"/>
    <m/>
  </r>
  <r>
    <x v="8550"/>
    <x v="29"/>
    <x v="1"/>
    <x v="0"/>
    <s v="GTX Basic"/>
    <m/>
    <x v="3"/>
    <m/>
    <x v="6"/>
    <m/>
  </r>
  <r>
    <x v="8551"/>
    <x v="29"/>
    <x v="1"/>
    <x v="0"/>
    <s v="GTX Basic"/>
    <m/>
    <x v="3"/>
    <m/>
    <x v="6"/>
    <m/>
  </r>
  <r>
    <x v="8552"/>
    <x v="29"/>
    <x v="1"/>
    <x v="0"/>
    <s v="GTX Basic"/>
    <m/>
    <x v="3"/>
    <m/>
    <x v="6"/>
    <m/>
  </r>
  <r>
    <x v="8553"/>
    <x v="29"/>
    <x v="1"/>
    <x v="0"/>
    <s v="GTX Basic"/>
    <m/>
    <x v="3"/>
    <m/>
    <x v="6"/>
    <m/>
  </r>
  <r>
    <x v="8554"/>
    <x v="29"/>
    <x v="1"/>
    <x v="0"/>
    <s v="GTX Basic"/>
    <m/>
    <x v="3"/>
    <m/>
    <x v="6"/>
    <m/>
  </r>
  <r>
    <x v="8555"/>
    <x v="29"/>
    <x v="1"/>
    <x v="0"/>
    <s v="GTX Basic"/>
    <m/>
    <x v="3"/>
    <m/>
    <x v="6"/>
    <m/>
  </r>
  <r>
    <x v="8556"/>
    <x v="29"/>
    <x v="1"/>
    <x v="0"/>
    <s v="GTX Basic"/>
    <m/>
    <x v="3"/>
    <m/>
    <x v="6"/>
    <m/>
  </r>
  <r>
    <x v="8557"/>
    <x v="29"/>
    <x v="1"/>
    <x v="0"/>
    <s v="GTX Basic"/>
    <m/>
    <x v="3"/>
    <m/>
    <x v="6"/>
    <m/>
  </r>
  <r>
    <x v="8558"/>
    <x v="29"/>
    <x v="1"/>
    <x v="0"/>
    <s v="GTX Basic"/>
    <m/>
    <x v="3"/>
    <m/>
    <x v="6"/>
    <m/>
  </r>
  <r>
    <x v="8559"/>
    <x v="29"/>
    <x v="1"/>
    <x v="0"/>
    <s v="GTX Basic"/>
    <m/>
    <x v="3"/>
    <m/>
    <x v="6"/>
    <m/>
  </r>
  <r>
    <x v="8560"/>
    <x v="29"/>
    <x v="1"/>
    <x v="0"/>
    <s v="GTX Basic"/>
    <m/>
    <x v="3"/>
    <m/>
    <x v="6"/>
    <m/>
  </r>
  <r>
    <x v="8561"/>
    <x v="29"/>
    <x v="1"/>
    <x v="0"/>
    <s v="GTX Plus Basic"/>
    <s v="Globex Corporation"/>
    <x v="3"/>
    <m/>
    <x v="6"/>
    <m/>
  </r>
  <r>
    <x v="8562"/>
    <x v="29"/>
    <x v="1"/>
    <x v="0"/>
    <s v="GTX Plus Basic"/>
    <s v="Isdom"/>
    <x v="3"/>
    <m/>
    <x v="6"/>
    <m/>
  </r>
  <r>
    <x v="8563"/>
    <x v="29"/>
    <x v="1"/>
    <x v="0"/>
    <s v="GTX Plus Basic"/>
    <m/>
    <x v="3"/>
    <m/>
    <x v="6"/>
    <m/>
  </r>
  <r>
    <x v="8564"/>
    <x v="29"/>
    <x v="1"/>
    <x v="0"/>
    <s v="GTX Plus Basic"/>
    <m/>
    <x v="3"/>
    <m/>
    <x v="6"/>
    <m/>
  </r>
  <r>
    <x v="8565"/>
    <x v="29"/>
    <x v="1"/>
    <x v="0"/>
    <s v="GTX Plus Basic"/>
    <m/>
    <x v="3"/>
    <m/>
    <x v="6"/>
    <m/>
  </r>
  <r>
    <x v="8566"/>
    <x v="29"/>
    <x v="1"/>
    <x v="0"/>
    <s v="GTX Plus Basic"/>
    <m/>
    <x v="3"/>
    <m/>
    <x v="6"/>
    <m/>
  </r>
  <r>
    <x v="8567"/>
    <x v="29"/>
    <x v="1"/>
    <x v="0"/>
    <s v="GTX Plus Pro"/>
    <s v="Cheers"/>
    <x v="3"/>
    <m/>
    <x v="6"/>
    <m/>
  </r>
  <r>
    <x v="8568"/>
    <x v="29"/>
    <x v="1"/>
    <x v="0"/>
    <s v="GTX Plus Pro"/>
    <s v="Silis"/>
    <x v="3"/>
    <m/>
    <x v="6"/>
    <m/>
  </r>
  <r>
    <x v="8569"/>
    <x v="29"/>
    <x v="1"/>
    <x v="0"/>
    <s v="GTX Plus Pro"/>
    <m/>
    <x v="3"/>
    <m/>
    <x v="6"/>
    <m/>
  </r>
  <r>
    <x v="8570"/>
    <x v="29"/>
    <x v="1"/>
    <x v="0"/>
    <s v="GTX Plus Pro"/>
    <m/>
    <x v="3"/>
    <m/>
    <x v="6"/>
    <m/>
  </r>
  <r>
    <x v="8571"/>
    <x v="29"/>
    <x v="1"/>
    <x v="0"/>
    <s v="GTXPro"/>
    <s v="Initech"/>
    <x v="3"/>
    <m/>
    <x v="6"/>
    <m/>
  </r>
  <r>
    <x v="8572"/>
    <x v="29"/>
    <x v="1"/>
    <x v="0"/>
    <s v="GTXPro"/>
    <s v="Plexzap"/>
    <x v="3"/>
    <m/>
    <x v="6"/>
    <m/>
  </r>
  <r>
    <x v="8573"/>
    <x v="29"/>
    <x v="1"/>
    <x v="0"/>
    <s v="GTXPro"/>
    <m/>
    <x v="3"/>
    <m/>
    <x v="6"/>
    <m/>
  </r>
  <r>
    <x v="8574"/>
    <x v="29"/>
    <x v="1"/>
    <x v="0"/>
    <s v="GTXPro"/>
    <m/>
    <x v="3"/>
    <m/>
    <x v="6"/>
    <m/>
  </r>
  <r>
    <x v="8575"/>
    <x v="29"/>
    <x v="1"/>
    <x v="0"/>
    <s v="GTXPro"/>
    <m/>
    <x v="3"/>
    <m/>
    <x v="6"/>
    <m/>
  </r>
  <r>
    <x v="8576"/>
    <x v="29"/>
    <x v="1"/>
    <x v="0"/>
    <s v="GTXPro"/>
    <m/>
    <x v="3"/>
    <m/>
    <x v="6"/>
    <m/>
  </r>
  <r>
    <x v="8577"/>
    <x v="29"/>
    <x v="1"/>
    <x v="0"/>
    <s v="GTXPro"/>
    <m/>
    <x v="3"/>
    <m/>
    <x v="6"/>
    <m/>
  </r>
  <r>
    <x v="8578"/>
    <x v="29"/>
    <x v="1"/>
    <x v="0"/>
    <s v="GTXPro"/>
    <m/>
    <x v="3"/>
    <m/>
    <x v="6"/>
    <m/>
  </r>
  <r>
    <x v="8579"/>
    <x v="29"/>
    <x v="1"/>
    <x v="0"/>
    <s v="GTXPro"/>
    <m/>
    <x v="3"/>
    <m/>
    <x v="6"/>
    <m/>
  </r>
  <r>
    <x v="8580"/>
    <x v="29"/>
    <x v="1"/>
    <x v="0"/>
    <s v="MG Special"/>
    <s v="Blackzim"/>
    <x v="3"/>
    <m/>
    <x v="6"/>
    <m/>
  </r>
  <r>
    <x v="8581"/>
    <x v="29"/>
    <x v="1"/>
    <x v="0"/>
    <s v="MG Special"/>
    <s v="Bluth Company"/>
    <x v="3"/>
    <m/>
    <x v="6"/>
    <m/>
  </r>
  <r>
    <x v="8582"/>
    <x v="29"/>
    <x v="1"/>
    <x v="0"/>
    <s v="MG Special"/>
    <m/>
    <x v="3"/>
    <m/>
    <x v="6"/>
    <m/>
  </r>
  <r>
    <x v="8583"/>
    <x v="29"/>
    <x v="1"/>
    <x v="0"/>
    <s v="MG Special"/>
    <m/>
    <x v="3"/>
    <m/>
    <x v="6"/>
    <m/>
  </r>
  <r>
    <x v="8584"/>
    <x v="29"/>
    <x v="1"/>
    <x v="0"/>
    <s v="MG Special"/>
    <m/>
    <x v="3"/>
    <m/>
    <x v="6"/>
    <m/>
  </r>
  <r>
    <x v="8585"/>
    <x v="29"/>
    <x v="1"/>
    <x v="0"/>
    <s v="MG Special"/>
    <m/>
    <x v="3"/>
    <m/>
    <x v="6"/>
    <m/>
  </r>
  <r>
    <x v="8586"/>
    <x v="29"/>
    <x v="1"/>
    <x v="0"/>
    <s v="MG Advanced"/>
    <m/>
    <x v="3"/>
    <m/>
    <x v="6"/>
    <m/>
  </r>
  <r>
    <x v="8587"/>
    <x v="24"/>
    <x v="0"/>
    <x v="0"/>
    <s v="GTX Basic"/>
    <s v="Bluth Company"/>
    <x v="3"/>
    <m/>
    <x v="6"/>
    <m/>
  </r>
  <r>
    <x v="8588"/>
    <x v="24"/>
    <x v="0"/>
    <x v="0"/>
    <s v="GTX Basic"/>
    <s v="Konex"/>
    <x v="3"/>
    <m/>
    <x v="6"/>
    <m/>
  </r>
  <r>
    <x v="8589"/>
    <x v="24"/>
    <x v="0"/>
    <x v="0"/>
    <s v="GTX Basic"/>
    <s v="Statholdings"/>
    <x v="3"/>
    <m/>
    <x v="6"/>
    <m/>
  </r>
  <r>
    <x v="8590"/>
    <x v="24"/>
    <x v="0"/>
    <x v="0"/>
    <s v="GTX Basic"/>
    <m/>
    <x v="3"/>
    <m/>
    <x v="6"/>
    <m/>
  </r>
  <r>
    <x v="8591"/>
    <x v="24"/>
    <x v="0"/>
    <x v="0"/>
    <s v="GTX Basic"/>
    <m/>
    <x v="3"/>
    <m/>
    <x v="6"/>
    <m/>
  </r>
  <r>
    <x v="8592"/>
    <x v="24"/>
    <x v="0"/>
    <x v="0"/>
    <s v="GTX Basic"/>
    <m/>
    <x v="3"/>
    <m/>
    <x v="6"/>
    <m/>
  </r>
  <r>
    <x v="8593"/>
    <x v="24"/>
    <x v="0"/>
    <x v="0"/>
    <s v="GTX Basic"/>
    <m/>
    <x v="3"/>
    <m/>
    <x v="6"/>
    <m/>
  </r>
  <r>
    <x v="8594"/>
    <x v="24"/>
    <x v="0"/>
    <x v="0"/>
    <s v="GTX Basic"/>
    <m/>
    <x v="3"/>
    <m/>
    <x v="6"/>
    <m/>
  </r>
  <r>
    <x v="8595"/>
    <x v="24"/>
    <x v="0"/>
    <x v="0"/>
    <s v="GTX Basic"/>
    <m/>
    <x v="3"/>
    <m/>
    <x v="6"/>
    <m/>
  </r>
  <r>
    <x v="8596"/>
    <x v="24"/>
    <x v="0"/>
    <x v="0"/>
    <s v="GTX Basic"/>
    <m/>
    <x v="3"/>
    <m/>
    <x v="6"/>
    <m/>
  </r>
  <r>
    <x v="8597"/>
    <x v="24"/>
    <x v="0"/>
    <x v="0"/>
    <s v="GTX Basic"/>
    <m/>
    <x v="3"/>
    <m/>
    <x v="6"/>
    <m/>
  </r>
  <r>
    <x v="8598"/>
    <x v="24"/>
    <x v="0"/>
    <x v="0"/>
    <s v="GTX Basic"/>
    <m/>
    <x v="3"/>
    <m/>
    <x v="6"/>
    <m/>
  </r>
  <r>
    <x v="8599"/>
    <x v="24"/>
    <x v="0"/>
    <x v="0"/>
    <s v="GTX Basic"/>
    <m/>
    <x v="3"/>
    <m/>
    <x v="6"/>
    <m/>
  </r>
  <r>
    <x v="8600"/>
    <x v="24"/>
    <x v="0"/>
    <x v="0"/>
    <s v="GTX Basic"/>
    <m/>
    <x v="3"/>
    <m/>
    <x v="6"/>
    <m/>
  </r>
  <r>
    <x v="8601"/>
    <x v="24"/>
    <x v="0"/>
    <x v="0"/>
    <s v="GTX Plus Basic"/>
    <s v="Dalttechnology"/>
    <x v="3"/>
    <m/>
    <x v="6"/>
    <m/>
  </r>
  <r>
    <x v="8602"/>
    <x v="24"/>
    <x v="0"/>
    <x v="0"/>
    <s v="GTX Plus Basic"/>
    <m/>
    <x v="3"/>
    <m/>
    <x v="6"/>
    <m/>
  </r>
  <r>
    <x v="8603"/>
    <x v="24"/>
    <x v="0"/>
    <x v="0"/>
    <s v="GTX Plus Basic"/>
    <m/>
    <x v="3"/>
    <m/>
    <x v="6"/>
    <m/>
  </r>
  <r>
    <x v="8604"/>
    <x v="24"/>
    <x v="0"/>
    <x v="0"/>
    <s v="GTX Plus Basic"/>
    <m/>
    <x v="3"/>
    <m/>
    <x v="6"/>
    <m/>
  </r>
  <r>
    <x v="8605"/>
    <x v="24"/>
    <x v="0"/>
    <x v="0"/>
    <s v="GTX Plus Basic"/>
    <m/>
    <x v="3"/>
    <m/>
    <x v="6"/>
    <m/>
  </r>
  <r>
    <x v="8606"/>
    <x v="24"/>
    <x v="0"/>
    <x v="0"/>
    <s v="GTX Plus Basic"/>
    <m/>
    <x v="3"/>
    <m/>
    <x v="6"/>
    <m/>
  </r>
  <r>
    <x v="8607"/>
    <x v="24"/>
    <x v="0"/>
    <x v="0"/>
    <s v="GTX Plus Pro"/>
    <m/>
    <x v="3"/>
    <m/>
    <x v="6"/>
    <m/>
  </r>
  <r>
    <x v="8608"/>
    <x v="24"/>
    <x v="0"/>
    <x v="0"/>
    <s v="MG Special"/>
    <s v="Bioplex"/>
    <x v="3"/>
    <m/>
    <x v="6"/>
    <m/>
  </r>
  <r>
    <x v="8609"/>
    <x v="24"/>
    <x v="0"/>
    <x v="0"/>
    <s v="MG Special"/>
    <s v="Codehow"/>
    <x v="3"/>
    <m/>
    <x v="6"/>
    <m/>
  </r>
  <r>
    <x v="8610"/>
    <x v="24"/>
    <x v="0"/>
    <x v="0"/>
    <s v="MG Special"/>
    <m/>
    <x v="3"/>
    <m/>
    <x v="6"/>
    <m/>
  </r>
  <r>
    <x v="8611"/>
    <x v="24"/>
    <x v="0"/>
    <x v="0"/>
    <s v="MG Special"/>
    <m/>
    <x v="3"/>
    <m/>
    <x v="6"/>
    <m/>
  </r>
  <r>
    <x v="8612"/>
    <x v="24"/>
    <x v="0"/>
    <x v="0"/>
    <s v="MG Special"/>
    <m/>
    <x v="3"/>
    <m/>
    <x v="6"/>
    <m/>
  </r>
  <r>
    <x v="8613"/>
    <x v="24"/>
    <x v="0"/>
    <x v="0"/>
    <s v="MG Special"/>
    <m/>
    <x v="3"/>
    <m/>
    <x v="6"/>
    <m/>
  </r>
  <r>
    <x v="8614"/>
    <x v="24"/>
    <x v="0"/>
    <x v="0"/>
    <s v="MG Special"/>
    <m/>
    <x v="3"/>
    <m/>
    <x v="6"/>
    <m/>
  </r>
  <r>
    <x v="8615"/>
    <x v="24"/>
    <x v="0"/>
    <x v="0"/>
    <s v="MG Special"/>
    <m/>
    <x v="3"/>
    <m/>
    <x v="6"/>
    <m/>
  </r>
  <r>
    <x v="8616"/>
    <x v="24"/>
    <x v="0"/>
    <x v="0"/>
    <s v="MG Advanced"/>
    <s v="Finjob"/>
    <x v="3"/>
    <m/>
    <x v="6"/>
    <m/>
  </r>
  <r>
    <x v="8617"/>
    <x v="24"/>
    <x v="0"/>
    <x v="0"/>
    <s v="MG Advanced"/>
    <s v="Kinnamplus"/>
    <x v="3"/>
    <m/>
    <x v="6"/>
    <m/>
  </r>
  <r>
    <x v="8618"/>
    <x v="24"/>
    <x v="0"/>
    <x v="0"/>
    <s v="MG Advanced"/>
    <s v="Rangreen"/>
    <x v="3"/>
    <m/>
    <x v="6"/>
    <m/>
  </r>
  <r>
    <x v="8619"/>
    <x v="24"/>
    <x v="0"/>
    <x v="0"/>
    <s v="MG Advanced"/>
    <m/>
    <x v="3"/>
    <m/>
    <x v="6"/>
    <m/>
  </r>
  <r>
    <x v="8620"/>
    <x v="24"/>
    <x v="0"/>
    <x v="0"/>
    <s v="MG Advanced"/>
    <m/>
    <x v="3"/>
    <m/>
    <x v="6"/>
    <m/>
  </r>
  <r>
    <x v="8621"/>
    <x v="24"/>
    <x v="0"/>
    <x v="0"/>
    <s v="MG Advanced"/>
    <m/>
    <x v="3"/>
    <m/>
    <x v="6"/>
    <m/>
  </r>
  <r>
    <x v="8622"/>
    <x v="24"/>
    <x v="0"/>
    <x v="0"/>
    <s v="MG Advanced"/>
    <m/>
    <x v="3"/>
    <m/>
    <x v="6"/>
    <m/>
  </r>
  <r>
    <x v="8623"/>
    <x v="24"/>
    <x v="0"/>
    <x v="0"/>
    <s v="MG Advanced"/>
    <m/>
    <x v="3"/>
    <m/>
    <x v="6"/>
    <m/>
  </r>
  <r>
    <x v="8624"/>
    <x v="24"/>
    <x v="0"/>
    <x v="0"/>
    <s v="MG Advanced"/>
    <m/>
    <x v="3"/>
    <m/>
    <x v="6"/>
    <m/>
  </r>
  <r>
    <x v="8625"/>
    <x v="24"/>
    <x v="0"/>
    <x v="0"/>
    <s v="MG Advanced"/>
    <m/>
    <x v="3"/>
    <m/>
    <x v="6"/>
    <m/>
  </r>
  <r>
    <x v="8626"/>
    <x v="24"/>
    <x v="0"/>
    <x v="0"/>
    <s v="MG Advanced"/>
    <m/>
    <x v="3"/>
    <m/>
    <x v="6"/>
    <m/>
  </r>
  <r>
    <x v="8627"/>
    <x v="22"/>
    <x v="1"/>
    <x v="0"/>
    <s v="GTX Basic"/>
    <s v="Plexzap"/>
    <x v="3"/>
    <m/>
    <x v="6"/>
    <m/>
  </r>
  <r>
    <x v="8628"/>
    <x v="22"/>
    <x v="1"/>
    <x v="0"/>
    <s v="GTX Basic"/>
    <s v="Stanredtax"/>
    <x v="3"/>
    <m/>
    <x v="6"/>
    <m/>
  </r>
  <r>
    <x v="8629"/>
    <x v="22"/>
    <x v="1"/>
    <x v="0"/>
    <s v="GTX Basic"/>
    <s v="Xx-zobam"/>
    <x v="3"/>
    <m/>
    <x v="6"/>
    <m/>
  </r>
  <r>
    <x v="8630"/>
    <x v="22"/>
    <x v="1"/>
    <x v="0"/>
    <s v="GTX Basic"/>
    <m/>
    <x v="3"/>
    <m/>
    <x v="6"/>
    <m/>
  </r>
  <r>
    <x v="8631"/>
    <x v="22"/>
    <x v="1"/>
    <x v="0"/>
    <s v="GTX Basic"/>
    <m/>
    <x v="3"/>
    <m/>
    <x v="6"/>
    <m/>
  </r>
  <r>
    <x v="8632"/>
    <x v="22"/>
    <x v="1"/>
    <x v="0"/>
    <s v="GTX Basic"/>
    <m/>
    <x v="3"/>
    <m/>
    <x v="6"/>
    <m/>
  </r>
  <r>
    <x v="8633"/>
    <x v="22"/>
    <x v="1"/>
    <x v="0"/>
    <s v="GTX Basic"/>
    <m/>
    <x v="3"/>
    <m/>
    <x v="6"/>
    <m/>
  </r>
  <r>
    <x v="8634"/>
    <x v="22"/>
    <x v="1"/>
    <x v="0"/>
    <s v="GTX Basic"/>
    <m/>
    <x v="3"/>
    <m/>
    <x v="6"/>
    <m/>
  </r>
  <r>
    <x v="8635"/>
    <x v="22"/>
    <x v="1"/>
    <x v="0"/>
    <s v="GTX Basic"/>
    <m/>
    <x v="3"/>
    <m/>
    <x v="6"/>
    <m/>
  </r>
  <r>
    <x v="8636"/>
    <x v="22"/>
    <x v="1"/>
    <x v="0"/>
    <s v="GTX Plus Basic"/>
    <s v="Betasoloin"/>
    <x v="3"/>
    <m/>
    <x v="6"/>
    <m/>
  </r>
  <r>
    <x v="8637"/>
    <x v="22"/>
    <x v="1"/>
    <x v="0"/>
    <s v="GTX Plus Basic"/>
    <s v="Donquadtech"/>
    <x v="3"/>
    <m/>
    <x v="6"/>
    <m/>
  </r>
  <r>
    <x v="8638"/>
    <x v="22"/>
    <x v="1"/>
    <x v="0"/>
    <s v="GTX Plus Basic"/>
    <s v="Plussunin"/>
    <x v="3"/>
    <m/>
    <x v="6"/>
    <m/>
  </r>
  <r>
    <x v="8639"/>
    <x v="22"/>
    <x v="1"/>
    <x v="0"/>
    <s v="GTX Plus Basic"/>
    <s v="Silis"/>
    <x v="3"/>
    <m/>
    <x v="6"/>
    <m/>
  </r>
  <r>
    <x v="8640"/>
    <x v="22"/>
    <x v="1"/>
    <x v="0"/>
    <s v="GTX Plus Basic"/>
    <s v="Toughzap"/>
    <x v="3"/>
    <m/>
    <x v="6"/>
    <m/>
  </r>
  <r>
    <x v="8641"/>
    <x v="22"/>
    <x v="1"/>
    <x v="0"/>
    <s v="GTX Plus Basic"/>
    <s v="Zumgoity"/>
    <x v="3"/>
    <m/>
    <x v="6"/>
    <m/>
  </r>
  <r>
    <x v="8642"/>
    <x v="22"/>
    <x v="1"/>
    <x v="0"/>
    <s v="GTX Plus Basic"/>
    <m/>
    <x v="3"/>
    <m/>
    <x v="6"/>
    <m/>
  </r>
  <r>
    <x v="8643"/>
    <x v="22"/>
    <x v="1"/>
    <x v="0"/>
    <s v="GTX Plus Basic"/>
    <m/>
    <x v="3"/>
    <m/>
    <x v="6"/>
    <m/>
  </r>
  <r>
    <x v="8644"/>
    <x v="22"/>
    <x v="1"/>
    <x v="0"/>
    <s v="GTX Plus Basic"/>
    <m/>
    <x v="3"/>
    <m/>
    <x v="6"/>
    <m/>
  </r>
  <r>
    <x v="8645"/>
    <x v="22"/>
    <x v="1"/>
    <x v="0"/>
    <s v="GTX Plus Basic"/>
    <m/>
    <x v="3"/>
    <m/>
    <x v="6"/>
    <m/>
  </r>
  <r>
    <x v="8646"/>
    <x v="22"/>
    <x v="1"/>
    <x v="0"/>
    <s v="GTX Plus Basic"/>
    <m/>
    <x v="3"/>
    <m/>
    <x v="6"/>
    <m/>
  </r>
  <r>
    <x v="8647"/>
    <x v="22"/>
    <x v="1"/>
    <x v="0"/>
    <s v="GTX Plus Basic"/>
    <m/>
    <x v="3"/>
    <m/>
    <x v="6"/>
    <m/>
  </r>
  <r>
    <x v="8648"/>
    <x v="22"/>
    <x v="1"/>
    <x v="0"/>
    <s v="GTX Plus Basic"/>
    <m/>
    <x v="3"/>
    <m/>
    <x v="6"/>
    <m/>
  </r>
  <r>
    <x v="8649"/>
    <x v="22"/>
    <x v="1"/>
    <x v="0"/>
    <s v="GTX Plus Basic"/>
    <m/>
    <x v="3"/>
    <m/>
    <x v="6"/>
    <m/>
  </r>
  <r>
    <x v="8650"/>
    <x v="22"/>
    <x v="1"/>
    <x v="0"/>
    <s v="GTX Plus Pro"/>
    <m/>
    <x v="3"/>
    <m/>
    <x v="6"/>
    <m/>
  </r>
  <r>
    <x v="8651"/>
    <x v="22"/>
    <x v="1"/>
    <x v="0"/>
    <s v="GTX Plus Pro"/>
    <m/>
    <x v="3"/>
    <m/>
    <x v="6"/>
    <m/>
  </r>
  <r>
    <x v="8652"/>
    <x v="22"/>
    <x v="1"/>
    <x v="0"/>
    <s v="GTX Plus Pro"/>
    <m/>
    <x v="3"/>
    <m/>
    <x v="6"/>
    <m/>
  </r>
  <r>
    <x v="8653"/>
    <x v="22"/>
    <x v="1"/>
    <x v="0"/>
    <s v="GTX Plus Pro"/>
    <m/>
    <x v="3"/>
    <m/>
    <x v="6"/>
    <m/>
  </r>
  <r>
    <x v="8654"/>
    <x v="22"/>
    <x v="1"/>
    <x v="0"/>
    <s v="GTX Plus Pro"/>
    <m/>
    <x v="3"/>
    <m/>
    <x v="6"/>
    <m/>
  </r>
  <r>
    <x v="8655"/>
    <x v="22"/>
    <x v="1"/>
    <x v="0"/>
    <s v="GTXPro"/>
    <s v="Donware"/>
    <x v="3"/>
    <m/>
    <x v="6"/>
    <m/>
  </r>
  <r>
    <x v="8656"/>
    <x v="22"/>
    <x v="1"/>
    <x v="0"/>
    <s v="GTXPro"/>
    <s v="Finhigh"/>
    <x v="3"/>
    <m/>
    <x v="6"/>
    <m/>
  </r>
  <r>
    <x v="8657"/>
    <x v="22"/>
    <x v="1"/>
    <x v="0"/>
    <s v="GTXPro"/>
    <s v="Konmatfix"/>
    <x v="3"/>
    <m/>
    <x v="6"/>
    <m/>
  </r>
  <r>
    <x v="8658"/>
    <x v="22"/>
    <x v="1"/>
    <x v="0"/>
    <s v="GTXPro"/>
    <s v="Plusstrip"/>
    <x v="3"/>
    <m/>
    <x v="6"/>
    <m/>
  </r>
  <r>
    <x v="8659"/>
    <x v="22"/>
    <x v="1"/>
    <x v="0"/>
    <s v="GTXPro"/>
    <m/>
    <x v="3"/>
    <m/>
    <x v="6"/>
    <m/>
  </r>
  <r>
    <x v="8660"/>
    <x v="22"/>
    <x v="1"/>
    <x v="0"/>
    <s v="GTXPro"/>
    <m/>
    <x v="3"/>
    <m/>
    <x v="6"/>
    <m/>
  </r>
  <r>
    <x v="8661"/>
    <x v="22"/>
    <x v="1"/>
    <x v="0"/>
    <s v="GTXPro"/>
    <m/>
    <x v="3"/>
    <m/>
    <x v="6"/>
    <m/>
  </r>
  <r>
    <x v="8662"/>
    <x v="22"/>
    <x v="1"/>
    <x v="0"/>
    <s v="GTXPro"/>
    <m/>
    <x v="3"/>
    <m/>
    <x v="6"/>
    <m/>
  </r>
  <r>
    <x v="8663"/>
    <x v="22"/>
    <x v="1"/>
    <x v="0"/>
    <s v="MG Special"/>
    <s v="Doncon"/>
    <x v="3"/>
    <m/>
    <x v="6"/>
    <m/>
  </r>
  <r>
    <x v="8664"/>
    <x v="22"/>
    <x v="1"/>
    <x v="0"/>
    <s v="MG Special"/>
    <s v="Faxquote"/>
    <x v="3"/>
    <m/>
    <x v="6"/>
    <m/>
  </r>
  <r>
    <x v="8665"/>
    <x v="22"/>
    <x v="1"/>
    <x v="0"/>
    <s v="MG Special"/>
    <s v="Globex Corporation"/>
    <x v="3"/>
    <m/>
    <x v="6"/>
    <m/>
  </r>
  <r>
    <x v="8666"/>
    <x v="22"/>
    <x v="1"/>
    <x v="0"/>
    <s v="MG Special"/>
    <s v="Rangreen"/>
    <x v="3"/>
    <m/>
    <x v="6"/>
    <m/>
  </r>
  <r>
    <x v="8667"/>
    <x v="22"/>
    <x v="1"/>
    <x v="0"/>
    <s v="MG Special"/>
    <m/>
    <x v="3"/>
    <m/>
    <x v="6"/>
    <m/>
  </r>
  <r>
    <x v="8668"/>
    <x v="22"/>
    <x v="1"/>
    <x v="0"/>
    <s v="MG Special"/>
    <m/>
    <x v="3"/>
    <m/>
    <x v="6"/>
    <m/>
  </r>
  <r>
    <x v="8669"/>
    <x v="22"/>
    <x v="1"/>
    <x v="0"/>
    <s v="MG Special"/>
    <m/>
    <x v="3"/>
    <m/>
    <x v="6"/>
    <m/>
  </r>
  <r>
    <x v="8670"/>
    <x v="22"/>
    <x v="1"/>
    <x v="0"/>
    <s v="MG Special"/>
    <m/>
    <x v="3"/>
    <m/>
    <x v="6"/>
    <m/>
  </r>
  <r>
    <x v="8671"/>
    <x v="22"/>
    <x v="1"/>
    <x v="0"/>
    <s v="MG Advanced"/>
    <s v="Acme Corporation"/>
    <x v="3"/>
    <m/>
    <x v="6"/>
    <m/>
  </r>
  <r>
    <x v="8672"/>
    <x v="22"/>
    <x v="1"/>
    <x v="0"/>
    <s v="MG Advanced"/>
    <s v="Condax"/>
    <x v="3"/>
    <m/>
    <x v="6"/>
    <m/>
  </r>
  <r>
    <x v="8673"/>
    <x v="22"/>
    <x v="1"/>
    <x v="0"/>
    <s v="MG Advanced"/>
    <s v="Finjob"/>
    <x v="3"/>
    <m/>
    <x v="6"/>
    <m/>
  </r>
  <r>
    <x v="8674"/>
    <x v="22"/>
    <x v="1"/>
    <x v="0"/>
    <s v="MG Advanced"/>
    <s v="Iselectrics"/>
    <x v="3"/>
    <m/>
    <x v="6"/>
    <m/>
  </r>
  <r>
    <x v="8675"/>
    <x v="22"/>
    <x v="1"/>
    <x v="0"/>
    <s v="MG Advanced"/>
    <m/>
    <x v="3"/>
    <m/>
    <x v="6"/>
    <m/>
  </r>
  <r>
    <x v="8676"/>
    <x v="22"/>
    <x v="1"/>
    <x v="0"/>
    <s v="MG Advanced"/>
    <m/>
    <x v="3"/>
    <m/>
    <x v="6"/>
    <m/>
  </r>
  <r>
    <x v="8677"/>
    <x v="22"/>
    <x v="1"/>
    <x v="0"/>
    <s v="MG Advanced"/>
    <m/>
    <x v="3"/>
    <m/>
    <x v="6"/>
    <m/>
  </r>
  <r>
    <x v="8678"/>
    <x v="22"/>
    <x v="1"/>
    <x v="0"/>
    <s v="MG Advanced"/>
    <m/>
    <x v="3"/>
    <m/>
    <x v="6"/>
    <m/>
  </r>
  <r>
    <x v="8679"/>
    <x v="22"/>
    <x v="1"/>
    <x v="0"/>
    <s v="MG Advanced"/>
    <m/>
    <x v="3"/>
    <m/>
    <x v="6"/>
    <m/>
  </r>
  <r>
    <x v="8680"/>
    <x v="22"/>
    <x v="1"/>
    <x v="0"/>
    <s v="MG Advanced"/>
    <m/>
    <x v="3"/>
    <m/>
    <x v="6"/>
    <m/>
  </r>
  <r>
    <x v="8681"/>
    <x v="0"/>
    <x v="0"/>
    <x v="0"/>
    <s v="GTX Basic"/>
    <s v="Plusstrip"/>
    <x v="3"/>
    <m/>
    <x v="6"/>
    <m/>
  </r>
  <r>
    <x v="8682"/>
    <x v="0"/>
    <x v="0"/>
    <x v="0"/>
    <s v="GTX Basic"/>
    <s v="Stanredtax"/>
    <x v="3"/>
    <m/>
    <x v="6"/>
    <m/>
  </r>
  <r>
    <x v="8683"/>
    <x v="0"/>
    <x v="0"/>
    <x v="0"/>
    <s v="GTX Basic"/>
    <s v="Zencorporation"/>
    <x v="3"/>
    <m/>
    <x v="6"/>
    <m/>
  </r>
  <r>
    <x v="8684"/>
    <x v="0"/>
    <x v="0"/>
    <x v="0"/>
    <s v="GTX Basic"/>
    <m/>
    <x v="3"/>
    <m/>
    <x v="6"/>
    <m/>
  </r>
  <r>
    <x v="8685"/>
    <x v="0"/>
    <x v="0"/>
    <x v="0"/>
    <s v="GTX Basic"/>
    <m/>
    <x v="3"/>
    <m/>
    <x v="6"/>
    <m/>
  </r>
  <r>
    <x v="8686"/>
    <x v="0"/>
    <x v="0"/>
    <x v="0"/>
    <s v="GTX Basic"/>
    <m/>
    <x v="3"/>
    <m/>
    <x v="6"/>
    <m/>
  </r>
  <r>
    <x v="8687"/>
    <x v="0"/>
    <x v="0"/>
    <x v="0"/>
    <s v="GTX Basic"/>
    <m/>
    <x v="3"/>
    <m/>
    <x v="6"/>
    <m/>
  </r>
  <r>
    <x v="8688"/>
    <x v="0"/>
    <x v="0"/>
    <x v="0"/>
    <s v="GTX Basic"/>
    <m/>
    <x v="3"/>
    <m/>
    <x v="6"/>
    <m/>
  </r>
  <r>
    <x v="8689"/>
    <x v="0"/>
    <x v="0"/>
    <x v="0"/>
    <s v="GTX Plus Basic"/>
    <m/>
    <x v="3"/>
    <m/>
    <x v="6"/>
    <m/>
  </r>
  <r>
    <x v="8690"/>
    <x v="0"/>
    <x v="0"/>
    <x v="0"/>
    <s v="GTX Plus Basic"/>
    <m/>
    <x v="3"/>
    <m/>
    <x v="6"/>
    <m/>
  </r>
  <r>
    <x v="8691"/>
    <x v="0"/>
    <x v="0"/>
    <x v="0"/>
    <s v="GTX Plus Basic"/>
    <m/>
    <x v="3"/>
    <m/>
    <x v="6"/>
    <m/>
  </r>
  <r>
    <x v="8692"/>
    <x v="0"/>
    <x v="0"/>
    <x v="0"/>
    <s v="GTX Plus Pro"/>
    <m/>
    <x v="3"/>
    <m/>
    <x v="6"/>
    <m/>
  </r>
  <r>
    <x v="8693"/>
    <x v="0"/>
    <x v="0"/>
    <x v="0"/>
    <s v="MG Special"/>
    <s v="Yearin"/>
    <x v="3"/>
    <m/>
    <x v="6"/>
    <m/>
  </r>
  <r>
    <x v="8694"/>
    <x v="0"/>
    <x v="0"/>
    <x v="0"/>
    <s v="MG Special"/>
    <m/>
    <x v="3"/>
    <m/>
    <x v="6"/>
    <m/>
  </r>
  <r>
    <x v="8695"/>
    <x v="0"/>
    <x v="0"/>
    <x v="0"/>
    <s v="MG Special"/>
    <m/>
    <x v="3"/>
    <m/>
    <x v="6"/>
    <m/>
  </r>
  <r>
    <x v="8696"/>
    <x v="0"/>
    <x v="0"/>
    <x v="0"/>
    <s v="MG Special"/>
    <m/>
    <x v="3"/>
    <m/>
    <x v="6"/>
    <m/>
  </r>
  <r>
    <x v="8697"/>
    <x v="0"/>
    <x v="0"/>
    <x v="0"/>
    <s v="MG Special"/>
    <m/>
    <x v="3"/>
    <m/>
    <x v="6"/>
    <m/>
  </r>
  <r>
    <x v="8698"/>
    <x v="0"/>
    <x v="0"/>
    <x v="0"/>
    <s v="MG Special"/>
    <m/>
    <x v="3"/>
    <m/>
    <x v="6"/>
    <m/>
  </r>
  <r>
    <x v="8699"/>
    <x v="0"/>
    <x v="0"/>
    <x v="0"/>
    <s v="MG Advanced"/>
    <s v="Dalttechnology"/>
    <x v="3"/>
    <m/>
    <x v="6"/>
    <m/>
  </r>
  <r>
    <x v="8700"/>
    <x v="0"/>
    <x v="0"/>
    <x v="0"/>
    <s v="MG Advanced"/>
    <s v="Donquadtech"/>
    <x v="3"/>
    <m/>
    <x v="6"/>
    <m/>
  </r>
  <r>
    <x v="8701"/>
    <x v="0"/>
    <x v="0"/>
    <x v="0"/>
    <s v="MG Advanced"/>
    <s v="Funholding"/>
    <x v="3"/>
    <m/>
    <x v="6"/>
    <m/>
  </r>
  <r>
    <x v="8702"/>
    <x v="0"/>
    <x v="0"/>
    <x v="0"/>
    <s v="MG Advanced"/>
    <m/>
    <x v="3"/>
    <m/>
    <x v="6"/>
    <m/>
  </r>
  <r>
    <x v="8703"/>
    <x v="0"/>
    <x v="0"/>
    <x v="0"/>
    <s v="MG Advanced"/>
    <m/>
    <x v="3"/>
    <m/>
    <x v="6"/>
    <m/>
  </r>
  <r>
    <x v="8704"/>
    <x v="0"/>
    <x v="0"/>
    <x v="0"/>
    <s v="MG Advanced"/>
    <m/>
    <x v="3"/>
    <m/>
    <x v="6"/>
    <m/>
  </r>
  <r>
    <x v="8705"/>
    <x v="0"/>
    <x v="0"/>
    <x v="0"/>
    <s v="MG Advanced"/>
    <m/>
    <x v="3"/>
    <m/>
    <x v="6"/>
    <m/>
  </r>
  <r>
    <x v="8706"/>
    <x v="0"/>
    <x v="0"/>
    <x v="0"/>
    <s v="MG Advanced"/>
    <m/>
    <x v="3"/>
    <m/>
    <x v="6"/>
    <m/>
  </r>
  <r>
    <x v="8707"/>
    <x v="0"/>
    <x v="0"/>
    <x v="0"/>
    <s v="MG Advanced"/>
    <m/>
    <x v="3"/>
    <m/>
    <x v="6"/>
    <m/>
  </r>
  <r>
    <x v="8708"/>
    <x v="0"/>
    <x v="0"/>
    <x v="0"/>
    <s v="MG Advanced"/>
    <m/>
    <x v="3"/>
    <m/>
    <x v="6"/>
    <m/>
  </r>
  <r>
    <x v="8709"/>
    <x v="0"/>
    <x v="0"/>
    <x v="0"/>
    <s v="MG Advanced"/>
    <m/>
    <x v="3"/>
    <m/>
    <x v="6"/>
    <m/>
  </r>
  <r>
    <x v="8710"/>
    <x v="0"/>
    <x v="0"/>
    <x v="0"/>
    <s v="MG Advanced"/>
    <m/>
    <x v="3"/>
    <m/>
    <x v="6"/>
    <m/>
  </r>
  <r>
    <x v="8711"/>
    <x v="0"/>
    <x v="0"/>
    <x v="0"/>
    <s v="MG Advanced"/>
    <m/>
    <x v="3"/>
    <m/>
    <x v="6"/>
    <m/>
  </r>
  <r>
    <x v="8712"/>
    <x v="6"/>
    <x v="1"/>
    <x v="0"/>
    <s v="GTX Basic"/>
    <s v="Groovestreet"/>
    <x v="3"/>
    <m/>
    <x v="6"/>
    <m/>
  </r>
  <r>
    <x v="8713"/>
    <x v="6"/>
    <x v="1"/>
    <x v="0"/>
    <s v="GTX Basic"/>
    <s v="Plussunin"/>
    <x v="3"/>
    <m/>
    <x v="6"/>
    <m/>
  </r>
  <r>
    <x v="8714"/>
    <x v="6"/>
    <x v="1"/>
    <x v="0"/>
    <s v="GTX Basic"/>
    <m/>
    <x v="3"/>
    <m/>
    <x v="6"/>
    <m/>
  </r>
  <r>
    <x v="8715"/>
    <x v="6"/>
    <x v="1"/>
    <x v="0"/>
    <s v="GTX Basic"/>
    <m/>
    <x v="3"/>
    <m/>
    <x v="6"/>
    <m/>
  </r>
  <r>
    <x v="8716"/>
    <x v="6"/>
    <x v="1"/>
    <x v="0"/>
    <s v="GTX Basic"/>
    <m/>
    <x v="3"/>
    <m/>
    <x v="6"/>
    <m/>
  </r>
  <r>
    <x v="8717"/>
    <x v="6"/>
    <x v="1"/>
    <x v="0"/>
    <s v="GTX Basic"/>
    <m/>
    <x v="3"/>
    <m/>
    <x v="6"/>
    <m/>
  </r>
  <r>
    <x v="8718"/>
    <x v="6"/>
    <x v="1"/>
    <x v="0"/>
    <s v="GTX Basic"/>
    <m/>
    <x v="3"/>
    <m/>
    <x v="6"/>
    <m/>
  </r>
  <r>
    <x v="8719"/>
    <x v="6"/>
    <x v="1"/>
    <x v="0"/>
    <s v="GTX Basic"/>
    <m/>
    <x v="3"/>
    <m/>
    <x v="6"/>
    <m/>
  </r>
  <r>
    <x v="8720"/>
    <x v="6"/>
    <x v="1"/>
    <x v="0"/>
    <s v="GTX Basic"/>
    <m/>
    <x v="3"/>
    <m/>
    <x v="6"/>
    <m/>
  </r>
  <r>
    <x v="8721"/>
    <x v="6"/>
    <x v="1"/>
    <x v="0"/>
    <s v="GTX Basic"/>
    <m/>
    <x v="3"/>
    <m/>
    <x v="6"/>
    <m/>
  </r>
  <r>
    <x v="8722"/>
    <x v="6"/>
    <x v="1"/>
    <x v="0"/>
    <s v="GTX Basic"/>
    <m/>
    <x v="3"/>
    <m/>
    <x v="6"/>
    <m/>
  </r>
  <r>
    <x v="8723"/>
    <x v="6"/>
    <x v="1"/>
    <x v="0"/>
    <s v="GTX Plus Basic"/>
    <s v="Nam-zim"/>
    <x v="3"/>
    <m/>
    <x v="6"/>
    <m/>
  </r>
  <r>
    <x v="8724"/>
    <x v="6"/>
    <x v="1"/>
    <x v="0"/>
    <s v="GTX Plus Basic"/>
    <s v="Streethex"/>
    <x v="3"/>
    <m/>
    <x v="6"/>
    <m/>
  </r>
  <r>
    <x v="8725"/>
    <x v="6"/>
    <x v="1"/>
    <x v="0"/>
    <s v="GTX Plus Basic"/>
    <s v="Zoomit"/>
    <x v="3"/>
    <m/>
    <x v="6"/>
    <m/>
  </r>
  <r>
    <x v="8726"/>
    <x v="6"/>
    <x v="1"/>
    <x v="0"/>
    <s v="GTX Plus Basic"/>
    <m/>
    <x v="3"/>
    <m/>
    <x v="6"/>
    <m/>
  </r>
  <r>
    <x v="8727"/>
    <x v="6"/>
    <x v="1"/>
    <x v="0"/>
    <s v="GTX Plus Basic"/>
    <m/>
    <x v="3"/>
    <m/>
    <x v="6"/>
    <m/>
  </r>
  <r>
    <x v="8728"/>
    <x v="6"/>
    <x v="1"/>
    <x v="0"/>
    <s v="GTX Plus Basic"/>
    <m/>
    <x v="3"/>
    <m/>
    <x v="6"/>
    <m/>
  </r>
  <r>
    <x v="8729"/>
    <x v="6"/>
    <x v="1"/>
    <x v="0"/>
    <s v="GTX Plus Pro"/>
    <s v="Konex"/>
    <x v="3"/>
    <m/>
    <x v="6"/>
    <m/>
  </r>
  <r>
    <x v="8730"/>
    <x v="6"/>
    <x v="1"/>
    <x v="0"/>
    <s v="GTX Plus Pro"/>
    <s v="Zencorporation"/>
    <x v="3"/>
    <m/>
    <x v="6"/>
    <m/>
  </r>
  <r>
    <x v="8731"/>
    <x v="6"/>
    <x v="1"/>
    <x v="0"/>
    <s v="GTX Plus Pro"/>
    <m/>
    <x v="3"/>
    <m/>
    <x v="6"/>
    <m/>
  </r>
  <r>
    <x v="8732"/>
    <x v="6"/>
    <x v="1"/>
    <x v="0"/>
    <s v="GTXPro"/>
    <m/>
    <x v="3"/>
    <m/>
    <x v="6"/>
    <m/>
  </r>
  <r>
    <x v="8733"/>
    <x v="6"/>
    <x v="1"/>
    <x v="0"/>
    <s v="GTXPro"/>
    <m/>
    <x v="3"/>
    <m/>
    <x v="6"/>
    <m/>
  </r>
  <r>
    <x v="8734"/>
    <x v="6"/>
    <x v="1"/>
    <x v="0"/>
    <s v="GTXPro"/>
    <m/>
    <x v="3"/>
    <m/>
    <x v="6"/>
    <m/>
  </r>
  <r>
    <x v="8735"/>
    <x v="6"/>
    <x v="1"/>
    <x v="0"/>
    <s v="MG Special"/>
    <s v="Hottechi"/>
    <x v="3"/>
    <m/>
    <x v="6"/>
    <m/>
  </r>
  <r>
    <x v="8736"/>
    <x v="6"/>
    <x v="1"/>
    <x v="0"/>
    <s v="MG Special"/>
    <s v="Konex"/>
    <x v="3"/>
    <m/>
    <x v="6"/>
    <m/>
  </r>
  <r>
    <x v="8737"/>
    <x v="6"/>
    <x v="1"/>
    <x v="0"/>
    <s v="MG Special"/>
    <m/>
    <x v="3"/>
    <m/>
    <x v="6"/>
    <m/>
  </r>
  <r>
    <x v="8738"/>
    <x v="6"/>
    <x v="1"/>
    <x v="0"/>
    <s v="MG Special"/>
    <m/>
    <x v="3"/>
    <m/>
    <x v="6"/>
    <m/>
  </r>
  <r>
    <x v="8739"/>
    <x v="6"/>
    <x v="1"/>
    <x v="0"/>
    <s v="MG Special"/>
    <m/>
    <x v="3"/>
    <m/>
    <x v="6"/>
    <m/>
  </r>
  <r>
    <x v="8740"/>
    <x v="6"/>
    <x v="1"/>
    <x v="0"/>
    <s v="MG Special"/>
    <m/>
    <x v="3"/>
    <m/>
    <x v="6"/>
    <m/>
  </r>
  <r>
    <x v="8741"/>
    <x v="6"/>
    <x v="1"/>
    <x v="0"/>
    <s v="MG Special"/>
    <m/>
    <x v="3"/>
    <m/>
    <x v="6"/>
    <m/>
  </r>
  <r>
    <x v="8742"/>
    <x v="6"/>
    <x v="1"/>
    <x v="0"/>
    <s v="MG Special"/>
    <m/>
    <x v="3"/>
    <m/>
    <x v="6"/>
    <m/>
  </r>
  <r>
    <x v="8743"/>
    <x v="6"/>
    <x v="1"/>
    <x v="0"/>
    <s v="MG Special"/>
    <m/>
    <x v="3"/>
    <m/>
    <x v="6"/>
    <m/>
  </r>
  <r>
    <x v="8744"/>
    <x v="6"/>
    <x v="1"/>
    <x v="0"/>
    <s v="MG Advanced"/>
    <s v="Faxquote"/>
    <x v="3"/>
    <m/>
    <x v="6"/>
    <m/>
  </r>
  <r>
    <x v="8745"/>
    <x v="6"/>
    <x v="1"/>
    <x v="0"/>
    <s v="MG Advanced"/>
    <m/>
    <x v="3"/>
    <m/>
    <x v="6"/>
    <m/>
  </r>
  <r>
    <x v="8746"/>
    <x v="12"/>
    <x v="0"/>
    <x v="0"/>
    <s v="GTX Basic"/>
    <s v="Inity"/>
    <x v="3"/>
    <m/>
    <x v="6"/>
    <m/>
  </r>
  <r>
    <x v="8747"/>
    <x v="12"/>
    <x v="0"/>
    <x v="0"/>
    <s v="GTX Basic"/>
    <s v="Lexiqvolax"/>
    <x v="3"/>
    <m/>
    <x v="6"/>
    <m/>
  </r>
  <r>
    <x v="8748"/>
    <x v="12"/>
    <x v="0"/>
    <x v="0"/>
    <s v="GTX Basic"/>
    <s v="Scottech"/>
    <x v="3"/>
    <m/>
    <x v="6"/>
    <m/>
  </r>
  <r>
    <x v="8749"/>
    <x v="12"/>
    <x v="0"/>
    <x v="0"/>
    <s v="GTX Basic"/>
    <m/>
    <x v="3"/>
    <m/>
    <x v="6"/>
    <m/>
  </r>
  <r>
    <x v="8750"/>
    <x v="12"/>
    <x v="0"/>
    <x v="0"/>
    <s v="GTX Basic"/>
    <m/>
    <x v="3"/>
    <m/>
    <x v="6"/>
    <m/>
  </r>
  <r>
    <x v="8751"/>
    <x v="12"/>
    <x v="0"/>
    <x v="0"/>
    <s v="GTX Basic"/>
    <m/>
    <x v="3"/>
    <m/>
    <x v="6"/>
    <m/>
  </r>
  <r>
    <x v="8752"/>
    <x v="12"/>
    <x v="0"/>
    <x v="0"/>
    <s v="GTX Basic"/>
    <m/>
    <x v="3"/>
    <m/>
    <x v="6"/>
    <m/>
  </r>
  <r>
    <x v="8753"/>
    <x v="12"/>
    <x v="0"/>
    <x v="0"/>
    <s v="GTX Plus Basic"/>
    <s v="Sumace"/>
    <x v="3"/>
    <m/>
    <x v="6"/>
    <m/>
  </r>
  <r>
    <x v="8754"/>
    <x v="12"/>
    <x v="0"/>
    <x v="0"/>
    <s v="GTX Plus Basic"/>
    <m/>
    <x v="3"/>
    <m/>
    <x v="6"/>
    <m/>
  </r>
  <r>
    <x v="8755"/>
    <x v="12"/>
    <x v="0"/>
    <x v="0"/>
    <s v="GTX Plus Pro"/>
    <m/>
    <x v="3"/>
    <m/>
    <x v="6"/>
    <m/>
  </r>
  <r>
    <x v="8756"/>
    <x v="12"/>
    <x v="0"/>
    <x v="0"/>
    <s v="GTX Plus Pro"/>
    <m/>
    <x v="3"/>
    <m/>
    <x v="6"/>
    <m/>
  </r>
  <r>
    <x v="8757"/>
    <x v="12"/>
    <x v="0"/>
    <x v="0"/>
    <s v="MG Special"/>
    <s v="Blackzim"/>
    <x v="3"/>
    <m/>
    <x v="6"/>
    <m/>
  </r>
  <r>
    <x v="8758"/>
    <x v="12"/>
    <x v="0"/>
    <x v="0"/>
    <s v="MG Special"/>
    <s v="Doncon"/>
    <x v="3"/>
    <m/>
    <x v="6"/>
    <m/>
  </r>
  <r>
    <x v="8759"/>
    <x v="12"/>
    <x v="0"/>
    <x v="0"/>
    <s v="MG Special"/>
    <s v="Golddex"/>
    <x v="3"/>
    <m/>
    <x v="6"/>
    <m/>
  </r>
  <r>
    <x v="8760"/>
    <x v="12"/>
    <x v="0"/>
    <x v="0"/>
    <s v="MG Special"/>
    <s v="Goodsilron"/>
    <x v="3"/>
    <m/>
    <x v="6"/>
    <m/>
  </r>
  <r>
    <x v="8761"/>
    <x v="12"/>
    <x v="0"/>
    <x v="0"/>
    <s v="MG Special"/>
    <s v="Konmatfix"/>
    <x v="3"/>
    <m/>
    <x v="6"/>
    <m/>
  </r>
  <r>
    <x v="8762"/>
    <x v="12"/>
    <x v="0"/>
    <x v="0"/>
    <s v="MG Special"/>
    <s v="Opentech"/>
    <x v="3"/>
    <m/>
    <x v="6"/>
    <m/>
  </r>
  <r>
    <x v="8763"/>
    <x v="12"/>
    <x v="0"/>
    <x v="0"/>
    <s v="MG Special"/>
    <s v="Rundofase"/>
    <x v="3"/>
    <m/>
    <x v="6"/>
    <m/>
  </r>
  <r>
    <x v="8764"/>
    <x v="12"/>
    <x v="0"/>
    <x v="0"/>
    <s v="MG Special"/>
    <m/>
    <x v="3"/>
    <m/>
    <x v="6"/>
    <m/>
  </r>
  <r>
    <x v="8765"/>
    <x v="12"/>
    <x v="0"/>
    <x v="0"/>
    <s v="MG Special"/>
    <m/>
    <x v="3"/>
    <m/>
    <x v="6"/>
    <m/>
  </r>
  <r>
    <x v="8766"/>
    <x v="12"/>
    <x v="0"/>
    <x v="0"/>
    <s v="MG Special"/>
    <m/>
    <x v="3"/>
    <m/>
    <x v="6"/>
    <m/>
  </r>
  <r>
    <x v="8767"/>
    <x v="12"/>
    <x v="0"/>
    <x v="0"/>
    <s v="MG Special"/>
    <m/>
    <x v="3"/>
    <m/>
    <x v="6"/>
    <m/>
  </r>
  <r>
    <x v="8768"/>
    <x v="12"/>
    <x v="0"/>
    <x v="0"/>
    <s v="MG Special"/>
    <m/>
    <x v="3"/>
    <m/>
    <x v="6"/>
    <m/>
  </r>
  <r>
    <x v="8769"/>
    <x v="12"/>
    <x v="0"/>
    <x v="0"/>
    <s v="MG Special"/>
    <m/>
    <x v="3"/>
    <m/>
    <x v="6"/>
    <m/>
  </r>
  <r>
    <x v="8770"/>
    <x v="12"/>
    <x v="0"/>
    <x v="0"/>
    <s v="MG Special"/>
    <m/>
    <x v="3"/>
    <m/>
    <x v="6"/>
    <m/>
  </r>
  <r>
    <x v="8771"/>
    <x v="12"/>
    <x v="0"/>
    <x v="0"/>
    <s v="MG Special"/>
    <m/>
    <x v="3"/>
    <m/>
    <x v="6"/>
    <m/>
  </r>
  <r>
    <x v="8772"/>
    <x v="12"/>
    <x v="0"/>
    <x v="0"/>
    <s v="MG Special"/>
    <m/>
    <x v="3"/>
    <m/>
    <x v="6"/>
    <m/>
  </r>
  <r>
    <x v="8773"/>
    <x v="12"/>
    <x v="0"/>
    <x v="0"/>
    <s v="MG Special"/>
    <m/>
    <x v="3"/>
    <m/>
    <x v="6"/>
    <m/>
  </r>
  <r>
    <x v="8774"/>
    <x v="12"/>
    <x v="0"/>
    <x v="0"/>
    <s v="MG Special"/>
    <m/>
    <x v="3"/>
    <m/>
    <x v="6"/>
    <m/>
  </r>
  <r>
    <x v="8775"/>
    <x v="12"/>
    <x v="0"/>
    <x v="0"/>
    <s v="MG Special"/>
    <m/>
    <x v="3"/>
    <m/>
    <x v="6"/>
    <m/>
  </r>
  <r>
    <x v="8776"/>
    <x v="12"/>
    <x v="0"/>
    <x v="0"/>
    <s v="MG Special"/>
    <m/>
    <x v="3"/>
    <m/>
    <x v="6"/>
    <m/>
  </r>
  <r>
    <x v="8777"/>
    <x v="12"/>
    <x v="0"/>
    <x v="0"/>
    <s v="MG Special"/>
    <m/>
    <x v="3"/>
    <m/>
    <x v="6"/>
    <m/>
  </r>
  <r>
    <x v="8778"/>
    <x v="12"/>
    <x v="0"/>
    <x v="0"/>
    <s v="MG Special"/>
    <m/>
    <x v="3"/>
    <m/>
    <x v="6"/>
    <m/>
  </r>
  <r>
    <x v="8779"/>
    <x v="12"/>
    <x v="0"/>
    <x v="0"/>
    <s v="MG Special"/>
    <m/>
    <x v="3"/>
    <m/>
    <x v="6"/>
    <m/>
  </r>
  <r>
    <x v="8780"/>
    <x v="12"/>
    <x v="0"/>
    <x v="0"/>
    <s v="MG Special"/>
    <m/>
    <x v="3"/>
    <m/>
    <x v="6"/>
    <m/>
  </r>
  <r>
    <x v="8781"/>
    <x v="12"/>
    <x v="0"/>
    <x v="0"/>
    <s v="MG Special"/>
    <m/>
    <x v="3"/>
    <m/>
    <x v="6"/>
    <m/>
  </r>
  <r>
    <x v="8782"/>
    <x v="12"/>
    <x v="0"/>
    <x v="0"/>
    <s v="MG Special"/>
    <m/>
    <x v="3"/>
    <m/>
    <x v="6"/>
    <m/>
  </r>
  <r>
    <x v="8783"/>
    <x v="12"/>
    <x v="0"/>
    <x v="0"/>
    <s v="MG Special"/>
    <m/>
    <x v="3"/>
    <m/>
    <x v="6"/>
    <m/>
  </r>
  <r>
    <x v="8784"/>
    <x v="12"/>
    <x v="0"/>
    <x v="0"/>
    <s v="MG Special"/>
    <m/>
    <x v="3"/>
    <m/>
    <x v="6"/>
    <m/>
  </r>
  <r>
    <x v="8785"/>
    <x v="12"/>
    <x v="0"/>
    <x v="0"/>
    <s v="MG Special"/>
    <m/>
    <x v="3"/>
    <m/>
    <x v="6"/>
    <m/>
  </r>
  <r>
    <x v="8786"/>
    <x v="12"/>
    <x v="0"/>
    <x v="0"/>
    <s v="MG Special"/>
    <m/>
    <x v="3"/>
    <m/>
    <x v="6"/>
    <m/>
  </r>
  <r>
    <x v="8787"/>
    <x v="12"/>
    <x v="0"/>
    <x v="0"/>
    <s v="MG Special"/>
    <m/>
    <x v="3"/>
    <m/>
    <x v="6"/>
    <m/>
  </r>
  <r>
    <x v="8788"/>
    <x v="12"/>
    <x v="0"/>
    <x v="0"/>
    <s v="MG Special"/>
    <m/>
    <x v="3"/>
    <m/>
    <x v="6"/>
    <m/>
  </r>
  <r>
    <x v="8789"/>
    <x v="12"/>
    <x v="0"/>
    <x v="0"/>
    <s v="MG Special"/>
    <m/>
    <x v="3"/>
    <m/>
    <x v="6"/>
    <m/>
  </r>
  <r>
    <x v="8790"/>
    <x v="12"/>
    <x v="0"/>
    <x v="0"/>
    <s v="MG Advanced"/>
    <s v="Ganjaflex"/>
    <x v="3"/>
    <m/>
    <x v="6"/>
    <m/>
  </r>
  <r>
    <x v="8791"/>
    <x v="12"/>
    <x v="0"/>
    <x v="0"/>
    <s v="MG Advanced"/>
    <s v="Silis"/>
    <x v="3"/>
    <m/>
    <x v="6"/>
    <m/>
  </r>
  <r>
    <x v="8792"/>
    <x v="12"/>
    <x v="0"/>
    <x v="0"/>
    <s v="MG Advanced"/>
    <m/>
    <x v="3"/>
    <m/>
    <x v="6"/>
    <m/>
  </r>
  <r>
    <x v="8793"/>
    <x v="12"/>
    <x v="0"/>
    <x v="0"/>
    <s v="MG Advanced"/>
    <m/>
    <x v="3"/>
    <m/>
    <x v="6"/>
    <m/>
  </r>
  <r>
    <x v="8794"/>
    <x v="12"/>
    <x v="0"/>
    <x v="0"/>
    <s v="MG Advanced"/>
    <m/>
    <x v="3"/>
    <m/>
    <x v="6"/>
    <m/>
  </r>
  <r>
    <x v="8795"/>
    <x v="12"/>
    <x v="0"/>
    <x v="0"/>
    <s v="MG Advanced"/>
    <m/>
    <x v="3"/>
    <m/>
    <x v="6"/>
    <m/>
  </r>
  <r>
    <x v="8796"/>
    <x v="12"/>
    <x v="0"/>
    <x v="0"/>
    <s v="MG Advanced"/>
    <m/>
    <x v="3"/>
    <m/>
    <x v="6"/>
    <m/>
  </r>
  <r>
    <x v="8797"/>
    <x v="12"/>
    <x v="0"/>
    <x v="0"/>
    <s v="MG Advanced"/>
    <m/>
    <x v="3"/>
    <m/>
    <x v="6"/>
    <m/>
  </r>
  <r>
    <x v="8798"/>
    <x v="12"/>
    <x v="0"/>
    <x v="0"/>
    <s v="MG Advanced"/>
    <m/>
    <x v="3"/>
    <m/>
    <x v="6"/>
    <m/>
  </r>
  <r>
    <x v="8799"/>
    <x v="12"/>
    <x v="0"/>
    <x v="0"/>
    <s v="MG Advanced"/>
    <m/>
    <x v="3"/>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6FCF1-271A-4AB2-9A22-E70732B62E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6" firstHeaderRow="1" firstDataRow="3" firstDataCol="1" rowPageCount="1" colPageCount="1"/>
  <pivotFields count="12">
    <pivotField dataField="1" showAll="0"/>
    <pivotField showAll="0"/>
    <pivotField showAll="0"/>
    <pivotField showAll="0"/>
    <pivotField showAll="0"/>
    <pivotField showAll="0"/>
    <pivotField axis="axisPage" multipleItemSelectionAllowed="1" showAll="0">
      <items count="5">
        <item h="1" x="1"/>
        <item h="1" x="2"/>
        <item h="1"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sortType="descending">
      <items count="7">
        <item x="4"/>
        <item x="3"/>
        <item x="2"/>
        <item x="1"/>
        <item x="5"/>
        <item x="0"/>
        <item t="default"/>
      </items>
    </pivotField>
    <pivotField axis="axisCol" showAll="0">
      <items count="5">
        <item x="0"/>
        <item x="1"/>
        <item x="2"/>
        <item x="3"/>
        <item t="default"/>
      </items>
    </pivotField>
  </pivotFields>
  <rowItems count="1">
    <i/>
  </rowItems>
  <colFields count="2">
    <field x="11"/>
    <field x="10"/>
  </colFields>
  <colItems count="6">
    <i>
      <x v="1"/>
      <x/>
    </i>
    <i r="1">
      <x v="1"/>
    </i>
    <i r="1">
      <x v="2"/>
    </i>
    <i r="1">
      <x v="3"/>
    </i>
    <i t="default">
      <x v="1"/>
    </i>
    <i t="grand">
      <x/>
    </i>
  </colItems>
  <pageFields count="1">
    <pageField fld="6" hier="-1"/>
  </pageFields>
  <dataFields count="1">
    <dataField name="Count of opportunity_id" fld="0" subtotal="count" baseField="0" baseItem="0"/>
  </dataFields>
  <formats count="30">
    <format dxfId="29">
      <pivotArea type="origin" dataOnly="0" labelOnly="1" outline="0" fieldPosition="0"/>
    </format>
    <format dxfId="28">
      <pivotArea field="11" type="button" dataOnly="0" labelOnly="1" outline="0" axis="axisCol" fieldPosition="0"/>
    </format>
    <format dxfId="27">
      <pivotArea field="10" type="button" dataOnly="0" labelOnly="1" outline="0" axis="axisCol" fieldPosition="1"/>
    </format>
    <format dxfId="26">
      <pivotArea type="topRight" dataOnly="0" labelOnly="1" outline="0" fieldPosition="0"/>
    </format>
    <format dxfId="25">
      <pivotArea type="origin" dataOnly="0" labelOnly="1" outline="0" offset="A1:A2" fieldPosition="0"/>
    </format>
    <format dxfId="24">
      <pivotArea field="11" type="button" dataOnly="0" labelOnly="1" outline="0" axis="axisCol" fieldPosition="0"/>
    </format>
    <format dxfId="23">
      <pivotArea field="10" type="button" dataOnly="0" labelOnly="1" outline="0" axis="axisCol" fieldPosition="1"/>
    </format>
    <format dxfId="22">
      <pivotArea type="topRight" dataOnly="0" labelOnly="1" outline="0" fieldPosition="0"/>
    </format>
    <format dxfId="21">
      <pivotArea type="origin" dataOnly="0" labelOnly="1" outline="0" offset="A3" fieldPosition="0"/>
    </format>
    <format dxfId="20">
      <pivotArea dataOnly="0" labelOnly="1" fieldPosition="0">
        <references count="1">
          <reference field="11" count="1">
            <x v="1"/>
          </reference>
        </references>
      </pivotArea>
    </format>
    <format dxfId="19">
      <pivotArea dataOnly="0" labelOnly="1" fieldPosition="0">
        <references count="1">
          <reference field="11" count="1" defaultSubtotal="1">
            <x v="1"/>
          </reference>
        </references>
      </pivotArea>
    </format>
    <format dxfId="18">
      <pivotArea dataOnly="0" labelOnly="1" grandCol="1" outline="0" fieldPosition="0"/>
    </format>
    <format dxfId="17">
      <pivotArea dataOnly="0" labelOnly="1" fieldPosition="0">
        <references count="2">
          <reference field="10" count="4">
            <x v="0"/>
            <x v="1"/>
            <x v="2"/>
            <x v="3"/>
          </reference>
          <reference field="11" count="1" selected="0">
            <x v="1"/>
          </reference>
        </references>
      </pivotArea>
    </format>
    <format dxfId="16">
      <pivotArea outline="0" collapsedLevelsAreSubtotals="1"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type="origin" dataOnly="0" labelOnly="1" outline="0" offset="A1:A2" fieldPosition="0"/>
    </format>
    <format dxfId="11">
      <pivotArea field="11" type="button" dataOnly="0" labelOnly="1" outline="0" axis="axisCol" fieldPosition="0"/>
    </format>
    <format dxfId="10">
      <pivotArea field="10" type="button" dataOnly="0" labelOnly="1" outline="0" axis="axisCol" fieldPosition="1"/>
    </format>
    <format dxfId="9">
      <pivotArea type="topRight" dataOnly="0" labelOnly="1" outline="0" fieldPosition="0"/>
    </format>
    <format dxfId="8">
      <pivotArea type="origin" dataOnly="0" labelOnly="1" outline="0" offset="A3" fieldPosition="0"/>
    </format>
    <format dxfId="7">
      <pivotArea dataOnly="0" labelOnly="1" fieldPosition="0">
        <references count="1">
          <reference field="11" count="1">
            <x v="1"/>
          </reference>
        </references>
      </pivotArea>
    </format>
    <format dxfId="6">
      <pivotArea dataOnly="0" labelOnly="1" fieldPosition="0">
        <references count="1">
          <reference field="11" count="1" defaultSubtotal="1">
            <x v="1"/>
          </reference>
        </references>
      </pivotArea>
    </format>
    <format dxfId="5">
      <pivotArea dataOnly="0" labelOnly="1" grandCol="1" outline="0" fieldPosition="0"/>
    </format>
    <format dxfId="4">
      <pivotArea dataOnly="0" labelOnly="1" fieldPosition="0">
        <references count="2">
          <reference field="10" count="4">
            <x v="0"/>
            <x v="1"/>
            <x v="2"/>
            <x v="3"/>
          </reference>
          <reference field="11" count="1" selected="0">
            <x v="1"/>
          </reference>
        </references>
      </pivotArea>
    </format>
    <format dxfId="3">
      <pivotArea type="origin" dataOnly="0" labelOnly="1" outline="0" fieldPosition="0"/>
    </format>
    <format dxfId="2">
      <pivotArea field="11" type="button" dataOnly="0" labelOnly="1" outline="0" axis="axisCol" fieldPosition="0"/>
    </format>
    <format dxfId="1">
      <pivotArea field="10" type="button" dataOnly="0" labelOnly="1" outline="0" axis="axisCol" fieldPosition="1"/>
    </format>
    <format dxfId="0">
      <pivotArea type="topRight" dataOnly="0" labelOnly="1" outline="0" fieldPosition="0"/>
    </format>
  </formats>
  <chartFormats count="4">
    <chartFormat chart="6" format="8" series="1">
      <pivotArea type="data" outline="0" fieldPosition="0">
        <references count="3">
          <reference field="4294967294" count="1" selected="0">
            <x v="0"/>
          </reference>
          <reference field="10" count="1" selected="0">
            <x v="0"/>
          </reference>
          <reference field="11" count="1" selected="0">
            <x v="1"/>
          </reference>
        </references>
      </pivotArea>
    </chartFormat>
    <chartFormat chart="6" format="9" series="1">
      <pivotArea type="data" outline="0" fieldPosition="0">
        <references count="3">
          <reference field="4294967294" count="1" selected="0">
            <x v="0"/>
          </reference>
          <reference field="10" count="1" selected="0">
            <x v="1"/>
          </reference>
          <reference field="11" count="1" selected="0">
            <x v="1"/>
          </reference>
        </references>
      </pivotArea>
    </chartFormat>
    <chartFormat chart="6" format="10" series="1">
      <pivotArea type="data" outline="0" fieldPosition="0">
        <references count="3">
          <reference field="4294967294" count="1" selected="0">
            <x v="0"/>
          </reference>
          <reference field="10" count="1" selected="0">
            <x v="2"/>
          </reference>
          <reference field="11" count="1" selected="0">
            <x v="1"/>
          </reference>
        </references>
      </pivotArea>
    </chartFormat>
    <chartFormat chart="6" format="11" series="1">
      <pivotArea type="data" outline="0" fieldPosition="0">
        <references count="3">
          <reference field="4294967294" count="1" selected="0">
            <x v="0"/>
          </reference>
          <reference field="10" count="1" selected="0">
            <x v="3"/>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F5ECD-F3C0-4362-B74E-1CEBACDFC8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2:G45" firstHeaderRow="1" firstDataRow="3" firstDataCol="1" rowPageCount="1" colPageCount="1"/>
  <pivotFields count="12">
    <pivotField dataField="1" showAll="0"/>
    <pivotField axis="axisRow" showAll="0" sortType="descending">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autoSortScope>
        <pivotArea dataOnly="0" outline="0" fieldPosition="0">
          <references count="3">
            <reference field="4294967294" count="1" selected="0">
              <x v="0"/>
            </reference>
            <reference field="10" count="1" selected="0">
              <x v="1"/>
            </reference>
            <reference field="11" count="1" selected="0">
              <x v="1"/>
            </reference>
          </references>
        </pivotArea>
      </autoSortScope>
    </pivotField>
    <pivotField showAll="0">
      <items count="7">
        <item x="5"/>
        <item x="3"/>
        <item x="0"/>
        <item x="1"/>
        <item x="4"/>
        <item h="1" x="2"/>
        <item t="default"/>
      </items>
    </pivotField>
    <pivotField showAll="0">
      <items count="4">
        <item h="1" x="0"/>
        <item x="2"/>
        <item h="1" x="1"/>
        <item t="default"/>
      </items>
    </pivotField>
    <pivotField showAll="0"/>
    <pivotField showAll="0"/>
    <pivotField axis="axisPage" multipleItemSelectionAllowed="1" showAll="0">
      <items count="5">
        <item h="1" x="1"/>
        <item h="1" x="2"/>
        <item h="1"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sortType="descending">
      <items count="7">
        <item x="4"/>
        <item x="3"/>
        <item x="2"/>
        <item x="1"/>
        <item x="5"/>
        <item x="0"/>
        <item t="default"/>
      </items>
    </pivotField>
    <pivotField axis="axisCol" showAll="0">
      <items count="5">
        <item x="0"/>
        <item x="1"/>
        <item x="2"/>
        <item x="3"/>
        <item t="default"/>
      </items>
    </pivotField>
  </pivotFields>
  <rowFields count="1">
    <field x="1"/>
  </rowFields>
  <rowItems count="11">
    <i>
      <x v="7"/>
    </i>
    <i>
      <x v="2"/>
    </i>
    <i>
      <x v="22"/>
    </i>
    <i>
      <x v="4"/>
    </i>
    <i>
      <x v="27"/>
    </i>
    <i>
      <x v="1"/>
    </i>
    <i>
      <x v="5"/>
    </i>
    <i>
      <x v="9"/>
    </i>
    <i>
      <x v="24"/>
    </i>
    <i>
      <x v="28"/>
    </i>
    <i t="grand">
      <x/>
    </i>
  </rowItems>
  <colFields count="2">
    <field x="11"/>
    <field x="10"/>
  </colFields>
  <colItems count="6">
    <i>
      <x v="1"/>
      <x/>
    </i>
    <i r="1">
      <x v="1"/>
    </i>
    <i r="1">
      <x v="2"/>
    </i>
    <i r="1">
      <x v="3"/>
    </i>
    <i t="default">
      <x v="1"/>
    </i>
    <i t="grand">
      <x/>
    </i>
  </colItems>
  <pageFields count="1">
    <pageField fld="6" hier="-1"/>
  </pageFields>
  <dataFields count="1">
    <dataField name="Count of opportunity_id" fld="0" subtotal="count" baseField="0" baseItem="0"/>
  </dataFields>
  <formats count="24">
    <format dxfId="53">
      <pivotArea type="origin" dataOnly="0" labelOnly="1" outline="0" fieldPosition="0"/>
    </format>
    <format dxfId="52">
      <pivotArea field="11" type="button" dataOnly="0" labelOnly="1" outline="0" axis="axisCol" fieldPosition="0"/>
    </format>
    <format dxfId="51">
      <pivotArea field="10" type="button" dataOnly="0" labelOnly="1" outline="0" axis="axisCol" fieldPosition="1"/>
    </format>
    <format dxfId="50">
      <pivotArea type="topRight" dataOnly="0" labelOnly="1" outline="0" fieldPosition="0"/>
    </format>
    <format dxfId="49">
      <pivotArea field="1" type="button" dataOnly="0" labelOnly="1" outline="0" axis="axisRow" fieldPosition="0"/>
    </format>
    <format dxfId="48">
      <pivotArea dataOnly="0" labelOnly="1" fieldPosition="0">
        <references count="1">
          <reference field="11" count="1">
            <x v="1"/>
          </reference>
        </references>
      </pivotArea>
    </format>
    <format dxfId="47">
      <pivotArea dataOnly="0" labelOnly="1" fieldPosition="0">
        <references count="1">
          <reference field="11" count="1" defaultSubtotal="1">
            <x v="1"/>
          </reference>
        </references>
      </pivotArea>
    </format>
    <format dxfId="46">
      <pivotArea dataOnly="0" labelOnly="1" grandCol="1" outline="0" fieldPosition="0"/>
    </format>
    <format dxfId="45">
      <pivotArea dataOnly="0" labelOnly="1" fieldPosition="0">
        <references count="2">
          <reference field="10" count="4">
            <x v="0"/>
            <x v="1"/>
            <x v="2"/>
            <x v="3"/>
          </reference>
          <reference field="11" count="1" selected="0">
            <x v="1"/>
          </reference>
        </references>
      </pivotArea>
    </format>
    <format dxfId="44">
      <pivotArea type="origin" dataOnly="0" labelOnly="1" outline="0" fieldPosition="0"/>
    </format>
    <format dxfId="43">
      <pivotArea field="11" type="button" dataOnly="0" labelOnly="1" outline="0" axis="axisCol" fieldPosition="0"/>
    </format>
    <format dxfId="42">
      <pivotArea field="10" type="button" dataOnly="0" labelOnly="1" outline="0" axis="axisCol" fieldPosition="1"/>
    </format>
    <format dxfId="41">
      <pivotArea type="topRight" dataOnly="0" labelOnly="1" outline="0" fieldPosition="0"/>
    </format>
    <format dxfId="40">
      <pivotArea field="1" type="button" dataOnly="0" labelOnly="1" outline="0" axis="axisRow" fieldPosition="0"/>
    </format>
    <format dxfId="39">
      <pivotArea dataOnly="0" labelOnly="1" fieldPosition="0">
        <references count="1">
          <reference field="11" count="1">
            <x v="1"/>
          </reference>
        </references>
      </pivotArea>
    </format>
    <format dxfId="38">
      <pivotArea dataOnly="0" labelOnly="1" fieldPosition="0">
        <references count="1">
          <reference field="11" count="1" defaultSubtotal="1">
            <x v="1"/>
          </reference>
        </references>
      </pivotArea>
    </format>
    <format dxfId="37">
      <pivotArea dataOnly="0" labelOnly="1" grandCol="1" outline="0" fieldPosition="0"/>
    </format>
    <format dxfId="36">
      <pivotArea dataOnly="0" labelOnly="1" fieldPosition="0">
        <references count="2">
          <reference field="10" count="4">
            <x v="0"/>
            <x v="1"/>
            <x v="2"/>
            <x v="3"/>
          </reference>
          <reference field="11" count="1" selected="0">
            <x v="1"/>
          </reference>
        </references>
      </pivotArea>
    </format>
    <format dxfId="35">
      <pivotArea collapsedLevelsAreSubtotals="1" fieldPosition="0">
        <references count="1">
          <reference field="1" count="0"/>
        </references>
      </pivotArea>
    </format>
    <format dxfId="34">
      <pivotArea dataOnly="0" labelOnly="1" fieldPosition="0">
        <references count="1">
          <reference field="1" count="0"/>
        </references>
      </pivotArea>
    </format>
    <format dxfId="33">
      <pivotArea grandRow="1" outline="0" collapsedLevelsAreSubtotals="1" fieldPosition="0"/>
    </format>
    <format dxfId="32">
      <pivotArea dataOnly="0" labelOnly="1" grandRow="1" outline="0" fieldPosition="0"/>
    </format>
    <format dxfId="31">
      <pivotArea collapsedLevelsAreSubtotals="1" fieldPosition="0">
        <references count="1">
          <reference field="1" count="0"/>
        </references>
      </pivotArea>
    </format>
    <format dxfId="30">
      <pivotArea dataOnly="0" labelOnly="1" fieldPosition="0">
        <references count="1">
          <reference field="1" count="0"/>
        </references>
      </pivotArea>
    </format>
  </formats>
  <chartFormats count="20">
    <chartFormat chart="0" format="0" series="1">
      <pivotArea type="data" outline="0" fieldPosition="0">
        <references count="3">
          <reference field="4294967294" count="1" selected="0">
            <x v="0"/>
          </reference>
          <reference field="10" count="1" selected="0">
            <x v="0"/>
          </reference>
          <reference field="11" count="1" selected="0">
            <x v="1"/>
          </reference>
        </references>
      </pivotArea>
    </chartFormat>
    <chartFormat chart="0" format="1" series="1">
      <pivotArea type="data" outline="0" fieldPosition="0">
        <references count="3">
          <reference field="4294967294" count="1" selected="0">
            <x v="0"/>
          </reference>
          <reference field="10" count="1" selected="0">
            <x v="1"/>
          </reference>
          <reference field="11" count="1" selected="0">
            <x v="1"/>
          </reference>
        </references>
      </pivotArea>
    </chartFormat>
    <chartFormat chart="0" format="2" series="1">
      <pivotArea type="data" outline="0" fieldPosition="0">
        <references count="3">
          <reference field="4294967294" count="1" selected="0">
            <x v="0"/>
          </reference>
          <reference field="10" count="1" selected="0">
            <x v="2"/>
          </reference>
          <reference field="11" count="1" selected="0">
            <x v="1"/>
          </reference>
        </references>
      </pivotArea>
    </chartFormat>
    <chartFormat chart="0" format="3" series="1">
      <pivotArea type="data" outline="0" fieldPosition="0">
        <references count="3">
          <reference field="4294967294" count="1" selected="0">
            <x v="0"/>
          </reference>
          <reference field="10" count="1" selected="0">
            <x v="3"/>
          </reference>
          <reference field="11" count="1" selected="0">
            <x v="1"/>
          </reference>
        </references>
      </pivotArea>
    </chartFormat>
    <chartFormat chart="4" format="0" series="1">
      <pivotArea type="data" outline="0" fieldPosition="0">
        <references count="3">
          <reference field="4294967294" count="1" selected="0">
            <x v="0"/>
          </reference>
          <reference field="10" count="1" selected="0">
            <x v="0"/>
          </reference>
          <reference field="11" count="1" selected="0">
            <x v="1"/>
          </reference>
        </references>
      </pivotArea>
    </chartFormat>
    <chartFormat chart="4" format="1" series="1">
      <pivotArea type="data" outline="0" fieldPosition="0">
        <references count="3">
          <reference field="4294967294" count="1" selected="0">
            <x v="0"/>
          </reference>
          <reference field="10" count="1" selected="0">
            <x v="1"/>
          </reference>
          <reference field="11" count="1" selected="0">
            <x v="1"/>
          </reference>
        </references>
      </pivotArea>
    </chartFormat>
    <chartFormat chart="4" format="2" series="1">
      <pivotArea type="data" outline="0" fieldPosition="0">
        <references count="3">
          <reference field="4294967294" count="1" selected="0">
            <x v="0"/>
          </reference>
          <reference field="10" count="1" selected="0">
            <x v="2"/>
          </reference>
          <reference field="11" count="1" selected="0">
            <x v="1"/>
          </reference>
        </references>
      </pivotArea>
    </chartFormat>
    <chartFormat chart="4" format="3" series="1">
      <pivotArea type="data" outline="0" fieldPosition="0">
        <references count="3">
          <reference field="4294967294" count="1" selected="0">
            <x v="0"/>
          </reference>
          <reference field="10" count="1" selected="0">
            <x v="3"/>
          </reference>
          <reference field="11" count="1" selected="0">
            <x v="1"/>
          </reference>
        </references>
      </pivotArea>
    </chartFormat>
    <chartFormat chart="9" format="8" series="1">
      <pivotArea type="data" outline="0" fieldPosition="0">
        <references count="3">
          <reference field="4294967294" count="1" selected="0">
            <x v="0"/>
          </reference>
          <reference field="10" count="1" selected="0">
            <x v="0"/>
          </reference>
          <reference field="11" count="1" selected="0">
            <x v="1"/>
          </reference>
        </references>
      </pivotArea>
    </chartFormat>
    <chartFormat chart="9" format="9" series="1">
      <pivotArea type="data" outline="0" fieldPosition="0">
        <references count="3">
          <reference field="4294967294" count="1" selected="0">
            <x v="0"/>
          </reference>
          <reference field="10" count="1" selected="0">
            <x v="1"/>
          </reference>
          <reference field="11" count="1" selected="0">
            <x v="1"/>
          </reference>
        </references>
      </pivotArea>
    </chartFormat>
    <chartFormat chart="9" format="10" series="1">
      <pivotArea type="data" outline="0" fieldPosition="0">
        <references count="3">
          <reference field="4294967294" count="1" selected="0">
            <x v="0"/>
          </reference>
          <reference field="10" count="1" selected="0">
            <x v="2"/>
          </reference>
          <reference field="11" count="1" selected="0">
            <x v="1"/>
          </reference>
        </references>
      </pivotArea>
    </chartFormat>
    <chartFormat chart="9" format="11" series="1">
      <pivotArea type="data" outline="0" fieldPosition="0">
        <references count="3">
          <reference field="4294967294" count="1" selected="0">
            <x v="0"/>
          </reference>
          <reference field="10" count="1" selected="0">
            <x v="3"/>
          </reference>
          <reference field="11" count="1" selected="0">
            <x v="1"/>
          </reference>
        </references>
      </pivotArea>
    </chartFormat>
    <chartFormat chart="13" format="0" series="1">
      <pivotArea type="data" outline="0" fieldPosition="0">
        <references count="3">
          <reference field="4294967294" count="1" selected="0">
            <x v="0"/>
          </reference>
          <reference field="10" count="1" selected="0">
            <x v="0"/>
          </reference>
          <reference field="11" count="1" selected="0">
            <x v="1"/>
          </reference>
        </references>
      </pivotArea>
    </chartFormat>
    <chartFormat chart="13" format="1" series="1">
      <pivotArea type="data" outline="0" fieldPosition="0">
        <references count="3">
          <reference field="4294967294" count="1" selected="0">
            <x v="0"/>
          </reference>
          <reference field="10" count="1" selected="0">
            <x v="1"/>
          </reference>
          <reference field="11" count="1" selected="0">
            <x v="1"/>
          </reference>
        </references>
      </pivotArea>
    </chartFormat>
    <chartFormat chart="13" format="2" series="1">
      <pivotArea type="data" outline="0" fieldPosition="0">
        <references count="3">
          <reference field="4294967294" count="1" selected="0">
            <x v="0"/>
          </reference>
          <reference field="10" count="1" selected="0">
            <x v="2"/>
          </reference>
          <reference field="11" count="1" selected="0">
            <x v="1"/>
          </reference>
        </references>
      </pivotArea>
    </chartFormat>
    <chartFormat chart="13" format="3" series="1">
      <pivotArea type="data" outline="0" fieldPosition="0">
        <references count="3">
          <reference field="4294967294" count="1" selected="0">
            <x v="0"/>
          </reference>
          <reference field="10" count="1" selected="0">
            <x v="3"/>
          </reference>
          <reference field="11" count="1" selected="0">
            <x v="1"/>
          </reference>
        </references>
      </pivotArea>
    </chartFormat>
    <chartFormat chart="18" format="8" series="1">
      <pivotArea type="data" outline="0" fieldPosition="0">
        <references count="3">
          <reference field="4294967294" count="1" selected="0">
            <x v="0"/>
          </reference>
          <reference field="10" count="1" selected="0">
            <x v="0"/>
          </reference>
          <reference field="11" count="1" selected="0">
            <x v="1"/>
          </reference>
        </references>
      </pivotArea>
    </chartFormat>
    <chartFormat chart="18" format="9" series="1">
      <pivotArea type="data" outline="0" fieldPosition="0">
        <references count="3">
          <reference field="4294967294" count="1" selected="0">
            <x v="0"/>
          </reference>
          <reference field="10" count="1" selected="0">
            <x v="1"/>
          </reference>
          <reference field="11" count="1" selected="0">
            <x v="1"/>
          </reference>
        </references>
      </pivotArea>
    </chartFormat>
    <chartFormat chart="18" format="10" series="1">
      <pivotArea type="data" outline="0" fieldPosition="0">
        <references count="3">
          <reference field="4294967294" count="1" selected="0">
            <x v="0"/>
          </reference>
          <reference field="10" count="1" selected="0">
            <x v="2"/>
          </reference>
          <reference field="11" count="1" selected="0">
            <x v="1"/>
          </reference>
        </references>
      </pivotArea>
    </chartFormat>
    <chartFormat chart="18" format="11" series="1">
      <pivotArea type="data" outline="0" fieldPosition="0">
        <references count="3">
          <reference field="4294967294" count="1" selected="0">
            <x v="0"/>
          </reference>
          <reference field="10" count="1" selected="0">
            <x v="3"/>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910E5-21C1-4BCE-BCF1-4EF519EC80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G22" firstHeaderRow="1" firstDataRow="3" firstDataCol="1"/>
  <pivotFields count="12">
    <pivotField dataField="1" showAll="0">
      <items count="8801">
        <item x="2128"/>
        <item x="8591"/>
        <item x="7867"/>
        <item x="3283"/>
        <item x="7327"/>
        <item x="4611"/>
        <item x="4190"/>
        <item x="7283"/>
        <item x="4407"/>
        <item x="6250"/>
        <item x="1298"/>
        <item x="6322"/>
        <item x="302"/>
        <item x="650"/>
        <item x="6810"/>
        <item x="5174"/>
        <item x="6345"/>
        <item x="7600"/>
        <item x="6749"/>
        <item x="5050"/>
        <item x="6963"/>
        <item x="4646"/>
        <item x="6977"/>
        <item x="687"/>
        <item x="3009"/>
        <item x="7396"/>
        <item x="4569"/>
        <item x="8385"/>
        <item x="7539"/>
        <item x="1047"/>
        <item x="7562"/>
        <item x="5990"/>
        <item x="4627"/>
        <item x="8235"/>
        <item x="7989"/>
        <item x="2267"/>
        <item x="3231"/>
        <item x="4369"/>
        <item x="6286"/>
        <item x="5722"/>
        <item x="6111"/>
        <item x="1601"/>
        <item x="103"/>
        <item x="6619"/>
        <item x="4921"/>
        <item x="6067"/>
        <item x="6209"/>
        <item x="643"/>
        <item x="6356"/>
        <item x="1256"/>
        <item x="2804"/>
        <item x="3617"/>
        <item x="373"/>
        <item x="7264"/>
        <item x="1934"/>
        <item x="6692"/>
        <item x="4838"/>
        <item x="1057"/>
        <item x="1730"/>
        <item x="1652"/>
        <item x="485"/>
        <item x="4383"/>
        <item x="6458"/>
        <item x="3375"/>
        <item x="2606"/>
        <item x="6669"/>
        <item x="4177"/>
        <item x="8202"/>
        <item x="4246"/>
        <item x="1553"/>
        <item x="730"/>
        <item x="2735"/>
        <item x="1943"/>
        <item x="6205"/>
        <item x="3693"/>
        <item x="1560"/>
        <item x="7711"/>
        <item x="970"/>
        <item x="2954"/>
        <item x="5449"/>
        <item x="3756"/>
        <item x="3447"/>
        <item x="4507"/>
        <item x="14"/>
        <item x="1425"/>
        <item x="699"/>
        <item x="2461"/>
        <item x="3014"/>
        <item x="2963"/>
        <item x="1063"/>
        <item x="7772"/>
        <item x="3100"/>
        <item x="8655"/>
        <item x="4357"/>
        <item x="7169"/>
        <item x="8516"/>
        <item x="8706"/>
        <item x="7941"/>
        <item x="2798"/>
        <item x="4644"/>
        <item x="4619"/>
        <item x="8313"/>
        <item x="4422"/>
        <item x="3310"/>
        <item x="48"/>
        <item x="3576"/>
        <item x="64"/>
        <item x="8163"/>
        <item x="7916"/>
        <item x="7503"/>
        <item x="1577"/>
        <item x="8691"/>
        <item x="185"/>
        <item x="1434"/>
        <item x="2561"/>
        <item x="5699"/>
        <item x="4678"/>
        <item x="1381"/>
        <item x="3279"/>
        <item x="1493"/>
        <item x="2934"/>
        <item x="2125"/>
        <item x="1155"/>
        <item x="7645"/>
        <item x="6869"/>
        <item x="5924"/>
        <item x="1689"/>
        <item x="2481"/>
        <item x="6032"/>
        <item x="3157"/>
        <item x="6188"/>
        <item x="1885"/>
        <item x="1117"/>
        <item x="8638"/>
        <item x="7384"/>
        <item x="5043"/>
        <item x="475"/>
        <item x="7350"/>
        <item x="2594"/>
        <item x="335"/>
        <item x="988"/>
        <item x="7308"/>
        <item x="469"/>
        <item x="2026"/>
        <item x="6488"/>
        <item x="7726"/>
        <item x="3251"/>
        <item x="2780"/>
        <item x="5024"/>
        <item x="8587"/>
        <item x="4912"/>
        <item x="7999"/>
        <item x="6140"/>
        <item x="3915"/>
        <item x="1558"/>
        <item x="376"/>
        <item x="3960"/>
        <item x="6682"/>
        <item x="100"/>
        <item x="5524"/>
        <item x="8493"/>
        <item x="5314"/>
        <item x="6601"/>
        <item x="4159"/>
        <item x="4214"/>
        <item x="7207"/>
        <item x="3141"/>
        <item x="7866"/>
        <item x="6313"/>
        <item x="7520"/>
        <item x="133"/>
        <item x="6348"/>
        <item x="5008"/>
        <item x="515"/>
        <item x="5891"/>
        <item x="8220"/>
        <item x="8075"/>
        <item x="1129"/>
        <item x="3783"/>
        <item x="7891"/>
        <item x="131"/>
        <item x="2960"/>
        <item x="2443"/>
        <item x="4725"/>
        <item x="2317"/>
        <item x="5532"/>
        <item x="5856"/>
        <item x="8727"/>
        <item x="1097"/>
        <item x="8582"/>
        <item x="8131"/>
        <item x="1846"/>
        <item x="7478"/>
        <item x="4701"/>
        <item x="5961"/>
        <item x="5647"/>
        <item x="8192"/>
        <item x="5415"/>
        <item x="3855"/>
        <item x="8552"/>
        <item x="1833"/>
        <item x="1892"/>
        <item x="5224"/>
        <item x="6991"/>
        <item x="7015"/>
        <item x="5766"/>
        <item x="2148"/>
        <item x="6075"/>
        <item x="7587"/>
        <item x="6035"/>
        <item x="3403"/>
        <item x="5125"/>
        <item x="5070"/>
        <item x="4686"/>
        <item x="5204"/>
        <item x="8002"/>
        <item x="6918"/>
        <item x="8394"/>
        <item x="3864"/>
        <item x="169"/>
        <item x="6690"/>
        <item x="334"/>
        <item x="5860"/>
        <item x="4176"/>
        <item x="2183"/>
        <item x="6909"/>
        <item x="7435"/>
        <item x="7476"/>
        <item x="6089"/>
        <item x="6191"/>
        <item x="2552"/>
        <item x="1909"/>
        <item x="4487"/>
        <item x="4124"/>
        <item x="7581"/>
        <item x="4004"/>
        <item x="6028"/>
        <item x="6815"/>
        <item x="6262"/>
        <item x="5430"/>
        <item x="3004"/>
        <item x="2799"/>
        <item x="1945"/>
        <item x="1098"/>
        <item x="3170"/>
        <item x="5496"/>
        <item x="6988"/>
        <item x="2095"/>
        <item x="199"/>
        <item x="3277"/>
        <item x="2625"/>
        <item x="1962"/>
        <item x="4361"/>
        <item x="756"/>
        <item x="8543"/>
        <item x="3872"/>
        <item x="6145"/>
        <item x="3250"/>
        <item x="3767"/>
        <item x="7516"/>
        <item x="1445"/>
        <item x="4616"/>
        <item x="1630"/>
        <item x="2660"/>
        <item x="5078"/>
        <item x="8361"/>
        <item x="190"/>
        <item x="6836"/>
        <item x="4738"/>
        <item x="6359"/>
        <item x="718"/>
        <item x="6955"/>
        <item x="2458"/>
        <item x="8323"/>
        <item x="7304"/>
        <item x="5281"/>
        <item x="1641"/>
        <item x="7391"/>
        <item x="1211"/>
        <item x="5390"/>
        <item x="3185"/>
        <item x="940"/>
        <item x="4111"/>
        <item x="2912"/>
        <item x="7003"/>
        <item x="3445"/>
        <item x="1358"/>
        <item x="5202"/>
        <item x="8581"/>
        <item x="3380"/>
        <item x="1925"/>
        <item x="266"/>
        <item x="258"/>
        <item x="7534"/>
        <item x="3493"/>
        <item x="7113"/>
        <item x="5121"/>
        <item x="767"/>
        <item x="374"/>
        <item x="804"/>
        <item x="6833"/>
        <item x="6127"/>
        <item x="4146"/>
        <item x="349"/>
        <item x="7023"/>
        <item x="3638"/>
        <item x="7299"/>
        <item x="2320"/>
        <item x="4084"/>
        <item x="7537"/>
        <item x="835"/>
        <item x="164"/>
        <item x="3281"/>
        <item x="4661"/>
        <item x="6030"/>
        <item x="7890"/>
        <item x="2940"/>
        <item x="1484"/>
        <item x="1900"/>
        <item x="4757"/>
        <item x="8798"/>
        <item x="5592"/>
        <item x="4201"/>
        <item x="5771"/>
        <item x="6136"/>
        <item x="257"/>
        <item x="5385"/>
        <item x="8695"/>
        <item x="2729"/>
        <item x="5304"/>
        <item x="6848"/>
        <item x="6548"/>
        <item x="8264"/>
        <item x="6554"/>
        <item x="1911"/>
        <item x="7185"/>
        <item x="6851"/>
        <item x="1435"/>
        <item x="7094"/>
        <item x="2233"/>
        <item x="332"/>
        <item x="5949"/>
        <item x="8665"/>
        <item x="3704"/>
        <item x="7962"/>
        <item x="0"/>
        <item x="4063"/>
        <item x="7667"/>
        <item x="3162"/>
        <item x="3127"/>
        <item x="4994"/>
        <item x="599"/>
        <item x="4667"/>
        <item x="7216"/>
        <item x="5601"/>
        <item x="556"/>
        <item x="4852"/>
        <item x="4102"/>
        <item x="3114"/>
        <item x="2668"/>
        <item x="4474"/>
        <item x="4400"/>
        <item x="3217"/>
        <item x="4013"/>
        <item x="8778"/>
        <item x="4974"/>
        <item x="7258"/>
        <item x="5574"/>
        <item x="7926"/>
        <item x="4069"/>
        <item x="408"/>
        <item x="6906"/>
        <item x="994"/>
        <item x="1612"/>
        <item x="7619"/>
        <item x="1122"/>
        <item x="6420"/>
        <item x="8689"/>
        <item x="8219"/>
        <item x="206"/>
        <item x="6093"/>
        <item x="7311"/>
        <item x="4453"/>
        <item x="2227"/>
        <item x="1469"/>
        <item x="4810"/>
        <item x="6036"/>
        <item x="3979"/>
        <item x="4715"/>
        <item x="1102"/>
        <item x="7073"/>
        <item x="3026"/>
        <item x="3218"/>
        <item x="4764"/>
        <item x="2920"/>
        <item x="7254"/>
        <item x="2633"/>
        <item x="6894"/>
        <item x="381"/>
        <item x="948"/>
        <item x="4085"/>
        <item x="1157"/>
        <item x="8392"/>
        <item x="7051"/>
        <item x="4587"/>
        <item x="428"/>
        <item x="1171"/>
        <item x="5981"/>
        <item x="1879"/>
        <item x="6637"/>
        <item x="6657"/>
        <item x="4835"/>
        <item x="1682"/>
        <item x="2538"/>
        <item x="3002"/>
        <item x="3480"/>
        <item x="5539"/>
        <item x="3972"/>
        <item x="1922"/>
        <item x="2467"/>
        <item x="4458"/>
        <item x="597"/>
        <item x="6731"/>
        <item x="8251"/>
        <item x="4894"/>
        <item x="3007"/>
        <item x="4997"/>
        <item x="5260"/>
        <item x="1040"/>
        <item x="484"/>
        <item x="2361"/>
        <item x="4976"/>
        <item x="1522"/>
        <item x="3537"/>
        <item x="8239"/>
        <item x="3815"/>
        <item x="4879"/>
        <item x="7626"/>
        <item x="239"/>
        <item x="5469"/>
        <item x="5832"/>
        <item x="6195"/>
        <item x="4324"/>
        <item x="7765"/>
        <item x="4360"/>
        <item x="5343"/>
        <item x="6834"/>
        <item x="6251"/>
        <item x="5147"/>
        <item x="4793"/>
        <item x="4952"/>
        <item x="3679"/>
        <item x="7598"/>
        <item x="6464"/>
        <item x="5703"/>
        <item x="3990"/>
        <item x="8025"/>
        <item x="1732"/>
        <item x="5761"/>
        <item x="6077"/>
        <item x="3887"/>
        <item x="2334"/>
        <item x="2726"/>
        <item x="1204"/>
        <item x="1022"/>
        <item x="8020"/>
        <item x="6330"/>
        <item x="5196"/>
        <item x="960"/>
        <item x="2994"/>
        <item x="3332"/>
        <item x="6850"/>
        <item x="1976"/>
        <item x="8189"/>
        <item x="3518"/>
        <item x="280"/>
        <item x="1301"/>
        <item x="5344"/>
        <item x="2986"/>
        <item x="7325"/>
        <item x="8489"/>
        <item x="768"/>
        <item x="3962"/>
        <item x="6325"/>
        <item x="2962"/>
        <item x="1372"/>
        <item x="8294"/>
        <item x="1598"/>
        <item x="166"/>
        <item x="1287"/>
        <item x="4550"/>
        <item x="6966"/>
        <item x="600"/>
        <item x="229"/>
        <item x="3472"/>
        <item x="7359"/>
        <item x="8147"/>
        <item x="2007"/>
        <item x="1706"/>
        <item x="8058"/>
        <item x="3272"/>
        <item x="3416"/>
        <item x="4719"/>
        <item x="1361"/>
        <item x="1757"/>
        <item x="5594"/>
        <item x="134"/>
        <item x="8560"/>
        <item x="5250"/>
        <item x="794"/>
        <item x="6267"/>
        <item x="2983"/>
        <item x="6090"/>
        <item x="6117"/>
        <item x="4233"/>
        <item x="5209"/>
        <item x="8183"/>
        <item x="3052"/>
        <item x="8018"/>
        <item x="6722"/>
        <item x="2368"/>
        <item x="4467"/>
        <item x="4191"/>
        <item x="1032"/>
        <item x="533"/>
        <item x="975"/>
        <item x="1140"/>
        <item x="66"/>
        <item x="1929"/>
        <item x="1410"/>
        <item x="1999"/>
        <item x="6908"/>
        <item x="3729"/>
        <item x="397"/>
        <item x="5869"/>
        <item x="3577"/>
        <item x="8720"/>
        <item x="5550"/>
        <item x="6399"/>
        <item x="8702"/>
        <item x="4851"/>
        <item x="1894"/>
        <item x="8419"/>
        <item x="4688"/>
        <item x="3561"/>
        <item x="2072"/>
        <item x="4171"/>
        <item x="5155"/>
        <item x="5806"/>
        <item x="4277"/>
        <item x="5005"/>
        <item x="4297"/>
        <item x="8053"/>
        <item x="1061"/>
        <item x="5378"/>
        <item x="1919"/>
        <item x="2408"/>
        <item x="8545"/>
        <item x="3920"/>
        <item x="8036"/>
        <item x="959"/>
        <item x="3256"/>
        <item x="1670"/>
        <item x="7065"/>
        <item x="5163"/>
        <item x="7224"/>
        <item x="5122"/>
        <item x="4344"/>
        <item x="287"/>
        <item x="2316"/>
        <item x="5702"/>
        <item x="8157"/>
        <item x="7881"/>
        <item x="902"/>
        <item x="7698"/>
        <item x="5621"/>
        <item x="8295"/>
        <item x="6938"/>
        <item x="985"/>
        <item x="2341"/>
        <item x="2740"/>
        <item x="624"/>
        <item x="4792"/>
        <item x="3791"/>
        <item x="6204"/>
        <item x="2217"/>
        <item x="4061"/>
        <item x="7988"/>
        <item x="6856"/>
        <item x="3257"/>
        <item x="4194"/>
        <item x="654"/>
        <item x="8748"/>
        <item x="3282"/>
        <item x="5261"/>
        <item x="3890"/>
        <item x="7196"/>
        <item x="5362"/>
        <item x="1847"/>
        <item x="6388"/>
        <item x="2147"/>
        <item x="6061"/>
        <item x="7550"/>
        <item x="120"/>
        <item x="7728"/>
        <item x="4502"/>
        <item x="2052"/>
        <item x="344"/>
        <item x="2269"/>
        <item x="5526"/>
        <item x="4677"/>
        <item x="6332"/>
        <item x="5444"/>
        <item x="5933"/>
        <item x="5402"/>
        <item x="2445"/>
        <item x="4379"/>
        <item x="8442"/>
        <item x="7182"/>
        <item x="908"/>
        <item x="748"/>
        <item x="4370"/>
        <item x="1125"/>
        <item x="1643"/>
        <item x="5348"/>
        <item x="2720"/>
        <item x="2326"/>
        <item x="566"/>
        <item x="7238"/>
        <item x="6884"/>
        <item x="5821"/>
        <item x="8213"/>
        <item x="1189"/>
        <item x="2739"/>
        <item x="2077"/>
        <item x="6568"/>
        <item x="201"/>
        <item x="2492"/>
        <item x="3444"/>
        <item x="4225"/>
        <item x="6661"/>
        <item x="1081"/>
        <item x="4049"/>
        <item x="5685"/>
        <item x="2498"/>
        <item x="3074"/>
        <item x="8678"/>
        <item x="2898"/>
        <item x="2902"/>
        <item x="3747"/>
        <item x="3968"/>
        <item x="6095"/>
        <item x="1162"/>
        <item x="2722"/>
        <item x="2540"/>
        <item x="7176"/>
        <item x="2657"/>
        <item x="3413"/>
        <item x="3565"/>
        <item x="5710"/>
        <item x="3501"/>
        <item x="7361"/>
        <item x="6558"/>
        <item x="3363"/>
        <item x="5021"/>
        <item x="962"/>
        <item x="5781"/>
        <item x="1835"/>
        <item x="445"/>
        <item x="971"/>
        <item x="4221"/>
        <item x="7312"/>
        <item x="8595"/>
        <item x="2082"/>
        <item x="5591"/>
        <item x="2575"/>
        <item x="2198"/>
        <item x="5834"/>
        <item x="8258"/>
        <item x="31"/>
        <item x="8360"/>
        <item x="7363"/>
        <item x="5211"/>
        <item x="8747"/>
        <item x="5985"/>
        <item x="852"/>
        <item x="5228"/>
        <item x="404"/>
        <item x="927"/>
        <item x="76"/>
        <item x="2850"/>
        <item x="6389"/>
        <item x="6947"/>
        <item x="6112"/>
        <item x="53"/>
        <item x="329"/>
        <item x="1935"/>
        <item x="1966"/>
        <item x="4964"/>
        <item x="1354"/>
        <item x="6470"/>
        <item x="2139"/>
        <item x="8510"/>
        <item x="8750"/>
        <item x="6494"/>
        <item x="282"/>
        <item x="4762"/>
        <item x="7314"/>
        <item x="110"/>
        <item x="1520"/>
        <item x="1457"/>
        <item x="4338"/>
        <item x="4153"/>
        <item x="3347"/>
        <item x="610"/>
        <item x="644"/>
        <item x="1710"/>
        <item x="2695"/>
        <item x="1828"/>
        <item x="2371"/>
        <item x="2650"/>
        <item x="5738"/>
        <item x="2069"/>
        <item x="2496"/>
        <item x="5129"/>
        <item x="5280"/>
        <item x="739"/>
        <item x="7696"/>
        <item x="43"/>
        <item x="2303"/>
        <item x="6740"/>
        <item x="4405"/>
        <item x="3836"/>
        <item x="2344"/>
        <item x="7817"/>
        <item x="3632"/>
        <item x="4469"/>
        <item x="3399"/>
        <item x="4735"/>
        <item x="1228"/>
        <item x="8694"/>
        <item x="3179"/>
        <item x="5112"/>
        <item x="8132"/>
        <item x="8110"/>
        <item x="467"/>
        <item x="8155"/>
        <item x="1504"/>
        <item x="6591"/>
        <item x="3820"/>
        <item x="3315"/>
        <item x="7795"/>
        <item x="7461"/>
        <item x="2441"/>
        <item x="6982"/>
        <item x="4451"/>
        <item x="7058"/>
        <item x="7508"/>
        <item x="606"/>
        <item x="1658"/>
        <item x="641"/>
        <item x="3726"/>
        <item x="3556"/>
        <item x="1046"/>
        <item x="2120"/>
        <item x="65"/>
        <item x="2369"/>
        <item x="8535"/>
        <item x="5301"/>
        <item x="6907"/>
        <item x="5747"/>
        <item x="4899"/>
        <item x="2900"/>
        <item x="8355"/>
        <item x="1154"/>
        <item x="2473"/>
        <item x="3874"/>
        <item x="6592"/>
        <item x="1572"/>
        <item x="1429"/>
        <item x="4915"/>
        <item x="8488"/>
        <item x="5436"/>
        <item x="5701"/>
        <item x="3865"/>
        <item x="2655"/>
        <item x="1656"/>
        <item x="4051"/>
        <item x="3436"/>
        <item x="1308"/>
        <item x="4464"/>
        <item x="659"/>
        <item x="5644"/>
        <item x="4236"/>
        <item x="2321"/>
        <item x="2059"/>
        <item x="3959"/>
        <item x="3042"/>
        <item x="5883"/>
        <item x="6962"/>
        <item x="3802"/>
        <item x="4843"/>
        <item x="6636"/>
        <item x="1092"/>
        <item x="3558"/>
        <item x="6323"/>
        <item x="2110"/>
        <item x="6795"/>
        <item x="3532"/>
        <item x="5086"/>
        <item x="2167"/>
        <item x="7282"/>
        <item x="1342"/>
        <item x="6790"/>
        <item x="4269"/>
        <item x="3744"/>
        <item x="7118"/>
        <item x="1476"/>
        <item x="5836"/>
        <item x="274"/>
        <item x="2696"/>
        <item x="275"/>
        <item x="7710"/>
        <item x="7409"/>
        <item x="1790"/>
        <item x="2978"/>
        <item x="4080"/>
        <item x="15"/>
        <item x="3710"/>
        <item x="3015"/>
        <item x="5800"/>
        <item x="5452"/>
        <item x="8241"/>
        <item x="5597"/>
        <item x="2901"/>
        <item x="5638"/>
        <item x="4532"/>
        <item x="8099"/>
        <item x="3517"/>
        <item x="2240"/>
        <item x="7735"/>
        <item x="7967"/>
        <item x="3366"/>
        <item x="1017"/>
        <item x="1167"/>
        <item x="5953"/>
        <item x="6821"/>
        <item x="3888"/>
        <item x="7489"/>
        <item x="6159"/>
        <item x="3382"/>
        <item x="5166"/>
        <item x="3814"/>
        <item x="4798"/>
        <item x="7266"/>
        <item x="1711"/>
        <item x="5013"/>
        <item x="5973"/>
        <item x="8458"/>
        <item x="3139"/>
        <item x="6599"/>
        <item x="1329"/>
        <item x="243"/>
        <item x="2765"/>
        <item x="4787"/>
        <item x="4366"/>
        <item x="3660"/>
        <item x="5417"/>
        <item x="5072"/>
        <item x="4866"/>
        <item x="8301"/>
        <item x="875"/>
        <item x="590"/>
        <item x="2774"/>
        <item x="6996"/>
        <item x="2194"/>
        <item x="7761"/>
        <item x="7608"/>
        <item x="7953"/>
        <item x="838"/>
        <item x="8293"/>
        <item x="1646"/>
        <item x="3142"/>
        <item x="4733"/>
        <item x="2163"/>
        <item x="1096"/>
        <item x="1147"/>
        <item x="6666"/>
        <item x="4662"/>
        <item x="3961"/>
        <item x="1336"/>
        <item x="1858"/>
        <item x="5880"/>
        <item x="1514"/>
        <item x="2437"/>
        <item x="1857"/>
        <item x="6249"/>
        <item x="872"/>
        <item x="1130"/>
        <item x="2355"/>
        <item x="4196"/>
        <item x="7804"/>
        <item x="8485"/>
        <item x="2499"/>
        <item x="5399"/>
        <item x="1527"/>
        <item x="4938"/>
        <item x="6935"/>
        <item x="7288"/>
        <item x="5691"/>
        <item x="1523"/>
        <item x="6167"/>
        <item x="7230"/>
        <item x="3784"/>
        <item x="8359"/>
        <item x="3533"/>
        <item x="8248"/>
        <item x="8114"/>
        <item x="1542"/>
        <item x="5957"/>
        <item x="4722"/>
        <item x="5473"/>
        <item x="3238"/>
        <item x="138"/>
        <item x="8161"/>
        <item x="4347"/>
        <item x="1789"/>
        <item x="551"/>
        <item x="6147"/>
        <item x="5976"/>
        <item x="8617"/>
        <item x="1221"/>
        <item x="61"/>
        <item x="211"/>
        <item x="7951"/>
        <item x="6527"/>
        <item x="5971"/>
        <item x="4989"/>
        <item x="3907"/>
        <item x="769"/>
        <item x="3889"/>
        <item x="2485"/>
        <item x="8266"/>
        <item x="1916"/>
        <item x="148"/>
        <item x="7512"/>
        <item x="3626"/>
        <item x="3000"/>
        <item x="1760"/>
        <item x="122"/>
        <item x="3175"/>
        <item x="3861"/>
        <item x="305"/>
        <item x="4925"/>
        <item x="5967"/>
        <item x="705"/>
        <item x="7631"/>
        <item x="2448"/>
        <item x="6526"/>
        <item x="983"/>
        <item x="4892"/>
        <item x="5068"/>
        <item x="3290"/>
        <item x="6662"/>
        <item x="5622"/>
        <item x="1914"/>
        <item x="5099"/>
        <item x="7878"/>
        <item x="3806"/>
        <item x="1810"/>
        <item x="2096"/>
        <item x="6291"/>
        <item x="3348"/>
        <item x="4125"/>
        <item x="191"/>
        <item x="4188"/>
        <item x="6252"/>
        <item x="6765"/>
        <item x="3707"/>
        <item x="125"/>
        <item x="3361"/>
        <item x="6221"/>
        <item x="1345"/>
        <item x="8332"/>
        <item x="7609"/>
        <item x="3540"/>
        <item x="4259"/>
        <item x="5739"/>
        <item x="3247"/>
        <item x="6219"/>
        <item x="1775"/>
        <item x="3327"/>
        <item x="8152"/>
        <item x="2852"/>
        <item x="952"/>
        <item x="294"/>
        <item x="8626"/>
        <item x="5875"/>
        <item x="2877"/>
        <item x="354"/>
        <item x="675"/>
        <item x="2295"/>
        <item x="149"/>
        <item x="2258"/>
        <item x="2956"/>
        <item x="3629"/>
        <item x="5357"/>
        <item x="4306"/>
        <item x="8649"/>
        <item x="7431"/>
        <item x="7909"/>
        <item x="6236"/>
        <item x="8697"/>
        <item x="3845"/>
        <item x="8325"/>
        <item x="7451"/>
        <item x="3241"/>
        <item x="5983"/>
        <item x="1011"/>
        <item x="5018"/>
        <item x="4116"/>
        <item x="7571"/>
        <item x="3467"/>
        <item x="4618"/>
        <item x="5137"/>
        <item x="5170"/>
        <item x="5674"/>
        <item x="4468"/>
        <item x="8504"/>
        <item x="7986"/>
        <item x="1997"/>
        <item x="2544"/>
        <item x="1116"/>
        <item x="1491"/>
        <item x="2042"/>
        <item x="3224"/>
        <item x="7977"/>
        <item x="8635"/>
        <item x="976"/>
        <item x="3165"/>
        <item x="5914"/>
        <item x="6102"/>
        <item x="1243"/>
        <item x="7823"/>
        <item x="1475"/>
        <item x="1675"/>
        <item x="2736"/>
        <item x="5493"/>
        <item x="4019"/>
        <item x="5245"/>
        <item x="2966"/>
        <item x="2009"/>
        <item x="666"/>
        <item x="735"/>
        <item x="1041"/>
        <item x="8017"/>
        <item x="4423"/>
        <item x="6101"/>
        <item x="8330"/>
        <item x="7748"/>
        <item x="7840"/>
        <item x="4312"/>
        <item x="4349"/>
        <item x="593"/>
        <item x="3391"/>
        <item x="1880"/>
        <item x="7554"/>
        <item x="292"/>
        <item x="8793"/>
        <item x="8326"/>
        <item x="7209"/>
        <item x="7855"/>
        <item x="4351"/>
        <item x="461"/>
        <item x="4946"/>
        <item x="3908"/>
        <item x="4828"/>
        <item x="2265"/>
        <item x="1508"/>
        <item x="3550"/>
        <item x="4983"/>
        <item x="8013"/>
        <item x="417"/>
        <item x="5142"/>
        <item x="2971"/>
        <item x="225"/>
        <item x="2570"/>
        <item x="3654"/>
        <item x="2020"/>
        <item x="5292"/>
        <item x="6413"/>
        <item x="1769"/>
        <item x="5404"/>
        <item x="2580"/>
        <item x="4754"/>
        <item x="3618"/>
        <item x="6564"/>
        <item x="4901"/>
        <item x="3663"/>
        <item x="1201"/>
        <item x="6897"/>
        <item x="2204"/>
        <item x="8116"/>
        <item x="4592"/>
        <item x="5467"/>
        <item x="7730"/>
        <item x="3136"/>
        <item x="7479"/>
        <item x="3016"/>
        <item x="1486"/>
        <item x="161"/>
        <item x="623"/>
        <item x="7458"/>
        <item x="6579"/>
        <item x="6876"/>
        <item x="7339"/>
        <item x="5458"/>
        <item x="7724"/>
        <item x="5169"/>
        <item x="7456"/>
        <item x="5167"/>
        <item x="982"/>
        <item x="6882"/>
        <item x="5679"/>
        <item x="4519"/>
        <item x="1596"/>
        <item x="5605"/>
        <item x="3091"/>
        <item x="1111"/>
        <item x="702"/>
        <item x="4795"/>
        <item x="2664"/>
        <item x="3765"/>
        <item x="5438"/>
        <item x="4375"/>
        <item x="7607"/>
        <item x="4476"/>
        <item x="1393"/>
        <item x="6861"/>
        <item x="2283"/>
        <item x="1704"/>
        <item x="8437"/>
        <item x="2384"/>
        <item x="5118"/>
        <item x="7661"/>
        <item x="6105"/>
        <item x="1904"/>
        <item x="4830"/>
        <item x="5339"/>
        <item x="1631"/>
        <item x="7128"/>
        <item x="296"/>
        <item x="2386"/>
        <item x="343"/>
        <item x="1280"/>
        <item x="2924"/>
        <item x="7547"/>
        <item x="757"/>
        <item x="1715"/>
        <item x="536"/>
        <item x="5472"/>
        <item x="4990"/>
        <item x="576"/>
        <item x="1136"/>
        <item x="1722"/>
        <item x="2855"/>
        <item x="4698"/>
        <item x="1613"/>
        <item x="1156"/>
        <item x="8622"/>
        <item x="3153"/>
        <item x="1239"/>
        <item x="7426"/>
        <item x="676"/>
        <item x="3522"/>
        <item x="1814"/>
        <item x="7395"/>
        <item x="465"/>
        <item x="2135"/>
        <item x="5742"/>
        <item x="7628"/>
        <item x="8624"/>
        <item x="1271"/>
        <item x="5540"/>
        <item x="1563"/>
        <item x="3320"/>
        <item x="2101"/>
        <item x="8448"/>
        <item x="6961"/>
        <item x="2931"/>
        <item x="6638"/>
        <item x="7763"/>
        <item x="5565"/>
        <item x="3597"/>
        <item x="7582"/>
        <item x="8126"/>
        <item x="2896"/>
        <item x="6393"/>
        <item x="2054"/>
        <item x="1359"/>
        <item x="8023"/>
        <item x="8000"/>
        <item x="83"/>
        <item x="5200"/>
        <item x="4766"/>
        <item x="1209"/>
        <item x="3851"/>
        <item x="6652"/>
        <item x="5382"/>
        <item x="8470"/>
        <item x="2925"/>
        <item x="5678"/>
        <item x="2870"/>
        <item x="2048"/>
        <item x="6792"/>
        <item x="7749"/>
        <item x="1008"/>
        <item x="5843"/>
        <item x="3952"/>
        <item x="7290"/>
        <item x="3483"/>
        <item x="839"/>
        <item x="347"/>
        <item x="8682"/>
        <item x="8726"/>
        <item x="5810"/>
        <item x="5975"/>
        <item x="8468"/>
        <item x="3072"/>
        <item x="430"/>
        <item x="1758"/>
        <item x="4025"/>
        <item x="7198"/>
        <item x="3446"/>
        <item x="4126"/>
        <item x="2980"/>
        <item x="5066"/>
        <item x="6211"/>
        <item x="6729"/>
        <item x="6892"/>
        <item x="494"/>
        <item x="4940"/>
        <item x="3842"/>
        <item x="8501"/>
        <item x="4800"/>
        <item x="8768"/>
        <item x="3949"/>
        <item x="7814"/>
        <item x="5551"/>
        <item x="5802"/>
        <item x="1101"/>
        <item x="3484"/>
        <item x="1430"/>
        <item x="6495"/>
        <item x="89"/>
        <item x="7127"/>
        <item x="1915"/>
        <item x="4622"/>
        <item x="3688"/>
        <item x="746"/>
        <item x="6027"/>
        <item x="5835"/>
        <item x="3213"/>
        <item x="5639"/>
        <item x="1401"/>
        <item x="3673"/>
        <item x="6796"/>
        <item x="2918"/>
        <item x="4527"/>
        <item x="5884"/>
        <item x="4590"/>
        <item x="3432"/>
        <item x="2878"/>
        <item x="3338"/>
        <item x="6695"/>
        <item x="5300"/>
        <item x="3094"/>
        <item x="6021"/>
        <item x="7203"/>
        <item x="4109"/>
        <item x="2493"/>
        <item x="477"/>
        <item x="4047"/>
        <item x="4414"/>
        <item x="7135"/>
        <item x="5559"/>
        <item x="7613"/>
        <item x="3128"/>
        <item x="625"/>
        <item x="3229"/>
        <item x="6940"/>
        <item x="3187"/>
        <item x="1438"/>
        <item x="5432"/>
        <item x="822"/>
        <item x="7995"/>
        <item x="8316"/>
        <item x="1700"/>
        <item x="5901"/>
        <item x="4282"/>
        <item x="6259"/>
        <item x="3051"/>
        <item x="4428"/>
        <item x="198"/>
        <item x="2826"/>
        <item x="104"/>
        <item x="6123"/>
        <item x="458"/>
        <item x="7000"/>
        <item x="6311"/>
        <item x="5097"/>
        <item x="387"/>
        <item x="6453"/>
        <item x="1203"/>
        <item x="5466"/>
        <item x="1006"/>
        <item x="8340"/>
        <item x="3476"/>
        <item x="8652"/>
        <item x="6842"/>
        <item x="3880"/>
        <item x="649"/>
        <item x="3267"/>
        <item x="2085"/>
        <item x="2438"/>
        <item x="3371"/>
        <item x="4462"/>
        <item x="1820"/>
        <item x="1870"/>
        <item x="5451"/>
        <item x="4659"/>
        <item x="5815"/>
        <item x="7334"/>
        <item x="4499"/>
        <item x="7485"/>
        <item x="7915"/>
        <item x="577"/>
        <item x="6043"/>
        <item x="1255"/>
        <item x="203"/>
        <item x="1417"/>
        <item x="2788"/>
        <item x="771"/>
        <item x="6128"/>
        <item x="4855"/>
        <item x="3093"/>
        <item x="989"/>
        <item x="4356"/>
        <item x="6202"/>
        <item x="7349"/>
        <item x="19"/>
        <item x="7584"/>
        <item x="1278"/>
        <item x="977"/>
        <item x="798"/>
        <item x="3640"/>
        <item x="7879"/>
        <item x="8651"/>
        <item x="6473"/>
        <item x="2547"/>
        <item x="7211"/>
        <item x="2223"/>
        <item x="921"/>
        <item x="2564"/>
        <item x="1628"/>
        <item x="6457"/>
        <item x="1871"/>
        <item x="28"/>
        <item x="4562"/>
        <item x="5842"/>
        <item x="6536"/>
        <item x="8460"/>
        <item x="4496"/>
        <item x="984"/>
        <item x="5688"/>
        <item x="7708"/>
        <item x="6967"/>
        <item x="2959"/>
        <item x="4809"/>
        <item x="3582"/>
        <item x="5065"/>
        <item x="1371"/>
        <item x="4477"/>
        <item x="2279"/>
        <item x="5927"/>
        <item x="3455"/>
        <item x="1832"/>
        <item x="807"/>
        <item x="6097"/>
        <item x="8765"/>
        <item x="759"/>
        <item x="1984"/>
        <item x="3633"/>
        <item x="6802"/>
        <item x="2017"/>
        <item x="5370"/>
        <item x="5807"/>
        <item x="8346"/>
        <item x="787"/>
        <item x="833"/>
        <item x="1166"/>
        <item x="2584"/>
        <item x="284"/>
        <item x="291"/>
        <item x="3754"/>
        <item x="2950"/>
        <item x="2122"/>
        <item x="1091"/>
        <item x="6178"/>
        <item x="5743"/>
        <item x="6847"/>
        <item x="3312"/>
        <item x="831"/>
        <item x="1902"/>
        <item x="8079"/>
        <item x="7523"/>
        <item x="5437"/>
        <item x="5503"/>
        <item x="8084"/>
        <item x="5477"/>
        <item x="2452"/>
        <item x="2525"/>
        <item x="361"/>
        <item x="7583"/>
        <item x="8352"/>
        <item x="5717"/>
        <item x="4409"/>
        <item x="8275"/>
        <item x="501"/>
        <item x="2065"/>
        <item x="7629"/>
        <item x="5759"/>
        <item x="5660"/>
        <item x="4284"/>
        <item x="3911"/>
        <item x="945"/>
        <item x="7146"/>
        <item x="3149"/>
        <item x="1230"/>
        <item x="5672"/>
        <item x="496"/>
        <item x="5508"/>
        <item x="7239"/>
        <item x="2863"/>
        <item x="114"/>
        <item x="5165"/>
        <item x="5972"/>
        <item x="6670"/>
        <item x="8280"/>
        <item x="1440"/>
        <item x="7646"/>
        <item x="3120"/>
        <item x="2301"/>
        <item x="1330"/>
        <item x="5126"/>
        <item x="8383"/>
        <item x="7473"/>
        <item x="6937"/>
        <item x="8253"/>
        <item x="7625"/>
        <item x="2876"/>
        <item x="7360"/>
        <item x="7417"/>
        <item x="677"/>
        <item x="5095"/>
        <item x="2501"/>
        <item x="4561"/>
        <item x="4657"/>
        <item x="2665"/>
        <item x="8375"/>
        <item x="1818"/>
        <item x="6853"/>
        <item x="7001"/>
        <item x="290"/>
        <item x="8123"/>
        <item x="6353"/>
        <item x="8057"/>
        <item x="2088"/>
        <item x="5958"/>
        <item x="7930"/>
        <item x="6210"/>
        <item x="2113"/>
        <item x="510"/>
        <item x="4702"/>
        <item x="7344"/>
        <item x="7803"/>
        <item x="2365"/>
        <item x="7768"/>
        <item x="1546"/>
        <item x="8716"/>
        <item x="6201"/>
        <item x="615"/>
        <item x="5369"/>
        <item x="2112"/>
        <item x="8403"/>
        <item x="6658"/>
        <item x="2704"/>
        <item x="6676"/>
        <item x="1750"/>
        <item x="8467"/>
        <item x="6080"/>
        <item x="7827"/>
        <item x="4651"/>
        <item x="8022"/>
        <item x="4325"/>
        <item x="5107"/>
        <item x="1821"/>
        <item x="8509"/>
        <item x="3746"/>
        <item x="642"/>
        <item x="6183"/>
        <item x="5831"/>
        <item x="2432"/>
        <item x="6306"/>
        <item x="5735"/>
        <item x="6091"/>
        <item x="5663"/>
        <item x="4905"/>
        <item x="3642"/>
        <item x="7018"/>
        <item x="7961"/>
        <item x="1968"/>
        <item x="2272"/>
        <item x="6084"/>
        <item x="2548"/>
        <item x="4884"/>
        <item x="7707"/>
        <item x="4653"/>
        <item x="8121"/>
        <item x="701"/>
        <item x="1190"/>
        <item x="7119"/>
        <item x="5582"/>
        <item x="8004"/>
        <item x="3392"/>
        <item x="6480"/>
        <item x="7852"/>
        <item x="7031"/>
        <item x="6543"/>
        <item x="4078"/>
        <item x="3047"/>
        <item x="6840"/>
        <item x="6354"/>
        <item x="4731"/>
        <item x="865"/>
        <item x="4242"/>
        <item x="1282"/>
        <item x="2573"/>
        <item x="3105"/>
        <item x="6343"/>
        <item x="6538"/>
        <item x="8300"/>
        <item x="6698"/>
        <item x="7700"/>
        <item x="546"/>
        <item x="6593"/>
        <item x="5756"/>
        <item x="4204"/>
        <item x="1554"/>
        <item x="2168"/>
        <item x="5267"/>
        <item x="6574"/>
        <item x="5051"/>
        <item x="1352"/>
        <item x="3694"/>
        <item x="3568"/>
        <item x="8059"/>
        <item x="1852"/>
        <item x="4276"/>
        <item x="2464"/>
        <item x="8279"/>
        <item x="6225"/>
        <item x="5164"/>
        <item x="4770"/>
        <item x="4023"/>
        <item x="5012"/>
        <item x="560"/>
        <item x="3639"/>
        <item x="5984"/>
        <item x="7172"/>
        <item x="6200"/>
        <item x="990"/>
        <item x="1186"/>
        <item x="3343"/>
        <item x="3278"/>
        <item x="3106"/>
        <item x="8739"/>
        <item x="6162"/>
        <item x="5769"/>
        <item x="470"/>
        <item x="8754"/>
        <item x="7383"/>
        <item x="7990"/>
        <item x="3604"/>
        <item x="1662"/>
        <item x="3683"/>
        <item x="223"/>
        <item x="8229"/>
        <item x="7102"/>
        <item x="4790"/>
        <item x="5855"/>
        <item x="7720"/>
        <item x="8315"/>
        <item x="6621"/>
        <item x="5071"/>
        <item x="5634"/>
        <item x="1010"/>
        <item x="3017"/>
        <item x="8596"/>
        <item x="137"/>
        <item x="3980"/>
        <item x="1413"/>
        <item x="8067"/>
        <item x="1319"/>
        <item x="6335"/>
        <item x="3905"/>
        <item x="1178"/>
        <item x="4403"/>
        <item x="8093"/>
        <item x="3740"/>
        <item x="7546"/>
        <item x="8061"/>
        <item x="541"/>
        <item x="3816"/>
        <item x="2307"/>
        <item x="6383"/>
        <item x="3630"/>
        <item x="3598"/>
        <item x="7679"/>
        <item x="5547"/>
        <item x="2382"/>
        <item x="6893"/>
        <item x="17"/>
        <item x="1034"/>
        <item x="439"/>
        <item x="7612"/>
        <item x="955"/>
        <item x="8764"/>
        <item x="8154"/>
        <item x="1781"/>
        <item x="6720"/>
        <item x="8463"/>
        <item x="1647"/>
        <item x="732"/>
        <item x="8425"/>
        <item x="47"/>
        <item x="2021"/>
        <item x="8417"/>
        <item x="5640"/>
        <item x="2417"/>
        <item x="4336"/>
        <item x="8796"/>
        <item x="5987"/>
        <item x="252"/>
        <item x="8274"/>
        <item x="7616"/>
        <item x="7356"/>
        <item x="3602"/>
        <item x="4872"/>
        <item x="1276"/>
        <item x="4429"/>
        <item x="5631"/>
        <item x="3285"/>
        <item x="6218"/>
        <item x="4963"/>
        <item x="1232"/>
        <item x="7386"/>
        <item x="5094"/>
        <item x="4945"/>
        <item x="5804"/>
        <item x="5456"/>
        <item x="4163"/>
        <item x="5266"/>
        <item x="3768"/>
        <item x="7206"/>
        <item x="4988"/>
        <item x="3863"/>
        <item x="859"/>
        <item x="2689"/>
        <item x="738"/>
        <item x="3111"/>
        <item x="6447"/>
        <item x="5724"/>
        <item x="8297"/>
        <item x="7265"/>
        <item x="8760"/>
        <item x="2416"/>
        <item x="155"/>
        <item x="4668"/>
        <item x="607"/>
        <item x="7919"/>
        <item x="3925"/>
        <item x="158"/>
        <item x="4601"/>
        <item x="1444"/>
        <item x="4712"/>
        <item x="256"/>
        <item x="7034"/>
        <item x="5560"/>
        <item x="7524"/>
        <item x="1967"/>
        <item x="2624"/>
        <item x="5478"/>
        <item x="2955"/>
        <item x="4626"/>
        <item x="7943"/>
        <item x="8644"/>
        <item x="7659"/>
        <item x="8005"/>
        <item x="7791"/>
        <item x="6854"/>
        <item x="3319"/>
        <item x="4518"/>
        <item x="6217"/>
        <item x="1908"/>
        <item x="2294"/>
        <item x="2933"/>
        <item x="5907"/>
        <item x="4893"/>
        <item x="1302"/>
        <item x="7968"/>
        <item x="1812"/>
        <item x="421"/>
        <item x="1602"/>
        <item x="4818"/>
        <item x="2257"/>
        <item x="2991"/>
        <item x="2808"/>
        <item x="907"/>
        <item x="2737"/>
        <item x="8507"/>
        <item x="6271"/>
        <item x="3938"/>
        <item x="1467"/>
        <item x="840"/>
        <item x="5011"/>
        <item x="4424"/>
        <item x="4152"/>
        <item x="8418"/>
        <item x="2160"/>
        <item x="1217"/>
        <item x="7671"/>
        <item x="6385"/>
        <item x="3899"/>
        <item x="5111"/>
        <item x="5511"/>
        <item x="5193"/>
        <item x="6812"/>
        <item x="7086"/>
        <item x="4896"/>
        <item x="925"/>
        <item x="2270"/>
        <item x="5322"/>
        <item x="1039"/>
        <item x="7477"/>
        <item x="7022"/>
        <item x="8014"/>
        <item x="7601"/>
        <item x="8588"/>
        <item x="7277"/>
        <item x="7957"/>
        <item x="6625"/>
        <item x="6714"/>
        <item x="2230"/>
        <item x="7388"/>
        <item x="7421"/>
        <item x="3421"/>
        <item x="383"/>
        <item x="6268"/>
        <item x="168"/>
        <item x="2800"/>
        <item x="4173"/>
        <item x="6161"/>
        <item x="1525"/>
        <item x="7059"/>
        <item x="4637"/>
        <item x="4304"/>
        <item x="2631"/>
        <item x="286"/>
        <item x="1244"/>
        <item x="2687"/>
        <item x="2897"/>
        <item x="2116"/>
        <item x="4878"/>
        <item x="658"/>
        <item x="8135"/>
        <item x="5226"/>
        <item x="6781"/>
        <item x="2285"/>
        <item x="2629"/>
        <item x="1884"/>
        <item x="3427"/>
        <item x="2554"/>
        <item x="5081"/>
        <item x="1145"/>
        <item x="5455"/>
        <item x="2159"/>
        <item x="1420"/>
        <item x="1386"/>
        <item x="2627"/>
        <item x="5693"/>
        <item x="7596"/>
        <item x="5502"/>
        <item x="2747"/>
        <item x="5568"/>
        <item x="8479"/>
        <item x="3260"/>
        <item x="5776"/>
        <item x="3150"/>
        <item x="2891"/>
        <item x="6410"/>
        <item x="4017"/>
        <item x="5692"/>
        <item x="2854"/>
        <item x="2680"/>
        <item x="7850"/>
        <item x="6169"/>
        <item x="8203"/>
        <item x="5273"/>
        <item x="8007"/>
        <item x="1735"/>
        <item x="5721"/>
        <item x="7382"/>
        <item x="2707"/>
        <item x="6924"/>
        <item x="4065"/>
        <item x="72"/>
        <item x="5906"/>
        <item x="7641"/>
        <item x="2872"/>
        <item x="5199"/>
        <item x="7837"/>
        <item x="111"/>
        <item x="6671"/>
        <item x="6459"/>
        <item x="4623"/>
        <item x="4247"/>
        <item x="7"/>
        <item x="1390"/>
        <item x="1184"/>
        <item x="7800"/>
        <item x="8231"/>
        <item x="2350"/>
        <item x="3891"/>
        <item x="6998"/>
        <item x="2423"/>
        <item x="2630"/>
        <item x="8233"/>
        <item x="1562"/>
        <item x="5297"/>
        <item x="4882"/>
        <item x="670"/>
        <item x="6780"/>
        <item x="3706"/>
        <item x="7411"/>
        <item x="4777"/>
        <item x="7602"/>
        <item x="121"/>
        <item x="2506"/>
        <item x="6232"/>
        <item x="5409"/>
        <item x="117"/>
        <item x="3434"/>
        <item x="8677"/>
        <item x="2741"/>
        <item x="5194"/>
        <item x="827"/>
        <item x="1822"/>
        <item x="8185"/>
        <item x="4959"/>
        <item x="123"/>
        <item x="1726"/>
        <item x="8089"/>
        <item x="2376"/>
        <item x="4486"/>
        <item x="8692"/>
        <item x="5227"/>
        <item x="7145"/>
        <item x="8481"/>
        <item x="6017"/>
        <item x="7831"/>
        <item x="2001"/>
        <item x="5897"/>
        <item x="4684"/>
        <item x="2405"/>
        <item x="7197"/>
        <item x="8046"/>
        <item x="1056"/>
        <item x="6450"/>
        <item x="6373"/>
        <item x="5215"/>
        <item x="6069"/>
        <item x="2331"/>
        <item x="6550"/>
        <item x="1306"/>
        <item x="7756"/>
        <item x="7109"/>
        <item x="1868"/>
        <item x="1838"/>
        <item x="1551"/>
        <item x="1660"/>
        <item x="8341"/>
        <item x="152"/>
        <item x="5195"/>
        <item x="548"/>
        <item x="2786"/>
        <item x="7291"/>
        <item x="4292"/>
        <item x="5222"/>
        <item x="837"/>
        <item x="7634"/>
        <item x="2012"/>
        <item x="2694"/>
        <item x="5315"/>
        <item x="4198"/>
        <item x="1284"/>
        <item x="443"/>
        <item x="8158"/>
        <item x="3714"/>
        <item x="3108"/>
        <item x="1865"/>
        <item x="3368"/>
        <item x="5459"/>
        <item x="3772"/>
        <item x="3933"/>
        <item x="2970"/>
        <item x="4367"/>
        <item x="2604"/>
        <item x="5305"/>
        <item x="1297"/>
        <item x="6857"/>
        <item x="2178"/>
        <item x="7830"/>
        <item x="3374"/>
        <item x="7617"/>
        <item x="3393"/>
        <item x="3715"/>
        <item x="4350"/>
        <item x="8551"/>
        <item x="1595"/>
        <item x="655"/>
        <item x="1615"/>
        <item x="6631"/>
        <item x="1513"/>
        <item x="3637"/>
        <item x="747"/>
        <item x="5642"/>
        <item x="3508"/>
        <item x="5416"/>
        <item x="62"/>
        <item x="6969"/>
        <item x="5558"/>
        <item x="8666"/>
        <item x="5670"/>
        <item x="3433"/>
        <item x="3419"/>
        <item x="2444"/>
        <item x="1742"/>
        <item x="6391"/>
        <item x="6970"/>
        <item x="5431"/>
        <item x="8047"/>
        <item x="4825"/>
        <item x="418"/>
        <item x="5403"/>
        <item x="2327"/>
        <item x="949"/>
        <item x="8457"/>
        <item x="3186"/>
        <item x="3722"/>
        <item x="1771"/>
        <item x="1544"/>
        <item x="7498"/>
        <item x="5879"/>
        <item x="8205"/>
        <item x="4750"/>
        <item x="1172"/>
        <item x="5234"/>
        <item x="802"/>
        <item x="5682"/>
        <item x="5401"/>
        <item x="5505"/>
        <item x="637"/>
        <item x="3672"/>
        <item x="4184"/>
        <item x="1375"/>
        <item x="2393"/>
        <item x="3977"/>
        <item x="877"/>
        <item x="3306"/>
        <item x="4549"/>
        <item x="8080"/>
        <item x="8214"/>
        <item x="2157"/>
        <item x="5365"/>
        <item x="7468"/>
        <item x="163"/>
        <item x="1436"/>
        <item x="3780"/>
        <item x="4591"/>
        <item x="1678"/>
        <item x="3495"/>
        <item x="345"/>
        <item x="8008"/>
        <item x="7903"/>
        <item x="1037"/>
        <item x="8518"/>
        <item x="3174"/>
        <item x="5091"/>
        <item x="3705"/>
        <item x="934"/>
        <item x="7139"/>
        <item x="6007"/>
        <item x="3619"/>
        <item x="7029"/>
        <item x="2480"/>
        <item x="616"/>
        <item x="3248"/>
        <item x="7907"/>
        <item x="4717"/>
        <item x="6817"/>
        <item x="6748"/>
        <item x="7785"/>
        <item x="403"/>
        <item x="937"/>
        <item x="2903"/>
        <item x="4156"/>
        <item x="6685"/>
        <item x="6975"/>
        <item x="8056"/>
        <item x="6438"/>
        <item x="6734"/>
        <item x="1142"/>
        <item x="6071"/>
        <item x="1629"/>
        <item x="6995"/>
        <item x="6310"/>
        <item x="4311"/>
        <item x="5330"/>
        <item x="712"/>
        <item x="7101"/>
        <item x="269"/>
        <item x="1721"/>
        <item x="2734"/>
        <item x="2037"/>
        <item x="7480"/>
        <item x="8021"/>
        <item x="6653"/>
        <item x="7811"/>
        <item x="7165"/>
        <item x="3177"/>
        <item x="8211"/>
        <item x="1697"/>
        <item x="826"/>
        <item x="5000"/>
        <item x="5271"/>
        <item x="6528"/>
        <item x="4449"/>
        <item x="6717"/>
        <item x="1328"/>
        <item x="4797"/>
        <item x="6012"/>
        <item x="2370"/>
        <item x="5994"/>
        <item x="435"/>
        <item x="1291"/>
        <item x="1995"/>
        <item x="1837"/>
        <item x="4785"/>
        <item x="6088"/>
        <item x="422"/>
        <item x="3698"/>
        <item x="531"/>
        <item x="5765"/>
        <item x="5848"/>
        <item x="5782"/>
        <item x="6337"/>
        <item x="2651"/>
        <item x="4865"/>
        <item x="4926"/>
        <item x="6959"/>
        <item x="6541"/>
        <item x="6477"/>
        <item x="1109"/>
        <item x="8303"/>
        <item x="2311"/>
        <item x="4759"/>
        <item x="7141"/>
        <item x="6708"/>
        <item x="7541"/>
        <item x="353"/>
        <item x="6439"/>
        <item x="7381"/>
        <item x="5934"/>
        <item x="6518"/>
        <item x="4293"/>
        <item x="1897"/>
        <item x="6379"/>
        <item x="6611"/>
        <item x="3511"/>
        <item x="2976"/>
        <item x="2249"/>
        <item x="1720"/>
        <item x="3904"/>
        <item x="1791"/>
        <item x="8767"/>
        <item x="3236"/>
        <item x="3896"/>
        <item x="3214"/>
        <item x="5900"/>
        <item x="4270"/>
        <item x="3184"/>
        <item x="2426"/>
        <item x="4517"/>
        <item x="3777"/>
        <item x="8799"/>
        <item x="3086"/>
        <item x="2364"/>
        <item x="4680"/>
        <item x="1893"/>
        <item x="1987"/>
        <item x="5379"/>
        <item x="8456"/>
        <item x="281"/>
        <item x="4318"/>
        <item x="4772"/>
        <item x="1138"/>
        <item x="8464"/>
        <item x="7519"/>
        <item x="3098"/>
        <item x="7899"/>
        <item x="1524"/>
        <item x="5144"/>
        <item x="707"/>
        <item x="3591"/>
        <item x="2472"/>
        <item x="2429"/>
        <item x="6989"/>
        <item x="268"/>
        <item x="899"/>
        <item x="3006"/>
        <item x="1267"/>
        <item x="1506"/>
        <item x="6779"/>
        <item x="8263"/>
        <item x="1264"/>
        <item x="5623"/>
        <item x="1638"/>
        <item x="2206"/>
        <item x="2190"/>
        <item x="459"/>
        <item x="8791"/>
        <item x="4355"/>
        <item x="4771"/>
        <item x="4010"/>
        <item x="7880"/>
        <item x="5859"/>
        <item x="2612"/>
        <item x="6049"/>
        <item x="6596"/>
        <item x="8366"/>
        <item x="3471"/>
        <item x="8575"/>
        <item x="778"/>
        <item x="2351"/>
        <item x="885"/>
        <item x="8733"/>
        <item x="472"/>
        <item x="8710"/>
        <item x="432"/>
        <item x="1455"/>
        <item x="5293"/>
        <item x="2362"/>
        <item x="6398"/>
        <item x="6092"/>
        <item x="7439"/>
        <item x="2504"/>
        <item x="1752"/>
        <item x="6215"/>
        <item x="4391"/>
        <item x="5249"/>
        <item x="1424"/>
        <item x="5096"/>
        <item x="4101"/>
        <item x="8291"/>
        <item x="4334"/>
        <item x="7893"/>
        <item x="4438"/>
        <item x="1463"/>
        <item x="2209"/>
        <item x="8573"/>
        <item x="6078"/>
        <item x="4316"/>
        <item x="7107"/>
        <item x="1746"/>
        <item x="2517"/>
        <item x="336"/>
        <item x="4960"/>
        <item x="6952"/>
        <item x="1768"/>
        <item x="4786"/>
        <item x="1566"/>
        <item x="1556"/>
        <item x="7447"/>
        <item x="4724"/>
        <item x="39"/>
        <item x="3044"/>
        <item x="1655"/>
        <item x="7276"/>
        <item x="5309"/>
        <item x="5114"/>
        <item x="7838"/>
        <item x="8742"/>
        <item x="2062"/>
        <item x="3910"/>
        <item x="1927"/>
        <item x="6683"/>
        <item x="7501"/>
        <item x="7569"/>
        <item x="4339"/>
        <item x="4216"/>
        <item x="8606"/>
        <item x="5513"/>
        <item x="5419"/>
        <item x="7810"/>
        <item x="6135"/>
        <item x="2693"/>
        <item x="6642"/>
        <item x="1432"/>
        <item x="109"/>
        <item x="8207"/>
        <item x="2622"/>
        <item x="6793"/>
        <item x="2673"/>
        <item x="3239"/>
        <item x="7792"/>
        <item x="2892"/>
        <item x="3898"/>
        <item x="8427"/>
        <item x="6551"/>
        <item x="6633"/>
        <item x="8554"/>
        <item x="5235"/>
        <item x="648"/>
        <item x="6610"/>
        <item x="4494"/>
        <item x="3293"/>
        <item x="7366"/>
        <item x="2411"/>
        <item x="2460"/>
        <item x="974"/>
        <item x="18"/>
        <item x="529"/>
        <item x="5017"/>
        <item x="8063"/>
        <item x="5002"/>
        <item x="4585"/>
        <item x="8574"/>
        <item x="919"/>
        <item x="3998"/>
        <item x="8455"/>
        <item x="3298"/>
        <item x="2945"/>
        <item x="2202"/>
        <item x="375"/>
        <item x="8225"/>
        <item x="2324"/>
        <item x="892"/>
        <item x="6428"/>
        <item x="5919"/>
        <item x="1644"/>
        <item x="7484"/>
        <item x="4542"/>
        <item x="5080"/>
        <item x="7515"/>
        <item x="350"/>
        <item x="2170"/>
        <item x="7245"/>
        <item x="2234"/>
        <item x="7420"/>
        <item x="6916"/>
        <item x="4913"/>
        <item x="2150"/>
        <item x="8565"/>
        <item x="5264"/>
        <item x="867"/>
        <item x="226"/>
        <item x="7374"/>
        <item x="7543"/>
        <item x="5959"/>
        <item x="7084"/>
        <item x="4227"/>
        <item x="8620"/>
        <item x="2381"/>
        <item x="3043"/>
        <item x="4186"/>
        <item x="4179"/>
        <item x="6498"/>
        <item x="4008"/>
        <item x="6646"/>
        <item x="4058"/>
        <item x="2995"/>
        <item x="71"/>
        <item x="5903"/>
        <item x="230"/>
        <item x="3076"/>
        <item x="523"/>
        <item x="729"/>
        <item x="1815"/>
        <item x="1458"/>
        <item x="45"/>
        <item x="8599"/>
        <item x="4330"/>
        <item x="5056"/>
        <item x="6193"/>
        <item x="6407"/>
        <item x="5816"/>
        <item x="7175"/>
        <item x="5730"/>
        <item x="3620"/>
        <item x="6512"/>
        <item x="1899"/>
        <item x="1225"/>
        <item x="1941"/>
        <item x="1407"/>
        <item x="5822"/>
        <item x="7806"/>
        <item x="4260"/>
        <item x="3365"/>
        <item x="5930"/>
        <item x="2568"/>
        <item x="8443"/>
        <item x="1364"/>
        <item x="770"/>
        <item x="5755"/>
        <item x="1334"/>
        <item x="7284"/>
        <item x="8242"/>
        <item x="2434"/>
        <item x="5785"/>
        <item x="1895"/>
        <item x="5355"/>
        <item x="2530"/>
        <item x="4665"/>
        <item x="4980"/>
        <item x="1778"/>
        <item x="8367"/>
        <item x="7955"/>
        <item x="3974"/>
        <item x="3520"/>
        <item x="7925"/>
        <item x="3078"/>
        <item x="5580"/>
        <item x="3893"/>
        <item x="4775"/>
        <item x="2474"/>
        <item x="6483"/>
        <item x="6336"/>
        <item x="5911"/>
        <item x="4672"/>
        <item x="8628"/>
        <item x="3840"/>
        <item x="6073"/>
        <item x="3337"/>
        <item x="1797"/>
        <item x="3675"/>
        <item x="3478"/>
        <item x="6674"/>
        <item x="8107"/>
        <item x="8015"/>
        <item x="7246"/>
        <item x="1118"/>
        <item x="2645"/>
        <item x="6436"/>
        <item x="7615"/>
        <item x="6321"/>
        <item x="857"/>
        <item x="6920"/>
        <item x="6785"/>
        <item x="8369"/>
        <item x="6513"/>
        <item x="4556"/>
        <item x="3469"/>
        <item x="1703"/>
        <item x="2663"/>
        <item x="7400"/>
        <item x="4824"/>
        <item x="832"/>
        <item x="790"/>
        <item x="4663"/>
        <item x="3854"/>
        <item x="7530"/>
        <item x="3730"/>
        <item x="8701"/>
        <item x="8483"/>
        <item x="6594"/>
        <item x="8590"/>
        <item x="3124"/>
        <item x="3697"/>
        <item x="950"/>
        <item x="7129"/>
        <item x="1378"/>
        <item x="2777"/>
        <item x="355"/>
        <item x="2174"/>
        <item x="2133"/>
        <item x="7061"/>
        <item x="1855"/>
        <item x="6052"/>
        <item x="4420"/>
        <item x="1251"/>
        <item x="834"/>
        <item x="7072"/>
        <item x="1696"/>
        <item x="3667"/>
        <item x="3152"/>
        <item x="3512"/>
        <item x="7918"/>
        <item x="4255"/>
        <item x="8387"/>
        <item x="1059"/>
        <item x="1415"/>
        <item x="6585"/>
        <item x="6011"/>
        <item x="1740"/>
        <item x="6002"/>
        <item x="1957"/>
        <item x="5457"/>
        <item x="8284"/>
        <item x="6"/>
        <item x="8795"/>
        <item x="4273"/>
        <item x="4877"/>
        <item x="328"/>
        <item x="4371"/>
        <item x="6819"/>
        <item x="6974"/>
        <item x="3769"/>
        <item x="1028"/>
        <item x="4436"/>
        <item x="7089"/>
        <item x="1666"/>
        <item x="5697"/>
        <item x="8312"/>
        <item x="8498"/>
        <item x="2483"/>
        <item x="8311"/>
        <item x="5866"/>
        <item x="7044"/>
        <item x="1240"/>
        <item x="5483"/>
        <item x="7606"/>
        <item x="5152"/>
        <item x="7734"/>
        <item x="8571"/>
        <item x="184"/>
        <item x="7544"/>
        <item x="6181"/>
        <item x="8503"/>
        <item x="6166"/>
        <item x="6292"/>
        <item x="4161"/>
        <item x="1878"/>
        <item x="6300"/>
        <item x="2834"/>
        <item x="993"/>
        <item x="150"/>
        <item x="5383"/>
        <item x="4165"/>
        <item x="6511"/>
        <item x="3829"/>
        <item x="5405"/>
        <item x="7079"/>
        <item x="4054"/>
        <item x="8109"/>
        <item x="1541"/>
        <item x="7053"/>
        <item x="5039"/>
        <item x="4675"/>
        <item x="5048"/>
        <item x="1536"/>
        <item x="2608"/>
        <item x="3451"/>
        <item x="5646"/>
        <item x="1877"/>
        <item x="3758"/>
        <item x="661"/>
        <item x="3595"/>
        <item x="434"/>
        <item x="3192"/>
        <item x="8196"/>
        <item x="1054"/>
        <item x="1146"/>
        <item x="1755"/>
        <item x="251"/>
        <item x="6900"/>
        <item x="3559"/>
        <item x="6277"/>
        <item x="1589"/>
        <item x="4291"/>
        <item x="1633"/>
        <item x="8076"/>
        <item x="1714"/>
        <item x="8042"/>
        <item x="8660"/>
        <item x="7589"/>
        <item x="3824"/>
        <item x="7133"/>
        <item x="5396"/>
        <item x="1896"/>
        <item x="598"/>
        <item x="4713"/>
        <item x="7153"/>
        <item x="6261"/>
        <item x="5636"/>
        <item x="311"/>
        <item x="130"/>
        <item x="7719"/>
        <item x="4545"/>
        <item x="2129"/>
        <item x="6651"/>
        <item x="205"/>
        <item x="1642"/>
        <item x="1208"/>
        <item x="2686"/>
        <item x="1501"/>
        <item x="2815"/>
        <item x="8208"/>
        <item x="6534"/>
        <item x="8171"/>
        <item x="5569"/>
        <item x="6403"/>
        <item x="660"/>
        <item x="1823"/>
        <item x="1511"/>
        <item x="5439"/>
        <item x="6081"/>
        <item x="3406"/>
        <item x="3008"/>
        <item x="5031"/>
        <item x="463"/>
        <item x="6944"/>
        <item x="352"/>
        <item x="540"/>
        <item x="1446"/>
        <item x="8789"/>
        <item x="8413"/>
        <item x="3827"/>
        <item x="2864"/>
        <item x="8769"/>
        <item x="7825"/>
        <item x="6361"/>
        <item x="4121"/>
        <item x="7075"/>
        <item x="667"/>
        <item x="1450"/>
        <item x="4768"/>
        <item x="525"/>
        <item x="7394"/>
        <item x="179"/>
        <item x="2906"/>
        <item x="6238"/>
        <item x="6814"/>
        <item x="653"/>
        <item x="5868"/>
        <item x="1045"/>
        <item x="6397"/>
        <item x="1998"/>
        <item x="5714"/>
        <item x="8436"/>
        <item x="8672"/>
        <item x="4195"/>
        <item x="2047"/>
        <item x="8445"/>
        <item x="4417"/>
        <item x="5600"/>
        <item x="7459"/>
        <item x="1227"/>
        <item x="6358"/>
        <item x="647"/>
        <item x="605"/>
        <item x="8534"/>
        <item x="77"/>
        <item x="2998"/>
        <item x="6771"/>
        <item x="3526"/>
        <item x="573"/>
        <item x="6194"/>
        <item x="6862"/>
        <item x="7605"/>
        <item x="4034"/>
        <item x="5514"/>
        <item x="2304"/>
        <item x="534"/>
        <item x="1634"/>
        <item x="5698"/>
        <item x="4060"/>
        <item x="4261"/>
        <item x="5729"/>
        <item x="23"/>
        <item x="4470"/>
        <item x="7052"/>
        <item x="6506"/>
        <item x="8546"/>
        <item x="451"/>
        <item x="724"/>
        <item x="7896"/>
        <item x="5010"/>
        <item x="2764"/>
        <item x="5015"/>
        <item x="2905"/>
        <item x="6125"/>
        <item x="1587"/>
        <item x="765"/>
        <item x="7505"/>
        <item x="4076"/>
        <item x="3560"/>
        <item x="3592"/>
        <item x="5154"/>
        <item x="4442"/>
        <item x="7556"/>
        <item x="4000"/>
        <item x="5210"/>
        <item x="5763"/>
        <item x="321"/>
        <item x="3885"/>
        <item x="8026"/>
        <item x="5932"/>
        <item x="3881"/>
        <item x="4218"/>
        <item x="5892"/>
        <item x="5792"/>
        <item x="92"/>
        <item x="1290"/>
        <item x="7200"/>
        <item x="1667"/>
        <item x="4434"/>
        <item x="127"/>
        <item x="678"/>
        <item x="1103"/>
        <item x="7436"/>
        <item x="6378"/>
        <item x="5960"/>
        <item x="3923"/>
        <item x="4799"/>
        <item x="2151"/>
        <item x="2036"/>
        <item x="1313"/>
        <item x="2636"/>
        <item x="1085"/>
        <item x="1673"/>
        <item x="4953"/>
        <item x="3771"/>
        <item x="277"/>
        <item x="3154"/>
        <item x="2097"/>
        <item x="1188"/>
        <item x="6839"/>
        <item x="4243"/>
        <item x="6206"/>
        <item x="2199"/>
        <item x="926"/>
        <item x="5944"/>
        <item x="2652"/>
        <item x="5161"/>
        <item x="2439"/>
        <item x="2422"/>
        <item x="5964"/>
        <item x="27"/>
        <item x="7210"/>
        <item x="713"/>
        <item x="500"/>
        <item x="5752"/>
        <item x="3852"/>
        <item x="3058"/>
        <item x="8674"/>
        <item x="363"/>
        <item x="7430"/>
        <item x="5257"/>
        <item x="2698"/>
        <item x="8480"/>
        <item x="4044"/>
        <item x="5787"/>
        <item x="7163"/>
        <item x="3460"/>
        <item x="4376"/>
        <item x="6509"/>
        <item x="8561"/>
        <item x="2989"/>
        <item x="7777"/>
        <item x="7024"/>
        <item x="2984"/>
        <item x="4094"/>
        <item x="8339"/>
        <item x="6737"/>
        <item x="1890"/>
        <item x="4612"/>
        <item x="5862"/>
        <item x="3089"/>
        <item x="6365"/>
        <item x="36"/>
        <item x="2675"/>
        <item x="5648"/>
        <item x="8492"/>
        <item x="1796"/>
        <item x="5448"/>
        <item x="4294"/>
        <item x="2290"/>
        <item x="3692"/>
        <item x="2600"/>
        <item x="8243"/>
        <item x="4471"/>
        <item x="4222"/>
        <item x="4821"/>
        <item x="1848"/>
        <item x="8782"/>
        <item x="5709"/>
        <item x="1727"/>
        <item x="3202"/>
        <item x="3059"/>
        <item x="1534"/>
        <item x="4602"/>
        <item x="2010"/>
        <item x="4192"/>
        <item x="5130"/>
        <item x="612"/>
        <item x="5340"/>
        <item x="4497"/>
        <item x="2582"/>
        <item x="4398"/>
        <item x="4862"/>
        <item x="3244"/>
        <item x="3763"/>
        <item x="2424"/>
        <item x="2572"/>
        <item x="2224"/>
        <item x="6044"/>
        <item x="7595"/>
        <item x="1333"/>
        <item x="6469"/>
        <item x="5628"/>
        <item x="2497"/>
        <item x="749"/>
        <item x="3122"/>
        <item x="2851"/>
        <item x="4832"/>
        <item x="326"/>
        <item x="7576"/>
        <item x="861"/>
        <item x="5952"/>
        <item x="2293"/>
        <item x="2953"/>
        <item x="4098"/>
        <item x="8142"/>
        <item x="6865"/>
        <item x="3172"/>
        <item x="5434"/>
        <item x="7375"/>
        <item x="8568"/>
        <item x="5653"/>
        <item x="7664"/>
        <item x="1905"/>
        <item x="315"/>
        <item x="8564"/>
        <item x="6994"/>
        <item x="4596"/>
        <item x="4035"/>
        <item x="1004"/>
        <item x="4954"/>
        <item x="8287"/>
        <item x="4430"/>
        <item x="755"/>
        <item x="1663"/>
        <item x="5954"/>
        <item x="8662"/>
        <item x="8050"/>
        <item x="1441"/>
        <item x="5909"/>
        <item x="78"/>
        <item x="8169"/>
        <item x="4394"/>
        <item x="6158"/>
        <item x="2006"/>
        <item x="4066"/>
        <item x="6687"/>
        <item x="8508"/>
        <item x="3743"/>
        <item x="5819"/>
        <item x="4660"/>
        <item x="1844"/>
        <item x="7737"/>
        <item x="143"/>
        <item x="1259"/>
        <item x="4331"/>
        <item x="6823"/>
        <item x="5881"/>
        <item x="7259"/>
        <item x="4773"/>
        <item x="142"/>
        <item x="6525"/>
        <item x="3488"/>
        <item x="799"/>
        <item x="1552"/>
        <item x="5333"/>
        <item x="6231"/>
        <item x="538"/>
        <item x="2967"/>
        <item x="416"/>
        <item x="5546"/>
        <item x="5016"/>
        <item x="8473"/>
        <item x="5447"/>
        <item x="3159"/>
        <item x="4399"/>
        <item x="2503"/>
        <item x="6546"/>
        <item x="4180"/>
        <item x="2730"/>
        <item x="5336"/>
        <item x="2030"/>
        <item x="5274"/>
        <item x="5700"/>
        <item x="3291"/>
        <item x="2425"/>
        <item x="951"/>
        <item x="8119"/>
        <item x="7996"/>
        <item x="1437"/>
        <item x="6523"/>
        <item x="8345"/>
        <item x="5135"/>
        <item x="2176"/>
        <item x="1110"/>
        <item x="2840"/>
        <item x="1094"/>
        <item x="3487"/>
        <item x="2549"/>
        <item x="3991"/>
        <item x="2192"/>
        <item x="2330"/>
        <item x="3189"/>
        <item x="8068"/>
        <item x="5168"/>
        <item x="364"/>
        <item x="5995"/>
        <item x="8709"/>
        <item x="8513"/>
        <item x="5794"/>
        <item x="3789"/>
        <item x="7162"/>
        <item x="3155"/>
        <item x="4075"/>
        <item x="4139"/>
        <item x="5988"/>
        <item x="4982"/>
        <item x="2229"/>
        <item x="8679"/>
        <item x="6820"/>
        <item x="4962"/>
        <item x="6437"/>
        <item x="2061"/>
        <item x="3725"/>
        <item x="3110"/>
        <item x="4119"/>
        <item x="2988"/>
        <item x="4335"/>
        <item x="1315"/>
        <item x="4853"/>
        <item x="7706"/>
        <item x="4135"/>
        <item x="760"/>
        <item x="5177"/>
        <item x="4748"/>
        <item x="915"/>
        <item x="3716"/>
        <item x="7271"/>
        <item x="3491"/>
        <item x="6280"/>
        <item x="4089"/>
        <item x="7414"/>
        <item x="4598"/>
        <item x="3190"/>
        <item x="176"/>
        <item x="3860"/>
        <item x="7644"/>
        <item x="4924"/>
        <item x="1991"/>
        <item x="2476"/>
        <item x="2087"/>
        <item x="6665"/>
        <item x="3650"/>
        <item x="2315"/>
        <item x="3724"/>
        <item x="5329"/>
        <item x="5316"/>
        <item x="8052"/>
        <item x="3289"/>
        <item x="4534"/>
        <item x="6979"/>
        <item x="7496"/>
        <item x="909"/>
        <item x="1529"/>
        <item x="5573"/>
        <item x="2957"/>
        <item x="4579"/>
        <item x="8505"/>
        <item x="8668"/>
        <item x="2615"/>
        <item x="2758"/>
        <item x="3994"/>
        <item x="7093"/>
        <item x="3222"/>
        <item x="6367"/>
        <item x="366"/>
        <item x="497"/>
        <item x="6245"/>
        <item x="2247"/>
        <item x="7535"/>
        <item x="6875"/>
        <item x="4730"/>
        <item x="7247"/>
        <item x="8521"/>
        <item x="1951"/>
        <item x="5217"/>
        <item x="5918"/>
        <item x="4864"/>
        <item x="8439"/>
        <item x="5562"/>
        <item x="1309"/>
        <item x="8650"/>
        <item x="601"/>
        <item x="8630"/>
        <item x="2455"/>
        <item x="6887"/>
        <item x="3156"/>
        <item x="7847"/>
        <item x="1874"/>
        <item x="4528"/>
        <item x="7721"/>
        <item x="67"/>
        <item x="745"/>
        <item x="5374"/>
        <item x="1465"/>
        <item x="4088"/>
        <item x="2531"/>
        <item x="8645"/>
        <item x="3585"/>
        <item x="86"/>
        <item x="7818"/>
        <item x="7660"/>
        <item x="5423"/>
        <item x="6623"/>
        <item x="7570"/>
        <item x="8097"/>
        <item x="7542"/>
        <item x="6401"/>
        <item x="2390"/>
        <item x="6905"/>
        <item x="7703"/>
        <item x="2466"/>
        <item x="5893"/>
        <item x="73"/>
        <item x="5825"/>
        <item x="7964"/>
        <item x="3571"/>
        <item x="3443"/>
        <item x="2913"/>
        <item x="1869"/>
        <item x="2108"/>
        <item x="2596"/>
        <item x="1861"/>
        <item x="7385"/>
        <item x="2248"/>
        <item x="6880"/>
        <item x="7992"/>
        <item x="2868"/>
        <item x="3519"/>
        <item x="7549"/>
        <item x="795"/>
        <item x="7471"/>
        <item x="613"/>
        <item x="3939"/>
        <item x="3583"/>
        <item x="6273"/>
        <item x="7074"/>
        <item x="8547"/>
        <item x="1383"/>
        <item x="7121"/>
        <item x="6533"/>
        <item x="8753"/>
        <item x="1053"/>
        <item x="22"/>
        <item x="7181"/>
        <item x="7223"/>
        <item x="2937"/>
        <item x="6515"/>
        <item x="3748"/>
        <item x="4804"/>
        <item x="7010"/>
        <item x="3823"/>
        <item x="3681"/>
        <item x="3897"/>
        <item x="2195"/>
        <item x="8001"/>
        <item x="3181"/>
        <item x="327"/>
        <item x="2500"/>
        <item x="7590"/>
        <item x="4285"/>
        <item x="2535"/>
        <item x="2034"/>
        <item x="5225"/>
        <item x="3552"/>
        <item x="6357"/>
        <item x="8380"/>
        <item x="7217"/>
        <item x="4858"/>
        <item x="6308"/>
        <item x="220"/>
        <item x="4578"/>
        <item x="5247"/>
        <item x="5058"/>
        <item x="2169"/>
        <item x="4313"/>
        <item x="7732"/>
        <item x="4529"/>
        <item x="8654"/>
        <item x="7222"/>
        <item x="4936"/>
        <item x="1887"/>
        <item x="7474"/>
        <item x="1394"/>
        <item x="6334"/>
        <item x="4384"/>
        <item x="4539"/>
        <item x="466"/>
        <item x="1640"/>
        <item x="5006"/>
        <item x="7080"/>
        <item x="2921"/>
        <item x="2749"/>
        <item x="3212"/>
        <item x="619"/>
        <item x="5407"/>
        <item x="4807"/>
        <item x="2081"/>
        <item x="3130"/>
        <item x="5324"/>
        <item x="8199"/>
        <item x="585"/>
        <item x="7437"/>
        <item x="4560"/>
        <item x="5564"/>
        <item x="3316"/>
        <item x="1380"/>
        <item x="1588"/>
        <item x="969"/>
        <item x="3573"/>
        <item x="1115"/>
        <item x="4253"/>
        <item x="5276"/>
        <item x="849"/>
        <item x="8586"/>
        <item x="396"/>
        <item x="1285"/>
        <item x="4472"/>
        <item x="4805"/>
        <item x="6394"/>
        <item x="4553"/>
        <item x="460"/>
        <item x="1368"/>
        <item x="5192"/>
        <item x="1831"/>
        <item x="2536"/>
        <item x="4193"/>
        <item x="4374"/>
        <item x="912"/>
        <item x="4909"/>
        <item x="4093"/>
        <item x="858"/>
        <item x="1988"/>
        <item x="4031"/>
        <item x="4574"/>
        <item x="7655"/>
        <item x="4788"/>
        <item x="1972"/>
        <item x="8693"/>
        <item x="5770"/>
        <item x="4168"/>
        <item x="4811"/>
        <item x="4158"/>
        <item x="4301"/>
        <item x="4157"/>
        <item x="1058"/>
        <item x="4425"/>
        <item x="7108"/>
        <item x="1817"/>
        <item x="1780"/>
        <item x="5291"/>
        <item x="6899"/>
        <item x="4208"/>
        <item x="6151"/>
        <item x="8074"/>
        <item x="6704"/>
        <item x="194"/>
        <item x="8282"/>
        <item x="6945"/>
        <item x="139"/>
        <item x="2846"/>
        <item x="3144"/>
        <item x="1168"/>
        <item x="7705"/>
        <item x="8663"/>
        <item x="4595"/>
        <item x="5809"/>
        <item x="2418"/>
        <item x="1403"/>
        <item x="5045"/>
        <item x="1512"/>
        <item x="1635"/>
        <item x="1196"/>
        <item x="3307"/>
        <item x="8227"/>
        <item x="8382"/>
        <item x="594"/>
        <item x="1024"/>
        <item x="2354"/>
        <item x="5178"/>
        <item x="3607"/>
        <item x="5671"/>
        <item x="4565"/>
        <item x="1289"/>
        <item x="7237"/>
        <item x="3534"/>
        <item x="8016"/>
        <item x="6362"/>
        <item x="3547"/>
        <item x="6303"/>
        <item x="1624"/>
        <item x="4710"/>
        <item x="3146"/>
        <item x="4656"/>
        <item x="3976"/>
        <item x="5820"/>
        <item x="1872"/>
        <item x="1756"/>
        <item x="6465"/>
        <item x="213"/>
        <item x="3314"/>
        <item x="1734"/>
        <item x="3566"/>
        <item x="392"/>
        <item x="6597"/>
        <item x="8037"/>
        <item x="7976"/>
        <item x="499"/>
        <item x="1738"/>
        <item x="7743"/>
        <item x="2557"/>
        <item x="7174"/>
        <item x="7167"/>
        <item x="3612"/>
        <item x="1695"/>
        <item x="7769"/>
        <item x="4296"/>
        <item x="636"/>
        <item x="5262"/>
        <item x="3622"/>
        <item x="5484"/>
        <item x="4016"/>
        <item x="1248"/>
        <item x="2333"/>
        <item x="3506"/>
        <item x="898"/>
        <item x="8411"/>
        <item x="1840"/>
        <item x="4992"/>
        <item x="7650"/>
        <item x="5624"/>
        <item x="3321"/>
        <item x="7565"/>
        <item x="3269"/>
        <item x="8187"/>
        <item x="7337"/>
        <item x="7114"/>
        <item x="3407"/>
        <item x="2841"/>
        <item x="2691"/>
        <item x="7529"/>
        <item x="3362"/>
        <item x="5912"/>
        <item x="6024"/>
        <item x="3304"/>
        <item x="4854"/>
        <item x="3425"/>
        <item x="5935"/>
        <item x="979"/>
        <item x="630"/>
        <item x="1320"/>
        <item x="7687"/>
        <item x="3109"/>
        <item x="929"/>
        <item x="41"/>
        <item x="8548"/>
        <item x="7470"/>
        <item x="8633"/>
        <item x="8446"/>
        <item x="1414"/>
        <item x="3781"/>
        <item x="4620"/>
        <item x="6776"/>
        <item x="2238"/>
        <item x="4488"/>
        <item x="5275"/>
        <item x="3929"/>
        <item x="5173"/>
        <item x="2313"/>
        <item x="8349"/>
        <item x="6507"/>
        <item x="2705"/>
        <item x="6946"/>
        <item x="2894"/>
        <item x="2974"/>
        <item x="6828"/>
        <item x="2379"/>
        <item x="1247"/>
        <item x="8334"/>
        <item x="6791"/>
        <item x="102"/>
        <item x="5635"/>
        <item x="8728"/>
        <item x="7797"/>
        <item x="6644"/>
        <item x="7228"/>
        <item x="3265"/>
        <item x="5689"/>
        <item x="917"/>
        <item x="8133"/>
        <item x="5613"/>
        <item x="3924"/>
        <item x="1071"/>
        <item x="2618"/>
        <item x="2025"/>
        <item x="2587"/>
        <item x="2107"/>
        <item x="5450"/>
        <item x="5108"/>
        <item x="830"/>
        <item x="5482"/>
        <item x="7017"/>
        <item x="3145"/>
        <item x="8707"/>
        <item x="6360"/>
        <item x="684"/>
        <item x="2453"/>
        <item x="555"/>
        <item x="4455"/>
        <item x="2591"/>
        <item x="3795"/>
        <item x="3171"/>
        <item x="3259"/>
        <item x="8523"/>
        <item x="8469"/>
        <item x="6500"/>
        <item x="7935"/>
        <item x="6855"/>
        <item x="5518"/>
        <item x="5567"/>
        <item x="7122"/>
        <item x="2140"/>
        <item x="8153"/>
        <item x="6942"/>
        <item x="1254"/>
        <item x="5681"/>
        <item x="4846"/>
        <item x="178"/>
        <item x="4266"/>
        <item x="1242"/>
        <item x="8290"/>
        <item x="193"/>
        <item x="8101"/>
        <item x="3457"/>
        <item x="6278"/>
        <item x="874"/>
        <item x="2281"/>
        <item x="6244"/>
        <item x="5980"/>
        <item x="5925"/>
        <item x="6461"/>
        <item x="1691"/>
        <item x="436"/>
        <item x="4769"/>
        <item x="8729"/>
        <item x="3246"/>
        <item x="7864"/>
        <item x="5516"/>
        <item x="6939"/>
        <item x="2928"/>
        <item x="1604"/>
        <item x="1187"/>
        <item x="4996"/>
        <item x="2200"/>
        <item x="5312"/>
        <item x="1594"/>
        <item x="1906"/>
        <item x="1191"/>
        <item x="6807"/>
        <item x="1866"/>
        <item x="4537"/>
        <item x="1233"/>
        <item x="5904"/>
        <item x="3886"/>
        <item x="486"/>
        <item x="2831"/>
        <item x="4104"/>
        <item x="8770"/>
        <item x="1197"/>
        <item x="1933"/>
        <item x="8070"/>
        <item x="2832"/>
        <item x="6914"/>
        <item x="2821"/>
        <item x="791"/>
        <item x="1216"/>
        <item x="6872"/>
        <item x="7759"/>
        <item x="6026"/>
        <item x="2196"/>
        <item x="2302"/>
        <item x="8449"/>
        <item x="7358"/>
        <item x="6185"/>
        <item x="2093"/>
        <item x="2563"/>
        <item x="3817"/>
        <item x="3951"/>
        <item x="8559"/>
        <item x="3422"/>
        <item x="2778"/>
        <item x="5515"/>
        <item x="1614"/>
        <item x="2522"/>
        <item x="4600"/>
        <item x="7856"/>
        <item x="6715"/>
        <item x="1128"/>
        <item x="4691"/>
        <item x="5067"/>
        <item x="1498"/>
        <item x="7716"/>
        <item x="4231"/>
        <item x="942"/>
        <item x="4522"/>
        <item x="3408"/>
        <item x="4803"/>
        <item x="2469"/>
        <item x="1881"/>
        <item x="4971"/>
        <item x="5817"/>
        <item x="4819"/>
        <item x="3442"/>
        <item x="7764"/>
        <item x="1106"/>
        <item x="4975"/>
        <item x="5093"/>
        <item x="5813"/>
        <item x="2884"/>
        <item x="5588"/>
        <item x="1971"/>
        <item x="8520"/>
        <item x="4903"/>
        <item x="5552"/>
        <item x="5446"/>
        <item x="4544"/>
        <item x="6824"/>
        <item x="7958"/>
        <item x="192"/>
        <item x="4767"/>
        <item x="6508"/>
        <item x="3253"/>
        <item x="6567"/>
        <item x="4252"/>
        <item x="2022"/>
        <item x="7701"/>
        <item x="6556"/>
        <item x="811"/>
        <item x="1042"/>
        <item x="2098"/>
        <item x="6667"/>
        <item x="8364"/>
        <item x="165"/>
        <item x="5838"/>
        <item x="2703"/>
        <item x="5749"/>
        <item x="7789"/>
        <item x="6891"/>
        <item x="6702"/>
        <item x="7006"/>
        <item x="7680"/>
        <item x="7441"/>
        <item x="3294"/>
        <item x="359"/>
        <item x="3041"/>
        <item x="2232"/>
        <item x="70"/>
        <item x="1807"/>
        <item x="6207"/>
        <item x="3199"/>
        <item x="7221"/>
        <item x="6422"/>
        <item x="1717"/>
        <item x="6010"/>
        <item x="1346"/>
        <item x="7070"/>
        <item x="4164"/>
        <item x="5489"/>
        <item x="3737"/>
        <item x="8329"/>
        <item x="698"/>
        <item x="3065"/>
        <item x="8788"/>
        <item x="2100"/>
        <item x="452"/>
        <item x="242"/>
        <item x="8459"/>
        <item x="7013"/>
        <item x="6951"/>
        <item x="7638"/>
        <item x="2187"/>
        <item x="3987"/>
        <item x="5392"/>
        <item x="6575"/>
        <item x="5799"/>
        <item x="6755"/>
        <item x="8585"/>
        <item x="2829"/>
        <item x="5824"/>
        <item x="4029"/>
        <item x="3644"/>
        <item x="8336"/>
        <item x="7526"/>
        <item x="147"/>
        <item x="5669"/>
        <item x="524"/>
        <item x="5082"/>
        <item x="6266"/>
        <item x="5242"/>
        <item x="5289"/>
        <item x="6411"/>
        <item x="5545"/>
        <item x="4251"/>
        <item x="1856"/>
        <item x="8584"/>
        <item x="3761"/>
        <item x="8724"/>
        <item x="1576"/>
        <item x="7921"/>
        <item x="3297"/>
        <item x="180"/>
        <item x="2658"/>
        <item x="5116"/>
        <item x="6542"/>
        <item x="4048"/>
        <item x="7226"/>
        <item x="4536"/>
        <item x="8073"/>
        <item x="2486"/>
        <item x="887"/>
        <item x="7819"/>
        <item x="1002"/>
        <item x="7092"/>
        <item x="2512"/>
        <item x="3430"/>
        <item x="6039"/>
        <item x="8082"/>
        <item x="1801"/>
        <item x="4958"/>
        <item x="5221"/>
        <item x="2487"/>
        <item x="1559"/>
        <item x="5366"/>
        <item x="5978"/>
        <item x="7736"/>
        <item x="4012"/>
        <item x="3438"/>
        <item x="5427"/>
        <item x="7242"/>
        <item x="736"/>
        <item x="8474"/>
        <item x="8766"/>
        <item x="1153"/>
        <item x="2756"/>
        <item x="4264"/>
        <item x="2856"/>
        <item x="1405"/>
        <item x="3424"/>
        <item x="5948"/>
        <item x="4558"/>
        <item x="8232"/>
        <item x="8549"/>
        <item x="35"/>
        <item x="4648"/>
        <item x="8320"/>
        <item x="2156"/>
        <item x="2119"/>
        <item x="2251"/>
        <item x="1545"/>
        <item x="4873"/>
        <item x="4546"/>
        <item x="1474"/>
        <item x="3653"/>
        <item x="848"/>
        <item x="4202"/>
        <item x="400"/>
        <item x="5030"/>
        <item x="7802"/>
        <item x="2827"/>
        <item x="5358"/>
        <item x="3102"/>
        <item x="5871"/>
        <item x="167"/>
        <item x="1538"/>
        <item x="3524"/>
        <item x="793"/>
        <item x="5089"/>
        <item x="5712"/>
        <item x="8643"/>
        <item x="1363"/>
        <item x="620"/>
        <item x="30"/>
        <item x="8500"/>
        <item x="1891"/>
        <item x="2207"/>
        <item x="6898"/>
        <item x="4145"/>
        <item x="8145"/>
        <item x="981"/>
        <item x="1795"/>
        <item x="2639"/>
        <item x="4933"/>
        <item x="2"/>
        <item x="6187"/>
        <item x="7450"/>
        <item x="7532"/>
        <item x="4910"/>
        <item x="1510"/>
        <item x="1702"/>
        <item x="1753"/>
        <item x="574"/>
        <item x="6339"/>
        <item x="5828"/>
        <item x="3674"/>
        <item x="1000"/>
        <item x="5886"/>
        <item x="5720"/>
        <item x="3161"/>
        <item x="4154"/>
        <item x="6307"/>
        <item x="162"/>
        <item x="3985"/>
        <item x="5317"/>
        <item x="2086"/>
        <item x="5686"/>
        <item x="4086"/>
        <item x="3837"/>
        <item x="8404"/>
        <item x="4283"/>
        <item x="42"/>
        <item x="8657"/>
        <item x="3975"/>
        <item x="7067"/>
        <item x="5713"/>
        <item x="234"/>
        <item x="4608"/>
        <item x="1391"/>
        <item x="6634"/>
        <item x="6553"/>
        <item x="6491"/>
        <item x="5861"/>
        <item x="3782"/>
        <item x="6672"/>
        <item x="8512"/>
        <item x="1593"/>
        <item x="4844"/>
        <item x="6540"/>
        <item x="5158"/>
        <item x="209"/>
        <item x="489"/>
        <item x="8482"/>
        <item x="6968"/>
        <item x="8210"/>
        <item x="4117"/>
        <item x="7047"/>
        <item x="4082"/>
        <item x="1540"/>
        <item x="3584"/>
        <item x="7322"/>
        <item x="3659"/>
        <item x="8699"/>
        <item x="1839"/>
        <item x="4606"/>
        <item x="7137"/>
        <item x="7298"/>
        <item x="5303"/>
        <item x="2118"/>
        <item x="6120"/>
        <item x="5543"/>
        <item x="3807"/>
        <item x="7798"/>
        <item x="6723"/>
        <item x="1241"/>
        <item x="4310"/>
        <item x="5380"/>
        <item x="13"/>
        <item x="6732"/>
        <item x="3180"/>
        <item x="6029"/>
        <item x="7654"/>
        <item x="1379"/>
        <item x="2723"/>
        <item x="1165"/>
        <item x="8623"/>
        <item x="783"/>
        <item x="3417"/>
        <item x="7234"/>
        <item x="1863"/>
        <item x="5561"/>
        <item x="5945"/>
        <item x="3651"/>
        <item x="8749"/>
        <item x="3448"/>
        <item x="6686"/>
        <item x="4543"/>
        <item x="283"/>
        <item x="427"/>
        <item x="8103"/>
        <item x="6380"/>
        <item x="4250"/>
        <item x="2828"/>
        <item x="6713"/>
        <item x="3125"/>
        <item x="5474"/>
        <item x="216"/>
        <item x="5463"/>
        <item x="38"/>
        <item x="6203"/>
        <item x="1033"/>
        <item x="604"/>
        <item x="4001"/>
        <item x="7888"/>
        <item x="6016"/>
        <item x="5728"/>
        <item x="6576"/>
        <item x="1013"/>
        <item x="2621"/>
        <item x="2585"/>
        <item x="8627"/>
        <item x="5059"/>
        <item x="562"/>
        <item x="8331"/>
        <item x="5069"/>
        <item x="2745"/>
        <item x="300"/>
        <item x="2291"/>
        <item x="4174"/>
        <item x="4806"/>
        <item x="3516"/>
        <item x="8165"/>
        <item x="454"/>
        <item x="5372"/>
        <item x="3468"/>
        <item x="7527"/>
        <item x="5269"/>
        <item x="1632"/>
        <item x="5795"/>
        <item x="1108"/>
        <item x="8044"/>
        <item x="1406"/>
        <item x="6121"/>
        <item x="380"/>
        <item x="6648"/>
        <item x="1939"/>
        <item x="3811"/>
        <item x="2468"/>
        <item x="3182"/>
        <item x="6269"/>
        <item x="8198"/>
        <item x="5490"/>
        <item x="5485"/>
        <item x="5181"/>
        <item x="3036"/>
        <item x="8432"/>
        <item x="4778"/>
        <item x="2188"/>
        <item x="5384"/>
        <item x="7235"/>
        <item x="2731"/>
        <item x="5942"/>
        <item x="306"/>
        <item x="7702"/>
        <item x="1550"/>
        <item x="231"/>
        <item x="8577"/>
        <item x="6709"/>
        <item x="4914"/>
        <item x="8102"/>
        <item x="8653"/>
        <item x="8607"/>
        <item x="7885"/>
        <item x="2349"/>
        <item x="8676"/>
        <item x="371"/>
        <item x="8522"/>
        <item x="8105"/>
        <item x="1180"/>
        <item x="7835"/>
        <item x="2359"/>
        <item x="323"/>
        <item x="6871"/>
        <item x="6926"/>
        <item x="5014"/>
        <item x="6063"/>
        <item x="4329"/>
        <item x="3313"/>
        <item x="4006"/>
        <item x="7994"/>
        <item x="1819"/>
        <item x="4607"/>
        <item x="1089"/>
        <item x="2273"/>
        <item x="3876"/>
        <item x="8328"/>
        <item x="1949"/>
        <item x="587"/>
        <item x="5328"/>
        <item x="215"/>
        <item x="3954"/>
        <item x="6419"/>
        <item x="1502"/>
        <item x="2471"/>
        <item x="7166"/>
        <item x="56"/>
        <item x="578"/>
        <item x="801"/>
        <item x="8486"/>
        <item x="2787"/>
        <item x="7454"/>
        <item x="8378"/>
        <item x="4968"/>
        <item x="6317"/>
        <item x="5063"/>
        <item x="924"/>
        <item x="6768"/>
        <item x="1654"/>
        <item x="3661"/>
        <item x="316"/>
        <item x="3160"/>
        <item x="2126"/>
        <item x="7945"/>
        <item x="5775"/>
        <item x="7027"/>
        <item x="5464"/>
        <item x="2938"/>
        <item x="339"/>
        <item x="3662"/>
        <item x="7642"/>
        <item x="170"/>
        <item x="6510"/>
        <item x="6529"/>
        <item x="7877"/>
        <item x="1859"/>
        <item x="5744"/>
        <item x="2115"/>
        <item x="6745"/>
        <item x="1816"/>
        <item x="8579"/>
        <item x="7319"/>
        <item x="6132"/>
        <item x="2078"/>
        <item x="7908"/>
        <item x="4392"/>
        <item x="1164"/>
        <item x="5840"/>
        <item x="6706"/>
        <item x="3567"/>
        <item x="6298"/>
        <item x="4993"/>
        <item x="5779"/>
        <item x="3770"/>
        <item x="7335"/>
        <item x="263"/>
        <item x="2514"/>
        <item x="8790"/>
        <item x="2447"/>
        <item x="1603"/>
        <item x="4397"/>
        <item x="812"/>
        <item x="696"/>
        <item x="7525"/>
        <item x="3727"/>
        <item x="4906"/>
        <item x="8348"/>
        <item x="5085"/>
        <item x="4323"/>
        <item x="8393"/>
        <item x="3396"/>
        <item x="4820"/>
        <item x="94"/>
        <item x="3431"/>
        <item x="517"/>
        <item x="4256"/>
        <item x="6254"/>
        <item x="4183"/>
        <item x="1454"/>
        <item x="8466"/>
        <item x="6913"/>
        <item x="6475"/>
        <item x="5767"/>
        <item x="2050"/>
        <item x="7151"/>
        <item x="4305"/>
        <item x="1611"/>
        <item x="734"/>
        <item x="3787"/>
        <item x="5295"/>
        <item x="1959"/>
        <item x="3049"/>
        <item x="3971"/>
        <item x="2869"/>
        <item x="2674"/>
        <item x="4570"/>
        <item x="2502"/>
        <item x="2008"/>
        <item x="943"/>
        <item x="5931"/>
        <item x="7286"/>
        <item x="8713"/>
        <item x="1236"/>
        <item x="2653"/>
        <item x="279"/>
        <item x="4118"/>
        <item x="6109"/>
        <item x="438"/>
        <item x="6415"/>
        <item x="6008"/>
        <item x="5595"/>
        <item x="7808"/>
        <item x="4009"/>
        <item x="5657"/>
        <item x="2969"/>
        <item x="5614"/>
        <item x="3957"/>
        <item x="1174"/>
        <item x="1472"/>
        <item x="1672"/>
        <item x="2210"/>
        <item x="6235"/>
        <item x="2410"/>
        <item x="8640"/>
        <item x="3219"/>
        <item x="2323"/>
        <item x="4583"/>
        <item x="8224"/>
        <item x="7427"/>
        <item x="6431"/>
        <item x="8752"/>
        <item x="3143"/>
        <item x="5748"/>
        <item x="1021"/>
        <item x="7826"/>
        <item x="5522"/>
        <item x="4368"/>
        <item x="5608"/>
        <item x="750"/>
        <item x="118"/>
        <item x="5323"/>
        <item x="356"/>
        <item x="1323"/>
        <item x="3057"/>
        <item x="2574"/>
        <item x="2802"/>
        <item x="4937"/>
        <item x="4062"/>
        <item x="6539"/>
        <item x="5465"/>
        <item x="7188"/>
        <item x="7948"/>
        <item x="7483"/>
        <item x="1806"/>
        <item x="4783"/>
        <item x="6272"/>
        <item x="3027"/>
        <item x="4679"/>
        <item x="4840"/>
        <item x="4103"/>
        <item x="1114"/>
        <item x="1883"/>
        <item x="7844"/>
        <item x="3965"/>
        <item x="5998"/>
        <item x="7662"/>
        <item x="5772"/>
        <item x="7104"/>
        <item x="7773"/>
        <item x="3010"/>
        <item x="5533"/>
        <item x="5797"/>
        <item x="7272"/>
        <item x="7041"/>
        <item x="1533"/>
        <item x="5087"/>
        <item x="3276"/>
        <item x="7056"/>
        <item x="7336"/>
        <item x="720"/>
        <item x="7267"/>
        <item x="3850"/>
        <item x="8410"/>
        <item x="4032"/>
        <item x="5673"/>
        <item x="2454"/>
        <item x="544"/>
        <item x="2941"/>
        <item x="7863"/>
        <item x="4466"/>
        <item x="7718"/>
        <item x="2634"/>
        <item x="8108"/>
        <item x="8438"/>
        <item x="8570"/>
        <item x="894"/>
        <item x="5826"/>
        <item x="2838"/>
        <item x="2968"/>
        <item x="8051"/>
        <item x="4794"/>
        <item x="2685"/>
        <item x="7902"/>
        <item x="3060"/>
        <item x="3709"/>
        <item x="8268"/>
        <item x="8406"/>
        <item x="5104"/>
        <item x="8252"/>
        <item x="1275"/>
        <item x="6369"/>
        <item x="6449"/>
        <item x="2830"/>
        <item x="1811"/>
        <item x="1123"/>
        <item x="7014"/>
        <item x="367"/>
        <item x="7507"/>
        <item x="7171"/>
        <item x="8115"/>
        <item x="7225"/>
        <item x="3878"/>
        <item x="8234"/>
        <item x="6115"/>
        <item x="4319"/>
        <item x="5321"/>
        <item x="228"/>
        <item x="4890"/>
        <item x="1185"/>
        <item x="6253"/>
        <item x="823"/>
        <item x="4923"/>
        <item x="4219"/>
        <item x="690"/>
        <item x="3028"/>
        <item x="1093"/>
        <item x="4129"/>
        <item x="3751"/>
        <item x="2507"/>
        <item x="3450"/>
        <item x="5183"/>
        <item x="7347"/>
        <item x="156"/>
        <item x="8031"/>
        <item x="4228"/>
        <item x="1223"/>
        <item x="7147"/>
        <item x="1485"/>
        <item x="7870"/>
        <item x="6239"/>
        <item x="4342"/>
        <item x="639"/>
        <item x="5695"/>
        <item x="1733"/>
        <item x="5287"/>
        <item x="3318"/>
        <item x="419"/>
        <item x="4348"/>
        <item x="1456"/>
        <item x="1975"/>
        <item x="4457"/>
        <item x="5470"/>
        <item x="3113"/>
        <item x="5629"/>
        <item x="8732"/>
        <item x="2508"/>
        <item x="342"/>
        <item x="3324"/>
        <item x="878"/>
        <item x="6829"/>
        <item x="3649"/>
        <item x="2212"/>
        <item x="7513"/>
        <item x="2335"/>
        <item x="4716"/>
        <item x="961"/>
        <item x="7729"/>
        <item x="3115"/>
        <item x="6047"/>
        <item x="8188"/>
        <item x="1903"/>
        <item x="5733"/>
        <item x="1569"/>
        <item x="4440"/>
        <item x="7766"/>
        <item x="3234"/>
        <item x="3242"/>
        <item x="3766"/>
        <item x="5579"/>
        <item x="5151"/>
        <item x="6673"/>
        <item x="8631"/>
        <item x="6294"/>
        <item x="1619"/>
        <item x="6997"/>
        <item x="7219"/>
        <item x="1222"/>
        <item x="5364"/>
        <item x="7843"/>
        <item x="7982"/>
        <item x="3341"/>
        <item x="265"/>
        <item x="7352"/>
        <item x="4885"/>
        <item x="956"/>
        <item x="8304"/>
        <item x="481"/>
        <item x="7871"/>
        <item x="7591"/>
        <item x="3088"/>
        <item x="2482"/>
        <item x="4880"/>
        <item x="3275"/>
        <item x="2873"/>
        <item x="2329"/>
        <item x="7630"/>
        <item x="8175"/>
        <item x="7580"/>
        <item x="8078"/>
        <item x="1126"/>
        <item x="5968"/>
        <item x="6693"/>
        <item x="2875"/>
        <item x="4741"/>
        <item x="4445"/>
        <item x="2649"/>
        <item x="112"/>
        <item x="7981"/>
        <item x="7120"/>
        <item x="255"/>
        <item x="1402"/>
        <item x="2104"/>
        <item x="1087"/>
        <item x="5061"/>
        <item x="4568"/>
        <item x="871"/>
        <item x="6338"/>
        <item x="7268"/>
        <item x="1747"/>
        <item x="5022"/>
        <item x="8431"/>
        <item x="2511"/>
        <item x="6331"/>
        <item x="4760"/>
        <item x="5851"/>
        <item x="657"/>
        <item x="3544"/>
        <item x="3808"/>
        <item x="3645"/>
        <item x="1674"/>
        <item x="3095"/>
        <item x="7494"/>
        <item x="1517"/>
        <item x="5203"/>
        <item x="4782"/>
        <item x="7678"/>
        <item x="947"/>
        <item x="2337"/>
        <item x="8322"/>
        <item x="4138"/>
        <item x="7905"/>
        <item x="433"/>
        <item x="6681"/>
        <item x="2796"/>
        <item x="3611"/>
        <item x="6149"/>
        <item x="3418"/>
        <item x="3549"/>
        <item x="4337"/>
        <item x="68"/>
        <item x="3325"/>
        <item x="1152"/>
        <item x="6616"/>
        <item x="6697"/>
        <item x="183"/>
        <item x="5454"/>
        <item x="2032"/>
        <item x="7329"/>
        <item x="1131"/>
        <item x="1574"/>
        <item x="1648"/>
        <item x="324"/>
        <item x="3945"/>
        <item x="1266"/>
        <item x="3989"/>
        <item x="792"/>
        <item x="3038"/>
        <item x="7747"/>
        <item x="3946"/>
        <item x="2208"/>
        <item x="7164"/>
        <item x="4530"/>
        <item x="8615"/>
        <item x="8156"/>
        <item x="717"/>
        <item x="8583"/>
        <item x="3609"/>
        <item x="2688"/>
        <item x="773"/>
        <item x="3458"/>
        <item x="1923"/>
        <item x="1421"/>
        <item x="8226"/>
        <item x="5040"/>
        <item x="5830"/>
        <item x="6352"/>
        <item x="1585"/>
        <item x="2215"/>
        <item x="2366"/>
        <item x="8314"/>
        <item x="4696"/>
        <item x="3123"/>
        <item x="2470"/>
        <item x="4902"/>
        <item x="1830"/>
        <item x="1543"/>
        <item x="4444"/>
        <item x="4929"/>
        <item x="3461"/>
        <item x="6700"/>
        <item x="879"/>
        <item x="8048"/>
        <item x="2743"/>
        <item x="5354"/>
        <item x="721"/>
        <item x="8172"/>
        <item x="3254"/>
        <item x="6482"/>
        <item x="3323"/>
        <item x="1843"/>
        <item x="7406"/>
        <item x="505"/>
        <item x="4919"/>
        <item x="8441"/>
        <item x="8306"/>
        <item x="7509"/>
        <item x="7215"/>
        <item x="3428"/>
        <item x="6412"/>
        <item x="6726"/>
        <item x="74"/>
        <item x="4822"/>
        <item x="7970"/>
        <item x="8368"/>
        <item x="8092"/>
        <item x="8667"/>
        <item x="6284"/>
        <item x="1036"/>
        <item x="1480"/>
        <item x="2590"/>
        <item x="4055"/>
        <item x="5778"/>
        <item x="3868"/>
        <item x="6608"/>
        <item x="7316"/>
        <item x="8173"/>
        <item x="4888"/>
        <item x="4604"/>
        <item x="868"/>
        <item x="3489"/>
        <item x="663"/>
        <item x="1027"/>
        <item x="2917"/>
        <item x="4511"/>
        <item x="7486"/>
        <item x="847"/>
        <item x="3774"/>
        <item x="5044"/>
        <item x="7453"/>
        <item x="1518"/>
        <item x="5606"/>
        <item x="5041"/>
        <item x="5659"/>
        <item x="1105"/>
        <item x="5854"/>
        <item x="561"/>
        <item x="4456"/>
        <item x="7138"/>
        <item x="5517"/>
        <item x="2717"/>
        <item x="2214"/>
        <item x="3510"/>
        <item x="2881"/>
        <item x="3664"/>
        <item x="4704"/>
        <item x="7144"/>
        <item x="5789"/>
        <item x="3132"/>
        <item x="6816"/>
        <item x="7828"/>
        <item x="7062"/>
        <item x="5001"/>
        <item x="82"/>
        <item x="2456"/>
        <item x="3226"/>
        <item x="2880"/>
        <item x="3757"/>
        <item x="4167"/>
        <item x="5277"/>
        <item x="1708"/>
        <item x="5506"/>
        <item x="3437"/>
        <item x="1083"/>
        <item x="7497"/>
        <item x="2015"/>
        <item x="8687"/>
        <item x="482"/>
        <item x="8144"/>
        <item x="6549"/>
        <item x="3992"/>
        <item x="2599"/>
        <item x="2789"/>
        <item x="4875"/>
        <item x="3079"/>
        <item x="6454"/>
        <item x="7103"/>
        <item x="5230"/>
        <item x="4448"/>
        <item x="1627"/>
        <item x="688"/>
        <item x="2946"/>
        <item x="3678"/>
        <item x="6986"/>
        <item x="3982"/>
        <item x="2383"/>
        <item x="7848"/>
        <item x="6000"/>
        <item x="6680"/>
        <item x="7403"/>
        <item x="5977"/>
        <item x="7731"/>
        <item x="762"/>
        <item x="4390"/>
        <item x="7195"/>
        <item x="7482"/>
        <item x="2605"/>
        <item x="6155"/>
        <item x="5243"/>
        <item x="6460"/>
        <item x="5214"/>
        <item x="6018"/>
        <item x="2043"/>
        <item x="4245"/>
        <item x="4359"/>
        <item x="3082"/>
        <item x="2003"/>
        <item x="1779"/>
        <item x="8035"/>
        <item x="6677"/>
        <item x="3718"/>
        <item x="238"/>
        <item x="2771"/>
        <item x="8130"/>
        <item x="6055"/>
        <item x="6056"/>
        <item x="5566"/>
        <item x="1841"/>
        <item x="6416"/>
        <item x="1690"/>
        <item x="1263"/>
        <item x="7369"/>
        <item x="4401"/>
        <item x="618"/>
        <item x="3967"/>
        <item x="1521"/>
        <item x="4413"/>
        <item x="9"/>
        <item x="8283"/>
        <item x="2402"/>
        <item x="4647"/>
        <item x="4267"/>
        <item x="4856"/>
        <item x="146"/>
        <item x="2768"/>
        <item x="2619"/>
        <item x="7214"/>
        <item x="7691"/>
        <item x="8285"/>
        <item x="4886"/>
        <item x="8402"/>
        <item x="2732"/>
        <item x="1578"/>
        <item x="3331"/>
        <item x="1370"/>
        <item x="7889"/>
        <item x="6096"/>
        <item x="5180"/>
        <item x="2762"/>
        <item x="2378"/>
        <item x="87"/>
        <item x="6965"/>
        <item x="1492"/>
        <item x="3426"/>
        <item x="3404"/>
        <item x="8065"/>
        <item x="2692"/>
        <item x="3984"/>
        <item x="6392"/>
        <item x="6152"/>
        <item x="3210"/>
        <item x="2961"/>
        <item x="440"/>
        <item x="7865"/>
        <item x="7674"/>
        <item x="3039"/>
        <item x="8659"/>
        <item x="1473"/>
        <item x="401"/>
        <item x="7472"/>
        <item x="1119"/>
        <item x="2529"/>
        <item x="7160"/>
        <item x="3901"/>
        <item x="411"/>
        <item x="2810"/>
        <item x="3376"/>
        <item x="6711"/>
        <item x="5542"/>
        <item x="3021"/>
        <item x="4640"/>
        <item x="6015"/>
        <item x="55"/>
        <item x="5572"/>
        <item x="4426"/>
        <item x="4950"/>
        <item x="7097"/>
        <item x="3050"/>
        <item x="1075"/>
        <item x="6806"/>
        <item x="2144"/>
        <item x="5285"/>
        <item x="6811"/>
        <item x="2617"/>
        <item x="1283"/>
        <item x="4265"/>
        <item x="8681"/>
        <item x="3937"/>
        <item x="4418"/>
        <item x="8593"/>
        <item x="2260"/>
        <item x="6446"/>
        <item x="8288"/>
        <item x="809"/>
        <item x="4234"/>
        <item x="7263"/>
        <item x="7861"/>
        <item x="2340"/>
        <item x="1917"/>
        <item x="5863"/>
        <item x="7895"/>
        <item x="8250"/>
        <item x="186"/>
        <item x="537"/>
        <item x="2024"/>
        <item x="7002"/>
        <item x="1936"/>
        <item x="8686"/>
        <item x="8524"/>
        <item x="1671"/>
        <item x="8704"/>
        <item x="6787"/>
        <item x="4115"/>
        <item x="2152"/>
        <item x="1926"/>
        <item x="4625"/>
        <item x="1581"/>
        <item x="5888"/>
        <item x="6719"/>
        <item x="5915"/>
        <item x="6319"/>
        <item x="2614"/>
        <item x="1356"/>
        <item x="1798"/>
        <item x="1327"/>
        <item x="3228"/>
        <item x="8609"/>
        <item x="535"/>
        <item x="1827"/>
        <item x="4160"/>
        <item x="4763"/>
        <item x="5805"/>
        <item x="711"/>
        <item x="4918"/>
        <item x="3702"/>
        <item x="3553"/>
        <item x="946"/>
        <item x="5052"/>
        <item x="4239"/>
        <item x="7379"/>
        <item x="1952"/>
        <item x="1448"/>
        <item x="5350"/>
        <item x="6131"/>
        <item x="3263"/>
        <item x="3258"/>
        <item x="3344"/>
        <item x="772"/>
        <item x="8714"/>
        <item x="4727"/>
        <item x="930"/>
        <item x="4220"/>
        <item x="6396"/>
        <item x="841"/>
        <item x="692"/>
        <item x="2068"/>
        <item x="2760"/>
        <item x="1121"/>
        <item x="8669"/>
        <item x="1439"/>
        <item x="2661"/>
        <item x="656"/>
        <item x="8496"/>
        <item x="7790"/>
        <item x="5529"/>
        <item x="6274"/>
        <item x="5055"/>
        <item x="7799"/>
        <item x="4655"/>
        <item x="6858"/>
        <item x="7132"/>
        <item x="3163"/>
        <item x="5941"/>
        <item x="7883"/>
        <item x="2089"/>
        <item x="4823"/>
        <item x="2343"/>
        <item x="3360"/>
        <item x="3813"/>
        <item x="3400"/>
        <item x="715"/>
        <item x="7142"/>
        <item x="6927"/>
        <item x="1462"/>
        <item x="8453"/>
        <item x="144"/>
        <item x="1453"/>
        <item x="1724"/>
        <item x="1343"/>
        <item x="7666"/>
        <item x="2672"/>
        <item x="2099"/>
        <item x="1200"/>
        <item x="5563"/>
        <item x="6993"/>
        <item x="6754"/>
        <item x="5123"/>
        <item x="8391"/>
        <item x="1699"/>
        <item x="3930"/>
        <item x="8029"/>
        <item x="6663"/>
        <item x="5381"/>
        <item x="4931"/>
        <item x="863"/>
        <item x="3502"/>
        <item x="6467"/>
        <item x="248"/>
        <item x="8636"/>
        <item x="7154"/>
        <item x="7194"/>
        <item x="379"/>
        <item x="3412"/>
        <item x="1763"/>
        <item x="2105"/>
        <item x="5520"/>
        <item x="5410"/>
        <item x="7287"/>
        <item x="6386"/>
        <item x="7956"/>
        <item x="2885"/>
        <item x="8201"/>
        <item x="5753"/>
        <item x="2558"/>
        <item x="5943"/>
        <item x="7090"/>
        <item x="2555"/>
        <item x="1888"/>
        <item x="7038"/>
        <item x="3133"/>
        <item x="4834"/>
        <item x="2166"/>
        <item x="4965"/>
        <item x="8357"/>
        <item x="1582"/>
        <item x="1348"/>
        <item x="2236"/>
        <item x="1639"/>
        <item x="4412"/>
        <item x="1494"/>
        <item x="6381"/>
        <item x="2849"/>
        <item x="6954"/>
        <item x="6129"/>
        <item x="6972"/>
        <item x="2776"/>
        <item x="1561"/>
        <item x="8354"/>
        <item x="4373"/>
        <item x="5373"/>
        <item x="2915"/>
        <item x="2862"/>
        <item x="8318"/>
        <item x="314"/>
        <item x="3732"/>
        <item x="782"/>
        <item x="3237"/>
        <item x="5523"/>
        <item x="5076"/>
        <item x="4874"/>
        <item x="1382"/>
        <item x="5150"/>
        <item x="8370"/>
        <item x="1616"/>
        <item x="6126"/>
        <item x="7940"/>
        <item x="288"/>
        <item x="174"/>
        <item x="550"/>
        <item x="1599"/>
        <item x="3435"/>
        <item x="1321"/>
        <item x="4747"/>
        <item x="7517"/>
        <item x="5536"/>
        <item x="172"/>
        <item x="5956"/>
        <item x="6492"/>
        <item x="455"/>
        <item x="3711"/>
        <item x="5803"/>
        <item x="4521"/>
        <item x="3388"/>
        <item x="6425"/>
        <item x="1590"/>
        <item x="6868"/>
        <item x="6455"/>
        <item x="7528"/>
        <item x="5989"/>
        <item x="3733"/>
        <item x="7824"/>
        <item x="2818"/>
        <item x="301"/>
        <item x="758"/>
        <item x="4520"/>
        <item x="6980"/>
        <item x="7355"/>
        <item x="8398"/>
        <item x="1665"/>
        <item x="1684"/>
        <item x="2909"/>
        <item x="7315"/>
        <item x="1051"/>
        <item x="372"/>
        <item x="5347"/>
        <item x="2308"/>
        <item x="2377"/>
        <item x="3810"/>
        <item x="6578"/>
        <item x="5870"/>
        <item x="7140"/>
        <item x="5481"/>
        <item x="4492"/>
        <item x="8098"/>
        <item x="1557"/>
        <item x="7036"/>
        <item x="2977"/>
        <item x="2761"/>
        <item x="1978"/>
        <item x="5570"/>
        <item x="6157"/>
        <item x="7621"/>
        <item x="3671"/>
        <item x="967"/>
        <item x="7518"/>
        <item x="8428"/>
        <item x="7111"/>
        <item x="4981"/>
        <item x="5028"/>
        <item x="7455"/>
        <item x="7068"/>
        <item x="7115"/>
        <item x="3903"/>
        <item x="200"/>
        <item x="3895"/>
        <item x="4693"/>
        <item x="2654"/>
        <item x="7920"/>
        <item x="8128"/>
        <item x="1707"/>
        <item x="3572"/>
        <item x="2479"/>
        <item x="3590"/>
        <item x="1179"/>
        <item x="1535"/>
        <item x="3832"/>
        <item x="5696"/>
        <item x="5331"/>
        <item x="7643"/>
        <item x="5584"/>
        <item x="2524"/>
        <item x="4441"/>
        <item x="3605"/>
        <item x="8696"/>
        <item x="2287"/>
        <item x="1449"/>
        <item x="4028"/>
        <item x="2094"/>
        <item x="4404"/>
        <item x="3499"/>
        <item x="5630"/>
        <item x="6566"/>
        <item x="5124"/>
        <item x="8589"/>
        <item x="539"/>
        <item x="1607"/>
        <item x="2985"/>
        <item x="916"/>
        <item x="3135"/>
        <item x="2973"/>
        <item x="2724"/>
        <item x="5141"/>
        <item x="543"/>
        <item x="1055"/>
        <item x="6366"/>
        <item x="6501"/>
        <item x="6248"/>
        <item x="7709"/>
        <item x="4927"/>
        <item x="3712"/>
        <item x="3317"/>
        <item x="3121"/>
        <item x="7407"/>
        <item x="611"/>
        <item x="1035"/>
        <item x="5719"/>
        <item x="7754"/>
        <item x="4966"/>
        <item x="3749"/>
        <item x="8246"/>
        <item x="7536"/>
        <item x="2306"/>
        <item x="4087"/>
        <item x="384"/>
        <item x="2791"/>
        <item x="2979"/>
        <item x="3701"/>
        <item x="8566"/>
        <item x="8062"/>
        <item x="5188"/>
        <item x="1411"/>
        <item x="1961"/>
        <item x="4815"/>
        <item x="108"/>
        <item x="5618"/>
        <item x="5233"/>
        <item x="669"/>
        <item x="1299"/>
        <item x="6577"/>
        <item x="395"/>
        <item x="1362"/>
        <item x="50"/>
        <item x="2396"/>
        <item x="2883"/>
        <item x="6050"/>
        <item x="8794"/>
        <item x="2415"/>
        <item x="7392"/>
        <item x="6371"/>
        <item x="5286"/>
        <item x="4037"/>
        <item x="766"/>
        <item x="7368"/>
        <item x="7424"/>
        <item x="997"/>
        <item x="8685"/>
        <item x="7906"/>
        <item x="2332"/>
        <item x="7064"/>
        <item x="5578"/>
        <item x="2035"/>
        <item x="3676"/>
        <item x="3514"/>
        <item x="7579"/>
        <item x="6060"/>
        <item x="245"/>
        <item x="6563"/>
        <item x="2005"/>
        <item x="681"/>
        <item x="8377"/>
        <item x="7353"/>
        <item x="5020"/>
        <item x="4868"/>
        <item x="6079"/>
        <item x="2490"/>
        <item x="8027"/>
        <item x="6019"/>
        <item x="563"/>
        <item x="800"/>
        <item x="4495"/>
        <item x="4599"/>
        <item x="5468"/>
        <item x="6400"/>
        <item x="6864"/>
        <item x="7980"/>
        <item x="502"/>
        <item x="8118"/>
        <item x="6584"/>
        <item x="6502"/>
        <item x="346"/>
        <item x="6265"/>
        <item x="495"/>
        <item x="1774"/>
        <item x="1135"/>
        <item x="5823"/>
        <item x="221"/>
        <item x="6282"/>
        <item x="4504"/>
        <item x="2451"/>
        <item x="3555"/>
        <item x="986"/>
        <item x="1483"/>
        <item x="217"/>
        <item x="7285"/>
        <item x="2309"/>
        <item x="8262"/>
        <item x="2528"/>
        <item x="5212"/>
        <item x="7874"/>
        <item x="8533"/>
        <item x="8529"/>
        <item x="2795"/>
        <item x="124"/>
        <item x="7558"/>
        <item x="2018"/>
        <item x="2222"/>
        <item x="3625"/>
        <item x="1813"/>
        <item x="3003"/>
        <item x="5865"/>
        <item x="4791"/>
        <item x="1718"/>
        <item x="2972"/>
        <item x="5149"/>
        <item x="2318"/>
        <item x="4308"/>
        <item x="309"/>
        <item x="4364"/>
        <item x="351"/>
        <item x="97"/>
        <item x="4718"/>
        <item x="2702"/>
        <item x="7083"/>
        <item x="3367"/>
        <item x="8094"/>
        <item x="6484"/>
        <item x="2888"/>
        <item x="7960"/>
        <item x="1762"/>
        <item x="2509"/>
        <item x="6679"/>
        <item x="1281"/>
        <item x="2245"/>
        <item x="1318"/>
        <item x="7256"/>
        <item x="5075"/>
        <item x="7502"/>
        <item x="4509"/>
        <item x="8260"/>
        <item x="4703"/>
        <item x="4538"/>
        <item x="6620"/>
        <item x="7947"/>
        <item x="2339"/>
        <item x="3463"/>
        <item x="6710"/>
        <item x="3641"/>
        <item x="8338"/>
        <item x="1213"/>
        <item x="5853"/>
        <item x="8191"/>
        <item x="714"/>
        <item x="8396"/>
        <item x="7244"/>
        <item x="8785"/>
        <item x="1357"/>
        <item x="3616"/>
        <item x="5003"/>
        <item x="4437"/>
        <item x="1392"/>
        <item x="1257"/>
        <item x="2477"/>
        <item x="8150"/>
        <item x="3032"/>
        <item x="3773"/>
        <item x="2923"/>
        <item x="999"/>
        <item x="6223"/>
        <item x="5950"/>
        <item x="7514"/>
        <item x="3326"/>
        <item x="8688"/>
        <item x="1969"/>
        <item x="1990"/>
        <item x="6650"/>
        <item x="4110"/>
        <item x="4275"/>
        <item x="7966"/>
        <item x="6741"/>
        <item x="4185"/>
        <item x="5607"/>
        <item x="2842"/>
        <item x="7150"/>
        <item x="7134"/>
        <item x="5278"/>
        <item x="4970"/>
        <item x="2314"/>
        <item x="1023"/>
        <item x="2542"/>
        <item x="8321"/>
        <item x="4836"/>
        <item x="2755"/>
        <item x="492"/>
        <item x="7297"/>
        <item x="7389"/>
        <item x="1274"/>
        <item x="6739"/>
        <item x="6486"/>
        <item x="7762"/>
        <item x="20"/>
        <item x="2392"/>
        <item x="2045"/>
        <item x="6408"/>
        <item x="7378"/>
        <item x="7758"/>
        <item x="3569"/>
        <item x="3296"/>
        <item x="7567"/>
        <item x="5829"/>
        <item x="972"/>
        <item x="7313"/>
        <item x="2075"/>
        <item x="151"/>
        <item x="8538"/>
        <item x="3299"/>
        <item x="6572"/>
        <item x="4541"/>
        <item x="1729"/>
        <item x="552"/>
        <item x="5248"/>
        <item x="5025"/>
        <item x="2750"/>
        <item x="3734"/>
        <item x="2375"/>
        <item x="5979"/>
        <item x="2091"/>
        <item x="2145"/>
        <item x="880"/>
        <item x="6656"/>
        <item x="5132"/>
        <item x="2609"/>
        <item x="362"/>
        <item x="918"/>
        <item x="2510"/>
        <item x="3466"/>
        <item x="1416"/>
        <item x="3687"/>
        <item x="3828"/>
        <item x="7668"/>
        <item x="2263"/>
        <item x="1910"/>
        <item x="7201"/>
        <item x="8757"/>
        <item x="1785"/>
        <item x="5361"/>
        <item x="2388"/>
        <item x="891"/>
        <item x="99"/>
        <item x="8532"/>
        <item x="7317"/>
        <item x="2867"/>
        <item x="6956"/>
        <item x="2648"/>
        <item x="4706"/>
        <item x="2518"/>
        <item x="3415"/>
        <item x="1317"/>
        <item x="7901"/>
        <item x="1238"/>
        <item x="513"/>
        <item x="8230"/>
        <item x="3986"/>
        <item x="3900"/>
        <item x="2400"/>
        <item x="26"/>
        <item x="1272"/>
        <item x="7694"/>
        <item x="3546"/>
        <item x="1198"/>
        <item x="8337"/>
        <item x="1175"/>
        <item x="4320"/>
        <item x="1193"/>
        <item x="1367"/>
        <item x="3005"/>
        <item x="5920"/>
        <item x="6752"/>
        <item x="159"/>
        <item x="4365"/>
        <item x="6921"/>
        <item x="4723"/>
        <item x="235"/>
        <item x="7370"/>
        <item x="1509"/>
        <item x="2644"/>
        <item x="8166"/>
        <item x="3599"/>
        <item x="5808"/>
        <item x="8421"/>
        <item x="1942"/>
        <item x="2684"/>
        <item x="1979"/>
        <item x="8090"/>
        <item x="3786"/>
        <item x="1766"/>
        <item x="5201"/>
        <item x="7755"/>
        <item x="4729"/>
        <item x="695"/>
        <item x="1314"/>
        <item x="2177"/>
        <item x="46"/>
        <item x="2055"/>
        <item x="7011"/>
        <item x="1825"/>
        <item x="425"/>
        <item x="6641"/>
        <item x="6649"/>
        <item x="1683"/>
        <item x="4614"/>
        <item x="1443"/>
        <item x="32"/>
        <item x="6873"/>
        <item x="5745"/>
        <item x="8608"/>
        <item x="6746"/>
        <item x="233"/>
        <item x="2041"/>
        <item x="4870"/>
        <item x="7635"/>
        <item x="3594"/>
        <item x="4024"/>
        <item x="1295"/>
        <item x="3993"/>
        <item x="6214"/>
        <item x="2586"/>
        <item x="7464"/>
        <item x="3197"/>
        <item x="2569"/>
        <item x="4575"/>
        <item x="4279"/>
        <item x="483"/>
        <item x="4628"/>
        <item x="6606"/>
        <item x="7076"/>
        <item x="3308"/>
        <item x="1564"/>
        <item x="6923"/>
        <item x="4083"/>
        <item x="8721"/>
        <item x="954"/>
        <item x="6258"/>
        <item x="5602"/>
        <item x="3209"/>
        <item x="1567"/>
        <item x="7183"/>
        <item x="737"/>
        <item x="3191"/>
        <item x="8129"/>
        <item x="939"/>
        <item x="1653"/>
        <item x="101"/>
        <item x="285"/>
        <item x="4345"/>
        <item x="7419"/>
        <item x="3025"/>
        <item x="3589"/>
        <item x="5557"/>
        <item x="509"/>
        <item x="2433"/>
        <item x="5172"/>
        <item x="7975"/>
        <item x="3988"/>
        <item x="4523"/>
        <item x="1681"/>
        <item x="1505"/>
        <item x="7012"/>
        <item x="3875"/>
        <item x="8737"/>
        <item x="3385"/>
        <item x="3523"/>
        <item x="2610"/>
        <item x="113"/>
        <item x="8731"/>
        <item x="2539"/>
        <item x="569"/>
        <item x="4531"/>
        <item x="703"/>
        <item x="7050"/>
        <item x="3631"/>
        <item x="1736"/>
        <item x="8034"/>
        <item x="250"/>
        <item x="8249"/>
        <item x="2051"/>
        <item x="6716"/>
        <item x="1676"/>
        <item x="6368"/>
        <item x="3669"/>
        <item x="3193"/>
        <item x="6327"/>
        <item x="1018"/>
        <item x="1043"/>
        <item x="8783"/>
        <item x="6571"/>
        <item x="4197"/>
        <item x="542"/>
        <item x="5939"/>
        <item x="1270"/>
        <item x="640"/>
        <item x="1519"/>
        <item x="4363"/>
        <item x="2858"/>
        <item x="4582"/>
        <item x="3350"/>
        <item x="197"/>
        <item x="4500"/>
        <item x="7597"/>
        <item x="4052"/>
        <item x="6809"/>
        <item x="4140"/>
        <item x="7253"/>
        <item x="2297"/>
        <item x="116"/>
        <item x="6076"/>
        <item x="1396"/>
        <item x="3087"/>
        <item x="322"/>
        <item x="8530"/>
        <item x="2733"/>
        <item x="4779"/>
        <item x="7292"/>
        <item x="2134"/>
        <item x="2164"/>
        <item x="7510"/>
        <item x="1050"/>
        <item x="752"/>
        <item x="6846"/>
        <item x="7820"/>
        <item x="7429"/>
        <item x="4699"/>
        <item x="8177"/>
        <item x="7425"/>
        <item x="931"/>
        <item x="1751"/>
        <item x="5620"/>
        <item x="8414"/>
        <item x="3390"/>
        <item x="3922"/>
        <item x="8780"/>
        <item x="1079"/>
        <item x="7704"/>
        <item x="6216"/>
        <item x="6176"/>
        <item x="2004"/>
        <item x="5844"/>
        <item x="3183"/>
        <item x="3215"/>
        <item x="3268"/>
        <item x="2541"/>
        <item x="6237"/>
        <item x="2213"/>
        <item x="7832"/>
        <item x="8176"/>
        <item x="1981"/>
        <item x="1537"/>
        <item x="8621"/>
        <item x="7309"/>
        <item x="7887"/>
        <item x="5894"/>
        <item x="4751"/>
        <item x="8762"/>
        <item x="3055"/>
        <item x="4526"/>
        <item x="913"/>
        <item x="1754"/>
        <item x="7442"/>
        <item x="3384"/>
        <item x="5256"/>
        <item x="4491"/>
        <item x="7900"/>
        <item x="3271"/>
        <item x="8698"/>
        <item x="7862"/>
        <item x="478"/>
        <item x="8186"/>
        <item x="29"/>
        <item x="8465"/>
        <item x="5337"/>
        <item x="6783"/>
        <item x="2893"/>
        <item x="4977"/>
        <item x="2809"/>
        <item x="3441"/>
        <item x="7568"/>
        <item x="8648"/>
        <item x="7776"/>
        <item x="3414"/>
        <item x="776"/>
        <item x="6006"/>
        <item x="1580"/>
        <item x="7444"/>
        <item x="6964"/>
        <item x="5310"/>
        <item x="5326"/>
        <item x="2292"/>
        <item x="6326"/>
        <item x="5349"/>
        <item x="6764"/>
        <item x="5491"/>
        <item x="8362"/>
        <item x="873"/>
        <item x="6004"/>
        <item x="1134"/>
        <item x="5453"/>
        <item x="3917"/>
        <item x="7189"/>
        <item x="4987"/>
        <item x="3195"/>
        <item x="3970"/>
        <item x="7712"/>
        <item x="5237"/>
        <item x="2682"/>
        <item x="7110"/>
        <item x="4341"/>
        <item x="3926"/>
        <item x="8680"/>
        <item x="5004"/>
        <item x="2922"/>
        <item x="7331"/>
        <item x="6978"/>
        <item x="33"/>
        <item x="8091"/>
        <item x="6114"/>
        <item x="5282"/>
        <item x="6831"/>
        <item x="6462"/>
        <item x="1447"/>
        <item x="3735"/>
        <item x="4969"/>
        <item x="3083"/>
        <item x="212"/>
        <item x="1743"/>
        <item x="2074"/>
        <item x="1192"/>
        <item x="3655"/>
        <item x="11"/>
        <item x="4421"/>
        <item x="4257"/>
        <item x="4210"/>
        <item x="7950"/>
        <item x="5725"/>
        <item x="6432"/>
        <item x="7588"/>
        <item x="2811"/>
        <item x="7714"/>
        <item x="6066"/>
        <item x="3557"/>
        <item x="2421"/>
        <item x="3833"/>
        <item x="1882"/>
        <item x="498"/>
        <item x="1777"/>
        <item x="5556"/>
        <item x="6108"/>
        <item x="423"/>
        <item x="1245"/>
        <item x="4610"/>
        <item x="8111"/>
        <item x="414"/>
        <item x="6478"/>
        <item x="308"/>
        <item x="7025"/>
        <item x="3942"/>
        <item x="1586"/>
        <item x="3871"/>
        <item x="4995"/>
        <item x="4213"/>
        <item x="764"/>
        <item x="742"/>
        <item x="6304"/>
        <item x="2325"/>
        <item x="2489"/>
        <item x="5026"/>
        <item x="7860"/>
        <item x="903"/>
        <item x="5162"/>
        <item x="6315"/>
        <item x="810"/>
        <item x="4278"/>
        <item x="789"/>
        <item x="5837"/>
        <item x="6020"/>
        <item x="1249"/>
        <item x="4249"/>
        <item x="3995"/>
        <item x="7467"/>
        <item x="8537"/>
        <item x="4128"/>
        <item x="864"/>
        <item x="1019"/>
        <item x="6409"/>
        <item x="5306"/>
        <item x="273"/>
        <item x="5120"/>
        <item x="2220"/>
        <item x="7205"/>
        <item x="1782"/>
        <item x="6953"/>
        <item x="5046"/>
        <item x="1150"/>
        <item x="2677"/>
        <item x="2952"/>
        <item x="7233"/>
        <item x="3262"/>
        <item x="6770"/>
        <item x="8605"/>
        <item x="7243"/>
        <item x="3779"/>
        <item x="4241"/>
        <item x="88"/>
        <item x="672"/>
        <item x="3614"/>
        <item x="7779"/>
        <item x="8159"/>
        <item x="5571"/>
        <item x="5268"/>
        <item x="5198"/>
        <item x="7357"/>
        <item x="4666"/>
        <item x="4113"/>
        <item x="3459"/>
        <item x="1481"/>
        <item x="8358"/>
        <item x="1970"/>
        <item x="3166"/>
        <item x="4920"/>
        <item x="7096"/>
        <item x="7851"/>
        <item x="910"/>
        <item x="3830"/>
        <item x="5926"/>
        <item x="6560"/>
        <item x="4162"/>
        <item x="3818"/>
        <item x="207"/>
        <item x="8181"/>
        <item x="1719"/>
        <item x="2932"/>
        <item x="1788"/>
        <item x="965"/>
        <item x="3969"/>
        <item x="8060"/>
        <item x="4090"/>
        <item x="4973"/>
        <item x="3634"/>
        <item x="8011"/>
        <item x="6297"/>
        <item x="7240"/>
        <item x="4939"/>
        <item x="5645"/>
        <item x="6896"/>
        <item x="8244"/>
        <item x="8379"/>
        <item x="1252"/>
        <item x="7081"/>
        <item x="5610"/>
        <item x="218"/>
        <item x="8447"/>
        <item x="6888"/>
        <item x="5898"/>
        <item x="7551"/>
        <item x="7481"/>
        <item x="5929"/>
        <item x="4199"/>
        <item x="3358"/>
        <item x="3805"/>
        <item x="3504"/>
        <item x="136"/>
        <item x="3216"/>
        <item x="1237"/>
        <item x="3647"/>
        <item x="2002"/>
        <item x="7586"/>
        <item x="4986"/>
        <item x="7250"/>
        <item x="6094"/>
        <item x="6701"/>
        <item x="8797"/>
        <item x="2387"/>
        <item x="920"/>
        <item x="1955"/>
        <item x="2706"/>
        <item x="5032"/>
        <item x="2266"/>
        <item x="5400"/>
        <item x="5255"/>
        <item x="1418"/>
        <item x="8010"/>
        <item x="1668"/>
        <item x="7088"/>
        <item x="3580"/>
        <item x="8390"/>
        <item x="6192"/>
        <item x="6171"/>
        <item x="3531"/>
        <item x="5492"/>
        <item x="4021"/>
        <item x="7647"/>
        <item x="7208"/>
        <item x="3882"/>
        <item x="1070"/>
        <item x="464"/>
        <item x="6320"/>
        <item x="6777"/>
        <item x="7004"/>
        <item x="4581"/>
        <item x="4564"/>
        <item x="3539"/>
        <item x="7746"/>
        <item x="8433"/>
        <item x="2117"/>
        <item x="6612"/>
        <item x="1860"/>
        <item x="6404"/>
        <item x="4949"/>
        <item x="6747"/>
        <item x="2577"/>
        <item x="57"/>
        <item x="3037"/>
        <item x="5191"/>
        <item x="3118"/>
        <item x="240"/>
        <item x="631"/>
        <item x="7028"/>
        <item x="4377"/>
        <item x="2907"/>
        <item x="944"/>
        <item x="5115"/>
        <item x="7753"/>
        <item x="8039"/>
        <item x="7466"/>
        <item x="1303"/>
        <item x="3839"/>
        <item x="2491"/>
        <item x="727"/>
        <item x="5876"/>
        <item x="5652"/>
        <item x="2643"/>
        <item x="446"/>
        <item x="3096"/>
        <item x="933"/>
        <item x="7540"/>
        <item x="1921"/>
        <item x="4333"/>
        <item x="7685"/>
        <item x="4039"/>
        <item x="2092"/>
        <item x="5259"/>
        <item x="6987"/>
        <item x="1273"/>
        <item x="2053"/>
        <item x="7213"/>
        <item x="6142"/>
        <item x="7306"/>
        <item x="6613"/>
        <item x="2578"/>
        <item x="4410"/>
        <item x="6314"/>
        <item x="2435"/>
        <item x="313"/>
        <item x="8019"/>
        <item x="4073"/>
        <item x="1876"/>
        <item x="4991"/>
        <item x="4548"/>
        <item x="3963"/>
        <item x="4120"/>
        <item x="842"/>
        <item x="5184"/>
        <item x="6009"/>
        <item x="4133"/>
        <item x="267"/>
        <item x="80"/>
        <item x="2076"/>
        <item x="4386"/>
        <item x="7098"/>
        <item x="4281"/>
        <item x="2919"/>
        <item x="1206"/>
        <item x="8412"/>
        <item x="5498"/>
        <item x="3509"/>
        <item x="4516"/>
        <item x="303"/>
        <item x="6037"/>
        <item x="4917"/>
        <item x="398"/>
        <item x="2754"/>
        <item x="1698"/>
        <item x="889"/>
        <item x="4816"/>
        <item x="7434"/>
        <item x="8684"/>
        <item x="7936"/>
        <item x="3464"/>
        <item x="6184"/>
        <item x="4826"/>
        <item x="1049"/>
        <item x="5528"/>
        <item x="7592"/>
        <item x="5424"/>
        <item x="7333"/>
        <item x="6675"/>
        <item x="3220"/>
        <item x="4447"/>
        <item x="5213"/>
        <item x="6757"/>
        <item x="7261"/>
        <item x="7157"/>
        <item x="1169"/>
        <item x="6230"/>
        <item x="1744"/>
        <item x="5996"/>
        <item x="7715"/>
        <item x="3928"/>
        <item x="8256"/>
        <item x="6170"/>
        <item x="7300"/>
        <item x="8614"/>
        <item x="1294"/>
        <item x="1804"/>
        <item x="7324"/>
        <item x="1873"/>
        <item x="5420"/>
        <item x="7622"/>
        <item x="8705"/>
        <item x="2602"/>
        <item x="8476"/>
        <item x="3359"/>
        <item x="4571"/>
        <item x="5356"/>
        <item x="829"/>
        <item x="16"/>
        <item x="1808"/>
        <item x="6557"/>
        <item x="79"/>
        <item x="1388"/>
        <item x="8656"/>
        <item x="7786"/>
        <item x="2681"/>
        <item x="4629"/>
        <item x="7839"/>
        <item x="512"/>
        <item x="2545"/>
        <item x="2239"/>
        <item x="1312"/>
        <item x="4709"/>
        <item x="7690"/>
        <item x="2697"/>
        <item x="6154"/>
        <item x="1549"/>
        <item x="2338"/>
        <item x="2175"/>
        <item x="6569"/>
        <item x="7942"/>
        <item x="6374"/>
        <item x="5253"/>
        <item x="8162"/>
        <item x="6041"/>
        <item x="3690"/>
        <item x="8146"/>
        <item x="4603"/>
        <item x="6285"/>
        <item x="2161"/>
        <item x="2044"/>
        <item x="8200"/>
        <item x="2138"/>
        <item x="4609"/>
        <item x="5818"/>
        <item x="5589"/>
        <item x="7475"/>
        <item x="7009"/>
        <item x="7577"/>
        <item x="3857"/>
        <item x="453"/>
        <item x="4515"/>
        <item x="1985"/>
        <item x="2683"/>
        <item x="1086"/>
        <item x="1202"/>
        <item x="3760"/>
        <item x="7689"/>
        <item x="6581"/>
        <item x="8174"/>
        <item x="8045"/>
        <item x="1389"/>
        <item x="6782"/>
        <item x="5128"/>
        <item x="3496"/>
        <item x="7572"/>
        <item x="8136"/>
        <item x="6933"/>
        <item x="3601"/>
        <item x="6800"/>
        <item x="7552"/>
        <item x="888"/>
        <item x="4206"/>
        <item x="7330"/>
        <item x="2519"/>
        <item x="3581"/>
        <item x="8740"/>
        <item x="1207"/>
        <item x="69"/>
        <item x="7834"/>
        <item x="5156"/>
        <item x="7158"/>
        <item x="7898"/>
        <item x="8193"/>
        <item x="4389"/>
        <item x="3288"/>
        <item x="7136"/>
        <item x="1120"/>
        <item x="6929"/>
        <item x="7722"/>
        <item x="5109"/>
        <item x="1555"/>
        <item x="3883"/>
        <item x="8671"/>
        <item x="7301"/>
        <item x="7796"/>
        <item x="6443"/>
        <item x="5197"/>
        <item x="5845"/>
        <item x="1686"/>
        <item x="4254"/>
        <item x="4907"/>
        <item x="1989"/>
        <item x="2908"/>
        <item x="5740"/>
        <item x="4393"/>
        <item x="5651"/>
        <item x="1842"/>
        <item x="2647"/>
        <item x="8625"/>
        <item x="7699"/>
        <item x="7574"/>
        <item x="7504"/>
        <item x="2090"/>
        <item x="7248"/>
        <item x="5476"/>
        <item x="1408"/>
        <item x="8041"/>
        <item x="3809"/>
        <item x="7402"/>
        <item x="6647"/>
        <item x="1898"/>
        <item x="5288"/>
        <item x="5576"/>
        <item x="6877"/>
        <item x="5140"/>
        <item x="1637"/>
        <item x="7969"/>
        <item x="928"/>
        <item x="3301"/>
        <item x="4943"/>
        <item x="2550"/>
        <item x="4274"/>
        <item x="726"/>
        <item x="4671"/>
        <item x="6691"/>
        <item x="1528"/>
        <item x="4454"/>
        <item x="1799"/>
        <item x="8723"/>
        <item x="4352"/>
        <item x="4064"/>
        <item x="189"/>
        <item x="5684"/>
        <item x="7913"/>
        <item x="338"/>
        <item x="4554"/>
        <item x="8712"/>
        <item x="272"/>
        <item x="6545"/>
        <item x="6870"/>
        <item x="3309"/>
        <item x="3515"/>
        <item x="8289"/>
        <item x="6107"/>
        <item x="5882"/>
        <item x="7397"/>
        <item x="3287"/>
        <item x="8550"/>
        <item x="7345"/>
        <item x="1526"/>
        <item x="219"/>
        <item x="7179"/>
        <item x="2613"/>
        <item x="135"/>
        <item x="808"/>
        <item x="581"/>
        <item x="8292"/>
        <item x="8030"/>
        <item x="5955"/>
        <item x="8397"/>
        <item x="8771"/>
        <item x="1078"/>
        <item x="5512"/>
        <item x="8024"/>
        <item x="2154"/>
        <item x="3719"/>
        <item x="936"/>
        <item x="1974"/>
        <item x="3794"/>
        <item x="7599"/>
        <item x="5784"/>
        <item x="6583"/>
        <item x="2785"/>
        <item x="2136"/>
        <item x="3"/>
        <item x="3099"/>
        <item x="7663"/>
        <item x="5057"/>
        <item x="7781"/>
        <item x="633"/>
        <item x="5947"/>
        <item x="1048"/>
        <item x="7296"/>
        <item x="5363"/>
        <item x="7404"/>
        <item x="4700"/>
        <item x="3498"/>
        <item x="3741"/>
        <item x="145"/>
        <item x="6639"/>
        <item x="5965"/>
        <item x="6902"/>
        <item x="407"/>
        <item x="1218"/>
        <item x="4636"/>
        <item x="7220"/>
        <item x="63"/>
        <item x="6344"/>
        <item x="333"/>
        <item x="2784"/>
        <item x="7016"/>
        <item x="7249"/>
        <item x="3097"/>
        <item x="261"/>
        <item x="5406"/>
        <item x="81"/>
        <item x="5064"/>
        <item x="5940"/>
        <item x="3470"/>
        <item x="7695"/>
        <item x="4187"/>
        <item x="3453"/>
        <item x="7914"/>
        <item x="7972"/>
        <item x="3011"/>
        <item x="6208"/>
        <item x="7229"/>
        <item x="3245"/>
        <item x="6976"/>
        <item x="3821"/>
        <item x="382"/>
        <item x="3668"/>
        <item x="3261"/>
        <item x="1479"/>
        <item x="693"/>
        <item x="7500"/>
        <item x="4380"/>
        <item x="8038"/>
        <item x="119"/>
        <item x="5788"/>
        <item x="1986"/>
        <item x="34"/>
        <item x="3031"/>
        <item x="3398"/>
        <item x="4673"/>
        <item x="1928"/>
        <item x="2123"/>
        <item x="295"/>
        <item x="2389"/>
        <item x="978"/>
        <item x="2763"/>
        <item x="628"/>
        <item x="3541"/>
        <item x="2533"/>
        <item x="2801"/>
        <item x="8451"/>
        <item x="2930"/>
        <item x="882"/>
        <item x="8612"/>
        <item x="8127"/>
        <item x="6588"/>
        <item x="2607"/>
        <item x="3608"/>
        <item x="3019"/>
        <item x="4827"/>
        <item x="3666"/>
        <item x="584"/>
        <item x="2027"/>
        <item x="7506"/>
        <item x="1693"/>
        <item x="1488"/>
        <item x="3752"/>
        <item x="6931"/>
        <item x="5625"/>
        <item x="1360"/>
        <item x="514"/>
        <item x="471"/>
        <item x="5342"/>
        <item x="4645"/>
        <item x="6283"/>
        <item x="652"/>
        <item x="7321"/>
        <item x="3943"/>
        <item x="247"/>
        <item x="1127"/>
        <item x="8594"/>
        <item x="6725"/>
        <item x="8632"/>
        <item x="5590"/>
        <item x="8137"/>
        <item x="2342"/>
        <item x="4642"/>
        <item x="5206"/>
        <item x="2779"/>
        <item x="8180"/>
        <item x="3456"/>
        <item x="4784"/>
        <item x="2667"/>
        <item x="1373"/>
        <item x="2275"/>
        <item x="4223"/>
        <item x="7270"/>
        <item x="3803"/>
        <item x="4934"/>
        <item x="7495"/>
        <item x="8619"/>
        <item x="4883"/>
        <item x="7035"/>
        <item x="4011"/>
        <item x="3536"/>
        <item x="4897"/>
        <item x="7155"/>
        <item x="3955"/>
        <item x="2825"/>
        <item x="2816"/>
        <item x="3527"/>
        <item x="378"/>
        <item x="3355"/>
        <item x="5412"/>
        <item x="1930"/>
        <item x="6760"/>
        <item x="2274"/>
        <item x="1377"/>
        <item x="7493"/>
        <item x="4439"/>
        <item x="3635"/>
        <item x="8277"/>
        <item x="1466"/>
        <item x="6133"/>
        <item x="3205"/>
        <item x="1001"/>
        <item x="2537"/>
        <item x="5715"/>
        <item x="3232"/>
        <item x="7686"/>
        <item x="8071"/>
        <item x="3300"/>
        <item x="6561"/>
        <item x="3273"/>
        <item x="785"/>
        <item x="5440"/>
        <item x="6688"/>
        <item x="4630"/>
        <item x="5106"/>
        <item x="6813"/>
        <item x="2857"/>
        <item x="2611"/>
        <item x="4358"/>
        <item x="3587"/>
        <item x="8756"/>
        <item x="1182"/>
        <item x="1931"/>
        <item x="377"/>
        <item x="254"/>
        <item x="10"/>
        <item x="262"/>
        <item x="2899"/>
        <item x="5393"/>
        <item x="385"/>
        <item x="312"/>
        <item x="7232"/>
        <item x="7280"/>
        <item x="7821"/>
        <item x="1335"/>
        <item x="7123"/>
        <item x="4178"/>
        <item x="2708"/>
        <item x="222"/>
        <item x="591"/>
        <item x="522"/>
        <item x="4406"/>
        <item x="5658"/>
        <item x="4302"/>
        <item x="6099"/>
        <item x="2237"/>
        <item x="7946"/>
        <item x="7984"/>
        <item x="3846"/>
        <item x="3948"/>
        <item x="998"/>
        <item x="6874"/>
        <item x="2975"/>
        <item x="532"/>
        <item x="520"/>
        <item x="586"/>
        <item x="1074"/>
        <item x="7873"/>
        <item x="4837"/>
        <item x="5923"/>
        <item x="246"/>
        <item x="3554"/>
        <item x="6429"/>
        <item x="8373"/>
        <item x="3578"/>
        <item x="1069"/>
        <item x="6607"/>
        <item x="6841"/>
        <item x="7343"/>
        <item x="850"/>
        <item x="7095"/>
        <item x="816"/>
        <item x="8786"/>
        <item x="1834"/>
        <item x="4984"/>
        <item x="8472"/>
        <item x="5922"/>
        <item x="8491"/>
        <item x="8542"/>
        <item x="4378"/>
        <item x="4079"/>
        <item x="3695"/>
        <item x="3999"/>
        <item x="4932"/>
        <item x="526"/>
        <item x="2103"/>
        <item x="5811"/>
        <item x="8578"/>
        <item x="4030"/>
        <item x="2716"/>
        <item x="6346"/>
        <item x="2412"/>
        <item x="8557"/>
        <item x="8261"/>
        <item x="2131"/>
        <item x="8690"/>
        <item x="5603"/>
        <item x="7116"/>
        <item x="5426"/>
        <item x="2942"/>
        <item x="4212"/>
        <item x="3708"/>
        <item x="7604"/>
        <item x="8495"/>
        <item x="7757"/>
        <item x="2189"/>
        <item x="8033"/>
        <item x="1650"/>
        <item x="6082"/>
        <item x="664"/>
        <item x="5694"/>
        <item x="1422"/>
        <item x="1177"/>
        <item x="4070"/>
        <item x="2773"/>
        <item x="4860"/>
        <item x="93"/>
        <item x="4169"/>
        <item x="7993"/>
        <item x="6045"/>
        <item x="2669"/>
        <item x="6936"/>
        <item x="2278"/>
        <item x="5872"/>
        <item x="3402"/>
        <item x="689"/>
        <item x="7652"/>
        <item x="8206"/>
        <item x="7882"/>
        <item x="2264"/>
        <item x="4059"/>
        <item x="3053"/>
        <item x="4891"/>
        <item x="7112"/>
        <item x="7815"/>
        <item x="2080"/>
        <item x="5890"/>
        <item x="4895"/>
        <item x="175"/>
        <item x="6289"/>
        <item x="7676"/>
        <item x="545"/>
        <item x="2299"/>
        <item x="665"/>
        <item x="6565"/>
        <item x="626"/>
        <item x="1980"/>
        <item x="2562"/>
        <item x="2671"/>
        <item x="7362"/>
        <item x="5391"/>
        <item x="4224"/>
        <item x="4382"/>
        <item x="8670"/>
        <item x="132"/>
        <item x="7202"/>
        <item x="3935"/>
        <item x="5777"/>
        <item x="8610"/>
        <item x="6911"/>
        <item x="369"/>
        <item x="7342"/>
        <item x="571"/>
        <item x="4597"/>
        <item x="4845"/>
        <item x="6059"/>
        <item x="8639"/>
        <item x="1194"/>
        <item x="7413"/>
        <item x="6074"/>
        <item x="4182"/>
        <item x="5654"/>
        <item x="6324"/>
        <item x="4142"/>
        <item x="8517"/>
        <item x="8408"/>
        <item x="8567"/>
        <item x="6867"/>
        <item x="3274"/>
        <item x="5549"/>
        <item x="5665"/>
        <item x="4948"/>
        <item x="7522"/>
        <item x="2231"/>
        <item x="4863"/>
        <item x="1677"/>
        <item x="5290"/>
        <item x="6562"/>
        <item x="5538"/>
        <item x="815"/>
        <item x="2746"/>
        <item x="6160"/>
        <item x="3593"/>
        <item x="2296"/>
        <item x="7323"/>
        <item x="706"/>
        <item x="3040"/>
        <item x="719"/>
        <item x="5027"/>
        <item x="8221"/>
        <item x="5325"/>
        <item x="5159"/>
        <item x="1731"/>
        <item x="5238"/>
        <item x="6917"/>
        <item x="2790"/>
        <item x="8416"/>
        <item x="3684"/>
        <item x="386"/>
        <item x="8344"/>
        <item x="5534"/>
        <item x="3492"/>
        <item x="3800"/>
        <item x="5609"/>
        <item x="5896"/>
        <item x="1246"/>
        <item x="7594"/>
        <item x="7750"/>
        <item x="3720"/>
        <item x="7184"/>
        <item x="6302"/>
        <item x="1913"/>
        <item x="3913"/>
        <item x="160"/>
        <item x="214"/>
        <item x="6423"/>
        <item x="4833"/>
        <item x="8351"/>
        <item x="2965"/>
        <item x="8278"/>
        <item x="7398"/>
        <item x="4432"/>
        <item x="8028"/>
        <item x="7449"/>
        <item x="2336"/>
        <item x="4999"/>
        <item x="2642"/>
        <item x="8528"/>
        <item x="2996"/>
        <item x="8540"/>
        <item x="2853"/>
        <item x="7672"/>
        <item x="2484"/>
        <item x="4071"/>
        <item x="3940"/>
        <item x="5527"/>
        <item x="2879"/>
        <item x="5586"/>
        <item x="3500"/>
        <item x="8309"/>
        <item x="2895"/>
        <item x="6799"/>
        <item x="2887"/>
        <item x="2141"/>
        <item x="1304"/>
        <item x="8499"/>
        <item x="4576"/>
        <item x="2463"/>
        <item x="3266"/>
        <item x="6364"/>
        <item x="3369"/>
        <item x="2859"/>
        <item x="8"/>
        <item x="44"/>
        <item x="6242"/>
        <item x="8310"/>
        <item x="6489"/>
        <item x="7886"/>
        <item x="5732"/>
        <item x="6053"/>
        <item x="7932"/>
        <item x="4354"/>
        <item x="6048"/>
        <item x="3826"/>
        <item x="54"/>
        <item x="4859"/>
        <item x="6189"/>
        <item x="6226"/>
        <item x="7204"/>
        <item x="7212"/>
        <item x="2033"/>
        <item x="4745"/>
        <item x="1575"/>
        <item x="2911"/>
        <item x="6417"/>
        <item x="3148"/>
        <item x="1965"/>
        <item x="8555"/>
        <item x="5997"/>
        <item x="6778"/>
        <item x="7649"/>
        <item x="8400"/>
        <item x="4814"/>
        <item x="7066"/>
        <item x="7057"/>
        <item x="1992"/>
        <item x="3796"/>
        <item x="5847"/>
        <item x="4589"/>
        <item x="6165"/>
        <item x="7492"/>
        <item x="2374"/>
        <item x="7675"/>
        <item x="1765"/>
        <item x="5734"/>
        <item x="2725"/>
        <item x="8424"/>
        <item x="4635"/>
        <item x="5098"/>
        <item x="236"/>
        <item x="1705"/>
        <item x="2738"/>
        <item x="2848"/>
        <item x="4682"/>
        <item x="7973"/>
        <item x="6797"/>
        <item x="3804"/>
        <item x="2559"/>
        <item x="4649"/>
        <item x="1920"/>
        <item x="2028"/>
        <item x="7307"/>
        <item x="725"/>
        <item x="1161"/>
        <item x="5680"/>
        <item x="5504"/>
        <item x="6618"/>
        <item x="4654"/>
        <item x="4694"/>
        <item x="6276"/>
        <item x="7563"/>
        <item x="319"/>
        <item x="7771"/>
        <item x="420"/>
        <item x="8333"/>
        <item x="7640"/>
        <item x="195"/>
        <item x="3934"/>
        <item x="4053"/>
        <item x="6903"/>
        <item x="7845"/>
        <item x="7793"/>
        <item x="8703"/>
        <item x="4692"/>
        <item x="853"/>
        <item x="528"/>
        <item x="862"/>
        <item x="1950"/>
        <item x="7354"/>
        <item x="4280"/>
        <item x="2284"/>
        <item x="2916"/>
        <item x="3575"/>
        <item x="8519"/>
        <item x="2449"/>
        <item x="5676"/>
        <item x="596"/>
        <item x="4134"/>
        <item x="836"/>
        <item x="1692"/>
        <item x="8064"/>
        <item x="8618"/>
        <item x="866"/>
        <item x="5928"/>
        <item x="3104"/>
        <item x="2218"/>
        <item x="7872"/>
        <item x="6224"/>
        <item x="5332"/>
        <item x="4812"/>
        <item x="1090"/>
        <item x="5119"/>
        <item x="5190"/>
        <item x="8773"/>
        <item x="5841"/>
        <item x="8562"/>
        <item x="3084"/>
        <item x="6788"/>
        <item x="6504"/>
        <item x="1385"/>
        <item x="4916"/>
        <item x="3670"/>
        <item x="8143"/>
        <item x="7578"/>
        <item x="5062"/>
        <item x="1623"/>
        <item x="7849"/>
        <item x="413"/>
        <item x="1030"/>
        <item x="2478"/>
        <item x="4106"/>
        <item x="4639"/>
        <item x="5103"/>
        <item x="4847"/>
        <item x="4687"/>
        <item x="4525"/>
        <item x="6144"/>
        <item x="8454"/>
        <item x="4740"/>
        <item x="4057"/>
        <item x="4711"/>
        <item x="2427"/>
        <item x="5389"/>
        <item x="8430"/>
        <item x="7087"/>
        <item x="6072"/>
        <item x="4753"/>
        <item x="6013"/>
        <item x="4002"/>
        <item x="5318"/>
        <item x="6981"/>
        <item x="8054"/>
        <item x="5244"/>
        <item x="4743"/>
        <item x="8395"/>
        <item x="3131"/>
        <item x="5480"/>
        <item x="1956"/>
        <item x="731"/>
        <item x="2130"/>
        <item x="3062"/>
        <item x="6106"/>
        <item x="3377"/>
        <item x="96"/>
        <item x="6774"/>
        <item x="4074"/>
        <item x="3983"/>
        <item x="8598"/>
        <item x="5053"/>
        <item x="8055"/>
        <item x="7125"/>
        <item x="3870"/>
        <item x="6934"/>
        <item x="5272"/>
        <item x="5643"/>
        <item x="368"/>
        <item x="2628"/>
        <item x="2679"/>
        <item x="317"/>
        <item x="818"/>
        <item x="6342"/>
        <item x="1181"/>
        <item x="4998"/>
        <item x="4036"/>
        <item x="8415"/>
        <item x="1669"/>
        <item x="1160"/>
        <item x="6174"/>
        <item x="4756"/>
        <item x="2910"/>
        <item x="5727"/>
        <item x="3420"/>
        <item x="7684"/>
        <item x="2817"/>
        <item x="6290"/>
        <item x="4"/>
        <item x="1210"/>
        <item x="4332"/>
        <item x="6759"/>
        <item x="7159"/>
        <item x="8592"/>
        <item x="2753"/>
        <item x="6582"/>
        <item x="8461"/>
        <item x="1605"/>
        <item x="1548"/>
        <item x="3530"/>
        <item x="8745"/>
        <item x="107"/>
        <item x="527"/>
        <item x="4092"/>
        <item x="3958"/>
        <item x="1490"/>
        <item x="6229"/>
        <item x="6141"/>
        <item x="8086"/>
        <item x="7784"/>
        <item x="3762"/>
        <item x="8715"/>
        <item x="2551"/>
        <item x="6721"/>
        <item x="2356"/>
        <item x="3322"/>
        <item x="5993"/>
        <item x="4435"/>
        <item x="2556"/>
        <item x="1741"/>
        <item x="504"/>
        <item x="4789"/>
        <item x="4411"/>
        <item x="3303"/>
        <item x="5034"/>
        <item x="4137"/>
        <item x="3689"/>
        <item x="7603"/>
        <item x="8081"/>
        <item x="3013"/>
        <item x="6038"/>
        <item x="8138"/>
        <item x="5007"/>
        <item x="5428"/>
        <item x="7833"/>
        <item x="2837"/>
        <item x="3292"/>
        <item x="572"/>
        <item x="588"/>
        <item x="5254"/>
        <item x="1937"/>
        <item x="8265"/>
        <item x="6735"/>
        <item x="7682"/>
        <item x="4942"/>
        <item x="3465"/>
        <item x="8245"/>
        <item x="557"/>
        <item x="3721"/>
        <item x="7978"/>
        <item x="337"/>
        <item x="1912"/>
        <item x="4577"/>
        <item x="4557"/>
        <item x="7639"/>
        <item x="4043"/>
        <item x="249"/>
        <item x="2742"/>
        <item x="5037"/>
        <item x="1003"/>
        <item x="7462"/>
        <item x="2143"/>
        <item x="5443"/>
        <item x="3252"/>
        <item x="1725"/>
        <item x="1279"/>
        <item x="6040"/>
        <item x="2635"/>
        <item x="3528"/>
        <item x="3383"/>
        <item x="7829"/>
        <item x="4552"/>
        <item x="3329"/>
        <item x="3841"/>
        <item x="5353"/>
        <item x="881"/>
        <item x="3397"/>
        <item x="8100"/>
        <item x="825"/>
        <item x="5946"/>
        <item x="5270"/>
        <item x="6537"/>
        <item x="4944"/>
        <item x="5599"/>
        <item x="7416"/>
        <item x="7279"/>
        <item x="2999"/>
        <item x="1617"/>
        <item x="6179"/>
        <item x="8471"/>
        <item x="6595"/>
        <item x="1316"/>
        <item x="6355"/>
        <item x="6835"/>
        <item x="5509"/>
        <item x="7039"/>
        <item x="2700"/>
        <item x="5145"/>
        <item x="4346"/>
        <item x="6287"/>
        <item x="4580"/>
        <item x="5371"/>
        <item x="779"/>
        <item x="4309"/>
        <item x="4321"/>
        <item x="608"/>
        <item x="8125"/>
        <item x="6532"/>
        <item x="3953"/>
        <item x="2241"/>
        <item x="6065"/>
        <item x="8184"/>
        <item x="784"/>
        <item x="6444"/>
        <item x="5320"/>
        <item x="5764"/>
        <item x="6190"/>
        <item x="7949"/>
        <item x="1141"/>
        <item x="5905"/>
        <item x="340"/>
        <item x="6801"/>
        <item x="5786"/>
        <item x="7611"/>
        <item x="2958"/>
        <item x="7533"/>
        <item x="4149"/>
        <item x="4287"/>
        <item x="241"/>
        <item x="5982"/>
        <item x="5377"/>
        <item x="2181"/>
        <item x="202"/>
        <item x="2620"/>
        <item x="129"/>
        <item x="7717"/>
        <item x="6990"/>
        <item x="2718"/>
        <item x="3045"/>
        <item x="6912"/>
        <item x="2360"/>
        <item x="1224"/>
        <item x="1026"/>
        <item x="6104"/>
        <item x="2494"/>
        <item x="5160"/>
        <item x="744"/>
        <item x="2225"/>
        <item x="7917"/>
        <item x="5656"/>
        <item x="1250"/>
        <item x="2513"/>
        <item x="7048"/>
        <item x="2057"/>
        <item x="2836"/>
        <item x="6863"/>
        <item x="3069"/>
        <item x="7428"/>
        <item x="8270"/>
        <item x="8178"/>
        <item x="635"/>
        <item x="5223"/>
        <item x="4226"/>
        <item x="6758"/>
        <item x="5887"/>
        <item x="244"/>
        <item x="6890"/>
        <item x="7310"/>
        <item x="3023"/>
        <item x="410"/>
        <item x="7020"/>
        <item x="5335"/>
        <item x="7030"/>
        <item x="3700"/>
        <item x="4046"/>
        <item x="8779"/>
        <item x="8604"/>
        <item x="5398"/>
        <item x="8497"/>
        <item x="5554"/>
        <item x="3588"/>
        <item x="7085"/>
        <item x="7653"/>
        <item x="2637"/>
        <item x="2964"/>
        <item x="4353"/>
        <item x="646"/>
        <item x="358"/>
        <item x="4481"/>
        <item x="3739"/>
        <item x="3513"/>
        <item x="4235"/>
        <item x="4676"/>
        <item x="2543"/>
        <item x="5421"/>
        <item x="5762"/>
        <item x="1461"/>
        <item x="6124"/>
        <item x="8527"/>
        <item x="3061"/>
        <item x="4503"/>
        <item x="8307"/>
        <item x="4922"/>
        <item x="8095"/>
        <item x="2459"/>
        <item x="4664"/>
        <item x="4887"/>
        <item x="5741"/>
        <item x="2807"/>
        <item x="6220"/>
        <item x="2363"/>
        <item x="2567"/>
        <item x="7236"/>
        <item x="7491"/>
        <item x="3439"/>
        <item x="3736"/>
        <item x="6263"/>
        <item x="2172"/>
        <item x="968"/>
        <item x="5530"/>
        <item x="7952"/>
        <item x="2505"/>
        <item x="7367"/>
        <item x="3284"/>
        <item x="1163"/>
        <item x="5218"/>
        <item x="2253"/>
        <item x="6728"/>
        <item x="4484"/>
        <item x="5148"/>
        <item x="6517"/>
        <item x="4742"/>
        <item x="3621"/>
        <item x="3834"/>
        <item x="7338"/>
        <item x="7008"/>
        <item x="7521"/>
        <item x="5858"/>
        <item x="564"/>
        <item x="5690"/>
        <item x="4857"/>
        <item x="7620"/>
        <item x="2714"/>
        <item x="991"/>
        <item x="5219"/>
        <item x="126"/>
        <item x="1478"/>
        <item x="6866"/>
        <item x="6524"/>
        <item x="5877"/>
        <item x="5632"/>
        <item x="1745"/>
        <item x="6014"/>
        <item x="2031"/>
        <item x="8223"/>
        <item x="6351"/>
        <item x="8112"/>
        <item x="2450"/>
        <item x="7026"/>
        <item x="1802"/>
        <item x="4641"/>
        <item x="2398"/>
        <item x="6309"/>
        <item x="1020"/>
        <item x="6146"/>
        <item x="4605"/>
        <item x="2186"/>
        <item x="3151"/>
        <item x="1792"/>
        <item x="4248"/>
        <item x="389"/>
        <item x="5895"/>
        <item x="3699"/>
        <item x="8576"/>
        <item x="3685"/>
        <item x="8569"/>
        <item x="7168"/>
        <item x="2597"/>
        <item x="3538"/>
        <item x="3068"/>
        <item x="2142"/>
        <item x="2056"/>
        <item x="348"/>
        <item x="2865"/>
        <item x="4514"/>
        <item x="6627"/>
        <item x="683"/>
        <item x="1867"/>
        <item x="3564"/>
        <item x="2179"/>
        <item x="1099"/>
        <item x="6068"/>
        <item x="4127"/>
        <item x="4758"/>
        <item x="3119"/>
        <item x="3921"/>
        <item x="709"/>
        <item x="2413"/>
        <item x="5899"/>
        <item x="2000"/>
        <item x="390"/>
        <item x="8356"/>
        <item x="2701"/>
        <item x="1597"/>
        <item x="5999"/>
        <item x="1253"/>
        <item x="5083"/>
        <item x="2428"/>
        <item x="2751"/>
        <item x="5736"/>
        <item x="6655"/>
        <item x="1688"/>
        <item x="7991"/>
        <item x="6442"/>
        <item x="817"/>
        <item x="743"/>
        <item x="980"/>
        <item x="4593"/>
        <item x="1082"/>
        <item x="4114"/>
        <item x="4322"/>
        <item x="4685"/>
        <item x="1625"/>
        <item x="2595"/>
        <item x="3033"/>
        <item x="4681"/>
        <item x="547"/>
        <item x="7836"/>
        <item x="8784"/>
        <item x="2158"/>
        <item x="8088"/>
        <item x="3364"/>
        <item x="2404"/>
        <item x="6622"/>
        <item x="1307"/>
        <item x="763"/>
        <item x="2040"/>
        <item x="3140"/>
        <item x="4189"/>
        <item x="3280"/>
        <item x="4315"/>
        <item x="1649"/>
        <item x="6825"/>
        <item x="6255"/>
        <item x="629"/>
        <item x="3858"/>
        <item x="8646"/>
        <item x="3745"/>
        <item x="2889"/>
        <item x="5716"/>
        <item x="3831"/>
        <item x="7457"/>
        <item x="2488"/>
        <item x="289"/>
        <item x="1338"/>
        <item x="3535"/>
        <item x="3080"/>
        <item x="2345"/>
        <item x="6586"/>
        <item x="8372"/>
        <item x="5626"/>
        <item x="8423"/>
        <item x="6827"/>
        <item x="7511"/>
        <item x="412"/>
        <item x="2246"/>
        <item x="4736"/>
        <item x="5878"/>
        <item x="4533"/>
        <item x="2534"/>
        <item x="8572"/>
        <item x="2014"/>
        <item x="4478"/>
        <item x="7340"/>
        <item x="8384"/>
        <item x="2866"/>
        <item x="5616"/>
        <item x="7697"/>
        <item x="5773"/>
        <item x="7192"/>
        <item x="7610"/>
        <item x="7490"/>
        <item x="2310"/>
        <item x="5757"/>
        <item x="6062"/>
        <item x="6948"/>
        <item x="8066"/>
        <item x="7227"/>
        <item x="1659"/>
        <item x="6083"/>
        <item x="904"/>
        <item x="6614"/>
        <item x="473"/>
        <item x="4262"/>
        <item x="8254"/>
        <item x="188"/>
        <item x="1288"/>
        <item x="1007"/>
        <item x="6516"/>
        <item x="5486"/>
        <item x="1784"/>
        <item x="7557"/>
        <item x="1077"/>
        <item x="8085"/>
        <item x="3473"/>
        <item x="6293"/>
        <item x="6377"/>
        <item x="5073"/>
        <item x="5664"/>
        <item x="8435"/>
        <item x="4433"/>
        <item x="7670"/>
        <item x="5488"/>
        <item x="6730"/>
        <item x="1862"/>
        <item x="1067"/>
        <item x="8140"/>
        <item x="5360"/>
        <item x="5510"/>
        <item x="3738"/>
        <item x="895"/>
        <item x="5499"/>
        <item x="6598"/>
        <item x="2288"/>
        <item x="516"/>
        <item x="8194"/>
        <item x="3345"/>
        <item x="2431"/>
        <item x="4136"/>
        <item x="1029"/>
        <item x="307"/>
        <item x="8381"/>
        <item x="4535"/>
        <item x="3750"/>
        <item x="5704"/>
        <item x="6295"/>
        <item x="3138"/>
        <item x="2824"/>
        <item x="4524"/>
        <item x="5612"/>
        <item x="1065"/>
        <item x="6086"/>
        <item x="1012"/>
        <item x="3373"/>
        <item x="4450"/>
        <item x="1651"/>
        <item x="6530"/>
        <item x="6971"/>
        <item x="5746"/>
        <item x="3927"/>
        <item x="8299"/>
        <item x="3931"/>
        <item x="3775"/>
        <item x="6694"/>
        <item x="2641"/>
        <item x="638"/>
        <item x="3717"/>
        <item x="5798"/>
        <item x="8167"/>
        <item x="7892"/>
        <item x="5687"/>
        <item x="2860"/>
        <item x="1428"/>
        <item x="780"/>
        <item x="2752"/>
        <item x="5641"/>
        <item x="7733"/>
        <item x="4147"/>
        <item x="2728"/>
        <item x="5368"/>
        <item x="8286"/>
        <item x="674"/>
        <item x="6626"/>
        <item x="2244"/>
        <item x="8139"/>
        <item x="3328"/>
        <item x="5077"/>
        <item x="1009"/>
        <item x="37"/>
        <item x="7681"/>
        <item x="6784"/>
        <item x="3788"/>
        <item x="4041"/>
        <item x="957"/>
        <item x="2066"/>
        <item x="6087"/>
        <item x="1376"/>
        <item x="7021"/>
        <item x="7744"/>
        <item x="5367"/>
        <item x="963"/>
        <item x="2947"/>
        <item x="5675"/>
        <item x="694"/>
        <item x="4150"/>
        <item x="4708"/>
        <item x="8629"/>
        <item x="2221"/>
        <item x="6143"/>
        <item x="8401"/>
        <item x="2011"/>
        <item x="3481"/>
        <item x="2286"/>
        <item x="2981"/>
        <item x="447"/>
        <item x="8490"/>
        <item x="4112"/>
        <item x="4081"/>
        <item x="232"/>
        <item x="2016"/>
        <item x="399"/>
        <item x="1195"/>
        <item x="1701"/>
        <item x="6499"/>
        <item x="6635"/>
        <item x="8735"/>
        <item x="4244"/>
        <item x="6137"/>
        <item x="3742"/>
        <item x="7377"/>
        <item x="2772"/>
        <item x="8708"/>
        <item x="4395"/>
        <item x="6301"/>
        <item x="3944"/>
        <item x="6505"/>
        <item x="6186"/>
        <item x="567"/>
        <item x="6163"/>
        <item x="7148"/>
        <item x="8386"/>
        <item x="682"/>
        <item x="1918"/>
        <item x="7351"/>
        <item x="6023"/>
        <item x="1584"/>
        <item x="7937"/>
        <item x="5525"/>
        <item x="5047"/>
        <item x="3168"/>
        <item x="260"/>
        <item x="914"/>
        <item x="3201"/>
        <item x="1851"/>
        <item x="8043"/>
        <item x="3056"/>
        <item x="6684"/>
        <item x="8763"/>
        <item x="2515"/>
        <item x="4985"/>
        <item x="3563"/>
        <item x="320"/>
        <item x="728"/>
        <item x="8738"/>
        <item x="582"/>
        <item x="4122"/>
        <item x="7924"/>
        <item x="5088"/>
        <item x="4077"/>
        <item x="3240"/>
        <item x="1570"/>
        <item x="4038"/>
        <item x="1052"/>
        <item x="1610"/>
        <item x="1482"/>
        <item x="5760"/>
        <item x="7303"/>
        <item x="8212"/>
        <item x="2162"/>
        <item x="7658"/>
        <item x="1068"/>
        <item x="1583"/>
        <item x="2205"/>
        <item x="4908"/>
        <item x="6182"/>
        <item x="2121"/>
        <item x="8347"/>
        <item x="570"/>
        <item x="1515"/>
        <item x="708"/>
        <item x="5497"/>
        <item x="3477"/>
        <item x="5216"/>
        <item x="8267"/>
        <item x="6350"/>
        <item x="2419"/>
        <item x="84"/>
        <item x="7822"/>
        <item x="2261"/>
        <item x="6222"/>
        <item x="6696"/>
        <item x="3822"/>
        <item x="2406"/>
        <item x="4050"/>
        <item x="6180"/>
        <item x="3859"/>
        <item x="204"/>
        <item x="5284"/>
        <item x="8197"/>
        <item x="966"/>
        <item x="8087"/>
        <item x="1499"/>
        <item x="6886"/>
        <item x="4850"/>
        <item x="7632"/>
        <item x="3507"/>
        <item x="1626"/>
        <item x="457"/>
        <item x="6452"/>
        <item x="6832"/>
        <item x="870"/>
        <item x="4961"/>
        <item x="7809"/>
        <item x="4091"/>
        <item x="1783"/>
        <item x="341"/>
        <item x="6925"/>
        <item x="2146"/>
        <item x="2759"/>
        <item x="3311"/>
        <item x="476"/>
        <item x="3503"/>
        <item x="4419"/>
        <item x="7376"/>
        <item x="7780"/>
        <item x="6743"/>
        <item x="8217"/>
        <item x="1395"/>
        <item x="6279"/>
        <item x="2560"/>
        <item x="7693"/>
        <item x="5611"/>
        <item x="1539"/>
        <item x="716"/>
        <item x="4867"/>
        <item x="6736"/>
        <item x="1350"/>
        <item x="2399"/>
        <item x="5577"/>
        <item x="5090"/>
        <item x="1571"/>
        <item x="3819"/>
        <item x="6786"/>
        <item x="154"/>
        <item x="5783"/>
        <item x="1331"/>
        <item x="5074"/>
        <item x="7348"/>
        <item x="3543"/>
        <item x="8434"/>
        <item x="271"/>
        <item x="424"/>
        <item x="2927"/>
        <item x="3235"/>
        <item x="3778"/>
        <item x="8222"/>
        <item x="2576"/>
        <item x="4200"/>
        <item x="1229"/>
        <item x="1431"/>
        <item x="6349"/>
        <item x="6632"/>
        <item x="5376"/>
        <item x="2822"/>
        <item x="357"/>
        <item x="3879"/>
        <item x="5341"/>
        <item x="7778"/>
        <item x="6042"/>
        <item x="5583"/>
        <item x="3429"/>
        <item x="5189"/>
        <item x="3206"/>
        <item x="7751"/>
        <item x="508"/>
        <item x="1324"/>
        <item x="415"/>
        <item x="2709"/>
        <item x="4841"/>
        <item x="3117"/>
        <item x="8673"/>
        <item x="6479"/>
        <item x="1016"/>
        <item x="5023"/>
        <item x="1084"/>
        <item x="6122"/>
        <item x="7787"/>
        <item x="4482"/>
        <item x="8122"/>
        <item x="98"/>
        <item x="6514"/>
        <item x="5500"/>
        <item x="6587"/>
        <item x="754"/>
        <item x="8772"/>
        <item x="609"/>
        <item x="7401"/>
        <item x="5033"/>
        <item x="4572"/>
        <item x="5319"/>
        <item x="5136"/>
        <item x="7775"/>
        <item x="4446"/>
        <item x="2744"/>
        <item x="3255"/>
        <item x="6767"/>
        <item x="12"/>
        <item x="6522"/>
        <item x="298"/>
        <item x="4501"/>
        <item x="893"/>
        <item x="6753"/>
        <item x="293"/>
        <item x="5780"/>
        <item x="1355"/>
        <item x="3196"/>
        <item x="6246"/>
        <item x="8049"/>
        <item x="4615"/>
        <item x="5495"/>
        <item x="3012"/>
        <item x="488"/>
        <item x="4416"/>
        <item x="803"/>
        <item x="3158"/>
        <item x="4175"/>
        <item x="2794"/>
        <item x="5921"/>
        <item x="1293"/>
        <item x="1300"/>
        <item x="8661"/>
        <item x="6424"/>
        <item x="5852"/>
        <item x="24"/>
        <item x="7445"/>
        <item x="4540"/>
        <item x="2109"/>
        <item x="6837"/>
        <item x="1310"/>
        <item x="7673"/>
        <item x="5346"/>
        <item x="876"/>
        <item x="7190"/>
        <item x="3966"/>
        <item x="2670"/>
        <item x="3340"/>
        <item x="2319"/>
        <item x="1489"/>
        <item x="1737"/>
        <item x="3869"/>
        <item x="4634"/>
        <item x="5038"/>
        <item x="5176"/>
        <item x="4007"/>
        <item x="6490"/>
        <item x="4690"/>
        <item x="3636"/>
        <item x="3198"/>
        <item x="1940"/>
        <item x="2124"/>
        <item x="4621"/>
        <item x="4555"/>
        <item x="1258"/>
        <item x="8502"/>
        <item x="5963"/>
        <item x="2710"/>
        <item x="7251"/>
        <item x="8363"/>
        <item x="4632"/>
        <item x="1679"/>
        <item x="5705"/>
        <item x="7019"/>
        <item x="7332"/>
        <item x="8040"/>
        <item x="8781"/>
        <item x="3440"/>
        <item x="3336"/>
        <item x="3658"/>
        <item x="3001"/>
        <item x="2904"/>
        <item x="4889"/>
        <item x="4613"/>
        <item x="7033"/>
        <item x="3562"/>
        <item x="2770"/>
        <item x="4728"/>
        <item x="442"/>
        <item x="5422"/>
        <item x="1176"/>
        <item x="4780"/>
        <item x="8371"/>
        <item x="5134"/>
        <item x="2407"/>
        <item x="8269"/>
        <item x="8104"/>
        <item x="2259"/>
        <item x="1853"/>
        <item x="491"/>
        <item x="6057"/>
        <item x="181"/>
        <item x="3075"/>
        <item x="7669"/>
        <item x="1143"/>
        <item x="1226"/>
        <item x="5726"/>
        <item x="2153"/>
        <item x="2711"/>
        <item x="7170"/>
        <item x="1369"/>
        <item x="7063"/>
        <item x="6602"/>
        <item x="3652"/>
        <item x="493"/>
        <item x="1664"/>
        <item x="622"/>
        <item x="4300"/>
        <item x="4387"/>
        <item x="2936"/>
        <item x="4431"/>
        <item x="5479"/>
        <item x="4181"/>
        <item x="5462"/>
        <item x="7380"/>
        <item x="8775"/>
        <item x="4755"/>
        <item x="3603"/>
        <item x="7859"/>
        <item x="7931"/>
        <item x="7585"/>
        <item x="299"/>
        <item x="7320"/>
        <item x="1772"/>
        <item x="7783"/>
        <item x="4734"/>
        <item x="2197"/>
        <item x="554"/>
        <item x="7373"/>
        <item x="8711"/>
        <item x="753"/>
        <item x="6387"/>
        <item x="3335"/>
        <item x="6535"/>
        <item x="5352"/>
        <item x="7910"/>
        <item x="1608"/>
        <item x="3034"/>
        <item x="7853"/>
        <item x="3574"/>
        <item x="7573"/>
        <item x="7091"/>
        <item x="4505"/>
        <item x="5555"/>
        <item x="1215"/>
        <item x="1139"/>
        <item x="6466"/>
        <item x="5723"/>
        <item x="4238"/>
        <item x="5992"/>
        <item x="8374"/>
        <item x="90"/>
        <item x="3682"/>
        <item x="1739"/>
        <item x="5885"/>
        <item x="6580"/>
        <item x="2193"/>
        <item x="3381"/>
        <item x="2699"/>
        <item x="5649"/>
        <item x="6999"/>
        <item x="3410"/>
        <item x="2926"/>
        <item x="1889"/>
        <item x="4978"/>
        <item x="394"/>
        <item x="896"/>
        <item x="700"/>
        <item x="2659"/>
        <item x="3356"/>
        <item x="856"/>
        <item x="7548"/>
        <item x="1265"/>
        <item x="3996"/>
        <item x="6668"/>
        <item x="7929"/>
        <item x="1344"/>
        <item x="5793"/>
        <item x="5252"/>
        <item x="7043"/>
        <item x="3486"/>
        <item x="4512"/>
        <item x="6005"/>
        <item x="3785"/>
        <item x="3873"/>
        <item x="5754"/>
        <item x="4014"/>
        <item x="8422"/>
        <item x="6058"/>
        <item x="8195"/>
        <item x="2305"/>
        <item x="511"/>
        <item x="4295"/>
        <item x="7841"/>
        <item x="6435"/>
        <item x="973"/>
        <item x="5239"/>
        <item x="1606"/>
        <item x="7985"/>
        <item x="5182"/>
        <item x="1657"/>
        <item x="5138"/>
        <item x="5433"/>
        <item x="5220"/>
        <item x="1947"/>
        <item x="8452"/>
        <item x="1470"/>
        <item x="1409"/>
        <item x="8272"/>
        <item x="1173"/>
        <item x="2268"/>
        <item x="5445"/>
        <item x="1850"/>
        <item x="6395"/>
        <item x="2312"/>
        <item x="6808"/>
        <item x="8003"/>
        <item x="4170"/>
        <item x="5521"/>
        <item x="6822"/>
        <item x="2715"/>
        <item x="8736"/>
        <item x="6493"/>
        <item x="4774"/>
        <item x="7965"/>
        <item x="6738"/>
        <item x="5084"/>
        <item x="3164"/>
        <item x="4326"/>
        <item x="3233"/>
        <item x="1983"/>
        <item x="7105"/>
        <item x="2049"/>
        <item x="5338"/>
        <item x="4721"/>
        <item x="3793"/>
        <item x="8096"/>
        <item x="7130"/>
        <item x="449"/>
        <item x="2944"/>
        <item x="2844"/>
        <item x="3081"/>
        <item x="7293"/>
        <item x="6766"/>
        <item x="7760"/>
        <item x="8271"/>
        <item x="7954"/>
        <item x="3346"/>
        <item x="2589"/>
        <item x="7934"/>
        <item x="4317"/>
        <item x="406"/>
        <item x="4258"/>
        <item x="1495"/>
        <item x="6503"/>
        <item x="3077"/>
        <item x="6860"/>
        <item x="2023"/>
        <item x="7191"/>
        <item x="6609"/>
        <item x="5035"/>
        <item x="901"/>
        <item x="1600"/>
        <item x="3902"/>
        <item x="8717"/>
        <item x="7177"/>
        <item x="1064"/>
        <item x="3352"/>
        <item x="1062"/>
        <item x="580"/>
        <item x="2039"/>
        <item x="8613"/>
        <item x="2626"/>
        <item x="8228"/>
        <item x="208"/>
        <item x="5042"/>
        <item x="506"/>
        <item x="5774"/>
        <item x="40"/>
        <item x="6233"/>
        <item x="4141"/>
        <item x="1296"/>
        <item x="3401"/>
        <item x="6372"/>
        <item x="5009"/>
        <item x="3389"/>
        <item x="6559"/>
        <item x="6930"/>
        <item x="3203"/>
        <item x="2993"/>
        <item x="6849"/>
        <item x="774"/>
        <item x="1433"/>
        <item x="8376"/>
        <item x="7561"/>
        <item x="6960"/>
        <item x="7723"/>
        <item x="5302"/>
        <item x="8774"/>
        <item x="4427"/>
        <item x="4272"/>
        <item x="4761"/>
        <item x="3018"/>
        <item x="5258"/>
        <item x="6973"/>
        <item x="7274"/>
        <item x="5677"/>
        <item x="2352"/>
        <item x="6241"/>
        <item x="5171"/>
        <item x="1712"/>
        <item x="741"/>
        <item x="4340"/>
        <item x="1661"/>
        <item x="2149"/>
        <item x="6775"/>
        <item x="7045"/>
        <item x="4979"/>
        <item x="388"/>
        <item x="4547"/>
        <item x="3978"/>
        <item x="5637"/>
        <item x="1800"/>
        <item x="8405"/>
        <item x="1680"/>
        <item x="278"/>
        <item x="5307"/>
        <item x="5487"/>
        <item x="4033"/>
        <item x="8190"/>
        <item x="4452"/>
        <item x="1716"/>
        <item x="4594"/>
        <item x="1477"/>
        <item x="8514"/>
        <item x="595"/>
        <item x="6085"/>
        <item x="6441"/>
        <item x="4396"/>
        <item x="3853"/>
        <item x="7876"/>
        <item x="7858"/>
        <item x="6051"/>
        <item x="8494"/>
        <item x="6199"/>
        <item x="370"/>
        <item x="4151"/>
        <item x="3372"/>
        <item x="2357"/>
        <item x="8365"/>
        <item x="6116"/>
        <item x="1148"/>
        <item x="797"/>
        <item x="7415"/>
        <item x="8539"/>
        <item x="2436"/>
        <item x="4638"/>
        <item x="1982"/>
        <item x="3867"/>
        <item x="310"/>
        <item x="227"/>
        <item x="8259"/>
        <item x="4215"/>
        <item x="5917"/>
        <item x="4263"/>
        <item x="6234"/>
        <item x="4271"/>
        <item x="4674"/>
        <item x="733"/>
        <item x="7423"/>
        <item x="5970"/>
        <item x="2173"/>
        <item x="4802"/>
        <item x="5102"/>
        <item x="8240"/>
        <item x="5471"/>
        <item x="3379"/>
        <item x="8475"/>
        <item x="6958"/>
        <item x="2358"/>
        <item x="4475"/>
        <item x="7438"/>
        <item x="2546"/>
        <item x="8718"/>
        <item x="7782"/>
        <item x="3207"/>
        <item x="7186"/>
        <item x="4808"/>
        <item x="95"/>
        <item x="938"/>
        <item x="5143"/>
        <item x="2839"/>
        <item x="3947"/>
        <item x="671"/>
        <item x="7752"/>
        <item x="7152"/>
        <item x="3295"/>
        <item x="6070"/>
        <item x="7465"/>
        <item x="5133"/>
        <item x="1269"/>
        <item x="7448"/>
        <item x="8247"/>
        <item x="1531"/>
        <item x="7869"/>
        <item x="6177"/>
        <item x="171"/>
        <item x="7178"/>
        <item x="4817"/>
        <item x="8478"/>
        <item x="3147"/>
        <item x="5519"/>
        <item x="5351"/>
        <item x="3475"/>
        <item x="5737"/>
        <item x="6054"/>
        <item x="6382"/>
        <item x="7983"/>
        <item x="7156"/>
        <item x="8069"/>
        <item x="820"/>
        <item x="2254"/>
        <item x="141"/>
        <item x="6113"/>
        <item x="4650"/>
        <item x="4900"/>
        <item x="6762"/>
        <item x="1095"/>
        <item x="8148"/>
        <item x="259"/>
        <item x="4633"/>
        <item x="2155"/>
        <item x="2235"/>
        <item x="1709"/>
        <item x="6660"/>
        <item x="8602"/>
        <item x="8117"/>
        <item x="7801"/>
        <item x="3936"/>
        <item x="3353"/>
        <item x="1060"/>
        <item x="2046"/>
        <item x="2566"/>
        <item x="4957"/>
        <item x="6487"/>
        <item x="7538"/>
        <item x="7683"/>
        <item x="2598"/>
        <item x="7813"/>
        <item x="7149"/>
        <item x="843"/>
        <item x="2211"/>
        <item x="7077"/>
        <item x="7302"/>
        <item x="4559"/>
        <item x="5867"/>
        <item x="4752"/>
        <item x="7131"/>
        <item x="4697"/>
        <item x="2935"/>
        <item x="3067"/>
        <item x="5650"/>
        <item x="2228"/>
        <item x="5581"/>
        <item x="325"/>
        <item x="6318"/>
        <item x="5229"/>
        <item x="2394"/>
        <item x="1277"/>
        <item x="869"/>
        <item x="6270"/>
        <item x="6885"/>
        <item x="1076"/>
        <item x="1325"/>
        <item x="2526"/>
        <item x="6773"/>
        <item x="1268"/>
        <item x="5991"/>
        <item x="1261"/>
        <item x="7460"/>
        <item x="5615"/>
        <item x="8164"/>
        <item x="1845"/>
        <item x="1399"/>
        <item x="2114"/>
        <item x="7738"/>
        <item x="2385"/>
        <item x="365"/>
        <item x="5711"/>
        <item x="157"/>
        <item x="1404"/>
        <item x="6433"/>
        <item x="5105"/>
        <item x="1305"/>
        <item x="4831"/>
        <item x="1794"/>
        <item x="5544"/>
        <item x="7805"/>
        <item x="7326"/>
        <item x="1609"/>
        <item x="2348"/>
        <item x="1104"/>
        <item x="7816"/>
        <item x="2890"/>
        <item x="6418"/>
        <item x="855"/>
        <item x="8563"/>
        <item x="1728"/>
        <item x="8327"/>
        <item x="4765"/>
        <item x="7193"/>
        <item x="2440"/>
        <item x="6138"/>
        <item x="7553"/>
        <item x="922"/>
        <item x="7740"/>
        <item x="8719"/>
        <item x="2216"/>
        <item x="4513"/>
        <item x="2823"/>
        <item x="3333"/>
        <item x="8204"/>
        <item x="3204"/>
        <item x="2243"/>
        <item x="4388"/>
        <item x="3270"/>
        <item x="8544"/>
        <item x="7231"/>
        <item x="7812"/>
        <item x="4483"/>
        <item x="3579"/>
        <item x="6022"/>
        <item x="2058"/>
        <item x="8420"/>
        <item x="5507"/>
        <item x="8083"/>
        <item x="1451"/>
        <item x="1132"/>
        <item x="4617"/>
        <item x="2346"/>
        <item x="8077"/>
        <item x="2137"/>
        <item x="6150"/>
        <item x="8722"/>
        <item x="2874"/>
        <item x="5029"/>
        <item x="2929"/>
        <item x="3137"/>
        <item x="6243"/>
        <item x="5131"/>
        <item x="8787"/>
        <item x="106"/>
        <item x="722"/>
        <item x="3847"/>
        <item x="2300"/>
        <item x="6406"/>
        <item x="2579"/>
        <item x="7032"/>
        <item x="4144"/>
        <item x="7180"/>
        <item x="3894"/>
        <item x="5627"/>
        <item x="2180"/>
        <item x="821"/>
        <item x="6414"/>
        <item x="5019"/>
        <item x="5662"/>
        <item x="8319"/>
        <item x="5849"/>
        <item x="5801"/>
        <item x="3071"/>
        <item x="3525"/>
        <item x="1347"/>
        <item x="8658"/>
        <item x="846"/>
        <item x="6240"/>
        <item x="2812"/>
        <item x="579"/>
        <item x="3054"/>
        <item x="2678"/>
        <item x="5359"/>
        <item x="3173"/>
        <item x="2727"/>
        <item x="25"/>
        <item x="2603"/>
        <item x="3615"/>
        <item x="521"/>
        <item x="1349"/>
        <item x="2475"/>
        <item x="173"/>
        <item x="3330"/>
        <item x="1044"/>
        <item x="4203"/>
        <item x="6347"/>
        <item x="2690"/>
        <item x="480"/>
        <item x="3243"/>
        <item x="2565"/>
        <item x="7974"/>
        <item x="5617"/>
        <item x="6703"/>
        <item x="8580"/>
        <item x="3646"/>
        <item x="8257"/>
        <item x="4683"/>
        <item x="6789"/>
        <item x="6552"/>
        <item x="5913"/>
        <item x="710"/>
        <item x="3759"/>
        <item x="2067"/>
        <item x="3713"/>
        <item x="814"/>
        <item x="3022"/>
        <item x="6794"/>
        <item x="7341"/>
        <item x="7648"/>
        <item x="3624"/>
        <item x="2191"/>
        <item x="1963"/>
        <item x="5951"/>
        <item x="5298"/>
        <item x="7912"/>
        <item x="3225"/>
        <item x="5441"/>
        <item x="1886"/>
        <item x="1826"/>
        <item x="3849"/>
        <item x="6844"/>
        <item x="1864"/>
        <item x="6957"/>
        <item x="6949"/>
        <item x="7807"/>
        <item x="3264"/>
        <item x="1133"/>
        <item x="2781"/>
        <item x="2527"/>
        <item x="1311"/>
        <item x="8556"/>
        <item x="4026"/>
        <item x="6555"/>
        <item x="270"/>
        <item x="7727"/>
        <item x="2871"/>
        <item x="7269"/>
        <item x="7463"/>
        <item x="4566"/>
        <item x="6531"/>
        <item x="8506"/>
        <item x="7904"/>
        <item x="7252"/>
        <item x="3452"/>
        <item x="4343"/>
        <item x="4108"/>
        <item x="5790"/>
        <item x="5889"/>
        <item x="5299"/>
        <item x="1497"/>
        <item x="5910"/>
        <item x="4268"/>
        <item x="5531"/>
        <item x="7273"/>
        <item x="3176"/>
        <item x="8009"/>
        <item x="5668"/>
        <item x="3129"/>
        <item x="6826"/>
        <item x="3357"/>
        <item x="7440"/>
        <item x="8170"/>
        <item x="1199"/>
        <item x="3249"/>
        <item x="5311"/>
        <item x="8407"/>
        <item x="91"/>
        <item x="7618"/>
        <item x="5413"/>
        <item x="923"/>
        <item x="3167"/>
        <item x="5494"/>
        <item x="6173"/>
        <item x="583"/>
        <item x="1748"/>
        <item x="2632"/>
        <item x="7399"/>
        <item x="1547"/>
        <item x="7305"/>
        <item x="1400"/>
        <item x="182"/>
        <item x="8511"/>
        <item x="1946"/>
        <item x="7126"/>
        <item x="2403"/>
        <item x="6983"/>
        <item x="1764"/>
        <item x="1262"/>
        <item x="6724"/>
        <item x="3542"/>
        <item x="4290"/>
        <item x="1516"/>
        <item x="7365"/>
        <item x="761"/>
        <item x="7346"/>
        <item x="3405"/>
        <item x="7566"/>
        <item x="6878"/>
        <item x="6001"/>
        <item x="2845"/>
        <item x="2038"/>
        <item x="7049"/>
        <item x="8032"/>
        <item x="2201"/>
        <item x="4067"/>
        <item x="2949"/>
        <item x="3454"/>
        <item x="6895"/>
        <item x="3753"/>
        <item x="3378"/>
        <item x="105"/>
        <item x="3801"/>
        <item x="8335"/>
        <item x="6098"/>
        <item x="7371"/>
        <item x="4732"/>
        <item x="2886"/>
        <item x="2367"/>
        <item x="6281"/>
        <item x="6763"/>
        <item x="3286"/>
        <item x="5313"/>
        <item x="7959"/>
        <item x="575"/>
        <item x="5575"/>
        <item x="8388"/>
        <item x="6363"/>
        <item x="7410"/>
        <item x="941"/>
        <item x="5327"/>
        <item x="3070"/>
        <item x="1337"/>
        <item x="6305"/>
        <item x="1158"/>
        <item x="4881"/>
        <item x="3627"/>
        <item x="4705"/>
        <item x="5265"/>
        <item x="932"/>
        <item x="1234"/>
        <item x="805"/>
        <item x="405"/>
        <item x="4100"/>
        <item x="7739"/>
        <item x="474"/>
        <item x="5388"/>
        <item x="2457"/>
        <item x="2638"/>
        <item x="3494"/>
        <item x="8296"/>
        <item x="85"/>
        <item x="2992"/>
        <item x="4861"/>
        <item x="4045"/>
        <item x="6756"/>
        <item x="331"/>
        <item x="1687"/>
        <item x="1960"/>
        <item x="3680"/>
        <item x="668"/>
        <item x="1235"/>
        <item x="4567"/>
        <item x="4143"/>
        <item x="1038"/>
        <item x="4967"/>
        <item x="6932"/>
        <item x="1100"/>
        <item x="2757"/>
        <item x="6196"/>
        <item x="4473"/>
        <item x="4068"/>
        <item x="1776"/>
        <item x="5938"/>
        <item x="4096"/>
        <item x="3677"/>
        <item x="5408"/>
        <item x="4746"/>
        <item x="4229"/>
        <item x="2073"/>
        <item x="5598"/>
        <item x="6260"/>
        <item x="1749"/>
        <item x="6440"/>
        <item x="897"/>
        <item x="5054"/>
        <item x="7078"/>
        <item x="8444"/>
        <item x="5850"/>
        <item x="2013"/>
        <item x="6984"/>
        <item x="6448"/>
        <item x="3548"/>
        <item x="6818"/>
        <item x="490"/>
        <item x="2462"/>
        <item x="8215"/>
        <item x="651"/>
        <item x="4463"/>
        <item x="4298"/>
        <item x="5661"/>
        <item x="6950"/>
        <item x="2071"/>
        <item x="8072"/>
        <item x="5308"/>
        <item x="1005"/>
        <item x="7854"/>
        <item x="4506"/>
        <item x="2814"/>
        <item x="4097"/>
        <item x="6139"/>
        <item x="4015"/>
        <item x="6434"/>
        <item x="8450"/>
        <item x="7295"/>
        <item x="2391"/>
        <item x="680"/>
        <item x="3354"/>
        <item x="2070"/>
        <item x="7998"/>
        <item x="5294"/>
        <item x="2347"/>
        <item x="1460"/>
        <item x="3370"/>
        <item x="276"/>
        <item x="7289"/>
        <item x="2583"/>
        <item x="4027"/>
        <item x="905"/>
        <item x="3790"/>
        <item x="2819"/>
        <item x="7559"/>
        <item x="128"/>
        <item x="3085"/>
        <item x="7944"/>
        <item x="2646"/>
        <item x="402"/>
        <item x="5768"/>
        <item x="6843"/>
        <item x="3073"/>
        <item x="7422"/>
        <item x="7412"/>
        <item x="210"/>
        <item x="5079"/>
        <item x="4130"/>
        <item x="6705"/>
        <item x="1803"/>
        <item x="1621"/>
        <item x="634"/>
        <item x="3797"/>
        <item x="7911"/>
        <item x="7187"/>
        <item x="6733"/>
        <item x="4749"/>
        <item x="4381"/>
        <item x="3835"/>
        <item x="4003"/>
        <item x="431"/>
        <item x="2532"/>
        <item x="6617"/>
        <item x="5619"/>
        <item x="1137"/>
        <item x="2271"/>
        <item x="6852"/>
        <item x="7069"/>
        <item x="7042"/>
        <item x="3825"/>
        <item x="8642"/>
        <item x="3798"/>
        <item x="4689"/>
        <item x="5208"/>
        <item x="7275"/>
        <item x="5475"/>
        <item x="7624"/>
        <item x="5251"/>
        <item x="7452"/>
        <item x="8761"/>
        <item x="4005"/>
        <item x="844"/>
        <item x="4508"/>
        <item x="3482"/>
        <item x="2882"/>
        <item x="603"/>
        <item x="6256"/>
        <item x="2719"/>
        <item x="2420"/>
        <item x="6426"/>
        <item x="6615"/>
        <item x="4099"/>
        <item x="589"/>
        <item x="6034"/>
        <item x="5179"/>
        <item x="5460"/>
        <item x="8647"/>
        <item x="1996"/>
        <item x="4898"/>
        <item x="1205"/>
        <item x="4240"/>
        <item x="4479"/>
        <item x="4498"/>
        <item x="5833"/>
        <item x="2322"/>
        <item x="3628"/>
        <item x="253"/>
        <item x="5986"/>
        <item x="8759"/>
        <item x="883"/>
        <item x="426"/>
        <item x="8601"/>
        <item x="7575"/>
        <item x="7894"/>
        <item x="2064"/>
        <item x="6275"/>
        <item x="6928"/>
        <item x="4493"/>
        <item x="6100"/>
        <item x="1773"/>
        <item x="6718"/>
        <item x="6456"/>
        <item x="6064"/>
        <item x="7100"/>
        <item x="7432"/>
        <item x="1015"/>
        <item x="679"/>
        <item x="7713"/>
        <item x="7979"/>
        <item x="6451"/>
        <item x="900"/>
        <item x="7741"/>
        <item x="602"/>
        <item x="6904"/>
        <item x="7868"/>
        <item x="3686"/>
        <item x="3610"/>
        <item x="5587"/>
        <item x="5908"/>
        <item x="7665"/>
        <item x="1591"/>
        <item x="1954"/>
        <item x="7633"/>
        <item x="2616"/>
        <item x="4941"/>
        <item x="4123"/>
        <item x="487"/>
        <item x="3474"/>
        <item x="3497"/>
        <item x="3600"/>
        <item x="5175"/>
        <item x="7071"/>
        <item x="7677"/>
        <item x="8526"/>
        <item x="3892"/>
        <item x="5683"/>
        <item x="6519"/>
        <item x="8113"/>
        <item x="2182"/>
        <item x="4461"/>
        <item x="177"/>
        <item x="3046"/>
        <item x="6919"/>
        <item x="5864"/>
        <item x="5049"/>
        <item x="8777"/>
        <item x="4813"/>
        <item x="3950"/>
        <item x="2951"/>
        <item x="1468"/>
        <item x="4658"/>
        <item x="3395"/>
        <item x="5435"/>
        <item x="4095"/>
        <item x="4510"/>
        <item x="2446"/>
        <item x="5750"/>
        <item x="409"/>
        <item x="224"/>
        <item x="6375"/>
        <item x="5962"/>
        <item x="8160"/>
        <item x="8541"/>
        <item x="4018"/>
        <item x="3030"/>
        <item x="6496"/>
        <item x="3812"/>
        <item x="4040"/>
        <item x="1694"/>
        <item x="21"/>
        <item x="1579"/>
        <item x="1351"/>
        <item x="4056"/>
        <item x="3776"/>
        <item x="617"/>
        <item x="2553"/>
        <item x="5205"/>
        <item x="1014"/>
        <item x="7692"/>
        <item x="6600"/>
        <item x="3394"/>
        <item x="6445"/>
        <item x="964"/>
        <item x="5153"/>
        <item x="2835"/>
        <item x="5758"/>
        <item x="6901"/>
        <item x="4842"/>
        <item x="7627"/>
        <item x="1787"/>
        <item x="330"/>
        <item x="8776"/>
        <item x="6805"/>
        <item x="6288"/>
        <item x="6604"/>
        <item x="1592"/>
        <item x="8675"/>
        <item x="3884"/>
        <item x="7499"/>
        <item x="992"/>
        <item x="8758"/>
        <item x="2029"/>
        <item x="7927"/>
        <item x="958"/>
        <item x="6119"/>
        <item x="614"/>
        <item x="8209"/>
        <item x="7390"/>
        <item x="8273"/>
        <item x="4652"/>
        <item x="5418"/>
        <item x="5036"/>
        <item x="2516"/>
        <item x="6943"/>
        <item x="1948"/>
        <item x="1759"/>
        <item x="1107"/>
        <item x="3342"/>
        <item x="5966"/>
        <item x="6941"/>
        <item x="1723"/>
        <item x="5100"/>
        <item x="6328"/>
        <item x="8792"/>
        <item x="507"/>
        <item x="5707"/>
        <item x="5296"/>
        <item x="2401"/>
        <item x="7963"/>
        <item x="4172"/>
        <item x="5537"/>
        <item x="6497"/>
        <item x="4631"/>
        <item x="58"/>
        <item x="558"/>
        <item x="8012"/>
        <item x="7637"/>
        <item x="4230"/>
        <item x="462"/>
        <item x="1427"/>
        <item x="5334"/>
        <item x="3063"/>
        <item x="4408"/>
        <item x="2948"/>
        <item x="8238"/>
        <item x="7257"/>
        <item x="4460"/>
        <item x="884"/>
        <item x="8477"/>
        <item x="686"/>
        <item x="5596"/>
        <item x="6329"/>
        <item x="6645"/>
        <item x="479"/>
        <item x="3351"/>
        <item x="911"/>
        <item x="4022"/>
        <item x="6547"/>
        <item x="6803"/>
        <item x="1339"/>
        <item x="3107"/>
        <item x="5207"/>
        <item x="7688"/>
        <item x="3877"/>
        <item x="2593"/>
        <item x="8343"/>
        <item x="6859"/>
        <item x="5411"/>
        <item x="7923"/>
        <item x="5541"/>
        <item x="3035"/>
        <item x="2184"/>
        <item x="1231"/>
        <item x="2721"/>
        <item x="3178"/>
        <item x="6296"/>
        <item x="7117"/>
        <item x="7055"/>
        <item x="1183"/>
        <item x="632"/>
        <item x="6830"/>
        <item x="5386"/>
        <item x="1944"/>
        <item x="1932"/>
        <item x="3866"/>
        <item x="4951"/>
        <item x="2820"/>
        <item x="7281"/>
        <item x="5375"/>
        <item x="3755"/>
        <item x="2797"/>
        <item x="4459"/>
        <item x="854"/>
        <item x="7884"/>
        <item x="3305"/>
        <item x="6879"/>
        <item x="6198"/>
        <item x="8237"/>
        <item x="6228"/>
        <item x="691"/>
        <item x="828"/>
        <item x="5241"/>
        <item x="1088"/>
        <item x="886"/>
        <item x="7082"/>
        <item x="2255"/>
        <item x="4695"/>
        <item x="1212"/>
        <item x="6003"/>
        <item x="7418"/>
        <item x="2019"/>
        <item x="8734"/>
        <item x="4288"/>
        <item x="5395"/>
        <item x="7897"/>
        <item x="8525"/>
        <item x="2712"/>
        <item x="813"/>
        <item x="3764"/>
        <item x="4362"/>
        <item x="3188"/>
        <item x="7555"/>
        <item x="7433"/>
        <item x="8484"/>
        <item x="8255"/>
        <item x="2289"/>
        <item x="6605"/>
        <item x="3387"/>
        <item x="3386"/>
        <item x="3064"/>
        <item x="3302"/>
        <item x="592"/>
        <item x="318"/>
        <item x="890"/>
        <item x="7857"/>
        <item x="6474"/>
        <item x="996"/>
        <item x="8179"/>
        <item x="7040"/>
        <item x="6118"/>
        <item x="2256"/>
        <item x="1286"/>
        <item x="4480"/>
        <item x="1442"/>
        <item x="7767"/>
        <item x="5814"/>
        <item x="6772"/>
        <item x="2353"/>
        <item x="4930"/>
        <item x="7124"/>
        <item x="1849"/>
        <item x="2373"/>
        <item x="1170"/>
        <item x="6485"/>
        <item x="1384"/>
        <item x="2171"/>
        <item x="4720"/>
        <item x="6033"/>
        <item x="7971"/>
        <item x="8536"/>
        <item x="153"/>
        <item x="3134"/>
        <item x="3200"/>
        <item x="2592"/>
        <item x="8168"/>
        <item x="4489"/>
        <item x="8515"/>
        <item x="6481"/>
        <item x="5655"/>
        <item x="1809"/>
        <item x="2185"/>
        <item x="4956"/>
        <item x="6340"/>
        <item x="1994"/>
        <item x="1144"/>
        <item x="3090"/>
        <item x="450"/>
        <item x="6168"/>
        <item x="1953"/>
        <item x="1786"/>
        <item x="3623"/>
        <item x="3211"/>
        <item x="2203"/>
        <item x="740"/>
        <item x="5874"/>
        <item x="2748"/>
        <item x="2127"/>
        <item x="8409"/>
        <item x="6573"/>
        <item x="1031"/>
        <item x="8182"/>
        <item x="1793"/>
        <item x="5263"/>
        <item x="3916"/>
        <item x="7545"/>
        <item x="2226"/>
        <item x="5974"/>
        <item x="995"/>
        <item x="4485"/>
        <item x="8462"/>
        <item x="3066"/>
        <item x="6751"/>
        <item x="6148"/>
        <item x="518"/>
        <item x="1761"/>
        <item x="1214"/>
        <item x="2601"/>
        <item x="3505"/>
        <item x="1713"/>
        <item x="2662"/>
        <item x="140"/>
        <item x="49"/>
        <item x="6376"/>
        <item x="7623"/>
        <item x="1901"/>
        <item x="2102"/>
        <item x="6471"/>
        <item x="2395"/>
        <item x="845"/>
        <item x="6712"/>
        <item x="5791"/>
        <item x="5548"/>
        <item x="4020"/>
        <item x="1622"/>
        <item x="3691"/>
        <item x="2328"/>
        <item x="5113"/>
        <item x="6025"/>
        <item x="2813"/>
        <item x="5706"/>
        <item x="1423"/>
        <item x="7657"/>
        <item x="6520"/>
        <item x="6384"/>
        <item x="3029"/>
        <item x="4848"/>
        <item x="2571"/>
        <item x="6257"/>
        <item x="4928"/>
        <item x="2990"/>
        <item x="2666"/>
        <item x="2766"/>
        <item x="1471"/>
        <item x="2277"/>
        <item x="3973"/>
        <item x="7099"/>
        <item x="5501"/>
        <item x="3728"/>
        <item x="3221"/>
        <item x="7046"/>
        <item x="1836"/>
        <item x="1219"/>
        <item x="8305"/>
        <item x="7469"/>
        <item x="7875"/>
        <item x="52"/>
        <item x="3227"/>
        <item x="7161"/>
        <item x="4904"/>
        <item x="6341"/>
        <item x="1159"/>
        <item x="8611"/>
        <item x="6659"/>
        <item x="8683"/>
        <item x="3024"/>
        <item x="7922"/>
        <item x="7405"/>
        <item x="7199"/>
        <item x="7531"/>
        <item x="3194"/>
        <item x="6603"/>
        <item x="8725"/>
        <item x="796"/>
        <item x="4643"/>
        <item x="4551"/>
        <item x="5857"/>
        <item x="3665"/>
        <item x="806"/>
        <item x="8399"/>
        <item x="3997"/>
        <item x="7173"/>
        <item x="1341"/>
        <item x="7443"/>
        <item x="3792"/>
        <item x="2242"/>
        <item x="59"/>
        <item x="5553"/>
        <item x="4935"/>
        <item x="5414"/>
        <item x="5060"/>
        <item x="6333"/>
        <item x="8558"/>
        <item x="4217"/>
        <item x="4737"/>
        <item x="3703"/>
        <item x="2803"/>
        <item x="1365"/>
        <item x="2939"/>
        <item x="5718"/>
        <item x="2782"/>
        <item x="2495"/>
        <item x="1124"/>
        <item x="6312"/>
        <item x="1875"/>
        <item x="6316"/>
        <item x="51"/>
        <item x="860"/>
        <item x="662"/>
        <item x="429"/>
        <item x="4314"/>
        <item x="2298"/>
        <item x="8236"/>
        <item x="2806"/>
        <item x="6838"/>
        <item x="7939"/>
        <item x="8741"/>
        <item x="6175"/>
        <item x="187"/>
        <item x="6164"/>
        <item x="4588"/>
        <item x="8006"/>
        <item x="1374"/>
        <item x="6640"/>
        <item x="1496"/>
        <item x="3570"/>
        <item x="7037"/>
        <item x="3409"/>
        <item x="5667"/>
        <item x="4669"/>
        <item x="1487"/>
        <item x="7788"/>
        <item x="2252"/>
        <item x="1397"/>
        <item x="6664"/>
        <item x="1025"/>
        <item x="8149"/>
        <item x="6910"/>
        <item x="5283"/>
        <item x="906"/>
        <item x="1066"/>
        <item x="3648"/>
        <item x="7564"/>
        <item x="8218"/>
        <item x="8597"/>
        <item x="6227"/>
        <item x="7294"/>
        <item x="4289"/>
        <item x="4947"/>
        <item x="4237"/>
        <item x="6654"/>
        <item x="2847"/>
        <item x="3696"/>
        <item x="5969"/>
        <item x="549"/>
        <item x="4132"/>
        <item x="7593"/>
        <item x="7060"/>
        <item x="441"/>
        <item x="3657"/>
        <item x="5593"/>
        <item x="5127"/>
        <item x="987"/>
        <item x="5231"/>
        <item x="6110"/>
        <item x="8353"/>
        <item x="7742"/>
        <item x="5937"/>
        <item x="3485"/>
        <item x="6628"/>
        <item x="1964"/>
        <item x="1503"/>
        <item x="8700"/>
        <item x="6985"/>
        <item x="360"/>
        <item x="6699"/>
        <item x="4307"/>
        <item x="4131"/>
        <item x="2084"/>
        <item x="2520"/>
        <item x="1568"/>
        <item x="2106"/>
        <item x="4584"/>
        <item x="3462"/>
        <item x="8151"/>
        <item x="1322"/>
        <item x="1958"/>
        <item x="519"/>
        <item x="7938"/>
        <item x="1770"/>
        <item x="6130"/>
        <item x="6402"/>
        <item x="627"/>
        <item x="456"/>
        <item x="503"/>
        <item x="8426"/>
        <item x="5110"/>
        <item x="6761"/>
        <item x="4303"/>
        <item x="4839"/>
        <item x="3020"/>
        <item x="5139"/>
        <item x="5279"/>
        <item x="6881"/>
        <item x="3223"/>
        <item x="6922"/>
        <item x="2676"/>
        <item x="4781"/>
        <item x="5796"/>
        <item x="7651"/>
        <item x="1824"/>
        <item x="5585"/>
        <item x="7794"/>
        <item x="751"/>
        <item x="3799"/>
        <item x="4876"/>
        <item x="1398"/>
        <item x="297"/>
        <item x="6427"/>
        <item x="2465"/>
        <item x="2276"/>
        <item x="6463"/>
        <item x="3545"/>
        <item x="7393"/>
        <item x="6299"/>
        <item x="237"/>
        <item x="1530"/>
        <item x="7487"/>
        <item x="2442"/>
        <item x="3919"/>
        <item x="5442"/>
        <item x="468"/>
        <item x="7241"/>
        <item x="8487"/>
        <item x="7446"/>
        <item x="7007"/>
        <item x="1854"/>
        <item x="6742"/>
        <item x="8302"/>
        <item x="2409"/>
        <item x="953"/>
        <item x="1340"/>
        <item x="8298"/>
        <item x="8429"/>
        <item x="4744"/>
        <item x="3981"/>
        <item x="5936"/>
        <item x="6992"/>
        <item x="8308"/>
        <item x="1459"/>
        <item x="3112"/>
        <item x="1993"/>
        <item x="7842"/>
        <item x="723"/>
        <item x="437"/>
        <item x="8641"/>
        <item x="2775"/>
        <item x="3230"/>
        <item x="8120"/>
        <item x="6643"/>
        <item x="1292"/>
        <item x="704"/>
        <item x="4726"/>
        <item x="935"/>
        <item x="5461"/>
        <item x="1080"/>
        <item x="775"/>
        <item x="1220"/>
        <item x="6421"/>
        <item x="7262"/>
        <item x="6889"/>
        <item x="1326"/>
        <item x="1112"/>
        <item x="4211"/>
        <item x="5092"/>
        <item x="3126"/>
        <item x="7656"/>
        <item x="3964"/>
        <item x="2397"/>
        <item x="6570"/>
        <item x="621"/>
        <item x="3521"/>
        <item x="5186"/>
        <item x="4714"/>
        <item x="4107"/>
        <item x="7770"/>
        <item x="4042"/>
        <item x="4232"/>
        <item x="4624"/>
        <item x="3906"/>
        <item x="3848"/>
        <item x="7774"/>
        <item x="5187"/>
        <item x="2219"/>
        <item x="3862"/>
        <item x="3723"/>
        <item x="3643"/>
        <item x="2060"/>
        <item x="6197"/>
        <item x="4490"/>
        <item x="4155"/>
        <item x="5387"/>
        <item x="2805"/>
        <item x="5429"/>
        <item x="7318"/>
        <item x="6468"/>
        <item x="4801"/>
        <item x="8744"/>
        <item x="4869"/>
        <item x="6103"/>
        <item x="2982"/>
        <item x="3449"/>
        <item x="1924"/>
        <item x="5535"/>
        <item x="4205"/>
        <item x="3843"/>
        <item x="3909"/>
        <item x="3912"/>
        <item x="2262"/>
        <item x="3941"/>
        <item x="5240"/>
        <item x="3918"/>
        <item x="4402"/>
        <item x="8216"/>
        <item x="1767"/>
        <item x="2581"/>
        <item x="8637"/>
        <item x="4739"/>
        <item x="4586"/>
        <item x="5345"/>
        <item x="8350"/>
        <item x="1387"/>
        <item x="2430"/>
        <item x="1573"/>
        <item x="264"/>
        <item x="4443"/>
        <item x="8281"/>
        <item x="4385"/>
        <item x="2914"/>
        <item x="1"/>
        <item x="1072"/>
        <item x="1620"/>
        <item x="1565"/>
        <item x="530"/>
        <item x="7560"/>
        <item x="8141"/>
        <item x="4327"/>
        <item x="1507"/>
        <item x="559"/>
        <item x="7614"/>
        <item x="2943"/>
        <item x="2250"/>
        <item x="2997"/>
        <item x="2640"/>
        <item x="1151"/>
        <item x="1113"/>
        <item x="5425"/>
        <item x="2523"/>
        <item x="3116"/>
        <item x="4148"/>
        <item x="4707"/>
        <item x="2165"/>
        <item x="3731"/>
        <item x="8600"/>
        <item x="5812"/>
        <item x="2079"/>
        <item x="565"/>
        <item x="2987"/>
        <item x="6134"/>
        <item x="7143"/>
        <item x="5394"/>
        <item x="4166"/>
        <item x="8751"/>
        <item x="1805"/>
        <item x="391"/>
        <item x="3490"/>
        <item x="1829"/>
        <item x="5236"/>
        <item x="8124"/>
        <item x="8106"/>
        <item x="2380"/>
        <item x="5846"/>
        <item x="8324"/>
        <item x="4911"/>
        <item x="3479"/>
        <item x="1532"/>
        <item x="6156"/>
        <item x="8730"/>
        <item x="8743"/>
        <item x="4670"/>
        <item x="4776"/>
        <item x="1938"/>
        <item x="4415"/>
        <item x="2623"/>
        <item x="4072"/>
        <item x="8134"/>
        <item x="3092"/>
        <item x="6031"/>
        <item x="2713"/>
        <item x="3656"/>
        <item x="2588"/>
        <item x="6264"/>
        <item x="8634"/>
        <item x="2769"/>
        <item x="6370"/>
        <item x="819"/>
        <item x="6798"/>
        <item x="304"/>
        <item x="3048"/>
        <item x="5751"/>
        <item x="1073"/>
        <item x="4955"/>
        <item x="5146"/>
        <item x="6624"/>
        <item x="5666"/>
        <item x="4299"/>
        <item x="6883"/>
        <item x="6630"/>
        <item x="7106"/>
        <item x="673"/>
        <item x="5185"/>
        <item x="5731"/>
        <item x="6472"/>
        <item x="824"/>
        <item x="2083"/>
        <item x="5633"/>
        <item x="553"/>
        <item x="3551"/>
        <item x="444"/>
        <item x="3856"/>
        <item x="2372"/>
        <item x="4871"/>
        <item x="7372"/>
        <item x="1645"/>
        <item x="6750"/>
        <item x="4849"/>
        <item x="3103"/>
        <item x="8276"/>
        <item x="3334"/>
        <item x="2111"/>
        <item x="1260"/>
        <item x="4972"/>
        <item x="5708"/>
        <item x="3613"/>
        <item x="3956"/>
        <item x="8440"/>
        <item x="6589"/>
        <item x="1412"/>
        <item x="2833"/>
        <item x="6405"/>
        <item x="7278"/>
        <item x="6590"/>
        <item x="3339"/>
        <item x="5916"/>
        <item x="8746"/>
        <item x="5839"/>
        <item x="777"/>
        <item x="685"/>
        <item x="1149"/>
        <item x="3838"/>
        <item x="6727"/>
        <item x="2861"/>
        <item x="3208"/>
        <item x="1464"/>
        <item x="8342"/>
        <item x="1907"/>
        <item x="7328"/>
        <item x="3169"/>
        <item x="5604"/>
        <item x="6707"/>
        <item x="5397"/>
        <item x="3349"/>
        <item x="3423"/>
        <item x="7364"/>
        <item x="6915"/>
        <item x="8616"/>
        <item x="2521"/>
        <item x="568"/>
        <item x="2792"/>
        <item x="697"/>
        <item x="6804"/>
        <item x="6689"/>
        <item x="2063"/>
        <item x="2280"/>
        <item x="7987"/>
        <item x="7745"/>
        <item x="4105"/>
        <item x="3606"/>
        <item x="6046"/>
        <item x="7488"/>
        <item x="6521"/>
        <item x="5"/>
        <item x="7005"/>
        <item x="5246"/>
        <item x="2843"/>
        <item x="788"/>
        <item x="6430"/>
        <item x="1500"/>
        <item x="6172"/>
        <item x="5232"/>
        <item x="7933"/>
        <item x="196"/>
        <item x="393"/>
        <item x="4829"/>
        <item x="6390"/>
        <item x="7054"/>
        <item x="6629"/>
        <item x="4573"/>
        <item x="1452"/>
        <item x="6476"/>
        <item x="115"/>
        <item x="1353"/>
        <item x="2656"/>
        <item x="6678"/>
        <item x="6213"/>
        <item x="6744"/>
        <item x="8317"/>
        <item x="7928"/>
        <item x="3101"/>
        <item x="5873"/>
        <item x="7408"/>
        <item x="5827"/>
        <item x="5157"/>
        <item x="7260"/>
        <item x="7255"/>
        <item x="1419"/>
        <item x="4207"/>
        <item x="4286"/>
        <item x="3529"/>
        <item x="7997"/>
        <item x="7846"/>
        <item x="8531"/>
        <item x="8553"/>
        <item x="3411"/>
        <item x="4209"/>
        <item x="3586"/>
        <item x="1973"/>
        <item x="781"/>
        <item x="8389"/>
        <item x="8603"/>
        <item x="1636"/>
        <item x="1366"/>
        <item x="5117"/>
        <item x="2793"/>
        <item x="6212"/>
        <item x="3596"/>
        <item x="6247"/>
        <item x="3932"/>
        <item x="5101"/>
        <item x="2414"/>
        <item x="7218"/>
        <item x="8664"/>
        <item x="1332"/>
        <item x="851"/>
        <item x="3844"/>
        <item x="2282"/>
        <item x="6153"/>
        <item x="5902"/>
        <item x="645"/>
        <item x="6544"/>
        <item x="1685"/>
        <item x="4563"/>
        <item x="1426"/>
        <item x="448"/>
        <item x="75"/>
        <item x="4796"/>
        <item x="4372"/>
        <item x="7636"/>
        <item x="6845"/>
        <item x="8755"/>
        <item x="7387"/>
        <item x="2783"/>
        <item x="6769"/>
        <item x="4465"/>
        <item x="786"/>
        <item x="3914"/>
        <item x="7725"/>
        <item x="4328"/>
        <item x="1618"/>
        <item x="2767"/>
        <item x="1977"/>
        <item x="2132"/>
        <item x="60"/>
        <item t="default"/>
      </items>
    </pivotField>
    <pivotField showAll="0"/>
    <pivotField showAll="0"/>
    <pivotField showAll="0"/>
    <pivotField showAll="0"/>
    <pivotField showAll="0"/>
    <pivotField axis="axisRow" multipleItemSelectionAllowed="1" showAll="0">
      <items count="5">
        <item h="1" x="1"/>
        <item x="2"/>
        <item h="1"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sortType="descending">
      <items count="7">
        <item x="4"/>
        <item x="3"/>
        <item x="2"/>
        <item x="1"/>
        <item x="5"/>
        <item x="0"/>
        <item t="default"/>
      </items>
    </pivotField>
    <pivotField axis="axisCol" showAll="0">
      <items count="5">
        <item x="0"/>
        <item x="1"/>
        <item x="2"/>
        <item x="3"/>
        <item t="default"/>
      </items>
    </pivotField>
  </pivotFields>
  <rowFields count="1">
    <field x="6"/>
  </rowFields>
  <rowItems count="3">
    <i>
      <x v="1"/>
    </i>
    <i>
      <x v="3"/>
    </i>
    <i t="grand">
      <x/>
    </i>
  </rowItems>
  <colFields count="2">
    <field x="11"/>
    <field x="10"/>
  </colFields>
  <colItems count="6">
    <i>
      <x v="1"/>
      <x/>
    </i>
    <i r="1">
      <x v="1"/>
    </i>
    <i r="1">
      <x v="2"/>
    </i>
    <i r="1">
      <x v="3"/>
    </i>
    <i t="default">
      <x v="1"/>
    </i>
    <i t="grand">
      <x/>
    </i>
  </colItems>
  <dataFields count="1">
    <dataField name="Count of opportunity_id" fld="0" subtotal="count" showDataAs="percentOfCol" baseField="0" baseItem="0" numFmtId="10"/>
  </dataFields>
  <formats count="42">
    <format dxfId="95">
      <pivotArea type="origin" dataOnly="0" labelOnly="1" outline="0" fieldPosition="0"/>
    </format>
    <format dxfId="94">
      <pivotArea field="11" type="button" dataOnly="0" labelOnly="1" outline="0" axis="axisCol" fieldPosition="0"/>
    </format>
    <format dxfId="93">
      <pivotArea field="10" type="button" dataOnly="0" labelOnly="1" outline="0" axis="axisCol" fieldPosition="1"/>
    </format>
    <format dxfId="92">
      <pivotArea type="topRight" dataOnly="0" labelOnly="1" outline="0" fieldPosition="0"/>
    </format>
    <format dxfId="91">
      <pivotArea field="6" type="button" dataOnly="0" labelOnly="1" outline="0" axis="axisRow" fieldPosition="0"/>
    </format>
    <format dxfId="90">
      <pivotArea dataOnly="0" labelOnly="1" fieldPosition="0">
        <references count="1">
          <reference field="11" count="1">
            <x v="1"/>
          </reference>
        </references>
      </pivotArea>
    </format>
    <format dxfId="89">
      <pivotArea dataOnly="0" labelOnly="1" fieldPosition="0">
        <references count="1">
          <reference field="11" count="1" defaultSubtotal="1">
            <x v="1"/>
          </reference>
        </references>
      </pivotArea>
    </format>
    <format dxfId="88">
      <pivotArea dataOnly="0" labelOnly="1" grandCol="1" outline="0" fieldPosition="0"/>
    </format>
    <format dxfId="87">
      <pivotArea dataOnly="0" labelOnly="1" fieldPosition="0">
        <references count="2">
          <reference field="10" count="4">
            <x v="0"/>
            <x v="1"/>
            <x v="2"/>
            <x v="3"/>
          </reference>
          <reference field="11" count="1" selected="0">
            <x v="1"/>
          </reference>
        </references>
      </pivotArea>
    </format>
    <format dxfId="86">
      <pivotArea outline="0" collapsedLevelsAreSubtotals="1" fieldPosition="0"/>
    </format>
    <format dxfId="85">
      <pivotArea dataOnly="0" labelOnly="1" fieldPosition="0">
        <references count="1">
          <reference field="6" count="0"/>
        </references>
      </pivotArea>
    </format>
    <format dxfId="84">
      <pivotArea dataOnly="0" labelOnly="1" grandRow="1" outline="0" fieldPosition="0"/>
    </format>
    <format dxfId="83">
      <pivotArea type="origin" dataOnly="0" labelOnly="1" outline="0" fieldPosition="0"/>
    </format>
    <format dxfId="82">
      <pivotArea field="11" type="button" dataOnly="0" labelOnly="1" outline="0" axis="axisCol" fieldPosition="0"/>
    </format>
    <format dxfId="81">
      <pivotArea field="10" type="button" dataOnly="0" labelOnly="1" outline="0" axis="axisCol" fieldPosition="1"/>
    </format>
    <format dxfId="80">
      <pivotArea type="topRight" dataOnly="0" labelOnly="1" outline="0" fieldPosition="0"/>
    </format>
    <format dxfId="79">
      <pivotArea field="6" type="button" dataOnly="0" labelOnly="1" outline="0" axis="axisRow" fieldPosition="0"/>
    </format>
    <format dxfId="78">
      <pivotArea dataOnly="0" labelOnly="1" fieldPosition="0">
        <references count="1">
          <reference field="11" count="1">
            <x v="1"/>
          </reference>
        </references>
      </pivotArea>
    </format>
    <format dxfId="77">
      <pivotArea dataOnly="0" labelOnly="1" fieldPosition="0">
        <references count="1">
          <reference field="11" count="1" defaultSubtotal="1">
            <x v="1"/>
          </reference>
        </references>
      </pivotArea>
    </format>
    <format dxfId="76">
      <pivotArea dataOnly="0" labelOnly="1" grandCol="1" outline="0" fieldPosition="0"/>
    </format>
    <format dxfId="75">
      <pivotArea dataOnly="0" labelOnly="1" fieldPosition="0">
        <references count="2">
          <reference field="10" count="4">
            <x v="0"/>
            <x v="1"/>
            <x v="2"/>
            <x v="3"/>
          </reference>
          <reference field="11" count="1" selected="0">
            <x v="1"/>
          </reference>
        </references>
      </pivotArea>
    </format>
    <format dxfId="74">
      <pivotArea outline="0" collapsedLevelsAreSubtotals="1" fieldPosition="0"/>
    </format>
    <format dxfId="73">
      <pivotArea dataOnly="0" labelOnly="1" fieldPosition="0">
        <references count="1">
          <reference field="6" count="0"/>
        </references>
      </pivotArea>
    </format>
    <format dxfId="72">
      <pivotArea dataOnly="0" labelOnly="1" grandRow="1" outline="0" fieldPosition="0"/>
    </format>
    <format dxfId="71">
      <pivotArea type="origin" dataOnly="0" labelOnly="1" outline="0" fieldPosition="0"/>
    </format>
    <format dxfId="70">
      <pivotArea field="11" type="button" dataOnly="0" labelOnly="1" outline="0" axis="axisCol" fieldPosition="0"/>
    </format>
    <format dxfId="69">
      <pivotArea field="10" type="button" dataOnly="0" labelOnly="1" outline="0" axis="axisCol" fieldPosition="1"/>
    </format>
    <format dxfId="68">
      <pivotArea type="topRight" dataOnly="0" labelOnly="1" outline="0" fieldPosition="0"/>
    </format>
    <format dxfId="67">
      <pivotArea field="6" type="button" dataOnly="0" labelOnly="1" outline="0" axis="axisRow" fieldPosition="0"/>
    </format>
    <format dxfId="66">
      <pivotArea dataOnly="0" labelOnly="1" fieldPosition="0">
        <references count="1">
          <reference field="11" count="1">
            <x v="1"/>
          </reference>
        </references>
      </pivotArea>
    </format>
    <format dxfId="65">
      <pivotArea dataOnly="0" labelOnly="1" fieldPosition="0">
        <references count="1">
          <reference field="11" count="1" defaultSubtotal="1">
            <x v="1"/>
          </reference>
        </references>
      </pivotArea>
    </format>
    <format dxfId="64">
      <pivotArea dataOnly="0" labelOnly="1" grandCol="1" outline="0" fieldPosition="0"/>
    </format>
    <format dxfId="63">
      <pivotArea dataOnly="0" labelOnly="1" fieldPosition="0">
        <references count="2">
          <reference field="10" count="4">
            <x v="0"/>
            <x v="1"/>
            <x v="2"/>
            <x v="3"/>
          </reference>
          <reference field="11" count="1" selected="0">
            <x v="1"/>
          </reference>
        </references>
      </pivotArea>
    </format>
    <format dxfId="62">
      <pivotArea type="origin" dataOnly="0" labelOnly="1" outline="0" fieldPosition="0"/>
    </format>
    <format dxfId="61">
      <pivotArea field="11" type="button" dataOnly="0" labelOnly="1" outline="0" axis="axisCol" fieldPosition="0"/>
    </format>
    <format dxfId="60">
      <pivotArea field="10" type="button" dataOnly="0" labelOnly="1" outline="0" axis="axisCol" fieldPosition="1"/>
    </format>
    <format dxfId="59">
      <pivotArea type="topRight" dataOnly="0" labelOnly="1" outline="0" fieldPosition="0"/>
    </format>
    <format dxfId="58">
      <pivotArea field="6" type="button" dataOnly="0" labelOnly="1" outline="0" axis="axisRow" fieldPosition="0"/>
    </format>
    <format dxfId="57">
      <pivotArea dataOnly="0" labelOnly="1" fieldPosition="0">
        <references count="1">
          <reference field="11" count="1">
            <x v="1"/>
          </reference>
        </references>
      </pivotArea>
    </format>
    <format dxfId="56">
      <pivotArea dataOnly="0" labelOnly="1" fieldPosition="0">
        <references count="1">
          <reference field="11" count="1" defaultSubtotal="1">
            <x v="1"/>
          </reference>
        </references>
      </pivotArea>
    </format>
    <format dxfId="55">
      <pivotArea dataOnly="0" labelOnly="1" grandCol="1" outline="0" fieldPosition="0"/>
    </format>
    <format dxfId="54">
      <pivotArea dataOnly="0" labelOnly="1" fieldPosition="0">
        <references count="2">
          <reference field="10" count="4">
            <x v="0"/>
            <x v="1"/>
            <x v="2"/>
            <x v="3"/>
          </reference>
          <reference field="11" count="1" selected="0">
            <x v="1"/>
          </reference>
        </references>
      </pivotArea>
    </format>
  </formats>
  <chartFormats count="16">
    <chartFormat chart="0" format="0" series="1">
      <pivotArea type="data" outline="0" fieldPosition="0">
        <references count="3">
          <reference field="4294967294" count="1" selected="0">
            <x v="0"/>
          </reference>
          <reference field="10" count="1" selected="0">
            <x v="0"/>
          </reference>
          <reference field="11" count="1" selected="0">
            <x v="1"/>
          </reference>
        </references>
      </pivotArea>
    </chartFormat>
    <chartFormat chart="0" format="1" series="1">
      <pivotArea type="data" outline="0" fieldPosition="0">
        <references count="3">
          <reference field="4294967294" count="1" selected="0">
            <x v="0"/>
          </reference>
          <reference field="10" count="1" selected="0">
            <x v="1"/>
          </reference>
          <reference field="11" count="1" selected="0">
            <x v="1"/>
          </reference>
        </references>
      </pivotArea>
    </chartFormat>
    <chartFormat chart="0" format="2" series="1">
      <pivotArea type="data" outline="0" fieldPosition="0">
        <references count="3">
          <reference field="4294967294" count="1" selected="0">
            <x v="0"/>
          </reference>
          <reference field="10" count="1" selected="0">
            <x v="2"/>
          </reference>
          <reference field="11" count="1" selected="0">
            <x v="1"/>
          </reference>
        </references>
      </pivotArea>
    </chartFormat>
    <chartFormat chart="0" format="3" series="1">
      <pivotArea type="data" outline="0" fieldPosition="0">
        <references count="3">
          <reference field="4294967294" count="1" selected="0">
            <x v="0"/>
          </reference>
          <reference field="10" count="1" selected="0">
            <x v="3"/>
          </reference>
          <reference field="11" count="1" selected="0">
            <x v="1"/>
          </reference>
        </references>
      </pivotArea>
    </chartFormat>
    <chartFormat chart="5" format="16" series="1">
      <pivotArea type="data" outline="0" fieldPosition="0">
        <references count="3">
          <reference field="4294967294" count="1" selected="0">
            <x v="0"/>
          </reference>
          <reference field="10" count="1" selected="0">
            <x v="0"/>
          </reference>
          <reference field="11" count="1" selected="0">
            <x v="1"/>
          </reference>
        </references>
      </pivotArea>
    </chartFormat>
    <chartFormat chart="5" format="17">
      <pivotArea type="data" outline="0" fieldPosition="0">
        <references count="4">
          <reference field="4294967294" count="1" selected="0">
            <x v="0"/>
          </reference>
          <reference field="6" count="1" selected="0">
            <x v="1"/>
          </reference>
          <reference field="10" count="1" selected="0">
            <x v="0"/>
          </reference>
          <reference field="11" count="1" selected="0">
            <x v="1"/>
          </reference>
        </references>
      </pivotArea>
    </chartFormat>
    <chartFormat chart="5" format="18">
      <pivotArea type="data" outline="0" fieldPosition="0">
        <references count="4">
          <reference field="4294967294" count="1" selected="0">
            <x v="0"/>
          </reference>
          <reference field="6" count="1" selected="0">
            <x v="3"/>
          </reference>
          <reference field="10" count="1" selected="0">
            <x v="0"/>
          </reference>
          <reference field="11" count="1" selected="0">
            <x v="1"/>
          </reference>
        </references>
      </pivotArea>
    </chartFormat>
    <chartFormat chart="5" format="19" series="1">
      <pivotArea type="data" outline="0" fieldPosition="0">
        <references count="3">
          <reference field="4294967294" count="1" selected="0">
            <x v="0"/>
          </reference>
          <reference field="10" count="1" selected="0">
            <x v="1"/>
          </reference>
          <reference field="11" count="1" selected="0">
            <x v="1"/>
          </reference>
        </references>
      </pivotArea>
    </chartFormat>
    <chartFormat chart="5" format="20">
      <pivotArea type="data" outline="0" fieldPosition="0">
        <references count="4">
          <reference field="4294967294" count="1" selected="0">
            <x v="0"/>
          </reference>
          <reference field="6" count="1" selected="0">
            <x v="1"/>
          </reference>
          <reference field="10" count="1" selected="0">
            <x v="1"/>
          </reference>
          <reference field="11" count="1" selected="0">
            <x v="1"/>
          </reference>
        </references>
      </pivotArea>
    </chartFormat>
    <chartFormat chart="5" format="21">
      <pivotArea type="data" outline="0" fieldPosition="0">
        <references count="4">
          <reference field="4294967294" count="1" selected="0">
            <x v="0"/>
          </reference>
          <reference field="6" count="1" selected="0">
            <x v="3"/>
          </reference>
          <reference field="10" count="1" selected="0">
            <x v="1"/>
          </reference>
          <reference field="11" count="1" selected="0">
            <x v="1"/>
          </reference>
        </references>
      </pivotArea>
    </chartFormat>
    <chartFormat chart="5" format="22" series="1">
      <pivotArea type="data" outline="0" fieldPosition="0">
        <references count="3">
          <reference field="4294967294" count="1" selected="0">
            <x v="0"/>
          </reference>
          <reference field="10" count="1" selected="0">
            <x v="2"/>
          </reference>
          <reference field="11" count="1" selected="0">
            <x v="1"/>
          </reference>
        </references>
      </pivotArea>
    </chartFormat>
    <chartFormat chart="5" format="23">
      <pivotArea type="data" outline="0" fieldPosition="0">
        <references count="4">
          <reference field="4294967294" count="1" selected="0">
            <x v="0"/>
          </reference>
          <reference field="6" count="1" selected="0">
            <x v="1"/>
          </reference>
          <reference field="10" count="1" selected="0">
            <x v="2"/>
          </reference>
          <reference field="11" count="1" selected="0">
            <x v="1"/>
          </reference>
        </references>
      </pivotArea>
    </chartFormat>
    <chartFormat chart="5" format="24">
      <pivotArea type="data" outline="0" fieldPosition="0">
        <references count="4">
          <reference field="4294967294" count="1" selected="0">
            <x v="0"/>
          </reference>
          <reference field="6" count="1" selected="0">
            <x v="3"/>
          </reference>
          <reference field="10" count="1" selected="0">
            <x v="2"/>
          </reference>
          <reference field="11" count="1" selected="0">
            <x v="1"/>
          </reference>
        </references>
      </pivotArea>
    </chartFormat>
    <chartFormat chart="5" format="25" series="1">
      <pivotArea type="data" outline="0" fieldPosition="0">
        <references count="3">
          <reference field="4294967294" count="1" selected="0">
            <x v="0"/>
          </reference>
          <reference field="10" count="1" selected="0">
            <x v="3"/>
          </reference>
          <reference field="11" count="1" selected="0">
            <x v="1"/>
          </reference>
        </references>
      </pivotArea>
    </chartFormat>
    <chartFormat chart="5" format="26">
      <pivotArea type="data" outline="0" fieldPosition="0">
        <references count="4">
          <reference field="4294967294" count="1" selected="0">
            <x v="0"/>
          </reference>
          <reference field="6" count="1" selected="0">
            <x v="1"/>
          </reference>
          <reference field="10" count="1" selected="0">
            <x v="3"/>
          </reference>
          <reference field="11" count="1" selected="0">
            <x v="1"/>
          </reference>
        </references>
      </pivotArea>
    </chartFormat>
    <chartFormat chart="5" format="27">
      <pivotArea type="data" outline="0" fieldPosition="0">
        <references count="4">
          <reference field="4294967294" count="1" selected="0">
            <x v="0"/>
          </reference>
          <reference field="6" count="1" selected="0">
            <x v="3"/>
          </reference>
          <reference field="10" count="1" selected="0">
            <x v="3"/>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706B589A-0665-4BE3-8EEB-609F5C3B8435}" sourceName="regional_office">
  <pivotTables>
    <pivotTable tabId="8" name="PivotTable3"/>
  </pivotTables>
  <data>
    <tabular pivotCacheId="1139400994">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0FBE4EB-FC29-4894-ACA1-0C68B3D4174F}" sourceName="manager">
  <pivotTables>
    <pivotTable tabId="8" name="PivotTable3"/>
  </pivotTables>
  <data>
    <tabular pivotCacheId="1139400994">
      <items count="6">
        <i x="5" s="1"/>
        <i x="4" s="1"/>
        <i x="3" s="1" nd="1"/>
        <i x="0" s="1" nd="1"/>
        <i x="1" s="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393FF94A-382A-4A33-8556-EB3C8D9E351E}" cache="Slicer_regional_office" caption="regional_office" rowHeight="234950"/>
  <slicer name="manager" xr10:uid="{7380B74C-5FB3-4A42-A1F6-4438892CC39D}" cache="Slicer_manager" caption="manag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427F-2447-47FB-B7CE-442C06846DD7}">
  <dimension ref="R3:X25"/>
  <sheetViews>
    <sheetView showGridLines="0" tabSelected="1" zoomScale="55" zoomScaleNormal="55" workbookViewId="0">
      <selection activeCell="X16" sqref="X16"/>
    </sheetView>
  </sheetViews>
  <sheetFormatPr defaultRowHeight="14.4" x14ac:dyDescent="0.3"/>
  <cols>
    <col min="20" max="20" width="8.88671875" customWidth="1"/>
  </cols>
  <sheetData>
    <row r="3" spans="18:24" ht="21" x14ac:dyDescent="0.4">
      <c r="R3" s="18"/>
      <c r="S3" s="18"/>
      <c r="T3" s="18"/>
      <c r="U3" s="18"/>
      <c r="V3" s="18"/>
    </row>
    <row r="4" spans="18:24" ht="21" x14ac:dyDescent="0.4">
      <c r="R4" s="18"/>
      <c r="S4" s="18"/>
      <c r="T4" s="18"/>
      <c r="U4" s="18"/>
      <c r="V4" s="18"/>
    </row>
    <row r="5" spans="18:24" ht="21" x14ac:dyDescent="0.4">
      <c r="R5" s="17" t="s">
        <v>8961</v>
      </c>
      <c r="S5" s="17"/>
      <c r="T5" s="17"/>
      <c r="U5" s="17"/>
      <c r="V5" s="18"/>
    </row>
    <row r="6" spans="18:24" ht="21" x14ac:dyDescent="0.4">
      <c r="R6" s="19" t="s">
        <v>8962</v>
      </c>
      <c r="S6" s="19"/>
      <c r="T6" s="19"/>
      <c r="U6" s="19"/>
      <c r="V6" s="18"/>
    </row>
    <row r="7" spans="18:24" ht="21" x14ac:dyDescent="0.4">
      <c r="R7" s="17" t="s">
        <v>8963</v>
      </c>
      <c r="S7" s="17"/>
      <c r="T7" s="17"/>
      <c r="U7" s="17"/>
      <c r="V7" s="18"/>
    </row>
    <row r="8" spans="18:24" ht="21" x14ac:dyDescent="0.4">
      <c r="R8" s="19" t="s">
        <v>8964</v>
      </c>
      <c r="S8" s="19"/>
      <c r="T8" s="19"/>
      <c r="U8" s="19"/>
      <c r="V8" s="18"/>
    </row>
    <row r="9" spans="18:24" ht="21" x14ac:dyDescent="0.4">
      <c r="R9" s="17" t="s">
        <v>8965</v>
      </c>
      <c r="S9" s="17"/>
      <c r="T9" s="17"/>
      <c r="U9" s="17"/>
      <c r="V9" s="18"/>
    </row>
    <row r="10" spans="18:24" ht="21" x14ac:dyDescent="0.4">
      <c r="R10" s="19" t="s">
        <v>8966</v>
      </c>
      <c r="S10" s="19"/>
      <c r="T10" s="19"/>
      <c r="U10" s="19"/>
      <c r="V10" s="18"/>
    </row>
    <row r="11" spans="18:24" ht="21" x14ac:dyDescent="0.4">
      <c r="R11" s="17" t="s">
        <v>8967</v>
      </c>
      <c r="S11" s="17"/>
      <c r="T11" s="17"/>
      <c r="U11" s="17"/>
      <c r="V11" s="18"/>
    </row>
    <row r="12" spans="18:24" ht="23.4" x14ac:dyDescent="0.45">
      <c r="R12" s="18"/>
      <c r="S12" s="18"/>
      <c r="T12" s="18"/>
      <c r="U12" s="18" t="s">
        <v>8960</v>
      </c>
      <c r="V12" s="18"/>
      <c r="W12" s="15"/>
    </row>
    <row r="13" spans="18:24" ht="21" x14ac:dyDescent="0.4">
      <c r="R13" s="18"/>
      <c r="S13" s="18"/>
      <c r="T13" s="18"/>
      <c r="U13" s="18"/>
      <c r="V13" s="18"/>
    </row>
    <row r="14" spans="18:24" ht="23.4" x14ac:dyDescent="0.45">
      <c r="R14" s="15"/>
      <c r="S14" s="15"/>
      <c r="T14" s="15"/>
      <c r="U14" s="15"/>
      <c r="V14" s="15"/>
    </row>
    <row r="16" spans="18:24" x14ac:dyDescent="0.3">
      <c r="X16" t="s">
        <v>8968</v>
      </c>
    </row>
    <row r="22" spans="20:21" x14ac:dyDescent="0.3">
      <c r="T22" t="s">
        <v>8960</v>
      </c>
    </row>
    <row r="25" spans="20:21" x14ac:dyDescent="0.3">
      <c r="U25" s="16"/>
    </row>
  </sheetData>
  <mergeCells count="7">
    <mergeCell ref="R9:U9"/>
    <mergeCell ref="R10:U10"/>
    <mergeCell ref="R11:U11"/>
    <mergeCell ref="R6:U6"/>
    <mergeCell ref="R5:U5"/>
    <mergeCell ref="R7:U7"/>
    <mergeCell ref="R8:U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B508-6D3E-4A53-AC02-239B798C17E8}">
  <dimension ref="A1:H45"/>
  <sheetViews>
    <sheetView workbookViewId="0">
      <selection activeCell="K11" sqref="K11"/>
    </sheetView>
  </sheetViews>
  <sheetFormatPr defaultRowHeight="14.4" x14ac:dyDescent="0.3"/>
  <cols>
    <col min="1" max="1" width="21.77734375" bestFit="1" customWidth="1"/>
    <col min="2" max="2" width="15.5546875" bestFit="1" customWidth="1"/>
    <col min="3" max="5" width="4.6640625" bestFit="1" customWidth="1"/>
    <col min="6" max="6" width="9.6640625" bestFit="1" customWidth="1"/>
    <col min="7" max="7" width="10.77734375" bestFit="1" customWidth="1"/>
    <col min="8" max="11" width="7" bestFit="1" customWidth="1"/>
    <col min="12" max="13" width="9.6640625" bestFit="1" customWidth="1"/>
    <col min="14" max="14" width="10.77734375" bestFit="1" customWidth="1"/>
    <col min="15" max="17" width="4.6640625" bestFit="1" customWidth="1"/>
    <col min="18" max="18" width="9.6640625" bestFit="1" customWidth="1"/>
    <col min="19" max="19" width="16.21875" bestFit="1" customWidth="1"/>
    <col min="20" max="20" width="15.6640625" bestFit="1" customWidth="1"/>
    <col min="21" max="23" width="4.6640625" bestFit="1" customWidth="1"/>
    <col min="24" max="24" width="9.6640625" bestFit="1" customWidth="1"/>
    <col min="25" max="25" width="18.44140625" bestFit="1" customWidth="1"/>
    <col min="26" max="26" width="14.44140625" bestFit="1" customWidth="1"/>
    <col min="27" max="29" width="4.6640625" bestFit="1" customWidth="1"/>
    <col min="30" max="30" width="9.6640625" bestFit="1" customWidth="1"/>
    <col min="31" max="31" width="17.33203125" bestFit="1" customWidth="1"/>
    <col min="32" max="32" width="17.6640625" bestFit="1" customWidth="1"/>
    <col min="33" max="35" width="4.6640625" bestFit="1" customWidth="1"/>
    <col min="36" max="36" width="9.6640625" bestFit="1" customWidth="1"/>
    <col min="37" max="37" width="20.44140625" bestFit="1" customWidth="1"/>
    <col min="38" max="38" width="15.88671875" bestFit="1" customWidth="1"/>
    <col min="39" max="41" width="4.6640625" bestFit="1" customWidth="1"/>
    <col min="42" max="42" width="9.6640625" bestFit="1" customWidth="1"/>
    <col min="43" max="43" width="18.6640625" bestFit="1" customWidth="1"/>
    <col min="44" max="44" width="14.44140625" bestFit="1" customWidth="1"/>
    <col min="45" max="47" width="4.6640625" bestFit="1" customWidth="1"/>
    <col min="48" max="48" width="9.6640625" bestFit="1" customWidth="1"/>
    <col min="49" max="49" width="17.33203125" bestFit="1" customWidth="1"/>
    <col min="50" max="50" width="13.33203125" bestFit="1" customWidth="1"/>
    <col min="51" max="53" width="4.6640625" bestFit="1" customWidth="1"/>
    <col min="54" max="54" width="9.6640625" bestFit="1" customWidth="1"/>
    <col min="55" max="55" width="16.109375" bestFit="1" customWidth="1"/>
    <col min="56" max="56" width="14.109375" bestFit="1" customWidth="1"/>
    <col min="57" max="59" width="4.6640625" bestFit="1" customWidth="1"/>
    <col min="60" max="60" width="9.6640625" bestFit="1" customWidth="1"/>
    <col min="61" max="61" width="16.88671875" bestFit="1" customWidth="1"/>
    <col min="62" max="62" width="17.44140625" bestFit="1" customWidth="1"/>
    <col min="63" max="65" width="4.6640625" bestFit="1" customWidth="1"/>
    <col min="66" max="66" width="9.6640625" bestFit="1" customWidth="1"/>
    <col min="67" max="67" width="20.21875" bestFit="1" customWidth="1"/>
    <col min="68" max="68" width="16.33203125" bestFit="1" customWidth="1"/>
    <col min="69" max="71" width="4.6640625" bestFit="1" customWidth="1"/>
    <col min="72" max="72" width="9.6640625" bestFit="1" customWidth="1"/>
    <col min="73" max="73" width="19.109375" bestFit="1" customWidth="1"/>
    <col min="74" max="74" width="16.109375" bestFit="1" customWidth="1"/>
    <col min="75" max="77" width="4.6640625" bestFit="1" customWidth="1"/>
    <col min="78" max="78" width="9.6640625" bestFit="1" customWidth="1"/>
    <col min="79" max="79" width="18.88671875" bestFit="1" customWidth="1"/>
    <col min="80" max="80" width="19.21875" bestFit="1" customWidth="1"/>
    <col min="81" max="83" width="4.6640625" bestFit="1" customWidth="1"/>
    <col min="84" max="84" width="9.6640625" bestFit="1" customWidth="1"/>
    <col min="85" max="85" width="22" bestFit="1" customWidth="1"/>
    <col min="86" max="86" width="14.109375" bestFit="1" customWidth="1"/>
    <col min="87" max="89" width="4.6640625" bestFit="1" customWidth="1"/>
    <col min="90" max="90" width="9.6640625" bestFit="1" customWidth="1"/>
    <col min="91" max="91" width="16.88671875" bestFit="1" customWidth="1"/>
    <col min="92" max="92" width="16.77734375" bestFit="1" customWidth="1"/>
    <col min="93" max="95" width="4.6640625" bestFit="1" customWidth="1"/>
    <col min="96" max="96" width="9.6640625" bestFit="1" customWidth="1"/>
    <col min="97" max="97" width="19.5546875" bestFit="1" customWidth="1"/>
    <col min="98" max="98" width="15.77734375" bestFit="1" customWidth="1"/>
    <col min="99" max="101" width="4.6640625" bestFit="1" customWidth="1"/>
    <col min="102" max="102" width="9.6640625" bestFit="1" customWidth="1"/>
    <col min="103" max="103" width="18.5546875" bestFit="1" customWidth="1"/>
    <col min="104" max="104" width="16.33203125" bestFit="1" customWidth="1"/>
    <col min="105" max="107" width="4.6640625" bestFit="1" customWidth="1"/>
    <col min="108" max="108" width="9.6640625" bestFit="1" customWidth="1"/>
    <col min="109" max="109" width="19.109375" bestFit="1" customWidth="1"/>
    <col min="110" max="110" width="19.5546875" bestFit="1" customWidth="1"/>
    <col min="111" max="113" width="4.6640625" bestFit="1" customWidth="1"/>
    <col min="114" max="114" width="9.6640625" bestFit="1" customWidth="1"/>
    <col min="115" max="115" width="22.33203125" bestFit="1" customWidth="1"/>
    <col min="116" max="116" width="18.77734375" bestFit="1" customWidth="1"/>
    <col min="117" max="119" width="4.6640625" bestFit="1" customWidth="1"/>
    <col min="120" max="120" width="9.6640625" bestFit="1" customWidth="1"/>
    <col min="121" max="121" width="21.6640625" bestFit="1" customWidth="1"/>
    <col min="122" max="122" width="13.21875" bestFit="1" customWidth="1"/>
    <col min="123" max="125" width="4.6640625" bestFit="1" customWidth="1"/>
    <col min="126" max="126" width="9.6640625" bestFit="1" customWidth="1"/>
    <col min="127" max="127" width="16" bestFit="1" customWidth="1"/>
    <col min="128" max="128" width="16.21875" bestFit="1" customWidth="1"/>
    <col min="129" max="131" width="4.6640625" bestFit="1" customWidth="1"/>
    <col min="132" max="132" width="9.6640625" bestFit="1" customWidth="1"/>
    <col min="133" max="133" width="19" bestFit="1" customWidth="1"/>
    <col min="134" max="134" width="14.109375" bestFit="1" customWidth="1"/>
    <col min="135" max="137" width="4.6640625" bestFit="1" customWidth="1"/>
    <col min="138" max="138" width="9.6640625" bestFit="1" customWidth="1"/>
    <col min="139" max="139" width="16.88671875" bestFit="1" customWidth="1"/>
    <col min="140" max="140" width="15.5546875" bestFit="1" customWidth="1"/>
    <col min="141" max="143" width="4.6640625" bestFit="1" customWidth="1"/>
    <col min="144" max="144" width="9.6640625" bestFit="1" customWidth="1"/>
    <col min="145" max="145" width="18.33203125" bestFit="1" customWidth="1"/>
    <col min="146" max="146" width="20.21875" bestFit="1" customWidth="1"/>
    <col min="147" max="149" width="4.6640625" bestFit="1" customWidth="1"/>
    <col min="150" max="150" width="9.6640625" bestFit="1" customWidth="1"/>
    <col min="151" max="151" width="23" bestFit="1" customWidth="1"/>
    <col min="152" max="152" width="17.21875" bestFit="1" customWidth="1"/>
    <col min="153" max="155" width="4.6640625" bestFit="1" customWidth="1"/>
    <col min="156" max="156" width="9.6640625" bestFit="1" customWidth="1"/>
    <col min="157" max="157" width="20" bestFit="1" customWidth="1"/>
    <col min="158" max="158" width="15.88671875" bestFit="1" customWidth="1"/>
    <col min="159" max="161" width="4.6640625" bestFit="1" customWidth="1"/>
    <col min="162" max="162" width="9.6640625" bestFit="1" customWidth="1"/>
    <col min="163" max="163" width="18.6640625" bestFit="1" customWidth="1"/>
    <col min="164" max="164" width="16.6640625" bestFit="1" customWidth="1"/>
    <col min="165" max="167" width="4.6640625" bestFit="1" customWidth="1"/>
    <col min="168" max="168" width="9.6640625" bestFit="1" customWidth="1"/>
    <col min="169" max="169" width="19.44140625" bestFit="1" customWidth="1"/>
    <col min="170" max="170" width="15.5546875" bestFit="1" customWidth="1"/>
    <col min="171" max="173" width="4.6640625" bestFit="1" customWidth="1"/>
    <col min="174" max="174" width="9.6640625" bestFit="1" customWidth="1"/>
    <col min="175" max="175" width="18.33203125" bestFit="1" customWidth="1"/>
    <col min="176" max="176" width="11.44140625" bestFit="1" customWidth="1"/>
    <col min="177" max="179" width="4.6640625" bestFit="1" customWidth="1"/>
    <col min="180" max="180" width="9.6640625" bestFit="1" customWidth="1"/>
    <col min="181" max="181" width="14.21875" bestFit="1" customWidth="1"/>
    <col min="182" max="182" width="10.77734375" bestFit="1" customWidth="1"/>
    <col min="183" max="185" width="9.77734375" bestFit="1" customWidth="1"/>
    <col min="186" max="194" width="8.77734375" bestFit="1" customWidth="1"/>
    <col min="195" max="224" width="9.77734375" bestFit="1" customWidth="1"/>
    <col min="225" max="246" width="10.77734375" bestFit="1" customWidth="1"/>
    <col min="247" max="255" width="9.77734375" bestFit="1" customWidth="1"/>
    <col min="256" max="276" width="10.77734375" bestFit="1" customWidth="1"/>
    <col min="277" max="285" width="9.77734375" bestFit="1" customWidth="1"/>
    <col min="286" max="309" width="10.77734375" bestFit="1" customWidth="1"/>
  </cols>
  <sheetData>
    <row r="1" spans="1:7" x14ac:dyDescent="0.3">
      <c r="A1" s="3" t="s">
        <v>4</v>
      </c>
      <c r="B1" t="s">
        <v>12</v>
      </c>
    </row>
    <row r="3" spans="1:7" x14ac:dyDescent="0.3">
      <c r="A3" s="10"/>
      <c r="B3" s="10" t="s">
        <v>8957</v>
      </c>
      <c r="C3" s="10"/>
      <c r="D3" s="10"/>
      <c r="E3" s="10"/>
      <c r="F3" s="10"/>
      <c r="G3" s="10"/>
    </row>
    <row r="4" spans="1:7" x14ac:dyDescent="0.3">
      <c r="A4" s="10"/>
      <c r="B4" s="10" t="s">
        <v>8958</v>
      </c>
      <c r="C4" s="10"/>
      <c r="D4" s="10"/>
      <c r="E4" s="10"/>
      <c r="F4" s="10" t="s">
        <v>8959</v>
      </c>
      <c r="G4" s="10" t="s">
        <v>8952</v>
      </c>
    </row>
    <row r="5" spans="1:7" x14ac:dyDescent="0.3">
      <c r="A5" s="10"/>
      <c r="B5" s="10" t="s">
        <v>8956</v>
      </c>
      <c r="C5" s="10" t="s">
        <v>8955</v>
      </c>
      <c r="D5" s="10" t="s">
        <v>8954</v>
      </c>
      <c r="E5" s="10" t="s">
        <v>8953</v>
      </c>
      <c r="F5" s="10"/>
      <c r="G5" s="10"/>
    </row>
    <row r="6" spans="1:7" x14ac:dyDescent="0.3">
      <c r="A6" s="9" t="s">
        <v>8950</v>
      </c>
      <c r="B6" s="9">
        <v>1196</v>
      </c>
      <c r="C6" s="9">
        <v>1257</v>
      </c>
      <c r="D6" s="9">
        <v>1254</v>
      </c>
      <c r="E6" s="9">
        <v>531</v>
      </c>
      <c r="F6" s="9">
        <v>4238</v>
      </c>
      <c r="G6" s="9">
        <v>4238</v>
      </c>
    </row>
    <row r="17" spans="1:8" x14ac:dyDescent="0.3">
      <c r="A17" s="12" t="s">
        <v>8950</v>
      </c>
      <c r="B17" s="12" t="s">
        <v>8957</v>
      </c>
      <c r="C17" s="12"/>
      <c r="D17" s="12"/>
      <c r="E17" s="12"/>
      <c r="F17" s="12"/>
      <c r="G17" s="12"/>
    </row>
    <row r="18" spans="1:8" x14ac:dyDescent="0.3">
      <c r="A18" s="12"/>
      <c r="B18" s="12" t="s">
        <v>8958</v>
      </c>
      <c r="C18" s="12"/>
      <c r="D18" s="12"/>
      <c r="E18" s="12"/>
      <c r="F18" s="12" t="s">
        <v>8959</v>
      </c>
      <c r="G18" s="12" t="s">
        <v>8952</v>
      </c>
    </row>
    <row r="19" spans="1:8" x14ac:dyDescent="0.3">
      <c r="A19" s="12" t="s">
        <v>8951</v>
      </c>
      <c r="B19" s="12" t="s">
        <v>8956</v>
      </c>
      <c r="C19" s="12" t="s">
        <v>8955</v>
      </c>
      <c r="D19" s="12" t="s">
        <v>8954</v>
      </c>
      <c r="E19" s="12" t="s">
        <v>8953</v>
      </c>
      <c r="F19" s="12"/>
      <c r="G19" s="12"/>
    </row>
    <row r="20" spans="1:8" x14ac:dyDescent="0.3">
      <c r="A20" s="4" t="s">
        <v>46</v>
      </c>
      <c r="B20" s="5">
        <v>0.39748110831234257</v>
      </c>
      <c r="C20" s="5">
        <v>0.38593063019052271</v>
      </c>
      <c r="D20" s="5">
        <v>0.38287401574803148</v>
      </c>
      <c r="E20" s="5">
        <v>0.17928902627511592</v>
      </c>
      <c r="F20" s="5">
        <v>0.36849947846818654</v>
      </c>
      <c r="G20" s="5">
        <v>0.36849947846818654</v>
      </c>
      <c r="H20" s="6"/>
    </row>
    <row r="21" spans="1:8" x14ac:dyDescent="0.3">
      <c r="A21" s="4" t="s">
        <v>12</v>
      </c>
      <c r="B21" s="5">
        <v>0.60251889168765738</v>
      </c>
      <c r="C21" s="5">
        <v>0.61406936980947724</v>
      </c>
      <c r="D21" s="5">
        <v>0.61712598425196852</v>
      </c>
      <c r="E21" s="5">
        <v>0.82071097372488411</v>
      </c>
      <c r="F21" s="5">
        <v>0.63150052153181346</v>
      </c>
      <c r="G21" s="5">
        <v>0.63150052153181346</v>
      </c>
      <c r="H21" s="6"/>
    </row>
    <row r="22" spans="1:8" x14ac:dyDescent="0.3">
      <c r="A22" s="4" t="s">
        <v>8952</v>
      </c>
      <c r="B22" s="5">
        <v>1</v>
      </c>
      <c r="C22" s="5">
        <v>1</v>
      </c>
      <c r="D22" s="5">
        <v>1</v>
      </c>
      <c r="E22" s="5">
        <v>1</v>
      </c>
      <c r="F22" s="5">
        <v>1</v>
      </c>
      <c r="G22" s="5">
        <v>1</v>
      </c>
      <c r="H22" s="6"/>
    </row>
    <row r="30" spans="1:8" x14ac:dyDescent="0.3">
      <c r="A30" s="3" t="s">
        <v>4</v>
      </c>
      <c r="B30" t="s">
        <v>12</v>
      </c>
    </row>
    <row r="32" spans="1:8" x14ac:dyDescent="0.3">
      <c r="A32" s="7" t="s">
        <v>8950</v>
      </c>
      <c r="B32" s="7" t="s">
        <v>8957</v>
      </c>
      <c r="C32" s="7"/>
      <c r="D32" s="7"/>
      <c r="E32" s="7"/>
      <c r="F32" s="7"/>
      <c r="G32" s="7"/>
    </row>
    <row r="33" spans="1:7" x14ac:dyDescent="0.3">
      <c r="A33" s="7"/>
      <c r="B33" s="7" t="s">
        <v>8958</v>
      </c>
      <c r="C33" s="7"/>
      <c r="D33" s="7"/>
      <c r="E33" s="7"/>
      <c r="F33" s="7" t="s">
        <v>8959</v>
      </c>
      <c r="G33" s="7" t="s">
        <v>8952</v>
      </c>
    </row>
    <row r="34" spans="1:7" x14ac:dyDescent="0.3">
      <c r="A34" s="7" t="s">
        <v>8951</v>
      </c>
      <c r="B34" s="7" t="s">
        <v>8956</v>
      </c>
      <c r="C34" s="7" t="s">
        <v>8955</v>
      </c>
      <c r="D34" s="7" t="s">
        <v>8954</v>
      </c>
      <c r="E34" s="7" t="s">
        <v>8953</v>
      </c>
      <c r="F34" s="7"/>
      <c r="G34" s="7"/>
    </row>
    <row r="35" spans="1:7" x14ac:dyDescent="0.3">
      <c r="A35" s="11" t="s">
        <v>142</v>
      </c>
      <c r="B35" s="14">
        <v>37</v>
      </c>
      <c r="C35" s="14">
        <v>58</v>
      </c>
      <c r="D35" s="14">
        <v>44</v>
      </c>
      <c r="E35" s="14">
        <v>19</v>
      </c>
      <c r="F35" s="14">
        <v>158</v>
      </c>
      <c r="G35" s="14">
        <v>158</v>
      </c>
    </row>
    <row r="36" spans="1:7" x14ac:dyDescent="0.3">
      <c r="A36" s="11" t="s">
        <v>118</v>
      </c>
      <c r="B36" s="14">
        <v>39</v>
      </c>
      <c r="C36" s="14">
        <v>53</v>
      </c>
      <c r="D36" s="14">
        <v>48</v>
      </c>
      <c r="E36" s="14">
        <v>23</v>
      </c>
      <c r="F36" s="14">
        <v>163</v>
      </c>
      <c r="G36" s="14">
        <v>163</v>
      </c>
    </row>
    <row r="37" spans="1:7" x14ac:dyDescent="0.3">
      <c r="A37" s="11" t="s">
        <v>97</v>
      </c>
      <c r="B37" s="14">
        <v>38</v>
      </c>
      <c r="C37" s="14">
        <v>49</v>
      </c>
      <c r="D37" s="14">
        <v>49</v>
      </c>
      <c r="E37" s="14">
        <v>19</v>
      </c>
      <c r="F37" s="14">
        <v>155</v>
      </c>
      <c r="G37" s="14">
        <v>155</v>
      </c>
    </row>
    <row r="38" spans="1:7" x14ac:dyDescent="0.3">
      <c r="A38" s="11" t="s">
        <v>164</v>
      </c>
      <c r="B38" s="14">
        <v>43</v>
      </c>
      <c r="C38" s="14">
        <v>48</v>
      </c>
      <c r="D38" s="14">
        <v>36</v>
      </c>
      <c r="E38" s="14">
        <v>23</v>
      </c>
      <c r="F38" s="14">
        <v>150</v>
      </c>
      <c r="G38" s="14">
        <v>150</v>
      </c>
    </row>
    <row r="39" spans="1:7" x14ac:dyDescent="0.3">
      <c r="A39" s="11" t="s">
        <v>73</v>
      </c>
      <c r="B39" s="14">
        <v>35</v>
      </c>
      <c r="C39" s="14">
        <v>36</v>
      </c>
      <c r="D39" s="14">
        <v>34</v>
      </c>
      <c r="E39" s="14">
        <v>17</v>
      </c>
      <c r="F39" s="14">
        <v>122</v>
      </c>
      <c r="G39" s="14">
        <v>122</v>
      </c>
    </row>
    <row r="40" spans="1:7" x14ac:dyDescent="0.3">
      <c r="A40" s="11" t="s">
        <v>139</v>
      </c>
      <c r="B40" s="14">
        <v>34</v>
      </c>
      <c r="C40" s="14">
        <v>31</v>
      </c>
      <c r="D40" s="14">
        <v>29</v>
      </c>
      <c r="E40" s="14">
        <v>7</v>
      </c>
      <c r="F40" s="14">
        <v>101</v>
      </c>
      <c r="G40" s="14">
        <v>101</v>
      </c>
    </row>
    <row r="41" spans="1:7" x14ac:dyDescent="0.3">
      <c r="A41" s="11" t="s">
        <v>64</v>
      </c>
      <c r="B41" s="14">
        <v>27</v>
      </c>
      <c r="C41" s="14">
        <v>29</v>
      </c>
      <c r="D41" s="14">
        <v>47</v>
      </c>
      <c r="E41" s="14">
        <v>11</v>
      </c>
      <c r="F41" s="14">
        <v>114</v>
      </c>
      <c r="G41" s="14">
        <v>114</v>
      </c>
    </row>
    <row r="42" spans="1:7" x14ac:dyDescent="0.3">
      <c r="A42" s="11" t="s">
        <v>105</v>
      </c>
      <c r="B42" s="14">
        <v>16</v>
      </c>
      <c r="C42" s="14">
        <v>24</v>
      </c>
      <c r="D42" s="14">
        <v>22</v>
      </c>
      <c r="E42" s="14">
        <v>13</v>
      </c>
      <c r="F42" s="14">
        <v>75</v>
      </c>
      <c r="G42" s="14">
        <v>75</v>
      </c>
    </row>
    <row r="43" spans="1:7" x14ac:dyDescent="0.3">
      <c r="A43" s="11" t="s">
        <v>88</v>
      </c>
      <c r="B43" s="14">
        <v>21</v>
      </c>
      <c r="C43" s="14">
        <v>23</v>
      </c>
      <c r="D43" s="14">
        <v>26</v>
      </c>
      <c r="E43" s="14">
        <v>8</v>
      </c>
      <c r="F43" s="14">
        <v>78</v>
      </c>
      <c r="G43" s="14">
        <v>78</v>
      </c>
    </row>
    <row r="44" spans="1:7" x14ac:dyDescent="0.3">
      <c r="A44" s="11" t="s">
        <v>102</v>
      </c>
      <c r="B44" s="14">
        <v>22</v>
      </c>
      <c r="C44" s="14">
        <v>16</v>
      </c>
      <c r="D44" s="14">
        <v>14</v>
      </c>
      <c r="E44" s="14">
        <v>3</v>
      </c>
      <c r="F44" s="14">
        <v>55</v>
      </c>
      <c r="G44" s="14">
        <v>55</v>
      </c>
    </row>
    <row r="45" spans="1:7" x14ac:dyDescent="0.3">
      <c r="A45" s="8" t="s">
        <v>8952</v>
      </c>
      <c r="B45" s="13">
        <v>312</v>
      </c>
      <c r="C45" s="13">
        <v>367</v>
      </c>
      <c r="D45" s="13">
        <v>349</v>
      </c>
      <c r="E45" s="13">
        <v>143</v>
      </c>
      <c r="F45" s="13">
        <v>1171</v>
      </c>
      <c r="G45" s="13">
        <v>1171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C176-791E-432F-BFCE-F93DB7F08168}">
  <dimension ref="A1:J8801"/>
  <sheetViews>
    <sheetView workbookViewId="0">
      <selection activeCell="A2" sqref="A2"/>
    </sheetView>
  </sheetViews>
  <sheetFormatPr defaultRowHeight="14.4" x14ac:dyDescent="0.3"/>
  <cols>
    <col min="1" max="1" width="15.33203125" bestFit="1" customWidth="1"/>
    <col min="2" max="2" width="17.6640625" bestFit="1" customWidth="1"/>
    <col min="3" max="4" width="17.6640625" customWidth="1"/>
    <col min="5" max="5" width="12.5546875" bestFit="1" customWidth="1"/>
    <col min="6" max="6" width="26.109375" bestFit="1" customWidth="1"/>
    <col min="7" max="7" width="12" bestFit="1" customWidth="1"/>
    <col min="8" max="8" width="13.6640625" bestFit="1" customWidth="1"/>
    <col min="9" max="9" width="12.109375" bestFit="1" customWidth="1"/>
    <col min="10" max="10" width="12.77734375" bestFit="1" customWidth="1"/>
  </cols>
  <sheetData>
    <row r="1" spans="1:10" x14ac:dyDescent="0.3">
      <c r="A1" t="s">
        <v>0</v>
      </c>
      <c r="B1" t="s">
        <v>1</v>
      </c>
      <c r="C1" t="s">
        <v>8934</v>
      </c>
      <c r="D1" t="s">
        <v>8935</v>
      </c>
      <c r="E1" t="s">
        <v>2</v>
      </c>
      <c r="F1" t="s">
        <v>3</v>
      </c>
      <c r="G1" t="s">
        <v>4</v>
      </c>
      <c r="H1" t="s">
        <v>5</v>
      </c>
      <c r="I1" t="s">
        <v>6</v>
      </c>
      <c r="J1" t="s">
        <v>7</v>
      </c>
    </row>
    <row r="2" spans="1:10" x14ac:dyDescent="0.3">
      <c r="A2" t="s">
        <v>8</v>
      </c>
      <c r="B2" t="s">
        <v>9</v>
      </c>
      <c r="C2" t="str">
        <f>_xlfn.XLOOKUP(B2,
[1]sales_teams!$A$2:$A$100,
[1]sales_teams!$B$2:$B$100)</f>
        <v>Dustin Brinkmann</v>
      </c>
      <c r="D2" t="str">
        <f>_xlfn.XLOOKUP($B2,sales_teams!$A$2:$A$36,sales_teams!C$2:C$36)</f>
        <v>Central</v>
      </c>
      <c r="E2" t="s">
        <v>10</v>
      </c>
      <c r="F2" t="s">
        <v>11</v>
      </c>
      <c r="G2" t="s">
        <v>12</v>
      </c>
      <c r="H2" s="1">
        <v>42663</v>
      </c>
      <c r="I2" s="1">
        <v>42795</v>
      </c>
      <c r="J2">
        <v>1054</v>
      </c>
    </row>
    <row r="3" spans="1:10" x14ac:dyDescent="0.3">
      <c r="A3" t="s">
        <v>13</v>
      </c>
      <c r="B3" t="s">
        <v>14</v>
      </c>
      <c r="C3" t="str">
        <f>_xlfn.XLOOKUP(B3,
[1]sales_teams!$A$2:$A$100,
[1]sales_teams!$B$2:$B$100)</f>
        <v>Melvin Marxen</v>
      </c>
      <c r="D3" t="str">
        <f>_xlfn.XLOOKUP($B3,sales_teams!$A$2:$A$36,sales_teams!C$2:C$36)</f>
        <v>Central</v>
      </c>
      <c r="E3" t="s">
        <v>15</v>
      </c>
      <c r="F3" t="s">
        <v>16</v>
      </c>
      <c r="G3" t="s">
        <v>12</v>
      </c>
      <c r="H3" s="1">
        <v>42668</v>
      </c>
      <c r="I3" s="1">
        <v>42805</v>
      </c>
      <c r="J3">
        <v>4514</v>
      </c>
    </row>
    <row r="4" spans="1:10" x14ac:dyDescent="0.3">
      <c r="A4" t="s">
        <v>17</v>
      </c>
      <c r="B4" t="s">
        <v>14</v>
      </c>
      <c r="C4" t="str">
        <f>_xlfn.XLOOKUP(B4,
[1]sales_teams!$A$2:$A$100,
[1]sales_teams!$B$2:$B$100)</f>
        <v>Melvin Marxen</v>
      </c>
      <c r="D4" t="str">
        <f>_xlfn.XLOOKUP($B4,sales_teams!$A$2:$A$36,sales_teams!C$2:C$36)</f>
        <v>Central</v>
      </c>
      <c r="E4" t="s">
        <v>18</v>
      </c>
      <c r="F4" t="s">
        <v>11</v>
      </c>
      <c r="G4" t="s">
        <v>12</v>
      </c>
      <c r="H4" s="1">
        <v>42668</v>
      </c>
      <c r="I4" s="1">
        <v>42801</v>
      </c>
      <c r="J4">
        <v>50</v>
      </c>
    </row>
    <row r="5" spans="1:10" x14ac:dyDescent="0.3">
      <c r="A5" t="s">
        <v>19</v>
      </c>
      <c r="B5" t="s">
        <v>9</v>
      </c>
      <c r="C5" t="str">
        <f>_xlfn.XLOOKUP(B5,
[1]sales_teams!$A$2:$A$100,
[1]sales_teams!$B$2:$B$100)</f>
        <v>Dustin Brinkmann</v>
      </c>
      <c r="D5" t="str">
        <f>_xlfn.XLOOKUP($B5,sales_teams!$A$2:$A$36,sales_teams!C$2:C$36)</f>
        <v>Central</v>
      </c>
      <c r="E5" t="s">
        <v>20</v>
      </c>
      <c r="F5" t="s">
        <v>21</v>
      </c>
      <c r="G5" t="s">
        <v>12</v>
      </c>
      <c r="H5" s="1">
        <v>42668</v>
      </c>
      <c r="I5" s="1">
        <v>42803</v>
      </c>
      <c r="J5">
        <v>588</v>
      </c>
    </row>
    <row r="6" spans="1:10" x14ac:dyDescent="0.3">
      <c r="A6" t="s">
        <v>22</v>
      </c>
      <c r="B6" t="s">
        <v>23</v>
      </c>
      <c r="C6" t="str">
        <f>_xlfn.XLOOKUP(B6,
[1]sales_teams!$A$2:$A$100,
[1]sales_teams!$B$2:$B$100)</f>
        <v>Summer Sewald</v>
      </c>
      <c r="D6" t="str">
        <f>_xlfn.XLOOKUP($B6,sales_teams!$A$2:$A$36,sales_teams!C$2:C$36)</f>
        <v>West</v>
      </c>
      <c r="E6" t="s">
        <v>20</v>
      </c>
      <c r="F6" t="s">
        <v>24</v>
      </c>
      <c r="G6" t="s">
        <v>12</v>
      </c>
      <c r="H6" s="1">
        <v>42668</v>
      </c>
      <c r="I6" s="1">
        <v>42796</v>
      </c>
      <c r="J6">
        <v>517</v>
      </c>
    </row>
    <row r="7" spans="1:10" x14ac:dyDescent="0.3">
      <c r="A7" t="s">
        <v>25</v>
      </c>
      <c r="B7" t="s">
        <v>26</v>
      </c>
      <c r="C7" t="str">
        <f>_xlfn.XLOOKUP(B7,
[1]sales_teams!$A$2:$A$100,
[1]sales_teams!$B$2:$B$100)</f>
        <v>Dustin Brinkmann</v>
      </c>
      <c r="D7" t="str">
        <f>_xlfn.XLOOKUP($B7,sales_teams!$A$2:$A$36,sales_teams!C$2:C$36)</f>
        <v>Central</v>
      </c>
      <c r="E7" t="s">
        <v>18</v>
      </c>
      <c r="F7" t="s">
        <v>27</v>
      </c>
      <c r="G7" t="s">
        <v>12</v>
      </c>
      <c r="H7" s="1">
        <v>42672</v>
      </c>
      <c r="I7" s="1">
        <v>42795</v>
      </c>
      <c r="J7">
        <v>49</v>
      </c>
    </row>
    <row r="8" spans="1:10" x14ac:dyDescent="0.3">
      <c r="A8" t="s">
        <v>28</v>
      </c>
      <c r="B8" t="s">
        <v>29</v>
      </c>
      <c r="C8" t="str">
        <f>_xlfn.XLOOKUP(B8,
[1]sales_teams!$A$2:$A$100,
[1]sales_teams!$B$2:$B$100)</f>
        <v>Celia Rouche</v>
      </c>
      <c r="D8" t="str">
        <f>_xlfn.XLOOKUP($B8,sales_teams!$A$2:$A$36,sales_teams!C$2:C$36)</f>
        <v>West</v>
      </c>
      <c r="E8" t="s">
        <v>18</v>
      </c>
      <c r="F8" t="s">
        <v>30</v>
      </c>
      <c r="G8" t="s">
        <v>12</v>
      </c>
      <c r="H8" s="1">
        <v>42673</v>
      </c>
      <c r="I8" s="1">
        <v>42796</v>
      </c>
      <c r="J8">
        <v>57</v>
      </c>
    </row>
    <row r="9" spans="1:10" x14ac:dyDescent="0.3">
      <c r="A9" t="s">
        <v>31</v>
      </c>
      <c r="B9" t="s">
        <v>32</v>
      </c>
      <c r="C9" t="str">
        <f>_xlfn.XLOOKUP(B9,
[1]sales_teams!$A$2:$A$100,
[1]sales_teams!$B$2:$B$100)</f>
        <v>Celia Rouche</v>
      </c>
      <c r="D9" t="str">
        <f>_xlfn.XLOOKUP($B9,sales_teams!$A$2:$A$36,sales_teams!C$2:C$36)</f>
        <v>West</v>
      </c>
      <c r="E9" t="s">
        <v>20</v>
      </c>
      <c r="F9" t="s">
        <v>33</v>
      </c>
      <c r="G9" t="s">
        <v>12</v>
      </c>
      <c r="H9" s="1">
        <v>42675</v>
      </c>
      <c r="I9" s="1">
        <v>42801</v>
      </c>
      <c r="J9">
        <v>601</v>
      </c>
    </row>
    <row r="10" spans="1:10" x14ac:dyDescent="0.3">
      <c r="A10" t="s">
        <v>34</v>
      </c>
      <c r="B10" t="s">
        <v>35</v>
      </c>
      <c r="C10" t="str">
        <f>_xlfn.XLOOKUP(B10,
[1]sales_teams!$A$2:$A$100,
[1]sales_teams!$B$2:$B$100)</f>
        <v>Melvin Marxen</v>
      </c>
      <c r="D10" t="str">
        <f>_xlfn.XLOOKUP($B10,sales_teams!$A$2:$A$36,sales_teams!C$2:C$36)</f>
        <v>Central</v>
      </c>
      <c r="E10" t="s">
        <v>10</v>
      </c>
      <c r="F10" t="s">
        <v>36</v>
      </c>
      <c r="G10" t="s">
        <v>12</v>
      </c>
      <c r="H10" s="1">
        <v>42675</v>
      </c>
      <c r="I10" s="1">
        <v>42797</v>
      </c>
      <c r="J10">
        <v>1026</v>
      </c>
    </row>
    <row r="11" spans="1:10" x14ac:dyDescent="0.3">
      <c r="A11" t="s">
        <v>37</v>
      </c>
      <c r="B11" t="s">
        <v>38</v>
      </c>
      <c r="C11" t="str">
        <f>_xlfn.XLOOKUP(B11,
[1]sales_teams!$A$2:$A$100,
[1]sales_teams!$B$2:$B$100)</f>
        <v>Summer Sewald</v>
      </c>
      <c r="D11" t="str">
        <f>_xlfn.XLOOKUP($B11,sales_teams!$A$2:$A$36,sales_teams!C$2:C$36)</f>
        <v>West</v>
      </c>
      <c r="E11" t="s">
        <v>39</v>
      </c>
      <c r="G11" t="s">
        <v>40</v>
      </c>
      <c r="H11" s="1">
        <v>42677</v>
      </c>
    </row>
    <row r="12" spans="1:10" x14ac:dyDescent="0.3">
      <c r="A12" t="s">
        <v>41</v>
      </c>
      <c r="B12" t="s">
        <v>26</v>
      </c>
      <c r="C12" t="str">
        <f>_xlfn.XLOOKUP(B12,
[1]sales_teams!$A$2:$A$100,
[1]sales_teams!$B$2:$B$100)</f>
        <v>Dustin Brinkmann</v>
      </c>
      <c r="D12" t="str">
        <f>_xlfn.XLOOKUP($B12,sales_teams!$A$2:$A$36,sales_teams!C$2:C$36)</f>
        <v>Central</v>
      </c>
      <c r="E12" t="s">
        <v>18</v>
      </c>
      <c r="F12" t="s">
        <v>42</v>
      </c>
      <c r="G12" t="s">
        <v>12</v>
      </c>
      <c r="H12" s="1">
        <v>42678</v>
      </c>
      <c r="I12" s="1">
        <v>42804</v>
      </c>
      <c r="J12">
        <v>53</v>
      </c>
    </row>
    <row r="13" spans="1:10" x14ac:dyDescent="0.3">
      <c r="A13" t="s">
        <v>43</v>
      </c>
      <c r="B13" t="s">
        <v>44</v>
      </c>
      <c r="C13" t="str">
        <f>_xlfn.XLOOKUP(B13,
[1]sales_teams!$A$2:$A$100,
[1]sales_teams!$B$2:$B$100)</f>
        <v>Melvin Marxen</v>
      </c>
      <c r="D13" t="str">
        <f>_xlfn.XLOOKUP($B13,sales_teams!$A$2:$A$36,sales_teams!C$2:C$36)</f>
        <v>Central</v>
      </c>
      <c r="E13" t="s">
        <v>15</v>
      </c>
      <c r="F13" t="s">
        <v>45</v>
      </c>
      <c r="G13" t="s">
        <v>46</v>
      </c>
      <c r="H13" s="1">
        <v>42678</v>
      </c>
      <c r="I13" s="1">
        <v>42812</v>
      </c>
      <c r="J13">
        <v>0</v>
      </c>
    </row>
    <row r="14" spans="1:10" x14ac:dyDescent="0.3">
      <c r="A14" t="s">
        <v>47</v>
      </c>
      <c r="B14" t="s">
        <v>38</v>
      </c>
      <c r="C14" t="str">
        <f>_xlfn.XLOOKUP(B14,
[1]sales_teams!$A$2:$A$100,
[1]sales_teams!$B$2:$B$100)</f>
        <v>Summer Sewald</v>
      </c>
      <c r="D14" t="str">
        <f>_xlfn.XLOOKUP($B14,sales_teams!$A$2:$A$36,sales_teams!C$2:C$36)</f>
        <v>West</v>
      </c>
      <c r="E14" t="s">
        <v>48</v>
      </c>
      <c r="F14" t="s">
        <v>49</v>
      </c>
      <c r="G14" t="s">
        <v>12</v>
      </c>
      <c r="H14" s="1">
        <v>42678</v>
      </c>
      <c r="I14" s="1">
        <v>42804</v>
      </c>
      <c r="J14">
        <v>5169</v>
      </c>
    </row>
    <row r="15" spans="1:10" x14ac:dyDescent="0.3">
      <c r="A15" t="s">
        <v>50</v>
      </c>
      <c r="B15" t="s">
        <v>51</v>
      </c>
      <c r="C15" t="str">
        <f>_xlfn.XLOOKUP(B15,
[1]sales_teams!$A$2:$A$100,
[1]sales_teams!$B$2:$B$100)</f>
        <v>Summer Sewald</v>
      </c>
      <c r="D15" t="str">
        <f>_xlfn.XLOOKUP($B15,sales_teams!$A$2:$A$36,sales_teams!C$2:C$36)</f>
        <v>West</v>
      </c>
      <c r="E15" t="s">
        <v>48</v>
      </c>
      <c r="F15" t="s">
        <v>52</v>
      </c>
      <c r="G15" t="s">
        <v>12</v>
      </c>
      <c r="H15" s="1">
        <v>42678</v>
      </c>
      <c r="I15" s="1">
        <v>42800</v>
      </c>
      <c r="J15">
        <v>4631</v>
      </c>
    </row>
    <row r="16" spans="1:10" x14ac:dyDescent="0.3">
      <c r="A16" t="s">
        <v>53</v>
      </c>
      <c r="B16" t="s">
        <v>54</v>
      </c>
      <c r="C16" t="str">
        <f>_xlfn.XLOOKUP(B16,
[1]sales_teams!$A$2:$A$100,
[1]sales_teams!$B$2:$B$100)</f>
        <v>Celia Rouche</v>
      </c>
      <c r="D16" t="str">
        <f>_xlfn.XLOOKUP($B16,sales_teams!$A$2:$A$36,sales_teams!C$2:C$36)</f>
        <v>West</v>
      </c>
      <c r="E16" t="s">
        <v>39</v>
      </c>
      <c r="F16" t="s">
        <v>55</v>
      </c>
      <c r="G16" t="s">
        <v>12</v>
      </c>
      <c r="H16" s="1">
        <v>42679</v>
      </c>
      <c r="I16" s="1">
        <v>42805</v>
      </c>
      <c r="J16">
        <v>3393</v>
      </c>
    </row>
    <row r="17" spans="1:10" x14ac:dyDescent="0.3">
      <c r="A17" t="s">
        <v>56</v>
      </c>
      <c r="B17" t="s">
        <v>57</v>
      </c>
      <c r="C17" t="str">
        <f>_xlfn.XLOOKUP(B17,
[1]sales_teams!$A$2:$A$100,
[1]sales_teams!$B$2:$B$100)</f>
        <v>Celia Rouche</v>
      </c>
      <c r="D17" t="str">
        <f>_xlfn.XLOOKUP($B17,sales_teams!$A$2:$A$36,sales_teams!C$2:C$36)</f>
        <v>West</v>
      </c>
      <c r="E17" t="s">
        <v>18</v>
      </c>
      <c r="F17" t="s">
        <v>52</v>
      </c>
      <c r="G17" t="s">
        <v>46</v>
      </c>
      <c r="H17" s="1">
        <v>42679</v>
      </c>
      <c r="I17" s="1">
        <v>42797</v>
      </c>
      <c r="J17">
        <v>0</v>
      </c>
    </row>
    <row r="18" spans="1:10" x14ac:dyDescent="0.3">
      <c r="A18" t="s">
        <v>58</v>
      </c>
      <c r="B18" t="s">
        <v>57</v>
      </c>
      <c r="C18" t="str">
        <f>_xlfn.XLOOKUP(B18,
[1]sales_teams!$A$2:$A$100,
[1]sales_teams!$B$2:$B$100)</f>
        <v>Celia Rouche</v>
      </c>
      <c r="D18" t="str">
        <f>_xlfn.XLOOKUP($B18,sales_teams!$A$2:$A$36,sales_teams!C$2:C$36)</f>
        <v>West</v>
      </c>
      <c r="E18" t="s">
        <v>39</v>
      </c>
      <c r="F18" t="s">
        <v>59</v>
      </c>
      <c r="G18" t="s">
        <v>12</v>
      </c>
      <c r="H18" s="1">
        <v>42679</v>
      </c>
      <c r="I18" s="1">
        <v>42800</v>
      </c>
      <c r="J18">
        <v>3284</v>
      </c>
    </row>
    <row r="19" spans="1:10" x14ac:dyDescent="0.3">
      <c r="A19" t="s">
        <v>60</v>
      </c>
      <c r="B19" t="s">
        <v>61</v>
      </c>
      <c r="C19" t="str">
        <f>_xlfn.XLOOKUP(B19,
[1]sales_teams!$A$2:$A$100,
[1]sales_teams!$B$2:$B$100)</f>
        <v>Dustin Brinkmann</v>
      </c>
      <c r="D19" t="str">
        <f>_xlfn.XLOOKUP($B19,sales_teams!$A$2:$A$36,sales_teams!C$2:C$36)</f>
        <v>Central</v>
      </c>
      <c r="E19" t="s">
        <v>18</v>
      </c>
      <c r="F19" t="s">
        <v>62</v>
      </c>
      <c r="G19" t="s">
        <v>12</v>
      </c>
      <c r="H19" s="1">
        <v>42680</v>
      </c>
      <c r="I19" s="1">
        <v>42799</v>
      </c>
      <c r="J19">
        <v>61</v>
      </c>
    </row>
    <row r="20" spans="1:10" x14ac:dyDescent="0.3">
      <c r="A20" t="s">
        <v>63</v>
      </c>
      <c r="B20" t="s">
        <v>64</v>
      </c>
      <c r="C20" t="str">
        <f>_xlfn.XLOOKUP(B20,
[1]sales_teams!$A$2:$A$100,
[1]sales_teams!$B$2:$B$100)</f>
        <v>Rocco Neubert</v>
      </c>
      <c r="D20" t="str">
        <f>_xlfn.XLOOKUP($B20,sales_teams!$A$2:$A$36,sales_teams!C$2:C$36)</f>
        <v>East</v>
      </c>
      <c r="E20" t="s">
        <v>15</v>
      </c>
      <c r="F20" t="s">
        <v>65</v>
      </c>
      <c r="G20" t="s">
        <v>46</v>
      </c>
      <c r="H20" s="1">
        <v>42681</v>
      </c>
      <c r="I20" s="1">
        <v>42803</v>
      </c>
      <c r="J20">
        <v>0</v>
      </c>
    </row>
    <row r="21" spans="1:10" x14ac:dyDescent="0.3">
      <c r="A21" t="s">
        <v>66</v>
      </c>
      <c r="B21" t="s">
        <v>67</v>
      </c>
      <c r="C21" t="str">
        <f>_xlfn.XLOOKUP(B21,
[1]sales_teams!$A$2:$A$100,
[1]sales_teams!$B$2:$B$100)</f>
        <v>Celia Rouche</v>
      </c>
      <c r="D21" t="str">
        <f>_xlfn.XLOOKUP($B21,sales_teams!$A$2:$A$36,sales_teams!C$2:C$36)</f>
        <v>West</v>
      </c>
      <c r="E21" t="s">
        <v>18</v>
      </c>
      <c r="F21" t="s">
        <v>68</v>
      </c>
      <c r="G21" t="s">
        <v>12</v>
      </c>
      <c r="H21" s="1">
        <v>42681</v>
      </c>
      <c r="I21" s="1">
        <v>42802</v>
      </c>
      <c r="J21">
        <v>46</v>
      </c>
    </row>
    <row r="22" spans="1:10" x14ac:dyDescent="0.3">
      <c r="A22" t="s">
        <v>69</v>
      </c>
      <c r="B22" t="s">
        <v>38</v>
      </c>
      <c r="C22" t="str">
        <f>_xlfn.XLOOKUP(B22,
[1]sales_teams!$A$2:$A$100,
[1]sales_teams!$B$2:$B$100)</f>
        <v>Summer Sewald</v>
      </c>
      <c r="D22" t="str">
        <f>_xlfn.XLOOKUP($B22,sales_teams!$A$2:$A$36,sales_teams!C$2:C$36)</f>
        <v>West</v>
      </c>
      <c r="E22" t="s">
        <v>48</v>
      </c>
      <c r="F22" t="s">
        <v>70</v>
      </c>
      <c r="G22" t="s">
        <v>46</v>
      </c>
      <c r="H22" s="1">
        <v>42681</v>
      </c>
      <c r="I22" s="1">
        <v>42811</v>
      </c>
      <c r="J22">
        <v>0</v>
      </c>
    </row>
    <row r="23" spans="1:10" x14ac:dyDescent="0.3">
      <c r="A23" t="s">
        <v>71</v>
      </c>
      <c r="B23" t="s">
        <v>9</v>
      </c>
      <c r="C23" t="str">
        <f>_xlfn.XLOOKUP(B23,
[1]sales_teams!$A$2:$A$100,
[1]sales_teams!$B$2:$B$100)</f>
        <v>Dustin Brinkmann</v>
      </c>
      <c r="D23" t="str">
        <f>_xlfn.XLOOKUP($B23,sales_teams!$A$2:$A$36,sales_teams!C$2:C$36)</f>
        <v>Central</v>
      </c>
      <c r="E23" t="s">
        <v>18</v>
      </c>
      <c r="F23" t="s">
        <v>27</v>
      </c>
      <c r="G23" t="s">
        <v>12</v>
      </c>
      <c r="H23" s="1">
        <v>42681</v>
      </c>
      <c r="I23" s="1">
        <v>42812</v>
      </c>
      <c r="J23">
        <v>50</v>
      </c>
    </row>
    <row r="24" spans="1:10" x14ac:dyDescent="0.3">
      <c r="A24" t="s">
        <v>72</v>
      </c>
      <c r="B24" t="s">
        <v>73</v>
      </c>
      <c r="C24" t="str">
        <f>_xlfn.XLOOKUP(B24,
[1]sales_teams!$A$2:$A$100,
[1]sales_teams!$B$2:$B$100)</f>
        <v>Cara Losch</v>
      </c>
      <c r="D24" t="str">
        <f>_xlfn.XLOOKUP($B24,sales_teams!$A$2:$A$36,sales_teams!C$2:C$36)</f>
        <v>East</v>
      </c>
      <c r="E24" t="s">
        <v>10</v>
      </c>
      <c r="F24" t="s">
        <v>74</v>
      </c>
      <c r="G24" t="s">
        <v>12</v>
      </c>
      <c r="H24" s="1">
        <v>42681</v>
      </c>
      <c r="I24" s="1">
        <v>42805</v>
      </c>
      <c r="J24">
        <v>1014</v>
      </c>
    </row>
    <row r="25" spans="1:10" x14ac:dyDescent="0.3">
      <c r="A25" t="s">
        <v>75</v>
      </c>
      <c r="B25" t="s">
        <v>14</v>
      </c>
      <c r="C25" t="str">
        <f>_xlfn.XLOOKUP(B25,
[1]sales_teams!$A$2:$A$100,
[1]sales_teams!$B$2:$B$100)</f>
        <v>Melvin Marxen</v>
      </c>
      <c r="D25" t="str">
        <f>_xlfn.XLOOKUP($B25,sales_teams!$A$2:$A$36,sales_teams!C$2:C$36)</f>
        <v>Central</v>
      </c>
      <c r="E25" t="s">
        <v>20</v>
      </c>
      <c r="F25" t="s">
        <v>76</v>
      </c>
      <c r="G25" t="s">
        <v>12</v>
      </c>
      <c r="H25" s="1">
        <v>42682</v>
      </c>
      <c r="I25" s="1">
        <v>42820</v>
      </c>
      <c r="J25">
        <v>561</v>
      </c>
    </row>
    <row r="26" spans="1:10" x14ac:dyDescent="0.3">
      <c r="A26" t="s">
        <v>77</v>
      </c>
      <c r="B26" t="s">
        <v>78</v>
      </c>
      <c r="C26" t="str">
        <f>_xlfn.XLOOKUP(B26,
[1]sales_teams!$A$2:$A$100,
[1]sales_teams!$B$2:$B$100)</f>
        <v>Summer Sewald</v>
      </c>
      <c r="D26" t="str">
        <f>_xlfn.XLOOKUP($B26,sales_teams!$A$2:$A$36,sales_teams!C$2:C$36)</f>
        <v>West</v>
      </c>
      <c r="E26" t="s">
        <v>20</v>
      </c>
      <c r="F26" t="s">
        <v>79</v>
      </c>
      <c r="G26" t="s">
        <v>12</v>
      </c>
      <c r="H26" s="1">
        <v>42684</v>
      </c>
      <c r="I26" s="1">
        <v>42817</v>
      </c>
      <c r="J26">
        <v>590</v>
      </c>
    </row>
    <row r="27" spans="1:10" x14ac:dyDescent="0.3">
      <c r="A27" t="s">
        <v>80</v>
      </c>
      <c r="B27" t="s">
        <v>51</v>
      </c>
      <c r="C27" t="str">
        <f>_xlfn.XLOOKUP(B27,
[1]sales_teams!$A$2:$A$100,
[1]sales_teams!$B$2:$B$100)</f>
        <v>Summer Sewald</v>
      </c>
      <c r="D27" t="str">
        <f>_xlfn.XLOOKUP($B27,sales_teams!$A$2:$A$36,sales_teams!C$2:C$36)</f>
        <v>West</v>
      </c>
      <c r="E27" t="s">
        <v>39</v>
      </c>
      <c r="F27" t="s">
        <v>81</v>
      </c>
      <c r="G27" t="s">
        <v>40</v>
      </c>
      <c r="H27" s="1">
        <v>42684</v>
      </c>
    </row>
    <row r="28" spans="1:10" x14ac:dyDescent="0.3">
      <c r="A28" t="s">
        <v>82</v>
      </c>
      <c r="B28" t="s">
        <v>61</v>
      </c>
      <c r="C28" t="str">
        <f>_xlfn.XLOOKUP(B28,
[1]sales_teams!$A$2:$A$100,
[1]sales_teams!$B$2:$B$100)</f>
        <v>Dustin Brinkmann</v>
      </c>
      <c r="D28" t="str">
        <f>_xlfn.XLOOKUP($B28,sales_teams!$A$2:$A$36,sales_teams!C$2:C$36)</f>
        <v>Central</v>
      </c>
      <c r="E28" t="s">
        <v>18</v>
      </c>
      <c r="F28" t="s">
        <v>42</v>
      </c>
      <c r="G28" t="s">
        <v>12</v>
      </c>
      <c r="H28" s="1">
        <v>42684</v>
      </c>
      <c r="I28" s="1">
        <v>42806</v>
      </c>
      <c r="J28">
        <v>61</v>
      </c>
    </row>
    <row r="29" spans="1:10" x14ac:dyDescent="0.3">
      <c r="A29" t="s">
        <v>83</v>
      </c>
      <c r="B29" t="s">
        <v>73</v>
      </c>
      <c r="C29" t="str">
        <f>_xlfn.XLOOKUP(B29,
[1]sales_teams!$A$2:$A$100,
[1]sales_teams!$B$2:$B$100)</f>
        <v>Cara Losch</v>
      </c>
      <c r="D29" t="str">
        <f>_xlfn.XLOOKUP($B29,sales_teams!$A$2:$A$36,sales_teams!C$2:C$36)</f>
        <v>East</v>
      </c>
      <c r="E29" t="s">
        <v>48</v>
      </c>
      <c r="F29" t="s">
        <v>65</v>
      </c>
      <c r="G29" t="s">
        <v>46</v>
      </c>
      <c r="H29" s="1">
        <v>42684</v>
      </c>
      <c r="I29" s="1">
        <v>42805</v>
      </c>
      <c r="J29">
        <v>0</v>
      </c>
    </row>
    <row r="30" spans="1:10" x14ac:dyDescent="0.3">
      <c r="A30" t="s">
        <v>84</v>
      </c>
      <c r="B30" t="s">
        <v>67</v>
      </c>
      <c r="C30" t="str">
        <f>_xlfn.XLOOKUP(B30,
[1]sales_teams!$A$2:$A$100,
[1]sales_teams!$B$2:$B$100)</f>
        <v>Celia Rouche</v>
      </c>
      <c r="D30" t="str">
        <f>_xlfn.XLOOKUP($B30,sales_teams!$A$2:$A$36,sales_teams!C$2:C$36)</f>
        <v>West</v>
      </c>
      <c r="E30" t="s">
        <v>18</v>
      </c>
      <c r="F30" t="s">
        <v>33</v>
      </c>
      <c r="G30" t="s">
        <v>12</v>
      </c>
      <c r="H30" s="1">
        <v>42685</v>
      </c>
      <c r="I30" s="1">
        <v>42799</v>
      </c>
      <c r="J30">
        <v>58</v>
      </c>
    </row>
    <row r="31" spans="1:10" x14ac:dyDescent="0.3">
      <c r="A31" t="s">
        <v>85</v>
      </c>
      <c r="B31" t="s">
        <v>51</v>
      </c>
      <c r="C31" t="str">
        <f>_xlfn.XLOOKUP(B31,
[1]sales_teams!$A$2:$A$100,
[1]sales_teams!$B$2:$B$100)</f>
        <v>Summer Sewald</v>
      </c>
      <c r="D31" t="str">
        <f>_xlfn.XLOOKUP($B31,sales_teams!$A$2:$A$36,sales_teams!C$2:C$36)</f>
        <v>West</v>
      </c>
      <c r="E31" t="s">
        <v>15</v>
      </c>
      <c r="F31" t="s">
        <v>86</v>
      </c>
      <c r="G31" t="s">
        <v>12</v>
      </c>
      <c r="H31" s="1">
        <v>42685</v>
      </c>
      <c r="I31" s="1">
        <v>42808</v>
      </c>
      <c r="J31">
        <v>4899</v>
      </c>
    </row>
    <row r="32" spans="1:10" x14ac:dyDescent="0.3">
      <c r="A32" t="s">
        <v>87</v>
      </c>
      <c r="B32" t="s">
        <v>88</v>
      </c>
      <c r="C32" t="str">
        <f>_xlfn.XLOOKUP(B32,
[1]sales_teams!$A$2:$A$100,
[1]sales_teams!$B$2:$B$100)</f>
        <v>Cara Losch</v>
      </c>
      <c r="D32" t="str">
        <f>_xlfn.XLOOKUP($B32,sales_teams!$A$2:$A$36,sales_teams!C$2:C$36)</f>
        <v>East</v>
      </c>
      <c r="E32" t="s">
        <v>39</v>
      </c>
      <c r="F32" t="s">
        <v>89</v>
      </c>
      <c r="G32" t="s">
        <v>46</v>
      </c>
      <c r="H32" s="1">
        <v>42685</v>
      </c>
      <c r="I32" s="1">
        <v>42795</v>
      </c>
      <c r="J32">
        <v>0</v>
      </c>
    </row>
    <row r="33" spans="1:10" x14ac:dyDescent="0.3">
      <c r="A33" t="s">
        <v>90</v>
      </c>
      <c r="B33" t="s">
        <v>61</v>
      </c>
      <c r="C33" t="str">
        <f>_xlfn.XLOOKUP(B33,
[1]sales_teams!$A$2:$A$100,
[1]sales_teams!$B$2:$B$100)</f>
        <v>Dustin Brinkmann</v>
      </c>
      <c r="D33" t="str">
        <f>_xlfn.XLOOKUP($B33,sales_teams!$A$2:$A$36,sales_teams!C$2:C$36)</f>
        <v>Central</v>
      </c>
      <c r="E33" t="s">
        <v>18</v>
      </c>
      <c r="F33" t="s">
        <v>91</v>
      </c>
      <c r="G33" t="s">
        <v>12</v>
      </c>
      <c r="H33" s="1">
        <v>42685</v>
      </c>
      <c r="I33" s="1">
        <v>42797</v>
      </c>
      <c r="J33">
        <v>67</v>
      </c>
    </row>
    <row r="34" spans="1:10" x14ac:dyDescent="0.3">
      <c r="A34" t="s">
        <v>92</v>
      </c>
      <c r="B34" t="s">
        <v>38</v>
      </c>
      <c r="C34" t="str">
        <f>_xlfn.XLOOKUP(B34,
[1]sales_teams!$A$2:$A$100,
[1]sales_teams!$B$2:$B$100)</f>
        <v>Summer Sewald</v>
      </c>
      <c r="D34" t="str">
        <f>_xlfn.XLOOKUP($B34,sales_teams!$A$2:$A$36,sales_teams!C$2:C$36)</f>
        <v>West</v>
      </c>
      <c r="E34" t="s">
        <v>15</v>
      </c>
      <c r="F34" t="s">
        <v>93</v>
      </c>
      <c r="G34" t="s">
        <v>12</v>
      </c>
      <c r="H34" s="1">
        <v>42686</v>
      </c>
      <c r="I34" s="1">
        <v>42800</v>
      </c>
      <c r="J34">
        <v>4338</v>
      </c>
    </row>
    <row r="35" spans="1:10" x14ac:dyDescent="0.3">
      <c r="A35" t="s">
        <v>94</v>
      </c>
      <c r="B35" t="s">
        <v>95</v>
      </c>
      <c r="C35" t="str">
        <f>_xlfn.XLOOKUP(B35,
[1]sales_teams!$A$2:$A$100,
[1]sales_teams!$B$2:$B$100)</f>
        <v>Summer Sewald</v>
      </c>
      <c r="D35" t="str">
        <f>_xlfn.XLOOKUP($B35,sales_teams!$A$2:$A$36,sales_teams!C$2:C$36)</f>
        <v>West</v>
      </c>
      <c r="E35" t="s">
        <v>20</v>
      </c>
      <c r="F35" t="s">
        <v>70</v>
      </c>
      <c r="G35" t="s">
        <v>12</v>
      </c>
      <c r="H35" s="1">
        <v>42686</v>
      </c>
      <c r="I35" s="1">
        <v>42813</v>
      </c>
      <c r="J35">
        <v>578</v>
      </c>
    </row>
    <row r="36" spans="1:10" x14ac:dyDescent="0.3">
      <c r="A36" t="s">
        <v>96</v>
      </c>
      <c r="B36" t="s">
        <v>97</v>
      </c>
      <c r="C36" t="str">
        <f>_xlfn.XLOOKUP(B36,
[1]sales_teams!$A$2:$A$100,
[1]sales_teams!$B$2:$B$100)</f>
        <v>Rocco Neubert</v>
      </c>
      <c r="D36" t="str">
        <f>_xlfn.XLOOKUP($B36,sales_teams!$A$2:$A$36,sales_teams!C$2:C$36)</f>
        <v>East</v>
      </c>
      <c r="E36" t="s">
        <v>20</v>
      </c>
      <c r="F36" t="s">
        <v>98</v>
      </c>
      <c r="G36" t="s">
        <v>12</v>
      </c>
      <c r="H36" s="1">
        <v>42686</v>
      </c>
      <c r="I36" s="1">
        <v>42795</v>
      </c>
      <c r="J36">
        <v>556</v>
      </c>
    </row>
    <row r="37" spans="1:10" x14ac:dyDescent="0.3">
      <c r="A37" t="s">
        <v>99</v>
      </c>
      <c r="B37" t="s">
        <v>57</v>
      </c>
      <c r="C37" t="str">
        <f>_xlfn.XLOOKUP(B37,
[1]sales_teams!$A$2:$A$100,
[1]sales_teams!$B$2:$B$100)</f>
        <v>Celia Rouche</v>
      </c>
      <c r="D37" t="str">
        <f>_xlfn.XLOOKUP($B37,sales_teams!$A$2:$A$36,sales_teams!C$2:C$36)</f>
        <v>West</v>
      </c>
      <c r="E37" t="s">
        <v>20</v>
      </c>
      <c r="F37" t="s">
        <v>100</v>
      </c>
      <c r="G37" t="s">
        <v>12</v>
      </c>
      <c r="H37" s="1">
        <v>42686</v>
      </c>
      <c r="I37" s="1">
        <v>42797</v>
      </c>
      <c r="J37">
        <v>635</v>
      </c>
    </row>
    <row r="38" spans="1:10" x14ac:dyDescent="0.3">
      <c r="A38" t="s">
        <v>101</v>
      </c>
      <c r="B38" t="s">
        <v>102</v>
      </c>
      <c r="C38" t="str">
        <f>_xlfn.XLOOKUP(B38,
[1]sales_teams!$A$2:$A$100,
[1]sales_teams!$B$2:$B$100)</f>
        <v>Cara Losch</v>
      </c>
      <c r="D38" t="str">
        <f>_xlfn.XLOOKUP($B38,sales_teams!$A$2:$A$36,sales_teams!C$2:C$36)</f>
        <v>East</v>
      </c>
      <c r="E38" t="s">
        <v>39</v>
      </c>
      <c r="F38" t="s">
        <v>103</v>
      </c>
      <c r="G38" t="s">
        <v>12</v>
      </c>
      <c r="H38" s="1">
        <v>42686</v>
      </c>
      <c r="I38" s="1">
        <v>42801</v>
      </c>
      <c r="J38">
        <v>3045</v>
      </c>
    </row>
    <row r="39" spans="1:10" x14ac:dyDescent="0.3">
      <c r="A39" t="s">
        <v>104</v>
      </c>
      <c r="B39" t="s">
        <v>105</v>
      </c>
      <c r="C39" t="str">
        <f>_xlfn.XLOOKUP(B39,
[1]sales_teams!$A$2:$A$100,
[1]sales_teams!$B$2:$B$100)</f>
        <v>Cara Losch</v>
      </c>
      <c r="D39" t="str">
        <f>_xlfn.XLOOKUP($B39,sales_teams!$A$2:$A$36,sales_teams!C$2:C$36)</f>
        <v>East</v>
      </c>
      <c r="E39" t="s">
        <v>10</v>
      </c>
      <c r="F39" t="s">
        <v>106</v>
      </c>
      <c r="G39" t="s">
        <v>12</v>
      </c>
      <c r="H39" s="1">
        <v>42687</v>
      </c>
      <c r="I39" s="1">
        <v>42808</v>
      </c>
      <c r="J39">
        <v>1233</v>
      </c>
    </row>
    <row r="40" spans="1:10" x14ac:dyDescent="0.3">
      <c r="A40" t="s">
        <v>107</v>
      </c>
      <c r="B40" t="s">
        <v>61</v>
      </c>
      <c r="C40" t="str">
        <f>_xlfn.XLOOKUP(B40,
[1]sales_teams!$A$2:$A$100,
[1]sales_teams!$B$2:$B$100)</f>
        <v>Dustin Brinkmann</v>
      </c>
      <c r="D40" t="str">
        <f>_xlfn.XLOOKUP($B40,sales_teams!$A$2:$A$36,sales_teams!C$2:C$36)</f>
        <v>Central</v>
      </c>
      <c r="E40" t="s">
        <v>18</v>
      </c>
      <c r="F40" t="s">
        <v>36</v>
      </c>
      <c r="G40" t="s">
        <v>12</v>
      </c>
      <c r="H40" s="1">
        <v>42687</v>
      </c>
      <c r="I40" s="1">
        <v>42803</v>
      </c>
      <c r="J40">
        <v>60</v>
      </c>
    </row>
    <row r="41" spans="1:10" x14ac:dyDescent="0.3">
      <c r="A41" t="s">
        <v>108</v>
      </c>
      <c r="B41" t="s">
        <v>26</v>
      </c>
      <c r="C41" t="str">
        <f>_xlfn.XLOOKUP(B41,
[1]sales_teams!$A$2:$A$100,
[1]sales_teams!$B$2:$B$100)</f>
        <v>Dustin Brinkmann</v>
      </c>
      <c r="D41" t="str">
        <f>_xlfn.XLOOKUP($B41,sales_teams!$A$2:$A$36,sales_teams!C$2:C$36)</f>
        <v>Central</v>
      </c>
      <c r="E41" t="s">
        <v>18</v>
      </c>
      <c r="F41" t="s">
        <v>109</v>
      </c>
      <c r="G41" t="s">
        <v>46</v>
      </c>
      <c r="H41" s="1">
        <v>42688</v>
      </c>
      <c r="I41" s="1">
        <v>42824</v>
      </c>
      <c r="J41">
        <v>0</v>
      </c>
    </row>
    <row r="42" spans="1:10" x14ac:dyDescent="0.3">
      <c r="A42" t="s">
        <v>110</v>
      </c>
      <c r="B42" t="s">
        <v>14</v>
      </c>
      <c r="C42" t="str">
        <f>_xlfn.XLOOKUP(B42,
[1]sales_teams!$A$2:$A$100,
[1]sales_teams!$B$2:$B$100)</f>
        <v>Melvin Marxen</v>
      </c>
      <c r="D42" t="str">
        <f>_xlfn.XLOOKUP($B42,sales_teams!$A$2:$A$36,sales_teams!C$2:C$36)</f>
        <v>Central</v>
      </c>
      <c r="E42" t="s">
        <v>20</v>
      </c>
      <c r="F42" t="s">
        <v>111</v>
      </c>
      <c r="G42" t="s">
        <v>46</v>
      </c>
      <c r="H42" s="1">
        <v>42688</v>
      </c>
      <c r="I42" s="1">
        <v>42802</v>
      </c>
      <c r="J42">
        <v>0</v>
      </c>
    </row>
    <row r="43" spans="1:10" x14ac:dyDescent="0.3">
      <c r="A43" t="s">
        <v>112</v>
      </c>
      <c r="B43" t="s">
        <v>14</v>
      </c>
      <c r="C43" t="str">
        <f>_xlfn.XLOOKUP(B43,
[1]sales_teams!$A$2:$A$100,
[1]sales_teams!$B$2:$B$100)</f>
        <v>Melvin Marxen</v>
      </c>
      <c r="D43" t="str">
        <f>_xlfn.XLOOKUP($B43,sales_teams!$A$2:$A$36,sales_teams!C$2:C$36)</f>
        <v>Central</v>
      </c>
      <c r="E43" t="s">
        <v>10</v>
      </c>
      <c r="F43" t="s">
        <v>113</v>
      </c>
      <c r="G43" t="s">
        <v>12</v>
      </c>
      <c r="H43" s="1">
        <v>42688</v>
      </c>
      <c r="I43" s="1">
        <v>42814</v>
      </c>
      <c r="J43">
        <v>1170</v>
      </c>
    </row>
    <row r="44" spans="1:10" x14ac:dyDescent="0.3">
      <c r="A44" t="s">
        <v>114</v>
      </c>
      <c r="B44" t="s">
        <v>78</v>
      </c>
      <c r="C44" t="str">
        <f>_xlfn.XLOOKUP(B44,
[1]sales_teams!$A$2:$A$100,
[1]sales_teams!$B$2:$B$100)</f>
        <v>Summer Sewald</v>
      </c>
      <c r="D44" t="str">
        <f>_xlfn.XLOOKUP($B44,sales_teams!$A$2:$A$36,sales_teams!C$2:C$36)</f>
        <v>West</v>
      </c>
      <c r="E44" t="s">
        <v>20</v>
      </c>
      <c r="G44" t="s">
        <v>40</v>
      </c>
      <c r="H44" s="1">
        <v>42688</v>
      </c>
    </row>
    <row r="45" spans="1:10" x14ac:dyDescent="0.3">
      <c r="A45" t="s">
        <v>115</v>
      </c>
      <c r="B45" t="s">
        <v>116</v>
      </c>
      <c r="C45" t="str">
        <f>_xlfn.XLOOKUP(B45,
[1]sales_teams!$A$2:$A$100,
[1]sales_teams!$B$2:$B$100)</f>
        <v>Melvin Marxen</v>
      </c>
      <c r="D45" t="str">
        <f>_xlfn.XLOOKUP($B45,sales_teams!$A$2:$A$36,sales_teams!C$2:C$36)</f>
        <v>Central</v>
      </c>
      <c r="E45" t="s">
        <v>10</v>
      </c>
      <c r="F45" t="s">
        <v>45</v>
      </c>
      <c r="G45" t="s">
        <v>12</v>
      </c>
      <c r="H45" s="1">
        <v>42689</v>
      </c>
      <c r="I45" s="1">
        <v>42814</v>
      </c>
      <c r="J45">
        <v>1162</v>
      </c>
    </row>
    <row r="46" spans="1:10" x14ac:dyDescent="0.3">
      <c r="A46" t="s">
        <v>117</v>
      </c>
      <c r="B46" t="s">
        <v>118</v>
      </c>
      <c r="C46" t="str">
        <f>_xlfn.XLOOKUP(B46,
[1]sales_teams!$A$2:$A$100,
[1]sales_teams!$B$2:$B$100)</f>
        <v>Rocco Neubert</v>
      </c>
      <c r="D46" t="str">
        <f>_xlfn.XLOOKUP($B46,sales_teams!$A$2:$A$36,sales_teams!C$2:C$36)</f>
        <v>East</v>
      </c>
      <c r="E46" t="s">
        <v>15</v>
      </c>
      <c r="G46" t="s">
        <v>40</v>
      </c>
      <c r="H46" s="1">
        <v>42690</v>
      </c>
    </row>
    <row r="47" spans="1:10" x14ac:dyDescent="0.3">
      <c r="A47" t="s">
        <v>119</v>
      </c>
      <c r="B47" t="s">
        <v>14</v>
      </c>
      <c r="C47" t="str">
        <f>_xlfn.XLOOKUP(B47,
[1]sales_teams!$A$2:$A$100,
[1]sales_teams!$B$2:$B$100)</f>
        <v>Melvin Marxen</v>
      </c>
      <c r="D47" t="str">
        <f>_xlfn.XLOOKUP($B47,sales_teams!$A$2:$A$36,sales_teams!C$2:C$36)</f>
        <v>Central</v>
      </c>
      <c r="E47" t="s">
        <v>39</v>
      </c>
      <c r="F47" t="s">
        <v>120</v>
      </c>
      <c r="G47" t="s">
        <v>12</v>
      </c>
      <c r="H47" s="1">
        <v>42690</v>
      </c>
      <c r="I47" s="1">
        <v>42808</v>
      </c>
      <c r="J47">
        <v>3725</v>
      </c>
    </row>
    <row r="48" spans="1:10" x14ac:dyDescent="0.3">
      <c r="A48" t="s">
        <v>121</v>
      </c>
      <c r="B48" t="s">
        <v>95</v>
      </c>
      <c r="C48" t="str">
        <f>_xlfn.XLOOKUP(B48,
[1]sales_teams!$A$2:$A$100,
[1]sales_teams!$B$2:$B$100)</f>
        <v>Summer Sewald</v>
      </c>
      <c r="D48" t="str">
        <f>_xlfn.XLOOKUP($B48,sales_teams!$A$2:$A$36,sales_teams!C$2:C$36)</f>
        <v>West</v>
      </c>
      <c r="E48" t="s">
        <v>20</v>
      </c>
      <c r="F48" t="s">
        <v>122</v>
      </c>
      <c r="G48" t="s">
        <v>12</v>
      </c>
      <c r="H48" s="1">
        <v>42690</v>
      </c>
      <c r="I48" s="1">
        <v>42825</v>
      </c>
      <c r="J48">
        <v>559</v>
      </c>
    </row>
    <row r="49" spans="1:10" x14ac:dyDescent="0.3">
      <c r="A49" t="s">
        <v>123</v>
      </c>
      <c r="B49" t="s">
        <v>57</v>
      </c>
      <c r="C49" t="str">
        <f>_xlfn.XLOOKUP(B49,
[1]sales_teams!$A$2:$A$100,
[1]sales_teams!$B$2:$B$100)</f>
        <v>Celia Rouche</v>
      </c>
      <c r="D49" t="str">
        <f>_xlfn.XLOOKUP($B49,sales_teams!$A$2:$A$36,sales_teams!C$2:C$36)</f>
        <v>West</v>
      </c>
      <c r="E49" t="s">
        <v>20</v>
      </c>
      <c r="F49" t="s">
        <v>124</v>
      </c>
      <c r="G49" t="s">
        <v>46</v>
      </c>
      <c r="H49" s="1">
        <v>42690</v>
      </c>
      <c r="I49" s="1">
        <v>42805</v>
      </c>
      <c r="J49">
        <v>0</v>
      </c>
    </row>
    <row r="50" spans="1:10" x14ac:dyDescent="0.3">
      <c r="A50" t="s">
        <v>125</v>
      </c>
      <c r="B50" t="s">
        <v>14</v>
      </c>
      <c r="C50" t="str">
        <f>_xlfn.XLOOKUP(B50,
[1]sales_teams!$A$2:$A$100,
[1]sales_teams!$B$2:$B$100)</f>
        <v>Melvin Marxen</v>
      </c>
      <c r="D50" t="str">
        <f>_xlfn.XLOOKUP($B50,sales_teams!$A$2:$A$36,sales_teams!C$2:C$36)</f>
        <v>Central</v>
      </c>
      <c r="E50" t="s">
        <v>10</v>
      </c>
      <c r="F50" t="s">
        <v>126</v>
      </c>
      <c r="G50" t="s">
        <v>46</v>
      </c>
      <c r="H50" s="1">
        <v>42691</v>
      </c>
      <c r="I50" s="1">
        <v>42815</v>
      </c>
      <c r="J50">
        <v>0</v>
      </c>
    </row>
    <row r="51" spans="1:10" x14ac:dyDescent="0.3">
      <c r="A51" t="s">
        <v>127</v>
      </c>
      <c r="B51" t="s">
        <v>38</v>
      </c>
      <c r="C51" t="str">
        <f>_xlfn.XLOOKUP(B51,
[1]sales_teams!$A$2:$A$100,
[1]sales_teams!$B$2:$B$100)</f>
        <v>Summer Sewald</v>
      </c>
      <c r="D51" t="str">
        <f>_xlfn.XLOOKUP($B51,sales_teams!$A$2:$A$36,sales_teams!C$2:C$36)</f>
        <v>West</v>
      </c>
      <c r="E51" t="s">
        <v>48</v>
      </c>
      <c r="F51" t="s">
        <v>52</v>
      </c>
      <c r="G51" t="s">
        <v>12</v>
      </c>
      <c r="H51" s="1">
        <v>42691</v>
      </c>
      <c r="I51" s="1">
        <v>42799</v>
      </c>
      <c r="J51">
        <v>4667</v>
      </c>
    </row>
    <row r="52" spans="1:10" x14ac:dyDescent="0.3">
      <c r="A52" t="s">
        <v>128</v>
      </c>
      <c r="B52" t="s">
        <v>116</v>
      </c>
      <c r="C52" t="str">
        <f>_xlfn.XLOOKUP(B52,
[1]sales_teams!$A$2:$A$100,
[1]sales_teams!$B$2:$B$100)</f>
        <v>Melvin Marxen</v>
      </c>
      <c r="D52" t="str">
        <f>_xlfn.XLOOKUP($B52,sales_teams!$A$2:$A$36,sales_teams!C$2:C$36)</f>
        <v>Central</v>
      </c>
      <c r="E52" t="s">
        <v>10</v>
      </c>
      <c r="F52" t="s">
        <v>129</v>
      </c>
      <c r="G52" t="s">
        <v>12</v>
      </c>
      <c r="H52" s="1">
        <v>42691</v>
      </c>
      <c r="I52" s="1">
        <v>42811</v>
      </c>
      <c r="J52">
        <v>903</v>
      </c>
    </row>
    <row r="53" spans="1:10" x14ac:dyDescent="0.3">
      <c r="A53" t="s">
        <v>130</v>
      </c>
      <c r="B53" t="s">
        <v>51</v>
      </c>
      <c r="C53" t="str">
        <f>_xlfn.XLOOKUP(B53,
[1]sales_teams!$A$2:$A$100,
[1]sales_teams!$B$2:$B$100)</f>
        <v>Summer Sewald</v>
      </c>
      <c r="D53" t="str">
        <f>_xlfn.XLOOKUP($B53,sales_teams!$A$2:$A$36,sales_teams!C$2:C$36)</f>
        <v>West</v>
      </c>
      <c r="E53" t="s">
        <v>10</v>
      </c>
      <c r="F53" t="s">
        <v>55</v>
      </c>
      <c r="G53" t="s">
        <v>12</v>
      </c>
      <c r="H53" s="1">
        <v>42691</v>
      </c>
      <c r="I53" s="1">
        <v>42807</v>
      </c>
      <c r="J53">
        <v>1180</v>
      </c>
    </row>
    <row r="54" spans="1:10" x14ac:dyDescent="0.3">
      <c r="A54" t="s">
        <v>131</v>
      </c>
      <c r="B54" t="s">
        <v>35</v>
      </c>
      <c r="C54" t="str">
        <f>_xlfn.XLOOKUP(B54,
[1]sales_teams!$A$2:$A$100,
[1]sales_teams!$B$2:$B$100)</f>
        <v>Melvin Marxen</v>
      </c>
      <c r="D54" t="str">
        <f>_xlfn.XLOOKUP($B54,sales_teams!$A$2:$A$36,sales_teams!C$2:C$36)</f>
        <v>Central</v>
      </c>
      <c r="E54" t="s">
        <v>20</v>
      </c>
      <c r="F54" t="s">
        <v>27</v>
      </c>
      <c r="G54" t="s">
        <v>12</v>
      </c>
      <c r="H54" s="1">
        <v>42691</v>
      </c>
      <c r="I54" s="1">
        <v>42799</v>
      </c>
      <c r="J54">
        <v>487</v>
      </c>
    </row>
    <row r="55" spans="1:10" x14ac:dyDescent="0.3">
      <c r="A55" t="s">
        <v>132</v>
      </c>
      <c r="B55" t="s">
        <v>133</v>
      </c>
      <c r="C55" t="str">
        <f>_xlfn.XLOOKUP(B55,
[1]sales_teams!$A$2:$A$100,
[1]sales_teams!$B$2:$B$100)</f>
        <v>Dustin Brinkmann</v>
      </c>
      <c r="D55" t="str">
        <f>_xlfn.XLOOKUP($B55,sales_teams!$A$2:$A$36,sales_teams!C$2:C$36)</f>
        <v>Central</v>
      </c>
      <c r="E55" t="s">
        <v>39</v>
      </c>
      <c r="F55" t="s">
        <v>111</v>
      </c>
      <c r="G55" t="s">
        <v>12</v>
      </c>
      <c r="H55" s="1">
        <v>42692</v>
      </c>
      <c r="I55" s="1">
        <v>42798</v>
      </c>
      <c r="J55">
        <v>3180</v>
      </c>
    </row>
    <row r="56" spans="1:10" x14ac:dyDescent="0.3">
      <c r="A56" t="s">
        <v>134</v>
      </c>
      <c r="B56" t="s">
        <v>14</v>
      </c>
      <c r="C56" t="str">
        <f>_xlfn.XLOOKUP(B56,
[1]sales_teams!$A$2:$A$100,
[1]sales_teams!$B$2:$B$100)</f>
        <v>Melvin Marxen</v>
      </c>
      <c r="D56" t="str">
        <f>_xlfn.XLOOKUP($B56,sales_teams!$A$2:$A$36,sales_teams!C$2:C$36)</f>
        <v>Central</v>
      </c>
      <c r="E56" t="s">
        <v>15</v>
      </c>
      <c r="F56" t="s">
        <v>135</v>
      </c>
      <c r="G56" t="s">
        <v>46</v>
      </c>
      <c r="H56" s="1">
        <v>42693</v>
      </c>
      <c r="I56" s="1">
        <v>42811</v>
      </c>
      <c r="J56">
        <v>0</v>
      </c>
    </row>
    <row r="57" spans="1:10" x14ac:dyDescent="0.3">
      <c r="A57" t="s">
        <v>136</v>
      </c>
      <c r="B57" t="s">
        <v>14</v>
      </c>
      <c r="C57" t="str">
        <f>_xlfn.XLOOKUP(B57,
[1]sales_teams!$A$2:$A$100,
[1]sales_teams!$B$2:$B$100)</f>
        <v>Melvin Marxen</v>
      </c>
      <c r="D57" t="str">
        <f>_xlfn.XLOOKUP($B57,sales_teams!$A$2:$A$36,sales_teams!C$2:C$36)</f>
        <v>Central</v>
      </c>
      <c r="E57" t="s">
        <v>39</v>
      </c>
      <c r="F57" t="s">
        <v>109</v>
      </c>
      <c r="G57" t="s">
        <v>12</v>
      </c>
      <c r="H57" s="1">
        <v>42693</v>
      </c>
      <c r="I57" s="1">
        <v>42812</v>
      </c>
      <c r="J57">
        <v>3563</v>
      </c>
    </row>
    <row r="58" spans="1:10" x14ac:dyDescent="0.3">
      <c r="A58" t="s">
        <v>137</v>
      </c>
      <c r="B58" t="s">
        <v>78</v>
      </c>
      <c r="C58" t="str">
        <f>_xlfn.XLOOKUP(B58,
[1]sales_teams!$A$2:$A$100,
[1]sales_teams!$B$2:$B$100)</f>
        <v>Summer Sewald</v>
      </c>
      <c r="D58" t="str">
        <f>_xlfn.XLOOKUP($B58,sales_teams!$A$2:$A$36,sales_teams!C$2:C$36)</f>
        <v>West</v>
      </c>
      <c r="E58" t="s">
        <v>10</v>
      </c>
      <c r="G58" t="s">
        <v>40</v>
      </c>
      <c r="H58" s="1">
        <v>42693</v>
      </c>
    </row>
    <row r="59" spans="1:10" x14ac:dyDescent="0.3">
      <c r="A59" t="s">
        <v>138</v>
      </c>
      <c r="B59" t="s">
        <v>139</v>
      </c>
      <c r="C59" t="str">
        <f>_xlfn.XLOOKUP(B59,
[1]sales_teams!$A$2:$A$100,
[1]sales_teams!$B$2:$B$100)</f>
        <v>Rocco Neubert</v>
      </c>
      <c r="D59" t="str">
        <f>_xlfn.XLOOKUP($B59,sales_teams!$A$2:$A$36,sales_teams!C$2:C$36)</f>
        <v>East</v>
      </c>
      <c r="E59" t="s">
        <v>15</v>
      </c>
      <c r="F59" t="s">
        <v>140</v>
      </c>
      <c r="G59" t="s">
        <v>12</v>
      </c>
      <c r="H59" s="1">
        <v>42694</v>
      </c>
      <c r="I59" s="1">
        <v>42817</v>
      </c>
      <c r="J59">
        <v>4704</v>
      </c>
    </row>
    <row r="60" spans="1:10" x14ac:dyDescent="0.3">
      <c r="A60" t="s">
        <v>141</v>
      </c>
      <c r="B60" t="s">
        <v>142</v>
      </c>
      <c r="C60" t="str">
        <f>_xlfn.XLOOKUP(B60,
[1]sales_teams!$A$2:$A$100,
[1]sales_teams!$B$2:$B$100)</f>
        <v>Rocco Neubert</v>
      </c>
      <c r="D60" t="str">
        <f>_xlfn.XLOOKUP($B60,sales_teams!$A$2:$A$36,sales_teams!C$2:C$36)</f>
        <v>East</v>
      </c>
      <c r="E60" t="s">
        <v>48</v>
      </c>
      <c r="F60" t="s">
        <v>143</v>
      </c>
      <c r="G60" t="s">
        <v>12</v>
      </c>
      <c r="H60" s="1">
        <v>42694</v>
      </c>
      <c r="I60" s="1">
        <v>42808</v>
      </c>
      <c r="J60">
        <v>5585</v>
      </c>
    </row>
    <row r="61" spans="1:10" x14ac:dyDescent="0.3">
      <c r="A61" t="s">
        <v>144</v>
      </c>
      <c r="B61" t="s">
        <v>67</v>
      </c>
      <c r="C61" t="str">
        <f>_xlfn.XLOOKUP(B61,
[1]sales_teams!$A$2:$A$100,
[1]sales_teams!$B$2:$B$100)</f>
        <v>Celia Rouche</v>
      </c>
      <c r="D61" t="str">
        <f>_xlfn.XLOOKUP($B61,sales_teams!$A$2:$A$36,sales_teams!C$2:C$36)</f>
        <v>West</v>
      </c>
      <c r="E61" t="s">
        <v>145</v>
      </c>
      <c r="F61" t="s">
        <v>79</v>
      </c>
      <c r="G61" t="s">
        <v>12</v>
      </c>
      <c r="H61" s="1">
        <v>42694</v>
      </c>
      <c r="I61" s="1">
        <v>42803</v>
      </c>
      <c r="J61">
        <v>25897</v>
      </c>
    </row>
    <row r="62" spans="1:10" x14ac:dyDescent="0.3">
      <c r="A62" t="s">
        <v>146</v>
      </c>
      <c r="B62" t="s">
        <v>54</v>
      </c>
      <c r="C62" t="str">
        <f>_xlfn.XLOOKUP(B62,
[1]sales_teams!$A$2:$A$100,
[1]sales_teams!$B$2:$B$100)</f>
        <v>Celia Rouche</v>
      </c>
      <c r="D62" t="str">
        <f>_xlfn.XLOOKUP($B62,sales_teams!$A$2:$A$36,sales_teams!C$2:C$36)</f>
        <v>West</v>
      </c>
      <c r="E62" t="s">
        <v>39</v>
      </c>
      <c r="G62" t="s">
        <v>40</v>
      </c>
      <c r="H62" s="1">
        <v>42694</v>
      </c>
    </row>
    <row r="63" spans="1:10" x14ac:dyDescent="0.3">
      <c r="A63" t="s">
        <v>147</v>
      </c>
      <c r="B63" t="s">
        <v>78</v>
      </c>
      <c r="C63" t="str">
        <f>_xlfn.XLOOKUP(B63,
[1]sales_teams!$A$2:$A$100,
[1]sales_teams!$B$2:$B$100)</f>
        <v>Summer Sewald</v>
      </c>
      <c r="D63" t="str">
        <f>_xlfn.XLOOKUP($B63,sales_teams!$A$2:$A$36,sales_teams!C$2:C$36)</f>
        <v>West</v>
      </c>
      <c r="E63" t="s">
        <v>10</v>
      </c>
      <c r="F63" t="s">
        <v>148</v>
      </c>
      <c r="G63" t="s">
        <v>12</v>
      </c>
      <c r="H63" s="1">
        <v>42694</v>
      </c>
      <c r="I63" s="1">
        <v>42797</v>
      </c>
      <c r="J63">
        <v>1207</v>
      </c>
    </row>
    <row r="64" spans="1:10" x14ac:dyDescent="0.3">
      <c r="A64" t="s">
        <v>149</v>
      </c>
      <c r="B64" t="s">
        <v>133</v>
      </c>
      <c r="C64" t="str">
        <f>_xlfn.XLOOKUP(B64,
[1]sales_teams!$A$2:$A$100,
[1]sales_teams!$B$2:$B$100)</f>
        <v>Dustin Brinkmann</v>
      </c>
      <c r="D64" t="str">
        <f>_xlfn.XLOOKUP($B64,sales_teams!$A$2:$A$36,sales_teams!C$2:C$36)</f>
        <v>Central</v>
      </c>
      <c r="E64" t="s">
        <v>39</v>
      </c>
      <c r="F64" t="s">
        <v>11</v>
      </c>
      <c r="G64" t="s">
        <v>46</v>
      </c>
      <c r="H64" s="1">
        <v>42694</v>
      </c>
      <c r="I64" s="1">
        <v>42802</v>
      </c>
      <c r="J64">
        <v>0</v>
      </c>
    </row>
    <row r="65" spans="1:10" x14ac:dyDescent="0.3">
      <c r="A65" t="s">
        <v>150</v>
      </c>
      <c r="B65" t="s">
        <v>133</v>
      </c>
      <c r="C65" t="str">
        <f>_xlfn.XLOOKUP(B65,
[1]sales_teams!$A$2:$A$100,
[1]sales_teams!$B$2:$B$100)</f>
        <v>Dustin Brinkmann</v>
      </c>
      <c r="D65" t="str">
        <f>_xlfn.XLOOKUP($B65,sales_teams!$A$2:$A$36,sales_teams!C$2:C$36)</f>
        <v>Central</v>
      </c>
      <c r="E65" t="s">
        <v>20</v>
      </c>
      <c r="F65" t="s">
        <v>151</v>
      </c>
      <c r="G65" t="s">
        <v>12</v>
      </c>
      <c r="H65" s="1">
        <v>42694</v>
      </c>
      <c r="I65" s="1">
        <v>42798</v>
      </c>
      <c r="J65">
        <v>559</v>
      </c>
    </row>
    <row r="66" spans="1:10" x14ac:dyDescent="0.3">
      <c r="A66" t="s">
        <v>152</v>
      </c>
      <c r="B66" t="s">
        <v>51</v>
      </c>
      <c r="C66" t="str">
        <f>_xlfn.XLOOKUP(B66,
[1]sales_teams!$A$2:$A$100,
[1]sales_teams!$B$2:$B$100)</f>
        <v>Summer Sewald</v>
      </c>
      <c r="D66" t="str">
        <f>_xlfn.XLOOKUP($B66,sales_teams!$A$2:$A$36,sales_teams!C$2:C$36)</f>
        <v>West</v>
      </c>
      <c r="E66" t="s">
        <v>20</v>
      </c>
      <c r="F66" t="s">
        <v>100</v>
      </c>
      <c r="G66" t="s">
        <v>40</v>
      </c>
      <c r="H66" s="1">
        <v>42694</v>
      </c>
    </row>
    <row r="67" spans="1:10" x14ac:dyDescent="0.3">
      <c r="A67" t="s">
        <v>153</v>
      </c>
      <c r="B67" t="s">
        <v>35</v>
      </c>
      <c r="C67" t="str">
        <f>_xlfn.XLOOKUP(B67,
[1]sales_teams!$A$2:$A$100,
[1]sales_teams!$B$2:$B$100)</f>
        <v>Melvin Marxen</v>
      </c>
      <c r="D67" t="str">
        <f>_xlfn.XLOOKUP($B67,sales_teams!$A$2:$A$36,sales_teams!C$2:C$36)</f>
        <v>Central</v>
      </c>
      <c r="E67" t="s">
        <v>10</v>
      </c>
      <c r="F67" t="s">
        <v>91</v>
      </c>
      <c r="G67" t="s">
        <v>12</v>
      </c>
      <c r="H67" s="1">
        <v>42694</v>
      </c>
      <c r="I67" s="1">
        <v>42803</v>
      </c>
      <c r="J67">
        <v>1033</v>
      </c>
    </row>
    <row r="68" spans="1:10" x14ac:dyDescent="0.3">
      <c r="A68" t="s">
        <v>154</v>
      </c>
      <c r="B68" t="s">
        <v>142</v>
      </c>
      <c r="C68" t="str">
        <f>_xlfn.XLOOKUP(B68,
[1]sales_teams!$A$2:$A$100,
[1]sales_teams!$B$2:$B$100)</f>
        <v>Rocco Neubert</v>
      </c>
      <c r="D68" t="str">
        <f>_xlfn.XLOOKUP($B68,sales_teams!$A$2:$A$36,sales_teams!C$2:C$36)</f>
        <v>East</v>
      </c>
      <c r="E68" t="s">
        <v>20</v>
      </c>
      <c r="F68" t="s">
        <v>155</v>
      </c>
      <c r="G68" t="s">
        <v>12</v>
      </c>
      <c r="H68" s="1">
        <v>42695</v>
      </c>
      <c r="I68" s="1">
        <v>42815</v>
      </c>
      <c r="J68">
        <v>462</v>
      </c>
    </row>
    <row r="69" spans="1:10" x14ac:dyDescent="0.3">
      <c r="A69" t="s">
        <v>156</v>
      </c>
      <c r="B69" t="s">
        <v>54</v>
      </c>
      <c r="C69" t="str">
        <f>_xlfn.XLOOKUP(B69,
[1]sales_teams!$A$2:$A$100,
[1]sales_teams!$B$2:$B$100)</f>
        <v>Celia Rouche</v>
      </c>
      <c r="D69" t="str">
        <f>_xlfn.XLOOKUP($B69,sales_teams!$A$2:$A$36,sales_teams!C$2:C$36)</f>
        <v>West</v>
      </c>
      <c r="E69" t="s">
        <v>39</v>
      </c>
      <c r="F69" t="s">
        <v>157</v>
      </c>
      <c r="G69" t="s">
        <v>46</v>
      </c>
      <c r="H69" s="1">
        <v>42695</v>
      </c>
      <c r="I69" s="1">
        <v>42795</v>
      </c>
      <c r="J69">
        <v>0</v>
      </c>
    </row>
    <row r="70" spans="1:10" x14ac:dyDescent="0.3">
      <c r="A70" t="s">
        <v>158</v>
      </c>
      <c r="B70" t="s">
        <v>95</v>
      </c>
      <c r="C70" t="str">
        <f>_xlfn.XLOOKUP(B70,
[1]sales_teams!$A$2:$A$100,
[1]sales_teams!$B$2:$B$100)</f>
        <v>Summer Sewald</v>
      </c>
      <c r="D70" t="str">
        <f>_xlfn.XLOOKUP($B70,sales_teams!$A$2:$A$36,sales_teams!C$2:C$36)</f>
        <v>West</v>
      </c>
      <c r="E70" t="s">
        <v>15</v>
      </c>
      <c r="F70" t="s">
        <v>159</v>
      </c>
      <c r="G70" t="s">
        <v>12</v>
      </c>
      <c r="H70" s="1">
        <v>42695</v>
      </c>
      <c r="I70" s="1">
        <v>42808</v>
      </c>
      <c r="J70">
        <v>5539</v>
      </c>
    </row>
    <row r="71" spans="1:10" x14ac:dyDescent="0.3">
      <c r="A71" t="s">
        <v>160</v>
      </c>
      <c r="B71" t="s">
        <v>133</v>
      </c>
      <c r="C71" t="str">
        <f>_xlfn.XLOOKUP(B71,
[1]sales_teams!$A$2:$A$100,
[1]sales_teams!$B$2:$B$100)</f>
        <v>Dustin Brinkmann</v>
      </c>
      <c r="D71" t="str">
        <f>_xlfn.XLOOKUP($B71,sales_teams!$A$2:$A$36,sales_teams!C$2:C$36)</f>
        <v>Central</v>
      </c>
      <c r="E71" t="s">
        <v>39</v>
      </c>
      <c r="F71" t="s">
        <v>27</v>
      </c>
      <c r="G71" t="s">
        <v>12</v>
      </c>
      <c r="H71" s="1">
        <v>42695</v>
      </c>
      <c r="I71" s="1">
        <v>42809</v>
      </c>
      <c r="J71">
        <v>3573</v>
      </c>
    </row>
    <row r="72" spans="1:10" x14ac:dyDescent="0.3">
      <c r="A72" t="s">
        <v>161</v>
      </c>
      <c r="B72" t="s">
        <v>116</v>
      </c>
      <c r="C72" t="str">
        <f>_xlfn.XLOOKUP(B72,
[1]sales_teams!$A$2:$A$100,
[1]sales_teams!$B$2:$B$100)</f>
        <v>Melvin Marxen</v>
      </c>
      <c r="D72" t="str">
        <f>_xlfn.XLOOKUP($B72,sales_teams!$A$2:$A$36,sales_teams!C$2:C$36)</f>
        <v>Central</v>
      </c>
      <c r="E72" t="s">
        <v>15</v>
      </c>
      <c r="F72" t="s">
        <v>120</v>
      </c>
      <c r="G72" t="s">
        <v>12</v>
      </c>
      <c r="H72" s="1">
        <v>42695</v>
      </c>
      <c r="I72" s="1">
        <v>42795</v>
      </c>
      <c r="J72">
        <v>4926</v>
      </c>
    </row>
    <row r="73" spans="1:10" x14ac:dyDescent="0.3">
      <c r="A73" t="s">
        <v>162</v>
      </c>
      <c r="B73" t="s">
        <v>23</v>
      </c>
      <c r="C73" t="str">
        <f>_xlfn.XLOOKUP(B73,
[1]sales_teams!$A$2:$A$100,
[1]sales_teams!$B$2:$B$100)</f>
        <v>Summer Sewald</v>
      </c>
      <c r="D73" t="str">
        <f>_xlfn.XLOOKUP($B73,sales_teams!$A$2:$A$36,sales_teams!C$2:C$36)</f>
        <v>West</v>
      </c>
      <c r="E73" t="s">
        <v>10</v>
      </c>
      <c r="F73" t="s">
        <v>49</v>
      </c>
      <c r="G73" t="s">
        <v>46</v>
      </c>
      <c r="H73" s="1">
        <v>42695</v>
      </c>
      <c r="I73" s="1">
        <v>42811</v>
      </c>
      <c r="J73">
        <v>0</v>
      </c>
    </row>
    <row r="74" spans="1:10" x14ac:dyDescent="0.3">
      <c r="A74" t="s">
        <v>163</v>
      </c>
      <c r="B74" t="s">
        <v>164</v>
      </c>
      <c r="C74" t="str">
        <f>_xlfn.XLOOKUP(B74,
[1]sales_teams!$A$2:$A$100,
[1]sales_teams!$B$2:$B$100)</f>
        <v>Cara Losch</v>
      </c>
      <c r="D74" t="str">
        <f>_xlfn.XLOOKUP($B74,sales_teams!$A$2:$A$36,sales_teams!C$2:C$36)</f>
        <v>East</v>
      </c>
      <c r="E74" t="s">
        <v>18</v>
      </c>
      <c r="F74" t="s">
        <v>165</v>
      </c>
      <c r="G74" t="s">
        <v>12</v>
      </c>
      <c r="H74" s="1">
        <v>42696</v>
      </c>
      <c r="I74" s="1">
        <v>42798</v>
      </c>
      <c r="J74">
        <v>62</v>
      </c>
    </row>
    <row r="75" spans="1:10" x14ac:dyDescent="0.3">
      <c r="A75" t="s">
        <v>166</v>
      </c>
      <c r="B75" t="s">
        <v>14</v>
      </c>
      <c r="C75" t="str">
        <f>_xlfn.XLOOKUP(B75,
[1]sales_teams!$A$2:$A$100,
[1]sales_teams!$B$2:$B$100)</f>
        <v>Melvin Marxen</v>
      </c>
      <c r="D75" t="str">
        <f>_xlfn.XLOOKUP($B75,sales_teams!$A$2:$A$36,sales_teams!C$2:C$36)</f>
        <v>Central</v>
      </c>
      <c r="E75" t="s">
        <v>15</v>
      </c>
      <c r="F75" t="s">
        <v>109</v>
      </c>
      <c r="G75" t="s">
        <v>12</v>
      </c>
      <c r="H75" s="1">
        <v>42696</v>
      </c>
      <c r="I75" s="1">
        <v>42808</v>
      </c>
      <c r="J75">
        <v>4359</v>
      </c>
    </row>
    <row r="76" spans="1:10" x14ac:dyDescent="0.3">
      <c r="A76" t="s">
        <v>167</v>
      </c>
      <c r="B76" t="s">
        <v>78</v>
      </c>
      <c r="C76" t="str">
        <f>_xlfn.XLOOKUP(B76,
[1]sales_teams!$A$2:$A$100,
[1]sales_teams!$B$2:$B$100)</f>
        <v>Summer Sewald</v>
      </c>
      <c r="D76" t="str">
        <f>_xlfn.XLOOKUP($B76,sales_teams!$A$2:$A$36,sales_teams!C$2:C$36)</f>
        <v>West</v>
      </c>
      <c r="E76" t="s">
        <v>20</v>
      </c>
      <c r="F76" t="s">
        <v>168</v>
      </c>
      <c r="G76" t="s">
        <v>12</v>
      </c>
      <c r="H76" s="1">
        <v>42696</v>
      </c>
      <c r="I76" s="1">
        <v>42825</v>
      </c>
      <c r="J76">
        <v>566</v>
      </c>
    </row>
    <row r="77" spans="1:10" x14ac:dyDescent="0.3">
      <c r="A77" t="s">
        <v>169</v>
      </c>
      <c r="B77" t="s">
        <v>116</v>
      </c>
      <c r="C77" t="str">
        <f>_xlfn.XLOOKUP(B77,
[1]sales_teams!$A$2:$A$100,
[1]sales_teams!$B$2:$B$100)</f>
        <v>Melvin Marxen</v>
      </c>
      <c r="D77" t="str">
        <f>_xlfn.XLOOKUP($B77,sales_teams!$A$2:$A$36,sales_teams!C$2:C$36)</f>
        <v>Central</v>
      </c>
      <c r="E77" t="s">
        <v>20</v>
      </c>
      <c r="F77" t="s">
        <v>170</v>
      </c>
      <c r="G77" t="s">
        <v>12</v>
      </c>
      <c r="H77" s="1">
        <v>42696</v>
      </c>
      <c r="I77" s="1">
        <v>42797</v>
      </c>
      <c r="J77">
        <v>508</v>
      </c>
    </row>
    <row r="78" spans="1:10" x14ac:dyDescent="0.3">
      <c r="A78" t="s">
        <v>171</v>
      </c>
      <c r="B78" t="s">
        <v>88</v>
      </c>
      <c r="C78" t="str">
        <f>_xlfn.XLOOKUP(B78,
[1]sales_teams!$A$2:$A$100,
[1]sales_teams!$B$2:$B$100)</f>
        <v>Cara Losch</v>
      </c>
      <c r="D78" t="str">
        <f>_xlfn.XLOOKUP($B78,sales_teams!$A$2:$A$36,sales_teams!C$2:C$36)</f>
        <v>East</v>
      </c>
      <c r="E78" t="s">
        <v>39</v>
      </c>
      <c r="F78" t="s">
        <v>74</v>
      </c>
      <c r="G78" t="s">
        <v>46</v>
      </c>
      <c r="H78" s="1">
        <v>42696</v>
      </c>
      <c r="I78" s="1">
        <v>42814</v>
      </c>
      <c r="J78">
        <v>0</v>
      </c>
    </row>
    <row r="79" spans="1:10" x14ac:dyDescent="0.3">
      <c r="A79" t="s">
        <v>172</v>
      </c>
      <c r="B79" t="s">
        <v>61</v>
      </c>
      <c r="C79" t="str">
        <f>_xlfn.XLOOKUP(B79,
[1]sales_teams!$A$2:$A$100,
[1]sales_teams!$B$2:$B$100)</f>
        <v>Dustin Brinkmann</v>
      </c>
      <c r="D79" t="str">
        <f>_xlfn.XLOOKUP($B79,sales_teams!$A$2:$A$36,sales_teams!C$2:C$36)</f>
        <v>Central</v>
      </c>
      <c r="E79" t="s">
        <v>18</v>
      </c>
      <c r="F79" t="s">
        <v>21</v>
      </c>
      <c r="G79" t="s">
        <v>12</v>
      </c>
      <c r="H79" s="1">
        <v>42696</v>
      </c>
      <c r="I79" s="1">
        <v>42805</v>
      </c>
      <c r="J79">
        <v>51</v>
      </c>
    </row>
    <row r="80" spans="1:10" x14ac:dyDescent="0.3">
      <c r="A80" t="s">
        <v>173</v>
      </c>
      <c r="B80" t="s">
        <v>29</v>
      </c>
      <c r="C80" t="str">
        <f>_xlfn.XLOOKUP(B80,
[1]sales_teams!$A$2:$A$100,
[1]sales_teams!$B$2:$B$100)</f>
        <v>Celia Rouche</v>
      </c>
      <c r="D80" t="str">
        <f>_xlfn.XLOOKUP($B80,sales_teams!$A$2:$A$36,sales_teams!C$2:C$36)</f>
        <v>West</v>
      </c>
      <c r="E80" t="s">
        <v>15</v>
      </c>
      <c r="F80" t="s">
        <v>174</v>
      </c>
      <c r="G80" t="s">
        <v>12</v>
      </c>
      <c r="H80" s="1">
        <v>42696</v>
      </c>
      <c r="I80" s="1">
        <v>42799</v>
      </c>
      <c r="J80">
        <v>4899</v>
      </c>
    </row>
    <row r="81" spans="1:10" x14ac:dyDescent="0.3">
      <c r="A81" t="s">
        <v>175</v>
      </c>
      <c r="B81" t="s">
        <v>164</v>
      </c>
      <c r="C81" t="str">
        <f>_xlfn.XLOOKUP(B81,
[1]sales_teams!$A$2:$A$100,
[1]sales_teams!$B$2:$B$100)</f>
        <v>Cara Losch</v>
      </c>
      <c r="D81" t="str">
        <f>_xlfn.XLOOKUP($B81,sales_teams!$A$2:$A$36,sales_teams!C$2:C$36)</f>
        <v>East</v>
      </c>
      <c r="E81" t="s">
        <v>20</v>
      </c>
      <c r="F81" t="s">
        <v>33</v>
      </c>
      <c r="G81" t="s">
        <v>40</v>
      </c>
      <c r="H81" s="1">
        <v>42697</v>
      </c>
    </row>
    <row r="82" spans="1:10" x14ac:dyDescent="0.3">
      <c r="A82" t="s">
        <v>176</v>
      </c>
      <c r="B82" t="s">
        <v>164</v>
      </c>
      <c r="C82" t="str">
        <f>_xlfn.XLOOKUP(B82,
[1]sales_teams!$A$2:$A$100,
[1]sales_teams!$B$2:$B$100)</f>
        <v>Cara Losch</v>
      </c>
      <c r="D82" t="str">
        <f>_xlfn.XLOOKUP($B82,sales_teams!$A$2:$A$36,sales_teams!C$2:C$36)</f>
        <v>East</v>
      </c>
      <c r="E82" t="s">
        <v>48</v>
      </c>
      <c r="F82" t="s">
        <v>177</v>
      </c>
      <c r="G82" t="s">
        <v>12</v>
      </c>
      <c r="H82" s="1">
        <v>42697</v>
      </c>
      <c r="I82" s="1">
        <v>42797</v>
      </c>
      <c r="J82">
        <v>5790</v>
      </c>
    </row>
    <row r="83" spans="1:10" x14ac:dyDescent="0.3">
      <c r="A83" t="s">
        <v>178</v>
      </c>
      <c r="B83" t="s">
        <v>142</v>
      </c>
      <c r="C83" t="str">
        <f>_xlfn.XLOOKUP(B83,
[1]sales_teams!$A$2:$A$100,
[1]sales_teams!$B$2:$B$100)</f>
        <v>Rocco Neubert</v>
      </c>
      <c r="D83" t="str">
        <f>_xlfn.XLOOKUP($B83,sales_teams!$A$2:$A$36,sales_teams!C$2:C$36)</f>
        <v>East</v>
      </c>
      <c r="E83" t="s">
        <v>18</v>
      </c>
      <c r="F83" t="s">
        <v>179</v>
      </c>
      <c r="G83" t="s">
        <v>46</v>
      </c>
      <c r="H83" s="1">
        <v>42697</v>
      </c>
      <c r="I83" s="1">
        <v>42824</v>
      </c>
      <c r="J83">
        <v>0</v>
      </c>
    </row>
    <row r="84" spans="1:10" x14ac:dyDescent="0.3">
      <c r="A84" t="s">
        <v>180</v>
      </c>
      <c r="B84" t="s">
        <v>67</v>
      </c>
      <c r="C84" t="str">
        <f>_xlfn.XLOOKUP(B84,
[1]sales_teams!$A$2:$A$100,
[1]sales_teams!$B$2:$B$100)</f>
        <v>Celia Rouche</v>
      </c>
      <c r="D84" t="str">
        <f>_xlfn.XLOOKUP($B84,sales_teams!$A$2:$A$36,sales_teams!C$2:C$36)</f>
        <v>West</v>
      </c>
      <c r="E84" t="s">
        <v>39</v>
      </c>
      <c r="G84" t="s">
        <v>40</v>
      </c>
      <c r="H84" s="1">
        <v>42697</v>
      </c>
    </row>
    <row r="85" spans="1:10" x14ac:dyDescent="0.3">
      <c r="A85" t="s">
        <v>181</v>
      </c>
      <c r="B85" t="s">
        <v>44</v>
      </c>
      <c r="C85" t="str">
        <f>_xlfn.XLOOKUP(B85,
[1]sales_teams!$A$2:$A$100,
[1]sales_teams!$B$2:$B$100)</f>
        <v>Melvin Marxen</v>
      </c>
      <c r="D85" t="str">
        <f>_xlfn.XLOOKUP($B85,sales_teams!$A$2:$A$36,sales_teams!C$2:C$36)</f>
        <v>Central</v>
      </c>
      <c r="E85" t="s">
        <v>15</v>
      </c>
      <c r="F85" t="s">
        <v>21</v>
      </c>
      <c r="G85" t="s">
        <v>12</v>
      </c>
      <c r="H85" s="1">
        <v>42697</v>
      </c>
      <c r="I85" s="1">
        <v>42797</v>
      </c>
      <c r="J85">
        <v>4438</v>
      </c>
    </row>
    <row r="86" spans="1:10" x14ac:dyDescent="0.3">
      <c r="A86" t="s">
        <v>182</v>
      </c>
      <c r="B86" t="s">
        <v>44</v>
      </c>
      <c r="C86" t="str">
        <f>_xlfn.XLOOKUP(B86,
[1]sales_teams!$A$2:$A$100,
[1]sales_teams!$B$2:$B$100)</f>
        <v>Melvin Marxen</v>
      </c>
      <c r="D86" t="str">
        <f>_xlfn.XLOOKUP($B86,sales_teams!$A$2:$A$36,sales_teams!C$2:C$36)</f>
        <v>Central</v>
      </c>
      <c r="E86" t="s">
        <v>39</v>
      </c>
      <c r="F86" t="s">
        <v>129</v>
      </c>
      <c r="G86" t="s">
        <v>12</v>
      </c>
      <c r="H86" s="1">
        <v>42697</v>
      </c>
      <c r="I86" s="1">
        <v>42811</v>
      </c>
      <c r="J86">
        <v>2972</v>
      </c>
    </row>
    <row r="87" spans="1:10" x14ac:dyDescent="0.3">
      <c r="A87" t="s">
        <v>183</v>
      </c>
      <c r="B87" t="s">
        <v>32</v>
      </c>
      <c r="C87" t="str">
        <f>_xlfn.XLOOKUP(B87,
[1]sales_teams!$A$2:$A$100,
[1]sales_teams!$B$2:$B$100)</f>
        <v>Celia Rouche</v>
      </c>
      <c r="D87" t="str">
        <f>_xlfn.XLOOKUP($B87,sales_teams!$A$2:$A$36,sales_teams!C$2:C$36)</f>
        <v>West</v>
      </c>
      <c r="E87" t="s">
        <v>18</v>
      </c>
      <c r="F87" t="s">
        <v>184</v>
      </c>
      <c r="G87" t="s">
        <v>40</v>
      </c>
      <c r="H87" s="1">
        <v>42697</v>
      </c>
    </row>
    <row r="88" spans="1:10" x14ac:dyDescent="0.3">
      <c r="A88" t="s">
        <v>185</v>
      </c>
      <c r="B88" t="s">
        <v>32</v>
      </c>
      <c r="C88" t="str">
        <f>_xlfn.XLOOKUP(B88,
[1]sales_teams!$A$2:$A$100,
[1]sales_teams!$B$2:$B$100)</f>
        <v>Celia Rouche</v>
      </c>
      <c r="D88" t="str">
        <f>_xlfn.XLOOKUP($B88,sales_teams!$A$2:$A$36,sales_teams!C$2:C$36)</f>
        <v>West</v>
      </c>
      <c r="E88" t="s">
        <v>20</v>
      </c>
      <c r="F88" t="s">
        <v>159</v>
      </c>
      <c r="G88" t="s">
        <v>12</v>
      </c>
      <c r="H88" s="1">
        <v>42697</v>
      </c>
      <c r="I88" s="1">
        <v>42795</v>
      </c>
      <c r="J88">
        <v>523</v>
      </c>
    </row>
    <row r="89" spans="1:10" x14ac:dyDescent="0.3">
      <c r="A89" t="s">
        <v>186</v>
      </c>
      <c r="B89" t="s">
        <v>26</v>
      </c>
      <c r="C89" t="str">
        <f>_xlfn.XLOOKUP(B89,
[1]sales_teams!$A$2:$A$100,
[1]sales_teams!$B$2:$B$100)</f>
        <v>Dustin Brinkmann</v>
      </c>
      <c r="D89" t="str">
        <f>_xlfn.XLOOKUP($B89,sales_teams!$A$2:$A$36,sales_teams!C$2:C$36)</f>
        <v>Central</v>
      </c>
      <c r="E89" t="s">
        <v>39</v>
      </c>
      <c r="F89" t="s">
        <v>187</v>
      </c>
      <c r="G89" t="s">
        <v>12</v>
      </c>
      <c r="H89" s="1">
        <v>42698</v>
      </c>
      <c r="I89" s="1">
        <v>42819</v>
      </c>
      <c r="J89">
        <v>3647</v>
      </c>
    </row>
    <row r="90" spans="1:10" x14ac:dyDescent="0.3">
      <c r="A90" t="s">
        <v>188</v>
      </c>
      <c r="B90" t="s">
        <v>118</v>
      </c>
      <c r="C90" t="str">
        <f>_xlfn.XLOOKUP(B90,
[1]sales_teams!$A$2:$A$100,
[1]sales_teams!$B$2:$B$100)</f>
        <v>Rocco Neubert</v>
      </c>
      <c r="D90" t="str">
        <f>_xlfn.XLOOKUP($B90,sales_teams!$A$2:$A$36,sales_teams!C$2:C$36)</f>
        <v>East</v>
      </c>
      <c r="E90" t="s">
        <v>39</v>
      </c>
      <c r="F90" t="s">
        <v>189</v>
      </c>
      <c r="G90" t="s">
        <v>12</v>
      </c>
      <c r="H90" s="1">
        <v>42698</v>
      </c>
      <c r="I90" s="1">
        <v>42795</v>
      </c>
      <c r="J90">
        <v>4200</v>
      </c>
    </row>
    <row r="91" spans="1:10" x14ac:dyDescent="0.3">
      <c r="A91" t="s">
        <v>190</v>
      </c>
      <c r="B91" t="s">
        <v>64</v>
      </c>
      <c r="C91" t="str">
        <f>_xlfn.XLOOKUP(B91,
[1]sales_teams!$A$2:$A$100,
[1]sales_teams!$B$2:$B$100)</f>
        <v>Rocco Neubert</v>
      </c>
      <c r="D91" t="str">
        <f>_xlfn.XLOOKUP($B91,sales_teams!$A$2:$A$36,sales_teams!C$2:C$36)</f>
        <v>East</v>
      </c>
      <c r="E91" t="s">
        <v>10</v>
      </c>
      <c r="F91" t="s">
        <v>30</v>
      </c>
      <c r="G91" t="s">
        <v>40</v>
      </c>
      <c r="H91" s="1">
        <v>42698</v>
      </c>
    </row>
    <row r="92" spans="1:10" x14ac:dyDescent="0.3">
      <c r="A92" t="s">
        <v>191</v>
      </c>
      <c r="B92" t="s">
        <v>78</v>
      </c>
      <c r="C92" t="str">
        <f>_xlfn.XLOOKUP(B92,
[1]sales_teams!$A$2:$A$100,
[1]sales_teams!$B$2:$B$100)</f>
        <v>Summer Sewald</v>
      </c>
      <c r="D92" t="str">
        <f>_xlfn.XLOOKUP($B92,sales_teams!$A$2:$A$36,sales_teams!C$2:C$36)</f>
        <v>West</v>
      </c>
      <c r="E92" t="s">
        <v>10</v>
      </c>
      <c r="F92" t="s">
        <v>192</v>
      </c>
      <c r="G92" t="s">
        <v>40</v>
      </c>
      <c r="H92" s="1">
        <v>42698</v>
      </c>
    </row>
    <row r="93" spans="1:10" x14ac:dyDescent="0.3">
      <c r="A93" t="s">
        <v>193</v>
      </c>
      <c r="B93" t="s">
        <v>78</v>
      </c>
      <c r="C93" t="str">
        <f>_xlfn.XLOOKUP(B93,
[1]sales_teams!$A$2:$A$100,
[1]sales_teams!$B$2:$B$100)</f>
        <v>Summer Sewald</v>
      </c>
      <c r="D93" t="str">
        <f>_xlfn.XLOOKUP($B93,sales_teams!$A$2:$A$36,sales_teams!C$2:C$36)</f>
        <v>West</v>
      </c>
      <c r="E93" t="s">
        <v>10</v>
      </c>
      <c r="F93" t="s">
        <v>194</v>
      </c>
      <c r="G93" t="s">
        <v>12</v>
      </c>
      <c r="H93" s="1">
        <v>42698</v>
      </c>
      <c r="I93" s="1">
        <v>42822</v>
      </c>
      <c r="J93">
        <v>1059</v>
      </c>
    </row>
    <row r="94" spans="1:10" x14ac:dyDescent="0.3">
      <c r="A94" t="s">
        <v>195</v>
      </c>
      <c r="B94" t="s">
        <v>116</v>
      </c>
      <c r="C94" t="str">
        <f>_xlfn.XLOOKUP(B94,
[1]sales_teams!$A$2:$A$100,
[1]sales_teams!$B$2:$B$100)</f>
        <v>Melvin Marxen</v>
      </c>
      <c r="D94" t="str">
        <f>_xlfn.XLOOKUP($B94,sales_teams!$A$2:$A$36,sales_teams!C$2:C$36)</f>
        <v>Central</v>
      </c>
      <c r="E94" t="s">
        <v>10</v>
      </c>
      <c r="F94" t="s">
        <v>21</v>
      </c>
      <c r="G94" t="s">
        <v>46</v>
      </c>
      <c r="H94" s="1">
        <v>42698</v>
      </c>
      <c r="I94" s="1">
        <v>42799</v>
      </c>
      <c r="J94">
        <v>0</v>
      </c>
    </row>
    <row r="95" spans="1:10" x14ac:dyDescent="0.3">
      <c r="A95" t="s">
        <v>196</v>
      </c>
      <c r="B95" t="s">
        <v>61</v>
      </c>
      <c r="C95" t="str">
        <f>_xlfn.XLOOKUP(B95,
[1]sales_teams!$A$2:$A$100,
[1]sales_teams!$B$2:$B$100)</f>
        <v>Dustin Brinkmann</v>
      </c>
      <c r="D95" t="str">
        <f>_xlfn.XLOOKUP($B95,sales_teams!$A$2:$A$36,sales_teams!C$2:C$36)</f>
        <v>Central</v>
      </c>
      <c r="E95" t="s">
        <v>18</v>
      </c>
      <c r="F95" t="s">
        <v>197</v>
      </c>
      <c r="G95" t="s">
        <v>12</v>
      </c>
      <c r="H95" s="1">
        <v>42698</v>
      </c>
      <c r="I95" s="1">
        <v>42796</v>
      </c>
      <c r="J95">
        <v>57</v>
      </c>
    </row>
    <row r="96" spans="1:10" x14ac:dyDescent="0.3">
      <c r="A96" t="s">
        <v>198</v>
      </c>
      <c r="B96" t="s">
        <v>29</v>
      </c>
      <c r="C96" t="str">
        <f>_xlfn.XLOOKUP(B96,
[1]sales_teams!$A$2:$A$100,
[1]sales_teams!$B$2:$B$100)</f>
        <v>Celia Rouche</v>
      </c>
      <c r="D96" t="str">
        <f>_xlfn.XLOOKUP($B96,sales_teams!$A$2:$A$36,sales_teams!C$2:C$36)</f>
        <v>West</v>
      </c>
      <c r="E96" t="s">
        <v>39</v>
      </c>
      <c r="F96" t="s">
        <v>199</v>
      </c>
      <c r="G96" t="s">
        <v>12</v>
      </c>
      <c r="H96" s="1">
        <v>42698</v>
      </c>
      <c r="I96" s="1">
        <v>42821</v>
      </c>
      <c r="J96">
        <v>3671</v>
      </c>
    </row>
    <row r="97" spans="1:10" x14ac:dyDescent="0.3">
      <c r="A97" t="s">
        <v>200</v>
      </c>
      <c r="B97" t="s">
        <v>26</v>
      </c>
      <c r="C97" t="str">
        <f>_xlfn.XLOOKUP(B97,
[1]sales_teams!$A$2:$A$100,
[1]sales_teams!$B$2:$B$100)</f>
        <v>Dustin Brinkmann</v>
      </c>
      <c r="D97" t="str">
        <f>_xlfn.XLOOKUP($B97,sales_teams!$A$2:$A$36,sales_teams!C$2:C$36)</f>
        <v>Central</v>
      </c>
      <c r="E97" t="s">
        <v>18</v>
      </c>
      <c r="F97" t="s">
        <v>62</v>
      </c>
      <c r="G97" t="s">
        <v>12</v>
      </c>
      <c r="H97" s="1">
        <v>42699</v>
      </c>
      <c r="I97" s="1">
        <v>42795</v>
      </c>
      <c r="J97">
        <v>58</v>
      </c>
    </row>
    <row r="98" spans="1:10" x14ac:dyDescent="0.3">
      <c r="A98" t="s">
        <v>201</v>
      </c>
      <c r="B98" t="s">
        <v>202</v>
      </c>
      <c r="C98" t="str">
        <f>_xlfn.XLOOKUP(B98,
[1]sales_teams!$A$2:$A$100,
[1]sales_teams!$B$2:$B$100)</f>
        <v>Dustin Brinkmann</v>
      </c>
      <c r="D98" t="str">
        <f>_xlfn.XLOOKUP($B98,sales_teams!$A$2:$A$36,sales_teams!C$2:C$36)</f>
        <v>Central</v>
      </c>
      <c r="E98" t="s">
        <v>39</v>
      </c>
      <c r="F98" t="s">
        <v>62</v>
      </c>
      <c r="G98" t="s">
        <v>12</v>
      </c>
      <c r="H98" s="1">
        <v>42699</v>
      </c>
      <c r="I98" s="1">
        <v>42800</v>
      </c>
      <c r="J98">
        <v>3956</v>
      </c>
    </row>
    <row r="99" spans="1:10" x14ac:dyDescent="0.3">
      <c r="A99" t="s">
        <v>203</v>
      </c>
      <c r="B99" t="s">
        <v>164</v>
      </c>
      <c r="C99" t="str">
        <f>_xlfn.XLOOKUP(B99,
[1]sales_teams!$A$2:$A$100,
[1]sales_teams!$B$2:$B$100)</f>
        <v>Cara Losch</v>
      </c>
      <c r="D99" t="str">
        <f>_xlfn.XLOOKUP($B99,sales_teams!$A$2:$A$36,sales_teams!C$2:C$36)</f>
        <v>East</v>
      </c>
      <c r="E99" t="s">
        <v>48</v>
      </c>
      <c r="F99" t="s">
        <v>204</v>
      </c>
      <c r="G99" t="s">
        <v>12</v>
      </c>
      <c r="H99" s="1">
        <v>42699</v>
      </c>
      <c r="I99" s="1">
        <v>42795</v>
      </c>
      <c r="J99">
        <v>5964</v>
      </c>
    </row>
    <row r="100" spans="1:10" x14ac:dyDescent="0.3">
      <c r="A100" t="s">
        <v>205</v>
      </c>
      <c r="B100" t="s">
        <v>164</v>
      </c>
      <c r="C100" t="str">
        <f>_xlfn.XLOOKUP(B100,
[1]sales_teams!$A$2:$A$100,
[1]sales_teams!$B$2:$B$100)</f>
        <v>Cara Losch</v>
      </c>
      <c r="D100" t="str">
        <f>_xlfn.XLOOKUP($B100,sales_teams!$A$2:$A$36,sales_teams!C$2:C$36)</f>
        <v>East</v>
      </c>
      <c r="E100" t="s">
        <v>15</v>
      </c>
      <c r="F100" t="s">
        <v>204</v>
      </c>
      <c r="G100" t="s">
        <v>12</v>
      </c>
      <c r="H100" s="1">
        <v>42699</v>
      </c>
      <c r="I100" s="1">
        <v>42800</v>
      </c>
      <c r="J100">
        <v>4570</v>
      </c>
    </row>
    <row r="101" spans="1:10" x14ac:dyDescent="0.3">
      <c r="A101" t="s">
        <v>206</v>
      </c>
      <c r="B101" t="s">
        <v>14</v>
      </c>
      <c r="C101" t="str">
        <f>_xlfn.XLOOKUP(B101,
[1]sales_teams!$A$2:$A$100,
[1]sales_teams!$B$2:$B$100)</f>
        <v>Melvin Marxen</v>
      </c>
      <c r="D101" t="str">
        <f>_xlfn.XLOOKUP($B101,sales_teams!$A$2:$A$36,sales_teams!C$2:C$36)</f>
        <v>Central</v>
      </c>
      <c r="E101" t="s">
        <v>18</v>
      </c>
      <c r="F101" t="s">
        <v>207</v>
      </c>
      <c r="G101" t="s">
        <v>12</v>
      </c>
      <c r="H101" s="1">
        <v>42699</v>
      </c>
      <c r="I101" s="1">
        <v>42821</v>
      </c>
      <c r="J101">
        <v>49</v>
      </c>
    </row>
    <row r="102" spans="1:10" x14ac:dyDescent="0.3">
      <c r="A102" t="s">
        <v>208</v>
      </c>
      <c r="B102" t="s">
        <v>73</v>
      </c>
      <c r="C102" t="str">
        <f>_xlfn.XLOOKUP(B102,
[1]sales_teams!$A$2:$A$100,
[1]sales_teams!$B$2:$B$100)</f>
        <v>Cara Losch</v>
      </c>
      <c r="D102" t="str">
        <f>_xlfn.XLOOKUP($B102,sales_teams!$A$2:$A$36,sales_teams!C$2:C$36)</f>
        <v>East</v>
      </c>
      <c r="E102" t="s">
        <v>18</v>
      </c>
      <c r="F102" t="s">
        <v>209</v>
      </c>
      <c r="G102" t="s">
        <v>12</v>
      </c>
      <c r="H102" s="1">
        <v>42699</v>
      </c>
      <c r="I102" s="1">
        <v>42800</v>
      </c>
      <c r="J102">
        <v>65</v>
      </c>
    </row>
    <row r="103" spans="1:10" x14ac:dyDescent="0.3">
      <c r="A103" t="s">
        <v>210</v>
      </c>
      <c r="B103" t="s">
        <v>26</v>
      </c>
      <c r="C103" t="str">
        <f>_xlfn.XLOOKUP(B103,
[1]sales_teams!$A$2:$A$100,
[1]sales_teams!$B$2:$B$100)</f>
        <v>Dustin Brinkmann</v>
      </c>
      <c r="D103" t="str">
        <f>_xlfn.XLOOKUP($B103,sales_teams!$A$2:$A$36,sales_teams!C$2:C$36)</f>
        <v>Central</v>
      </c>
      <c r="E103" t="s">
        <v>18</v>
      </c>
      <c r="F103" t="s">
        <v>207</v>
      </c>
      <c r="G103" t="s">
        <v>46</v>
      </c>
      <c r="H103" s="1">
        <v>42700</v>
      </c>
      <c r="I103" s="1">
        <v>42821</v>
      </c>
      <c r="J103">
        <v>0</v>
      </c>
    </row>
    <row r="104" spans="1:10" x14ac:dyDescent="0.3">
      <c r="A104" t="s">
        <v>211</v>
      </c>
      <c r="B104" t="s">
        <v>14</v>
      </c>
      <c r="C104" t="str">
        <f>_xlfn.XLOOKUP(B104,
[1]sales_teams!$A$2:$A$100,
[1]sales_teams!$B$2:$B$100)</f>
        <v>Melvin Marxen</v>
      </c>
      <c r="D104" t="str">
        <f>_xlfn.XLOOKUP($B104,sales_teams!$A$2:$A$36,sales_teams!C$2:C$36)</f>
        <v>Central</v>
      </c>
      <c r="E104" t="s">
        <v>15</v>
      </c>
      <c r="F104" t="s">
        <v>129</v>
      </c>
      <c r="G104" t="s">
        <v>12</v>
      </c>
      <c r="H104" s="1">
        <v>42700</v>
      </c>
      <c r="I104" s="1">
        <v>42802</v>
      </c>
      <c r="J104">
        <v>4739</v>
      </c>
    </row>
    <row r="105" spans="1:10" x14ac:dyDescent="0.3">
      <c r="A105" t="s">
        <v>212</v>
      </c>
      <c r="B105" t="s">
        <v>35</v>
      </c>
      <c r="C105" t="str">
        <f>_xlfn.XLOOKUP(B105,
[1]sales_teams!$A$2:$A$100,
[1]sales_teams!$B$2:$B$100)</f>
        <v>Melvin Marxen</v>
      </c>
      <c r="D105" t="str">
        <f>_xlfn.XLOOKUP($B105,sales_teams!$A$2:$A$36,sales_teams!C$2:C$36)</f>
        <v>Central</v>
      </c>
      <c r="E105" t="s">
        <v>10</v>
      </c>
      <c r="F105" t="s">
        <v>213</v>
      </c>
      <c r="G105" t="s">
        <v>12</v>
      </c>
      <c r="H105" s="1">
        <v>42700</v>
      </c>
      <c r="I105" s="1">
        <v>42815</v>
      </c>
      <c r="J105">
        <v>1080</v>
      </c>
    </row>
    <row r="106" spans="1:10" x14ac:dyDescent="0.3">
      <c r="A106" t="s">
        <v>214</v>
      </c>
      <c r="B106" t="s">
        <v>97</v>
      </c>
      <c r="C106" t="str">
        <f>_xlfn.XLOOKUP(B106,
[1]sales_teams!$A$2:$A$100,
[1]sales_teams!$B$2:$B$100)</f>
        <v>Rocco Neubert</v>
      </c>
      <c r="D106" t="str">
        <f>_xlfn.XLOOKUP($B106,sales_teams!$A$2:$A$36,sales_teams!C$2:C$36)</f>
        <v>East</v>
      </c>
      <c r="E106" t="s">
        <v>18</v>
      </c>
      <c r="F106" t="s">
        <v>215</v>
      </c>
      <c r="G106" t="s">
        <v>12</v>
      </c>
      <c r="H106" s="1">
        <v>42700</v>
      </c>
      <c r="I106" s="1">
        <v>42806</v>
      </c>
      <c r="J106">
        <v>57</v>
      </c>
    </row>
    <row r="107" spans="1:10" x14ac:dyDescent="0.3">
      <c r="A107" t="s">
        <v>216</v>
      </c>
      <c r="B107" t="s">
        <v>105</v>
      </c>
      <c r="C107" t="str">
        <f>_xlfn.XLOOKUP(B107,
[1]sales_teams!$A$2:$A$100,
[1]sales_teams!$B$2:$B$100)</f>
        <v>Cara Losch</v>
      </c>
      <c r="D107" t="str">
        <f>_xlfn.XLOOKUP($B107,sales_teams!$A$2:$A$36,sales_teams!C$2:C$36)</f>
        <v>East</v>
      </c>
      <c r="E107" t="s">
        <v>20</v>
      </c>
      <c r="F107" t="s">
        <v>199</v>
      </c>
      <c r="G107" t="s">
        <v>12</v>
      </c>
      <c r="H107" s="1">
        <v>42701</v>
      </c>
      <c r="I107" s="1">
        <v>42810</v>
      </c>
      <c r="J107">
        <v>469</v>
      </c>
    </row>
    <row r="108" spans="1:10" x14ac:dyDescent="0.3">
      <c r="A108" t="s">
        <v>217</v>
      </c>
      <c r="B108" t="s">
        <v>95</v>
      </c>
      <c r="C108" t="str">
        <f>_xlfn.XLOOKUP(B108,
[1]sales_teams!$A$2:$A$100,
[1]sales_teams!$B$2:$B$100)</f>
        <v>Summer Sewald</v>
      </c>
      <c r="D108" t="str">
        <f>_xlfn.XLOOKUP($B108,sales_teams!$A$2:$A$36,sales_teams!C$2:C$36)</f>
        <v>West</v>
      </c>
      <c r="E108" t="s">
        <v>20</v>
      </c>
      <c r="F108" t="s">
        <v>218</v>
      </c>
      <c r="G108" t="s">
        <v>12</v>
      </c>
      <c r="H108" s="1">
        <v>42701</v>
      </c>
      <c r="I108" s="1">
        <v>42797</v>
      </c>
      <c r="J108">
        <v>532</v>
      </c>
    </row>
    <row r="109" spans="1:10" x14ac:dyDescent="0.3">
      <c r="A109" t="s">
        <v>219</v>
      </c>
      <c r="B109" t="s">
        <v>32</v>
      </c>
      <c r="C109" t="str">
        <f>_xlfn.XLOOKUP(B109,
[1]sales_teams!$A$2:$A$100,
[1]sales_teams!$B$2:$B$100)</f>
        <v>Celia Rouche</v>
      </c>
      <c r="D109" t="str">
        <f>_xlfn.XLOOKUP($B109,sales_teams!$A$2:$A$36,sales_teams!C$2:C$36)</f>
        <v>West</v>
      </c>
      <c r="E109" t="s">
        <v>39</v>
      </c>
      <c r="F109" t="s">
        <v>140</v>
      </c>
      <c r="G109" t="s">
        <v>40</v>
      </c>
      <c r="H109" s="1">
        <v>42701</v>
      </c>
    </row>
    <row r="110" spans="1:10" x14ac:dyDescent="0.3">
      <c r="A110" t="s">
        <v>220</v>
      </c>
      <c r="B110" t="s">
        <v>57</v>
      </c>
      <c r="C110" t="str">
        <f>_xlfn.XLOOKUP(B110,
[1]sales_teams!$A$2:$A$100,
[1]sales_teams!$B$2:$B$100)</f>
        <v>Celia Rouche</v>
      </c>
      <c r="D110" t="str">
        <f>_xlfn.XLOOKUP($B110,sales_teams!$A$2:$A$36,sales_teams!C$2:C$36)</f>
        <v>West</v>
      </c>
      <c r="E110" t="s">
        <v>20</v>
      </c>
      <c r="F110" t="s">
        <v>199</v>
      </c>
      <c r="G110" t="s">
        <v>12</v>
      </c>
      <c r="H110" s="1">
        <v>42701</v>
      </c>
      <c r="I110" s="1">
        <v>42820</v>
      </c>
      <c r="J110">
        <v>538</v>
      </c>
    </row>
    <row r="111" spans="1:10" x14ac:dyDescent="0.3">
      <c r="A111" t="s">
        <v>221</v>
      </c>
      <c r="B111" t="s">
        <v>88</v>
      </c>
      <c r="C111" t="str">
        <f>_xlfn.XLOOKUP(B111,
[1]sales_teams!$A$2:$A$100,
[1]sales_teams!$B$2:$B$100)</f>
        <v>Cara Losch</v>
      </c>
      <c r="D111" t="str">
        <f>_xlfn.XLOOKUP($B111,sales_teams!$A$2:$A$36,sales_teams!C$2:C$36)</f>
        <v>East</v>
      </c>
      <c r="E111" t="s">
        <v>15</v>
      </c>
      <c r="F111" t="s">
        <v>222</v>
      </c>
      <c r="G111" t="s">
        <v>12</v>
      </c>
      <c r="H111" s="1">
        <v>42701</v>
      </c>
      <c r="I111" s="1">
        <v>42815</v>
      </c>
      <c r="J111">
        <v>4829</v>
      </c>
    </row>
    <row r="112" spans="1:10" x14ac:dyDescent="0.3">
      <c r="A112" t="s">
        <v>223</v>
      </c>
      <c r="B112" t="s">
        <v>23</v>
      </c>
      <c r="C112" t="str">
        <f>_xlfn.XLOOKUP(B112,
[1]sales_teams!$A$2:$A$100,
[1]sales_teams!$B$2:$B$100)</f>
        <v>Summer Sewald</v>
      </c>
      <c r="D112" t="str">
        <f>_xlfn.XLOOKUP($B112,sales_teams!$A$2:$A$36,sales_teams!C$2:C$36)</f>
        <v>West</v>
      </c>
      <c r="E112" t="s">
        <v>48</v>
      </c>
      <c r="F112" t="s">
        <v>224</v>
      </c>
      <c r="G112" t="s">
        <v>12</v>
      </c>
      <c r="H112" s="1">
        <v>42701</v>
      </c>
      <c r="I112" s="1">
        <v>42805</v>
      </c>
      <c r="J112">
        <v>5370</v>
      </c>
    </row>
    <row r="113" spans="1:10" x14ac:dyDescent="0.3">
      <c r="A113" t="s">
        <v>225</v>
      </c>
      <c r="B113" t="s">
        <v>23</v>
      </c>
      <c r="C113" t="str">
        <f>_xlfn.XLOOKUP(B113,
[1]sales_teams!$A$2:$A$100,
[1]sales_teams!$B$2:$B$100)</f>
        <v>Summer Sewald</v>
      </c>
      <c r="D113" t="str">
        <f>_xlfn.XLOOKUP($B113,sales_teams!$A$2:$A$36,sales_teams!C$2:C$36)</f>
        <v>West</v>
      </c>
      <c r="E113" t="s">
        <v>48</v>
      </c>
      <c r="F113" t="s">
        <v>24</v>
      </c>
      <c r="G113" t="s">
        <v>12</v>
      </c>
      <c r="H113" s="1">
        <v>42701</v>
      </c>
      <c r="I113" s="1">
        <v>42815</v>
      </c>
      <c r="J113">
        <v>6499</v>
      </c>
    </row>
    <row r="114" spans="1:10" x14ac:dyDescent="0.3">
      <c r="A114" t="s">
        <v>226</v>
      </c>
      <c r="B114" t="s">
        <v>14</v>
      </c>
      <c r="C114" t="str">
        <f>_xlfn.XLOOKUP(B114,
[1]sales_teams!$A$2:$A$100,
[1]sales_teams!$B$2:$B$100)</f>
        <v>Melvin Marxen</v>
      </c>
      <c r="D114" t="str">
        <f>_xlfn.XLOOKUP($B114,sales_teams!$A$2:$A$36,sales_teams!C$2:C$36)</f>
        <v>Central</v>
      </c>
      <c r="E114" t="s">
        <v>10</v>
      </c>
      <c r="F114" t="s">
        <v>45</v>
      </c>
      <c r="G114" t="s">
        <v>12</v>
      </c>
      <c r="H114" s="1">
        <v>42702</v>
      </c>
      <c r="I114" s="1">
        <v>42800</v>
      </c>
      <c r="J114">
        <v>1161</v>
      </c>
    </row>
    <row r="115" spans="1:10" x14ac:dyDescent="0.3">
      <c r="A115" t="s">
        <v>227</v>
      </c>
      <c r="B115" t="s">
        <v>95</v>
      </c>
      <c r="C115" t="str">
        <f>_xlfn.XLOOKUP(B115,
[1]sales_teams!$A$2:$A$100,
[1]sales_teams!$B$2:$B$100)</f>
        <v>Summer Sewald</v>
      </c>
      <c r="D115" t="str">
        <f>_xlfn.XLOOKUP($B115,sales_teams!$A$2:$A$36,sales_teams!C$2:C$36)</f>
        <v>West</v>
      </c>
      <c r="E115" t="s">
        <v>20</v>
      </c>
      <c r="F115" t="s">
        <v>59</v>
      </c>
      <c r="G115" t="s">
        <v>12</v>
      </c>
      <c r="H115" s="1">
        <v>42702</v>
      </c>
      <c r="I115" s="1">
        <v>42820</v>
      </c>
      <c r="J115">
        <v>576</v>
      </c>
    </row>
    <row r="116" spans="1:10" x14ac:dyDescent="0.3">
      <c r="A116" t="s">
        <v>228</v>
      </c>
      <c r="B116" t="s">
        <v>51</v>
      </c>
      <c r="C116" t="str">
        <f>_xlfn.XLOOKUP(B116,
[1]sales_teams!$A$2:$A$100,
[1]sales_teams!$B$2:$B$100)</f>
        <v>Summer Sewald</v>
      </c>
      <c r="D116" t="str">
        <f>_xlfn.XLOOKUP($B116,sales_teams!$A$2:$A$36,sales_teams!C$2:C$36)</f>
        <v>West</v>
      </c>
      <c r="E116" t="s">
        <v>10</v>
      </c>
      <c r="F116" t="s">
        <v>24</v>
      </c>
      <c r="G116" t="s">
        <v>12</v>
      </c>
      <c r="H116" s="1">
        <v>42702</v>
      </c>
      <c r="I116" s="1">
        <v>42813</v>
      </c>
      <c r="J116">
        <v>979</v>
      </c>
    </row>
    <row r="117" spans="1:10" x14ac:dyDescent="0.3">
      <c r="A117" t="s">
        <v>229</v>
      </c>
      <c r="B117" t="s">
        <v>61</v>
      </c>
      <c r="C117" t="str">
        <f>_xlfn.XLOOKUP(B117,
[1]sales_teams!$A$2:$A$100,
[1]sales_teams!$B$2:$B$100)</f>
        <v>Dustin Brinkmann</v>
      </c>
      <c r="D117" t="str">
        <f>_xlfn.XLOOKUP($B117,sales_teams!$A$2:$A$36,sales_teams!C$2:C$36)</f>
        <v>Central</v>
      </c>
      <c r="E117" t="s">
        <v>18</v>
      </c>
      <c r="F117" t="s">
        <v>111</v>
      </c>
      <c r="G117" t="s">
        <v>12</v>
      </c>
      <c r="H117" s="1">
        <v>42702</v>
      </c>
      <c r="I117" s="1">
        <v>42801</v>
      </c>
      <c r="J117">
        <v>43</v>
      </c>
    </row>
    <row r="118" spans="1:10" x14ac:dyDescent="0.3">
      <c r="A118" t="s">
        <v>230</v>
      </c>
      <c r="B118" t="s">
        <v>44</v>
      </c>
      <c r="C118" t="str">
        <f>_xlfn.XLOOKUP(B118,
[1]sales_teams!$A$2:$A$100,
[1]sales_teams!$B$2:$B$100)</f>
        <v>Melvin Marxen</v>
      </c>
      <c r="D118" t="str">
        <f>_xlfn.XLOOKUP($B118,sales_teams!$A$2:$A$36,sales_teams!C$2:C$36)</f>
        <v>Central</v>
      </c>
      <c r="E118" t="s">
        <v>18</v>
      </c>
      <c r="F118" t="s">
        <v>231</v>
      </c>
      <c r="G118" t="s">
        <v>12</v>
      </c>
      <c r="H118" s="1">
        <v>42703</v>
      </c>
      <c r="I118" s="1">
        <v>42801</v>
      </c>
      <c r="J118">
        <v>57</v>
      </c>
    </row>
    <row r="119" spans="1:10" x14ac:dyDescent="0.3">
      <c r="A119" t="s">
        <v>232</v>
      </c>
      <c r="B119" t="s">
        <v>133</v>
      </c>
      <c r="C119" t="str">
        <f>_xlfn.XLOOKUP(B119,
[1]sales_teams!$A$2:$A$100,
[1]sales_teams!$B$2:$B$100)</f>
        <v>Dustin Brinkmann</v>
      </c>
      <c r="D119" t="str">
        <f>_xlfn.XLOOKUP($B119,sales_teams!$A$2:$A$36,sales_teams!C$2:C$36)</f>
        <v>Central</v>
      </c>
      <c r="E119" t="s">
        <v>18</v>
      </c>
      <c r="F119" t="s">
        <v>27</v>
      </c>
      <c r="G119" t="s">
        <v>46</v>
      </c>
      <c r="H119" s="1">
        <v>42703</v>
      </c>
      <c r="I119" s="1">
        <v>42822</v>
      </c>
      <c r="J119">
        <v>0</v>
      </c>
    </row>
    <row r="120" spans="1:10" x14ac:dyDescent="0.3">
      <c r="A120" t="s">
        <v>233</v>
      </c>
      <c r="B120" t="s">
        <v>133</v>
      </c>
      <c r="C120" t="str">
        <f>_xlfn.XLOOKUP(B120,
[1]sales_teams!$A$2:$A$100,
[1]sales_teams!$B$2:$B$100)</f>
        <v>Dustin Brinkmann</v>
      </c>
      <c r="D120" t="str">
        <f>_xlfn.XLOOKUP($B120,sales_teams!$A$2:$A$36,sales_teams!C$2:C$36)</f>
        <v>Central</v>
      </c>
      <c r="E120" t="s">
        <v>10</v>
      </c>
      <c r="F120" t="s">
        <v>135</v>
      </c>
      <c r="G120" t="s">
        <v>12</v>
      </c>
      <c r="H120" s="1">
        <v>42703</v>
      </c>
      <c r="I120" s="1">
        <v>42806</v>
      </c>
      <c r="J120">
        <v>948</v>
      </c>
    </row>
    <row r="121" spans="1:10" x14ac:dyDescent="0.3">
      <c r="A121" t="s">
        <v>234</v>
      </c>
      <c r="B121" t="s">
        <v>102</v>
      </c>
      <c r="C121" t="str">
        <f>_xlfn.XLOOKUP(B121,
[1]sales_teams!$A$2:$A$100,
[1]sales_teams!$B$2:$B$100)</f>
        <v>Cara Losch</v>
      </c>
      <c r="D121" t="str">
        <f>_xlfn.XLOOKUP($B121,sales_teams!$A$2:$A$36,sales_teams!C$2:C$36)</f>
        <v>East</v>
      </c>
      <c r="E121" t="s">
        <v>39</v>
      </c>
      <c r="F121" t="s">
        <v>215</v>
      </c>
      <c r="G121" t="s">
        <v>12</v>
      </c>
      <c r="H121" s="1">
        <v>42703</v>
      </c>
      <c r="I121" s="1">
        <v>42804</v>
      </c>
      <c r="J121">
        <v>3012</v>
      </c>
    </row>
    <row r="122" spans="1:10" x14ac:dyDescent="0.3">
      <c r="A122" t="s">
        <v>235</v>
      </c>
      <c r="B122" t="s">
        <v>118</v>
      </c>
      <c r="C122" t="str">
        <f>_xlfn.XLOOKUP(B122,
[1]sales_teams!$A$2:$A$100,
[1]sales_teams!$B$2:$B$100)</f>
        <v>Rocco Neubert</v>
      </c>
      <c r="D122" t="str">
        <f>_xlfn.XLOOKUP($B122,sales_teams!$A$2:$A$36,sales_teams!C$2:C$36)</f>
        <v>East</v>
      </c>
      <c r="E122" t="s">
        <v>39</v>
      </c>
      <c r="F122" t="s">
        <v>89</v>
      </c>
      <c r="G122" t="s">
        <v>12</v>
      </c>
      <c r="H122" s="1">
        <v>42704</v>
      </c>
      <c r="I122" s="1">
        <v>42809</v>
      </c>
      <c r="J122">
        <v>3665</v>
      </c>
    </row>
    <row r="123" spans="1:10" x14ac:dyDescent="0.3">
      <c r="A123" t="s">
        <v>236</v>
      </c>
      <c r="B123" t="s">
        <v>73</v>
      </c>
      <c r="C123" t="str">
        <f>_xlfn.XLOOKUP(B123,
[1]sales_teams!$A$2:$A$100,
[1]sales_teams!$B$2:$B$100)</f>
        <v>Cara Losch</v>
      </c>
      <c r="D123" t="str">
        <f>_xlfn.XLOOKUP($B123,sales_teams!$A$2:$A$36,sales_teams!C$2:C$36)</f>
        <v>East</v>
      </c>
      <c r="E123" t="s">
        <v>20</v>
      </c>
      <c r="F123" t="s">
        <v>237</v>
      </c>
      <c r="G123" t="s">
        <v>12</v>
      </c>
      <c r="H123" s="1">
        <v>42704</v>
      </c>
      <c r="I123" s="1">
        <v>42818</v>
      </c>
      <c r="J123">
        <v>564</v>
      </c>
    </row>
    <row r="124" spans="1:10" x14ac:dyDescent="0.3">
      <c r="A124" t="s">
        <v>238</v>
      </c>
      <c r="B124" t="s">
        <v>26</v>
      </c>
      <c r="C124" t="str">
        <f>_xlfn.XLOOKUP(B124,
[1]sales_teams!$A$2:$A$100,
[1]sales_teams!$B$2:$B$100)</f>
        <v>Dustin Brinkmann</v>
      </c>
      <c r="D124" t="str">
        <f>_xlfn.XLOOKUP($B124,sales_teams!$A$2:$A$36,sales_teams!C$2:C$36)</f>
        <v>Central</v>
      </c>
      <c r="E124" t="s">
        <v>10</v>
      </c>
      <c r="F124" t="s">
        <v>91</v>
      </c>
      <c r="G124" t="s">
        <v>46</v>
      </c>
      <c r="H124" s="1">
        <v>42705</v>
      </c>
      <c r="I124" s="1">
        <v>42800</v>
      </c>
      <c r="J124">
        <v>0</v>
      </c>
    </row>
    <row r="125" spans="1:10" x14ac:dyDescent="0.3">
      <c r="A125" t="s">
        <v>239</v>
      </c>
      <c r="B125" t="s">
        <v>118</v>
      </c>
      <c r="C125" t="str">
        <f>_xlfn.XLOOKUP(B125,
[1]sales_teams!$A$2:$A$100,
[1]sales_teams!$B$2:$B$100)</f>
        <v>Rocco Neubert</v>
      </c>
      <c r="D125" t="str">
        <f>_xlfn.XLOOKUP($B125,sales_teams!$A$2:$A$36,sales_teams!C$2:C$36)</f>
        <v>East</v>
      </c>
      <c r="E125" t="s">
        <v>39</v>
      </c>
      <c r="F125" t="s">
        <v>240</v>
      </c>
      <c r="G125" t="s">
        <v>12</v>
      </c>
      <c r="H125" s="1">
        <v>42705</v>
      </c>
      <c r="I125" s="1">
        <v>42816</v>
      </c>
      <c r="J125">
        <v>3463</v>
      </c>
    </row>
    <row r="126" spans="1:10" x14ac:dyDescent="0.3">
      <c r="A126" t="s">
        <v>241</v>
      </c>
      <c r="B126" t="s">
        <v>164</v>
      </c>
      <c r="C126" t="str">
        <f>_xlfn.XLOOKUP(B126,
[1]sales_teams!$A$2:$A$100,
[1]sales_teams!$B$2:$B$100)</f>
        <v>Cara Losch</v>
      </c>
      <c r="D126" t="str">
        <f>_xlfn.XLOOKUP($B126,sales_teams!$A$2:$A$36,sales_teams!C$2:C$36)</f>
        <v>East</v>
      </c>
      <c r="E126" t="s">
        <v>20</v>
      </c>
      <c r="F126" t="s">
        <v>237</v>
      </c>
      <c r="G126" t="s">
        <v>12</v>
      </c>
      <c r="H126" s="1">
        <v>42705</v>
      </c>
      <c r="I126" s="1">
        <v>42820</v>
      </c>
      <c r="J126">
        <v>513</v>
      </c>
    </row>
    <row r="127" spans="1:10" x14ac:dyDescent="0.3">
      <c r="A127" t="s">
        <v>242</v>
      </c>
      <c r="B127" t="s">
        <v>164</v>
      </c>
      <c r="C127" t="str">
        <f>_xlfn.XLOOKUP(B127,
[1]sales_teams!$A$2:$A$100,
[1]sales_teams!$B$2:$B$100)</f>
        <v>Cara Losch</v>
      </c>
      <c r="D127" t="str">
        <f>_xlfn.XLOOKUP($B127,sales_teams!$A$2:$A$36,sales_teams!C$2:C$36)</f>
        <v>East</v>
      </c>
      <c r="E127" t="s">
        <v>20</v>
      </c>
      <c r="F127" t="s">
        <v>199</v>
      </c>
      <c r="G127" t="s">
        <v>12</v>
      </c>
      <c r="H127" s="1">
        <v>42705</v>
      </c>
      <c r="I127" s="1">
        <v>42822</v>
      </c>
      <c r="J127">
        <v>590</v>
      </c>
    </row>
    <row r="128" spans="1:10" x14ac:dyDescent="0.3">
      <c r="A128" t="s">
        <v>243</v>
      </c>
      <c r="B128" t="s">
        <v>14</v>
      </c>
      <c r="C128" t="str">
        <f>_xlfn.XLOOKUP(B128,
[1]sales_teams!$A$2:$A$100,
[1]sales_teams!$B$2:$B$100)</f>
        <v>Melvin Marxen</v>
      </c>
      <c r="D128" t="str">
        <f>_xlfn.XLOOKUP($B128,sales_teams!$A$2:$A$36,sales_teams!C$2:C$36)</f>
        <v>Central</v>
      </c>
      <c r="E128" t="s">
        <v>15</v>
      </c>
      <c r="F128" t="s">
        <v>197</v>
      </c>
      <c r="G128" t="s">
        <v>12</v>
      </c>
      <c r="H128" s="1">
        <v>42705</v>
      </c>
      <c r="I128" s="1">
        <v>42824</v>
      </c>
      <c r="J128">
        <v>4511</v>
      </c>
    </row>
    <row r="129" spans="1:10" x14ac:dyDescent="0.3">
      <c r="A129" t="s">
        <v>244</v>
      </c>
      <c r="B129" t="s">
        <v>133</v>
      </c>
      <c r="C129" t="str">
        <f>_xlfn.XLOOKUP(B129,
[1]sales_teams!$A$2:$A$100,
[1]sales_teams!$B$2:$B$100)</f>
        <v>Dustin Brinkmann</v>
      </c>
      <c r="D129" t="str">
        <f>_xlfn.XLOOKUP($B129,sales_teams!$A$2:$A$36,sales_teams!C$2:C$36)</f>
        <v>Central</v>
      </c>
      <c r="E129" t="s">
        <v>39</v>
      </c>
      <c r="F129" t="s">
        <v>129</v>
      </c>
      <c r="G129" t="s">
        <v>46</v>
      </c>
      <c r="H129" s="1">
        <v>42705</v>
      </c>
      <c r="I129" s="1">
        <v>42796</v>
      </c>
      <c r="J129">
        <v>0</v>
      </c>
    </row>
    <row r="130" spans="1:10" x14ac:dyDescent="0.3">
      <c r="A130" t="s">
        <v>245</v>
      </c>
      <c r="B130" t="s">
        <v>35</v>
      </c>
      <c r="C130" t="str">
        <f>_xlfn.XLOOKUP(B130,
[1]sales_teams!$A$2:$A$100,
[1]sales_teams!$B$2:$B$100)</f>
        <v>Melvin Marxen</v>
      </c>
      <c r="D130" t="str">
        <f>_xlfn.XLOOKUP($B130,sales_teams!$A$2:$A$36,sales_teams!C$2:C$36)</f>
        <v>Central</v>
      </c>
      <c r="E130" t="s">
        <v>20</v>
      </c>
      <c r="F130" t="s">
        <v>11</v>
      </c>
      <c r="G130" t="s">
        <v>12</v>
      </c>
      <c r="H130" s="1">
        <v>42705</v>
      </c>
      <c r="I130" s="1">
        <v>42820</v>
      </c>
      <c r="J130">
        <v>546</v>
      </c>
    </row>
    <row r="131" spans="1:10" x14ac:dyDescent="0.3">
      <c r="A131" t="s">
        <v>246</v>
      </c>
      <c r="B131" t="s">
        <v>29</v>
      </c>
      <c r="C131" t="str">
        <f>_xlfn.XLOOKUP(B131,
[1]sales_teams!$A$2:$A$100,
[1]sales_teams!$B$2:$B$100)</f>
        <v>Celia Rouche</v>
      </c>
      <c r="D131" t="str">
        <f>_xlfn.XLOOKUP($B131,sales_teams!$A$2:$A$36,sales_teams!C$2:C$36)</f>
        <v>West</v>
      </c>
      <c r="E131" t="s">
        <v>18</v>
      </c>
      <c r="F131" t="s">
        <v>159</v>
      </c>
      <c r="G131" t="s">
        <v>12</v>
      </c>
      <c r="H131" s="1">
        <v>42705</v>
      </c>
      <c r="I131" s="1">
        <v>42799</v>
      </c>
      <c r="J131">
        <v>46</v>
      </c>
    </row>
    <row r="132" spans="1:10" x14ac:dyDescent="0.3">
      <c r="A132" t="s">
        <v>247</v>
      </c>
      <c r="B132" t="s">
        <v>14</v>
      </c>
      <c r="C132" t="str">
        <f>_xlfn.XLOOKUP(B132,
[1]sales_teams!$A$2:$A$100,
[1]sales_teams!$B$2:$B$100)</f>
        <v>Melvin Marxen</v>
      </c>
      <c r="D132" t="str">
        <f>_xlfn.XLOOKUP($B132,sales_teams!$A$2:$A$36,sales_teams!C$2:C$36)</f>
        <v>Central</v>
      </c>
      <c r="E132" t="s">
        <v>15</v>
      </c>
      <c r="F132" t="s">
        <v>27</v>
      </c>
      <c r="G132" t="s">
        <v>12</v>
      </c>
      <c r="H132" s="1">
        <v>42706</v>
      </c>
      <c r="I132" s="1">
        <v>42803</v>
      </c>
      <c r="J132">
        <v>4891</v>
      </c>
    </row>
    <row r="133" spans="1:10" x14ac:dyDescent="0.3">
      <c r="A133" t="s">
        <v>248</v>
      </c>
      <c r="B133" t="s">
        <v>54</v>
      </c>
      <c r="C133" t="str">
        <f>_xlfn.XLOOKUP(B133,
[1]sales_teams!$A$2:$A$100,
[1]sales_teams!$B$2:$B$100)</f>
        <v>Celia Rouche</v>
      </c>
      <c r="D133" t="str">
        <f>_xlfn.XLOOKUP($B133,sales_teams!$A$2:$A$36,sales_teams!C$2:C$36)</f>
        <v>West</v>
      </c>
      <c r="E133" t="s">
        <v>10</v>
      </c>
      <c r="F133" t="s">
        <v>122</v>
      </c>
      <c r="G133" t="s">
        <v>12</v>
      </c>
      <c r="H133" s="1">
        <v>42706</v>
      </c>
      <c r="I133" s="1">
        <v>42797</v>
      </c>
      <c r="J133">
        <v>1040</v>
      </c>
    </row>
    <row r="134" spans="1:10" x14ac:dyDescent="0.3">
      <c r="A134" t="s">
        <v>249</v>
      </c>
      <c r="B134" t="s">
        <v>54</v>
      </c>
      <c r="C134" t="str">
        <f>_xlfn.XLOOKUP(B134,
[1]sales_teams!$A$2:$A$100,
[1]sales_teams!$B$2:$B$100)</f>
        <v>Celia Rouche</v>
      </c>
      <c r="D134" t="str">
        <f>_xlfn.XLOOKUP($B134,sales_teams!$A$2:$A$36,sales_teams!C$2:C$36)</f>
        <v>West</v>
      </c>
      <c r="E134" t="s">
        <v>10</v>
      </c>
      <c r="F134" t="s">
        <v>52</v>
      </c>
      <c r="G134" t="s">
        <v>12</v>
      </c>
      <c r="H134" s="1">
        <v>42706</v>
      </c>
      <c r="I134" s="1">
        <v>42798</v>
      </c>
      <c r="J134">
        <v>1108</v>
      </c>
    </row>
    <row r="135" spans="1:10" x14ac:dyDescent="0.3">
      <c r="A135" t="s">
        <v>250</v>
      </c>
      <c r="B135" t="s">
        <v>54</v>
      </c>
      <c r="C135" t="str">
        <f>_xlfn.XLOOKUP(B135,
[1]sales_teams!$A$2:$A$100,
[1]sales_teams!$B$2:$B$100)</f>
        <v>Celia Rouche</v>
      </c>
      <c r="D135" t="str">
        <f>_xlfn.XLOOKUP($B135,sales_teams!$A$2:$A$36,sales_teams!C$2:C$36)</f>
        <v>West</v>
      </c>
      <c r="E135" t="s">
        <v>18</v>
      </c>
      <c r="F135" t="s">
        <v>157</v>
      </c>
      <c r="G135" t="s">
        <v>12</v>
      </c>
      <c r="H135" s="1">
        <v>42706</v>
      </c>
      <c r="I135" s="1">
        <v>42798</v>
      </c>
      <c r="J135">
        <v>59</v>
      </c>
    </row>
    <row r="136" spans="1:10" x14ac:dyDescent="0.3">
      <c r="A136" t="s">
        <v>251</v>
      </c>
      <c r="B136" t="s">
        <v>252</v>
      </c>
      <c r="C136" t="str">
        <f>_xlfn.XLOOKUP(B136,
[1]sales_teams!$A$2:$A$100,
[1]sales_teams!$B$2:$B$100)</f>
        <v>Melvin Marxen</v>
      </c>
      <c r="D136" t="str">
        <f>_xlfn.XLOOKUP($B136,sales_teams!$A$2:$A$36,sales_teams!C$2:C$36)</f>
        <v>Central</v>
      </c>
      <c r="E136" t="s">
        <v>15</v>
      </c>
      <c r="F136" t="s">
        <v>187</v>
      </c>
      <c r="G136" t="s">
        <v>12</v>
      </c>
      <c r="H136" s="1">
        <v>42706</v>
      </c>
      <c r="I136" s="1">
        <v>42824</v>
      </c>
      <c r="J136">
        <v>5406</v>
      </c>
    </row>
    <row r="137" spans="1:10" x14ac:dyDescent="0.3">
      <c r="A137" t="s">
        <v>253</v>
      </c>
      <c r="B137" t="s">
        <v>95</v>
      </c>
      <c r="C137" t="str">
        <f>_xlfn.XLOOKUP(B137,
[1]sales_teams!$A$2:$A$100,
[1]sales_teams!$B$2:$B$100)</f>
        <v>Summer Sewald</v>
      </c>
      <c r="D137" t="str">
        <f>_xlfn.XLOOKUP($B137,sales_teams!$A$2:$A$36,sales_teams!C$2:C$36)</f>
        <v>West</v>
      </c>
      <c r="E137" t="s">
        <v>20</v>
      </c>
      <c r="F137" t="s">
        <v>33</v>
      </c>
      <c r="G137" t="s">
        <v>12</v>
      </c>
      <c r="H137" s="1">
        <v>42706</v>
      </c>
      <c r="I137" s="1">
        <v>42814</v>
      </c>
      <c r="J137">
        <v>515</v>
      </c>
    </row>
    <row r="138" spans="1:10" x14ac:dyDescent="0.3">
      <c r="A138" t="s">
        <v>254</v>
      </c>
      <c r="B138" t="s">
        <v>9</v>
      </c>
      <c r="C138" t="str">
        <f>_xlfn.XLOOKUP(B138,
[1]sales_teams!$A$2:$A$100,
[1]sales_teams!$B$2:$B$100)</f>
        <v>Dustin Brinkmann</v>
      </c>
      <c r="D138" t="str">
        <f>_xlfn.XLOOKUP($B138,sales_teams!$A$2:$A$36,sales_teams!C$2:C$36)</f>
        <v>Central</v>
      </c>
      <c r="E138" t="s">
        <v>20</v>
      </c>
      <c r="F138" t="s">
        <v>62</v>
      </c>
      <c r="G138" t="s">
        <v>12</v>
      </c>
      <c r="H138" s="1">
        <v>42706</v>
      </c>
      <c r="I138" s="1">
        <v>42800</v>
      </c>
      <c r="J138">
        <v>583</v>
      </c>
    </row>
    <row r="139" spans="1:10" x14ac:dyDescent="0.3">
      <c r="A139" t="s">
        <v>255</v>
      </c>
      <c r="B139" t="s">
        <v>61</v>
      </c>
      <c r="C139" t="str">
        <f>_xlfn.XLOOKUP(B139,
[1]sales_teams!$A$2:$A$100,
[1]sales_teams!$B$2:$B$100)</f>
        <v>Dustin Brinkmann</v>
      </c>
      <c r="D139" t="str">
        <f>_xlfn.XLOOKUP($B139,sales_teams!$A$2:$A$36,sales_teams!C$2:C$36)</f>
        <v>Central</v>
      </c>
      <c r="E139" t="s">
        <v>18</v>
      </c>
      <c r="F139" t="s">
        <v>135</v>
      </c>
      <c r="G139" t="s">
        <v>12</v>
      </c>
      <c r="H139" s="1">
        <v>42706</v>
      </c>
      <c r="I139" s="1">
        <v>42808</v>
      </c>
      <c r="J139">
        <v>54</v>
      </c>
    </row>
    <row r="140" spans="1:10" x14ac:dyDescent="0.3">
      <c r="A140" t="s">
        <v>256</v>
      </c>
      <c r="B140" t="s">
        <v>29</v>
      </c>
      <c r="C140" t="str">
        <f>_xlfn.XLOOKUP(B140,
[1]sales_teams!$A$2:$A$100,
[1]sales_teams!$B$2:$B$100)</f>
        <v>Celia Rouche</v>
      </c>
      <c r="D140" t="str">
        <f>_xlfn.XLOOKUP($B140,sales_teams!$A$2:$A$36,sales_teams!C$2:C$36)</f>
        <v>West</v>
      </c>
      <c r="E140" t="s">
        <v>18</v>
      </c>
      <c r="F140" t="s">
        <v>168</v>
      </c>
      <c r="G140" t="s">
        <v>12</v>
      </c>
      <c r="H140" s="1">
        <v>42706</v>
      </c>
      <c r="I140" s="1">
        <v>42821</v>
      </c>
      <c r="J140">
        <v>60</v>
      </c>
    </row>
    <row r="141" spans="1:10" x14ac:dyDescent="0.3">
      <c r="A141" t="s">
        <v>257</v>
      </c>
      <c r="B141" t="s">
        <v>23</v>
      </c>
      <c r="C141" t="str">
        <f>_xlfn.XLOOKUP(B141,
[1]sales_teams!$A$2:$A$100,
[1]sales_teams!$B$2:$B$100)</f>
        <v>Summer Sewald</v>
      </c>
      <c r="D141" t="str">
        <f>_xlfn.XLOOKUP($B141,sales_teams!$A$2:$A$36,sales_teams!C$2:C$36)</f>
        <v>West</v>
      </c>
      <c r="E141" t="s">
        <v>20</v>
      </c>
      <c r="G141" t="s">
        <v>40</v>
      </c>
      <c r="H141" s="1">
        <v>42706</v>
      </c>
    </row>
    <row r="142" spans="1:10" x14ac:dyDescent="0.3">
      <c r="A142" t="s">
        <v>258</v>
      </c>
      <c r="B142" t="s">
        <v>14</v>
      </c>
      <c r="C142" t="str">
        <f>_xlfn.XLOOKUP(B142,
[1]sales_teams!$A$2:$A$100,
[1]sales_teams!$B$2:$B$100)</f>
        <v>Melvin Marxen</v>
      </c>
      <c r="D142" t="str">
        <f>_xlfn.XLOOKUP($B142,sales_teams!$A$2:$A$36,sales_teams!C$2:C$36)</f>
        <v>Central</v>
      </c>
      <c r="E142" t="s">
        <v>20</v>
      </c>
      <c r="F142" t="s">
        <v>197</v>
      </c>
      <c r="G142" t="s">
        <v>46</v>
      </c>
      <c r="H142" s="1">
        <v>42707</v>
      </c>
      <c r="I142" s="1">
        <v>42806</v>
      </c>
      <c r="J142">
        <v>0</v>
      </c>
    </row>
    <row r="143" spans="1:10" x14ac:dyDescent="0.3">
      <c r="A143" t="s">
        <v>259</v>
      </c>
      <c r="B143" t="s">
        <v>14</v>
      </c>
      <c r="C143" t="str">
        <f>_xlfn.XLOOKUP(B143,
[1]sales_teams!$A$2:$A$100,
[1]sales_teams!$B$2:$B$100)</f>
        <v>Melvin Marxen</v>
      </c>
      <c r="D143" t="str">
        <f>_xlfn.XLOOKUP($B143,sales_teams!$A$2:$A$36,sales_teams!C$2:C$36)</f>
        <v>Central</v>
      </c>
      <c r="E143" t="s">
        <v>15</v>
      </c>
      <c r="F143" t="s">
        <v>135</v>
      </c>
      <c r="G143" t="s">
        <v>46</v>
      </c>
      <c r="H143" s="1">
        <v>42707</v>
      </c>
      <c r="I143" s="1">
        <v>42813</v>
      </c>
      <c r="J143">
        <v>0</v>
      </c>
    </row>
    <row r="144" spans="1:10" x14ac:dyDescent="0.3">
      <c r="A144" t="s">
        <v>260</v>
      </c>
      <c r="B144" t="s">
        <v>14</v>
      </c>
      <c r="C144" t="str">
        <f>_xlfn.XLOOKUP(B144,
[1]sales_teams!$A$2:$A$100,
[1]sales_teams!$B$2:$B$100)</f>
        <v>Melvin Marxen</v>
      </c>
      <c r="D144" t="str">
        <f>_xlfn.XLOOKUP($B144,sales_teams!$A$2:$A$36,sales_teams!C$2:C$36)</f>
        <v>Central</v>
      </c>
      <c r="E144" t="s">
        <v>20</v>
      </c>
      <c r="F144" t="s">
        <v>213</v>
      </c>
      <c r="G144" t="s">
        <v>12</v>
      </c>
      <c r="H144" s="1">
        <v>42707</v>
      </c>
      <c r="I144" s="1">
        <v>42817</v>
      </c>
      <c r="J144">
        <v>516</v>
      </c>
    </row>
    <row r="145" spans="1:10" x14ac:dyDescent="0.3">
      <c r="A145" t="s">
        <v>261</v>
      </c>
      <c r="B145" t="s">
        <v>14</v>
      </c>
      <c r="C145" t="str">
        <f>_xlfn.XLOOKUP(B145,
[1]sales_teams!$A$2:$A$100,
[1]sales_teams!$B$2:$B$100)</f>
        <v>Melvin Marxen</v>
      </c>
      <c r="D145" t="str">
        <f>_xlfn.XLOOKUP($B145,sales_teams!$A$2:$A$36,sales_teams!C$2:C$36)</f>
        <v>Central</v>
      </c>
      <c r="E145" t="s">
        <v>15</v>
      </c>
      <c r="F145" t="s">
        <v>151</v>
      </c>
      <c r="G145" t="s">
        <v>12</v>
      </c>
      <c r="H145" s="1">
        <v>42707</v>
      </c>
      <c r="I145" s="1">
        <v>42816</v>
      </c>
      <c r="J145">
        <v>4829</v>
      </c>
    </row>
    <row r="146" spans="1:10" x14ac:dyDescent="0.3">
      <c r="A146" t="s">
        <v>262</v>
      </c>
      <c r="B146" t="s">
        <v>9</v>
      </c>
      <c r="C146" t="str">
        <f>_xlfn.XLOOKUP(B146,
[1]sales_teams!$A$2:$A$100,
[1]sales_teams!$B$2:$B$100)</f>
        <v>Dustin Brinkmann</v>
      </c>
      <c r="D146" t="str">
        <f>_xlfn.XLOOKUP($B146,sales_teams!$A$2:$A$36,sales_teams!C$2:C$36)</f>
        <v>Central</v>
      </c>
      <c r="E146" t="s">
        <v>10</v>
      </c>
      <c r="F146" t="s">
        <v>197</v>
      </c>
      <c r="G146" t="s">
        <v>46</v>
      </c>
      <c r="H146" s="1">
        <v>42707</v>
      </c>
      <c r="I146" s="1">
        <v>42811</v>
      </c>
      <c r="J146">
        <v>0</v>
      </c>
    </row>
    <row r="147" spans="1:10" x14ac:dyDescent="0.3">
      <c r="A147" t="s">
        <v>263</v>
      </c>
      <c r="B147" t="s">
        <v>97</v>
      </c>
      <c r="C147" t="str">
        <f>_xlfn.XLOOKUP(B147,
[1]sales_teams!$A$2:$A$100,
[1]sales_teams!$B$2:$B$100)</f>
        <v>Rocco Neubert</v>
      </c>
      <c r="D147" t="str">
        <f>_xlfn.XLOOKUP($B147,sales_teams!$A$2:$A$36,sales_teams!C$2:C$36)</f>
        <v>East</v>
      </c>
      <c r="E147" t="s">
        <v>10</v>
      </c>
      <c r="F147" t="s">
        <v>209</v>
      </c>
      <c r="G147" t="s">
        <v>12</v>
      </c>
      <c r="H147" s="1">
        <v>42707</v>
      </c>
      <c r="I147" s="1">
        <v>42796</v>
      </c>
      <c r="J147">
        <v>950</v>
      </c>
    </row>
    <row r="148" spans="1:10" x14ac:dyDescent="0.3">
      <c r="A148" t="s">
        <v>264</v>
      </c>
      <c r="B148" t="s">
        <v>29</v>
      </c>
      <c r="C148" t="str">
        <f>_xlfn.XLOOKUP(B148,
[1]sales_teams!$A$2:$A$100,
[1]sales_teams!$B$2:$B$100)</f>
        <v>Celia Rouche</v>
      </c>
      <c r="D148" t="str">
        <f>_xlfn.XLOOKUP($B148,sales_teams!$A$2:$A$36,sales_teams!C$2:C$36)</f>
        <v>West</v>
      </c>
      <c r="E148" t="s">
        <v>10</v>
      </c>
      <c r="F148" t="s">
        <v>93</v>
      </c>
      <c r="G148" t="s">
        <v>46</v>
      </c>
      <c r="H148" s="1">
        <v>42707</v>
      </c>
      <c r="I148" s="1">
        <v>42803</v>
      </c>
      <c r="J148">
        <v>0</v>
      </c>
    </row>
    <row r="149" spans="1:10" x14ac:dyDescent="0.3">
      <c r="A149" t="s">
        <v>265</v>
      </c>
      <c r="B149" t="s">
        <v>164</v>
      </c>
      <c r="C149" t="str">
        <f>_xlfn.XLOOKUP(B149,
[1]sales_teams!$A$2:$A$100,
[1]sales_teams!$B$2:$B$100)</f>
        <v>Cara Losch</v>
      </c>
      <c r="D149" t="str">
        <f>_xlfn.XLOOKUP($B149,sales_teams!$A$2:$A$36,sales_teams!C$2:C$36)</f>
        <v>East</v>
      </c>
      <c r="E149" t="s">
        <v>20</v>
      </c>
      <c r="F149" t="s">
        <v>240</v>
      </c>
      <c r="G149" t="s">
        <v>12</v>
      </c>
      <c r="H149" s="1">
        <v>42708</v>
      </c>
      <c r="I149" s="1">
        <v>42814</v>
      </c>
      <c r="J149">
        <v>513</v>
      </c>
    </row>
    <row r="150" spans="1:10" x14ac:dyDescent="0.3">
      <c r="A150" t="s">
        <v>266</v>
      </c>
      <c r="B150" t="s">
        <v>14</v>
      </c>
      <c r="C150" t="str">
        <f>_xlfn.XLOOKUP(B150,
[1]sales_teams!$A$2:$A$100,
[1]sales_teams!$B$2:$B$100)</f>
        <v>Melvin Marxen</v>
      </c>
      <c r="D150" t="str">
        <f>_xlfn.XLOOKUP($B150,sales_teams!$A$2:$A$36,sales_teams!C$2:C$36)</f>
        <v>Central</v>
      </c>
      <c r="E150" t="s">
        <v>15</v>
      </c>
      <c r="F150" t="s">
        <v>218</v>
      </c>
      <c r="G150" t="s">
        <v>46</v>
      </c>
      <c r="H150" s="1">
        <v>42708</v>
      </c>
      <c r="I150" s="1">
        <v>42803</v>
      </c>
      <c r="J150">
        <v>0</v>
      </c>
    </row>
    <row r="151" spans="1:10" x14ac:dyDescent="0.3">
      <c r="A151" t="s">
        <v>267</v>
      </c>
      <c r="B151" t="s">
        <v>14</v>
      </c>
      <c r="C151" t="str">
        <f>_xlfn.XLOOKUP(B151,
[1]sales_teams!$A$2:$A$100,
[1]sales_teams!$B$2:$B$100)</f>
        <v>Melvin Marxen</v>
      </c>
      <c r="D151" t="str">
        <f>_xlfn.XLOOKUP($B151,sales_teams!$A$2:$A$36,sales_teams!C$2:C$36)</f>
        <v>Central</v>
      </c>
      <c r="E151" t="s">
        <v>48</v>
      </c>
      <c r="F151" t="s">
        <v>27</v>
      </c>
      <c r="G151" t="s">
        <v>12</v>
      </c>
      <c r="H151" s="1">
        <v>42708</v>
      </c>
      <c r="I151" s="1">
        <v>42806</v>
      </c>
      <c r="J151">
        <v>5522</v>
      </c>
    </row>
    <row r="152" spans="1:10" x14ac:dyDescent="0.3">
      <c r="A152" t="s">
        <v>268</v>
      </c>
      <c r="B152" t="s">
        <v>44</v>
      </c>
      <c r="C152" t="str">
        <f>_xlfn.XLOOKUP(B152,
[1]sales_teams!$A$2:$A$100,
[1]sales_teams!$B$2:$B$100)</f>
        <v>Melvin Marxen</v>
      </c>
      <c r="D152" t="str">
        <f>_xlfn.XLOOKUP($B152,sales_teams!$A$2:$A$36,sales_teams!C$2:C$36)</f>
        <v>Central</v>
      </c>
      <c r="E152" t="s">
        <v>18</v>
      </c>
      <c r="F152" t="s">
        <v>11</v>
      </c>
      <c r="G152" t="s">
        <v>12</v>
      </c>
      <c r="H152" s="1">
        <v>42708</v>
      </c>
      <c r="I152" s="1">
        <v>42803</v>
      </c>
      <c r="J152">
        <v>56</v>
      </c>
    </row>
    <row r="153" spans="1:10" x14ac:dyDescent="0.3">
      <c r="A153" t="s">
        <v>269</v>
      </c>
      <c r="B153" t="s">
        <v>38</v>
      </c>
      <c r="C153" t="str">
        <f>_xlfn.XLOOKUP(B153,
[1]sales_teams!$A$2:$A$100,
[1]sales_teams!$B$2:$B$100)</f>
        <v>Summer Sewald</v>
      </c>
      <c r="D153" t="str">
        <f>_xlfn.XLOOKUP($B153,sales_teams!$A$2:$A$36,sales_teams!C$2:C$36)</f>
        <v>West</v>
      </c>
      <c r="E153" t="s">
        <v>15</v>
      </c>
      <c r="F153" t="s">
        <v>224</v>
      </c>
      <c r="G153" t="s">
        <v>12</v>
      </c>
      <c r="H153" s="1">
        <v>42708</v>
      </c>
      <c r="I153" s="1">
        <v>42802</v>
      </c>
      <c r="J153">
        <v>5673</v>
      </c>
    </row>
    <row r="154" spans="1:10" x14ac:dyDescent="0.3">
      <c r="A154" t="s">
        <v>270</v>
      </c>
      <c r="B154" t="s">
        <v>78</v>
      </c>
      <c r="C154" t="str">
        <f>_xlfn.XLOOKUP(B154,
[1]sales_teams!$A$2:$A$100,
[1]sales_teams!$B$2:$B$100)</f>
        <v>Summer Sewald</v>
      </c>
      <c r="D154" t="str">
        <f>_xlfn.XLOOKUP($B154,sales_teams!$A$2:$A$36,sales_teams!C$2:C$36)</f>
        <v>West</v>
      </c>
      <c r="E154" t="s">
        <v>20</v>
      </c>
      <c r="F154" t="s">
        <v>93</v>
      </c>
      <c r="G154" t="s">
        <v>12</v>
      </c>
      <c r="H154" s="1">
        <v>42708</v>
      </c>
      <c r="I154" s="1">
        <v>42804</v>
      </c>
      <c r="J154">
        <v>598</v>
      </c>
    </row>
    <row r="155" spans="1:10" x14ac:dyDescent="0.3">
      <c r="A155" t="s">
        <v>271</v>
      </c>
      <c r="B155" t="s">
        <v>116</v>
      </c>
      <c r="C155" t="str">
        <f>_xlfn.XLOOKUP(B155,
[1]sales_teams!$A$2:$A$100,
[1]sales_teams!$B$2:$B$100)</f>
        <v>Melvin Marxen</v>
      </c>
      <c r="D155" t="str">
        <f>_xlfn.XLOOKUP($B155,sales_teams!$A$2:$A$36,sales_teams!C$2:C$36)</f>
        <v>Central</v>
      </c>
      <c r="E155" t="s">
        <v>48</v>
      </c>
      <c r="F155" t="s">
        <v>151</v>
      </c>
      <c r="G155" t="s">
        <v>12</v>
      </c>
      <c r="H155" s="1">
        <v>42708</v>
      </c>
      <c r="I155" s="1">
        <v>42810</v>
      </c>
      <c r="J155">
        <v>5787</v>
      </c>
    </row>
    <row r="156" spans="1:10" x14ac:dyDescent="0.3">
      <c r="A156" t="s">
        <v>272</v>
      </c>
      <c r="B156" t="s">
        <v>51</v>
      </c>
      <c r="C156" t="str">
        <f>_xlfn.XLOOKUP(B156,
[1]sales_teams!$A$2:$A$100,
[1]sales_teams!$B$2:$B$100)</f>
        <v>Summer Sewald</v>
      </c>
      <c r="D156" t="str">
        <f>_xlfn.XLOOKUP($B156,sales_teams!$A$2:$A$36,sales_teams!C$2:C$36)</f>
        <v>West</v>
      </c>
      <c r="E156" t="s">
        <v>10</v>
      </c>
      <c r="F156" t="s">
        <v>273</v>
      </c>
      <c r="G156" t="s">
        <v>12</v>
      </c>
      <c r="H156" s="1">
        <v>42708</v>
      </c>
      <c r="I156" s="1">
        <v>42802</v>
      </c>
      <c r="J156">
        <v>1070</v>
      </c>
    </row>
    <row r="157" spans="1:10" x14ac:dyDescent="0.3">
      <c r="A157" t="s">
        <v>274</v>
      </c>
      <c r="B157" t="s">
        <v>139</v>
      </c>
      <c r="C157" t="str">
        <f>_xlfn.XLOOKUP(B157,
[1]sales_teams!$A$2:$A$100,
[1]sales_teams!$B$2:$B$100)</f>
        <v>Rocco Neubert</v>
      </c>
      <c r="D157" t="str">
        <f>_xlfn.XLOOKUP($B157,sales_teams!$A$2:$A$36,sales_teams!C$2:C$36)</f>
        <v>East</v>
      </c>
      <c r="E157" t="s">
        <v>39</v>
      </c>
      <c r="F157" t="s">
        <v>209</v>
      </c>
      <c r="G157" t="s">
        <v>12</v>
      </c>
      <c r="H157" s="1">
        <v>42709</v>
      </c>
      <c r="I157" s="1">
        <v>42808</v>
      </c>
      <c r="J157">
        <v>3677</v>
      </c>
    </row>
    <row r="158" spans="1:10" x14ac:dyDescent="0.3">
      <c r="A158" t="s">
        <v>275</v>
      </c>
      <c r="B158" t="s">
        <v>118</v>
      </c>
      <c r="C158" t="str">
        <f>_xlfn.XLOOKUP(B158,
[1]sales_teams!$A$2:$A$100,
[1]sales_teams!$B$2:$B$100)</f>
        <v>Rocco Neubert</v>
      </c>
      <c r="D158" t="str">
        <f>_xlfn.XLOOKUP($B158,sales_teams!$A$2:$A$36,sales_teams!C$2:C$36)</f>
        <v>East</v>
      </c>
      <c r="E158" t="s">
        <v>48</v>
      </c>
      <c r="F158" t="s">
        <v>177</v>
      </c>
      <c r="G158" t="s">
        <v>12</v>
      </c>
      <c r="H158" s="1">
        <v>42709</v>
      </c>
      <c r="I158" s="1">
        <v>42824</v>
      </c>
      <c r="J158">
        <v>5425</v>
      </c>
    </row>
    <row r="159" spans="1:10" x14ac:dyDescent="0.3">
      <c r="A159" t="s">
        <v>276</v>
      </c>
      <c r="B159" t="s">
        <v>64</v>
      </c>
      <c r="C159" t="str">
        <f>_xlfn.XLOOKUP(B159,
[1]sales_teams!$A$2:$A$100,
[1]sales_teams!$B$2:$B$100)</f>
        <v>Rocco Neubert</v>
      </c>
      <c r="D159" t="str">
        <f>_xlfn.XLOOKUP($B159,sales_teams!$A$2:$A$36,sales_teams!C$2:C$36)</f>
        <v>East</v>
      </c>
      <c r="E159" t="s">
        <v>48</v>
      </c>
      <c r="G159" t="s">
        <v>40</v>
      </c>
      <c r="H159" s="1">
        <v>42709</v>
      </c>
    </row>
    <row r="160" spans="1:10" x14ac:dyDescent="0.3">
      <c r="A160" t="s">
        <v>277</v>
      </c>
      <c r="B160" t="s">
        <v>142</v>
      </c>
      <c r="C160" t="str">
        <f>_xlfn.XLOOKUP(B160,
[1]sales_teams!$A$2:$A$100,
[1]sales_teams!$B$2:$B$100)</f>
        <v>Rocco Neubert</v>
      </c>
      <c r="D160" t="str">
        <f>_xlfn.XLOOKUP($B160,sales_teams!$A$2:$A$36,sales_teams!C$2:C$36)</f>
        <v>East</v>
      </c>
      <c r="E160" t="s">
        <v>39</v>
      </c>
      <c r="F160" t="s">
        <v>278</v>
      </c>
      <c r="G160" t="s">
        <v>12</v>
      </c>
      <c r="H160" s="1">
        <v>42709</v>
      </c>
      <c r="I160" s="1">
        <v>42817</v>
      </c>
      <c r="J160">
        <v>3415</v>
      </c>
    </row>
    <row r="161" spans="1:10" x14ac:dyDescent="0.3">
      <c r="A161" t="s">
        <v>279</v>
      </c>
      <c r="B161" t="s">
        <v>38</v>
      </c>
      <c r="C161" t="str">
        <f>_xlfn.XLOOKUP(B161,
[1]sales_teams!$A$2:$A$100,
[1]sales_teams!$B$2:$B$100)</f>
        <v>Summer Sewald</v>
      </c>
      <c r="D161" t="str">
        <f>_xlfn.XLOOKUP($B161,sales_teams!$A$2:$A$36,sales_teams!C$2:C$36)</f>
        <v>West</v>
      </c>
      <c r="E161" t="s">
        <v>20</v>
      </c>
      <c r="G161" t="s">
        <v>40</v>
      </c>
      <c r="H161" s="1">
        <v>42709</v>
      </c>
    </row>
    <row r="162" spans="1:10" x14ac:dyDescent="0.3">
      <c r="A162" t="s">
        <v>280</v>
      </c>
      <c r="B162" t="s">
        <v>51</v>
      </c>
      <c r="C162" t="str">
        <f>_xlfn.XLOOKUP(B162,
[1]sales_teams!$A$2:$A$100,
[1]sales_teams!$B$2:$B$100)</f>
        <v>Summer Sewald</v>
      </c>
      <c r="D162" t="str">
        <f>_xlfn.XLOOKUP($B162,sales_teams!$A$2:$A$36,sales_teams!C$2:C$36)</f>
        <v>West</v>
      </c>
      <c r="E162" t="s">
        <v>10</v>
      </c>
      <c r="F162" t="s">
        <v>184</v>
      </c>
      <c r="G162" t="s">
        <v>12</v>
      </c>
      <c r="H162" s="1">
        <v>42709</v>
      </c>
      <c r="I162" s="1">
        <v>42815</v>
      </c>
      <c r="J162">
        <v>891</v>
      </c>
    </row>
    <row r="163" spans="1:10" x14ac:dyDescent="0.3">
      <c r="A163" t="s">
        <v>281</v>
      </c>
      <c r="B163" t="s">
        <v>133</v>
      </c>
      <c r="C163" t="str">
        <f>_xlfn.XLOOKUP(B163,
[1]sales_teams!$A$2:$A$100,
[1]sales_teams!$B$2:$B$100)</f>
        <v>Dustin Brinkmann</v>
      </c>
      <c r="D163" t="str">
        <f>_xlfn.XLOOKUP($B163,sales_teams!$A$2:$A$36,sales_teams!C$2:C$36)</f>
        <v>Central</v>
      </c>
      <c r="E163" t="s">
        <v>20</v>
      </c>
      <c r="F163" t="s">
        <v>21</v>
      </c>
      <c r="G163" t="s">
        <v>12</v>
      </c>
      <c r="H163" s="1">
        <v>42710</v>
      </c>
      <c r="I163" s="1">
        <v>42806</v>
      </c>
      <c r="J163">
        <v>609</v>
      </c>
    </row>
    <row r="164" spans="1:10" x14ac:dyDescent="0.3">
      <c r="A164" t="s">
        <v>282</v>
      </c>
      <c r="B164" t="s">
        <v>32</v>
      </c>
      <c r="C164" t="str">
        <f>_xlfn.XLOOKUP(B164,
[1]sales_teams!$A$2:$A$100,
[1]sales_teams!$B$2:$B$100)</f>
        <v>Celia Rouche</v>
      </c>
      <c r="D164" t="str">
        <f>_xlfn.XLOOKUP($B164,sales_teams!$A$2:$A$36,sales_teams!C$2:C$36)</f>
        <v>West</v>
      </c>
      <c r="E164" t="s">
        <v>18</v>
      </c>
      <c r="F164" t="s">
        <v>168</v>
      </c>
      <c r="G164" t="s">
        <v>12</v>
      </c>
      <c r="H164" s="1">
        <v>42710</v>
      </c>
      <c r="I164" s="1">
        <v>42810</v>
      </c>
      <c r="J164">
        <v>54</v>
      </c>
    </row>
    <row r="165" spans="1:10" x14ac:dyDescent="0.3">
      <c r="A165" t="s">
        <v>283</v>
      </c>
      <c r="B165" t="s">
        <v>23</v>
      </c>
      <c r="C165" t="str">
        <f>_xlfn.XLOOKUP(B165,
[1]sales_teams!$A$2:$A$100,
[1]sales_teams!$B$2:$B$100)</f>
        <v>Summer Sewald</v>
      </c>
      <c r="D165" t="str">
        <f>_xlfn.XLOOKUP($B165,sales_teams!$A$2:$A$36,sales_teams!C$2:C$36)</f>
        <v>West</v>
      </c>
      <c r="E165" t="s">
        <v>10</v>
      </c>
      <c r="F165" t="s">
        <v>86</v>
      </c>
      <c r="G165" t="s">
        <v>12</v>
      </c>
      <c r="H165" s="1">
        <v>42710</v>
      </c>
      <c r="I165" s="1">
        <v>42803</v>
      </c>
      <c r="J165">
        <v>1049</v>
      </c>
    </row>
    <row r="166" spans="1:10" x14ac:dyDescent="0.3">
      <c r="A166" t="s">
        <v>284</v>
      </c>
      <c r="B166" t="s">
        <v>118</v>
      </c>
      <c r="C166" t="str">
        <f>_xlfn.XLOOKUP(B166,
[1]sales_teams!$A$2:$A$100,
[1]sales_teams!$B$2:$B$100)</f>
        <v>Rocco Neubert</v>
      </c>
      <c r="D166" t="str">
        <f>_xlfn.XLOOKUP($B166,sales_teams!$A$2:$A$36,sales_teams!C$2:C$36)</f>
        <v>East</v>
      </c>
      <c r="E166" t="s">
        <v>10</v>
      </c>
      <c r="F166" t="s">
        <v>237</v>
      </c>
      <c r="G166" t="s">
        <v>12</v>
      </c>
      <c r="H166" s="1">
        <v>42711</v>
      </c>
      <c r="I166" s="1">
        <v>42801</v>
      </c>
      <c r="J166">
        <v>1152</v>
      </c>
    </row>
    <row r="167" spans="1:10" x14ac:dyDescent="0.3">
      <c r="A167" t="s">
        <v>285</v>
      </c>
      <c r="B167" t="s">
        <v>64</v>
      </c>
      <c r="C167" t="str">
        <f>_xlfn.XLOOKUP(B167,
[1]sales_teams!$A$2:$A$100,
[1]sales_teams!$B$2:$B$100)</f>
        <v>Rocco Neubert</v>
      </c>
      <c r="D167" t="str">
        <f>_xlfn.XLOOKUP($B167,sales_teams!$A$2:$A$36,sales_teams!C$2:C$36)</f>
        <v>East</v>
      </c>
      <c r="E167" t="s">
        <v>18</v>
      </c>
      <c r="F167" t="s">
        <v>215</v>
      </c>
      <c r="G167" t="s">
        <v>46</v>
      </c>
      <c r="H167" s="1">
        <v>42711</v>
      </c>
      <c r="I167" s="1">
        <v>42814</v>
      </c>
      <c r="J167">
        <v>0</v>
      </c>
    </row>
    <row r="168" spans="1:10" x14ac:dyDescent="0.3">
      <c r="A168" t="s">
        <v>286</v>
      </c>
      <c r="B168" t="s">
        <v>64</v>
      </c>
      <c r="C168" t="str">
        <f>_xlfn.XLOOKUP(B168,
[1]sales_teams!$A$2:$A$100,
[1]sales_teams!$B$2:$B$100)</f>
        <v>Rocco Neubert</v>
      </c>
      <c r="D168" t="str">
        <f>_xlfn.XLOOKUP($B168,sales_teams!$A$2:$A$36,sales_teams!C$2:C$36)</f>
        <v>East</v>
      </c>
      <c r="E168" t="s">
        <v>15</v>
      </c>
      <c r="F168" t="s">
        <v>189</v>
      </c>
      <c r="G168" t="s">
        <v>12</v>
      </c>
      <c r="H168" s="1">
        <v>42711</v>
      </c>
      <c r="I168" s="1">
        <v>42822</v>
      </c>
      <c r="J168">
        <v>4799</v>
      </c>
    </row>
    <row r="169" spans="1:10" x14ac:dyDescent="0.3">
      <c r="A169" t="s">
        <v>287</v>
      </c>
      <c r="B169" t="s">
        <v>44</v>
      </c>
      <c r="C169" t="str">
        <f>_xlfn.XLOOKUP(B169,
[1]sales_teams!$A$2:$A$100,
[1]sales_teams!$B$2:$B$100)</f>
        <v>Melvin Marxen</v>
      </c>
      <c r="D169" t="str">
        <f>_xlfn.XLOOKUP($B169,sales_teams!$A$2:$A$36,sales_teams!C$2:C$36)</f>
        <v>Central</v>
      </c>
      <c r="E169" t="s">
        <v>18</v>
      </c>
      <c r="F169" t="s">
        <v>91</v>
      </c>
      <c r="G169" t="s">
        <v>12</v>
      </c>
      <c r="H169" s="1">
        <v>42711</v>
      </c>
      <c r="I169" s="1">
        <v>42806</v>
      </c>
      <c r="J169">
        <v>51</v>
      </c>
    </row>
    <row r="170" spans="1:10" x14ac:dyDescent="0.3">
      <c r="A170" t="s">
        <v>288</v>
      </c>
      <c r="B170" t="s">
        <v>54</v>
      </c>
      <c r="C170" t="str">
        <f>_xlfn.XLOOKUP(B170,
[1]sales_teams!$A$2:$A$100,
[1]sales_teams!$B$2:$B$100)</f>
        <v>Celia Rouche</v>
      </c>
      <c r="D170" t="str">
        <f>_xlfn.XLOOKUP($B170,sales_teams!$A$2:$A$36,sales_teams!C$2:C$36)</f>
        <v>West</v>
      </c>
      <c r="E170" t="s">
        <v>39</v>
      </c>
      <c r="F170" t="s">
        <v>30</v>
      </c>
      <c r="G170" t="s">
        <v>12</v>
      </c>
      <c r="H170" s="1">
        <v>42711</v>
      </c>
      <c r="I170" s="1">
        <v>42797</v>
      </c>
      <c r="J170">
        <v>3426</v>
      </c>
    </row>
    <row r="171" spans="1:10" x14ac:dyDescent="0.3">
      <c r="A171" t="s">
        <v>289</v>
      </c>
      <c r="B171" t="s">
        <v>252</v>
      </c>
      <c r="C171" t="str">
        <f>_xlfn.XLOOKUP(B171,
[1]sales_teams!$A$2:$A$100,
[1]sales_teams!$B$2:$B$100)</f>
        <v>Melvin Marxen</v>
      </c>
      <c r="D171" t="str">
        <f>_xlfn.XLOOKUP($B171,sales_teams!$A$2:$A$36,sales_teams!C$2:C$36)</f>
        <v>Central</v>
      </c>
      <c r="E171" t="s">
        <v>18</v>
      </c>
      <c r="F171" t="s">
        <v>151</v>
      </c>
      <c r="G171" t="s">
        <v>12</v>
      </c>
      <c r="H171" s="1">
        <v>42711</v>
      </c>
      <c r="I171" s="1">
        <v>42805</v>
      </c>
      <c r="J171">
        <v>51</v>
      </c>
    </row>
    <row r="172" spans="1:10" x14ac:dyDescent="0.3">
      <c r="A172" t="s">
        <v>290</v>
      </c>
      <c r="B172" t="s">
        <v>78</v>
      </c>
      <c r="C172" t="str">
        <f>_xlfn.XLOOKUP(B172,
[1]sales_teams!$A$2:$A$100,
[1]sales_teams!$B$2:$B$100)</f>
        <v>Summer Sewald</v>
      </c>
      <c r="D172" t="str">
        <f>_xlfn.XLOOKUP($B172,sales_teams!$A$2:$A$36,sales_teams!C$2:C$36)</f>
        <v>West</v>
      </c>
      <c r="E172" t="s">
        <v>20</v>
      </c>
      <c r="F172" t="s">
        <v>55</v>
      </c>
      <c r="G172" t="s">
        <v>12</v>
      </c>
      <c r="H172" s="1">
        <v>42711</v>
      </c>
      <c r="I172" s="1">
        <v>42814</v>
      </c>
      <c r="J172">
        <v>564</v>
      </c>
    </row>
    <row r="173" spans="1:10" x14ac:dyDescent="0.3">
      <c r="A173" t="s">
        <v>291</v>
      </c>
      <c r="B173" t="s">
        <v>202</v>
      </c>
      <c r="C173" t="str">
        <f>_xlfn.XLOOKUP(B173,
[1]sales_teams!$A$2:$A$100,
[1]sales_teams!$B$2:$B$100)</f>
        <v>Dustin Brinkmann</v>
      </c>
      <c r="D173" t="str">
        <f>_xlfn.XLOOKUP($B173,sales_teams!$A$2:$A$36,sales_teams!C$2:C$36)</f>
        <v>Central</v>
      </c>
      <c r="E173" t="s">
        <v>48</v>
      </c>
      <c r="F173" t="s">
        <v>16</v>
      </c>
      <c r="G173" t="s">
        <v>12</v>
      </c>
      <c r="H173" s="1">
        <v>42712</v>
      </c>
      <c r="I173" s="1">
        <v>42795</v>
      </c>
      <c r="J173">
        <v>5882</v>
      </c>
    </row>
    <row r="174" spans="1:10" x14ac:dyDescent="0.3">
      <c r="A174" t="s">
        <v>292</v>
      </c>
      <c r="B174" t="s">
        <v>64</v>
      </c>
      <c r="C174" t="str">
        <f>_xlfn.XLOOKUP(B174,
[1]sales_teams!$A$2:$A$100,
[1]sales_teams!$B$2:$B$100)</f>
        <v>Rocco Neubert</v>
      </c>
      <c r="D174" t="str">
        <f>_xlfn.XLOOKUP($B174,sales_teams!$A$2:$A$36,sales_teams!C$2:C$36)</f>
        <v>East</v>
      </c>
      <c r="E174" t="s">
        <v>15</v>
      </c>
      <c r="F174" t="s">
        <v>111</v>
      </c>
      <c r="G174" t="s">
        <v>40</v>
      </c>
      <c r="H174" s="1">
        <v>42712</v>
      </c>
    </row>
    <row r="175" spans="1:10" x14ac:dyDescent="0.3">
      <c r="A175" t="s">
        <v>293</v>
      </c>
      <c r="B175" t="s">
        <v>142</v>
      </c>
      <c r="C175" t="str">
        <f>_xlfn.XLOOKUP(B175,
[1]sales_teams!$A$2:$A$100,
[1]sales_teams!$B$2:$B$100)</f>
        <v>Rocco Neubert</v>
      </c>
      <c r="D175" t="str">
        <f>_xlfn.XLOOKUP($B175,sales_teams!$A$2:$A$36,sales_teams!C$2:C$36)</f>
        <v>East</v>
      </c>
      <c r="E175" t="s">
        <v>15</v>
      </c>
      <c r="F175" t="s">
        <v>215</v>
      </c>
      <c r="G175" t="s">
        <v>12</v>
      </c>
      <c r="H175" s="1">
        <v>42712</v>
      </c>
      <c r="I175" s="1">
        <v>42814</v>
      </c>
      <c r="J175">
        <v>5059</v>
      </c>
    </row>
    <row r="176" spans="1:10" x14ac:dyDescent="0.3">
      <c r="A176" t="s">
        <v>294</v>
      </c>
      <c r="B176" t="s">
        <v>38</v>
      </c>
      <c r="C176" t="str">
        <f>_xlfn.XLOOKUP(B176,
[1]sales_teams!$A$2:$A$100,
[1]sales_teams!$B$2:$B$100)</f>
        <v>Summer Sewald</v>
      </c>
      <c r="D176" t="str">
        <f>_xlfn.XLOOKUP($B176,sales_teams!$A$2:$A$36,sales_teams!C$2:C$36)</f>
        <v>West</v>
      </c>
      <c r="E176" t="s">
        <v>39</v>
      </c>
      <c r="G176" t="s">
        <v>40</v>
      </c>
      <c r="H176" s="1">
        <v>42712</v>
      </c>
    </row>
    <row r="177" spans="1:10" x14ac:dyDescent="0.3">
      <c r="A177" t="s">
        <v>295</v>
      </c>
      <c r="B177" t="s">
        <v>78</v>
      </c>
      <c r="C177" t="str">
        <f>_xlfn.XLOOKUP(B177,
[1]sales_teams!$A$2:$A$100,
[1]sales_teams!$B$2:$B$100)</f>
        <v>Summer Sewald</v>
      </c>
      <c r="D177" t="str">
        <f>_xlfn.XLOOKUP($B177,sales_teams!$A$2:$A$36,sales_teams!C$2:C$36)</f>
        <v>West</v>
      </c>
      <c r="E177" t="s">
        <v>10</v>
      </c>
      <c r="G177" t="s">
        <v>40</v>
      </c>
      <c r="H177" s="1">
        <v>42712</v>
      </c>
    </row>
    <row r="178" spans="1:10" x14ac:dyDescent="0.3">
      <c r="A178" t="s">
        <v>296</v>
      </c>
      <c r="B178" t="s">
        <v>78</v>
      </c>
      <c r="C178" t="str">
        <f>_xlfn.XLOOKUP(B178,
[1]sales_teams!$A$2:$A$100,
[1]sales_teams!$B$2:$B$100)</f>
        <v>Summer Sewald</v>
      </c>
      <c r="D178" t="str">
        <f>_xlfn.XLOOKUP($B178,sales_teams!$A$2:$A$36,sales_teams!C$2:C$36)</f>
        <v>West</v>
      </c>
      <c r="E178" t="s">
        <v>39</v>
      </c>
      <c r="F178" t="s">
        <v>273</v>
      </c>
      <c r="G178" t="s">
        <v>12</v>
      </c>
      <c r="H178" s="1">
        <v>42712</v>
      </c>
      <c r="I178" s="1">
        <v>42805</v>
      </c>
      <c r="J178">
        <v>3388</v>
      </c>
    </row>
    <row r="179" spans="1:10" x14ac:dyDescent="0.3">
      <c r="A179" t="s">
        <v>297</v>
      </c>
      <c r="B179" t="s">
        <v>95</v>
      </c>
      <c r="C179" t="str">
        <f>_xlfn.XLOOKUP(B179,
[1]sales_teams!$A$2:$A$100,
[1]sales_teams!$B$2:$B$100)</f>
        <v>Summer Sewald</v>
      </c>
      <c r="D179" t="str">
        <f>_xlfn.XLOOKUP($B179,sales_teams!$A$2:$A$36,sales_teams!C$2:C$36)</f>
        <v>West</v>
      </c>
      <c r="E179" t="s">
        <v>48</v>
      </c>
      <c r="G179" t="s">
        <v>40</v>
      </c>
      <c r="H179" s="1">
        <v>42712</v>
      </c>
    </row>
    <row r="180" spans="1:10" x14ac:dyDescent="0.3">
      <c r="A180" t="s">
        <v>298</v>
      </c>
      <c r="B180" t="s">
        <v>32</v>
      </c>
      <c r="C180" t="str">
        <f>_xlfn.XLOOKUP(B180,
[1]sales_teams!$A$2:$A$100,
[1]sales_teams!$B$2:$B$100)</f>
        <v>Celia Rouche</v>
      </c>
      <c r="D180" t="str">
        <f>_xlfn.XLOOKUP($B180,sales_teams!$A$2:$A$36,sales_teams!C$2:C$36)</f>
        <v>West</v>
      </c>
      <c r="E180" t="s">
        <v>48</v>
      </c>
      <c r="F180" t="s">
        <v>79</v>
      </c>
      <c r="G180" t="s">
        <v>12</v>
      </c>
      <c r="H180" s="1">
        <v>42712</v>
      </c>
      <c r="I180" s="1">
        <v>42804</v>
      </c>
      <c r="J180">
        <v>5410</v>
      </c>
    </row>
    <row r="181" spans="1:10" x14ac:dyDescent="0.3">
      <c r="A181" t="s">
        <v>299</v>
      </c>
      <c r="B181" t="s">
        <v>97</v>
      </c>
      <c r="C181" t="str">
        <f>_xlfn.XLOOKUP(B181,
[1]sales_teams!$A$2:$A$100,
[1]sales_teams!$B$2:$B$100)</f>
        <v>Rocco Neubert</v>
      </c>
      <c r="D181" t="str">
        <f>_xlfn.XLOOKUP($B181,sales_teams!$A$2:$A$36,sales_teams!C$2:C$36)</f>
        <v>East</v>
      </c>
      <c r="E181" t="s">
        <v>10</v>
      </c>
      <c r="F181" t="s">
        <v>300</v>
      </c>
      <c r="G181" t="s">
        <v>12</v>
      </c>
      <c r="H181" s="1">
        <v>42712</v>
      </c>
      <c r="I181" s="1">
        <v>42822</v>
      </c>
      <c r="J181">
        <v>978</v>
      </c>
    </row>
    <row r="182" spans="1:10" x14ac:dyDescent="0.3">
      <c r="A182" t="s">
        <v>301</v>
      </c>
      <c r="B182" t="s">
        <v>29</v>
      </c>
      <c r="C182" t="str">
        <f>_xlfn.XLOOKUP(B182,
[1]sales_teams!$A$2:$A$100,
[1]sales_teams!$B$2:$B$100)</f>
        <v>Celia Rouche</v>
      </c>
      <c r="D182" t="str">
        <f>_xlfn.XLOOKUP($B182,sales_teams!$A$2:$A$36,sales_teams!C$2:C$36)</f>
        <v>West</v>
      </c>
      <c r="E182" t="s">
        <v>18</v>
      </c>
      <c r="F182" t="s">
        <v>59</v>
      </c>
      <c r="G182" t="s">
        <v>12</v>
      </c>
      <c r="H182" s="1">
        <v>42712</v>
      </c>
      <c r="I182" s="1">
        <v>42820</v>
      </c>
      <c r="J182">
        <v>54</v>
      </c>
    </row>
    <row r="183" spans="1:10" x14ac:dyDescent="0.3">
      <c r="A183" t="s">
        <v>302</v>
      </c>
      <c r="B183" t="s">
        <v>26</v>
      </c>
      <c r="C183" t="str">
        <f>_xlfn.XLOOKUP(B183,
[1]sales_teams!$A$2:$A$100,
[1]sales_teams!$B$2:$B$100)</f>
        <v>Dustin Brinkmann</v>
      </c>
      <c r="D183" t="str">
        <f>_xlfn.XLOOKUP($B183,sales_teams!$A$2:$A$36,sales_teams!C$2:C$36)</f>
        <v>Central</v>
      </c>
      <c r="E183" t="s">
        <v>18</v>
      </c>
      <c r="F183" t="s">
        <v>303</v>
      </c>
      <c r="G183" t="s">
        <v>46</v>
      </c>
      <c r="H183" s="1">
        <v>42713</v>
      </c>
      <c r="I183" s="1">
        <v>42816</v>
      </c>
      <c r="J183">
        <v>0</v>
      </c>
    </row>
    <row r="184" spans="1:10" x14ac:dyDescent="0.3">
      <c r="A184" t="s">
        <v>304</v>
      </c>
      <c r="B184" t="s">
        <v>118</v>
      </c>
      <c r="C184" t="str">
        <f>_xlfn.XLOOKUP(B184,
[1]sales_teams!$A$2:$A$100,
[1]sales_teams!$B$2:$B$100)</f>
        <v>Rocco Neubert</v>
      </c>
      <c r="D184" t="str">
        <f>_xlfn.XLOOKUP($B184,sales_teams!$A$2:$A$36,sales_teams!C$2:C$36)</f>
        <v>East</v>
      </c>
      <c r="E184" t="s">
        <v>20</v>
      </c>
      <c r="F184" t="s">
        <v>192</v>
      </c>
      <c r="G184" t="s">
        <v>12</v>
      </c>
      <c r="H184" s="1">
        <v>42713</v>
      </c>
      <c r="I184" s="1">
        <v>42808</v>
      </c>
      <c r="J184">
        <v>549</v>
      </c>
    </row>
    <row r="185" spans="1:10" x14ac:dyDescent="0.3">
      <c r="A185" t="s">
        <v>305</v>
      </c>
      <c r="B185" t="s">
        <v>164</v>
      </c>
      <c r="C185" t="str">
        <f>_xlfn.XLOOKUP(B185,
[1]sales_teams!$A$2:$A$100,
[1]sales_teams!$B$2:$B$100)</f>
        <v>Cara Losch</v>
      </c>
      <c r="D185" t="str">
        <f>_xlfn.XLOOKUP($B185,sales_teams!$A$2:$A$36,sales_teams!C$2:C$36)</f>
        <v>East</v>
      </c>
      <c r="E185" t="s">
        <v>10</v>
      </c>
      <c r="F185" t="s">
        <v>106</v>
      </c>
      <c r="G185" t="s">
        <v>12</v>
      </c>
      <c r="H185" s="1">
        <v>42713</v>
      </c>
      <c r="I185" s="1">
        <v>42808</v>
      </c>
      <c r="J185">
        <v>1034</v>
      </c>
    </row>
    <row r="186" spans="1:10" x14ac:dyDescent="0.3">
      <c r="A186" t="s">
        <v>306</v>
      </c>
      <c r="B186" t="s">
        <v>142</v>
      </c>
      <c r="C186" t="str">
        <f>_xlfn.XLOOKUP(B186,
[1]sales_teams!$A$2:$A$100,
[1]sales_teams!$B$2:$B$100)</f>
        <v>Rocco Neubert</v>
      </c>
      <c r="D186" t="str">
        <f>_xlfn.XLOOKUP($B186,sales_teams!$A$2:$A$36,sales_teams!C$2:C$36)</f>
        <v>East</v>
      </c>
      <c r="E186" t="s">
        <v>15</v>
      </c>
      <c r="F186" t="s">
        <v>74</v>
      </c>
      <c r="G186" t="s">
        <v>12</v>
      </c>
      <c r="H186" s="1">
        <v>42713</v>
      </c>
      <c r="I186" s="1">
        <v>42797</v>
      </c>
      <c r="J186">
        <v>4998</v>
      </c>
    </row>
    <row r="187" spans="1:10" x14ac:dyDescent="0.3">
      <c r="A187" t="s">
        <v>307</v>
      </c>
      <c r="B187" t="s">
        <v>142</v>
      </c>
      <c r="C187" t="str">
        <f>_xlfn.XLOOKUP(B187,
[1]sales_teams!$A$2:$A$100,
[1]sales_teams!$B$2:$B$100)</f>
        <v>Rocco Neubert</v>
      </c>
      <c r="D187" t="str">
        <f>_xlfn.XLOOKUP($B187,sales_teams!$A$2:$A$36,sales_teams!C$2:C$36)</f>
        <v>East</v>
      </c>
      <c r="E187" t="s">
        <v>39</v>
      </c>
      <c r="F187" t="s">
        <v>177</v>
      </c>
      <c r="G187" t="s">
        <v>12</v>
      </c>
      <c r="H187" s="1">
        <v>42713</v>
      </c>
      <c r="I187" s="1">
        <v>42822</v>
      </c>
      <c r="J187">
        <v>3421</v>
      </c>
    </row>
    <row r="188" spans="1:10" x14ac:dyDescent="0.3">
      <c r="A188" t="s">
        <v>308</v>
      </c>
      <c r="B188" t="s">
        <v>95</v>
      </c>
      <c r="C188" t="str">
        <f>_xlfn.XLOOKUP(B188,
[1]sales_teams!$A$2:$A$100,
[1]sales_teams!$B$2:$B$100)</f>
        <v>Summer Sewald</v>
      </c>
      <c r="D188" t="str">
        <f>_xlfn.XLOOKUP($B188,sales_teams!$A$2:$A$36,sales_teams!C$2:C$36)</f>
        <v>West</v>
      </c>
      <c r="E188" t="s">
        <v>48</v>
      </c>
      <c r="F188" t="s">
        <v>224</v>
      </c>
      <c r="G188" t="s">
        <v>12</v>
      </c>
      <c r="H188" s="1">
        <v>42713</v>
      </c>
      <c r="I188" s="1">
        <v>42798</v>
      </c>
      <c r="J188">
        <v>5425</v>
      </c>
    </row>
    <row r="189" spans="1:10" x14ac:dyDescent="0.3">
      <c r="A189" t="s">
        <v>309</v>
      </c>
      <c r="B189" t="s">
        <v>29</v>
      </c>
      <c r="C189" t="str">
        <f>_xlfn.XLOOKUP(B189,
[1]sales_teams!$A$2:$A$100,
[1]sales_teams!$B$2:$B$100)</f>
        <v>Celia Rouche</v>
      </c>
      <c r="D189" t="str">
        <f>_xlfn.XLOOKUP($B189,sales_teams!$A$2:$A$36,sales_teams!C$2:C$36)</f>
        <v>West</v>
      </c>
      <c r="E189" t="s">
        <v>18</v>
      </c>
      <c r="F189" t="s">
        <v>174</v>
      </c>
      <c r="G189" t="s">
        <v>12</v>
      </c>
      <c r="H189" s="1">
        <v>42713</v>
      </c>
      <c r="I189" s="1">
        <v>42809</v>
      </c>
      <c r="J189">
        <v>55</v>
      </c>
    </row>
    <row r="190" spans="1:10" x14ac:dyDescent="0.3">
      <c r="A190" t="s">
        <v>310</v>
      </c>
      <c r="B190" t="s">
        <v>73</v>
      </c>
      <c r="C190" t="str">
        <f>_xlfn.XLOOKUP(B190,
[1]sales_teams!$A$2:$A$100,
[1]sales_teams!$B$2:$B$100)</f>
        <v>Cara Losch</v>
      </c>
      <c r="D190" t="str">
        <f>_xlfn.XLOOKUP($B190,sales_teams!$A$2:$A$36,sales_teams!C$2:C$36)</f>
        <v>East</v>
      </c>
      <c r="E190" t="s">
        <v>39</v>
      </c>
      <c r="F190" t="s">
        <v>143</v>
      </c>
      <c r="G190" t="s">
        <v>12</v>
      </c>
      <c r="H190" s="1">
        <v>42713</v>
      </c>
      <c r="I190" s="1">
        <v>42808</v>
      </c>
      <c r="J190">
        <v>3558</v>
      </c>
    </row>
    <row r="191" spans="1:10" x14ac:dyDescent="0.3">
      <c r="A191" t="s">
        <v>311</v>
      </c>
      <c r="B191" t="s">
        <v>118</v>
      </c>
      <c r="C191" t="str">
        <f>_xlfn.XLOOKUP(B191,
[1]sales_teams!$A$2:$A$100,
[1]sales_teams!$B$2:$B$100)</f>
        <v>Rocco Neubert</v>
      </c>
      <c r="D191" t="str">
        <f>_xlfn.XLOOKUP($B191,sales_teams!$A$2:$A$36,sales_teams!C$2:C$36)</f>
        <v>East</v>
      </c>
      <c r="E191" t="s">
        <v>15</v>
      </c>
      <c r="F191" t="s">
        <v>215</v>
      </c>
      <c r="G191" t="s">
        <v>40</v>
      </c>
      <c r="H191" s="1">
        <v>42714</v>
      </c>
    </row>
    <row r="192" spans="1:10" x14ac:dyDescent="0.3">
      <c r="A192" t="s">
        <v>312</v>
      </c>
      <c r="B192" t="s">
        <v>78</v>
      </c>
      <c r="C192" t="str">
        <f>_xlfn.XLOOKUP(B192,
[1]sales_teams!$A$2:$A$100,
[1]sales_teams!$B$2:$B$100)</f>
        <v>Summer Sewald</v>
      </c>
      <c r="D192" t="str">
        <f>_xlfn.XLOOKUP($B192,sales_teams!$A$2:$A$36,sales_teams!C$2:C$36)</f>
        <v>West</v>
      </c>
      <c r="E192" t="s">
        <v>15</v>
      </c>
      <c r="F192" t="s">
        <v>313</v>
      </c>
      <c r="G192" t="s">
        <v>12</v>
      </c>
      <c r="H192" s="1">
        <v>42714</v>
      </c>
      <c r="I192" s="1">
        <v>42816</v>
      </c>
      <c r="J192">
        <v>4839</v>
      </c>
    </row>
    <row r="193" spans="1:10" x14ac:dyDescent="0.3">
      <c r="A193" t="s">
        <v>314</v>
      </c>
      <c r="B193" t="s">
        <v>32</v>
      </c>
      <c r="C193" t="str">
        <f>_xlfn.XLOOKUP(B193,
[1]sales_teams!$A$2:$A$100,
[1]sales_teams!$B$2:$B$100)</f>
        <v>Celia Rouche</v>
      </c>
      <c r="D193" t="str">
        <f>_xlfn.XLOOKUP($B193,sales_teams!$A$2:$A$36,sales_teams!C$2:C$36)</f>
        <v>West</v>
      </c>
      <c r="E193" t="s">
        <v>18</v>
      </c>
      <c r="F193" t="s">
        <v>315</v>
      </c>
      <c r="G193" t="s">
        <v>12</v>
      </c>
      <c r="H193" s="1">
        <v>42714</v>
      </c>
      <c r="I193" s="1">
        <v>42819</v>
      </c>
      <c r="J193">
        <v>47</v>
      </c>
    </row>
    <row r="194" spans="1:10" x14ac:dyDescent="0.3">
      <c r="A194" t="s">
        <v>316</v>
      </c>
      <c r="B194" t="s">
        <v>51</v>
      </c>
      <c r="C194" t="str">
        <f>_xlfn.XLOOKUP(B194,
[1]sales_teams!$A$2:$A$100,
[1]sales_teams!$B$2:$B$100)</f>
        <v>Summer Sewald</v>
      </c>
      <c r="D194" t="str">
        <f>_xlfn.XLOOKUP($B194,sales_teams!$A$2:$A$36,sales_teams!C$2:C$36)</f>
        <v>West</v>
      </c>
      <c r="E194" t="s">
        <v>10</v>
      </c>
      <c r="F194" t="s">
        <v>70</v>
      </c>
      <c r="G194" t="s">
        <v>12</v>
      </c>
      <c r="H194" s="1">
        <v>42714</v>
      </c>
      <c r="I194" s="1">
        <v>42818</v>
      </c>
      <c r="J194">
        <v>1007</v>
      </c>
    </row>
    <row r="195" spans="1:10" x14ac:dyDescent="0.3">
      <c r="A195" t="s">
        <v>317</v>
      </c>
      <c r="B195" t="s">
        <v>35</v>
      </c>
      <c r="C195" t="str">
        <f>_xlfn.XLOOKUP(B195,
[1]sales_teams!$A$2:$A$100,
[1]sales_teams!$B$2:$B$100)</f>
        <v>Melvin Marxen</v>
      </c>
      <c r="D195" t="str">
        <f>_xlfn.XLOOKUP($B195,sales_teams!$A$2:$A$36,sales_teams!C$2:C$36)</f>
        <v>Central</v>
      </c>
      <c r="E195" t="s">
        <v>18</v>
      </c>
      <c r="F195" t="s">
        <v>318</v>
      </c>
      <c r="G195" t="s">
        <v>12</v>
      </c>
      <c r="H195" s="1">
        <v>42714</v>
      </c>
      <c r="I195" s="1">
        <v>42818</v>
      </c>
      <c r="J195">
        <v>48</v>
      </c>
    </row>
    <row r="196" spans="1:10" x14ac:dyDescent="0.3">
      <c r="A196" t="s">
        <v>319</v>
      </c>
      <c r="B196" t="s">
        <v>61</v>
      </c>
      <c r="C196" t="str">
        <f>_xlfn.XLOOKUP(B196,
[1]sales_teams!$A$2:$A$100,
[1]sales_teams!$B$2:$B$100)</f>
        <v>Dustin Brinkmann</v>
      </c>
      <c r="D196" t="str">
        <f>_xlfn.XLOOKUP($B196,sales_teams!$A$2:$A$36,sales_teams!C$2:C$36)</f>
        <v>Central</v>
      </c>
      <c r="E196" t="s">
        <v>18</v>
      </c>
      <c r="F196" t="s">
        <v>62</v>
      </c>
      <c r="G196" t="s">
        <v>12</v>
      </c>
      <c r="H196" s="1">
        <v>42714</v>
      </c>
      <c r="I196" s="1">
        <v>42801</v>
      </c>
      <c r="J196">
        <v>49</v>
      </c>
    </row>
    <row r="197" spans="1:10" x14ac:dyDescent="0.3">
      <c r="A197" t="s">
        <v>320</v>
      </c>
      <c r="B197" t="s">
        <v>73</v>
      </c>
      <c r="C197" t="str">
        <f>_xlfn.XLOOKUP(B197,
[1]sales_teams!$A$2:$A$100,
[1]sales_teams!$B$2:$B$100)</f>
        <v>Cara Losch</v>
      </c>
      <c r="D197" t="str">
        <f>_xlfn.XLOOKUP($B197,sales_teams!$A$2:$A$36,sales_teams!C$2:C$36)</f>
        <v>East</v>
      </c>
      <c r="E197" t="s">
        <v>20</v>
      </c>
      <c r="F197" t="s">
        <v>106</v>
      </c>
      <c r="G197" t="s">
        <v>12</v>
      </c>
      <c r="H197" s="1">
        <v>42714</v>
      </c>
      <c r="I197" s="1">
        <v>42812</v>
      </c>
      <c r="J197">
        <v>504</v>
      </c>
    </row>
    <row r="198" spans="1:10" x14ac:dyDescent="0.3">
      <c r="A198" t="s">
        <v>321</v>
      </c>
      <c r="B198" t="s">
        <v>118</v>
      </c>
      <c r="C198" t="str">
        <f>_xlfn.XLOOKUP(B198,
[1]sales_teams!$A$2:$A$100,
[1]sales_teams!$B$2:$B$100)</f>
        <v>Rocco Neubert</v>
      </c>
      <c r="D198" t="str">
        <f>_xlfn.XLOOKUP($B198,sales_teams!$A$2:$A$36,sales_teams!C$2:C$36)</f>
        <v>East</v>
      </c>
      <c r="E198" t="s">
        <v>39</v>
      </c>
      <c r="G198" t="s">
        <v>40</v>
      </c>
      <c r="H198" s="1">
        <v>42715</v>
      </c>
    </row>
    <row r="199" spans="1:10" x14ac:dyDescent="0.3">
      <c r="A199" t="s">
        <v>322</v>
      </c>
      <c r="B199" t="s">
        <v>67</v>
      </c>
      <c r="C199" t="str">
        <f>_xlfn.XLOOKUP(B199,
[1]sales_teams!$A$2:$A$100,
[1]sales_teams!$B$2:$B$100)</f>
        <v>Celia Rouche</v>
      </c>
      <c r="D199" t="str">
        <f>_xlfn.XLOOKUP($B199,sales_teams!$A$2:$A$36,sales_teams!C$2:C$36)</f>
        <v>West</v>
      </c>
      <c r="E199" t="s">
        <v>18</v>
      </c>
      <c r="G199" t="s">
        <v>40</v>
      </c>
      <c r="H199" s="1">
        <v>42715</v>
      </c>
    </row>
    <row r="200" spans="1:10" x14ac:dyDescent="0.3">
      <c r="A200" t="s">
        <v>323</v>
      </c>
      <c r="B200" t="s">
        <v>252</v>
      </c>
      <c r="C200" t="str">
        <f>_xlfn.XLOOKUP(B200,
[1]sales_teams!$A$2:$A$100,
[1]sales_teams!$B$2:$B$100)</f>
        <v>Melvin Marxen</v>
      </c>
      <c r="D200" t="str">
        <f>_xlfn.XLOOKUP($B200,sales_teams!$A$2:$A$36,sales_teams!C$2:C$36)</f>
        <v>Central</v>
      </c>
      <c r="E200" t="s">
        <v>20</v>
      </c>
      <c r="F200" t="s">
        <v>129</v>
      </c>
      <c r="G200" t="s">
        <v>12</v>
      </c>
      <c r="H200" s="1">
        <v>42715</v>
      </c>
      <c r="I200" s="1">
        <v>42815</v>
      </c>
      <c r="J200">
        <v>543</v>
      </c>
    </row>
    <row r="201" spans="1:10" x14ac:dyDescent="0.3">
      <c r="A201" t="s">
        <v>324</v>
      </c>
      <c r="B201" t="s">
        <v>95</v>
      </c>
      <c r="C201" t="str">
        <f>_xlfn.XLOOKUP(B201,
[1]sales_teams!$A$2:$A$100,
[1]sales_teams!$B$2:$B$100)</f>
        <v>Summer Sewald</v>
      </c>
      <c r="D201" t="str">
        <f>_xlfn.XLOOKUP($B201,sales_teams!$A$2:$A$36,sales_teams!C$2:C$36)</f>
        <v>West</v>
      </c>
      <c r="E201" t="s">
        <v>48</v>
      </c>
      <c r="F201" t="s">
        <v>70</v>
      </c>
      <c r="G201" t="s">
        <v>46</v>
      </c>
      <c r="H201" s="1">
        <v>42715</v>
      </c>
      <c r="I201" s="1">
        <v>42812</v>
      </c>
      <c r="J201">
        <v>0</v>
      </c>
    </row>
    <row r="202" spans="1:10" x14ac:dyDescent="0.3">
      <c r="A202" t="s">
        <v>325</v>
      </c>
      <c r="B202" t="s">
        <v>95</v>
      </c>
      <c r="C202" t="str">
        <f>_xlfn.XLOOKUP(B202,
[1]sales_teams!$A$2:$A$100,
[1]sales_teams!$B$2:$B$100)</f>
        <v>Summer Sewald</v>
      </c>
      <c r="D202" t="str">
        <f>_xlfn.XLOOKUP($B202,sales_teams!$A$2:$A$36,sales_teams!C$2:C$36)</f>
        <v>West</v>
      </c>
      <c r="E202" t="s">
        <v>15</v>
      </c>
      <c r="F202" t="s">
        <v>70</v>
      </c>
      <c r="G202" t="s">
        <v>12</v>
      </c>
      <c r="H202" s="1">
        <v>42715</v>
      </c>
      <c r="I202" s="1">
        <v>42822</v>
      </c>
      <c r="J202">
        <v>5149</v>
      </c>
    </row>
    <row r="203" spans="1:10" x14ac:dyDescent="0.3">
      <c r="A203" t="s">
        <v>326</v>
      </c>
      <c r="B203" t="s">
        <v>133</v>
      </c>
      <c r="C203" t="str">
        <f>_xlfn.XLOOKUP(B203,
[1]sales_teams!$A$2:$A$100,
[1]sales_teams!$B$2:$B$100)</f>
        <v>Dustin Brinkmann</v>
      </c>
      <c r="D203" t="str">
        <f>_xlfn.XLOOKUP($B203,sales_teams!$A$2:$A$36,sales_teams!C$2:C$36)</f>
        <v>Central</v>
      </c>
      <c r="E203" t="s">
        <v>20</v>
      </c>
      <c r="F203" t="s">
        <v>62</v>
      </c>
      <c r="G203" t="s">
        <v>46</v>
      </c>
      <c r="H203" s="1">
        <v>42715</v>
      </c>
      <c r="I203" s="1">
        <v>42803</v>
      </c>
      <c r="J203">
        <v>0</v>
      </c>
    </row>
    <row r="204" spans="1:10" x14ac:dyDescent="0.3">
      <c r="A204" t="s">
        <v>327</v>
      </c>
      <c r="B204" t="s">
        <v>32</v>
      </c>
      <c r="C204" t="str">
        <f>_xlfn.XLOOKUP(B204,
[1]sales_teams!$A$2:$A$100,
[1]sales_teams!$B$2:$B$100)</f>
        <v>Celia Rouche</v>
      </c>
      <c r="D204" t="str">
        <f>_xlfn.XLOOKUP($B204,sales_teams!$A$2:$A$36,sales_teams!C$2:C$36)</f>
        <v>West</v>
      </c>
      <c r="E204" t="s">
        <v>10</v>
      </c>
      <c r="F204" t="s">
        <v>313</v>
      </c>
      <c r="G204" t="s">
        <v>12</v>
      </c>
      <c r="H204" s="1">
        <v>42715</v>
      </c>
      <c r="I204" s="1">
        <v>42805</v>
      </c>
      <c r="J204">
        <v>1043</v>
      </c>
    </row>
    <row r="205" spans="1:10" x14ac:dyDescent="0.3">
      <c r="A205" t="s">
        <v>328</v>
      </c>
      <c r="B205" t="s">
        <v>118</v>
      </c>
      <c r="C205" t="str">
        <f>_xlfn.XLOOKUP(B205,
[1]sales_teams!$A$2:$A$100,
[1]sales_teams!$B$2:$B$100)</f>
        <v>Rocco Neubert</v>
      </c>
      <c r="D205" t="str">
        <f>_xlfn.XLOOKUP($B205,sales_teams!$A$2:$A$36,sales_teams!C$2:C$36)</f>
        <v>East</v>
      </c>
      <c r="E205" t="s">
        <v>48</v>
      </c>
      <c r="F205" t="s">
        <v>329</v>
      </c>
      <c r="G205" t="s">
        <v>46</v>
      </c>
      <c r="H205" s="1">
        <v>42716</v>
      </c>
      <c r="I205" s="1">
        <v>42803</v>
      </c>
      <c r="J205">
        <v>0</v>
      </c>
    </row>
    <row r="206" spans="1:10" x14ac:dyDescent="0.3">
      <c r="A206" t="s">
        <v>330</v>
      </c>
      <c r="B206" t="s">
        <v>38</v>
      </c>
      <c r="C206" t="str">
        <f>_xlfn.XLOOKUP(B206,
[1]sales_teams!$A$2:$A$100,
[1]sales_teams!$B$2:$B$100)</f>
        <v>Summer Sewald</v>
      </c>
      <c r="D206" t="str">
        <f>_xlfn.XLOOKUP($B206,sales_teams!$A$2:$A$36,sales_teams!C$2:C$36)</f>
        <v>West</v>
      </c>
      <c r="E206" t="s">
        <v>20</v>
      </c>
      <c r="F206" t="s">
        <v>218</v>
      </c>
      <c r="G206" t="s">
        <v>12</v>
      </c>
      <c r="H206" s="1">
        <v>42716</v>
      </c>
      <c r="I206" s="1">
        <v>42823</v>
      </c>
      <c r="J206">
        <v>437</v>
      </c>
    </row>
    <row r="207" spans="1:10" x14ac:dyDescent="0.3">
      <c r="A207" t="s">
        <v>331</v>
      </c>
      <c r="B207" t="s">
        <v>57</v>
      </c>
      <c r="C207" t="str">
        <f>_xlfn.XLOOKUP(B207,
[1]sales_teams!$A$2:$A$100,
[1]sales_teams!$B$2:$B$100)</f>
        <v>Celia Rouche</v>
      </c>
      <c r="D207" t="str">
        <f>_xlfn.XLOOKUP($B207,sales_teams!$A$2:$A$36,sales_teams!C$2:C$36)</f>
        <v>West</v>
      </c>
      <c r="E207" t="s">
        <v>39</v>
      </c>
      <c r="G207" t="s">
        <v>40</v>
      </c>
      <c r="H207" s="1">
        <v>42716</v>
      </c>
    </row>
    <row r="208" spans="1:10" x14ac:dyDescent="0.3">
      <c r="A208" t="s">
        <v>332</v>
      </c>
      <c r="B208" t="s">
        <v>88</v>
      </c>
      <c r="C208" t="str">
        <f>_xlfn.XLOOKUP(B208,
[1]sales_teams!$A$2:$A$100,
[1]sales_teams!$B$2:$B$100)</f>
        <v>Cara Losch</v>
      </c>
      <c r="D208" t="str">
        <f>_xlfn.XLOOKUP($B208,sales_teams!$A$2:$A$36,sales_teams!C$2:C$36)</f>
        <v>East</v>
      </c>
      <c r="E208" t="s">
        <v>15</v>
      </c>
      <c r="F208" t="s">
        <v>179</v>
      </c>
      <c r="G208" t="s">
        <v>12</v>
      </c>
      <c r="H208" s="1">
        <v>42716</v>
      </c>
      <c r="I208" s="1">
        <v>42805</v>
      </c>
      <c r="J208">
        <v>4465</v>
      </c>
    </row>
    <row r="209" spans="1:10" x14ac:dyDescent="0.3">
      <c r="A209" t="s">
        <v>333</v>
      </c>
      <c r="B209" t="s">
        <v>29</v>
      </c>
      <c r="C209" t="str">
        <f>_xlfn.XLOOKUP(B209,
[1]sales_teams!$A$2:$A$100,
[1]sales_teams!$B$2:$B$100)</f>
        <v>Celia Rouche</v>
      </c>
      <c r="D209" t="str">
        <f>_xlfn.XLOOKUP($B209,sales_teams!$A$2:$A$36,sales_teams!C$2:C$36)</f>
        <v>West</v>
      </c>
      <c r="E209" t="s">
        <v>20</v>
      </c>
      <c r="F209" t="s">
        <v>199</v>
      </c>
      <c r="G209" t="s">
        <v>12</v>
      </c>
      <c r="H209" s="1">
        <v>42716</v>
      </c>
      <c r="I209" s="1">
        <v>42812</v>
      </c>
      <c r="J209">
        <v>443</v>
      </c>
    </row>
    <row r="210" spans="1:10" x14ac:dyDescent="0.3">
      <c r="A210" t="s">
        <v>334</v>
      </c>
      <c r="B210" t="s">
        <v>73</v>
      </c>
      <c r="C210" t="str">
        <f>_xlfn.XLOOKUP(B210,
[1]sales_teams!$A$2:$A$100,
[1]sales_teams!$B$2:$B$100)</f>
        <v>Cara Losch</v>
      </c>
      <c r="D210" t="str">
        <f>_xlfn.XLOOKUP($B210,sales_teams!$A$2:$A$36,sales_teams!C$2:C$36)</f>
        <v>East</v>
      </c>
      <c r="E210" t="s">
        <v>18</v>
      </c>
      <c r="F210" t="s">
        <v>329</v>
      </c>
      <c r="G210" t="s">
        <v>46</v>
      </c>
      <c r="H210" s="1">
        <v>42716</v>
      </c>
      <c r="I210" s="1">
        <v>42817</v>
      </c>
      <c r="J210">
        <v>0</v>
      </c>
    </row>
    <row r="211" spans="1:10" x14ac:dyDescent="0.3">
      <c r="A211" t="s">
        <v>335</v>
      </c>
      <c r="B211" t="s">
        <v>14</v>
      </c>
      <c r="C211" t="str">
        <f>_xlfn.XLOOKUP(B211,
[1]sales_teams!$A$2:$A$100,
[1]sales_teams!$B$2:$B$100)</f>
        <v>Melvin Marxen</v>
      </c>
      <c r="D211" t="str">
        <f>_xlfn.XLOOKUP($B211,sales_teams!$A$2:$A$36,sales_teams!C$2:C$36)</f>
        <v>Central</v>
      </c>
      <c r="E211" t="s">
        <v>48</v>
      </c>
      <c r="F211" t="s">
        <v>303</v>
      </c>
      <c r="G211" t="s">
        <v>12</v>
      </c>
      <c r="H211" s="1">
        <v>42717</v>
      </c>
      <c r="I211" s="1">
        <v>42814</v>
      </c>
      <c r="J211">
        <v>4278</v>
      </c>
    </row>
    <row r="212" spans="1:10" x14ac:dyDescent="0.3">
      <c r="A212" t="s">
        <v>336</v>
      </c>
      <c r="B212" t="s">
        <v>105</v>
      </c>
      <c r="C212" t="str">
        <f>_xlfn.XLOOKUP(B212,
[1]sales_teams!$A$2:$A$100,
[1]sales_teams!$B$2:$B$100)</f>
        <v>Cara Losch</v>
      </c>
      <c r="D212" t="str">
        <f>_xlfn.XLOOKUP($B212,sales_teams!$A$2:$A$36,sales_teams!C$2:C$36)</f>
        <v>East</v>
      </c>
      <c r="E212" t="s">
        <v>18</v>
      </c>
      <c r="F212" t="s">
        <v>179</v>
      </c>
      <c r="G212" t="s">
        <v>12</v>
      </c>
      <c r="H212" s="1">
        <v>42717</v>
      </c>
      <c r="I212" s="1">
        <v>42800</v>
      </c>
      <c r="J212">
        <v>41</v>
      </c>
    </row>
    <row r="213" spans="1:10" x14ac:dyDescent="0.3">
      <c r="A213" t="s">
        <v>337</v>
      </c>
      <c r="B213" t="s">
        <v>252</v>
      </c>
      <c r="C213" t="str">
        <f>_xlfn.XLOOKUP(B213,
[1]sales_teams!$A$2:$A$100,
[1]sales_teams!$B$2:$B$100)</f>
        <v>Melvin Marxen</v>
      </c>
      <c r="D213" t="str">
        <f>_xlfn.XLOOKUP($B213,sales_teams!$A$2:$A$36,sales_teams!C$2:C$36)</f>
        <v>Central</v>
      </c>
      <c r="E213" t="s">
        <v>20</v>
      </c>
      <c r="F213" t="s">
        <v>16</v>
      </c>
      <c r="G213" t="s">
        <v>12</v>
      </c>
      <c r="H213" s="1">
        <v>42717</v>
      </c>
      <c r="I213" s="1">
        <v>42822</v>
      </c>
      <c r="J213">
        <v>519</v>
      </c>
    </row>
    <row r="214" spans="1:10" x14ac:dyDescent="0.3">
      <c r="A214" t="s">
        <v>338</v>
      </c>
      <c r="B214" t="s">
        <v>78</v>
      </c>
      <c r="C214" t="str">
        <f>_xlfn.XLOOKUP(B214,
[1]sales_teams!$A$2:$A$100,
[1]sales_teams!$B$2:$B$100)</f>
        <v>Summer Sewald</v>
      </c>
      <c r="D214" t="str">
        <f>_xlfn.XLOOKUP($B214,sales_teams!$A$2:$A$36,sales_teams!C$2:C$36)</f>
        <v>West</v>
      </c>
      <c r="E214" t="s">
        <v>15</v>
      </c>
      <c r="G214" t="s">
        <v>40</v>
      </c>
      <c r="H214" s="1">
        <v>42717</v>
      </c>
    </row>
    <row r="215" spans="1:10" x14ac:dyDescent="0.3">
      <c r="A215" t="s">
        <v>339</v>
      </c>
      <c r="B215" t="s">
        <v>51</v>
      </c>
      <c r="C215" t="str">
        <f>_xlfn.XLOOKUP(B215,
[1]sales_teams!$A$2:$A$100,
[1]sales_teams!$B$2:$B$100)</f>
        <v>Summer Sewald</v>
      </c>
      <c r="D215" t="str">
        <f>_xlfn.XLOOKUP($B215,sales_teams!$A$2:$A$36,sales_teams!C$2:C$36)</f>
        <v>West</v>
      </c>
      <c r="E215" t="s">
        <v>20</v>
      </c>
      <c r="F215" t="s">
        <v>155</v>
      </c>
      <c r="G215" t="s">
        <v>12</v>
      </c>
      <c r="H215" s="1">
        <v>42717</v>
      </c>
      <c r="I215" s="1">
        <v>42798</v>
      </c>
      <c r="J215">
        <v>524</v>
      </c>
    </row>
    <row r="216" spans="1:10" x14ac:dyDescent="0.3">
      <c r="A216" t="s">
        <v>340</v>
      </c>
      <c r="B216" t="s">
        <v>23</v>
      </c>
      <c r="C216" t="str">
        <f>_xlfn.XLOOKUP(B216,
[1]sales_teams!$A$2:$A$100,
[1]sales_teams!$B$2:$B$100)</f>
        <v>Summer Sewald</v>
      </c>
      <c r="D216" t="str">
        <f>_xlfn.XLOOKUP($B216,sales_teams!$A$2:$A$36,sales_teams!C$2:C$36)</f>
        <v>West</v>
      </c>
      <c r="E216" t="s">
        <v>20</v>
      </c>
      <c r="F216" t="s">
        <v>273</v>
      </c>
      <c r="G216" t="s">
        <v>12</v>
      </c>
      <c r="H216" s="1">
        <v>42717</v>
      </c>
      <c r="I216" s="1">
        <v>42821</v>
      </c>
      <c r="J216">
        <v>552</v>
      </c>
    </row>
    <row r="217" spans="1:10" x14ac:dyDescent="0.3">
      <c r="A217" t="s">
        <v>341</v>
      </c>
      <c r="B217" t="s">
        <v>44</v>
      </c>
      <c r="C217" t="str">
        <f>_xlfn.XLOOKUP(B217,
[1]sales_teams!$A$2:$A$100,
[1]sales_teams!$B$2:$B$100)</f>
        <v>Melvin Marxen</v>
      </c>
      <c r="D217" t="str">
        <f>_xlfn.XLOOKUP($B217,sales_teams!$A$2:$A$36,sales_teams!C$2:C$36)</f>
        <v>Central</v>
      </c>
      <c r="E217" t="s">
        <v>10</v>
      </c>
      <c r="F217" t="s">
        <v>113</v>
      </c>
      <c r="G217" t="s">
        <v>12</v>
      </c>
      <c r="H217" s="1">
        <v>42718</v>
      </c>
      <c r="I217" s="1">
        <v>42796</v>
      </c>
      <c r="J217">
        <v>970</v>
      </c>
    </row>
    <row r="218" spans="1:10" x14ac:dyDescent="0.3">
      <c r="A218" t="s">
        <v>342</v>
      </c>
      <c r="B218" t="s">
        <v>54</v>
      </c>
      <c r="C218" t="str">
        <f>_xlfn.XLOOKUP(B218,
[1]sales_teams!$A$2:$A$100,
[1]sales_teams!$B$2:$B$100)</f>
        <v>Celia Rouche</v>
      </c>
      <c r="D218" t="str">
        <f>_xlfn.XLOOKUP($B218,sales_teams!$A$2:$A$36,sales_teams!C$2:C$36)</f>
        <v>West</v>
      </c>
      <c r="E218" t="s">
        <v>39</v>
      </c>
      <c r="G218" t="s">
        <v>40</v>
      </c>
      <c r="H218" s="1">
        <v>42718</v>
      </c>
    </row>
    <row r="219" spans="1:10" x14ac:dyDescent="0.3">
      <c r="A219" t="s">
        <v>343</v>
      </c>
      <c r="B219" t="s">
        <v>95</v>
      </c>
      <c r="C219" t="str">
        <f>_xlfn.XLOOKUP(B219,
[1]sales_teams!$A$2:$A$100,
[1]sales_teams!$B$2:$B$100)</f>
        <v>Summer Sewald</v>
      </c>
      <c r="D219" t="str">
        <f>_xlfn.XLOOKUP($B219,sales_teams!$A$2:$A$36,sales_teams!C$2:C$36)</f>
        <v>West</v>
      </c>
      <c r="E219" t="s">
        <v>10</v>
      </c>
      <c r="F219" t="s">
        <v>315</v>
      </c>
      <c r="G219" t="s">
        <v>40</v>
      </c>
      <c r="H219" s="1">
        <v>42718</v>
      </c>
    </row>
    <row r="220" spans="1:10" x14ac:dyDescent="0.3">
      <c r="A220" t="s">
        <v>344</v>
      </c>
      <c r="B220" t="s">
        <v>95</v>
      </c>
      <c r="C220" t="str">
        <f>_xlfn.XLOOKUP(B220,
[1]sales_teams!$A$2:$A$100,
[1]sales_teams!$B$2:$B$100)</f>
        <v>Summer Sewald</v>
      </c>
      <c r="D220" t="str">
        <f>_xlfn.XLOOKUP($B220,sales_teams!$A$2:$A$36,sales_teams!C$2:C$36)</f>
        <v>West</v>
      </c>
      <c r="E220" t="s">
        <v>10</v>
      </c>
      <c r="F220" t="s">
        <v>24</v>
      </c>
      <c r="G220" t="s">
        <v>12</v>
      </c>
      <c r="H220" s="1">
        <v>42718</v>
      </c>
      <c r="I220" s="1">
        <v>42807</v>
      </c>
      <c r="J220">
        <v>1046</v>
      </c>
    </row>
    <row r="221" spans="1:10" x14ac:dyDescent="0.3">
      <c r="A221" t="s">
        <v>345</v>
      </c>
      <c r="B221" t="s">
        <v>95</v>
      </c>
      <c r="C221" t="str">
        <f>_xlfn.XLOOKUP(B221,
[1]sales_teams!$A$2:$A$100,
[1]sales_teams!$B$2:$B$100)</f>
        <v>Summer Sewald</v>
      </c>
      <c r="D221" t="str">
        <f>_xlfn.XLOOKUP($B221,sales_teams!$A$2:$A$36,sales_teams!C$2:C$36)</f>
        <v>West</v>
      </c>
      <c r="E221" t="s">
        <v>10</v>
      </c>
      <c r="F221" t="s">
        <v>49</v>
      </c>
      <c r="G221" t="s">
        <v>12</v>
      </c>
      <c r="H221" s="1">
        <v>42718</v>
      </c>
      <c r="I221" s="1">
        <v>42808</v>
      </c>
      <c r="J221">
        <v>988</v>
      </c>
    </row>
    <row r="222" spans="1:10" x14ac:dyDescent="0.3">
      <c r="A222" t="s">
        <v>346</v>
      </c>
      <c r="B222" t="s">
        <v>133</v>
      </c>
      <c r="C222" t="str">
        <f>_xlfn.XLOOKUP(B222,
[1]sales_teams!$A$2:$A$100,
[1]sales_teams!$B$2:$B$100)</f>
        <v>Dustin Brinkmann</v>
      </c>
      <c r="D222" t="str">
        <f>_xlfn.XLOOKUP($B222,sales_teams!$A$2:$A$36,sales_teams!C$2:C$36)</f>
        <v>Central</v>
      </c>
      <c r="E222" t="s">
        <v>20</v>
      </c>
      <c r="F222" t="s">
        <v>21</v>
      </c>
      <c r="G222" t="s">
        <v>12</v>
      </c>
      <c r="H222" s="1">
        <v>42718</v>
      </c>
      <c r="I222" s="1">
        <v>42816</v>
      </c>
      <c r="J222">
        <v>547</v>
      </c>
    </row>
    <row r="223" spans="1:10" x14ac:dyDescent="0.3">
      <c r="A223" t="s">
        <v>347</v>
      </c>
      <c r="B223" t="s">
        <v>32</v>
      </c>
      <c r="C223" t="str">
        <f>_xlfn.XLOOKUP(B223,
[1]sales_teams!$A$2:$A$100,
[1]sales_teams!$B$2:$B$100)</f>
        <v>Celia Rouche</v>
      </c>
      <c r="D223" t="str">
        <f>_xlfn.XLOOKUP($B223,sales_teams!$A$2:$A$36,sales_teams!C$2:C$36)</f>
        <v>West</v>
      </c>
      <c r="E223" t="s">
        <v>20</v>
      </c>
      <c r="G223" t="s">
        <v>40</v>
      </c>
      <c r="H223" s="1">
        <v>42718</v>
      </c>
    </row>
    <row r="224" spans="1:10" x14ac:dyDescent="0.3">
      <c r="A224" t="s">
        <v>348</v>
      </c>
      <c r="B224" t="s">
        <v>51</v>
      </c>
      <c r="C224" t="str">
        <f>_xlfn.XLOOKUP(B224,
[1]sales_teams!$A$2:$A$100,
[1]sales_teams!$B$2:$B$100)</f>
        <v>Summer Sewald</v>
      </c>
      <c r="D224" t="str">
        <f>_xlfn.XLOOKUP($B224,sales_teams!$A$2:$A$36,sales_teams!C$2:C$36)</f>
        <v>West</v>
      </c>
      <c r="E224" t="s">
        <v>15</v>
      </c>
      <c r="F224" t="s">
        <v>273</v>
      </c>
      <c r="G224" t="s">
        <v>46</v>
      </c>
      <c r="H224" s="1">
        <v>42718</v>
      </c>
      <c r="I224" s="1">
        <v>42798</v>
      </c>
      <c r="J224">
        <v>0</v>
      </c>
    </row>
    <row r="225" spans="1:10" x14ac:dyDescent="0.3">
      <c r="A225" t="s">
        <v>349</v>
      </c>
      <c r="B225" t="s">
        <v>61</v>
      </c>
      <c r="C225" t="str">
        <f>_xlfn.XLOOKUP(B225,
[1]sales_teams!$A$2:$A$100,
[1]sales_teams!$B$2:$B$100)</f>
        <v>Dustin Brinkmann</v>
      </c>
      <c r="D225" t="str">
        <f>_xlfn.XLOOKUP($B225,sales_teams!$A$2:$A$36,sales_teams!C$2:C$36)</f>
        <v>Central</v>
      </c>
      <c r="E225" t="s">
        <v>18</v>
      </c>
      <c r="F225" t="s">
        <v>16</v>
      </c>
      <c r="G225" t="s">
        <v>12</v>
      </c>
      <c r="H225" s="1">
        <v>42718</v>
      </c>
      <c r="I225" s="1">
        <v>42825</v>
      </c>
      <c r="J225">
        <v>54</v>
      </c>
    </row>
    <row r="226" spans="1:10" x14ac:dyDescent="0.3">
      <c r="A226" t="s">
        <v>350</v>
      </c>
      <c r="B226" t="s">
        <v>73</v>
      </c>
      <c r="C226" t="str">
        <f>_xlfn.XLOOKUP(B226,
[1]sales_teams!$A$2:$A$100,
[1]sales_teams!$B$2:$B$100)</f>
        <v>Cara Losch</v>
      </c>
      <c r="D226" t="str">
        <f>_xlfn.XLOOKUP($B226,sales_teams!$A$2:$A$36,sales_teams!C$2:C$36)</f>
        <v>East</v>
      </c>
      <c r="E226" t="s">
        <v>18</v>
      </c>
      <c r="F226" t="s">
        <v>143</v>
      </c>
      <c r="G226" t="s">
        <v>12</v>
      </c>
      <c r="H226" s="1">
        <v>42718</v>
      </c>
      <c r="I226" s="1">
        <v>42814</v>
      </c>
      <c r="J226">
        <v>57</v>
      </c>
    </row>
    <row r="227" spans="1:10" x14ac:dyDescent="0.3">
      <c r="A227" t="s">
        <v>351</v>
      </c>
      <c r="B227" t="s">
        <v>73</v>
      </c>
      <c r="C227" t="str">
        <f>_xlfn.XLOOKUP(B227,
[1]sales_teams!$A$2:$A$100,
[1]sales_teams!$B$2:$B$100)</f>
        <v>Cara Losch</v>
      </c>
      <c r="D227" t="str">
        <f>_xlfn.XLOOKUP($B227,sales_teams!$A$2:$A$36,sales_teams!C$2:C$36)</f>
        <v>East</v>
      </c>
      <c r="E227" t="s">
        <v>18</v>
      </c>
      <c r="F227" t="s">
        <v>278</v>
      </c>
      <c r="G227" t="s">
        <v>12</v>
      </c>
      <c r="H227" s="1">
        <v>42718</v>
      </c>
      <c r="I227" s="1">
        <v>42812</v>
      </c>
      <c r="J227">
        <v>55</v>
      </c>
    </row>
    <row r="228" spans="1:10" x14ac:dyDescent="0.3">
      <c r="A228" t="s">
        <v>352</v>
      </c>
      <c r="B228" t="s">
        <v>26</v>
      </c>
      <c r="C228" t="str">
        <f>_xlfn.XLOOKUP(B228,
[1]sales_teams!$A$2:$A$100,
[1]sales_teams!$B$2:$B$100)</f>
        <v>Dustin Brinkmann</v>
      </c>
      <c r="D228" t="str">
        <f>_xlfn.XLOOKUP($B228,sales_teams!$A$2:$A$36,sales_teams!C$2:C$36)</f>
        <v>Central</v>
      </c>
      <c r="E228" t="s">
        <v>48</v>
      </c>
      <c r="F228" t="s">
        <v>111</v>
      </c>
      <c r="G228" t="s">
        <v>12</v>
      </c>
      <c r="H228" s="1">
        <v>42719</v>
      </c>
      <c r="I228" s="1">
        <v>42809</v>
      </c>
      <c r="J228">
        <v>5765</v>
      </c>
    </row>
    <row r="229" spans="1:10" x14ac:dyDescent="0.3">
      <c r="A229" t="s">
        <v>353</v>
      </c>
      <c r="B229" t="s">
        <v>64</v>
      </c>
      <c r="C229" t="str">
        <f>_xlfn.XLOOKUP(B229,
[1]sales_teams!$A$2:$A$100,
[1]sales_teams!$B$2:$B$100)</f>
        <v>Rocco Neubert</v>
      </c>
      <c r="D229" t="str">
        <f>_xlfn.XLOOKUP($B229,sales_teams!$A$2:$A$36,sales_teams!C$2:C$36)</f>
        <v>East</v>
      </c>
      <c r="E229" t="s">
        <v>20</v>
      </c>
      <c r="F229" t="s">
        <v>165</v>
      </c>
      <c r="G229" t="s">
        <v>12</v>
      </c>
      <c r="H229" s="1">
        <v>42719</v>
      </c>
      <c r="I229" s="1">
        <v>42810</v>
      </c>
      <c r="J229">
        <v>639</v>
      </c>
    </row>
    <row r="230" spans="1:10" x14ac:dyDescent="0.3">
      <c r="A230" t="s">
        <v>354</v>
      </c>
      <c r="B230" t="s">
        <v>95</v>
      </c>
      <c r="C230" t="str">
        <f>_xlfn.XLOOKUP(B230,
[1]sales_teams!$A$2:$A$100,
[1]sales_teams!$B$2:$B$100)</f>
        <v>Summer Sewald</v>
      </c>
      <c r="D230" t="str">
        <f>_xlfn.XLOOKUP($B230,sales_teams!$A$2:$A$36,sales_teams!C$2:C$36)</f>
        <v>West</v>
      </c>
      <c r="E230" t="s">
        <v>15</v>
      </c>
      <c r="F230" t="s">
        <v>86</v>
      </c>
      <c r="G230" t="s">
        <v>12</v>
      </c>
      <c r="H230" s="1">
        <v>42719</v>
      </c>
      <c r="I230" s="1">
        <v>42809</v>
      </c>
      <c r="J230">
        <v>5100</v>
      </c>
    </row>
    <row r="231" spans="1:10" x14ac:dyDescent="0.3">
      <c r="A231" t="s">
        <v>355</v>
      </c>
      <c r="B231" t="s">
        <v>32</v>
      </c>
      <c r="C231" t="str">
        <f>_xlfn.XLOOKUP(B231,
[1]sales_teams!$A$2:$A$100,
[1]sales_teams!$B$2:$B$100)</f>
        <v>Celia Rouche</v>
      </c>
      <c r="D231" t="str">
        <f>_xlfn.XLOOKUP($B231,sales_teams!$A$2:$A$36,sales_teams!C$2:C$36)</f>
        <v>West</v>
      </c>
      <c r="E231" t="s">
        <v>18</v>
      </c>
      <c r="G231" t="s">
        <v>40</v>
      </c>
      <c r="H231" s="1">
        <v>42719</v>
      </c>
    </row>
    <row r="232" spans="1:10" x14ac:dyDescent="0.3">
      <c r="A232" t="s">
        <v>356</v>
      </c>
      <c r="B232" t="s">
        <v>29</v>
      </c>
      <c r="C232" t="str">
        <f>_xlfn.XLOOKUP(B232,
[1]sales_teams!$A$2:$A$100,
[1]sales_teams!$B$2:$B$100)</f>
        <v>Celia Rouche</v>
      </c>
      <c r="D232" t="str">
        <f>_xlfn.XLOOKUP($B232,sales_teams!$A$2:$A$36,sales_teams!C$2:C$36)</f>
        <v>West</v>
      </c>
      <c r="E232" t="s">
        <v>15</v>
      </c>
      <c r="F232" t="s">
        <v>70</v>
      </c>
      <c r="G232" t="s">
        <v>12</v>
      </c>
      <c r="H232" s="1">
        <v>42719</v>
      </c>
      <c r="I232" s="1">
        <v>42801</v>
      </c>
      <c r="J232">
        <v>4906</v>
      </c>
    </row>
    <row r="233" spans="1:10" x14ac:dyDescent="0.3">
      <c r="A233" t="s">
        <v>357</v>
      </c>
      <c r="B233" t="s">
        <v>139</v>
      </c>
      <c r="C233" t="str">
        <f>_xlfn.XLOOKUP(B233,
[1]sales_teams!$A$2:$A$100,
[1]sales_teams!$B$2:$B$100)</f>
        <v>Rocco Neubert</v>
      </c>
      <c r="D233" t="str">
        <f>_xlfn.XLOOKUP($B233,sales_teams!$A$2:$A$36,sales_teams!C$2:C$36)</f>
        <v>East</v>
      </c>
      <c r="E233" t="s">
        <v>48</v>
      </c>
      <c r="F233" t="s">
        <v>45</v>
      </c>
      <c r="G233" t="s">
        <v>40</v>
      </c>
      <c r="H233" s="1">
        <v>42720</v>
      </c>
    </row>
    <row r="234" spans="1:10" x14ac:dyDescent="0.3">
      <c r="A234" t="s">
        <v>358</v>
      </c>
      <c r="B234" t="s">
        <v>64</v>
      </c>
      <c r="C234" t="str">
        <f>_xlfn.XLOOKUP(B234,
[1]sales_teams!$A$2:$A$100,
[1]sales_teams!$B$2:$B$100)</f>
        <v>Rocco Neubert</v>
      </c>
      <c r="D234" t="str">
        <f>_xlfn.XLOOKUP($B234,sales_teams!$A$2:$A$36,sales_teams!C$2:C$36)</f>
        <v>East</v>
      </c>
      <c r="E234" t="s">
        <v>20</v>
      </c>
      <c r="F234" t="s">
        <v>207</v>
      </c>
      <c r="G234" t="s">
        <v>40</v>
      </c>
      <c r="H234" s="1">
        <v>42720</v>
      </c>
    </row>
    <row r="235" spans="1:10" x14ac:dyDescent="0.3">
      <c r="A235" t="s">
        <v>359</v>
      </c>
      <c r="B235" t="s">
        <v>142</v>
      </c>
      <c r="C235" t="str">
        <f>_xlfn.XLOOKUP(B235,
[1]sales_teams!$A$2:$A$100,
[1]sales_teams!$B$2:$B$100)</f>
        <v>Rocco Neubert</v>
      </c>
      <c r="D235" t="str">
        <f>_xlfn.XLOOKUP($B235,sales_teams!$A$2:$A$36,sales_teams!C$2:C$36)</f>
        <v>East</v>
      </c>
      <c r="E235" t="s">
        <v>10</v>
      </c>
      <c r="F235" t="s">
        <v>140</v>
      </c>
      <c r="G235" t="s">
        <v>12</v>
      </c>
      <c r="H235" s="1">
        <v>42720</v>
      </c>
      <c r="I235" s="1">
        <v>42801</v>
      </c>
      <c r="J235">
        <v>1037</v>
      </c>
    </row>
    <row r="236" spans="1:10" x14ac:dyDescent="0.3">
      <c r="A236" t="s">
        <v>360</v>
      </c>
      <c r="B236" t="s">
        <v>38</v>
      </c>
      <c r="C236" t="str">
        <f>_xlfn.XLOOKUP(B236,
[1]sales_teams!$A$2:$A$100,
[1]sales_teams!$B$2:$B$100)</f>
        <v>Summer Sewald</v>
      </c>
      <c r="D236" t="str">
        <f>_xlfn.XLOOKUP($B236,sales_teams!$A$2:$A$36,sales_teams!C$2:C$36)</f>
        <v>West</v>
      </c>
      <c r="E236" t="s">
        <v>20</v>
      </c>
      <c r="F236" t="s">
        <v>124</v>
      </c>
      <c r="G236" t="s">
        <v>12</v>
      </c>
      <c r="H236" s="1">
        <v>42720</v>
      </c>
      <c r="I236" s="1">
        <v>42809</v>
      </c>
      <c r="J236">
        <v>537</v>
      </c>
    </row>
    <row r="237" spans="1:10" x14ac:dyDescent="0.3">
      <c r="A237" t="s">
        <v>361</v>
      </c>
      <c r="B237" t="s">
        <v>95</v>
      </c>
      <c r="C237" t="str">
        <f>_xlfn.XLOOKUP(B237,
[1]sales_teams!$A$2:$A$100,
[1]sales_teams!$B$2:$B$100)</f>
        <v>Summer Sewald</v>
      </c>
      <c r="D237" t="str">
        <f>_xlfn.XLOOKUP($B237,sales_teams!$A$2:$A$36,sales_teams!C$2:C$36)</f>
        <v>West</v>
      </c>
      <c r="E237" t="s">
        <v>15</v>
      </c>
      <c r="F237" t="s">
        <v>24</v>
      </c>
      <c r="G237" t="s">
        <v>12</v>
      </c>
      <c r="H237" s="1">
        <v>42720</v>
      </c>
      <c r="I237" s="1">
        <v>42803</v>
      </c>
      <c r="J237">
        <v>4694</v>
      </c>
    </row>
    <row r="238" spans="1:10" x14ac:dyDescent="0.3">
      <c r="A238" t="s">
        <v>362</v>
      </c>
      <c r="B238" t="s">
        <v>133</v>
      </c>
      <c r="C238" t="str">
        <f>_xlfn.XLOOKUP(B238,
[1]sales_teams!$A$2:$A$100,
[1]sales_teams!$B$2:$B$100)</f>
        <v>Dustin Brinkmann</v>
      </c>
      <c r="D238" t="str">
        <f>_xlfn.XLOOKUP($B238,sales_teams!$A$2:$A$36,sales_teams!C$2:C$36)</f>
        <v>Central</v>
      </c>
      <c r="E238" t="s">
        <v>20</v>
      </c>
      <c r="F238" t="s">
        <v>113</v>
      </c>
      <c r="G238" t="s">
        <v>12</v>
      </c>
      <c r="H238" s="1">
        <v>42720</v>
      </c>
      <c r="I238" s="1">
        <v>42818</v>
      </c>
      <c r="J238">
        <v>560</v>
      </c>
    </row>
    <row r="239" spans="1:10" x14ac:dyDescent="0.3">
      <c r="A239" t="s">
        <v>363</v>
      </c>
      <c r="B239" t="s">
        <v>9</v>
      </c>
      <c r="C239" t="str">
        <f>_xlfn.XLOOKUP(B239,
[1]sales_teams!$A$2:$A$100,
[1]sales_teams!$B$2:$B$100)</f>
        <v>Dustin Brinkmann</v>
      </c>
      <c r="D239" t="str">
        <f>_xlfn.XLOOKUP($B239,sales_teams!$A$2:$A$36,sales_teams!C$2:C$36)</f>
        <v>Central</v>
      </c>
      <c r="E239" t="s">
        <v>20</v>
      </c>
      <c r="F239" t="s">
        <v>91</v>
      </c>
      <c r="G239" t="s">
        <v>12</v>
      </c>
      <c r="H239" s="1">
        <v>42720</v>
      </c>
      <c r="I239" s="1">
        <v>42807</v>
      </c>
      <c r="J239">
        <v>589</v>
      </c>
    </row>
    <row r="240" spans="1:10" x14ac:dyDescent="0.3">
      <c r="A240" t="s">
        <v>364</v>
      </c>
      <c r="B240" t="s">
        <v>97</v>
      </c>
      <c r="C240" t="str">
        <f>_xlfn.XLOOKUP(B240,
[1]sales_teams!$A$2:$A$100,
[1]sales_teams!$B$2:$B$100)</f>
        <v>Rocco Neubert</v>
      </c>
      <c r="D240" t="str">
        <f>_xlfn.XLOOKUP($B240,sales_teams!$A$2:$A$36,sales_teams!C$2:C$36)</f>
        <v>East</v>
      </c>
      <c r="E240" t="s">
        <v>20</v>
      </c>
      <c r="F240" t="s">
        <v>106</v>
      </c>
      <c r="G240" t="s">
        <v>12</v>
      </c>
      <c r="H240" s="1">
        <v>42720</v>
      </c>
      <c r="I240" s="1">
        <v>42808</v>
      </c>
      <c r="J240">
        <v>493</v>
      </c>
    </row>
    <row r="241" spans="1:10" x14ac:dyDescent="0.3">
      <c r="A241" t="s">
        <v>365</v>
      </c>
      <c r="B241" t="s">
        <v>61</v>
      </c>
      <c r="C241" t="str">
        <f>_xlfn.XLOOKUP(B241,
[1]sales_teams!$A$2:$A$100,
[1]sales_teams!$B$2:$B$100)</f>
        <v>Dustin Brinkmann</v>
      </c>
      <c r="D241" t="str">
        <f>_xlfn.XLOOKUP($B241,sales_teams!$A$2:$A$36,sales_teams!C$2:C$36)</f>
        <v>Central</v>
      </c>
      <c r="E241" t="s">
        <v>18</v>
      </c>
      <c r="F241" t="s">
        <v>303</v>
      </c>
      <c r="G241" t="s">
        <v>12</v>
      </c>
      <c r="H241" s="1">
        <v>42720</v>
      </c>
      <c r="I241" s="1">
        <v>42802</v>
      </c>
      <c r="J241">
        <v>50</v>
      </c>
    </row>
    <row r="242" spans="1:10" x14ac:dyDescent="0.3">
      <c r="A242" t="s">
        <v>366</v>
      </c>
      <c r="B242" t="s">
        <v>29</v>
      </c>
      <c r="C242" t="str">
        <f>_xlfn.XLOOKUP(B242,
[1]sales_teams!$A$2:$A$100,
[1]sales_teams!$B$2:$B$100)</f>
        <v>Celia Rouche</v>
      </c>
      <c r="D242" t="str">
        <f>_xlfn.XLOOKUP($B242,sales_teams!$A$2:$A$36,sales_teams!C$2:C$36)</f>
        <v>West</v>
      </c>
      <c r="E242" t="s">
        <v>20</v>
      </c>
      <c r="F242" t="s">
        <v>159</v>
      </c>
      <c r="G242" t="s">
        <v>12</v>
      </c>
      <c r="H242" s="1">
        <v>42720</v>
      </c>
      <c r="I242" s="1">
        <v>42822</v>
      </c>
      <c r="J242">
        <v>492</v>
      </c>
    </row>
    <row r="243" spans="1:10" x14ac:dyDescent="0.3">
      <c r="A243" t="s">
        <v>367</v>
      </c>
      <c r="B243" t="s">
        <v>118</v>
      </c>
      <c r="C243" t="str">
        <f>_xlfn.XLOOKUP(B243,
[1]sales_teams!$A$2:$A$100,
[1]sales_teams!$B$2:$B$100)</f>
        <v>Rocco Neubert</v>
      </c>
      <c r="D243" t="str">
        <f>_xlfn.XLOOKUP($B243,sales_teams!$A$2:$A$36,sales_teams!C$2:C$36)</f>
        <v>East</v>
      </c>
      <c r="E243" t="s">
        <v>20</v>
      </c>
      <c r="G243" t="s">
        <v>40</v>
      </c>
      <c r="H243" s="1">
        <v>42721</v>
      </c>
    </row>
    <row r="244" spans="1:10" x14ac:dyDescent="0.3">
      <c r="A244" t="s">
        <v>368</v>
      </c>
      <c r="B244" t="s">
        <v>164</v>
      </c>
      <c r="C244" t="str">
        <f>_xlfn.XLOOKUP(B244,
[1]sales_teams!$A$2:$A$100,
[1]sales_teams!$B$2:$B$100)</f>
        <v>Cara Losch</v>
      </c>
      <c r="D244" t="str">
        <f>_xlfn.XLOOKUP($B244,sales_teams!$A$2:$A$36,sales_teams!C$2:C$36)</f>
        <v>East</v>
      </c>
      <c r="E244" t="s">
        <v>48</v>
      </c>
      <c r="G244" t="s">
        <v>40</v>
      </c>
      <c r="H244" s="1">
        <v>42721</v>
      </c>
    </row>
    <row r="245" spans="1:10" x14ac:dyDescent="0.3">
      <c r="A245" t="s">
        <v>369</v>
      </c>
      <c r="B245" t="s">
        <v>164</v>
      </c>
      <c r="C245" t="str">
        <f>_xlfn.XLOOKUP(B245,
[1]sales_teams!$A$2:$A$100,
[1]sales_teams!$B$2:$B$100)</f>
        <v>Cara Losch</v>
      </c>
      <c r="D245" t="str">
        <f>_xlfn.XLOOKUP($B245,sales_teams!$A$2:$A$36,sales_teams!C$2:C$36)</f>
        <v>East</v>
      </c>
      <c r="E245" t="s">
        <v>10</v>
      </c>
      <c r="F245" t="s">
        <v>199</v>
      </c>
      <c r="G245" t="s">
        <v>12</v>
      </c>
      <c r="H245" s="1">
        <v>42721</v>
      </c>
      <c r="I245" s="1">
        <v>42807</v>
      </c>
      <c r="J245">
        <v>1255</v>
      </c>
    </row>
    <row r="246" spans="1:10" x14ac:dyDescent="0.3">
      <c r="A246" t="s">
        <v>370</v>
      </c>
      <c r="B246" t="s">
        <v>14</v>
      </c>
      <c r="C246" t="str">
        <f>_xlfn.XLOOKUP(B246,
[1]sales_teams!$A$2:$A$100,
[1]sales_teams!$B$2:$B$100)</f>
        <v>Melvin Marxen</v>
      </c>
      <c r="D246" t="str">
        <f>_xlfn.XLOOKUP($B246,sales_teams!$A$2:$A$36,sales_teams!C$2:C$36)</f>
        <v>Central</v>
      </c>
      <c r="E246" t="s">
        <v>20</v>
      </c>
      <c r="F246" t="s">
        <v>187</v>
      </c>
      <c r="G246" t="s">
        <v>12</v>
      </c>
      <c r="H246" s="1">
        <v>42721</v>
      </c>
      <c r="I246" s="1">
        <v>42798</v>
      </c>
      <c r="J246">
        <v>463</v>
      </c>
    </row>
    <row r="247" spans="1:10" x14ac:dyDescent="0.3">
      <c r="A247" t="s">
        <v>371</v>
      </c>
      <c r="B247" t="s">
        <v>142</v>
      </c>
      <c r="C247" t="str">
        <f>_xlfn.XLOOKUP(B247,
[1]sales_teams!$A$2:$A$100,
[1]sales_teams!$B$2:$B$100)</f>
        <v>Rocco Neubert</v>
      </c>
      <c r="D247" t="str">
        <f>_xlfn.XLOOKUP($B247,sales_teams!$A$2:$A$36,sales_teams!C$2:C$36)</f>
        <v>East</v>
      </c>
      <c r="E247" t="s">
        <v>10</v>
      </c>
      <c r="F247" t="s">
        <v>240</v>
      </c>
      <c r="G247" t="s">
        <v>46</v>
      </c>
      <c r="H247" s="1">
        <v>42721</v>
      </c>
      <c r="I247" s="1">
        <v>42821</v>
      </c>
      <c r="J247">
        <v>0</v>
      </c>
    </row>
    <row r="248" spans="1:10" x14ac:dyDescent="0.3">
      <c r="A248" t="s">
        <v>372</v>
      </c>
      <c r="B248" t="s">
        <v>142</v>
      </c>
      <c r="C248" t="str">
        <f>_xlfn.XLOOKUP(B248,
[1]sales_teams!$A$2:$A$100,
[1]sales_teams!$B$2:$B$100)</f>
        <v>Rocco Neubert</v>
      </c>
      <c r="D248" t="str">
        <f>_xlfn.XLOOKUP($B248,sales_teams!$A$2:$A$36,sales_teams!C$2:C$36)</f>
        <v>East</v>
      </c>
      <c r="E248" t="s">
        <v>20</v>
      </c>
      <c r="F248" t="s">
        <v>373</v>
      </c>
      <c r="G248" t="s">
        <v>12</v>
      </c>
      <c r="H248" s="1">
        <v>42721</v>
      </c>
      <c r="I248" s="1">
        <v>42806</v>
      </c>
      <c r="J248">
        <v>605</v>
      </c>
    </row>
    <row r="249" spans="1:10" x14ac:dyDescent="0.3">
      <c r="A249" t="s">
        <v>374</v>
      </c>
      <c r="B249" t="s">
        <v>54</v>
      </c>
      <c r="C249" t="str">
        <f>_xlfn.XLOOKUP(B249,
[1]sales_teams!$A$2:$A$100,
[1]sales_teams!$B$2:$B$100)</f>
        <v>Celia Rouche</v>
      </c>
      <c r="D249" t="str">
        <f>_xlfn.XLOOKUP($B249,sales_teams!$A$2:$A$36,sales_teams!C$2:C$36)</f>
        <v>West</v>
      </c>
      <c r="E249" t="s">
        <v>10</v>
      </c>
      <c r="F249" t="s">
        <v>70</v>
      </c>
      <c r="G249" t="s">
        <v>12</v>
      </c>
      <c r="H249" s="1">
        <v>42721</v>
      </c>
      <c r="I249" s="1">
        <v>42814</v>
      </c>
      <c r="J249">
        <v>1315</v>
      </c>
    </row>
    <row r="250" spans="1:10" x14ac:dyDescent="0.3">
      <c r="A250" t="s">
        <v>375</v>
      </c>
      <c r="B250" t="s">
        <v>133</v>
      </c>
      <c r="C250" t="str">
        <f>_xlfn.XLOOKUP(B250,
[1]sales_teams!$A$2:$A$100,
[1]sales_teams!$B$2:$B$100)</f>
        <v>Dustin Brinkmann</v>
      </c>
      <c r="D250" t="str">
        <f>_xlfn.XLOOKUP($B250,sales_teams!$A$2:$A$36,sales_teams!C$2:C$36)</f>
        <v>Central</v>
      </c>
      <c r="E250" t="s">
        <v>20</v>
      </c>
      <c r="F250" t="s">
        <v>36</v>
      </c>
      <c r="G250" t="s">
        <v>12</v>
      </c>
      <c r="H250" s="1">
        <v>42721</v>
      </c>
      <c r="I250" s="1">
        <v>42796</v>
      </c>
      <c r="J250">
        <v>559</v>
      </c>
    </row>
    <row r="251" spans="1:10" x14ac:dyDescent="0.3">
      <c r="A251" t="s">
        <v>376</v>
      </c>
      <c r="B251" t="s">
        <v>9</v>
      </c>
      <c r="C251" t="str">
        <f>_xlfn.XLOOKUP(B251,
[1]sales_teams!$A$2:$A$100,
[1]sales_teams!$B$2:$B$100)</f>
        <v>Dustin Brinkmann</v>
      </c>
      <c r="D251" t="str">
        <f>_xlfn.XLOOKUP($B251,sales_teams!$A$2:$A$36,sales_teams!C$2:C$36)</f>
        <v>Central</v>
      </c>
      <c r="E251" t="s">
        <v>20</v>
      </c>
      <c r="F251" t="s">
        <v>126</v>
      </c>
      <c r="G251" t="s">
        <v>12</v>
      </c>
      <c r="H251" s="1">
        <v>42721</v>
      </c>
      <c r="I251" s="1">
        <v>42822</v>
      </c>
      <c r="J251">
        <v>557</v>
      </c>
    </row>
    <row r="252" spans="1:10" x14ac:dyDescent="0.3">
      <c r="A252" t="s">
        <v>377</v>
      </c>
      <c r="B252" t="s">
        <v>88</v>
      </c>
      <c r="C252" t="str">
        <f>_xlfn.XLOOKUP(B252,
[1]sales_teams!$A$2:$A$100,
[1]sales_teams!$B$2:$B$100)</f>
        <v>Cara Losch</v>
      </c>
      <c r="D252" t="str">
        <f>_xlfn.XLOOKUP($B252,sales_teams!$A$2:$A$36,sales_teams!C$2:C$36)</f>
        <v>East</v>
      </c>
      <c r="E252" t="s">
        <v>18</v>
      </c>
      <c r="F252" t="s">
        <v>74</v>
      </c>
      <c r="G252" t="s">
        <v>12</v>
      </c>
      <c r="H252" s="1">
        <v>42721</v>
      </c>
      <c r="I252" s="1">
        <v>42796</v>
      </c>
      <c r="J252">
        <v>48</v>
      </c>
    </row>
    <row r="253" spans="1:10" x14ac:dyDescent="0.3">
      <c r="A253" t="s">
        <v>378</v>
      </c>
      <c r="B253" t="s">
        <v>61</v>
      </c>
      <c r="C253" t="str">
        <f>_xlfn.XLOOKUP(B253,
[1]sales_teams!$A$2:$A$100,
[1]sales_teams!$B$2:$B$100)</f>
        <v>Dustin Brinkmann</v>
      </c>
      <c r="D253" t="str">
        <f>_xlfn.XLOOKUP($B253,sales_teams!$A$2:$A$36,sales_teams!C$2:C$36)</f>
        <v>Central</v>
      </c>
      <c r="E253" t="s">
        <v>48</v>
      </c>
      <c r="F253" t="s">
        <v>16</v>
      </c>
      <c r="G253" t="s">
        <v>12</v>
      </c>
      <c r="H253" s="1">
        <v>42721</v>
      </c>
      <c r="I253" s="1">
        <v>42819</v>
      </c>
      <c r="J253">
        <v>6282</v>
      </c>
    </row>
    <row r="254" spans="1:10" x14ac:dyDescent="0.3">
      <c r="A254" t="s">
        <v>379</v>
      </c>
      <c r="B254" t="s">
        <v>29</v>
      </c>
      <c r="C254" t="str">
        <f>_xlfn.XLOOKUP(B254,
[1]sales_teams!$A$2:$A$100,
[1]sales_teams!$B$2:$B$100)</f>
        <v>Celia Rouche</v>
      </c>
      <c r="D254" t="str">
        <f>_xlfn.XLOOKUP($B254,sales_teams!$A$2:$A$36,sales_teams!C$2:C$36)</f>
        <v>West</v>
      </c>
      <c r="E254" t="s">
        <v>18</v>
      </c>
      <c r="G254" t="s">
        <v>40</v>
      </c>
      <c r="H254" s="1">
        <v>42721</v>
      </c>
    </row>
    <row r="255" spans="1:10" x14ac:dyDescent="0.3">
      <c r="A255" t="s">
        <v>380</v>
      </c>
      <c r="B255" t="s">
        <v>26</v>
      </c>
      <c r="C255" t="str">
        <f>_xlfn.XLOOKUP(B255,
[1]sales_teams!$A$2:$A$100,
[1]sales_teams!$B$2:$B$100)</f>
        <v>Dustin Brinkmann</v>
      </c>
      <c r="D255" t="str">
        <f>_xlfn.XLOOKUP($B255,sales_teams!$A$2:$A$36,sales_teams!C$2:C$36)</f>
        <v>Central</v>
      </c>
      <c r="E255" t="s">
        <v>39</v>
      </c>
      <c r="F255" t="s">
        <v>16</v>
      </c>
      <c r="G255" t="s">
        <v>12</v>
      </c>
      <c r="H255" s="1">
        <v>42722</v>
      </c>
      <c r="I255" s="1">
        <v>42796</v>
      </c>
      <c r="J255">
        <v>3246</v>
      </c>
    </row>
    <row r="256" spans="1:10" x14ac:dyDescent="0.3">
      <c r="A256" t="s">
        <v>381</v>
      </c>
      <c r="B256" t="s">
        <v>118</v>
      </c>
      <c r="C256" t="str">
        <f>_xlfn.XLOOKUP(B256,
[1]sales_teams!$A$2:$A$100,
[1]sales_teams!$B$2:$B$100)</f>
        <v>Rocco Neubert</v>
      </c>
      <c r="D256" t="str">
        <f>_xlfn.XLOOKUP($B256,sales_teams!$A$2:$A$36,sales_teams!C$2:C$36)</f>
        <v>East</v>
      </c>
      <c r="E256" t="s">
        <v>39</v>
      </c>
      <c r="G256" t="s">
        <v>40</v>
      </c>
      <c r="H256" s="1">
        <v>42722</v>
      </c>
    </row>
    <row r="257" spans="1:10" x14ac:dyDescent="0.3">
      <c r="A257" t="s">
        <v>382</v>
      </c>
      <c r="B257" t="s">
        <v>14</v>
      </c>
      <c r="C257" t="str">
        <f>_xlfn.XLOOKUP(B257,
[1]sales_teams!$A$2:$A$100,
[1]sales_teams!$B$2:$B$100)</f>
        <v>Melvin Marxen</v>
      </c>
      <c r="D257" t="str">
        <f>_xlfn.XLOOKUP($B257,sales_teams!$A$2:$A$36,sales_teams!C$2:C$36)</f>
        <v>Central</v>
      </c>
      <c r="E257" t="s">
        <v>20</v>
      </c>
      <c r="F257" t="s">
        <v>129</v>
      </c>
      <c r="G257" t="s">
        <v>12</v>
      </c>
      <c r="H257" s="1">
        <v>42722</v>
      </c>
      <c r="I257" s="1">
        <v>42808</v>
      </c>
      <c r="J257">
        <v>514</v>
      </c>
    </row>
    <row r="258" spans="1:10" x14ac:dyDescent="0.3">
      <c r="A258" t="s">
        <v>383</v>
      </c>
      <c r="B258" t="s">
        <v>142</v>
      </c>
      <c r="C258" t="str">
        <f>_xlfn.XLOOKUP(B258,
[1]sales_teams!$A$2:$A$100,
[1]sales_teams!$B$2:$B$100)</f>
        <v>Rocco Neubert</v>
      </c>
      <c r="D258" t="str">
        <f>_xlfn.XLOOKUP($B258,sales_teams!$A$2:$A$36,sales_teams!C$2:C$36)</f>
        <v>East</v>
      </c>
      <c r="E258" t="s">
        <v>10</v>
      </c>
      <c r="F258" t="s">
        <v>143</v>
      </c>
      <c r="G258" t="s">
        <v>12</v>
      </c>
      <c r="H258" s="1">
        <v>42722</v>
      </c>
      <c r="I258" s="1">
        <v>42809</v>
      </c>
      <c r="J258">
        <v>1132</v>
      </c>
    </row>
    <row r="259" spans="1:10" x14ac:dyDescent="0.3">
      <c r="A259" t="s">
        <v>384</v>
      </c>
      <c r="B259" t="s">
        <v>105</v>
      </c>
      <c r="C259" t="str">
        <f>_xlfn.XLOOKUP(B259,
[1]sales_teams!$A$2:$A$100,
[1]sales_teams!$B$2:$B$100)</f>
        <v>Cara Losch</v>
      </c>
      <c r="D259" t="str">
        <f>_xlfn.XLOOKUP($B259,sales_teams!$A$2:$A$36,sales_teams!C$2:C$36)</f>
        <v>East</v>
      </c>
      <c r="E259" t="s">
        <v>48</v>
      </c>
      <c r="F259" t="s">
        <v>143</v>
      </c>
      <c r="G259" t="s">
        <v>12</v>
      </c>
      <c r="H259" s="1">
        <v>42722</v>
      </c>
      <c r="I259" s="1">
        <v>42815</v>
      </c>
      <c r="J259">
        <v>5918</v>
      </c>
    </row>
    <row r="260" spans="1:10" x14ac:dyDescent="0.3">
      <c r="A260" t="s">
        <v>385</v>
      </c>
      <c r="B260" t="s">
        <v>95</v>
      </c>
      <c r="C260" t="str">
        <f>_xlfn.XLOOKUP(B260,
[1]sales_teams!$A$2:$A$100,
[1]sales_teams!$B$2:$B$100)</f>
        <v>Summer Sewald</v>
      </c>
      <c r="D260" t="str">
        <f>_xlfn.XLOOKUP($B260,sales_teams!$A$2:$A$36,sales_teams!C$2:C$36)</f>
        <v>West</v>
      </c>
      <c r="E260" t="s">
        <v>15</v>
      </c>
      <c r="F260" t="s">
        <v>315</v>
      </c>
      <c r="G260" t="s">
        <v>46</v>
      </c>
      <c r="H260" s="1">
        <v>42722</v>
      </c>
      <c r="I260" s="1">
        <v>42812</v>
      </c>
      <c r="J260">
        <v>0</v>
      </c>
    </row>
    <row r="261" spans="1:10" x14ac:dyDescent="0.3">
      <c r="A261" t="s">
        <v>386</v>
      </c>
      <c r="B261" t="s">
        <v>51</v>
      </c>
      <c r="C261" t="str">
        <f>_xlfn.XLOOKUP(B261,
[1]sales_teams!$A$2:$A$100,
[1]sales_teams!$B$2:$B$100)</f>
        <v>Summer Sewald</v>
      </c>
      <c r="D261" t="str">
        <f>_xlfn.XLOOKUP($B261,sales_teams!$A$2:$A$36,sales_teams!C$2:C$36)</f>
        <v>West</v>
      </c>
      <c r="E261" t="s">
        <v>18</v>
      </c>
      <c r="F261" t="s">
        <v>155</v>
      </c>
      <c r="G261" t="s">
        <v>46</v>
      </c>
      <c r="H261" s="1">
        <v>42722</v>
      </c>
      <c r="I261" s="1">
        <v>42808</v>
      </c>
      <c r="J261">
        <v>0</v>
      </c>
    </row>
    <row r="262" spans="1:10" x14ac:dyDescent="0.3">
      <c r="A262" t="s">
        <v>387</v>
      </c>
      <c r="B262" t="s">
        <v>57</v>
      </c>
      <c r="C262" t="str">
        <f>_xlfn.XLOOKUP(B262,
[1]sales_teams!$A$2:$A$100,
[1]sales_teams!$B$2:$B$100)</f>
        <v>Celia Rouche</v>
      </c>
      <c r="D262" t="str">
        <f>_xlfn.XLOOKUP($B262,sales_teams!$A$2:$A$36,sales_teams!C$2:C$36)</f>
        <v>West</v>
      </c>
      <c r="E262" t="s">
        <v>18</v>
      </c>
      <c r="F262" t="s">
        <v>24</v>
      </c>
      <c r="G262" t="s">
        <v>46</v>
      </c>
      <c r="H262" s="1">
        <v>42722</v>
      </c>
      <c r="I262" s="1">
        <v>42807</v>
      </c>
      <c r="J262">
        <v>0</v>
      </c>
    </row>
    <row r="263" spans="1:10" x14ac:dyDescent="0.3">
      <c r="A263" t="s">
        <v>388</v>
      </c>
      <c r="B263" t="s">
        <v>88</v>
      </c>
      <c r="C263" t="str">
        <f>_xlfn.XLOOKUP(B263,
[1]sales_teams!$A$2:$A$100,
[1]sales_teams!$B$2:$B$100)</f>
        <v>Cara Losch</v>
      </c>
      <c r="D263" t="str">
        <f>_xlfn.XLOOKUP($B263,sales_teams!$A$2:$A$36,sales_teams!C$2:C$36)</f>
        <v>East</v>
      </c>
      <c r="E263" t="s">
        <v>18</v>
      </c>
      <c r="F263" t="s">
        <v>124</v>
      </c>
      <c r="G263" t="s">
        <v>40</v>
      </c>
      <c r="H263" s="1">
        <v>42722</v>
      </c>
    </row>
    <row r="264" spans="1:10" x14ac:dyDescent="0.3">
      <c r="A264" t="s">
        <v>389</v>
      </c>
      <c r="B264" t="s">
        <v>61</v>
      </c>
      <c r="C264" t="str">
        <f>_xlfn.XLOOKUP(B264,
[1]sales_teams!$A$2:$A$100,
[1]sales_teams!$B$2:$B$100)</f>
        <v>Dustin Brinkmann</v>
      </c>
      <c r="D264" t="str">
        <f>_xlfn.XLOOKUP($B264,sales_teams!$A$2:$A$36,sales_teams!C$2:C$36)</f>
        <v>Central</v>
      </c>
      <c r="E264" t="s">
        <v>39</v>
      </c>
      <c r="F264" t="s">
        <v>109</v>
      </c>
      <c r="G264" t="s">
        <v>12</v>
      </c>
      <c r="H264" s="1">
        <v>42722</v>
      </c>
      <c r="I264" s="1">
        <v>42818</v>
      </c>
      <c r="J264">
        <v>2955</v>
      </c>
    </row>
    <row r="265" spans="1:10" x14ac:dyDescent="0.3">
      <c r="A265" t="s">
        <v>390</v>
      </c>
      <c r="B265" t="s">
        <v>29</v>
      </c>
      <c r="C265" t="str">
        <f>_xlfn.XLOOKUP(B265,
[1]sales_teams!$A$2:$A$100,
[1]sales_teams!$B$2:$B$100)</f>
        <v>Celia Rouche</v>
      </c>
      <c r="D265" t="str">
        <f>_xlfn.XLOOKUP($B265,sales_teams!$A$2:$A$36,sales_teams!C$2:C$36)</f>
        <v>West</v>
      </c>
      <c r="E265" t="s">
        <v>15</v>
      </c>
      <c r="F265" t="s">
        <v>70</v>
      </c>
      <c r="G265" t="s">
        <v>12</v>
      </c>
      <c r="H265" s="1">
        <v>42722</v>
      </c>
      <c r="I265" s="1">
        <v>42815</v>
      </c>
      <c r="J265">
        <v>3742</v>
      </c>
    </row>
    <row r="266" spans="1:10" x14ac:dyDescent="0.3">
      <c r="A266" t="s">
        <v>391</v>
      </c>
      <c r="B266" t="s">
        <v>73</v>
      </c>
      <c r="C266" t="str">
        <f>_xlfn.XLOOKUP(B266,
[1]sales_teams!$A$2:$A$100,
[1]sales_teams!$B$2:$B$100)</f>
        <v>Cara Losch</v>
      </c>
      <c r="D266" t="str">
        <f>_xlfn.XLOOKUP($B266,sales_teams!$A$2:$A$36,sales_teams!C$2:C$36)</f>
        <v>East</v>
      </c>
      <c r="E266" t="s">
        <v>18</v>
      </c>
      <c r="F266" t="s">
        <v>240</v>
      </c>
      <c r="G266" t="s">
        <v>12</v>
      </c>
      <c r="H266" s="1">
        <v>42722</v>
      </c>
      <c r="I266" s="1">
        <v>42808</v>
      </c>
      <c r="J266">
        <v>64</v>
      </c>
    </row>
    <row r="267" spans="1:10" x14ac:dyDescent="0.3">
      <c r="A267" t="s">
        <v>392</v>
      </c>
      <c r="B267" t="s">
        <v>102</v>
      </c>
      <c r="C267" t="str">
        <f>_xlfn.XLOOKUP(B267,
[1]sales_teams!$A$2:$A$100,
[1]sales_teams!$B$2:$B$100)</f>
        <v>Cara Losch</v>
      </c>
      <c r="D267" t="str">
        <f>_xlfn.XLOOKUP($B267,sales_teams!$A$2:$A$36,sales_teams!C$2:C$36)</f>
        <v>East</v>
      </c>
      <c r="E267" t="s">
        <v>39</v>
      </c>
      <c r="F267" t="s">
        <v>240</v>
      </c>
      <c r="G267" t="s">
        <v>46</v>
      </c>
      <c r="H267" s="1">
        <v>42722</v>
      </c>
      <c r="I267" s="1">
        <v>42821</v>
      </c>
      <c r="J267">
        <v>0</v>
      </c>
    </row>
    <row r="268" spans="1:10" x14ac:dyDescent="0.3">
      <c r="A268" t="s">
        <v>393</v>
      </c>
      <c r="B268" t="s">
        <v>67</v>
      </c>
      <c r="C268" t="str">
        <f>_xlfn.XLOOKUP(B268,
[1]sales_teams!$A$2:$A$100,
[1]sales_teams!$B$2:$B$100)</f>
        <v>Celia Rouche</v>
      </c>
      <c r="D268" t="str">
        <f>_xlfn.XLOOKUP($B268,sales_teams!$A$2:$A$36,sales_teams!C$2:C$36)</f>
        <v>West</v>
      </c>
      <c r="E268" t="s">
        <v>145</v>
      </c>
      <c r="F268" t="s">
        <v>76</v>
      </c>
      <c r="G268" t="s">
        <v>40</v>
      </c>
      <c r="H268" s="1">
        <v>42723</v>
      </c>
    </row>
    <row r="269" spans="1:10" x14ac:dyDescent="0.3">
      <c r="A269" t="s">
        <v>394</v>
      </c>
      <c r="B269" t="s">
        <v>67</v>
      </c>
      <c r="C269" t="str">
        <f>_xlfn.XLOOKUP(B269,
[1]sales_teams!$A$2:$A$100,
[1]sales_teams!$B$2:$B$100)</f>
        <v>Celia Rouche</v>
      </c>
      <c r="D269" t="str">
        <f>_xlfn.XLOOKUP($B269,sales_teams!$A$2:$A$36,sales_teams!C$2:C$36)</f>
        <v>West</v>
      </c>
      <c r="E269" t="s">
        <v>10</v>
      </c>
      <c r="F269" t="s">
        <v>59</v>
      </c>
      <c r="G269" t="s">
        <v>12</v>
      </c>
      <c r="H269" s="1">
        <v>42723</v>
      </c>
      <c r="I269" s="1">
        <v>42812</v>
      </c>
      <c r="J269">
        <v>1164</v>
      </c>
    </row>
    <row r="270" spans="1:10" x14ac:dyDescent="0.3">
      <c r="A270" t="s">
        <v>395</v>
      </c>
      <c r="B270" t="s">
        <v>67</v>
      </c>
      <c r="C270" t="str">
        <f>_xlfn.XLOOKUP(B270,
[1]sales_teams!$A$2:$A$100,
[1]sales_teams!$B$2:$B$100)</f>
        <v>Celia Rouche</v>
      </c>
      <c r="D270" t="str">
        <f>_xlfn.XLOOKUP($B270,sales_teams!$A$2:$A$36,sales_teams!C$2:C$36)</f>
        <v>West</v>
      </c>
      <c r="E270" t="s">
        <v>18</v>
      </c>
      <c r="F270" t="s">
        <v>273</v>
      </c>
      <c r="G270" t="s">
        <v>12</v>
      </c>
      <c r="H270" s="1">
        <v>42723</v>
      </c>
      <c r="I270" s="1">
        <v>42801</v>
      </c>
      <c r="J270">
        <v>65</v>
      </c>
    </row>
    <row r="271" spans="1:10" x14ac:dyDescent="0.3">
      <c r="A271" t="s">
        <v>396</v>
      </c>
      <c r="B271" t="s">
        <v>44</v>
      </c>
      <c r="C271" t="str">
        <f>_xlfn.XLOOKUP(B271,
[1]sales_teams!$A$2:$A$100,
[1]sales_teams!$B$2:$B$100)</f>
        <v>Melvin Marxen</v>
      </c>
      <c r="D271" t="str">
        <f>_xlfn.XLOOKUP($B271,sales_teams!$A$2:$A$36,sales_teams!C$2:C$36)</f>
        <v>Central</v>
      </c>
      <c r="E271" t="s">
        <v>10</v>
      </c>
      <c r="F271" t="s">
        <v>11</v>
      </c>
      <c r="G271" t="s">
        <v>46</v>
      </c>
      <c r="H271" s="1">
        <v>42723</v>
      </c>
      <c r="I271" s="1">
        <v>42801</v>
      </c>
      <c r="J271">
        <v>0</v>
      </c>
    </row>
    <row r="272" spans="1:10" x14ac:dyDescent="0.3">
      <c r="A272" t="s">
        <v>397</v>
      </c>
      <c r="B272" t="s">
        <v>78</v>
      </c>
      <c r="C272" t="str">
        <f>_xlfn.XLOOKUP(B272,
[1]sales_teams!$A$2:$A$100,
[1]sales_teams!$B$2:$B$100)</f>
        <v>Summer Sewald</v>
      </c>
      <c r="D272" t="str">
        <f>_xlfn.XLOOKUP($B272,sales_teams!$A$2:$A$36,sales_teams!C$2:C$36)</f>
        <v>West</v>
      </c>
      <c r="E272" t="s">
        <v>20</v>
      </c>
      <c r="F272" t="s">
        <v>398</v>
      </c>
      <c r="G272" t="s">
        <v>12</v>
      </c>
      <c r="H272" s="1">
        <v>42723</v>
      </c>
      <c r="I272" s="1">
        <v>42810</v>
      </c>
      <c r="J272">
        <v>441</v>
      </c>
    </row>
    <row r="273" spans="1:10" x14ac:dyDescent="0.3">
      <c r="A273" t="s">
        <v>399</v>
      </c>
      <c r="B273" t="s">
        <v>116</v>
      </c>
      <c r="C273" t="str">
        <f>_xlfn.XLOOKUP(B273,
[1]sales_teams!$A$2:$A$100,
[1]sales_teams!$B$2:$B$100)</f>
        <v>Melvin Marxen</v>
      </c>
      <c r="D273" t="str">
        <f>_xlfn.XLOOKUP($B273,sales_teams!$A$2:$A$36,sales_teams!C$2:C$36)</f>
        <v>Central</v>
      </c>
      <c r="E273" t="s">
        <v>10</v>
      </c>
      <c r="F273" t="s">
        <v>129</v>
      </c>
      <c r="G273" t="s">
        <v>46</v>
      </c>
      <c r="H273" s="1">
        <v>42723</v>
      </c>
      <c r="I273" s="1">
        <v>42806</v>
      </c>
      <c r="J273">
        <v>0</v>
      </c>
    </row>
    <row r="274" spans="1:10" x14ac:dyDescent="0.3">
      <c r="A274" t="s">
        <v>400</v>
      </c>
      <c r="B274" t="s">
        <v>29</v>
      </c>
      <c r="C274" t="str">
        <f>_xlfn.XLOOKUP(B274,
[1]sales_teams!$A$2:$A$100,
[1]sales_teams!$B$2:$B$100)</f>
        <v>Celia Rouche</v>
      </c>
      <c r="D274" t="str">
        <f>_xlfn.XLOOKUP($B274,sales_teams!$A$2:$A$36,sales_teams!C$2:C$36)</f>
        <v>West</v>
      </c>
      <c r="E274" t="s">
        <v>15</v>
      </c>
      <c r="F274" t="s">
        <v>24</v>
      </c>
      <c r="G274" t="s">
        <v>12</v>
      </c>
      <c r="H274" s="1">
        <v>42723</v>
      </c>
      <c r="I274" s="1">
        <v>42810</v>
      </c>
      <c r="J274">
        <v>4907</v>
      </c>
    </row>
    <row r="275" spans="1:10" x14ac:dyDescent="0.3">
      <c r="A275" t="s">
        <v>401</v>
      </c>
      <c r="B275" t="s">
        <v>26</v>
      </c>
      <c r="C275" t="str">
        <f>_xlfn.XLOOKUP(B275,
[1]sales_teams!$A$2:$A$100,
[1]sales_teams!$B$2:$B$100)</f>
        <v>Dustin Brinkmann</v>
      </c>
      <c r="D275" t="str">
        <f>_xlfn.XLOOKUP($B275,sales_teams!$A$2:$A$36,sales_teams!C$2:C$36)</f>
        <v>Central</v>
      </c>
      <c r="E275" t="s">
        <v>39</v>
      </c>
      <c r="F275" t="s">
        <v>16</v>
      </c>
      <c r="G275" t="s">
        <v>46</v>
      </c>
      <c r="H275" s="1">
        <v>42724</v>
      </c>
      <c r="I275" s="1">
        <v>42795</v>
      </c>
      <c r="J275">
        <v>0</v>
      </c>
    </row>
    <row r="276" spans="1:10" x14ac:dyDescent="0.3">
      <c r="A276" t="s">
        <v>402</v>
      </c>
      <c r="B276" t="s">
        <v>64</v>
      </c>
      <c r="C276" t="str">
        <f>_xlfn.XLOOKUP(B276,
[1]sales_teams!$A$2:$A$100,
[1]sales_teams!$B$2:$B$100)</f>
        <v>Rocco Neubert</v>
      </c>
      <c r="D276" t="str">
        <f>_xlfn.XLOOKUP($B276,sales_teams!$A$2:$A$36,sales_teams!C$2:C$36)</f>
        <v>East</v>
      </c>
      <c r="E276" t="s">
        <v>10</v>
      </c>
      <c r="G276" t="s">
        <v>40</v>
      </c>
      <c r="H276" s="1">
        <v>42724</v>
      </c>
    </row>
    <row r="277" spans="1:10" x14ac:dyDescent="0.3">
      <c r="A277" t="s">
        <v>403</v>
      </c>
      <c r="B277" t="s">
        <v>14</v>
      </c>
      <c r="C277" t="str">
        <f>_xlfn.XLOOKUP(B277,
[1]sales_teams!$A$2:$A$100,
[1]sales_teams!$B$2:$B$100)</f>
        <v>Melvin Marxen</v>
      </c>
      <c r="D277" t="str">
        <f>_xlfn.XLOOKUP($B277,sales_teams!$A$2:$A$36,sales_teams!C$2:C$36)</f>
        <v>Central</v>
      </c>
      <c r="E277" t="s">
        <v>39</v>
      </c>
      <c r="F277" t="s">
        <v>21</v>
      </c>
      <c r="G277" t="s">
        <v>12</v>
      </c>
      <c r="H277" s="1">
        <v>42724</v>
      </c>
      <c r="I277" s="1">
        <v>42819</v>
      </c>
      <c r="J277">
        <v>3269</v>
      </c>
    </row>
    <row r="278" spans="1:10" x14ac:dyDescent="0.3">
      <c r="A278" t="s">
        <v>404</v>
      </c>
      <c r="B278" t="s">
        <v>142</v>
      </c>
      <c r="C278" t="str">
        <f>_xlfn.XLOOKUP(B278,
[1]sales_teams!$A$2:$A$100,
[1]sales_teams!$B$2:$B$100)</f>
        <v>Rocco Neubert</v>
      </c>
      <c r="D278" t="str">
        <f>_xlfn.XLOOKUP($B278,sales_teams!$A$2:$A$36,sales_teams!C$2:C$36)</f>
        <v>East</v>
      </c>
      <c r="E278" t="s">
        <v>20</v>
      </c>
      <c r="F278" t="s">
        <v>179</v>
      </c>
      <c r="G278" t="s">
        <v>12</v>
      </c>
      <c r="H278" s="1">
        <v>42724</v>
      </c>
      <c r="I278" s="1">
        <v>42806</v>
      </c>
      <c r="J278">
        <v>579</v>
      </c>
    </row>
    <row r="279" spans="1:10" x14ac:dyDescent="0.3">
      <c r="A279" t="s">
        <v>405</v>
      </c>
      <c r="B279" t="s">
        <v>44</v>
      </c>
      <c r="C279" t="str">
        <f>_xlfn.XLOOKUP(B279,
[1]sales_teams!$A$2:$A$100,
[1]sales_teams!$B$2:$B$100)</f>
        <v>Melvin Marxen</v>
      </c>
      <c r="D279" t="str">
        <f>_xlfn.XLOOKUP($B279,sales_teams!$A$2:$A$36,sales_teams!C$2:C$36)</f>
        <v>Central</v>
      </c>
      <c r="E279" t="s">
        <v>20</v>
      </c>
      <c r="F279" t="s">
        <v>16</v>
      </c>
      <c r="G279" t="s">
        <v>46</v>
      </c>
      <c r="H279" s="1">
        <v>42724</v>
      </c>
      <c r="I279" s="1">
        <v>42819</v>
      </c>
      <c r="J279">
        <v>0</v>
      </c>
    </row>
    <row r="280" spans="1:10" x14ac:dyDescent="0.3">
      <c r="A280" t="s">
        <v>406</v>
      </c>
      <c r="B280" t="s">
        <v>95</v>
      </c>
      <c r="C280" t="str">
        <f>_xlfn.XLOOKUP(B280,
[1]sales_teams!$A$2:$A$100,
[1]sales_teams!$B$2:$B$100)</f>
        <v>Summer Sewald</v>
      </c>
      <c r="D280" t="str">
        <f>_xlfn.XLOOKUP($B280,sales_teams!$A$2:$A$36,sales_teams!C$2:C$36)</f>
        <v>West</v>
      </c>
      <c r="E280" t="s">
        <v>20</v>
      </c>
      <c r="F280" t="s">
        <v>174</v>
      </c>
      <c r="G280" t="s">
        <v>46</v>
      </c>
      <c r="H280" s="1">
        <v>42724</v>
      </c>
      <c r="I280" s="1">
        <v>42801</v>
      </c>
      <c r="J280">
        <v>0</v>
      </c>
    </row>
    <row r="281" spans="1:10" x14ac:dyDescent="0.3">
      <c r="A281" t="s">
        <v>407</v>
      </c>
      <c r="B281" t="s">
        <v>95</v>
      </c>
      <c r="C281" t="str">
        <f>_xlfn.XLOOKUP(B281,
[1]sales_teams!$A$2:$A$100,
[1]sales_teams!$B$2:$B$100)</f>
        <v>Summer Sewald</v>
      </c>
      <c r="D281" t="str">
        <f>_xlfn.XLOOKUP($B281,sales_teams!$A$2:$A$36,sales_teams!C$2:C$36)</f>
        <v>West</v>
      </c>
      <c r="E281" t="s">
        <v>18</v>
      </c>
      <c r="F281" t="s">
        <v>93</v>
      </c>
      <c r="G281" t="s">
        <v>12</v>
      </c>
      <c r="H281" s="1">
        <v>42724</v>
      </c>
      <c r="I281" s="1">
        <v>42825</v>
      </c>
      <c r="J281">
        <v>51</v>
      </c>
    </row>
    <row r="282" spans="1:10" x14ac:dyDescent="0.3">
      <c r="A282" t="s">
        <v>408</v>
      </c>
      <c r="B282" t="s">
        <v>32</v>
      </c>
      <c r="C282" t="str">
        <f>_xlfn.XLOOKUP(B282,
[1]sales_teams!$A$2:$A$100,
[1]sales_teams!$B$2:$B$100)</f>
        <v>Celia Rouche</v>
      </c>
      <c r="D282" t="str">
        <f>_xlfn.XLOOKUP($B282,sales_teams!$A$2:$A$36,sales_teams!C$2:C$36)</f>
        <v>West</v>
      </c>
      <c r="E282" t="s">
        <v>18</v>
      </c>
      <c r="F282" t="s">
        <v>194</v>
      </c>
      <c r="G282" t="s">
        <v>12</v>
      </c>
      <c r="H282" s="1">
        <v>42724</v>
      </c>
      <c r="I282" s="1">
        <v>42802</v>
      </c>
      <c r="J282">
        <v>64</v>
      </c>
    </row>
    <row r="283" spans="1:10" x14ac:dyDescent="0.3">
      <c r="A283" t="s">
        <v>409</v>
      </c>
      <c r="B283" t="s">
        <v>88</v>
      </c>
      <c r="C283" t="str">
        <f>_xlfn.XLOOKUP(B283,
[1]sales_teams!$A$2:$A$100,
[1]sales_teams!$B$2:$B$100)</f>
        <v>Cara Losch</v>
      </c>
      <c r="D283" t="str">
        <f>_xlfn.XLOOKUP($B283,sales_teams!$A$2:$A$36,sales_teams!C$2:C$36)</f>
        <v>East</v>
      </c>
      <c r="E283" t="s">
        <v>18</v>
      </c>
      <c r="F283" t="s">
        <v>410</v>
      </c>
      <c r="G283" t="s">
        <v>12</v>
      </c>
      <c r="H283" s="1">
        <v>42724</v>
      </c>
      <c r="I283" s="1">
        <v>42802</v>
      </c>
      <c r="J283">
        <v>60</v>
      </c>
    </row>
    <row r="284" spans="1:10" x14ac:dyDescent="0.3">
      <c r="A284" t="s">
        <v>411</v>
      </c>
      <c r="B284" t="s">
        <v>118</v>
      </c>
      <c r="C284" t="str">
        <f>_xlfn.XLOOKUP(B284,
[1]sales_teams!$A$2:$A$100,
[1]sales_teams!$B$2:$B$100)</f>
        <v>Rocco Neubert</v>
      </c>
      <c r="D284" t="str">
        <f>_xlfn.XLOOKUP($B284,sales_teams!$A$2:$A$36,sales_teams!C$2:C$36)</f>
        <v>East</v>
      </c>
      <c r="E284" t="s">
        <v>10</v>
      </c>
      <c r="F284" t="s">
        <v>81</v>
      </c>
      <c r="G284" t="s">
        <v>12</v>
      </c>
      <c r="H284" s="1">
        <v>42725</v>
      </c>
      <c r="I284" s="1">
        <v>42821</v>
      </c>
      <c r="J284">
        <v>1186</v>
      </c>
    </row>
    <row r="285" spans="1:10" x14ac:dyDescent="0.3">
      <c r="A285" t="s">
        <v>412</v>
      </c>
      <c r="B285" t="s">
        <v>164</v>
      </c>
      <c r="C285" t="str">
        <f>_xlfn.XLOOKUP(B285,
[1]sales_teams!$A$2:$A$100,
[1]sales_teams!$B$2:$B$100)</f>
        <v>Cara Losch</v>
      </c>
      <c r="D285" t="str">
        <f>_xlfn.XLOOKUP($B285,sales_teams!$A$2:$A$36,sales_teams!C$2:C$36)</f>
        <v>East</v>
      </c>
      <c r="E285" t="s">
        <v>39</v>
      </c>
      <c r="F285" t="s">
        <v>278</v>
      </c>
      <c r="G285" t="s">
        <v>12</v>
      </c>
      <c r="H285" s="1">
        <v>42725</v>
      </c>
      <c r="I285" s="1">
        <v>42803</v>
      </c>
      <c r="J285">
        <v>3577</v>
      </c>
    </row>
    <row r="286" spans="1:10" x14ac:dyDescent="0.3">
      <c r="A286" t="s">
        <v>413</v>
      </c>
      <c r="B286" t="s">
        <v>64</v>
      </c>
      <c r="C286" t="str">
        <f>_xlfn.XLOOKUP(B286,
[1]sales_teams!$A$2:$A$100,
[1]sales_teams!$B$2:$B$100)</f>
        <v>Rocco Neubert</v>
      </c>
      <c r="D286" t="str">
        <f>_xlfn.XLOOKUP($B286,sales_teams!$A$2:$A$36,sales_teams!C$2:C$36)</f>
        <v>East</v>
      </c>
      <c r="E286" t="s">
        <v>10</v>
      </c>
      <c r="F286" t="s">
        <v>209</v>
      </c>
      <c r="G286" t="s">
        <v>12</v>
      </c>
      <c r="H286" s="1">
        <v>42725</v>
      </c>
      <c r="I286" s="1">
        <v>42801</v>
      </c>
      <c r="J286">
        <v>1020</v>
      </c>
    </row>
    <row r="287" spans="1:10" x14ac:dyDescent="0.3">
      <c r="A287" t="s">
        <v>414</v>
      </c>
      <c r="B287" t="s">
        <v>67</v>
      </c>
      <c r="C287" t="str">
        <f>_xlfn.XLOOKUP(B287,
[1]sales_teams!$A$2:$A$100,
[1]sales_teams!$B$2:$B$100)</f>
        <v>Celia Rouche</v>
      </c>
      <c r="D287" t="str">
        <f>_xlfn.XLOOKUP($B287,sales_teams!$A$2:$A$36,sales_teams!C$2:C$36)</f>
        <v>West</v>
      </c>
      <c r="E287" t="s">
        <v>15</v>
      </c>
      <c r="F287" t="s">
        <v>313</v>
      </c>
      <c r="G287" t="s">
        <v>40</v>
      </c>
      <c r="H287" s="1">
        <v>42725</v>
      </c>
    </row>
    <row r="288" spans="1:10" x14ac:dyDescent="0.3">
      <c r="A288" t="s">
        <v>415</v>
      </c>
      <c r="B288" t="s">
        <v>54</v>
      </c>
      <c r="C288" t="str">
        <f>_xlfn.XLOOKUP(B288,
[1]sales_teams!$A$2:$A$100,
[1]sales_teams!$B$2:$B$100)</f>
        <v>Celia Rouche</v>
      </c>
      <c r="D288" t="str">
        <f>_xlfn.XLOOKUP($B288,sales_teams!$A$2:$A$36,sales_teams!C$2:C$36)</f>
        <v>West</v>
      </c>
      <c r="E288" t="s">
        <v>18</v>
      </c>
      <c r="F288" t="s">
        <v>79</v>
      </c>
      <c r="G288" t="s">
        <v>12</v>
      </c>
      <c r="H288" s="1">
        <v>42725</v>
      </c>
      <c r="I288" s="1">
        <v>42817</v>
      </c>
      <c r="J288">
        <v>53</v>
      </c>
    </row>
    <row r="289" spans="1:10" x14ac:dyDescent="0.3">
      <c r="A289" t="s">
        <v>416</v>
      </c>
      <c r="B289" t="s">
        <v>252</v>
      </c>
      <c r="C289" t="str">
        <f>_xlfn.XLOOKUP(B289,
[1]sales_teams!$A$2:$A$100,
[1]sales_teams!$B$2:$B$100)</f>
        <v>Melvin Marxen</v>
      </c>
      <c r="D289" t="str">
        <f>_xlfn.XLOOKUP($B289,sales_teams!$A$2:$A$36,sales_teams!C$2:C$36)</f>
        <v>Central</v>
      </c>
      <c r="E289" t="s">
        <v>20</v>
      </c>
      <c r="F289" t="s">
        <v>126</v>
      </c>
      <c r="G289" t="s">
        <v>46</v>
      </c>
      <c r="H289" s="1">
        <v>42725</v>
      </c>
      <c r="I289" s="1">
        <v>42804</v>
      </c>
      <c r="J289">
        <v>0</v>
      </c>
    </row>
    <row r="290" spans="1:10" x14ac:dyDescent="0.3">
      <c r="A290" t="s">
        <v>417</v>
      </c>
      <c r="B290" t="s">
        <v>95</v>
      </c>
      <c r="C290" t="str">
        <f>_xlfn.XLOOKUP(B290,
[1]sales_teams!$A$2:$A$100,
[1]sales_teams!$B$2:$B$100)</f>
        <v>Summer Sewald</v>
      </c>
      <c r="D290" t="str">
        <f>_xlfn.XLOOKUP($B290,sales_teams!$A$2:$A$36,sales_teams!C$2:C$36)</f>
        <v>West</v>
      </c>
      <c r="E290" t="s">
        <v>20</v>
      </c>
      <c r="F290" t="s">
        <v>194</v>
      </c>
      <c r="G290" t="s">
        <v>46</v>
      </c>
      <c r="H290" s="1">
        <v>42725</v>
      </c>
      <c r="I290" s="1">
        <v>42822</v>
      </c>
      <c r="J290">
        <v>0</v>
      </c>
    </row>
    <row r="291" spans="1:10" x14ac:dyDescent="0.3">
      <c r="A291" t="s">
        <v>418</v>
      </c>
      <c r="B291" t="s">
        <v>95</v>
      </c>
      <c r="C291" t="str">
        <f>_xlfn.XLOOKUP(B291,
[1]sales_teams!$A$2:$A$100,
[1]sales_teams!$B$2:$B$100)</f>
        <v>Summer Sewald</v>
      </c>
      <c r="D291" t="str">
        <f>_xlfn.XLOOKUP($B291,sales_teams!$A$2:$A$36,sales_teams!C$2:C$36)</f>
        <v>West</v>
      </c>
      <c r="E291" t="s">
        <v>15</v>
      </c>
      <c r="F291" t="s">
        <v>49</v>
      </c>
      <c r="G291" t="s">
        <v>12</v>
      </c>
      <c r="H291" s="1">
        <v>42725</v>
      </c>
      <c r="I291" s="1">
        <v>42802</v>
      </c>
      <c r="J291">
        <v>4719</v>
      </c>
    </row>
    <row r="292" spans="1:10" x14ac:dyDescent="0.3">
      <c r="A292" t="s">
        <v>419</v>
      </c>
      <c r="B292" t="s">
        <v>9</v>
      </c>
      <c r="C292" t="str">
        <f>_xlfn.XLOOKUP(B292,
[1]sales_teams!$A$2:$A$100,
[1]sales_teams!$B$2:$B$100)</f>
        <v>Dustin Brinkmann</v>
      </c>
      <c r="D292" t="str">
        <f>_xlfn.XLOOKUP($B292,sales_teams!$A$2:$A$36,sales_teams!C$2:C$36)</f>
        <v>Central</v>
      </c>
      <c r="E292" t="s">
        <v>20</v>
      </c>
      <c r="F292" t="s">
        <v>21</v>
      </c>
      <c r="G292" t="s">
        <v>12</v>
      </c>
      <c r="H292" s="1">
        <v>42725</v>
      </c>
      <c r="I292" s="1">
        <v>42816</v>
      </c>
      <c r="J292">
        <v>546</v>
      </c>
    </row>
    <row r="293" spans="1:10" x14ac:dyDescent="0.3">
      <c r="A293" t="s">
        <v>420</v>
      </c>
      <c r="B293" t="s">
        <v>35</v>
      </c>
      <c r="C293" t="str">
        <f>_xlfn.XLOOKUP(B293,
[1]sales_teams!$A$2:$A$100,
[1]sales_teams!$B$2:$B$100)</f>
        <v>Melvin Marxen</v>
      </c>
      <c r="D293" t="str">
        <f>_xlfn.XLOOKUP($B293,sales_teams!$A$2:$A$36,sales_teams!C$2:C$36)</f>
        <v>Central</v>
      </c>
      <c r="E293" t="s">
        <v>10</v>
      </c>
      <c r="F293" t="s">
        <v>207</v>
      </c>
      <c r="G293" t="s">
        <v>12</v>
      </c>
      <c r="H293" s="1">
        <v>42725</v>
      </c>
      <c r="I293" s="1">
        <v>42815</v>
      </c>
      <c r="J293">
        <v>1212</v>
      </c>
    </row>
    <row r="294" spans="1:10" x14ac:dyDescent="0.3">
      <c r="A294" t="s">
        <v>421</v>
      </c>
      <c r="B294" t="s">
        <v>29</v>
      </c>
      <c r="C294" t="str">
        <f>_xlfn.XLOOKUP(B294,
[1]sales_teams!$A$2:$A$100,
[1]sales_teams!$B$2:$B$100)</f>
        <v>Celia Rouche</v>
      </c>
      <c r="D294" t="str">
        <f>_xlfn.XLOOKUP($B294,sales_teams!$A$2:$A$36,sales_teams!C$2:C$36)</f>
        <v>West</v>
      </c>
      <c r="E294" t="s">
        <v>20</v>
      </c>
      <c r="G294" t="s">
        <v>40</v>
      </c>
      <c r="H294" s="1">
        <v>42725</v>
      </c>
    </row>
    <row r="295" spans="1:10" x14ac:dyDescent="0.3">
      <c r="A295" t="s">
        <v>422</v>
      </c>
      <c r="B295" t="s">
        <v>29</v>
      </c>
      <c r="C295" t="str">
        <f>_xlfn.XLOOKUP(B295,
[1]sales_teams!$A$2:$A$100,
[1]sales_teams!$B$2:$B$100)</f>
        <v>Celia Rouche</v>
      </c>
      <c r="D295" t="str">
        <f>_xlfn.XLOOKUP($B295,sales_teams!$A$2:$A$36,sales_teams!C$2:C$36)</f>
        <v>West</v>
      </c>
      <c r="E295" t="s">
        <v>20</v>
      </c>
      <c r="F295" t="s">
        <v>49</v>
      </c>
      <c r="G295" t="s">
        <v>46</v>
      </c>
      <c r="H295" s="1">
        <v>42725</v>
      </c>
      <c r="I295" s="1">
        <v>42802</v>
      </c>
      <c r="J295">
        <v>0</v>
      </c>
    </row>
    <row r="296" spans="1:10" x14ac:dyDescent="0.3">
      <c r="A296" t="s">
        <v>423</v>
      </c>
      <c r="B296" t="s">
        <v>26</v>
      </c>
      <c r="C296" t="str">
        <f>_xlfn.XLOOKUP(B296,
[1]sales_teams!$A$2:$A$100,
[1]sales_teams!$B$2:$B$100)</f>
        <v>Dustin Brinkmann</v>
      </c>
      <c r="D296" t="str">
        <f>_xlfn.XLOOKUP($B296,sales_teams!$A$2:$A$36,sales_teams!C$2:C$36)</f>
        <v>Central</v>
      </c>
      <c r="E296" t="s">
        <v>48</v>
      </c>
      <c r="F296" t="s">
        <v>42</v>
      </c>
      <c r="G296" t="s">
        <v>46</v>
      </c>
      <c r="H296" s="1">
        <v>42726</v>
      </c>
      <c r="I296" s="1">
        <v>42821</v>
      </c>
      <c r="J296">
        <v>0</v>
      </c>
    </row>
    <row r="297" spans="1:10" x14ac:dyDescent="0.3">
      <c r="A297" t="s">
        <v>424</v>
      </c>
      <c r="B297" t="s">
        <v>44</v>
      </c>
      <c r="C297" t="str">
        <f>_xlfn.XLOOKUP(B297,
[1]sales_teams!$A$2:$A$100,
[1]sales_teams!$B$2:$B$100)</f>
        <v>Melvin Marxen</v>
      </c>
      <c r="D297" t="str">
        <f>_xlfn.XLOOKUP($B297,sales_teams!$A$2:$A$36,sales_teams!C$2:C$36)</f>
        <v>Central</v>
      </c>
      <c r="E297" t="s">
        <v>48</v>
      </c>
      <c r="F297" t="s">
        <v>197</v>
      </c>
      <c r="G297" t="s">
        <v>12</v>
      </c>
      <c r="H297" s="1">
        <v>42726</v>
      </c>
      <c r="I297" s="1">
        <v>42808</v>
      </c>
      <c r="J297">
        <v>5533</v>
      </c>
    </row>
    <row r="298" spans="1:10" x14ac:dyDescent="0.3">
      <c r="A298" t="s">
        <v>425</v>
      </c>
      <c r="B298" t="s">
        <v>78</v>
      </c>
      <c r="C298" t="str">
        <f>_xlfn.XLOOKUP(B298,
[1]sales_teams!$A$2:$A$100,
[1]sales_teams!$B$2:$B$100)</f>
        <v>Summer Sewald</v>
      </c>
      <c r="D298" t="str">
        <f>_xlfn.XLOOKUP($B298,sales_teams!$A$2:$A$36,sales_teams!C$2:C$36)</f>
        <v>West</v>
      </c>
      <c r="E298" t="s">
        <v>39</v>
      </c>
      <c r="F298" t="s">
        <v>55</v>
      </c>
      <c r="G298" t="s">
        <v>12</v>
      </c>
      <c r="H298" s="1">
        <v>42726</v>
      </c>
      <c r="I298" s="1">
        <v>42795</v>
      </c>
      <c r="J298">
        <v>3295</v>
      </c>
    </row>
    <row r="299" spans="1:10" x14ac:dyDescent="0.3">
      <c r="A299" t="s">
        <v>426</v>
      </c>
      <c r="B299" t="s">
        <v>57</v>
      </c>
      <c r="C299" t="str">
        <f>_xlfn.XLOOKUP(B299,
[1]sales_teams!$A$2:$A$100,
[1]sales_teams!$B$2:$B$100)</f>
        <v>Celia Rouche</v>
      </c>
      <c r="D299" t="str">
        <f>_xlfn.XLOOKUP($B299,sales_teams!$A$2:$A$36,sales_teams!C$2:C$36)</f>
        <v>West</v>
      </c>
      <c r="E299" t="s">
        <v>18</v>
      </c>
      <c r="F299" t="s">
        <v>55</v>
      </c>
      <c r="G299" t="s">
        <v>12</v>
      </c>
      <c r="H299" s="1">
        <v>42726</v>
      </c>
      <c r="I299" s="1">
        <v>42825</v>
      </c>
      <c r="J299">
        <v>45</v>
      </c>
    </row>
    <row r="300" spans="1:10" x14ac:dyDescent="0.3">
      <c r="A300" t="s">
        <v>427</v>
      </c>
      <c r="B300" t="s">
        <v>73</v>
      </c>
      <c r="C300" t="str">
        <f>_xlfn.XLOOKUP(B300,
[1]sales_teams!$A$2:$A$100,
[1]sales_teams!$B$2:$B$100)</f>
        <v>Cara Losch</v>
      </c>
      <c r="D300" t="str">
        <f>_xlfn.XLOOKUP($B300,sales_teams!$A$2:$A$36,sales_teams!C$2:C$36)</f>
        <v>East</v>
      </c>
      <c r="E300" t="s">
        <v>18</v>
      </c>
      <c r="F300" t="s">
        <v>165</v>
      </c>
      <c r="G300" t="s">
        <v>12</v>
      </c>
      <c r="H300" s="1">
        <v>42726</v>
      </c>
      <c r="I300" s="1">
        <v>42798</v>
      </c>
      <c r="J300">
        <v>56</v>
      </c>
    </row>
    <row r="301" spans="1:10" x14ac:dyDescent="0.3">
      <c r="A301" t="s">
        <v>428</v>
      </c>
      <c r="B301" t="s">
        <v>23</v>
      </c>
      <c r="C301" t="str">
        <f>_xlfn.XLOOKUP(B301,
[1]sales_teams!$A$2:$A$100,
[1]sales_teams!$B$2:$B$100)</f>
        <v>Summer Sewald</v>
      </c>
      <c r="D301" t="str">
        <f>_xlfn.XLOOKUP($B301,sales_teams!$A$2:$A$36,sales_teams!C$2:C$36)</f>
        <v>West</v>
      </c>
      <c r="E301" t="s">
        <v>15</v>
      </c>
      <c r="F301" t="s">
        <v>140</v>
      </c>
      <c r="G301" t="s">
        <v>40</v>
      </c>
      <c r="H301" s="1">
        <v>42726</v>
      </c>
    </row>
    <row r="302" spans="1:10" x14ac:dyDescent="0.3">
      <c r="A302" t="s">
        <v>429</v>
      </c>
      <c r="B302" t="s">
        <v>164</v>
      </c>
      <c r="C302" t="str">
        <f>_xlfn.XLOOKUP(B302,
[1]sales_teams!$A$2:$A$100,
[1]sales_teams!$B$2:$B$100)</f>
        <v>Cara Losch</v>
      </c>
      <c r="D302" t="str">
        <f>_xlfn.XLOOKUP($B302,sales_teams!$A$2:$A$36,sales_teams!C$2:C$36)</f>
        <v>East</v>
      </c>
      <c r="E302" t="s">
        <v>20</v>
      </c>
      <c r="G302" t="s">
        <v>40</v>
      </c>
      <c r="H302" s="1">
        <v>42727</v>
      </c>
    </row>
    <row r="303" spans="1:10" x14ac:dyDescent="0.3">
      <c r="A303" t="s">
        <v>430</v>
      </c>
      <c r="B303" t="s">
        <v>64</v>
      </c>
      <c r="C303" t="str">
        <f>_xlfn.XLOOKUP(B303,
[1]sales_teams!$A$2:$A$100,
[1]sales_teams!$B$2:$B$100)</f>
        <v>Rocco Neubert</v>
      </c>
      <c r="D303" t="str">
        <f>_xlfn.XLOOKUP($B303,sales_teams!$A$2:$A$36,sales_teams!C$2:C$36)</f>
        <v>East</v>
      </c>
      <c r="E303" t="s">
        <v>10</v>
      </c>
      <c r="F303" t="s">
        <v>129</v>
      </c>
      <c r="G303" t="s">
        <v>40</v>
      </c>
      <c r="H303" s="1">
        <v>42727</v>
      </c>
    </row>
    <row r="304" spans="1:10" x14ac:dyDescent="0.3">
      <c r="A304" t="s">
        <v>431</v>
      </c>
      <c r="B304" t="s">
        <v>14</v>
      </c>
      <c r="C304" t="str">
        <f>_xlfn.XLOOKUP(B304,
[1]sales_teams!$A$2:$A$100,
[1]sales_teams!$B$2:$B$100)</f>
        <v>Melvin Marxen</v>
      </c>
      <c r="D304" t="str">
        <f>_xlfn.XLOOKUP($B304,sales_teams!$A$2:$A$36,sales_teams!C$2:C$36)</f>
        <v>Central</v>
      </c>
      <c r="E304" t="s">
        <v>15</v>
      </c>
      <c r="F304" t="s">
        <v>135</v>
      </c>
      <c r="G304" t="s">
        <v>12</v>
      </c>
      <c r="H304" s="1">
        <v>42727</v>
      </c>
      <c r="I304" s="1">
        <v>42814</v>
      </c>
      <c r="J304">
        <v>4247</v>
      </c>
    </row>
    <row r="305" spans="1:10" x14ac:dyDescent="0.3">
      <c r="A305" t="s">
        <v>432</v>
      </c>
      <c r="B305" t="s">
        <v>44</v>
      </c>
      <c r="C305" t="str">
        <f>_xlfn.XLOOKUP(B305,
[1]sales_teams!$A$2:$A$100,
[1]sales_teams!$B$2:$B$100)</f>
        <v>Melvin Marxen</v>
      </c>
      <c r="D305" t="str">
        <f>_xlfn.XLOOKUP($B305,sales_teams!$A$2:$A$36,sales_teams!C$2:C$36)</f>
        <v>Central</v>
      </c>
      <c r="E305" t="s">
        <v>39</v>
      </c>
      <c r="F305" t="s">
        <v>16</v>
      </c>
      <c r="G305" t="s">
        <v>12</v>
      </c>
      <c r="H305" s="1">
        <v>42727</v>
      </c>
      <c r="I305" s="1">
        <v>42807</v>
      </c>
      <c r="J305">
        <v>3440</v>
      </c>
    </row>
    <row r="306" spans="1:10" x14ac:dyDescent="0.3">
      <c r="A306" t="s">
        <v>433</v>
      </c>
      <c r="B306" t="s">
        <v>38</v>
      </c>
      <c r="C306" t="str">
        <f>_xlfn.XLOOKUP(B306,
[1]sales_teams!$A$2:$A$100,
[1]sales_teams!$B$2:$B$100)</f>
        <v>Summer Sewald</v>
      </c>
      <c r="D306" t="str">
        <f>_xlfn.XLOOKUP($B306,sales_teams!$A$2:$A$36,sales_teams!C$2:C$36)</f>
        <v>West</v>
      </c>
      <c r="E306" t="s">
        <v>15</v>
      </c>
      <c r="F306" t="s">
        <v>124</v>
      </c>
      <c r="G306" t="s">
        <v>12</v>
      </c>
      <c r="H306" s="1">
        <v>42727</v>
      </c>
      <c r="I306" s="1">
        <v>42796</v>
      </c>
      <c r="J306">
        <v>5040</v>
      </c>
    </row>
    <row r="307" spans="1:10" x14ac:dyDescent="0.3">
      <c r="A307" t="s">
        <v>434</v>
      </c>
      <c r="B307" t="s">
        <v>252</v>
      </c>
      <c r="C307" t="str">
        <f>_xlfn.XLOOKUP(B307,
[1]sales_teams!$A$2:$A$100,
[1]sales_teams!$B$2:$B$100)</f>
        <v>Melvin Marxen</v>
      </c>
      <c r="D307" t="str">
        <f>_xlfn.XLOOKUP($B307,sales_teams!$A$2:$A$36,sales_teams!C$2:C$36)</f>
        <v>Central</v>
      </c>
      <c r="E307" t="s">
        <v>20</v>
      </c>
      <c r="F307" t="s">
        <v>11</v>
      </c>
      <c r="G307" t="s">
        <v>12</v>
      </c>
      <c r="H307" s="1">
        <v>42727</v>
      </c>
      <c r="I307" s="1">
        <v>42806</v>
      </c>
      <c r="J307">
        <v>469</v>
      </c>
    </row>
    <row r="308" spans="1:10" x14ac:dyDescent="0.3">
      <c r="A308" t="s">
        <v>435</v>
      </c>
      <c r="B308" t="s">
        <v>9</v>
      </c>
      <c r="C308" t="str">
        <f>_xlfn.XLOOKUP(B308,
[1]sales_teams!$A$2:$A$100,
[1]sales_teams!$B$2:$B$100)</f>
        <v>Dustin Brinkmann</v>
      </c>
      <c r="D308" t="str">
        <f>_xlfn.XLOOKUP($B308,sales_teams!$A$2:$A$36,sales_teams!C$2:C$36)</f>
        <v>Central</v>
      </c>
      <c r="E308" t="s">
        <v>18</v>
      </c>
      <c r="F308" t="s">
        <v>16</v>
      </c>
      <c r="G308" t="s">
        <v>12</v>
      </c>
      <c r="H308" s="1">
        <v>42727</v>
      </c>
      <c r="I308" s="1">
        <v>42801</v>
      </c>
      <c r="J308">
        <v>58</v>
      </c>
    </row>
    <row r="309" spans="1:10" x14ac:dyDescent="0.3">
      <c r="A309" t="s">
        <v>436</v>
      </c>
      <c r="B309" t="s">
        <v>202</v>
      </c>
      <c r="C309" t="str">
        <f>_xlfn.XLOOKUP(B309,
[1]sales_teams!$A$2:$A$100,
[1]sales_teams!$B$2:$B$100)</f>
        <v>Dustin Brinkmann</v>
      </c>
      <c r="D309" t="str">
        <f>_xlfn.XLOOKUP($B309,sales_teams!$A$2:$A$36,sales_teams!C$2:C$36)</f>
        <v>Central</v>
      </c>
      <c r="E309" t="s">
        <v>39</v>
      </c>
      <c r="F309" t="s">
        <v>16</v>
      </c>
      <c r="G309" t="s">
        <v>12</v>
      </c>
      <c r="H309" s="1">
        <v>42728</v>
      </c>
      <c r="I309" s="1">
        <v>42810</v>
      </c>
      <c r="J309">
        <v>2955</v>
      </c>
    </row>
    <row r="310" spans="1:10" x14ac:dyDescent="0.3">
      <c r="A310" t="s">
        <v>437</v>
      </c>
      <c r="B310" t="s">
        <v>164</v>
      </c>
      <c r="C310" t="str">
        <f>_xlfn.XLOOKUP(B310,
[1]sales_teams!$A$2:$A$100,
[1]sales_teams!$B$2:$B$100)</f>
        <v>Cara Losch</v>
      </c>
      <c r="D310" t="str">
        <f>_xlfn.XLOOKUP($B310,sales_teams!$A$2:$A$36,sales_teams!C$2:C$36)</f>
        <v>East</v>
      </c>
      <c r="E310" t="s">
        <v>48</v>
      </c>
      <c r="F310" t="s">
        <v>218</v>
      </c>
      <c r="G310" t="s">
        <v>12</v>
      </c>
      <c r="H310" s="1">
        <v>42728</v>
      </c>
      <c r="I310" s="1">
        <v>42820</v>
      </c>
      <c r="J310">
        <v>5228</v>
      </c>
    </row>
    <row r="311" spans="1:10" x14ac:dyDescent="0.3">
      <c r="A311" t="s">
        <v>438</v>
      </c>
      <c r="B311" t="s">
        <v>14</v>
      </c>
      <c r="C311" t="str">
        <f>_xlfn.XLOOKUP(B311,
[1]sales_teams!$A$2:$A$100,
[1]sales_teams!$B$2:$B$100)</f>
        <v>Melvin Marxen</v>
      </c>
      <c r="D311" t="str">
        <f>_xlfn.XLOOKUP($B311,sales_teams!$A$2:$A$36,sales_teams!C$2:C$36)</f>
        <v>Central</v>
      </c>
      <c r="E311" t="s">
        <v>39</v>
      </c>
      <c r="F311" t="s">
        <v>170</v>
      </c>
      <c r="G311" t="s">
        <v>12</v>
      </c>
      <c r="H311" s="1">
        <v>42728</v>
      </c>
      <c r="I311" s="1">
        <v>42808</v>
      </c>
      <c r="J311">
        <v>3358</v>
      </c>
    </row>
    <row r="312" spans="1:10" x14ac:dyDescent="0.3">
      <c r="A312" t="s">
        <v>439</v>
      </c>
      <c r="B312" t="s">
        <v>67</v>
      </c>
      <c r="C312" t="str">
        <f>_xlfn.XLOOKUP(B312,
[1]sales_teams!$A$2:$A$100,
[1]sales_teams!$B$2:$B$100)</f>
        <v>Celia Rouche</v>
      </c>
      <c r="D312" t="str">
        <f>_xlfn.XLOOKUP($B312,sales_teams!$A$2:$A$36,sales_teams!C$2:C$36)</f>
        <v>West</v>
      </c>
      <c r="E312" t="s">
        <v>48</v>
      </c>
      <c r="F312" t="s">
        <v>100</v>
      </c>
      <c r="G312" t="s">
        <v>46</v>
      </c>
      <c r="H312" s="1">
        <v>42728</v>
      </c>
      <c r="I312" s="1">
        <v>42823</v>
      </c>
      <c r="J312">
        <v>0</v>
      </c>
    </row>
    <row r="313" spans="1:10" x14ac:dyDescent="0.3">
      <c r="A313" t="s">
        <v>440</v>
      </c>
      <c r="B313" t="s">
        <v>252</v>
      </c>
      <c r="C313" t="str">
        <f>_xlfn.XLOOKUP(B313,
[1]sales_teams!$A$2:$A$100,
[1]sales_teams!$B$2:$B$100)</f>
        <v>Melvin Marxen</v>
      </c>
      <c r="D313" t="str">
        <f>_xlfn.XLOOKUP($B313,sales_teams!$A$2:$A$36,sales_teams!C$2:C$36)</f>
        <v>Central</v>
      </c>
      <c r="E313" t="s">
        <v>20</v>
      </c>
      <c r="F313" t="s">
        <v>21</v>
      </c>
      <c r="G313" t="s">
        <v>12</v>
      </c>
      <c r="H313" s="1">
        <v>42728</v>
      </c>
      <c r="I313" s="1">
        <v>42825</v>
      </c>
      <c r="J313">
        <v>517</v>
      </c>
    </row>
    <row r="314" spans="1:10" x14ac:dyDescent="0.3">
      <c r="A314" t="s">
        <v>441</v>
      </c>
      <c r="B314" t="s">
        <v>9</v>
      </c>
      <c r="C314" t="str">
        <f>_xlfn.XLOOKUP(B314,
[1]sales_teams!$A$2:$A$100,
[1]sales_teams!$B$2:$B$100)</f>
        <v>Dustin Brinkmann</v>
      </c>
      <c r="D314" t="str">
        <f>_xlfn.XLOOKUP($B314,sales_teams!$A$2:$A$36,sales_teams!C$2:C$36)</f>
        <v>Central</v>
      </c>
      <c r="E314" t="s">
        <v>20</v>
      </c>
      <c r="F314" t="s">
        <v>197</v>
      </c>
      <c r="G314" t="s">
        <v>12</v>
      </c>
      <c r="H314" s="1">
        <v>42728</v>
      </c>
      <c r="I314" s="1">
        <v>42797</v>
      </c>
      <c r="J314">
        <v>615</v>
      </c>
    </row>
    <row r="315" spans="1:10" x14ac:dyDescent="0.3">
      <c r="A315" t="s">
        <v>442</v>
      </c>
      <c r="B315" t="s">
        <v>35</v>
      </c>
      <c r="C315" t="str">
        <f>_xlfn.XLOOKUP(B315,
[1]sales_teams!$A$2:$A$100,
[1]sales_teams!$B$2:$B$100)</f>
        <v>Melvin Marxen</v>
      </c>
      <c r="D315" t="str">
        <f>_xlfn.XLOOKUP($B315,sales_teams!$A$2:$A$36,sales_teams!C$2:C$36)</f>
        <v>Central</v>
      </c>
      <c r="E315" t="s">
        <v>20</v>
      </c>
      <c r="F315" t="s">
        <v>207</v>
      </c>
      <c r="G315" t="s">
        <v>46</v>
      </c>
      <c r="H315" s="1">
        <v>42728</v>
      </c>
      <c r="I315" s="1">
        <v>42804</v>
      </c>
      <c r="J315">
        <v>0</v>
      </c>
    </row>
    <row r="316" spans="1:10" x14ac:dyDescent="0.3">
      <c r="A316" t="s">
        <v>443</v>
      </c>
      <c r="B316" t="s">
        <v>61</v>
      </c>
      <c r="C316" t="str">
        <f>_xlfn.XLOOKUP(B316,
[1]sales_teams!$A$2:$A$100,
[1]sales_teams!$B$2:$B$100)</f>
        <v>Dustin Brinkmann</v>
      </c>
      <c r="D316" t="str">
        <f>_xlfn.XLOOKUP($B316,sales_teams!$A$2:$A$36,sales_teams!C$2:C$36)</f>
        <v>Central</v>
      </c>
      <c r="E316" t="s">
        <v>18</v>
      </c>
      <c r="F316" t="s">
        <v>218</v>
      </c>
      <c r="G316" t="s">
        <v>12</v>
      </c>
      <c r="H316" s="1">
        <v>42728</v>
      </c>
      <c r="I316" s="1">
        <v>42802</v>
      </c>
      <c r="J316">
        <v>62</v>
      </c>
    </row>
    <row r="317" spans="1:10" x14ac:dyDescent="0.3">
      <c r="A317" t="s">
        <v>444</v>
      </c>
      <c r="B317" t="s">
        <v>14</v>
      </c>
      <c r="C317" t="str">
        <f>_xlfn.XLOOKUP(B317,
[1]sales_teams!$A$2:$A$100,
[1]sales_teams!$B$2:$B$100)</f>
        <v>Melvin Marxen</v>
      </c>
      <c r="D317" t="str">
        <f>_xlfn.XLOOKUP($B317,sales_teams!$A$2:$A$36,sales_teams!C$2:C$36)</f>
        <v>Central</v>
      </c>
      <c r="E317" t="s">
        <v>48</v>
      </c>
      <c r="F317" t="s">
        <v>16</v>
      </c>
      <c r="G317" t="s">
        <v>12</v>
      </c>
      <c r="H317" s="1">
        <v>42729</v>
      </c>
      <c r="I317" s="1">
        <v>42807</v>
      </c>
      <c r="J317">
        <v>4711</v>
      </c>
    </row>
    <row r="318" spans="1:10" x14ac:dyDescent="0.3">
      <c r="A318" t="s">
        <v>445</v>
      </c>
      <c r="B318" t="s">
        <v>142</v>
      </c>
      <c r="C318" t="str">
        <f>_xlfn.XLOOKUP(B318,
[1]sales_teams!$A$2:$A$100,
[1]sales_teams!$B$2:$B$100)</f>
        <v>Rocco Neubert</v>
      </c>
      <c r="D318" t="str">
        <f>_xlfn.XLOOKUP($B318,sales_teams!$A$2:$A$36,sales_teams!C$2:C$36)</f>
        <v>East</v>
      </c>
      <c r="E318" t="s">
        <v>15</v>
      </c>
      <c r="F318" t="s">
        <v>179</v>
      </c>
      <c r="G318" t="s">
        <v>46</v>
      </c>
      <c r="H318" s="1">
        <v>42729</v>
      </c>
      <c r="I318" s="1">
        <v>42817</v>
      </c>
      <c r="J318">
        <v>0</v>
      </c>
    </row>
    <row r="319" spans="1:10" x14ac:dyDescent="0.3">
      <c r="A319" t="s">
        <v>446</v>
      </c>
      <c r="B319" t="s">
        <v>105</v>
      </c>
      <c r="C319" t="str">
        <f>_xlfn.XLOOKUP(B319,
[1]sales_teams!$A$2:$A$100,
[1]sales_teams!$B$2:$B$100)</f>
        <v>Cara Losch</v>
      </c>
      <c r="D319" t="str">
        <f>_xlfn.XLOOKUP($B319,sales_teams!$A$2:$A$36,sales_teams!C$2:C$36)</f>
        <v>East</v>
      </c>
      <c r="E319" t="s">
        <v>20</v>
      </c>
      <c r="F319" t="s">
        <v>278</v>
      </c>
      <c r="G319" t="s">
        <v>12</v>
      </c>
      <c r="H319" s="1">
        <v>42729</v>
      </c>
      <c r="I319" s="1">
        <v>42824</v>
      </c>
      <c r="J319">
        <v>510</v>
      </c>
    </row>
    <row r="320" spans="1:10" x14ac:dyDescent="0.3">
      <c r="A320" t="s">
        <v>447</v>
      </c>
      <c r="B320" t="s">
        <v>44</v>
      </c>
      <c r="C320" t="str">
        <f>_xlfn.XLOOKUP(B320,
[1]sales_teams!$A$2:$A$100,
[1]sales_teams!$B$2:$B$100)</f>
        <v>Melvin Marxen</v>
      </c>
      <c r="D320" t="str">
        <f>_xlfn.XLOOKUP($B320,sales_teams!$A$2:$A$36,sales_teams!C$2:C$36)</f>
        <v>Central</v>
      </c>
      <c r="E320" t="s">
        <v>15</v>
      </c>
      <c r="F320" t="s">
        <v>76</v>
      </c>
      <c r="G320" t="s">
        <v>12</v>
      </c>
      <c r="H320" s="1">
        <v>42729</v>
      </c>
      <c r="I320" s="1">
        <v>42819</v>
      </c>
      <c r="J320">
        <v>4891</v>
      </c>
    </row>
    <row r="321" spans="1:10" x14ac:dyDescent="0.3">
      <c r="A321" t="s">
        <v>448</v>
      </c>
      <c r="B321" t="s">
        <v>54</v>
      </c>
      <c r="C321" t="str">
        <f>_xlfn.XLOOKUP(B321,
[1]sales_teams!$A$2:$A$100,
[1]sales_teams!$B$2:$B$100)</f>
        <v>Celia Rouche</v>
      </c>
      <c r="D321" t="str">
        <f>_xlfn.XLOOKUP($B321,sales_teams!$A$2:$A$36,sales_teams!C$2:C$36)</f>
        <v>West</v>
      </c>
      <c r="E321" t="s">
        <v>10</v>
      </c>
      <c r="F321" t="s">
        <v>100</v>
      </c>
      <c r="G321" t="s">
        <v>12</v>
      </c>
      <c r="H321" s="1">
        <v>42729</v>
      </c>
      <c r="I321" s="1">
        <v>42811</v>
      </c>
      <c r="J321">
        <v>926</v>
      </c>
    </row>
    <row r="322" spans="1:10" x14ac:dyDescent="0.3">
      <c r="A322" t="s">
        <v>449</v>
      </c>
      <c r="B322" t="s">
        <v>133</v>
      </c>
      <c r="C322" t="str">
        <f>_xlfn.XLOOKUP(B322,
[1]sales_teams!$A$2:$A$100,
[1]sales_teams!$B$2:$B$100)</f>
        <v>Dustin Brinkmann</v>
      </c>
      <c r="D322" t="str">
        <f>_xlfn.XLOOKUP($B322,sales_teams!$A$2:$A$36,sales_teams!C$2:C$36)</f>
        <v>Central</v>
      </c>
      <c r="E322" t="s">
        <v>18</v>
      </c>
      <c r="F322" t="s">
        <v>303</v>
      </c>
      <c r="G322" t="s">
        <v>12</v>
      </c>
      <c r="H322" s="1">
        <v>42729</v>
      </c>
      <c r="I322" s="1">
        <v>42804</v>
      </c>
      <c r="J322">
        <v>56</v>
      </c>
    </row>
    <row r="323" spans="1:10" x14ac:dyDescent="0.3">
      <c r="A323" t="s">
        <v>450</v>
      </c>
      <c r="B323" t="s">
        <v>51</v>
      </c>
      <c r="C323" t="str">
        <f>_xlfn.XLOOKUP(B323,
[1]sales_teams!$A$2:$A$100,
[1]sales_teams!$B$2:$B$100)</f>
        <v>Summer Sewald</v>
      </c>
      <c r="D323" t="str">
        <f>_xlfn.XLOOKUP($B323,sales_teams!$A$2:$A$36,sales_teams!C$2:C$36)</f>
        <v>West</v>
      </c>
      <c r="E323" t="s">
        <v>20</v>
      </c>
      <c r="F323" t="s">
        <v>62</v>
      </c>
      <c r="G323" t="s">
        <v>40</v>
      </c>
      <c r="H323" s="1">
        <v>42729</v>
      </c>
    </row>
    <row r="324" spans="1:10" x14ac:dyDescent="0.3">
      <c r="A324" t="s">
        <v>451</v>
      </c>
      <c r="B324" t="s">
        <v>57</v>
      </c>
      <c r="C324" t="str">
        <f>_xlfn.XLOOKUP(B324,
[1]sales_teams!$A$2:$A$100,
[1]sales_teams!$B$2:$B$100)</f>
        <v>Celia Rouche</v>
      </c>
      <c r="D324" t="str">
        <f>_xlfn.XLOOKUP($B324,sales_teams!$A$2:$A$36,sales_teams!C$2:C$36)</f>
        <v>West</v>
      </c>
      <c r="E324" t="s">
        <v>20</v>
      </c>
      <c r="G324" t="s">
        <v>40</v>
      </c>
      <c r="H324" s="1">
        <v>42729</v>
      </c>
    </row>
    <row r="325" spans="1:10" x14ac:dyDescent="0.3">
      <c r="A325" t="s">
        <v>452</v>
      </c>
      <c r="B325" t="s">
        <v>73</v>
      </c>
      <c r="C325" t="str">
        <f>_xlfn.XLOOKUP(B325,
[1]sales_teams!$A$2:$A$100,
[1]sales_teams!$B$2:$B$100)</f>
        <v>Cara Losch</v>
      </c>
      <c r="D325" t="str">
        <f>_xlfn.XLOOKUP($B325,sales_teams!$A$2:$A$36,sales_teams!C$2:C$36)</f>
        <v>East</v>
      </c>
      <c r="E325" t="s">
        <v>18</v>
      </c>
      <c r="F325" t="s">
        <v>177</v>
      </c>
      <c r="G325" t="s">
        <v>12</v>
      </c>
      <c r="H325" s="1">
        <v>42729</v>
      </c>
      <c r="I325" s="1">
        <v>42799</v>
      </c>
      <c r="J325">
        <v>47</v>
      </c>
    </row>
    <row r="326" spans="1:10" x14ac:dyDescent="0.3">
      <c r="A326" t="s">
        <v>453</v>
      </c>
      <c r="B326" t="s">
        <v>14</v>
      </c>
      <c r="C326" t="str">
        <f>_xlfn.XLOOKUP(B326,
[1]sales_teams!$A$2:$A$100,
[1]sales_teams!$B$2:$B$100)</f>
        <v>Melvin Marxen</v>
      </c>
      <c r="D326" t="str">
        <f>_xlfn.XLOOKUP($B326,sales_teams!$A$2:$A$36,sales_teams!C$2:C$36)</f>
        <v>Central</v>
      </c>
      <c r="E326" t="s">
        <v>20</v>
      </c>
      <c r="F326" t="s">
        <v>151</v>
      </c>
      <c r="G326" t="s">
        <v>46</v>
      </c>
      <c r="H326" s="1">
        <v>42730</v>
      </c>
      <c r="I326" s="1">
        <v>42817</v>
      </c>
      <c r="J326">
        <v>0</v>
      </c>
    </row>
    <row r="327" spans="1:10" x14ac:dyDescent="0.3">
      <c r="A327" t="s">
        <v>454</v>
      </c>
      <c r="B327" t="s">
        <v>38</v>
      </c>
      <c r="C327" t="str">
        <f>_xlfn.XLOOKUP(B327,
[1]sales_teams!$A$2:$A$100,
[1]sales_teams!$B$2:$B$100)</f>
        <v>Summer Sewald</v>
      </c>
      <c r="D327" t="str">
        <f>_xlfn.XLOOKUP($B327,sales_teams!$A$2:$A$36,sales_teams!C$2:C$36)</f>
        <v>West</v>
      </c>
      <c r="E327" t="s">
        <v>48</v>
      </c>
      <c r="F327" t="s">
        <v>157</v>
      </c>
      <c r="G327" t="s">
        <v>12</v>
      </c>
      <c r="H327" s="1">
        <v>42730</v>
      </c>
      <c r="I327" s="1">
        <v>42804</v>
      </c>
      <c r="J327">
        <v>6490</v>
      </c>
    </row>
    <row r="328" spans="1:10" x14ac:dyDescent="0.3">
      <c r="A328" t="s">
        <v>455</v>
      </c>
      <c r="B328" t="s">
        <v>78</v>
      </c>
      <c r="C328" t="str">
        <f>_xlfn.XLOOKUP(B328,
[1]sales_teams!$A$2:$A$100,
[1]sales_teams!$B$2:$B$100)</f>
        <v>Summer Sewald</v>
      </c>
      <c r="D328" t="str">
        <f>_xlfn.XLOOKUP($B328,sales_teams!$A$2:$A$36,sales_teams!C$2:C$36)</f>
        <v>West</v>
      </c>
      <c r="E328" t="s">
        <v>39</v>
      </c>
      <c r="F328" t="s">
        <v>109</v>
      </c>
      <c r="G328" t="s">
        <v>40</v>
      </c>
      <c r="H328" s="1">
        <v>42730</v>
      </c>
    </row>
    <row r="329" spans="1:10" x14ac:dyDescent="0.3">
      <c r="A329" t="s">
        <v>456</v>
      </c>
      <c r="B329" t="s">
        <v>95</v>
      </c>
      <c r="C329" t="str">
        <f>_xlfn.XLOOKUP(B329,
[1]sales_teams!$A$2:$A$100,
[1]sales_teams!$B$2:$B$100)</f>
        <v>Summer Sewald</v>
      </c>
      <c r="D329" t="str">
        <f>_xlfn.XLOOKUP($B329,sales_teams!$A$2:$A$36,sales_teams!C$2:C$36)</f>
        <v>West</v>
      </c>
      <c r="E329" t="s">
        <v>15</v>
      </c>
      <c r="G329" t="s">
        <v>40</v>
      </c>
      <c r="H329" s="1">
        <v>42730</v>
      </c>
    </row>
    <row r="330" spans="1:10" x14ac:dyDescent="0.3">
      <c r="A330" t="s">
        <v>457</v>
      </c>
      <c r="B330" t="s">
        <v>35</v>
      </c>
      <c r="C330" t="str">
        <f>_xlfn.XLOOKUP(B330,
[1]sales_teams!$A$2:$A$100,
[1]sales_teams!$B$2:$B$100)</f>
        <v>Melvin Marxen</v>
      </c>
      <c r="D330" t="str">
        <f>_xlfn.XLOOKUP($B330,sales_teams!$A$2:$A$36,sales_teams!C$2:C$36)</f>
        <v>Central</v>
      </c>
      <c r="E330" t="s">
        <v>39</v>
      </c>
      <c r="F330" t="s">
        <v>62</v>
      </c>
      <c r="G330" t="s">
        <v>12</v>
      </c>
      <c r="H330" s="1">
        <v>42730</v>
      </c>
      <c r="I330" s="1">
        <v>42796</v>
      </c>
      <c r="J330">
        <v>3841</v>
      </c>
    </row>
    <row r="331" spans="1:10" x14ac:dyDescent="0.3">
      <c r="A331" t="s">
        <v>458</v>
      </c>
      <c r="B331" t="s">
        <v>95</v>
      </c>
      <c r="C331" t="str">
        <f>_xlfn.XLOOKUP(B331,
[1]sales_teams!$A$2:$A$100,
[1]sales_teams!$B$2:$B$100)</f>
        <v>Summer Sewald</v>
      </c>
      <c r="D331" t="str">
        <f>_xlfn.XLOOKUP($B331,sales_teams!$A$2:$A$36,sales_teams!C$2:C$36)</f>
        <v>West</v>
      </c>
      <c r="E331" t="s">
        <v>20</v>
      </c>
      <c r="G331" t="s">
        <v>40</v>
      </c>
      <c r="H331" s="1">
        <v>42731</v>
      </c>
    </row>
    <row r="332" spans="1:10" x14ac:dyDescent="0.3">
      <c r="A332" t="s">
        <v>459</v>
      </c>
      <c r="B332" t="s">
        <v>95</v>
      </c>
      <c r="C332" t="str">
        <f>_xlfn.XLOOKUP(B332,
[1]sales_teams!$A$2:$A$100,
[1]sales_teams!$B$2:$B$100)</f>
        <v>Summer Sewald</v>
      </c>
      <c r="D332" t="str">
        <f>_xlfn.XLOOKUP($B332,sales_teams!$A$2:$A$36,sales_teams!C$2:C$36)</f>
        <v>West</v>
      </c>
      <c r="E332" t="s">
        <v>48</v>
      </c>
      <c r="F332" t="s">
        <v>194</v>
      </c>
      <c r="G332" t="s">
        <v>12</v>
      </c>
      <c r="H332" s="1">
        <v>42731</v>
      </c>
      <c r="I332" s="1">
        <v>42809</v>
      </c>
      <c r="J332">
        <v>5256</v>
      </c>
    </row>
    <row r="333" spans="1:10" x14ac:dyDescent="0.3">
      <c r="A333" t="s">
        <v>460</v>
      </c>
      <c r="B333" t="s">
        <v>32</v>
      </c>
      <c r="C333" t="str">
        <f>_xlfn.XLOOKUP(B333,
[1]sales_teams!$A$2:$A$100,
[1]sales_teams!$B$2:$B$100)</f>
        <v>Celia Rouche</v>
      </c>
      <c r="D333" t="str">
        <f>_xlfn.XLOOKUP($B333,sales_teams!$A$2:$A$36,sales_teams!C$2:C$36)</f>
        <v>West</v>
      </c>
      <c r="E333" t="s">
        <v>18</v>
      </c>
      <c r="F333" t="s">
        <v>155</v>
      </c>
      <c r="G333" t="s">
        <v>46</v>
      </c>
      <c r="H333" s="1">
        <v>42731</v>
      </c>
      <c r="I333" s="1">
        <v>42822</v>
      </c>
      <c r="J333">
        <v>0</v>
      </c>
    </row>
    <row r="334" spans="1:10" x14ac:dyDescent="0.3">
      <c r="A334" t="s">
        <v>461</v>
      </c>
      <c r="B334" t="s">
        <v>32</v>
      </c>
      <c r="C334" t="str">
        <f>_xlfn.XLOOKUP(B334,
[1]sales_teams!$A$2:$A$100,
[1]sales_teams!$B$2:$B$100)</f>
        <v>Celia Rouche</v>
      </c>
      <c r="D334" t="str">
        <f>_xlfn.XLOOKUP($B334,sales_teams!$A$2:$A$36,sales_teams!C$2:C$36)</f>
        <v>West</v>
      </c>
      <c r="E334" t="s">
        <v>39</v>
      </c>
      <c r="F334" t="s">
        <v>52</v>
      </c>
      <c r="G334" t="s">
        <v>46</v>
      </c>
      <c r="H334" s="1">
        <v>42731</v>
      </c>
      <c r="I334" s="1">
        <v>42819</v>
      </c>
      <c r="J334">
        <v>0</v>
      </c>
    </row>
    <row r="335" spans="1:10" x14ac:dyDescent="0.3">
      <c r="A335" t="s">
        <v>462</v>
      </c>
      <c r="B335" t="s">
        <v>26</v>
      </c>
      <c r="C335" t="str">
        <f>_xlfn.XLOOKUP(B335,
[1]sales_teams!$A$2:$A$100,
[1]sales_teams!$B$2:$B$100)</f>
        <v>Dustin Brinkmann</v>
      </c>
      <c r="D335" t="str">
        <f>_xlfn.XLOOKUP($B335,sales_teams!$A$2:$A$36,sales_teams!C$2:C$36)</f>
        <v>Central</v>
      </c>
      <c r="E335" t="s">
        <v>20</v>
      </c>
      <c r="F335" t="s">
        <v>120</v>
      </c>
      <c r="G335" t="s">
        <v>12</v>
      </c>
      <c r="H335" s="1">
        <v>42732</v>
      </c>
      <c r="I335" s="1">
        <v>42795</v>
      </c>
      <c r="J335">
        <v>625</v>
      </c>
    </row>
    <row r="336" spans="1:10" x14ac:dyDescent="0.3">
      <c r="A336" t="s">
        <v>463</v>
      </c>
      <c r="B336" t="s">
        <v>164</v>
      </c>
      <c r="C336" t="str">
        <f>_xlfn.XLOOKUP(B336,
[1]sales_teams!$A$2:$A$100,
[1]sales_teams!$B$2:$B$100)</f>
        <v>Cara Losch</v>
      </c>
      <c r="D336" t="str">
        <f>_xlfn.XLOOKUP($B336,sales_teams!$A$2:$A$36,sales_teams!C$2:C$36)</f>
        <v>East</v>
      </c>
      <c r="E336" t="s">
        <v>15</v>
      </c>
      <c r="G336" t="s">
        <v>40</v>
      </c>
      <c r="H336" s="1">
        <v>42732</v>
      </c>
    </row>
    <row r="337" spans="1:10" x14ac:dyDescent="0.3">
      <c r="A337" t="s">
        <v>464</v>
      </c>
      <c r="B337" t="s">
        <v>14</v>
      </c>
      <c r="C337" t="str">
        <f>_xlfn.XLOOKUP(B337,
[1]sales_teams!$A$2:$A$100,
[1]sales_teams!$B$2:$B$100)</f>
        <v>Melvin Marxen</v>
      </c>
      <c r="D337" t="str">
        <f>_xlfn.XLOOKUP($B337,sales_teams!$A$2:$A$36,sales_teams!C$2:C$36)</f>
        <v>Central</v>
      </c>
      <c r="E337" t="s">
        <v>15</v>
      </c>
      <c r="F337" t="s">
        <v>76</v>
      </c>
      <c r="G337" t="s">
        <v>46</v>
      </c>
      <c r="H337" s="1">
        <v>42732</v>
      </c>
      <c r="I337" s="1">
        <v>42810</v>
      </c>
      <c r="J337">
        <v>0</v>
      </c>
    </row>
    <row r="338" spans="1:10" x14ac:dyDescent="0.3">
      <c r="A338" t="s">
        <v>465</v>
      </c>
      <c r="B338" t="s">
        <v>14</v>
      </c>
      <c r="C338" t="str">
        <f>_xlfn.XLOOKUP(B338,
[1]sales_teams!$A$2:$A$100,
[1]sales_teams!$B$2:$B$100)</f>
        <v>Melvin Marxen</v>
      </c>
      <c r="D338" t="str">
        <f>_xlfn.XLOOKUP($B338,sales_teams!$A$2:$A$36,sales_teams!C$2:C$36)</f>
        <v>Central</v>
      </c>
      <c r="E338" t="s">
        <v>15</v>
      </c>
      <c r="F338" t="s">
        <v>120</v>
      </c>
      <c r="G338" t="s">
        <v>12</v>
      </c>
      <c r="H338" s="1">
        <v>42732</v>
      </c>
      <c r="I338" s="1">
        <v>42816</v>
      </c>
      <c r="J338">
        <v>3952</v>
      </c>
    </row>
    <row r="339" spans="1:10" x14ac:dyDescent="0.3">
      <c r="A339" t="s">
        <v>466</v>
      </c>
      <c r="B339" t="s">
        <v>95</v>
      </c>
      <c r="C339" t="str">
        <f>_xlfn.XLOOKUP(B339,
[1]sales_teams!$A$2:$A$100,
[1]sales_teams!$B$2:$B$100)</f>
        <v>Summer Sewald</v>
      </c>
      <c r="D339" t="str">
        <f>_xlfn.XLOOKUP($B339,sales_teams!$A$2:$A$36,sales_teams!C$2:C$36)</f>
        <v>West</v>
      </c>
      <c r="E339" t="s">
        <v>20</v>
      </c>
      <c r="G339" t="s">
        <v>40</v>
      </c>
      <c r="H339" s="1">
        <v>42732</v>
      </c>
    </row>
    <row r="340" spans="1:10" x14ac:dyDescent="0.3">
      <c r="A340" t="s">
        <v>467</v>
      </c>
      <c r="B340" t="s">
        <v>95</v>
      </c>
      <c r="C340" t="str">
        <f>_xlfn.XLOOKUP(B340,
[1]sales_teams!$A$2:$A$100,
[1]sales_teams!$B$2:$B$100)</f>
        <v>Summer Sewald</v>
      </c>
      <c r="D340" t="str">
        <f>_xlfn.XLOOKUP($B340,sales_teams!$A$2:$A$36,sales_teams!C$2:C$36)</f>
        <v>West</v>
      </c>
      <c r="E340" t="s">
        <v>48</v>
      </c>
      <c r="F340" t="s">
        <v>199</v>
      </c>
      <c r="G340" t="s">
        <v>12</v>
      </c>
      <c r="H340" s="1">
        <v>42732</v>
      </c>
      <c r="I340" s="1">
        <v>42807</v>
      </c>
      <c r="J340">
        <v>5515</v>
      </c>
    </row>
    <row r="341" spans="1:10" x14ac:dyDescent="0.3">
      <c r="A341" t="s">
        <v>468</v>
      </c>
      <c r="B341" t="s">
        <v>97</v>
      </c>
      <c r="C341" t="str">
        <f>_xlfn.XLOOKUP(B341,
[1]sales_teams!$A$2:$A$100,
[1]sales_teams!$B$2:$B$100)</f>
        <v>Rocco Neubert</v>
      </c>
      <c r="D341" t="str">
        <f>_xlfn.XLOOKUP($B341,sales_teams!$A$2:$A$36,sales_teams!C$2:C$36)</f>
        <v>East</v>
      </c>
      <c r="E341" t="s">
        <v>18</v>
      </c>
      <c r="F341" t="s">
        <v>74</v>
      </c>
      <c r="G341" t="s">
        <v>12</v>
      </c>
      <c r="H341" s="1">
        <v>42732</v>
      </c>
      <c r="I341" s="1">
        <v>42810</v>
      </c>
      <c r="J341">
        <v>57</v>
      </c>
    </row>
    <row r="342" spans="1:10" x14ac:dyDescent="0.3">
      <c r="A342" t="s">
        <v>469</v>
      </c>
      <c r="B342" t="s">
        <v>61</v>
      </c>
      <c r="C342" t="str">
        <f>_xlfn.XLOOKUP(B342,
[1]sales_teams!$A$2:$A$100,
[1]sales_teams!$B$2:$B$100)</f>
        <v>Dustin Brinkmann</v>
      </c>
      <c r="D342" t="str">
        <f>_xlfn.XLOOKUP($B342,sales_teams!$A$2:$A$36,sales_teams!C$2:C$36)</f>
        <v>Central</v>
      </c>
      <c r="E342" t="s">
        <v>18</v>
      </c>
      <c r="F342" t="s">
        <v>113</v>
      </c>
      <c r="G342" t="s">
        <v>12</v>
      </c>
      <c r="H342" s="1">
        <v>42732</v>
      </c>
      <c r="I342" s="1">
        <v>42822</v>
      </c>
      <c r="J342">
        <v>51</v>
      </c>
    </row>
    <row r="343" spans="1:10" x14ac:dyDescent="0.3">
      <c r="A343" t="s">
        <v>470</v>
      </c>
      <c r="B343" t="s">
        <v>29</v>
      </c>
      <c r="C343" t="str">
        <f>_xlfn.XLOOKUP(B343,
[1]sales_teams!$A$2:$A$100,
[1]sales_teams!$B$2:$B$100)</f>
        <v>Celia Rouche</v>
      </c>
      <c r="D343" t="str">
        <f>_xlfn.XLOOKUP($B343,sales_teams!$A$2:$A$36,sales_teams!C$2:C$36)</f>
        <v>West</v>
      </c>
      <c r="E343" t="s">
        <v>39</v>
      </c>
      <c r="F343" t="s">
        <v>70</v>
      </c>
      <c r="G343" t="s">
        <v>12</v>
      </c>
      <c r="H343" s="1">
        <v>42732</v>
      </c>
      <c r="I343" s="1">
        <v>42807</v>
      </c>
      <c r="J343">
        <v>3803</v>
      </c>
    </row>
    <row r="344" spans="1:10" x14ac:dyDescent="0.3">
      <c r="A344" t="s">
        <v>471</v>
      </c>
      <c r="B344" t="s">
        <v>26</v>
      </c>
      <c r="C344" t="str">
        <f>_xlfn.XLOOKUP(B344,
[1]sales_teams!$A$2:$A$100,
[1]sales_teams!$B$2:$B$100)</f>
        <v>Dustin Brinkmann</v>
      </c>
      <c r="D344" t="str">
        <f>_xlfn.XLOOKUP($B344,sales_teams!$A$2:$A$36,sales_teams!C$2:C$36)</f>
        <v>Central</v>
      </c>
      <c r="E344" t="s">
        <v>48</v>
      </c>
      <c r="F344" t="s">
        <v>126</v>
      </c>
      <c r="G344" t="s">
        <v>12</v>
      </c>
      <c r="H344" s="1">
        <v>42733</v>
      </c>
      <c r="I344" s="1">
        <v>42821</v>
      </c>
      <c r="J344">
        <v>5459</v>
      </c>
    </row>
    <row r="345" spans="1:10" x14ac:dyDescent="0.3">
      <c r="A345" t="s">
        <v>472</v>
      </c>
      <c r="B345" t="s">
        <v>26</v>
      </c>
      <c r="C345" t="str">
        <f>_xlfn.XLOOKUP(B345,
[1]sales_teams!$A$2:$A$100,
[1]sales_teams!$B$2:$B$100)</f>
        <v>Dustin Brinkmann</v>
      </c>
      <c r="D345" t="str">
        <f>_xlfn.XLOOKUP($B345,sales_teams!$A$2:$A$36,sales_teams!C$2:C$36)</f>
        <v>Central</v>
      </c>
      <c r="E345" t="s">
        <v>39</v>
      </c>
      <c r="F345" t="s">
        <v>111</v>
      </c>
      <c r="G345" t="s">
        <v>12</v>
      </c>
      <c r="H345" s="1">
        <v>42733</v>
      </c>
      <c r="I345" s="1">
        <v>42817</v>
      </c>
      <c r="J345">
        <v>4148</v>
      </c>
    </row>
    <row r="346" spans="1:10" x14ac:dyDescent="0.3">
      <c r="A346" t="s">
        <v>473</v>
      </c>
      <c r="B346" t="s">
        <v>118</v>
      </c>
      <c r="C346" t="str">
        <f>_xlfn.XLOOKUP(B346,
[1]sales_teams!$A$2:$A$100,
[1]sales_teams!$B$2:$B$100)</f>
        <v>Rocco Neubert</v>
      </c>
      <c r="D346" t="str">
        <f>_xlfn.XLOOKUP($B346,sales_teams!$A$2:$A$36,sales_teams!C$2:C$36)</f>
        <v>East</v>
      </c>
      <c r="E346" t="s">
        <v>48</v>
      </c>
      <c r="G346" t="s">
        <v>40</v>
      </c>
      <c r="H346" s="1">
        <v>42733</v>
      </c>
    </row>
    <row r="347" spans="1:10" x14ac:dyDescent="0.3">
      <c r="A347" t="s">
        <v>474</v>
      </c>
      <c r="B347" t="s">
        <v>164</v>
      </c>
      <c r="C347" t="str">
        <f>_xlfn.XLOOKUP(B347,
[1]sales_teams!$A$2:$A$100,
[1]sales_teams!$B$2:$B$100)</f>
        <v>Cara Losch</v>
      </c>
      <c r="D347" t="str">
        <f>_xlfn.XLOOKUP($B347,sales_teams!$A$2:$A$36,sales_teams!C$2:C$36)</f>
        <v>East</v>
      </c>
      <c r="E347" t="s">
        <v>48</v>
      </c>
      <c r="F347" t="s">
        <v>81</v>
      </c>
      <c r="G347" t="s">
        <v>12</v>
      </c>
      <c r="H347" s="1">
        <v>42733</v>
      </c>
      <c r="I347" s="1">
        <v>42817</v>
      </c>
      <c r="J347">
        <v>5002</v>
      </c>
    </row>
    <row r="348" spans="1:10" x14ac:dyDescent="0.3">
      <c r="A348" t="s">
        <v>475</v>
      </c>
      <c r="B348" t="s">
        <v>164</v>
      </c>
      <c r="C348" t="str">
        <f>_xlfn.XLOOKUP(B348,
[1]sales_teams!$A$2:$A$100,
[1]sales_teams!$B$2:$B$100)</f>
        <v>Cara Losch</v>
      </c>
      <c r="D348" t="str">
        <f>_xlfn.XLOOKUP($B348,sales_teams!$A$2:$A$36,sales_teams!C$2:C$36)</f>
        <v>East</v>
      </c>
      <c r="E348" t="s">
        <v>39</v>
      </c>
      <c r="F348" t="s">
        <v>237</v>
      </c>
      <c r="G348" t="s">
        <v>12</v>
      </c>
      <c r="H348" s="1">
        <v>42733</v>
      </c>
      <c r="I348" s="1">
        <v>42797</v>
      </c>
      <c r="J348">
        <v>3351</v>
      </c>
    </row>
    <row r="349" spans="1:10" x14ac:dyDescent="0.3">
      <c r="A349" t="s">
        <v>476</v>
      </c>
      <c r="B349" t="s">
        <v>44</v>
      </c>
      <c r="C349" t="str">
        <f>_xlfn.XLOOKUP(B349,
[1]sales_teams!$A$2:$A$100,
[1]sales_teams!$B$2:$B$100)</f>
        <v>Melvin Marxen</v>
      </c>
      <c r="D349" t="str">
        <f>_xlfn.XLOOKUP($B349,sales_teams!$A$2:$A$36,sales_teams!C$2:C$36)</f>
        <v>Central</v>
      </c>
      <c r="E349" t="s">
        <v>20</v>
      </c>
      <c r="F349" t="s">
        <v>207</v>
      </c>
      <c r="G349" t="s">
        <v>12</v>
      </c>
      <c r="H349" s="1">
        <v>42733</v>
      </c>
      <c r="I349" s="1">
        <v>42813</v>
      </c>
      <c r="J349">
        <v>571</v>
      </c>
    </row>
    <row r="350" spans="1:10" x14ac:dyDescent="0.3">
      <c r="A350" t="s">
        <v>477</v>
      </c>
      <c r="B350" t="s">
        <v>38</v>
      </c>
      <c r="C350" t="str">
        <f>_xlfn.XLOOKUP(B350,
[1]sales_teams!$A$2:$A$100,
[1]sales_teams!$B$2:$B$100)</f>
        <v>Summer Sewald</v>
      </c>
      <c r="D350" t="str">
        <f>_xlfn.XLOOKUP($B350,sales_teams!$A$2:$A$36,sales_teams!C$2:C$36)</f>
        <v>West</v>
      </c>
      <c r="E350" t="s">
        <v>20</v>
      </c>
      <c r="F350" t="s">
        <v>148</v>
      </c>
      <c r="G350" t="s">
        <v>12</v>
      </c>
      <c r="H350" s="1">
        <v>42733</v>
      </c>
      <c r="I350" s="1">
        <v>42804</v>
      </c>
      <c r="J350">
        <v>601</v>
      </c>
    </row>
    <row r="351" spans="1:10" x14ac:dyDescent="0.3">
      <c r="A351" t="s">
        <v>478</v>
      </c>
      <c r="B351" t="s">
        <v>78</v>
      </c>
      <c r="C351" t="str">
        <f>_xlfn.XLOOKUP(B351,
[1]sales_teams!$A$2:$A$100,
[1]sales_teams!$B$2:$B$100)</f>
        <v>Summer Sewald</v>
      </c>
      <c r="D351" t="str">
        <f>_xlfn.XLOOKUP($B351,sales_teams!$A$2:$A$36,sales_teams!C$2:C$36)</f>
        <v>West</v>
      </c>
      <c r="E351" t="s">
        <v>15</v>
      </c>
      <c r="G351" t="s">
        <v>40</v>
      </c>
      <c r="H351" s="1">
        <v>42733</v>
      </c>
    </row>
    <row r="352" spans="1:10" x14ac:dyDescent="0.3">
      <c r="A352" t="s">
        <v>479</v>
      </c>
      <c r="B352" t="s">
        <v>32</v>
      </c>
      <c r="C352" t="str">
        <f>_xlfn.XLOOKUP(B352,
[1]sales_teams!$A$2:$A$100,
[1]sales_teams!$B$2:$B$100)</f>
        <v>Celia Rouche</v>
      </c>
      <c r="D352" t="str">
        <f>_xlfn.XLOOKUP($B352,sales_teams!$A$2:$A$36,sales_teams!C$2:C$36)</f>
        <v>West</v>
      </c>
      <c r="E352" t="s">
        <v>20</v>
      </c>
      <c r="F352" t="s">
        <v>79</v>
      </c>
      <c r="G352" t="s">
        <v>12</v>
      </c>
      <c r="H352" s="1">
        <v>42733</v>
      </c>
      <c r="I352" s="1">
        <v>42807</v>
      </c>
      <c r="J352">
        <v>576</v>
      </c>
    </row>
    <row r="353" spans="1:10" x14ac:dyDescent="0.3">
      <c r="A353" t="s">
        <v>480</v>
      </c>
      <c r="B353" t="s">
        <v>116</v>
      </c>
      <c r="C353" t="str">
        <f>_xlfn.XLOOKUP(B353,
[1]sales_teams!$A$2:$A$100,
[1]sales_teams!$B$2:$B$100)</f>
        <v>Melvin Marxen</v>
      </c>
      <c r="D353" t="str">
        <f>_xlfn.XLOOKUP($B353,sales_teams!$A$2:$A$36,sales_teams!C$2:C$36)</f>
        <v>Central</v>
      </c>
      <c r="E353" t="s">
        <v>18</v>
      </c>
      <c r="F353" t="s">
        <v>135</v>
      </c>
      <c r="G353" t="s">
        <v>12</v>
      </c>
      <c r="H353" s="1">
        <v>42733</v>
      </c>
      <c r="I353" s="1">
        <v>42797</v>
      </c>
      <c r="J353">
        <v>52</v>
      </c>
    </row>
    <row r="354" spans="1:10" x14ac:dyDescent="0.3">
      <c r="A354" t="s">
        <v>481</v>
      </c>
      <c r="B354" t="s">
        <v>51</v>
      </c>
      <c r="C354" t="str">
        <f>_xlfn.XLOOKUP(B354,
[1]sales_teams!$A$2:$A$100,
[1]sales_teams!$B$2:$B$100)</f>
        <v>Summer Sewald</v>
      </c>
      <c r="D354" t="str">
        <f>_xlfn.XLOOKUP($B354,sales_teams!$A$2:$A$36,sales_teams!C$2:C$36)</f>
        <v>West</v>
      </c>
      <c r="E354" t="s">
        <v>10</v>
      </c>
      <c r="F354" t="s">
        <v>70</v>
      </c>
      <c r="G354" t="s">
        <v>12</v>
      </c>
      <c r="H354" s="1">
        <v>42733</v>
      </c>
      <c r="I354" s="1">
        <v>42807</v>
      </c>
      <c r="J354">
        <v>1185</v>
      </c>
    </row>
    <row r="355" spans="1:10" x14ac:dyDescent="0.3">
      <c r="A355" t="s">
        <v>482</v>
      </c>
      <c r="B355" t="s">
        <v>97</v>
      </c>
      <c r="C355" t="str">
        <f>_xlfn.XLOOKUP(B355,
[1]sales_teams!$A$2:$A$100,
[1]sales_teams!$B$2:$B$100)</f>
        <v>Rocco Neubert</v>
      </c>
      <c r="D355" t="str">
        <f>_xlfn.XLOOKUP($B355,sales_teams!$A$2:$A$36,sales_teams!C$2:C$36)</f>
        <v>East</v>
      </c>
      <c r="E355" t="s">
        <v>10</v>
      </c>
      <c r="F355" t="s">
        <v>237</v>
      </c>
      <c r="G355" t="s">
        <v>46</v>
      </c>
      <c r="H355" s="1">
        <v>42733</v>
      </c>
      <c r="I355" s="1">
        <v>42822</v>
      </c>
      <c r="J355">
        <v>0</v>
      </c>
    </row>
    <row r="356" spans="1:10" x14ac:dyDescent="0.3">
      <c r="A356" t="s">
        <v>483</v>
      </c>
      <c r="B356" t="s">
        <v>57</v>
      </c>
      <c r="C356" t="str">
        <f>_xlfn.XLOOKUP(B356,
[1]sales_teams!$A$2:$A$100,
[1]sales_teams!$B$2:$B$100)</f>
        <v>Celia Rouche</v>
      </c>
      <c r="D356" t="str">
        <f>_xlfn.XLOOKUP($B356,sales_teams!$A$2:$A$36,sales_teams!C$2:C$36)</f>
        <v>West</v>
      </c>
      <c r="E356" t="s">
        <v>18</v>
      </c>
      <c r="F356" t="s">
        <v>124</v>
      </c>
      <c r="G356" t="s">
        <v>12</v>
      </c>
      <c r="H356" s="1">
        <v>42733</v>
      </c>
      <c r="I356" s="1">
        <v>42808</v>
      </c>
      <c r="J356">
        <v>56</v>
      </c>
    </row>
    <row r="357" spans="1:10" x14ac:dyDescent="0.3">
      <c r="A357" t="s">
        <v>484</v>
      </c>
      <c r="B357" t="s">
        <v>29</v>
      </c>
      <c r="C357" t="str">
        <f>_xlfn.XLOOKUP(B357,
[1]sales_teams!$A$2:$A$100,
[1]sales_teams!$B$2:$B$100)</f>
        <v>Celia Rouche</v>
      </c>
      <c r="D357" t="str">
        <f>_xlfn.XLOOKUP($B357,sales_teams!$A$2:$A$36,sales_teams!C$2:C$36)</f>
        <v>West</v>
      </c>
      <c r="E357" t="s">
        <v>20</v>
      </c>
      <c r="G357" t="s">
        <v>40</v>
      </c>
      <c r="H357" s="1">
        <v>42733</v>
      </c>
    </row>
    <row r="358" spans="1:10" x14ac:dyDescent="0.3">
      <c r="A358" t="s">
        <v>485</v>
      </c>
      <c r="B358" t="s">
        <v>73</v>
      </c>
      <c r="C358" t="str">
        <f>_xlfn.XLOOKUP(B358,
[1]sales_teams!$A$2:$A$100,
[1]sales_teams!$B$2:$B$100)</f>
        <v>Cara Losch</v>
      </c>
      <c r="D358" t="str">
        <f>_xlfn.XLOOKUP($B358,sales_teams!$A$2:$A$36,sales_teams!C$2:C$36)</f>
        <v>East</v>
      </c>
      <c r="E358" t="s">
        <v>18</v>
      </c>
      <c r="F358" t="s">
        <v>140</v>
      </c>
      <c r="G358" t="s">
        <v>12</v>
      </c>
      <c r="H358" s="1">
        <v>42733</v>
      </c>
      <c r="I358" s="1">
        <v>42823</v>
      </c>
      <c r="J358">
        <v>54</v>
      </c>
    </row>
    <row r="359" spans="1:10" x14ac:dyDescent="0.3">
      <c r="A359" t="s">
        <v>486</v>
      </c>
      <c r="B359" t="s">
        <v>23</v>
      </c>
      <c r="C359" t="str">
        <f>_xlfn.XLOOKUP(B359,
[1]sales_teams!$A$2:$A$100,
[1]sales_teams!$B$2:$B$100)</f>
        <v>Summer Sewald</v>
      </c>
      <c r="D359" t="str">
        <f>_xlfn.XLOOKUP($B359,sales_teams!$A$2:$A$36,sales_teams!C$2:C$36)</f>
        <v>West</v>
      </c>
      <c r="E359" t="s">
        <v>15</v>
      </c>
      <c r="F359" t="s">
        <v>93</v>
      </c>
      <c r="G359" t="s">
        <v>12</v>
      </c>
      <c r="H359" s="1">
        <v>42733</v>
      </c>
      <c r="I359" s="1">
        <v>42807</v>
      </c>
      <c r="J359">
        <v>4818</v>
      </c>
    </row>
    <row r="360" spans="1:10" x14ac:dyDescent="0.3">
      <c r="A360" t="s">
        <v>487</v>
      </c>
      <c r="B360" t="s">
        <v>26</v>
      </c>
      <c r="C360" t="str">
        <f>_xlfn.XLOOKUP(B360,
[1]sales_teams!$A$2:$A$100,
[1]sales_teams!$B$2:$B$100)</f>
        <v>Dustin Brinkmann</v>
      </c>
      <c r="D360" t="str">
        <f>_xlfn.XLOOKUP($B360,sales_teams!$A$2:$A$36,sales_teams!C$2:C$36)</f>
        <v>Central</v>
      </c>
      <c r="E360" t="s">
        <v>48</v>
      </c>
      <c r="F360" t="s">
        <v>21</v>
      </c>
      <c r="G360" t="s">
        <v>12</v>
      </c>
      <c r="H360" s="1">
        <v>42736</v>
      </c>
      <c r="I360" s="1">
        <v>42795</v>
      </c>
      <c r="J360">
        <v>5087</v>
      </c>
    </row>
    <row r="361" spans="1:10" x14ac:dyDescent="0.3">
      <c r="A361" t="s">
        <v>488</v>
      </c>
      <c r="B361" t="s">
        <v>64</v>
      </c>
      <c r="C361" t="str">
        <f>_xlfn.XLOOKUP(B361,
[1]sales_teams!$A$2:$A$100,
[1]sales_teams!$B$2:$B$100)</f>
        <v>Rocco Neubert</v>
      </c>
      <c r="D361" t="str">
        <f>_xlfn.XLOOKUP($B361,sales_teams!$A$2:$A$36,sales_teams!C$2:C$36)</f>
        <v>East</v>
      </c>
      <c r="E361" t="s">
        <v>10</v>
      </c>
      <c r="F361" t="s">
        <v>140</v>
      </c>
      <c r="G361" t="s">
        <v>12</v>
      </c>
      <c r="H361" s="1">
        <v>42736</v>
      </c>
      <c r="I361" s="1">
        <v>42813</v>
      </c>
      <c r="J361">
        <v>1116</v>
      </c>
    </row>
    <row r="362" spans="1:10" x14ac:dyDescent="0.3">
      <c r="A362" t="s">
        <v>489</v>
      </c>
      <c r="B362" t="s">
        <v>14</v>
      </c>
      <c r="C362" t="str">
        <f>_xlfn.XLOOKUP(B362,
[1]sales_teams!$A$2:$A$100,
[1]sales_teams!$B$2:$B$100)</f>
        <v>Melvin Marxen</v>
      </c>
      <c r="D362" t="str">
        <f>_xlfn.XLOOKUP($B362,sales_teams!$A$2:$A$36,sales_teams!C$2:C$36)</f>
        <v>Central</v>
      </c>
      <c r="E362" t="s">
        <v>20</v>
      </c>
      <c r="F362" t="s">
        <v>109</v>
      </c>
      <c r="G362" t="s">
        <v>12</v>
      </c>
      <c r="H362" s="1">
        <v>42736</v>
      </c>
      <c r="I362" s="1">
        <v>42814</v>
      </c>
      <c r="J362">
        <v>510</v>
      </c>
    </row>
    <row r="363" spans="1:10" x14ac:dyDescent="0.3">
      <c r="A363" t="s">
        <v>490</v>
      </c>
      <c r="B363" t="s">
        <v>67</v>
      </c>
      <c r="C363" t="str">
        <f>_xlfn.XLOOKUP(B363,
[1]sales_teams!$A$2:$A$100,
[1]sales_teams!$B$2:$B$100)</f>
        <v>Celia Rouche</v>
      </c>
      <c r="D363" t="str">
        <f>_xlfn.XLOOKUP($B363,sales_teams!$A$2:$A$36,sales_teams!C$2:C$36)</f>
        <v>West</v>
      </c>
      <c r="E363" t="s">
        <v>18</v>
      </c>
      <c r="G363" t="s">
        <v>40</v>
      </c>
      <c r="H363" s="1">
        <v>42736</v>
      </c>
    </row>
    <row r="364" spans="1:10" x14ac:dyDescent="0.3">
      <c r="A364" t="s">
        <v>491</v>
      </c>
      <c r="B364" t="s">
        <v>252</v>
      </c>
      <c r="C364" t="str">
        <f>_xlfn.XLOOKUP(B364,
[1]sales_teams!$A$2:$A$100,
[1]sales_teams!$B$2:$B$100)</f>
        <v>Melvin Marxen</v>
      </c>
      <c r="D364" t="str">
        <f>_xlfn.XLOOKUP($B364,sales_teams!$A$2:$A$36,sales_teams!C$2:C$36)</f>
        <v>Central</v>
      </c>
      <c r="E364" t="s">
        <v>20</v>
      </c>
      <c r="F364" t="s">
        <v>492</v>
      </c>
      <c r="G364" t="s">
        <v>12</v>
      </c>
      <c r="H364" s="1">
        <v>42736</v>
      </c>
      <c r="I364" s="1">
        <v>42810</v>
      </c>
      <c r="J364">
        <v>565</v>
      </c>
    </row>
    <row r="365" spans="1:10" x14ac:dyDescent="0.3">
      <c r="A365" t="s">
        <v>493</v>
      </c>
      <c r="B365" t="s">
        <v>78</v>
      </c>
      <c r="C365" t="str">
        <f>_xlfn.XLOOKUP(B365,
[1]sales_teams!$A$2:$A$100,
[1]sales_teams!$B$2:$B$100)</f>
        <v>Summer Sewald</v>
      </c>
      <c r="D365" t="str">
        <f>_xlfn.XLOOKUP($B365,sales_teams!$A$2:$A$36,sales_teams!C$2:C$36)</f>
        <v>West</v>
      </c>
      <c r="E365" t="s">
        <v>20</v>
      </c>
      <c r="F365" t="s">
        <v>55</v>
      </c>
      <c r="G365" t="s">
        <v>12</v>
      </c>
      <c r="H365" s="1">
        <v>42736</v>
      </c>
      <c r="I365" s="1">
        <v>42820</v>
      </c>
      <c r="J365">
        <v>633</v>
      </c>
    </row>
    <row r="366" spans="1:10" x14ac:dyDescent="0.3">
      <c r="A366" t="s">
        <v>494</v>
      </c>
      <c r="B366" t="s">
        <v>97</v>
      </c>
      <c r="C366" t="str">
        <f>_xlfn.XLOOKUP(B366,
[1]sales_teams!$A$2:$A$100,
[1]sales_teams!$B$2:$B$100)</f>
        <v>Rocco Neubert</v>
      </c>
      <c r="D366" t="str">
        <f>_xlfn.XLOOKUP($B366,sales_teams!$A$2:$A$36,sales_teams!C$2:C$36)</f>
        <v>East</v>
      </c>
      <c r="E366" t="s">
        <v>39</v>
      </c>
      <c r="F366" t="s">
        <v>65</v>
      </c>
      <c r="G366" t="s">
        <v>12</v>
      </c>
      <c r="H366" s="1">
        <v>42736</v>
      </c>
      <c r="I366" s="1">
        <v>42823</v>
      </c>
      <c r="J366">
        <v>3962</v>
      </c>
    </row>
    <row r="367" spans="1:10" x14ac:dyDescent="0.3">
      <c r="A367" t="s">
        <v>495</v>
      </c>
      <c r="B367" t="s">
        <v>29</v>
      </c>
      <c r="C367" t="str">
        <f>_xlfn.XLOOKUP(B367,
[1]sales_teams!$A$2:$A$100,
[1]sales_teams!$B$2:$B$100)</f>
        <v>Celia Rouche</v>
      </c>
      <c r="D367" t="str">
        <f>_xlfn.XLOOKUP($B367,sales_teams!$A$2:$A$36,sales_teams!C$2:C$36)</f>
        <v>West</v>
      </c>
      <c r="E367" t="s">
        <v>39</v>
      </c>
      <c r="F367" t="s">
        <v>159</v>
      </c>
      <c r="G367" t="s">
        <v>12</v>
      </c>
      <c r="H367" s="1">
        <v>42736</v>
      </c>
      <c r="I367" s="1">
        <v>42816</v>
      </c>
      <c r="J367">
        <v>3672</v>
      </c>
    </row>
    <row r="368" spans="1:10" x14ac:dyDescent="0.3">
      <c r="A368" t="s">
        <v>496</v>
      </c>
      <c r="B368" t="s">
        <v>23</v>
      </c>
      <c r="C368" t="str">
        <f>_xlfn.XLOOKUP(B368,
[1]sales_teams!$A$2:$A$100,
[1]sales_teams!$B$2:$B$100)</f>
        <v>Summer Sewald</v>
      </c>
      <c r="D368" t="str">
        <f>_xlfn.XLOOKUP($B368,sales_teams!$A$2:$A$36,sales_teams!C$2:C$36)</f>
        <v>West</v>
      </c>
      <c r="E368" t="s">
        <v>10</v>
      </c>
      <c r="F368" t="s">
        <v>100</v>
      </c>
      <c r="G368" t="s">
        <v>40</v>
      </c>
      <c r="H368" s="1">
        <v>42736</v>
      </c>
    </row>
    <row r="369" spans="1:10" x14ac:dyDescent="0.3">
      <c r="A369" t="s">
        <v>497</v>
      </c>
      <c r="B369" t="s">
        <v>23</v>
      </c>
      <c r="C369" t="str">
        <f>_xlfn.XLOOKUP(B369,
[1]sales_teams!$A$2:$A$100,
[1]sales_teams!$B$2:$B$100)</f>
        <v>Summer Sewald</v>
      </c>
      <c r="D369" t="str">
        <f>_xlfn.XLOOKUP($B369,sales_teams!$A$2:$A$36,sales_teams!C$2:C$36)</f>
        <v>West</v>
      </c>
      <c r="E369" t="s">
        <v>15</v>
      </c>
      <c r="F369" t="s">
        <v>148</v>
      </c>
      <c r="G369" t="s">
        <v>12</v>
      </c>
      <c r="H369" s="1">
        <v>42736</v>
      </c>
      <c r="I369" s="1">
        <v>42812</v>
      </c>
      <c r="J369">
        <v>4586</v>
      </c>
    </row>
    <row r="370" spans="1:10" x14ac:dyDescent="0.3">
      <c r="A370" t="s">
        <v>498</v>
      </c>
      <c r="B370" t="s">
        <v>26</v>
      </c>
      <c r="C370" t="str">
        <f>_xlfn.XLOOKUP(B370,
[1]sales_teams!$A$2:$A$100,
[1]sales_teams!$B$2:$B$100)</f>
        <v>Dustin Brinkmann</v>
      </c>
      <c r="D370" t="str">
        <f>_xlfn.XLOOKUP($B370,sales_teams!$A$2:$A$36,sales_teams!C$2:C$36)</f>
        <v>Central</v>
      </c>
      <c r="E370" t="s">
        <v>18</v>
      </c>
      <c r="F370" t="s">
        <v>315</v>
      </c>
      <c r="G370" t="s">
        <v>12</v>
      </c>
      <c r="H370" s="1">
        <v>42737</v>
      </c>
      <c r="I370" s="1">
        <v>42796</v>
      </c>
      <c r="J370">
        <v>60</v>
      </c>
    </row>
    <row r="371" spans="1:10" x14ac:dyDescent="0.3">
      <c r="A371" t="s">
        <v>499</v>
      </c>
      <c r="B371" t="s">
        <v>164</v>
      </c>
      <c r="C371" t="str">
        <f>_xlfn.XLOOKUP(B371,
[1]sales_teams!$A$2:$A$100,
[1]sales_teams!$B$2:$B$100)</f>
        <v>Cara Losch</v>
      </c>
      <c r="D371" t="str">
        <f>_xlfn.XLOOKUP($B371,sales_teams!$A$2:$A$36,sales_teams!C$2:C$36)</f>
        <v>East</v>
      </c>
      <c r="E371" t="s">
        <v>10</v>
      </c>
      <c r="F371" t="s">
        <v>91</v>
      </c>
      <c r="G371" t="s">
        <v>40</v>
      </c>
      <c r="H371" s="1">
        <v>42737</v>
      </c>
    </row>
    <row r="372" spans="1:10" x14ac:dyDescent="0.3">
      <c r="A372" t="s">
        <v>500</v>
      </c>
      <c r="B372" t="s">
        <v>164</v>
      </c>
      <c r="C372" t="str">
        <f>_xlfn.XLOOKUP(B372,
[1]sales_teams!$A$2:$A$100,
[1]sales_teams!$B$2:$B$100)</f>
        <v>Cara Losch</v>
      </c>
      <c r="D372" t="str">
        <f>_xlfn.XLOOKUP($B372,sales_teams!$A$2:$A$36,sales_teams!C$2:C$36)</f>
        <v>East</v>
      </c>
      <c r="E372" t="s">
        <v>10</v>
      </c>
      <c r="G372" t="s">
        <v>40</v>
      </c>
      <c r="H372" s="1">
        <v>42737</v>
      </c>
    </row>
    <row r="373" spans="1:10" x14ac:dyDescent="0.3">
      <c r="A373" t="s">
        <v>501</v>
      </c>
      <c r="B373" t="s">
        <v>252</v>
      </c>
      <c r="C373" t="str">
        <f>_xlfn.XLOOKUP(B373,
[1]sales_teams!$A$2:$A$100,
[1]sales_teams!$B$2:$B$100)</f>
        <v>Melvin Marxen</v>
      </c>
      <c r="D373" t="str">
        <f>_xlfn.XLOOKUP($B373,sales_teams!$A$2:$A$36,sales_teams!C$2:C$36)</f>
        <v>Central</v>
      </c>
      <c r="E373" t="s">
        <v>20</v>
      </c>
      <c r="F373" t="s">
        <v>197</v>
      </c>
      <c r="G373" t="s">
        <v>12</v>
      </c>
      <c r="H373" s="1">
        <v>42737</v>
      </c>
      <c r="I373" s="1">
        <v>42859</v>
      </c>
      <c r="J373">
        <v>572</v>
      </c>
    </row>
    <row r="374" spans="1:10" x14ac:dyDescent="0.3">
      <c r="A374" t="s">
        <v>502</v>
      </c>
      <c r="B374" t="s">
        <v>95</v>
      </c>
      <c r="C374" t="str">
        <f>_xlfn.XLOOKUP(B374,
[1]sales_teams!$A$2:$A$100,
[1]sales_teams!$B$2:$B$100)</f>
        <v>Summer Sewald</v>
      </c>
      <c r="D374" t="str">
        <f>_xlfn.XLOOKUP($B374,sales_teams!$A$2:$A$36,sales_teams!C$2:C$36)</f>
        <v>West</v>
      </c>
      <c r="E374" t="s">
        <v>20</v>
      </c>
      <c r="F374" t="s">
        <v>148</v>
      </c>
      <c r="G374" t="s">
        <v>12</v>
      </c>
      <c r="H374" s="1">
        <v>42737</v>
      </c>
      <c r="I374" s="1">
        <v>42795</v>
      </c>
      <c r="J374">
        <v>550</v>
      </c>
    </row>
    <row r="375" spans="1:10" x14ac:dyDescent="0.3">
      <c r="A375" t="s">
        <v>503</v>
      </c>
      <c r="B375" t="s">
        <v>95</v>
      </c>
      <c r="C375" t="str">
        <f>_xlfn.XLOOKUP(B375,
[1]sales_teams!$A$2:$A$100,
[1]sales_teams!$B$2:$B$100)</f>
        <v>Summer Sewald</v>
      </c>
      <c r="D375" t="str">
        <f>_xlfn.XLOOKUP($B375,sales_teams!$A$2:$A$36,sales_teams!C$2:C$36)</f>
        <v>West</v>
      </c>
      <c r="E375" t="s">
        <v>15</v>
      </c>
      <c r="F375" t="s">
        <v>52</v>
      </c>
      <c r="G375" t="s">
        <v>12</v>
      </c>
      <c r="H375" s="1">
        <v>42737</v>
      </c>
      <c r="I375" s="1">
        <v>42811</v>
      </c>
      <c r="J375">
        <v>4125</v>
      </c>
    </row>
    <row r="376" spans="1:10" x14ac:dyDescent="0.3">
      <c r="A376" t="s">
        <v>504</v>
      </c>
      <c r="B376" t="s">
        <v>116</v>
      </c>
      <c r="C376" t="str">
        <f>_xlfn.XLOOKUP(B376,
[1]sales_teams!$A$2:$A$100,
[1]sales_teams!$B$2:$B$100)</f>
        <v>Melvin Marxen</v>
      </c>
      <c r="D376" t="str">
        <f>_xlfn.XLOOKUP($B376,sales_teams!$A$2:$A$36,sales_teams!C$2:C$36)</f>
        <v>Central</v>
      </c>
      <c r="E376" t="s">
        <v>39</v>
      </c>
      <c r="F376" t="s">
        <v>36</v>
      </c>
      <c r="G376" t="s">
        <v>12</v>
      </c>
      <c r="H376" s="1">
        <v>42737</v>
      </c>
      <c r="I376" s="1">
        <v>42804</v>
      </c>
      <c r="J376">
        <v>3647</v>
      </c>
    </row>
    <row r="377" spans="1:10" x14ac:dyDescent="0.3">
      <c r="A377" t="s">
        <v>505</v>
      </c>
      <c r="B377" t="s">
        <v>9</v>
      </c>
      <c r="C377" t="str">
        <f>_xlfn.XLOOKUP(B377,
[1]sales_teams!$A$2:$A$100,
[1]sales_teams!$B$2:$B$100)</f>
        <v>Dustin Brinkmann</v>
      </c>
      <c r="D377" t="str">
        <f>_xlfn.XLOOKUP($B377,sales_teams!$A$2:$A$36,sales_teams!C$2:C$36)</f>
        <v>Central</v>
      </c>
      <c r="E377" t="s">
        <v>20</v>
      </c>
      <c r="F377" t="s">
        <v>197</v>
      </c>
      <c r="G377" t="s">
        <v>12</v>
      </c>
      <c r="H377" s="1">
        <v>42737</v>
      </c>
      <c r="I377" s="1">
        <v>42815</v>
      </c>
      <c r="J377">
        <v>573</v>
      </c>
    </row>
    <row r="378" spans="1:10" x14ac:dyDescent="0.3">
      <c r="A378" t="s">
        <v>506</v>
      </c>
      <c r="B378" t="s">
        <v>73</v>
      </c>
      <c r="C378" t="str">
        <f>_xlfn.XLOOKUP(B378,
[1]sales_teams!$A$2:$A$100,
[1]sales_teams!$B$2:$B$100)</f>
        <v>Cara Losch</v>
      </c>
      <c r="D378" t="str">
        <f>_xlfn.XLOOKUP($B378,sales_teams!$A$2:$A$36,sales_teams!C$2:C$36)</f>
        <v>East</v>
      </c>
      <c r="E378" t="s">
        <v>20</v>
      </c>
      <c r="F378" t="s">
        <v>373</v>
      </c>
      <c r="G378" t="s">
        <v>12</v>
      </c>
      <c r="H378" s="1">
        <v>42737</v>
      </c>
      <c r="I378" s="1">
        <v>42823</v>
      </c>
      <c r="J378">
        <v>542</v>
      </c>
    </row>
    <row r="379" spans="1:10" x14ac:dyDescent="0.3">
      <c r="A379" t="s">
        <v>507</v>
      </c>
      <c r="B379" t="s">
        <v>118</v>
      </c>
      <c r="C379" t="str">
        <f>_xlfn.XLOOKUP(B379,
[1]sales_teams!$A$2:$A$100,
[1]sales_teams!$B$2:$B$100)</f>
        <v>Rocco Neubert</v>
      </c>
      <c r="D379" t="str">
        <f>_xlfn.XLOOKUP($B379,sales_teams!$A$2:$A$36,sales_teams!C$2:C$36)</f>
        <v>East</v>
      </c>
      <c r="E379" t="s">
        <v>39</v>
      </c>
      <c r="F379" t="s">
        <v>410</v>
      </c>
      <c r="G379" t="s">
        <v>12</v>
      </c>
      <c r="H379" s="1">
        <v>42738</v>
      </c>
      <c r="I379" s="1">
        <v>42806</v>
      </c>
      <c r="J379">
        <v>3479</v>
      </c>
    </row>
    <row r="380" spans="1:10" x14ac:dyDescent="0.3">
      <c r="A380" t="s">
        <v>508</v>
      </c>
      <c r="B380" t="s">
        <v>64</v>
      </c>
      <c r="C380" t="str">
        <f>_xlfn.XLOOKUP(B380,
[1]sales_teams!$A$2:$A$100,
[1]sales_teams!$B$2:$B$100)</f>
        <v>Rocco Neubert</v>
      </c>
      <c r="D380" t="str">
        <f>_xlfn.XLOOKUP($B380,sales_teams!$A$2:$A$36,sales_teams!C$2:C$36)</f>
        <v>East</v>
      </c>
      <c r="E380" t="s">
        <v>39</v>
      </c>
      <c r="F380" t="s">
        <v>81</v>
      </c>
      <c r="G380" t="s">
        <v>46</v>
      </c>
      <c r="H380" s="1">
        <v>42738</v>
      </c>
      <c r="I380" s="1">
        <v>42816</v>
      </c>
      <c r="J380">
        <v>0</v>
      </c>
    </row>
    <row r="381" spans="1:10" x14ac:dyDescent="0.3">
      <c r="A381" t="s">
        <v>509</v>
      </c>
      <c r="B381" t="s">
        <v>14</v>
      </c>
      <c r="C381" t="str">
        <f>_xlfn.XLOOKUP(B381,
[1]sales_teams!$A$2:$A$100,
[1]sales_teams!$B$2:$B$100)</f>
        <v>Melvin Marxen</v>
      </c>
      <c r="D381" t="str">
        <f>_xlfn.XLOOKUP($B381,sales_teams!$A$2:$A$36,sales_teams!C$2:C$36)</f>
        <v>Central</v>
      </c>
      <c r="E381" t="s">
        <v>10</v>
      </c>
      <c r="F381" t="s">
        <v>111</v>
      </c>
      <c r="G381" t="s">
        <v>12</v>
      </c>
      <c r="H381" s="1">
        <v>42738</v>
      </c>
      <c r="I381" s="1">
        <v>42815</v>
      </c>
      <c r="J381">
        <v>1012</v>
      </c>
    </row>
    <row r="382" spans="1:10" x14ac:dyDescent="0.3">
      <c r="A382" t="s">
        <v>510</v>
      </c>
      <c r="B382" t="s">
        <v>54</v>
      </c>
      <c r="C382" t="str">
        <f>_xlfn.XLOOKUP(B382,
[1]sales_teams!$A$2:$A$100,
[1]sales_teams!$B$2:$B$100)</f>
        <v>Celia Rouche</v>
      </c>
      <c r="D382" t="str">
        <f>_xlfn.XLOOKUP($B382,sales_teams!$A$2:$A$36,sales_teams!C$2:C$36)</f>
        <v>West</v>
      </c>
      <c r="E382" t="s">
        <v>18</v>
      </c>
      <c r="G382" t="s">
        <v>40</v>
      </c>
      <c r="H382" s="1">
        <v>42738</v>
      </c>
    </row>
    <row r="383" spans="1:10" x14ac:dyDescent="0.3">
      <c r="A383" t="s">
        <v>511</v>
      </c>
      <c r="B383" t="s">
        <v>38</v>
      </c>
      <c r="C383" t="str">
        <f>_xlfn.XLOOKUP(B383,
[1]sales_teams!$A$2:$A$100,
[1]sales_teams!$B$2:$B$100)</f>
        <v>Summer Sewald</v>
      </c>
      <c r="D383" t="str">
        <f>_xlfn.XLOOKUP($B383,sales_teams!$A$2:$A$36,sales_teams!C$2:C$36)</f>
        <v>West</v>
      </c>
      <c r="E383" t="s">
        <v>10</v>
      </c>
      <c r="F383" t="s">
        <v>224</v>
      </c>
      <c r="G383" t="s">
        <v>12</v>
      </c>
      <c r="H383" s="1">
        <v>42738</v>
      </c>
      <c r="I383" s="1">
        <v>42800</v>
      </c>
      <c r="J383">
        <v>990</v>
      </c>
    </row>
    <row r="384" spans="1:10" x14ac:dyDescent="0.3">
      <c r="A384" t="s">
        <v>512</v>
      </c>
      <c r="B384" t="s">
        <v>38</v>
      </c>
      <c r="C384" t="str">
        <f>_xlfn.XLOOKUP(B384,
[1]sales_teams!$A$2:$A$100,
[1]sales_teams!$B$2:$B$100)</f>
        <v>Summer Sewald</v>
      </c>
      <c r="D384" t="str">
        <f>_xlfn.XLOOKUP($B384,sales_teams!$A$2:$A$36,sales_teams!C$2:C$36)</f>
        <v>West</v>
      </c>
      <c r="E384" t="s">
        <v>15</v>
      </c>
      <c r="F384" t="s">
        <v>49</v>
      </c>
      <c r="G384" t="s">
        <v>12</v>
      </c>
      <c r="H384" s="1">
        <v>42738</v>
      </c>
      <c r="I384" s="1">
        <v>42812</v>
      </c>
      <c r="J384">
        <v>4374</v>
      </c>
    </row>
    <row r="385" spans="1:10" x14ac:dyDescent="0.3">
      <c r="A385" t="s">
        <v>513</v>
      </c>
      <c r="B385" t="s">
        <v>95</v>
      </c>
      <c r="C385" t="str">
        <f>_xlfn.XLOOKUP(B385,
[1]sales_teams!$A$2:$A$100,
[1]sales_teams!$B$2:$B$100)</f>
        <v>Summer Sewald</v>
      </c>
      <c r="D385" t="str">
        <f>_xlfn.XLOOKUP($B385,sales_teams!$A$2:$A$36,sales_teams!C$2:C$36)</f>
        <v>West</v>
      </c>
      <c r="E385" t="s">
        <v>20</v>
      </c>
      <c r="F385" t="s">
        <v>55</v>
      </c>
      <c r="G385" t="s">
        <v>46</v>
      </c>
      <c r="H385" s="1">
        <v>42738</v>
      </c>
      <c r="I385" s="1">
        <v>42811</v>
      </c>
      <c r="J385">
        <v>0</v>
      </c>
    </row>
    <row r="386" spans="1:10" x14ac:dyDescent="0.3">
      <c r="A386" t="s">
        <v>514</v>
      </c>
      <c r="B386" t="s">
        <v>95</v>
      </c>
      <c r="C386" t="str">
        <f>_xlfn.XLOOKUP(B386,
[1]sales_teams!$A$2:$A$100,
[1]sales_teams!$B$2:$B$100)</f>
        <v>Summer Sewald</v>
      </c>
      <c r="D386" t="str">
        <f>_xlfn.XLOOKUP($B386,sales_teams!$A$2:$A$36,sales_teams!C$2:C$36)</f>
        <v>West</v>
      </c>
      <c r="E386" t="s">
        <v>10</v>
      </c>
      <c r="F386" t="s">
        <v>93</v>
      </c>
      <c r="G386" t="s">
        <v>12</v>
      </c>
      <c r="H386" s="1">
        <v>42738</v>
      </c>
      <c r="I386" s="1">
        <v>42824</v>
      </c>
      <c r="J386">
        <v>1054</v>
      </c>
    </row>
    <row r="387" spans="1:10" x14ac:dyDescent="0.3">
      <c r="A387" t="s">
        <v>515</v>
      </c>
      <c r="B387" t="s">
        <v>29</v>
      </c>
      <c r="C387" t="str">
        <f>_xlfn.XLOOKUP(B387,
[1]sales_teams!$A$2:$A$100,
[1]sales_teams!$B$2:$B$100)</f>
        <v>Celia Rouche</v>
      </c>
      <c r="D387" t="str">
        <f>_xlfn.XLOOKUP($B387,sales_teams!$A$2:$A$36,sales_teams!C$2:C$36)</f>
        <v>West</v>
      </c>
      <c r="E387" t="s">
        <v>18</v>
      </c>
      <c r="F387" t="s">
        <v>59</v>
      </c>
      <c r="G387" t="s">
        <v>12</v>
      </c>
      <c r="H387" s="1">
        <v>42738</v>
      </c>
      <c r="I387" s="1">
        <v>42809</v>
      </c>
      <c r="J387">
        <v>55</v>
      </c>
    </row>
    <row r="388" spans="1:10" x14ac:dyDescent="0.3">
      <c r="A388" t="s">
        <v>516</v>
      </c>
      <c r="B388" t="s">
        <v>73</v>
      </c>
      <c r="C388" t="str">
        <f>_xlfn.XLOOKUP(B388,
[1]sales_teams!$A$2:$A$100,
[1]sales_teams!$B$2:$B$100)</f>
        <v>Cara Losch</v>
      </c>
      <c r="D388" t="str">
        <f>_xlfn.XLOOKUP($B388,sales_teams!$A$2:$A$36,sales_teams!C$2:C$36)</f>
        <v>East</v>
      </c>
      <c r="E388" t="s">
        <v>18</v>
      </c>
      <c r="F388" t="s">
        <v>81</v>
      </c>
      <c r="G388" t="s">
        <v>46</v>
      </c>
      <c r="H388" s="1">
        <v>42738</v>
      </c>
      <c r="I388" s="1">
        <v>42799</v>
      </c>
      <c r="J388">
        <v>0</v>
      </c>
    </row>
    <row r="389" spans="1:10" x14ac:dyDescent="0.3">
      <c r="A389" t="s">
        <v>517</v>
      </c>
      <c r="B389" t="s">
        <v>139</v>
      </c>
      <c r="C389" t="str">
        <f>_xlfn.XLOOKUP(B389,
[1]sales_teams!$A$2:$A$100,
[1]sales_teams!$B$2:$B$100)</f>
        <v>Rocco Neubert</v>
      </c>
      <c r="D389" t="str">
        <f>_xlfn.XLOOKUP($B389,sales_teams!$A$2:$A$36,sales_teams!C$2:C$36)</f>
        <v>East</v>
      </c>
      <c r="E389" t="s">
        <v>10</v>
      </c>
      <c r="F389" t="s">
        <v>518</v>
      </c>
      <c r="G389" t="s">
        <v>12</v>
      </c>
      <c r="H389" s="1">
        <v>42739</v>
      </c>
      <c r="I389" s="1">
        <v>42819</v>
      </c>
      <c r="J389">
        <v>1073</v>
      </c>
    </row>
    <row r="390" spans="1:10" x14ac:dyDescent="0.3">
      <c r="A390" t="s">
        <v>519</v>
      </c>
      <c r="B390" t="s">
        <v>202</v>
      </c>
      <c r="C390" t="str">
        <f>_xlfn.XLOOKUP(B390,
[1]sales_teams!$A$2:$A$100,
[1]sales_teams!$B$2:$B$100)</f>
        <v>Dustin Brinkmann</v>
      </c>
      <c r="D390" t="str">
        <f>_xlfn.XLOOKUP($B390,sales_teams!$A$2:$A$36,sales_teams!C$2:C$36)</f>
        <v>Central</v>
      </c>
      <c r="E390" t="s">
        <v>39</v>
      </c>
      <c r="F390" t="s">
        <v>45</v>
      </c>
      <c r="G390" t="s">
        <v>46</v>
      </c>
      <c r="H390" s="1">
        <v>42739</v>
      </c>
      <c r="I390" s="1">
        <v>42814</v>
      </c>
      <c r="J390">
        <v>0</v>
      </c>
    </row>
    <row r="391" spans="1:10" x14ac:dyDescent="0.3">
      <c r="A391" t="s">
        <v>520</v>
      </c>
      <c r="B391" t="s">
        <v>64</v>
      </c>
      <c r="C391" t="str">
        <f>_xlfn.XLOOKUP(B391,
[1]sales_teams!$A$2:$A$100,
[1]sales_teams!$B$2:$B$100)</f>
        <v>Rocco Neubert</v>
      </c>
      <c r="D391" t="str">
        <f>_xlfn.XLOOKUP($B391,sales_teams!$A$2:$A$36,sales_teams!C$2:C$36)</f>
        <v>East</v>
      </c>
      <c r="E391" t="s">
        <v>48</v>
      </c>
      <c r="G391" t="s">
        <v>40</v>
      </c>
      <c r="H391" s="1">
        <v>42739</v>
      </c>
    </row>
    <row r="392" spans="1:10" x14ac:dyDescent="0.3">
      <c r="A392" t="s">
        <v>521</v>
      </c>
      <c r="B392" t="s">
        <v>38</v>
      </c>
      <c r="C392" t="str">
        <f>_xlfn.XLOOKUP(B392,
[1]sales_teams!$A$2:$A$100,
[1]sales_teams!$B$2:$B$100)</f>
        <v>Summer Sewald</v>
      </c>
      <c r="D392" t="str">
        <f>_xlfn.XLOOKUP($B392,sales_teams!$A$2:$A$36,sales_teams!C$2:C$36)</f>
        <v>West</v>
      </c>
      <c r="E392" t="s">
        <v>39</v>
      </c>
      <c r="G392" t="s">
        <v>40</v>
      </c>
      <c r="H392" s="1">
        <v>42739</v>
      </c>
    </row>
    <row r="393" spans="1:10" x14ac:dyDescent="0.3">
      <c r="A393" t="s">
        <v>522</v>
      </c>
      <c r="B393" t="s">
        <v>95</v>
      </c>
      <c r="C393" t="str">
        <f>_xlfn.XLOOKUP(B393,
[1]sales_teams!$A$2:$A$100,
[1]sales_teams!$B$2:$B$100)</f>
        <v>Summer Sewald</v>
      </c>
      <c r="D393" t="str">
        <f>_xlfn.XLOOKUP($B393,sales_teams!$A$2:$A$36,sales_teams!C$2:C$36)</f>
        <v>West</v>
      </c>
      <c r="E393" t="s">
        <v>20</v>
      </c>
      <c r="G393" t="s">
        <v>40</v>
      </c>
      <c r="H393" s="1">
        <v>42739</v>
      </c>
    </row>
    <row r="394" spans="1:10" x14ac:dyDescent="0.3">
      <c r="A394" t="s">
        <v>523</v>
      </c>
      <c r="B394" t="s">
        <v>95</v>
      </c>
      <c r="C394" t="str">
        <f>_xlfn.XLOOKUP(B394,
[1]sales_teams!$A$2:$A$100,
[1]sales_teams!$B$2:$B$100)</f>
        <v>Summer Sewald</v>
      </c>
      <c r="D394" t="str">
        <f>_xlfn.XLOOKUP($B394,sales_teams!$A$2:$A$36,sales_teams!C$2:C$36)</f>
        <v>West</v>
      </c>
      <c r="E394" t="s">
        <v>20</v>
      </c>
      <c r="F394" t="s">
        <v>194</v>
      </c>
      <c r="G394" t="s">
        <v>12</v>
      </c>
      <c r="H394" s="1">
        <v>42739</v>
      </c>
      <c r="I394" s="1">
        <v>42810</v>
      </c>
      <c r="J394">
        <v>586</v>
      </c>
    </row>
    <row r="395" spans="1:10" x14ac:dyDescent="0.3">
      <c r="A395" t="s">
        <v>524</v>
      </c>
      <c r="B395" t="s">
        <v>116</v>
      </c>
      <c r="C395" t="str">
        <f>_xlfn.XLOOKUP(B395,
[1]sales_teams!$A$2:$A$100,
[1]sales_teams!$B$2:$B$100)</f>
        <v>Melvin Marxen</v>
      </c>
      <c r="D395" t="str">
        <f>_xlfn.XLOOKUP($B395,sales_teams!$A$2:$A$36,sales_teams!C$2:C$36)</f>
        <v>Central</v>
      </c>
      <c r="E395" t="s">
        <v>15</v>
      </c>
      <c r="F395" t="s">
        <v>62</v>
      </c>
      <c r="G395" t="s">
        <v>12</v>
      </c>
      <c r="H395" s="1">
        <v>42739</v>
      </c>
      <c r="I395" s="1">
        <v>42860</v>
      </c>
      <c r="J395">
        <v>4667</v>
      </c>
    </row>
    <row r="396" spans="1:10" x14ac:dyDescent="0.3">
      <c r="A396" t="s">
        <v>525</v>
      </c>
      <c r="B396" t="s">
        <v>29</v>
      </c>
      <c r="C396" t="str">
        <f>_xlfn.XLOOKUP(B396,
[1]sales_teams!$A$2:$A$100,
[1]sales_teams!$B$2:$B$100)</f>
        <v>Celia Rouche</v>
      </c>
      <c r="D396" t="str">
        <f>_xlfn.XLOOKUP($B396,sales_teams!$A$2:$A$36,sales_teams!C$2:C$36)</f>
        <v>West</v>
      </c>
      <c r="E396" t="s">
        <v>10</v>
      </c>
      <c r="F396" t="s">
        <v>315</v>
      </c>
      <c r="G396" t="s">
        <v>12</v>
      </c>
      <c r="H396" s="1">
        <v>42739</v>
      </c>
      <c r="I396" s="1">
        <v>42822</v>
      </c>
      <c r="J396">
        <v>880</v>
      </c>
    </row>
    <row r="397" spans="1:10" x14ac:dyDescent="0.3">
      <c r="A397" t="s">
        <v>526</v>
      </c>
      <c r="B397" t="s">
        <v>29</v>
      </c>
      <c r="C397" t="str">
        <f>_xlfn.XLOOKUP(B397,
[1]sales_teams!$A$2:$A$100,
[1]sales_teams!$B$2:$B$100)</f>
        <v>Celia Rouche</v>
      </c>
      <c r="D397" t="str">
        <f>_xlfn.XLOOKUP($B397,sales_teams!$A$2:$A$36,sales_teams!C$2:C$36)</f>
        <v>West</v>
      </c>
      <c r="E397" t="s">
        <v>39</v>
      </c>
      <c r="F397" t="s">
        <v>124</v>
      </c>
      <c r="G397" t="s">
        <v>12</v>
      </c>
      <c r="H397" s="1">
        <v>42739</v>
      </c>
      <c r="I397" s="1">
        <v>42806</v>
      </c>
      <c r="J397">
        <v>3676</v>
      </c>
    </row>
    <row r="398" spans="1:10" x14ac:dyDescent="0.3">
      <c r="A398" t="s">
        <v>527</v>
      </c>
      <c r="B398" t="s">
        <v>102</v>
      </c>
      <c r="C398" t="str">
        <f>_xlfn.XLOOKUP(B398,
[1]sales_teams!$A$2:$A$100,
[1]sales_teams!$B$2:$B$100)</f>
        <v>Cara Losch</v>
      </c>
      <c r="D398" t="str">
        <f>_xlfn.XLOOKUP($B398,sales_teams!$A$2:$A$36,sales_teams!C$2:C$36)</f>
        <v>East</v>
      </c>
      <c r="E398" t="s">
        <v>18</v>
      </c>
      <c r="G398" t="s">
        <v>40</v>
      </c>
      <c r="H398" s="1">
        <v>42739</v>
      </c>
    </row>
    <row r="399" spans="1:10" x14ac:dyDescent="0.3">
      <c r="A399" t="s">
        <v>528</v>
      </c>
      <c r="B399" t="s">
        <v>26</v>
      </c>
      <c r="C399" t="str">
        <f>_xlfn.XLOOKUP(B399,
[1]sales_teams!$A$2:$A$100,
[1]sales_teams!$B$2:$B$100)</f>
        <v>Dustin Brinkmann</v>
      </c>
      <c r="D399" t="str">
        <f>_xlfn.XLOOKUP($B399,sales_teams!$A$2:$A$36,sales_teams!C$2:C$36)</f>
        <v>Central</v>
      </c>
      <c r="E399" t="s">
        <v>39</v>
      </c>
      <c r="F399" t="s">
        <v>135</v>
      </c>
      <c r="G399" t="s">
        <v>46</v>
      </c>
      <c r="H399" s="1">
        <v>42740</v>
      </c>
      <c r="I399" s="1">
        <v>42819</v>
      </c>
      <c r="J399">
        <v>0</v>
      </c>
    </row>
    <row r="400" spans="1:10" x14ac:dyDescent="0.3">
      <c r="A400" t="s">
        <v>529</v>
      </c>
      <c r="B400" t="s">
        <v>64</v>
      </c>
      <c r="C400" t="str">
        <f>_xlfn.XLOOKUP(B400,
[1]sales_teams!$A$2:$A$100,
[1]sales_teams!$B$2:$B$100)</f>
        <v>Rocco Neubert</v>
      </c>
      <c r="D400" t="str">
        <f>_xlfn.XLOOKUP($B400,sales_teams!$A$2:$A$36,sales_teams!C$2:C$36)</f>
        <v>East</v>
      </c>
      <c r="E400" t="s">
        <v>48</v>
      </c>
      <c r="G400" t="s">
        <v>40</v>
      </c>
      <c r="H400" s="1">
        <v>42740</v>
      </c>
    </row>
    <row r="401" spans="1:10" x14ac:dyDescent="0.3">
      <c r="A401" t="s">
        <v>530</v>
      </c>
      <c r="B401" t="s">
        <v>14</v>
      </c>
      <c r="C401" t="str">
        <f>_xlfn.XLOOKUP(B401,
[1]sales_teams!$A$2:$A$100,
[1]sales_teams!$B$2:$B$100)</f>
        <v>Melvin Marxen</v>
      </c>
      <c r="D401" t="str">
        <f>_xlfn.XLOOKUP($B401,sales_teams!$A$2:$A$36,sales_teams!C$2:C$36)</f>
        <v>Central</v>
      </c>
      <c r="E401" t="s">
        <v>15</v>
      </c>
      <c r="F401" t="s">
        <v>62</v>
      </c>
      <c r="G401" t="s">
        <v>46</v>
      </c>
      <c r="H401" s="1">
        <v>42740</v>
      </c>
      <c r="I401" s="1">
        <v>42803</v>
      </c>
      <c r="J401">
        <v>0</v>
      </c>
    </row>
    <row r="402" spans="1:10" x14ac:dyDescent="0.3">
      <c r="A402" t="s">
        <v>531</v>
      </c>
      <c r="B402" t="s">
        <v>105</v>
      </c>
      <c r="C402" t="str">
        <f>_xlfn.XLOOKUP(B402,
[1]sales_teams!$A$2:$A$100,
[1]sales_teams!$B$2:$B$100)</f>
        <v>Cara Losch</v>
      </c>
      <c r="D402" t="str">
        <f>_xlfn.XLOOKUP($B402,sales_teams!$A$2:$A$36,sales_teams!C$2:C$36)</f>
        <v>East</v>
      </c>
      <c r="E402" t="s">
        <v>10</v>
      </c>
      <c r="F402" t="s">
        <v>140</v>
      </c>
      <c r="G402" t="s">
        <v>46</v>
      </c>
      <c r="H402" s="1">
        <v>42740</v>
      </c>
      <c r="I402" s="1">
        <v>42820</v>
      </c>
      <c r="J402">
        <v>0</v>
      </c>
    </row>
    <row r="403" spans="1:10" x14ac:dyDescent="0.3">
      <c r="A403" t="s">
        <v>532</v>
      </c>
      <c r="B403" t="s">
        <v>252</v>
      </c>
      <c r="C403" t="str">
        <f>_xlfn.XLOOKUP(B403,
[1]sales_teams!$A$2:$A$100,
[1]sales_teams!$B$2:$B$100)</f>
        <v>Melvin Marxen</v>
      </c>
      <c r="D403" t="str">
        <f>_xlfn.XLOOKUP($B403,sales_teams!$A$2:$A$36,sales_teams!C$2:C$36)</f>
        <v>Central</v>
      </c>
      <c r="E403" t="s">
        <v>15</v>
      </c>
      <c r="F403" t="s">
        <v>62</v>
      </c>
      <c r="G403" t="s">
        <v>12</v>
      </c>
      <c r="H403" s="1">
        <v>42740</v>
      </c>
      <c r="I403" s="1">
        <v>42813</v>
      </c>
      <c r="J403">
        <v>4716</v>
      </c>
    </row>
    <row r="404" spans="1:10" x14ac:dyDescent="0.3">
      <c r="A404" t="s">
        <v>533</v>
      </c>
      <c r="B404" t="s">
        <v>78</v>
      </c>
      <c r="C404" t="str">
        <f>_xlfn.XLOOKUP(B404,
[1]sales_teams!$A$2:$A$100,
[1]sales_teams!$B$2:$B$100)</f>
        <v>Summer Sewald</v>
      </c>
      <c r="D404" t="str">
        <f>_xlfn.XLOOKUP($B404,sales_teams!$A$2:$A$36,sales_teams!C$2:C$36)</f>
        <v>West</v>
      </c>
      <c r="E404" t="s">
        <v>39</v>
      </c>
      <c r="G404" t="s">
        <v>40</v>
      </c>
      <c r="H404" s="1">
        <v>42740</v>
      </c>
    </row>
    <row r="405" spans="1:10" x14ac:dyDescent="0.3">
      <c r="A405" t="s">
        <v>534</v>
      </c>
      <c r="B405" t="s">
        <v>95</v>
      </c>
      <c r="C405" t="str">
        <f>_xlfn.XLOOKUP(B405,
[1]sales_teams!$A$2:$A$100,
[1]sales_teams!$B$2:$B$100)</f>
        <v>Summer Sewald</v>
      </c>
      <c r="D405" t="str">
        <f>_xlfn.XLOOKUP($B405,sales_teams!$A$2:$A$36,sales_teams!C$2:C$36)</f>
        <v>West</v>
      </c>
      <c r="E405" t="s">
        <v>20</v>
      </c>
      <c r="F405" t="s">
        <v>313</v>
      </c>
      <c r="G405" t="s">
        <v>46</v>
      </c>
      <c r="H405" s="1">
        <v>42740</v>
      </c>
      <c r="I405" s="1">
        <v>42824</v>
      </c>
      <c r="J405">
        <v>0</v>
      </c>
    </row>
    <row r="406" spans="1:10" x14ac:dyDescent="0.3">
      <c r="A406" t="s">
        <v>535</v>
      </c>
      <c r="B406" t="s">
        <v>29</v>
      </c>
      <c r="C406" t="str">
        <f>_xlfn.XLOOKUP(B406,
[1]sales_teams!$A$2:$A$100,
[1]sales_teams!$B$2:$B$100)</f>
        <v>Celia Rouche</v>
      </c>
      <c r="D406" t="str">
        <f>_xlfn.XLOOKUP($B406,sales_teams!$A$2:$A$36,sales_teams!C$2:C$36)</f>
        <v>West</v>
      </c>
      <c r="E406" t="s">
        <v>15</v>
      </c>
      <c r="F406" t="s">
        <v>148</v>
      </c>
      <c r="G406" t="s">
        <v>12</v>
      </c>
      <c r="H406" s="1">
        <v>42740</v>
      </c>
      <c r="I406" s="1">
        <v>42817</v>
      </c>
      <c r="J406">
        <v>4211</v>
      </c>
    </row>
    <row r="407" spans="1:10" x14ac:dyDescent="0.3">
      <c r="A407" t="s">
        <v>536</v>
      </c>
      <c r="B407" t="s">
        <v>26</v>
      </c>
      <c r="C407" t="str">
        <f>_xlfn.XLOOKUP(B407,
[1]sales_teams!$A$2:$A$100,
[1]sales_teams!$B$2:$B$100)</f>
        <v>Dustin Brinkmann</v>
      </c>
      <c r="D407" t="str">
        <f>_xlfn.XLOOKUP($B407,sales_teams!$A$2:$A$36,sales_teams!C$2:C$36)</f>
        <v>Central</v>
      </c>
      <c r="E407" t="s">
        <v>39</v>
      </c>
      <c r="F407" t="s">
        <v>135</v>
      </c>
      <c r="G407" t="s">
        <v>46</v>
      </c>
      <c r="H407" s="1">
        <v>42741</v>
      </c>
      <c r="I407" s="1">
        <v>42815</v>
      </c>
      <c r="J407">
        <v>0</v>
      </c>
    </row>
    <row r="408" spans="1:10" x14ac:dyDescent="0.3">
      <c r="A408" t="s">
        <v>537</v>
      </c>
      <c r="B408" t="s">
        <v>139</v>
      </c>
      <c r="C408" t="str">
        <f>_xlfn.XLOOKUP(B408,
[1]sales_teams!$A$2:$A$100,
[1]sales_teams!$B$2:$B$100)</f>
        <v>Rocco Neubert</v>
      </c>
      <c r="D408" t="str">
        <f>_xlfn.XLOOKUP($B408,sales_teams!$A$2:$A$36,sales_teams!C$2:C$36)</f>
        <v>East</v>
      </c>
      <c r="E408" t="s">
        <v>48</v>
      </c>
      <c r="G408" t="s">
        <v>40</v>
      </c>
      <c r="H408" s="1">
        <v>42741</v>
      </c>
    </row>
    <row r="409" spans="1:10" x14ac:dyDescent="0.3">
      <c r="A409" t="s">
        <v>538</v>
      </c>
      <c r="B409" t="s">
        <v>14</v>
      </c>
      <c r="C409" t="str">
        <f>_xlfn.XLOOKUP(B409,
[1]sales_teams!$A$2:$A$100,
[1]sales_teams!$B$2:$B$100)</f>
        <v>Melvin Marxen</v>
      </c>
      <c r="D409" t="str">
        <f>_xlfn.XLOOKUP($B409,sales_teams!$A$2:$A$36,sales_teams!C$2:C$36)</f>
        <v>Central</v>
      </c>
      <c r="E409" t="s">
        <v>15</v>
      </c>
      <c r="F409" t="s">
        <v>21</v>
      </c>
      <c r="G409" t="s">
        <v>46</v>
      </c>
      <c r="H409" s="1">
        <v>42741</v>
      </c>
      <c r="I409" s="1">
        <v>42812</v>
      </c>
      <c r="J409">
        <v>0</v>
      </c>
    </row>
    <row r="410" spans="1:10" x14ac:dyDescent="0.3">
      <c r="A410" t="s">
        <v>539</v>
      </c>
      <c r="B410" t="s">
        <v>14</v>
      </c>
      <c r="C410" t="str">
        <f>_xlfn.XLOOKUP(B410,
[1]sales_teams!$A$2:$A$100,
[1]sales_teams!$B$2:$B$100)</f>
        <v>Melvin Marxen</v>
      </c>
      <c r="D410" t="str">
        <f>_xlfn.XLOOKUP($B410,sales_teams!$A$2:$A$36,sales_teams!C$2:C$36)</f>
        <v>Central</v>
      </c>
      <c r="E410" t="s">
        <v>18</v>
      </c>
      <c r="F410" t="s">
        <v>170</v>
      </c>
      <c r="G410" t="s">
        <v>12</v>
      </c>
      <c r="H410" s="1">
        <v>42741</v>
      </c>
      <c r="I410" s="1">
        <v>42811</v>
      </c>
      <c r="J410">
        <v>56</v>
      </c>
    </row>
    <row r="411" spans="1:10" x14ac:dyDescent="0.3">
      <c r="A411" t="s">
        <v>540</v>
      </c>
      <c r="B411" t="s">
        <v>44</v>
      </c>
      <c r="C411" t="str">
        <f>_xlfn.XLOOKUP(B411,
[1]sales_teams!$A$2:$A$100,
[1]sales_teams!$B$2:$B$100)</f>
        <v>Melvin Marxen</v>
      </c>
      <c r="D411" t="str">
        <f>_xlfn.XLOOKUP($B411,sales_teams!$A$2:$A$36,sales_teams!C$2:C$36)</f>
        <v>Central</v>
      </c>
      <c r="E411" t="s">
        <v>18</v>
      </c>
      <c r="F411" t="s">
        <v>126</v>
      </c>
      <c r="G411" t="s">
        <v>46</v>
      </c>
      <c r="H411" s="1">
        <v>42741</v>
      </c>
      <c r="I411" s="1">
        <v>42817</v>
      </c>
      <c r="J411">
        <v>0</v>
      </c>
    </row>
    <row r="412" spans="1:10" x14ac:dyDescent="0.3">
      <c r="A412" t="s">
        <v>541</v>
      </c>
      <c r="B412" t="s">
        <v>44</v>
      </c>
      <c r="C412" t="str">
        <f>_xlfn.XLOOKUP(B412,
[1]sales_teams!$A$2:$A$100,
[1]sales_teams!$B$2:$B$100)</f>
        <v>Melvin Marxen</v>
      </c>
      <c r="D412" t="str">
        <f>_xlfn.XLOOKUP($B412,sales_teams!$A$2:$A$36,sales_teams!C$2:C$36)</f>
        <v>Central</v>
      </c>
      <c r="E412" t="s">
        <v>18</v>
      </c>
      <c r="F412" t="s">
        <v>135</v>
      </c>
      <c r="G412" t="s">
        <v>12</v>
      </c>
      <c r="H412" s="1">
        <v>42741</v>
      </c>
      <c r="I412" s="1">
        <v>42817</v>
      </c>
      <c r="J412">
        <v>44</v>
      </c>
    </row>
    <row r="413" spans="1:10" x14ac:dyDescent="0.3">
      <c r="A413" t="s">
        <v>542</v>
      </c>
      <c r="B413" t="s">
        <v>95</v>
      </c>
      <c r="C413" t="str">
        <f>_xlfn.XLOOKUP(B413,
[1]sales_teams!$A$2:$A$100,
[1]sales_teams!$B$2:$B$100)</f>
        <v>Summer Sewald</v>
      </c>
      <c r="D413" t="str">
        <f>_xlfn.XLOOKUP($B413,sales_teams!$A$2:$A$36,sales_teams!C$2:C$36)</f>
        <v>West</v>
      </c>
      <c r="E413" t="s">
        <v>20</v>
      </c>
      <c r="F413" t="s">
        <v>199</v>
      </c>
      <c r="G413" t="s">
        <v>12</v>
      </c>
      <c r="H413" s="1">
        <v>42741</v>
      </c>
      <c r="I413" s="1">
        <v>42821</v>
      </c>
      <c r="J413">
        <v>532</v>
      </c>
    </row>
    <row r="414" spans="1:10" x14ac:dyDescent="0.3">
      <c r="A414" t="s">
        <v>543</v>
      </c>
      <c r="B414" t="s">
        <v>133</v>
      </c>
      <c r="C414" t="str">
        <f>_xlfn.XLOOKUP(B414,
[1]sales_teams!$A$2:$A$100,
[1]sales_teams!$B$2:$B$100)</f>
        <v>Dustin Brinkmann</v>
      </c>
      <c r="D414" t="str">
        <f>_xlfn.XLOOKUP($B414,sales_teams!$A$2:$A$36,sales_teams!C$2:C$36)</f>
        <v>Central</v>
      </c>
      <c r="E414" t="s">
        <v>20</v>
      </c>
      <c r="F414" t="s">
        <v>62</v>
      </c>
      <c r="G414" t="s">
        <v>46</v>
      </c>
      <c r="H414" s="1">
        <v>42741</v>
      </c>
      <c r="I414" s="1">
        <v>42865</v>
      </c>
      <c r="J414">
        <v>0</v>
      </c>
    </row>
    <row r="415" spans="1:10" x14ac:dyDescent="0.3">
      <c r="A415" t="s">
        <v>544</v>
      </c>
      <c r="B415" t="s">
        <v>133</v>
      </c>
      <c r="C415" t="str">
        <f>_xlfn.XLOOKUP(B415,
[1]sales_teams!$A$2:$A$100,
[1]sales_teams!$B$2:$B$100)</f>
        <v>Dustin Brinkmann</v>
      </c>
      <c r="D415" t="str">
        <f>_xlfn.XLOOKUP($B415,sales_teams!$A$2:$A$36,sales_teams!C$2:C$36)</f>
        <v>Central</v>
      </c>
      <c r="E415" t="s">
        <v>20</v>
      </c>
      <c r="F415" t="s">
        <v>36</v>
      </c>
      <c r="G415" t="s">
        <v>46</v>
      </c>
      <c r="H415" s="1">
        <v>42741</v>
      </c>
      <c r="I415" s="1">
        <v>42814</v>
      </c>
      <c r="J415">
        <v>0</v>
      </c>
    </row>
    <row r="416" spans="1:10" x14ac:dyDescent="0.3">
      <c r="A416" t="s">
        <v>545</v>
      </c>
      <c r="B416" t="s">
        <v>97</v>
      </c>
      <c r="C416" t="str">
        <f>_xlfn.XLOOKUP(B416,
[1]sales_teams!$A$2:$A$100,
[1]sales_teams!$B$2:$B$100)</f>
        <v>Rocco Neubert</v>
      </c>
      <c r="D416" t="str">
        <f>_xlfn.XLOOKUP($B416,sales_teams!$A$2:$A$36,sales_teams!C$2:C$36)</f>
        <v>East</v>
      </c>
      <c r="E416" t="s">
        <v>15</v>
      </c>
      <c r="F416" t="s">
        <v>179</v>
      </c>
      <c r="G416" t="s">
        <v>46</v>
      </c>
      <c r="H416" s="1">
        <v>42741</v>
      </c>
      <c r="I416" s="1">
        <v>42811</v>
      </c>
      <c r="J416">
        <v>0</v>
      </c>
    </row>
    <row r="417" spans="1:10" x14ac:dyDescent="0.3">
      <c r="A417" t="s">
        <v>546</v>
      </c>
      <c r="B417" t="s">
        <v>61</v>
      </c>
      <c r="C417" t="str">
        <f>_xlfn.XLOOKUP(B417,
[1]sales_teams!$A$2:$A$100,
[1]sales_teams!$B$2:$B$100)</f>
        <v>Dustin Brinkmann</v>
      </c>
      <c r="D417" t="str">
        <f>_xlfn.XLOOKUP($B417,sales_teams!$A$2:$A$36,sales_teams!C$2:C$36)</f>
        <v>Central</v>
      </c>
      <c r="E417" t="s">
        <v>20</v>
      </c>
      <c r="F417" t="s">
        <v>207</v>
      </c>
      <c r="G417" t="s">
        <v>46</v>
      </c>
      <c r="H417" s="1">
        <v>42741</v>
      </c>
      <c r="I417" s="1">
        <v>42818</v>
      </c>
      <c r="J417">
        <v>0</v>
      </c>
    </row>
    <row r="418" spans="1:10" x14ac:dyDescent="0.3">
      <c r="A418" t="s">
        <v>547</v>
      </c>
      <c r="B418" t="s">
        <v>26</v>
      </c>
      <c r="C418" t="str">
        <f>_xlfn.XLOOKUP(B418,
[1]sales_teams!$A$2:$A$100,
[1]sales_teams!$B$2:$B$100)</f>
        <v>Dustin Brinkmann</v>
      </c>
      <c r="D418" t="str">
        <f>_xlfn.XLOOKUP($B418,sales_teams!$A$2:$A$36,sales_teams!C$2:C$36)</f>
        <v>Central</v>
      </c>
      <c r="E418" t="s">
        <v>20</v>
      </c>
      <c r="F418" t="s">
        <v>16</v>
      </c>
      <c r="G418" t="s">
        <v>12</v>
      </c>
      <c r="H418" s="1">
        <v>42742</v>
      </c>
      <c r="I418" s="1">
        <v>42802</v>
      </c>
      <c r="J418">
        <v>622</v>
      </c>
    </row>
    <row r="419" spans="1:10" x14ac:dyDescent="0.3">
      <c r="A419" t="s">
        <v>548</v>
      </c>
      <c r="B419" t="s">
        <v>118</v>
      </c>
      <c r="C419" t="str">
        <f>_xlfn.XLOOKUP(B419,
[1]sales_teams!$A$2:$A$100,
[1]sales_teams!$B$2:$B$100)</f>
        <v>Rocco Neubert</v>
      </c>
      <c r="D419" t="str">
        <f>_xlfn.XLOOKUP($B419,sales_teams!$A$2:$A$36,sales_teams!C$2:C$36)</f>
        <v>East</v>
      </c>
      <c r="E419" t="s">
        <v>20</v>
      </c>
      <c r="G419" t="s">
        <v>40</v>
      </c>
      <c r="H419" s="1">
        <v>42742</v>
      </c>
    </row>
    <row r="420" spans="1:10" x14ac:dyDescent="0.3">
      <c r="A420" t="s">
        <v>549</v>
      </c>
      <c r="B420" t="s">
        <v>202</v>
      </c>
      <c r="C420" t="str">
        <f>_xlfn.XLOOKUP(B420,
[1]sales_teams!$A$2:$A$100,
[1]sales_teams!$B$2:$B$100)</f>
        <v>Dustin Brinkmann</v>
      </c>
      <c r="D420" t="str">
        <f>_xlfn.XLOOKUP($B420,sales_teams!$A$2:$A$36,sales_teams!C$2:C$36)</f>
        <v>Central</v>
      </c>
      <c r="E420" t="s">
        <v>48</v>
      </c>
      <c r="F420" t="s">
        <v>11</v>
      </c>
      <c r="G420" t="s">
        <v>46</v>
      </c>
      <c r="H420" s="1">
        <v>42742</v>
      </c>
      <c r="I420" s="1">
        <v>42799</v>
      </c>
      <c r="J420">
        <v>0</v>
      </c>
    </row>
    <row r="421" spans="1:10" x14ac:dyDescent="0.3">
      <c r="A421" t="s">
        <v>550</v>
      </c>
      <c r="B421" t="s">
        <v>164</v>
      </c>
      <c r="C421" t="str">
        <f>_xlfn.XLOOKUP(B421,
[1]sales_teams!$A$2:$A$100,
[1]sales_teams!$B$2:$B$100)</f>
        <v>Cara Losch</v>
      </c>
      <c r="D421" t="str">
        <f>_xlfn.XLOOKUP($B421,sales_teams!$A$2:$A$36,sales_teams!C$2:C$36)</f>
        <v>East</v>
      </c>
      <c r="E421" t="s">
        <v>18</v>
      </c>
      <c r="G421" t="s">
        <v>40</v>
      </c>
      <c r="H421" s="1">
        <v>42742</v>
      </c>
    </row>
    <row r="422" spans="1:10" x14ac:dyDescent="0.3">
      <c r="A422" t="s">
        <v>551</v>
      </c>
      <c r="B422" t="s">
        <v>164</v>
      </c>
      <c r="C422" t="str">
        <f>_xlfn.XLOOKUP(B422,
[1]sales_teams!$A$2:$A$100,
[1]sales_teams!$B$2:$B$100)</f>
        <v>Cara Losch</v>
      </c>
      <c r="D422" t="str">
        <f>_xlfn.XLOOKUP($B422,sales_teams!$A$2:$A$36,sales_teams!C$2:C$36)</f>
        <v>East</v>
      </c>
      <c r="E422" t="s">
        <v>10</v>
      </c>
      <c r="F422" t="s">
        <v>65</v>
      </c>
      <c r="G422" t="s">
        <v>12</v>
      </c>
      <c r="H422" s="1">
        <v>42742</v>
      </c>
      <c r="I422" s="1">
        <v>42810</v>
      </c>
      <c r="J422">
        <v>1257</v>
      </c>
    </row>
    <row r="423" spans="1:10" x14ac:dyDescent="0.3">
      <c r="A423" t="s">
        <v>552</v>
      </c>
      <c r="B423" t="s">
        <v>51</v>
      </c>
      <c r="C423" t="str">
        <f>_xlfn.XLOOKUP(B423,
[1]sales_teams!$A$2:$A$100,
[1]sales_teams!$B$2:$B$100)</f>
        <v>Summer Sewald</v>
      </c>
      <c r="D423" t="str">
        <f>_xlfn.XLOOKUP($B423,sales_teams!$A$2:$A$36,sales_teams!C$2:C$36)</f>
        <v>West</v>
      </c>
      <c r="E423" t="s">
        <v>10</v>
      </c>
      <c r="F423" t="s">
        <v>184</v>
      </c>
      <c r="G423" t="s">
        <v>12</v>
      </c>
      <c r="H423" s="1">
        <v>42742</v>
      </c>
      <c r="I423" s="1">
        <v>42819</v>
      </c>
      <c r="J423">
        <v>1135</v>
      </c>
    </row>
    <row r="424" spans="1:10" x14ac:dyDescent="0.3">
      <c r="A424" t="s">
        <v>553</v>
      </c>
      <c r="B424" t="s">
        <v>23</v>
      </c>
      <c r="C424" t="str">
        <f>_xlfn.XLOOKUP(B424,
[1]sales_teams!$A$2:$A$100,
[1]sales_teams!$B$2:$B$100)</f>
        <v>Summer Sewald</v>
      </c>
      <c r="D424" t="str">
        <f>_xlfn.XLOOKUP($B424,sales_teams!$A$2:$A$36,sales_teams!C$2:C$36)</f>
        <v>West</v>
      </c>
      <c r="E424" t="s">
        <v>39</v>
      </c>
      <c r="F424" t="s">
        <v>315</v>
      </c>
      <c r="G424" t="s">
        <v>46</v>
      </c>
      <c r="H424" s="1">
        <v>42742</v>
      </c>
      <c r="I424" s="1">
        <v>42822</v>
      </c>
      <c r="J424">
        <v>0</v>
      </c>
    </row>
    <row r="425" spans="1:10" x14ac:dyDescent="0.3">
      <c r="A425" t="s">
        <v>554</v>
      </c>
      <c r="B425" t="s">
        <v>23</v>
      </c>
      <c r="C425" t="str">
        <f>_xlfn.XLOOKUP(B425,
[1]sales_teams!$A$2:$A$100,
[1]sales_teams!$B$2:$B$100)</f>
        <v>Summer Sewald</v>
      </c>
      <c r="D425" t="str">
        <f>_xlfn.XLOOKUP($B425,sales_teams!$A$2:$A$36,sales_teams!C$2:C$36)</f>
        <v>West</v>
      </c>
      <c r="E425" t="s">
        <v>15</v>
      </c>
      <c r="F425" t="s">
        <v>555</v>
      </c>
      <c r="G425" t="s">
        <v>12</v>
      </c>
      <c r="H425" s="1">
        <v>42742</v>
      </c>
      <c r="I425" s="1">
        <v>42808</v>
      </c>
      <c r="J425">
        <v>4313</v>
      </c>
    </row>
    <row r="426" spans="1:10" x14ac:dyDescent="0.3">
      <c r="A426" t="s">
        <v>556</v>
      </c>
      <c r="B426" t="s">
        <v>26</v>
      </c>
      <c r="C426" t="str">
        <f>_xlfn.XLOOKUP(B426,
[1]sales_teams!$A$2:$A$100,
[1]sales_teams!$B$2:$B$100)</f>
        <v>Dustin Brinkmann</v>
      </c>
      <c r="D426" t="str">
        <f>_xlfn.XLOOKUP($B426,sales_teams!$A$2:$A$36,sales_teams!C$2:C$36)</f>
        <v>Central</v>
      </c>
      <c r="E426" t="s">
        <v>48</v>
      </c>
      <c r="F426" t="s">
        <v>91</v>
      </c>
      <c r="G426" t="s">
        <v>12</v>
      </c>
      <c r="H426" s="1">
        <v>42743</v>
      </c>
      <c r="I426" s="1">
        <v>42812</v>
      </c>
      <c r="J426">
        <v>5210</v>
      </c>
    </row>
    <row r="427" spans="1:10" x14ac:dyDescent="0.3">
      <c r="A427" t="s">
        <v>557</v>
      </c>
      <c r="B427" t="s">
        <v>133</v>
      </c>
      <c r="C427" t="str">
        <f>_xlfn.XLOOKUP(B427,
[1]sales_teams!$A$2:$A$100,
[1]sales_teams!$B$2:$B$100)</f>
        <v>Dustin Brinkmann</v>
      </c>
      <c r="D427" t="str">
        <f>_xlfn.XLOOKUP($B427,sales_teams!$A$2:$A$36,sales_teams!C$2:C$36)</f>
        <v>Central</v>
      </c>
      <c r="E427" t="s">
        <v>18</v>
      </c>
      <c r="F427" t="s">
        <v>27</v>
      </c>
      <c r="G427" t="s">
        <v>12</v>
      </c>
      <c r="H427" s="1">
        <v>42743</v>
      </c>
      <c r="I427" s="1">
        <v>42821</v>
      </c>
      <c r="J427">
        <v>47</v>
      </c>
    </row>
    <row r="428" spans="1:10" x14ac:dyDescent="0.3">
      <c r="A428" t="s">
        <v>558</v>
      </c>
      <c r="B428" t="s">
        <v>32</v>
      </c>
      <c r="C428" t="str">
        <f>_xlfn.XLOOKUP(B428,
[1]sales_teams!$A$2:$A$100,
[1]sales_teams!$B$2:$B$100)</f>
        <v>Celia Rouche</v>
      </c>
      <c r="D428" t="str">
        <f>_xlfn.XLOOKUP($B428,sales_teams!$A$2:$A$36,sales_teams!C$2:C$36)</f>
        <v>West</v>
      </c>
      <c r="E428" t="s">
        <v>39</v>
      </c>
      <c r="F428" t="s">
        <v>199</v>
      </c>
      <c r="G428" t="s">
        <v>12</v>
      </c>
      <c r="H428" s="1">
        <v>42743</v>
      </c>
      <c r="I428" s="1">
        <v>42816</v>
      </c>
      <c r="J428">
        <v>3220</v>
      </c>
    </row>
    <row r="429" spans="1:10" x14ac:dyDescent="0.3">
      <c r="A429" t="s">
        <v>559</v>
      </c>
      <c r="B429" t="s">
        <v>57</v>
      </c>
      <c r="C429" t="str">
        <f>_xlfn.XLOOKUP(B429,
[1]sales_teams!$A$2:$A$100,
[1]sales_teams!$B$2:$B$100)</f>
        <v>Celia Rouche</v>
      </c>
      <c r="D429" t="str">
        <f>_xlfn.XLOOKUP($B429,sales_teams!$A$2:$A$36,sales_teams!C$2:C$36)</f>
        <v>West</v>
      </c>
      <c r="E429" t="s">
        <v>20</v>
      </c>
      <c r="F429" t="s">
        <v>240</v>
      </c>
      <c r="G429" t="s">
        <v>40</v>
      </c>
      <c r="H429" s="1">
        <v>42743</v>
      </c>
    </row>
    <row r="430" spans="1:10" x14ac:dyDescent="0.3">
      <c r="A430" t="s">
        <v>560</v>
      </c>
      <c r="B430" t="s">
        <v>88</v>
      </c>
      <c r="C430" t="str">
        <f>_xlfn.XLOOKUP(B430,
[1]sales_teams!$A$2:$A$100,
[1]sales_teams!$B$2:$B$100)</f>
        <v>Cara Losch</v>
      </c>
      <c r="D430" t="str">
        <f>_xlfn.XLOOKUP($B430,sales_teams!$A$2:$A$36,sales_teams!C$2:C$36)</f>
        <v>East</v>
      </c>
      <c r="E430" t="s">
        <v>18</v>
      </c>
      <c r="F430" t="s">
        <v>410</v>
      </c>
      <c r="G430" t="s">
        <v>12</v>
      </c>
      <c r="H430" s="1">
        <v>42743</v>
      </c>
      <c r="I430" s="1">
        <v>42820</v>
      </c>
      <c r="J430">
        <v>47</v>
      </c>
    </row>
    <row r="431" spans="1:10" x14ac:dyDescent="0.3">
      <c r="A431" t="s">
        <v>561</v>
      </c>
      <c r="B431" t="s">
        <v>73</v>
      </c>
      <c r="C431" t="str">
        <f>_xlfn.XLOOKUP(B431,
[1]sales_teams!$A$2:$A$100,
[1]sales_teams!$B$2:$B$100)</f>
        <v>Cara Losch</v>
      </c>
      <c r="D431" t="str">
        <f>_xlfn.XLOOKUP($B431,sales_teams!$A$2:$A$36,sales_teams!C$2:C$36)</f>
        <v>East</v>
      </c>
      <c r="E431" t="s">
        <v>18</v>
      </c>
      <c r="F431" t="s">
        <v>126</v>
      </c>
      <c r="G431" t="s">
        <v>40</v>
      </c>
      <c r="H431" s="1">
        <v>42743</v>
      </c>
    </row>
    <row r="432" spans="1:10" x14ac:dyDescent="0.3">
      <c r="A432" t="s">
        <v>562</v>
      </c>
      <c r="B432" t="s">
        <v>73</v>
      </c>
      <c r="C432" t="str">
        <f>_xlfn.XLOOKUP(B432,
[1]sales_teams!$A$2:$A$100,
[1]sales_teams!$B$2:$B$100)</f>
        <v>Cara Losch</v>
      </c>
      <c r="D432" t="str">
        <f>_xlfn.XLOOKUP($B432,sales_teams!$A$2:$A$36,sales_teams!C$2:C$36)</f>
        <v>East</v>
      </c>
      <c r="E432" t="s">
        <v>18</v>
      </c>
      <c r="F432" t="s">
        <v>278</v>
      </c>
      <c r="G432" t="s">
        <v>12</v>
      </c>
      <c r="H432" s="1">
        <v>42743</v>
      </c>
      <c r="I432" s="1">
        <v>42819</v>
      </c>
      <c r="J432">
        <v>63</v>
      </c>
    </row>
    <row r="433" spans="1:10" x14ac:dyDescent="0.3">
      <c r="A433" t="s">
        <v>563</v>
      </c>
      <c r="B433" t="s">
        <v>26</v>
      </c>
      <c r="C433" t="str">
        <f>_xlfn.XLOOKUP(B433,
[1]sales_teams!$A$2:$A$100,
[1]sales_teams!$B$2:$B$100)</f>
        <v>Dustin Brinkmann</v>
      </c>
      <c r="D433" t="str">
        <f>_xlfn.XLOOKUP($B433,sales_teams!$A$2:$A$36,sales_teams!C$2:C$36)</f>
        <v>Central</v>
      </c>
      <c r="E433" t="s">
        <v>18</v>
      </c>
      <c r="F433" t="s">
        <v>303</v>
      </c>
      <c r="G433" t="s">
        <v>12</v>
      </c>
      <c r="H433" s="1">
        <v>42744</v>
      </c>
      <c r="I433" s="1">
        <v>42809</v>
      </c>
      <c r="J433">
        <v>56</v>
      </c>
    </row>
    <row r="434" spans="1:10" x14ac:dyDescent="0.3">
      <c r="A434" t="s">
        <v>564</v>
      </c>
      <c r="B434" t="s">
        <v>26</v>
      </c>
      <c r="C434" t="str">
        <f>_xlfn.XLOOKUP(B434,
[1]sales_teams!$A$2:$A$100,
[1]sales_teams!$B$2:$B$100)</f>
        <v>Dustin Brinkmann</v>
      </c>
      <c r="D434" t="str">
        <f>_xlfn.XLOOKUP($B434,sales_teams!$A$2:$A$36,sales_teams!C$2:C$36)</f>
        <v>Central</v>
      </c>
      <c r="E434" t="s">
        <v>18</v>
      </c>
      <c r="F434" t="s">
        <v>126</v>
      </c>
      <c r="G434" t="s">
        <v>12</v>
      </c>
      <c r="H434" s="1">
        <v>42744</v>
      </c>
      <c r="I434" s="1">
        <v>42795</v>
      </c>
      <c r="J434">
        <v>65</v>
      </c>
    </row>
    <row r="435" spans="1:10" x14ac:dyDescent="0.3">
      <c r="A435" t="s">
        <v>565</v>
      </c>
      <c r="B435" t="s">
        <v>139</v>
      </c>
      <c r="C435" t="str">
        <f>_xlfn.XLOOKUP(B435,
[1]sales_teams!$A$2:$A$100,
[1]sales_teams!$B$2:$B$100)</f>
        <v>Rocco Neubert</v>
      </c>
      <c r="D435" t="str">
        <f>_xlfn.XLOOKUP($B435,sales_teams!$A$2:$A$36,sales_teams!C$2:C$36)</f>
        <v>East</v>
      </c>
      <c r="E435" t="s">
        <v>48</v>
      </c>
      <c r="F435" t="s">
        <v>209</v>
      </c>
      <c r="G435" t="s">
        <v>12</v>
      </c>
      <c r="H435" s="1">
        <v>42744</v>
      </c>
      <c r="I435" s="1">
        <v>42813</v>
      </c>
      <c r="J435">
        <v>5743</v>
      </c>
    </row>
    <row r="436" spans="1:10" x14ac:dyDescent="0.3">
      <c r="A436" t="s">
        <v>566</v>
      </c>
      <c r="B436" t="s">
        <v>118</v>
      </c>
      <c r="C436" t="str">
        <f>_xlfn.XLOOKUP(B436,
[1]sales_teams!$A$2:$A$100,
[1]sales_teams!$B$2:$B$100)</f>
        <v>Rocco Neubert</v>
      </c>
      <c r="D436" t="str">
        <f>_xlfn.XLOOKUP($B436,sales_teams!$A$2:$A$36,sales_teams!C$2:C$36)</f>
        <v>East</v>
      </c>
      <c r="E436" t="s">
        <v>18</v>
      </c>
      <c r="F436" t="s">
        <v>106</v>
      </c>
      <c r="G436" t="s">
        <v>12</v>
      </c>
      <c r="H436" s="1">
        <v>42744</v>
      </c>
      <c r="I436" s="1">
        <v>42797</v>
      </c>
      <c r="J436">
        <v>53</v>
      </c>
    </row>
    <row r="437" spans="1:10" x14ac:dyDescent="0.3">
      <c r="A437" t="s">
        <v>567</v>
      </c>
      <c r="B437" t="s">
        <v>164</v>
      </c>
      <c r="C437" t="str">
        <f>_xlfn.XLOOKUP(B437,
[1]sales_teams!$A$2:$A$100,
[1]sales_teams!$B$2:$B$100)</f>
        <v>Cara Losch</v>
      </c>
      <c r="D437" t="str">
        <f>_xlfn.XLOOKUP($B437,sales_teams!$A$2:$A$36,sales_teams!C$2:C$36)</f>
        <v>East</v>
      </c>
      <c r="E437" t="s">
        <v>48</v>
      </c>
      <c r="F437" t="s">
        <v>204</v>
      </c>
      <c r="G437" t="s">
        <v>12</v>
      </c>
      <c r="H437" s="1">
        <v>42744</v>
      </c>
      <c r="I437" s="1">
        <v>42824</v>
      </c>
      <c r="J437">
        <v>4974</v>
      </c>
    </row>
    <row r="438" spans="1:10" x14ac:dyDescent="0.3">
      <c r="A438" t="s">
        <v>568</v>
      </c>
      <c r="B438" t="s">
        <v>142</v>
      </c>
      <c r="C438" t="str">
        <f>_xlfn.XLOOKUP(B438,
[1]sales_teams!$A$2:$A$100,
[1]sales_teams!$B$2:$B$100)</f>
        <v>Rocco Neubert</v>
      </c>
      <c r="D438" t="str">
        <f>_xlfn.XLOOKUP($B438,sales_teams!$A$2:$A$36,sales_teams!C$2:C$36)</f>
        <v>East</v>
      </c>
      <c r="E438" t="s">
        <v>39</v>
      </c>
      <c r="F438" t="s">
        <v>177</v>
      </c>
      <c r="G438" t="s">
        <v>12</v>
      </c>
      <c r="H438" s="1">
        <v>42744</v>
      </c>
      <c r="I438" s="1">
        <v>42819</v>
      </c>
      <c r="J438">
        <v>3892</v>
      </c>
    </row>
    <row r="439" spans="1:10" x14ac:dyDescent="0.3">
      <c r="A439" t="s">
        <v>569</v>
      </c>
      <c r="B439" t="s">
        <v>105</v>
      </c>
      <c r="C439" t="str">
        <f>_xlfn.XLOOKUP(B439,
[1]sales_teams!$A$2:$A$100,
[1]sales_teams!$B$2:$B$100)</f>
        <v>Cara Losch</v>
      </c>
      <c r="D439" t="str">
        <f>_xlfn.XLOOKUP($B439,sales_teams!$A$2:$A$36,sales_teams!C$2:C$36)</f>
        <v>East</v>
      </c>
      <c r="E439" t="s">
        <v>15</v>
      </c>
      <c r="F439" t="s">
        <v>204</v>
      </c>
      <c r="G439" t="s">
        <v>12</v>
      </c>
      <c r="H439" s="1">
        <v>42744</v>
      </c>
      <c r="I439" s="1">
        <v>42815</v>
      </c>
      <c r="J439">
        <v>3822</v>
      </c>
    </row>
    <row r="440" spans="1:10" x14ac:dyDescent="0.3">
      <c r="A440" t="s">
        <v>570</v>
      </c>
      <c r="B440" t="s">
        <v>252</v>
      </c>
      <c r="C440" t="str">
        <f>_xlfn.XLOOKUP(B440,
[1]sales_teams!$A$2:$A$100,
[1]sales_teams!$B$2:$B$100)</f>
        <v>Melvin Marxen</v>
      </c>
      <c r="D440" t="str">
        <f>_xlfn.XLOOKUP($B440,sales_teams!$A$2:$A$36,sales_teams!C$2:C$36)</f>
        <v>Central</v>
      </c>
      <c r="E440" t="s">
        <v>20</v>
      </c>
      <c r="F440" t="s">
        <v>318</v>
      </c>
      <c r="G440" t="s">
        <v>12</v>
      </c>
      <c r="H440" s="1">
        <v>42744</v>
      </c>
      <c r="I440" s="1">
        <v>42796</v>
      </c>
      <c r="J440">
        <v>504</v>
      </c>
    </row>
    <row r="441" spans="1:10" x14ac:dyDescent="0.3">
      <c r="A441" t="s">
        <v>571</v>
      </c>
      <c r="B441" t="s">
        <v>51</v>
      </c>
      <c r="C441" t="str">
        <f>_xlfn.XLOOKUP(B441,
[1]sales_teams!$A$2:$A$100,
[1]sales_teams!$B$2:$B$100)</f>
        <v>Summer Sewald</v>
      </c>
      <c r="D441" t="str">
        <f>_xlfn.XLOOKUP($B441,sales_teams!$A$2:$A$36,sales_teams!C$2:C$36)</f>
        <v>West</v>
      </c>
      <c r="E441" t="s">
        <v>18</v>
      </c>
      <c r="G441" t="s">
        <v>40</v>
      </c>
      <c r="H441" s="1">
        <v>42744</v>
      </c>
    </row>
    <row r="442" spans="1:10" x14ac:dyDescent="0.3">
      <c r="A442" t="s">
        <v>572</v>
      </c>
      <c r="B442" t="s">
        <v>57</v>
      </c>
      <c r="C442" t="str">
        <f>_xlfn.XLOOKUP(B442,
[1]sales_teams!$A$2:$A$100,
[1]sales_teams!$B$2:$B$100)</f>
        <v>Celia Rouche</v>
      </c>
      <c r="D442" t="str">
        <f>_xlfn.XLOOKUP($B442,sales_teams!$A$2:$A$36,sales_teams!C$2:C$36)</f>
        <v>West</v>
      </c>
      <c r="E442" t="s">
        <v>39</v>
      </c>
      <c r="F442" t="s">
        <v>93</v>
      </c>
      <c r="G442" t="s">
        <v>12</v>
      </c>
      <c r="H442" s="1">
        <v>42744</v>
      </c>
      <c r="I442" s="1">
        <v>42823</v>
      </c>
      <c r="J442">
        <v>3145</v>
      </c>
    </row>
    <row r="443" spans="1:10" x14ac:dyDescent="0.3">
      <c r="A443" t="s">
        <v>573</v>
      </c>
      <c r="B443" t="s">
        <v>29</v>
      </c>
      <c r="C443" t="str">
        <f>_xlfn.XLOOKUP(B443,
[1]sales_teams!$A$2:$A$100,
[1]sales_teams!$B$2:$B$100)</f>
        <v>Celia Rouche</v>
      </c>
      <c r="D443" t="str">
        <f>_xlfn.XLOOKUP($B443,sales_teams!$A$2:$A$36,sales_teams!C$2:C$36)</f>
        <v>West</v>
      </c>
      <c r="E443" t="s">
        <v>48</v>
      </c>
      <c r="G443" t="s">
        <v>40</v>
      </c>
      <c r="H443" s="1">
        <v>42744</v>
      </c>
    </row>
    <row r="444" spans="1:10" x14ac:dyDescent="0.3">
      <c r="A444" t="s">
        <v>574</v>
      </c>
      <c r="B444" t="s">
        <v>29</v>
      </c>
      <c r="C444" t="str">
        <f>_xlfn.XLOOKUP(B444,
[1]sales_teams!$A$2:$A$100,
[1]sales_teams!$B$2:$B$100)</f>
        <v>Celia Rouche</v>
      </c>
      <c r="D444" t="str">
        <f>_xlfn.XLOOKUP($B444,sales_teams!$A$2:$A$36,sales_teams!C$2:C$36)</f>
        <v>West</v>
      </c>
      <c r="E444" t="s">
        <v>20</v>
      </c>
      <c r="F444" t="s">
        <v>55</v>
      </c>
      <c r="G444" t="s">
        <v>12</v>
      </c>
      <c r="H444" s="1">
        <v>42744</v>
      </c>
      <c r="I444" s="1">
        <v>42821</v>
      </c>
      <c r="J444">
        <v>564</v>
      </c>
    </row>
    <row r="445" spans="1:10" x14ac:dyDescent="0.3">
      <c r="A445" t="s">
        <v>575</v>
      </c>
      <c r="B445" t="s">
        <v>23</v>
      </c>
      <c r="C445" t="str">
        <f>_xlfn.XLOOKUP(B445,
[1]sales_teams!$A$2:$A$100,
[1]sales_teams!$B$2:$B$100)</f>
        <v>Summer Sewald</v>
      </c>
      <c r="D445" t="str">
        <f>_xlfn.XLOOKUP($B445,sales_teams!$A$2:$A$36,sales_teams!C$2:C$36)</f>
        <v>West</v>
      </c>
      <c r="E445" t="s">
        <v>10</v>
      </c>
      <c r="F445" t="s">
        <v>70</v>
      </c>
      <c r="G445" t="s">
        <v>12</v>
      </c>
      <c r="H445" s="1">
        <v>42744</v>
      </c>
      <c r="I445" s="1">
        <v>42808</v>
      </c>
      <c r="J445">
        <v>1117</v>
      </c>
    </row>
    <row r="446" spans="1:10" x14ac:dyDescent="0.3">
      <c r="A446" t="s">
        <v>576</v>
      </c>
      <c r="B446" t="s">
        <v>26</v>
      </c>
      <c r="C446" t="str">
        <f>_xlfn.XLOOKUP(B446,
[1]sales_teams!$A$2:$A$100,
[1]sales_teams!$B$2:$B$100)</f>
        <v>Dustin Brinkmann</v>
      </c>
      <c r="D446" t="str">
        <f>_xlfn.XLOOKUP($B446,sales_teams!$A$2:$A$36,sales_teams!C$2:C$36)</f>
        <v>Central</v>
      </c>
      <c r="E446" t="s">
        <v>18</v>
      </c>
      <c r="F446" t="s">
        <v>318</v>
      </c>
      <c r="G446" t="s">
        <v>12</v>
      </c>
      <c r="H446" s="1">
        <v>42745</v>
      </c>
      <c r="I446" s="1">
        <v>42820</v>
      </c>
      <c r="J446">
        <v>59</v>
      </c>
    </row>
    <row r="447" spans="1:10" x14ac:dyDescent="0.3">
      <c r="A447" t="s">
        <v>577</v>
      </c>
      <c r="B447" t="s">
        <v>14</v>
      </c>
      <c r="C447" t="str">
        <f>_xlfn.XLOOKUP(B447,
[1]sales_teams!$A$2:$A$100,
[1]sales_teams!$B$2:$B$100)</f>
        <v>Melvin Marxen</v>
      </c>
      <c r="D447" t="str">
        <f>_xlfn.XLOOKUP($B447,sales_teams!$A$2:$A$36,sales_teams!C$2:C$36)</f>
        <v>Central</v>
      </c>
      <c r="E447" t="s">
        <v>18</v>
      </c>
      <c r="F447" t="s">
        <v>129</v>
      </c>
      <c r="G447" t="s">
        <v>12</v>
      </c>
      <c r="H447" s="1">
        <v>42745</v>
      </c>
      <c r="I447" s="1">
        <v>42822</v>
      </c>
      <c r="J447">
        <v>52</v>
      </c>
    </row>
    <row r="448" spans="1:10" x14ac:dyDescent="0.3">
      <c r="A448" t="s">
        <v>578</v>
      </c>
      <c r="B448" t="s">
        <v>142</v>
      </c>
      <c r="C448" t="str">
        <f>_xlfn.XLOOKUP(B448,
[1]sales_teams!$A$2:$A$100,
[1]sales_teams!$B$2:$B$100)</f>
        <v>Rocco Neubert</v>
      </c>
      <c r="D448" t="str">
        <f>_xlfn.XLOOKUP($B448,sales_teams!$A$2:$A$36,sales_teams!C$2:C$36)</f>
        <v>East</v>
      </c>
      <c r="E448" t="s">
        <v>15</v>
      </c>
      <c r="F448" t="s">
        <v>155</v>
      </c>
      <c r="G448" t="s">
        <v>12</v>
      </c>
      <c r="H448" s="1">
        <v>42745</v>
      </c>
      <c r="I448" s="1">
        <v>42818</v>
      </c>
      <c r="J448">
        <v>4694</v>
      </c>
    </row>
    <row r="449" spans="1:10" x14ac:dyDescent="0.3">
      <c r="A449" t="s">
        <v>579</v>
      </c>
      <c r="B449" t="s">
        <v>54</v>
      </c>
      <c r="C449" t="str">
        <f>_xlfn.XLOOKUP(B449,
[1]sales_teams!$A$2:$A$100,
[1]sales_teams!$B$2:$B$100)</f>
        <v>Celia Rouche</v>
      </c>
      <c r="D449" t="str">
        <f>_xlfn.XLOOKUP($B449,sales_teams!$A$2:$A$36,sales_teams!C$2:C$36)</f>
        <v>West</v>
      </c>
      <c r="E449" t="s">
        <v>48</v>
      </c>
      <c r="G449" t="s">
        <v>40</v>
      </c>
      <c r="H449" s="1">
        <v>42745</v>
      </c>
    </row>
    <row r="450" spans="1:10" x14ac:dyDescent="0.3">
      <c r="A450" t="s">
        <v>580</v>
      </c>
      <c r="B450" t="s">
        <v>78</v>
      </c>
      <c r="C450" t="str">
        <f>_xlfn.XLOOKUP(B450,
[1]sales_teams!$A$2:$A$100,
[1]sales_teams!$B$2:$B$100)</f>
        <v>Summer Sewald</v>
      </c>
      <c r="D450" t="str">
        <f>_xlfn.XLOOKUP($B450,sales_teams!$A$2:$A$36,sales_teams!C$2:C$36)</f>
        <v>West</v>
      </c>
      <c r="E450" t="s">
        <v>15</v>
      </c>
      <c r="F450" t="s">
        <v>168</v>
      </c>
      <c r="G450" t="s">
        <v>12</v>
      </c>
      <c r="H450" s="1">
        <v>42745</v>
      </c>
      <c r="I450" s="1">
        <v>42800</v>
      </c>
      <c r="J450">
        <v>5620</v>
      </c>
    </row>
    <row r="451" spans="1:10" x14ac:dyDescent="0.3">
      <c r="A451" t="s">
        <v>581</v>
      </c>
      <c r="B451" t="s">
        <v>95</v>
      </c>
      <c r="C451" t="str">
        <f>_xlfn.XLOOKUP(B451,
[1]sales_teams!$A$2:$A$100,
[1]sales_teams!$B$2:$B$100)</f>
        <v>Summer Sewald</v>
      </c>
      <c r="D451" t="str">
        <f>_xlfn.XLOOKUP($B451,sales_teams!$A$2:$A$36,sales_teams!C$2:C$36)</f>
        <v>West</v>
      </c>
      <c r="E451" t="s">
        <v>10</v>
      </c>
      <c r="F451" t="s">
        <v>273</v>
      </c>
      <c r="G451" t="s">
        <v>12</v>
      </c>
      <c r="H451" s="1">
        <v>42745</v>
      </c>
      <c r="I451" s="1">
        <v>42802</v>
      </c>
      <c r="J451">
        <v>1095</v>
      </c>
    </row>
    <row r="452" spans="1:10" x14ac:dyDescent="0.3">
      <c r="A452" t="s">
        <v>582</v>
      </c>
      <c r="B452" t="s">
        <v>133</v>
      </c>
      <c r="C452" t="str">
        <f>_xlfn.XLOOKUP(B452,
[1]sales_teams!$A$2:$A$100,
[1]sales_teams!$B$2:$B$100)</f>
        <v>Dustin Brinkmann</v>
      </c>
      <c r="D452" t="str">
        <f>_xlfn.XLOOKUP($B452,sales_teams!$A$2:$A$36,sales_teams!C$2:C$36)</f>
        <v>Central</v>
      </c>
      <c r="E452" t="s">
        <v>20</v>
      </c>
      <c r="F452" t="s">
        <v>120</v>
      </c>
      <c r="G452" t="s">
        <v>46</v>
      </c>
      <c r="H452" s="1">
        <v>42745</v>
      </c>
      <c r="I452" s="1">
        <v>42857</v>
      </c>
      <c r="J452">
        <v>0</v>
      </c>
    </row>
    <row r="453" spans="1:10" x14ac:dyDescent="0.3">
      <c r="A453" t="s">
        <v>583</v>
      </c>
      <c r="B453" t="s">
        <v>133</v>
      </c>
      <c r="C453" t="str">
        <f>_xlfn.XLOOKUP(B453,
[1]sales_teams!$A$2:$A$100,
[1]sales_teams!$B$2:$B$100)</f>
        <v>Dustin Brinkmann</v>
      </c>
      <c r="D453" t="str">
        <f>_xlfn.XLOOKUP($B453,sales_teams!$A$2:$A$36,sales_teams!C$2:C$36)</f>
        <v>Central</v>
      </c>
      <c r="E453" t="s">
        <v>20</v>
      </c>
      <c r="F453" t="s">
        <v>27</v>
      </c>
      <c r="G453" t="s">
        <v>12</v>
      </c>
      <c r="H453" s="1">
        <v>42745</v>
      </c>
      <c r="I453" s="1">
        <v>42824</v>
      </c>
      <c r="J453">
        <v>489</v>
      </c>
    </row>
    <row r="454" spans="1:10" x14ac:dyDescent="0.3">
      <c r="A454" t="s">
        <v>584</v>
      </c>
      <c r="B454" t="s">
        <v>32</v>
      </c>
      <c r="C454" t="str">
        <f>_xlfn.XLOOKUP(B454,
[1]sales_teams!$A$2:$A$100,
[1]sales_teams!$B$2:$B$100)</f>
        <v>Celia Rouche</v>
      </c>
      <c r="D454" t="str">
        <f>_xlfn.XLOOKUP($B454,sales_teams!$A$2:$A$36,sales_teams!C$2:C$36)</f>
        <v>West</v>
      </c>
      <c r="E454" t="s">
        <v>20</v>
      </c>
      <c r="G454" t="s">
        <v>40</v>
      </c>
      <c r="H454" s="1">
        <v>42745</v>
      </c>
    </row>
    <row r="455" spans="1:10" x14ac:dyDescent="0.3">
      <c r="A455" t="s">
        <v>585</v>
      </c>
      <c r="B455" t="s">
        <v>32</v>
      </c>
      <c r="C455" t="str">
        <f>_xlfn.XLOOKUP(B455,
[1]sales_teams!$A$2:$A$100,
[1]sales_teams!$B$2:$B$100)</f>
        <v>Celia Rouche</v>
      </c>
      <c r="D455" t="str">
        <f>_xlfn.XLOOKUP($B455,sales_teams!$A$2:$A$36,sales_teams!C$2:C$36)</f>
        <v>West</v>
      </c>
      <c r="E455" t="s">
        <v>18</v>
      </c>
      <c r="F455" t="s">
        <v>42</v>
      </c>
      <c r="G455" t="s">
        <v>40</v>
      </c>
      <c r="H455" s="1">
        <v>42745</v>
      </c>
    </row>
    <row r="456" spans="1:10" x14ac:dyDescent="0.3">
      <c r="A456" t="s">
        <v>586</v>
      </c>
      <c r="B456" t="s">
        <v>32</v>
      </c>
      <c r="C456" t="str">
        <f>_xlfn.XLOOKUP(B456,
[1]sales_teams!$A$2:$A$100,
[1]sales_teams!$B$2:$B$100)</f>
        <v>Celia Rouche</v>
      </c>
      <c r="D456" t="str">
        <f>_xlfn.XLOOKUP($B456,sales_teams!$A$2:$A$36,sales_teams!C$2:C$36)</f>
        <v>West</v>
      </c>
      <c r="E456" t="s">
        <v>48</v>
      </c>
      <c r="F456" t="s">
        <v>122</v>
      </c>
      <c r="G456" t="s">
        <v>12</v>
      </c>
      <c r="H456" s="1">
        <v>42745</v>
      </c>
      <c r="I456" s="1">
        <v>42810</v>
      </c>
      <c r="J456">
        <v>5908</v>
      </c>
    </row>
    <row r="457" spans="1:10" x14ac:dyDescent="0.3">
      <c r="A457" t="s">
        <v>587</v>
      </c>
      <c r="B457" t="s">
        <v>32</v>
      </c>
      <c r="C457" t="str">
        <f>_xlfn.XLOOKUP(B457,
[1]sales_teams!$A$2:$A$100,
[1]sales_teams!$B$2:$B$100)</f>
        <v>Celia Rouche</v>
      </c>
      <c r="D457" t="str">
        <f>_xlfn.XLOOKUP($B457,sales_teams!$A$2:$A$36,sales_teams!C$2:C$36)</f>
        <v>West</v>
      </c>
      <c r="E457" t="s">
        <v>39</v>
      </c>
      <c r="F457" t="s">
        <v>93</v>
      </c>
      <c r="G457" t="s">
        <v>12</v>
      </c>
      <c r="H457" s="1">
        <v>42745</v>
      </c>
      <c r="I457" s="1">
        <v>42805</v>
      </c>
      <c r="J457">
        <v>3820</v>
      </c>
    </row>
    <row r="458" spans="1:10" x14ac:dyDescent="0.3">
      <c r="A458" t="s">
        <v>588</v>
      </c>
      <c r="B458" t="s">
        <v>51</v>
      </c>
      <c r="C458" t="str">
        <f>_xlfn.XLOOKUP(B458,
[1]sales_teams!$A$2:$A$100,
[1]sales_teams!$B$2:$B$100)</f>
        <v>Summer Sewald</v>
      </c>
      <c r="D458" t="str">
        <f>_xlfn.XLOOKUP($B458,sales_teams!$A$2:$A$36,sales_teams!C$2:C$36)</f>
        <v>West</v>
      </c>
      <c r="E458" t="s">
        <v>10</v>
      </c>
      <c r="F458" t="s">
        <v>315</v>
      </c>
      <c r="G458" t="s">
        <v>46</v>
      </c>
      <c r="H458" s="1">
        <v>42745</v>
      </c>
      <c r="I458" s="1">
        <v>42806</v>
      </c>
      <c r="J458">
        <v>0</v>
      </c>
    </row>
    <row r="459" spans="1:10" x14ac:dyDescent="0.3">
      <c r="A459" t="s">
        <v>589</v>
      </c>
      <c r="B459" t="s">
        <v>29</v>
      </c>
      <c r="C459" t="str">
        <f>_xlfn.XLOOKUP(B459,
[1]sales_teams!$A$2:$A$100,
[1]sales_teams!$B$2:$B$100)</f>
        <v>Celia Rouche</v>
      </c>
      <c r="D459" t="str">
        <f>_xlfn.XLOOKUP($B459,sales_teams!$A$2:$A$36,sales_teams!C$2:C$36)</f>
        <v>West</v>
      </c>
      <c r="E459" t="s">
        <v>15</v>
      </c>
      <c r="G459" t="s">
        <v>40</v>
      </c>
      <c r="H459" s="1">
        <v>42745</v>
      </c>
    </row>
    <row r="460" spans="1:10" x14ac:dyDescent="0.3">
      <c r="A460" t="s">
        <v>590</v>
      </c>
      <c r="B460" t="s">
        <v>29</v>
      </c>
      <c r="C460" t="str">
        <f>_xlfn.XLOOKUP(B460,
[1]sales_teams!$A$2:$A$100,
[1]sales_teams!$B$2:$B$100)</f>
        <v>Celia Rouche</v>
      </c>
      <c r="D460" t="str">
        <f>_xlfn.XLOOKUP($B460,sales_teams!$A$2:$A$36,sales_teams!C$2:C$36)</f>
        <v>West</v>
      </c>
      <c r="E460" t="s">
        <v>20</v>
      </c>
      <c r="F460" t="s">
        <v>68</v>
      </c>
      <c r="G460" t="s">
        <v>12</v>
      </c>
      <c r="H460" s="1">
        <v>42745</v>
      </c>
      <c r="I460" s="1">
        <v>42814</v>
      </c>
      <c r="J460">
        <v>581</v>
      </c>
    </row>
    <row r="461" spans="1:10" x14ac:dyDescent="0.3">
      <c r="A461" t="s">
        <v>591</v>
      </c>
      <c r="B461" t="s">
        <v>73</v>
      </c>
      <c r="C461" t="str">
        <f>_xlfn.XLOOKUP(B461,
[1]sales_teams!$A$2:$A$100,
[1]sales_teams!$B$2:$B$100)</f>
        <v>Cara Losch</v>
      </c>
      <c r="D461" t="str">
        <f>_xlfn.XLOOKUP($B461,sales_teams!$A$2:$A$36,sales_teams!C$2:C$36)</f>
        <v>East</v>
      </c>
      <c r="E461" t="s">
        <v>48</v>
      </c>
      <c r="G461" t="s">
        <v>40</v>
      </c>
      <c r="H461" s="1">
        <v>42745</v>
      </c>
    </row>
    <row r="462" spans="1:10" x14ac:dyDescent="0.3">
      <c r="A462" t="s">
        <v>592</v>
      </c>
      <c r="B462" t="s">
        <v>164</v>
      </c>
      <c r="C462" t="str">
        <f>_xlfn.XLOOKUP(B462,
[1]sales_teams!$A$2:$A$100,
[1]sales_teams!$B$2:$B$100)</f>
        <v>Cara Losch</v>
      </c>
      <c r="D462" t="str">
        <f>_xlfn.XLOOKUP($B462,sales_teams!$A$2:$A$36,sales_teams!C$2:C$36)</f>
        <v>East</v>
      </c>
      <c r="E462" t="s">
        <v>15</v>
      </c>
      <c r="F462" t="s">
        <v>157</v>
      </c>
      <c r="G462" t="s">
        <v>40</v>
      </c>
      <c r="H462" s="1">
        <v>42746</v>
      </c>
    </row>
    <row r="463" spans="1:10" x14ac:dyDescent="0.3">
      <c r="A463" t="s">
        <v>593</v>
      </c>
      <c r="B463" t="s">
        <v>164</v>
      </c>
      <c r="C463" t="str">
        <f>_xlfn.XLOOKUP(B463,
[1]sales_teams!$A$2:$A$100,
[1]sales_teams!$B$2:$B$100)</f>
        <v>Cara Losch</v>
      </c>
      <c r="D463" t="str">
        <f>_xlfn.XLOOKUP($B463,sales_teams!$A$2:$A$36,sales_teams!C$2:C$36)</f>
        <v>East</v>
      </c>
      <c r="E463" t="s">
        <v>15</v>
      </c>
      <c r="G463" t="s">
        <v>40</v>
      </c>
      <c r="H463" s="1">
        <v>42746</v>
      </c>
    </row>
    <row r="464" spans="1:10" x14ac:dyDescent="0.3">
      <c r="A464" t="s">
        <v>594</v>
      </c>
      <c r="B464" t="s">
        <v>14</v>
      </c>
      <c r="C464" t="str">
        <f>_xlfn.XLOOKUP(B464,
[1]sales_teams!$A$2:$A$100,
[1]sales_teams!$B$2:$B$100)</f>
        <v>Melvin Marxen</v>
      </c>
      <c r="D464" t="str">
        <f>_xlfn.XLOOKUP($B464,sales_teams!$A$2:$A$36,sales_teams!C$2:C$36)</f>
        <v>Central</v>
      </c>
      <c r="E464" t="s">
        <v>48</v>
      </c>
      <c r="F464" t="s">
        <v>135</v>
      </c>
      <c r="G464" t="s">
        <v>46</v>
      </c>
      <c r="H464" s="1">
        <v>42746</v>
      </c>
      <c r="I464" s="1">
        <v>42804</v>
      </c>
      <c r="J464">
        <v>0</v>
      </c>
    </row>
    <row r="465" spans="1:10" x14ac:dyDescent="0.3">
      <c r="A465" t="s">
        <v>595</v>
      </c>
      <c r="B465" t="s">
        <v>252</v>
      </c>
      <c r="C465" t="str">
        <f>_xlfn.XLOOKUP(B465,
[1]sales_teams!$A$2:$A$100,
[1]sales_teams!$B$2:$B$100)</f>
        <v>Melvin Marxen</v>
      </c>
      <c r="D465" t="str">
        <f>_xlfn.XLOOKUP($B465,sales_teams!$A$2:$A$36,sales_teams!C$2:C$36)</f>
        <v>Central</v>
      </c>
      <c r="E465" t="s">
        <v>20</v>
      </c>
      <c r="F465" t="s">
        <v>109</v>
      </c>
      <c r="G465" t="s">
        <v>12</v>
      </c>
      <c r="H465" s="1">
        <v>42746</v>
      </c>
      <c r="I465" s="1">
        <v>42822</v>
      </c>
      <c r="J465">
        <v>585</v>
      </c>
    </row>
    <row r="466" spans="1:10" x14ac:dyDescent="0.3">
      <c r="A466" t="s">
        <v>596</v>
      </c>
      <c r="B466" t="s">
        <v>78</v>
      </c>
      <c r="C466" t="str">
        <f>_xlfn.XLOOKUP(B466,
[1]sales_teams!$A$2:$A$100,
[1]sales_teams!$B$2:$B$100)</f>
        <v>Summer Sewald</v>
      </c>
      <c r="D466" t="str">
        <f>_xlfn.XLOOKUP($B466,sales_teams!$A$2:$A$36,sales_teams!C$2:C$36)</f>
        <v>West</v>
      </c>
      <c r="E466" t="s">
        <v>10</v>
      </c>
      <c r="F466" t="s">
        <v>168</v>
      </c>
      <c r="G466" t="s">
        <v>40</v>
      </c>
      <c r="H466" s="1">
        <v>42746</v>
      </c>
    </row>
    <row r="467" spans="1:10" x14ac:dyDescent="0.3">
      <c r="A467" t="s">
        <v>597</v>
      </c>
      <c r="B467" t="s">
        <v>78</v>
      </c>
      <c r="C467" t="str">
        <f>_xlfn.XLOOKUP(B467,
[1]sales_teams!$A$2:$A$100,
[1]sales_teams!$B$2:$B$100)</f>
        <v>Summer Sewald</v>
      </c>
      <c r="D467" t="str">
        <f>_xlfn.XLOOKUP($B467,sales_teams!$A$2:$A$36,sales_teams!C$2:C$36)</f>
        <v>West</v>
      </c>
      <c r="E467" t="s">
        <v>20</v>
      </c>
      <c r="F467" t="s">
        <v>157</v>
      </c>
      <c r="G467" t="s">
        <v>12</v>
      </c>
      <c r="H467" s="1">
        <v>42746</v>
      </c>
      <c r="I467" s="1">
        <v>42861</v>
      </c>
      <c r="J467">
        <v>572</v>
      </c>
    </row>
    <row r="468" spans="1:10" x14ac:dyDescent="0.3">
      <c r="A468" t="s">
        <v>598</v>
      </c>
      <c r="B468" t="s">
        <v>133</v>
      </c>
      <c r="C468" t="str">
        <f>_xlfn.XLOOKUP(B468,
[1]sales_teams!$A$2:$A$100,
[1]sales_teams!$B$2:$B$100)</f>
        <v>Dustin Brinkmann</v>
      </c>
      <c r="D468" t="str">
        <f>_xlfn.XLOOKUP($B468,sales_teams!$A$2:$A$36,sales_teams!C$2:C$36)</f>
        <v>Central</v>
      </c>
      <c r="E468" t="s">
        <v>39</v>
      </c>
      <c r="F468" t="s">
        <v>36</v>
      </c>
      <c r="G468" t="s">
        <v>12</v>
      </c>
      <c r="H468" s="1">
        <v>42746</v>
      </c>
      <c r="I468" s="1">
        <v>42806</v>
      </c>
      <c r="J468">
        <v>3669</v>
      </c>
    </row>
    <row r="469" spans="1:10" x14ac:dyDescent="0.3">
      <c r="A469" t="s">
        <v>599</v>
      </c>
      <c r="B469" t="s">
        <v>32</v>
      </c>
      <c r="C469" t="str">
        <f>_xlfn.XLOOKUP(B469,
[1]sales_teams!$A$2:$A$100,
[1]sales_teams!$B$2:$B$100)</f>
        <v>Celia Rouche</v>
      </c>
      <c r="D469" t="str">
        <f>_xlfn.XLOOKUP($B469,sales_teams!$A$2:$A$36,sales_teams!C$2:C$36)</f>
        <v>West</v>
      </c>
      <c r="E469" t="s">
        <v>10</v>
      </c>
      <c r="F469" t="s">
        <v>122</v>
      </c>
      <c r="G469" t="s">
        <v>12</v>
      </c>
      <c r="H469" s="1">
        <v>42746</v>
      </c>
      <c r="I469" s="1">
        <v>42810</v>
      </c>
      <c r="J469">
        <v>1091</v>
      </c>
    </row>
    <row r="470" spans="1:10" x14ac:dyDescent="0.3">
      <c r="A470" t="s">
        <v>600</v>
      </c>
      <c r="B470" t="s">
        <v>116</v>
      </c>
      <c r="C470" t="str">
        <f>_xlfn.XLOOKUP(B470,
[1]sales_teams!$A$2:$A$100,
[1]sales_teams!$B$2:$B$100)</f>
        <v>Melvin Marxen</v>
      </c>
      <c r="D470" t="str">
        <f>_xlfn.XLOOKUP($B470,sales_teams!$A$2:$A$36,sales_teams!C$2:C$36)</f>
        <v>Central</v>
      </c>
      <c r="E470" t="s">
        <v>10</v>
      </c>
      <c r="F470" t="s">
        <v>151</v>
      </c>
      <c r="G470" t="s">
        <v>46</v>
      </c>
      <c r="H470" s="1">
        <v>42746</v>
      </c>
      <c r="I470" s="1">
        <v>42825</v>
      </c>
      <c r="J470">
        <v>0</v>
      </c>
    </row>
    <row r="471" spans="1:10" x14ac:dyDescent="0.3">
      <c r="A471" t="s">
        <v>601</v>
      </c>
      <c r="B471" t="s">
        <v>97</v>
      </c>
      <c r="C471" t="str">
        <f>_xlfn.XLOOKUP(B471,
[1]sales_teams!$A$2:$A$100,
[1]sales_teams!$B$2:$B$100)</f>
        <v>Rocco Neubert</v>
      </c>
      <c r="D471" t="str">
        <f>_xlfn.XLOOKUP($B471,sales_teams!$A$2:$A$36,sales_teams!C$2:C$36)</f>
        <v>East</v>
      </c>
      <c r="E471" t="s">
        <v>15</v>
      </c>
      <c r="F471" t="s">
        <v>209</v>
      </c>
      <c r="G471" t="s">
        <v>12</v>
      </c>
      <c r="H471" s="1">
        <v>42746</v>
      </c>
      <c r="I471" s="1">
        <v>42811</v>
      </c>
      <c r="J471">
        <v>4905</v>
      </c>
    </row>
    <row r="472" spans="1:10" x14ac:dyDescent="0.3">
      <c r="A472" t="s">
        <v>602</v>
      </c>
      <c r="B472" t="s">
        <v>164</v>
      </c>
      <c r="C472" t="str">
        <f>_xlfn.XLOOKUP(B472,
[1]sales_teams!$A$2:$A$100,
[1]sales_teams!$B$2:$B$100)</f>
        <v>Cara Losch</v>
      </c>
      <c r="D472" t="str">
        <f>_xlfn.XLOOKUP($B472,sales_teams!$A$2:$A$36,sales_teams!C$2:C$36)</f>
        <v>East</v>
      </c>
      <c r="E472" t="s">
        <v>20</v>
      </c>
      <c r="F472" t="s">
        <v>74</v>
      </c>
      <c r="G472" t="s">
        <v>12</v>
      </c>
      <c r="H472" s="1">
        <v>42747</v>
      </c>
      <c r="I472" s="1">
        <v>42804</v>
      </c>
      <c r="J472">
        <v>540</v>
      </c>
    </row>
    <row r="473" spans="1:10" x14ac:dyDescent="0.3">
      <c r="A473" t="s">
        <v>603</v>
      </c>
      <c r="B473" t="s">
        <v>44</v>
      </c>
      <c r="C473" t="str">
        <f>_xlfn.XLOOKUP(B473,
[1]sales_teams!$A$2:$A$100,
[1]sales_teams!$B$2:$B$100)</f>
        <v>Melvin Marxen</v>
      </c>
      <c r="D473" t="str">
        <f>_xlfn.XLOOKUP($B473,sales_teams!$A$2:$A$36,sales_teams!C$2:C$36)</f>
        <v>Central</v>
      </c>
      <c r="E473" t="s">
        <v>18</v>
      </c>
      <c r="F473" t="s">
        <v>36</v>
      </c>
      <c r="G473" t="s">
        <v>12</v>
      </c>
      <c r="H473" s="1">
        <v>42747</v>
      </c>
      <c r="I473" s="1">
        <v>42814</v>
      </c>
      <c r="J473">
        <v>49</v>
      </c>
    </row>
    <row r="474" spans="1:10" x14ac:dyDescent="0.3">
      <c r="A474" t="s">
        <v>604</v>
      </c>
      <c r="B474" t="s">
        <v>252</v>
      </c>
      <c r="C474" t="str">
        <f>_xlfn.XLOOKUP(B474,
[1]sales_teams!$A$2:$A$100,
[1]sales_teams!$B$2:$B$100)</f>
        <v>Melvin Marxen</v>
      </c>
      <c r="D474" t="str">
        <f>_xlfn.XLOOKUP($B474,sales_teams!$A$2:$A$36,sales_teams!C$2:C$36)</f>
        <v>Central</v>
      </c>
      <c r="E474" t="s">
        <v>20</v>
      </c>
      <c r="F474" t="s">
        <v>213</v>
      </c>
      <c r="G474" t="s">
        <v>12</v>
      </c>
      <c r="H474" s="1">
        <v>42747</v>
      </c>
      <c r="I474" s="1">
        <v>42872</v>
      </c>
      <c r="J474">
        <v>513</v>
      </c>
    </row>
    <row r="475" spans="1:10" x14ac:dyDescent="0.3">
      <c r="A475" t="s">
        <v>605</v>
      </c>
      <c r="B475" t="s">
        <v>133</v>
      </c>
      <c r="C475" t="str">
        <f>_xlfn.XLOOKUP(B475,
[1]sales_teams!$A$2:$A$100,
[1]sales_teams!$B$2:$B$100)</f>
        <v>Dustin Brinkmann</v>
      </c>
      <c r="D475" t="str">
        <f>_xlfn.XLOOKUP($B475,sales_teams!$A$2:$A$36,sales_teams!C$2:C$36)</f>
        <v>Central</v>
      </c>
      <c r="E475" t="s">
        <v>18</v>
      </c>
      <c r="F475" t="s">
        <v>109</v>
      </c>
      <c r="G475" t="s">
        <v>12</v>
      </c>
      <c r="H475" s="1">
        <v>42747</v>
      </c>
      <c r="I475" s="1">
        <v>42824</v>
      </c>
      <c r="J475">
        <v>54</v>
      </c>
    </row>
    <row r="476" spans="1:10" x14ac:dyDescent="0.3">
      <c r="A476" t="s">
        <v>606</v>
      </c>
      <c r="B476" t="s">
        <v>51</v>
      </c>
      <c r="C476" t="str">
        <f>_xlfn.XLOOKUP(B476,
[1]sales_teams!$A$2:$A$100,
[1]sales_teams!$B$2:$B$100)</f>
        <v>Summer Sewald</v>
      </c>
      <c r="D476" t="str">
        <f>_xlfn.XLOOKUP($B476,sales_teams!$A$2:$A$36,sales_teams!C$2:C$36)</f>
        <v>West</v>
      </c>
      <c r="E476" t="s">
        <v>10</v>
      </c>
      <c r="G476" t="s">
        <v>40</v>
      </c>
      <c r="H476" s="1">
        <v>42747</v>
      </c>
    </row>
    <row r="477" spans="1:10" x14ac:dyDescent="0.3">
      <c r="A477" t="s">
        <v>607</v>
      </c>
      <c r="B477" t="s">
        <v>73</v>
      </c>
      <c r="C477" t="str">
        <f>_xlfn.XLOOKUP(B477,
[1]sales_teams!$A$2:$A$100,
[1]sales_teams!$B$2:$B$100)</f>
        <v>Cara Losch</v>
      </c>
      <c r="D477" t="str">
        <f>_xlfn.XLOOKUP($B477,sales_teams!$A$2:$A$36,sales_teams!C$2:C$36)</f>
        <v>East</v>
      </c>
      <c r="E477" t="s">
        <v>20</v>
      </c>
      <c r="F477" t="s">
        <v>135</v>
      </c>
      <c r="G477" t="s">
        <v>40</v>
      </c>
      <c r="H477" s="1">
        <v>42747</v>
      </c>
    </row>
    <row r="478" spans="1:10" x14ac:dyDescent="0.3">
      <c r="A478" t="s">
        <v>608</v>
      </c>
      <c r="B478" t="s">
        <v>73</v>
      </c>
      <c r="C478" t="str">
        <f>_xlfn.XLOOKUP(B478,
[1]sales_teams!$A$2:$A$100,
[1]sales_teams!$B$2:$B$100)</f>
        <v>Cara Losch</v>
      </c>
      <c r="D478" t="str">
        <f>_xlfn.XLOOKUP($B478,sales_teams!$A$2:$A$36,sales_teams!C$2:C$36)</f>
        <v>East</v>
      </c>
      <c r="E478" t="s">
        <v>18</v>
      </c>
      <c r="F478" t="s">
        <v>278</v>
      </c>
      <c r="G478" t="s">
        <v>12</v>
      </c>
      <c r="H478" s="1">
        <v>42747</v>
      </c>
      <c r="I478" s="1">
        <v>42817</v>
      </c>
      <c r="J478">
        <v>56</v>
      </c>
    </row>
    <row r="479" spans="1:10" x14ac:dyDescent="0.3">
      <c r="A479" t="s">
        <v>609</v>
      </c>
      <c r="B479" t="s">
        <v>26</v>
      </c>
      <c r="C479" t="str">
        <f>_xlfn.XLOOKUP(B479,
[1]sales_teams!$A$2:$A$100,
[1]sales_teams!$B$2:$B$100)</f>
        <v>Dustin Brinkmann</v>
      </c>
      <c r="D479" t="str">
        <f>_xlfn.XLOOKUP($B479,sales_teams!$A$2:$A$36,sales_teams!C$2:C$36)</f>
        <v>Central</v>
      </c>
      <c r="E479" t="s">
        <v>18</v>
      </c>
      <c r="F479" t="s">
        <v>113</v>
      </c>
      <c r="G479" t="s">
        <v>12</v>
      </c>
      <c r="H479" s="1">
        <v>42748</v>
      </c>
      <c r="I479" s="1">
        <v>42810</v>
      </c>
      <c r="J479">
        <v>58</v>
      </c>
    </row>
    <row r="480" spans="1:10" x14ac:dyDescent="0.3">
      <c r="A480" t="s">
        <v>610</v>
      </c>
      <c r="B480" t="s">
        <v>26</v>
      </c>
      <c r="C480" t="str">
        <f>_xlfn.XLOOKUP(B480,
[1]sales_teams!$A$2:$A$100,
[1]sales_teams!$B$2:$B$100)</f>
        <v>Dustin Brinkmann</v>
      </c>
      <c r="D480" t="str">
        <f>_xlfn.XLOOKUP($B480,sales_teams!$A$2:$A$36,sales_teams!C$2:C$36)</f>
        <v>Central</v>
      </c>
      <c r="E480" t="s">
        <v>18</v>
      </c>
      <c r="F480" t="s">
        <v>62</v>
      </c>
      <c r="G480" t="s">
        <v>12</v>
      </c>
      <c r="H480" s="1">
        <v>42748</v>
      </c>
      <c r="I480" s="1">
        <v>42821</v>
      </c>
      <c r="J480">
        <v>58</v>
      </c>
    </row>
    <row r="481" spans="1:10" x14ac:dyDescent="0.3">
      <c r="A481" t="s">
        <v>611</v>
      </c>
      <c r="B481" t="s">
        <v>54</v>
      </c>
      <c r="C481" t="str">
        <f>_xlfn.XLOOKUP(B481,
[1]sales_teams!$A$2:$A$100,
[1]sales_teams!$B$2:$B$100)</f>
        <v>Celia Rouche</v>
      </c>
      <c r="D481" t="str">
        <f>_xlfn.XLOOKUP($B481,sales_teams!$A$2:$A$36,sales_teams!C$2:C$36)</f>
        <v>West</v>
      </c>
      <c r="E481" t="s">
        <v>39</v>
      </c>
      <c r="F481" t="s">
        <v>74</v>
      </c>
      <c r="G481" t="s">
        <v>40</v>
      </c>
      <c r="H481" s="1">
        <v>42748</v>
      </c>
    </row>
    <row r="482" spans="1:10" x14ac:dyDescent="0.3">
      <c r="A482" t="s">
        <v>612</v>
      </c>
      <c r="B482" t="s">
        <v>38</v>
      </c>
      <c r="C482" t="str">
        <f>_xlfn.XLOOKUP(B482,
[1]sales_teams!$A$2:$A$100,
[1]sales_teams!$B$2:$B$100)</f>
        <v>Summer Sewald</v>
      </c>
      <c r="D482" t="str">
        <f>_xlfn.XLOOKUP($B482,sales_teams!$A$2:$A$36,sales_teams!C$2:C$36)</f>
        <v>West</v>
      </c>
      <c r="E482" t="s">
        <v>15</v>
      </c>
      <c r="F482" t="s">
        <v>518</v>
      </c>
      <c r="G482" t="s">
        <v>40</v>
      </c>
      <c r="H482" s="1">
        <v>42748</v>
      </c>
    </row>
    <row r="483" spans="1:10" x14ac:dyDescent="0.3">
      <c r="A483" t="s">
        <v>613</v>
      </c>
      <c r="B483" t="s">
        <v>78</v>
      </c>
      <c r="C483" t="str">
        <f>_xlfn.XLOOKUP(B483,
[1]sales_teams!$A$2:$A$100,
[1]sales_teams!$B$2:$B$100)</f>
        <v>Summer Sewald</v>
      </c>
      <c r="D483" t="str">
        <f>_xlfn.XLOOKUP($B483,sales_teams!$A$2:$A$36,sales_teams!C$2:C$36)</f>
        <v>West</v>
      </c>
      <c r="E483" t="s">
        <v>15</v>
      </c>
      <c r="F483" t="s">
        <v>157</v>
      </c>
      <c r="G483" t="s">
        <v>12</v>
      </c>
      <c r="H483" s="1">
        <v>42748</v>
      </c>
      <c r="I483" s="1">
        <v>42815</v>
      </c>
      <c r="J483">
        <v>4453</v>
      </c>
    </row>
    <row r="484" spans="1:10" x14ac:dyDescent="0.3">
      <c r="A484" t="s">
        <v>614</v>
      </c>
      <c r="B484" t="s">
        <v>95</v>
      </c>
      <c r="C484" t="str">
        <f>_xlfn.XLOOKUP(B484,
[1]sales_teams!$A$2:$A$100,
[1]sales_teams!$B$2:$B$100)</f>
        <v>Summer Sewald</v>
      </c>
      <c r="D484" t="str">
        <f>_xlfn.XLOOKUP($B484,sales_teams!$A$2:$A$36,sales_teams!C$2:C$36)</f>
        <v>West</v>
      </c>
      <c r="E484" t="s">
        <v>18</v>
      </c>
      <c r="F484" t="s">
        <v>168</v>
      </c>
      <c r="G484" t="s">
        <v>46</v>
      </c>
      <c r="H484" s="1">
        <v>42748</v>
      </c>
      <c r="I484" s="1">
        <v>42863</v>
      </c>
      <c r="J484">
        <v>0</v>
      </c>
    </row>
    <row r="485" spans="1:10" x14ac:dyDescent="0.3">
      <c r="A485" t="s">
        <v>615</v>
      </c>
      <c r="B485" t="s">
        <v>95</v>
      </c>
      <c r="C485" t="str">
        <f>_xlfn.XLOOKUP(B485,
[1]sales_teams!$A$2:$A$100,
[1]sales_teams!$B$2:$B$100)</f>
        <v>Summer Sewald</v>
      </c>
      <c r="D485" t="str">
        <f>_xlfn.XLOOKUP($B485,sales_teams!$A$2:$A$36,sales_teams!C$2:C$36)</f>
        <v>West</v>
      </c>
      <c r="E485" t="s">
        <v>20</v>
      </c>
      <c r="F485" t="s">
        <v>157</v>
      </c>
      <c r="G485" t="s">
        <v>12</v>
      </c>
      <c r="H485" s="1">
        <v>42748</v>
      </c>
      <c r="I485" s="1">
        <v>42808</v>
      </c>
      <c r="J485">
        <v>619</v>
      </c>
    </row>
    <row r="486" spans="1:10" x14ac:dyDescent="0.3">
      <c r="A486" t="s">
        <v>616</v>
      </c>
      <c r="B486" t="s">
        <v>51</v>
      </c>
      <c r="C486" t="str">
        <f>_xlfn.XLOOKUP(B486,
[1]sales_teams!$A$2:$A$100,
[1]sales_teams!$B$2:$B$100)</f>
        <v>Summer Sewald</v>
      </c>
      <c r="D486" t="str">
        <f>_xlfn.XLOOKUP($B486,sales_teams!$A$2:$A$36,sales_teams!C$2:C$36)</f>
        <v>West</v>
      </c>
      <c r="E486" t="s">
        <v>48</v>
      </c>
      <c r="F486" t="s">
        <v>93</v>
      </c>
      <c r="G486" t="s">
        <v>12</v>
      </c>
      <c r="H486" s="1">
        <v>42748</v>
      </c>
      <c r="I486" s="1">
        <v>42869</v>
      </c>
      <c r="J486">
        <v>5163</v>
      </c>
    </row>
    <row r="487" spans="1:10" x14ac:dyDescent="0.3">
      <c r="A487" t="s">
        <v>617</v>
      </c>
      <c r="B487" t="s">
        <v>51</v>
      </c>
      <c r="C487" t="str">
        <f>_xlfn.XLOOKUP(B487,
[1]sales_teams!$A$2:$A$100,
[1]sales_teams!$B$2:$B$100)</f>
        <v>Summer Sewald</v>
      </c>
      <c r="D487" t="str">
        <f>_xlfn.XLOOKUP($B487,sales_teams!$A$2:$A$36,sales_teams!C$2:C$36)</f>
        <v>West</v>
      </c>
      <c r="E487" t="s">
        <v>15</v>
      </c>
      <c r="F487" t="s">
        <v>100</v>
      </c>
      <c r="G487" t="s">
        <v>12</v>
      </c>
      <c r="H487" s="1">
        <v>42748</v>
      </c>
      <c r="I487" s="1">
        <v>42819</v>
      </c>
      <c r="J487">
        <v>4071</v>
      </c>
    </row>
    <row r="488" spans="1:10" x14ac:dyDescent="0.3">
      <c r="A488" t="s">
        <v>618</v>
      </c>
      <c r="B488" t="s">
        <v>97</v>
      </c>
      <c r="C488" t="str">
        <f>_xlfn.XLOOKUP(B488,
[1]sales_teams!$A$2:$A$100,
[1]sales_teams!$B$2:$B$100)</f>
        <v>Rocco Neubert</v>
      </c>
      <c r="D488" t="str">
        <f>_xlfn.XLOOKUP($B488,sales_teams!$A$2:$A$36,sales_teams!C$2:C$36)</f>
        <v>East</v>
      </c>
      <c r="E488" t="s">
        <v>18</v>
      </c>
      <c r="F488" t="s">
        <v>209</v>
      </c>
      <c r="G488" t="s">
        <v>12</v>
      </c>
      <c r="H488" s="1">
        <v>42748</v>
      </c>
      <c r="I488" s="1">
        <v>42863</v>
      </c>
      <c r="J488">
        <v>56</v>
      </c>
    </row>
    <row r="489" spans="1:10" x14ac:dyDescent="0.3">
      <c r="A489" t="s">
        <v>619</v>
      </c>
      <c r="B489" t="s">
        <v>29</v>
      </c>
      <c r="C489" t="str">
        <f>_xlfn.XLOOKUP(B489,
[1]sales_teams!$A$2:$A$100,
[1]sales_teams!$B$2:$B$100)</f>
        <v>Celia Rouche</v>
      </c>
      <c r="D489" t="str">
        <f>_xlfn.XLOOKUP($B489,sales_teams!$A$2:$A$36,sales_teams!C$2:C$36)</f>
        <v>West</v>
      </c>
      <c r="E489" t="s">
        <v>18</v>
      </c>
      <c r="G489" t="s">
        <v>40</v>
      </c>
      <c r="H489" s="1">
        <v>42748</v>
      </c>
    </row>
    <row r="490" spans="1:10" x14ac:dyDescent="0.3">
      <c r="A490" t="s">
        <v>620</v>
      </c>
      <c r="B490" t="s">
        <v>73</v>
      </c>
      <c r="C490" t="str">
        <f>_xlfn.XLOOKUP(B490,
[1]sales_teams!$A$2:$A$100,
[1]sales_teams!$B$2:$B$100)</f>
        <v>Cara Losch</v>
      </c>
      <c r="D490" t="str">
        <f>_xlfn.XLOOKUP($B490,sales_teams!$A$2:$A$36,sales_teams!C$2:C$36)</f>
        <v>East</v>
      </c>
      <c r="E490" t="s">
        <v>39</v>
      </c>
      <c r="F490" t="s">
        <v>329</v>
      </c>
      <c r="G490" t="s">
        <v>46</v>
      </c>
      <c r="H490" s="1">
        <v>42748</v>
      </c>
      <c r="I490" s="1">
        <v>42825</v>
      </c>
      <c r="J490">
        <v>0</v>
      </c>
    </row>
    <row r="491" spans="1:10" x14ac:dyDescent="0.3">
      <c r="A491" t="s">
        <v>621</v>
      </c>
      <c r="B491" t="s">
        <v>142</v>
      </c>
      <c r="C491" t="str">
        <f>_xlfn.XLOOKUP(B491,
[1]sales_teams!$A$2:$A$100,
[1]sales_teams!$B$2:$B$100)</f>
        <v>Rocco Neubert</v>
      </c>
      <c r="D491" t="str">
        <f>_xlfn.XLOOKUP($B491,sales_teams!$A$2:$A$36,sales_teams!C$2:C$36)</f>
        <v>East</v>
      </c>
      <c r="E491" t="s">
        <v>15</v>
      </c>
      <c r="F491" t="s">
        <v>89</v>
      </c>
      <c r="G491" t="s">
        <v>12</v>
      </c>
      <c r="H491" s="1">
        <v>42749</v>
      </c>
      <c r="I491" s="1">
        <v>42823</v>
      </c>
      <c r="J491">
        <v>4375</v>
      </c>
    </row>
    <row r="492" spans="1:10" x14ac:dyDescent="0.3">
      <c r="A492" t="s">
        <v>622</v>
      </c>
      <c r="B492" t="s">
        <v>38</v>
      </c>
      <c r="C492" t="str">
        <f>_xlfn.XLOOKUP(B492,
[1]sales_teams!$A$2:$A$100,
[1]sales_teams!$B$2:$B$100)</f>
        <v>Summer Sewald</v>
      </c>
      <c r="D492" t="str">
        <f>_xlfn.XLOOKUP($B492,sales_teams!$A$2:$A$36,sales_teams!C$2:C$36)</f>
        <v>West</v>
      </c>
      <c r="E492" t="s">
        <v>39</v>
      </c>
      <c r="F492" t="s">
        <v>21</v>
      </c>
      <c r="G492" t="s">
        <v>40</v>
      </c>
      <c r="H492" s="1">
        <v>42749</v>
      </c>
    </row>
    <row r="493" spans="1:10" x14ac:dyDescent="0.3">
      <c r="A493" t="s">
        <v>623</v>
      </c>
      <c r="B493" t="s">
        <v>78</v>
      </c>
      <c r="C493" t="str">
        <f>_xlfn.XLOOKUP(B493,
[1]sales_teams!$A$2:$A$100,
[1]sales_teams!$B$2:$B$100)</f>
        <v>Summer Sewald</v>
      </c>
      <c r="D493" t="str">
        <f>_xlfn.XLOOKUP($B493,sales_teams!$A$2:$A$36,sales_teams!C$2:C$36)</f>
        <v>West</v>
      </c>
      <c r="E493" t="s">
        <v>20</v>
      </c>
      <c r="F493" t="s">
        <v>122</v>
      </c>
      <c r="G493" t="s">
        <v>12</v>
      </c>
      <c r="H493" s="1">
        <v>42749</v>
      </c>
      <c r="I493" s="1">
        <v>42822</v>
      </c>
      <c r="J493">
        <v>610</v>
      </c>
    </row>
    <row r="494" spans="1:10" x14ac:dyDescent="0.3">
      <c r="A494" t="s">
        <v>624</v>
      </c>
      <c r="B494" t="s">
        <v>29</v>
      </c>
      <c r="C494" t="str">
        <f>_xlfn.XLOOKUP(B494,
[1]sales_teams!$A$2:$A$100,
[1]sales_teams!$B$2:$B$100)</f>
        <v>Celia Rouche</v>
      </c>
      <c r="D494" t="str">
        <f>_xlfn.XLOOKUP($B494,sales_teams!$A$2:$A$36,sales_teams!C$2:C$36)</f>
        <v>West</v>
      </c>
      <c r="E494" t="s">
        <v>20</v>
      </c>
      <c r="F494" t="s">
        <v>231</v>
      </c>
      <c r="G494" t="s">
        <v>40</v>
      </c>
      <c r="H494" s="1">
        <v>42749</v>
      </c>
    </row>
    <row r="495" spans="1:10" x14ac:dyDescent="0.3">
      <c r="A495" t="s">
        <v>625</v>
      </c>
      <c r="B495" t="s">
        <v>29</v>
      </c>
      <c r="C495" t="str">
        <f>_xlfn.XLOOKUP(B495,
[1]sales_teams!$A$2:$A$100,
[1]sales_teams!$B$2:$B$100)</f>
        <v>Celia Rouche</v>
      </c>
      <c r="D495" t="str">
        <f>_xlfn.XLOOKUP($B495,sales_teams!$A$2:$A$36,sales_teams!C$2:C$36)</f>
        <v>West</v>
      </c>
      <c r="E495" t="s">
        <v>39</v>
      </c>
      <c r="F495" t="s">
        <v>24</v>
      </c>
      <c r="G495" t="s">
        <v>46</v>
      </c>
      <c r="H495" s="1">
        <v>42749</v>
      </c>
      <c r="I495" s="1">
        <v>42860</v>
      </c>
      <c r="J495">
        <v>0</v>
      </c>
    </row>
    <row r="496" spans="1:10" x14ac:dyDescent="0.3">
      <c r="A496" t="s">
        <v>626</v>
      </c>
      <c r="B496" t="s">
        <v>29</v>
      </c>
      <c r="C496" t="str">
        <f>_xlfn.XLOOKUP(B496,
[1]sales_teams!$A$2:$A$100,
[1]sales_teams!$B$2:$B$100)</f>
        <v>Celia Rouche</v>
      </c>
      <c r="D496" t="str">
        <f>_xlfn.XLOOKUP($B496,sales_teams!$A$2:$A$36,sales_teams!C$2:C$36)</f>
        <v>West</v>
      </c>
      <c r="E496" t="s">
        <v>15</v>
      </c>
      <c r="F496" t="s">
        <v>93</v>
      </c>
      <c r="G496" t="s">
        <v>12</v>
      </c>
      <c r="H496" s="1">
        <v>42749</v>
      </c>
      <c r="I496" s="1">
        <v>42811</v>
      </c>
      <c r="J496">
        <v>4554</v>
      </c>
    </row>
    <row r="497" spans="1:10" x14ac:dyDescent="0.3">
      <c r="A497" t="s">
        <v>627</v>
      </c>
      <c r="B497" t="s">
        <v>102</v>
      </c>
      <c r="C497" t="str">
        <f>_xlfn.XLOOKUP(B497,
[1]sales_teams!$A$2:$A$100,
[1]sales_teams!$B$2:$B$100)</f>
        <v>Cara Losch</v>
      </c>
      <c r="D497" t="str">
        <f>_xlfn.XLOOKUP($B497,sales_teams!$A$2:$A$36,sales_teams!C$2:C$36)</f>
        <v>East</v>
      </c>
      <c r="E497" t="s">
        <v>39</v>
      </c>
      <c r="F497" t="s">
        <v>199</v>
      </c>
      <c r="G497" t="s">
        <v>12</v>
      </c>
      <c r="H497" s="1">
        <v>42749</v>
      </c>
      <c r="I497" s="1">
        <v>42873</v>
      </c>
      <c r="J497">
        <v>2880</v>
      </c>
    </row>
    <row r="498" spans="1:10" x14ac:dyDescent="0.3">
      <c r="A498" t="s">
        <v>628</v>
      </c>
      <c r="B498" t="s">
        <v>164</v>
      </c>
      <c r="C498" t="str">
        <f>_xlfn.XLOOKUP(B498,
[1]sales_teams!$A$2:$A$100,
[1]sales_teams!$B$2:$B$100)</f>
        <v>Cara Losch</v>
      </c>
      <c r="D498" t="str">
        <f>_xlfn.XLOOKUP($B498,sales_teams!$A$2:$A$36,sales_teams!C$2:C$36)</f>
        <v>East</v>
      </c>
      <c r="E498" t="s">
        <v>48</v>
      </c>
      <c r="F498" t="s">
        <v>79</v>
      </c>
      <c r="G498" t="s">
        <v>40</v>
      </c>
      <c r="H498" s="1">
        <v>42750</v>
      </c>
    </row>
    <row r="499" spans="1:10" x14ac:dyDescent="0.3">
      <c r="A499" t="s">
        <v>629</v>
      </c>
      <c r="B499" t="s">
        <v>164</v>
      </c>
      <c r="C499" t="str">
        <f>_xlfn.XLOOKUP(B499,
[1]sales_teams!$A$2:$A$100,
[1]sales_teams!$B$2:$B$100)</f>
        <v>Cara Losch</v>
      </c>
      <c r="D499" t="str">
        <f>_xlfn.XLOOKUP($B499,sales_teams!$A$2:$A$36,sales_teams!C$2:C$36)</f>
        <v>East</v>
      </c>
      <c r="E499" t="s">
        <v>15</v>
      </c>
      <c r="F499" t="s">
        <v>318</v>
      </c>
      <c r="G499" t="s">
        <v>40</v>
      </c>
      <c r="H499" s="1">
        <v>42750</v>
      </c>
    </row>
    <row r="500" spans="1:10" x14ac:dyDescent="0.3">
      <c r="A500" t="s">
        <v>630</v>
      </c>
      <c r="B500" t="s">
        <v>164</v>
      </c>
      <c r="C500" t="str">
        <f>_xlfn.XLOOKUP(B500,
[1]sales_teams!$A$2:$A$100,
[1]sales_teams!$B$2:$B$100)</f>
        <v>Cara Losch</v>
      </c>
      <c r="D500" t="str">
        <f>_xlfn.XLOOKUP($B500,sales_teams!$A$2:$A$36,sales_teams!C$2:C$36)</f>
        <v>East</v>
      </c>
      <c r="E500" t="s">
        <v>10</v>
      </c>
      <c r="F500" t="s">
        <v>240</v>
      </c>
      <c r="G500" t="s">
        <v>46</v>
      </c>
      <c r="H500" s="1">
        <v>42750</v>
      </c>
      <c r="I500" s="1">
        <v>42857</v>
      </c>
      <c r="J500">
        <v>0</v>
      </c>
    </row>
    <row r="501" spans="1:10" x14ac:dyDescent="0.3">
      <c r="A501" t="s">
        <v>631</v>
      </c>
      <c r="B501" t="s">
        <v>67</v>
      </c>
      <c r="C501" t="str">
        <f>_xlfn.XLOOKUP(B501,
[1]sales_teams!$A$2:$A$100,
[1]sales_teams!$B$2:$B$100)</f>
        <v>Celia Rouche</v>
      </c>
      <c r="D501" t="str">
        <f>_xlfn.XLOOKUP($B501,sales_teams!$A$2:$A$36,sales_teams!C$2:C$36)</f>
        <v>West</v>
      </c>
      <c r="E501" t="s">
        <v>18</v>
      </c>
      <c r="F501" t="s">
        <v>106</v>
      </c>
      <c r="G501" t="s">
        <v>40</v>
      </c>
      <c r="H501" s="1">
        <v>42750</v>
      </c>
    </row>
    <row r="502" spans="1:10" x14ac:dyDescent="0.3">
      <c r="A502" t="s">
        <v>632</v>
      </c>
      <c r="B502" t="s">
        <v>32</v>
      </c>
      <c r="C502" t="str">
        <f>_xlfn.XLOOKUP(B502,
[1]sales_teams!$A$2:$A$100,
[1]sales_teams!$B$2:$B$100)</f>
        <v>Celia Rouche</v>
      </c>
      <c r="D502" t="str">
        <f>_xlfn.XLOOKUP($B502,sales_teams!$A$2:$A$36,sales_teams!C$2:C$36)</f>
        <v>West</v>
      </c>
      <c r="E502" t="s">
        <v>18</v>
      </c>
      <c r="F502" t="s">
        <v>59</v>
      </c>
      <c r="G502" t="s">
        <v>12</v>
      </c>
      <c r="H502" s="1">
        <v>42750</v>
      </c>
      <c r="I502" s="1">
        <v>42873</v>
      </c>
      <c r="J502">
        <v>60</v>
      </c>
    </row>
    <row r="503" spans="1:10" x14ac:dyDescent="0.3">
      <c r="A503" t="s">
        <v>633</v>
      </c>
      <c r="B503" t="s">
        <v>51</v>
      </c>
      <c r="C503" t="str">
        <f>_xlfn.XLOOKUP(B503,
[1]sales_teams!$A$2:$A$100,
[1]sales_teams!$B$2:$B$100)</f>
        <v>Summer Sewald</v>
      </c>
      <c r="D503" t="str">
        <f>_xlfn.XLOOKUP($B503,sales_teams!$A$2:$A$36,sales_teams!C$2:C$36)</f>
        <v>West</v>
      </c>
      <c r="E503" t="s">
        <v>20</v>
      </c>
      <c r="F503" t="s">
        <v>218</v>
      </c>
      <c r="G503" t="s">
        <v>12</v>
      </c>
      <c r="H503" s="1">
        <v>42750</v>
      </c>
      <c r="I503" s="1">
        <v>42815</v>
      </c>
      <c r="J503">
        <v>688</v>
      </c>
    </row>
    <row r="504" spans="1:10" x14ac:dyDescent="0.3">
      <c r="A504" t="s">
        <v>634</v>
      </c>
      <c r="B504" t="s">
        <v>51</v>
      </c>
      <c r="C504" t="str">
        <f>_xlfn.XLOOKUP(B504,
[1]sales_teams!$A$2:$A$100,
[1]sales_teams!$B$2:$B$100)</f>
        <v>Summer Sewald</v>
      </c>
      <c r="D504" t="str">
        <f>_xlfn.XLOOKUP($B504,sales_teams!$A$2:$A$36,sales_teams!C$2:C$36)</f>
        <v>West</v>
      </c>
      <c r="E504" t="s">
        <v>48</v>
      </c>
      <c r="F504" t="s">
        <v>148</v>
      </c>
      <c r="G504" t="s">
        <v>12</v>
      </c>
      <c r="H504" s="1">
        <v>42750</v>
      </c>
      <c r="I504" s="1">
        <v>42816</v>
      </c>
      <c r="J504">
        <v>6142</v>
      </c>
    </row>
    <row r="505" spans="1:10" x14ac:dyDescent="0.3">
      <c r="A505" t="s">
        <v>635</v>
      </c>
      <c r="B505" t="s">
        <v>51</v>
      </c>
      <c r="C505" t="str">
        <f>_xlfn.XLOOKUP(B505,
[1]sales_teams!$A$2:$A$100,
[1]sales_teams!$B$2:$B$100)</f>
        <v>Summer Sewald</v>
      </c>
      <c r="D505" t="str">
        <f>_xlfn.XLOOKUP($B505,sales_teams!$A$2:$A$36,sales_teams!C$2:C$36)</f>
        <v>West</v>
      </c>
      <c r="E505" t="s">
        <v>15</v>
      </c>
      <c r="F505" t="s">
        <v>100</v>
      </c>
      <c r="G505" t="s">
        <v>12</v>
      </c>
      <c r="H505" s="1">
        <v>42750</v>
      </c>
      <c r="I505" s="1">
        <v>42825</v>
      </c>
      <c r="J505">
        <v>4939</v>
      </c>
    </row>
    <row r="506" spans="1:10" x14ac:dyDescent="0.3">
      <c r="A506" t="s">
        <v>636</v>
      </c>
      <c r="B506" t="s">
        <v>35</v>
      </c>
      <c r="C506" t="str">
        <f>_xlfn.XLOOKUP(B506,
[1]sales_teams!$A$2:$A$100,
[1]sales_teams!$B$2:$B$100)</f>
        <v>Melvin Marxen</v>
      </c>
      <c r="D506" t="str">
        <f>_xlfn.XLOOKUP($B506,sales_teams!$A$2:$A$36,sales_teams!C$2:C$36)</f>
        <v>Central</v>
      </c>
      <c r="E506" t="s">
        <v>48</v>
      </c>
      <c r="F506" t="s">
        <v>76</v>
      </c>
      <c r="G506" t="s">
        <v>12</v>
      </c>
      <c r="H506" s="1">
        <v>42750</v>
      </c>
      <c r="I506" s="1">
        <v>42870</v>
      </c>
      <c r="J506">
        <v>6270</v>
      </c>
    </row>
    <row r="507" spans="1:10" x14ac:dyDescent="0.3">
      <c r="A507" t="s">
        <v>637</v>
      </c>
      <c r="B507" t="s">
        <v>29</v>
      </c>
      <c r="C507" t="str">
        <f>_xlfn.XLOOKUP(B507,
[1]sales_teams!$A$2:$A$100,
[1]sales_teams!$B$2:$B$100)</f>
        <v>Celia Rouche</v>
      </c>
      <c r="D507" t="str">
        <f>_xlfn.XLOOKUP($B507,sales_teams!$A$2:$A$36,sales_teams!C$2:C$36)</f>
        <v>West</v>
      </c>
      <c r="E507" t="s">
        <v>20</v>
      </c>
      <c r="G507" t="s">
        <v>40</v>
      </c>
      <c r="H507" s="1">
        <v>42750</v>
      </c>
    </row>
    <row r="508" spans="1:10" x14ac:dyDescent="0.3">
      <c r="A508" t="s">
        <v>638</v>
      </c>
      <c r="B508" t="s">
        <v>102</v>
      </c>
      <c r="C508" t="str">
        <f>_xlfn.XLOOKUP(B508,
[1]sales_teams!$A$2:$A$100,
[1]sales_teams!$B$2:$B$100)</f>
        <v>Cara Losch</v>
      </c>
      <c r="D508" t="str">
        <f>_xlfn.XLOOKUP($B508,sales_teams!$A$2:$A$36,sales_teams!C$2:C$36)</f>
        <v>East</v>
      </c>
      <c r="E508" t="s">
        <v>39</v>
      </c>
      <c r="F508" t="s">
        <v>98</v>
      </c>
      <c r="G508" t="s">
        <v>12</v>
      </c>
      <c r="H508" s="1">
        <v>42750</v>
      </c>
      <c r="I508" s="1">
        <v>42823</v>
      </c>
      <c r="J508">
        <v>3833</v>
      </c>
    </row>
    <row r="509" spans="1:10" x14ac:dyDescent="0.3">
      <c r="A509" t="s">
        <v>639</v>
      </c>
      <c r="B509" t="s">
        <v>64</v>
      </c>
      <c r="C509" t="str">
        <f>_xlfn.XLOOKUP(B509,
[1]sales_teams!$A$2:$A$100,
[1]sales_teams!$B$2:$B$100)</f>
        <v>Rocco Neubert</v>
      </c>
      <c r="D509" t="str">
        <f>_xlfn.XLOOKUP($B509,sales_teams!$A$2:$A$36,sales_teams!C$2:C$36)</f>
        <v>East</v>
      </c>
      <c r="E509" t="s">
        <v>10</v>
      </c>
      <c r="F509" t="s">
        <v>192</v>
      </c>
      <c r="G509" t="s">
        <v>46</v>
      </c>
      <c r="H509" s="1">
        <v>42751</v>
      </c>
      <c r="I509" s="1">
        <v>42822</v>
      </c>
      <c r="J509">
        <v>0</v>
      </c>
    </row>
    <row r="510" spans="1:10" x14ac:dyDescent="0.3">
      <c r="A510" t="s">
        <v>640</v>
      </c>
      <c r="B510" t="s">
        <v>78</v>
      </c>
      <c r="C510" t="str">
        <f>_xlfn.XLOOKUP(B510,
[1]sales_teams!$A$2:$A$100,
[1]sales_teams!$B$2:$B$100)</f>
        <v>Summer Sewald</v>
      </c>
      <c r="D510" t="str">
        <f>_xlfn.XLOOKUP($B510,sales_teams!$A$2:$A$36,sales_teams!C$2:C$36)</f>
        <v>West</v>
      </c>
      <c r="E510" t="s">
        <v>48</v>
      </c>
      <c r="F510" t="s">
        <v>98</v>
      </c>
      <c r="G510" t="s">
        <v>40</v>
      </c>
      <c r="H510" s="1">
        <v>42751</v>
      </c>
    </row>
    <row r="511" spans="1:10" x14ac:dyDescent="0.3">
      <c r="A511" t="s">
        <v>641</v>
      </c>
      <c r="B511" t="s">
        <v>51</v>
      </c>
      <c r="C511" t="str">
        <f>_xlfn.XLOOKUP(B511,
[1]sales_teams!$A$2:$A$100,
[1]sales_teams!$B$2:$B$100)</f>
        <v>Summer Sewald</v>
      </c>
      <c r="D511" t="str">
        <f>_xlfn.XLOOKUP($B511,sales_teams!$A$2:$A$36,sales_teams!C$2:C$36)</f>
        <v>West</v>
      </c>
      <c r="E511" t="s">
        <v>18</v>
      </c>
      <c r="G511" t="s">
        <v>40</v>
      </c>
      <c r="H511" s="1">
        <v>42751</v>
      </c>
    </row>
    <row r="512" spans="1:10" x14ac:dyDescent="0.3">
      <c r="A512" t="s">
        <v>642</v>
      </c>
      <c r="B512" t="s">
        <v>9</v>
      </c>
      <c r="C512" t="str">
        <f>_xlfn.XLOOKUP(B512,
[1]sales_teams!$A$2:$A$100,
[1]sales_teams!$B$2:$B$100)</f>
        <v>Dustin Brinkmann</v>
      </c>
      <c r="D512" t="str">
        <f>_xlfn.XLOOKUP($B512,sales_teams!$A$2:$A$36,sales_teams!C$2:C$36)</f>
        <v>Central</v>
      </c>
      <c r="E512" t="s">
        <v>18</v>
      </c>
      <c r="F512" t="s">
        <v>315</v>
      </c>
      <c r="G512" t="s">
        <v>12</v>
      </c>
      <c r="H512" s="1">
        <v>42751</v>
      </c>
      <c r="I512" s="1">
        <v>42888</v>
      </c>
      <c r="J512">
        <v>57</v>
      </c>
    </row>
    <row r="513" spans="1:10" x14ac:dyDescent="0.3">
      <c r="A513" t="s">
        <v>643</v>
      </c>
      <c r="B513" t="s">
        <v>61</v>
      </c>
      <c r="C513" t="str">
        <f>_xlfn.XLOOKUP(B513,
[1]sales_teams!$A$2:$A$100,
[1]sales_teams!$B$2:$B$100)</f>
        <v>Dustin Brinkmann</v>
      </c>
      <c r="D513" t="str">
        <f>_xlfn.XLOOKUP($B513,sales_teams!$A$2:$A$36,sales_teams!C$2:C$36)</f>
        <v>Central</v>
      </c>
      <c r="E513" t="s">
        <v>18</v>
      </c>
      <c r="F513" t="s">
        <v>11</v>
      </c>
      <c r="G513" t="s">
        <v>12</v>
      </c>
      <c r="H513" s="1">
        <v>42751</v>
      </c>
      <c r="I513" s="1">
        <v>42811</v>
      </c>
      <c r="J513">
        <v>47</v>
      </c>
    </row>
    <row r="514" spans="1:10" x14ac:dyDescent="0.3">
      <c r="A514" t="s">
        <v>644</v>
      </c>
      <c r="B514" t="s">
        <v>73</v>
      </c>
      <c r="C514" t="str">
        <f>_xlfn.XLOOKUP(B514,
[1]sales_teams!$A$2:$A$100,
[1]sales_teams!$B$2:$B$100)</f>
        <v>Cara Losch</v>
      </c>
      <c r="D514" t="str">
        <f>_xlfn.XLOOKUP($B514,sales_teams!$A$2:$A$36,sales_teams!C$2:C$36)</f>
        <v>East</v>
      </c>
      <c r="E514" t="s">
        <v>18</v>
      </c>
      <c r="F514" t="s">
        <v>410</v>
      </c>
      <c r="G514" t="s">
        <v>46</v>
      </c>
      <c r="H514" s="1">
        <v>42751</v>
      </c>
      <c r="I514" s="1">
        <v>42807</v>
      </c>
      <c r="J514">
        <v>0</v>
      </c>
    </row>
    <row r="515" spans="1:10" x14ac:dyDescent="0.3">
      <c r="A515" t="s">
        <v>645</v>
      </c>
      <c r="B515" t="s">
        <v>64</v>
      </c>
      <c r="C515" t="str">
        <f>_xlfn.XLOOKUP(B515,
[1]sales_teams!$A$2:$A$100,
[1]sales_teams!$B$2:$B$100)</f>
        <v>Rocco Neubert</v>
      </c>
      <c r="D515" t="str">
        <f>_xlfn.XLOOKUP($B515,sales_teams!$A$2:$A$36,sales_teams!C$2:C$36)</f>
        <v>East</v>
      </c>
      <c r="E515" t="s">
        <v>39</v>
      </c>
      <c r="F515" t="s">
        <v>215</v>
      </c>
      <c r="G515" t="s">
        <v>46</v>
      </c>
      <c r="H515" s="1">
        <v>42752</v>
      </c>
      <c r="I515" s="1">
        <v>42813</v>
      </c>
      <c r="J515">
        <v>0</v>
      </c>
    </row>
    <row r="516" spans="1:10" x14ac:dyDescent="0.3">
      <c r="A516" t="s">
        <v>646</v>
      </c>
      <c r="B516" t="s">
        <v>44</v>
      </c>
      <c r="C516" t="str">
        <f>_xlfn.XLOOKUP(B516,
[1]sales_teams!$A$2:$A$100,
[1]sales_teams!$B$2:$B$100)</f>
        <v>Melvin Marxen</v>
      </c>
      <c r="D516" t="str">
        <f>_xlfn.XLOOKUP($B516,sales_teams!$A$2:$A$36,sales_teams!C$2:C$36)</f>
        <v>Central</v>
      </c>
      <c r="E516" t="s">
        <v>18</v>
      </c>
      <c r="F516" t="s">
        <v>318</v>
      </c>
      <c r="G516" t="s">
        <v>12</v>
      </c>
      <c r="H516" s="1">
        <v>42752</v>
      </c>
      <c r="I516" s="1">
        <v>42859</v>
      </c>
      <c r="J516">
        <v>57</v>
      </c>
    </row>
    <row r="517" spans="1:10" x14ac:dyDescent="0.3">
      <c r="A517" t="s">
        <v>647</v>
      </c>
      <c r="B517" t="s">
        <v>38</v>
      </c>
      <c r="C517" t="str">
        <f>_xlfn.XLOOKUP(B517,
[1]sales_teams!$A$2:$A$100,
[1]sales_teams!$B$2:$B$100)</f>
        <v>Summer Sewald</v>
      </c>
      <c r="D517" t="str">
        <f>_xlfn.XLOOKUP($B517,sales_teams!$A$2:$A$36,sales_teams!C$2:C$36)</f>
        <v>West</v>
      </c>
      <c r="E517" t="s">
        <v>10</v>
      </c>
      <c r="F517" t="s">
        <v>76</v>
      </c>
      <c r="G517" t="s">
        <v>40</v>
      </c>
      <c r="H517" s="1">
        <v>42752</v>
      </c>
    </row>
    <row r="518" spans="1:10" x14ac:dyDescent="0.3">
      <c r="A518" t="s">
        <v>648</v>
      </c>
      <c r="B518" t="s">
        <v>252</v>
      </c>
      <c r="C518" t="str">
        <f>_xlfn.XLOOKUP(B518,
[1]sales_teams!$A$2:$A$100,
[1]sales_teams!$B$2:$B$100)</f>
        <v>Melvin Marxen</v>
      </c>
      <c r="D518" t="str">
        <f>_xlfn.XLOOKUP($B518,sales_teams!$A$2:$A$36,sales_teams!C$2:C$36)</f>
        <v>Central</v>
      </c>
      <c r="E518" t="s">
        <v>39</v>
      </c>
      <c r="F518" t="s">
        <v>45</v>
      </c>
      <c r="G518" t="s">
        <v>12</v>
      </c>
      <c r="H518" s="1">
        <v>42752</v>
      </c>
      <c r="I518" s="1">
        <v>42808</v>
      </c>
      <c r="J518">
        <v>3257</v>
      </c>
    </row>
    <row r="519" spans="1:10" x14ac:dyDescent="0.3">
      <c r="A519" t="s">
        <v>649</v>
      </c>
      <c r="B519" t="s">
        <v>78</v>
      </c>
      <c r="C519" t="str">
        <f>_xlfn.XLOOKUP(B519,
[1]sales_teams!$A$2:$A$100,
[1]sales_teams!$B$2:$B$100)</f>
        <v>Summer Sewald</v>
      </c>
      <c r="D519" t="str">
        <f>_xlfn.XLOOKUP($B519,sales_teams!$A$2:$A$36,sales_teams!C$2:C$36)</f>
        <v>West</v>
      </c>
      <c r="E519" t="s">
        <v>20</v>
      </c>
      <c r="F519" t="s">
        <v>49</v>
      </c>
      <c r="G519" t="s">
        <v>12</v>
      </c>
      <c r="H519" s="1">
        <v>42752</v>
      </c>
      <c r="I519" s="1">
        <v>42863</v>
      </c>
      <c r="J519">
        <v>511</v>
      </c>
    </row>
    <row r="520" spans="1:10" x14ac:dyDescent="0.3">
      <c r="A520" t="s">
        <v>650</v>
      </c>
      <c r="B520" t="s">
        <v>78</v>
      </c>
      <c r="C520" t="str">
        <f>_xlfn.XLOOKUP(B520,
[1]sales_teams!$A$2:$A$100,
[1]sales_teams!$B$2:$B$100)</f>
        <v>Summer Sewald</v>
      </c>
      <c r="D520" t="str">
        <f>_xlfn.XLOOKUP($B520,sales_teams!$A$2:$A$36,sales_teams!C$2:C$36)</f>
        <v>West</v>
      </c>
      <c r="E520" t="s">
        <v>20</v>
      </c>
      <c r="F520" t="s">
        <v>159</v>
      </c>
      <c r="G520" t="s">
        <v>12</v>
      </c>
      <c r="H520" s="1">
        <v>42752</v>
      </c>
      <c r="I520" s="1">
        <v>42808</v>
      </c>
      <c r="J520">
        <v>607</v>
      </c>
    </row>
    <row r="521" spans="1:10" x14ac:dyDescent="0.3">
      <c r="A521" t="s">
        <v>651</v>
      </c>
      <c r="B521" t="s">
        <v>32</v>
      </c>
      <c r="C521" t="str">
        <f>_xlfn.XLOOKUP(B521,
[1]sales_teams!$A$2:$A$100,
[1]sales_teams!$B$2:$B$100)</f>
        <v>Celia Rouche</v>
      </c>
      <c r="D521" t="str">
        <f>_xlfn.XLOOKUP($B521,sales_teams!$A$2:$A$36,sales_teams!C$2:C$36)</f>
        <v>West</v>
      </c>
      <c r="E521" t="s">
        <v>48</v>
      </c>
      <c r="F521" t="s">
        <v>33</v>
      </c>
      <c r="G521" t="s">
        <v>12</v>
      </c>
      <c r="H521" s="1">
        <v>42752</v>
      </c>
      <c r="I521" s="1">
        <v>42823</v>
      </c>
      <c r="J521">
        <v>5120</v>
      </c>
    </row>
    <row r="522" spans="1:10" x14ac:dyDescent="0.3">
      <c r="A522" t="s">
        <v>652</v>
      </c>
      <c r="B522" t="s">
        <v>35</v>
      </c>
      <c r="C522" t="str">
        <f>_xlfn.XLOOKUP(B522,
[1]sales_teams!$A$2:$A$100,
[1]sales_teams!$B$2:$B$100)</f>
        <v>Melvin Marxen</v>
      </c>
      <c r="D522" t="str">
        <f>_xlfn.XLOOKUP($B522,sales_teams!$A$2:$A$36,sales_teams!C$2:C$36)</f>
        <v>Central</v>
      </c>
      <c r="E522" t="s">
        <v>10</v>
      </c>
      <c r="F522" t="s">
        <v>315</v>
      </c>
      <c r="G522" t="s">
        <v>12</v>
      </c>
      <c r="H522" s="1">
        <v>42752</v>
      </c>
      <c r="I522" s="1">
        <v>42817</v>
      </c>
      <c r="J522">
        <v>1343</v>
      </c>
    </row>
    <row r="523" spans="1:10" x14ac:dyDescent="0.3">
      <c r="A523" t="s">
        <v>653</v>
      </c>
      <c r="B523" t="s">
        <v>35</v>
      </c>
      <c r="C523" t="str">
        <f>_xlfn.XLOOKUP(B523,
[1]sales_teams!$A$2:$A$100,
[1]sales_teams!$B$2:$B$100)</f>
        <v>Melvin Marxen</v>
      </c>
      <c r="D523" t="str">
        <f>_xlfn.XLOOKUP($B523,sales_teams!$A$2:$A$36,sales_teams!C$2:C$36)</f>
        <v>Central</v>
      </c>
      <c r="E523" t="s">
        <v>18</v>
      </c>
      <c r="F523" t="s">
        <v>126</v>
      </c>
      <c r="G523" t="s">
        <v>12</v>
      </c>
      <c r="H523" s="1">
        <v>42752</v>
      </c>
      <c r="I523" s="1">
        <v>42869</v>
      </c>
      <c r="J523">
        <v>55</v>
      </c>
    </row>
    <row r="524" spans="1:10" x14ac:dyDescent="0.3">
      <c r="A524" t="s">
        <v>654</v>
      </c>
      <c r="B524" t="s">
        <v>29</v>
      </c>
      <c r="C524" t="str">
        <f>_xlfn.XLOOKUP(B524,
[1]sales_teams!$A$2:$A$100,
[1]sales_teams!$B$2:$B$100)</f>
        <v>Celia Rouche</v>
      </c>
      <c r="D524" t="str">
        <f>_xlfn.XLOOKUP($B524,sales_teams!$A$2:$A$36,sales_teams!C$2:C$36)</f>
        <v>West</v>
      </c>
      <c r="E524" t="s">
        <v>18</v>
      </c>
      <c r="F524" t="s">
        <v>194</v>
      </c>
      <c r="G524" t="s">
        <v>12</v>
      </c>
      <c r="H524" s="1">
        <v>42752</v>
      </c>
      <c r="I524" s="1">
        <v>42824</v>
      </c>
      <c r="J524">
        <v>49</v>
      </c>
    </row>
    <row r="525" spans="1:10" x14ac:dyDescent="0.3">
      <c r="A525" t="s">
        <v>655</v>
      </c>
      <c r="B525" t="s">
        <v>139</v>
      </c>
      <c r="C525" t="str">
        <f>_xlfn.XLOOKUP(B525,
[1]sales_teams!$A$2:$A$100,
[1]sales_teams!$B$2:$B$100)</f>
        <v>Rocco Neubert</v>
      </c>
      <c r="D525" t="str">
        <f>_xlfn.XLOOKUP($B525,sales_teams!$A$2:$A$36,sales_teams!C$2:C$36)</f>
        <v>East</v>
      </c>
      <c r="E525" t="s">
        <v>20</v>
      </c>
      <c r="F525" t="s">
        <v>103</v>
      </c>
      <c r="G525" t="s">
        <v>46</v>
      </c>
      <c r="H525" s="1">
        <v>42753</v>
      </c>
      <c r="I525" s="1">
        <v>42823</v>
      </c>
      <c r="J525">
        <v>0</v>
      </c>
    </row>
    <row r="526" spans="1:10" x14ac:dyDescent="0.3">
      <c r="A526" t="s">
        <v>656</v>
      </c>
      <c r="B526" t="s">
        <v>64</v>
      </c>
      <c r="C526" t="str">
        <f>_xlfn.XLOOKUP(B526,
[1]sales_teams!$A$2:$A$100,
[1]sales_teams!$B$2:$B$100)</f>
        <v>Rocco Neubert</v>
      </c>
      <c r="D526" t="str">
        <f>_xlfn.XLOOKUP($B526,sales_teams!$A$2:$A$36,sales_teams!C$2:C$36)</f>
        <v>East</v>
      </c>
      <c r="E526" t="s">
        <v>48</v>
      </c>
      <c r="G526" t="s">
        <v>40</v>
      </c>
      <c r="H526" s="1">
        <v>42753</v>
      </c>
    </row>
    <row r="527" spans="1:10" x14ac:dyDescent="0.3">
      <c r="A527" t="s">
        <v>657</v>
      </c>
      <c r="B527" t="s">
        <v>105</v>
      </c>
      <c r="C527" t="str">
        <f>_xlfn.XLOOKUP(B527,
[1]sales_teams!$A$2:$A$100,
[1]sales_teams!$B$2:$B$100)</f>
        <v>Cara Losch</v>
      </c>
      <c r="D527" t="str">
        <f>_xlfn.XLOOKUP($B527,sales_teams!$A$2:$A$36,sales_teams!C$2:C$36)</f>
        <v>East</v>
      </c>
      <c r="E527" t="s">
        <v>15</v>
      </c>
      <c r="F527" t="s">
        <v>89</v>
      </c>
      <c r="G527" t="s">
        <v>12</v>
      </c>
      <c r="H527" s="1">
        <v>42753</v>
      </c>
      <c r="I527" s="1">
        <v>42890</v>
      </c>
      <c r="J527">
        <v>4426</v>
      </c>
    </row>
    <row r="528" spans="1:10" x14ac:dyDescent="0.3">
      <c r="A528" t="s">
        <v>658</v>
      </c>
      <c r="B528" t="s">
        <v>38</v>
      </c>
      <c r="C528" t="str">
        <f>_xlfn.XLOOKUP(B528,
[1]sales_teams!$A$2:$A$100,
[1]sales_teams!$B$2:$B$100)</f>
        <v>Summer Sewald</v>
      </c>
      <c r="D528" t="str">
        <f>_xlfn.XLOOKUP($B528,sales_teams!$A$2:$A$36,sales_teams!C$2:C$36)</f>
        <v>West</v>
      </c>
      <c r="E528" t="s">
        <v>48</v>
      </c>
      <c r="F528" t="s">
        <v>398</v>
      </c>
      <c r="G528" t="s">
        <v>12</v>
      </c>
      <c r="H528" s="1">
        <v>42753</v>
      </c>
      <c r="I528" s="1">
        <v>42858</v>
      </c>
      <c r="J528">
        <v>5264</v>
      </c>
    </row>
    <row r="529" spans="1:10" x14ac:dyDescent="0.3">
      <c r="A529" t="s">
        <v>659</v>
      </c>
      <c r="B529" t="s">
        <v>252</v>
      </c>
      <c r="C529" t="str">
        <f>_xlfn.XLOOKUP(B529,
[1]sales_teams!$A$2:$A$100,
[1]sales_teams!$B$2:$B$100)</f>
        <v>Melvin Marxen</v>
      </c>
      <c r="D529" t="str">
        <f>_xlfn.XLOOKUP($B529,sales_teams!$A$2:$A$36,sales_teams!C$2:C$36)</f>
        <v>Central</v>
      </c>
      <c r="E529" t="s">
        <v>15</v>
      </c>
      <c r="F529" t="s">
        <v>120</v>
      </c>
      <c r="G529" t="s">
        <v>46</v>
      </c>
      <c r="H529" s="1">
        <v>42753</v>
      </c>
      <c r="I529" s="1">
        <v>42875</v>
      </c>
      <c r="J529">
        <v>0</v>
      </c>
    </row>
    <row r="530" spans="1:10" x14ac:dyDescent="0.3">
      <c r="A530" t="s">
        <v>660</v>
      </c>
      <c r="B530" t="s">
        <v>95</v>
      </c>
      <c r="C530" t="str">
        <f>_xlfn.XLOOKUP(B530,
[1]sales_teams!$A$2:$A$100,
[1]sales_teams!$B$2:$B$100)</f>
        <v>Summer Sewald</v>
      </c>
      <c r="D530" t="str">
        <f>_xlfn.XLOOKUP($B530,sales_teams!$A$2:$A$36,sales_teams!C$2:C$36)</f>
        <v>West</v>
      </c>
      <c r="E530" t="s">
        <v>15</v>
      </c>
      <c r="G530" t="s">
        <v>40</v>
      </c>
      <c r="H530" s="1">
        <v>42753</v>
      </c>
    </row>
    <row r="531" spans="1:10" x14ac:dyDescent="0.3">
      <c r="A531" t="s">
        <v>661</v>
      </c>
      <c r="B531" t="s">
        <v>9</v>
      </c>
      <c r="C531" t="str">
        <f>_xlfn.XLOOKUP(B531,
[1]sales_teams!$A$2:$A$100,
[1]sales_teams!$B$2:$B$100)</f>
        <v>Dustin Brinkmann</v>
      </c>
      <c r="D531" t="str">
        <f>_xlfn.XLOOKUP($B531,sales_teams!$A$2:$A$36,sales_teams!C$2:C$36)</f>
        <v>Central</v>
      </c>
      <c r="E531" t="s">
        <v>18</v>
      </c>
      <c r="F531" t="s">
        <v>197</v>
      </c>
      <c r="G531" t="s">
        <v>12</v>
      </c>
      <c r="H531" s="1">
        <v>42753</v>
      </c>
      <c r="I531" s="1">
        <v>42823</v>
      </c>
      <c r="J531">
        <v>59</v>
      </c>
    </row>
    <row r="532" spans="1:10" x14ac:dyDescent="0.3">
      <c r="A532" t="s">
        <v>662</v>
      </c>
      <c r="B532" t="s">
        <v>105</v>
      </c>
      <c r="C532" t="str">
        <f>_xlfn.XLOOKUP(B532,
[1]sales_teams!$A$2:$A$100,
[1]sales_teams!$B$2:$B$100)</f>
        <v>Cara Losch</v>
      </c>
      <c r="D532" t="str">
        <f>_xlfn.XLOOKUP($B532,sales_teams!$A$2:$A$36,sales_teams!C$2:C$36)</f>
        <v>East</v>
      </c>
      <c r="E532" t="s">
        <v>20</v>
      </c>
      <c r="F532" t="s">
        <v>140</v>
      </c>
      <c r="G532" t="s">
        <v>12</v>
      </c>
      <c r="H532" s="1">
        <v>42754</v>
      </c>
      <c r="I532" s="1">
        <v>42824</v>
      </c>
      <c r="J532">
        <v>617</v>
      </c>
    </row>
    <row r="533" spans="1:10" x14ac:dyDescent="0.3">
      <c r="A533" t="s">
        <v>663</v>
      </c>
      <c r="B533" t="s">
        <v>44</v>
      </c>
      <c r="C533" t="str">
        <f>_xlfn.XLOOKUP(B533,
[1]sales_teams!$A$2:$A$100,
[1]sales_teams!$B$2:$B$100)</f>
        <v>Melvin Marxen</v>
      </c>
      <c r="D533" t="str">
        <f>_xlfn.XLOOKUP($B533,sales_teams!$A$2:$A$36,sales_teams!C$2:C$36)</f>
        <v>Central</v>
      </c>
      <c r="E533" t="s">
        <v>20</v>
      </c>
      <c r="F533" t="s">
        <v>21</v>
      </c>
      <c r="G533" t="s">
        <v>12</v>
      </c>
      <c r="H533" s="1">
        <v>42754</v>
      </c>
      <c r="I533" s="1">
        <v>42890</v>
      </c>
      <c r="J533">
        <v>565</v>
      </c>
    </row>
    <row r="534" spans="1:10" x14ac:dyDescent="0.3">
      <c r="A534" t="s">
        <v>664</v>
      </c>
      <c r="B534" t="s">
        <v>38</v>
      </c>
      <c r="C534" t="str">
        <f>_xlfn.XLOOKUP(B534,
[1]sales_teams!$A$2:$A$100,
[1]sales_teams!$B$2:$B$100)</f>
        <v>Summer Sewald</v>
      </c>
      <c r="D534" t="str">
        <f>_xlfn.XLOOKUP($B534,sales_teams!$A$2:$A$36,sales_teams!C$2:C$36)</f>
        <v>West</v>
      </c>
      <c r="E534" t="s">
        <v>20</v>
      </c>
      <c r="F534" t="s">
        <v>52</v>
      </c>
      <c r="G534" t="s">
        <v>12</v>
      </c>
      <c r="H534" s="1">
        <v>42754</v>
      </c>
      <c r="I534" s="1">
        <v>42795</v>
      </c>
      <c r="J534">
        <v>511</v>
      </c>
    </row>
    <row r="535" spans="1:10" x14ac:dyDescent="0.3">
      <c r="A535" t="s">
        <v>665</v>
      </c>
      <c r="B535" t="s">
        <v>78</v>
      </c>
      <c r="C535" t="str">
        <f>_xlfn.XLOOKUP(B535,
[1]sales_teams!$A$2:$A$100,
[1]sales_teams!$B$2:$B$100)</f>
        <v>Summer Sewald</v>
      </c>
      <c r="D535" t="str">
        <f>_xlfn.XLOOKUP($B535,sales_teams!$A$2:$A$36,sales_teams!C$2:C$36)</f>
        <v>West</v>
      </c>
      <c r="E535" t="s">
        <v>10</v>
      </c>
      <c r="F535" t="s">
        <v>68</v>
      </c>
      <c r="G535" t="s">
        <v>46</v>
      </c>
      <c r="H535" s="1">
        <v>42754</v>
      </c>
      <c r="I535" s="1">
        <v>42863</v>
      </c>
      <c r="J535">
        <v>0</v>
      </c>
    </row>
    <row r="536" spans="1:10" x14ac:dyDescent="0.3">
      <c r="A536" t="s">
        <v>666</v>
      </c>
      <c r="B536" t="s">
        <v>95</v>
      </c>
      <c r="C536" t="str">
        <f>_xlfn.XLOOKUP(B536,
[1]sales_teams!$A$2:$A$100,
[1]sales_teams!$B$2:$B$100)</f>
        <v>Summer Sewald</v>
      </c>
      <c r="D536" t="str">
        <f>_xlfn.XLOOKUP($B536,sales_teams!$A$2:$A$36,sales_teams!C$2:C$36)</f>
        <v>West</v>
      </c>
      <c r="E536" t="s">
        <v>18</v>
      </c>
      <c r="F536" t="s">
        <v>194</v>
      </c>
      <c r="G536" t="s">
        <v>12</v>
      </c>
      <c r="H536" s="1">
        <v>42754</v>
      </c>
      <c r="I536" s="1">
        <v>42824</v>
      </c>
      <c r="J536">
        <v>60</v>
      </c>
    </row>
    <row r="537" spans="1:10" x14ac:dyDescent="0.3">
      <c r="A537" t="s">
        <v>667</v>
      </c>
      <c r="B537" t="s">
        <v>95</v>
      </c>
      <c r="C537" t="str">
        <f>_xlfn.XLOOKUP(B537,
[1]sales_teams!$A$2:$A$100,
[1]sales_teams!$B$2:$B$100)</f>
        <v>Summer Sewald</v>
      </c>
      <c r="D537" t="str">
        <f>_xlfn.XLOOKUP($B537,sales_teams!$A$2:$A$36,sales_teams!C$2:C$36)</f>
        <v>West</v>
      </c>
      <c r="E537" t="s">
        <v>39</v>
      </c>
      <c r="F537" t="s">
        <v>124</v>
      </c>
      <c r="G537" t="s">
        <v>12</v>
      </c>
      <c r="H537" s="1">
        <v>42754</v>
      </c>
      <c r="I537" s="1">
        <v>42823</v>
      </c>
      <c r="J537">
        <v>3407</v>
      </c>
    </row>
    <row r="538" spans="1:10" x14ac:dyDescent="0.3">
      <c r="A538" t="s">
        <v>668</v>
      </c>
      <c r="B538" t="s">
        <v>95</v>
      </c>
      <c r="C538" t="str">
        <f>_xlfn.XLOOKUP(B538,
[1]sales_teams!$A$2:$A$100,
[1]sales_teams!$B$2:$B$100)</f>
        <v>Summer Sewald</v>
      </c>
      <c r="D538" t="str">
        <f>_xlfn.XLOOKUP($B538,sales_teams!$A$2:$A$36,sales_teams!C$2:C$36)</f>
        <v>West</v>
      </c>
      <c r="E538" t="s">
        <v>39</v>
      </c>
      <c r="F538" t="s">
        <v>93</v>
      </c>
      <c r="G538" t="s">
        <v>12</v>
      </c>
      <c r="H538" s="1">
        <v>42754</v>
      </c>
      <c r="I538" s="1">
        <v>42822</v>
      </c>
      <c r="J538">
        <v>3273</v>
      </c>
    </row>
    <row r="539" spans="1:10" x14ac:dyDescent="0.3">
      <c r="A539" t="s">
        <v>669</v>
      </c>
      <c r="B539" t="s">
        <v>32</v>
      </c>
      <c r="C539" t="str">
        <f>_xlfn.XLOOKUP(B539,
[1]sales_teams!$A$2:$A$100,
[1]sales_teams!$B$2:$B$100)</f>
        <v>Celia Rouche</v>
      </c>
      <c r="D539" t="str">
        <f>_xlfn.XLOOKUP($B539,sales_teams!$A$2:$A$36,sales_teams!C$2:C$36)</f>
        <v>West</v>
      </c>
      <c r="E539" t="s">
        <v>10</v>
      </c>
      <c r="F539" t="s">
        <v>159</v>
      </c>
      <c r="G539" t="s">
        <v>46</v>
      </c>
      <c r="H539" s="1">
        <v>42754</v>
      </c>
      <c r="I539" s="1">
        <v>42820</v>
      </c>
      <c r="J539">
        <v>0</v>
      </c>
    </row>
    <row r="540" spans="1:10" x14ac:dyDescent="0.3">
      <c r="A540" t="s">
        <v>670</v>
      </c>
      <c r="B540" t="s">
        <v>32</v>
      </c>
      <c r="C540" t="str">
        <f>_xlfn.XLOOKUP(B540,
[1]sales_teams!$A$2:$A$100,
[1]sales_teams!$B$2:$B$100)</f>
        <v>Celia Rouche</v>
      </c>
      <c r="D540" t="str">
        <f>_xlfn.XLOOKUP($B540,sales_teams!$A$2:$A$36,sales_teams!C$2:C$36)</f>
        <v>West</v>
      </c>
      <c r="E540" t="s">
        <v>18</v>
      </c>
      <c r="F540" t="s">
        <v>49</v>
      </c>
      <c r="G540" t="s">
        <v>46</v>
      </c>
      <c r="H540" s="1">
        <v>42754</v>
      </c>
      <c r="I540" s="1">
        <v>42860</v>
      </c>
      <c r="J540">
        <v>0</v>
      </c>
    </row>
    <row r="541" spans="1:10" x14ac:dyDescent="0.3">
      <c r="A541" t="s">
        <v>671</v>
      </c>
      <c r="B541" t="s">
        <v>9</v>
      </c>
      <c r="C541" t="str">
        <f>_xlfn.XLOOKUP(B541,
[1]sales_teams!$A$2:$A$100,
[1]sales_teams!$B$2:$B$100)</f>
        <v>Dustin Brinkmann</v>
      </c>
      <c r="D541" t="str">
        <f>_xlfn.XLOOKUP($B541,sales_teams!$A$2:$A$36,sales_teams!C$2:C$36)</f>
        <v>Central</v>
      </c>
      <c r="E541" t="s">
        <v>39</v>
      </c>
      <c r="F541" t="s">
        <v>109</v>
      </c>
      <c r="G541" t="s">
        <v>12</v>
      </c>
      <c r="H541" s="1">
        <v>42754</v>
      </c>
      <c r="I541" s="1">
        <v>42856</v>
      </c>
      <c r="J541">
        <v>3363</v>
      </c>
    </row>
    <row r="542" spans="1:10" x14ac:dyDescent="0.3">
      <c r="A542" t="s">
        <v>672</v>
      </c>
      <c r="B542" t="s">
        <v>29</v>
      </c>
      <c r="C542" t="str">
        <f>_xlfn.XLOOKUP(B542,
[1]sales_teams!$A$2:$A$100,
[1]sales_teams!$B$2:$B$100)</f>
        <v>Celia Rouche</v>
      </c>
      <c r="D542" t="str">
        <f>_xlfn.XLOOKUP($B542,sales_teams!$A$2:$A$36,sales_teams!C$2:C$36)</f>
        <v>West</v>
      </c>
      <c r="E542" t="s">
        <v>18</v>
      </c>
      <c r="G542" t="s">
        <v>40</v>
      </c>
      <c r="H542" s="1">
        <v>42754</v>
      </c>
    </row>
    <row r="543" spans="1:10" x14ac:dyDescent="0.3">
      <c r="A543" t="s">
        <v>673</v>
      </c>
      <c r="B543" t="s">
        <v>29</v>
      </c>
      <c r="C543" t="str">
        <f>_xlfn.XLOOKUP(B543,
[1]sales_teams!$A$2:$A$100,
[1]sales_teams!$B$2:$B$100)</f>
        <v>Celia Rouche</v>
      </c>
      <c r="D543" t="str">
        <f>_xlfn.XLOOKUP($B543,sales_teams!$A$2:$A$36,sales_teams!C$2:C$36)</f>
        <v>West</v>
      </c>
      <c r="E543" t="s">
        <v>20</v>
      </c>
      <c r="F543" t="s">
        <v>93</v>
      </c>
      <c r="G543" t="s">
        <v>12</v>
      </c>
      <c r="H543" s="1">
        <v>42754</v>
      </c>
      <c r="I543" s="1">
        <v>42825</v>
      </c>
      <c r="J543">
        <v>365</v>
      </c>
    </row>
    <row r="544" spans="1:10" x14ac:dyDescent="0.3">
      <c r="A544" t="s">
        <v>674</v>
      </c>
      <c r="B544" t="s">
        <v>23</v>
      </c>
      <c r="C544" t="str">
        <f>_xlfn.XLOOKUP(B544,
[1]sales_teams!$A$2:$A$100,
[1]sales_teams!$B$2:$B$100)</f>
        <v>Summer Sewald</v>
      </c>
      <c r="D544" t="str">
        <f>_xlfn.XLOOKUP($B544,sales_teams!$A$2:$A$36,sales_teams!C$2:C$36)</f>
        <v>West</v>
      </c>
      <c r="E544" t="s">
        <v>48</v>
      </c>
      <c r="F544" t="s">
        <v>184</v>
      </c>
      <c r="G544" t="s">
        <v>12</v>
      </c>
      <c r="H544" s="1">
        <v>42754</v>
      </c>
      <c r="I544" s="1">
        <v>42812</v>
      </c>
      <c r="J544">
        <v>4869</v>
      </c>
    </row>
    <row r="545" spans="1:10" x14ac:dyDescent="0.3">
      <c r="A545" t="s">
        <v>675</v>
      </c>
      <c r="B545" t="s">
        <v>164</v>
      </c>
      <c r="C545" t="str">
        <f>_xlfn.XLOOKUP(B545,
[1]sales_teams!$A$2:$A$100,
[1]sales_teams!$B$2:$B$100)</f>
        <v>Cara Losch</v>
      </c>
      <c r="D545" t="str">
        <f>_xlfn.XLOOKUP($B545,sales_teams!$A$2:$A$36,sales_teams!C$2:C$36)</f>
        <v>East</v>
      </c>
      <c r="E545" t="s">
        <v>20</v>
      </c>
      <c r="F545" t="s">
        <v>177</v>
      </c>
      <c r="G545" t="s">
        <v>12</v>
      </c>
      <c r="H545" s="1">
        <v>42755</v>
      </c>
      <c r="I545" s="1">
        <v>42892</v>
      </c>
      <c r="J545">
        <v>599</v>
      </c>
    </row>
    <row r="546" spans="1:10" x14ac:dyDescent="0.3">
      <c r="A546" t="s">
        <v>676</v>
      </c>
      <c r="B546" t="s">
        <v>64</v>
      </c>
      <c r="C546" t="str">
        <f>_xlfn.XLOOKUP(B546,
[1]sales_teams!$A$2:$A$100,
[1]sales_teams!$B$2:$B$100)</f>
        <v>Rocco Neubert</v>
      </c>
      <c r="D546" t="str">
        <f>_xlfn.XLOOKUP($B546,sales_teams!$A$2:$A$36,sales_teams!C$2:C$36)</f>
        <v>East</v>
      </c>
      <c r="E546" t="s">
        <v>39</v>
      </c>
      <c r="F546" t="s">
        <v>199</v>
      </c>
      <c r="G546" t="s">
        <v>12</v>
      </c>
      <c r="H546" s="1">
        <v>42755</v>
      </c>
      <c r="I546" s="1">
        <v>42875</v>
      </c>
      <c r="J546">
        <v>3194</v>
      </c>
    </row>
    <row r="547" spans="1:10" x14ac:dyDescent="0.3">
      <c r="A547" t="s">
        <v>677</v>
      </c>
      <c r="B547" t="s">
        <v>105</v>
      </c>
      <c r="C547" t="str">
        <f>_xlfn.XLOOKUP(B547,
[1]sales_teams!$A$2:$A$100,
[1]sales_teams!$B$2:$B$100)</f>
        <v>Cara Losch</v>
      </c>
      <c r="D547" t="str">
        <f>_xlfn.XLOOKUP($B547,sales_teams!$A$2:$A$36,sales_teams!C$2:C$36)</f>
        <v>East</v>
      </c>
      <c r="E547" t="s">
        <v>48</v>
      </c>
      <c r="F547" t="s">
        <v>218</v>
      </c>
      <c r="G547" t="s">
        <v>12</v>
      </c>
      <c r="H547" s="1">
        <v>42755</v>
      </c>
      <c r="I547" s="1">
        <v>42891</v>
      </c>
      <c r="J547">
        <v>5429</v>
      </c>
    </row>
    <row r="548" spans="1:10" x14ac:dyDescent="0.3">
      <c r="A548" t="s">
        <v>678</v>
      </c>
      <c r="B548" t="s">
        <v>252</v>
      </c>
      <c r="C548" t="str">
        <f>_xlfn.XLOOKUP(B548,
[1]sales_teams!$A$2:$A$100,
[1]sales_teams!$B$2:$B$100)</f>
        <v>Melvin Marxen</v>
      </c>
      <c r="D548" t="str">
        <f>_xlfn.XLOOKUP($B548,sales_teams!$A$2:$A$36,sales_teams!C$2:C$36)</f>
        <v>Central</v>
      </c>
      <c r="E548" t="s">
        <v>15</v>
      </c>
      <c r="F548" t="s">
        <v>315</v>
      </c>
      <c r="G548" t="s">
        <v>12</v>
      </c>
      <c r="H548" s="1">
        <v>42755</v>
      </c>
      <c r="I548" s="1">
        <v>42860</v>
      </c>
      <c r="J548">
        <v>5008</v>
      </c>
    </row>
    <row r="549" spans="1:10" x14ac:dyDescent="0.3">
      <c r="A549" t="s">
        <v>679</v>
      </c>
      <c r="B549" t="s">
        <v>252</v>
      </c>
      <c r="C549" t="str">
        <f>_xlfn.XLOOKUP(B549,
[1]sales_teams!$A$2:$A$100,
[1]sales_teams!$B$2:$B$100)</f>
        <v>Melvin Marxen</v>
      </c>
      <c r="D549" t="str">
        <f>_xlfn.XLOOKUP($B549,sales_teams!$A$2:$A$36,sales_teams!C$2:C$36)</f>
        <v>Central</v>
      </c>
      <c r="E549" t="s">
        <v>39</v>
      </c>
      <c r="F549" t="s">
        <v>207</v>
      </c>
      <c r="G549" t="s">
        <v>12</v>
      </c>
      <c r="H549" s="1">
        <v>42755</v>
      </c>
      <c r="I549" s="1">
        <v>42822</v>
      </c>
      <c r="J549">
        <v>3459</v>
      </c>
    </row>
    <row r="550" spans="1:10" x14ac:dyDescent="0.3">
      <c r="A550" t="s">
        <v>680</v>
      </c>
      <c r="B550" t="s">
        <v>95</v>
      </c>
      <c r="C550" t="str">
        <f>_xlfn.XLOOKUP(B550,
[1]sales_teams!$A$2:$A$100,
[1]sales_teams!$B$2:$B$100)</f>
        <v>Summer Sewald</v>
      </c>
      <c r="D550" t="str">
        <f>_xlfn.XLOOKUP($B550,sales_teams!$A$2:$A$36,sales_teams!C$2:C$36)</f>
        <v>West</v>
      </c>
      <c r="E550" t="s">
        <v>15</v>
      </c>
      <c r="F550" t="s">
        <v>93</v>
      </c>
      <c r="G550" t="s">
        <v>46</v>
      </c>
      <c r="H550" s="1">
        <v>42755</v>
      </c>
      <c r="I550" s="1">
        <v>42880</v>
      </c>
      <c r="J550">
        <v>0</v>
      </c>
    </row>
    <row r="551" spans="1:10" x14ac:dyDescent="0.3">
      <c r="A551" t="s">
        <v>681</v>
      </c>
      <c r="B551" t="s">
        <v>95</v>
      </c>
      <c r="C551" t="str">
        <f>_xlfn.XLOOKUP(B551,
[1]sales_teams!$A$2:$A$100,
[1]sales_teams!$B$2:$B$100)</f>
        <v>Summer Sewald</v>
      </c>
      <c r="D551" t="str">
        <f>_xlfn.XLOOKUP($B551,sales_teams!$A$2:$A$36,sales_teams!C$2:C$36)</f>
        <v>West</v>
      </c>
      <c r="E551" t="s">
        <v>15</v>
      </c>
      <c r="F551" t="s">
        <v>315</v>
      </c>
      <c r="G551" t="s">
        <v>12</v>
      </c>
      <c r="H551" s="1">
        <v>42755</v>
      </c>
      <c r="I551" s="1">
        <v>42801</v>
      </c>
      <c r="J551">
        <v>4559</v>
      </c>
    </row>
    <row r="552" spans="1:10" x14ac:dyDescent="0.3">
      <c r="A552" t="s">
        <v>682</v>
      </c>
      <c r="B552" t="s">
        <v>95</v>
      </c>
      <c r="C552" t="str">
        <f>_xlfn.XLOOKUP(B552,
[1]sales_teams!$A$2:$A$100,
[1]sales_teams!$B$2:$B$100)</f>
        <v>Summer Sewald</v>
      </c>
      <c r="D552" t="str">
        <f>_xlfn.XLOOKUP($B552,sales_teams!$A$2:$A$36,sales_teams!C$2:C$36)</f>
        <v>West</v>
      </c>
      <c r="E552" t="s">
        <v>15</v>
      </c>
      <c r="F552" t="s">
        <v>86</v>
      </c>
      <c r="G552" t="s">
        <v>12</v>
      </c>
      <c r="H552" s="1">
        <v>42755</v>
      </c>
      <c r="I552" s="1">
        <v>42822</v>
      </c>
      <c r="J552">
        <v>4221</v>
      </c>
    </row>
    <row r="553" spans="1:10" x14ac:dyDescent="0.3">
      <c r="A553" t="s">
        <v>683</v>
      </c>
      <c r="B553" t="s">
        <v>133</v>
      </c>
      <c r="C553" t="str">
        <f>_xlfn.XLOOKUP(B553,
[1]sales_teams!$A$2:$A$100,
[1]sales_teams!$B$2:$B$100)</f>
        <v>Dustin Brinkmann</v>
      </c>
      <c r="D553" t="str">
        <f>_xlfn.XLOOKUP($B553,sales_teams!$A$2:$A$36,sales_teams!C$2:C$36)</f>
        <v>Central</v>
      </c>
      <c r="E553" t="s">
        <v>39</v>
      </c>
      <c r="F553" t="s">
        <v>76</v>
      </c>
      <c r="G553" t="s">
        <v>46</v>
      </c>
      <c r="H553" s="1">
        <v>42755</v>
      </c>
      <c r="I553" s="1">
        <v>42805</v>
      </c>
      <c r="J553">
        <v>0</v>
      </c>
    </row>
    <row r="554" spans="1:10" x14ac:dyDescent="0.3">
      <c r="A554" t="s">
        <v>684</v>
      </c>
      <c r="B554" t="s">
        <v>133</v>
      </c>
      <c r="C554" t="str">
        <f>_xlfn.XLOOKUP(B554,
[1]sales_teams!$A$2:$A$100,
[1]sales_teams!$B$2:$B$100)</f>
        <v>Dustin Brinkmann</v>
      </c>
      <c r="D554" t="str">
        <f>_xlfn.XLOOKUP($B554,sales_teams!$A$2:$A$36,sales_teams!C$2:C$36)</f>
        <v>Central</v>
      </c>
      <c r="E554" t="s">
        <v>18</v>
      </c>
      <c r="F554" t="s">
        <v>207</v>
      </c>
      <c r="G554" t="s">
        <v>12</v>
      </c>
      <c r="H554" s="1">
        <v>42755</v>
      </c>
      <c r="I554" s="1">
        <v>42800</v>
      </c>
      <c r="J554">
        <v>56</v>
      </c>
    </row>
    <row r="555" spans="1:10" x14ac:dyDescent="0.3">
      <c r="A555" t="s">
        <v>685</v>
      </c>
      <c r="B555" t="s">
        <v>32</v>
      </c>
      <c r="C555" t="str">
        <f>_xlfn.XLOOKUP(B555,
[1]sales_teams!$A$2:$A$100,
[1]sales_teams!$B$2:$B$100)</f>
        <v>Celia Rouche</v>
      </c>
      <c r="D555" t="str">
        <f>_xlfn.XLOOKUP($B555,sales_teams!$A$2:$A$36,sales_teams!C$2:C$36)</f>
        <v>West</v>
      </c>
      <c r="E555" t="s">
        <v>15</v>
      </c>
      <c r="F555" t="s">
        <v>157</v>
      </c>
      <c r="G555" t="s">
        <v>12</v>
      </c>
      <c r="H555" s="1">
        <v>42755</v>
      </c>
      <c r="I555" s="1">
        <v>42858</v>
      </c>
      <c r="J555">
        <v>5508</v>
      </c>
    </row>
    <row r="556" spans="1:10" x14ac:dyDescent="0.3">
      <c r="A556" t="s">
        <v>686</v>
      </c>
      <c r="B556" t="s">
        <v>9</v>
      </c>
      <c r="C556" t="str">
        <f>_xlfn.XLOOKUP(B556,
[1]sales_teams!$A$2:$A$100,
[1]sales_teams!$B$2:$B$100)</f>
        <v>Dustin Brinkmann</v>
      </c>
      <c r="D556" t="str">
        <f>_xlfn.XLOOKUP($B556,sales_teams!$A$2:$A$36,sales_teams!C$2:C$36)</f>
        <v>Central</v>
      </c>
      <c r="E556" t="s">
        <v>10</v>
      </c>
      <c r="F556" t="s">
        <v>21</v>
      </c>
      <c r="G556" t="s">
        <v>46</v>
      </c>
      <c r="H556" s="1">
        <v>42755</v>
      </c>
      <c r="I556" s="1">
        <v>42818</v>
      </c>
      <c r="J556">
        <v>0</v>
      </c>
    </row>
    <row r="557" spans="1:10" x14ac:dyDescent="0.3">
      <c r="A557" t="s">
        <v>687</v>
      </c>
      <c r="B557" t="s">
        <v>23</v>
      </c>
      <c r="C557" t="str">
        <f>_xlfn.XLOOKUP(B557,
[1]sales_teams!$A$2:$A$100,
[1]sales_teams!$B$2:$B$100)</f>
        <v>Summer Sewald</v>
      </c>
      <c r="D557" t="str">
        <f>_xlfn.XLOOKUP($B557,sales_teams!$A$2:$A$36,sales_teams!C$2:C$36)</f>
        <v>West</v>
      </c>
      <c r="E557" t="s">
        <v>20</v>
      </c>
      <c r="F557" t="s">
        <v>184</v>
      </c>
      <c r="G557" t="s">
        <v>46</v>
      </c>
      <c r="H557" s="1">
        <v>42755</v>
      </c>
      <c r="I557" s="1">
        <v>42814</v>
      </c>
      <c r="J557">
        <v>0</v>
      </c>
    </row>
    <row r="558" spans="1:10" x14ac:dyDescent="0.3">
      <c r="A558" t="s">
        <v>688</v>
      </c>
      <c r="B558" t="s">
        <v>26</v>
      </c>
      <c r="C558" t="str">
        <f>_xlfn.XLOOKUP(B558,
[1]sales_teams!$A$2:$A$100,
[1]sales_teams!$B$2:$B$100)</f>
        <v>Dustin Brinkmann</v>
      </c>
      <c r="D558" t="str">
        <f>_xlfn.XLOOKUP($B558,sales_teams!$A$2:$A$36,sales_teams!C$2:C$36)</f>
        <v>Central</v>
      </c>
      <c r="E558" t="s">
        <v>39</v>
      </c>
      <c r="F558" t="s">
        <v>11</v>
      </c>
      <c r="G558" t="s">
        <v>46</v>
      </c>
      <c r="H558" s="1">
        <v>42756</v>
      </c>
      <c r="I558" s="1">
        <v>42803</v>
      </c>
      <c r="J558">
        <v>0</v>
      </c>
    </row>
    <row r="559" spans="1:10" x14ac:dyDescent="0.3">
      <c r="A559" t="s">
        <v>689</v>
      </c>
      <c r="B559" t="s">
        <v>164</v>
      </c>
      <c r="C559" t="str">
        <f>_xlfn.XLOOKUP(B559,
[1]sales_teams!$A$2:$A$100,
[1]sales_teams!$B$2:$B$100)</f>
        <v>Cara Losch</v>
      </c>
      <c r="D559" t="str">
        <f>_xlfn.XLOOKUP($B559,sales_teams!$A$2:$A$36,sales_teams!C$2:C$36)</f>
        <v>East</v>
      </c>
      <c r="E559" t="s">
        <v>15</v>
      </c>
      <c r="F559" t="s">
        <v>213</v>
      </c>
      <c r="G559" t="s">
        <v>40</v>
      </c>
      <c r="H559" s="1">
        <v>42756</v>
      </c>
    </row>
    <row r="560" spans="1:10" x14ac:dyDescent="0.3">
      <c r="A560" t="s">
        <v>690</v>
      </c>
      <c r="B560" t="s">
        <v>14</v>
      </c>
      <c r="C560" t="str">
        <f>_xlfn.XLOOKUP(B560,
[1]sales_teams!$A$2:$A$100,
[1]sales_teams!$B$2:$B$100)</f>
        <v>Melvin Marxen</v>
      </c>
      <c r="D560" t="str">
        <f>_xlfn.XLOOKUP($B560,sales_teams!$A$2:$A$36,sales_teams!C$2:C$36)</f>
        <v>Central</v>
      </c>
      <c r="E560" t="s">
        <v>20</v>
      </c>
      <c r="F560" t="s">
        <v>27</v>
      </c>
      <c r="G560" t="s">
        <v>12</v>
      </c>
      <c r="H560" s="1">
        <v>42756</v>
      </c>
      <c r="I560" s="1">
        <v>42813</v>
      </c>
      <c r="J560">
        <v>657</v>
      </c>
    </row>
    <row r="561" spans="1:10" x14ac:dyDescent="0.3">
      <c r="A561" t="s">
        <v>691</v>
      </c>
      <c r="B561" t="s">
        <v>78</v>
      </c>
      <c r="C561" t="str">
        <f>_xlfn.XLOOKUP(B561,
[1]sales_teams!$A$2:$A$100,
[1]sales_teams!$B$2:$B$100)</f>
        <v>Summer Sewald</v>
      </c>
      <c r="D561" t="str">
        <f>_xlfn.XLOOKUP($B561,sales_teams!$A$2:$A$36,sales_teams!C$2:C$36)</f>
        <v>West</v>
      </c>
      <c r="E561" t="s">
        <v>20</v>
      </c>
      <c r="G561" t="s">
        <v>40</v>
      </c>
      <c r="H561" s="1">
        <v>42756</v>
      </c>
    </row>
    <row r="562" spans="1:10" x14ac:dyDescent="0.3">
      <c r="A562" t="s">
        <v>692</v>
      </c>
      <c r="B562" t="s">
        <v>78</v>
      </c>
      <c r="C562" t="str">
        <f>_xlfn.XLOOKUP(B562,
[1]sales_teams!$A$2:$A$100,
[1]sales_teams!$B$2:$B$100)</f>
        <v>Summer Sewald</v>
      </c>
      <c r="D562" t="str">
        <f>_xlfn.XLOOKUP($B562,sales_teams!$A$2:$A$36,sales_teams!C$2:C$36)</f>
        <v>West</v>
      </c>
      <c r="E562" t="s">
        <v>15</v>
      </c>
      <c r="F562" t="s">
        <v>30</v>
      </c>
      <c r="G562" t="s">
        <v>46</v>
      </c>
      <c r="H562" s="1">
        <v>42756</v>
      </c>
      <c r="I562" s="1">
        <v>42860</v>
      </c>
      <c r="J562">
        <v>0</v>
      </c>
    </row>
    <row r="563" spans="1:10" x14ac:dyDescent="0.3">
      <c r="A563" t="s">
        <v>693</v>
      </c>
      <c r="B563" t="s">
        <v>133</v>
      </c>
      <c r="C563" t="str">
        <f>_xlfn.XLOOKUP(B563,
[1]sales_teams!$A$2:$A$100,
[1]sales_teams!$B$2:$B$100)</f>
        <v>Dustin Brinkmann</v>
      </c>
      <c r="D563" t="str">
        <f>_xlfn.XLOOKUP($B563,sales_teams!$A$2:$A$36,sales_teams!C$2:C$36)</f>
        <v>Central</v>
      </c>
      <c r="E563" t="s">
        <v>20</v>
      </c>
      <c r="F563" t="s">
        <v>231</v>
      </c>
      <c r="G563" t="s">
        <v>12</v>
      </c>
      <c r="H563" s="1">
        <v>42756</v>
      </c>
      <c r="I563" s="1">
        <v>42819</v>
      </c>
      <c r="J563">
        <v>638</v>
      </c>
    </row>
    <row r="564" spans="1:10" x14ac:dyDescent="0.3">
      <c r="A564" t="s">
        <v>694</v>
      </c>
      <c r="B564" t="s">
        <v>32</v>
      </c>
      <c r="C564" t="str">
        <f>_xlfn.XLOOKUP(B564,
[1]sales_teams!$A$2:$A$100,
[1]sales_teams!$B$2:$B$100)</f>
        <v>Celia Rouche</v>
      </c>
      <c r="D564" t="str">
        <f>_xlfn.XLOOKUP($B564,sales_teams!$A$2:$A$36,sales_teams!C$2:C$36)</f>
        <v>West</v>
      </c>
      <c r="E564" t="s">
        <v>20</v>
      </c>
      <c r="G564" t="s">
        <v>40</v>
      </c>
      <c r="H564" s="1">
        <v>42756</v>
      </c>
    </row>
    <row r="565" spans="1:10" x14ac:dyDescent="0.3">
      <c r="A565" t="s">
        <v>695</v>
      </c>
      <c r="B565" t="s">
        <v>116</v>
      </c>
      <c r="C565" t="str">
        <f>_xlfn.XLOOKUP(B565,
[1]sales_teams!$A$2:$A$100,
[1]sales_teams!$B$2:$B$100)</f>
        <v>Melvin Marxen</v>
      </c>
      <c r="D565" t="str">
        <f>_xlfn.XLOOKUP($B565,sales_teams!$A$2:$A$36,sales_teams!C$2:C$36)</f>
        <v>Central</v>
      </c>
      <c r="E565" t="s">
        <v>18</v>
      </c>
      <c r="F565" t="s">
        <v>303</v>
      </c>
      <c r="G565" t="s">
        <v>12</v>
      </c>
      <c r="H565" s="1">
        <v>42756</v>
      </c>
      <c r="I565" s="1">
        <v>42892</v>
      </c>
      <c r="J565">
        <v>41</v>
      </c>
    </row>
    <row r="566" spans="1:10" x14ac:dyDescent="0.3">
      <c r="A566" t="s">
        <v>696</v>
      </c>
      <c r="B566" t="s">
        <v>88</v>
      </c>
      <c r="C566" t="str">
        <f>_xlfn.XLOOKUP(B566,
[1]sales_teams!$A$2:$A$100,
[1]sales_teams!$B$2:$B$100)</f>
        <v>Cara Losch</v>
      </c>
      <c r="D566" t="str">
        <f>_xlfn.XLOOKUP($B566,sales_teams!$A$2:$A$36,sales_teams!C$2:C$36)</f>
        <v>East</v>
      </c>
      <c r="E566" t="s">
        <v>48</v>
      </c>
      <c r="F566" t="s">
        <v>240</v>
      </c>
      <c r="G566" t="s">
        <v>12</v>
      </c>
      <c r="H566" s="1">
        <v>42756</v>
      </c>
      <c r="I566" s="1">
        <v>42862</v>
      </c>
      <c r="J566">
        <v>5582</v>
      </c>
    </row>
    <row r="567" spans="1:10" x14ac:dyDescent="0.3">
      <c r="A567" t="s">
        <v>697</v>
      </c>
      <c r="B567" t="s">
        <v>61</v>
      </c>
      <c r="C567" t="str">
        <f>_xlfn.XLOOKUP(B567,
[1]sales_teams!$A$2:$A$100,
[1]sales_teams!$B$2:$B$100)</f>
        <v>Dustin Brinkmann</v>
      </c>
      <c r="D567" t="str">
        <f>_xlfn.XLOOKUP($B567,sales_teams!$A$2:$A$36,sales_teams!C$2:C$36)</f>
        <v>Central</v>
      </c>
      <c r="E567" t="s">
        <v>18</v>
      </c>
      <c r="F567" t="s">
        <v>113</v>
      </c>
      <c r="G567" t="s">
        <v>12</v>
      </c>
      <c r="H567" s="1">
        <v>42756</v>
      </c>
      <c r="I567" s="1">
        <v>42875</v>
      </c>
      <c r="J567">
        <v>60</v>
      </c>
    </row>
    <row r="568" spans="1:10" x14ac:dyDescent="0.3">
      <c r="A568" t="s">
        <v>698</v>
      </c>
      <c r="B568" t="s">
        <v>23</v>
      </c>
      <c r="C568" t="str">
        <f>_xlfn.XLOOKUP(B568,
[1]sales_teams!$A$2:$A$100,
[1]sales_teams!$B$2:$B$100)</f>
        <v>Summer Sewald</v>
      </c>
      <c r="D568" t="str">
        <f>_xlfn.XLOOKUP($B568,sales_teams!$A$2:$A$36,sales_teams!C$2:C$36)</f>
        <v>West</v>
      </c>
      <c r="E568" t="s">
        <v>10</v>
      </c>
      <c r="F568" t="s">
        <v>159</v>
      </c>
      <c r="G568" t="s">
        <v>12</v>
      </c>
      <c r="H568" s="1">
        <v>42756</v>
      </c>
      <c r="I568" s="1">
        <v>42858</v>
      </c>
      <c r="J568">
        <v>1036</v>
      </c>
    </row>
    <row r="569" spans="1:10" x14ac:dyDescent="0.3">
      <c r="A569" t="s">
        <v>699</v>
      </c>
      <c r="B569" t="s">
        <v>14</v>
      </c>
      <c r="C569" t="str">
        <f>_xlfn.XLOOKUP(B569,
[1]sales_teams!$A$2:$A$100,
[1]sales_teams!$B$2:$B$100)</f>
        <v>Melvin Marxen</v>
      </c>
      <c r="D569" t="str">
        <f>_xlfn.XLOOKUP($B569,sales_teams!$A$2:$A$36,sales_teams!C$2:C$36)</f>
        <v>Central</v>
      </c>
      <c r="E569" t="s">
        <v>10</v>
      </c>
      <c r="F569" t="s">
        <v>135</v>
      </c>
      <c r="G569" t="s">
        <v>12</v>
      </c>
      <c r="H569" s="1">
        <v>42757</v>
      </c>
      <c r="I569" s="1">
        <v>42867</v>
      </c>
      <c r="J569">
        <v>943</v>
      </c>
    </row>
    <row r="570" spans="1:10" x14ac:dyDescent="0.3">
      <c r="A570" t="s">
        <v>700</v>
      </c>
      <c r="B570" t="s">
        <v>67</v>
      </c>
      <c r="C570" t="str">
        <f>_xlfn.XLOOKUP(B570,
[1]sales_teams!$A$2:$A$100,
[1]sales_teams!$B$2:$B$100)</f>
        <v>Celia Rouche</v>
      </c>
      <c r="D570" t="str">
        <f>_xlfn.XLOOKUP($B570,sales_teams!$A$2:$A$36,sales_teams!C$2:C$36)</f>
        <v>West</v>
      </c>
      <c r="E570" t="s">
        <v>20</v>
      </c>
      <c r="F570" t="s">
        <v>155</v>
      </c>
      <c r="G570" t="s">
        <v>12</v>
      </c>
      <c r="H570" s="1">
        <v>42757</v>
      </c>
      <c r="I570" s="1">
        <v>42893</v>
      </c>
      <c r="J570">
        <v>581</v>
      </c>
    </row>
    <row r="571" spans="1:10" x14ac:dyDescent="0.3">
      <c r="A571" t="s">
        <v>701</v>
      </c>
      <c r="B571" t="s">
        <v>252</v>
      </c>
      <c r="C571" t="str">
        <f>_xlfn.XLOOKUP(B571,
[1]sales_teams!$A$2:$A$100,
[1]sales_teams!$B$2:$B$100)</f>
        <v>Melvin Marxen</v>
      </c>
      <c r="D571" t="str">
        <f>_xlfn.XLOOKUP($B571,sales_teams!$A$2:$A$36,sales_teams!C$2:C$36)</f>
        <v>Central</v>
      </c>
      <c r="E571" t="s">
        <v>18</v>
      </c>
      <c r="F571" t="s">
        <v>21</v>
      </c>
      <c r="G571" t="s">
        <v>46</v>
      </c>
      <c r="H571" s="1">
        <v>42757</v>
      </c>
      <c r="I571" s="1">
        <v>42870</v>
      </c>
      <c r="J571">
        <v>0</v>
      </c>
    </row>
    <row r="572" spans="1:10" x14ac:dyDescent="0.3">
      <c r="A572" t="s">
        <v>702</v>
      </c>
      <c r="B572" t="s">
        <v>9</v>
      </c>
      <c r="C572" t="str">
        <f>_xlfn.XLOOKUP(B572,
[1]sales_teams!$A$2:$A$100,
[1]sales_teams!$B$2:$B$100)</f>
        <v>Dustin Brinkmann</v>
      </c>
      <c r="D572" t="str">
        <f>_xlfn.XLOOKUP($B572,sales_teams!$A$2:$A$36,sales_teams!C$2:C$36)</f>
        <v>Central</v>
      </c>
      <c r="E572" t="s">
        <v>20</v>
      </c>
      <c r="F572" t="s">
        <v>170</v>
      </c>
      <c r="G572" t="s">
        <v>12</v>
      </c>
      <c r="H572" s="1">
        <v>42757</v>
      </c>
      <c r="I572" s="1">
        <v>42862</v>
      </c>
      <c r="J572">
        <v>538</v>
      </c>
    </row>
    <row r="573" spans="1:10" x14ac:dyDescent="0.3">
      <c r="A573" t="s">
        <v>703</v>
      </c>
      <c r="B573" t="s">
        <v>97</v>
      </c>
      <c r="C573" t="str">
        <f>_xlfn.XLOOKUP(B573,
[1]sales_teams!$A$2:$A$100,
[1]sales_teams!$B$2:$B$100)</f>
        <v>Rocco Neubert</v>
      </c>
      <c r="D573" t="str">
        <f>_xlfn.XLOOKUP($B573,sales_teams!$A$2:$A$36,sales_teams!C$2:C$36)</f>
        <v>East</v>
      </c>
      <c r="E573" t="s">
        <v>10</v>
      </c>
      <c r="F573" t="s">
        <v>209</v>
      </c>
      <c r="G573" t="s">
        <v>12</v>
      </c>
      <c r="H573" s="1">
        <v>42757</v>
      </c>
      <c r="I573" s="1">
        <v>42822</v>
      </c>
      <c r="J573">
        <v>1100</v>
      </c>
    </row>
    <row r="574" spans="1:10" x14ac:dyDescent="0.3">
      <c r="A574" t="s">
        <v>704</v>
      </c>
      <c r="B574" t="s">
        <v>88</v>
      </c>
      <c r="C574" t="str">
        <f>_xlfn.XLOOKUP(B574,
[1]sales_teams!$A$2:$A$100,
[1]sales_teams!$B$2:$B$100)</f>
        <v>Cara Losch</v>
      </c>
      <c r="D574" t="str">
        <f>_xlfn.XLOOKUP($B574,sales_teams!$A$2:$A$36,sales_teams!C$2:C$36)</f>
        <v>East</v>
      </c>
      <c r="E574" t="s">
        <v>39</v>
      </c>
      <c r="G574" t="s">
        <v>40</v>
      </c>
      <c r="H574" s="1">
        <v>42757</v>
      </c>
    </row>
    <row r="575" spans="1:10" x14ac:dyDescent="0.3">
      <c r="A575" t="s">
        <v>705</v>
      </c>
      <c r="B575" t="s">
        <v>26</v>
      </c>
      <c r="C575" t="str">
        <f>_xlfn.XLOOKUP(B575,
[1]sales_teams!$A$2:$A$100,
[1]sales_teams!$B$2:$B$100)</f>
        <v>Dustin Brinkmann</v>
      </c>
      <c r="D575" t="str">
        <f>_xlfn.XLOOKUP($B575,sales_teams!$A$2:$A$36,sales_teams!C$2:C$36)</f>
        <v>Central</v>
      </c>
      <c r="E575" t="s">
        <v>39</v>
      </c>
      <c r="F575" t="s">
        <v>318</v>
      </c>
      <c r="G575" t="s">
        <v>46</v>
      </c>
      <c r="H575" s="1">
        <v>42758</v>
      </c>
      <c r="I575" s="1">
        <v>42860</v>
      </c>
      <c r="J575">
        <v>0</v>
      </c>
    </row>
    <row r="576" spans="1:10" x14ac:dyDescent="0.3">
      <c r="A576" t="s">
        <v>706</v>
      </c>
      <c r="B576" t="s">
        <v>202</v>
      </c>
      <c r="C576" t="str">
        <f>_xlfn.XLOOKUP(B576,
[1]sales_teams!$A$2:$A$100,
[1]sales_teams!$B$2:$B$100)</f>
        <v>Dustin Brinkmann</v>
      </c>
      <c r="D576" t="str">
        <f>_xlfn.XLOOKUP($B576,sales_teams!$A$2:$A$36,sales_teams!C$2:C$36)</f>
        <v>Central</v>
      </c>
      <c r="E576" t="s">
        <v>39</v>
      </c>
      <c r="F576" t="s">
        <v>129</v>
      </c>
      <c r="G576" t="s">
        <v>46</v>
      </c>
      <c r="H576" s="1">
        <v>42758</v>
      </c>
      <c r="I576" s="1">
        <v>42883</v>
      </c>
      <c r="J576">
        <v>0</v>
      </c>
    </row>
    <row r="577" spans="1:10" x14ac:dyDescent="0.3">
      <c r="A577" t="s">
        <v>707</v>
      </c>
      <c r="B577" t="s">
        <v>252</v>
      </c>
      <c r="C577" t="str">
        <f>_xlfn.XLOOKUP(B577,
[1]sales_teams!$A$2:$A$100,
[1]sales_teams!$B$2:$B$100)</f>
        <v>Melvin Marxen</v>
      </c>
      <c r="D577" t="str">
        <f>_xlfn.XLOOKUP($B577,sales_teams!$A$2:$A$36,sales_teams!C$2:C$36)</f>
        <v>Central</v>
      </c>
      <c r="E577" t="s">
        <v>10</v>
      </c>
      <c r="F577" t="s">
        <v>315</v>
      </c>
      <c r="G577" t="s">
        <v>12</v>
      </c>
      <c r="H577" s="1">
        <v>42758</v>
      </c>
      <c r="I577" s="1">
        <v>42872</v>
      </c>
      <c r="J577">
        <v>1039</v>
      </c>
    </row>
    <row r="578" spans="1:10" x14ac:dyDescent="0.3">
      <c r="A578" t="s">
        <v>708</v>
      </c>
      <c r="B578" t="s">
        <v>133</v>
      </c>
      <c r="C578" t="str">
        <f>_xlfn.XLOOKUP(B578,
[1]sales_teams!$A$2:$A$100,
[1]sales_teams!$B$2:$B$100)</f>
        <v>Dustin Brinkmann</v>
      </c>
      <c r="D578" t="str">
        <f>_xlfn.XLOOKUP($B578,sales_teams!$A$2:$A$36,sales_teams!C$2:C$36)</f>
        <v>Central</v>
      </c>
      <c r="E578" t="s">
        <v>18</v>
      </c>
      <c r="F578" t="s">
        <v>91</v>
      </c>
      <c r="G578" t="s">
        <v>46</v>
      </c>
      <c r="H578" s="1">
        <v>42758</v>
      </c>
      <c r="I578" s="1">
        <v>42866</v>
      </c>
      <c r="J578">
        <v>0</v>
      </c>
    </row>
    <row r="579" spans="1:10" x14ac:dyDescent="0.3">
      <c r="A579" t="s">
        <v>709</v>
      </c>
      <c r="B579" t="s">
        <v>97</v>
      </c>
      <c r="C579" t="str">
        <f>_xlfn.XLOOKUP(B579,
[1]sales_teams!$A$2:$A$100,
[1]sales_teams!$B$2:$B$100)</f>
        <v>Rocco Neubert</v>
      </c>
      <c r="D579" t="str">
        <f>_xlfn.XLOOKUP($B579,sales_teams!$A$2:$A$36,sales_teams!C$2:C$36)</f>
        <v>East</v>
      </c>
      <c r="E579" t="s">
        <v>10</v>
      </c>
      <c r="F579" t="s">
        <v>189</v>
      </c>
      <c r="G579" t="s">
        <v>12</v>
      </c>
      <c r="H579" s="1">
        <v>42758</v>
      </c>
      <c r="I579" s="1">
        <v>42865</v>
      </c>
      <c r="J579">
        <v>1076</v>
      </c>
    </row>
    <row r="580" spans="1:10" x14ac:dyDescent="0.3">
      <c r="A580" t="s">
        <v>710</v>
      </c>
      <c r="B580" t="s">
        <v>57</v>
      </c>
      <c r="C580" t="str">
        <f>_xlfn.XLOOKUP(B580,
[1]sales_teams!$A$2:$A$100,
[1]sales_teams!$B$2:$B$100)</f>
        <v>Celia Rouche</v>
      </c>
      <c r="D580" t="str">
        <f>_xlfn.XLOOKUP($B580,sales_teams!$A$2:$A$36,sales_teams!C$2:C$36)</f>
        <v>West</v>
      </c>
      <c r="E580" t="s">
        <v>18</v>
      </c>
      <c r="F580" t="s">
        <v>199</v>
      </c>
      <c r="G580" t="s">
        <v>46</v>
      </c>
      <c r="H580" s="1">
        <v>42758</v>
      </c>
      <c r="I580" s="1">
        <v>42861</v>
      </c>
      <c r="J580">
        <v>0</v>
      </c>
    </row>
    <row r="581" spans="1:10" x14ac:dyDescent="0.3">
      <c r="A581" t="s">
        <v>711</v>
      </c>
      <c r="B581" t="s">
        <v>57</v>
      </c>
      <c r="C581" t="str">
        <f>_xlfn.XLOOKUP(B581,
[1]sales_teams!$A$2:$A$100,
[1]sales_teams!$B$2:$B$100)</f>
        <v>Celia Rouche</v>
      </c>
      <c r="D581" t="str">
        <f>_xlfn.XLOOKUP($B581,sales_teams!$A$2:$A$36,sales_teams!C$2:C$36)</f>
        <v>West</v>
      </c>
      <c r="E581" t="s">
        <v>18</v>
      </c>
      <c r="F581" t="s">
        <v>68</v>
      </c>
      <c r="G581" t="s">
        <v>46</v>
      </c>
      <c r="H581" s="1">
        <v>42758</v>
      </c>
      <c r="I581" s="1">
        <v>42878</v>
      </c>
      <c r="J581">
        <v>0</v>
      </c>
    </row>
    <row r="582" spans="1:10" x14ac:dyDescent="0.3">
      <c r="A582" t="s">
        <v>712</v>
      </c>
      <c r="B582" t="s">
        <v>61</v>
      </c>
      <c r="C582" t="str">
        <f>_xlfn.XLOOKUP(B582,
[1]sales_teams!$A$2:$A$100,
[1]sales_teams!$B$2:$B$100)</f>
        <v>Dustin Brinkmann</v>
      </c>
      <c r="D582" t="str">
        <f>_xlfn.XLOOKUP($B582,sales_teams!$A$2:$A$36,sales_teams!C$2:C$36)</f>
        <v>Central</v>
      </c>
      <c r="E582" t="s">
        <v>18</v>
      </c>
      <c r="F582" t="s">
        <v>126</v>
      </c>
      <c r="G582" t="s">
        <v>12</v>
      </c>
      <c r="H582" s="1">
        <v>42758</v>
      </c>
      <c r="I582" s="1">
        <v>42810</v>
      </c>
      <c r="J582">
        <v>53</v>
      </c>
    </row>
    <row r="583" spans="1:10" x14ac:dyDescent="0.3">
      <c r="A583" t="s">
        <v>713</v>
      </c>
      <c r="B583" t="s">
        <v>61</v>
      </c>
      <c r="C583" t="str">
        <f>_xlfn.XLOOKUP(B583,
[1]sales_teams!$A$2:$A$100,
[1]sales_teams!$B$2:$B$100)</f>
        <v>Dustin Brinkmann</v>
      </c>
      <c r="D583" t="str">
        <f>_xlfn.XLOOKUP($B583,sales_teams!$A$2:$A$36,sales_teams!C$2:C$36)</f>
        <v>Central</v>
      </c>
      <c r="E583" t="s">
        <v>39</v>
      </c>
      <c r="F583" t="s">
        <v>187</v>
      </c>
      <c r="G583" t="s">
        <v>12</v>
      </c>
      <c r="H583" s="1">
        <v>42758</v>
      </c>
      <c r="I583" s="1">
        <v>42817</v>
      </c>
      <c r="J583">
        <v>3046</v>
      </c>
    </row>
    <row r="584" spans="1:10" x14ac:dyDescent="0.3">
      <c r="A584" t="s">
        <v>714</v>
      </c>
      <c r="B584" t="s">
        <v>29</v>
      </c>
      <c r="C584" t="str">
        <f>_xlfn.XLOOKUP(B584,
[1]sales_teams!$A$2:$A$100,
[1]sales_teams!$B$2:$B$100)</f>
        <v>Celia Rouche</v>
      </c>
      <c r="D584" t="str">
        <f>_xlfn.XLOOKUP($B584,sales_teams!$A$2:$A$36,sales_teams!C$2:C$36)</f>
        <v>West</v>
      </c>
      <c r="E584" t="s">
        <v>10</v>
      </c>
      <c r="G584" t="s">
        <v>40</v>
      </c>
      <c r="H584" s="1">
        <v>42758</v>
      </c>
    </row>
    <row r="585" spans="1:10" x14ac:dyDescent="0.3">
      <c r="A585" t="s">
        <v>715</v>
      </c>
      <c r="B585" t="s">
        <v>73</v>
      </c>
      <c r="C585" t="str">
        <f>_xlfn.XLOOKUP(B585,
[1]sales_teams!$A$2:$A$100,
[1]sales_teams!$B$2:$B$100)</f>
        <v>Cara Losch</v>
      </c>
      <c r="D585" t="str">
        <f>_xlfn.XLOOKUP($B585,sales_teams!$A$2:$A$36,sales_teams!C$2:C$36)</f>
        <v>East</v>
      </c>
      <c r="E585" t="s">
        <v>18</v>
      </c>
      <c r="F585" t="s">
        <v>98</v>
      </c>
      <c r="G585" t="s">
        <v>46</v>
      </c>
      <c r="H585" s="1">
        <v>42758</v>
      </c>
      <c r="I585" s="1">
        <v>42861</v>
      </c>
      <c r="J585">
        <v>0</v>
      </c>
    </row>
    <row r="586" spans="1:10" x14ac:dyDescent="0.3">
      <c r="A586" t="s">
        <v>716</v>
      </c>
      <c r="B586" t="s">
        <v>23</v>
      </c>
      <c r="C586" t="str">
        <f>_xlfn.XLOOKUP(B586,
[1]sales_teams!$A$2:$A$100,
[1]sales_teams!$B$2:$B$100)</f>
        <v>Summer Sewald</v>
      </c>
      <c r="D586" t="str">
        <f>_xlfn.XLOOKUP($B586,sales_teams!$A$2:$A$36,sales_teams!C$2:C$36)</f>
        <v>West</v>
      </c>
      <c r="E586" t="s">
        <v>20</v>
      </c>
      <c r="F586" t="s">
        <v>59</v>
      </c>
      <c r="G586" t="s">
        <v>46</v>
      </c>
      <c r="H586" s="1">
        <v>42758</v>
      </c>
      <c r="I586" s="1">
        <v>42824</v>
      </c>
      <c r="J586">
        <v>0</v>
      </c>
    </row>
    <row r="587" spans="1:10" x14ac:dyDescent="0.3">
      <c r="A587" t="s">
        <v>717</v>
      </c>
      <c r="B587" t="s">
        <v>64</v>
      </c>
      <c r="C587" t="str">
        <f>_xlfn.XLOOKUP(B587,
[1]sales_teams!$A$2:$A$100,
[1]sales_teams!$B$2:$B$100)</f>
        <v>Rocco Neubert</v>
      </c>
      <c r="D587" t="str">
        <f>_xlfn.XLOOKUP($B587,sales_teams!$A$2:$A$36,sales_teams!C$2:C$36)</f>
        <v>East</v>
      </c>
      <c r="E587" t="s">
        <v>15</v>
      </c>
      <c r="F587" t="s">
        <v>155</v>
      </c>
      <c r="G587" t="s">
        <v>12</v>
      </c>
      <c r="H587" s="1">
        <v>42759</v>
      </c>
      <c r="I587" s="1">
        <v>42825</v>
      </c>
      <c r="J587">
        <v>5140</v>
      </c>
    </row>
    <row r="588" spans="1:10" x14ac:dyDescent="0.3">
      <c r="A588" t="s">
        <v>718</v>
      </c>
      <c r="B588" t="s">
        <v>14</v>
      </c>
      <c r="C588" t="str">
        <f>_xlfn.XLOOKUP(B588,
[1]sales_teams!$A$2:$A$100,
[1]sales_teams!$B$2:$B$100)</f>
        <v>Melvin Marxen</v>
      </c>
      <c r="D588" t="str">
        <f>_xlfn.XLOOKUP($B588,sales_teams!$A$2:$A$36,sales_teams!C$2:C$36)</f>
        <v>Central</v>
      </c>
      <c r="E588" t="s">
        <v>10</v>
      </c>
      <c r="F588" t="s">
        <v>76</v>
      </c>
      <c r="G588" t="s">
        <v>12</v>
      </c>
      <c r="H588" s="1">
        <v>42759</v>
      </c>
      <c r="I588" s="1">
        <v>42872</v>
      </c>
      <c r="J588">
        <v>1067</v>
      </c>
    </row>
    <row r="589" spans="1:10" x14ac:dyDescent="0.3">
      <c r="A589" t="s">
        <v>719</v>
      </c>
      <c r="B589" t="s">
        <v>78</v>
      </c>
      <c r="C589" t="str">
        <f>_xlfn.XLOOKUP(B589,
[1]sales_teams!$A$2:$A$100,
[1]sales_teams!$B$2:$B$100)</f>
        <v>Summer Sewald</v>
      </c>
      <c r="D589" t="str">
        <f>_xlfn.XLOOKUP($B589,sales_teams!$A$2:$A$36,sales_teams!C$2:C$36)</f>
        <v>West</v>
      </c>
      <c r="E589" t="s">
        <v>20</v>
      </c>
      <c r="G589" t="s">
        <v>40</v>
      </c>
      <c r="H589" s="1">
        <v>42759</v>
      </c>
    </row>
    <row r="590" spans="1:10" x14ac:dyDescent="0.3">
      <c r="A590" t="s">
        <v>720</v>
      </c>
      <c r="B590" t="s">
        <v>78</v>
      </c>
      <c r="C590" t="str">
        <f>_xlfn.XLOOKUP(B590,
[1]sales_teams!$A$2:$A$100,
[1]sales_teams!$B$2:$B$100)</f>
        <v>Summer Sewald</v>
      </c>
      <c r="D590" t="str">
        <f>_xlfn.XLOOKUP($B590,sales_teams!$A$2:$A$36,sales_teams!C$2:C$36)</f>
        <v>West</v>
      </c>
      <c r="E590" t="s">
        <v>10</v>
      </c>
      <c r="F590" t="s">
        <v>24</v>
      </c>
      <c r="G590" t="s">
        <v>40</v>
      </c>
      <c r="H590" s="1">
        <v>42759</v>
      </c>
    </row>
    <row r="591" spans="1:10" x14ac:dyDescent="0.3">
      <c r="A591" t="s">
        <v>721</v>
      </c>
      <c r="B591" t="s">
        <v>29</v>
      </c>
      <c r="C591" t="str">
        <f>_xlfn.XLOOKUP(B591,
[1]sales_teams!$A$2:$A$100,
[1]sales_teams!$B$2:$B$100)</f>
        <v>Celia Rouche</v>
      </c>
      <c r="D591" t="str">
        <f>_xlfn.XLOOKUP($B591,sales_teams!$A$2:$A$36,sales_teams!C$2:C$36)</f>
        <v>West</v>
      </c>
      <c r="E591" t="s">
        <v>20</v>
      </c>
      <c r="G591" t="s">
        <v>40</v>
      </c>
      <c r="H591" s="1">
        <v>42759</v>
      </c>
    </row>
    <row r="592" spans="1:10" x14ac:dyDescent="0.3">
      <c r="A592" t="s">
        <v>722</v>
      </c>
      <c r="B592" t="s">
        <v>118</v>
      </c>
      <c r="C592" t="str">
        <f>_xlfn.XLOOKUP(B592,
[1]sales_teams!$A$2:$A$100,
[1]sales_teams!$B$2:$B$100)</f>
        <v>Rocco Neubert</v>
      </c>
      <c r="D592" t="str">
        <f>_xlfn.XLOOKUP($B592,sales_teams!$A$2:$A$36,sales_teams!C$2:C$36)</f>
        <v>East</v>
      </c>
      <c r="E592" t="s">
        <v>15</v>
      </c>
      <c r="F592" t="s">
        <v>140</v>
      </c>
      <c r="G592" t="s">
        <v>46</v>
      </c>
      <c r="H592" s="1">
        <v>42760</v>
      </c>
      <c r="I592" s="1">
        <v>42884</v>
      </c>
      <c r="J592">
        <v>0</v>
      </c>
    </row>
    <row r="593" spans="1:10" x14ac:dyDescent="0.3">
      <c r="A593" t="s">
        <v>723</v>
      </c>
      <c r="B593" t="s">
        <v>64</v>
      </c>
      <c r="C593" t="str">
        <f>_xlfn.XLOOKUP(B593,
[1]sales_teams!$A$2:$A$100,
[1]sales_teams!$B$2:$B$100)</f>
        <v>Rocco Neubert</v>
      </c>
      <c r="D593" t="str">
        <f>_xlfn.XLOOKUP($B593,sales_teams!$A$2:$A$36,sales_teams!C$2:C$36)</f>
        <v>East</v>
      </c>
      <c r="E593" t="s">
        <v>10</v>
      </c>
      <c r="F593" t="s">
        <v>300</v>
      </c>
      <c r="G593" t="s">
        <v>12</v>
      </c>
      <c r="H593" s="1">
        <v>42760</v>
      </c>
      <c r="I593" s="1">
        <v>42815</v>
      </c>
      <c r="J593">
        <v>1065</v>
      </c>
    </row>
    <row r="594" spans="1:10" x14ac:dyDescent="0.3">
      <c r="A594" t="s">
        <v>724</v>
      </c>
      <c r="B594" t="s">
        <v>95</v>
      </c>
      <c r="C594" t="str">
        <f>_xlfn.XLOOKUP(B594,
[1]sales_teams!$A$2:$A$100,
[1]sales_teams!$B$2:$B$100)</f>
        <v>Summer Sewald</v>
      </c>
      <c r="D594" t="str">
        <f>_xlfn.XLOOKUP($B594,sales_teams!$A$2:$A$36,sales_teams!C$2:C$36)</f>
        <v>West</v>
      </c>
      <c r="E594" t="s">
        <v>20</v>
      </c>
      <c r="F594" t="s">
        <v>184</v>
      </c>
      <c r="G594" t="s">
        <v>12</v>
      </c>
      <c r="H594" s="1">
        <v>42760</v>
      </c>
      <c r="I594" s="1">
        <v>42861</v>
      </c>
      <c r="J594">
        <v>481</v>
      </c>
    </row>
    <row r="595" spans="1:10" x14ac:dyDescent="0.3">
      <c r="A595" t="s">
        <v>725</v>
      </c>
      <c r="B595" t="s">
        <v>32</v>
      </c>
      <c r="C595" t="str">
        <f>_xlfn.XLOOKUP(B595,
[1]sales_teams!$A$2:$A$100,
[1]sales_teams!$B$2:$B$100)</f>
        <v>Celia Rouche</v>
      </c>
      <c r="D595" t="str">
        <f>_xlfn.XLOOKUP($B595,sales_teams!$A$2:$A$36,sales_teams!C$2:C$36)</f>
        <v>West</v>
      </c>
      <c r="E595" t="s">
        <v>20</v>
      </c>
      <c r="F595" t="s">
        <v>30</v>
      </c>
      <c r="G595" t="s">
        <v>46</v>
      </c>
      <c r="H595" s="1">
        <v>42760</v>
      </c>
      <c r="I595" s="1">
        <v>42877</v>
      </c>
      <c r="J595">
        <v>0</v>
      </c>
    </row>
    <row r="596" spans="1:10" x14ac:dyDescent="0.3">
      <c r="A596" t="s">
        <v>726</v>
      </c>
      <c r="B596" t="s">
        <v>51</v>
      </c>
      <c r="C596" t="str">
        <f>_xlfn.XLOOKUP(B596,
[1]sales_teams!$A$2:$A$100,
[1]sales_teams!$B$2:$B$100)</f>
        <v>Summer Sewald</v>
      </c>
      <c r="D596" t="str">
        <f>_xlfn.XLOOKUP($B596,sales_teams!$A$2:$A$36,sales_teams!C$2:C$36)</f>
        <v>West</v>
      </c>
      <c r="E596" t="s">
        <v>20</v>
      </c>
      <c r="F596" t="s">
        <v>174</v>
      </c>
      <c r="G596" t="s">
        <v>12</v>
      </c>
      <c r="H596" s="1">
        <v>42760</v>
      </c>
      <c r="I596" s="1">
        <v>42800</v>
      </c>
      <c r="J596">
        <v>499</v>
      </c>
    </row>
    <row r="597" spans="1:10" x14ac:dyDescent="0.3">
      <c r="A597" t="s">
        <v>727</v>
      </c>
      <c r="B597" t="s">
        <v>97</v>
      </c>
      <c r="C597" t="str">
        <f>_xlfn.XLOOKUP(B597,
[1]sales_teams!$A$2:$A$100,
[1]sales_teams!$B$2:$B$100)</f>
        <v>Rocco Neubert</v>
      </c>
      <c r="D597" t="str">
        <f>_xlfn.XLOOKUP($B597,sales_teams!$A$2:$A$36,sales_teams!C$2:C$36)</f>
        <v>East</v>
      </c>
      <c r="E597" t="s">
        <v>15</v>
      </c>
      <c r="F597" t="s">
        <v>98</v>
      </c>
      <c r="G597" t="s">
        <v>46</v>
      </c>
      <c r="H597" s="1">
        <v>42760</v>
      </c>
      <c r="I597" s="1">
        <v>42862</v>
      </c>
      <c r="J597">
        <v>0</v>
      </c>
    </row>
    <row r="598" spans="1:10" x14ac:dyDescent="0.3">
      <c r="A598" t="s">
        <v>728</v>
      </c>
      <c r="B598" t="s">
        <v>88</v>
      </c>
      <c r="C598" t="str">
        <f>_xlfn.XLOOKUP(B598,
[1]sales_teams!$A$2:$A$100,
[1]sales_teams!$B$2:$B$100)</f>
        <v>Cara Losch</v>
      </c>
      <c r="D598" t="str">
        <f>_xlfn.XLOOKUP($B598,sales_teams!$A$2:$A$36,sales_teams!C$2:C$36)</f>
        <v>East</v>
      </c>
      <c r="E598" t="s">
        <v>18</v>
      </c>
      <c r="F598" t="s">
        <v>165</v>
      </c>
      <c r="G598" t="s">
        <v>12</v>
      </c>
      <c r="H598" s="1">
        <v>42760</v>
      </c>
      <c r="I598" s="1">
        <v>42802</v>
      </c>
      <c r="J598">
        <v>59</v>
      </c>
    </row>
    <row r="599" spans="1:10" x14ac:dyDescent="0.3">
      <c r="A599" t="s">
        <v>729</v>
      </c>
      <c r="B599" t="s">
        <v>29</v>
      </c>
      <c r="C599" t="str">
        <f>_xlfn.XLOOKUP(B599,
[1]sales_teams!$A$2:$A$100,
[1]sales_teams!$B$2:$B$100)</f>
        <v>Celia Rouche</v>
      </c>
      <c r="D599" t="str">
        <f>_xlfn.XLOOKUP($B599,sales_teams!$A$2:$A$36,sales_teams!C$2:C$36)</f>
        <v>West</v>
      </c>
      <c r="E599" t="s">
        <v>18</v>
      </c>
      <c r="F599" t="s">
        <v>315</v>
      </c>
      <c r="G599" t="s">
        <v>46</v>
      </c>
      <c r="H599" s="1">
        <v>42760</v>
      </c>
      <c r="I599" s="1">
        <v>42856</v>
      </c>
      <c r="J599">
        <v>0</v>
      </c>
    </row>
    <row r="600" spans="1:10" x14ac:dyDescent="0.3">
      <c r="A600" t="s">
        <v>730</v>
      </c>
      <c r="B600" t="s">
        <v>73</v>
      </c>
      <c r="C600" t="str">
        <f>_xlfn.XLOOKUP(B600,
[1]sales_teams!$A$2:$A$100,
[1]sales_teams!$B$2:$B$100)</f>
        <v>Cara Losch</v>
      </c>
      <c r="D600" t="str">
        <f>_xlfn.XLOOKUP($B600,sales_teams!$A$2:$A$36,sales_teams!C$2:C$36)</f>
        <v>East</v>
      </c>
      <c r="E600" t="s">
        <v>18</v>
      </c>
      <c r="F600" t="s">
        <v>240</v>
      </c>
      <c r="G600" t="s">
        <v>12</v>
      </c>
      <c r="H600" s="1">
        <v>42760</v>
      </c>
      <c r="I600" s="1">
        <v>42864</v>
      </c>
      <c r="J600">
        <v>45</v>
      </c>
    </row>
    <row r="601" spans="1:10" x14ac:dyDescent="0.3">
      <c r="A601" t="s">
        <v>731</v>
      </c>
      <c r="B601" t="s">
        <v>102</v>
      </c>
      <c r="C601" t="str">
        <f>_xlfn.XLOOKUP(B601,
[1]sales_teams!$A$2:$A$100,
[1]sales_teams!$B$2:$B$100)</f>
        <v>Cara Losch</v>
      </c>
      <c r="D601" t="str">
        <f>_xlfn.XLOOKUP($B601,sales_teams!$A$2:$A$36,sales_teams!C$2:C$36)</f>
        <v>East</v>
      </c>
      <c r="E601" t="s">
        <v>39</v>
      </c>
      <c r="G601" t="s">
        <v>40</v>
      </c>
      <c r="H601" s="1">
        <v>42760</v>
      </c>
    </row>
    <row r="602" spans="1:10" x14ac:dyDescent="0.3">
      <c r="A602" t="s">
        <v>732</v>
      </c>
      <c r="B602" t="s">
        <v>23</v>
      </c>
      <c r="C602" t="str">
        <f>_xlfn.XLOOKUP(B602,
[1]sales_teams!$A$2:$A$100,
[1]sales_teams!$B$2:$B$100)</f>
        <v>Summer Sewald</v>
      </c>
      <c r="D602" t="str">
        <f>_xlfn.XLOOKUP($B602,sales_teams!$A$2:$A$36,sales_teams!C$2:C$36)</f>
        <v>West</v>
      </c>
      <c r="E602" t="s">
        <v>15</v>
      </c>
      <c r="F602" t="s">
        <v>52</v>
      </c>
      <c r="G602" t="s">
        <v>12</v>
      </c>
      <c r="H602" s="1">
        <v>42760</v>
      </c>
      <c r="I602" s="1">
        <v>42869</v>
      </c>
      <c r="J602">
        <v>5743</v>
      </c>
    </row>
    <row r="603" spans="1:10" x14ac:dyDescent="0.3">
      <c r="A603" t="s">
        <v>733</v>
      </c>
      <c r="B603" t="s">
        <v>118</v>
      </c>
      <c r="C603" t="str">
        <f>_xlfn.XLOOKUP(B603,
[1]sales_teams!$A$2:$A$100,
[1]sales_teams!$B$2:$B$100)</f>
        <v>Rocco Neubert</v>
      </c>
      <c r="D603" t="str">
        <f>_xlfn.XLOOKUP($B603,sales_teams!$A$2:$A$36,sales_teams!C$2:C$36)</f>
        <v>East</v>
      </c>
      <c r="E603" t="s">
        <v>48</v>
      </c>
      <c r="F603" t="s">
        <v>74</v>
      </c>
      <c r="G603" t="s">
        <v>12</v>
      </c>
      <c r="H603" s="1">
        <v>42761</v>
      </c>
      <c r="I603" s="1">
        <v>42868</v>
      </c>
      <c r="J603">
        <v>6117</v>
      </c>
    </row>
    <row r="604" spans="1:10" x14ac:dyDescent="0.3">
      <c r="A604" t="s">
        <v>734</v>
      </c>
      <c r="B604" t="s">
        <v>14</v>
      </c>
      <c r="C604" t="str">
        <f>_xlfn.XLOOKUP(B604,
[1]sales_teams!$A$2:$A$100,
[1]sales_teams!$B$2:$B$100)</f>
        <v>Melvin Marxen</v>
      </c>
      <c r="D604" t="str">
        <f>_xlfn.XLOOKUP($B604,sales_teams!$A$2:$A$36,sales_teams!C$2:C$36)</f>
        <v>Central</v>
      </c>
      <c r="E604" t="s">
        <v>15</v>
      </c>
      <c r="F604" t="s">
        <v>207</v>
      </c>
      <c r="G604" t="s">
        <v>46</v>
      </c>
      <c r="H604" s="1">
        <v>42761</v>
      </c>
      <c r="I604" s="1">
        <v>42881</v>
      </c>
      <c r="J604">
        <v>0</v>
      </c>
    </row>
    <row r="605" spans="1:10" x14ac:dyDescent="0.3">
      <c r="A605" t="s">
        <v>735</v>
      </c>
      <c r="B605" t="s">
        <v>142</v>
      </c>
      <c r="C605" t="str">
        <f>_xlfn.XLOOKUP(B605,
[1]sales_teams!$A$2:$A$100,
[1]sales_teams!$B$2:$B$100)</f>
        <v>Rocco Neubert</v>
      </c>
      <c r="D605" t="str">
        <f>_xlfn.XLOOKUP($B605,sales_teams!$A$2:$A$36,sales_teams!C$2:C$36)</f>
        <v>East</v>
      </c>
      <c r="E605" t="s">
        <v>10</v>
      </c>
      <c r="F605" t="s">
        <v>103</v>
      </c>
      <c r="G605" t="s">
        <v>12</v>
      </c>
      <c r="H605" s="1">
        <v>42761</v>
      </c>
      <c r="I605" s="1">
        <v>42813</v>
      </c>
      <c r="J605">
        <v>1158</v>
      </c>
    </row>
    <row r="606" spans="1:10" x14ac:dyDescent="0.3">
      <c r="A606" t="s">
        <v>736</v>
      </c>
      <c r="B606" t="s">
        <v>105</v>
      </c>
      <c r="C606" t="str">
        <f>_xlfn.XLOOKUP(B606,
[1]sales_teams!$A$2:$A$100,
[1]sales_teams!$B$2:$B$100)</f>
        <v>Cara Losch</v>
      </c>
      <c r="D606" t="str">
        <f>_xlfn.XLOOKUP($B606,sales_teams!$A$2:$A$36,sales_teams!C$2:C$36)</f>
        <v>East</v>
      </c>
      <c r="E606" t="s">
        <v>18</v>
      </c>
      <c r="F606" t="s">
        <v>179</v>
      </c>
      <c r="G606" t="s">
        <v>12</v>
      </c>
      <c r="H606" s="1">
        <v>42761</v>
      </c>
      <c r="I606" s="1">
        <v>42877</v>
      </c>
      <c r="J606">
        <v>59</v>
      </c>
    </row>
    <row r="607" spans="1:10" x14ac:dyDescent="0.3">
      <c r="A607" t="s">
        <v>737</v>
      </c>
      <c r="B607" t="s">
        <v>78</v>
      </c>
      <c r="C607" t="str">
        <f>_xlfn.XLOOKUP(B607,
[1]sales_teams!$A$2:$A$100,
[1]sales_teams!$B$2:$B$100)</f>
        <v>Summer Sewald</v>
      </c>
      <c r="D607" t="str">
        <f>_xlfn.XLOOKUP($B607,sales_teams!$A$2:$A$36,sales_teams!C$2:C$36)</f>
        <v>West</v>
      </c>
      <c r="E607" t="s">
        <v>10</v>
      </c>
      <c r="F607" t="s">
        <v>174</v>
      </c>
      <c r="G607" t="s">
        <v>46</v>
      </c>
      <c r="H607" s="1">
        <v>42761</v>
      </c>
      <c r="I607" s="1">
        <v>42879</v>
      </c>
      <c r="J607">
        <v>0</v>
      </c>
    </row>
    <row r="608" spans="1:10" x14ac:dyDescent="0.3">
      <c r="A608" t="s">
        <v>738</v>
      </c>
      <c r="B608" t="s">
        <v>51</v>
      </c>
      <c r="C608" t="str">
        <f>_xlfn.XLOOKUP(B608,
[1]sales_teams!$A$2:$A$100,
[1]sales_teams!$B$2:$B$100)</f>
        <v>Summer Sewald</v>
      </c>
      <c r="D608" t="str">
        <f>_xlfn.XLOOKUP($B608,sales_teams!$A$2:$A$36,sales_teams!C$2:C$36)</f>
        <v>West</v>
      </c>
      <c r="E608" t="s">
        <v>39</v>
      </c>
      <c r="F608" t="s">
        <v>93</v>
      </c>
      <c r="G608" t="s">
        <v>12</v>
      </c>
      <c r="H608" s="1">
        <v>42761</v>
      </c>
      <c r="I608" s="1">
        <v>42818</v>
      </c>
      <c r="J608">
        <v>3106</v>
      </c>
    </row>
    <row r="609" spans="1:10" x14ac:dyDescent="0.3">
      <c r="A609" t="s">
        <v>739</v>
      </c>
      <c r="B609" t="s">
        <v>57</v>
      </c>
      <c r="C609" t="str">
        <f>_xlfn.XLOOKUP(B609,
[1]sales_teams!$A$2:$A$100,
[1]sales_teams!$B$2:$B$100)</f>
        <v>Celia Rouche</v>
      </c>
      <c r="D609" t="str">
        <f>_xlfn.XLOOKUP($B609,sales_teams!$A$2:$A$36,sales_teams!C$2:C$36)</f>
        <v>West</v>
      </c>
      <c r="E609" t="s">
        <v>39</v>
      </c>
      <c r="F609" t="s">
        <v>555</v>
      </c>
      <c r="G609" t="s">
        <v>12</v>
      </c>
      <c r="H609" s="1">
        <v>42761</v>
      </c>
      <c r="I609" s="1">
        <v>42813</v>
      </c>
      <c r="J609">
        <v>2982</v>
      </c>
    </row>
    <row r="610" spans="1:10" x14ac:dyDescent="0.3">
      <c r="A610" t="s">
        <v>740</v>
      </c>
      <c r="B610" t="s">
        <v>23</v>
      </c>
      <c r="C610" t="str">
        <f>_xlfn.XLOOKUP(B610,
[1]sales_teams!$A$2:$A$100,
[1]sales_teams!$B$2:$B$100)</f>
        <v>Summer Sewald</v>
      </c>
      <c r="D610" t="str">
        <f>_xlfn.XLOOKUP($B610,sales_teams!$A$2:$A$36,sales_teams!C$2:C$36)</f>
        <v>West</v>
      </c>
      <c r="E610" t="s">
        <v>48</v>
      </c>
      <c r="F610" t="s">
        <v>315</v>
      </c>
      <c r="G610" t="s">
        <v>12</v>
      </c>
      <c r="H610" s="1">
        <v>42761</v>
      </c>
      <c r="I610" s="1">
        <v>42810</v>
      </c>
      <c r="J610">
        <v>6101</v>
      </c>
    </row>
    <row r="611" spans="1:10" x14ac:dyDescent="0.3">
      <c r="A611" t="s">
        <v>741</v>
      </c>
      <c r="B611" t="s">
        <v>26</v>
      </c>
      <c r="C611" t="str">
        <f>_xlfn.XLOOKUP(B611,
[1]sales_teams!$A$2:$A$100,
[1]sales_teams!$B$2:$B$100)</f>
        <v>Dustin Brinkmann</v>
      </c>
      <c r="D611" t="str">
        <f>_xlfn.XLOOKUP($B611,sales_teams!$A$2:$A$36,sales_teams!C$2:C$36)</f>
        <v>Central</v>
      </c>
      <c r="E611" t="s">
        <v>48</v>
      </c>
      <c r="F611" t="s">
        <v>62</v>
      </c>
      <c r="G611" t="s">
        <v>12</v>
      </c>
      <c r="H611" s="1">
        <v>42762</v>
      </c>
      <c r="I611" s="1">
        <v>42863</v>
      </c>
      <c r="J611">
        <v>5883</v>
      </c>
    </row>
    <row r="612" spans="1:10" x14ac:dyDescent="0.3">
      <c r="A612" t="s">
        <v>742</v>
      </c>
      <c r="B612" t="s">
        <v>164</v>
      </c>
      <c r="C612" t="str">
        <f>_xlfn.XLOOKUP(B612,
[1]sales_teams!$A$2:$A$100,
[1]sales_teams!$B$2:$B$100)</f>
        <v>Cara Losch</v>
      </c>
      <c r="D612" t="str">
        <f>_xlfn.XLOOKUP($B612,sales_teams!$A$2:$A$36,sales_teams!C$2:C$36)</f>
        <v>East</v>
      </c>
      <c r="E612" t="s">
        <v>48</v>
      </c>
      <c r="F612" t="s">
        <v>65</v>
      </c>
      <c r="G612" t="s">
        <v>12</v>
      </c>
      <c r="H612" s="1">
        <v>42762</v>
      </c>
      <c r="I612" s="1">
        <v>42877</v>
      </c>
      <c r="J612">
        <v>5051</v>
      </c>
    </row>
    <row r="613" spans="1:10" x14ac:dyDescent="0.3">
      <c r="A613" t="s">
        <v>743</v>
      </c>
      <c r="B613" t="s">
        <v>14</v>
      </c>
      <c r="C613" t="str">
        <f>_xlfn.XLOOKUP(B613,
[1]sales_teams!$A$2:$A$100,
[1]sales_teams!$B$2:$B$100)</f>
        <v>Melvin Marxen</v>
      </c>
      <c r="D613" t="str">
        <f>_xlfn.XLOOKUP($B613,sales_teams!$A$2:$A$36,sales_teams!C$2:C$36)</f>
        <v>Central</v>
      </c>
      <c r="E613" t="s">
        <v>10</v>
      </c>
      <c r="F613" t="s">
        <v>187</v>
      </c>
      <c r="G613" t="s">
        <v>12</v>
      </c>
      <c r="H613" s="1">
        <v>42762</v>
      </c>
      <c r="I613" s="1">
        <v>42866</v>
      </c>
      <c r="J613">
        <v>1155</v>
      </c>
    </row>
    <row r="614" spans="1:10" x14ac:dyDescent="0.3">
      <c r="A614" t="s">
        <v>744</v>
      </c>
      <c r="B614" t="s">
        <v>105</v>
      </c>
      <c r="C614" t="str">
        <f>_xlfn.XLOOKUP(B614,
[1]sales_teams!$A$2:$A$100,
[1]sales_teams!$B$2:$B$100)</f>
        <v>Cara Losch</v>
      </c>
      <c r="D614" t="str">
        <f>_xlfn.XLOOKUP($B614,sales_teams!$A$2:$A$36,sales_teams!C$2:C$36)</f>
        <v>East</v>
      </c>
      <c r="E614" t="s">
        <v>20</v>
      </c>
      <c r="F614" t="s">
        <v>745</v>
      </c>
      <c r="G614" t="s">
        <v>46</v>
      </c>
      <c r="H614" s="1">
        <v>42762</v>
      </c>
      <c r="I614" s="1">
        <v>42865</v>
      </c>
      <c r="J614">
        <v>0</v>
      </c>
    </row>
    <row r="615" spans="1:10" x14ac:dyDescent="0.3">
      <c r="A615" t="s">
        <v>746</v>
      </c>
      <c r="B615" t="s">
        <v>38</v>
      </c>
      <c r="C615" t="str">
        <f>_xlfn.XLOOKUP(B615,
[1]sales_teams!$A$2:$A$100,
[1]sales_teams!$B$2:$B$100)</f>
        <v>Summer Sewald</v>
      </c>
      <c r="D615" t="str">
        <f>_xlfn.XLOOKUP($B615,sales_teams!$A$2:$A$36,sales_teams!C$2:C$36)</f>
        <v>West</v>
      </c>
      <c r="E615" t="s">
        <v>48</v>
      </c>
      <c r="F615" t="s">
        <v>33</v>
      </c>
      <c r="G615" t="s">
        <v>12</v>
      </c>
      <c r="H615" s="1">
        <v>42762</v>
      </c>
      <c r="I615" s="1">
        <v>42800</v>
      </c>
      <c r="J615">
        <v>5616</v>
      </c>
    </row>
    <row r="616" spans="1:10" x14ac:dyDescent="0.3">
      <c r="A616" t="s">
        <v>747</v>
      </c>
      <c r="B616" t="s">
        <v>38</v>
      </c>
      <c r="C616" t="str">
        <f>_xlfn.XLOOKUP(B616,
[1]sales_teams!$A$2:$A$100,
[1]sales_teams!$B$2:$B$100)</f>
        <v>Summer Sewald</v>
      </c>
      <c r="D616" t="str">
        <f>_xlfn.XLOOKUP($B616,sales_teams!$A$2:$A$36,sales_teams!C$2:C$36)</f>
        <v>West</v>
      </c>
      <c r="E616" t="s">
        <v>48</v>
      </c>
      <c r="F616" t="s">
        <v>122</v>
      </c>
      <c r="G616" t="s">
        <v>12</v>
      </c>
      <c r="H616" s="1">
        <v>42762</v>
      </c>
      <c r="I616" s="1">
        <v>42892</v>
      </c>
      <c r="J616">
        <v>5116</v>
      </c>
    </row>
    <row r="617" spans="1:10" x14ac:dyDescent="0.3">
      <c r="A617" t="s">
        <v>748</v>
      </c>
      <c r="B617" t="s">
        <v>95</v>
      </c>
      <c r="C617" t="str">
        <f>_xlfn.XLOOKUP(B617,
[1]sales_teams!$A$2:$A$100,
[1]sales_teams!$B$2:$B$100)</f>
        <v>Summer Sewald</v>
      </c>
      <c r="D617" t="str">
        <f>_xlfn.XLOOKUP($B617,sales_teams!$A$2:$A$36,sales_teams!C$2:C$36)</f>
        <v>West</v>
      </c>
      <c r="E617" t="s">
        <v>10</v>
      </c>
      <c r="F617" t="s">
        <v>218</v>
      </c>
      <c r="G617" t="s">
        <v>12</v>
      </c>
      <c r="H617" s="1">
        <v>42762</v>
      </c>
      <c r="I617" s="1">
        <v>42824</v>
      </c>
      <c r="J617">
        <v>1136</v>
      </c>
    </row>
    <row r="618" spans="1:10" x14ac:dyDescent="0.3">
      <c r="A618" t="s">
        <v>749</v>
      </c>
      <c r="B618" t="s">
        <v>26</v>
      </c>
      <c r="C618" t="str">
        <f>_xlfn.XLOOKUP(B618,
[1]sales_teams!$A$2:$A$100,
[1]sales_teams!$B$2:$B$100)</f>
        <v>Dustin Brinkmann</v>
      </c>
      <c r="D618" t="str">
        <f>_xlfn.XLOOKUP($B618,sales_teams!$A$2:$A$36,sales_teams!C$2:C$36)</f>
        <v>Central</v>
      </c>
      <c r="E618" t="s">
        <v>10</v>
      </c>
      <c r="F618" t="s">
        <v>129</v>
      </c>
      <c r="G618" t="s">
        <v>12</v>
      </c>
      <c r="H618" s="1">
        <v>42763</v>
      </c>
      <c r="I618" s="1">
        <v>42887</v>
      </c>
      <c r="J618">
        <v>1216</v>
      </c>
    </row>
    <row r="619" spans="1:10" x14ac:dyDescent="0.3">
      <c r="A619" t="s">
        <v>750</v>
      </c>
      <c r="B619" t="s">
        <v>26</v>
      </c>
      <c r="C619" t="str">
        <f>_xlfn.XLOOKUP(B619,
[1]sales_teams!$A$2:$A$100,
[1]sales_teams!$B$2:$B$100)</f>
        <v>Dustin Brinkmann</v>
      </c>
      <c r="D619" t="str">
        <f>_xlfn.XLOOKUP($B619,sales_teams!$A$2:$A$36,sales_teams!C$2:C$36)</f>
        <v>Central</v>
      </c>
      <c r="E619" t="s">
        <v>10</v>
      </c>
      <c r="F619" t="s">
        <v>315</v>
      </c>
      <c r="G619" t="s">
        <v>12</v>
      </c>
      <c r="H619" s="1">
        <v>42763</v>
      </c>
      <c r="I619" s="1">
        <v>42857</v>
      </c>
      <c r="J619">
        <v>1089</v>
      </c>
    </row>
    <row r="620" spans="1:10" x14ac:dyDescent="0.3">
      <c r="A620" t="s">
        <v>751</v>
      </c>
      <c r="B620" t="s">
        <v>118</v>
      </c>
      <c r="C620" t="str">
        <f>_xlfn.XLOOKUP(B620,
[1]sales_teams!$A$2:$A$100,
[1]sales_teams!$B$2:$B$100)</f>
        <v>Rocco Neubert</v>
      </c>
      <c r="D620" t="str">
        <f>_xlfn.XLOOKUP($B620,sales_teams!$A$2:$A$36,sales_teams!C$2:C$36)</f>
        <v>East</v>
      </c>
      <c r="E620" t="s">
        <v>39</v>
      </c>
      <c r="F620" t="s">
        <v>218</v>
      </c>
      <c r="G620" t="s">
        <v>12</v>
      </c>
      <c r="H620" s="1">
        <v>42763</v>
      </c>
      <c r="I620" s="1">
        <v>42890</v>
      </c>
      <c r="J620">
        <v>3908</v>
      </c>
    </row>
    <row r="621" spans="1:10" x14ac:dyDescent="0.3">
      <c r="A621" t="s">
        <v>752</v>
      </c>
      <c r="B621" t="s">
        <v>164</v>
      </c>
      <c r="C621" t="str">
        <f>_xlfn.XLOOKUP(B621,
[1]sales_teams!$A$2:$A$100,
[1]sales_teams!$B$2:$B$100)</f>
        <v>Cara Losch</v>
      </c>
      <c r="D621" t="str">
        <f>_xlfn.XLOOKUP($B621,sales_teams!$A$2:$A$36,sales_teams!C$2:C$36)</f>
        <v>East</v>
      </c>
      <c r="E621" t="s">
        <v>10</v>
      </c>
      <c r="F621" t="s">
        <v>170</v>
      </c>
      <c r="G621" t="s">
        <v>40</v>
      </c>
      <c r="H621" s="1">
        <v>42763</v>
      </c>
    </row>
    <row r="622" spans="1:10" x14ac:dyDescent="0.3">
      <c r="A622" t="s">
        <v>753</v>
      </c>
      <c r="B622" t="s">
        <v>14</v>
      </c>
      <c r="C622" t="str">
        <f>_xlfn.XLOOKUP(B622,
[1]sales_teams!$A$2:$A$100,
[1]sales_teams!$B$2:$B$100)</f>
        <v>Melvin Marxen</v>
      </c>
      <c r="D622" t="str">
        <f>_xlfn.XLOOKUP($B622,sales_teams!$A$2:$A$36,sales_teams!C$2:C$36)</f>
        <v>Central</v>
      </c>
      <c r="E622" t="s">
        <v>15</v>
      </c>
      <c r="F622" t="s">
        <v>197</v>
      </c>
      <c r="G622" t="s">
        <v>46</v>
      </c>
      <c r="H622" s="1">
        <v>42763</v>
      </c>
      <c r="I622" s="1">
        <v>42882</v>
      </c>
      <c r="J622">
        <v>0</v>
      </c>
    </row>
    <row r="623" spans="1:10" x14ac:dyDescent="0.3">
      <c r="A623" t="s">
        <v>754</v>
      </c>
      <c r="B623" t="s">
        <v>14</v>
      </c>
      <c r="C623" t="str">
        <f>_xlfn.XLOOKUP(B623,
[1]sales_teams!$A$2:$A$100,
[1]sales_teams!$B$2:$B$100)</f>
        <v>Melvin Marxen</v>
      </c>
      <c r="D623" t="str">
        <f>_xlfn.XLOOKUP($B623,sales_teams!$A$2:$A$36,sales_teams!C$2:C$36)</f>
        <v>Central</v>
      </c>
      <c r="E623" t="s">
        <v>15</v>
      </c>
      <c r="F623" t="s">
        <v>129</v>
      </c>
      <c r="G623" t="s">
        <v>46</v>
      </c>
      <c r="H623" s="1">
        <v>42763</v>
      </c>
      <c r="I623" s="1">
        <v>42873</v>
      </c>
      <c r="J623">
        <v>0</v>
      </c>
    </row>
    <row r="624" spans="1:10" x14ac:dyDescent="0.3">
      <c r="A624" t="s">
        <v>755</v>
      </c>
      <c r="B624" t="s">
        <v>14</v>
      </c>
      <c r="C624" t="str">
        <f>_xlfn.XLOOKUP(B624,
[1]sales_teams!$A$2:$A$100,
[1]sales_teams!$B$2:$B$100)</f>
        <v>Melvin Marxen</v>
      </c>
      <c r="D624" t="str">
        <f>_xlfn.XLOOKUP($B624,sales_teams!$A$2:$A$36,sales_teams!C$2:C$36)</f>
        <v>Central</v>
      </c>
      <c r="E624" t="s">
        <v>39</v>
      </c>
      <c r="F624" t="s">
        <v>492</v>
      </c>
      <c r="G624" t="s">
        <v>12</v>
      </c>
      <c r="H624" s="1">
        <v>42763</v>
      </c>
      <c r="I624" s="1">
        <v>42862</v>
      </c>
      <c r="J624">
        <v>3369</v>
      </c>
    </row>
    <row r="625" spans="1:10" x14ac:dyDescent="0.3">
      <c r="A625" t="s">
        <v>756</v>
      </c>
      <c r="B625" t="s">
        <v>38</v>
      </c>
      <c r="C625" t="str">
        <f>_xlfn.XLOOKUP(B625,
[1]sales_teams!$A$2:$A$100,
[1]sales_teams!$B$2:$B$100)</f>
        <v>Summer Sewald</v>
      </c>
      <c r="D625" t="str">
        <f>_xlfn.XLOOKUP($B625,sales_teams!$A$2:$A$36,sales_teams!C$2:C$36)</f>
        <v>West</v>
      </c>
      <c r="E625" t="s">
        <v>15</v>
      </c>
      <c r="F625" t="s">
        <v>313</v>
      </c>
      <c r="G625" t="s">
        <v>40</v>
      </c>
      <c r="H625" s="1">
        <v>42763</v>
      </c>
    </row>
    <row r="626" spans="1:10" x14ac:dyDescent="0.3">
      <c r="A626" t="s">
        <v>757</v>
      </c>
      <c r="B626" t="s">
        <v>38</v>
      </c>
      <c r="C626" t="str">
        <f>_xlfn.XLOOKUP(B626,
[1]sales_teams!$A$2:$A$100,
[1]sales_teams!$B$2:$B$100)</f>
        <v>Summer Sewald</v>
      </c>
      <c r="D626" t="str">
        <f>_xlfn.XLOOKUP($B626,sales_teams!$A$2:$A$36,sales_teams!C$2:C$36)</f>
        <v>West</v>
      </c>
      <c r="E626" t="s">
        <v>48</v>
      </c>
      <c r="F626" t="s">
        <v>30</v>
      </c>
      <c r="G626" t="s">
        <v>12</v>
      </c>
      <c r="H626" s="1">
        <v>42763</v>
      </c>
      <c r="I626" s="1">
        <v>42875</v>
      </c>
      <c r="J626">
        <v>5259</v>
      </c>
    </row>
    <row r="627" spans="1:10" x14ac:dyDescent="0.3">
      <c r="A627" t="s">
        <v>758</v>
      </c>
      <c r="B627" t="s">
        <v>51</v>
      </c>
      <c r="C627" t="str">
        <f>_xlfn.XLOOKUP(B627,
[1]sales_teams!$A$2:$A$100,
[1]sales_teams!$B$2:$B$100)</f>
        <v>Summer Sewald</v>
      </c>
      <c r="D627" t="str">
        <f>_xlfn.XLOOKUP($B627,sales_teams!$A$2:$A$36,sales_teams!C$2:C$36)</f>
        <v>West</v>
      </c>
      <c r="E627" t="s">
        <v>15</v>
      </c>
      <c r="G627" t="s">
        <v>40</v>
      </c>
      <c r="H627" s="1">
        <v>42763</v>
      </c>
    </row>
    <row r="628" spans="1:10" x14ac:dyDescent="0.3">
      <c r="A628" t="s">
        <v>759</v>
      </c>
      <c r="B628" t="s">
        <v>51</v>
      </c>
      <c r="C628" t="str">
        <f>_xlfn.XLOOKUP(B628,
[1]sales_teams!$A$2:$A$100,
[1]sales_teams!$B$2:$B$100)</f>
        <v>Summer Sewald</v>
      </c>
      <c r="D628" t="str">
        <f>_xlfn.XLOOKUP($B628,sales_teams!$A$2:$A$36,sales_teams!C$2:C$36)</f>
        <v>West</v>
      </c>
      <c r="E628" t="s">
        <v>10</v>
      </c>
      <c r="F628" t="s">
        <v>159</v>
      </c>
      <c r="G628" t="s">
        <v>46</v>
      </c>
      <c r="H628" s="1">
        <v>42763</v>
      </c>
      <c r="I628" s="1">
        <v>42863</v>
      </c>
      <c r="J628">
        <v>0</v>
      </c>
    </row>
    <row r="629" spans="1:10" x14ac:dyDescent="0.3">
      <c r="A629" t="s">
        <v>760</v>
      </c>
      <c r="B629" t="s">
        <v>97</v>
      </c>
      <c r="C629" t="str">
        <f>_xlfn.XLOOKUP(B629,
[1]sales_teams!$A$2:$A$100,
[1]sales_teams!$B$2:$B$100)</f>
        <v>Rocco Neubert</v>
      </c>
      <c r="D629" t="str">
        <f>_xlfn.XLOOKUP($B629,sales_teams!$A$2:$A$36,sales_teams!C$2:C$36)</f>
        <v>East</v>
      </c>
      <c r="E629" t="s">
        <v>39</v>
      </c>
      <c r="F629" t="s">
        <v>192</v>
      </c>
      <c r="G629" t="s">
        <v>46</v>
      </c>
      <c r="H629" s="1">
        <v>42763</v>
      </c>
      <c r="I629" s="1">
        <v>42824</v>
      </c>
      <c r="J629">
        <v>0</v>
      </c>
    </row>
    <row r="630" spans="1:10" x14ac:dyDescent="0.3">
      <c r="A630" t="s">
        <v>761</v>
      </c>
      <c r="B630" t="s">
        <v>23</v>
      </c>
      <c r="C630" t="str">
        <f>_xlfn.XLOOKUP(B630,
[1]sales_teams!$A$2:$A$100,
[1]sales_teams!$B$2:$B$100)</f>
        <v>Summer Sewald</v>
      </c>
      <c r="D630" t="str">
        <f>_xlfn.XLOOKUP($B630,sales_teams!$A$2:$A$36,sales_teams!C$2:C$36)</f>
        <v>West</v>
      </c>
      <c r="E630" t="s">
        <v>18</v>
      </c>
      <c r="F630" t="s">
        <v>113</v>
      </c>
      <c r="G630" t="s">
        <v>40</v>
      </c>
      <c r="H630" s="1">
        <v>42763</v>
      </c>
    </row>
    <row r="631" spans="1:10" x14ac:dyDescent="0.3">
      <c r="A631" t="s">
        <v>762</v>
      </c>
      <c r="B631" t="s">
        <v>26</v>
      </c>
      <c r="C631" t="str">
        <f>_xlfn.XLOOKUP(B631,
[1]sales_teams!$A$2:$A$100,
[1]sales_teams!$B$2:$B$100)</f>
        <v>Dustin Brinkmann</v>
      </c>
      <c r="D631" t="str">
        <f>_xlfn.XLOOKUP($B631,sales_teams!$A$2:$A$36,sales_teams!C$2:C$36)</f>
        <v>Central</v>
      </c>
      <c r="E631" t="s">
        <v>18</v>
      </c>
      <c r="F631" t="s">
        <v>218</v>
      </c>
      <c r="G631" t="s">
        <v>12</v>
      </c>
      <c r="H631" s="1">
        <v>42764</v>
      </c>
      <c r="I631" s="1">
        <v>42880</v>
      </c>
      <c r="J631">
        <v>52</v>
      </c>
    </row>
    <row r="632" spans="1:10" x14ac:dyDescent="0.3">
      <c r="A632" t="s">
        <v>763</v>
      </c>
      <c r="B632" t="s">
        <v>139</v>
      </c>
      <c r="C632" t="str">
        <f>_xlfn.XLOOKUP(B632,
[1]sales_teams!$A$2:$A$100,
[1]sales_teams!$B$2:$B$100)</f>
        <v>Rocco Neubert</v>
      </c>
      <c r="D632" t="str">
        <f>_xlfn.XLOOKUP($B632,sales_teams!$A$2:$A$36,sales_teams!C$2:C$36)</f>
        <v>East</v>
      </c>
      <c r="E632" t="s">
        <v>48</v>
      </c>
      <c r="F632" t="s">
        <v>98</v>
      </c>
      <c r="G632" t="s">
        <v>12</v>
      </c>
      <c r="H632" s="1">
        <v>42764</v>
      </c>
      <c r="I632" s="1">
        <v>42866</v>
      </c>
      <c r="J632">
        <v>5772</v>
      </c>
    </row>
    <row r="633" spans="1:10" x14ac:dyDescent="0.3">
      <c r="A633" t="s">
        <v>764</v>
      </c>
      <c r="B633" t="s">
        <v>118</v>
      </c>
      <c r="C633" t="str">
        <f>_xlfn.XLOOKUP(B633,
[1]sales_teams!$A$2:$A$100,
[1]sales_teams!$B$2:$B$100)</f>
        <v>Rocco Neubert</v>
      </c>
      <c r="D633" t="str">
        <f>_xlfn.XLOOKUP($B633,sales_teams!$A$2:$A$36,sales_teams!C$2:C$36)</f>
        <v>East</v>
      </c>
      <c r="E633" t="s">
        <v>15</v>
      </c>
      <c r="F633" t="s">
        <v>189</v>
      </c>
      <c r="G633" t="s">
        <v>46</v>
      </c>
      <c r="H633" s="1">
        <v>42764</v>
      </c>
      <c r="I633" s="1">
        <v>42807</v>
      </c>
      <c r="J633">
        <v>0</v>
      </c>
    </row>
    <row r="634" spans="1:10" x14ac:dyDescent="0.3">
      <c r="A634" t="s">
        <v>765</v>
      </c>
      <c r="B634" t="s">
        <v>202</v>
      </c>
      <c r="C634" t="str">
        <f>_xlfn.XLOOKUP(B634,
[1]sales_teams!$A$2:$A$100,
[1]sales_teams!$B$2:$B$100)</f>
        <v>Dustin Brinkmann</v>
      </c>
      <c r="D634" t="str">
        <f>_xlfn.XLOOKUP($B634,sales_teams!$A$2:$A$36,sales_teams!C$2:C$36)</f>
        <v>Central</v>
      </c>
      <c r="E634" t="s">
        <v>39</v>
      </c>
      <c r="F634" t="s">
        <v>207</v>
      </c>
      <c r="G634" t="s">
        <v>12</v>
      </c>
      <c r="H634" s="1">
        <v>42764</v>
      </c>
      <c r="I634" s="1">
        <v>42815</v>
      </c>
      <c r="J634">
        <v>3496</v>
      </c>
    </row>
    <row r="635" spans="1:10" x14ac:dyDescent="0.3">
      <c r="A635" t="s">
        <v>766</v>
      </c>
      <c r="B635" t="s">
        <v>67</v>
      </c>
      <c r="C635" t="str">
        <f>_xlfn.XLOOKUP(B635,
[1]sales_teams!$A$2:$A$100,
[1]sales_teams!$B$2:$B$100)</f>
        <v>Celia Rouche</v>
      </c>
      <c r="D635" t="str">
        <f>_xlfn.XLOOKUP($B635,sales_teams!$A$2:$A$36,sales_teams!C$2:C$36)</f>
        <v>West</v>
      </c>
      <c r="E635" t="s">
        <v>39</v>
      </c>
      <c r="F635" t="s">
        <v>55</v>
      </c>
      <c r="G635" t="s">
        <v>12</v>
      </c>
      <c r="H635" s="1">
        <v>42764</v>
      </c>
      <c r="I635" s="1">
        <v>42806</v>
      </c>
      <c r="J635">
        <v>3602</v>
      </c>
    </row>
    <row r="636" spans="1:10" x14ac:dyDescent="0.3">
      <c r="A636" t="s">
        <v>767</v>
      </c>
      <c r="B636" t="s">
        <v>105</v>
      </c>
      <c r="C636" t="str">
        <f>_xlfn.XLOOKUP(B636,
[1]sales_teams!$A$2:$A$100,
[1]sales_teams!$B$2:$B$100)</f>
        <v>Cara Losch</v>
      </c>
      <c r="D636" t="str">
        <f>_xlfn.XLOOKUP($B636,sales_teams!$A$2:$A$36,sales_teams!C$2:C$36)</f>
        <v>East</v>
      </c>
      <c r="E636" t="s">
        <v>18</v>
      </c>
      <c r="F636" t="s">
        <v>278</v>
      </c>
      <c r="G636" t="s">
        <v>12</v>
      </c>
      <c r="H636" s="1">
        <v>42764</v>
      </c>
      <c r="I636" s="1">
        <v>42803</v>
      </c>
      <c r="J636">
        <v>57</v>
      </c>
    </row>
    <row r="637" spans="1:10" x14ac:dyDescent="0.3">
      <c r="A637" t="s">
        <v>768</v>
      </c>
      <c r="B637" t="s">
        <v>44</v>
      </c>
      <c r="C637" t="str">
        <f>_xlfn.XLOOKUP(B637,
[1]sales_teams!$A$2:$A$100,
[1]sales_teams!$B$2:$B$100)</f>
        <v>Melvin Marxen</v>
      </c>
      <c r="D637" t="str">
        <f>_xlfn.XLOOKUP($B637,sales_teams!$A$2:$A$36,sales_teams!C$2:C$36)</f>
        <v>Central</v>
      </c>
      <c r="E637" t="s">
        <v>18</v>
      </c>
      <c r="F637" t="s">
        <v>135</v>
      </c>
      <c r="G637" t="s">
        <v>12</v>
      </c>
      <c r="H637" s="1">
        <v>42764</v>
      </c>
      <c r="I637" s="1">
        <v>42866</v>
      </c>
      <c r="J637">
        <v>51</v>
      </c>
    </row>
    <row r="638" spans="1:10" x14ac:dyDescent="0.3">
      <c r="A638" t="s">
        <v>769</v>
      </c>
      <c r="B638" t="s">
        <v>54</v>
      </c>
      <c r="C638" t="str">
        <f>_xlfn.XLOOKUP(B638,
[1]sales_teams!$A$2:$A$100,
[1]sales_teams!$B$2:$B$100)</f>
        <v>Celia Rouche</v>
      </c>
      <c r="D638" t="str">
        <f>_xlfn.XLOOKUP($B638,sales_teams!$A$2:$A$36,sales_teams!C$2:C$36)</f>
        <v>West</v>
      </c>
      <c r="E638" t="s">
        <v>39</v>
      </c>
      <c r="F638" t="s">
        <v>52</v>
      </c>
      <c r="G638" t="s">
        <v>12</v>
      </c>
      <c r="H638" s="1">
        <v>42764</v>
      </c>
      <c r="I638" s="1">
        <v>42900</v>
      </c>
      <c r="J638">
        <v>3689</v>
      </c>
    </row>
    <row r="639" spans="1:10" x14ac:dyDescent="0.3">
      <c r="A639" t="s">
        <v>770</v>
      </c>
      <c r="B639" t="s">
        <v>38</v>
      </c>
      <c r="C639" t="str">
        <f>_xlfn.XLOOKUP(B639,
[1]sales_teams!$A$2:$A$100,
[1]sales_teams!$B$2:$B$100)</f>
        <v>Summer Sewald</v>
      </c>
      <c r="D639" t="str">
        <f>_xlfn.XLOOKUP($B639,sales_teams!$A$2:$A$36,sales_teams!C$2:C$36)</f>
        <v>West</v>
      </c>
      <c r="E639" t="s">
        <v>10</v>
      </c>
      <c r="F639" t="s">
        <v>93</v>
      </c>
      <c r="G639" t="s">
        <v>12</v>
      </c>
      <c r="H639" s="1">
        <v>42764</v>
      </c>
      <c r="I639" s="1">
        <v>42858</v>
      </c>
      <c r="J639">
        <v>1170</v>
      </c>
    </row>
    <row r="640" spans="1:10" x14ac:dyDescent="0.3">
      <c r="A640" t="s">
        <v>771</v>
      </c>
      <c r="B640" t="s">
        <v>252</v>
      </c>
      <c r="C640" t="str">
        <f>_xlfn.XLOOKUP(B640,
[1]sales_teams!$A$2:$A$100,
[1]sales_teams!$B$2:$B$100)</f>
        <v>Melvin Marxen</v>
      </c>
      <c r="D640" t="str">
        <f>_xlfn.XLOOKUP($B640,sales_teams!$A$2:$A$36,sales_teams!C$2:C$36)</f>
        <v>Central</v>
      </c>
      <c r="E640" t="s">
        <v>20</v>
      </c>
      <c r="F640" t="s">
        <v>126</v>
      </c>
      <c r="G640" t="s">
        <v>46</v>
      </c>
      <c r="H640" s="1">
        <v>42764</v>
      </c>
      <c r="I640" s="1">
        <v>42800</v>
      </c>
      <c r="J640">
        <v>0</v>
      </c>
    </row>
    <row r="641" spans="1:10" x14ac:dyDescent="0.3">
      <c r="A641" t="s">
        <v>772</v>
      </c>
      <c r="B641" t="s">
        <v>252</v>
      </c>
      <c r="C641" t="str">
        <f>_xlfn.XLOOKUP(B641,
[1]sales_teams!$A$2:$A$100,
[1]sales_teams!$B$2:$B$100)</f>
        <v>Melvin Marxen</v>
      </c>
      <c r="D641" t="str">
        <f>_xlfn.XLOOKUP($B641,sales_teams!$A$2:$A$36,sales_teams!C$2:C$36)</f>
        <v>Central</v>
      </c>
      <c r="E641" t="s">
        <v>15</v>
      </c>
      <c r="F641" t="s">
        <v>151</v>
      </c>
      <c r="G641" t="s">
        <v>12</v>
      </c>
      <c r="H641" s="1">
        <v>42764</v>
      </c>
      <c r="I641" s="1">
        <v>42861</v>
      </c>
      <c r="J641">
        <v>4736</v>
      </c>
    </row>
    <row r="642" spans="1:10" x14ac:dyDescent="0.3">
      <c r="A642" t="s">
        <v>773</v>
      </c>
      <c r="B642" t="s">
        <v>78</v>
      </c>
      <c r="C642" t="str">
        <f>_xlfn.XLOOKUP(B642,
[1]sales_teams!$A$2:$A$100,
[1]sales_teams!$B$2:$B$100)</f>
        <v>Summer Sewald</v>
      </c>
      <c r="D642" t="str">
        <f>_xlfn.XLOOKUP($B642,sales_teams!$A$2:$A$36,sales_teams!C$2:C$36)</f>
        <v>West</v>
      </c>
      <c r="E642" t="s">
        <v>39</v>
      </c>
      <c r="G642" t="s">
        <v>40</v>
      </c>
      <c r="H642" s="1">
        <v>42764</v>
      </c>
    </row>
    <row r="643" spans="1:10" x14ac:dyDescent="0.3">
      <c r="A643" t="s">
        <v>774</v>
      </c>
      <c r="B643" t="s">
        <v>32</v>
      </c>
      <c r="C643" t="str">
        <f>_xlfn.XLOOKUP(B643,
[1]sales_teams!$A$2:$A$100,
[1]sales_teams!$B$2:$B$100)</f>
        <v>Celia Rouche</v>
      </c>
      <c r="D643" t="str">
        <f>_xlfn.XLOOKUP($B643,sales_teams!$A$2:$A$36,sales_teams!C$2:C$36)</f>
        <v>West</v>
      </c>
      <c r="E643" t="s">
        <v>20</v>
      </c>
      <c r="G643" t="s">
        <v>40</v>
      </c>
      <c r="H643" s="1">
        <v>42764</v>
      </c>
    </row>
    <row r="644" spans="1:10" x14ac:dyDescent="0.3">
      <c r="A644" t="s">
        <v>775</v>
      </c>
      <c r="B644" t="s">
        <v>51</v>
      </c>
      <c r="C644" t="str">
        <f>_xlfn.XLOOKUP(B644,
[1]sales_teams!$A$2:$A$100,
[1]sales_teams!$B$2:$B$100)</f>
        <v>Summer Sewald</v>
      </c>
      <c r="D644" t="str">
        <f>_xlfn.XLOOKUP($B644,sales_teams!$A$2:$A$36,sales_teams!C$2:C$36)</f>
        <v>West</v>
      </c>
      <c r="E644" t="s">
        <v>10</v>
      </c>
      <c r="G644" t="s">
        <v>40</v>
      </c>
      <c r="H644" s="1">
        <v>42764</v>
      </c>
    </row>
    <row r="645" spans="1:10" x14ac:dyDescent="0.3">
      <c r="A645" t="s">
        <v>776</v>
      </c>
      <c r="B645" t="s">
        <v>35</v>
      </c>
      <c r="C645" t="str">
        <f>_xlfn.XLOOKUP(B645,
[1]sales_teams!$A$2:$A$100,
[1]sales_teams!$B$2:$B$100)</f>
        <v>Melvin Marxen</v>
      </c>
      <c r="D645" t="str">
        <f>_xlfn.XLOOKUP($B645,sales_teams!$A$2:$A$36,sales_teams!C$2:C$36)</f>
        <v>Central</v>
      </c>
      <c r="E645" t="s">
        <v>18</v>
      </c>
      <c r="F645" t="s">
        <v>45</v>
      </c>
      <c r="G645" t="s">
        <v>46</v>
      </c>
      <c r="H645" s="1">
        <v>42764</v>
      </c>
      <c r="I645" s="1">
        <v>42860</v>
      </c>
      <c r="J645">
        <v>0</v>
      </c>
    </row>
    <row r="646" spans="1:10" x14ac:dyDescent="0.3">
      <c r="A646" t="s">
        <v>777</v>
      </c>
      <c r="B646" t="s">
        <v>61</v>
      </c>
      <c r="C646" t="str">
        <f>_xlfn.XLOOKUP(B646,
[1]sales_teams!$A$2:$A$100,
[1]sales_teams!$B$2:$B$100)</f>
        <v>Dustin Brinkmann</v>
      </c>
      <c r="D646" t="str">
        <f>_xlfn.XLOOKUP($B646,sales_teams!$A$2:$A$36,sales_teams!C$2:C$36)</f>
        <v>Central</v>
      </c>
      <c r="E646" t="s">
        <v>18</v>
      </c>
      <c r="F646" t="s">
        <v>36</v>
      </c>
      <c r="G646" t="s">
        <v>46</v>
      </c>
      <c r="H646" s="1">
        <v>42764</v>
      </c>
      <c r="I646" s="1">
        <v>42877</v>
      </c>
      <c r="J646">
        <v>0</v>
      </c>
    </row>
    <row r="647" spans="1:10" x14ac:dyDescent="0.3">
      <c r="A647" t="s">
        <v>778</v>
      </c>
      <c r="B647" t="s">
        <v>29</v>
      </c>
      <c r="C647" t="str">
        <f>_xlfn.XLOOKUP(B647,
[1]sales_teams!$A$2:$A$100,
[1]sales_teams!$B$2:$B$100)</f>
        <v>Celia Rouche</v>
      </c>
      <c r="D647" t="str">
        <f>_xlfn.XLOOKUP($B647,sales_teams!$A$2:$A$36,sales_teams!C$2:C$36)</f>
        <v>West</v>
      </c>
      <c r="E647" t="s">
        <v>18</v>
      </c>
      <c r="F647" t="s">
        <v>24</v>
      </c>
      <c r="G647" t="s">
        <v>12</v>
      </c>
      <c r="H647" s="1">
        <v>42764</v>
      </c>
      <c r="I647" s="1">
        <v>42880</v>
      </c>
      <c r="J647">
        <v>64</v>
      </c>
    </row>
    <row r="648" spans="1:10" x14ac:dyDescent="0.3">
      <c r="A648" t="s">
        <v>779</v>
      </c>
      <c r="B648" t="s">
        <v>29</v>
      </c>
      <c r="C648" t="str">
        <f>_xlfn.XLOOKUP(B648,
[1]sales_teams!$A$2:$A$100,
[1]sales_teams!$B$2:$B$100)</f>
        <v>Celia Rouche</v>
      </c>
      <c r="D648" t="str">
        <f>_xlfn.XLOOKUP($B648,sales_teams!$A$2:$A$36,sales_teams!C$2:C$36)</f>
        <v>West</v>
      </c>
      <c r="E648" t="s">
        <v>18</v>
      </c>
      <c r="F648" t="s">
        <v>30</v>
      </c>
      <c r="G648" t="s">
        <v>12</v>
      </c>
      <c r="H648" s="1">
        <v>42764</v>
      </c>
      <c r="I648" s="1">
        <v>42891</v>
      </c>
      <c r="J648">
        <v>55</v>
      </c>
    </row>
    <row r="649" spans="1:10" x14ac:dyDescent="0.3">
      <c r="A649" t="s">
        <v>780</v>
      </c>
      <c r="B649" t="s">
        <v>29</v>
      </c>
      <c r="C649" t="str">
        <f>_xlfn.XLOOKUP(B649,
[1]sales_teams!$A$2:$A$100,
[1]sales_teams!$B$2:$B$100)</f>
        <v>Celia Rouche</v>
      </c>
      <c r="D649" t="str">
        <f>_xlfn.XLOOKUP($B649,sales_teams!$A$2:$A$36,sales_teams!C$2:C$36)</f>
        <v>West</v>
      </c>
      <c r="E649" t="s">
        <v>39</v>
      </c>
      <c r="F649" t="s">
        <v>148</v>
      </c>
      <c r="G649" t="s">
        <v>12</v>
      </c>
      <c r="H649" s="1">
        <v>42764</v>
      </c>
      <c r="I649" s="1">
        <v>42807</v>
      </c>
      <c r="J649">
        <v>2970</v>
      </c>
    </row>
    <row r="650" spans="1:10" x14ac:dyDescent="0.3">
      <c r="A650" t="s">
        <v>781</v>
      </c>
      <c r="B650" t="s">
        <v>23</v>
      </c>
      <c r="C650" t="str">
        <f>_xlfn.XLOOKUP(B650,
[1]sales_teams!$A$2:$A$100,
[1]sales_teams!$B$2:$B$100)</f>
        <v>Summer Sewald</v>
      </c>
      <c r="D650" t="str">
        <f>_xlfn.XLOOKUP($B650,sales_teams!$A$2:$A$36,sales_teams!C$2:C$36)</f>
        <v>West</v>
      </c>
      <c r="E650" t="s">
        <v>15</v>
      </c>
      <c r="G650" t="s">
        <v>40</v>
      </c>
      <c r="H650" s="1">
        <v>42764</v>
      </c>
    </row>
    <row r="651" spans="1:10" x14ac:dyDescent="0.3">
      <c r="A651" t="s">
        <v>782</v>
      </c>
      <c r="B651" t="s">
        <v>202</v>
      </c>
      <c r="C651" t="str">
        <f>_xlfn.XLOOKUP(B651,
[1]sales_teams!$A$2:$A$100,
[1]sales_teams!$B$2:$B$100)</f>
        <v>Dustin Brinkmann</v>
      </c>
      <c r="D651" t="str">
        <f>_xlfn.XLOOKUP($B651,sales_teams!$A$2:$A$36,sales_teams!C$2:C$36)</f>
        <v>Central</v>
      </c>
      <c r="E651" t="s">
        <v>18</v>
      </c>
      <c r="F651" t="s">
        <v>231</v>
      </c>
      <c r="G651" t="s">
        <v>46</v>
      </c>
      <c r="H651" s="1">
        <v>42765</v>
      </c>
      <c r="I651" s="1">
        <v>42874</v>
      </c>
      <c r="J651">
        <v>0</v>
      </c>
    </row>
    <row r="652" spans="1:10" x14ac:dyDescent="0.3">
      <c r="A652" t="s">
        <v>783</v>
      </c>
      <c r="B652" t="s">
        <v>164</v>
      </c>
      <c r="C652" t="str">
        <f>_xlfn.XLOOKUP(B652,
[1]sales_teams!$A$2:$A$100,
[1]sales_teams!$B$2:$B$100)</f>
        <v>Cara Losch</v>
      </c>
      <c r="D652" t="str">
        <f>_xlfn.XLOOKUP($B652,sales_teams!$A$2:$A$36,sales_teams!C$2:C$36)</f>
        <v>East</v>
      </c>
      <c r="E652" t="s">
        <v>15</v>
      </c>
      <c r="F652" t="s">
        <v>192</v>
      </c>
      <c r="G652" t="s">
        <v>12</v>
      </c>
      <c r="H652" s="1">
        <v>42765</v>
      </c>
      <c r="I652" s="1">
        <v>42868</v>
      </c>
      <c r="J652">
        <v>5035</v>
      </c>
    </row>
    <row r="653" spans="1:10" x14ac:dyDescent="0.3">
      <c r="A653" t="s">
        <v>784</v>
      </c>
      <c r="B653" t="s">
        <v>14</v>
      </c>
      <c r="C653" t="str">
        <f>_xlfn.XLOOKUP(B653,
[1]sales_teams!$A$2:$A$100,
[1]sales_teams!$B$2:$B$100)</f>
        <v>Melvin Marxen</v>
      </c>
      <c r="D653" t="str">
        <f>_xlfn.XLOOKUP($B653,sales_teams!$A$2:$A$36,sales_teams!C$2:C$36)</f>
        <v>Central</v>
      </c>
      <c r="E653" t="s">
        <v>15</v>
      </c>
      <c r="F653" t="s">
        <v>207</v>
      </c>
      <c r="G653" t="s">
        <v>46</v>
      </c>
      <c r="H653" s="1">
        <v>42765</v>
      </c>
      <c r="I653" s="1">
        <v>42886</v>
      </c>
      <c r="J653">
        <v>0</v>
      </c>
    </row>
    <row r="654" spans="1:10" x14ac:dyDescent="0.3">
      <c r="A654" t="s">
        <v>785</v>
      </c>
      <c r="B654" t="s">
        <v>14</v>
      </c>
      <c r="C654" t="str">
        <f>_xlfn.XLOOKUP(B654,
[1]sales_teams!$A$2:$A$100,
[1]sales_teams!$B$2:$B$100)</f>
        <v>Melvin Marxen</v>
      </c>
      <c r="D654" t="str">
        <f>_xlfn.XLOOKUP($B654,sales_teams!$A$2:$A$36,sales_teams!C$2:C$36)</f>
        <v>Central</v>
      </c>
      <c r="E654" t="s">
        <v>15</v>
      </c>
      <c r="F654" t="s">
        <v>135</v>
      </c>
      <c r="G654" t="s">
        <v>12</v>
      </c>
      <c r="H654" s="1">
        <v>42765</v>
      </c>
      <c r="I654" s="1">
        <v>42804</v>
      </c>
      <c r="J654">
        <v>4774</v>
      </c>
    </row>
    <row r="655" spans="1:10" x14ac:dyDescent="0.3">
      <c r="A655" t="s">
        <v>786</v>
      </c>
      <c r="B655" t="s">
        <v>67</v>
      </c>
      <c r="C655" t="str">
        <f>_xlfn.XLOOKUP(B655,
[1]sales_teams!$A$2:$A$100,
[1]sales_teams!$B$2:$B$100)</f>
        <v>Celia Rouche</v>
      </c>
      <c r="D655" t="str">
        <f>_xlfn.XLOOKUP($B655,sales_teams!$A$2:$A$36,sales_teams!C$2:C$36)</f>
        <v>West</v>
      </c>
      <c r="E655" t="s">
        <v>145</v>
      </c>
      <c r="G655" t="s">
        <v>40</v>
      </c>
      <c r="H655" s="1">
        <v>42765</v>
      </c>
    </row>
    <row r="656" spans="1:10" x14ac:dyDescent="0.3">
      <c r="A656" t="s">
        <v>787</v>
      </c>
      <c r="B656" t="s">
        <v>38</v>
      </c>
      <c r="C656" t="str">
        <f>_xlfn.XLOOKUP(B656,
[1]sales_teams!$A$2:$A$100,
[1]sales_teams!$B$2:$B$100)</f>
        <v>Summer Sewald</v>
      </c>
      <c r="D656" t="str">
        <f>_xlfn.XLOOKUP($B656,sales_teams!$A$2:$A$36,sales_teams!C$2:C$36)</f>
        <v>West</v>
      </c>
      <c r="E656" t="s">
        <v>48</v>
      </c>
      <c r="F656" t="s">
        <v>155</v>
      </c>
      <c r="G656" t="s">
        <v>12</v>
      </c>
      <c r="H656" s="1">
        <v>42765</v>
      </c>
      <c r="I656" s="1">
        <v>42871</v>
      </c>
      <c r="J656">
        <v>5390</v>
      </c>
    </row>
    <row r="657" spans="1:10" x14ac:dyDescent="0.3">
      <c r="A657" t="s">
        <v>788</v>
      </c>
      <c r="B657" t="s">
        <v>116</v>
      </c>
      <c r="C657" t="str">
        <f>_xlfn.XLOOKUP(B657,
[1]sales_teams!$A$2:$A$100,
[1]sales_teams!$B$2:$B$100)</f>
        <v>Melvin Marxen</v>
      </c>
      <c r="D657" t="str">
        <f>_xlfn.XLOOKUP($B657,sales_teams!$A$2:$A$36,sales_teams!C$2:C$36)</f>
        <v>Central</v>
      </c>
      <c r="E657" t="s">
        <v>10</v>
      </c>
      <c r="F657" t="s">
        <v>21</v>
      </c>
      <c r="G657" t="s">
        <v>12</v>
      </c>
      <c r="H657" s="1">
        <v>42765</v>
      </c>
      <c r="I657" s="1">
        <v>42892</v>
      </c>
      <c r="J657">
        <v>1190</v>
      </c>
    </row>
    <row r="658" spans="1:10" x14ac:dyDescent="0.3">
      <c r="A658" t="s">
        <v>789</v>
      </c>
      <c r="B658" t="s">
        <v>9</v>
      </c>
      <c r="C658" t="str">
        <f>_xlfn.XLOOKUP(B658,
[1]sales_teams!$A$2:$A$100,
[1]sales_teams!$B$2:$B$100)</f>
        <v>Dustin Brinkmann</v>
      </c>
      <c r="D658" t="str">
        <f>_xlfn.XLOOKUP($B658,sales_teams!$A$2:$A$36,sales_teams!C$2:C$36)</f>
        <v>Central</v>
      </c>
      <c r="E658" t="s">
        <v>48</v>
      </c>
      <c r="F658" t="s">
        <v>303</v>
      </c>
      <c r="G658" t="s">
        <v>12</v>
      </c>
      <c r="H658" s="1">
        <v>42765</v>
      </c>
      <c r="I658" s="1">
        <v>42869</v>
      </c>
      <c r="J658">
        <v>5755</v>
      </c>
    </row>
    <row r="659" spans="1:10" x14ac:dyDescent="0.3">
      <c r="A659" t="s">
        <v>790</v>
      </c>
      <c r="B659" t="s">
        <v>57</v>
      </c>
      <c r="C659" t="str">
        <f>_xlfn.XLOOKUP(B659,
[1]sales_teams!$A$2:$A$100,
[1]sales_teams!$B$2:$B$100)</f>
        <v>Celia Rouche</v>
      </c>
      <c r="D659" t="str">
        <f>_xlfn.XLOOKUP($B659,sales_teams!$A$2:$A$36,sales_teams!C$2:C$36)</f>
        <v>West</v>
      </c>
      <c r="E659" t="s">
        <v>15</v>
      </c>
      <c r="F659" t="s">
        <v>59</v>
      </c>
      <c r="G659" t="s">
        <v>12</v>
      </c>
      <c r="H659" s="1">
        <v>42765</v>
      </c>
      <c r="I659" s="1">
        <v>42899</v>
      </c>
      <c r="J659">
        <v>4933</v>
      </c>
    </row>
    <row r="660" spans="1:10" x14ac:dyDescent="0.3">
      <c r="A660" t="s">
        <v>791</v>
      </c>
      <c r="B660" t="s">
        <v>61</v>
      </c>
      <c r="C660" t="str">
        <f>_xlfn.XLOOKUP(B660,
[1]sales_teams!$A$2:$A$100,
[1]sales_teams!$B$2:$B$100)</f>
        <v>Dustin Brinkmann</v>
      </c>
      <c r="D660" t="str">
        <f>_xlfn.XLOOKUP($B660,sales_teams!$A$2:$A$36,sales_teams!C$2:C$36)</f>
        <v>Central</v>
      </c>
      <c r="E660" t="s">
        <v>39</v>
      </c>
      <c r="F660" t="s">
        <v>27</v>
      </c>
      <c r="G660" t="s">
        <v>12</v>
      </c>
      <c r="H660" s="1">
        <v>42765</v>
      </c>
      <c r="I660" s="1">
        <v>42890</v>
      </c>
      <c r="J660">
        <v>3642</v>
      </c>
    </row>
    <row r="661" spans="1:10" x14ac:dyDescent="0.3">
      <c r="A661" t="s">
        <v>792</v>
      </c>
      <c r="B661" t="s">
        <v>29</v>
      </c>
      <c r="C661" t="str">
        <f>_xlfn.XLOOKUP(B661,
[1]sales_teams!$A$2:$A$100,
[1]sales_teams!$B$2:$B$100)</f>
        <v>Celia Rouche</v>
      </c>
      <c r="D661" t="str">
        <f>_xlfn.XLOOKUP($B661,sales_teams!$A$2:$A$36,sales_teams!C$2:C$36)</f>
        <v>West</v>
      </c>
      <c r="E661" t="s">
        <v>18</v>
      </c>
      <c r="F661" t="s">
        <v>313</v>
      </c>
      <c r="G661" t="s">
        <v>46</v>
      </c>
      <c r="H661" s="1">
        <v>42765</v>
      </c>
      <c r="I661" s="1">
        <v>42862</v>
      </c>
      <c r="J661">
        <v>0</v>
      </c>
    </row>
    <row r="662" spans="1:10" x14ac:dyDescent="0.3">
      <c r="A662" t="s">
        <v>793</v>
      </c>
      <c r="B662" t="s">
        <v>118</v>
      </c>
      <c r="C662" t="str">
        <f>_xlfn.XLOOKUP(B662,
[1]sales_teams!$A$2:$A$100,
[1]sales_teams!$B$2:$B$100)</f>
        <v>Rocco Neubert</v>
      </c>
      <c r="D662" t="str">
        <f>_xlfn.XLOOKUP($B662,sales_teams!$A$2:$A$36,sales_teams!C$2:C$36)</f>
        <v>East</v>
      </c>
      <c r="E662" t="s">
        <v>39</v>
      </c>
      <c r="F662" t="s">
        <v>155</v>
      </c>
      <c r="G662" t="s">
        <v>12</v>
      </c>
      <c r="H662" s="1">
        <v>42766</v>
      </c>
      <c r="I662" s="1">
        <v>42811</v>
      </c>
      <c r="J662">
        <v>2923</v>
      </c>
    </row>
    <row r="663" spans="1:10" x14ac:dyDescent="0.3">
      <c r="A663" t="s">
        <v>794</v>
      </c>
      <c r="B663" t="s">
        <v>164</v>
      </c>
      <c r="C663" t="str">
        <f>_xlfn.XLOOKUP(B663,
[1]sales_teams!$A$2:$A$100,
[1]sales_teams!$B$2:$B$100)</f>
        <v>Cara Losch</v>
      </c>
      <c r="D663" t="str">
        <f>_xlfn.XLOOKUP($B663,sales_teams!$A$2:$A$36,sales_teams!C$2:C$36)</f>
        <v>East</v>
      </c>
      <c r="E663" t="s">
        <v>20</v>
      </c>
      <c r="G663" t="s">
        <v>40</v>
      </c>
      <c r="H663" s="1">
        <v>42766</v>
      </c>
    </row>
    <row r="664" spans="1:10" x14ac:dyDescent="0.3">
      <c r="A664" t="s">
        <v>795</v>
      </c>
      <c r="B664" t="s">
        <v>64</v>
      </c>
      <c r="C664" t="str">
        <f>_xlfn.XLOOKUP(B664,
[1]sales_teams!$A$2:$A$100,
[1]sales_teams!$B$2:$B$100)</f>
        <v>Rocco Neubert</v>
      </c>
      <c r="D664" t="str">
        <f>_xlfn.XLOOKUP($B664,sales_teams!$A$2:$A$36,sales_teams!C$2:C$36)</f>
        <v>East</v>
      </c>
      <c r="E664" t="s">
        <v>10</v>
      </c>
      <c r="F664" t="s">
        <v>300</v>
      </c>
      <c r="G664" t="s">
        <v>40</v>
      </c>
      <c r="H664" s="1">
        <v>42766</v>
      </c>
    </row>
    <row r="665" spans="1:10" x14ac:dyDescent="0.3">
      <c r="A665" t="s">
        <v>796</v>
      </c>
      <c r="B665" t="s">
        <v>64</v>
      </c>
      <c r="C665" t="str">
        <f>_xlfn.XLOOKUP(B665,
[1]sales_teams!$A$2:$A$100,
[1]sales_teams!$B$2:$B$100)</f>
        <v>Rocco Neubert</v>
      </c>
      <c r="D665" t="str">
        <f>_xlfn.XLOOKUP($B665,sales_teams!$A$2:$A$36,sales_teams!C$2:C$36)</f>
        <v>East</v>
      </c>
      <c r="E665" t="s">
        <v>10</v>
      </c>
      <c r="G665" t="s">
        <v>40</v>
      </c>
      <c r="H665" s="1">
        <v>42766</v>
      </c>
    </row>
    <row r="666" spans="1:10" x14ac:dyDescent="0.3">
      <c r="A666" t="s">
        <v>797</v>
      </c>
      <c r="B666" t="s">
        <v>14</v>
      </c>
      <c r="C666" t="str">
        <f>_xlfn.XLOOKUP(B666,
[1]sales_teams!$A$2:$A$100,
[1]sales_teams!$B$2:$B$100)</f>
        <v>Melvin Marxen</v>
      </c>
      <c r="D666" t="str">
        <f>_xlfn.XLOOKUP($B666,sales_teams!$A$2:$A$36,sales_teams!C$2:C$36)</f>
        <v>Central</v>
      </c>
      <c r="E666" t="s">
        <v>15</v>
      </c>
      <c r="F666" t="s">
        <v>36</v>
      </c>
      <c r="G666" t="s">
        <v>12</v>
      </c>
      <c r="H666" s="1">
        <v>42766</v>
      </c>
      <c r="I666" s="1">
        <v>42804</v>
      </c>
      <c r="J666">
        <v>5035</v>
      </c>
    </row>
    <row r="667" spans="1:10" x14ac:dyDescent="0.3">
      <c r="A667" t="s">
        <v>798</v>
      </c>
      <c r="B667" t="s">
        <v>51</v>
      </c>
      <c r="C667" t="str">
        <f>_xlfn.XLOOKUP(B667,
[1]sales_teams!$A$2:$A$100,
[1]sales_teams!$B$2:$B$100)</f>
        <v>Summer Sewald</v>
      </c>
      <c r="D667" t="str">
        <f>_xlfn.XLOOKUP($B667,sales_teams!$A$2:$A$36,sales_teams!C$2:C$36)</f>
        <v>West</v>
      </c>
      <c r="E667" t="s">
        <v>15</v>
      </c>
      <c r="F667" t="s">
        <v>79</v>
      </c>
      <c r="G667" t="s">
        <v>46</v>
      </c>
      <c r="H667" s="1">
        <v>42766</v>
      </c>
      <c r="I667" s="1">
        <v>42881</v>
      </c>
      <c r="J667">
        <v>0</v>
      </c>
    </row>
    <row r="668" spans="1:10" x14ac:dyDescent="0.3">
      <c r="A668" t="s">
        <v>799</v>
      </c>
      <c r="B668" t="s">
        <v>61</v>
      </c>
      <c r="C668" t="str">
        <f>_xlfn.XLOOKUP(B668,
[1]sales_teams!$A$2:$A$100,
[1]sales_teams!$B$2:$B$100)</f>
        <v>Dustin Brinkmann</v>
      </c>
      <c r="D668" t="str">
        <f>_xlfn.XLOOKUP($B668,sales_teams!$A$2:$A$36,sales_teams!C$2:C$36)</f>
        <v>Central</v>
      </c>
      <c r="E668" t="s">
        <v>18</v>
      </c>
      <c r="F668" t="s">
        <v>91</v>
      </c>
      <c r="G668" t="s">
        <v>12</v>
      </c>
      <c r="H668" s="1">
        <v>42766</v>
      </c>
      <c r="I668" s="1">
        <v>42875</v>
      </c>
      <c r="J668">
        <v>54</v>
      </c>
    </row>
    <row r="669" spans="1:10" x14ac:dyDescent="0.3">
      <c r="A669" t="s">
        <v>800</v>
      </c>
      <c r="B669" t="s">
        <v>61</v>
      </c>
      <c r="C669" t="str">
        <f>_xlfn.XLOOKUP(B669,
[1]sales_teams!$A$2:$A$100,
[1]sales_teams!$B$2:$B$100)</f>
        <v>Dustin Brinkmann</v>
      </c>
      <c r="D669" t="str">
        <f>_xlfn.XLOOKUP($B669,sales_teams!$A$2:$A$36,sales_teams!C$2:C$36)</f>
        <v>Central</v>
      </c>
      <c r="E669" t="s">
        <v>18</v>
      </c>
      <c r="F669" t="s">
        <v>113</v>
      </c>
      <c r="G669" t="s">
        <v>12</v>
      </c>
      <c r="H669" s="1">
        <v>42766</v>
      </c>
      <c r="I669" s="1">
        <v>42856</v>
      </c>
      <c r="J669">
        <v>54</v>
      </c>
    </row>
    <row r="670" spans="1:10" x14ac:dyDescent="0.3">
      <c r="A670" t="s">
        <v>801</v>
      </c>
      <c r="B670" t="s">
        <v>73</v>
      </c>
      <c r="C670" t="str">
        <f>_xlfn.XLOOKUP(B670,
[1]sales_teams!$A$2:$A$100,
[1]sales_teams!$B$2:$B$100)</f>
        <v>Cara Losch</v>
      </c>
      <c r="D670" t="str">
        <f>_xlfn.XLOOKUP($B670,sales_teams!$A$2:$A$36,sales_teams!C$2:C$36)</f>
        <v>East</v>
      </c>
      <c r="E670" t="s">
        <v>10</v>
      </c>
      <c r="G670" t="s">
        <v>40</v>
      </c>
      <c r="H670" s="1">
        <v>42766</v>
      </c>
    </row>
    <row r="671" spans="1:10" x14ac:dyDescent="0.3">
      <c r="A671" t="s">
        <v>802</v>
      </c>
      <c r="B671" t="s">
        <v>102</v>
      </c>
      <c r="C671" t="str">
        <f>_xlfn.XLOOKUP(B671,
[1]sales_teams!$A$2:$A$100,
[1]sales_teams!$B$2:$B$100)</f>
        <v>Cara Losch</v>
      </c>
      <c r="D671" t="str">
        <f>_xlfn.XLOOKUP($B671,sales_teams!$A$2:$A$36,sales_teams!C$2:C$36)</f>
        <v>East</v>
      </c>
      <c r="E671" t="s">
        <v>20</v>
      </c>
      <c r="F671" t="s">
        <v>240</v>
      </c>
      <c r="G671" t="s">
        <v>12</v>
      </c>
      <c r="H671" s="1">
        <v>42766</v>
      </c>
      <c r="I671" s="1">
        <v>42881</v>
      </c>
      <c r="J671">
        <v>592</v>
      </c>
    </row>
    <row r="672" spans="1:10" x14ac:dyDescent="0.3">
      <c r="A672" t="s">
        <v>803</v>
      </c>
      <c r="B672" t="s">
        <v>14</v>
      </c>
      <c r="C672" t="str">
        <f>_xlfn.XLOOKUP(B672,
[1]sales_teams!$A$2:$A$100,
[1]sales_teams!$B$2:$B$100)</f>
        <v>Melvin Marxen</v>
      </c>
      <c r="D672" t="str">
        <f>_xlfn.XLOOKUP($B672,sales_teams!$A$2:$A$36,sales_teams!C$2:C$36)</f>
        <v>Central</v>
      </c>
      <c r="E672" t="s">
        <v>20</v>
      </c>
      <c r="F672" t="s">
        <v>170</v>
      </c>
      <c r="G672" t="s">
        <v>12</v>
      </c>
      <c r="H672" s="1">
        <v>42767</v>
      </c>
      <c r="I672" s="1">
        <v>42871</v>
      </c>
      <c r="J672">
        <v>640</v>
      </c>
    </row>
    <row r="673" spans="1:10" x14ac:dyDescent="0.3">
      <c r="A673" t="s">
        <v>804</v>
      </c>
      <c r="B673" t="s">
        <v>14</v>
      </c>
      <c r="C673" t="str">
        <f>_xlfn.XLOOKUP(B673,
[1]sales_teams!$A$2:$A$100,
[1]sales_teams!$B$2:$B$100)</f>
        <v>Melvin Marxen</v>
      </c>
      <c r="D673" t="str">
        <f>_xlfn.XLOOKUP($B673,sales_teams!$A$2:$A$36,sales_teams!C$2:C$36)</f>
        <v>Central</v>
      </c>
      <c r="E673" t="s">
        <v>15</v>
      </c>
      <c r="F673" t="s">
        <v>197</v>
      </c>
      <c r="G673" t="s">
        <v>12</v>
      </c>
      <c r="H673" s="1">
        <v>42767</v>
      </c>
      <c r="I673" s="1">
        <v>42860</v>
      </c>
      <c r="J673">
        <v>5127</v>
      </c>
    </row>
    <row r="674" spans="1:10" x14ac:dyDescent="0.3">
      <c r="A674" t="s">
        <v>805</v>
      </c>
      <c r="B674" t="s">
        <v>14</v>
      </c>
      <c r="C674" t="str">
        <f>_xlfn.XLOOKUP(B674,
[1]sales_teams!$A$2:$A$100,
[1]sales_teams!$B$2:$B$100)</f>
        <v>Melvin Marxen</v>
      </c>
      <c r="D674" t="str">
        <f>_xlfn.XLOOKUP($B674,sales_teams!$A$2:$A$36,sales_teams!C$2:C$36)</f>
        <v>Central</v>
      </c>
      <c r="E674" t="s">
        <v>39</v>
      </c>
      <c r="F674" t="s">
        <v>303</v>
      </c>
      <c r="G674" t="s">
        <v>12</v>
      </c>
      <c r="H674" s="1">
        <v>42767</v>
      </c>
      <c r="I674" s="1">
        <v>42903</v>
      </c>
      <c r="J674">
        <v>3822</v>
      </c>
    </row>
    <row r="675" spans="1:10" x14ac:dyDescent="0.3">
      <c r="A675" t="s">
        <v>806</v>
      </c>
      <c r="B675" t="s">
        <v>44</v>
      </c>
      <c r="C675" t="str">
        <f>_xlfn.XLOOKUP(B675,
[1]sales_teams!$A$2:$A$100,
[1]sales_teams!$B$2:$B$100)</f>
        <v>Melvin Marxen</v>
      </c>
      <c r="D675" t="str">
        <f>_xlfn.XLOOKUP($B675,sales_teams!$A$2:$A$36,sales_teams!C$2:C$36)</f>
        <v>Central</v>
      </c>
      <c r="E675" t="s">
        <v>39</v>
      </c>
      <c r="F675" t="s">
        <v>197</v>
      </c>
      <c r="G675" t="s">
        <v>46</v>
      </c>
      <c r="H675" s="1">
        <v>42767</v>
      </c>
      <c r="I675" s="1">
        <v>42903</v>
      </c>
      <c r="J675">
        <v>0</v>
      </c>
    </row>
    <row r="676" spans="1:10" x14ac:dyDescent="0.3">
      <c r="A676" t="s">
        <v>807</v>
      </c>
      <c r="B676" t="s">
        <v>78</v>
      </c>
      <c r="C676" t="str">
        <f>_xlfn.XLOOKUP(B676,
[1]sales_teams!$A$2:$A$100,
[1]sales_teams!$B$2:$B$100)</f>
        <v>Summer Sewald</v>
      </c>
      <c r="D676" t="str">
        <f>_xlfn.XLOOKUP($B676,sales_teams!$A$2:$A$36,sales_teams!C$2:C$36)</f>
        <v>West</v>
      </c>
      <c r="E676" t="s">
        <v>18</v>
      </c>
      <c r="F676" t="s">
        <v>313</v>
      </c>
      <c r="G676" t="s">
        <v>46</v>
      </c>
      <c r="H676" s="1">
        <v>42767</v>
      </c>
      <c r="I676" s="1">
        <v>42899</v>
      </c>
      <c r="J676">
        <v>0</v>
      </c>
    </row>
    <row r="677" spans="1:10" x14ac:dyDescent="0.3">
      <c r="A677" t="s">
        <v>808</v>
      </c>
      <c r="B677" t="s">
        <v>133</v>
      </c>
      <c r="C677" t="str">
        <f>_xlfn.XLOOKUP(B677,
[1]sales_teams!$A$2:$A$100,
[1]sales_teams!$B$2:$B$100)</f>
        <v>Dustin Brinkmann</v>
      </c>
      <c r="D677" t="str">
        <f>_xlfn.XLOOKUP($B677,sales_teams!$A$2:$A$36,sales_teams!C$2:C$36)</f>
        <v>Central</v>
      </c>
      <c r="E677" t="s">
        <v>20</v>
      </c>
      <c r="F677" t="s">
        <v>109</v>
      </c>
      <c r="G677" t="s">
        <v>12</v>
      </c>
      <c r="H677" s="1">
        <v>42767</v>
      </c>
      <c r="I677" s="1">
        <v>42857</v>
      </c>
      <c r="J677">
        <v>574</v>
      </c>
    </row>
    <row r="678" spans="1:10" x14ac:dyDescent="0.3">
      <c r="A678" t="s">
        <v>809</v>
      </c>
      <c r="B678" t="s">
        <v>133</v>
      </c>
      <c r="C678" t="str">
        <f>_xlfn.XLOOKUP(B678,
[1]sales_teams!$A$2:$A$100,
[1]sales_teams!$B$2:$B$100)</f>
        <v>Dustin Brinkmann</v>
      </c>
      <c r="D678" t="str">
        <f>_xlfn.XLOOKUP($B678,sales_teams!$A$2:$A$36,sales_teams!C$2:C$36)</f>
        <v>Central</v>
      </c>
      <c r="E678" t="s">
        <v>39</v>
      </c>
      <c r="F678" t="s">
        <v>21</v>
      </c>
      <c r="G678" t="s">
        <v>12</v>
      </c>
      <c r="H678" s="1">
        <v>42767</v>
      </c>
      <c r="I678" s="1">
        <v>42904</v>
      </c>
      <c r="J678">
        <v>2525</v>
      </c>
    </row>
    <row r="679" spans="1:10" x14ac:dyDescent="0.3">
      <c r="A679" t="s">
        <v>810</v>
      </c>
      <c r="B679" t="s">
        <v>57</v>
      </c>
      <c r="C679" t="str">
        <f>_xlfn.XLOOKUP(B679,
[1]sales_teams!$A$2:$A$100,
[1]sales_teams!$B$2:$B$100)</f>
        <v>Celia Rouche</v>
      </c>
      <c r="D679" t="str">
        <f>_xlfn.XLOOKUP($B679,sales_teams!$A$2:$A$36,sales_teams!C$2:C$36)</f>
        <v>West</v>
      </c>
      <c r="E679" t="s">
        <v>145</v>
      </c>
      <c r="F679" t="s">
        <v>398</v>
      </c>
      <c r="G679" t="s">
        <v>12</v>
      </c>
      <c r="H679" s="1">
        <v>42767</v>
      </c>
      <c r="I679" s="1">
        <v>42893</v>
      </c>
      <c r="J679">
        <v>30288</v>
      </c>
    </row>
    <row r="680" spans="1:10" x14ac:dyDescent="0.3">
      <c r="A680" t="s">
        <v>811</v>
      </c>
      <c r="B680" t="s">
        <v>29</v>
      </c>
      <c r="C680" t="str">
        <f>_xlfn.XLOOKUP(B680,
[1]sales_teams!$A$2:$A$100,
[1]sales_teams!$B$2:$B$100)</f>
        <v>Celia Rouche</v>
      </c>
      <c r="D680" t="str">
        <f>_xlfn.XLOOKUP($B680,sales_teams!$A$2:$A$36,sales_teams!C$2:C$36)</f>
        <v>West</v>
      </c>
      <c r="E680" t="s">
        <v>48</v>
      </c>
      <c r="F680" t="s">
        <v>148</v>
      </c>
      <c r="G680" t="s">
        <v>46</v>
      </c>
      <c r="H680" s="1">
        <v>42767</v>
      </c>
      <c r="I680" s="1">
        <v>42873</v>
      </c>
      <c r="J680">
        <v>0</v>
      </c>
    </row>
    <row r="681" spans="1:10" x14ac:dyDescent="0.3">
      <c r="A681" t="s">
        <v>812</v>
      </c>
      <c r="B681" t="s">
        <v>23</v>
      </c>
      <c r="C681" t="str">
        <f>_xlfn.XLOOKUP(B681,
[1]sales_teams!$A$2:$A$100,
[1]sales_teams!$B$2:$B$100)</f>
        <v>Summer Sewald</v>
      </c>
      <c r="D681" t="str">
        <f>_xlfn.XLOOKUP($B681,sales_teams!$A$2:$A$36,sales_teams!C$2:C$36)</f>
        <v>West</v>
      </c>
      <c r="E681" t="s">
        <v>20</v>
      </c>
      <c r="F681" t="s">
        <v>59</v>
      </c>
      <c r="G681" t="s">
        <v>46</v>
      </c>
      <c r="H681" s="1">
        <v>42767</v>
      </c>
      <c r="I681" s="1">
        <v>42823</v>
      </c>
      <c r="J681">
        <v>0</v>
      </c>
    </row>
    <row r="682" spans="1:10" x14ac:dyDescent="0.3">
      <c r="A682" t="s">
        <v>813</v>
      </c>
      <c r="B682" t="s">
        <v>139</v>
      </c>
      <c r="C682" t="str">
        <f>_xlfn.XLOOKUP(B682,
[1]sales_teams!$A$2:$A$100,
[1]sales_teams!$B$2:$B$100)</f>
        <v>Rocco Neubert</v>
      </c>
      <c r="D682" t="str">
        <f>_xlfn.XLOOKUP($B682,sales_teams!$A$2:$A$36,sales_teams!C$2:C$36)</f>
        <v>East</v>
      </c>
      <c r="E682" t="s">
        <v>10</v>
      </c>
      <c r="G682" t="s">
        <v>40</v>
      </c>
      <c r="H682" s="1">
        <v>42768</v>
      </c>
    </row>
    <row r="683" spans="1:10" x14ac:dyDescent="0.3">
      <c r="A683" t="s">
        <v>814</v>
      </c>
      <c r="B683" t="s">
        <v>67</v>
      </c>
      <c r="C683" t="str">
        <f>_xlfn.XLOOKUP(B683,
[1]sales_teams!$A$2:$A$100,
[1]sales_teams!$B$2:$B$100)</f>
        <v>Celia Rouche</v>
      </c>
      <c r="D683" t="str">
        <f>_xlfn.XLOOKUP($B683,sales_teams!$A$2:$A$36,sales_teams!C$2:C$36)</f>
        <v>West</v>
      </c>
      <c r="E683" t="s">
        <v>145</v>
      </c>
      <c r="F683" t="s">
        <v>33</v>
      </c>
      <c r="G683" t="s">
        <v>46</v>
      </c>
      <c r="H683" s="1">
        <v>42768</v>
      </c>
      <c r="I683" s="1">
        <v>42864</v>
      </c>
      <c r="J683">
        <v>0</v>
      </c>
    </row>
    <row r="684" spans="1:10" x14ac:dyDescent="0.3">
      <c r="A684" t="s">
        <v>815</v>
      </c>
      <c r="B684" t="s">
        <v>67</v>
      </c>
      <c r="C684" t="str">
        <f>_xlfn.XLOOKUP(B684,
[1]sales_teams!$A$2:$A$100,
[1]sales_teams!$B$2:$B$100)</f>
        <v>Celia Rouche</v>
      </c>
      <c r="D684" t="str">
        <f>_xlfn.XLOOKUP($B684,sales_teams!$A$2:$A$36,sales_teams!C$2:C$36)</f>
        <v>West</v>
      </c>
      <c r="E684" t="s">
        <v>18</v>
      </c>
      <c r="F684" t="s">
        <v>155</v>
      </c>
      <c r="G684" t="s">
        <v>46</v>
      </c>
      <c r="H684" s="1">
        <v>42768</v>
      </c>
      <c r="I684" s="1">
        <v>42856</v>
      </c>
      <c r="J684">
        <v>0</v>
      </c>
    </row>
    <row r="685" spans="1:10" x14ac:dyDescent="0.3">
      <c r="A685" t="s">
        <v>816</v>
      </c>
      <c r="B685" t="s">
        <v>44</v>
      </c>
      <c r="C685" t="str">
        <f>_xlfn.XLOOKUP(B685,
[1]sales_teams!$A$2:$A$100,
[1]sales_teams!$B$2:$B$100)</f>
        <v>Melvin Marxen</v>
      </c>
      <c r="D685" t="str">
        <f>_xlfn.XLOOKUP($B685,sales_teams!$A$2:$A$36,sales_teams!C$2:C$36)</f>
        <v>Central</v>
      </c>
      <c r="E685" t="s">
        <v>39</v>
      </c>
      <c r="F685" t="s">
        <v>318</v>
      </c>
      <c r="G685" t="s">
        <v>12</v>
      </c>
      <c r="H685" s="1">
        <v>42768</v>
      </c>
      <c r="I685" s="1">
        <v>42869</v>
      </c>
      <c r="J685">
        <v>3581</v>
      </c>
    </row>
    <row r="686" spans="1:10" x14ac:dyDescent="0.3">
      <c r="A686" t="s">
        <v>817</v>
      </c>
      <c r="B686" t="s">
        <v>252</v>
      </c>
      <c r="C686" t="str">
        <f>_xlfn.XLOOKUP(B686,
[1]sales_teams!$A$2:$A$100,
[1]sales_teams!$B$2:$B$100)</f>
        <v>Melvin Marxen</v>
      </c>
      <c r="D686" t="str">
        <f>_xlfn.XLOOKUP($B686,sales_teams!$A$2:$A$36,sales_teams!C$2:C$36)</f>
        <v>Central</v>
      </c>
      <c r="E686" t="s">
        <v>10</v>
      </c>
      <c r="F686" t="s">
        <v>76</v>
      </c>
      <c r="G686" t="s">
        <v>46</v>
      </c>
      <c r="H686" s="1">
        <v>42768</v>
      </c>
      <c r="I686" s="1">
        <v>42806</v>
      </c>
      <c r="J686">
        <v>0</v>
      </c>
    </row>
    <row r="687" spans="1:10" x14ac:dyDescent="0.3">
      <c r="A687" t="s">
        <v>818</v>
      </c>
      <c r="B687" t="s">
        <v>78</v>
      </c>
      <c r="C687" t="str">
        <f>_xlfn.XLOOKUP(B687,
[1]sales_teams!$A$2:$A$100,
[1]sales_teams!$B$2:$B$100)</f>
        <v>Summer Sewald</v>
      </c>
      <c r="D687" t="str">
        <f>_xlfn.XLOOKUP($B687,sales_teams!$A$2:$A$36,sales_teams!C$2:C$36)</f>
        <v>West</v>
      </c>
      <c r="E687" t="s">
        <v>10</v>
      </c>
      <c r="G687" t="s">
        <v>40</v>
      </c>
      <c r="H687" s="1">
        <v>42768</v>
      </c>
    </row>
    <row r="688" spans="1:10" x14ac:dyDescent="0.3">
      <c r="A688" t="s">
        <v>819</v>
      </c>
      <c r="B688" t="s">
        <v>35</v>
      </c>
      <c r="C688" t="str">
        <f>_xlfn.XLOOKUP(B688,
[1]sales_teams!$A$2:$A$100,
[1]sales_teams!$B$2:$B$100)</f>
        <v>Melvin Marxen</v>
      </c>
      <c r="D688" t="str">
        <f>_xlfn.XLOOKUP($B688,sales_teams!$A$2:$A$36,sales_teams!C$2:C$36)</f>
        <v>Central</v>
      </c>
      <c r="E688" t="s">
        <v>15</v>
      </c>
      <c r="F688" t="s">
        <v>120</v>
      </c>
      <c r="G688" t="s">
        <v>46</v>
      </c>
      <c r="H688" s="1">
        <v>42768</v>
      </c>
      <c r="I688" s="1">
        <v>42860</v>
      </c>
      <c r="J688">
        <v>0</v>
      </c>
    </row>
    <row r="689" spans="1:10" x14ac:dyDescent="0.3">
      <c r="A689" t="s">
        <v>820</v>
      </c>
      <c r="B689" t="s">
        <v>61</v>
      </c>
      <c r="C689" t="str">
        <f>_xlfn.XLOOKUP(B689,
[1]sales_teams!$A$2:$A$100,
[1]sales_teams!$B$2:$B$100)</f>
        <v>Dustin Brinkmann</v>
      </c>
      <c r="D689" t="str">
        <f>_xlfn.XLOOKUP($B689,sales_teams!$A$2:$A$36,sales_teams!C$2:C$36)</f>
        <v>Central</v>
      </c>
      <c r="E689" t="s">
        <v>18</v>
      </c>
      <c r="F689" t="s">
        <v>129</v>
      </c>
      <c r="G689" t="s">
        <v>12</v>
      </c>
      <c r="H689" s="1">
        <v>42768</v>
      </c>
      <c r="I689" s="1">
        <v>42824</v>
      </c>
      <c r="J689">
        <v>54</v>
      </c>
    </row>
    <row r="690" spans="1:10" x14ac:dyDescent="0.3">
      <c r="A690" t="s">
        <v>821</v>
      </c>
      <c r="B690" t="s">
        <v>29</v>
      </c>
      <c r="C690" t="str">
        <f>_xlfn.XLOOKUP(B690,
[1]sales_teams!$A$2:$A$100,
[1]sales_teams!$B$2:$B$100)</f>
        <v>Celia Rouche</v>
      </c>
      <c r="D690" t="str">
        <f>_xlfn.XLOOKUP($B690,sales_teams!$A$2:$A$36,sales_teams!C$2:C$36)</f>
        <v>West</v>
      </c>
      <c r="E690" t="s">
        <v>10</v>
      </c>
      <c r="F690" t="s">
        <v>218</v>
      </c>
      <c r="G690" t="s">
        <v>40</v>
      </c>
      <c r="H690" s="1">
        <v>42768</v>
      </c>
    </row>
    <row r="691" spans="1:10" x14ac:dyDescent="0.3">
      <c r="A691" t="s">
        <v>822</v>
      </c>
      <c r="B691" t="s">
        <v>139</v>
      </c>
      <c r="C691" t="str">
        <f>_xlfn.XLOOKUP(B691,
[1]sales_teams!$A$2:$A$100,
[1]sales_teams!$B$2:$B$100)</f>
        <v>Rocco Neubert</v>
      </c>
      <c r="D691" t="str">
        <f>_xlfn.XLOOKUP($B691,sales_teams!$A$2:$A$36,sales_teams!C$2:C$36)</f>
        <v>East</v>
      </c>
      <c r="E691" t="s">
        <v>10</v>
      </c>
      <c r="F691" t="s">
        <v>199</v>
      </c>
      <c r="G691" t="s">
        <v>12</v>
      </c>
      <c r="H691" s="1">
        <v>42769</v>
      </c>
      <c r="I691" s="1">
        <v>42889</v>
      </c>
      <c r="J691">
        <v>1121</v>
      </c>
    </row>
    <row r="692" spans="1:10" x14ac:dyDescent="0.3">
      <c r="A692" t="s">
        <v>823</v>
      </c>
      <c r="B692" t="s">
        <v>118</v>
      </c>
      <c r="C692" t="str">
        <f>_xlfn.XLOOKUP(B692,
[1]sales_teams!$A$2:$A$100,
[1]sales_teams!$B$2:$B$100)</f>
        <v>Rocco Neubert</v>
      </c>
      <c r="D692" t="str">
        <f>_xlfn.XLOOKUP($B692,sales_teams!$A$2:$A$36,sales_teams!C$2:C$36)</f>
        <v>East</v>
      </c>
      <c r="E692" t="s">
        <v>20</v>
      </c>
      <c r="F692" t="s">
        <v>143</v>
      </c>
      <c r="G692" t="s">
        <v>12</v>
      </c>
      <c r="H692" s="1">
        <v>42769</v>
      </c>
      <c r="I692" s="1">
        <v>42890</v>
      </c>
      <c r="J692">
        <v>477</v>
      </c>
    </row>
    <row r="693" spans="1:10" x14ac:dyDescent="0.3">
      <c r="A693" t="s">
        <v>824</v>
      </c>
      <c r="B693" t="s">
        <v>164</v>
      </c>
      <c r="C693" t="str">
        <f>_xlfn.XLOOKUP(B693,
[1]sales_teams!$A$2:$A$100,
[1]sales_teams!$B$2:$B$100)</f>
        <v>Cara Losch</v>
      </c>
      <c r="D693" t="str">
        <f>_xlfn.XLOOKUP($B693,sales_teams!$A$2:$A$36,sales_teams!C$2:C$36)</f>
        <v>East</v>
      </c>
      <c r="E693" t="s">
        <v>20</v>
      </c>
      <c r="F693" t="s">
        <v>218</v>
      </c>
      <c r="G693" t="s">
        <v>12</v>
      </c>
      <c r="H693" s="1">
        <v>42769</v>
      </c>
      <c r="I693" s="1">
        <v>42860</v>
      </c>
      <c r="J693">
        <v>515</v>
      </c>
    </row>
    <row r="694" spans="1:10" x14ac:dyDescent="0.3">
      <c r="A694" t="s">
        <v>825</v>
      </c>
      <c r="B694" t="s">
        <v>64</v>
      </c>
      <c r="C694" t="str">
        <f>_xlfn.XLOOKUP(B694,
[1]sales_teams!$A$2:$A$100,
[1]sales_teams!$B$2:$B$100)</f>
        <v>Rocco Neubert</v>
      </c>
      <c r="D694" t="str">
        <f>_xlfn.XLOOKUP($B694,sales_teams!$A$2:$A$36,sales_teams!C$2:C$36)</f>
        <v>East</v>
      </c>
      <c r="E694" t="s">
        <v>18</v>
      </c>
      <c r="F694" t="s">
        <v>81</v>
      </c>
      <c r="G694" t="s">
        <v>46</v>
      </c>
      <c r="H694" s="1">
        <v>42769</v>
      </c>
      <c r="I694" s="1">
        <v>42856</v>
      </c>
      <c r="J694">
        <v>0</v>
      </c>
    </row>
    <row r="695" spans="1:10" x14ac:dyDescent="0.3">
      <c r="A695" t="s">
        <v>826</v>
      </c>
      <c r="B695" t="s">
        <v>142</v>
      </c>
      <c r="C695" t="str">
        <f>_xlfn.XLOOKUP(B695,
[1]sales_teams!$A$2:$A$100,
[1]sales_teams!$B$2:$B$100)</f>
        <v>Rocco Neubert</v>
      </c>
      <c r="D695" t="str">
        <f>_xlfn.XLOOKUP($B695,sales_teams!$A$2:$A$36,sales_teams!C$2:C$36)</f>
        <v>East</v>
      </c>
      <c r="E695" t="s">
        <v>39</v>
      </c>
      <c r="F695" t="s">
        <v>189</v>
      </c>
      <c r="G695" t="s">
        <v>46</v>
      </c>
      <c r="H695" s="1">
        <v>42769</v>
      </c>
      <c r="I695" s="1">
        <v>42866</v>
      </c>
      <c r="J695">
        <v>0</v>
      </c>
    </row>
    <row r="696" spans="1:10" x14ac:dyDescent="0.3">
      <c r="A696" t="s">
        <v>827</v>
      </c>
      <c r="B696" t="s">
        <v>54</v>
      </c>
      <c r="C696" t="str">
        <f>_xlfn.XLOOKUP(B696,
[1]sales_teams!$A$2:$A$100,
[1]sales_teams!$B$2:$B$100)</f>
        <v>Celia Rouche</v>
      </c>
      <c r="D696" t="str">
        <f>_xlfn.XLOOKUP($B696,sales_teams!$A$2:$A$36,sales_teams!C$2:C$36)</f>
        <v>West</v>
      </c>
      <c r="E696" t="s">
        <v>10</v>
      </c>
      <c r="F696" t="s">
        <v>148</v>
      </c>
      <c r="G696" t="s">
        <v>12</v>
      </c>
      <c r="H696" s="1">
        <v>42769</v>
      </c>
      <c r="I696" s="1">
        <v>42906</v>
      </c>
      <c r="J696">
        <v>975</v>
      </c>
    </row>
    <row r="697" spans="1:10" x14ac:dyDescent="0.3">
      <c r="A697" t="s">
        <v>828</v>
      </c>
      <c r="B697" t="s">
        <v>54</v>
      </c>
      <c r="C697" t="str">
        <f>_xlfn.XLOOKUP(B697,
[1]sales_teams!$A$2:$A$100,
[1]sales_teams!$B$2:$B$100)</f>
        <v>Celia Rouche</v>
      </c>
      <c r="D697" t="str">
        <f>_xlfn.XLOOKUP($B697,sales_teams!$A$2:$A$36,sales_teams!C$2:C$36)</f>
        <v>West</v>
      </c>
      <c r="E697" t="s">
        <v>39</v>
      </c>
      <c r="F697" t="s">
        <v>49</v>
      </c>
      <c r="G697" t="s">
        <v>12</v>
      </c>
      <c r="H697" s="1">
        <v>42769</v>
      </c>
      <c r="I697" s="1">
        <v>42856</v>
      </c>
      <c r="J697">
        <v>3376</v>
      </c>
    </row>
    <row r="698" spans="1:10" x14ac:dyDescent="0.3">
      <c r="A698" t="s">
        <v>829</v>
      </c>
      <c r="B698" t="s">
        <v>38</v>
      </c>
      <c r="C698" t="str">
        <f>_xlfn.XLOOKUP(B698,
[1]sales_teams!$A$2:$A$100,
[1]sales_teams!$B$2:$B$100)</f>
        <v>Summer Sewald</v>
      </c>
      <c r="D698" t="str">
        <f>_xlfn.XLOOKUP($B698,sales_teams!$A$2:$A$36,sales_teams!C$2:C$36)</f>
        <v>West</v>
      </c>
      <c r="E698" t="s">
        <v>20</v>
      </c>
      <c r="F698" t="s">
        <v>70</v>
      </c>
      <c r="G698" t="s">
        <v>12</v>
      </c>
      <c r="H698" s="1">
        <v>42769</v>
      </c>
      <c r="I698" s="1">
        <v>42806</v>
      </c>
      <c r="J698">
        <v>458</v>
      </c>
    </row>
    <row r="699" spans="1:10" x14ac:dyDescent="0.3">
      <c r="A699" t="s">
        <v>830</v>
      </c>
      <c r="B699" t="s">
        <v>252</v>
      </c>
      <c r="C699" t="str">
        <f>_xlfn.XLOOKUP(B699,
[1]sales_teams!$A$2:$A$100,
[1]sales_teams!$B$2:$B$100)</f>
        <v>Melvin Marxen</v>
      </c>
      <c r="D699" t="str">
        <f>_xlfn.XLOOKUP($B699,sales_teams!$A$2:$A$36,sales_teams!C$2:C$36)</f>
        <v>Central</v>
      </c>
      <c r="E699" t="s">
        <v>20</v>
      </c>
      <c r="F699" t="s">
        <v>213</v>
      </c>
      <c r="G699" t="s">
        <v>46</v>
      </c>
      <c r="H699" s="1">
        <v>42769</v>
      </c>
      <c r="I699" s="1">
        <v>42871</v>
      </c>
      <c r="J699">
        <v>0</v>
      </c>
    </row>
    <row r="700" spans="1:10" x14ac:dyDescent="0.3">
      <c r="A700" t="s">
        <v>831</v>
      </c>
      <c r="B700" t="s">
        <v>78</v>
      </c>
      <c r="C700" t="str">
        <f>_xlfn.XLOOKUP(B700,
[1]sales_teams!$A$2:$A$100,
[1]sales_teams!$B$2:$B$100)</f>
        <v>Summer Sewald</v>
      </c>
      <c r="D700" t="str">
        <f>_xlfn.XLOOKUP($B700,sales_teams!$A$2:$A$36,sales_teams!C$2:C$36)</f>
        <v>West</v>
      </c>
      <c r="E700" t="s">
        <v>20</v>
      </c>
      <c r="F700" t="s">
        <v>122</v>
      </c>
      <c r="G700" t="s">
        <v>46</v>
      </c>
      <c r="H700" s="1">
        <v>42769</v>
      </c>
      <c r="I700" s="1">
        <v>42878</v>
      </c>
      <c r="J700">
        <v>0</v>
      </c>
    </row>
    <row r="701" spans="1:10" x14ac:dyDescent="0.3">
      <c r="A701" t="s">
        <v>832</v>
      </c>
      <c r="B701" t="s">
        <v>78</v>
      </c>
      <c r="C701" t="str">
        <f>_xlfn.XLOOKUP(B701,
[1]sales_teams!$A$2:$A$100,
[1]sales_teams!$B$2:$B$100)</f>
        <v>Summer Sewald</v>
      </c>
      <c r="D701" t="str">
        <f>_xlfn.XLOOKUP($B701,sales_teams!$A$2:$A$36,sales_teams!C$2:C$36)</f>
        <v>West</v>
      </c>
      <c r="E701" t="s">
        <v>20</v>
      </c>
      <c r="F701" t="s">
        <v>122</v>
      </c>
      <c r="G701" t="s">
        <v>12</v>
      </c>
      <c r="H701" s="1">
        <v>42769</v>
      </c>
      <c r="I701" s="1">
        <v>42808</v>
      </c>
      <c r="J701">
        <v>622</v>
      </c>
    </row>
    <row r="702" spans="1:10" x14ac:dyDescent="0.3">
      <c r="A702" t="s">
        <v>833</v>
      </c>
      <c r="B702" t="s">
        <v>78</v>
      </c>
      <c r="C702" t="str">
        <f>_xlfn.XLOOKUP(B702,
[1]sales_teams!$A$2:$A$100,
[1]sales_teams!$B$2:$B$100)</f>
        <v>Summer Sewald</v>
      </c>
      <c r="D702" t="str">
        <f>_xlfn.XLOOKUP($B702,sales_teams!$A$2:$A$36,sales_teams!C$2:C$36)</f>
        <v>West</v>
      </c>
      <c r="E702" t="s">
        <v>20</v>
      </c>
      <c r="F702" t="s">
        <v>184</v>
      </c>
      <c r="G702" t="s">
        <v>12</v>
      </c>
      <c r="H702" s="1">
        <v>42769</v>
      </c>
      <c r="I702" s="1">
        <v>42895</v>
      </c>
      <c r="J702">
        <v>441</v>
      </c>
    </row>
    <row r="703" spans="1:10" x14ac:dyDescent="0.3">
      <c r="A703" t="s">
        <v>834</v>
      </c>
      <c r="B703" t="s">
        <v>95</v>
      </c>
      <c r="C703" t="str">
        <f>_xlfn.XLOOKUP(B703,
[1]sales_teams!$A$2:$A$100,
[1]sales_teams!$B$2:$B$100)</f>
        <v>Summer Sewald</v>
      </c>
      <c r="D703" t="str">
        <f>_xlfn.XLOOKUP($B703,sales_teams!$A$2:$A$36,sales_teams!C$2:C$36)</f>
        <v>West</v>
      </c>
      <c r="E703" t="s">
        <v>15</v>
      </c>
      <c r="F703" t="s">
        <v>199</v>
      </c>
      <c r="G703" t="s">
        <v>46</v>
      </c>
      <c r="H703" s="1">
        <v>42769</v>
      </c>
      <c r="I703" s="1">
        <v>42870</v>
      </c>
      <c r="J703">
        <v>0</v>
      </c>
    </row>
    <row r="704" spans="1:10" x14ac:dyDescent="0.3">
      <c r="A704" t="s">
        <v>835</v>
      </c>
      <c r="B704" t="s">
        <v>116</v>
      </c>
      <c r="C704" t="str">
        <f>_xlfn.XLOOKUP(B704,
[1]sales_teams!$A$2:$A$100,
[1]sales_teams!$B$2:$B$100)</f>
        <v>Melvin Marxen</v>
      </c>
      <c r="D704" t="str">
        <f>_xlfn.XLOOKUP($B704,sales_teams!$A$2:$A$36,sales_teams!C$2:C$36)</f>
        <v>Central</v>
      </c>
      <c r="E704" t="s">
        <v>20</v>
      </c>
      <c r="F704" t="s">
        <v>27</v>
      </c>
      <c r="G704" t="s">
        <v>12</v>
      </c>
      <c r="H704" s="1">
        <v>42769</v>
      </c>
      <c r="I704" s="1">
        <v>42876</v>
      </c>
      <c r="J704">
        <v>538</v>
      </c>
    </row>
    <row r="705" spans="1:10" x14ac:dyDescent="0.3">
      <c r="A705" t="s">
        <v>836</v>
      </c>
      <c r="B705" t="s">
        <v>51</v>
      </c>
      <c r="C705" t="str">
        <f>_xlfn.XLOOKUP(B705,
[1]sales_teams!$A$2:$A$100,
[1]sales_teams!$B$2:$B$100)</f>
        <v>Summer Sewald</v>
      </c>
      <c r="D705" t="str">
        <f>_xlfn.XLOOKUP($B705,sales_teams!$A$2:$A$36,sales_teams!C$2:C$36)</f>
        <v>West</v>
      </c>
      <c r="E705" t="s">
        <v>48</v>
      </c>
      <c r="F705" t="s">
        <v>148</v>
      </c>
      <c r="G705" t="s">
        <v>12</v>
      </c>
      <c r="H705" s="1">
        <v>42769</v>
      </c>
      <c r="I705" s="1">
        <v>42823</v>
      </c>
      <c r="J705">
        <v>4667</v>
      </c>
    </row>
    <row r="706" spans="1:10" x14ac:dyDescent="0.3">
      <c r="A706" t="s">
        <v>837</v>
      </c>
      <c r="B706" t="s">
        <v>35</v>
      </c>
      <c r="C706" t="str">
        <f>_xlfn.XLOOKUP(B706,
[1]sales_teams!$A$2:$A$100,
[1]sales_teams!$B$2:$B$100)</f>
        <v>Melvin Marxen</v>
      </c>
      <c r="D706" t="str">
        <f>_xlfn.XLOOKUP($B706,sales_teams!$A$2:$A$36,sales_teams!C$2:C$36)</f>
        <v>Central</v>
      </c>
      <c r="E706" t="s">
        <v>10</v>
      </c>
      <c r="F706" t="s">
        <v>21</v>
      </c>
      <c r="G706" t="s">
        <v>12</v>
      </c>
      <c r="H706" s="1">
        <v>42769</v>
      </c>
      <c r="I706" s="1">
        <v>42901</v>
      </c>
      <c r="J706">
        <v>1018</v>
      </c>
    </row>
    <row r="707" spans="1:10" x14ac:dyDescent="0.3">
      <c r="A707" t="s">
        <v>838</v>
      </c>
      <c r="B707" t="s">
        <v>97</v>
      </c>
      <c r="C707" t="str">
        <f>_xlfn.XLOOKUP(B707,
[1]sales_teams!$A$2:$A$100,
[1]sales_teams!$B$2:$B$100)</f>
        <v>Rocco Neubert</v>
      </c>
      <c r="D707" t="str">
        <f>_xlfn.XLOOKUP($B707,sales_teams!$A$2:$A$36,sales_teams!C$2:C$36)</f>
        <v>East</v>
      </c>
      <c r="E707" t="s">
        <v>15</v>
      </c>
      <c r="F707" t="s">
        <v>745</v>
      </c>
      <c r="G707" t="s">
        <v>12</v>
      </c>
      <c r="H707" s="1">
        <v>42769</v>
      </c>
      <c r="I707" s="1">
        <v>42864</v>
      </c>
      <c r="J707">
        <v>4671</v>
      </c>
    </row>
    <row r="708" spans="1:10" x14ac:dyDescent="0.3">
      <c r="A708" t="s">
        <v>839</v>
      </c>
      <c r="B708" t="s">
        <v>29</v>
      </c>
      <c r="C708" t="str">
        <f>_xlfn.XLOOKUP(B708,
[1]sales_teams!$A$2:$A$100,
[1]sales_teams!$B$2:$B$100)</f>
        <v>Celia Rouche</v>
      </c>
      <c r="D708" t="str">
        <f>_xlfn.XLOOKUP($B708,sales_teams!$A$2:$A$36,sales_teams!C$2:C$36)</f>
        <v>West</v>
      </c>
      <c r="E708" t="s">
        <v>18</v>
      </c>
      <c r="G708" t="s">
        <v>40</v>
      </c>
      <c r="H708" s="1">
        <v>42769</v>
      </c>
    </row>
    <row r="709" spans="1:10" x14ac:dyDescent="0.3">
      <c r="A709" t="s">
        <v>840</v>
      </c>
      <c r="B709" t="s">
        <v>73</v>
      </c>
      <c r="C709" t="str">
        <f>_xlfn.XLOOKUP(B709,
[1]sales_teams!$A$2:$A$100,
[1]sales_teams!$B$2:$B$100)</f>
        <v>Cara Losch</v>
      </c>
      <c r="D709" t="str">
        <f>_xlfn.XLOOKUP($B709,sales_teams!$A$2:$A$36,sales_teams!C$2:C$36)</f>
        <v>East</v>
      </c>
      <c r="E709" t="s">
        <v>15</v>
      </c>
      <c r="F709" t="s">
        <v>192</v>
      </c>
      <c r="G709" t="s">
        <v>12</v>
      </c>
      <c r="H709" s="1">
        <v>42769</v>
      </c>
      <c r="I709" s="1">
        <v>42871</v>
      </c>
      <c r="J709">
        <v>4634</v>
      </c>
    </row>
    <row r="710" spans="1:10" x14ac:dyDescent="0.3">
      <c r="A710" t="s">
        <v>841</v>
      </c>
      <c r="B710" t="s">
        <v>23</v>
      </c>
      <c r="C710" t="str">
        <f>_xlfn.XLOOKUP(B710,
[1]sales_teams!$A$2:$A$100,
[1]sales_teams!$B$2:$B$100)</f>
        <v>Summer Sewald</v>
      </c>
      <c r="D710" t="str">
        <f>_xlfn.XLOOKUP($B710,sales_teams!$A$2:$A$36,sales_teams!C$2:C$36)</f>
        <v>West</v>
      </c>
      <c r="E710" t="s">
        <v>10</v>
      </c>
      <c r="F710" t="s">
        <v>30</v>
      </c>
      <c r="G710" t="s">
        <v>46</v>
      </c>
      <c r="H710" s="1">
        <v>42769</v>
      </c>
      <c r="I710" s="1">
        <v>42896</v>
      </c>
      <c r="J710">
        <v>0</v>
      </c>
    </row>
    <row r="711" spans="1:10" x14ac:dyDescent="0.3">
      <c r="A711" t="s">
        <v>842</v>
      </c>
      <c r="B711" t="s">
        <v>202</v>
      </c>
      <c r="C711" t="str">
        <f>_xlfn.XLOOKUP(B711,
[1]sales_teams!$A$2:$A$100,
[1]sales_teams!$B$2:$B$100)</f>
        <v>Dustin Brinkmann</v>
      </c>
      <c r="D711" t="str">
        <f>_xlfn.XLOOKUP($B711,sales_teams!$A$2:$A$36,sales_teams!C$2:C$36)</f>
        <v>Central</v>
      </c>
      <c r="E711" t="s">
        <v>39</v>
      </c>
      <c r="F711" t="s">
        <v>76</v>
      </c>
      <c r="G711" t="s">
        <v>12</v>
      </c>
      <c r="H711" s="1">
        <v>42770</v>
      </c>
      <c r="I711" s="1">
        <v>42864</v>
      </c>
      <c r="J711">
        <v>3470</v>
      </c>
    </row>
    <row r="712" spans="1:10" x14ac:dyDescent="0.3">
      <c r="A712" t="s">
        <v>843</v>
      </c>
      <c r="B712" t="s">
        <v>164</v>
      </c>
      <c r="C712" t="str">
        <f>_xlfn.XLOOKUP(B712,
[1]sales_teams!$A$2:$A$100,
[1]sales_teams!$B$2:$B$100)</f>
        <v>Cara Losch</v>
      </c>
      <c r="D712" t="str">
        <f>_xlfn.XLOOKUP($B712,sales_teams!$A$2:$A$36,sales_teams!C$2:C$36)</f>
        <v>East</v>
      </c>
      <c r="E712" t="s">
        <v>20</v>
      </c>
      <c r="F712" t="s">
        <v>197</v>
      </c>
      <c r="G712" t="s">
        <v>40</v>
      </c>
      <c r="H712" s="1">
        <v>42770</v>
      </c>
    </row>
    <row r="713" spans="1:10" x14ac:dyDescent="0.3">
      <c r="A713" t="s">
        <v>844</v>
      </c>
      <c r="B713" t="s">
        <v>64</v>
      </c>
      <c r="C713" t="str">
        <f>_xlfn.XLOOKUP(B713,
[1]sales_teams!$A$2:$A$100,
[1]sales_teams!$B$2:$B$100)</f>
        <v>Rocco Neubert</v>
      </c>
      <c r="D713" t="str">
        <f>_xlfn.XLOOKUP($B713,sales_teams!$A$2:$A$36,sales_teams!C$2:C$36)</f>
        <v>East</v>
      </c>
      <c r="E713" t="s">
        <v>10</v>
      </c>
      <c r="F713" t="s">
        <v>143</v>
      </c>
      <c r="G713" t="s">
        <v>46</v>
      </c>
      <c r="H713" s="1">
        <v>42770</v>
      </c>
      <c r="I713" s="1">
        <v>42873</v>
      </c>
      <c r="J713">
        <v>0</v>
      </c>
    </row>
    <row r="714" spans="1:10" x14ac:dyDescent="0.3">
      <c r="A714" t="s">
        <v>845</v>
      </c>
      <c r="B714" t="s">
        <v>142</v>
      </c>
      <c r="C714" t="str">
        <f>_xlfn.XLOOKUP(B714,
[1]sales_teams!$A$2:$A$100,
[1]sales_teams!$B$2:$B$100)</f>
        <v>Rocco Neubert</v>
      </c>
      <c r="D714" t="str">
        <f>_xlfn.XLOOKUP($B714,sales_teams!$A$2:$A$36,sales_teams!C$2:C$36)</f>
        <v>East</v>
      </c>
      <c r="E714" t="s">
        <v>48</v>
      </c>
      <c r="F714" t="s">
        <v>98</v>
      </c>
      <c r="G714" t="s">
        <v>12</v>
      </c>
      <c r="H714" s="1">
        <v>42770</v>
      </c>
      <c r="I714" s="1">
        <v>42885</v>
      </c>
      <c r="J714">
        <v>5366</v>
      </c>
    </row>
    <row r="715" spans="1:10" x14ac:dyDescent="0.3">
      <c r="A715" t="s">
        <v>846</v>
      </c>
      <c r="B715" t="s">
        <v>44</v>
      </c>
      <c r="C715" t="str">
        <f>_xlfn.XLOOKUP(B715,
[1]sales_teams!$A$2:$A$100,
[1]sales_teams!$B$2:$B$100)</f>
        <v>Melvin Marxen</v>
      </c>
      <c r="D715" t="str">
        <f>_xlfn.XLOOKUP($B715,sales_teams!$A$2:$A$36,sales_teams!C$2:C$36)</f>
        <v>Central</v>
      </c>
      <c r="E715" t="s">
        <v>10</v>
      </c>
      <c r="F715" t="s">
        <v>126</v>
      </c>
      <c r="G715" t="s">
        <v>46</v>
      </c>
      <c r="H715" s="1">
        <v>42770</v>
      </c>
      <c r="I715" s="1">
        <v>42881</v>
      </c>
      <c r="J715">
        <v>0</v>
      </c>
    </row>
    <row r="716" spans="1:10" x14ac:dyDescent="0.3">
      <c r="A716" t="s">
        <v>847</v>
      </c>
      <c r="B716" t="s">
        <v>54</v>
      </c>
      <c r="C716" t="str">
        <f>_xlfn.XLOOKUP(B716,
[1]sales_teams!$A$2:$A$100,
[1]sales_teams!$B$2:$B$100)</f>
        <v>Celia Rouche</v>
      </c>
      <c r="D716" t="str">
        <f>_xlfn.XLOOKUP($B716,sales_teams!$A$2:$A$36,sales_teams!C$2:C$36)</f>
        <v>West</v>
      </c>
      <c r="E716" t="s">
        <v>10</v>
      </c>
      <c r="F716" t="s">
        <v>33</v>
      </c>
      <c r="G716" t="s">
        <v>40</v>
      </c>
      <c r="H716" s="1">
        <v>42770</v>
      </c>
    </row>
    <row r="717" spans="1:10" x14ac:dyDescent="0.3">
      <c r="A717" t="s">
        <v>848</v>
      </c>
      <c r="B717" t="s">
        <v>95</v>
      </c>
      <c r="C717" t="str">
        <f>_xlfn.XLOOKUP(B717,
[1]sales_teams!$A$2:$A$100,
[1]sales_teams!$B$2:$B$100)</f>
        <v>Summer Sewald</v>
      </c>
      <c r="D717" t="str">
        <f>_xlfn.XLOOKUP($B717,sales_teams!$A$2:$A$36,sales_teams!C$2:C$36)</f>
        <v>West</v>
      </c>
      <c r="E717" t="s">
        <v>48</v>
      </c>
      <c r="G717" t="s">
        <v>40</v>
      </c>
      <c r="H717" s="1">
        <v>42770</v>
      </c>
    </row>
    <row r="718" spans="1:10" x14ac:dyDescent="0.3">
      <c r="A718" t="s">
        <v>849</v>
      </c>
      <c r="B718" t="s">
        <v>95</v>
      </c>
      <c r="C718" t="str">
        <f>_xlfn.XLOOKUP(B718,
[1]sales_teams!$A$2:$A$100,
[1]sales_teams!$B$2:$B$100)</f>
        <v>Summer Sewald</v>
      </c>
      <c r="D718" t="str">
        <f>_xlfn.XLOOKUP($B718,sales_teams!$A$2:$A$36,sales_teams!C$2:C$36)</f>
        <v>West</v>
      </c>
      <c r="E718" t="s">
        <v>20</v>
      </c>
      <c r="F718" t="s">
        <v>398</v>
      </c>
      <c r="G718" t="s">
        <v>12</v>
      </c>
      <c r="H718" s="1">
        <v>42770</v>
      </c>
      <c r="I718" s="1">
        <v>42872</v>
      </c>
      <c r="J718">
        <v>582</v>
      </c>
    </row>
    <row r="719" spans="1:10" x14ac:dyDescent="0.3">
      <c r="A719" t="s">
        <v>850</v>
      </c>
      <c r="B719" t="s">
        <v>95</v>
      </c>
      <c r="C719" t="str">
        <f>_xlfn.XLOOKUP(B719,
[1]sales_teams!$A$2:$A$100,
[1]sales_teams!$B$2:$B$100)</f>
        <v>Summer Sewald</v>
      </c>
      <c r="D719" t="str">
        <f>_xlfn.XLOOKUP($B719,sales_teams!$A$2:$A$36,sales_teams!C$2:C$36)</f>
        <v>West</v>
      </c>
      <c r="E719" t="s">
        <v>20</v>
      </c>
      <c r="F719" t="s">
        <v>49</v>
      </c>
      <c r="G719" t="s">
        <v>12</v>
      </c>
      <c r="H719" s="1">
        <v>42770</v>
      </c>
      <c r="I719" s="1">
        <v>42857</v>
      </c>
      <c r="J719">
        <v>583</v>
      </c>
    </row>
    <row r="720" spans="1:10" x14ac:dyDescent="0.3">
      <c r="A720" t="s">
        <v>851</v>
      </c>
      <c r="B720" t="s">
        <v>35</v>
      </c>
      <c r="C720" t="str">
        <f>_xlfn.XLOOKUP(B720,
[1]sales_teams!$A$2:$A$100,
[1]sales_teams!$B$2:$B$100)</f>
        <v>Melvin Marxen</v>
      </c>
      <c r="D720" t="str">
        <f>_xlfn.XLOOKUP($B720,sales_teams!$A$2:$A$36,sales_teams!C$2:C$36)</f>
        <v>Central</v>
      </c>
      <c r="E720" t="s">
        <v>20</v>
      </c>
      <c r="F720" t="s">
        <v>91</v>
      </c>
      <c r="G720" t="s">
        <v>46</v>
      </c>
      <c r="H720" s="1">
        <v>42770</v>
      </c>
      <c r="I720" s="1">
        <v>42871</v>
      </c>
      <c r="J720">
        <v>0</v>
      </c>
    </row>
    <row r="721" spans="1:10" x14ac:dyDescent="0.3">
      <c r="A721" t="s">
        <v>852</v>
      </c>
      <c r="B721" t="s">
        <v>29</v>
      </c>
      <c r="C721" t="str">
        <f>_xlfn.XLOOKUP(B721,
[1]sales_teams!$A$2:$A$100,
[1]sales_teams!$B$2:$B$100)</f>
        <v>Celia Rouche</v>
      </c>
      <c r="D721" t="str">
        <f>_xlfn.XLOOKUP($B721,sales_teams!$A$2:$A$36,sales_teams!C$2:C$36)</f>
        <v>West</v>
      </c>
      <c r="E721" t="s">
        <v>48</v>
      </c>
      <c r="F721" t="s">
        <v>70</v>
      </c>
      <c r="G721" t="s">
        <v>12</v>
      </c>
      <c r="H721" s="1">
        <v>42770</v>
      </c>
      <c r="I721" s="1">
        <v>42874</v>
      </c>
      <c r="J721">
        <v>6079</v>
      </c>
    </row>
    <row r="722" spans="1:10" x14ac:dyDescent="0.3">
      <c r="A722" t="s">
        <v>853</v>
      </c>
      <c r="B722" t="s">
        <v>23</v>
      </c>
      <c r="C722" t="str">
        <f>_xlfn.XLOOKUP(B722,
[1]sales_teams!$A$2:$A$100,
[1]sales_teams!$B$2:$B$100)</f>
        <v>Summer Sewald</v>
      </c>
      <c r="D722" t="str">
        <f>_xlfn.XLOOKUP($B722,sales_teams!$A$2:$A$36,sales_teams!C$2:C$36)</f>
        <v>West</v>
      </c>
      <c r="E722" t="s">
        <v>10</v>
      </c>
      <c r="F722" t="s">
        <v>70</v>
      </c>
      <c r="G722" t="s">
        <v>46</v>
      </c>
      <c r="H722" s="1">
        <v>42770</v>
      </c>
      <c r="I722" s="1">
        <v>42862</v>
      </c>
      <c r="J722">
        <v>0</v>
      </c>
    </row>
    <row r="723" spans="1:10" x14ac:dyDescent="0.3">
      <c r="A723" t="s">
        <v>854</v>
      </c>
      <c r="B723" t="s">
        <v>23</v>
      </c>
      <c r="C723" t="str">
        <f>_xlfn.XLOOKUP(B723,
[1]sales_teams!$A$2:$A$100,
[1]sales_teams!$B$2:$B$100)</f>
        <v>Summer Sewald</v>
      </c>
      <c r="D723" t="str">
        <f>_xlfn.XLOOKUP($B723,sales_teams!$A$2:$A$36,sales_teams!C$2:C$36)</f>
        <v>West</v>
      </c>
      <c r="E723" t="s">
        <v>10</v>
      </c>
      <c r="F723" t="s">
        <v>199</v>
      </c>
      <c r="G723" t="s">
        <v>12</v>
      </c>
      <c r="H723" s="1">
        <v>42770</v>
      </c>
      <c r="I723" s="1">
        <v>42888</v>
      </c>
      <c r="J723">
        <v>1068</v>
      </c>
    </row>
    <row r="724" spans="1:10" x14ac:dyDescent="0.3">
      <c r="A724" t="s">
        <v>855</v>
      </c>
      <c r="B724" t="s">
        <v>26</v>
      </c>
      <c r="C724" t="str">
        <f>_xlfn.XLOOKUP(B724,
[1]sales_teams!$A$2:$A$100,
[1]sales_teams!$B$2:$B$100)</f>
        <v>Dustin Brinkmann</v>
      </c>
      <c r="D724" t="str">
        <f>_xlfn.XLOOKUP($B724,sales_teams!$A$2:$A$36,sales_teams!C$2:C$36)</f>
        <v>Central</v>
      </c>
      <c r="E724" t="s">
        <v>18</v>
      </c>
      <c r="F724" t="s">
        <v>11</v>
      </c>
      <c r="G724" t="s">
        <v>12</v>
      </c>
      <c r="H724" s="1">
        <v>42771</v>
      </c>
      <c r="I724" s="1">
        <v>42859</v>
      </c>
      <c r="J724">
        <v>55</v>
      </c>
    </row>
    <row r="725" spans="1:10" x14ac:dyDescent="0.3">
      <c r="A725" t="s">
        <v>856</v>
      </c>
      <c r="B725" t="s">
        <v>118</v>
      </c>
      <c r="C725" t="str">
        <f>_xlfn.XLOOKUP(B725,
[1]sales_teams!$A$2:$A$100,
[1]sales_teams!$B$2:$B$100)</f>
        <v>Rocco Neubert</v>
      </c>
      <c r="D725" t="str">
        <f>_xlfn.XLOOKUP($B725,sales_teams!$A$2:$A$36,sales_teams!C$2:C$36)</f>
        <v>East</v>
      </c>
      <c r="E725" t="s">
        <v>20</v>
      </c>
      <c r="F725" t="s">
        <v>329</v>
      </c>
      <c r="G725" t="s">
        <v>40</v>
      </c>
      <c r="H725" s="1">
        <v>42771</v>
      </c>
    </row>
    <row r="726" spans="1:10" x14ac:dyDescent="0.3">
      <c r="A726" t="s">
        <v>857</v>
      </c>
      <c r="B726" t="s">
        <v>118</v>
      </c>
      <c r="C726" t="str">
        <f>_xlfn.XLOOKUP(B726,
[1]sales_teams!$A$2:$A$100,
[1]sales_teams!$B$2:$B$100)</f>
        <v>Rocco Neubert</v>
      </c>
      <c r="D726" t="str">
        <f>_xlfn.XLOOKUP($B726,sales_teams!$A$2:$A$36,sales_teams!C$2:C$36)</f>
        <v>East</v>
      </c>
      <c r="E726" t="s">
        <v>39</v>
      </c>
      <c r="F726" t="s">
        <v>278</v>
      </c>
      <c r="G726" t="s">
        <v>46</v>
      </c>
      <c r="H726" s="1">
        <v>42771</v>
      </c>
      <c r="I726" s="1">
        <v>42857</v>
      </c>
      <c r="J726">
        <v>0</v>
      </c>
    </row>
    <row r="727" spans="1:10" x14ac:dyDescent="0.3">
      <c r="A727" t="s">
        <v>858</v>
      </c>
      <c r="B727" t="s">
        <v>118</v>
      </c>
      <c r="C727" t="str">
        <f>_xlfn.XLOOKUP(B727,
[1]sales_teams!$A$2:$A$100,
[1]sales_teams!$B$2:$B$100)</f>
        <v>Rocco Neubert</v>
      </c>
      <c r="D727" t="str">
        <f>_xlfn.XLOOKUP($B727,sales_teams!$A$2:$A$36,sales_teams!C$2:C$36)</f>
        <v>East</v>
      </c>
      <c r="E727" t="s">
        <v>20</v>
      </c>
      <c r="F727" t="s">
        <v>204</v>
      </c>
      <c r="G727" t="s">
        <v>12</v>
      </c>
      <c r="H727" s="1">
        <v>42771</v>
      </c>
      <c r="I727" s="1">
        <v>42821</v>
      </c>
      <c r="J727">
        <v>493</v>
      </c>
    </row>
    <row r="728" spans="1:10" x14ac:dyDescent="0.3">
      <c r="A728" t="s">
        <v>859</v>
      </c>
      <c r="B728" t="s">
        <v>14</v>
      </c>
      <c r="C728" t="str">
        <f>_xlfn.XLOOKUP(B728,
[1]sales_teams!$A$2:$A$100,
[1]sales_teams!$B$2:$B$100)</f>
        <v>Melvin Marxen</v>
      </c>
      <c r="D728" t="str">
        <f>_xlfn.XLOOKUP($B728,sales_teams!$A$2:$A$36,sales_teams!C$2:C$36)</f>
        <v>Central</v>
      </c>
      <c r="E728" t="s">
        <v>10</v>
      </c>
      <c r="F728" t="s">
        <v>27</v>
      </c>
      <c r="G728" t="s">
        <v>46</v>
      </c>
      <c r="H728" s="1">
        <v>42771</v>
      </c>
      <c r="I728" s="1">
        <v>42906</v>
      </c>
      <c r="J728">
        <v>0</v>
      </c>
    </row>
    <row r="729" spans="1:10" x14ac:dyDescent="0.3">
      <c r="A729" t="s">
        <v>860</v>
      </c>
      <c r="B729" t="s">
        <v>14</v>
      </c>
      <c r="C729" t="str">
        <f>_xlfn.XLOOKUP(B729,
[1]sales_teams!$A$2:$A$100,
[1]sales_teams!$B$2:$B$100)</f>
        <v>Melvin Marxen</v>
      </c>
      <c r="D729" t="str">
        <f>_xlfn.XLOOKUP($B729,sales_teams!$A$2:$A$36,sales_teams!C$2:C$36)</f>
        <v>Central</v>
      </c>
      <c r="E729" t="s">
        <v>15</v>
      </c>
      <c r="F729" t="s">
        <v>218</v>
      </c>
      <c r="G729" t="s">
        <v>12</v>
      </c>
      <c r="H729" s="1">
        <v>42771</v>
      </c>
      <c r="I729" s="1">
        <v>42819</v>
      </c>
      <c r="J729">
        <v>5559</v>
      </c>
    </row>
    <row r="730" spans="1:10" x14ac:dyDescent="0.3">
      <c r="A730" t="s">
        <v>861</v>
      </c>
      <c r="B730" t="s">
        <v>67</v>
      </c>
      <c r="C730" t="str">
        <f>_xlfn.XLOOKUP(B730,
[1]sales_teams!$A$2:$A$100,
[1]sales_teams!$B$2:$B$100)</f>
        <v>Celia Rouche</v>
      </c>
      <c r="D730" t="str">
        <f>_xlfn.XLOOKUP($B730,sales_teams!$A$2:$A$36,sales_teams!C$2:C$36)</f>
        <v>West</v>
      </c>
      <c r="E730" t="s">
        <v>18</v>
      </c>
      <c r="F730" t="s">
        <v>106</v>
      </c>
      <c r="G730" t="s">
        <v>40</v>
      </c>
      <c r="H730" s="1">
        <v>42771</v>
      </c>
    </row>
    <row r="731" spans="1:10" x14ac:dyDescent="0.3">
      <c r="A731" t="s">
        <v>862</v>
      </c>
      <c r="B731" t="s">
        <v>67</v>
      </c>
      <c r="C731" t="str">
        <f>_xlfn.XLOOKUP(B731,
[1]sales_teams!$A$2:$A$100,
[1]sales_teams!$B$2:$B$100)</f>
        <v>Celia Rouche</v>
      </c>
      <c r="D731" t="str">
        <f>_xlfn.XLOOKUP($B731,sales_teams!$A$2:$A$36,sales_teams!C$2:C$36)</f>
        <v>West</v>
      </c>
      <c r="E731" t="s">
        <v>39</v>
      </c>
      <c r="F731" t="s">
        <v>59</v>
      </c>
      <c r="G731" t="s">
        <v>12</v>
      </c>
      <c r="H731" s="1">
        <v>42771</v>
      </c>
      <c r="I731" s="1">
        <v>42864</v>
      </c>
      <c r="J731">
        <v>3351</v>
      </c>
    </row>
    <row r="732" spans="1:10" x14ac:dyDescent="0.3">
      <c r="A732" t="s">
        <v>863</v>
      </c>
      <c r="B732" t="s">
        <v>133</v>
      </c>
      <c r="C732" t="str">
        <f>_xlfn.XLOOKUP(B732,
[1]sales_teams!$A$2:$A$100,
[1]sales_teams!$B$2:$B$100)</f>
        <v>Dustin Brinkmann</v>
      </c>
      <c r="D732" t="str">
        <f>_xlfn.XLOOKUP($B732,sales_teams!$A$2:$A$36,sales_teams!C$2:C$36)</f>
        <v>Central</v>
      </c>
      <c r="E732" t="s">
        <v>20</v>
      </c>
      <c r="F732" t="s">
        <v>16</v>
      </c>
      <c r="G732" t="s">
        <v>12</v>
      </c>
      <c r="H732" s="1">
        <v>42771</v>
      </c>
      <c r="I732" s="1">
        <v>42868</v>
      </c>
      <c r="J732">
        <v>501</v>
      </c>
    </row>
    <row r="733" spans="1:10" x14ac:dyDescent="0.3">
      <c r="A733" t="s">
        <v>864</v>
      </c>
      <c r="B733" t="s">
        <v>51</v>
      </c>
      <c r="C733" t="str">
        <f>_xlfn.XLOOKUP(B733,
[1]sales_teams!$A$2:$A$100,
[1]sales_teams!$B$2:$B$100)</f>
        <v>Summer Sewald</v>
      </c>
      <c r="D733" t="str">
        <f>_xlfn.XLOOKUP($B733,sales_teams!$A$2:$A$36,sales_teams!C$2:C$36)</f>
        <v>West</v>
      </c>
      <c r="E733" t="s">
        <v>18</v>
      </c>
      <c r="G733" t="s">
        <v>40</v>
      </c>
      <c r="H733" s="1">
        <v>42771</v>
      </c>
    </row>
    <row r="734" spans="1:10" x14ac:dyDescent="0.3">
      <c r="A734" t="s">
        <v>865</v>
      </c>
      <c r="B734" t="s">
        <v>9</v>
      </c>
      <c r="C734" t="str">
        <f>_xlfn.XLOOKUP(B734,
[1]sales_teams!$A$2:$A$100,
[1]sales_teams!$B$2:$B$100)</f>
        <v>Dustin Brinkmann</v>
      </c>
      <c r="D734" t="str">
        <f>_xlfn.XLOOKUP($B734,sales_teams!$A$2:$A$36,sales_teams!C$2:C$36)</f>
        <v>Central</v>
      </c>
      <c r="E734" t="s">
        <v>18</v>
      </c>
      <c r="F734" t="s">
        <v>318</v>
      </c>
      <c r="G734" t="s">
        <v>46</v>
      </c>
      <c r="H734" s="1">
        <v>42771</v>
      </c>
      <c r="I734" s="1">
        <v>42863</v>
      </c>
      <c r="J734">
        <v>0</v>
      </c>
    </row>
    <row r="735" spans="1:10" x14ac:dyDescent="0.3">
      <c r="A735" t="s">
        <v>866</v>
      </c>
      <c r="B735" t="s">
        <v>97</v>
      </c>
      <c r="C735" t="str">
        <f>_xlfn.XLOOKUP(B735,
[1]sales_teams!$A$2:$A$100,
[1]sales_teams!$B$2:$B$100)</f>
        <v>Rocco Neubert</v>
      </c>
      <c r="D735" t="str">
        <f>_xlfn.XLOOKUP($B735,sales_teams!$A$2:$A$36,sales_teams!C$2:C$36)</f>
        <v>East</v>
      </c>
      <c r="E735" t="s">
        <v>20</v>
      </c>
      <c r="F735" t="s">
        <v>106</v>
      </c>
      <c r="G735" t="s">
        <v>12</v>
      </c>
      <c r="H735" s="1">
        <v>42771</v>
      </c>
      <c r="I735" s="1">
        <v>42862</v>
      </c>
      <c r="J735">
        <v>532</v>
      </c>
    </row>
    <row r="736" spans="1:10" x14ac:dyDescent="0.3">
      <c r="A736" t="s">
        <v>867</v>
      </c>
      <c r="B736" t="s">
        <v>29</v>
      </c>
      <c r="C736" t="str">
        <f>_xlfn.XLOOKUP(B736,
[1]sales_teams!$A$2:$A$100,
[1]sales_teams!$B$2:$B$100)</f>
        <v>Celia Rouche</v>
      </c>
      <c r="D736" t="str">
        <f>_xlfn.XLOOKUP($B736,sales_teams!$A$2:$A$36,sales_teams!C$2:C$36)</f>
        <v>West</v>
      </c>
      <c r="E736" t="s">
        <v>18</v>
      </c>
      <c r="F736" t="s">
        <v>52</v>
      </c>
      <c r="G736" t="s">
        <v>46</v>
      </c>
      <c r="H736" s="1">
        <v>42771</v>
      </c>
      <c r="I736" s="1">
        <v>42879</v>
      </c>
      <c r="J736">
        <v>0</v>
      </c>
    </row>
    <row r="737" spans="1:10" x14ac:dyDescent="0.3">
      <c r="A737" t="s">
        <v>868</v>
      </c>
      <c r="B737" t="s">
        <v>29</v>
      </c>
      <c r="C737" t="str">
        <f>_xlfn.XLOOKUP(B737,
[1]sales_teams!$A$2:$A$100,
[1]sales_teams!$B$2:$B$100)</f>
        <v>Celia Rouche</v>
      </c>
      <c r="D737" t="str">
        <f>_xlfn.XLOOKUP($B737,sales_teams!$A$2:$A$36,sales_teams!C$2:C$36)</f>
        <v>West</v>
      </c>
      <c r="E737" t="s">
        <v>39</v>
      </c>
      <c r="F737" t="s">
        <v>100</v>
      </c>
      <c r="G737" t="s">
        <v>12</v>
      </c>
      <c r="H737" s="1">
        <v>42771</v>
      </c>
      <c r="I737" s="1">
        <v>42859</v>
      </c>
      <c r="J737">
        <v>3103</v>
      </c>
    </row>
    <row r="738" spans="1:10" x14ac:dyDescent="0.3">
      <c r="A738" t="s">
        <v>869</v>
      </c>
      <c r="B738" t="s">
        <v>102</v>
      </c>
      <c r="C738" t="str">
        <f>_xlfn.XLOOKUP(B738,
[1]sales_teams!$A$2:$A$100,
[1]sales_teams!$B$2:$B$100)</f>
        <v>Cara Losch</v>
      </c>
      <c r="D738" t="str">
        <f>_xlfn.XLOOKUP($B738,sales_teams!$A$2:$A$36,sales_teams!C$2:C$36)</f>
        <v>East</v>
      </c>
      <c r="E738" t="s">
        <v>20</v>
      </c>
      <c r="G738" t="s">
        <v>40</v>
      </c>
      <c r="H738" s="1">
        <v>42771</v>
      </c>
    </row>
    <row r="739" spans="1:10" x14ac:dyDescent="0.3">
      <c r="A739" t="s">
        <v>870</v>
      </c>
      <c r="B739" t="s">
        <v>164</v>
      </c>
      <c r="C739" t="str">
        <f>_xlfn.XLOOKUP(B739,
[1]sales_teams!$A$2:$A$100,
[1]sales_teams!$B$2:$B$100)</f>
        <v>Cara Losch</v>
      </c>
      <c r="D739" t="str">
        <f>_xlfn.XLOOKUP($B739,sales_teams!$A$2:$A$36,sales_teams!C$2:C$36)</f>
        <v>East</v>
      </c>
      <c r="E739" t="s">
        <v>48</v>
      </c>
      <c r="F739" t="s">
        <v>237</v>
      </c>
      <c r="G739" t="s">
        <v>12</v>
      </c>
      <c r="H739" s="1">
        <v>42772</v>
      </c>
      <c r="I739" s="1">
        <v>42877</v>
      </c>
      <c r="J739">
        <v>5505</v>
      </c>
    </row>
    <row r="740" spans="1:10" x14ac:dyDescent="0.3">
      <c r="A740" t="s">
        <v>871</v>
      </c>
      <c r="B740" t="s">
        <v>54</v>
      </c>
      <c r="C740" t="str">
        <f>_xlfn.XLOOKUP(B740,
[1]sales_teams!$A$2:$A$100,
[1]sales_teams!$B$2:$B$100)</f>
        <v>Celia Rouche</v>
      </c>
      <c r="D740" t="str">
        <f>_xlfn.XLOOKUP($B740,sales_teams!$A$2:$A$36,sales_teams!C$2:C$36)</f>
        <v>West</v>
      </c>
      <c r="E740" t="s">
        <v>18</v>
      </c>
      <c r="F740" t="s">
        <v>16</v>
      </c>
      <c r="G740" t="s">
        <v>40</v>
      </c>
      <c r="H740" s="1">
        <v>42772</v>
      </c>
    </row>
    <row r="741" spans="1:10" x14ac:dyDescent="0.3">
      <c r="A741" t="s">
        <v>872</v>
      </c>
      <c r="B741" t="s">
        <v>78</v>
      </c>
      <c r="C741" t="str">
        <f>_xlfn.XLOOKUP(B741,
[1]sales_teams!$A$2:$A$100,
[1]sales_teams!$B$2:$B$100)</f>
        <v>Summer Sewald</v>
      </c>
      <c r="D741" t="str">
        <f>_xlfn.XLOOKUP($B741,sales_teams!$A$2:$A$36,sales_teams!C$2:C$36)</f>
        <v>West</v>
      </c>
      <c r="E741" t="s">
        <v>15</v>
      </c>
      <c r="F741" t="s">
        <v>79</v>
      </c>
      <c r="G741" t="s">
        <v>40</v>
      </c>
      <c r="H741" s="1">
        <v>42772</v>
      </c>
    </row>
    <row r="742" spans="1:10" x14ac:dyDescent="0.3">
      <c r="A742" t="s">
        <v>873</v>
      </c>
      <c r="B742" t="s">
        <v>78</v>
      </c>
      <c r="C742" t="str">
        <f>_xlfn.XLOOKUP(B742,
[1]sales_teams!$A$2:$A$100,
[1]sales_teams!$B$2:$B$100)</f>
        <v>Summer Sewald</v>
      </c>
      <c r="D742" t="str">
        <f>_xlfn.XLOOKUP($B742,sales_teams!$A$2:$A$36,sales_teams!C$2:C$36)</f>
        <v>West</v>
      </c>
      <c r="E742" t="s">
        <v>10</v>
      </c>
      <c r="F742" t="s">
        <v>159</v>
      </c>
      <c r="G742" t="s">
        <v>46</v>
      </c>
      <c r="H742" s="1">
        <v>42772</v>
      </c>
      <c r="I742" s="1">
        <v>42877</v>
      </c>
      <c r="J742">
        <v>0</v>
      </c>
    </row>
    <row r="743" spans="1:10" x14ac:dyDescent="0.3">
      <c r="A743" t="s">
        <v>874</v>
      </c>
      <c r="B743" t="s">
        <v>51</v>
      </c>
      <c r="C743" t="str">
        <f>_xlfn.XLOOKUP(B743,
[1]sales_teams!$A$2:$A$100,
[1]sales_teams!$B$2:$B$100)</f>
        <v>Summer Sewald</v>
      </c>
      <c r="D743" t="str">
        <f>_xlfn.XLOOKUP($B743,sales_teams!$A$2:$A$36,sales_teams!C$2:C$36)</f>
        <v>West</v>
      </c>
      <c r="E743" t="s">
        <v>18</v>
      </c>
      <c r="G743" t="s">
        <v>40</v>
      </c>
      <c r="H743" s="1">
        <v>42772</v>
      </c>
    </row>
    <row r="744" spans="1:10" x14ac:dyDescent="0.3">
      <c r="A744" t="s">
        <v>875</v>
      </c>
      <c r="B744" t="s">
        <v>9</v>
      </c>
      <c r="C744" t="str">
        <f>_xlfn.XLOOKUP(B744,
[1]sales_teams!$A$2:$A$100,
[1]sales_teams!$B$2:$B$100)</f>
        <v>Dustin Brinkmann</v>
      </c>
      <c r="D744" t="str">
        <f>_xlfn.XLOOKUP($B744,sales_teams!$A$2:$A$36,sales_teams!C$2:C$36)</f>
        <v>Central</v>
      </c>
      <c r="E744" t="s">
        <v>10</v>
      </c>
      <c r="F744" t="s">
        <v>151</v>
      </c>
      <c r="G744" t="s">
        <v>12</v>
      </c>
      <c r="H744" s="1">
        <v>42772</v>
      </c>
      <c r="I744" s="1">
        <v>42870</v>
      </c>
      <c r="J744">
        <v>1068</v>
      </c>
    </row>
    <row r="745" spans="1:10" x14ac:dyDescent="0.3">
      <c r="A745" t="s">
        <v>876</v>
      </c>
      <c r="B745" t="s">
        <v>29</v>
      </c>
      <c r="C745" t="str">
        <f>_xlfn.XLOOKUP(B745,
[1]sales_teams!$A$2:$A$100,
[1]sales_teams!$B$2:$B$100)</f>
        <v>Celia Rouche</v>
      </c>
      <c r="D745" t="str">
        <f>_xlfn.XLOOKUP($B745,sales_teams!$A$2:$A$36,sales_teams!C$2:C$36)</f>
        <v>West</v>
      </c>
      <c r="E745" t="s">
        <v>39</v>
      </c>
      <c r="F745" t="s">
        <v>33</v>
      </c>
      <c r="G745" t="s">
        <v>12</v>
      </c>
      <c r="H745" s="1">
        <v>42772</v>
      </c>
      <c r="I745" s="1">
        <v>42859</v>
      </c>
      <c r="J745">
        <v>3357</v>
      </c>
    </row>
    <row r="746" spans="1:10" x14ac:dyDescent="0.3">
      <c r="A746" t="s">
        <v>877</v>
      </c>
      <c r="B746" t="s">
        <v>73</v>
      </c>
      <c r="C746" t="str">
        <f>_xlfn.XLOOKUP(B746,
[1]sales_teams!$A$2:$A$100,
[1]sales_teams!$B$2:$B$100)</f>
        <v>Cara Losch</v>
      </c>
      <c r="D746" t="str">
        <f>_xlfn.XLOOKUP($B746,sales_teams!$A$2:$A$36,sales_teams!C$2:C$36)</f>
        <v>East</v>
      </c>
      <c r="E746" t="s">
        <v>18</v>
      </c>
      <c r="F746" t="s">
        <v>106</v>
      </c>
      <c r="G746" t="s">
        <v>46</v>
      </c>
      <c r="H746" s="1">
        <v>42772</v>
      </c>
      <c r="I746" s="1">
        <v>42861</v>
      </c>
      <c r="J746">
        <v>0</v>
      </c>
    </row>
    <row r="747" spans="1:10" x14ac:dyDescent="0.3">
      <c r="A747" t="s">
        <v>878</v>
      </c>
      <c r="B747" t="s">
        <v>23</v>
      </c>
      <c r="C747" t="str">
        <f>_xlfn.XLOOKUP(B747,
[1]sales_teams!$A$2:$A$100,
[1]sales_teams!$B$2:$B$100)</f>
        <v>Summer Sewald</v>
      </c>
      <c r="D747" t="str">
        <f>_xlfn.XLOOKUP($B747,sales_teams!$A$2:$A$36,sales_teams!C$2:C$36)</f>
        <v>West</v>
      </c>
      <c r="E747" t="s">
        <v>20</v>
      </c>
      <c r="F747" t="s">
        <v>52</v>
      </c>
      <c r="G747" t="s">
        <v>46</v>
      </c>
      <c r="H747" s="1">
        <v>42772</v>
      </c>
      <c r="I747" s="1">
        <v>42882</v>
      </c>
      <c r="J747">
        <v>0</v>
      </c>
    </row>
    <row r="748" spans="1:10" x14ac:dyDescent="0.3">
      <c r="A748" t="s">
        <v>879</v>
      </c>
      <c r="B748" t="s">
        <v>23</v>
      </c>
      <c r="C748" t="str">
        <f>_xlfn.XLOOKUP(B748,
[1]sales_teams!$A$2:$A$100,
[1]sales_teams!$B$2:$B$100)</f>
        <v>Summer Sewald</v>
      </c>
      <c r="D748" t="str">
        <f>_xlfn.XLOOKUP($B748,sales_teams!$A$2:$A$36,sales_teams!C$2:C$36)</f>
        <v>West</v>
      </c>
      <c r="E748" t="s">
        <v>20</v>
      </c>
      <c r="F748" t="s">
        <v>55</v>
      </c>
      <c r="G748" t="s">
        <v>12</v>
      </c>
      <c r="H748" s="1">
        <v>42772</v>
      </c>
      <c r="I748" s="1">
        <v>42909</v>
      </c>
      <c r="J748">
        <v>532</v>
      </c>
    </row>
    <row r="749" spans="1:10" x14ac:dyDescent="0.3">
      <c r="A749" t="s">
        <v>880</v>
      </c>
      <c r="B749" t="s">
        <v>118</v>
      </c>
      <c r="C749" t="str">
        <f>_xlfn.XLOOKUP(B749,
[1]sales_teams!$A$2:$A$100,
[1]sales_teams!$B$2:$B$100)</f>
        <v>Rocco Neubert</v>
      </c>
      <c r="D749" t="str">
        <f>_xlfn.XLOOKUP($B749,sales_teams!$A$2:$A$36,sales_teams!C$2:C$36)</f>
        <v>East</v>
      </c>
      <c r="E749" t="s">
        <v>15</v>
      </c>
      <c r="G749" t="s">
        <v>40</v>
      </c>
      <c r="H749" s="1">
        <v>42773</v>
      </c>
    </row>
    <row r="750" spans="1:10" x14ac:dyDescent="0.3">
      <c r="A750" t="s">
        <v>881</v>
      </c>
      <c r="B750" t="s">
        <v>64</v>
      </c>
      <c r="C750" t="str">
        <f>_xlfn.XLOOKUP(B750,
[1]sales_teams!$A$2:$A$100,
[1]sales_teams!$B$2:$B$100)</f>
        <v>Rocco Neubert</v>
      </c>
      <c r="D750" t="str">
        <f>_xlfn.XLOOKUP($B750,sales_teams!$A$2:$A$36,sales_teams!C$2:C$36)</f>
        <v>East</v>
      </c>
      <c r="E750" t="s">
        <v>15</v>
      </c>
      <c r="G750" t="s">
        <v>40</v>
      </c>
      <c r="H750" s="1">
        <v>42773</v>
      </c>
    </row>
    <row r="751" spans="1:10" x14ac:dyDescent="0.3">
      <c r="A751" t="s">
        <v>882</v>
      </c>
      <c r="B751" t="s">
        <v>64</v>
      </c>
      <c r="C751" t="str">
        <f>_xlfn.XLOOKUP(B751,
[1]sales_teams!$A$2:$A$100,
[1]sales_teams!$B$2:$B$100)</f>
        <v>Rocco Neubert</v>
      </c>
      <c r="D751" t="str">
        <f>_xlfn.XLOOKUP($B751,sales_teams!$A$2:$A$36,sales_teams!C$2:C$36)</f>
        <v>East</v>
      </c>
      <c r="E751" t="s">
        <v>39</v>
      </c>
      <c r="F751" t="s">
        <v>218</v>
      </c>
      <c r="G751" t="s">
        <v>46</v>
      </c>
      <c r="H751" s="1">
        <v>42773</v>
      </c>
      <c r="I751" s="1">
        <v>42861</v>
      </c>
      <c r="J751">
        <v>0</v>
      </c>
    </row>
    <row r="752" spans="1:10" x14ac:dyDescent="0.3">
      <c r="A752" t="s">
        <v>883</v>
      </c>
      <c r="B752" t="s">
        <v>14</v>
      </c>
      <c r="C752" t="str">
        <f>_xlfn.XLOOKUP(B752,
[1]sales_teams!$A$2:$A$100,
[1]sales_teams!$B$2:$B$100)</f>
        <v>Melvin Marxen</v>
      </c>
      <c r="D752" t="str">
        <f>_xlfn.XLOOKUP($B752,sales_teams!$A$2:$A$36,sales_teams!C$2:C$36)</f>
        <v>Central</v>
      </c>
      <c r="E752" t="s">
        <v>48</v>
      </c>
      <c r="F752" t="s">
        <v>135</v>
      </c>
      <c r="G752" t="s">
        <v>12</v>
      </c>
      <c r="H752" s="1">
        <v>42773</v>
      </c>
      <c r="I752" s="1">
        <v>42860</v>
      </c>
      <c r="J752">
        <v>5786</v>
      </c>
    </row>
    <row r="753" spans="1:10" x14ac:dyDescent="0.3">
      <c r="A753" t="s">
        <v>884</v>
      </c>
      <c r="B753" t="s">
        <v>67</v>
      </c>
      <c r="C753" t="str">
        <f>_xlfn.XLOOKUP(B753,
[1]sales_teams!$A$2:$A$100,
[1]sales_teams!$B$2:$B$100)</f>
        <v>Celia Rouche</v>
      </c>
      <c r="D753" t="str">
        <f>_xlfn.XLOOKUP($B753,sales_teams!$A$2:$A$36,sales_teams!C$2:C$36)</f>
        <v>West</v>
      </c>
      <c r="E753" t="s">
        <v>145</v>
      </c>
      <c r="G753" t="s">
        <v>40</v>
      </c>
      <c r="H753" s="1">
        <v>42773</v>
      </c>
    </row>
    <row r="754" spans="1:10" x14ac:dyDescent="0.3">
      <c r="A754" t="s">
        <v>885</v>
      </c>
      <c r="B754" t="s">
        <v>54</v>
      </c>
      <c r="C754" t="str">
        <f>_xlfn.XLOOKUP(B754,
[1]sales_teams!$A$2:$A$100,
[1]sales_teams!$B$2:$B$100)</f>
        <v>Celia Rouche</v>
      </c>
      <c r="D754" t="str">
        <f>_xlfn.XLOOKUP($B754,sales_teams!$A$2:$A$36,sales_teams!C$2:C$36)</f>
        <v>West</v>
      </c>
      <c r="E754" t="s">
        <v>10</v>
      </c>
      <c r="F754" t="s">
        <v>52</v>
      </c>
      <c r="G754" t="s">
        <v>46</v>
      </c>
      <c r="H754" s="1">
        <v>42773</v>
      </c>
      <c r="I754" s="1">
        <v>42866</v>
      </c>
      <c r="J754">
        <v>0</v>
      </c>
    </row>
    <row r="755" spans="1:10" x14ac:dyDescent="0.3">
      <c r="A755" t="s">
        <v>886</v>
      </c>
      <c r="B755" t="s">
        <v>252</v>
      </c>
      <c r="C755" t="str">
        <f>_xlfn.XLOOKUP(B755,
[1]sales_teams!$A$2:$A$100,
[1]sales_teams!$B$2:$B$100)</f>
        <v>Melvin Marxen</v>
      </c>
      <c r="D755" t="str">
        <f>_xlfn.XLOOKUP($B755,sales_teams!$A$2:$A$36,sales_teams!C$2:C$36)</f>
        <v>Central</v>
      </c>
      <c r="E755" t="s">
        <v>10</v>
      </c>
      <c r="F755" t="s">
        <v>492</v>
      </c>
      <c r="G755" t="s">
        <v>12</v>
      </c>
      <c r="H755" s="1">
        <v>42773</v>
      </c>
      <c r="I755" s="1">
        <v>42874</v>
      </c>
      <c r="J755">
        <v>1131</v>
      </c>
    </row>
    <row r="756" spans="1:10" x14ac:dyDescent="0.3">
      <c r="A756" t="s">
        <v>887</v>
      </c>
      <c r="B756" t="s">
        <v>78</v>
      </c>
      <c r="C756" t="str">
        <f>_xlfn.XLOOKUP(B756,
[1]sales_teams!$A$2:$A$100,
[1]sales_teams!$B$2:$B$100)</f>
        <v>Summer Sewald</v>
      </c>
      <c r="D756" t="str">
        <f>_xlfn.XLOOKUP($B756,sales_teams!$A$2:$A$36,sales_teams!C$2:C$36)</f>
        <v>West</v>
      </c>
      <c r="E756" t="s">
        <v>20</v>
      </c>
      <c r="F756" t="s">
        <v>159</v>
      </c>
      <c r="G756" t="s">
        <v>40</v>
      </c>
      <c r="H756" s="1">
        <v>42773</v>
      </c>
    </row>
    <row r="757" spans="1:10" x14ac:dyDescent="0.3">
      <c r="A757" t="s">
        <v>888</v>
      </c>
      <c r="B757" t="s">
        <v>78</v>
      </c>
      <c r="C757" t="str">
        <f>_xlfn.XLOOKUP(B757,
[1]sales_teams!$A$2:$A$100,
[1]sales_teams!$B$2:$B$100)</f>
        <v>Summer Sewald</v>
      </c>
      <c r="D757" t="str">
        <f>_xlfn.XLOOKUP($B757,sales_teams!$A$2:$A$36,sales_teams!C$2:C$36)</f>
        <v>West</v>
      </c>
      <c r="E757" t="s">
        <v>15</v>
      </c>
      <c r="F757" t="s">
        <v>189</v>
      </c>
      <c r="G757" t="s">
        <v>40</v>
      </c>
      <c r="H757" s="1">
        <v>42773</v>
      </c>
    </row>
    <row r="758" spans="1:10" x14ac:dyDescent="0.3">
      <c r="A758" t="s">
        <v>889</v>
      </c>
      <c r="B758" t="s">
        <v>78</v>
      </c>
      <c r="C758" t="str">
        <f>_xlfn.XLOOKUP(B758,
[1]sales_teams!$A$2:$A$100,
[1]sales_teams!$B$2:$B$100)</f>
        <v>Summer Sewald</v>
      </c>
      <c r="D758" t="str">
        <f>_xlfn.XLOOKUP($B758,sales_teams!$A$2:$A$36,sales_teams!C$2:C$36)</f>
        <v>West</v>
      </c>
      <c r="E758" t="s">
        <v>48</v>
      </c>
      <c r="F758" t="s">
        <v>59</v>
      </c>
      <c r="G758" t="s">
        <v>12</v>
      </c>
      <c r="H758" s="1">
        <v>42773</v>
      </c>
      <c r="I758" s="1">
        <v>42870</v>
      </c>
      <c r="J758">
        <v>5401</v>
      </c>
    </row>
    <row r="759" spans="1:10" x14ac:dyDescent="0.3">
      <c r="A759" t="s">
        <v>890</v>
      </c>
      <c r="B759" t="s">
        <v>116</v>
      </c>
      <c r="C759" t="str">
        <f>_xlfn.XLOOKUP(B759,
[1]sales_teams!$A$2:$A$100,
[1]sales_teams!$B$2:$B$100)</f>
        <v>Melvin Marxen</v>
      </c>
      <c r="D759" t="str">
        <f>_xlfn.XLOOKUP($B759,sales_teams!$A$2:$A$36,sales_teams!C$2:C$36)</f>
        <v>Central</v>
      </c>
      <c r="E759" t="s">
        <v>10</v>
      </c>
      <c r="F759" t="s">
        <v>113</v>
      </c>
      <c r="G759" t="s">
        <v>12</v>
      </c>
      <c r="H759" s="1">
        <v>42773</v>
      </c>
      <c r="I759" s="1">
        <v>42822</v>
      </c>
      <c r="J759">
        <v>1062</v>
      </c>
    </row>
    <row r="760" spans="1:10" x14ac:dyDescent="0.3">
      <c r="A760" t="s">
        <v>891</v>
      </c>
      <c r="B760" t="s">
        <v>51</v>
      </c>
      <c r="C760" t="str">
        <f>_xlfn.XLOOKUP(B760,
[1]sales_teams!$A$2:$A$100,
[1]sales_teams!$B$2:$B$100)</f>
        <v>Summer Sewald</v>
      </c>
      <c r="D760" t="str">
        <f>_xlfn.XLOOKUP($B760,sales_teams!$A$2:$A$36,sales_teams!C$2:C$36)</f>
        <v>West</v>
      </c>
      <c r="E760" t="s">
        <v>10</v>
      </c>
      <c r="G760" t="s">
        <v>40</v>
      </c>
      <c r="H760" s="1">
        <v>42773</v>
      </c>
    </row>
    <row r="761" spans="1:10" x14ac:dyDescent="0.3">
      <c r="A761" t="s">
        <v>892</v>
      </c>
      <c r="B761" t="s">
        <v>97</v>
      </c>
      <c r="C761" t="str">
        <f>_xlfn.XLOOKUP(B761,
[1]sales_teams!$A$2:$A$100,
[1]sales_teams!$B$2:$B$100)</f>
        <v>Rocco Neubert</v>
      </c>
      <c r="D761" t="str">
        <f>_xlfn.XLOOKUP($B761,sales_teams!$A$2:$A$36,sales_teams!C$2:C$36)</f>
        <v>East</v>
      </c>
      <c r="E761" t="s">
        <v>39</v>
      </c>
      <c r="F761" t="s">
        <v>89</v>
      </c>
      <c r="G761" t="s">
        <v>12</v>
      </c>
      <c r="H761" s="1">
        <v>42773</v>
      </c>
      <c r="I761" s="1">
        <v>42817</v>
      </c>
      <c r="J761">
        <v>3695</v>
      </c>
    </row>
    <row r="762" spans="1:10" x14ac:dyDescent="0.3">
      <c r="A762" t="s">
        <v>893</v>
      </c>
      <c r="B762" t="s">
        <v>88</v>
      </c>
      <c r="C762" t="str">
        <f>_xlfn.XLOOKUP(B762,
[1]sales_teams!$A$2:$A$100,
[1]sales_teams!$B$2:$B$100)</f>
        <v>Cara Losch</v>
      </c>
      <c r="D762" t="str">
        <f>_xlfn.XLOOKUP($B762,sales_teams!$A$2:$A$36,sales_teams!C$2:C$36)</f>
        <v>East</v>
      </c>
      <c r="E762" t="s">
        <v>18</v>
      </c>
      <c r="F762" t="s">
        <v>218</v>
      </c>
      <c r="G762" t="s">
        <v>46</v>
      </c>
      <c r="H762" s="1">
        <v>42773</v>
      </c>
      <c r="I762" s="1">
        <v>42890</v>
      </c>
      <c r="J762">
        <v>0</v>
      </c>
    </row>
    <row r="763" spans="1:10" x14ac:dyDescent="0.3">
      <c r="A763" t="s">
        <v>894</v>
      </c>
      <c r="B763" t="s">
        <v>61</v>
      </c>
      <c r="C763" t="str">
        <f>_xlfn.XLOOKUP(B763,
[1]sales_teams!$A$2:$A$100,
[1]sales_teams!$B$2:$B$100)</f>
        <v>Dustin Brinkmann</v>
      </c>
      <c r="D763" t="str">
        <f>_xlfn.XLOOKUP($B763,sales_teams!$A$2:$A$36,sales_teams!C$2:C$36)</f>
        <v>Central</v>
      </c>
      <c r="E763" t="s">
        <v>18</v>
      </c>
      <c r="F763" t="s">
        <v>129</v>
      </c>
      <c r="G763" t="s">
        <v>12</v>
      </c>
      <c r="H763" s="1">
        <v>42773</v>
      </c>
      <c r="I763" s="1">
        <v>42889</v>
      </c>
      <c r="J763">
        <v>60</v>
      </c>
    </row>
    <row r="764" spans="1:10" x14ac:dyDescent="0.3">
      <c r="A764" t="s">
        <v>895</v>
      </c>
      <c r="B764" t="s">
        <v>29</v>
      </c>
      <c r="C764" t="str">
        <f>_xlfn.XLOOKUP(B764,
[1]sales_teams!$A$2:$A$100,
[1]sales_teams!$B$2:$B$100)</f>
        <v>Celia Rouche</v>
      </c>
      <c r="D764" t="str">
        <f>_xlfn.XLOOKUP($B764,sales_teams!$A$2:$A$36,sales_teams!C$2:C$36)</f>
        <v>West</v>
      </c>
      <c r="E764" t="s">
        <v>15</v>
      </c>
      <c r="F764" t="s">
        <v>398</v>
      </c>
      <c r="G764" t="s">
        <v>46</v>
      </c>
      <c r="H764" s="1">
        <v>42773</v>
      </c>
      <c r="I764" s="1">
        <v>42883</v>
      </c>
      <c r="J764">
        <v>0</v>
      </c>
    </row>
    <row r="765" spans="1:10" x14ac:dyDescent="0.3">
      <c r="A765" t="s">
        <v>896</v>
      </c>
      <c r="B765" t="s">
        <v>29</v>
      </c>
      <c r="C765" t="str">
        <f>_xlfn.XLOOKUP(B765,
[1]sales_teams!$A$2:$A$100,
[1]sales_teams!$B$2:$B$100)</f>
        <v>Celia Rouche</v>
      </c>
      <c r="D765" t="str">
        <f>_xlfn.XLOOKUP($B765,sales_teams!$A$2:$A$36,sales_teams!C$2:C$36)</f>
        <v>West</v>
      </c>
      <c r="E765" t="s">
        <v>39</v>
      </c>
      <c r="F765" t="s">
        <v>273</v>
      </c>
      <c r="G765" t="s">
        <v>12</v>
      </c>
      <c r="H765" s="1">
        <v>42773</v>
      </c>
      <c r="I765" s="1">
        <v>42899</v>
      </c>
      <c r="J765">
        <v>2919</v>
      </c>
    </row>
    <row r="766" spans="1:10" x14ac:dyDescent="0.3">
      <c r="A766" t="s">
        <v>897</v>
      </c>
      <c r="B766" t="s">
        <v>118</v>
      </c>
      <c r="C766" t="str">
        <f>_xlfn.XLOOKUP(B766,
[1]sales_teams!$A$2:$A$100,
[1]sales_teams!$B$2:$B$100)</f>
        <v>Rocco Neubert</v>
      </c>
      <c r="D766" t="str">
        <f>_xlfn.XLOOKUP($B766,sales_teams!$A$2:$A$36,sales_teams!C$2:C$36)</f>
        <v>East</v>
      </c>
      <c r="E766" t="s">
        <v>48</v>
      </c>
      <c r="G766" t="s">
        <v>40</v>
      </c>
      <c r="H766" s="1">
        <v>42774</v>
      </c>
    </row>
    <row r="767" spans="1:10" x14ac:dyDescent="0.3">
      <c r="A767" t="s">
        <v>898</v>
      </c>
      <c r="B767" t="s">
        <v>118</v>
      </c>
      <c r="C767" t="str">
        <f>_xlfn.XLOOKUP(B767,
[1]sales_teams!$A$2:$A$100,
[1]sales_teams!$B$2:$B$100)</f>
        <v>Rocco Neubert</v>
      </c>
      <c r="D767" t="str">
        <f>_xlfn.XLOOKUP($B767,sales_teams!$A$2:$A$36,sales_teams!C$2:C$36)</f>
        <v>East</v>
      </c>
      <c r="E767" t="s">
        <v>18</v>
      </c>
      <c r="F767" t="s">
        <v>303</v>
      </c>
      <c r="G767" t="s">
        <v>40</v>
      </c>
      <c r="H767" s="1">
        <v>42774</v>
      </c>
    </row>
    <row r="768" spans="1:10" x14ac:dyDescent="0.3">
      <c r="A768" t="s">
        <v>899</v>
      </c>
      <c r="B768" t="s">
        <v>118</v>
      </c>
      <c r="C768" t="str">
        <f>_xlfn.XLOOKUP(B768,
[1]sales_teams!$A$2:$A$100,
[1]sales_teams!$B$2:$B$100)</f>
        <v>Rocco Neubert</v>
      </c>
      <c r="D768" t="str">
        <f>_xlfn.XLOOKUP($B768,sales_teams!$A$2:$A$36,sales_teams!C$2:C$36)</f>
        <v>East</v>
      </c>
      <c r="E768" t="s">
        <v>39</v>
      </c>
      <c r="G768" t="s">
        <v>40</v>
      </c>
      <c r="H768" s="1">
        <v>42774</v>
      </c>
    </row>
    <row r="769" spans="1:10" x14ac:dyDescent="0.3">
      <c r="A769" t="s">
        <v>900</v>
      </c>
      <c r="B769" t="s">
        <v>118</v>
      </c>
      <c r="C769" t="str">
        <f>_xlfn.XLOOKUP(B769,
[1]sales_teams!$A$2:$A$100,
[1]sales_teams!$B$2:$B$100)</f>
        <v>Rocco Neubert</v>
      </c>
      <c r="D769" t="str">
        <f>_xlfn.XLOOKUP($B769,sales_teams!$A$2:$A$36,sales_teams!C$2:C$36)</f>
        <v>East</v>
      </c>
      <c r="E769" t="s">
        <v>20</v>
      </c>
      <c r="F769" t="s">
        <v>215</v>
      </c>
      <c r="G769" t="s">
        <v>12</v>
      </c>
      <c r="H769" s="1">
        <v>42774</v>
      </c>
      <c r="I769" s="1">
        <v>42856</v>
      </c>
      <c r="J769">
        <v>623</v>
      </c>
    </row>
    <row r="770" spans="1:10" x14ac:dyDescent="0.3">
      <c r="A770" t="s">
        <v>901</v>
      </c>
      <c r="B770" t="s">
        <v>164</v>
      </c>
      <c r="C770" t="str">
        <f>_xlfn.XLOOKUP(B770,
[1]sales_teams!$A$2:$A$100,
[1]sales_teams!$B$2:$B$100)</f>
        <v>Cara Losch</v>
      </c>
      <c r="D770" t="str">
        <f>_xlfn.XLOOKUP($B770,sales_teams!$A$2:$A$36,sales_teams!C$2:C$36)</f>
        <v>East</v>
      </c>
      <c r="E770" t="s">
        <v>18</v>
      </c>
      <c r="F770" t="s">
        <v>189</v>
      </c>
      <c r="G770" t="s">
        <v>46</v>
      </c>
      <c r="H770" s="1">
        <v>42774</v>
      </c>
      <c r="I770" s="1">
        <v>42825</v>
      </c>
      <c r="J770">
        <v>0</v>
      </c>
    </row>
    <row r="771" spans="1:10" x14ac:dyDescent="0.3">
      <c r="A771" t="s">
        <v>902</v>
      </c>
      <c r="B771" t="s">
        <v>14</v>
      </c>
      <c r="C771" t="str">
        <f>_xlfn.XLOOKUP(B771,
[1]sales_teams!$A$2:$A$100,
[1]sales_teams!$B$2:$B$100)</f>
        <v>Melvin Marxen</v>
      </c>
      <c r="D771" t="str">
        <f>_xlfn.XLOOKUP($B771,sales_teams!$A$2:$A$36,sales_teams!C$2:C$36)</f>
        <v>Central</v>
      </c>
      <c r="E771" t="s">
        <v>39</v>
      </c>
      <c r="F771" t="s">
        <v>231</v>
      </c>
      <c r="G771" t="s">
        <v>46</v>
      </c>
      <c r="H771" s="1">
        <v>42774</v>
      </c>
      <c r="I771" s="1">
        <v>42859</v>
      </c>
      <c r="J771">
        <v>0</v>
      </c>
    </row>
    <row r="772" spans="1:10" x14ac:dyDescent="0.3">
      <c r="A772" t="s">
        <v>903</v>
      </c>
      <c r="B772" t="s">
        <v>67</v>
      </c>
      <c r="C772" t="str">
        <f>_xlfn.XLOOKUP(B772,
[1]sales_teams!$A$2:$A$100,
[1]sales_teams!$B$2:$B$100)</f>
        <v>Celia Rouche</v>
      </c>
      <c r="D772" t="str">
        <f>_xlfn.XLOOKUP($B772,sales_teams!$A$2:$A$36,sales_teams!C$2:C$36)</f>
        <v>West</v>
      </c>
      <c r="E772" t="s">
        <v>20</v>
      </c>
      <c r="F772" t="s">
        <v>45</v>
      </c>
      <c r="G772" t="s">
        <v>40</v>
      </c>
      <c r="H772" s="1">
        <v>42774</v>
      </c>
    </row>
    <row r="773" spans="1:10" x14ac:dyDescent="0.3">
      <c r="A773" t="s">
        <v>904</v>
      </c>
      <c r="B773" t="s">
        <v>38</v>
      </c>
      <c r="C773" t="str">
        <f>_xlfn.XLOOKUP(B773,
[1]sales_teams!$A$2:$A$100,
[1]sales_teams!$B$2:$B$100)</f>
        <v>Summer Sewald</v>
      </c>
      <c r="D773" t="str">
        <f>_xlfn.XLOOKUP($B773,sales_teams!$A$2:$A$36,sales_teams!C$2:C$36)</f>
        <v>West</v>
      </c>
      <c r="E773" t="s">
        <v>18</v>
      </c>
      <c r="F773" t="s">
        <v>59</v>
      </c>
      <c r="G773" t="s">
        <v>12</v>
      </c>
      <c r="H773" s="1">
        <v>42774</v>
      </c>
      <c r="I773" s="1">
        <v>42859</v>
      </c>
      <c r="J773">
        <v>49</v>
      </c>
    </row>
    <row r="774" spans="1:10" x14ac:dyDescent="0.3">
      <c r="A774" t="s">
        <v>905</v>
      </c>
      <c r="B774" t="s">
        <v>252</v>
      </c>
      <c r="C774" t="str">
        <f>_xlfn.XLOOKUP(B774,
[1]sales_teams!$A$2:$A$100,
[1]sales_teams!$B$2:$B$100)</f>
        <v>Melvin Marxen</v>
      </c>
      <c r="D774" t="str">
        <f>_xlfn.XLOOKUP($B774,sales_teams!$A$2:$A$36,sales_teams!C$2:C$36)</f>
        <v>Central</v>
      </c>
      <c r="E774" t="s">
        <v>20</v>
      </c>
      <c r="F774" t="s">
        <v>111</v>
      </c>
      <c r="G774" t="s">
        <v>46</v>
      </c>
      <c r="H774" s="1">
        <v>42774</v>
      </c>
      <c r="I774" s="1">
        <v>42879</v>
      </c>
      <c r="J774">
        <v>0</v>
      </c>
    </row>
    <row r="775" spans="1:10" x14ac:dyDescent="0.3">
      <c r="A775" t="s">
        <v>906</v>
      </c>
      <c r="B775" t="s">
        <v>252</v>
      </c>
      <c r="C775" t="str">
        <f>_xlfn.XLOOKUP(B775,
[1]sales_teams!$A$2:$A$100,
[1]sales_teams!$B$2:$B$100)</f>
        <v>Melvin Marxen</v>
      </c>
      <c r="D775" t="str">
        <f>_xlfn.XLOOKUP($B775,sales_teams!$A$2:$A$36,sales_teams!C$2:C$36)</f>
        <v>Central</v>
      </c>
      <c r="E775" t="s">
        <v>20</v>
      </c>
      <c r="F775" t="s">
        <v>21</v>
      </c>
      <c r="G775" t="s">
        <v>12</v>
      </c>
      <c r="H775" s="1">
        <v>42774</v>
      </c>
      <c r="I775" s="1">
        <v>42859</v>
      </c>
      <c r="J775">
        <v>612</v>
      </c>
    </row>
    <row r="776" spans="1:10" x14ac:dyDescent="0.3">
      <c r="A776" t="s">
        <v>907</v>
      </c>
      <c r="B776" t="s">
        <v>78</v>
      </c>
      <c r="C776" t="str">
        <f>_xlfn.XLOOKUP(B776,
[1]sales_teams!$A$2:$A$100,
[1]sales_teams!$B$2:$B$100)</f>
        <v>Summer Sewald</v>
      </c>
      <c r="D776" t="str">
        <f>_xlfn.XLOOKUP($B776,sales_teams!$A$2:$A$36,sales_teams!C$2:C$36)</f>
        <v>West</v>
      </c>
      <c r="E776" t="s">
        <v>10</v>
      </c>
      <c r="G776" t="s">
        <v>40</v>
      </c>
      <c r="H776" s="1">
        <v>42774</v>
      </c>
    </row>
    <row r="777" spans="1:10" x14ac:dyDescent="0.3">
      <c r="A777" t="s">
        <v>908</v>
      </c>
      <c r="B777" t="s">
        <v>78</v>
      </c>
      <c r="C777" t="str">
        <f>_xlfn.XLOOKUP(B777,
[1]sales_teams!$A$2:$A$100,
[1]sales_teams!$B$2:$B$100)</f>
        <v>Summer Sewald</v>
      </c>
      <c r="D777" t="str">
        <f>_xlfn.XLOOKUP($B777,sales_teams!$A$2:$A$36,sales_teams!C$2:C$36)</f>
        <v>West</v>
      </c>
      <c r="E777" t="s">
        <v>20</v>
      </c>
      <c r="F777" t="s">
        <v>315</v>
      </c>
      <c r="G777" t="s">
        <v>12</v>
      </c>
      <c r="H777" s="1">
        <v>42774</v>
      </c>
      <c r="I777" s="1">
        <v>42812</v>
      </c>
      <c r="J777">
        <v>534</v>
      </c>
    </row>
    <row r="778" spans="1:10" x14ac:dyDescent="0.3">
      <c r="A778" t="s">
        <v>909</v>
      </c>
      <c r="B778" t="s">
        <v>78</v>
      </c>
      <c r="C778" t="str">
        <f>_xlfn.XLOOKUP(B778,
[1]sales_teams!$A$2:$A$100,
[1]sales_teams!$B$2:$B$100)</f>
        <v>Summer Sewald</v>
      </c>
      <c r="D778" t="str">
        <f>_xlfn.XLOOKUP($B778,sales_teams!$A$2:$A$36,sales_teams!C$2:C$36)</f>
        <v>West</v>
      </c>
      <c r="E778" t="s">
        <v>10</v>
      </c>
      <c r="F778" t="s">
        <v>218</v>
      </c>
      <c r="G778" t="s">
        <v>12</v>
      </c>
      <c r="H778" s="1">
        <v>42774</v>
      </c>
      <c r="I778" s="1">
        <v>42893</v>
      </c>
      <c r="J778">
        <v>1103</v>
      </c>
    </row>
    <row r="779" spans="1:10" x14ac:dyDescent="0.3">
      <c r="A779" t="s">
        <v>910</v>
      </c>
      <c r="B779" t="s">
        <v>95</v>
      </c>
      <c r="C779" t="str">
        <f>_xlfn.XLOOKUP(B779,
[1]sales_teams!$A$2:$A$100,
[1]sales_teams!$B$2:$B$100)</f>
        <v>Summer Sewald</v>
      </c>
      <c r="D779" t="str">
        <f>_xlfn.XLOOKUP($B779,sales_teams!$A$2:$A$36,sales_teams!C$2:C$36)</f>
        <v>West</v>
      </c>
      <c r="E779" t="s">
        <v>15</v>
      </c>
      <c r="G779" t="s">
        <v>40</v>
      </c>
      <c r="H779" s="1">
        <v>42774</v>
      </c>
    </row>
    <row r="780" spans="1:10" x14ac:dyDescent="0.3">
      <c r="A780" t="s">
        <v>911</v>
      </c>
      <c r="B780" t="s">
        <v>133</v>
      </c>
      <c r="C780" t="str">
        <f>_xlfn.XLOOKUP(B780,
[1]sales_teams!$A$2:$A$100,
[1]sales_teams!$B$2:$B$100)</f>
        <v>Dustin Brinkmann</v>
      </c>
      <c r="D780" t="str">
        <f>_xlfn.XLOOKUP($B780,sales_teams!$A$2:$A$36,sales_teams!C$2:C$36)</f>
        <v>Central</v>
      </c>
      <c r="E780" t="s">
        <v>20</v>
      </c>
      <c r="F780" t="s">
        <v>120</v>
      </c>
      <c r="G780" t="s">
        <v>12</v>
      </c>
      <c r="H780" s="1">
        <v>42774</v>
      </c>
      <c r="I780" s="1">
        <v>42865</v>
      </c>
      <c r="J780">
        <v>582</v>
      </c>
    </row>
    <row r="781" spans="1:10" x14ac:dyDescent="0.3">
      <c r="A781" t="s">
        <v>912</v>
      </c>
      <c r="B781" t="s">
        <v>116</v>
      </c>
      <c r="C781" t="str">
        <f>_xlfn.XLOOKUP(B781,
[1]sales_teams!$A$2:$A$100,
[1]sales_teams!$B$2:$B$100)</f>
        <v>Melvin Marxen</v>
      </c>
      <c r="D781" t="str">
        <f>_xlfn.XLOOKUP($B781,sales_teams!$A$2:$A$36,sales_teams!C$2:C$36)</f>
        <v>Central</v>
      </c>
      <c r="E781" t="s">
        <v>39</v>
      </c>
      <c r="F781" t="s">
        <v>218</v>
      </c>
      <c r="G781" t="s">
        <v>46</v>
      </c>
      <c r="H781" s="1">
        <v>42774</v>
      </c>
      <c r="I781" s="1">
        <v>42868</v>
      </c>
      <c r="J781">
        <v>0</v>
      </c>
    </row>
    <row r="782" spans="1:10" x14ac:dyDescent="0.3">
      <c r="A782" t="s">
        <v>913</v>
      </c>
      <c r="B782" t="s">
        <v>116</v>
      </c>
      <c r="C782" t="str">
        <f>_xlfn.XLOOKUP(B782,
[1]sales_teams!$A$2:$A$100,
[1]sales_teams!$B$2:$B$100)</f>
        <v>Melvin Marxen</v>
      </c>
      <c r="D782" t="str">
        <f>_xlfn.XLOOKUP($B782,sales_teams!$A$2:$A$36,sales_teams!C$2:C$36)</f>
        <v>Central</v>
      </c>
      <c r="E782" t="s">
        <v>48</v>
      </c>
      <c r="F782" t="s">
        <v>11</v>
      </c>
      <c r="G782" t="s">
        <v>12</v>
      </c>
      <c r="H782" s="1">
        <v>42774</v>
      </c>
      <c r="I782" s="1">
        <v>42859</v>
      </c>
      <c r="J782">
        <v>6292</v>
      </c>
    </row>
    <row r="783" spans="1:10" x14ac:dyDescent="0.3">
      <c r="A783" t="s">
        <v>914</v>
      </c>
      <c r="B783" t="s">
        <v>35</v>
      </c>
      <c r="C783" t="str">
        <f>_xlfn.XLOOKUP(B783,
[1]sales_teams!$A$2:$A$100,
[1]sales_teams!$B$2:$B$100)</f>
        <v>Melvin Marxen</v>
      </c>
      <c r="D783" t="str">
        <f>_xlfn.XLOOKUP($B783,sales_teams!$A$2:$A$36,sales_teams!C$2:C$36)</f>
        <v>Central</v>
      </c>
      <c r="E783" t="s">
        <v>18</v>
      </c>
      <c r="F783" t="s">
        <v>135</v>
      </c>
      <c r="G783" t="s">
        <v>46</v>
      </c>
      <c r="H783" s="1">
        <v>42774</v>
      </c>
      <c r="I783" s="1">
        <v>42911</v>
      </c>
      <c r="J783">
        <v>0</v>
      </c>
    </row>
    <row r="784" spans="1:10" x14ac:dyDescent="0.3">
      <c r="A784" t="s">
        <v>915</v>
      </c>
      <c r="B784" t="s">
        <v>57</v>
      </c>
      <c r="C784" t="str">
        <f>_xlfn.XLOOKUP(B784,
[1]sales_teams!$A$2:$A$100,
[1]sales_teams!$B$2:$B$100)</f>
        <v>Celia Rouche</v>
      </c>
      <c r="D784" t="str">
        <f>_xlfn.XLOOKUP($B784,sales_teams!$A$2:$A$36,sales_teams!C$2:C$36)</f>
        <v>West</v>
      </c>
      <c r="E784" t="s">
        <v>18</v>
      </c>
      <c r="F784" t="s">
        <v>398</v>
      </c>
      <c r="G784" t="s">
        <v>12</v>
      </c>
      <c r="H784" s="1">
        <v>42774</v>
      </c>
      <c r="I784" s="1">
        <v>42879</v>
      </c>
      <c r="J784">
        <v>63</v>
      </c>
    </row>
    <row r="785" spans="1:10" x14ac:dyDescent="0.3">
      <c r="A785" t="s">
        <v>916</v>
      </c>
      <c r="B785" t="s">
        <v>61</v>
      </c>
      <c r="C785" t="str">
        <f>_xlfn.XLOOKUP(B785,
[1]sales_teams!$A$2:$A$100,
[1]sales_teams!$B$2:$B$100)</f>
        <v>Dustin Brinkmann</v>
      </c>
      <c r="D785" t="str">
        <f>_xlfn.XLOOKUP($B785,sales_teams!$A$2:$A$36,sales_teams!C$2:C$36)</f>
        <v>Central</v>
      </c>
      <c r="E785" t="s">
        <v>39</v>
      </c>
      <c r="F785" t="s">
        <v>213</v>
      </c>
      <c r="G785" t="s">
        <v>12</v>
      </c>
      <c r="H785" s="1">
        <v>42774</v>
      </c>
      <c r="I785" s="1">
        <v>42868</v>
      </c>
      <c r="J785">
        <v>3522</v>
      </c>
    </row>
    <row r="786" spans="1:10" x14ac:dyDescent="0.3">
      <c r="A786" t="s">
        <v>917</v>
      </c>
      <c r="B786" t="s">
        <v>29</v>
      </c>
      <c r="C786" t="str">
        <f>_xlfn.XLOOKUP(B786,
[1]sales_teams!$A$2:$A$100,
[1]sales_teams!$B$2:$B$100)</f>
        <v>Celia Rouche</v>
      </c>
      <c r="D786" t="str">
        <f>_xlfn.XLOOKUP($B786,sales_teams!$A$2:$A$36,sales_teams!C$2:C$36)</f>
        <v>West</v>
      </c>
      <c r="E786" t="s">
        <v>18</v>
      </c>
      <c r="F786" t="s">
        <v>199</v>
      </c>
      <c r="G786" t="s">
        <v>46</v>
      </c>
      <c r="H786" s="1">
        <v>42774</v>
      </c>
      <c r="I786" s="1">
        <v>42884</v>
      </c>
      <c r="J786">
        <v>0</v>
      </c>
    </row>
    <row r="787" spans="1:10" x14ac:dyDescent="0.3">
      <c r="A787" t="s">
        <v>918</v>
      </c>
      <c r="B787" t="s">
        <v>29</v>
      </c>
      <c r="C787" t="str">
        <f>_xlfn.XLOOKUP(B787,
[1]sales_teams!$A$2:$A$100,
[1]sales_teams!$B$2:$B$100)</f>
        <v>Celia Rouche</v>
      </c>
      <c r="D787" t="str">
        <f>_xlfn.XLOOKUP($B787,sales_teams!$A$2:$A$36,sales_teams!C$2:C$36)</f>
        <v>West</v>
      </c>
      <c r="E787" t="s">
        <v>20</v>
      </c>
      <c r="F787" t="s">
        <v>124</v>
      </c>
      <c r="G787" t="s">
        <v>12</v>
      </c>
      <c r="H787" s="1">
        <v>42774</v>
      </c>
      <c r="I787" s="1">
        <v>42859</v>
      </c>
      <c r="J787">
        <v>532</v>
      </c>
    </row>
    <row r="788" spans="1:10" x14ac:dyDescent="0.3">
      <c r="A788" t="s">
        <v>919</v>
      </c>
      <c r="B788" t="s">
        <v>73</v>
      </c>
      <c r="C788" t="str">
        <f>_xlfn.XLOOKUP(B788,
[1]sales_teams!$A$2:$A$100,
[1]sales_teams!$B$2:$B$100)</f>
        <v>Cara Losch</v>
      </c>
      <c r="D788" t="str">
        <f>_xlfn.XLOOKUP($B788,sales_teams!$A$2:$A$36,sales_teams!C$2:C$36)</f>
        <v>East</v>
      </c>
      <c r="E788" t="s">
        <v>18</v>
      </c>
      <c r="F788" t="s">
        <v>518</v>
      </c>
      <c r="G788" t="s">
        <v>46</v>
      </c>
      <c r="H788" s="1">
        <v>42774</v>
      </c>
      <c r="I788" s="1">
        <v>42859</v>
      </c>
      <c r="J788">
        <v>0</v>
      </c>
    </row>
    <row r="789" spans="1:10" x14ac:dyDescent="0.3">
      <c r="A789" t="s">
        <v>920</v>
      </c>
      <c r="B789" t="s">
        <v>102</v>
      </c>
      <c r="C789" t="str">
        <f>_xlfn.XLOOKUP(B789,
[1]sales_teams!$A$2:$A$100,
[1]sales_teams!$B$2:$B$100)</f>
        <v>Cara Losch</v>
      </c>
      <c r="D789" t="str">
        <f>_xlfn.XLOOKUP($B789,sales_teams!$A$2:$A$36,sales_teams!C$2:C$36)</f>
        <v>East</v>
      </c>
      <c r="E789" t="s">
        <v>39</v>
      </c>
      <c r="F789" t="s">
        <v>179</v>
      </c>
      <c r="G789" t="s">
        <v>12</v>
      </c>
      <c r="H789" s="1">
        <v>42774</v>
      </c>
      <c r="I789" s="1">
        <v>42877</v>
      </c>
      <c r="J789">
        <v>3645</v>
      </c>
    </row>
    <row r="790" spans="1:10" x14ac:dyDescent="0.3">
      <c r="A790" t="s">
        <v>921</v>
      </c>
      <c r="B790" t="s">
        <v>23</v>
      </c>
      <c r="C790" t="str">
        <f>_xlfn.XLOOKUP(B790,
[1]sales_teams!$A$2:$A$100,
[1]sales_teams!$B$2:$B$100)</f>
        <v>Summer Sewald</v>
      </c>
      <c r="D790" t="str">
        <f>_xlfn.XLOOKUP($B790,sales_teams!$A$2:$A$36,sales_teams!C$2:C$36)</f>
        <v>West</v>
      </c>
      <c r="E790" t="s">
        <v>15</v>
      </c>
      <c r="F790" t="s">
        <v>159</v>
      </c>
      <c r="G790" t="s">
        <v>46</v>
      </c>
      <c r="H790" s="1">
        <v>42774</v>
      </c>
      <c r="I790" s="1">
        <v>42865</v>
      </c>
      <c r="J790">
        <v>0</v>
      </c>
    </row>
    <row r="791" spans="1:10" x14ac:dyDescent="0.3">
      <c r="A791" t="s">
        <v>922</v>
      </c>
      <c r="B791" t="s">
        <v>26</v>
      </c>
      <c r="C791" t="str">
        <f>_xlfn.XLOOKUP(B791,
[1]sales_teams!$A$2:$A$100,
[1]sales_teams!$B$2:$B$100)</f>
        <v>Dustin Brinkmann</v>
      </c>
      <c r="D791" t="str">
        <f>_xlfn.XLOOKUP($B791,sales_teams!$A$2:$A$36,sales_teams!C$2:C$36)</f>
        <v>Central</v>
      </c>
      <c r="E791" t="s">
        <v>48</v>
      </c>
      <c r="F791" t="s">
        <v>109</v>
      </c>
      <c r="G791" t="s">
        <v>12</v>
      </c>
      <c r="H791" s="1">
        <v>42775</v>
      </c>
      <c r="I791" s="1">
        <v>42795</v>
      </c>
      <c r="J791">
        <v>4760</v>
      </c>
    </row>
    <row r="792" spans="1:10" x14ac:dyDescent="0.3">
      <c r="A792" t="s">
        <v>923</v>
      </c>
      <c r="B792" t="s">
        <v>164</v>
      </c>
      <c r="C792" t="str">
        <f>_xlfn.XLOOKUP(B792,
[1]sales_teams!$A$2:$A$100,
[1]sales_teams!$B$2:$B$100)</f>
        <v>Cara Losch</v>
      </c>
      <c r="D792" t="str">
        <f>_xlfn.XLOOKUP($B792,sales_teams!$A$2:$A$36,sales_teams!C$2:C$36)</f>
        <v>East</v>
      </c>
      <c r="E792" t="s">
        <v>20</v>
      </c>
      <c r="F792" t="s">
        <v>204</v>
      </c>
      <c r="G792" t="s">
        <v>12</v>
      </c>
      <c r="H792" s="1">
        <v>42775</v>
      </c>
      <c r="I792" s="1">
        <v>42880</v>
      </c>
      <c r="J792">
        <v>603</v>
      </c>
    </row>
    <row r="793" spans="1:10" x14ac:dyDescent="0.3">
      <c r="A793" t="s">
        <v>924</v>
      </c>
      <c r="B793" t="s">
        <v>64</v>
      </c>
      <c r="C793" t="str">
        <f>_xlfn.XLOOKUP(B793,
[1]sales_teams!$A$2:$A$100,
[1]sales_teams!$B$2:$B$100)</f>
        <v>Rocco Neubert</v>
      </c>
      <c r="D793" t="str">
        <f>_xlfn.XLOOKUP($B793,sales_teams!$A$2:$A$36,sales_teams!C$2:C$36)</f>
        <v>East</v>
      </c>
      <c r="E793" t="s">
        <v>20</v>
      </c>
      <c r="F793" t="s">
        <v>165</v>
      </c>
      <c r="G793" t="s">
        <v>46</v>
      </c>
      <c r="H793" s="1">
        <v>42775</v>
      </c>
      <c r="I793" s="1">
        <v>42877</v>
      </c>
      <c r="J793">
        <v>0</v>
      </c>
    </row>
    <row r="794" spans="1:10" x14ac:dyDescent="0.3">
      <c r="A794" t="s">
        <v>925</v>
      </c>
      <c r="B794" t="s">
        <v>64</v>
      </c>
      <c r="C794" t="str">
        <f>_xlfn.XLOOKUP(B794,
[1]sales_teams!$A$2:$A$100,
[1]sales_teams!$B$2:$B$100)</f>
        <v>Rocco Neubert</v>
      </c>
      <c r="D794" t="str">
        <f>_xlfn.XLOOKUP($B794,sales_teams!$A$2:$A$36,sales_teams!C$2:C$36)</f>
        <v>East</v>
      </c>
      <c r="E794" t="s">
        <v>39</v>
      </c>
      <c r="F794" t="s">
        <v>278</v>
      </c>
      <c r="G794" t="s">
        <v>12</v>
      </c>
      <c r="H794" s="1">
        <v>42775</v>
      </c>
      <c r="I794" s="1">
        <v>42796</v>
      </c>
      <c r="J794">
        <v>3249</v>
      </c>
    </row>
    <row r="795" spans="1:10" x14ac:dyDescent="0.3">
      <c r="A795" t="s">
        <v>926</v>
      </c>
      <c r="B795" t="s">
        <v>14</v>
      </c>
      <c r="C795" t="str">
        <f>_xlfn.XLOOKUP(B795,
[1]sales_teams!$A$2:$A$100,
[1]sales_teams!$B$2:$B$100)</f>
        <v>Melvin Marxen</v>
      </c>
      <c r="D795" t="str">
        <f>_xlfn.XLOOKUP($B795,sales_teams!$A$2:$A$36,sales_teams!C$2:C$36)</f>
        <v>Central</v>
      </c>
      <c r="E795" t="s">
        <v>15</v>
      </c>
      <c r="F795" t="s">
        <v>197</v>
      </c>
      <c r="G795" t="s">
        <v>46</v>
      </c>
      <c r="H795" s="1">
        <v>42775</v>
      </c>
      <c r="I795" s="1">
        <v>42811</v>
      </c>
      <c r="J795">
        <v>0</v>
      </c>
    </row>
    <row r="796" spans="1:10" x14ac:dyDescent="0.3">
      <c r="A796" t="s">
        <v>927</v>
      </c>
      <c r="B796" t="s">
        <v>14</v>
      </c>
      <c r="C796" t="str">
        <f>_xlfn.XLOOKUP(B796,
[1]sales_teams!$A$2:$A$100,
[1]sales_teams!$B$2:$B$100)</f>
        <v>Melvin Marxen</v>
      </c>
      <c r="D796" t="str">
        <f>_xlfn.XLOOKUP($B796,sales_teams!$A$2:$A$36,sales_teams!C$2:C$36)</f>
        <v>Central</v>
      </c>
      <c r="E796" t="s">
        <v>15</v>
      </c>
      <c r="F796" t="s">
        <v>187</v>
      </c>
      <c r="G796" t="s">
        <v>46</v>
      </c>
      <c r="H796" s="1">
        <v>42775</v>
      </c>
      <c r="I796" s="1">
        <v>42873</v>
      </c>
      <c r="J796">
        <v>0</v>
      </c>
    </row>
    <row r="797" spans="1:10" x14ac:dyDescent="0.3">
      <c r="A797" t="s">
        <v>928</v>
      </c>
      <c r="B797" t="s">
        <v>14</v>
      </c>
      <c r="C797" t="str">
        <f>_xlfn.XLOOKUP(B797,
[1]sales_teams!$A$2:$A$100,
[1]sales_teams!$B$2:$B$100)</f>
        <v>Melvin Marxen</v>
      </c>
      <c r="D797" t="str">
        <f>_xlfn.XLOOKUP($B797,sales_teams!$A$2:$A$36,sales_teams!C$2:C$36)</f>
        <v>Central</v>
      </c>
      <c r="E797" t="s">
        <v>15</v>
      </c>
      <c r="F797" t="s">
        <v>36</v>
      </c>
      <c r="G797" t="s">
        <v>46</v>
      </c>
      <c r="H797" s="1">
        <v>42775</v>
      </c>
      <c r="I797" s="1">
        <v>42864</v>
      </c>
      <c r="J797">
        <v>0</v>
      </c>
    </row>
    <row r="798" spans="1:10" x14ac:dyDescent="0.3">
      <c r="A798" t="s">
        <v>929</v>
      </c>
      <c r="B798" t="s">
        <v>142</v>
      </c>
      <c r="C798" t="str">
        <f>_xlfn.XLOOKUP(B798,
[1]sales_teams!$A$2:$A$100,
[1]sales_teams!$B$2:$B$100)</f>
        <v>Rocco Neubert</v>
      </c>
      <c r="D798" t="str">
        <f>_xlfn.XLOOKUP($B798,sales_teams!$A$2:$A$36,sales_teams!C$2:C$36)</f>
        <v>East</v>
      </c>
      <c r="E798" t="s">
        <v>48</v>
      </c>
      <c r="F798" t="s">
        <v>98</v>
      </c>
      <c r="G798" t="s">
        <v>12</v>
      </c>
      <c r="H798" s="1">
        <v>42775</v>
      </c>
      <c r="I798" s="1">
        <v>42897</v>
      </c>
      <c r="J798">
        <v>5724</v>
      </c>
    </row>
    <row r="799" spans="1:10" x14ac:dyDescent="0.3">
      <c r="A799" t="s">
        <v>930</v>
      </c>
      <c r="B799" t="s">
        <v>54</v>
      </c>
      <c r="C799" t="str">
        <f>_xlfn.XLOOKUP(B799,
[1]sales_teams!$A$2:$A$100,
[1]sales_teams!$B$2:$B$100)</f>
        <v>Celia Rouche</v>
      </c>
      <c r="D799" t="str">
        <f>_xlfn.XLOOKUP($B799,sales_teams!$A$2:$A$36,sales_teams!C$2:C$36)</f>
        <v>West</v>
      </c>
      <c r="E799" t="s">
        <v>10</v>
      </c>
      <c r="F799" t="s">
        <v>398</v>
      </c>
      <c r="G799" t="s">
        <v>46</v>
      </c>
      <c r="H799" s="1">
        <v>42775</v>
      </c>
      <c r="I799" s="1">
        <v>42857</v>
      </c>
      <c r="J799">
        <v>0</v>
      </c>
    </row>
    <row r="800" spans="1:10" x14ac:dyDescent="0.3">
      <c r="A800" t="s">
        <v>931</v>
      </c>
      <c r="B800" t="s">
        <v>54</v>
      </c>
      <c r="C800" t="str">
        <f>_xlfn.XLOOKUP(B800,
[1]sales_teams!$A$2:$A$100,
[1]sales_teams!$B$2:$B$100)</f>
        <v>Celia Rouche</v>
      </c>
      <c r="D800" t="str">
        <f>_xlfn.XLOOKUP($B800,sales_teams!$A$2:$A$36,sales_teams!C$2:C$36)</f>
        <v>West</v>
      </c>
      <c r="E800" t="s">
        <v>10</v>
      </c>
      <c r="F800" t="s">
        <v>124</v>
      </c>
      <c r="G800" t="s">
        <v>46</v>
      </c>
      <c r="H800" s="1">
        <v>42775</v>
      </c>
      <c r="I800" s="1">
        <v>42866</v>
      </c>
      <c r="J800">
        <v>0</v>
      </c>
    </row>
    <row r="801" spans="1:10" x14ac:dyDescent="0.3">
      <c r="A801" t="s">
        <v>932</v>
      </c>
      <c r="B801" t="s">
        <v>95</v>
      </c>
      <c r="C801" t="str">
        <f>_xlfn.XLOOKUP(B801,
[1]sales_teams!$A$2:$A$100,
[1]sales_teams!$B$2:$B$100)</f>
        <v>Summer Sewald</v>
      </c>
      <c r="D801" t="str">
        <f>_xlfn.XLOOKUP($B801,sales_teams!$A$2:$A$36,sales_teams!C$2:C$36)</f>
        <v>West</v>
      </c>
      <c r="E801" t="s">
        <v>20</v>
      </c>
      <c r="F801" t="s">
        <v>194</v>
      </c>
      <c r="G801" t="s">
        <v>12</v>
      </c>
      <c r="H801" s="1">
        <v>42775</v>
      </c>
      <c r="I801" s="1">
        <v>42857</v>
      </c>
      <c r="J801">
        <v>516</v>
      </c>
    </row>
    <row r="802" spans="1:10" x14ac:dyDescent="0.3">
      <c r="A802" t="s">
        <v>933</v>
      </c>
      <c r="B802" t="s">
        <v>116</v>
      </c>
      <c r="C802" t="str">
        <f>_xlfn.XLOOKUP(B802,
[1]sales_teams!$A$2:$A$100,
[1]sales_teams!$B$2:$B$100)</f>
        <v>Melvin Marxen</v>
      </c>
      <c r="D802" t="str">
        <f>_xlfn.XLOOKUP($B802,sales_teams!$A$2:$A$36,sales_teams!C$2:C$36)</f>
        <v>Central</v>
      </c>
      <c r="E802" t="s">
        <v>10</v>
      </c>
      <c r="F802" t="s">
        <v>151</v>
      </c>
      <c r="G802" t="s">
        <v>12</v>
      </c>
      <c r="H802" s="1">
        <v>42775</v>
      </c>
      <c r="I802" s="1">
        <v>42882</v>
      </c>
      <c r="J802">
        <v>1050</v>
      </c>
    </row>
    <row r="803" spans="1:10" x14ac:dyDescent="0.3">
      <c r="A803" t="s">
        <v>934</v>
      </c>
      <c r="B803" t="s">
        <v>51</v>
      </c>
      <c r="C803" t="str">
        <f>_xlfn.XLOOKUP(B803,
[1]sales_teams!$A$2:$A$100,
[1]sales_teams!$B$2:$B$100)</f>
        <v>Summer Sewald</v>
      </c>
      <c r="D803" t="str">
        <f>_xlfn.XLOOKUP($B803,sales_teams!$A$2:$A$36,sales_teams!C$2:C$36)</f>
        <v>West</v>
      </c>
      <c r="E803" t="s">
        <v>48</v>
      </c>
      <c r="F803" t="s">
        <v>124</v>
      </c>
      <c r="G803" t="s">
        <v>12</v>
      </c>
      <c r="H803" s="1">
        <v>42775</v>
      </c>
      <c r="I803" s="1">
        <v>42878</v>
      </c>
      <c r="J803">
        <v>4519</v>
      </c>
    </row>
    <row r="804" spans="1:10" x14ac:dyDescent="0.3">
      <c r="A804" t="s">
        <v>935</v>
      </c>
      <c r="B804" t="s">
        <v>35</v>
      </c>
      <c r="C804" t="str">
        <f>_xlfn.XLOOKUP(B804,
[1]sales_teams!$A$2:$A$100,
[1]sales_teams!$B$2:$B$100)</f>
        <v>Melvin Marxen</v>
      </c>
      <c r="D804" t="str">
        <f>_xlfn.XLOOKUP($B804,sales_teams!$A$2:$A$36,sales_teams!C$2:C$36)</f>
        <v>Central</v>
      </c>
      <c r="E804" t="s">
        <v>20</v>
      </c>
      <c r="F804" t="s">
        <v>135</v>
      </c>
      <c r="G804" t="s">
        <v>46</v>
      </c>
      <c r="H804" s="1">
        <v>42775</v>
      </c>
      <c r="I804" s="1">
        <v>42880</v>
      </c>
      <c r="J804">
        <v>0</v>
      </c>
    </row>
    <row r="805" spans="1:10" x14ac:dyDescent="0.3">
      <c r="A805" t="s">
        <v>936</v>
      </c>
      <c r="B805" t="s">
        <v>35</v>
      </c>
      <c r="C805" t="str">
        <f>_xlfn.XLOOKUP(B805,
[1]sales_teams!$A$2:$A$100,
[1]sales_teams!$B$2:$B$100)</f>
        <v>Melvin Marxen</v>
      </c>
      <c r="D805" t="str">
        <f>_xlfn.XLOOKUP($B805,sales_teams!$A$2:$A$36,sales_teams!C$2:C$36)</f>
        <v>Central</v>
      </c>
      <c r="E805" t="s">
        <v>20</v>
      </c>
      <c r="F805" t="s">
        <v>197</v>
      </c>
      <c r="G805" t="s">
        <v>12</v>
      </c>
      <c r="H805" s="1">
        <v>42775</v>
      </c>
      <c r="I805" s="1">
        <v>42891</v>
      </c>
      <c r="J805">
        <v>672</v>
      </c>
    </row>
    <row r="806" spans="1:10" x14ac:dyDescent="0.3">
      <c r="A806" t="s">
        <v>937</v>
      </c>
      <c r="B806" t="s">
        <v>97</v>
      </c>
      <c r="C806" t="str">
        <f>_xlfn.XLOOKUP(B806,
[1]sales_teams!$A$2:$A$100,
[1]sales_teams!$B$2:$B$100)</f>
        <v>Rocco Neubert</v>
      </c>
      <c r="D806" t="str">
        <f>_xlfn.XLOOKUP($B806,sales_teams!$A$2:$A$36,sales_teams!C$2:C$36)</f>
        <v>East</v>
      </c>
      <c r="E806" t="s">
        <v>10</v>
      </c>
      <c r="F806" t="s">
        <v>106</v>
      </c>
      <c r="G806" t="s">
        <v>12</v>
      </c>
      <c r="H806" s="1">
        <v>42775</v>
      </c>
      <c r="I806" s="1">
        <v>42814</v>
      </c>
      <c r="J806">
        <v>896</v>
      </c>
    </row>
    <row r="807" spans="1:10" x14ac:dyDescent="0.3">
      <c r="A807" t="s">
        <v>938</v>
      </c>
      <c r="B807" t="s">
        <v>29</v>
      </c>
      <c r="C807" t="str">
        <f>_xlfn.XLOOKUP(B807,
[1]sales_teams!$A$2:$A$100,
[1]sales_teams!$B$2:$B$100)</f>
        <v>Celia Rouche</v>
      </c>
      <c r="D807" t="str">
        <f>_xlfn.XLOOKUP($B807,sales_teams!$A$2:$A$36,sales_teams!C$2:C$36)</f>
        <v>West</v>
      </c>
      <c r="E807" t="s">
        <v>20</v>
      </c>
      <c r="F807" t="s">
        <v>199</v>
      </c>
      <c r="G807" t="s">
        <v>12</v>
      </c>
      <c r="H807" s="1">
        <v>42775</v>
      </c>
      <c r="I807" s="1">
        <v>42817</v>
      </c>
      <c r="J807">
        <v>587</v>
      </c>
    </row>
    <row r="808" spans="1:10" x14ac:dyDescent="0.3">
      <c r="A808" t="s">
        <v>939</v>
      </c>
      <c r="B808" t="s">
        <v>29</v>
      </c>
      <c r="C808" t="str">
        <f>_xlfn.XLOOKUP(B808,
[1]sales_teams!$A$2:$A$100,
[1]sales_teams!$B$2:$B$100)</f>
        <v>Celia Rouche</v>
      </c>
      <c r="D808" t="str">
        <f>_xlfn.XLOOKUP($B808,sales_teams!$A$2:$A$36,sales_teams!C$2:C$36)</f>
        <v>West</v>
      </c>
      <c r="E808" t="s">
        <v>39</v>
      </c>
      <c r="F808" t="s">
        <v>52</v>
      </c>
      <c r="G808" t="s">
        <v>12</v>
      </c>
      <c r="H808" s="1">
        <v>42775</v>
      </c>
      <c r="I808" s="1">
        <v>42899</v>
      </c>
      <c r="J808">
        <v>3426</v>
      </c>
    </row>
    <row r="809" spans="1:10" x14ac:dyDescent="0.3">
      <c r="A809" t="s">
        <v>940</v>
      </c>
      <c r="B809" t="s">
        <v>139</v>
      </c>
      <c r="C809" t="str">
        <f>_xlfn.XLOOKUP(B809,
[1]sales_teams!$A$2:$A$100,
[1]sales_teams!$B$2:$B$100)</f>
        <v>Rocco Neubert</v>
      </c>
      <c r="D809" t="str">
        <f>_xlfn.XLOOKUP($B809,sales_teams!$A$2:$A$36,sales_teams!C$2:C$36)</f>
        <v>East</v>
      </c>
      <c r="E809" t="s">
        <v>39</v>
      </c>
      <c r="F809" t="s">
        <v>122</v>
      </c>
      <c r="G809" t="s">
        <v>40</v>
      </c>
      <c r="H809" s="1">
        <v>42776</v>
      </c>
    </row>
    <row r="810" spans="1:10" x14ac:dyDescent="0.3">
      <c r="A810" t="s">
        <v>941</v>
      </c>
      <c r="B810" t="s">
        <v>118</v>
      </c>
      <c r="C810" t="str">
        <f>_xlfn.XLOOKUP(B810,
[1]sales_teams!$A$2:$A$100,
[1]sales_teams!$B$2:$B$100)</f>
        <v>Rocco Neubert</v>
      </c>
      <c r="D810" t="str">
        <f>_xlfn.XLOOKUP($B810,sales_teams!$A$2:$A$36,sales_teams!C$2:C$36)</f>
        <v>East</v>
      </c>
      <c r="E810" t="s">
        <v>15</v>
      </c>
      <c r="F810" t="s">
        <v>177</v>
      </c>
      <c r="G810" t="s">
        <v>12</v>
      </c>
      <c r="H810" s="1">
        <v>42776</v>
      </c>
      <c r="I810" s="1">
        <v>42814</v>
      </c>
      <c r="J810">
        <v>5021</v>
      </c>
    </row>
    <row r="811" spans="1:10" x14ac:dyDescent="0.3">
      <c r="A811" t="s">
        <v>942</v>
      </c>
      <c r="B811" t="s">
        <v>14</v>
      </c>
      <c r="C811" t="str">
        <f>_xlfn.XLOOKUP(B811,
[1]sales_teams!$A$2:$A$100,
[1]sales_teams!$B$2:$B$100)</f>
        <v>Melvin Marxen</v>
      </c>
      <c r="D811" t="str">
        <f>_xlfn.XLOOKUP($B811,sales_teams!$A$2:$A$36,sales_teams!C$2:C$36)</f>
        <v>Central</v>
      </c>
      <c r="E811" t="s">
        <v>10</v>
      </c>
      <c r="F811" t="s">
        <v>151</v>
      </c>
      <c r="G811" t="s">
        <v>12</v>
      </c>
      <c r="H811" s="1">
        <v>42776</v>
      </c>
      <c r="I811" s="1">
        <v>42824</v>
      </c>
      <c r="J811">
        <v>1126</v>
      </c>
    </row>
    <row r="812" spans="1:10" x14ac:dyDescent="0.3">
      <c r="A812" t="s">
        <v>943</v>
      </c>
      <c r="B812" t="s">
        <v>142</v>
      </c>
      <c r="C812" t="str">
        <f>_xlfn.XLOOKUP(B812,
[1]sales_teams!$A$2:$A$100,
[1]sales_teams!$B$2:$B$100)</f>
        <v>Rocco Neubert</v>
      </c>
      <c r="D812" t="str">
        <f>_xlfn.XLOOKUP($B812,sales_teams!$A$2:$A$36,sales_teams!C$2:C$36)</f>
        <v>East</v>
      </c>
      <c r="E812" t="s">
        <v>15</v>
      </c>
      <c r="F812" t="s">
        <v>189</v>
      </c>
      <c r="G812" t="s">
        <v>12</v>
      </c>
      <c r="H812" s="1">
        <v>42776</v>
      </c>
      <c r="I812" s="1">
        <v>42870</v>
      </c>
      <c r="J812">
        <v>5473</v>
      </c>
    </row>
    <row r="813" spans="1:10" x14ac:dyDescent="0.3">
      <c r="A813" t="s">
        <v>944</v>
      </c>
      <c r="B813" t="s">
        <v>67</v>
      </c>
      <c r="C813" t="str">
        <f>_xlfn.XLOOKUP(B813,
[1]sales_teams!$A$2:$A$100,
[1]sales_teams!$B$2:$B$100)</f>
        <v>Celia Rouche</v>
      </c>
      <c r="D813" t="str">
        <f>_xlfn.XLOOKUP($B813,sales_teams!$A$2:$A$36,sales_teams!C$2:C$36)</f>
        <v>West</v>
      </c>
      <c r="E813" t="s">
        <v>18</v>
      </c>
      <c r="F813" t="s">
        <v>49</v>
      </c>
      <c r="G813" t="s">
        <v>46</v>
      </c>
      <c r="H813" s="1">
        <v>42776</v>
      </c>
      <c r="I813" s="1">
        <v>42885</v>
      </c>
      <c r="J813">
        <v>0</v>
      </c>
    </row>
    <row r="814" spans="1:10" x14ac:dyDescent="0.3">
      <c r="A814" t="s">
        <v>945</v>
      </c>
      <c r="B814" t="s">
        <v>67</v>
      </c>
      <c r="C814" t="str">
        <f>_xlfn.XLOOKUP(B814,
[1]sales_teams!$A$2:$A$100,
[1]sales_teams!$B$2:$B$100)</f>
        <v>Celia Rouche</v>
      </c>
      <c r="D814" t="str">
        <f>_xlfn.XLOOKUP($B814,sales_teams!$A$2:$A$36,sales_teams!C$2:C$36)</f>
        <v>West</v>
      </c>
      <c r="E814" t="s">
        <v>18</v>
      </c>
      <c r="F814" t="s">
        <v>68</v>
      </c>
      <c r="G814" t="s">
        <v>12</v>
      </c>
      <c r="H814" s="1">
        <v>42776</v>
      </c>
      <c r="I814" s="1">
        <v>42864</v>
      </c>
      <c r="J814">
        <v>51</v>
      </c>
    </row>
    <row r="815" spans="1:10" x14ac:dyDescent="0.3">
      <c r="A815" t="s">
        <v>946</v>
      </c>
      <c r="B815" t="s">
        <v>78</v>
      </c>
      <c r="C815" t="str">
        <f>_xlfn.XLOOKUP(B815,
[1]sales_teams!$A$2:$A$100,
[1]sales_teams!$B$2:$B$100)</f>
        <v>Summer Sewald</v>
      </c>
      <c r="D815" t="str">
        <f>_xlfn.XLOOKUP($B815,sales_teams!$A$2:$A$36,sales_teams!C$2:C$36)</f>
        <v>West</v>
      </c>
      <c r="E815" t="s">
        <v>20</v>
      </c>
      <c r="F815" t="s">
        <v>59</v>
      </c>
      <c r="G815" t="s">
        <v>40</v>
      </c>
      <c r="H815" s="1">
        <v>42776</v>
      </c>
    </row>
    <row r="816" spans="1:10" x14ac:dyDescent="0.3">
      <c r="A816" t="s">
        <v>947</v>
      </c>
      <c r="B816" t="s">
        <v>78</v>
      </c>
      <c r="C816" t="str">
        <f>_xlfn.XLOOKUP(B816,
[1]sales_teams!$A$2:$A$100,
[1]sales_teams!$B$2:$B$100)</f>
        <v>Summer Sewald</v>
      </c>
      <c r="D816" t="str">
        <f>_xlfn.XLOOKUP($B816,sales_teams!$A$2:$A$36,sales_teams!C$2:C$36)</f>
        <v>West</v>
      </c>
      <c r="E816" t="s">
        <v>20</v>
      </c>
      <c r="F816" t="s">
        <v>52</v>
      </c>
      <c r="G816" t="s">
        <v>12</v>
      </c>
      <c r="H816" s="1">
        <v>42776</v>
      </c>
      <c r="I816" s="1">
        <v>42800</v>
      </c>
      <c r="J816">
        <v>563</v>
      </c>
    </row>
    <row r="817" spans="1:10" x14ac:dyDescent="0.3">
      <c r="A817" t="s">
        <v>948</v>
      </c>
      <c r="B817" t="s">
        <v>133</v>
      </c>
      <c r="C817" t="str">
        <f>_xlfn.XLOOKUP(B817,
[1]sales_teams!$A$2:$A$100,
[1]sales_teams!$B$2:$B$100)</f>
        <v>Dustin Brinkmann</v>
      </c>
      <c r="D817" t="str">
        <f>_xlfn.XLOOKUP($B817,sales_teams!$A$2:$A$36,sales_teams!C$2:C$36)</f>
        <v>Central</v>
      </c>
      <c r="E817" t="s">
        <v>20</v>
      </c>
      <c r="F817" t="s">
        <v>16</v>
      </c>
      <c r="G817" t="s">
        <v>46</v>
      </c>
      <c r="H817" s="1">
        <v>42776</v>
      </c>
      <c r="I817" s="1">
        <v>42881</v>
      </c>
      <c r="J817">
        <v>0</v>
      </c>
    </row>
    <row r="818" spans="1:10" x14ac:dyDescent="0.3">
      <c r="A818" t="s">
        <v>949</v>
      </c>
      <c r="B818" t="s">
        <v>97</v>
      </c>
      <c r="C818" t="str">
        <f>_xlfn.XLOOKUP(B818,
[1]sales_teams!$A$2:$A$100,
[1]sales_teams!$B$2:$B$100)</f>
        <v>Rocco Neubert</v>
      </c>
      <c r="D818" t="str">
        <f>_xlfn.XLOOKUP($B818,sales_teams!$A$2:$A$36,sales_teams!C$2:C$36)</f>
        <v>East</v>
      </c>
      <c r="E818" t="s">
        <v>20</v>
      </c>
      <c r="F818" t="s">
        <v>140</v>
      </c>
      <c r="G818" t="s">
        <v>46</v>
      </c>
      <c r="H818" s="1">
        <v>42776</v>
      </c>
      <c r="I818" s="1">
        <v>42869</v>
      </c>
      <c r="J818">
        <v>0</v>
      </c>
    </row>
    <row r="819" spans="1:10" x14ac:dyDescent="0.3">
      <c r="A819" t="s">
        <v>950</v>
      </c>
      <c r="B819" t="s">
        <v>97</v>
      </c>
      <c r="C819" t="str">
        <f>_xlfn.XLOOKUP(B819,
[1]sales_teams!$A$2:$A$100,
[1]sales_teams!$B$2:$B$100)</f>
        <v>Rocco Neubert</v>
      </c>
      <c r="D819" t="str">
        <f>_xlfn.XLOOKUP($B819,sales_teams!$A$2:$A$36,sales_teams!C$2:C$36)</f>
        <v>East</v>
      </c>
      <c r="E819" t="s">
        <v>39</v>
      </c>
      <c r="F819" t="s">
        <v>155</v>
      </c>
      <c r="G819" t="s">
        <v>12</v>
      </c>
      <c r="H819" s="1">
        <v>42776</v>
      </c>
      <c r="I819" s="1">
        <v>42901</v>
      </c>
      <c r="J819">
        <v>2928</v>
      </c>
    </row>
    <row r="820" spans="1:10" x14ac:dyDescent="0.3">
      <c r="A820" t="s">
        <v>951</v>
      </c>
      <c r="B820" t="s">
        <v>97</v>
      </c>
      <c r="C820" t="str">
        <f>_xlfn.XLOOKUP(B820,
[1]sales_teams!$A$2:$A$100,
[1]sales_teams!$B$2:$B$100)</f>
        <v>Rocco Neubert</v>
      </c>
      <c r="D820" t="str">
        <f>_xlfn.XLOOKUP($B820,sales_teams!$A$2:$A$36,sales_teams!C$2:C$36)</f>
        <v>East</v>
      </c>
      <c r="E820" t="s">
        <v>39</v>
      </c>
      <c r="F820" t="s">
        <v>300</v>
      </c>
      <c r="G820" t="s">
        <v>12</v>
      </c>
      <c r="H820" s="1">
        <v>42776</v>
      </c>
      <c r="I820" s="1">
        <v>42891</v>
      </c>
      <c r="J820">
        <v>3618</v>
      </c>
    </row>
    <row r="821" spans="1:10" x14ac:dyDescent="0.3">
      <c r="A821" t="s">
        <v>952</v>
      </c>
      <c r="B821" t="s">
        <v>14</v>
      </c>
      <c r="C821" t="str">
        <f>_xlfn.XLOOKUP(B821,
[1]sales_teams!$A$2:$A$100,
[1]sales_teams!$B$2:$B$100)</f>
        <v>Melvin Marxen</v>
      </c>
      <c r="D821" t="str">
        <f>_xlfn.XLOOKUP($B821,sales_teams!$A$2:$A$36,sales_teams!C$2:C$36)</f>
        <v>Central</v>
      </c>
      <c r="E821" t="s">
        <v>10</v>
      </c>
      <c r="F821" t="s">
        <v>318</v>
      </c>
      <c r="G821" t="s">
        <v>12</v>
      </c>
      <c r="H821" s="1">
        <v>42777</v>
      </c>
      <c r="I821" s="1">
        <v>42871</v>
      </c>
      <c r="J821">
        <v>1189</v>
      </c>
    </row>
    <row r="822" spans="1:10" x14ac:dyDescent="0.3">
      <c r="A822" t="s">
        <v>953</v>
      </c>
      <c r="B822" t="s">
        <v>142</v>
      </c>
      <c r="C822" t="str">
        <f>_xlfn.XLOOKUP(B822,
[1]sales_teams!$A$2:$A$100,
[1]sales_teams!$B$2:$B$100)</f>
        <v>Rocco Neubert</v>
      </c>
      <c r="D822" t="str">
        <f>_xlfn.XLOOKUP($B822,sales_teams!$A$2:$A$36,sales_teams!C$2:C$36)</f>
        <v>East</v>
      </c>
      <c r="E822" t="s">
        <v>20</v>
      </c>
      <c r="F822" t="s">
        <v>209</v>
      </c>
      <c r="G822" t="s">
        <v>46</v>
      </c>
      <c r="H822" s="1">
        <v>42777</v>
      </c>
      <c r="I822" s="1">
        <v>42862</v>
      </c>
      <c r="J822">
        <v>0</v>
      </c>
    </row>
    <row r="823" spans="1:10" x14ac:dyDescent="0.3">
      <c r="A823" t="s">
        <v>954</v>
      </c>
      <c r="B823" t="s">
        <v>67</v>
      </c>
      <c r="C823" t="str">
        <f>_xlfn.XLOOKUP(B823,
[1]sales_teams!$A$2:$A$100,
[1]sales_teams!$B$2:$B$100)</f>
        <v>Celia Rouche</v>
      </c>
      <c r="D823" t="str">
        <f>_xlfn.XLOOKUP($B823,sales_teams!$A$2:$A$36,sales_teams!C$2:C$36)</f>
        <v>West</v>
      </c>
      <c r="E823" t="s">
        <v>18</v>
      </c>
      <c r="F823" t="s">
        <v>24</v>
      </c>
      <c r="G823" t="s">
        <v>12</v>
      </c>
      <c r="H823" s="1">
        <v>42777</v>
      </c>
      <c r="I823" s="1">
        <v>42877</v>
      </c>
      <c r="J823">
        <v>60</v>
      </c>
    </row>
    <row r="824" spans="1:10" x14ac:dyDescent="0.3">
      <c r="A824" t="s">
        <v>955</v>
      </c>
      <c r="B824" t="s">
        <v>38</v>
      </c>
      <c r="C824" t="str">
        <f>_xlfn.XLOOKUP(B824,
[1]sales_teams!$A$2:$A$100,
[1]sales_teams!$B$2:$B$100)</f>
        <v>Summer Sewald</v>
      </c>
      <c r="D824" t="str">
        <f>_xlfn.XLOOKUP($B824,sales_teams!$A$2:$A$36,sales_teams!C$2:C$36)</f>
        <v>West</v>
      </c>
      <c r="E824" t="s">
        <v>48</v>
      </c>
      <c r="G824" t="s">
        <v>40</v>
      </c>
      <c r="H824" s="1">
        <v>42777</v>
      </c>
    </row>
    <row r="825" spans="1:10" x14ac:dyDescent="0.3">
      <c r="A825" t="s">
        <v>956</v>
      </c>
      <c r="B825" t="s">
        <v>252</v>
      </c>
      <c r="C825" t="str">
        <f>_xlfn.XLOOKUP(B825,
[1]sales_teams!$A$2:$A$100,
[1]sales_teams!$B$2:$B$100)</f>
        <v>Melvin Marxen</v>
      </c>
      <c r="D825" t="str">
        <f>_xlfn.XLOOKUP($B825,sales_teams!$A$2:$A$36,sales_teams!C$2:C$36)</f>
        <v>Central</v>
      </c>
      <c r="E825" t="s">
        <v>10</v>
      </c>
      <c r="F825" t="s">
        <v>187</v>
      </c>
      <c r="G825" t="s">
        <v>46</v>
      </c>
      <c r="H825" s="1">
        <v>42777</v>
      </c>
      <c r="I825" s="1">
        <v>42866</v>
      </c>
      <c r="J825">
        <v>0</v>
      </c>
    </row>
    <row r="826" spans="1:10" x14ac:dyDescent="0.3">
      <c r="A826" t="s">
        <v>957</v>
      </c>
      <c r="B826" t="s">
        <v>78</v>
      </c>
      <c r="C826" t="str">
        <f>_xlfn.XLOOKUP(B826,
[1]sales_teams!$A$2:$A$100,
[1]sales_teams!$B$2:$B$100)</f>
        <v>Summer Sewald</v>
      </c>
      <c r="D826" t="str">
        <f>_xlfn.XLOOKUP($B826,sales_teams!$A$2:$A$36,sales_teams!C$2:C$36)</f>
        <v>West</v>
      </c>
      <c r="E826" t="s">
        <v>20</v>
      </c>
      <c r="F826" t="s">
        <v>33</v>
      </c>
      <c r="G826" t="s">
        <v>12</v>
      </c>
      <c r="H826" s="1">
        <v>42777</v>
      </c>
      <c r="I826" s="1">
        <v>42908</v>
      </c>
      <c r="J826">
        <v>545</v>
      </c>
    </row>
    <row r="827" spans="1:10" x14ac:dyDescent="0.3">
      <c r="A827" t="s">
        <v>958</v>
      </c>
      <c r="B827" t="s">
        <v>78</v>
      </c>
      <c r="C827" t="str">
        <f>_xlfn.XLOOKUP(B827,
[1]sales_teams!$A$2:$A$100,
[1]sales_teams!$B$2:$B$100)</f>
        <v>Summer Sewald</v>
      </c>
      <c r="D827" t="str">
        <f>_xlfn.XLOOKUP($B827,sales_teams!$A$2:$A$36,sales_teams!C$2:C$36)</f>
        <v>West</v>
      </c>
      <c r="E827" t="s">
        <v>39</v>
      </c>
      <c r="F827" t="s">
        <v>86</v>
      </c>
      <c r="G827" t="s">
        <v>12</v>
      </c>
      <c r="H827" s="1">
        <v>42777</v>
      </c>
      <c r="I827" s="1">
        <v>42867</v>
      </c>
      <c r="J827">
        <v>3035</v>
      </c>
    </row>
    <row r="828" spans="1:10" x14ac:dyDescent="0.3">
      <c r="A828" t="s">
        <v>959</v>
      </c>
      <c r="B828" t="s">
        <v>95</v>
      </c>
      <c r="C828" t="str">
        <f>_xlfn.XLOOKUP(B828,
[1]sales_teams!$A$2:$A$100,
[1]sales_teams!$B$2:$B$100)</f>
        <v>Summer Sewald</v>
      </c>
      <c r="D828" t="str">
        <f>_xlfn.XLOOKUP($B828,sales_teams!$A$2:$A$36,sales_teams!C$2:C$36)</f>
        <v>West</v>
      </c>
      <c r="E828" t="s">
        <v>20</v>
      </c>
      <c r="G828" t="s">
        <v>40</v>
      </c>
      <c r="H828" s="1">
        <v>42777</v>
      </c>
    </row>
    <row r="829" spans="1:10" x14ac:dyDescent="0.3">
      <c r="A829" t="s">
        <v>960</v>
      </c>
      <c r="B829" t="s">
        <v>95</v>
      </c>
      <c r="C829" t="str">
        <f>_xlfn.XLOOKUP(B829,
[1]sales_teams!$A$2:$A$100,
[1]sales_teams!$B$2:$B$100)</f>
        <v>Summer Sewald</v>
      </c>
      <c r="D829" t="str">
        <f>_xlfn.XLOOKUP($B829,sales_teams!$A$2:$A$36,sales_teams!C$2:C$36)</f>
        <v>West</v>
      </c>
      <c r="E829" t="s">
        <v>20</v>
      </c>
      <c r="F829" t="s">
        <v>199</v>
      </c>
      <c r="G829" t="s">
        <v>12</v>
      </c>
      <c r="H829" s="1">
        <v>42777</v>
      </c>
      <c r="I829" s="1">
        <v>42909</v>
      </c>
      <c r="J829">
        <v>584</v>
      </c>
    </row>
    <row r="830" spans="1:10" x14ac:dyDescent="0.3">
      <c r="A830" t="s">
        <v>961</v>
      </c>
      <c r="B830" t="s">
        <v>32</v>
      </c>
      <c r="C830" t="str">
        <f>_xlfn.XLOOKUP(B830,
[1]sales_teams!$A$2:$A$100,
[1]sales_teams!$B$2:$B$100)</f>
        <v>Celia Rouche</v>
      </c>
      <c r="D830" t="str">
        <f>_xlfn.XLOOKUP($B830,sales_teams!$A$2:$A$36,sales_teams!C$2:C$36)</f>
        <v>West</v>
      </c>
      <c r="E830" t="s">
        <v>18</v>
      </c>
      <c r="F830" t="s">
        <v>59</v>
      </c>
      <c r="G830" t="s">
        <v>46</v>
      </c>
      <c r="H830" s="1">
        <v>42777</v>
      </c>
      <c r="I830" s="1">
        <v>42870</v>
      </c>
      <c r="J830">
        <v>0</v>
      </c>
    </row>
    <row r="831" spans="1:10" x14ac:dyDescent="0.3">
      <c r="A831" t="s">
        <v>962</v>
      </c>
      <c r="B831" t="s">
        <v>51</v>
      </c>
      <c r="C831" t="str">
        <f>_xlfn.XLOOKUP(B831,
[1]sales_teams!$A$2:$A$100,
[1]sales_teams!$B$2:$B$100)</f>
        <v>Summer Sewald</v>
      </c>
      <c r="D831" t="str">
        <f>_xlfn.XLOOKUP($B831,sales_teams!$A$2:$A$36,sales_teams!C$2:C$36)</f>
        <v>West</v>
      </c>
      <c r="E831" t="s">
        <v>10</v>
      </c>
      <c r="F831" t="s">
        <v>33</v>
      </c>
      <c r="G831" t="s">
        <v>12</v>
      </c>
      <c r="H831" s="1">
        <v>42777</v>
      </c>
      <c r="I831" s="1">
        <v>42909</v>
      </c>
      <c r="J831">
        <v>1069</v>
      </c>
    </row>
    <row r="832" spans="1:10" x14ac:dyDescent="0.3">
      <c r="A832" t="s">
        <v>963</v>
      </c>
      <c r="B832" t="s">
        <v>51</v>
      </c>
      <c r="C832" t="str">
        <f>_xlfn.XLOOKUP(B832,
[1]sales_teams!$A$2:$A$100,
[1]sales_teams!$B$2:$B$100)</f>
        <v>Summer Sewald</v>
      </c>
      <c r="D832" t="str">
        <f>_xlfn.XLOOKUP($B832,sales_teams!$A$2:$A$36,sales_teams!C$2:C$36)</f>
        <v>West</v>
      </c>
      <c r="E832" t="s">
        <v>10</v>
      </c>
      <c r="F832" t="s">
        <v>93</v>
      </c>
      <c r="G832" t="s">
        <v>12</v>
      </c>
      <c r="H832" s="1">
        <v>42777</v>
      </c>
      <c r="I832" s="1">
        <v>42908</v>
      </c>
      <c r="J832">
        <v>1035</v>
      </c>
    </row>
    <row r="833" spans="1:10" x14ac:dyDescent="0.3">
      <c r="A833" t="s">
        <v>964</v>
      </c>
      <c r="B833" t="s">
        <v>57</v>
      </c>
      <c r="C833" t="str">
        <f>_xlfn.XLOOKUP(B833,
[1]sales_teams!$A$2:$A$100,
[1]sales_teams!$B$2:$B$100)</f>
        <v>Celia Rouche</v>
      </c>
      <c r="D833" t="str">
        <f>_xlfn.XLOOKUP($B833,sales_teams!$A$2:$A$36,sales_teams!C$2:C$36)</f>
        <v>West</v>
      </c>
      <c r="E833" t="s">
        <v>39</v>
      </c>
      <c r="F833" t="s">
        <v>122</v>
      </c>
      <c r="G833" t="s">
        <v>40</v>
      </c>
      <c r="H833" s="1">
        <v>42777</v>
      </c>
    </row>
    <row r="834" spans="1:10" x14ac:dyDescent="0.3">
      <c r="A834" t="s">
        <v>965</v>
      </c>
      <c r="B834" t="s">
        <v>88</v>
      </c>
      <c r="C834" t="str">
        <f>_xlfn.XLOOKUP(B834,
[1]sales_teams!$A$2:$A$100,
[1]sales_teams!$B$2:$B$100)</f>
        <v>Cara Losch</v>
      </c>
      <c r="D834" t="str">
        <f>_xlfn.XLOOKUP($B834,sales_teams!$A$2:$A$36,sales_teams!C$2:C$36)</f>
        <v>East</v>
      </c>
      <c r="E834" t="s">
        <v>15</v>
      </c>
      <c r="F834" t="s">
        <v>81</v>
      </c>
      <c r="G834" t="s">
        <v>46</v>
      </c>
      <c r="H834" s="1">
        <v>42777</v>
      </c>
      <c r="I834" s="1">
        <v>42796</v>
      </c>
      <c r="J834">
        <v>0</v>
      </c>
    </row>
    <row r="835" spans="1:10" x14ac:dyDescent="0.3">
      <c r="A835" t="s">
        <v>966</v>
      </c>
      <c r="B835" t="s">
        <v>29</v>
      </c>
      <c r="C835" t="str">
        <f>_xlfn.XLOOKUP(B835,
[1]sales_teams!$A$2:$A$100,
[1]sales_teams!$B$2:$B$100)</f>
        <v>Celia Rouche</v>
      </c>
      <c r="D835" t="str">
        <f>_xlfn.XLOOKUP($B835,sales_teams!$A$2:$A$36,sales_teams!C$2:C$36)</f>
        <v>West</v>
      </c>
      <c r="E835" t="s">
        <v>15</v>
      </c>
      <c r="F835" t="s">
        <v>59</v>
      </c>
      <c r="G835" t="s">
        <v>12</v>
      </c>
      <c r="H835" s="1">
        <v>42777</v>
      </c>
      <c r="I835" s="1">
        <v>42818</v>
      </c>
      <c r="J835">
        <v>4510</v>
      </c>
    </row>
    <row r="836" spans="1:10" x14ac:dyDescent="0.3">
      <c r="A836" t="s">
        <v>967</v>
      </c>
      <c r="B836" t="s">
        <v>73</v>
      </c>
      <c r="C836" t="str">
        <f>_xlfn.XLOOKUP(B836,
[1]sales_teams!$A$2:$A$100,
[1]sales_teams!$B$2:$B$100)</f>
        <v>Cara Losch</v>
      </c>
      <c r="D836" t="str">
        <f>_xlfn.XLOOKUP($B836,sales_teams!$A$2:$A$36,sales_teams!C$2:C$36)</f>
        <v>East</v>
      </c>
      <c r="E836" t="s">
        <v>10</v>
      </c>
      <c r="F836" t="s">
        <v>74</v>
      </c>
      <c r="G836" t="s">
        <v>46</v>
      </c>
      <c r="H836" s="1">
        <v>42777</v>
      </c>
      <c r="I836" s="1">
        <v>42891</v>
      </c>
      <c r="J836">
        <v>0</v>
      </c>
    </row>
    <row r="837" spans="1:10" x14ac:dyDescent="0.3">
      <c r="A837" t="s">
        <v>968</v>
      </c>
      <c r="B837" t="s">
        <v>73</v>
      </c>
      <c r="C837" t="str">
        <f>_xlfn.XLOOKUP(B837,
[1]sales_teams!$A$2:$A$100,
[1]sales_teams!$B$2:$B$100)</f>
        <v>Cara Losch</v>
      </c>
      <c r="D837" t="str">
        <f>_xlfn.XLOOKUP($B837,sales_teams!$A$2:$A$36,sales_teams!C$2:C$36)</f>
        <v>East</v>
      </c>
      <c r="E837" t="s">
        <v>18</v>
      </c>
      <c r="F837" t="s">
        <v>89</v>
      </c>
      <c r="G837" t="s">
        <v>12</v>
      </c>
      <c r="H837" s="1">
        <v>42777</v>
      </c>
      <c r="I837" s="1">
        <v>42863</v>
      </c>
      <c r="J837">
        <v>49</v>
      </c>
    </row>
    <row r="838" spans="1:10" x14ac:dyDescent="0.3">
      <c r="A838" t="s">
        <v>969</v>
      </c>
      <c r="B838" t="s">
        <v>26</v>
      </c>
      <c r="C838" t="str">
        <f>_xlfn.XLOOKUP(B838,
[1]sales_teams!$A$2:$A$100,
[1]sales_teams!$B$2:$B$100)</f>
        <v>Dustin Brinkmann</v>
      </c>
      <c r="D838" t="str">
        <f>_xlfn.XLOOKUP($B838,sales_teams!$A$2:$A$36,sales_teams!C$2:C$36)</f>
        <v>Central</v>
      </c>
      <c r="E838" t="s">
        <v>18</v>
      </c>
      <c r="F838" t="s">
        <v>126</v>
      </c>
      <c r="G838" t="s">
        <v>12</v>
      </c>
      <c r="H838" s="1">
        <v>42778</v>
      </c>
      <c r="I838" s="1">
        <v>42893</v>
      </c>
      <c r="J838">
        <v>59</v>
      </c>
    </row>
    <row r="839" spans="1:10" x14ac:dyDescent="0.3">
      <c r="A839" t="s">
        <v>970</v>
      </c>
      <c r="B839" t="s">
        <v>118</v>
      </c>
      <c r="C839" t="str">
        <f>_xlfn.XLOOKUP(B839,
[1]sales_teams!$A$2:$A$100,
[1]sales_teams!$B$2:$B$100)</f>
        <v>Rocco Neubert</v>
      </c>
      <c r="D839" t="str">
        <f>_xlfn.XLOOKUP($B839,sales_teams!$A$2:$A$36,sales_teams!C$2:C$36)</f>
        <v>East</v>
      </c>
      <c r="E839" t="s">
        <v>15</v>
      </c>
      <c r="F839" t="s">
        <v>155</v>
      </c>
      <c r="G839" t="s">
        <v>12</v>
      </c>
      <c r="H839" s="1">
        <v>42778</v>
      </c>
      <c r="I839" s="1">
        <v>42798</v>
      </c>
      <c r="J839">
        <v>4705</v>
      </c>
    </row>
    <row r="840" spans="1:10" x14ac:dyDescent="0.3">
      <c r="A840" t="s">
        <v>971</v>
      </c>
      <c r="B840" t="s">
        <v>202</v>
      </c>
      <c r="C840" t="str">
        <f>_xlfn.XLOOKUP(B840,
[1]sales_teams!$A$2:$A$100,
[1]sales_teams!$B$2:$B$100)</f>
        <v>Dustin Brinkmann</v>
      </c>
      <c r="D840" t="str">
        <f>_xlfn.XLOOKUP($B840,sales_teams!$A$2:$A$36,sales_teams!C$2:C$36)</f>
        <v>Central</v>
      </c>
      <c r="E840" t="s">
        <v>48</v>
      </c>
      <c r="F840" t="s">
        <v>36</v>
      </c>
      <c r="G840" t="s">
        <v>12</v>
      </c>
      <c r="H840" s="1">
        <v>42778</v>
      </c>
      <c r="I840" s="1">
        <v>42889</v>
      </c>
      <c r="J840">
        <v>5148</v>
      </c>
    </row>
    <row r="841" spans="1:10" x14ac:dyDescent="0.3">
      <c r="A841" t="s">
        <v>972</v>
      </c>
      <c r="B841" t="s">
        <v>164</v>
      </c>
      <c r="C841" t="str">
        <f>_xlfn.XLOOKUP(B841,
[1]sales_teams!$A$2:$A$100,
[1]sales_teams!$B$2:$B$100)</f>
        <v>Cara Losch</v>
      </c>
      <c r="D841" t="str">
        <f>_xlfn.XLOOKUP($B841,sales_teams!$A$2:$A$36,sales_teams!C$2:C$36)</f>
        <v>East</v>
      </c>
      <c r="E841" t="s">
        <v>15</v>
      </c>
      <c r="F841" t="s">
        <v>81</v>
      </c>
      <c r="G841" t="s">
        <v>12</v>
      </c>
      <c r="H841" s="1">
        <v>42778</v>
      </c>
      <c r="I841" s="1">
        <v>42863</v>
      </c>
      <c r="J841">
        <v>4833</v>
      </c>
    </row>
    <row r="842" spans="1:10" x14ac:dyDescent="0.3">
      <c r="A842" t="s">
        <v>973</v>
      </c>
      <c r="B842" t="s">
        <v>64</v>
      </c>
      <c r="C842" t="str">
        <f>_xlfn.XLOOKUP(B842,
[1]sales_teams!$A$2:$A$100,
[1]sales_teams!$B$2:$B$100)</f>
        <v>Rocco Neubert</v>
      </c>
      <c r="D842" t="str">
        <f>_xlfn.XLOOKUP($B842,sales_teams!$A$2:$A$36,sales_teams!C$2:C$36)</f>
        <v>East</v>
      </c>
      <c r="E842" t="s">
        <v>15</v>
      </c>
      <c r="F842" t="s">
        <v>106</v>
      </c>
      <c r="G842" t="s">
        <v>12</v>
      </c>
      <c r="H842" s="1">
        <v>42778</v>
      </c>
      <c r="I842" s="1">
        <v>42886</v>
      </c>
      <c r="J842">
        <v>4664</v>
      </c>
    </row>
    <row r="843" spans="1:10" x14ac:dyDescent="0.3">
      <c r="A843" t="s">
        <v>974</v>
      </c>
      <c r="B843" t="s">
        <v>142</v>
      </c>
      <c r="C843" t="str">
        <f>_xlfn.XLOOKUP(B843,
[1]sales_teams!$A$2:$A$100,
[1]sales_teams!$B$2:$B$100)</f>
        <v>Rocco Neubert</v>
      </c>
      <c r="D843" t="str">
        <f>_xlfn.XLOOKUP($B843,sales_teams!$A$2:$A$36,sales_teams!C$2:C$36)</f>
        <v>East</v>
      </c>
      <c r="E843" t="s">
        <v>20</v>
      </c>
      <c r="F843" t="s">
        <v>215</v>
      </c>
      <c r="G843" t="s">
        <v>12</v>
      </c>
      <c r="H843" s="1">
        <v>42778</v>
      </c>
      <c r="I843" s="1">
        <v>42867</v>
      </c>
      <c r="J843">
        <v>475</v>
      </c>
    </row>
    <row r="844" spans="1:10" x14ac:dyDescent="0.3">
      <c r="A844" t="s">
        <v>975</v>
      </c>
      <c r="B844" t="s">
        <v>54</v>
      </c>
      <c r="C844" t="str">
        <f>_xlfn.XLOOKUP(B844,
[1]sales_teams!$A$2:$A$100,
[1]sales_teams!$B$2:$B$100)</f>
        <v>Celia Rouche</v>
      </c>
      <c r="D844" t="str">
        <f>_xlfn.XLOOKUP($B844,sales_teams!$A$2:$A$36,sales_teams!C$2:C$36)</f>
        <v>West</v>
      </c>
      <c r="E844" t="s">
        <v>10</v>
      </c>
      <c r="G844" t="s">
        <v>40</v>
      </c>
      <c r="H844" s="1">
        <v>42778</v>
      </c>
    </row>
    <row r="845" spans="1:10" x14ac:dyDescent="0.3">
      <c r="A845" t="s">
        <v>976</v>
      </c>
      <c r="B845" t="s">
        <v>54</v>
      </c>
      <c r="C845" t="str">
        <f>_xlfn.XLOOKUP(B845,
[1]sales_teams!$A$2:$A$100,
[1]sales_teams!$B$2:$B$100)</f>
        <v>Celia Rouche</v>
      </c>
      <c r="D845" t="str">
        <f>_xlfn.XLOOKUP($B845,sales_teams!$A$2:$A$36,sales_teams!C$2:C$36)</f>
        <v>West</v>
      </c>
      <c r="E845" t="s">
        <v>39</v>
      </c>
      <c r="F845" t="s">
        <v>86</v>
      </c>
      <c r="G845" t="s">
        <v>12</v>
      </c>
      <c r="H845" s="1">
        <v>42778</v>
      </c>
      <c r="I845" s="1">
        <v>42899</v>
      </c>
      <c r="J845">
        <v>3807</v>
      </c>
    </row>
    <row r="846" spans="1:10" x14ac:dyDescent="0.3">
      <c r="A846" t="s">
        <v>977</v>
      </c>
      <c r="B846" t="s">
        <v>38</v>
      </c>
      <c r="C846" t="str">
        <f>_xlfn.XLOOKUP(B846,
[1]sales_teams!$A$2:$A$100,
[1]sales_teams!$B$2:$B$100)</f>
        <v>Summer Sewald</v>
      </c>
      <c r="D846" t="str">
        <f>_xlfn.XLOOKUP($B846,sales_teams!$A$2:$A$36,sales_teams!C$2:C$36)</f>
        <v>West</v>
      </c>
      <c r="E846" t="s">
        <v>20</v>
      </c>
      <c r="F846" t="s">
        <v>194</v>
      </c>
      <c r="G846" t="s">
        <v>40</v>
      </c>
      <c r="H846" s="1">
        <v>42778</v>
      </c>
    </row>
    <row r="847" spans="1:10" x14ac:dyDescent="0.3">
      <c r="A847" t="s">
        <v>978</v>
      </c>
      <c r="B847" t="s">
        <v>252</v>
      </c>
      <c r="C847" t="str">
        <f>_xlfn.XLOOKUP(B847,
[1]sales_teams!$A$2:$A$100,
[1]sales_teams!$B$2:$B$100)</f>
        <v>Melvin Marxen</v>
      </c>
      <c r="D847" t="str">
        <f>_xlfn.XLOOKUP($B847,sales_teams!$A$2:$A$36,sales_teams!C$2:C$36)</f>
        <v>Central</v>
      </c>
      <c r="E847" t="s">
        <v>20</v>
      </c>
      <c r="F847" t="s">
        <v>111</v>
      </c>
      <c r="G847" t="s">
        <v>12</v>
      </c>
      <c r="H847" s="1">
        <v>42778</v>
      </c>
      <c r="I847" s="1">
        <v>42876</v>
      </c>
      <c r="J847">
        <v>518</v>
      </c>
    </row>
    <row r="848" spans="1:10" x14ac:dyDescent="0.3">
      <c r="A848" t="s">
        <v>979</v>
      </c>
      <c r="B848" t="s">
        <v>78</v>
      </c>
      <c r="C848" t="str">
        <f>_xlfn.XLOOKUP(B848,
[1]sales_teams!$A$2:$A$100,
[1]sales_teams!$B$2:$B$100)</f>
        <v>Summer Sewald</v>
      </c>
      <c r="D848" t="str">
        <f>_xlfn.XLOOKUP($B848,sales_teams!$A$2:$A$36,sales_teams!C$2:C$36)</f>
        <v>West</v>
      </c>
      <c r="E848" t="s">
        <v>10</v>
      </c>
      <c r="F848" t="s">
        <v>174</v>
      </c>
      <c r="G848" t="s">
        <v>12</v>
      </c>
      <c r="H848" s="1">
        <v>42778</v>
      </c>
      <c r="I848" s="1">
        <v>42864</v>
      </c>
      <c r="J848">
        <v>1050</v>
      </c>
    </row>
    <row r="849" spans="1:10" x14ac:dyDescent="0.3">
      <c r="A849" t="s">
        <v>980</v>
      </c>
      <c r="B849" t="s">
        <v>51</v>
      </c>
      <c r="C849" t="str">
        <f>_xlfn.XLOOKUP(B849,
[1]sales_teams!$A$2:$A$100,
[1]sales_teams!$B$2:$B$100)</f>
        <v>Summer Sewald</v>
      </c>
      <c r="D849" t="str">
        <f>_xlfn.XLOOKUP($B849,sales_teams!$A$2:$A$36,sales_teams!C$2:C$36)</f>
        <v>West</v>
      </c>
      <c r="E849" t="s">
        <v>15</v>
      </c>
      <c r="F849" t="s">
        <v>159</v>
      </c>
      <c r="G849" t="s">
        <v>12</v>
      </c>
      <c r="H849" s="1">
        <v>42778</v>
      </c>
      <c r="I849" s="1">
        <v>42879</v>
      </c>
      <c r="J849">
        <v>4596</v>
      </c>
    </row>
    <row r="850" spans="1:10" x14ac:dyDescent="0.3">
      <c r="A850" t="s">
        <v>981</v>
      </c>
      <c r="B850" t="s">
        <v>57</v>
      </c>
      <c r="C850" t="str">
        <f>_xlfn.XLOOKUP(B850,
[1]sales_teams!$A$2:$A$100,
[1]sales_teams!$B$2:$B$100)</f>
        <v>Celia Rouche</v>
      </c>
      <c r="D850" t="str">
        <f>_xlfn.XLOOKUP($B850,sales_teams!$A$2:$A$36,sales_teams!C$2:C$36)</f>
        <v>West</v>
      </c>
      <c r="E850" t="s">
        <v>39</v>
      </c>
      <c r="F850" t="s">
        <v>33</v>
      </c>
      <c r="G850" t="s">
        <v>40</v>
      </c>
      <c r="H850" s="1">
        <v>42778</v>
      </c>
    </row>
    <row r="851" spans="1:10" x14ac:dyDescent="0.3">
      <c r="A851" t="s">
        <v>982</v>
      </c>
      <c r="B851" t="s">
        <v>73</v>
      </c>
      <c r="C851" t="str">
        <f>_xlfn.XLOOKUP(B851,
[1]sales_teams!$A$2:$A$100,
[1]sales_teams!$B$2:$B$100)</f>
        <v>Cara Losch</v>
      </c>
      <c r="D851" t="str">
        <f>_xlfn.XLOOKUP($B851,sales_teams!$A$2:$A$36,sales_teams!C$2:C$36)</f>
        <v>East</v>
      </c>
      <c r="E851" t="s">
        <v>18</v>
      </c>
      <c r="G851" t="s">
        <v>40</v>
      </c>
      <c r="H851" s="1">
        <v>42778</v>
      </c>
    </row>
    <row r="852" spans="1:10" x14ac:dyDescent="0.3">
      <c r="A852" t="s">
        <v>983</v>
      </c>
      <c r="B852" t="s">
        <v>23</v>
      </c>
      <c r="C852" t="str">
        <f>_xlfn.XLOOKUP(B852,
[1]sales_teams!$A$2:$A$100,
[1]sales_teams!$B$2:$B$100)</f>
        <v>Summer Sewald</v>
      </c>
      <c r="D852" t="str">
        <f>_xlfn.XLOOKUP($B852,sales_teams!$A$2:$A$36,sales_teams!C$2:C$36)</f>
        <v>West</v>
      </c>
      <c r="E852" t="s">
        <v>20</v>
      </c>
      <c r="F852" t="s">
        <v>159</v>
      </c>
      <c r="G852" t="s">
        <v>12</v>
      </c>
      <c r="H852" s="1">
        <v>42778</v>
      </c>
      <c r="I852" s="1">
        <v>42860</v>
      </c>
      <c r="J852">
        <v>618</v>
      </c>
    </row>
    <row r="853" spans="1:10" x14ac:dyDescent="0.3">
      <c r="A853" t="s">
        <v>984</v>
      </c>
      <c r="B853" t="s">
        <v>23</v>
      </c>
      <c r="C853" t="str">
        <f>_xlfn.XLOOKUP(B853,
[1]sales_teams!$A$2:$A$100,
[1]sales_teams!$B$2:$B$100)</f>
        <v>Summer Sewald</v>
      </c>
      <c r="D853" t="str">
        <f>_xlfn.XLOOKUP($B853,sales_teams!$A$2:$A$36,sales_teams!C$2:C$36)</f>
        <v>West</v>
      </c>
      <c r="E853" t="s">
        <v>39</v>
      </c>
      <c r="F853" t="s">
        <v>273</v>
      </c>
      <c r="G853" t="s">
        <v>12</v>
      </c>
      <c r="H853" s="1">
        <v>42778</v>
      </c>
      <c r="I853" s="1">
        <v>42857</v>
      </c>
      <c r="J853">
        <v>3460</v>
      </c>
    </row>
    <row r="854" spans="1:10" x14ac:dyDescent="0.3">
      <c r="A854" t="s">
        <v>985</v>
      </c>
      <c r="B854" t="s">
        <v>64</v>
      </c>
      <c r="C854" t="str">
        <f>_xlfn.XLOOKUP(B854,
[1]sales_teams!$A$2:$A$100,
[1]sales_teams!$B$2:$B$100)</f>
        <v>Rocco Neubert</v>
      </c>
      <c r="D854" t="str">
        <f>_xlfn.XLOOKUP($B854,sales_teams!$A$2:$A$36,sales_teams!C$2:C$36)</f>
        <v>East</v>
      </c>
      <c r="E854" t="s">
        <v>48</v>
      </c>
      <c r="F854" t="s">
        <v>177</v>
      </c>
      <c r="G854" t="s">
        <v>12</v>
      </c>
      <c r="H854" s="1">
        <v>42779</v>
      </c>
      <c r="I854" s="1">
        <v>42876</v>
      </c>
      <c r="J854">
        <v>5751</v>
      </c>
    </row>
    <row r="855" spans="1:10" x14ac:dyDescent="0.3">
      <c r="A855" t="s">
        <v>986</v>
      </c>
      <c r="B855" t="s">
        <v>14</v>
      </c>
      <c r="C855" t="str">
        <f>_xlfn.XLOOKUP(B855,
[1]sales_teams!$A$2:$A$100,
[1]sales_teams!$B$2:$B$100)</f>
        <v>Melvin Marxen</v>
      </c>
      <c r="D855" t="str">
        <f>_xlfn.XLOOKUP($B855,sales_teams!$A$2:$A$36,sales_teams!C$2:C$36)</f>
        <v>Central</v>
      </c>
      <c r="E855" t="s">
        <v>48</v>
      </c>
      <c r="F855" t="s">
        <v>113</v>
      </c>
      <c r="G855" t="s">
        <v>12</v>
      </c>
      <c r="H855" s="1">
        <v>42779</v>
      </c>
      <c r="I855" s="1">
        <v>42883</v>
      </c>
      <c r="J855">
        <v>5639</v>
      </c>
    </row>
    <row r="856" spans="1:10" x14ac:dyDescent="0.3">
      <c r="A856" t="s">
        <v>987</v>
      </c>
      <c r="B856" t="s">
        <v>142</v>
      </c>
      <c r="C856" t="str">
        <f>_xlfn.XLOOKUP(B856,
[1]sales_teams!$A$2:$A$100,
[1]sales_teams!$B$2:$B$100)</f>
        <v>Rocco Neubert</v>
      </c>
      <c r="D856" t="str">
        <f>_xlfn.XLOOKUP($B856,sales_teams!$A$2:$A$36,sales_teams!C$2:C$36)</f>
        <v>East</v>
      </c>
      <c r="E856" t="s">
        <v>48</v>
      </c>
      <c r="F856" t="s">
        <v>165</v>
      </c>
      <c r="G856" t="s">
        <v>46</v>
      </c>
      <c r="H856" s="1">
        <v>42779</v>
      </c>
      <c r="I856" s="1">
        <v>42888</v>
      </c>
      <c r="J856">
        <v>0</v>
      </c>
    </row>
    <row r="857" spans="1:10" x14ac:dyDescent="0.3">
      <c r="A857" t="s">
        <v>988</v>
      </c>
      <c r="B857" t="s">
        <v>105</v>
      </c>
      <c r="C857" t="str">
        <f>_xlfn.XLOOKUP(B857,
[1]sales_teams!$A$2:$A$100,
[1]sales_teams!$B$2:$B$100)</f>
        <v>Cara Losch</v>
      </c>
      <c r="D857" t="str">
        <f>_xlfn.XLOOKUP($B857,sales_teams!$A$2:$A$36,sales_teams!C$2:C$36)</f>
        <v>East</v>
      </c>
      <c r="E857" t="s">
        <v>48</v>
      </c>
      <c r="F857" t="s">
        <v>373</v>
      </c>
      <c r="G857" t="s">
        <v>12</v>
      </c>
      <c r="H857" s="1">
        <v>42779</v>
      </c>
      <c r="I857" s="1">
        <v>42873</v>
      </c>
      <c r="J857">
        <v>4766</v>
      </c>
    </row>
    <row r="858" spans="1:10" x14ac:dyDescent="0.3">
      <c r="A858" t="s">
        <v>989</v>
      </c>
      <c r="B858" t="s">
        <v>54</v>
      </c>
      <c r="C858" t="str">
        <f>_xlfn.XLOOKUP(B858,
[1]sales_teams!$A$2:$A$100,
[1]sales_teams!$B$2:$B$100)</f>
        <v>Celia Rouche</v>
      </c>
      <c r="D858" t="str">
        <f>_xlfn.XLOOKUP($B858,sales_teams!$A$2:$A$36,sales_teams!C$2:C$36)</f>
        <v>West</v>
      </c>
      <c r="E858" t="s">
        <v>39</v>
      </c>
      <c r="F858" t="s">
        <v>140</v>
      </c>
      <c r="G858" t="s">
        <v>40</v>
      </c>
      <c r="H858" s="1">
        <v>42779</v>
      </c>
    </row>
    <row r="859" spans="1:10" x14ac:dyDescent="0.3">
      <c r="A859" t="s">
        <v>990</v>
      </c>
      <c r="B859" t="s">
        <v>78</v>
      </c>
      <c r="C859" t="str">
        <f>_xlfn.XLOOKUP(B859,
[1]sales_teams!$A$2:$A$100,
[1]sales_teams!$B$2:$B$100)</f>
        <v>Summer Sewald</v>
      </c>
      <c r="D859" t="str">
        <f>_xlfn.XLOOKUP($B859,sales_teams!$A$2:$A$36,sales_teams!C$2:C$36)</f>
        <v>West</v>
      </c>
      <c r="E859" t="s">
        <v>10</v>
      </c>
      <c r="F859" t="s">
        <v>59</v>
      </c>
      <c r="G859" t="s">
        <v>46</v>
      </c>
      <c r="H859" s="1">
        <v>42779</v>
      </c>
      <c r="I859" s="1">
        <v>42864</v>
      </c>
      <c r="J859">
        <v>0</v>
      </c>
    </row>
    <row r="860" spans="1:10" x14ac:dyDescent="0.3">
      <c r="A860" t="s">
        <v>991</v>
      </c>
      <c r="B860" t="s">
        <v>95</v>
      </c>
      <c r="C860" t="str">
        <f>_xlfn.XLOOKUP(B860,
[1]sales_teams!$A$2:$A$100,
[1]sales_teams!$B$2:$B$100)</f>
        <v>Summer Sewald</v>
      </c>
      <c r="D860" t="str">
        <f>_xlfn.XLOOKUP($B860,sales_teams!$A$2:$A$36,sales_teams!C$2:C$36)</f>
        <v>West</v>
      </c>
      <c r="E860" t="s">
        <v>20</v>
      </c>
      <c r="F860" t="s">
        <v>273</v>
      </c>
      <c r="G860" t="s">
        <v>12</v>
      </c>
      <c r="H860" s="1">
        <v>42779</v>
      </c>
      <c r="I860" s="1">
        <v>42866</v>
      </c>
      <c r="J860">
        <v>589</v>
      </c>
    </row>
    <row r="861" spans="1:10" x14ac:dyDescent="0.3">
      <c r="A861" t="s">
        <v>992</v>
      </c>
      <c r="B861" t="s">
        <v>116</v>
      </c>
      <c r="C861" t="str">
        <f>_xlfn.XLOOKUP(B861,
[1]sales_teams!$A$2:$A$100,
[1]sales_teams!$B$2:$B$100)</f>
        <v>Melvin Marxen</v>
      </c>
      <c r="D861" t="str">
        <f>_xlfn.XLOOKUP($B861,sales_teams!$A$2:$A$36,sales_teams!C$2:C$36)</f>
        <v>Central</v>
      </c>
      <c r="E861" t="s">
        <v>48</v>
      </c>
      <c r="F861" t="s">
        <v>129</v>
      </c>
      <c r="G861" t="s">
        <v>46</v>
      </c>
      <c r="H861" s="1">
        <v>42779</v>
      </c>
      <c r="I861" s="1">
        <v>42886</v>
      </c>
      <c r="J861">
        <v>0</v>
      </c>
    </row>
    <row r="862" spans="1:10" x14ac:dyDescent="0.3">
      <c r="A862" t="s">
        <v>993</v>
      </c>
      <c r="B862" t="s">
        <v>9</v>
      </c>
      <c r="C862" t="str">
        <f>_xlfn.XLOOKUP(B862,
[1]sales_teams!$A$2:$A$100,
[1]sales_teams!$B$2:$B$100)</f>
        <v>Dustin Brinkmann</v>
      </c>
      <c r="D862" t="str">
        <f>_xlfn.XLOOKUP($B862,sales_teams!$A$2:$A$36,sales_teams!C$2:C$36)</f>
        <v>Central</v>
      </c>
      <c r="E862" t="s">
        <v>20</v>
      </c>
      <c r="F862" t="s">
        <v>315</v>
      </c>
      <c r="G862" t="s">
        <v>46</v>
      </c>
      <c r="H862" s="1">
        <v>42779</v>
      </c>
      <c r="I862" s="1">
        <v>42871</v>
      </c>
      <c r="J862">
        <v>0</v>
      </c>
    </row>
    <row r="863" spans="1:10" x14ac:dyDescent="0.3">
      <c r="A863" t="s">
        <v>994</v>
      </c>
      <c r="B863" t="s">
        <v>29</v>
      </c>
      <c r="C863" t="str">
        <f>_xlfn.XLOOKUP(B863,
[1]sales_teams!$A$2:$A$100,
[1]sales_teams!$B$2:$B$100)</f>
        <v>Celia Rouche</v>
      </c>
      <c r="D863" t="str">
        <f>_xlfn.XLOOKUP($B863,sales_teams!$A$2:$A$36,sales_teams!C$2:C$36)</f>
        <v>West</v>
      </c>
      <c r="E863" t="s">
        <v>15</v>
      </c>
      <c r="F863" t="s">
        <v>194</v>
      </c>
      <c r="G863" t="s">
        <v>40</v>
      </c>
      <c r="H863" s="1">
        <v>42779</v>
      </c>
    </row>
    <row r="864" spans="1:10" x14ac:dyDescent="0.3">
      <c r="A864" t="s">
        <v>995</v>
      </c>
      <c r="B864" t="s">
        <v>73</v>
      </c>
      <c r="C864" t="str">
        <f>_xlfn.XLOOKUP(B864,
[1]sales_teams!$A$2:$A$100,
[1]sales_teams!$B$2:$B$100)</f>
        <v>Cara Losch</v>
      </c>
      <c r="D864" t="str">
        <f>_xlfn.XLOOKUP($B864,sales_teams!$A$2:$A$36,sales_teams!C$2:C$36)</f>
        <v>East</v>
      </c>
      <c r="E864" t="s">
        <v>20</v>
      </c>
      <c r="G864" t="s">
        <v>40</v>
      </c>
      <c r="H864" s="1">
        <v>42779</v>
      </c>
    </row>
    <row r="865" spans="1:10" x14ac:dyDescent="0.3">
      <c r="A865" t="s">
        <v>996</v>
      </c>
      <c r="B865" t="s">
        <v>73</v>
      </c>
      <c r="C865" t="str">
        <f>_xlfn.XLOOKUP(B865,
[1]sales_teams!$A$2:$A$100,
[1]sales_teams!$B$2:$B$100)</f>
        <v>Cara Losch</v>
      </c>
      <c r="D865" t="str">
        <f>_xlfn.XLOOKUP($B865,sales_teams!$A$2:$A$36,sales_teams!C$2:C$36)</f>
        <v>East</v>
      </c>
      <c r="E865" t="s">
        <v>20</v>
      </c>
      <c r="F865" t="s">
        <v>222</v>
      </c>
      <c r="G865" t="s">
        <v>12</v>
      </c>
      <c r="H865" s="1">
        <v>42779</v>
      </c>
      <c r="I865" s="1">
        <v>42873</v>
      </c>
      <c r="J865">
        <v>533</v>
      </c>
    </row>
    <row r="866" spans="1:10" x14ac:dyDescent="0.3">
      <c r="A866" t="s">
        <v>997</v>
      </c>
      <c r="B866" t="s">
        <v>26</v>
      </c>
      <c r="C866" t="str">
        <f>_xlfn.XLOOKUP(B866,
[1]sales_teams!$A$2:$A$100,
[1]sales_teams!$B$2:$B$100)</f>
        <v>Dustin Brinkmann</v>
      </c>
      <c r="D866" t="str">
        <f>_xlfn.XLOOKUP($B866,sales_teams!$A$2:$A$36,sales_teams!C$2:C$36)</f>
        <v>Central</v>
      </c>
      <c r="E866" t="s">
        <v>20</v>
      </c>
      <c r="F866" t="s">
        <v>120</v>
      </c>
      <c r="G866" t="s">
        <v>46</v>
      </c>
      <c r="H866" s="1">
        <v>42780</v>
      </c>
      <c r="I866" s="1">
        <v>42860</v>
      </c>
      <c r="J866">
        <v>0</v>
      </c>
    </row>
    <row r="867" spans="1:10" x14ac:dyDescent="0.3">
      <c r="A867" t="s">
        <v>998</v>
      </c>
      <c r="B867" t="s">
        <v>26</v>
      </c>
      <c r="C867" t="str">
        <f>_xlfn.XLOOKUP(B867,
[1]sales_teams!$A$2:$A$100,
[1]sales_teams!$B$2:$B$100)</f>
        <v>Dustin Brinkmann</v>
      </c>
      <c r="D867" t="str">
        <f>_xlfn.XLOOKUP($B867,sales_teams!$A$2:$A$36,sales_teams!C$2:C$36)</f>
        <v>Central</v>
      </c>
      <c r="E867" t="s">
        <v>18</v>
      </c>
      <c r="F867" t="s">
        <v>207</v>
      </c>
      <c r="G867" t="s">
        <v>12</v>
      </c>
      <c r="H867" s="1">
        <v>42780</v>
      </c>
      <c r="I867" s="1">
        <v>42885</v>
      </c>
      <c r="J867">
        <v>63</v>
      </c>
    </row>
    <row r="868" spans="1:10" x14ac:dyDescent="0.3">
      <c r="A868" t="s">
        <v>999</v>
      </c>
      <c r="B868" t="s">
        <v>118</v>
      </c>
      <c r="C868" t="str">
        <f>_xlfn.XLOOKUP(B868,
[1]sales_teams!$A$2:$A$100,
[1]sales_teams!$B$2:$B$100)</f>
        <v>Rocco Neubert</v>
      </c>
      <c r="D868" t="str">
        <f>_xlfn.XLOOKUP($B868,sales_teams!$A$2:$A$36,sales_teams!C$2:C$36)</f>
        <v>East</v>
      </c>
      <c r="E868" t="s">
        <v>15</v>
      </c>
      <c r="F868" t="s">
        <v>165</v>
      </c>
      <c r="G868" t="s">
        <v>12</v>
      </c>
      <c r="H868" s="1">
        <v>42780</v>
      </c>
      <c r="I868" s="1">
        <v>42863</v>
      </c>
      <c r="J868">
        <v>4942</v>
      </c>
    </row>
    <row r="869" spans="1:10" x14ac:dyDescent="0.3">
      <c r="A869" t="s">
        <v>1000</v>
      </c>
      <c r="B869" t="s">
        <v>14</v>
      </c>
      <c r="C869" t="str">
        <f>_xlfn.XLOOKUP(B869,
[1]sales_teams!$A$2:$A$100,
[1]sales_teams!$B$2:$B$100)</f>
        <v>Melvin Marxen</v>
      </c>
      <c r="D869" t="str">
        <f>_xlfn.XLOOKUP($B869,sales_teams!$A$2:$A$36,sales_teams!C$2:C$36)</f>
        <v>Central</v>
      </c>
      <c r="E869" t="s">
        <v>15</v>
      </c>
      <c r="F869" t="s">
        <v>91</v>
      </c>
      <c r="G869" t="s">
        <v>12</v>
      </c>
      <c r="H869" s="1">
        <v>42780</v>
      </c>
      <c r="I869" s="1">
        <v>42898</v>
      </c>
      <c r="J869">
        <v>4650</v>
      </c>
    </row>
    <row r="870" spans="1:10" x14ac:dyDescent="0.3">
      <c r="A870" t="s">
        <v>1001</v>
      </c>
      <c r="B870" t="s">
        <v>14</v>
      </c>
      <c r="C870" t="str">
        <f>_xlfn.XLOOKUP(B870,
[1]sales_teams!$A$2:$A$100,
[1]sales_teams!$B$2:$B$100)</f>
        <v>Melvin Marxen</v>
      </c>
      <c r="D870" t="str">
        <f>_xlfn.XLOOKUP($B870,sales_teams!$A$2:$A$36,sales_teams!C$2:C$36)</f>
        <v>Central</v>
      </c>
      <c r="E870" t="s">
        <v>15</v>
      </c>
      <c r="F870" t="s">
        <v>113</v>
      </c>
      <c r="G870" t="s">
        <v>12</v>
      </c>
      <c r="H870" s="1">
        <v>42780</v>
      </c>
      <c r="I870" s="1">
        <v>42902</v>
      </c>
      <c r="J870">
        <v>4829</v>
      </c>
    </row>
    <row r="871" spans="1:10" x14ac:dyDescent="0.3">
      <c r="A871" t="s">
        <v>1002</v>
      </c>
      <c r="B871" t="s">
        <v>142</v>
      </c>
      <c r="C871" t="str">
        <f>_xlfn.XLOOKUP(B871,
[1]sales_teams!$A$2:$A$100,
[1]sales_teams!$B$2:$B$100)</f>
        <v>Rocco Neubert</v>
      </c>
      <c r="D871" t="str">
        <f>_xlfn.XLOOKUP($B871,sales_teams!$A$2:$A$36,sales_teams!C$2:C$36)</f>
        <v>East</v>
      </c>
      <c r="E871" t="s">
        <v>10</v>
      </c>
      <c r="F871" t="s">
        <v>204</v>
      </c>
      <c r="G871" t="s">
        <v>12</v>
      </c>
      <c r="H871" s="1">
        <v>42780</v>
      </c>
      <c r="I871" s="1">
        <v>42884</v>
      </c>
      <c r="J871">
        <v>987</v>
      </c>
    </row>
    <row r="872" spans="1:10" x14ac:dyDescent="0.3">
      <c r="A872" t="s">
        <v>1003</v>
      </c>
      <c r="B872" t="s">
        <v>142</v>
      </c>
      <c r="C872" t="str">
        <f>_xlfn.XLOOKUP(B872,
[1]sales_teams!$A$2:$A$100,
[1]sales_teams!$B$2:$B$100)</f>
        <v>Rocco Neubert</v>
      </c>
      <c r="D872" t="str">
        <f>_xlfn.XLOOKUP($B872,sales_teams!$A$2:$A$36,sales_teams!C$2:C$36)</f>
        <v>East</v>
      </c>
      <c r="E872" t="s">
        <v>48</v>
      </c>
      <c r="F872" t="s">
        <v>237</v>
      </c>
      <c r="G872" t="s">
        <v>12</v>
      </c>
      <c r="H872" s="1">
        <v>42780</v>
      </c>
      <c r="I872" s="1">
        <v>42796</v>
      </c>
      <c r="J872">
        <v>4246</v>
      </c>
    </row>
    <row r="873" spans="1:10" x14ac:dyDescent="0.3">
      <c r="A873" t="s">
        <v>1004</v>
      </c>
      <c r="B873" t="s">
        <v>142</v>
      </c>
      <c r="C873" t="str">
        <f>_xlfn.XLOOKUP(B873,
[1]sales_teams!$A$2:$A$100,
[1]sales_teams!$B$2:$B$100)</f>
        <v>Rocco Neubert</v>
      </c>
      <c r="D873" t="str">
        <f>_xlfn.XLOOKUP($B873,sales_teams!$A$2:$A$36,sales_teams!C$2:C$36)</f>
        <v>East</v>
      </c>
      <c r="E873" t="s">
        <v>48</v>
      </c>
      <c r="F873" t="s">
        <v>518</v>
      </c>
      <c r="G873" t="s">
        <v>12</v>
      </c>
      <c r="H873" s="1">
        <v>42780</v>
      </c>
      <c r="I873" s="1">
        <v>42861</v>
      </c>
      <c r="J873">
        <v>5702</v>
      </c>
    </row>
    <row r="874" spans="1:10" x14ac:dyDescent="0.3">
      <c r="A874" t="s">
        <v>1005</v>
      </c>
      <c r="B874" t="s">
        <v>142</v>
      </c>
      <c r="C874" t="str">
        <f>_xlfn.XLOOKUP(B874,
[1]sales_teams!$A$2:$A$100,
[1]sales_teams!$B$2:$B$100)</f>
        <v>Rocco Neubert</v>
      </c>
      <c r="D874" t="str">
        <f>_xlfn.XLOOKUP($B874,sales_teams!$A$2:$A$36,sales_teams!C$2:C$36)</f>
        <v>East</v>
      </c>
      <c r="E874" t="s">
        <v>39</v>
      </c>
      <c r="F874" t="s">
        <v>143</v>
      </c>
      <c r="G874" t="s">
        <v>12</v>
      </c>
      <c r="H874" s="1">
        <v>42780</v>
      </c>
      <c r="I874" s="1">
        <v>42900</v>
      </c>
      <c r="J874">
        <v>2981</v>
      </c>
    </row>
    <row r="875" spans="1:10" x14ac:dyDescent="0.3">
      <c r="A875" t="s">
        <v>1006</v>
      </c>
      <c r="B875" t="s">
        <v>44</v>
      </c>
      <c r="C875" t="str">
        <f>_xlfn.XLOOKUP(B875,
[1]sales_teams!$A$2:$A$100,
[1]sales_teams!$B$2:$B$100)</f>
        <v>Melvin Marxen</v>
      </c>
      <c r="D875" t="str">
        <f>_xlfn.XLOOKUP($B875,sales_teams!$A$2:$A$36,sales_teams!C$2:C$36)</f>
        <v>Central</v>
      </c>
      <c r="E875" t="s">
        <v>39</v>
      </c>
      <c r="F875" t="s">
        <v>315</v>
      </c>
      <c r="G875" t="s">
        <v>46</v>
      </c>
      <c r="H875" s="1">
        <v>42780</v>
      </c>
      <c r="I875" s="1">
        <v>42868</v>
      </c>
      <c r="J875">
        <v>0</v>
      </c>
    </row>
    <row r="876" spans="1:10" x14ac:dyDescent="0.3">
      <c r="A876" t="s">
        <v>1007</v>
      </c>
      <c r="B876" t="s">
        <v>54</v>
      </c>
      <c r="C876" t="str">
        <f>_xlfn.XLOOKUP(B876,
[1]sales_teams!$A$2:$A$100,
[1]sales_teams!$B$2:$B$100)</f>
        <v>Celia Rouche</v>
      </c>
      <c r="D876" t="str">
        <f>_xlfn.XLOOKUP($B876,sales_teams!$A$2:$A$36,sales_teams!C$2:C$36)</f>
        <v>West</v>
      </c>
      <c r="E876" t="s">
        <v>39</v>
      </c>
      <c r="F876" t="s">
        <v>199</v>
      </c>
      <c r="G876" t="s">
        <v>12</v>
      </c>
      <c r="H876" s="1">
        <v>42780</v>
      </c>
      <c r="I876" s="1">
        <v>42856</v>
      </c>
      <c r="J876">
        <v>2873</v>
      </c>
    </row>
    <row r="877" spans="1:10" x14ac:dyDescent="0.3">
      <c r="A877" t="s">
        <v>1008</v>
      </c>
      <c r="B877" t="s">
        <v>252</v>
      </c>
      <c r="C877" t="str">
        <f>_xlfn.XLOOKUP(B877,
[1]sales_teams!$A$2:$A$100,
[1]sales_teams!$B$2:$B$100)</f>
        <v>Melvin Marxen</v>
      </c>
      <c r="D877" t="str">
        <f>_xlfn.XLOOKUP($B877,sales_teams!$A$2:$A$36,sales_teams!C$2:C$36)</f>
        <v>Central</v>
      </c>
      <c r="E877" t="s">
        <v>39</v>
      </c>
      <c r="F877" t="s">
        <v>62</v>
      </c>
      <c r="G877" t="s">
        <v>46</v>
      </c>
      <c r="H877" s="1">
        <v>42780</v>
      </c>
      <c r="I877" s="1">
        <v>42866</v>
      </c>
      <c r="J877">
        <v>0</v>
      </c>
    </row>
    <row r="878" spans="1:10" x14ac:dyDescent="0.3">
      <c r="A878" t="s">
        <v>1009</v>
      </c>
      <c r="B878" t="s">
        <v>32</v>
      </c>
      <c r="C878" t="str">
        <f>_xlfn.XLOOKUP(B878,
[1]sales_teams!$A$2:$A$100,
[1]sales_teams!$B$2:$B$100)</f>
        <v>Celia Rouche</v>
      </c>
      <c r="D878" t="str">
        <f>_xlfn.XLOOKUP($B878,sales_teams!$A$2:$A$36,sales_teams!C$2:C$36)</f>
        <v>West</v>
      </c>
      <c r="E878" t="s">
        <v>145</v>
      </c>
      <c r="F878" t="s">
        <v>74</v>
      </c>
      <c r="G878" t="s">
        <v>40</v>
      </c>
      <c r="H878" s="1">
        <v>42780</v>
      </c>
    </row>
    <row r="879" spans="1:10" x14ac:dyDescent="0.3">
      <c r="A879" t="s">
        <v>1010</v>
      </c>
      <c r="B879" t="s">
        <v>32</v>
      </c>
      <c r="C879" t="str">
        <f>_xlfn.XLOOKUP(B879,
[1]sales_teams!$A$2:$A$100,
[1]sales_teams!$B$2:$B$100)</f>
        <v>Celia Rouche</v>
      </c>
      <c r="D879" t="str">
        <f>_xlfn.XLOOKUP($B879,sales_teams!$A$2:$A$36,sales_teams!C$2:C$36)</f>
        <v>West</v>
      </c>
      <c r="E879" t="s">
        <v>39</v>
      </c>
      <c r="F879" t="s">
        <v>42</v>
      </c>
      <c r="G879" t="s">
        <v>40</v>
      </c>
      <c r="H879" s="1">
        <v>42780</v>
      </c>
    </row>
    <row r="880" spans="1:10" x14ac:dyDescent="0.3">
      <c r="A880" t="s">
        <v>1011</v>
      </c>
      <c r="B880" t="s">
        <v>88</v>
      </c>
      <c r="C880" t="str">
        <f>_xlfn.XLOOKUP(B880,
[1]sales_teams!$A$2:$A$100,
[1]sales_teams!$B$2:$B$100)</f>
        <v>Cara Losch</v>
      </c>
      <c r="D880" t="str">
        <f>_xlfn.XLOOKUP($B880,sales_teams!$A$2:$A$36,sales_teams!C$2:C$36)</f>
        <v>East</v>
      </c>
      <c r="E880" t="s">
        <v>18</v>
      </c>
      <c r="F880" t="s">
        <v>103</v>
      </c>
      <c r="G880" t="s">
        <v>46</v>
      </c>
      <c r="H880" s="1">
        <v>42780</v>
      </c>
      <c r="I880" s="1">
        <v>42862</v>
      </c>
      <c r="J880">
        <v>0</v>
      </c>
    </row>
    <row r="881" spans="1:10" x14ac:dyDescent="0.3">
      <c r="A881" t="s">
        <v>1012</v>
      </c>
      <c r="B881" t="s">
        <v>61</v>
      </c>
      <c r="C881" t="str">
        <f>_xlfn.XLOOKUP(B881,
[1]sales_teams!$A$2:$A$100,
[1]sales_teams!$B$2:$B$100)</f>
        <v>Dustin Brinkmann</v>
      </c>
      <c r="D881" t="str">
        <f>_xlfn.XLOOKUP($B881,sales_teams!$A$2:$A$36,sales_teams!C$2:C$36)</f>
        <v>Central</v>
      </c>
      <c r="E881" t="s">
        <v>20</v>
      </c>
      <c r="F881" t="s">
        <v>109</v>
      </c>
      <c r="G881" t="s">
        <v>12</v>
      </c>
      <c r="H881" s="1">
        <v>42780</v>
      </c>
      <c r="I881" s="1">
        <v>42889</v>
      </c>
      <c r="J881">
        <v>528</v>
      </c>
    </row>
    <row r="882" spans="1:10" x14ac:dyDescent="0.3">
      <c r="A882" t="s">
        <v>1013</v>
      </c>
      <c r="B882" t="s">
        <v>61</v>
      </c>
      <c r="C882" t="str">
        <f>_xlfn.XLOOKUP(B882,
[1]sales_teams!$A$2:$A$100,
[1]sales_teams!$B$2:$B$100)</f>
        <v>Dustin Brinkmann</v>
      </c>
      <c r="D882" t="str">
        <f>_xlfn.XLOOKUP($B882,sales_teams!$A$2:$A$36,sales_teams!C$2:C$36)</f>
        <v>Central</v>
      </c>
      <c r="E882" t="s">
        <v>10</v>
      </c>
      <c r="F882" t="s">
        <v>231</v>
      </c>
      <c r="G882" t="s">
        <v>12</v>
      </c>
      <c r="H882" s="1">
        <v>42780</v>
      </c>
      <c r="I882" s="1">
        <v>42904</v>
      </c>
      <c r="J882">
        <v>1199</v>
      </c>
    </row>
    <row r="883" spans="1:10" x14ac:dyDescent="0.3">
      <c r="A883" t="s">
        <v>1014</v>
      </c>
      <c r="B883" t="s">
        <v>23</v>
      </c>
      <c r="C883" t="str">
        <f>_xlfn.XLOOKUP(B883,
[1]sales_teams!$A$2:$A$100,
[1]sales_teams!$B$2:$B$100)</f>
        <v>Summer Sewald</v>
      </c>
      <c r="D883" t="str">
        <f>_xlfn.XLOOKUP($B883,sales_teams!$A$2:$A$36,sales_teams!C$2:C$36)</f>
        <v>West</v>
      </c>
      <c r="E883" t="s">
        <v>15</v>
      </c>
      <c r="F883" t="s">
        <v>79</v>
      </c>
      <c r="G883" t="s">
        <v>46</v>
      </c>
      <c r="H883" s="1">
        <v>42780</v>
      </c>
      <c r="I883" s="1">
        <v>42795</v>
      </c>
      <c r="J883">
        <v>0</v>
      </c>
    </row>
    <row r="884" spans="1:10" x14ac:dyDescent="0.3">
      <c r="A884" t="s">
        <v>1015</v>
      </c>
      <c r="B884" t="s">
        <v>26</v>
      </c>
      <c r="C884" t="str">
        <f>_xlfn.XLOOKUP(B884,
[1]sales_teams!$A$2:$A$100,
[1]sales_teams!$B$2:$B$100)</f>
        <v>Dustin Brinkmann</v>
      </c>
      <c r="D884" t="str">
        <f>_xlfn.XLOOKUP($B884,sales_teams!$A$2:$A$36,sales_teams!C$2:C$36)</f>
        <v>Central</v>
      </c>
      <c r="E884" t="s">
        <v>20</v>
      </c>
      <c r="F884" t="s">
        <v>492</v>
      </c>
      <c r="G884" t="s">
        <v>46</v>
      </c>
      <c r="H884" s="1">
        <v>42781</v>
      </c>
      <c r="I884" s="1">
        <v>42868</v>
      </c>
      <c r="J884">
        <v>0</v>
      </c>
    </row>
    <row r="885" spans="1:10" x14ac:dyDescent="0.3">
      <c r="A885" t="s">
        <v>1016</v>
      </c>
      <c r="B885" t="s">
        <v>164</v>
      </c>
      <c r="C885" t="str">
        <f>_xlfn.XLOOKUP(B885,
[1]sales_teams!$A$2:$A$100,
[1]sales_teams!$B$2:$B$100)</f>
        <v>Cara Losch</v>
      </c>
      <c r="D885" t="str">
        <f>_xlfn.XLOOKUP($B885,sales_teams!$A$2:$A$36,sales_teams!C$2:C$36)</f>
        <v>East</v>
      </c>
      <c r="E885" t="s">
        <v>48</v>
      </c>
      <c r="G885" t="s">
        <v>40</v>
      </c>
      <c r="H885" s="1">
        <v>42781</v>
      </c>
    </row>
    <row r="886" spans="1:10" x14ac:dyDescent="0.3">
      <c r="A886" t="s">
        <v>1017</v>
      </c>
      <c r="B886" t="s">
        <v>14</v>
      </c>
      <c r="C886" t="str">
        <f>_xlfn.XLOOKUP(B886,
[1]sales_teams!$A$2:$A$100,
[1]sales_teams!$B$2:$B$100)</f>
        <v>Melvin Marxen</v>
      </c>
      <c r="D886" t="str">
        <f>_xlfn.XLOOKUP($B886,sales_teams!$A$2:$A$36,sales_teams!C$2:C$36)</f>
        <v>Central</v>
      </c>
      <c r="E886" t="s">
        <v>48</v>
      </c>
      <c r="F886" t="s">
        <v>492</v>
      </c>
      <c r="G886" t="s">
        <v>46</v>
      </c>
      <c r="H886" s="1">
        <v>42781</v>
      </c>
      <c r="I886" s="1">
        <v>42863</v>
      </c>
      <c r="J886">
        <v>0</v>
      </c>
    </row>
    <row r="887" spans="1:10" x14ac:dyDescent="0.3">
      <c r="A887" t="s">
        <v>1018</v>
      </c>
      <c r="B887" t="s">
        <v>105</v>
      </c>
      <c r="C887" t="str">
        <f>_xlfn.XLOOKUP(B887,
[1]sales_teams!$A$2:$A$100,
[1]sales_teams!$B$2:$B$100)</f>
        <v>Cara Losch</v>
      </c>
      <c r="D887" t="str">
        <f>_xlfn.XLOOKUP($B887,sales_teams!$A$2:$A$36,sales_teams!C$2:C$36)</f>
        <v>East</v>
      </c>
      <c r="E887" t="s">
        <v>20</v>
      </c>
      <c r="F887" t="s">
        <v>745</v>
      </c>
      <c r="G887" t="s">
        <v>46</v>
      </c>
      <c r="H887" s="1">
        <v>42781</v>
      </c>
      <c r="I887" s="1">
        <v>42817</v>
      </c>
      <c r="J887">
        <v>0</v>
      </c>
    </row>
    <row r="888" spans="1:10" x14ac:dyDescent="0.3">
      <c r="A888" t="s">
        <v>1019</v>
      </c>
      <c r="B888" t="s">
        <v>105</v>
      </c>
      <c r="C888" t="str">
        <f>_xlfn.XLOOKUP(B888,
[1]sales_teams!$A$2:$A$100,
[1]sales_teams!$B$2:$B$100)</f>
        <v>Cara Losch</v>
      </c>
      <c r="D888" t="str">
        <f>_xlfn.XLOOKUP($B888,sales_teams!$A$2:$A$36,sales_teams!C$2:C$36)</f>
        <v>East</v>
      </c>
      <c r="E888" t="s">
        <v>48</v>
      </c>
      <c r="F888" t="s">
        <v>177</v>
      </c>
      <c r="G888" t="s">
        <v>46</v>
      </c>
      <c r="H888" s="1">
        <v>42781</v>
      </c>
      <c r="I888" s="1">
        <v>42798</v>
      </c>
      <c r="J888">
        <v>0</v>
      </c>
    </row>
    <row r="889" spans="1:10" x14ac:dyDescent="0.3">
      <c r="A889" t="s">
        <v>1020</v>
      </c>
      <c r="B889" t="s">
        <v>105</v>
      </c>
      <c r="C889" t="str">
        <f>_xlfn.XLOOKUP(B889,
[1]sales_teams!$A$2:$A$100,
[1]sales_teams!$B$2:$B$100)</f>
        <v>Cara Losch</v>
      </c>
      <c r="D889" t="str">
        <f>_xlfn.XLOOKUP($B889,sales_teams!$A$2:$A$36,sales_teams!C$2:C$36)</f>
        <v>East</v>
      </c>
      <c r="E889" t="s">
        <v>39</v>
      </c>
      <c r="F889" t="s">
        <v>81</v>
      </c>
      <c r="G889" t="s">
        <v>12</v>
      </c>
      <c r="H889" s="1">
        <v>42781</v>
      </c>
      <c r="I889" s="1">
        <v>42800</v>
      </c>
      <c r="J889">
        <v>3507</v>
      </c>
    </row>
    <row r="890" spans="1:10" x14ac:dyDescent="0.3">
      <c r="A890" t="s">
        <v>1021</v>
      </c>
      <c r="B890" t="s">
        <v>38</v>
      </c>
      <c r="C890" t="str">
        <f>_xlfn.XLOOKUP(B890,
[1]sales_teams!$A$2:$A$100,
[1]sales_teams!$B$2:$B$100)</f>
        <v>Summer Sewald</v>
      </c>
      <c r="D890" t="str">
        <f>_xlfn.XLOOKUP($B890,sales_teams!$A$2:$A$36,sales_teams!C$2:C$36)</f>
        <v>West</v>
      </c>
      <c r="E890" t="s">
        <v>20</v>
      </c>
      <c r="F890" t="s">
        <v>70</v>
      </c>
      <c r="G890" t="s">
        <v>46</v>
      </c>
      <c r="H890" s="1">
        <v>42781</v>
      </c>
      <c r="I890" s="1">
        <v>42875</v>
      </c>
      <c r="J890">
        <v>0</v>
      </c>
    </row>
    <row r="891" spans="1:10" x14ac:dyDescent="0.3">
      <c r="A891" t="s">
        <v>1022</v>
      </c>
      <c r="B891" t="s">
        <v>38</v>
      </c>
      <c r="C891" t="str">
        <f>_xlfn.XLOOKUP(B891,
[1]sales_teams!$A$2:$A$100,
[1]sales_teams!$B$2:$B$100)</f>
        <v>Summer Sewald</v>
      </c>
      <c r="D891" t="str">
        <f>_xlfn.XLOOKUP($B891,sales_teams!$A$2:$A$36,sales_teams!C$2:C$36)</f>
        <v>West</v>
      </c>
      <c r="E891" t="s">
        <v>15</v>
      </c>
      <c r="F891" t="s">
        <v>100</v>
      </c>
      <c r="G891" t="s">
        <v>12</v>
      </c>
      <c r="H891" s="1">
        <v>42781</v>
      </c>
      <c r="I891" s="1">
        <v>42876</v>
      </c>
      <c r="J891">
        <v>4542</v>
      </c>
    </row>
    <row r="892" spans="1:10" x14ac:dyDescent="0.3">
      <c r="A892" t="s">
        <v>1023</v>
      </c>
      <c r="B892" t="s">
        <v>252</v>
      </c>
      <c r="C892" t="str">
        <f>_xlfn.XLOOKUP(B892,
[1]sales_teams!$A$2:$A$100,
[1]sales_teams!$B$2:$B$100)</f>
        <v>Melvin Marxen</v>
      </c>
      <c r="D892" t="str">
        <f>_xlfn.XLOOKUP($B892,sales_teams!$A$2:$A$36,sales_teams!C$2:C$36)</f>
        <v>Central</v>
      </c>
      <c r="E892" t="s">
        <v>20</v>
      </c>
      <c r="F892" t="s">
        <v>213</v>
      </c>
      <c r="G892" t="s">
        <v>12</v>
      </c>
      <c r="H892" s="1">
        <v>42781</v>
      </c>
      <c r="I892" s="1">
        <v>42883</v>
      </c>
      <c r="J892">
        <v>505</v>
      </c>
    </row>
    <row r="893" spans="1:10" x14ac:dyDescent="0.3">
      <c r="A893" t="s">
        <v>1024</v>
      </c>
      <c r="B893" t="s">
        <v>78</v>
      </c>
      <c r="C893" t="str">
        <f>_xlfn.XLOOKUP(B893,
[1]sales_teams!$A$2:$A$100,
[1]sales_teams!$B$2:$B$100)</f>
        <v>Summer Sewald</v>
      </c>
      <c r="D893" t="str">
        <f>_xlfn.XLOOKUP($B893,sales_teams!$A$2:$A$36,sales_teams!C$2:C$36)</f>
        <v>West</v>
      </c>
      <c r="E893" t="s">
        <v>48</v>
      </c>
      <c r="G893" t="s">
        <v>40</v>
      </c>
      <c r="H893" s="1">
        <v>42781</v>
      </c>
    </row>
    <row r="894" spans="1:10" x14ac:dyDescent="0.3">
      <c r="A894" t="s">
        <v>1025</v>
      </c>
      <c r="B894" t="s">
        <v>95</v>
      </c>
      <c r="C894" t="str">
        <f>_xlfn.XLOOKUP(B894,
[1]sales_teams!$A$2:$A$100,
[1]sales_teams!$B$2:$B$100)</f>
        <v>Summer Sewald</v>
      </c>
      <c r="D894" t="str">
        <f>_xlfn.XLOOKUP($B894,sales_teams!$A$2:$A$36,sales_teams!C$2:C$36)</f>
        <v>West</v>
      </c>
      <c r="E894" t="s">
        <v>20</v>
      </c>
      <c r="G894" t="s">
        <v>40</v>
      </c>
      <c r="H894" s="1">
        <v>42781</v>
      </c>
    </row>
    <row r="895" spans="1:10" x14ac:dyDescent="0.3">
      <c r="A895" t="s">
        <v>1026</v>
      </c>
      <c r="B895" t="s">
        <v>95</v>
      </c>
      <c r="C895" t="str">
        <f>_xlfn.XLOOKUP(B895,
[1]sales_teams!$A$2:$A$100,
[1]sales_teams!$B$2:$B$100)</f>
        <v>Summer Sewald</v>
      </c>
      <c r="D895" t="str">
        <f>_xlfn.XLOOKUP($B895,sales_teams!$A$2:$A$36,sales_teams!C$2:C$36)</f>
        <v>West</v>
      </c>
      <c r="E895" t="s">
        <v>10</v>
      </c>
      <c r="F895" t="s">
        <v>33</v>
      </c>
      <c r="G895" t="s">
        <v>46</v>
      </c>
      <c r="H895" s="1">
        <v>42781</v>
      </c>
      <c r="I895" s="1">
        <v>42862</v>
      </c>
      <c r="J895">
        <v>0</v>
      </c>
    </row>
    <row r="896" spans="1:10" x14ac:dyDescent="0.3">
      <c r="A896" t="s">
        <v>1027</v>
      </c>
      <c r="B896" t="s">
        <v>32</v>
      </c>
      <c r="C896" t="str">
        <f>_xlfn.XLOOKUP(B896,
[1]sales_teams!$A$2:$A$100,
[1]sales_teams!$B$2:$B$100)</f>
        <v>Celia Rouche</v>
      </c>
      <c r="D896" t="str">
        <f>_xlfn.XLOOKUP($B896,sales_teams!$A$2:$A$36,sales_teams!C$2:C$36)</f>
        <v>West</v>
      </c>
      <c r="E896" t="s">
        <v>10</v>
      </c>
      <c r="G896" t="s">
        <v>40</v>
      </c>
      <c r="H896" s="1">
        <v>42781</v>
      </c>
    </row>
    <row r="897" spans="1:10" x14ac:dyDescent="0.3">
      <c r="A897" t="s">
        <v>1028</v>
      </c>
      <c r="B897" t="s">
        <v>32</v>
      </c>
      <c r="C897" t="str">
        <f>_xlfn.XLOOKUP(B897,
[1]sales_teams!$A$2:$A$100,
[1]sales_teams!$B$2:$B$100)</f>
        <v>Celia Rouche</v>
      </c>
      <c r="D897" t="str">
        <f>_xlfn.XLOOKUP($B897,sales_teams!$A$2:$A$36,sales_teams!C$2:C$36)</f>
        <v>West</v>
      </c>
      <c r="E897" t="s">
        <v>15</v>
      </c>
      <c r="F897" t="s">
        <v>52</v>
      </c>
      <c r="G897" t="s">
        <v>46</v>
      </c>
      <c r="H897" s="1">
        <v>42781</v>
      </c>
      <c r="I897" s="1">
        <v>42886</v>
      </c>
      <c r="J897">
        <v>0</v>
      </c>
    </row>
    <row r="898" spans="1:10" x14ac:dyDescent="0.3">
      <c r="A898" t="s">
        <v>1029</v>
      </c>
      <c r="B898" t="s">
        <v>51</v>
      </c>
      <c r="C898" t="str">
        <f>_xlfn.XLOOKUP(B898,
[1]sales_teams!$A$2:$A$100,
[1]sales_teams!$B$2:$B$100)</f>
        <v>Summer Sewald</v>
      </c>
      <c r="D898" t="str">
        <f>_xlfn.XLOOKUP($B898,sales_teams!$A$2:$A$36,sales_teams!C$2:C$36)</f>
        <v>West</v>
      </c>
      <c r="E898" t="s">
        <v>20</v>
      </c>
      <c r="G898" t="s">
        <v>40</v>
      </c>
      <c r="H898" s="1">
        <v>42781</v>
      </c>
    </row>
    <row r="899" spans="1:10" x14ac:dyDescent="0.3">
      <c r="A899" t="s">
        <v>1030</v>
      </c>
      <c r="B899" t="s">
        <v>51</v>
      </c>
      <c r="C899" t="str">
        <f>_xlfn.XLOOKUP(B899,
[1]sales_teams!$A$2:$A$100,
[1]sales_teams!$B$2:$B$100)</f>
        <v>Summer Sewald</v>
      </c>
      <c r="D899" t="str">
        <f>_xlfn.XLOOKUP($B899,sales_teams!$A$2:$A$36,sales_teams!C$2:C$36)</f>
        <v>West</v>
      </c>
      <c r="E899" t="s">
        <v>39</v>
      </c>
      <c r="G899" t="s">
        <v>40</v>
      </c>
      <c r="H899" s="1">
        <v>42781</v>
      </c>
    </row>
    <row r="900" spans="1:10" x14ac:dyDescent="0.3">
      <c r="A900" t="s">
        <v>1031</v>
      </c>
      <c r="B900" t="s">
        <v>9</v>
      </c>
      <c r="C900" t="str">
        <f>_xlfn.XLOOKUP(B900,
[1]sales_teams!$A$2:$A$100,
[1]sales_teams!$B$2:$B$100)</f>
        <v>Dustin Brinkmann</v>
      </c>
      <c r="D900" t="str">
        <f>_xlfn.XLOOKUP($B900,sales_teams!$A$2:$A$36,sales_teams!C$2:C$36)</f>
        <v>Central</v>
      </c>
      <c r="E900" t="s">
        <v>20</v>
      </c>
      <c r="F900" t="s">
        <v>45</v>
      </c>
      <c r="G900" t="s">
        <v>12</v>
      </c>
      <c r="H900" s="1">
        <v>42781</v>
      </c>
      <c r="I900" s="1">
        <v>42868</v>
      </c>
      <c r="J900">
        <v>455</v>
      </c>
    </row>
    <row r="901" spans="1:10" x14ac:dyDescent="0.3">
      <c r="A901" t="s">
        <v>1032</v>
      </c>
      <c r="B901" t="s">
        <v>97</v>
      </c>
      <c r="C901" t="str">
        <f>_xlfn.XLOOKUP(B901,
[1]sales_teams!$A$2:$A$100,
[1]sales_teams!$B$2:$B$100)</f>
        <v>Rocco Neubert</v>
      </c>
      <c r="D901" t="str">
        <f>_xlfn.XLOOKUP($B901,sales_teams!$A$2:$A$36,sales_teams!C$2:C$36)</f>
        <v>East</v>
      </c>
      <c r="E901" t="s">
        <v>20</v>
      </c>
      <c r="F901" t="s">
        <v>240</v>
      </c>
      <c r="G901" t="s">
        <v>12</v>
      </c>
      <c r="H901" s="1">
        <v>42781</v>
      </c>
      <c r="I901" s="1">
        <v>42797</v>
      </c>
      <c r="J901">
        <v>537</v>
      </c>
    </row>
    <row r="902" spans="1:10" x14ac:dyDescent="0.3">
      <c r="A902" t="s">
        <v>1033</v>
      </c>
      <c r="B902" t="s">
        <v>97</v>
      </c>
      <c r="C902" t="str">
        <f>_xlfn.XLOOKUP(B902,
[1]sales_teams!$A$2:$A$100,
[1]sales_teams!$B$2:$B$100)</f>
        <v>Rocco Neubert</v>
      </c>
      <c r="D902" t="str">
        <f>_xlfn.XLOOKUP($B902,sales_teams!$A$2:$A$36,sales_teams!C$2:C$36)</f>
        <v>East</v>
      </c>
      <c r="E902" t="s">
        <v>10</v>
      </c>
      <c r="F902" t="s">
        <v>140</v>
      </c>
      <c r="G902" t="s">
        <v>12</v>
      </c>
      <c r="H902" s="1">
        <v>42781</v>
      </c>
      <c r="I902" s="1">
        <v>42798</v>
      </c>
      <c r="J902">
        <v>1090</v>
      </c>
    </row>
    <row r="903" spans="1:10" x14ac:dyDescent="0.3">
      <c r="A903" t="s">
        <v>1034</v>
      </c>
      <c r="B903" t="s">
        <v>61</v>
      </c>
      <c r="C903" t="str">
        <f>_xlfn.XLOOKUP(B903,
[1]sales_teams!$A$2:$A$100,
[1]sales_teams!$B$2:$B$100)</f>
        <v>Dustin Brinkmann</v>
      </c>
      <c r="D903" t="str">
        <f>_xlfn.XLOOKUP($B903,sales_teams!$A$2:$A$36,sales_teams!C$2:C$36)</f>
        <v>Central</v>
      </c>
      <c r="E903" t="s">
        <v>39</v>
      </c>
      <c r="F903" t="s">
        <v>111</v>
      </c>
      <c r="G903" t="s">
        <v>46</v>
      </c>
      <c r="H903" s="1">
        <v>42781</v>
      </c>
      <c r="I903" s="1">
        <v>42879</v>
      </c>
      <c r="J903">
        <v>0</v>
      </c>
    </row>
    <row r="904" spans="1:10" x14ac:dyDescent="0.3">
      <c r="A904" t="s">
        <v>1035</v>
      </c>
      <c r="B904" t="s">
        <v>61</v>
      </c>
      <c r="C904" t="str">
        <f>_xlfn.XLOOKUP(B904,
[1]sales_teams!$A$2:$A$100,
[1]sales_teams!$B$2:$B$100)</f>
        <v>Dustin Brinkmann</v>
      </c>
      <c r="D904" t="str">
        <f>_xlfn.XLOOKUP($B904,sales_teams!$A$2:$A$36,sales_teams!C$2:C$36)</f>
        <v>Central</v>
      </c>
      <c r="E904" t="s">
        <v>18</v>
      </c>
      <c r="F904" t="s">
        <v>45</v>
      </c>
      <c r="G904" t="s">
        <v>12</v>
      </c>
      <c r="H904" s="1">
        <v>42781</v>
      </c>
      <c r="I904" s="1">
        <v>42811</v>
      </c>
      <c r="J904">
        <v>60</v>
      </c>
    </row>
    <row r="905" spans="1:10" x14ac:dyDescent="0.3">
      <c r="A905" t="s">
        <v>1036</v>
      </c>
      <c r="B905" t="s">
        <v>29</v>
      </c>
      <c r="C905" t="str">
        <f>_xlfn.XLOOKUP(B905,
[1]sales_teams!$A$2:$A$100,
[1]sales_teams!$B$2:$B$100)</f>
        <v>Celia Rouche</v>
      </c>
      <c r="D905" t="str">
        <f>_xlfn.XLOOKUP($B905,sales_teams!$A$2:$A$36,sales_teams!C$2:C$36)</f>
        <v>West</v>
      </c>
      <c r="E905" t="s">
        <v>10</v>
      </c>
      <c r="F905" t="s">
        <v>194</v>
      </c>
      <c r="G905" t="s">
        <v>46</v>
      </c>
      <c r="H905" s="1">
        <v>42781</v>
      </c>
      <c r="I905" s="1">
        <v>42872</v>
      </c>
      <c r="J905">
        <v>0</v>
      </c>
    </row>
    <row r="906" spans="1:10" x14ac:dyDescent="0.3">
      <c r="A906" t="s">
        <v>1037</v>
      </c>
      <c r="B906" t="s">
        <v>23</v>
      </c>
      <c r="C906" t="str">
        <f>_xlfn.XLOOKUP(B906,
[1]sales_teams!$A$2:$A$100,
[1]sales_teams!$B$2:$B$100)</f>
        <v>Summer Sewald</v>
      </c>
      <c r="D906" t="str">
        <f>_xlfn.XLOOKUP($B906,sales_teams!$A$2:$A$36,sales_teams!C$2:C$36)</f>
        <v>West</v>
      </c>
      <c r="E906" t="s">
        <v>20</v>
      </c>
      <c r="G906" t="s">
        <v>40</v>
      </c>
      <c r="H906" s="1">
        <v>42781</v>
      </c>
    </row>
    <row r="907" spans="1:10" x14ac:dyDescent="0.3">
      <c r="A907" t="s">
        <v>1038</v>
      </c>
      <c r="B907" t="s">
        <v>118</v>
      </c>
      <c r="C907" t="str">
        <f>_xlfn.XLOOKUP(B907,
[1]sales_teams!$A$2:$A$100,
[1]sales_teams!$B$2:$B$100)</f>
        <v>Rocco Neubert</v>
      </c>
      <c r="D907" t="str">
        <f>_xlfn.XLOOKUP($B907,sales_teams!$A$2:$A$36,sales_teams!C$2:C$36)</f>
        <v>East</v>
      </c>
      <c r="E907" t="s">
        <v>48</v>
      </c>
      <c r="F907" t="s">
        <v>215</v>
      </c>
      <c r="G907" t="s">
        <v>12</v>
      </c>
      <c r="H907" s="1">
        <v>42782</v>
      </c>
      <c r="I907" s="1">
        <v>42901</v>
      </c>
      <c r="J907">
        <v>6509</v>
      </c>
    </row>
    <row r="908" spans="1:10" x14ac:dyDescent="0.3">
      <c r="A908" t="s">
        <v>1039</v>
      </c>
      <c r="B908" t="s">
        <v>202</v>
      </c>
      <c r="C908" t="str">
        <f>_xlfn.XLOOKUP(B908,
[1]sales_teams!$A$2:$A$100,
[1]sales_teams!$B$2:$B$100)</f>
        <v>Dustin Brinkmann</v>
      </c>
      <c r="D908" t="str">
        <f>_xlfn.XLOOKUP($B908,sales_teams!$A$2:$A$36,sales_teams!C$2:C$36)</f>
        <v>Central</v>
      </c>
      <c r="E908" t="s">
        <v>10</v>
      </c>
      <c r="F908" t="s">
        <v>27</v>
      </c>
      <c r="G908" t="s">
        <v>12</v>
      </c>
      <c r="H908" s="1">
        <v>42782</v>
      </c>
      <c r="I908" s="1">
        <v>42873</v>
      </c>
      <c r="J908">
        <v>1079</v>
      </c>
    </row>
    <row r="909" spans="1:10" x14ac:dyDescent="0.3">
      <c r="A909" t="s">
        <v>1040</v>
      </c>
      <c r="B909" t="s">
        <v>164</v>
      </c>
      <c r="C909" t="str">
        <f>_xlfn.XLOOKUP(B909,
[1]sales_teams!$A$2:$A$100,
[1]sales_teams!$B$2:$B$100)</f>
        <v>Cara Losch</v>
      </c>
      <c r="D909" t="str">
        <f>_xlfn.XLOOKUP($B909,sales_teams!$A$2:$A$36,sales_teams!C$2:C$36)</f>
        <v>East</v>
      </c>
      <c r="E909" t="s">
        <v>10</v>
      </c>
      <c r="F909" t="s">
        <v>143</v>
      </c>
      <c r="G909" t="s">
        <v>12</v>
      </c>
      <c r="H909" s="1">
        <v>42782</v>
      </c>
      <c r="I909" s="1">
        <v>42884</v>
      </c>
      <c r="J909">
        <v>1111</v>
      </c>
    </row>
    <row r="910" spans="1:10" x14ac:dyDescent="0.3">
      <c r="A910" t="s">
        <v>1041</v>
      </c>
      <c r="B910" t="s">
        <v>142</v>
      </c>
      <c r="C910" t="str">
        <f>_xlfn.XLOOKUP(B910,
[1]sales_teams!$A$2:$A$100,
[1]sales_teams!$B$2:$B$100)</f>
        <v>Rocco Neubert</v>
      </c>
      <c r="D910" t="str">
        <f>_xlfn.XLOOKUP($B910,sales_teams!$A$2:$A$36,sales_teams!C$2:C$36)</f>
        <v>East</v>
      </c>
      <c r="E910" t="s">
        <v>15</v>
      </c>
      <c r="F910" t="s">
        <v>106</v>
      </c>
      <c r="G910" t="s">
        <v>46</v>
      </c>
      <c r="H910" s="1">
        <v>42782</v>
      </c>
      <c r="I910" s="1">
        <v>42876</v>
      </c>
      <c r="J910">
        <v>0</v>
      </c>
    </row>
    <row r="911" spans="1:10" x14ac:dyDescent="0.3">
      <c r="A911" t="s">
        <v>1042</v>
      </c>
      <c r="B911" t="s">
        <v>142</v>
      </c>
      <c r="C911" t="str">
        <f>_xlfn.XLOOKUP(B911,
[1]sales_teams!$A$2:$A$100,
[1]sales_teams!$B$2:$B$100)</f>
        <v>Rocco Neubert</v>
      </c>
      <c r="D911" t="str">
        <f>_xlfn.XLOOKUP($B911,sales_teams!$A$2:$A$36,sales_teams!C$2:C$36)</f>
        <v>East</v>
      </c>
      <c r="E911" t="s">
        <v>20</v>
      </c>
      <c r="F911" t="s">
        <v>209</v>
      </c>
      <c r="G911" t="s">
        <v>12</v>
      </c>
      <c r="H911" s="1">
        <v>42782</v>
      </c>
      <c r="I911" s="1">
        <v>42796</v>
      </c>
      <c r="J911">
        <v>462</v>
      </c>
    </row>
    <row r="912" spans="1:10" x14ac:dyDescent="0.3">
      <c r="A912" t="s">
        <v>1043</v>
      </c>
      <c r="B912" t="s">
        <v>142</v>
      </c>
      <c r="C912" t="str">
        <f>_xlfn.XLOOKUP(B912,
[1]sales_teams!$A$2:$A$100,
[1]sales_teams!$B$2:$B$100)</f>
        <v>Rocco Neubert</v>
      </c>
      <c r="D912" t="str">
        <f>_xlfn.XLOOKUP($B912,sales_teams!$A$2:$A$36,sales_teams!C$2:C$36)</f>
        <v>East</v>
      </c>
      <c r="E912" t="s">
        <v>20</v>
      </c>
      <c r="F912" t="s">
        <v>65</v>
      </c>
      <c r="G912" t="s">
        <v>12</v>
      </c>
      <c r="H912" s="1">
        <v>42782</v>
      </c>
      <c r="I912" s="1">
        <v>42798</v>
      </c>
      <c r="J912">
        <v>555</v>
      </c>
    </row>
    <row r="913" spans="1:10" x14ac:dyDescent="0.3">
      <c r="A913" t="s">
        <v>1044</v>
      </c>
      <c r="B913" t="s">
        <v>44</v>
      </c>
      <c r="C913" t="str">
        <f>_xlfn.XLOOKUP(B913,
[1]sales_teams!$A$2:$A$100,
[1]sales_teams!$B$2:$B$100)</f>
        <v>Melvin Marxen</v>
      </c>
      <c r="D913" t="str">
        <f>_xlfn.XLOOKUP($B913,sales_teams!$A$2:$A$36,sales_teams!C$2:C$36)</f>
        <v>Central</v>
      </c>
      <c r="E913" t="s">
        <v>48</v>
      </c>
      <c r="F913" t="s">
        <v>120</v>
      </c>
      <c r="G913" t="s">
        <v>12</v>
      </c>
      <c r="H913" s="1">
        <v>42782</v>
      </c>
      <c r="I913" s="1">
        <v>42795</v>
      </c>
      <c r="J913">
        <v>6719</v>
      </c>
    </row>
    <row r="914" spans="1:10" x14ac:dyDescent="0.3">
      <c r="A914" t="s">
        <v>1045</v>
      </c>
      <c r="B914" t="s">
        <v>54</v>
      </c>
      <c r="C914" t="str">
        <f>_xlfn.XLOOKUP(B914,
[1]sales_teams!$A$2:$A$100,
[1]sales_teams!$B$2:$B$100)</f>
        <v>Celia Rouche</v>
      </c>
      <c r="D914" t="str">
        <f>_xlfn.XLOOKUP($B914,sales_teams!$A$2:$A$36,sales_teams!C$2:C$36)</f>
        <v>West</v>
      </c>
      <c r="E914" t="s">
        <v>39</v>
      </c>
      <c r="F914" t="s">
        <v>194</v>
      </c>
      <c r="G914" t="s">
        <v>12</v>
      </c>
      <c r="H914" s="1">
        <v>42782</v>
      </c>
      <c r="I914" s="1">
        <v>42888</v>
      </c>
      <c r="J914">
        <v>3281</v>
      </c>
    </row>
    <row r="915" spans="1:10" x14ac:dyDescent="0.3">
      <c r="A915" t="s">
        <v>1046</v>
      </c>
      <c r="B915" t="s">
        <v>38</v>
      </c>
      <c r="C915" t="str">
        <f>_xlfn.XLOOKUP(B915,
[1]sales_teams!$A$2:$A$100,
[1]sales_teams!$B$2:$B$100)</f>
        <v>Summer Sewald</v>
      </c>
      <c r="D915" t="str">
        <f>_xlfn.XLOOKUP($B915,sales_teams!$A$2:$A$36,sales_teams!C$2:C$36)</f>
        <v>West</v>
      </c>
      <c r="E915" t="s">
        <v>10</v>
      </c>
      <c r="G915" t="s">
        <v>40</v>
      </c>
      <c r="H915" s="1">
        <v>42782</v>
      </c>
    </row>
    <row r="916" spans="1:10" x14ac:dyDescent="0.3">
      <c r="A916" t="s">
        <v>1047</v>
      </c>
      <c r="B916" t="s">
        <v>38</v>
      </c>
      <c r="C916" t="str">
        <f>_xlfn.XLOOKUP(B916,
[1]sales_teams!$A$2:$A$100,
[1]sales_teams!$B$2:$B$100)</f>
        <v>Summer Sewald</v>
      </c>
      <c r="D916" t="str">
        <f>_xlfn.XLOOKUP($B916,sales_teams!$A$2:$A$36,sales_teams!C$2:C$36)</f>
        <v>West</v>
      </c>
      <c r="E916" t="s">
        <v>39</v>
      </c>
      <c r="F916" t="s">
        <v>155</v>
      </c>
      <c r="G916" t="s">
        <v>12</v>
      </c>
      <c r="H916" s="1">
        <v>42782</v>
      </c>
      <c r="I916" s="1">
        <v>42862</v>
      </c>
      <c r="J916">
        <v>3398</v>
      </c>
    </row>
    <row r="917" spans="1:10" x14ac:dyDescent="0.3">
      <c r="A917" t="s">
        <v>1048</v>
      </c>
      <c r="B917" t="s">
        <v>95</v>
      </c>
      <c r="C917" t="str">
        <f>_xlfn.XLOOKUP(B917,
[1]sales_teams!$A$2:$A$100,
[1]sales_teams!$B$2:$B$100)</f>
        <v>Summer Sewald</v>
      </c>
      <c r="D917" t="str">
        <f>_xlfn.XLOOKUP($B917,sales_teams!$A$2:$A$36,sales_teams!C$2:C$36)</f>
        <v>West</v>
      </c>
      <c r="E917" t="s">
        <v>20</v>
      </c>
      <c r="F917" t="s">
        <v>86</v>
      </c>
      <c r="G917" t="s">
        <v>40</v>
      </c>
      <c r="H917" s="1">
        <v>42782</v>
      </c>
    </row>
    <row r="918" spans="1:10" x14ac:dyDescent="0.3">
      <c r="A918" t="s">
        <v>1049</v>
      </c>
      <c r="B918" t="s">
        <v>95</v>
      </c>
      <c r="C918" t="str">
        <f>_xlfn.XLOOKUP(B918,
[1]sales_teams!$A$2:$A$100,
[1]sales_teams!$B$2:$B$100)</f>
        <v>Summer Sewald</v>
      </c>
      <c r="D918" t="str">
        <f>_xlfn.XLOOKUP($B918,sales_teams!$A$2:$A$36,sales_teams!C$2:C$36)</f>
        <v>West</v>
      </c>
      <c r="E918" t="s">
        <v>15</v>
      </c>
      <c r="G918" t="s">
        <v>40</v>
      </c>
      <c r="H918" s="1">
        <v>42782</v>
      </c>
    </row>
    <row r="919" spans="1:10" x14ac:dyDescent="0.3">
      <c r="A919" t="s">
        <v>1050</v>
      </c>
      <c r="B919" t="s">
        <v>95</v>
      </c>
      <c r="C919" t="str">
        <f>_xlfn.XLOOKUP(B919,
[1]sales_teams!$A$2:$A$100,
[1]sales_teams!$B$2:$B$100)</f>
        <v>Summer Sewald</v>
      </c>
      <c r="D919" t="str">
        <f>_xlfn.XLOOKUP($B919,sales_teams!$A$2:$A$36,sales_teams!C$2:C$36)</f>
        <v>West</v>
      </c>
      <c r="E919" t="s">
        <v>15</v>
      </c>
      <c r="F919" t="s">
        <v>315</v>
      </c>
      <c r="G919" t="s">
        <v>46</v>
      </c>
      <c r="H919" s="1">
        <v>42782</v>
      </c>
      <c r="I919" s="1">
        <v>42869</v>
      </c>
      <c r="J919">
        <v>0</v>
      </c>
    </row>
    <row r="920" spans="1:10" x14ac:dyDescent="0.3">
      <c r="A920" t="s">
        <v>1051</v>
      </c>
      <c r="B920" t="s">
        <v>116</v>
      </c>
      <c r="C920" t="str">
        <f>_xlfn.XLOOKUP(B920,
[1]sales_teams!$A$2:$A$100,
[1]sales_teams!$B$2:$B$100)</f>
        <v>Melvin Marxen</v>
      </c>
      <c r="D920" t="str">
        <f>_xlfn.XLOOKUP($B920,sales_teams!$A$2:$A$36,sales_teams!C$2:C$36)</f>
        <v>Central</v>
      </c>
      <c r="E920" t="s">
        <v>20</v>
      </c>
      <c r="F920" t="s">
        <v>207</v>
      </c>
      <c r="G920" t="s">
        <v>12</v>
      </c>
      <c r="H920" s="1">
        <v>42782</v>
      </c>
      <c r="I920" s="1">
        <v>42795</v>
      </c>
      <c r="J920">
        <v>608</v>
      </c>
    </row>
    <row r="921" spans="1:10" x14ac:dyDescent="0.3">
      <c r="A921" t="s">
        <v>1052</v>
      </c>
      <c r="B921" t="s">
        <v>35</v>
      </c>
      <c r="C921" t="str">
        <f>_xlfn.XLOOKUP(B921,
[1]sales_teams!$A$2:$A$100,
[1]sales_teams!$B$2:$B$100)</f>
        <v>Melvin Marxen</v>
      </c>
      <c r="D921" t="str">
        <f>_xlfn.XLOOKUP($B921,sales_teams!$A$2:$A$36,sales_teams!C$2:C$36)</f>
        <v>Central</v>
      </c>
      <c r="E921" t="s">
        <v>15</v>
      </c>
      <c r="F921" t="s">
        <v>213</v>
      </c>
      <c r="G921" t="s">
        <v>46</v>
      </c>
      <c r="H921" s="1">
        <v>42782</v>
      </c>
      <c r="I921" s="1">
        <v>42872</v>
      </c>
      <c r="J921">
        <v>0</v>
      </c>
    </row>
    <row r="922" spans="1:10" x14ac:dyDescent="0.3">
      <c r="A922" t="s">
        <v>1053</v>
      </c>
      <c r="B922" t="s">
        <v>97</v>
      </c>
      <c r="C922" t="str">
        <f>_xlfn.XLOOKUP(B922,
[1]sales_teams!$A$2:$A$100,
[1]sales_teams!$B$2:$B$100)</f>
        <v>Rocco Neubert</v>
      </c>
      <c r="D922" t="str">
        <f>_xlfn.XLOOKUP($B922,sales_teams!$A$2:$A$36,sales_teams!C$2:C$36)</f>
        <v>East</v>
      </c>
      <c r="E922" t="s">
        <v>10</v>
      </c>
      <c r="F922" t="s">
        <v>209</v>
      </c>
      <c r="G922" t="s">
        <v>12</v>
      </c>
      <c r="H922" s="1">
        <v>42782</v>
      </c>
      <c r="I922" s="1">
        <v>42885</v>
      </c>
      <c r="J922">
        <v>1187</v>
      </c>
    </row>
    <row r="923" spans="1:10" x14ac:dyDescent="0.3">
      <c r="A923" t="s">
        <v>1054</v>
      </c>
      <c r="B923" t="s">
        <v>88</v>
      </c>
      <c r="C923" t="str">
        <f>_xlfn.XLOOKUP(B923,
[1]sales_teams!$A$2:$A$100,
[1]sales_teams!$B$2:$B$100)</f>
        <v>Cara Losch</v>
      </c>
      <c r="D923" t="str">
        <f>_xlfn.XLOOKUP($B923,sales_teams!$A$2:$A$36,sales_teams!C$2:C$36)</f>
        <v>East</v>
      </c>
      <c r="E923" t="s">
        <v>20</v>
      </c>
      <c r="G923" t="s">
        <v>40</v>
      </c>
      <c r="H923" s="1">
        <v>42782</v>
      </c>
    </row>
    <row r="924" spans="1:10" x14ac:dyDescent="0.3">
      <c r="A924" t="s">
        <v>1055</v>
      </c>
      <c r="B924" t="s">
        <v>73</v>
      </c>
      <c r="C924" t="str">
        <f>_xlfn.XLOOKUP(B924,
[1]sales_teams!$A$2:$A$100,
[1]sales_teams!$B$2:$B$100)</f>
        <v>Cara Losch</v>
      </c>
      <c r="D924" t="str">
        <f>_xlfn.XLOOKUP($B924,sales_teams!$A$2:$A$36,sales_teams!C$2:C$36)</f>
        <v>East</v>
      </c>
      <c r="E924" t="s">
        <v>48</v>
      </c>
      <c r="F924" t="s">
        <v>240</v>
      </c>
      <c r="G924" t="s">
        <v>12</v>
      </c>
      <c r="H924" s="1">
        <v>42782</v>
      </c>
      <c r="I924" s="1">
        <v>42908</v>
      </c>
      <c r="J924">
        <v>5855</v>
      </c>
    </row>
    <row r="925" spans="1:10" x14ac:dyDescent="0.3">
      <c r="A925" t="s">
        <v>1056</v>
      </c>
      <c r="B925" t="s">
        <v>23</v>
      </c>
      <c r="C925" t="str">
        <f>_xlfn.XLOOKUP(B925,
[1]sales_teams!$A$2:$A$100,
[1]sales_teams!$B$2:$B$100)</f>
        <v>Summer Sewald</v>
      </c>
      <c r="D925" t="str">
        <f>_xlfn.XLOOKUP($B925,sales_teams!$A$2:$A$36,sales_teams!C$2:C$36)</f>
        <v>West</v>
      </c>
      <c r="E925" t="s">
        <v>20</v>
      </c>
      <c r="G925" t="s">
        <v>40</v>
      </c>
      <c r="H925" s="1">
        <v>42782</v>
      </c>
    </row>
    <row r="926" spans="1:10" x14ac:dyDescent="0.3">
      <c r="A926" t="s">
        <v>1057</v>
      </c>
      <c r="B926" t="s">
        <v>14</v>
      </c>
      <c r="C926" t="str">
        <f>_xlfn.XLOOKUP(B926,
[1]sales_teams!$A$2:$A$100,
[1]sales_teams!$B$2:$B$100)</f>
        <v>Melvin Marxen</v>
      </c>
      <c r="D926" t="str">
        <f>_xlfn.XLOOKUP($B926,sales_teams!$A$2:$A$36,sales_teams!C$2:C$36)</f>
        <v>Central</v>
      </c>
      <c r="E926" t="s">
        <v>15</v>
      </c>
      <c r="F926" t="s">
        <v>11</v>
      </c>
      <c r="G926" t="s">
        <v>12</v>
      </c>
      <c r="H926" s="1">
        <v>42783</v>
      </c>
      <c r="I926" s="1">
        <v>42865</v>
      </c>
      <c r="J926">
        <v>5068</v>
      </c>
    </row>
    <row r="927" spans="1:10" x14ac:dyDescent="0.3">
      <c r="A927" t="s">
        <v>1058</v>
      </c>
      <c r="B927" t="s">
        <v>142</v>
      </c>
      <c r="C927" t="str">
        <f>_xlfn.XLOOKUP(B927,
[1]sales_teams!$A$2:$A$100,
[1]sales_teams!$B$2:$B$100)</f>
        <v>Rocco Neubert</v>
      </c>
      <c r="D927" t="str">
        <f>_xlfn.XLOOKUP($B927,sales_teams!$A$2:$A$36,sales_teams!C$2:C$36)</f>
        <v>East</v>
      </c>
      <c r="E927" t="s">
        <v>10</v>
      </c>
      <c r="F927" t="s">
        <v>237</v>
      </c>
      <c r="G927" t="s">
        <v>46</v>
      </c>
      <c r="H927" s="1">
        <v>42783</v>
      </c>
      <c r="I927" s="1">
        <v>42899</v>
      </c>
      <c r="J927">
        <v>0</v>
      </c>
    </row>
    <row r="928" spans="1:10" x14ac:dyDescent="0.3">
      <c r="A928" t="s">
        <v>1059</v>
      </c>
      <c r="B928" t="s">
        <v>67</v>
      </c>
      <c r="C928" t="str">
        <f>_xlfn.XLOOKUP(B928,
[1]sales_teams!$A$2:$A$100,
[1]sales_teams!$B$2:$B$100)</f>
        <v>Celia Rouche</v>
      </c>
      <c r="D928" t="str">
        <f>_xlfn.XLOOKUP($B928,sales_teams!$A$2:$A$36,sales_teams!C$2:C$36)</f>
        <v>West</v>
      </c>
      <c r="E928" t="s">
        <v>18</v>
      </c>
      <c r="F928" t="s">
        <v>204</v>
      </c>
      <c r="G928" t="s">
        <v>40</v>
      </c>
      <c r="H928" s="1">
        <v>42783</v>
      </c>
    </row>
    <row r="929" spans="1:10" x14ac:dyDescent="0.3">
      <c r="A929" t="s">
        <v>1060</v>
      </c>
      <c r="B929" t="s">
        <v>38</v>
      </c>
      <c r="C929" t="str">
        <f>_xlfn.XLOOKUP(B929,
[1]sales_teams!$A$2:$A$100,
[1]sales_teams!$B$2:$B$100)</f>
        <v>Summer Sewald</v>
      </c>
      <c r="D929" t="str">
        <f>_xlfn.XLOOKUP($B929,sales_teams!$A$2:$A$36,sales_teams!C$2:C$36)</f>
        <v>West</v>
      </c>
      <c r="E929" t="s">
        <v>48</v>
      </c>
      <c r="F929" t="s">
        <v>30</v>
      </c>
      <c r="G929" t="s">
        <v>12</v>
      </c>
      <c r="H929" s="1">
        <v>42783</v>
      </c>
      <c r="I929" s="1">
        <v>42905</v>
      </c>
      <c r="J929">
        <v>4066</v>
      </c>
    </row>
    <row r="930" spans="1:10" x14ac:dyDescent="0.3">
      <c r="A930" t="s">
        <v>1061</v>
      </c>
      <c r="B930" t="s">
        <v>252</v>
      </c>
      <c r="C930" t="str">
        <f>_xlfn.XLOOKUP(B930,
[1]sales_teams!$A$2:$A$100,
[1]sales_teams!$B$2:$B$100)</f>
        <v>Melvin Marxen</v>
      </c>
      <c r="D930" t="str">
        <f>_xlfn.XLOOKUP($B930,sales_teams!$A$2:$A$36,sales_teams!C$2:C$36)</f>
        <v>Central</v>
      </c>
      <c r="E930" t="s">
        <v>15</v>
      </c>
      <c r="F930" t="s">
        <v>16</v>
      </c>
      <c r="G930" t="s">
        <v>12</v>
      </c>
      <c r="H930" s="1">
        <v>42783</v>
      </c>
      <c r="I930" s="1">
        <v>42893</v>
      </c>
      <c r="J930">
        <v>4494</v>
      </c>
    </row>
    <row r="931" spans="1:10" x14ac:dyDescent="0.3">
      <c r="A931" t="s">
        <v>1062</v>
      </c>
      <c r="B931" t="s">
        <v>78</v>
      </c>
      <c r="C931" t="str">
        <f>_xlfn.XLOOKUP(B931,
[1]sales_teams!$A$2:$A$100,
[1]sales_teams!$B$2:$B$100)</f>
        <v>Summer Sewald</v>
      </c>
      <c r="D931" t="str">
        <f>_xlfn.XLOOKUP($B931,sales_teams!$A$2:$A$36,sales_teams!C$2:C$36)</f>
        <v>West</v>
      </c>
      <c r="E931" t="s">
        <v>20</v>
      </c>
      <c r="F931" t="s">
        <v>55</v>
      </c>
      <c r="G931" t="s">
        <v>46</v>
      </c>
      <c r="H931" s="1">
        <v>42783</v>
      </c>
      <c r="I931" s="1">
        <v>42859</v>
      </c>
      <c r="J931">
        <v>0</v>
      </c>
    </row>
    <row r="932" spans="1:10" x14ac:dyDescent="0.3">
      <c r="A932" t="s">
        <v>1063</v>
      </c>
      <c r="B932" t="s">
        <v>78</v>
      </c>
      <c r="C932" t="str">
        <f>_xlfn.XLOOKUP(B932,
[1]sales_teams!$A$2:$A$100,
[1]sales_teams!$B$2:$B$100)</f>
        <v>Summer Sewald</v>
      </c>
      <c r="D932" t="str">
        <f>_xlfn.XLOOKUP($B932,sales_teams!$A$2:$A$36,sales_teams!C$2:C$36)</f>
        <v>West</v>
      </c>
      <c r="E932" t="s">
        <v>15</v>
      </c>
      <c r="F932" t="s">
        <v>157</v>
      </c>
      <c r="G932" t="s">
        <v>46</v>
      </c>
      <c r="H932" s="1">
        <v>42783</v>
      </c>
      <c r="I932" s="1">
        <v>42883</v>
      </c>
      <c r="J932">
        <v>0</v>
      </c>
    </row>
    <row r="933" spans="1:10" x14ac:dyDescent="0.3">
      <c r="A933" t="s">
        <v>1064</v>
      </c>
      <c r="B933" t="s">
        <v>78</v>
      </c>
      <c r="C933" t="str">
        <f>_xlfn.XLOOKUP(B933,
[1]sales_teams!$A$2:$A$100,
[1]sales_teams!$B$2:$B$100)</f>
        <v>Summer Sewald</v>
      </c>
      <c r="D933" t="str">
        <f>_xlfn.XLOOKUP($B933,sales_teams!$A$2:$A$36,sales_teams!C$2:C$36)</f>
        <v>West</v>
      </c>
      <c r="E933" t="s">
        <v>20</v>
      </c>
      <c r="F933" t="s">
        <v>124</v>
      </c>
      <c r="G933" t="s">
        <v>12</v>
      </c>
      <c r="H933" s="1">
        <v>42783</v>
      </c>
      <c r="I933" s="1">
        <v>42864</v>
      </c>
      <c r="J933">
        <v>540</v>
      </c>
    </row>
    <row r="934" spans="1:10" x14ac:dyDescent="0.3">
      <c r="A934" t="s">
        <v>1065</v>
      </c>
      <c r="B934" t="s">
        <v>35</v>
      </c>
      <c r="C934" t="str">
        <f>_xlfn.XLOOKUP(B934,
[1]sales_teams!$A$2:$A$100,
[1]sales_teams!$B$2:$B$100)</f>
        <v>Melvin Marxen</v>
      </c>
      <c r="D934" t="str">
        <f>_xlfn.XLOOKUP($B934,sales_teams!$A$2:$A$36,sales_teams!C$2:C$36)</f>
        <v>Central</v>
      </c>
      <c r="E934" t="s">
        <v>39</v>
      </c>
      <c r="F934" t="s">
        <v>120</v>
      </c>
      <c r="G934" t="s">
        <v>46</v>
      </c>
      <c r="H934" s="1">
        <v>42783</v>
      </c>
      <c r="I934" s="1">
        <v>42869</v>
      </c>
      <c r="J934">
        <v>0</v>
      </c>
    </row>
    <row r="935" spans="1:10" x14ac:dyDescent="0.3">
      <c r="A935" t="s">
        <v>1066</v>
      </c>
      <c r="B935" t="s">
        <v>61</v>
      </c>
      <c r="C935" t="str">
        <f>_xlfn.XLOOKUP(B935,
[1]sales_teams!$A$2:$A$100,
[1]sales_teams!$B$2:$B$100)</f>
        <v>Dustin Brinkmann</v>
      </c>
      <c r="D935" t="str">
        <f>_xlfn.XLOOKUP($B935,sales_teams!$A$2:$A$36,sales_teams!C$2:C$36)</f>
        <v>Central</v>
      </c>
      <c r="E935" t="s">
        <v>18</v>
      </c>
      <c r="F935" t="s">
        <v>207</v>
      </c>
      <c r="G935" t="s">
        <v>12</v>
      </c>
      <c r="H935" s="1">
        <v>42783</v>
      </c>
      <c r="I935" s="1">
        <v>42874</v>
      </c>
      <c r="J935">
        <v>54</v>
      </c>
    </row>
    <row r="936" spans="1:10" x14ac:dyDescent="0.3">
      <c r="A936" t="s">
        <v>1067</v>
      </c>
      <c r="B936" t="s">
        <v>29</v>
      </c>
      <c r="C936" t="str">
        <f>_xlfn.XLOOKUP(B936,
[1]sales_teams!$A$2:$A$100,
[1]sales_teams!$B$2:$B$100)</f>
        <v>Celia Rouche</v>
      </c>
      <c r="D936" t="str">
        <f>_xlfn.XLOOKUP($B936,sales_teams!$A$2:$A$36,sales_teams!C$2:C$36)</f>
        <v>West</v>
      </c>
      <c r="E936" t="s">
        <v>39</v>
      </c>
      <c r="G936" t="s">
        <v>40</v>
      </c>
      <c r="H936" s="1">
        <v>42783</v>
      </c>
    </row>
    <row r="937" spans="1:10" x14ac:dyDescent="0.3">
      <c r="A937" t="s">
        <v>1068</v>
      </c>
      <c r="B937" t="s">
        <v>23</v>
      </c>
      <c r="C937" t="str">
        <f>_xlfn.XLOOKUP(B937,
[1]sales_teams!$A$2:$A$100,
[1]sales_teams!$B$2:$B$100)</f>
        <v>Summer Sewald</v>
      </c>
      <c r="D937" t="str">
        <f>_xlfn.XLOOKUP($B937,sales_teams!$A$2:$A$36,sales_teams!C$2:C$36)</f>
        <v>West</v>
      </c>
      <c r="E937" t="s">
        <v>15</v>
      </c>
      <c r="F937" t="s">
        <v>184</v>
      </c>
      <c r="G937" t="s">
        <v>46</v>
      </c>
      <c r="H937" s="1">
        <v>42783</v>
      </c>
      <c r="I937" s="1">
        <v>42883</v>
      </c>
      <c r="J937">
        <v>0</v>
      </c>
    </row>
    <row r="938" spans="1:10" x14ac:dyDescent="0.3">
      <c r="A938" t="s">
        <v>1069</v>
      </c>
      <c r="B938" t="s">
        <v>118</v>
      </c>
      <c r="C938" t="str">
        <f>_xlfn.XLOOKUP(B938,
[1]sales_teams!$A$2:$A$100,
[1]sales_teams!$B$2:$B$100)</f>
        <v>Rocco Neubert</v>
      </c>
      <c r="D938" t="str">
        <f>_xlfn.XLOOKUP($B938,sales_teams!$A$2:$A$36,sales_teams!C$2:C$36)</f>
        <v>East</v>
      </c>
      <c r="E938" t="s">
        <v>18</v>
      </c>
      <c r="G938" t="s">
        <v>40</v>
      </c>
      <c r="H938" s="1">
        <v>42784</v>
      </c>
    </row>
    <row r="939" spans="1:10" x14ac:dyDescent="0.3">
      <c r="A939" t="s">
        <v>1070</v>
      </c>
      <c r="B939" t="s">
        <v>164</v>
      </c>
      <c r="C939" t="str">
        <f>_xlfn.XLOOKUP(B939,
[1]sales_teams!$A$2:$A$100,
[1]sales_teams!$B$2:$B$100)</f>
        <v>Cara Losch</v>
      </c>
      <c r="D939" t="str">
        <f>_xlfn.XLOOKUP($B939,sales_teams!$A$2:$A$36,sales_teams!C$2:C$36)</f>
        <v>East</v>
      </c>
      <c r="E939" t="s">
        <v>18</v>
      </c>
      <c r="F939" t="s">
        <v>300</v>
      </c>
      <c r="G939" t="s">
        <v>46</v>
      </c>
      <c r="H939" s="1">
        <v>42784</v>
      </c>
      <c r="I939" s="1">
        <v>42881</v>
      </c>
      <c r="J939">
        <v>0</v>
      </c>
    </row>
    <row r="940" spans="1:10" x14ac:dyDescent="0.3">
      <c r="A940" t="s">
        <v>1071</v>
      </c>
      <c r="B940" t="s">
        <v>14</v>
      </c>
      <c r="C940" t="str">
        <f>_xlfn.XLOOKUP(B940,
[1]sales_teams!$A$2:$A$100,
[1]sales_teams!$B$2:$B$100)</f>
        <v>Melvin Marxen</v>
      </c>
      <c r="D940" t="str">
        <f>_xlfn.XLOOKUP($B940,sales_teams!$A$2:$A$36,sales_teams!C$2:C$36)</f>
        <v>Central</v>
      </c>
      <c r="E940" t="s">
        <v>15</v>
      </c>
      <c r="F940" t="s">
        <v>315</v>
      </c>
      <c r="G940" t="s">
        <v>46</v>
      </c>
      <c r="H940" s="1">
        <v>42784</v>
      </c>
      <c r="I940" s="1">
        <v>42875</v>
      </c>
      <c r="J940">
        <v>0</v>
      </c>
    </row>
    <row r="941" spans="1:10" x14ac:dyDescent="0.3">
      <c r="A941" t="s">
        <v>1072</v>
      </c>
      <c r="B941" t="s">
        <v>142</v>
      </c>
      <c r="C941" t="str">
        <f>_xlfn.XLOOKUP(B941,
[1]sales_teams!$A$2:$A$100,
[1]sales_teams!$B$2:$B$100)</f>
        <v>Rocco Neubert</v>
      </c>
      <c r="D941" t="str">
        <f>_xlfn.XLOOKUP($B941,sales_teams!$A$2:$A$36,sales_teams!C$2:C$36)</f>
        <v>East</v>
      </c>
      <c r="E941" t="s">
        <v>39</v>
      </c>
      <c r="F941" t="s">
        <v>204</v>
      </c>
      <c r="G941" t="s">
        <v>12</v>
      </c>
      <c r="H941" s="1">
        <v>42784</v>
      </c>
      <c r="I941" s="1">
        <v>42863</v>
      </c>
      <c r="J941">
        <v>3602</v>
      </c>
    </row>
    <row r="942" spans="1:10" x14ac:dyDescent="0.3">
      <c r="A942" t="s">
        <v>1073</v>
      </c>
      <c r="B942" t="s">
        <v>133</v>
      </c>
      <c r="C942" t="str">
        <f>_xlfn.XLOOKUP(B942,
[1]sales_teams!$A$2:$A$100,
[1]sales_teams!$B$2:$B$100)</f>
        <v>Dustin Brinkmann</v>
      </c>
      <c r="D942" t="str">
        <f>_xlfn.XLOOKUP($B942,sales_teams!$A$2:$A$36,sales_teams!C$2:C$36)</f>
        <v>Central</v>
      </c>
      <c r="E942" t="s">
        <v>39</v>
      </c>
      <c r="F942" t="s">
        <v>303</v>
      </c>
      <c r="G942" t="s">
        <v>12</v>
      </c>
      <c r="H942" s="1">
        <v>42784</v>
      </c>
      <c r="I942" s="1">
        <v>42862</v>
      </c>
      <c r="J942">
        <v>2904</v>
      </c>
    </row>
    <row r="943" spans="1:10" x14ac:dyDescent="0.3">
      <c r="A943" t="s">
        <v>1074</v>
      </c>
      <c r="B943" t="s">
        <v>32</v>
      </c>
      <c r="C943" t="str">
        <f>_xlfn.XLOOKUP(B943,
[1]sales_teams!$A$2:$A$100,
[1]sales_teams!$B$2:$B$100)</f>
        <v>Celia Rouche</v>
      </c>
      <c r="D943" t="str">
        <f>_xlfn.XLOOKUP($B943,sales_teams!$A$2:$A$36,sales_teams!C$2:C$36)</f>
        <v>West</v>
      </c>
      <c r="E943" t="s">
        <v>20</v>
      </c>
      <c r="F943" t="s">
        <v>52</v>
      </c>
      <c r="G943" t="s">
        <v>12</v>
      </c>
      <c r="H943" s="1">
        <v>42784</v>
      </c>
      <c r="I943" s="1">
        <v>42886</v>
      </c>
      <c r="J943">
        <v>571</v>
      </c>
    </row>
    <row r="944" spans="1:10" x14ac:dyDescent="0.3">
      <c r="A944" t="s">
        <v>1075</v>
      </c>
      <c r="B944" t="s">
        <v>116</v>
      </c>
      <c r="C944" t="str">
        <f>_xlfn.XLOOKUP(B944,
[1]sales_teams!$A$2:$A$100,
[1]sales_teams!$B$2:$B$100)</f>
        <v>Melvin Marxen</v>
      </c>
      <c r="D944" t="str">
        <f>_xlfn.XLOOKUP($B944,sales_teams!$A$2:$A$36,sales_teams!C$2:C$36)</f>
        <v>Central</v>
      </c>
      <c r="E944" t="s">
        <v>18</v>
      </c>
      <c r="F944" t="s">
        <v>45</v>
      </c>
      <c r="G944" t="s">
        <v>46</v>
      </c>
      <c r="H944" s="1">
        <v>42784</v>
      </c>
      <c r="I944" s="1">
        <v>42885</v>
      </c>
      <c r="J944">
        <v>0</v>
      </c>
    </row>
    <row r="945" spans="1:10" x14ac:dyDescent="0.3">
      <c r="A945" t="s">
        <v>1076</v>
      </c>
      <c r="B945" t="s">
        <v>97</v>
      </c>
      <c r="C945" t="str">
        <f>_xlfn.XLOOKUP(B945,
[1]sales_teams!$A$2:$A$100,
[1]sales_teams!$B$2:$B$100)</f>
        <v>Rocco Neubert</v>
      </c>
      <c r="D945" t="str">
        <f>_xlfn.XLOOKUP($B945,sales_teams!$A$2:$A$36,sales_teams!C$2:C$36)</f>
        <v>East</v>
      </c>
      <c r="E945" t="s">
        <v>20</v>
      </c>
      <c r="F945" t="s">
        <v>300</v>
      </c>
      <c r="G945" t="s">
        <v>12</v>
      </c>
      <c r="H945" s="1">
        <v>42784</v>
      </c>
      <c r="I945" s="1">
        <v>42904</v>
      </c>
      <c r="J945">
        <v>492</v>
      </c>
    </row>
    <row r="946" spans="1:10" x14ac:dyDescent="0.3">
      <c r="A946" t="s">
        <v>1077</v>
      </c>
      <c r="B946" t="s">
        <v>97</v>
      </c>
      <c r="C946" t="str">
        <f>_xlfn.XLOOKUP(B946,
[1]sales_teams!$A$2:$A$100,
[1]sales_teams!$B$2:$B$100)</f>
        <v>Rocco Neubert</v>
      </c>
      <c r="D946" t="str">
        <f>_xlfn.XLOOKUP($B946,sales_teams!$A$2:$A$36,sales_teams!C$2:C$36)</f>
        <v>East</v>
      </c>
      <c r="E946" t="s">
        <v>15</v>
      </c>
      <c r="F946" t="s">
        <v>300</v>
      </c>
      <c r="G946" t="s">
        <v>12</v>
      </c>
      <c r="H946" s="1">
        <v>42784</v>
      </c>
      <c r="I946" s="1">
        <v>42882</v>
      </c>
      <c r="J946">
        <v>4545</v>
      </c>
    </row>
    <row r="947" spans="1:10" x14ac:dyDescent="0.3">
      <c r="A947" t="s">
        <v>1078</v>
      </c>
      <c r="B947" t="s">
        <v>61</v>
      </c>
      <c r="C947" t="str">
        <f>_xlfn.XLOOKUP(B947,
[1]sales_teams!$A$2:$A$100,
[1]sales_teams!$B$2:$B$100)</f>
        <v>Dustin Brinkmann</v>
      </c>
      <c r="D947" t="str">
        <f>_xlfn.XLOOKUP($B947,sales_teams!$A$2:$A$36,sales_teams!C$2:C$36)</f>
        <v>Central</v>
      </c>
      <c r="E947" t="s">
        <v>48</v>
      </c>
      <c r="F947" t="s">
        <v>11</v>
      </c>
      <c r="G947" t="s">
        <v>12</v>
      </c>
      <c r="H947" s="1">
        <v>42784</v>
      </c>
      <c r="I947" s="1">
        <v>42819</v>
      </c>
      <c r="J947">
        <v>5614</v>
      </c>
    </row>
    <row r="948" spans="1:10" x14ac:dyDescent="0.3">
      <c r="A948" t="s">
        <v>1079</v>
      </c>
      <c r="B948" t="s">
        <v>26</v>
      </c>
      <c r="C948" t="str">
        <f>_xlfn.XLOOKUP(B948,
[1]sales_teams!$A$2:$A$100,
[1]sales_teams!$B$2:$B$100)</f>
        <v>Dustin Brinkmann</v>
      </c>
      <c r="D948" t="str">
        <f>_xlfn.XLOOKUP($B948,sales_teams!$A$2:$A$36,sales_teams!C$2:C$36)</f>
        <v>Central</v>
      </c>
      <c r="E948" t="s">
        <v>48</v>
      </c>
      <c r="F948" t="s">
        <v>303</v>
      </c>
      <c r="G948" t="s">
        <v>12</v>
      </c>
      <c r="H948" s="1">
        <v>42785</v>
      </c>
      <c r="I948" s="1">
        <v>42898</v>
      </c>
      <c r="J948">
        <v>5370</v>
      </c>
    </row>
    <row r="949" spans="1:10" x14ac:dyDescent="0.3">
      <c r="A949" t="s">
        <v>1080</v>
      </c>
      <c r="B949" t="s">
        <v>139</v>
      </c>
      <c r="C949" t="str">
        <f>_xlfn.XLOOKUP(B949,
[1]sales_teams!$A$2:$A$100,
[1]sales_teams!$B$2:$B$100)</f>
        <v>Rocco Neubert</v>
      </c>
      <c r="D949" t="str">
        <f>_xlfn.XLOOKUP($B949,sales_teams!$A$2:$A$36,sales_teams!C$2:C$36)</f>
        <v>East</v>
      </c>
      <c r="E949" t="s">
        <v>20</v>
      </c>
      <c r="F949" t="s">
        <v>373</v>
      </c>
      <c r="G949" t="s">
        <v>12</v>
      </c>
      <c r="H949" s="1">
        <v>42785</v>
      </c>
      <c r="I949" s="1">
        <v>42857</v>
      </c>
      <c r="J949">
        <v>550</v>
      </c>
    </row>
    <row r="950" spans="1:10" x14ac:dyDescent="0.3">
      <c r="A950" t="s">
        <v>1081</v>
      </c>
      <c r="B950" t="s">
        <v>118</v>
      </c>
      <c r="C950" t="str">
        <f>_xlfn.XLOOKUP(B950,
[1]sales_teams!$A$2:$A$100,
[1]sales_teams!$B$2:$B$100)</f>
        <v>Rocco Neubert</v>
      </c>
      <c r="D950" t="str">
        <f>_xlfn.XLOOKUP($B950,sales_teams!$A$2:$A$36,sales_teams!C$2:C$36)</f>
        <v>East</v>
      </c>
      <c r="E950" t="s">
        <v>10</v>
      </c>
      <c r="F950" t="s">
        <v>278</v>
      </c>
      <c r="G950" t="s">
        <v>12</v>
      </c>
      <c r="H950" s="1">
        <v>42785</v>
      </c>
      <c r="I950" s="1">
        <v>42796</v>
      </c>
      <c r="J950">
        <v>1011</v>
      </c>
    </row>
    <row r="951" spans="1:10" x14ac:dyDescent="0.3">
      <c r="A951" t="s">
        <v>1082</v>
      </c>
      <c r="B951" t="s">
        <v>164</v>
      </c>
      <c r="C951" t="str">
        <f>_xlfn.XLOOKUP(B951,
[1]sales_teams!$A$2:$A$100,
[1]sales_teams!$B$2:$B$100)</f>
        <v>Cara Losch</v>
      </c>
      <c r="D951" t="str">
        <f>_xlfn.XLOOKUP($B951,sales_teams!$A$2:$A$36,sales_teams!C$2:C$36)</f>
        <v>East</v>
      </c>
      <c r="E951" t="s">
        <v>18</v>
      </c>
      <c r="F951" t="s">
        <v>329</v>
      </c>
      <c r="G951" t="s">
        <v>12</v>
      </c>
      <c r="H951" s="1">
        <v>42785</v>
      </c>
      <c r="I951" s="1">
        <v>42904</v>
      </c>
      <c r="J951">
        <v>56</v>
      </c>
    </row>
    <row r="952" spans="1:10" x14ac:dyDescent="0.3">
      <c r="A952" t="s">
        <v>1083</v>
      </c>
      <c r="B952" t="s">
        <v>64</v>
      </c>
      <c r="C952" t="str">
        <f>_xlfn.XLOOKUP(B952,
[1]sales_teams!$A$2:$A$100,
[1]sales_teams!$B$2:$B$100)</f>
        <v>Rocco Neubert</v>
      </c>
      <c r="D952" t="str">
        <f>_xlfn.XLOOKUP($B952,sales_teams!$A$2:$A$36,sales_teams!C$2:C$36)</f>
        <v>East</v>
      </c>
      <c r="E952" t="s">
        <v>18</v>
      </c>
      <c r="G952" t="s">
        <v>40</v>
      </c>
      <c r="H952" s="1">
        <v>42785</v>
      </c>
    </row>
    <row r="953" spans="1:10" x14ac:dyDescent="0.3">
      <c r="A953" t="s">
        <v>1084</v>
      </c>
      <c r="B953" t="s">
        <v>14</v>
      </c>
      <c r="C953" t="str">
        <f>_xlfn.XLOOKUP(B953,
[1]sales_teams!$A$2:$A$100,
[1]sales_teams!$B$2:$B$100)</f>
        <v>Melvin Marxen</v>
      </c>
      <c r="D953" t="str">
        <f>_xlfn.XLOOKUP($B953,sales_teams!$A$2:$A$36,sales_teams!C$2:C$36)</f>
        <v>Central</v>
      </c>
      <c r="E953" t="s">
        <v>10</v>
      </c>
      <c r="F953" t="s">
        <v>21</v>
      </c>
      <c r="G953" t="s">
        <v>12</v>
      </c>
      <c r="H953" s="1">
        <v>42785</v>
      </c>
      <c r="I953" s="1">
        <v>42798</v>
      </c>
      <c r="J953">
        <v>1217</v>
      </c>
    </row>
    <row r="954" spans="1:10" x14ac:dyDescent="0.3">
      <c r="A954" t="s">
        <v>1085</v>
      </c>
      <c r="B954" t="s">
        <v>142</v>
      </c>
      <c r="C954" t="str">
        <f>_xlfn.XLOOKUP(B954,
[1]sales_teams!$A$2:$A$100,
[1]sales_teams!$B$2:$B$100)</f>
        <v>Rocco Neubert</v>
      </c>
      <c r="D954" t="str">
        <f>_xlfn.XLOOKUP($B954,sales_teams!$A$2:$A$36,sales_teams!C$2:C$36)</f>
        <v>East</v>
      </c>
      <c r="E954" t="s">
        <v>20</v>
      </c>
      <c r="F954" t="s">
        <v>192</v>
      </c>
      <c r="G954" t="s">
        <v>46</v>
      </c>
      <c r="H954" s="1">
        <v>42785</v>
      </c>
      <c r="I954" s="1">
        <v>42874</v>
      </c>
      <c r="J954">
        <v>0</v>
      </c>
    </row>
    <row r="955" spans="1:10" x14ac:dyDescent="0.3">
      <c r="A955" t="s">
        <v>1086</v>
      </c>
      <c r="B955" t="s">
        <v>142</v>
      </c>
      <c r="C955" t="str">
        <f>_xlfn.XLOOKUP(B955,
[1]sales_teams!$A$2:$A$100,
[1]sales_teams!$B$2:$B$100)</f>
        <v>Rocco Neubert</v>
      </c>
      <c r="D955" t="str">
        <f>_xlfn.XLOOKUP($B955,sales_teams!$A$2:$A$36,sales_teams!C$2:C$36)</f>
        <v>East</v>
      </c>
      <c r="E955" t="s">
        <v>39</v>
      </c>
      <c r="F955" t="s">
        <v>155</v>
      </c>
      <c r="G955" t="s">
        <v>12</v>
      </c>
      <c r="H955" s="1">
        <v>42785</v>
      </c>
      <c r="I955" s="1">
        <v>42865</v>
      </c>
      <c r="J955">
        <v>3222</v>
      </c>
    </row>
    <row r="956" spans="1:10" x14ac:dyDescent="0.3">
      <c r="A956" t="s">
        <v>1087</v>
      </c>
      <c r="B956" t="s">
        <v>105</v>
      </c>
      <c r="C956" t="str">
        <f>_xlfn.XLOOKUP(B956,
[1]sales_teams!$A$2:$A$100,
[1]sales_teams!$B$2:$B$100)</f>
        <v>Cara Losch</v>
      </c>
      <c r="D956" t="str">
        <f>_xlfn.XLOOKUP($B956,sales_teams!$A$2:$A$36,sales_teams!C$2:C$36)</f>
        <v>East</v>
      </c>
      <c r="E956" t="s">
        <v>20</v>
      </c>
      <c r="F956" t="s">
        <v>165</v>
      </c>
      <c r="G956" t="s">
        <v>46</v>
      </c>
      <c r="H956" s="1">
        <v>42785</v>
      </c>
      <c r="I956" s="1">
        <v>42869</v>
      </c>
      <c r="J956">
        <v>0</v>
      </c>
    </row>
    <row r="957" spans="1:10" x14ac:dyDescent="0.3">
      <c r="A957" t="s">
        <v>1088</v>
      </c>
      <c r="B957" t="s">
        <v>105</v>
      </c>
      <c r="C957" t="str">
        <f>_xlfn.XLOOKUP(B957,
[1]sales_teams!$A$2:$A$100,
[1]sales_teams!$B$2:$B$100)</f>
        <v>Cara Losch</v>
      </c>
      <c r="D957" t="str">
        <f>_xlfn.XLOOKUP($B957,sales_teams!$A$2:$A$36,sales_teams!C$2:C$36)</f>
        <v>East</v>
      </c>
      <c r="E957" t="s">
        <v>20</v>
      </c>
      <c r="F957" t="s">
        <v>222</v>
      </c>
      <c r="G957" t="s">
        <v>46</v>
      </c>
      <c r="H957" s="1">
        <v>42785</v>
      </c>
      <c r="I957" s="1">
        <v>42860</v>
      </c>
      <c r="J957">
        <v>0</v>
      </c>
    </row>
    <row r="958" spans="1:10" x14ac:dyDescent="0.3">
      <c r="A958" t="s">
        <v>1089</v>
      </c>
      <c r="B958" t="s">
        <v>105</v>
      </c>
      <c r="C958" t="str">
        <f>_xlfn.XLOOKUP(B958,
[1]sales_teams!$A$2:$A$100,
[1]sales_teams!$B$2:$B$100)</f>
        <v>Cara Losch</v>
      </c>
      <c r="D958" t="str">
        <f>_xlfn.XLOOKUP($B958,sales_teams!$A$2:$A$36,sales_teams!C$2:C$36)</f>
        <v>East</v>
      </c>
      <c r="E958" t="s">
        <v>39</v>
      </c>
      <c r="F958" t="s">
        <v>140</v>
      </c>
      <c r="G958" t="s">
        <v>12</v>
      </c>
      <c r="H958" s="1">
        <v>42785</v>
      </c>
      <c r="I958" s="1">
        <v>42795</v>
      </c>
      <c r="J958">
        <v>3348</v>
      </c>
    </row>
    <row r="959" spans="1:10" x14ac:dyDescent="0.3">
      <c r="A959" t="s">
        <v>1090</v>
      </c>
      <c r="B959" t="s">
        <v>252</v>
      </c>
      <c r="C959" t="str">
        <f>_xlfn.XLOOKUP(B959,
[1]sales_teams!$A$2:$A$100,
[1]sales_teams!$B$2:$B$100)</f>
        <v>Melvin Marxen</v>
      </c>
      <c r="D959" t="str">
        <f>_xlfn.XLOOKUP($B959,sales_teams!$A$2:$A$36,sales_teams!C$2:C$36)</f>
        <v>Central</v>
      </c>
      <c r="E959" t="s">
        <v>20</v>
      </c>
      <c r="F959" t="s">
        <v>120</v>
      </c>
      <c r="G959" t="s">
        <v>46</v>
      </c>
      <c r="H959" s="1">
        <v>42785</v>
      </c>
      <c r="I959" s="1">
        <v>42880</v>
      </c>
      <c r="J959">
        <v>0</v>
      </c>
    </row>
    <row r="960" spans="1:10" x14ac:dyDescent="0.3">
      <c r="A960" t="s">
        <v>1091</v>
      </c>
      <c r="B960" t="s">
        <v>78</v>
      </c>
      <c r="C960" t="str">
        <f>_xlfn.XLOOKUP(B960,
[1]sales_teams!$A$2:$A$100,
[1]sales_teams!$B$2:$B$100)</f>
        <v>Summer Sewald</v>
      </c>
      <c r="D960" t="str">
        <f>_xlfn.XLOOKUP($B960,sales_teams!$A$2:$A$36,sales_teams!C$2:C$36)</f>
        <v>West</v>
      </c>
      <c r="E960" t="s">
        <v>20</v>
      </c>
      <c r="F960" t="s">
        <v>194</v>
      </c>
      <c r="G960" t="s">
        <v>40</v>
      </c>
      <c r="H960" s="1">
        <v>42785</v>
      </c>
    </row>
    <row r="961" spans="1:10" x14ac:dyDescent="0.3">
      <c r="A961" t="s">
        <v>1092</v>
      </c>
      <c r="B961" t="s">
        <v>78</v>
      </c>
      <c r="C961" t="str">
        <f>_xlfn.XLOOKUP(B961,
[1]sales_teams!$A$2:$A$100,
[1]sales_teams!$B$2:$B$100)</f>
        <v>Summer Sewald</v>
      </c>
      <c r="D961" t="str">
        <f>_xlfn.XLOOKUP($B961,sales_teams!$A$2:$A$36,sales_teams!C$2:C$36)</f>
        <v>West</v>
      </c>
      <c r="E961" t="s">
        <v>15</v>
      </c>
      <c r="F961" t="s">
        <v>555</v>
      </c>
      <c r="G961" t="s">
        <v>12</v>
      </c>
      <c r="H961" s="1">
        <v>42785</v>
      </c>
      <c r="I961" s="1">
        <v>42799</v>
      </c>
      <c r="J961">
        <v>4216</v>
      </c>
    </row>
    <row r="962" spans="1:10" x14ac:dyDescent="0.3">
      <c r="A962" t="s">
        <v>1093</v>
      </c>
      <c r="B962" t="s">
        <v>32</v>
      </c>
      <c r="C962" t="str">
        <f>_xlfn.XLOOKUP(B962,
[1]sales_teams!$A$2:$A$100,
[1]sales_teams!$B$2:$B$100)</f>
        <v>Celia Rouche</v>
      </c>
      <c r="D962" t="str">
        <f>_xlfn.XLOOKUP($B962,sales_teams!$A$2:$A$36,sales_teams!C$2:C$36)</f>
        <v>West</v>
      </c>
      <c r="E962" t="s">
        <v>10</v>
      </c>
      <c r="G962" t="s">
        <v>40</v>
      </c>
      <c r="H962" s="1">
        <v>42785</v>
      </c>
    </row>
    <row r="963" spans="1:10" x14ac:dyDescent="0.3">
      <c r="A963" t="s">
        <v>1094</v>
      </c>
      <c r="B963" t="s">
        <v>32</v>
      </c>
      <c r="C963" t="str">
        <f>_xlfn.XLOOKUP(B963,
[1]sales_teams!$A$2:$A$100,
[1]sales_teams!$B$2:$B$100)</f>
        <v>Celia Rouche</v>
      </c>
      <c r="D963" t="str">
        <f>_xlfn.XLOOKUP($B963,sales_teams!$A$2:$A$36,sales_teams!C$2:C$36)</f>
        <v>West</v>
      </c>
      <c r="E963" t="s">
        <v>39</v>
      </c>
      <c r="G963" t="s">
        <v>40</v>
      </c>
      <c r="H963" s="1">
        <v>42785</v>
      </c>
    </row>
    <row r="964" spans="1:10" x14ac:dyDescent="0.3">
      <c r="A964" t="s">
        <v>1095</v>
      </c>
      <c r="B964" t="s">
        <v>9</v>
      </c>
      <c r="C964" t="str">
        <f>_xlfn.XLOOKUP(B964,
[1]sales_teams!$A$2:$A$100,
[1]sales_teams!$B$2:$B$100)</f>
        <v>Dustin Brinkmann</v>
      </c>
      <c r="D964" t="str">
        <f>_xlfn.XLOOKUP($B964,sales_teams!$A$2:$A$36,sales_teams!C$2:C$36)</f>
        <v>Central</v>
      </c>
      <c r="E964" t="s">
        <v>20</v>
      </c>
      <c r="F964" t="s">
        <v>111</v>
      </c>
      <c r="G964" t="s">
        <v>12</v>
      </c>
      <c r="H964" s="1">
        <v>42785</v>
      </c>
      <c r="I964" s="1">
        <v>42883</v>
      </c>
      <c r="J964">
        <v>404</v>
      </c>
    </row>
    <row r="965" spans="1:10" x14ac:dyDescent="0.3">
      <c r="A965" t="s">
        <v>1096</v>
      </c>
      <c r="B965" t="s">
        <v>88</v>
      </c>
      <c r="C965" t="str">
        <f>_xlfn.XLOOKUP(B965,
[1]sales_teams!$A$2:$A$100,
[1]sales_teams!$B$2:$B$100)</f>
        <v>Cara Losch</v>
      </c>
      <c r="D965" t="str">
        <f>_xlfn.XLOOKUP($B965,sales_teams!$A$2:$A$36,sales_teams!C$2:C$36)</f>
        <v>East</v>
      </c>
      <c r="E965" t="s">
        <v>48</v>
      </c>
      <c r="F965" t="s">
        <v>240</v>
      </c>
      <c r="G965" t="s">
        <v>46</v>
      </c>
      <c r="H965" s="1">
        <v>42785</v>
      </c>
      <c r="I965" s="1">
        <v>42894</v>
      </c>
      <c r="J965">
        <v>0</v>
      </c>
    </row>
    <row r="966" spans="1:10" x14ac:dyDescent="0.3">
      <c r="A966" t="s">
        <v>1097</v>
      </c>
      <c r="B966" t="s">
        <v>88</v>
      </c>
      <c r="C966" t="str">
        <f>_xlfn.XLOOKUP(B966,
[1]sales_teams!$A$2:$A$100,
[1]sales_teams!$B$2:$B$100)</f>
        <v>Cara Losch</v>
      </c>
      <c r="D966" t="str">
        <f>_xlfn.XLOOKUP($B966,sales_teams!$A$2:$A$36,sales_teams!C$2:C$36)</f>
        <v>East</v>
      </c>
      <c r="E966" t="s">
        <v>18</v>
      </c>
      <c r="F966" t="s">
        <v>300</v>
      </c>
      <c r="G966" t="s">
        <v>46</v>
      </c>
      <c r="H966" s="1">
        <v>42785</v>
      </c>
      <c r="I966" s="1">
        <v>42900</v>
      </c>
      <c r="J966">
        <v>0</v>
      </c>
    </row>
    <row r="967" spans="1:10" x14ac:dyDescent="0.3">
      <c r="A967" t="s">
        <v>1098</v>
      </c>
      <c r="B967" t="s">
        <v>88</v>
      </c>
      <c r="C967" t="str">
        <f>_xlfn.XLOOKUP(B967,
[1]sales_teams!$A$2:$A$100,
[1]sales_teams!$B$2:$B$100)</f>
        <v>Cara Losch</v>
      </c>
      <c r="D967" t="str">
        <f>_xlfn.XLOOKUP($B967,sales_teams!$A$2:$A$36,sales_teams!C$2:C$36)</f>
        <v>East</v>
      </c>
      <c r="E967" t="s">
        <v>15</v>
      </c>
      <c r="F967" t="s">
        <v>329</v>
      </c>
      <c r="G967" t="s">
        <v>12</v>
      </c>
      <c r="H967" s="1">
        <v>42785</v>
      </c>
      <c r="I967" s="1">
        <v>42798</v>
      </c>
      <c r="J967">
        <v>5260</v>
      </c>
    </row>
    <row r="968" spans="1:10" x14ac:dyDescent="0.3">
      <c r="A968" t="s">
        <v>1099</v>
      </c>
      <c r="B968" t="s">
        <v>29</v>
      </c>
      <c r="C968" t="str">
        <f>_xlfn.XLOOKUP(B968,
[1]sales_teams!$A$2:$A$100,
[1]sales_teams!$B$2:$B$100)</f>
        <v>Celia Rouche</v>
      </c>
      <c r="D968" t="str">
        <f>_xlfn.XLOOKUP($B968,sales_teams!$A$2:$A$36,sales_teams!C$2:C$36)</f>
        <v>West</v>
      </c>
      <c r="E968" t="s">
        <v>39</v>
      </c>
      <c r="G968" t="s">
        <v>40</v>
      </c>
      <c r="H968" s="1">
        <v>42785</v>
      </c>
    </row>
    <row r="969" spans="1:10" x14ac:dyDescent="0.3">
      <c r="A969" t="s">
        <v>1100</v>
      </c>
      <c r="B969" t="s">
        <v>29</v>
      </c>
      <c r="C969" t="str">
        <f>_xlfn.XLOOKUP(B969,
[1]sales_teams!$A$2:$A$100,
[1]sales_teams!$B$2:$B$100)</f>
        <v>Celia Rouche</v>
      </c>
      <c r="D969" t="str">
        <f>_xlfn.XLOOKUP($B969,sales_teams!$A$2:$A$36,sales_teams!C$2:C$36)</f>
        <v>West</v>
      </c>
      <c r="E969" t="s">
        <v>10</v>
      </c>
      <c r="F969" t="s">
        <v>155</v>
      </c>
      <c r="G969" t="s">
        <v>46</v>
      </c>
      <c r="H969" s="1">
        <v>42785</v>
      </c>
      <c r="I969" s="1">
        <v>42801</v>
      </c>
      <c r="J969">
        <v>0</v>
      </c>
    </row>
    <row r="970" spans="1:10" x14ac:dyDescent="0.3">
      <c r="A970" t="s">
        <v>1101</v>
      </c>
      <c r="B970" t="s">
        <v>73</v>
      </c>
      <c r="C970" t="str">
        <f>_xlfn.XLOOKUP(B970,
[1]sales_teams!$A$2:$A$100,
[1]sales_teams!$B$2:$B$100)</f>
        <v>Cara Losch</v>
      </c>
      <c r="D970" t="str">
        <f>_xlfn.XLOOKUP($B970,sales_teams!$A$2:$A$36,sales_teams!C$2:C$36)</f>
        <v>East</v>
      </c>
      <c r="E970" t="s">
        <v>18</v>
      </c>
      <c r="F970" t="s">
        <v>209</v>
      </c>
      <c r="G970" t="s">
        <v>12</v>
      </c>
      <c r="H970" s="1">
        <v>42785</v>
      </c>
      <c r="I970" s="1">
        <v>42861</v>
      </c>
      <c r="J970">
        <v>51</v>
      </c>
    </row>
    <row r="971" spans="1:10" x14ac:dyDescent="0.3">
      <c r="A971" t="s">
        <v>1102</v>
      </c>
      <c r="B971" t="s">
        <v>23</v>
      </c>
      <c r="C971" t="str">
        <f>_xlfn.XLOOKUP(B971,
[1]sales_teams!$A$2:$A$100,
[1]sales_teams!$B$2:$B$100)</f>
        <v>Summer Sewald</v>
      </c>
      <c r="D971" t="str">
        <f>_xlfn.XLOOKUP($B971,sales_teams!$A$2:$A$36,sales_teams!C$2:C$36)</f>
        <v>West</v>
      </c>
      <c r="E971" t="s">
        <v>20</v>
      </c>
      <c r="G971" t="s">
        <v>40</v>
      </c>
      <c r="H971" s="1">
        <v>42785</v>
      </c>
    </row>
    <row r="972" spans="1:10" x14ac:dyDescent="0.3">
      <c r="A972" t="s">
        <v>1103</v>
      </c>
      <c r="B972" t="s">
        <v>23</v>
      </c>
      <c r="C972" t="str">
        <f>_xlfn.XLOOKUP(B972,
[1]sales_teams!$A$2:$A$100,
[1]sales_teams!$B$2:$B$100)</f>
        <v>Summer Sewald</v>
      </c>
      <c r="D972" t="str">
        <f>_xlfn.XLOOKUP($B972,sales_teams!$A$2:$A$36,sales_teams!C$2:C$36)</f>
        <v>West</v>
      </c>
      <c r="E972" t="s">
        <v>20</v>
      </c>
      <c r="F972" t="s">
        <v>59</v>
      </c>
      <c r="G972" t="s">
        <v>12</v>
      </c>
      <c r="H972" s="1">
        <v>42785</v>
      </c>
      <c r="I972" s="1">
        <v>42911</v>
      </c>
      <c r="J972">
        <v>598</v>
      </c>
    </row>
    <row r="973" spans="1:10" x14ac:dyDescent="0.3">
      <c r="A973" t="s">
        <v>1104</v>
      </c>
      <c r="B973" t="s">
        <v>139</v>
      </c>
      <c r="C973" t="str">
        <f>_xlfn.XLOOKUP(B973,
[1]sales_teams!$A$2:$A$100,
[1]sales_teams!$B$2:$B$100)</f>
        <v>Rocco Neubert</v>
      </c>
      <c r="D973" t="str">
        <f>_xlfn.XLOOKUP($B973,sales_teams!$A$2:$A$36,sales_teams!C$2:C$36)</f>
        <v>East</v>
      </c>
      <c r="E973" t="s">
        <v>10</v>
      </c>
      <c r="F973" t="s">
        <v>199</v>
      </c>
      <c r="G973" t="s">
        <v>46</v>
      </c>
      <c r="H973" s="1">
        <v>42786</v>
      </c>
      <c r="I973" s="1">
        <v>42880</v>
      </c>
      <c r="J973">
        <v>0</v>
      </c>
    </row>
    <row r="974" spans="1:10" x14ac:dyDescent="0.3">
      <c r="A974" t="s">
        <v>1105</v>
      </c>
      <c r="B974" t="s">
        <v>139</v>
      </c>
      <c r="C974" t="str">
        <f>_xlfn.XLOOKUP(B974,
[1]sales_teams!$A$2:$A$100,
[1]sales_teams!$B$2:$B$100)</f>
        <v>Rocco Neubert</v>
      </c>
      <c r="D974" t="str">
        <f>_xlfn.XLOOKUP($B974,sales_teams!$A$2:$A$36,sales_teams!C$2:C$36)</f>
        <v>East</v>
      </c>
      <c r="E974" t="s">
        <v>18</v>
      </c>
      <c r="F974" t="s">
        <v>300</v>
      </c>
      <c r="G974" t="s">
        <v>12</v>
      </c>
      <c r="H974" s="1">
        <v>42786</v>
      </c>
      <c r="I974" s="1">
        <v>42879</v>
      </c>
      <c r="J974">
        <v>42</v>
      </c>
    </row>
    <row r="975" spans="1:10" x14ac:dyDescent="0.3">
      <c r="A975" t="s">
        <v>1106</v>
      </c>
      <c r="B975" t="s">
        <v>118</v>
      </c>
      <c r="C975" t="str">
        <f>_xlfn.XLOOKUP(B975,
[1]sales_teams!$A$2:$A$100,
[1]sales_teams!$B$2:$B$100)</f>
        <v>Rocco Neubert</v>
      </c>
      <c r="D975" t="str">
        <f>_xlfn.XLOOKUP($B975,sales_teams!$A$2:$A$36,sales_teams!C$2:C$36)</f>
        <v>East</v>
      </c>
      <c r="E975" t="s">
        <v>15</v>
      </c>
      <c r="F975" t="s">
        <v>74</v>
      </c>
      <c r="G975" t="s">
        <v>12</v>
      </c>
      <c r="H975" s="1">
        <v>42786</v>
      </c>
      <c r="I975" s="1">
        <v>42893</v>
      </c>
      <c r="J975">
        <v>4689</v>
      </c>
    </row>
    <row r="976" spans="1:10" x14ac:dyDescent="0.3">
      <c r="A976" t="s">
        <v>1107</v>
      </c>
      <c r="B976" t="s">
        <v>202</v>
      </c>
      <c r="C976" t="str">
        <f>_xlfn.XLOOKUP(B976,
[1]sales_teams!$A$2:$A$100,
[1]sales_teams!$B$2:$B$100)</f>
        <v>Dustin Brinkmann</v>
      </c>
      <c r="D976" t="str">
        <f>_xlfn.XLOOKUP($B976,sales_teams!$A$2:$A$36,sales_teams!C$2:C$36)</f>
        <v>Central</v>
      </c>
      <c r="E976" t="s">
        <v>48</v>
      </c>
      <c r="F976" t="s">
        <v>187</v>
      </c>
      <c r="G976" t="s">
        <v>12</v>
      </c>
      <c r="H976" s="1">
        <v>42786</v>
      </c>
      <c r="I976" s="1">
        <v>42912</v>
      </c>
      <c r="J976">
        <v>5154</v>
      </c>
    </row>
    <row r="977" spans="1:10" x14ac:dyDescent="0.3">
      <c r="A977" t="s">
        <v>1108</v>
      </c>
      <c r="B977" t="s">
        <v>14</v>
      </c>
      <c r="C977" t="str">
        <f>_xlfn.XLOOKUP(B977,
[1]sales_teams!$A$2:$A$100,
[1]sales_teams!$B$2:$B$100)</f>
        <v>Melvin Marxen</v>
      </c>
      <c r="D977" t="str">
        <f>_xlfn.XLOOKUP($B977,sales_teams!$A$2:$A$36,sales_teams!C$2:C$36)</f>
        <v>Central</v>
      </c>
      <c r="E977" t="s">
        <v>15</v>
      </c>
      <c r="F977" t="s">
        <v>109</v>
      </c>
      <c r="G977" t="s">
        <v>46</v>
      </c>
      <c r="H977" s="1">
        <v>42786</v>
      </c>
      <c r="I977" s="1">
        <v>42871</v>
      </c>
      <c r="J977">
        <v>0</v>
      </c>
    </row>
    <row r="978" spans="1:10" x14ac:dyDescent="0.3">
      <c r="A978" t="s">
        <v>1109</v>
      </c>
      <c r="B978" t="s">
        <v>142</v>
      </c>
      <c r="C978" t="str">
        <f>_xlfn.XLOOKUP(B978,
[1]sales_teams!$A$2:$A$100,
[1]sales_teams!$B$2:$B$100)</f>
        <v>Rocco Neubert</v>
      </c>
      <c r="D978" t="str">
        <f>_xlfn.XLOOKUP($B978,sales_teams!$A$2:$A$36,sales_teams!C$2:C$36)</f>
        <v>East</v>
      </c>
      <c r="E978" t="s">
        <v>15</v>
      </c>
      <c r="F978" t="s">
        <v>373</v>
      </c>
      <c r="G978" t="s">
        <v>12</v>
      </c>
      <c r="H978" s="1">
        <v>42786</v>
      </c>
      <c r="I978" s="1">
        <v>42860</v>
      </c>
      <c r="J978">
        <v>5010</v>
      </c>
    </row>
    <row r="979" spans="1:10" x14ac:dyDescent="0.3">
      <c r="A979" t="s">
        <v>1110</v>
      </c>
      <c r="B979" t="s">
        <v>44</v>
      </c>
      <c r="C979" t="str">
        <f>_xlfn.XLOOKUP(B979,
[1]sales_teams!$A$2:$A$100,
[1]sales_teams!$B$2:$B$100)</f>
        <v>Melvin Marxen</v>
      </c>
      <c r="D979" t="str">
        <f>_xlfn.XLOOKUP($B979,sales_teams!$A$2:$A$36,sales_teams!C$2:C$36)</f>
        <v>Central</v>
      </c>
      <c r="E979" t="s">
        <v>39</v>
      </c>
      <c r="F979" t="s">
        <v>129</v>
      </c>
      <c r="G979" t="s">
        <v>12</v>
      </c>
      <c r="H979" s="1">
        <v>42786</v>
      </c>
      <c r="I979" s="1">
        <v>42900</v>
      </c>
      <c r="J979">
        <v>3215</v>
      </c>
    </row>
    <row r="980" spans="1:10" x14ac:dyDescent="0.3">
      <c r="A980" t="s">
        <v>1111</v>
      </c>
      <c r="B980" t="s">
        <v>78</v>
      </c>
      <c r="C980" t="str">
        <f>_xlfn.XLOOKUP(B980,
[1]sales_teams!$A$2:$A$100,
[1]sales_teams!$B$2:$B$100)</f>
        <v>Summer Sewald</v>
      </c>
      <c r="D980" t="str">
        <f>_xlfn.XLOOKUP($B980,sales_teams!$A$2:$A$36,sales_teams!C$2:C$36)</f>
        <v>West</v>
      </c>
      <c r="E980" t="s">
        <v>20</v>
      </c>
      <c r="F980" t="s">
        <v>157</v>
      </c>
      <c r="G980" t="s">
        <v>46</v>
      </c>
      <c r="H980" s="1">
        <v>42786</v>
      </c>
      <c r="I980" s="1">
        <v>42889</v>
      </c>
      <c r="J980">
        <v>0</v>
      </c>
    </row>
    <row r="981" spans="1:10" x14ac:dyDescent="0.3">
      <c r="A981" t="s">
        <v>1112</v>
      </c>
      <c r="B981" t="s">
        <v>95</v>
      </c>
      <c r="C981" t="str">
        <f>_xlfn.XLOOKUP(B981,
[1]sales_teams!$A$2:$A$100,
[1]sales_teams!$B$2:$B$100)</f>
        <v>Summer Sewald</v>
      </c>
      <c r="D981" t="str">
        <f>_xlfn.XLOOKUP($B981,sales_teams!$A$2:$A$36,sales_teams!C$2:C$36)</f>
        <v>West</v>
      </c>
      <c r="E981" t="s">
        <v>10</v>
      </c>
      <c r="F981" t="s">
        <v>209</v>
      </c>
      <c r="G981" t="s">
        <v>40</v>
      </c>
      <c r="H981" s="1">
        <v>42786</v>
      </c>
    </row>
    <row r="982" spans="1:10" x14ac:dyDescent="0.3">
      <c r="A982" t="s">
        <v>1113</v>
      </c>
      <c r="B982" t="s">
        <v>95</v>
      </c>
      <c r="C982" t="str">
        <f>_xlfn.XLOOKUP(B982,
[1]sales_teams!$A$2:$A$100,
[1]sales_teams!$B$2:$B$100)</f>
        <v>Summer Sewald</v>
      </c>
      <c r="D982" t="str">
        <f>_xlfn.XLOOKUP($B982,sales_teams!$A$2:$A$36,sales_teams!C$2:C$36)</f>
        <v>West</v>
      </c>
      <c r="E982" t="s">
        <v>15</v>
      </c>
      <c r="F982" t="s">
        <v>24</v>
      </c>
      <c r="G982" t="s">
        <v>12</v>
      </c>
      <c r="H982" s="1">
        <v>42786</v>
      </c>
      <c r="I982" s="1">
        <v>42912</v>
      </c>
      <c r="J982">
        <v>3169</v>
      </c>
    </row>
    <row r="983" spans="1:10" x14ac:dyDescent="0.3">
      <c r="A983" t="s">
        <v>1114</v>
      </c>
      <c r="B983" t="s">
        <v>32</v>
      </c>
      <c r="C983" t="str">
        <f>_xlfn.XLOOKUP(B983,
[1]sales_teams!$A$2:$A$100,
[1]sales_teams!$B$2:$B$100)</f>
        <v>Celia Rouche</v>
      </c>
      <c r="D983" t="str">
        <f>_xlfn.XLOOKUP($B983,sales_teams!$A$2:$A$36,sales_teams!C$2:C$36)</f>
        <v>West</v>
      </c>
      <c r="E983" t="s">
        <v>10</v>
      </c>
      <c r="F983" t="s">
        <v>59</v>
      </c>
      <c r="G983" t="s">
        <v>46</v>
      </c>
      <c r="H983" s="1">
        <v>42786</v>
      </c>
      <c r="I983" s="1">
        <v>42913</v>
      </c>
      <c r="J983">
        <v>0</v>
      </c>
    </row>
    <row r="984" spans="1:10" x14ac:dyDescent="0.3">
      <c r="A984" t="s">
        <v>1115</v>
      </c>
      <c r="B984" t="s">
        <v>116</v>
      </c>
      <c r="C984" t="str">
        <f>_xlfn.XLOOKUP(B984,
[1]sales_teams!$A$2:$A$100,
[1]sales_teams!$B$2:$B$100)</f>
        <v>Melvin Marxen</v>
      </c>
      <c r="D984" t="str">
        <f>_xlfn.XLOOKUP($B984,sales_teams!$A$2:$A$36,sales_teams!C$2:C$36)</f>
        <v>Central</v>
      </c>
      <c r="E984" t="s">
        <v>48</v>
      </c>
      <c r="F984" t="s">
        <v>135</v>
      </c>
      <c r="G984" t="s">
        <v>12</v>
      </c>
      <c r="H984" s="1">
        <v>42786</v>
      </c>
      <c r="I984" s="1">
        <v>42889</v>
      </c>
      <c r="J984">
        <v>5015</v>
      </c>
    </row>
    <row r="985" spans="1:10" x14ac:dyDescent="0.3">
      <c r="A985" t="s">
        <v>1116</v>
      </c>
      <c r="B985" t="s">
        <v>51</v>
      </c>
      <c r="C985" t="str">
        <f>_xlfn.XLOOKUP(B985,
[1]sales_teams!$A$2:$A$100,
[1]sales_teams!$B$2:$B$100)</f>
        <v>Summer Sewald</v>
      </c>
      <c r="D985" t="str">
        <f>_xlfn.XLOOKUP($B985,sales_teams!$A$2:$A$36,sales_teams!C$2:C$36)</f>
        <v>West</v>
      </c>
      <c r="E985" t="s">
        <v>20</v>
      </c>
      <c r="F985" t="s">
        <v>174</v>
      </c>
      <c r="G985" t="s">
        <v>12</v>
      </c>
      <c r="H985" s="1">
        <v>42786</v>
      </c>
      <c r="I985" s="1">
        <v>42795</v>
      </c>
      <c r="J985">
        <v>571</v>
      </c>
    </row>
    <row r="986" spans="1:10" x14ac:dyDescent="0.3">
      <c r="A986" t="s">
        <v>1117</v>
      </c>
      <c r="B986" t="s">
        <v>97</v>
      </c>
      <c r="C986" t="str">
        <f>_xlfn.XLOOKUP(B986,
[1]sales_teams!$A$2:$A$100,
[1]sales_teams!$B$2:$B$100)</f>
        <v>Rocco Neubert</v>
      </c>
      <c r="D986" t="str">
        <f>_xlfn.XLOOKUP($B986,sales_teams!$A$2:$A$36,sales_teams!C$2:C$36)</f>
        <v>East</v>
      </c>
      <c r="E986" t="s">
        <v>15</v>
      </c>
      <c r="F986" t="s">
        <v>192</v>
      </c>
      <c r="G986" t="s">
        <v>12</v>
      </c>
      <c r="H986" s="1">
        <v>42786</v>
      </c>
      <c r="I986" s="1">
        <v>42871</v>
      </c>
      <c r="J986">
        <v>4839</v>
      </c>
    </row>
    <row r="987" spans="1:10" x14ac:dyDescent="0.3">
      <c r="A987" t="s">
        <v>1118</v>
      </c>
      <c r="B987" t="s">
        <v>97</v>
      </c>
      <c r="C987" t="str">
        <f>_xlfn.XLOOKUP(B987,
[1]sales_teams!$A$2:$A$100,
[1]sales_teams!$B$2:$B$100)</f>
        <v>Rocco Neubert</v>
      </c>
      <c r="D987" t="str">
        <f>_xlfn.XLOOKUP($B987,sales_teams!$A$2:$A$36,sales_teams!C$2:C$36)</f>
        <v>East</v>
      </c>
      <c r="E987" t="s">
        <v>39</v>
      </c>
      <c r="F987" t="s">
        <v>222</v>
      </c>
      <c r="G987" t="s">
        <v>12</v>
      </c>
      <c r="H987" s="1">
        <v>42786</v>
      </c>
      <c r="I987" s="1">
        <v>42799</v>
      </c>
      <c r="J987">
        <v>3315</v>
      </c>
    </row>
    <row r="988" spans="1:10" x14ac:dyDescent="0.3">
      <c r="A988" t="s">
        <v>1119</v>
      </c>
      <c r="B988" t="s">
        <v>61</v>
      </c>
      <c r="C988" t="str">
        <f>_xlfn.XLOOKUP(B988,
[1]sales_teams!$A$2:$A$100,
[1]sales_teams!$B$2:$B$100)</f>
        <v>Dustin Brinkmann</v>
      </c>
      <c r="D988" t="str">
        <f>_xlfn.XLOOKUP($B988,sales_teams!$A$2:$A$36,sales_teams!C$2:C$36)</f>
        <v>Central</v>
      </c>
      <c r="E988" t="s">
        <v>18</v>
      </c>
      <c r="F988" t="s">
        <v>76</v>
      </c>
      <c r="G988" t="s">
        <v>12</v>
      </c>
      <c r="H988" s="1">
        <v>42786</v>
      </c>
      <c r="I988" s="1">
        <v>42879</v>
      </c>
      <c r="J988">
        <v>60</v>
      </c>
    </row>
    <row r="989" spans="1:10" x14ac:dyDescent="0.3">
      <c r="A989" t="s">
        <v>1120</v>
      </c>
      <c r="B989" t="s">
        <v>29</v>
      </c>
      <c r="C989" t="str">
        <f>_xlfn.XLOOKUP(B989,
[1]sales_teams!$A$2:$A$100,
[1]sales_teams!$B$2:$B$100)</f>
        <v>Celia Rouche</v>
      </c>
      <c r="D989" t="str">
        <f>_xlfn.XLOOKUP($B989,sales_teams!$A$2:$A$36,sales_teams!C$2:C$36)</f>
        <v>West</v>
      </c>
      <c r="E989" t="s">
        <v>15</v>
      </c>
      <c r="G989" t="s">
        <v>40</v>
      </c>
      <c r="H989" s="1">
        <v>42786</v>
      </c>
    </row>
    <row r="990" spans="1:10" x14ac:dyDescent="0.3">
      <c r="A990" t="s">
        <v>1121</v>
      </c>
      <c r="B990" t="s">
        <v>102</v>
      </c>
      <c r="C990" t="str">
        <f>_xlfn.XLOOKUP(B990,
[1]sales_teams!$A$2:$A$100,
[1]sales_teams!$B$2:$B$100)</f>
        <v>Cara Losch</v>
      </c>
      <c r="D990" t="str">
        <f>_xlfn.XLOOKUP($B990,sales_teams!$A$2:$A$36,sales_teams!C$2:C$36)</f>
        <v>East</v>
      </c>
      <c r="E990" t="s">
        <v>39</v>
      </c>
      <c r="G990" t="s">
        <v>40</v>
      </c>
      <c r="H990" s="1">
        <v>42786</v>
      </c>
    </row>
    <row r="991" spans="1:10" x14ac:dyDescent="0.3">
      <c r="A991" t="s">
        <v>1122</v>
      </c>
      <c r="B991" t="s">
        <v>26</v>
      </c>
      <c r="C991" t="str">
        <f>_xlfn.XLOOKUP(B991,
[1]sales_teams!$A$2:$A$100,
[1]sales_teams!$B$2:$B$100)</f>
        <v>Dustin Brinkmann</v>
      </c>
      <c r="D991" t="str">
        <f>_xlfn.XLOOKUP($B991,sales_teams!$A$2:$A$36,sales_teams!C$2:C$36)</f>
        <v>Central</v>
      </c>
      <c r="E991" t="s">
        <v>10</v>
      </c>
      <c r="F991" t="s">
        <v>62</v>
      </c>
      <c r="G991" t="s">
        <v>12</v>
      </c>
      <c r="H991" s="1">
        <v>42787</v>
      </c>
      <c r="I991" s="1">
        <v>42798</v>
      </c>
      <c r="J991">
        <v>999</v>
      </c>
    </row>
    <row r="992" spans="1:10" x14ac:dyDescent="0.3">
      <c r="A992" t="s">
        <v>1123</v>
      </c>
      <c r="B992" t="s">
        <v>139</v>
      </c>
      <c r="C992" t="str">
        <f>_xlfn.XLOOKUP(B992,
[1]sales_teams!$A$2:$A$100,
[1]sales_teams!$B$2:$B$100)</f>
        <v>Rocco Neubert</v>
      </c>
      <c r="D992" t="str">
        <f>_xlfn.XLOOKUP($B992,sales_teams!$A$2:$A$36,sales_teams!C$2:C$36)</f>
        <v>East</v>
      </c>
      <c r="E992" t="s">
        <v>15</v>
      </c>
      <c r="G992" t="s">
        <v>40</v>
      </c>
      <c r="H992" s="1">
        <v>42787</v>
      </c>
    </row>
    <row r="993" spans="1:10" x14ac:dyDescent="0.3">
      <c r="A993" t="s">
        <v>1124</v>
      </c>
      <c r="B993" t="s">
        <v>14</v>
      </c>
      <c r="C993" t="str">
        <f>_xlfn.XLOOKUP(B993,
[1]sales_teams!$A$2:$A$100,
[1]sales_teams!$B$2:$B$100)</f>
        <v>Melvin Marxen</v>
      </c>
      <c r="D993" t="str">
        <f>_xlfn.XLOOKUP($B993,sales_teams!$A$2:$A$36,sales_teams!C$2:C$36)</f>
        <v>Central</v>
      </c>
      <c r="E993" t="s">
        <v>20</v>
      </c>
      <c r="F993" t="s">
        <v>187</v>
      </c>
      <c r="G993" t="s">
        <v>46</v>
      </c>
      <c r="H993" s="1">
        <v>42787</v>
      </c>
      <c r="I993" s="1">
        <v>42897</v>
      </c>
      <c r="J993">
        <v>0</v>
      </c>
    </row>
    <row r="994" spans="1:10" x14ac:dyDescent="0.3">
      <c r="A994" t="s">
        <v>1125</v>
      </c>
      <c r="B994" t="s">
        <v>133</v>
      </c>
      <c r="C994" t="str">
        <f>_xlfn.XLOOKUP(B994,
[1]sales_teams!$A$2:$A$100,
[1]sales_teams!$B$2:$B$100)</f>
        <v>Dustin Brinkmann</v>
      </c>
      <c r="D994" t="str">
        <f>_xlfn.XLOOKUP($B994,sales_teams!$A$2:$A$36,sales_teams!C$2:C$36)</f>
        <v>Central</v>
      </c>
      <c r="E994" t="s">
        <v>48</v>
      </c>
      <c r="F994" t="s">
        <v>129</v>
      </c>
      <c r="G994" t="s">
        <v>12</v>
      </c>
      <c r="H994" s="1">
        <v>42787</v>
      </c>
      <c r="I994" s="1">
        <v>42890</v>
      </c>
      <c r="J994">
        <v>5401</v>
      </c>
    </row>
    <row r="995" spans="1:10" x14ac:dyDescent="0.3">
      <c r="A995" t="s">
        <v>1126</v>
      </c>
      <c r="B995" t="s">
        <v>32</v>
      </c>
      <c r="C995" t="str">
        <f>_xlfn.XLOOKUP(B995,
[1]sales_teams!$A$2:$A$100,
[1]sales_teams!$B$2:$B$100)</f>
        <v>Celia Rouche</v>
      </c>
      <c r="D995" t="str">
        <f>_xlfn.XLOOKUP($B995,sales_teams!$A$2:$A$36,sales_teams!C$2:C$36)</f>
        <v>West</v>
      </c>
      <c r="E995" t="s">
        <v>39</v>
      </c>
      <c r="F995" t="s">
        <v>555</v>
      </c>
      <c r="G995" t="s">
        <v>40</v>
      </c>
      <c r="H995" s="1">
        <v>42787</v>
      </c>
    </row>
    <row r="996" spans="1:10" x14ac:dyDescent="0.3">
      <c r="A996" t="s">
        <v>1127</v>
      </c>
      <c r="B996" t="s">
        <v>51</v>
      </c>
      <c r="C996" t="str">
        <f>_xlfn.XLOOKUP(B996,
[1]sales_teams!$A$2:$A$100,
[1]sales_teams!$B$2:$B$100)</f>
        <v>Summer Sewald</v>
      </c>
      <c r="D996" t="str">
        <f>_xlfn.XLOOKUP($B996,sales_teams!$A$2:$A$36,sales_teams!C$2:C$36)</f>
        <v>West</v>
      </c>
      <c r="E996" t="s">
        <v>48</v>
      </c>
      <c r="G996" t="s">
        <v>40</v>
      </c>
      <c r="H996" s="1">
        <v>42787</v>
      </c>
    </row>
    <row r="997" spans="1:10" x14ac:dyDescent="0.3">
      <c r="A997" t="s">
        <v>1128</v>
      </c>
      <c r="B997" t="s">
        <v>9</v>
      </c>
      <c r="C997" t="str">
        <f>_xlfn.XLOOKUP(B997,
[1]sales_teams!$A$2:$A$100,
[1]sales_teams!$B$2:$B$100)</f>
        <v>Dustin Brinkmann</v>
      </c>
      <c r="D997" t="str">
        <f>_xlfn.XLOOKUP($B997,sales_teams!$A$2:$A$36,sales_teams!C$2:C$36)</f>
        <v>Central</v>
      </c>
      <c r="E997" t="s">
        <v>20</v>
      </c>
      <c r="F997" t="s">
        <v>126</v>
      </c>
      <c r="G997" t="s">
        <v>12</v>
      </c>
      <c r="H997" s="1">
        <v>42787</v>
      </c>
      <c r="I997" s="1">
        <v>42904</v>
      </c>
      <c r="J997">
        <v>551</v>
      </c>
    </row>
    <row r="998" spans="1:10" x14ac:dyDescent="0.3">
      <c r="A998" t="s">
        <v>1129</v>
      </c>
      <c r="B998" t="s">
        <v>97</v>
      </c>
      <c r="C998" t="str">
        <f>_xlfn.XLOOKUP(B998,
[1]sales_teams!$A$2:$A$100,
[1]sales_teams!$B$2:$B$100)</f>
        <v>Rocco Neubert</v>
      </c>
      <c r="D998" t="str">
        <f>_xlfn.XLOOKUP($B998,sales_teams!$A$2:$A$36,sales_teams!C$2:C$36)</f>
        <v>East</v>
      </c>
      <c r="E998" t="s">
        <v>48</v>
      </c>
      <c r="F998" t="s">
        <v>106</v>
      </c>
      <c r="G998" t="s">
        <v>46</v>
      </c>
      <c r="H998" s="1">
        <v>42787</v>
      </c>
      <c r="I998" s="1">
        <v>42878</v>
      </c>
      <c r="J998">
        <v>0</v>
      </c>
    </row>
    <row r="999" spans="1:10" x14ac:dyDescent="0.3">
      <c r="A999" t="s">
        <v>1130</v>
      </c>
      <c r="B999" t="s">
        <v>29</v>
      </c>
      <c r="C999" t="str">
        <f>_xlfn.XLOOKUP(B999,
[1]sales_teams!$A$2:$A$100,
[1]sales_teams!$B$2:$B$100)</f>
        <v>Celia Rouche</v>
      </c>
      <c r="D999" t="str">
        <f>_xlfn.XLOOKUP($B999,sales_teams!$A$2:$A$36,sales_teams!C$2:C$36)</f>
        <v>West</v>
      </c>
      <c r="E999" t="s">
        <v>20</v>
      </c>
      <c r="F999" t="s">
        <v>194</v>
      </c>
      <c r="G999" t="s">
        <v>12</v>
      </c>
      <c r="H999" s="1">
        <v>42787</v>
      </c>
      <c r="I999" s="1">
        <v>42814</v>
      </c>
      <c r="J999">
        <v>600</v>
      </c>
    </row>
    <row r="1000" spans="1:10" x14ac:dyDescent="0.3">
      <c r="A1000" t="s">
        <v>1131</v>
      </c>
      <c r="B1000" t="s">
        <v>73</v>
      </c>
      <c r="C1000" t="str">
        <f>_xlfn.XLOOKUP(B1000,
[1]sales_teams!$A$2:$A$100,
[1]sales_teams!$B$2:$B$100)</f>
        <v>Cara Losch</v>
      </c>
      <c r="D1000" t="str">
        <f>_xlfn.XLOOKUP($B1000,sales_teams!$A$2:$A$36,sales_teams!C$2:C$36)</f>
        <v>East</v>
      </c>
      <c r="E1000" t="s">
        <v>15</v>
      </c>
      <c r="F1000" t="s">
        <v>148</v>
      </c>
      <c r="G1000" t="s">
        <v>40</v>
      </c>
      <c r="H1000" s="1">
        <v>42787</v>
      </c>
    </row>
    <row r="1001" spans="1:10" x14ac:dyDescent="0.3">
      <c r="A1001" t="s">
        <v>1132</v>
      </c>
      <c r="B1001" t="s">
        <v>73</v>
      </c>
      <c r="C1001" t="str">
        <f>_xlfn.XLOOKUP(B1001,
[1]sales_teams!$A$2:$A$100,
[1]sales_teams!$B$2:$B$100)</f>
        <v>Cara Losch</v>
      </c>
      <c r="D1001" t="str">
        <f>_xlfn.XLOOKUP($B1001,sales_teams!$A$2:$A$36,sales_teams!C$2:C$36)</f>
        <v>East</v>
      </c>
      <c r="E1001" t="s">
        <v>48</v>
      </c>
      <c r="F1001" t="s">
        <v>165</v>
      </c>
      <c r="G1001" t="s">
        <v>46</v>
      </c>
      <c r="H1001" s="1">
        <v>42787</v>
      </c>
      <c r="I1001" s="1">
        <v>42860</v>
      </c>
      <c r="J1001">
        <v>0</v>
      </c>
    </row>
    <row r="1002" spans="1:10" x14ac:dyDescent="0.3">
      <c r="A1002" t="s">
        <v>1133</v>
      </c>
      <c r="B1002" t="s">
        <v>139</v>
      </c>
      <c r="C1002" t="str">
        <f>_xlfn.XLOOKUP(B1002,
[1]sales_teams!$A$2:$A$100,
[1]sales_teams!$B$2:$B$100)</f>
        <v>Rocco Neubert</v>
      </c>
      <c r="D1002" t="str">
        <f>_xlfn.XLOOKUP($B1002,sales_teams!$A$2:$A$36,sales_teams!C$2:C$36)</f>
        <v>East</v>
      </c>
      <c r="E1002" t="s">
        <v>18</v>
      </c>
      <c r="F1002" t="s">
        <v>103</v>
      </c>
      <c r="G1002" t="s">
        <v>46</v>
      </c>
      <c r="H1002" s="1">
        <v>42788</v>
      </c>
      <c r="I1002" s="1">
        <v>42877</v>
      </c>
      <c r="J1002">
        <v>0</v>
      </c>
    </row>
    <row r="1003" spans="1:10" x14ac:dyDescent="0.3">
      <c r="A1003" t="s">
        <v>1134</v>
      </c>
      <c r="B1003" t="s">
        <v>118</v>
      </c>
      <c r="C1003" t="str">
        <f>_xlfn.XLOOKUP(B1003,
[1]sales_teams!$A$2:$A$100,
[1]sales_teams!$B$2:$B$100)</f>
        <v>Rocco Neubert</v>
      </c>
      <c r="D1003" t="str">
        <f>_xlfn.XLOOKUP($B1003,sales_teams!$A$2:$A$36,sales_teams!C$2:C$36)</f>
        <v>East</v>
      </c>
      <c r="E1003" t="s">
        <v>15</v>
      </c>
      <c r="F1003" t="s">
        <v>329</v>
      </c>
      <c r="G1003" t="s">
        <v>12</v>
      </c>
      <c r="H1003" s="1">
        <v>42788</v>
      </c>
      <c r="I1003" s="1">
        <v>42796</v>
      </c>
      <c r="J1003">
        <v>4711</v>
      </c>
    </row>
    <row r="1004" spans="1:10" x14ac:dyDescent="0.3">
      <c r="A1004" t="s">
        <v>1135</v>
      </c>
      <c r="B1004" t="s">
        <v>164</v>
      </c>
      <c r="C1004" t="str">
        <f>_xlfn.XLOOKUP(B1004,
[1]sales_teams!$A$2:$A$100,
[1]sales_teams!$B$2:$B$100)</f>
        <v>Cara Losch</v>
      </c>
      <c r="D1004" t="str">
        <f>_xlfn.XLOOKUP($B1004,sales_teams!$A$2:$A$36,sales_teams!C$2:C$36)</f>
        <v>East</v>
      </c>
      <c r="E1004" t="s">
        <v>39</v>
      </c>
      <c r="F1004" t="s">
        <v>74</v>
      </c>
      <c r="G1004" t="s">
        <v>46</v>
      </c>
      <c r="H1004" s="1">
        <v>42788</v>
      </c>
      <c r="I1004" s="1">
        <v>42894</v>
      </c>
      <c r="J1004">
        <v>0</v>
      </c>
    </row>
    <row r="1005" spans="1:10" x14ac:dyDescent="0.3">
      <c r="A1005" t="s">
        <v>1136</v>
      </c>
      <c r="B1005" t="s">
        <v>164</v>
      </c>
      <c r="C1005" t="str">
        <f>_xlfn.XLOOKUP(B1005,
[1]sales_teams!$A$2:$A$100,
[1]sales_teams!$B$2:$B$100)</f>
        <v>Cara Losch</v>
      </c>
      <c r="D1005" t="str">
        <f>_xlfn.XLOOKUP($B1005,sales_teams!$A$2:$A$36,sales_teams!C$2:C$36)</f>
        <v>East</v>
      </c>
      <c r="E1005" t="s">
        <v>15</v>
      </c>
      <c r="F1005" t="s">
        <v>373</v>
      </c>
      <c r="G1005" t="s">
        <v>12</v>
      </c>
      <c r="H1005" s="1">
        <v>42788</v>
      </c>
      <c r="I1005" s="1">
        <v>42914</v>
      </c>
      <c r="J1005">
        <v>5133</v>
      </c>
    </row>
    <row r="1006" spans="1:10" x14ac:dyDescent="0.3">
      <c r="A1006" t="s">
        <v>1137</v>
      </c>
      <c r="B1006" t="s">
        <v>64</v>
      </c>
      <c r="C1006" t="str">
        <f>_xlfn.XLOOKUP(B1006,
[1]sales_teams!$A$2:$A$100,
[1]sales_teams!$B$2:$B$100)</f>
        <v>Rocco Neubert</v>
      </c>
      <c r="D1006" t="str">
        <f>_xlfn.XLOOKUP($B1006,sales_teams!$A$2:$A$36,sales_teams!C$2:C$36)</f>
        <v>East</v>
      </c>
      <c r="E1006" t="s">
        <v>20</v>
      </c>
      <c r="F1006" t="s">
        <v>70</v>
      </c>
      <c r="G1006" t="s">
        <v>40</v>
      </c>
      <c r="H1006" s="1">
        <v>42788</v>
      </c>
    </row>
    <row r="1007" spans="1:10" x14ac:dyDescent="0.3">
      <c r="A1007" t="s">
        <v>1138</v>
      </c>
      <c r="B1007" t="s">
        <v>64</v>
      </c>
      <c r="C1007" t="str">
        <f>_xlfn.XLOOKUP(B1007,
[1]sales_teams!$A$2:$A$100,
[1]sales_teams!$B$2:$B$100)</f>
        <v>Rocco Neubert</v>
      </c>
      <c r="D1007" t="str">
        <f>_xlfn.XLOOKUP($B1007,sales_teams!$A$2:$A$36,sales_teams!C$2:C$36)</f>
        <v>East</v>
      </c>
      <c r="E1007" t="s">
        <v>48</v>
      </c>
      <c r="F1007" t="s">
        <v>329</v>
      </c>
      <c r="G1007" t="s">
        <v>46</v>
      </c>
      <c r="H1007" s="1">
        <v>42788</v>
      </c>
      <c r="I1007" s="1">
        <v>42872</v>
      </c>
      <c r="J1007">
        <v>0</v>
      </c>
    </row>
    <row r="1008" spans="1:10" x14ac:dyDescent="0.3">
      <c r="A1008" t="s">
        <v>1139</v>
      </c>
      <c r="B1008" t="s">
        <v>64</v>
      </c>
      <c r="C1008" t="str">
        <f>_xlfn.XLOOKUP(B1008,
[1]sales_teams!$A$2:$A$100,
[1]sales_teams!$B$2:$B$100)</f>
        <v>Rocco Neubert</v>
      </c>
      <c r="D1008" t="str">
        <f>_xlfn.XLOOKUP($B1008,sales_teams!$A$2:$A$36,sales_teams!C$2:C$36)</f>
        <v>East</v>
      </c>
      <c r="E1008" t="s">
        <v>48</v>
      </c>
      <c r="F1008" t="s">
        <v>300</v>
      </c>
      <c r="G1008" t="s">
        <v>12</v>
      </c>
      <c r="H1008" s="1">
        <v>42788</v>
      </c>
      <c r="I1008" s="1">
        <v>42870</v>
      </c>
      <c r="J1008">
        <v>4848</v>
      </c>
    </row>
    <row r="1009" spans="1:10" x14ac:dyDescent="0.3">
      <c r="A1009" t="s">
        <v>1140</v>
      </c>
      <c r="B1009" t="s">
        <v>64</v>
      </c>
      <c r="C1009" t="str">
        <f>_xlfn.XLOOKUP(B1009,
[1]sales_teams!$A$2:$A$100,
[1]sales_teams!$B$2:$B$100)</f>
        <v>Rocco Neubert</v>
      </c>
      <c r="D1009" t="str">
        <f>_xlfn.XLOOKUP($B1009,sales_teams!$A$2:$A$36,sales_teams!C$2:C$36)</f>
        <v>East</v>
      </c>
      <c r="E1009" t="s">
        <v>15</v>
      </c>
      <c r="F1009" t="s">
        <v>106</v>
      </c>
      <c r="G1009" t="s">
        <v>12</v>
      </c>
      <c r="H1009" s="1">
        <v>42788</v>
      </c>
      <c r="I1009" s="1">
        <v>42797</v>
      </c>
      <c r="J1009">
        <v>4475</v>
      </c>
    </row>
    <row r="1010" spans="1:10" x14ac:dyDescent="0.3">
      <c r="A1010" t="s">
        <v>1141</v>
      </c>
      <c r="B1010" t="s">
        <v>14</v>
      </c>
      <c r="C1010" t="str">
        <f>_xlfn.XLOOKUP(B1010,
[1]sales_teams!$A$2:$A$100,
[1]sales_teams!$B$2:$B$100)</f>
        <v>Melvin Marxen</v>
      </c>
      <c r="D1010" t="str">
        <f>_xlfn.XLOOKUP($B1010,sales_teams!$A$2:$A$36,sales_teams!C$2:C$36)</f>
        <v>Central</v>
      </c>
      <c r="E1010" t="s">
        <v>20</v>
      </c>
      <c r="F1010" t="s">
        <v>303</v>
      </c>
      <c r="G1010" t="s">
        <v>46</v>
      </c>
      <c r="H1010" s="1">
        <v>42788</v>
      </c>
      <c r="I1010" s="1">
        <v>42799</v>
      </c>
      <c r="J1010">
        <v>0</v>
      </c>
    </row>
    <row r="1011" spans="1:10" x14ac:dyDescent="0.3">
      <c r="A1011" t="s">
        <v>1142</v>
      </c>
      <c r="B1011" t="s">
        <v>14</v>
      </c>
      <c r="C1011" t="str">
        <f>_xlfn.XLOOKUP(B1011,
[1]sales_teams!$A$2:$A$100,
[1]sales_teams!$B$2:$B$100)</f>
        <v>Melvin Marxen</v>
      </c>
      <c r="D1011" t="str">
        <f>_xlfn.XLOOKUP($B1011,sales_teams!$A$2:$A$36,sales_teams!C$2:C$36)</f>
        <v>Central</v>
      </c>
      <c r="E1011" t="s">
        <v>15</v>
      </c>
      <c r="F1011" t="s">
        <v>45</v>
      </c>
      <c r="G1011" t="s">
        <v>12</v>
      </c>
      <c r="H1011" s="1">
        <v>42788</v>
      </c>
      <c r="I1011" s="1">
        <v>42804</v>
      </c>
      <c r="J1011">
        <v>3763</v>
      </c>
    </row>
    <row r="1012" spans="1:10" x14ac:dyDescent="0.3">
      <c r="A1012" t="s">
        <v>1143</v>
      </c>
      <c r="B1012" t="s">
        <v>14</v>
      </c>
      <c r="C1012" t="str">
        <f>_xlfn.XLOOKUP(B1012,
[1]sales_teams!$A$2:$A$100,
[1]sales_teams!$B$2:$B$100)</f>
        <v>Melvin Marxen</v>
      </c>
      <c r="D1012" t="str">
        <f>_xlfn.XLOOKUP($B1012,sales_teams!$A$2:$A$36,sales_teams!C$2:C$36)</f>
        <v>Central</v>
      </c>
      <c r="E1012" t="s">
        <v>15</v>
      </c>
      <c r="F1012" t="s">
        <v>27</v>
      </c>
      <c r="G1012" t="s">
        <v>12</v>
      </c>
      <c r="H1012" s="1">
        <v>42788</v>
      </c>
      <c r="I1012" s="1">
        <v>42799</v>
      </c>
      <c r="J1012">
        <v>5006</v>
      </c>
    </row>
    <row r="1013" spans="1:10" x14ac:dyDescent="0.3">
      <c r="A1013" t="s">
        <v>1144</v>
      </c>
      <c r="B1013" t="s">
        <v>44</v>
      </c>
      <c r="C1013" t="str">
        <f>_xlfn.XLOOKUP(B1013,
[1]sales_teams!$A$2:$A$100,
[1]sales_teams!$B$2:$B$100)</f>
        <v>Melvin Marxen</v>
      </c>
      <c r="D1013" t="str">
        <f>_xlfn.XLOOKUP($B1013,sales_teams!$A$2:$A$36,sales_teams!C$2:C$36)</f>
        <v>Central</v>
      </c>
      <c r="E1013" t="s">
        <v>15</v>
      </c>
      <c r="F1013" t="s">
        <v>170</v>
      </c>
      <c r="G1013" t="s">
        <v>12</v>
      </c>
      <c r="H1013" s="1">
        <v>42788</v>
      </c>
      <c r="I1013" s="1">
        <v>42901</v>
      </c>
      <c r="J1013">
        <v>4498</v>
      </c>
    </row>
    <row r="1014" spans="1:10" x14ac:dyDescent="0.3">
      <c r="A1014" t="s">
        <v>1145</v>
      </c>
      <c r="B1014" t="s">
        <v>44</v>
      </c>
      <c r="C1014" t="str">
        <f>_xlfn.XLOOKUP(B1014,
[1]sales_teams!$A$2:$A$100,
[1]sales_teams!$B$2:$B$100)</f>
        <v>Melvin Marxen</v>
      </c>
      <c r="D1014" t="str">
        <f>_xlfn.XLOOKUP($B1014,sales_teams!$A$2:$A$36,sales_teams!C$2:C$36)</f>
        <v>Central</v>
      </c>
      <c r="E1014" t="s">
        <v>15</v>
      </c>
      <c r="F1014" t="s">
        <v>76</v>
      </c>
      <c r="G1014" t="s">
        <v>12</v>
      </c>
      <c r="H1014" s="1">
        <v>42788</v>
      </c>
      <c r="I1014" s="1">
        <v>42818</v>
      </c>
      <c r="J1014">
        <v>4375</v>
      </c>
    </row>
    <row r="1015" spans="1:10" x14ac:dyDescent="0.3">
      <c r="A1015" t="s">
        <v>1146</v>
      </c>
      <c r="B1015" t="s">
        <v>54</v>
      </c>
      <c r="C1015" t="str">
        <f>_xlfn.XLOOKUP(B1015,
[1]sales_teams!$A$2:$A$100,
[1]sales_teams!$B$2:$B$100)</f>
        <v>Celia Rouche</v>
      </c>
      <c r="D1015" t="str">
        <f>_xlfn.XLOOKUP($B1015,sales_teams!$A$2:$A$36,sales_teams!C$2:C$36)</f>
        <v>West</v>
      </c>
      <c r="E1015" t="s">
        <v>39</v>
      </c>
      <c r="G1015" t="s">
        <v>40</v>
      </c>
      <c r="H1015" s="1">
        <v>42788</v>
      </c>
    </row>
    <row r="1016" spans="1:10" x14ac:dyDescent="0.3">
      <c r="A1016" t="s">
        <v>1147</v>
      </c>
      <c r="B1016" t="s">
        <v>54</v>
      </c>
      <c r="C1016" t="str">
        <f>_xlfn.XLOOKUP(B1016,
[1]sales_teams!$A$2:$A$100,
[1]sales_teams!$B$2:$B$100)</f>
        <v>Celia Rouche</v>
      </c>
      <c r="D1016" t="str">
        <f>_xlfn.XLOOKUP($B1016,sales_teams!$A$2:$A$36,sales_teams!C$2:C$36)</f>
        <v>West</v>
      </c>
      <c r="E1016" t="s">
        <v>10</v>
      </c>
      <c r="F1016" t="s">
        <v>30</v>
      </c>
      <c r="G1016" t="s">
        <v>46</v>
      </c>
      <c r="H1016" s="1">
        <v>42788</v>
      </c>
      <c r="I1016" s="1">
        <v>42882</v>
      </c>
      <c r="J1016">
        <v>0</v>
      </c>
    </row>
    <row r="1017" spans="1:10" x14ac:dyDescent="0.3">
      <c r="A1017" t="s">
        <v>1148</v>
      </c>
      <c r="B1017" t="s">
        <v>54</v>
      </c>
      <c r="C1017" t="str">
        <f>_xlfn.XLOOKUP(B1017,
[1]sales_teams!$A$2:$A$100,
[1]sales_teams!$B$2:$B$100)</f>
        <v>Celia Rouche</v>
      </c>
      <c r="D1017" t="str">
        <f>_xlfn.XLOOKUP($B1017,sales_teams!$A$2:$A$36,sales_teams!C$2:C$36)</f>
        <v>West</v>
      </c>
      <c r="E1017" t="s">
        <v>39</v>
      </c>
      <c r="F1017" t="s">
        <v>70</v>
      </c>
      <c r="G1017" t="s">
        <v>12</v>
      </c>
      <c r="H1017" s="1">
        <v>42788</v>
      </c>
      <c r="I1017" s="1">
        <v>42890</v>
      </c>
      <c r="J1017">
        <v>3763</v>
      </c>
    </row>
    <row r="1018" spans="1:10" x14ac:dyDescent="0.3">
      <c r="A1018" t="s">
        <v>1149</v>
      </c>
      <c r="B1018" t="s">
        <v>78</v>
      </c>
      <c r="C1018" t="str">
        <f>_xlfn.XLOOKUP(B1018,
[1]sales_teams!$A$2:$A$100,
[1]sales_teams!$B$2:$B$100)</f>
        <v>Summer Sewald</v>
      </c>
      <c r="D1018" t="str">
        <f>_xlfn.XLOOKUP($B1018,sales_teams!$A$2:$A$36,sales_teams!C$2:C$36)</f>
        <v>West</v>
      </c>
      <c r="E1018" t="s">
        <v>15</v>
      </c>
      <c r="F1018" t="s">
        <v>30</v>
      </c>
      <c r="G1018" t="s">
        <v>46</v>
      </c>
      <c r="H1018" s="1">
        <v>42788</v>
      </c>
      <c r="I1018" s="1">
        <v>42808</v>
      </c>
      <c r="J1018">
        <v>0</v>
      </c>
    </row>
    <row r="1019" spans="1:10" x14ac:dyDescent="0.3">
      <c r="A1019" t="s">
        <v>1150</v>
      </c>
      <c r="B1019" t="s">
        <v>78</v>
      </c>
      <c r="C1019" t="str">
        <f>_xlfn.XLOOKUP(B1019,
[1]sales_teams!$A$2:$A$100,
[1]sales_teams!$B$2:$B$100)</f>
        <v>Summer Sewald</v>
      </c>
      <c r="D1019" t="str">
        <f>_xlfn.XLOOKUP($B1019,sales_teams!$A$2:$A$36,sales_teams!C$2:C$36)</f>
        <v>West</v>
      </c>
      <c r="E1019" t="s">
        <v>48</v>
      </c>
      <c r="F1019" t="s">
        <v>52</v>
      </c>
      <c r="G1019" t="s">
        <v>12</v>
      </c>
      <c r="H1019" s="1">
        <v>42788</v>
      </c>
      <c r="I1019" s="1">
        <v>42865</v>
      </c>
      <c r="J1019">
        <v>5491</v>
      </c>
    </row>
    <row r="1020" spans="1:10" x14ac:dyDescent="0.3">
      <c r="A1020" t="s">
        <v>1151</v>
      </c>
      <c r="B1020" t="s">
        <v>133</v>
      </c>
      <c r="C1020" t="str">
        <f>_xlfn.XLOOKUP(B1020,
[1]sales_teams!$A$2:$A$100,
[1]sales_teams!$B$2:$B$100)</f>
        <v>Dustin Brinkmann</v>
      </c>
      <c r="D1020" t="str">
        <f>_xlfn.XLOOKUP($B1020,sales_teams!$A$2:$A$36,sales_teams!C$2:C$36)</f>
        <v>Central</v>
      </c>
      <c r="E1020" t="s">
        <v>20</v>
      </c>
      <c r="F1020" t="s">
        <v>42</v>
      </c>
      <c r="G1020" t="s">
        <v>46</v>
      </c>
      <c r="H1020" s="1">
        <v>42788</v>
      </c>
      <c r="I1020" s="1">
        <v>42877</v>
      </c>
      <c r="J1020">
        <v>0</v>
      </c>
    </row>
    <row r="1021" spans="1:10" x14ac:dyDescent="0.3">
      <c r="A1021" t="s">
        <v>1152</v>
      </c>
      <c r="B1021" t="s">
        <v>32</v>
      </c>
      <c r="C1021" t="str">
        <f>_xlfn.XLOOKUP(B1021,
[1]sales_teams!$A$2:$A$100,
[1]sales_teams!$B$2:$B$100)</f>
        <v>Celia Rouche</v>
      </c>
      <c r="D1021" t="str">
        <f>_xlfn.XLOOKUP($B1021,sales_teams!$A$2:$A$36,sales_teams!C$2:C$36)</f>
        <v>West</v>
      </c>
      <c r="E1021" t="s">
        <v>48</v>
      </c>
      <c r="F1021" t="s">
        <v>159</v>
      </c>
      <c r="G1021" t="s">
        <v>12</v>
      </c>
      <c r="H1021" s="1">
        <v>42788</v>
      </c>
      <c r="I1021" s="1">
        <v>42903</v>
      </c>
      <c r="J1021">
        <v>5503</v>
      </c>
    </row>
    <row r="1022" spans="1:10" x14ac:dyDescent="0.3">
      <c r="A1022" t="s">
        <v>1153</v>
      </c>
      <c r="B1022" t="s">
        <v>9</v>
      </c>
      <c r="C1022" t="str">
        <f>_xlfn.XLOOKUP(B1022,
[1]sales_teams!$A$2:$A$100,
[1]sales_teams!$B$2:$B$100)</f>
        <v>Dustin Brinkmann</v>
      </c>
      <c r="D1022" t="str">
        <f>_xlfn.XLOOKUP($B1022,sales_teams!$A$2:$A$36,sales_teams!C$2:C$36)</f>
        <v>Central</v>
      </c>
      <c r="E1022" t="s">
        <v>10</v>
      </c>
      <c r="F1022" t="s">
        <v>151</v>
      </c>
      <c r="G1022" t="s">
        <v>46</v>
      </c>
      <c r="H1022" s="1">
        <v>42788</v>
      </c>
      <c r="I1022" s="1">
        <v>42885</v>
      </c>
      <c r="J1022">
        <v>0</v>
      </c>
    </row>
    <row r="1023" spans="1:10" x14ac:dyDescent="0.3">
      <c r="A1023" t="s">
        <v>1154</v>
      </c>
      <c r="B1023" t="s">
        <v>9</v>
      </c>
      <c r="C1023" t="str">
        <f>_xlfn.XLOOKUP(B1023,
[1]sales_teams!$A$2:$A$100,
[1]sales_teams!$B$2:$B$100)</f>
        <v>Dustin Brinkmann</v>
      </c>
      <c r="D1023" t="str">
        <f>_xlfn.XLOOKUP($B1023,sales_teams!$A$2:$A$36,sales_teams!C$2:C$36)</f>
        <v>Central</v>
      </c>
      <c r="E1023" t="s">
        <v>18</v>
      </c>
      <c r="F1023" t="s">
        <v>187</v>
      </c>
      <c r="G1023" t="s">
        <v>12</v>
      </c>
      <c r="H1023" s="1">
        <v>42788</v>
      </c>
      <c r="I1023" s="1">
        <v>42870</v>
      </c>
      <c r="J1023">
        <v>58</v>
      </c>
    </row>
    <row r="1024" spans="1:10" x14ac:dyDescent="0.3">
      <c r="A1024" t="s">
        <v>1155</v>
      </c>
      <c r="B1024" t="s">
        <v>35</v>
      </c>
      <c r="C1024" t="str">
        <f>_xlfn.XLOOKUP(B1024,
[1]sales_teams!$A$2:$A$100,
[1]sales_teams!$B$2:$B$100)</f>
        <v>Melvin Marxen</v>
      </c>
      <c r="D1024" t="str">
        <f>_xlfn.XLOOKUP($B1024,sales_teams!$A$2:$A$36,sales_teams!C$2:C$36)</f>
        <v>Central</v>
      </c>
      <c r="E1024" t="s">
        <v>10</v>
      </c>
      <c r="F1024" t="s">
        <v>45</v>
      </c>
      <c r="G1024" t="s">
        <v>12</v>
      </c>
      <c r="H1024" s="1">
        <v>42788</v>
      </c>
      <c r="I1024" s="1">
        <v>42882</v>
      </c>
      <c r="J1024">
        <v>1051</v>
      </c>
    </row>
    <row r="1025" spans="1:10" x14ac:dyDescent="0.3">
      <c r="A1025" t="s">
        <v>1156</v>
      </c>
      <c r="B1025" t="s">
        <v>35</v>
      </c>
      <c r="C1025" t="str">
        <f>_xlfn.XLOOKUP(B1025,
[1]sales_teams!$A$2:$A$100,
[1]sales_teams!$B$2:$B$100)</f>
        <v>Melvin Marxen</v>
      </c>
      <c r="D1025" t="str">
        <f>_xlfn.XLOOKUP($B1025,sales_teams!$A$2:$A$36,sales_teams!C$2:C$36)</f>
        <v>Central</v>
      </c>
      <c r="E1025" t="s">
        <v>48</v>
      </c>
      <c r="F1025" t="s">
        <v>120</v>
      </c>
      <c r="G1025" t="s">
        <v>12</v>
      </c>
      <c r="H1025" s="1">
        <v>42788</v>
      </c>
      <c r="I1025" s="1">
        <v>42801</v>
      </c>
      <c r="J1025">
        <v>5604</v>
      </c>
    </row>
    <row r="1026" spans="1:10" x14ac:dyDescent="0.3">
      <c r="A1026" t="s">
        <v>1157</v>
      </c>
      <c r="B1026" t="s">
        <v>97</v>
      </c>
      <c r="C1026" t="str">
        <f>_xlfn.XLOOKUP(B1026,
[1]sales_teams!$A$2:$A$100,
[1]sales_teams!$B$2:$B$100)</f>
        <v>Rocco Neubert</v>
      </c>
      <c r="D1026" t="str">
        <f>_xlfn.XLOOKUP($B1026,sales_teams!$A$2:$A$36,sales_teams!C$2:C$36)</f>
        <v>East</v>
      </c>
      <c r="E1026" t="s">
        <v>39</v>
      </c>
      <c r="F1026" t="s">
        <v>65</v>
      </c>
      <c r="G1026" t="s">
        <v>12</v>
      </c>
      <c r="H1026" s="1">
        <v>42788</v>
      </c>
      <c r="I1026" s="1">
        <v>42870</v>
      </c>
      <c r="J1026">
        <v>3273</v>
      </c>
    </row>
    <row r="1027" spans="1:10" x14ac:dyDescent="0.3">
      <c r="A1027" t="s">
        <v>1158</v>
      </c>
      <c r="B1027" t="s">
        <v>57</v>
      </c>
      <c r="C1027" t="str">
        <f>_xlfn.XLOOKUP(B1027,
[1]sales_teams!$A$2:$A$100,
[1]sales_teams!$B$2:$B$100)</f>
        <v>Celia Rouche</v>
      </c>
      <c r="D1027" t="str">
        <f>_xlfn.XLOOKUP($B1027,sales_teams!$A$2:$A$36,sales_teams!C$2:C$36)</f>
        <v>West</v>
      </c>
      <c r="E1027" t="s">
        <v>20</v>
      </c>
      <c r="G1027" t="s">
        <v>40</v>
      </c>
      <c r="H1027" s="1">
        <v>42788</v>
      </c>
    </row>
    <row r="1028" spans="1:10" x14ac:dyDescent="0.3">
      <c r="A1028" t="s">
        <v>1159</v>
      </c>
      <c r="B1028" t="s">
        <v>29</v>
      </c>
      <c r="C1028" t="str">
        <f>_xlfn.XLOOKUP(B1028,
[1]sales_teams!$A$2:$A$100,
[1]sales_teams!$B$2:$B$100)</f>
        <v>Celia Rouche</v>
      </c>
      <c r="D1028" t="str">
        <f>_xlfn.XLOOKUP($B1028,sales_teams!$A$2:$A$36,sales_teams!C$2:C$36)</f>
        <v>West</v>
      </c>
      <c r="E1028" t="s">
        <v>20</v>
      </c>
      <c r="F1028" t="s">
        <v>126</v>
      </c>
      <c r="G1028" t="s">
        <v>40</v>
      </c>
      <c r="H1028" s="1">
        <v>42788</v>
      </c>
    </row>
    <row r="1029" spans="1:10" x14ac:dyDescent="0.3">
      <c r="A1029" t="s">
        <v>1160</v>
      </c>
      <c r="B1029" t="s">
        <v>29</v>
      </c>
      <c r="C1029" t="str">
        <f>_xlfn.XLOOKUP(B1029,
[1]sales_teams!$A$2:$A$100,
[1]sales_teams!$B$2:$B$100)</f>
        <v>Celia Rouche</v>
      </c>
      <c r="D1029" t="str">
        <f>_xlfn.XLOOKUP($B1029,sales_teams!$A$2:$A$36,sales_teams!C$2:C$36)</f>
        <v>West</v>
      </c>
      <c r="E1029" t="s">
        <v>10</v>
      </c>
      <c r="F1029" t="s">
        <v>59</v>
      </c>
      <c r="G1029" t="s">
        <v>46</v>
      </c>
      <c r="H1029" s="1">
        <v>42788</v>
      </c>
      <c r="I1029" s="1">
        <v>42866</v>
      </c>
      <c r="J1029">
        <v>0</v>
      </c>
    </row>
    <row r="1030" spans="1:10" x14ac:dyDescent="0.3">
      <c r="A1030" t="s">
        <v>1161</v>
      </c>
      <c r="B1030" t="s">
        <v>23</v>
      </c>
      <c r="C1030" t="str">
        <f>_xlfn.XLOOKUP(B1030,
[1]sales_teams!$A$2:$A$100,
[1]sales_teams!$B$2:$B$100)</f>
        <v>Summer Sewald</v>
      </c>
      <c r="D1030" t="str">
        <f>_xlfn.XLOOKUP($B1030,sales_teams!$A$2:$A$36,sales_teams!C$2:C$36)</f>
        <v>West</v>
      </c>
      <c r="E1030" t="s">
        <v>10</v>
      </c>
      <c r="F1030" t="s">
        <v>59</v>
      </c>
      <c r="G1030" t="s">
        <v>12</v>
      </c>
      <c r="H1030" s="1">
        <v>42788</v>
      </c>
      <c r="I1030" s="1">
        <v>42888</v>
      </c>
      <c r="J1030">
        <v>1220</v>
      </c>
    </row>
    <row r="1031" spans="1:10" x14ac:dyDescent="0.3">
      <c r="A1031" t="s">
        <v>1162</v>
      </c>
      <c r="B1031" t="s">
        <v>23</v>
      </c>
      <c r="C1031" t="str">
        <f>_xlfn.XLOOKUP(B1031,
[1]sales_teams!$A$2:$A$100,
[1]sales_teams!$B$2:$B$100)</f>
        <v>Summer Sewald</v>
      </c>
      <c r="D1031" t="str">
        <f>_xlfn.XLOOKUP($B1031,sales_teams!$A$2:$A$36,sales_teams!C$2:C$36)</f>
        <v>West</v>
      </c>
      <c r="E1031" t="s">
        <v>48</v>
      </c>
      <c r="F1031" t="s">
        <v>273</v>
      </c>
      <c r="G1031" t="s">
        <v>12</v>
      </c>
      <c r="H1031" s="1">
        <v>42788</v>
      </c>
      <c r="I1031" s="1">
        <v>42796</v>
      </c>
      <c r="J1031">
        <v>5497</v>
      </c>
    </row>
    <row r="1032" spans="1:10" x14ac:dyDescent="0.3">
      <c r="A1032" t="s">
        <v>1163</v>
      </c>
      <c r="B1032" t="s">
        <v>26</v>
      </c>
      <c r="C1032" t="str">
        <f>_xlfn.XLOOKUP(B1032,
[1]sales_teams!$A$2:$A$100,
[1]sales_teams!$B$2:$B$100)</f>
        <v>Dustin Brinkmann</v>
      </c>
      <c r="D1032" t="str">
        <f>_xlfn.XLOOKUP($B1032,sales_teams!$A$2:$A$36,sales_teams!C$2:C$36)</f>
        <v>Central</v>
      </c>
      <c r="E1032" t="s">
        <v>10</v>
      </c>
      <c r="F1032" t="s">
        <v>120</v>
      </c>
      <c r="G1032" t="s">
        <v>12</v>
      </c>
      <c r="H1032" s="1">
        <v>42789</v>
      </c>
      <c r="I1032" s="1">
        <v>42896</v>
      </c>
      <c r="J1032">
        <v>1056</v>
      </c>
    </row>
    <row r="1033" spans="1:10" x14ac:dyDescent="0.3">
      <c r="A1033" t="s">
        <v>1164</v>
      </c>
      <c r="B1033" t="s">
        <v>139</v>
      </c>
      <c r="C1033" t="str">
        <f>_xlfn.XLOOKUP(B1033,
[1]sales_teams!$A$2:$A$100,
[1]sales_teams!$B$2:$B$100)</f>
        <v>Rocco Neubert</v>
      </c>
      <c r="D1033" t="str">
        <f>_xlfn.XLOOKUP($B1033,sales_teams!$A$2:$A$36,sales_teams!C$2:C$36)</f>
        <v>East</v>
      </c>
      <c r="E1033" t="s">
        <v>20</v>
      </c>
      <c r="F1033" t="s">
        <v>155</v>
      </c>
      <c r="G1033" t="s">
        <v>46</v>
      </c>
      <c r="H1033" s="1">
        <v>42789</v>
      </c>
      <c r="I1033" s="1">
        <v>42902</v>
      </c>
      <c r="J1033">
        <v>0</v>
      </c>
    </row>
    <row r="1034" spans="1:10" x14ac:dyDescent="0.3">
      <c r="A1034" t="s">
        <v>1165</v>
      </c>
      <c r="B1034" t="s">
        <v>118</v>
      </c>
      <c r="C1034" t="str">
        <f>_xlfn.XLOOKUP(B1034,
[1]sales_teams!$A$2:$A$100,
[1]sales_teams!$B$2:$B$100)</f>
        <v>Rocco Neubert</v>
      </c>
      <c r="D1034" t="str">
        <f>_xlfn.XLOOKUP($B1034,sales_teams!$A$2:$A$36,sales_teams!C$2:C$36)</f>
        <v>East</v>
      </c>
      <c r="E1034" t="s">
        <v>20</v>
      </c>
      <c r="F1034" t="s">
        <v>222</v>
      </c>
      <c r="G1034" t="s">
        <v>12</v>
      </c>
      <c r="H1034" s="1">
        <v>42789</v>
      </c>
      <c r="I1034" s="1">
        <v>42806</v>
      </c>
      <c r="J1034">
        <v>572</v>
      </c>
    </row>
    <row r="1035" spans="1:10" x14ac:dyDescent="0.3">
      <c r="A1035" t="s">
        <v>1166</v>
      </c>
      <c r="B1035" t="s">
        <v>202</v>
      </c>
      <c r="C1035" t="str">
        <f>_xlfn.XLOOKUP(B1035,
[1]sales_teams!$A$2:$A$100,
[1]sales_teams!$B$2:$B$100)</f>
        <v>Dustin Brinkmann</v>
      </c>
      <c r="D1035" t="str">
        <f>_xlfn.XLOOKUP($B1035,sales_teams!$A$2:$A$36,sales_teams!C$2:C$36)</f>
        <v>Central</v>
      </c>
      <c r="E1035" t="s">
        <v>39</v>
      </c>
      <c r="F1035" t="s">
        <v>135</v>
      </c>
      <c r="G1035" t="s">
        <v>12</v>
      </c>
      <c r="H1035" s="1">
        <v>42789</v>
      </c>
      <c r="I1035" s="1">
        <v>42878</v>
      </c>
      <c r="J1035">
        <v>3668</v>
      </c>
    </row>
    <row r="1036" spans="1:10" x14ac:dyDescent="0.3">
      <c r="A1036" t="s">
        <v>1167</v>
      </c>
      <c r="B1036" t="s">
        <v>164</v>
      </c>
      <c r="C1036" t="str">
        <f>_xlfn.XLOOKUP(B1036,
[1]sales_teams!$A$2:$A$100,
[1]sales_teams!$B$2:$B$100)</f>
        <v>Cara Losch</v>
      </c>
      <c r="D1036" t="str">
        <f>_xlfn.XLOOKUP($B1036,sales_teams!$A$2:$A$36,sales_teams!C$2:C$36)</f>
        <v>East</v>
      </c>
      <c r="E1036" t="s">
        <v>20</v>
      </c>
      <c r="G1036" t="s">
        <v>40</v>
      </c>
      <c r="H1036" s="1">
        <v>42789</v>
      </c>
    </row>
    <row r="1037" spans="1:10" x14ac:dyDescent="0.3">
      <c r="A1037" t="s">
        <v>1168</v>
      </c>
      <c r="B1037" t="s">
        <v>164</v>
      </c>
      <c r="C1037" t="str">
        <f>_xlfn.XLOOKUP(B1037,
[1]sales_teams!$A$2:$A$100,
[1]sales_teams!$B$2:$B$100)</f>
        <v>Cara Losch</v>
      </c>
      <c r="D1037" t="str">
        <f>_xlfn.XLOOKUP($B1037,sales_teams!$A$2:$A$36,sales_teams!C$2:C$36)</f>
        <v>East</v>
      </c>
      <c r="E1037" t="s">
        <v>18</v>
      </c>
      <c r="F1037" t="s">
        <v>179</v>
      </c>
      <c r="G1037" t="s">
        <v>12</v>
      </c>
      <c r="H1037" s="1">
        <v>42789</v>
      </c>
      <c r="I1037" s="1">
        <v>42796</v>
      </c>
      <c r="J1037">
        <v>50</v>
      </c>
    </row>
    <row r="1038" spans="1:10" x14ac:dyDescent="0.3">
      <c r="A1038" t="s">
        <v>1169</v>
      </c>
      <c r="B1038" t="s">
        <v>64</v>
      </c>
      <c r="C1038" t="str">
        <f>_xlfn.XLOOKUP(B1038,
[1]sales_teams!$A$2:$A$100,
[1]sales_teams!$B$2:$B$100)</f>
        <v>Rocco Neubert</v>
      </c>
      <c r="D1038" t="str">
        <f>_xlfn.XLOOKUP($B1038,sales_teams!$A$2:$A$36,sales_teams!C$2:C$36)</f>
        <v>East</v>
      </c>
      <c r="E1038" t="s">
        <v>39</v>
      </c>
      <c r="F1038" t="s">
        <v>143</v>
      </c>
      <c r="G1038" t="s">
        <v>12</v>
      </c>
      <c r="H1038" s="1">
        <v>42789</v>
      </c>
      <c r="I1038" s="1">
        <v>42877</v>
      </c>
      <c r="J1038">
        <v>3509</v>
      </c>
    </row>
    <row r="1039" spans="1:10" x14ac:dyDescent="0.3">
      <c r="A1039" t="s">
        <v>1170</v>
      </c>
      <c r="B1039" t="s">
        <v>14</v>
      </c>
      <c r="C1039" t="str">
        <f>_xlfn.XLOOKUP(B1039,
[1]sales_teams!$A$2:$A$100,
[1]sales_teams!$B$2:$B$100)</f>
        <v>Melvin Marxen</v>
      </c>
      <c r="D1039" t="str">
        <f>_xlfn.XLOOKUP($B1039,sales_teams!$A$2:$A$36,sales_teams!C$2:C$36)</f>
        <v>Central</v>
      </c>
      <c r="E1039" t="s">
        <v>15</v>
      </c>
      <c r="F1039" t="s">
        <v>109</v>
      </c>
      <c r="G1039" t="s">
        <v>12</v>
      </c>
      <c r="H1039" s="1">
        <v>42789</v>
      </c>
      <c r="I1039" s="1">
        <v>42914</v>
      </c>
      <c r="J1039">
        <v>5643</v>
      </c>
    </row>
    <row r="1040" spans="1:10" x14ac:dyDescent="0.3">
      <c r="A1040" t="s">
        <v>1171</v>
      </c>
      <c r="B1040" t="s">
        <v>67</v>
      </c>
      <c r="C1040" t="str">
        <f>_xlfn.XLOOKUP(B1040,
[1]sales_teams!$A$2:$A$100,
[1]sales_teams!$B$2:$B$100)</f>
        <v>Celia Rouche</v>
      </c>
      <c r="D1040" t="str">
        <f>_xlfn.XLOOKUP($B1040,sales_teams!$A$2:$A$36,sales_teams!C$2:C$36)</f>
        <v>West</v>
      </c>
      <c r="E1040" t="s">
        <v>18</v>
      </c>
      <c r="F1040" t="s">
        <v>174</v>
      </c>
      <c r="G1040" t="s">
        <v>12</v>
      </c>
      <c r="H1040" s="1">
        <v>42789</v>
      </c>
      <c r="I1040" s="1">
        <v>42804</v>
      </c>
      <c r="J1040">
        <v>47</v>
      </c>
    </row>
    <row r="1041" spans="1:10" x14ac:dyDescent="0.3">
      <c r="A1041" t="s">
        <v>1172</v>
      </c>
      <c r="B1041" t="s">
        <v>54</v>
      </c>
      <c r="C1041" t="str">
        <f>_xlfn.XLOOKUP(B1041,
[1]sales_teams!$A$2:$A$100,
[1]sales_teams!$B$2:$B$100)</f>
        <v>Celia Rouche</v>
      </c>
      <c r="D1041" t="str">
        <f>_xlfn.XLOOKUP($B1041,sales_teams!$A$2:$A$36,sales_teams!C$2:C$36)</f>
        <v>West</v>
      </c>
      <c r="E1041" t="s">
        <v>39</v>
      </c>
      <c r="F1041" t="s">
        <v>55</v>
      </c>
      <c r="G1041" t="s">
        <v>12</v>
      </c>
      <c r="H1041" s="1">
        <v>42789</v>
      </c>
      <c r="I1041" s="1">
        <v>42802</v>
      </c>
      <c r="J1041">
        <v>3312</v>
      </c>
    </row>
    <row r="1042" spans="1:10" x14ac:dyDescent="0.3">
      <c r="A1042" t="s">
        <v>1173</v>
      </c>
      <c r="B1042" t="s">
        <v>38</v>
      </c>
      <c r="C1042" t="str">
        <f>_xlfn.XLOOKUP(B1042,
[1]sales_teams!$A$2:$A$100,
[1]sales_teams!$B$2:$B$100)</f>
        <v>Summer Sewald</v>
      </c>
      <c r="D1042" t="str">
        <f>_xlfn.XLOOKUP($B1042,sales_teams!$A$2:$A$36,sales_teams!C$2:C$36)</f>
        <v>West</v>
      </c>
      <c r="E1042" t="s">
        <v>48</v>
      </c>
      <c r="F1042" t="s">
        <v>148</v>
      </c>
      <c r="G1042" t="s">
        <v>46</v>
      </c>
      <c r="H1042" s="1">
        <v>42789</v>
      </c>
      <c r="I1042" s="1">
        <v>42909</v>
      </c>
      <c r="J1042">
        <v>0</v>
      </c>
    </row>
    <row r="1043" spans="1:10" x14ac:dyDescent="0.3">
      <c r="A1043" t="s">
        <v>1174</v>
      </c>
      <c r="B1043" t="s">
        <v>78</v>
      </c>
      <c r="C1043" t="str">
        <f>_xlfn.XLOOKUP(B1043,
[1]sales_teams!$A$2:$A$100,
[1]sales_teams!$B$2:$B$100)</f>
        <v>Summer Sewald</v>
      </c>
      <c r="D1043" t="str">
        <f>_xlfn.XLOOKUP($B1043,sales_teams!$A$2:$A$36,sales_teams!C$2:C$36)</f>
        <v>West</v>
      </c>
      <c r="E1043" t="s">
        <v>39</v>
      </c>
      <c r="G1043" t="s">
        <v>40</v>
      </c>
      <c r="H1043" s="1">
        <v>42789</v>
      </c>
    </row>
    <row r="1044" spans="1:10" x14ac:dyDescent="0.3">
      <c r="A1044" t="s">
        <v>1175</v>
      </c>
      <c r="B1044" t="s">
        <v>78</v>
      </c>
      <c r="C1044" t="str">
        <f>_xlfn.XLOOKUP(B1044,
[1]sales_teams!$A$2:$A$100,
[1]sales_teams!$B$2:$B$100)</f>
        <v>Summer Sewald</v>
      </c>
      <c r="D1044" t="str">
        <f>_xlfn.XLOOKUP($B1044,sales_teams!$A$2:$A$36,sales_teams!C$2:C$36)</f>
        <v>West</v>
      </c>
      <c r="E1044" t="s">
        <v>20</v>
      </c>
      <c r="F1044" t="s">
        <v>86</v>
      </c>
      <c r="G1044" t="s">
        <v>12</v>
      </c>
      <c r="H1044" s="1">
        <v>42789</v>
      </c>
      <c r="I1044" s="1">
        <v>42805</v>
      </c>
      <c r="J1044">
        <v>480</v>
      </c>
    </row>
    <row r="1045" spans="1:10" x14ac:dyDescent="0.3">
      <c r="A1045" t="s">
        <v>1176</v>
      </c>
      <c r="B1045" t="s">
        <v>78</v>
      </c>
      <c r="C1045" t="str">
        <f>_xlfn.XLOOKUP(B1045,
[1]sales_teams!$A$2:$A$100,
[1]sales_teams!$B$2:$B$100)</f>
        <v>Summer Sewald</v>
      </c>
      <c r="D1045" t="str">
        <f>_xlfn.XLOOKUP($B1045,sales_teams!$A$2:$A$36,sales_teams!C$2:C$36)</f>
        <v>West</v>
      </c>
      <c r="E1045" t="s">
        <v>39</v>
      </c>
      <c r="F1045" t="s">
        <v>157</v>
      </c>
      <c r="G1045" t="s">
        <v>12</v>
      </c>
      <c r="H1045" s="1">
        <v>42789</v>
      </c>
      <c r="I1045" s="1">
        <v>42861</v>
      </c>
      <c r="J1045">
        <v>3208</v>
      </c>
    </row>
    <row r="1046" spans="1:10" x14ac:dyDescent="0.3">
      <c r="A1046" t="s">
        <v>1177</v>
      </c>
      <c r="B1046" t="s">
        <v>95</v>
      </c>
      <c r="C1046" t="str">
        <f>_xlfn.XLOOKUP(B1046,
[1]sales_teams!$A$2:$A$100,
[1]sales_teams!$B$2:$B$100)</f>
        <v>Summer Sewald</v>
      </c>
      <c r="D1046" t="str">
        <f>_xlfn.XLOOKUP($B1046,sales_teams!$A$2:$A$36,sales_teams!C$2:C$36)</f>
        <v>West</v>
      </c>
      <c r="E1046" t="s">
        <v>20</v>
      </c>
      <c r="F1046" t="s">
        <v>159</v>
      </c>
      <c r="G1046" t="s">
        <v>46</v>
      </c>
      <c r="H1046" s="1">
        <v>42789</v>
      </c>
      <c r="I1046" s="1">
        <v>42859</v>
      </c>
      <c r="J1046">
        <v>0</v>
      </c>
    </row>
    <row r="1047" spans="1:10" x14ac:dyDescent="0.3">
      <c r="A1047" t="s">
        <v>1178</v>
      </c>
      <c r="B1047" t="s">
        <v>95</v>
      </c>
      <c r="C1047" t="str">
        <f>_xlfn.XLOOKUP(B1047,
[1]sales_teams!$A$2:$A$100,
[1]sales_teams!$B$2:$B$100)</f>
        <v>Summer Sewald</v>
      </c>
      <c r="D1047" t="str">
        <f>_xlfn.XLOOKUP($B1047,sales_teams!$A$2:$A$36,sales_teams!C$2:C$36)</f>
        <v>West</v>
      </c>
      <c r="E1047" t="s">
        <v>48</v>
      </c>
      <c r="F1047" t="s">
        <v>155</v>
      </c>
      <c r="G1047" t="s">
        <v>12</v>
      </c>
      <c r="H1047" s="1">
        <v>42789</v>
      </c>
      <c r="I1047" s="1">
        <v>42859</v>
      </c>
      <c r="J1047">
        <v>5782</v>
      </c>
    </row>
    <row r="1048" spans="1:10" x14ac:dyDescent="0.3">
      <c r="A1048" t="s">
        <v>1179</v>
      </c>
      <c r="B1048" t="s">
        <v>133</v>
      </c>
      <c r="C1048" t="str">
        <f>_xlfn.XLOOKUP(B1048,
[1]sales_teams!$A$2:$A$100,
[1]sales_teams!$B$2:$B$100)</f>
        <v>Dustin Brinkmann</v>
      </c>
      <c r="D1048" t="str">
        <f>_xlfn.XLOOKUP($B1048,sales_teams!$A$2:$A$36,sales_teams!C$2:C$36)</f>
        <v>Central</v>
      </c>
      <c r="E1048" t="s">
        <v>48</v>
      </c>
      <c r="F1048" t="s">
        <v>151</v>
      </c>
      <c r="G1048" t="s">
        <v>12</v>
      </c>
      <c r="H1048" s="1">
        <v>42789</v>
      </c>
      <c r="I1048" s="1">
        <v>42878</v>
      </c>
      <c r="J1048">
        <v>5827</v>
      </c>
    </row>
    <row r="1049" spans="1:10" x14ac:dyDescent="0.3">
      <c r="A1049" t="s">
        <v>1180</v>
      </c>
      <c r="B1049" t="s">
        <v>51</v>
      </c>
      <c r="C1049" t="str">
        <f>_xlfn.XLOOKUP(B1049,
[1]sales_teams!$A$2:$A$100,
[1]sales_teams!$B$2:$B$100)</f>
        <v>Summer Sewald</v>
      </c>
      <c r="D1049" t="str">
        <f>_xlfn.XLOOKUP($B1049,sales_teams!$A$2:$A$36,sales_teams!C$2:C$36)</f>
        <v>West</v>
      </c>
      <c r="E1049" t="s">
        <v>15</v>
      </c>
      <c r="G1049" t="s">
        <v>40</v>
      </c>
      <c r="H1049" s="1">
        <v>42789</v>
      </c>
    </row>
    <row r="1050" spans="1:10" x14ac:dyDescent="0.3">
      <c r="A1050" t="s">
        <v>1181</v>
      </c>
      <c r="B1050" t="s">
        <v>51</v>
      </c>
      <c r="C1050" t="str">
        <f>_xlfn.XLOOKUP(B1050,
[1]sales_teams!$A$2:$A$100,
[1]sales_teams!$B$2:$B$100)</f>
        <v>Summer Sewald</v>
      </c>
      <c r="D1050" t="str">
        <f>_xlfn.XLOOKUP($B1050,sales_teams!$A$2:$A$36,sales_teams!C$2:C$36)</f>
        <v>West</v>
      </c>
      <c r="E1050" t="s">
        <v>20</v>
      </c>
      <c r="F1050" t="s">
        <v>555</v>
      </c>
      <c r="G1050" t="s">
        <v>46</v>
      </c>
      <c r="H1050" s="1">
        <v>42789</v>
      </c>
      <c r="I1050" s="1">
        <v>42903</v>
      </c>
      <c r="J1050">
        <v>0</v>
      </c>
    </row>
    <row r="1051" spans="1:10" x14ac:dyDescent="0.3">
      <c r="A1051" t="s">
        <v>1182</v>
      </c>
      <c r="B1051" t="s">
        <v>9</v>
      </c>
      <c r="C1051" t="str">
        <f>_xlfn.XLOOKUP(B1051,
[1]sales_teams!$A$2:$A$100,
[1]sales_teams!$B$2:$B$100)</f>
        <v>Dustin Brinkmann</v>
      </c>
      <c r="D1051" t="str">
        <f>_xlfn.XLOOKUP($B1051,sales_teams!$A$2:$A$36,sales_teams!C$2:C$36)</f>
        <v>Central</v>
      </c>
      <c r="E1051" t="s">
        <v>20</v>
      </c>
      <c r="F1051" t="s">
        <v>42</v>
      </c>
      <c r="G1051" t="s">
        <v>12</v>
      </c>
      <c r="H1051" s="1">
        <v>42789</v>
      </c>
      <c r="I1051" s="1">
        <v>42902</v>
      </c>
      <c r="J1051">
        <v>516</v>
      </c>
    </row>
    <row r="1052" spans="1:10" x14ac:dyDescent="0.3">
      <c r="A1052" t="s">
        <v>1183</v>
      </c>
      <c r="B1052" t="s">
        <v>9</v>
      </c>
      <c r="C1052" t="str">
        <f>_xlfn.XLOOKUP(B1052,
[1]sales_teams!$A$2:$A$100,
[1]sales_teams!$B$2:$B$100)</f>
        <v>Dustin Brinkmann</v>
      </c>
      <c r="D1052" t="str">
        <f>_xlfn.XLOOKUP($B1052,sales_teams!$A$2:$A$36,sales_teams!C$2:C$36)</f>
        <v>Central</v>
      </c>
      <c r="E1052" t="s">
        <v>10</v>
      </c>
      <c r="F1052" t="s">
        <v>218</v>
      </c>
      <c r="G1052" t="s">
        <v>12</v>
      </c>
      <c r="H1052" s="1">
        <v>42789</v>
      </c>
      <c r="I1052" s="1">
        <v>42892</v>
      </c>
      <c r="J1052">
        <v>956</v>
      </c>
    </row>
    <row r="1053" spans="1:10" x14ac:dyDescent="0.3">
      <c r="A1053" t="s">
        <v>1184</v>
      </c>
      <c r="B1053" t="s">
        <v>9</v>
      </c>
      <c r="C1053" t="str">
        <f>_xlfn.XLOOKUP(B1053,
[1]sales_teams!$A$2:$A$100,
[1]sales_teams!$B$2:$B$100)</f>
        <v>Dustin Brinkmann</v>
      </c>
      <c r="D1053" t="str">
        <f>_xlfn.XLOOKUP($B1053,sales_teams!$A$2:$A$36,sales_teams!C$2:C$36)</f>
        <v>Central</v>
      </c>
      <c r="E1053" t="s">
        <v>18</v>
      </c>
      <c r="F1053" t="s">
        <v>111</v>
      </c>
      <c r="G1053" t="s">
        <v>12</v>
      </c>
      <c r="H1053" s="1">
        <v>42789</v>
      </c>
      <c r="I1053" s="1">
        <v>42809</v>
      </c>
      <c r="J1053">
        <v>52</v>
      </c>
    </row>
    <row r="1054" spans="1:10" x14ac:dyDescent="0.3">
      <c r="A1054" t="s">
        <v>1185</v>
      </c>
      <c r="B1054" t="s">
        <v>9</v>
      </c>
      <c r="C1054" t="str">
        <f>_xlfn.XLOOKUP(B1054,
[1]sales_teams!$A$2:$A$100,
[1]sales_teams!$B$2:$B$100)</f>
        <v>Dustin Brinkmann</v>
      </c>
      <c r="D1054" t="str">
        <f>_xlfn.XLOOKUP($B1054,sales_teams!$A$2:$A$36,sales_teams!C$2:C$36)</f>
        <v>Central</v>
      </c>
      <c r="E1054" t="s">
        <v>39</v>
      </c>
      <c r="F1054" t="s">
        <v>170</v>
      </c>
      <c r="G1054" t="s">
        <v>12</v>
      </c>
      <c r="H1054" s="1">
        <v>42789</v>
      </c>
      <c r="I1054" s="1">
        <v>42866</v>
      </c>
      <c r="J1054">
        <v>3025</v>
      </c>
    </row>
    <row r="1055" spans="1:10" x14ac:dyDescent="0.3">
      <c r="A1055" t="s">
        <v>1186</v>
      </c>
      <c r="B1055" t="s">
        <v>97</v>
      </c>
      <c r="C1055" t="str">
        <f>_xlfn.XLOOKUP(B1055,
[1]sales_teams!$A$2:$A$100,
[1]sales_teams!$B$2:$B$100)</f>
        <v>Rocco Neubert</v>
      </c>
      <c r="D1055" t="str">
        <f>_xlfn.XLOOKUP($B1055,sales_teams!$A$2:$A$36,sales_teams!C$2:C$36)</f>
        <v>East</v>
      </c>
      <c r="E1055" t="s">
        <v>15</v>
      </c>
      <c r="F1055" t="s">
        <v>103</v>
      </c>
      <c r="G1055" t="s">
        <v>12</v>
      </c>
      <c r="H1055" s="1">
        <v>42789</v>
      </c>
      <c r="I1055" s="1">
        <v>42896</v>
      </c>
      <c r="J1055">
        <v>5618</v>
      </c>
    </row>
    <row r="1056" spans="1:10" x14ac:dyDescent="0.3">
      <c r="A1056" t="s">
        <v>1187</v>
      </c>
      <c r="B1056" t="s">
        <v>88</v>
      </c>
      <c r="C1056" t="str">
        <f>_xlfn.XLOOKUP(B1056,
[1]sales_teams!$A$2:$A$100,
[1]sales_teams!$B$2:$B$100)</f>
        <v>Cara Losch</v>
      </c>
      <c r="D1056" t="str">
        <f>_xlfn.XLOOKUP($B1056,sales_teams!$A$2:$A$36,sales_teams!C$2:C$36)</f>
        <v>East</v>
      </c>
      <c r="E1056" t="s">
        <v>15</v>
      </c>
      <c r="F1056" t="s">
        <v>189</v>
      </c>
      <c r="G1056" t="s">
        <v>12</v>
      </c>
      <c r="H1056" s="1">
        <v>42789</v>
      </c>
      <c r="I1056" s="1">
        <v>42864</v>
      </c>
      <c r="J1056">
        <v>4867</v>
      </c>
    </row>
    <row r="1057" spans="1:10" x14ac:dyDescent="0.3">
      <c r="A1057" t="s">
        <v>1188</v>
      </c>
      <c r="B1057" t="s">
        <v>23</v>
      </c>
      <c r="C1057" t="str">
        <f>_xlfn.XLOOKUP(B1057,
[1]sales_teams!$A$2:$A$100,
[1]sales_teams!$B$2:$B$100)</f>
        <v>Summer Sewald</v>
      </c>
      <c r="D1057" t="str">
        <f>_xlfn.XLOOKUP($B1057,sales_teams!$A$2:$A$36,sales_teams!C$2:C$36)</f>
        <v>West</v>
      </c>
      <c r="E1057" t="s">
        <v>10</v>
      </c>
      <c r="F1057" t="s">
        <v>155</v>
      </c>
      <c r="G1057" t="s">
        <v>12</v>
      </c>
      <c r="H1057" s="1">
        <v>42789</v>
      </c>
      <c r="I1057" s="1">
        <v>42808</v>
      </c>
      <c r="J1057">
        <v>929</v>
      </c>
    </row>
    <row r="1058" spans="1:10" x14ac:dyDescent="0.3">
      <c r="A1058" t="s">
        <v>1189</v>
      </c>
      <c r="B1058" t="s">
        <v>118</v>
      </c>
      <c r="C1058" t="str">
        <f>_xlfn.XLOOKUP(B1058,
[1]sales_teams!$A$2:$A$100,
[1]sales_teams!$B$2:$B$100)</f>
        <v>Rocco Neubert</v>
      </c>
      <c r="D1058" t="str">
        <f>_xlfn.XLOOKUP($B1058,sales_teams!$A$2:$A$36,sales_teams!C$2:C$36)</f>
        <v>East</v>
      </c>
      <c r="E1058" t="s">
        <v>20</v>
      </c>
      <c r="G1058" t="s">
        <v>40</v>
      </c>
      <c r="H1058" s="1">
        <v>42790</v>
      </c>
    </row>
    <row r="1059" spans="1:10" x14ac:dyDescent="0.3">
      <c r="A1059" t="s">
        <v>1190</v>
      </c>
      <c r="B1059" t="s">
        <v>202</v>
      </c>
      <c r="C1059" t="str">
        <f>_xlfn.XLOOKUP(B1059,
[1]sales_teams!$A$2:$A$100,
[1]sales_teams!$B$2:$B$100)</f>
        <v>Dustin Brinkmann</v>
      </c>
      <c r="D1059" t="str">
        <f>_xlfn.XLOOKUP($B1059,sales_teams!$A$2:$A$36,sales_teams!C$2:C$36)</f>
        <v>Central</v>
      </c>
      <c r="E1059" t="s">
        <v>18</v>
      </c>
      <c r="F1059" t="s">
        <v>91</v>
      </c>
      <c r="G1059" t="s">
        <v>46</v>
      </c>
      <c r="H1059" s="1">
        <v>42790</v>
      </c>
      <c r="I1059" s="1">
        <v>42891</v>
      </c>
      <c r="J1059">
        <v>0</v>
      </c>
    </row>
    <row r="1060" spans="1:10" x14ac:dyDescent="0.3">
      <c r="A1060" t="s">
        <v>1191</v>
      </c>
      <c r="B1060" t="s">
        <v>164</v>
      </c>
      <c r="C1060" t="str">
        <f>_xlfn.XLOOKUP(B1060,
[1]sales_teams!$A$2:$A$100,
[1]sales_teams!$B$2:$B$100)</f>
        <v>Cara Losch</v>
      </c>
      <c r="D1060" t="str">
        <f>_xlfn.XLOOKUP($B1060,sales_teams!$A$2:$A$36,sales_teams!C$2:C$36)</f>
        <v>East</v>
      </c>
      <c r="E1060" t="s">
        <v>20</v>
      </c>
      <c r="G1060" t="s">
        <v>40</v>
      </c>
      <c r="H1060" s="1">
        <v>42790</v>
      </c>
    </row>
    <row r="1061" spans="1:10" x14ac:dyDescent="0.3">
      <c r="A1061" t="s">
        <v>1192</v>
      </c>
      <c r="B1061" t="s">
        <v>164</v>
      </c>
      <c r="C1061" t="str">
        <f>_xlfn.XLOOKUP(B1061,
[1]sales_teams!$A$2:$A$100,
[1]sales_teams!$B$2:$B$100)</f>
        <v>Cara Losch</v>
      </c>
      <c r="D1061" t="str">
        <f>_xlfn.XLOOKUP($B1061,sales_teams!$A$2:$A$36,sales_teams!C$2:C$36)</f>
        <v>East</v>
      </c>
      <c r="E1061" t="s">
        <v>39</v>
      </c>
      <c r="F1061" t="s">
        <v>65</v>
      </c>
      <c r="G1061" t="s">
        <v>46</v>
      </c>
      <c r="H1061" s="1">
        <v>42790</v>
      </c>
      <c r="I1061" s="1">
        <v>42866</v>
      </c>
      <c r="J1061">
        <v>0</v>
      </c>
    </row>
    <row r="1062" spans="1:10" x14ac:dyDescent="0.3">
      <c r="A1062" t="s">
        <v>1193</v>
      </c>
      <c r="B1062" t="s">
        <v>14</v>
      </c>
      <c r="C1062" t="str">
        <f>_xlfn.XLOOKUP(B1062,
[1]sales_teams!$A$2:$A$100,
[1]sales_teams!$B$2:$B$100)</f>
        <v>Melvin Marxen</v>
      </c>
      <c r="D1062" t="str">
        <f>_xlfn.XLOOKUP($B1062,sales_teams!$A$2:$A$36,sales_teams!C$2:C$36)</f>
        <v>Central</v>
      </c>
      <c r="E1062" t="s">
        <v>15</v>
      </c>
      <c r="F1062" t="s">
        <v>170</v>
      </c>
      <c r="G1062" t="s">
        <v>12</v>
      </c>
      <c r="H1062" s="1">
        <v>42790</v>
      </c>
      <c r="I1062" s="1">
        <v>42860</v>
      </c>
      <c r="J1062">
        <v>5010</v>
      </c>
    </row>
    <row r="1063" spans="1:10" x14ac:dyDescent="0.3">
      <c r="A1063" t="s">
        <v>1194</v>
      </c>
      <c r="B1063" t="s">
        <v>142</v>
      </c>
      <c r="C1063" t="str">
        <f>_xlfn.XLOOKUP(B1063,
[1]sales_teams!$A$2:$A$100,
[1]sales_teams!$B$2:$B$100)</f>
        <v>Rocco Neubert</v>
      </c>
      <c r="D1063" t="str">
        <f>_xlfn.XLOOKUP($B1063,sales_teams!$A$2:$A$36,sales_teams!C$2:C$36)</f>
        <v>East</v>
      </c>
      <c r="E1063" t="s">
        <v>15</v>
      </c>
      <c r="F1063" t="s">
        <v>745</v>
      </c>
      <c r="G1063" t="s">
        <v>12</v>
      </c>
      <c r="H1063" s="1">
        <v>42790</v>
      </c>
      <c r="I1063" s="1">
        <v>42870</v>
      </c>
      <c r="J1063">
        <v>5621</v>
      </c>
    </row>
    <row r="1064" spans="1:10" x14ac:dyDescent="0.3">
      <c r="A1064" t="s">
        <v>1195</v>
      </c>
      <c r="B1064" t="s">
        <v>142</v>
      </c>
      <c r="C1064" t="str">
        <f>_xlfn.XLOOKUP(B1064,
[1]sales_teams!$A$2:$A$100,
[1]sales_teams!$B$2:$B$100)</f>
        <v>Rocco Neubert</v>
      </c>
      <c r="D1064" t="str">
        <f>_xlfn.XLOOKUP($B1064,sales_teams!$A$2:$A$36,sales_teams!C$2:C$36)</f>
        <v>East</v>
      </c>
      <c r="E1064" t="s">
        <v>39</v>
      </c>
      <c r="F1064" t="s">
        <v>518</v>
      </c>
      <c r="G1064" t="s">
        <v>12</v>
      </c>
      <c r="H1064" s="1">
        <v>42790</v>
      </c>
      <c r="I1064" s="1">
        <v>42857</v>
      </c>
      <c r="J1064">
        <v>3233</v>
      </c>
    </row>
    <row r="1065" spans="1:10" x14ac:dyDescent="0.3">
      <c r="A1065" t="s">
        <v>1196</v>
      </c>
      <c r="B1065" t="s">
        <v>105</v>
      </c>
      <c r="C1065" t="str">
        <f>_xlfn.XLOOKUP(B1065,
[1]sales_teams!$A$2:$A$100,
[1]sales_teams!$B$2:$B$100)</f>
        <v>Cara Losch</v>
      </c>
      <c r="D1065" t="str">
        <f>_xlfn.XLOOKUP($B1065,sales_teams!$A$2:$A$36,sales_teams!C$2:C$36)</f>
        <v>East</v>
      </c>
      <c r="E1065" t="s">
        <v>18</v>
      </c>
      <c r="F1065" t="s">
        <v>98</v>
      </c>
      <c r="G1065" t="s">
        <v>12</v>
      </c>
      <c r="H1065" s="1">
        <v>42790</v>
      </c>
      <c r="I1065" s="1">
        <v>42883</v>
      </c>
      <c r="J1065">
        <v>55</v>
      </c>
    </row>
    <row r="1066" spans="1:10" x14ac:dyDescent="0.3">
      <c r="A1066" t="s">
        <v>1197</v>
      </c>
      <c r="B1066" t="s">
        <v>105</v>
      </c>
      <c r="C1066" t="str">
        <f>_xlfn.XLOOKUP(B1066,
[1]sales_teams!$A$2:$A$100,
[1]sales_teams!$B$2:$B$100)</f>
        <v>Cara Losch</v>
      </c>
      <c r="D1066" t="str">
        <f>_xlfn.XLOOKUP($B1066,sales_teams!$A$2:$A$36,sales_teams!C$2:C$36)</f>
        <v>East</v>
      </c>
      <c r="E1066" t="s">
        <v>39</v>
      </c>
      <c r="F1066" t="s">
        <v>165</v>
      </c>
      <c r="G1066" t="s">
        <v>12</v>
      </c>
      <c r="H1066" s="1">
        <v>42790</v>
      </c>
      <c r="I1066" s="1">
        <v>42801</v>
      </c>
      <c r="J1066">
        <v>3278</v>
      </c>
    </row>
    <row r="1067" spans="1:10" x14ac:dyDescent="0.3">
      <c r="A1067" t="s">
        <v>1198</v>
      </c>
      <c r="B1067" t="s">
        <v>44</v>
      </c>
      <c r="C1067" t="str">
        <f>_xlfn.XLOOKUP(B1067,
[1]sales_teams!$A$2:$A$100,
[1]sales_teams!$B$2:$B$100)</f>
        <v>Melvin Marxen</v>
      </c>
      <c r="D1067" t="str">
        <f>_xlfn.XLOOKUP($B1067,sales_teams!$A$2:$A$36,sales_teams!C$2:C$36)</f>
        <v>Central</v>
      </c>
      <c r="E1067" t="s">
        <v>10</v>
      </c>
      <c r="F1067" t="s">
        <v>207</v>
      </c>
      <c r="G1067" t="s">
        <v>12</v>
      </c>
      <c r="H1067" s="1">
        <v>42790</v>
      </c>
      <c r="I1067" s="1">
        <v>42804</v>
      </c>
      <c r="J1067">
        <v>1155</v>
      </c>
    </row>
    <row r="1068" spans="1:10" x14ac:dyDescent="0.3">
      <c r="A1068" t="s">
        <v>1199</v>
      </c>
      <c r="B1068" t="s">
        <v>54</v>
      </c>
      <c r="C1068" t="str">
        <f>_xlfn.XLOOKUP(B1068,
[1]sales_teams!$A$2:$A$100,
[1]sales_teams!$B$2:$B$100)</f>
        <v>Celia Rouche</v>
      </c>
      <c r="D1068" t="str">
        <f>_xlfn.XLOOKUP($B1068,sales_teams!$A$2:$A$36,sales_teams!C$2:C$36)</f>
        <v>West</v>
      </c>
      <c r="E1068" t="s">
        <v>39</v>
      </c>
      <c r="F1068" t="s">
        <v>148</v>
      </c>
      <c r="G1068" t="s">
        <v>12</v>
      </c>
      <c r="H1068" s="1">
        <v>42790</v>
      </c>
      <c r="I1068" s="1">
        <v>42805</v>
      </c>
      <c r="J1068">
        <v>3550</v>
      </c>
    </row>
    <row r="1069" spans="1:10" x14ac:dyDescent="0.3">
      <c r="A1069" t="s">
        <v>1200</v>
      </c>
      <c r="B1069" t="s">
        <v>252</v>
      </c>
      <c r="C1069" t="str">
        <f>_xlfn.XLOOKUP(B1069,
[1]sales_teams!$A$2:$A$100,
[1]sales_teams!$B$2:$B$100)</f>
        <v>Melvin Marxen</v>
      </c>
      <c r="D1069" t="str">
        <f>_xlfn.XLOOKUP($B1069,sales_teams!$A$2:$A$36,sales_teams!C$2:C$36)</f>
        <v>Central</v>
      </c>
      <c r="E1069" t="s">
        <v>39</v>
      </c>
      <c r="F1069" t="s">
        <v>111</v>
      </c>
      <c r="G1069" t="s">
        <v>46</v>
      </c>
      <c r="H1069" s="1">
        <v>42790</v>
      </c>
      <c r="I1069" s="1">
        <v>42865</v>
      </c>
      <c r="J1069">
        <v>0</v>
      </c>
    </row>
    <row r="1070" spans="1:10" x14ac:dyDescent="0.3">
      <c r="A1070" t="s">
        <v>1201</v>
      </c>
      <c r="B1070" t="s">
        <v>252</v>
      </c>
      <c r="C1070" t="str">
        <f>_xlfn.XLOOKUP(B1070,
[1]sales_teams!$A$2:$A$100,
[1]sales_teams!$B$2:$B$100)</f>
        <v>Melvin Marxen</v>
      </c>
      <c r="D1070" t="str">
        <f>_xlfn.XLOOKUP($B1070,sales_teams!$A$2:$A$36,sales_teams!C$2:C$36)</f>
        <v>Central</v>
      </c>
      <c r="E1070" t="s">
        <v>10</v>
      </c>
      <c r="F1070" t="s">
        <v>315</v>
      </c>
      <c r="G1070" t="s">
        <v>12</v>
      </c>
      <c r="H1070" s="1">
        <v>42790</v>
      </c>
      <c r="I1070" s="1">
        <v>42902</v>
      </c>
      <c r="J1070">
        <v>1055</v>
      </c>
    </row>
    <row r="1071" spans="1:10" x14ac:dyDescent="0.3">
      <c r="A1071" t="s">
        <v>1202</v>
      </c>
      <c r="B1071" t="s">
        <v>78</v>
      </c>
      <c r="C1071" t="str">
        <f>_xlfn.XLOOKUP(B1071,
[1]sales_teams!$A$2:$A$100,
[1]sales_teams!$B$2:$B$100)</f>
        <v>Summer Sewald</v>
      </c>
      <c r="D1071" t="str">
        <f>_xlfn.XLOOKUP($B1071,sales_teams!$A$2:$A$36,sales_teams!C$2:C$36)</f>
        <v>West</v>
      </c>
      <c r="E1071" t="s">
        <v>15</v>
      </c>
      <c r="G1071" t="s">
        <v>40</v>
      </c>
      <c r="H1071" s="1">
        <v>42790</v>
      </c>
    </row>
    <row r="1072" spans="1:10" x14ac:dyDescent="0.3">
      <c r="A1072" t="s">
        <v>1203</v>
      </c>
      <c r="B1072" t="s">
        <v>32</v>
      </c>
      <c r="C1072" t="str">
        <f>_xlfn.XLOOKUP(B1072,
[1]sales_teams!$A$2:$A$100,
[1]sales_teams!$B$2:$B$100)</f>
        <v>Celia Rouche</v>
      </c>
      <c r="D1072" t="str">
        <f>_xlfn.XLOOKUP($B1072,sales_teams!$A$2:$A$36,sales_teams!C$2:C$36)</f>
        <v>West</v>
      </c>
      <c r="E1072" t="s">
        <v>15</v>
      </c>
      <c r="G1072" t="s">
        <v>40</v>
      </c>
      <c r="H1072" s="1">
        <v>42790</v>
      </c>
    </row>
    <row r="1073" spans="1:10" x14ac:dyDescent="0.3">
      <c r="A1073" t="s">
        <v>1204</v>
      </c>
      <c r="B1073" t="s">
        <v>32</v>
      </c>
      <c r="C1073" t="str">
        <f>_xlfn.XLOOKUP(B1073,
[1]sales_teams!$A$2:$A$100,
[1]sales_teams!$B$2:$B$100)</f>
        <v>Celia Rouche</v>
      </c>
      <c r="D1073" t="str">
        <f>_xlfn.XLOOKUP($B1073,sales_teams!$A$2:$A$36,sales_teams!C$2:C$36)</f>
        <v>West</v>
      </c>
      <c r="E1073" t="s">
        <v>10</v>
      </c>
      <c r="F1073" t="s">
        <v>52</v>
      </c>
      <c r="G1073" t="s">
        <v>46</v>
      </c>
      <c r="H1073" s="1">
        <v>42790</v>
      </c>
      <c r="I1073" s="1">
        <v>42906</v>
      </c>
      <c r="J1073">
        <v>0</v>
      </c>
    </row>
    <row r="1074" spans="1:10" x14ac:dyDescent="0.3">
      <c r="A1074" t="s">
        <v>1205</v>
      </c>
      <c r="B1074" t="s">
        <v>32</v>
      </c>
      <c r="C1074" t="str">
        <f>_xlfn.XLOOKUP(B1074,
[1]sales_teams!$A$2:$A$100,
[1]sales_teams!$B$2:$B$100)</f>
        <v>Celia Rouche</v>
      </c>
      <c r="D1074" t="str">
        <f>_xlfn.XLOOKUP($B1074,sales_teams!$A$2:$A$36,sales_teams!C$2:C$36)</f>
        <v>West</v>
      </c>
      <c r="E1074" t="s">
        <v>20</v>
      </c>
      <c r="F1074" t="s">
        <v>159</v>
      </c>
      <c r="G1074" t="s">
        <v>12</v>
      </c>
      <c r="H1074" s="1">
        <v>42790</v>
      </c>
      <c r="I1074" s="1">
        <v>42860</v>
      </c>
      <c r="J1074">
        <v>595</v>
      </c>
    </row>
    <row r="1075" spans="1:10" x14ac:dyDescent="0.3">
      <c r="A1075" t="s">
        <v>1206</v>
      </c>
      <c r="B1075" t="s">
        <v>9</v>
      </c>
      <c r="C1075" t="str">
        <f>_xlfn.XLOOKUP(B1075,
[1]sales_teams!$A$2:$A$100,
[1]sales_teams!$B$2:$B$100)</f>
        <v>Dustin Brinkmann</v>
      </c>
      <c r="D1075" t="str">
        <f>_xlfn.XLOOKUP($B1075,sales_teams!$A$2:$A$36,sales_teams!C$2:C$36)</f>
        <v>Central</v>
      </c>
      <c r="E1075" t="s">
        <v>39</v>
      </c>
      <c r="F1075" t="s">
        <v>76</v>
      </c>
      <c r="G1075" t="s">
        <v>12</v>
      </c>
      <c r="H1075" s="1">
        <v>42790</v>
      </c>
      <c r="I1075" s="1">
        <v>42861</v>
      </c>
      <c r="J1075">
        <v>3063</v>
      </c>
    </row>
    <row r="1076" spans="1:10" x14ac:dyDescent="0.3">
      <c r="A1076" t="s">
        <v>1207</v>
      </c>
      <c r="B1076" t="s">
        <v>29</v>
      </c>
      <c r="C1076" t="str">
        <f>_xlfn.XLOOKUP(B1076,
[1]sales_teams!$A$2:$A$100,
[1]sales_teams!$B$2:$B$100)</f>
        <v>Celia Rouche</v>
      </c>
      <c r="D1076" t="str">
        <f>_xlfn.XLOOKUP($B1076,sales_teams!$A$2:$A$36,sales_teams!C$2:C$36)</f>
        <v>West</v>
      </c>
      <c r="E1076" t="s">
        <v>39</v>
      </c>
      <c r="F1076" t="s">
        <v>199</v>
      </c>
      <c r="G1076" t="s">
        <v>46</v>
      </c>
      <c r="H1076" s="1">
        <v>42790</v>
      </c>
      <c r="I1076" s="1">
        <v>42868</v>
      </c>
      <c r="J1076">
        <v>0</v>
      </c>
    </row>
    <row r="1077" spans="1:10" x14ac:dyDescent="0.3">
      <c r="A1077" t="s">
        <v>1208</v>
      </c>
      <c r="B1077" t="s">
        <v>73</v>
      </c>
      <c r="C1077" t="str">
        <f>_xlfn.XLOOKUP(B1077,
[1]sales_teams!$A$2:$A$100,
[1]sales_teams!$B$2:$B$100)</f>
        <v>Cara Losch</v>
      </c>
      <c r="D1077" t="str">
        <f>_xlfn.XLOOKUP($B1077,sales_teams!$A$2:$A$36,sales_teams!C$2:C$36)</f>
        <v>East</v>
      </c>
      <c r="E1077" t="s">
        <v>39</v>
      </c>
      <c r="F1077" t="s">
        <v>222</v>
      </c>
      <c r="G1077" t="s">
        <v>12</v>
      </c>
      <c r="H1077" s="1">
        <v>42790</v>
      </c>
      <c r="I1077" s="1">
        <v>42892</v>
      </c>
      <c r="J1077">
        <v>3246</v>
      </c>
    </row>
    <row r="1078" spans="1:10" x14ac:dyDescent="0.3">
      <c r="A1078" t="s">
        <v>1209</v>
      </c>
      <c r="B1078" t="s">
        <v>26</v>
      </c>
      <c r="C1078" t="str">
        <f>_xlfn.XLOOKUP(B1078,
[1]sales_teams!$A$2:$A$100,
[1]sales_teams!$B$2:$B$100)</f>
        <v>Dustin Brinkmann</v>
      </c>
      <c r="D1078" t="str">
        <f>_xlfn.XLOOKUP($B1078,sales_teams!$A$2:$A$36,sales_teams!C$2:C$36)</f>
        <v>Central</v>
      </c>
      <c r="E1078" t="s">
        <v>20</v>
      </c>
      <c r="F1078" t="s">
        <v>231</v>
      </c>
      <c r="G1078" t="s">
        <v>12</v>
      </c>
      <c r="H1078" s="1">
        <v>42791</v>
      </c>
      <c r="I1078" s="1">
        <v>42796</v>
      </c>
      <c r="J1078">
        <v>423</v>
      </c>
    </row>
    <row r="1079" spans="1:10" x14ac:dyDescent="0.3">
      <c r="A1079" t="s">
        <v>1210</v>
      </c>
      <c r="B1079" t="s">
        <v>139</v>
      </c>
      <c r="C1079" t="str">
        <f>_xlfn.XLOOKUP(B1079,
[1]sales_teams!$A$2:$A$100,
[1]sales_teams!$B$2:$B$100)</f>
        <v>Rocco Neubert</v>
      </c>
      <c r="D1079" t="str">
        <f>_xlfn.XLOOKUP($B1079,sales_teams!$A$2:$A$36,sales_teams!C$2:C$36)</f>
        <v>East</v>
      </c>
      <c r="E1079" t="s">
        <v>48</v>
      </c>
      <c r="G1079" t="s">
        <v>40</v>
      </c>
      <c r="H1079" s="1">
        <v>42791</v>
      </c>
    </row>
    <row r="1080" spans="1:10" x14ac:dyDescent="0.3">
      <c r="A1080" t="s">
        <v>1211</v>
      </c>
      <c r="B1080" t="s">
        <v>118</v>
      </c>
      <c r="C1080" t="str">
        <f>_xlfn.XLOOKUP(B1080,
[1]sales_teams!$A$2:$A$100,
[1]sales_teams!$B$2:$B$100)</f>
        <v>Rocco Neubert</v>
      </c>
      <c r="D1080" t="str">
        <f>_xlfn.XLOOKUP($B1080,sales_teams!$A$2:$A$36,sales_teams!C$2:C$36)</f>
        <v>East</v>
      </c>
      <c r="E1080" t="s">
        <v>20</v>
      </c>
      <c r="F1080" t="s">
        <v>240</v>
      </c>
      <c r="G1080" t="s">
        <v>12</v>
      </c>
      <c r="H1080" s="1">
        <v>42791</v>
      </c>
      <c r="I1080" s="1">
        <v>42904</v>
      </c>
      <c r="J1080">
        <v>542</v>
      </c>
    </row>
    <row r="1081" spans="1:10" x14ac:dyDescent="0.3">
      <c r="A1081" t="s">
        <v>1212</v>
      </c>
      <c r="B1081" t="s">
        <v>118</v>
      </c>
      <c r="C1081" t="str">
        <f>_xlfn.XLOOKUP(B1081,
[1]sales_teams!$A$2:$A$100,
[1]sales_teams!$B$2:$B$100)</f>
        <v>Rocco Neubert</v>
      </c>
      <c r="D1081" t="str">
        <f>_xlfn.XLOOKUP($B1081,sales_teams!$A$2:$A$36,sales_teams!C$2:C$36)</f>
        <v>East</v>
      </c>
      <c r="E1081" t="s">
        <v>15</v>
      </c>
      <c r="F1081" t="s">
        <v>177</v>
      </c>
      <c r="G1081" t="s">
        <v>12</v>
      </c>
      <c r="H1081" s="1">
        <v>42791</v>
      </c>
      <c r="I1081" s="1">
        <v>42802</v>
      </c>
      <c r="J1081">
        <v>5040</v>
      </c>
    </row>
    <row r="1082" spans="1:10" x14ac:dyDescent="0.3">
      <c r="A1082" t="s">
        <v>1213</v>
      </c>
      <c r="B1082" t="s">
        <v>164</v>
      </c>
      <c r="C1082" t="str">
        <f>_xlfn.XLOOKUP(B1082,
[1]sales_teams!$A$2:$A$100,
[1]sales_teams!$B$2:$B$100)</f>
        <v>Cara Losch</v>
      </c>
      <c r="D1082" t="str">
        <f>_xlfn.XLOOKUP($B1082,sales_teams!$A$2:$A$36,sales_teams!C$2:C$36)</f>
        <v>East</v>
      </c>
      <c r="E1082" t="s">
        <v>10</v>
      </c>
      <c r="F1082" t="s">
        <v>155</v>
      </c>
      <c r="G1082" t="s">
        <v>46</v>
      </c>
      <c r="H1082" s="1">
        <v>42791</v>
      </c>
      <c r="I1082" s="1">
        <v>42876</v>
      </c>
      <c r="J1082">
        <v>0</v>
      </c>
    </row>
    <row r="1083" spans="1:10" x14ac:dyDescent="0.3">
      <c r="A1083" t="s">
        <v>1214</v>
      </c>
      <c r="B1083" t="s">
        <v>14</v>
      </c>
      <c r="C1083" t="str">
        <f>_xlfn.XLOOKUP(B1083,
[1]sales_teams!$A$2:$A$100,
[1]sales_teams!$B$2:$B$100)</f>
        <v>Melvin Marxen</v>
      </c>
      <c r="D1083" t="str">
        <f>_xlfn.XLOOKUP($B1083,sales_teams!$A$2:$A$36,sales_teams!C$2:C$36)</f>
        <v>Central</v>
      </c>
      <c r="E1083" t="s">
        <v>48</v>
      </c>
      <c r="F1083" t="s">
        <v>151</v>
      </c>
      <c r="G1083" t="s">
        <v>46</v>
      </c>
      <c r="H1083" s="1">
        <v>42791</v>
      </c>
      <c r="I1083" s="1">
        <v>42903</v>
      </c>
      <c r="J1083">
        <v>0</v>
      </c>
    </row>
    <row r="1084" spans="1:10" x14ac:dyDescent="0.3">
      <c r="A1084" t="s">
        <v>1215</v>
      </c>
      <c r="B1084" t="s">
        <v>14</v>
      </c>
      <c r="C1084" t="str">
        <f>_xlfn.XLOOKUP(B1084,
[1]sales_teams!$A$2:$A$100,
[1]sales_teams!$B$2:$B$100)</f>
        <v>Melvin Marxen</v>
      </c>
      <c r="D1084" t="str">
        <f>_xlfn.XLOOKUP($B1084,sales_teams!$A$2:$A$36,sales_teams!C$2:C$36)</f>
        <v>Central</v>
      </c>
      <c r="E1084" t="s">
        <v>15</v>
      </c>
      <c r="F1084" t="s">
        <v>187</v>
      </c>
      <c r="G1084" t="s">
        <v>12</v>
      </c>
      <c r="H1084" s="1">
        <v>42791</v>
      </c>
      <c r="I1084" s="1">
        <v>42864</v>
      </c>
      <c r="J1084">
        <v>5423</v>
      </c>
    </row>
    <row r="1085" spans="1:10" x14ac:dyDescent="0.3">
      <c r="A1085" t="s">
        <v>1216</v>
      </c>
      <c r="B1085" t="s">
        <v>14</v>
      </c>
      <c r="C1085" t="str">
        <f>_xlfn.XLOOKUP(B1085,
[1]sales_teams!$A$2:$A$100,
[1]sales_teams!$B$2:$B$100)</f>
        <v>Melvin Marxen</v>
      </c>
      <c r="D1085" t="str">
        <f>_xlfn.XLOOKUP($B1085,sales_teams!$A$2:$A$36,sales_teams!C$2:C$36)</f>
        <v>Central</v>
      </c>
      <c r="E1085" t="s">
        <v>39</v>
      </c>
      <c r="F1085" t="s">
        <v>11</v>
      </c>
      <c r="G1085" t="s">
        <v>12</v>
      </c>
      <c r="H1085" s="1">
        <v>42791</v>
      </c>
      <c r="I1085" s="1">
        <v>42899</v>
      </c>
      <c r="J1085">
        <v>3295</v>
      </c>
    </row>
    <row r="1086" spans="1:10" x14ac:dyDescent="0.3">
      <c r="A1086" t="s">
        <v>1217</v>
      </c>
      <c r="B1086" t="s">
        <v>142</v>
      </c>
      <c r="C1086" t="str">
        <f>_xlfn.XLOOKUP(B1086,
[1]sales_teams!$A$2:$A$100,
[1]sales_teams!$B$2:$B$100)</f>
        <v>Rocco Neubert</v>
      </c>
      <c r="D1086" t="str">
        <f>_xlfn.XLOOKUP($B1086,sales_teams!$A$2:$A$36,sales_teams!C$2:C$36)</f>
        <v>East</v>
      </c>
      <c r="E1086" t="s">
        <v>20</v>
      </c>
      <c r="F1086" t="s">
        <v>215</v>
      </c>
      <c r="G1086" t="s">
        <v>12</v>
      </c>
      <c r="H1086" s="1">
        <v>42791</v>
      </c>
      <c r="I1086" s="1">
        <v>42888</v>
      </c>
      <c r="J1086">
        <v>568</v>
      </c>
    </row>
    <row r="1087" spans="1:10" x14ac:dyDescent="0.3">
      <c r="A1087" t="s">
        <v>1218</v>
      </c>
      <c r="B1087" t="s">
        <v>142</v>
      </c>
      <c r="C1087" t="str">
        <f>_xlfn.XLOOKUP(B1087,
[1]sales_teams!$A$2:$A$100,
[1]sales_teams!$B$2:$B$100)</f>
        <v>Rocco Neubert</v>
      </c>
      <c r="D1087" t="str">
        <f>_xlfn.XLOOKUP($B1087,sales_teams!$A$2:$A$36,sales_teams!C$2:C$36)</f>
        <v>East</v>
      </c>
      <c r="E1087" t="s">
        <v>20</v>
      </c>
      <c r="F1087" t="s">
        <v>65</v>
      </c>
      <c r="G1087" t="s">
        <v>12</v>
      </c>
      <c r="H1087" s="1">
        <v>42791</v>
      </c>
      <c r="I1087" s="1">
        <v>42881</v>
      </c>
      <c r="J1087">
        <v>640</v>
      </c>
    </row>
    <row r="1088" spans="1:10" x14ac:dyDescent="0.3">
      <c r="A1088" t="s">
        <v>1219</v>
      </c>
      <c r="B1088" t="s">
        <v>67</v>
      </c>
      <c r="C1088" t="str">
        <f>_xlfn.XLOOKUP(B1088,
[1]sales_teams!$A$2:$A$100,
[1]sales_teams!$B$2:$B$100)</f>
        <v>Celia Rouche</v>
      </c>
      <c r="D1088" t="str">
        <f>_xlfn.XLOOKUP($B1088,sales_teams!$A$2:$A$36,sales_teams!C$2:C$36)</f>
        <v>West</v>
      </c>
      <c r="E1088" t="s">
        <v>15</v>
      </c>
      <c r="F1088" t="s">
        <v>168</v>
      </c>
      <c r="G1088" t="s">
        <v>12</v>
      </c>
      <c r="H1088" s="1">
        <v>42791</v>
      </c>
      <c r="I1088" s="1">
        <v>42874</v>
      </c>
      <c r="J1088">
        <v>4612</v>
      </c>
    </row>
    <row r="1089" spans="1:10" x14ac:dyDescent="0.3">
      <c r="A1089" t="s">
        <v>1220</v>
      </c>
      <c r="B1089" t="s">
        <v>44</v>
      </c>
      <c r="C1089" t="str">
        <f>_xlfn.XLOOKUP(B1089,
[1]sales_teams!$A$2:$A$100,
[1]sales_teams!$B$2:$B$100)</f>
        <v>Melvin Marxen</v>
      </c>
      <c r="D1089" t="str">
        <f>_xlfn.XLOOKUP($B1089,sales_teams!$A$2:$A$36,sales_teams!C$2:C$36)</f>
        <v>Central</v>
      </c>
      <c r="E1089" t="s">
        <v>15</v>
      </c>
      <c r="F1089" t="s">
        <v>207</v>
      </c>
      <c r="G1089" t="s">
        <v>46</v>
      </c>
      <c r="H1089" s="1">
        <v>42791</v>
      </c>
      <c r="I1089" s="1">
        <v>42881</v>
      </c>
      <c r="J1089">
        <v>0</v>
      </c>
    </row>
    <row r="1090" spans="1:10" x14ac:dyDescent="0.3">
      <c r="A1090" t="s">
        <v>1221</v>
      </c>
      <c r="B1090" t="s">
        <v>38</v>
      </c>
      <c r="C1090" t="str">
        <f>_xlfn.XLOOKUP(B1090,
[1]sales_teams!$A$2:$A$100,
[1]sales_teams!$B$2:$B$100)</f>
        <v>Summer Sewald</v>
      </c>
      <c r="D1090" t="str">
        <f>_xlfn.XLOOKUP($B1090,sales_teams!$A$2:$A$36,sales_teams!C$2:C$36)</f>
        <v>West</v>
      </c>
      <c r="E1090" t="s">
        <v>48</v>
      </c>
      <c r="G1090" t="s">
        <v>40</v>
      </c>
      <c r="H1090" s="1">
        <v>42791</v>
      </c>
    </row>
    <row r="1091" spans="1:10" x14ac:dyDescent="0.3">
      <c r="A1091" t="s">
        <v>1222</v>
      </c>
      <c r="B1091" t="s">
        <v>38</v>
      </c>
      <c r="C1091" t="str">
        <f>_xlfn.XLOOKUP(B1091,
[1]sales_teams!$A$2:$A$100,
[1]sales_teams!$B$2:$B$100)</f>
        <v>Summer Sewald</v>
      </c>
      <c r="D1091" t="str">
        <f>_xlfn.XLOOKUP($B1091,sales_teams!$A$2:$A$36,sales_teams!C$2:C$36)</f>
        <v>West</v>
      </c>
      <c r="E1091" t="s">
        <v>10</v>
      </c>
      <c r="F1091" t="s">
        <v>148</v>
      </c>
      <c r="G1091" t="s">
        <v>46</v>
      </c>
      <c r="H1091" s="1">
        <v>42791</v>
      </c>
      <c r="I1091" s="1">
        <v>42881</v>
      </c>
      <c r="J1091">
        <v>0</v>
      </c>
    </row>
    <row r="1092" spans="1:10" x14ac:dyDescent="0.3">
      <c r="A1092" t="s">
        <v>1223</v>
      </c>
      <c r="B1092" t="s">
        <v>252</v>
      </c>
      <c r="C1092" t="str">
        <f>_xlfn.XLOOKUP(B1092,
[1]sales_teams!$A$2:$A$100,
[1]sales_teams!$B$2:$B$100)</f>
        <v>Melvin Marxen</v>
      </c>
      <c r="D1092" t="str">
        <f>_xlfn.XLOOKUP($B1092,sales_teams!$A$2:$A$36,sales_teams!C$2:C$36)</f>
        <v>Central</v>
      </c>
      <c r="E1092" t="s">
        <v>39</v>
      </c>
      <c r="F1092" t="s">
        <v>197</v>
      </c>
      <c r="G1092" t="s">
        <v>12</v>
      </c>
      <c r="H1092" s="1">
        <v>42791</v>
      </c>
      <c r="I1092" s="1">
        <v>42861</v>
      </c>
      <c r="J1092">
        <v>3281</v>
      </c>
    </row>
    <row r="1093" spans="1:10" x14ac:dyDescent="0.3">
      <c r="A1093" t="s">
        <v>1224</v>
      </c>
      <c r="B1093" t="s">
        <v>78</v>
      </c>
      <c r="C1093" t="str">
        <f>_xlfn.XLOOKUP(B1093,
[1]sales_teams!$A$2:$A$100,
[1]sales_teams!$B$2:$B$100)</f>
        <v>Summer Sewald</v>
      </c>
      <c r="D1093" t="str">
        <f>_xlfn.XLOOKUP($B1093,sales_teams!$A$2:$A$36,sales_teams!C$2:C$36)</f>
        <v>West</v>
      </c>
      <c r="E1093" t="s">
        <v>20</v>
      </c>
      <c r="F1093" t="s">
        <v>55</v>
      </c>
      <c r="G1093" t="s">
        <v>46</v>
      </c>
      <c r="H1093" s="1">
        <v>42791</v>
      </c>
      <c r="I1093" s="1">
        <v>42806</v>
      </c>
      <c r="J1093">
        <v>0</v>
      </c>
    </row>
    <row r="1094" spans="1:10" x14ac:dyDescent="0.3">
      <c r="A1094" t="s">
        <v>1225</v>
      </c>
      <c r="B1094" t="s">
        <v>78</v>
      </c>
      <c r="C1094" t="str">
        <f>_xlfn.XLOOKUP(B1094,
[1]sales_teams!$A$2:$A$100,
[1]sales_teams!$B$2:$B$100)</f>
        <v>Summer Sewald</v>
      </c>
      <c r="D1094" t="str">
        <f>_xlfn.XLOOKUP($B1094,sales_teams!$A$2:$A$36,sales_teams!C$2:C$36)</f>
        <v>West</v>
      </c>
      <c r="E1094" t="s">
        <v>10</v>
      </c>
      <c r="F1094" t="s">
        <v>86</v>
      </c>
      <c r="G1094" t="s">
        <v>46</v>
      </c>
      <c r="H1094" s="1">
        <v>42791</v>
      </c>
      <c r="I1094" s="1">
        <v>42802</v>
      </c>
      <c r="J1094">
        <v>0</v>
      </c>
    </row>
    <row r="1095" spans="1:10" x14ac:dyDescent="0.3">
      <c r="A1095" t="s">
        <v>1226</v>
      </c>
      <c r="B1095" t="s">
        <v>78</v>
      </c>
      <c r="C1095" t="str">
        <f>_xlfn.XLOOKUP(B1095,
[1]sales_teams!$A$2:$A$100,
[1]sales_teams!$B$2:$B$100)</f>
        <v>Summer Sewald</v>
      </c>
      <c r="D1095" t="str">
        <f>_xlfn.XLOOKUP($B1095,sales_teams!$A$2:$A$36,sales_teams!C$2:C$36)</f>
        <v>West</v>
      </c>
      <c r="E1095" t="s">
        <v>18</v>
      </c>
      <c r="F1095" t="s">
        <v>68</v>
      </c>
      <c r="G1095" t="s">
        <v>12</v>
      </c>
      <c r="H1095" s="1">
        <v>42791</v>
      </c>
      <c r="I1095" s="1">
        <v>42805</v>
      </c>
      <c r="J1095">
        <v>59</v>
      </c>
    </row>
    <row r="1096" spans="1:10" x14ac:dyDescent="0.3">
      <c r="A1096" t="s">
        <v>1227</v>
      </c>
      <c r="B1096" t="s">
        <v>116</v>
      </c>
      <c r="C1096" t="str">
        <f>_xlfn.XLOOKUP(B1096,
[1]sales_teams!$A$2:$A$100,
[1]sales_teams!$B$2:$B$100)</f>
        <v>Melvin Marxen</v>
      </c>
      <c r="D1096" t="str">
        <f>_xlfn.XLOOKUP($B1096,sales_teams!$A$2:$A$36,sales_teams!C$2:C$36)</f>
        <v>Central</v>
      </c>
      <c r="E1096" t="s">
        <v>10</v>
      </c>
      <c r="F1096" t="s">
        <v>231</v>
      </c>
      <c r="G1096" t="s">
        <v>12</v>
      </c>
      <c r="H1096" s="1">
        <v>42791</v>
      </c>
      <c r="I1096" s="1">
        <v>42916</v>
      </c>
      <c r="J1096">
        <v>1081</v>
      </c>
    </row>
    <row r="1097" spans="1:10" x14ac:dyDescent="0.3">
      <c r="A1097" t="s">
        <v>1228</v>
      </c>
      <c r="B1097" t="s">
        <v>116</v>
      </c>
      <c r="C1097" t="str">
        <f>_xlfn.XLOOKUP(B1097,
[1]sales_teams!$A$2:$A$100,
[1]sales_teams!$B$2:$B$100)</f>
        <v>Melvin Marxen</v>
      </c>
      <c r="D1097" t="str">
        <f>_xlfn.XLOOKUP($B1097,sales_teams!$A$2:$A$36,sales_teams!C$2:C$36)</f>
        <v>Central</v>
      </c>
      <c r="E1097" t="s">
        <v>10</v>
      </c>
      <c r="F1097" t="s">
        <v>36</v>
      </c>
      <c r="G1097" t="s">
        <v>12</v>
      </c>
      <c r="H1097" s="1">
        <v>42791</v>
      </c>
      <c r="I1097" s="1">
        <v>42864</v>
      </c>
      <c r="J1097">
        <v>962</v>
      </c>
    </row>
    <row r="1098" spans="1:10" x14ac:dyDescent="0.3">
      <c r="A1098" t="s">
        <v>1229</v>
      </c>
      <c r="B1098" t="s">
        <v>35</v>
      </c>
      <c r="C1098" t="str">
        <f>_xlfn.XLOOKUP(B1098,
[1]sales_teams!$A$2:$A$100,
[1]sales_teams!$B$2:$B$100)</f>
        <v>Melvin Marxen</v>
      </c>
      <c r="D1098" t="str">
        <f>_xlfn.XLOOKUP($B1098,sales_teams!$A$2:$A$36,sales_teams!C$2:C$36)</f>
        <v>Central</v>
      </c>
      <c r="E1098" t="s">
        <v>10</v>
      </c>
      <c r="F1098" t="s">
        <v>21</v>
      </c>
      <c r="G1098" t="s">
        <v>12</v>
      </c>
      <c r="H1098" s="1">
        <v>42791</v>
      </c>
      <c r="I1098" s="1">
        <v>42800</v>
      </c>
      <c r="J1098">
        <v>1123</v>
      </c>
    </row>
    <row r="1099" spans="1:10" x14ac:dyDescent="0.3">
      <c r="A1099" t="s">
        <v>1230</v>
      </c>
      <c r="B1099" t="s">
        <v>97</v>
      </c>
      <c r="C1099" t="str">
        <f>_xlfn.XLOOKUP(B1099,
[1]sales_teams!$A$2:$A$100,
[1]sales_teams!$B$2:$B$100)</f>
        <v>Rocco Neubert</v>
      </c>
      <c r="D1099" t="str">
        <f>_xlfn.XLOOKUP($B1099,sales_teams!$A$2:$A$36,sales_teams!C$2:C$36)</f>
        <v>East</v>
      </c>
      <c r="E1099" t="s">
        <v>39</v>
      </c>
      <c r="F1099" t="s">
        <v>65</v>
      </c>
      <c r="G1099" t="s">
        <v>12</v>
      </c>
      <c r="H1099" s="1">
        <v>42791</v>
      </c>
      <c r="I1099" s="1">
        <v>42896</v>
      </c>
      <c r="J1099">
        <v>3075</v>
      </c>
    </row>
    <row r="1100" spans="1:10" x14ac:dyDescent="0.3">
      <c r="A1100" t="s">
        <v>1231</v>
      </c>
      <c r="B1100" t="s">
        <v>57</v>
      </c>
      <c r="C1100" t="str">
        <f>_xlfn.XLOOKUP(B1100,
[1]sales_teams!$A$2:$A$100,
[1]sales_teams!$B$2:$B$100)</f>
        <v>Celia Rouche</v>
      </c>
      <c r="D1100" t="str">
        <f>_xlfn.XLOOKUP($B1100,sales_teams!$A$2:$A$36,sales_teams!C$2:C$36)</f>
        <v>West</v>
      </c>
      <c r="E1100" t="s">
        <v>18</v>
      </c>
      <c r="F1100" t="s">
        <v>218</v>
      </c>
      <c r="G1100" t="s">
        <v>12</v>
      </c>
      <c r="H1100" s="1">
        <v>42791</v>
      </c>
      <c r="I1100" s="1">
        <v>42864</v>
      </c>
      <c r="J1100">
        <v>50</v>
      </c>
    </row>
    <row r="1101" spans="1:10" x14ac:dyDescent="0.3">
      <c r="A1101" t="s">
        <v>1232</v>
      </c>
      <c r="B1101" t="s">
        <v>57</v>
      </c>
      <c r="C1101" t="str">
        <f>_xlfn.XLOOKUP(B1101,
[1]sales_teams!$A$2:$A$100,
[1]sales_teams!$B$2:$B$100)</f>
        <v>Celia Rouche</v>
      </c>
      <c r="D1101" t="str">
        <f>_xlfn.XLOOKUP($B1101,sales_teams!$A$2:$A$36,sales_teams!C$2:C$36)</f>
        <v>West</v>
      </c>
      <c r="E1101" t="s">
        <v>18</v>
      </c>
      <c r="F1101" t="s">
        <v>174</v>
      </c>
      <c r="G1101" t="s">
        <v>12</v>
      </c>
      <c r="H1101" s="1">
        <v>42791</v>
      </c>
      <c r="I1101" s="1">
        <v>42800</v>
      </c>
      <c r="J1101">
        <v>47</v>
      </c>
    </row>
    <row r="1102" spans="1:10" x14ac:dyDescent="0.3">
      <c r="A1102" t="s">
        <v>1233</v>
      </c>
      <c r="B1102" t="s">
        <v>61</v>
      </c>
      <c r="C1102" t="str">
        <f>_xlfn.XLOOKUP(B1102,
[1]sales_teams!$A$2:$A$100,
[1]sales_teams!$B$2:$B$100)</f>
        <v>Dustin Brinkmann</v>
      </c>
      <c r="D1102" t="str">
        <f>_xlfn.XLOOKUP($B1102,sales_teams!$A$2:$A$36,sales_teams!C$2:C$36)</f>
        <v>Central</v>
      </c>
      <c r="E1102" t="s">
        <v>18</v>
      </c>
      <c r="F1102" t="s">
        <v>213</v>
      </c>
      <c r="G1102" t="s">
        <v>46</v>
      </c>
      <c r="H1102" s="1">
        <v>42791</v>
      </c>
      <c r="I1102" s="1">
        <v>42802</v>
      </c>
      <c r="J1102">
        <v>0</v>
      </c>
    </row>
    <row r="1103" spans="1:10" x14ac:dyDescent="0.3">
      <c r="A1103" t="s">
        <v>1234</v>
      </c>
      <c r="B1103" t="s">
        <v>61</v>
      </c>
      <c r="C1103" t="str">
        <f>_xlfn.XLOOKUP(B1103,
[1]sales_teams!$A$2:$A$100,
[1]sales_teams!$B$2:$B$100)</f>
        <v>Dustin Brinkmann</v>
      </c>
      <c r="D1103" t="str">
        <f>_xlfn.XLOOKUP($B1103,sales_teams!$A$2:$A$36,sales_teams!C$2:C$36)</f>
        <v>Central</v>
      </c>
      <c r="E1103" t="s">
        <v>48</v>
      </c>
      <c r="F1103" t="s">
        <v>303</v>
      </c>
      <c r="G1103" t="s">
        <v>12</v>
      </c>
      <c r="H1103" s="1">
        <v>42791</v>
      </c>
      <c r="I1103" s="1">
        <v>42872</v>
      </c>
      <c r="J1103">
        <v>4494</v>
      </c>
    </row>
    <row r="1104" spans="1:10" x14ac:dyDescent="0.3">
      <c r="A1104" t="s">
        <v>1235</v>
      </c>
      <c r="B1104" t="s">
        <v>29</v>
      </c>
      <c r="C1104" t="str">
        <f>_xlfn.XLOOKUP(B1104,
[1]sales_teams!$A$2:$A$100,
[1]sales_teams!$B$2:$B$100)</f>
        <v>Celia Rouche</v>
      </c>
      <c r="D1104" t="str">
        <f>_xlfn.XLOOKUP($B1104,sales_teams!$A$2:$A$36,sales_teams!C$2:C$36)</f>
        <v>West</v>
      </c>
      <c r="E1104" t="s">
        <v>18</v>
      </c>
      <c r="F1104" t="s">
        <v>315</v>
      </c>
      <c r="G1104" t="s">
        <v>46</v>
      </c>
      <c r="H1104" s="1">
        <v>42791</v>
      </c>
      <c r="I1104" s="1">
        <v>42861</v>
      </c>
      <c r="J1104">
        <v>0</v>
      </c>
    </row>
    <row r="1105" spans="1:10" x14ac:dyDescent="0.3">
      <c r="A1105" t="s">
        <v>1236</v>
      </c>
      <c r="B1105" t="s">
        <v>29</v>
      </c>
      <c r="C1105" t="str">
        <f>_xlfn.XLOOKUP(B1105,
[1]sales_teams!$A$2:$A$100,
[1]sales_teams!$B$2:$B$100)</f>
        <v>Celia Rouche</v>
      </c>
      <c r="D1105" t="str">
        <f>_xlfn.XLOOKUP($B1105,sales_teams!$A$2:$A$36,sales_teams!C$2:C$36)</f>
        <v>West</v>
      </c>
      <c r="E1105" t="s">
        <v>18</v>
      </c>
      <c r="F1105" t="s">
        <v>273</v>
      </c>
      <c r="G1105" t="s">
        <v>12</v>
      </c>
      <c r="H1105" s="1">
        <v>42791</v>
      </c>
      <c r="I1105" s="1">
        <v>42805</v>
      </c>
      <c r="J1105">
        <v>61</v>
      </c>
    </row>
    <row r="1106" spans="1:10" x14ac:dyDescent="0.3">
      <c r="A1106" t="s">
        <v>1237</v>
      </c>
      <c r="B1106" t="s">
        <v>29</v>
      </c>
      <c r="C1106" t="str">
        <f>_xlfn.XLOOKUP(B1106,
[1]sales_teams!$A$2:$A$100,
[1]sales_teams!$B$2:$B$100)</f>
        <v>Celia Rouche</v>
      </c>
      <c r="D1106" t="str">
        <f>_xlfn.XLOOKUP($B1106,sales_teams!$A$2:$A$36,sales_teams!C$2:C$36)</f>
        <v>West</v>
      </c>
      <c r="E1106" t="s">
        <v>39</v>
      </c>
      <c r="F1106" t="s">
        <v>148</v>
      </c>
      <c r="G1106" t="s">
        <v>12</v>
      </c>
      <c r="H1106" s="1">
        <v>42791</v>
      </c>
      <c r="I1106" s="1">
        <v>42868</v>
      </c>
      <c r="J1106">
        <v>3418</v>
      </c>
    </row>
    <row r="1107" spans="1:10" x14ac:dyDescent="0.3">
      <c r="A1107" t="s">
        <v>1238</v>
      </c>
      <c r="B1107" t="s">
        <v>73</v>
      </c>
      <c r="C1107" t="str">
        <f>_xlfn.XLOOKUP(B1107,
[1]sales_teams!$A$2:$A$100,
[1]sales_teams!$B$2:$B$100)</f>
        <v>Cara Losch</v>
      </c>
      <c r="D1107" t="str">
        <f>_xlfn.XLOOKUP($B1107,sales_teams!$A$2:$A$36,sales_teams!C$2:C$36)</f>
        <v>East</v>
      </c>
      <c r="E1107" t="s">
        <v>39</v>
      </c>
      <c r="G1107" t="s">
        <v>40</v>
      </c>
      <c r="H1107" s="1">
        <v>42791</v>
      </c>
    </row>
    <row r="1108" spans="1:10" x14ac:dyDescent="0.3">
      <c r="A1108" t="s">
        <v>1239</v>
      </c>
      <c r="B1108" t="s">
        <v>102</v>
      </c>
      <c r="C1108" t="str">
        <f>_xlfn.XLOOKUP(B1108,
[1]sales_teams!$A$2:$A$100,
[1]sales_teams!$B$2:$B$100)</f>
        <v>Cara Losch</v>
      </c>
      <c r="D1108" t="str">
        <f>_xlfn.XLOOKUP($B1108,sales_teams!$A$2:$A$36,sales_teams!C$2:C$36)</f>
        <v>East</v>
      </c>
      <c r="E1108" t="s">
        <v>48</v>
      </c>
      <c r="G1108" t="s">
        <v>40</v>
      </c>
      <c r="H1108" s="1">
        <v>42791</v>
      </c>
    </row>
    <row r="1109" spans="1:10" x14ac:dyDescent="0.3">
      <c r="A1109" t="s">
        <v>1240</v>
      </c>
      <c r="B1109" t="s">
        <v>102</v>
      </c>
      <c r="C1109" t="str">
        <f>_xlfn.XLOOKUP(B1109,
[1]sales_teams!$A$2:$A$100,
[1]sales_teams!$B$2:$B$100)</f>
        <v>Cara Losch</v>
      </c>
      <c r="D1109" t="str">
        <f>_xlfn.XLOOKUP($B1109,sales_teams!$A$2:$A$36,sales_teams!C$2:C$36)</f>
        <v>East</v>
      </c>
      <c r="E1109" t="s">
        <v>39</v>
      </c>
      <c r="F1109" t="s">
        <v>199</v>
      </c>
      <c r="G1109" t="s">
        <v>12</v>
      </c>
      <c r="H1109" s="1">
        <v>42791</v>
      </c>
      <c r="I1109" s="1">
        <v>42888</v>
      </c>
      <c r="J1109">
        <v>3336</v>
      </c>
    </row>
    <row r="1110" spans="1:10" x14ac:dyDescent="0.3">
      <c r="A1110" t="s">
        <v>1241</v>
      </c>
      <c r="B1110" t="s">
        <v>23</v>
      </c>
      <c r="C1110" t="str">
        <f>_xlfn.XLOOKUP(B1110,
[1]sales_teams!$A$2:$A$100,
[1]sales_teams!$B$2:$B$100)</f>
        <v>Summer Sewald</v>
      </c>
      <c r="D1110" t="str">
        <f>_xlfn.XLOOKUP($B1110,sales_teams!$A$2:$A$36,sales_teams!C$2:C$36)</f>
        <v>West</v>
      </c>
      <c r="E1110" t="s">
        <v>10</v>
      </c>
      <c r="G1110" t="s">
        <v>40</v>
      </c>
      <c r="H1110" s="1">
        <v>42791</v>
      </c>
    </row>
    <row r="1111" spans="1:10" x14ac:dyDescent="0.3">
      <c r="A1111" t="s">
        <v>1242</v>
      </c>
      <c r="B1111" t="s">
        <v>26</v>
      </c>
      <c r="C1111" t="str">
        <f>_xlfn.XLOOKUP(B1111,
[1]sales_teams!$A$2:$A$100,
[1]sales_teams!$B$2:$B$100)</f>
        <v>Dustin Brinkmann</v>
      </c>
      <c r="D1111" t="str">
        <f>_xlfn.XLOOKUP($B1111,sales_teams!$A$2:$A$36,sales_teams!C$2:C$36)</f>
        <v>Central</v>
      </c>
      <c r="E1111" t="s">
        <v>20</v>
      </c>
      <c r="F1111" t="s">
        <v>303</v>
      </c>
      <c r="G1111" t="s">
        <v>46</v>
      </c>
      <c r="H1111" s="1">
        <v>42792</v>
      </c>
      <c r="I1111" s="1">
        <v>42810</v>
      </c>
      <c r="J1111">
        <v>0</v>
      </c>
    </row>
    <row r="1112" spans="1:10" x14ac:dyDescent="0.3">
      <c r="A1112" t="s">
        <v>1243</v>
      </c>
      <c r="B1112" t="s">
        <v>139</v>
      </c>
      <c r="C1112" t="str">
        <f>_xlfn.XLOOKUP(B1112,
[1]sales_teams!$A$2:$A$100,
[1]sales_teams!$B$2:$B$100)</f>
        <v>Rocco Neubert</v>
      </c>
      <c r="D1112" t="str">
        <f>_xlfn.XLOOKUP($B1112,sales_teams!$A$2:$A$36,sales_teams!C$2:C$36)</f>
        <v>East</v>
      </c>
      <c r="E1112" t="s">
        <v>48</v>
      </c>
      <c r="F1112" t="s">
        <v>106</v>
      </c>
      <c r="G1112" t="s">
        <v>12</v>
      </c>
      <c r="H1112" s="1">
        <v>42792</v>
      </c>
      <c r="I1112" s="1">
        <v>42807</v>
      </c>
      <c r="J1112">
        <v>4766</v>
      </c>
    </row>
    <row r="1113" spans="1:10" x14ac:dyDescent="0.3">
      <c r="A1113" t="s">
        <v>1244</v>
      </c>
      <c r="B1113" t="s">
        <v>164</v>
      </c>
      <c r="C1113" t="str">
        <f>_xlfn.XLOOKUP(B1113,
[1]sales_teams!$A$2:$A$100,
[1]sales_teams!$B$2:$B$100)</f>
        <v>Cara Losch</v>
      </c>
      <c r="D1113" t="str">
        <f>_xlfn.XLOOKUP($B1113,sales_teams!$A$2:$A$36,sales_teams!C$2:C$36)</f>
        <v>East</v>
      </c>
      <c r="E1113" t="s">
        <v>39</v>
      </c>
      <c r="F1113" t="s">
        <v>215</v>
      </c>
      <c r="G1113" t="s">
        <v>46</v>
      </c>
      <c r="H1113" s="1">
        <v>42792</v>
      </c>
      <c r="I1113" s="1">
        <v>42896</v>
      </c>
      <c r="J1113">
        <v>0</v>
      </c>
    </row>
    <row r="1114" spans="1:10" x14ac:dyDescent="0.3">
      <c r="A1114" t="s">
        <v>1245</v>
      </c>
      <c r="B1114" t="s">
        <v>64</v>
      </c>
      <c r="C1114" t="str">
        <f>_xlfn.XLOOKUP(B1114,
[1]sales_teams!$A$2:$A$100,
[1]sales_teams!$B$2:$B$100)</f>
        <v>Rocco Neubert</v>
      </c>
      <c r="D1114" t="str">
        <f>_xlfn.XLOOKUP($B1114,sales_teams!$A$2:$A$36,sales_teams!C$2:C$36)</f>
        <v>East</v>
      </c>
      <c r="E1114" t="s">
        <v>20</v>
      </c>
      <c r="F1114" t="s">
        <v>81</v>
      </c>
      <c r="G1114" t="s">
        <v>12</v>
      </c>
      <c r="H1114" s="1">
        <v>42792</v>
      </c>
      <c r="I1114" s="1">
        <v>42882</v>
      </c>
      <c r="J1114">
        <v>592</v>
      </c>
    </row>
    <row r="1115" spans="1:10" x14ac:dyDescent="0.3">
      <c r="A1115" t="s">
        <v>1246</v>
      </c>
      <c r="B1115" t="s">
        <v>142</v>
      </c>
      <c r="C1115" t="str">
        <f>_xlfn.XLOOKUP(B1115,
[1]sales_teams!$A$2:$A$100,
[1]sales_teams!$B$2:$B$100)</f>
        <v>Rocco Neubert</v>
      </c>
      <c r="D1115" t="str">
        <f>_xlfn.XLOOKUP($B1115,sales_teams!$A$2:$A$36,sales_teams!C$2:C$36)</f>
        <v>East</v>
      </c>
      <c r="E1115" t="s">
        <v>20</v>
      </c>
      <c r="F1115" t="s">
        <v>518</v>
      </c>
      <c r="G1115" t="s">
        <v>46</v>
      </c>
      <c r="H1115" s="1">
        <v>42792</v>
      </c>
      <c r="I1115" s="1">
        <v>42887</v>
      </c>
      <c r="J1115">
        <v>0</v>
      </c>
    </row>
    <row r="1116" spans="1:10" x14ac:dyDescent="0.3">
      <c r="A1116" t="s">
        <v>1247</v>
      </c>
      <c r="B1116" t="s">
        <v>67</v>
      </c>
      <c r="C1116" t="str">
        <f>_xlfn.XLOOKUP(B1116,
[1]sales_teams!$A$2:$A$100,
[1]sales_teams!$B$2:$B$100)</f>
        <v>Celia Rouche</v>
      </c>
      <c r="D1116" t="str">
        <f>_xlfn.XLOOKUP($B1116,sales_teams!$A$2:$A$36,sales_teams!C$2:C$36)</f>
        <v>West</v>
      </c>
      <c r="E1116" t="s">
        <v>18</v>
      </c>
      <c r="F1116" t="s">
        <v>100</v>
      </c>
      <c r="G1116" t="s">
        <v>46</v>
      </c>
      <c r="H1116" s="1">
        <v>42792</v>
      </c>
      <c r="I1116" s="1">
        <v>42879</v>
      </c>
      <c r="J1116">
        <v>0</v>
      </c>
    </row>
    <row r="1117" spans="1:10" x14ac:dyDescent="0.3">
      <c r="A1117" t="s">
        <v>1248</v>
      </c>
      <c r="B1117" t="s">
        <v>44</v>
      </c>
      <c r="C1117" t="str">
        <f>_xlfn.XLOOKUP(B1117,
[1]sales_teams!$A$2:$A$100,
[1]sales_teams!$B$2:$B$100)</f>
        <v>Melvin Marxen</v>
      </c>
      <c r="D1117" t="str">
        <f>_xlfn.XLOOKUP($B1117,sales_teams!$A$2:$A$36,sales_teams!C$2:C$36)</f>
        <v>Central</v>
      </c>
      <c r="E1117" t="s">
        <v>15</v>
      </c>
      <c r="F1117" t="s">
        <v>62</v>
      </c>
      <c r="G1117" t="s">
        <v>46</v>
      </c>
      <c r="H1117" s="1">
        <v>42792</v>
      </c>
      <c r="I1117" s="1">
        <v>42884</v>
      </c>
      <c r="J1117">
        <v>0</v>
      </c>
    </row>
    <row r="1118" spans="1:10" x14ac:dyDescent="0.3">
      <c r="A1118" t="s">
        <v>1249</v>
      </c>
      <c r="B1118" t="s">
        <v>44</v>
      </c>
      <c r="C1118" t="str">
        <f>_xlfn.XLOOKUP(B1118,
[1]sales_teams!$A$2:$A$100,
[1]sales_teams!$B$2:$B$100)</f>
        <v>Melvin Marxen</v>
      </c>
      <c r="D1118" t="str">
        <f>_xlfn.XLOOKUP($B1118,sales_teams!$A$2:$A$36,sales_teams!C$2:C$36)</f>
        <v>Central</v>
      </c>
      <c r="E1118" t="s">
        <v>15</v>
      </c>
      <c r="F1118" t="s">
        <v>197</v>
      </c>
      <c r="G1118" t="s">
        <v>12</v>
      </c>
      <c r="H1118" s="1">
        <v>42792</v>
      </c>
      <c r="I1118" s="1">
        <v>42894</v>
      </c>
      <c r="J1118">
        <v>5142</v>
      </c>
    </row>
    <row r="1119" spans="1:10" x14ac:dyDescent="0.3">
      <c r="A1119" t="s">
        <v>1250</v>
      </c>
      <c r="B1119" t="s">
        <v>38</v>
      </c>
      <c r="C1119" t="str">
        <f>_xlfn.XLOOKUP(B1119,
[1]sales_teams!$A$2:$A$100,
[1]sales_teams!$B$2:$B$100)</f>
        <v>Summer Sewald</v>
      </c>
      <c r="D1119" t="str">
        <f>_xlfn.XLOOKUP($B1119,sales_teams!$A$2:$A$36,sales_teams!C$2:C$36)</f>
        <v>West</v>
      </c>
      <c r="E1119" t="s">
        <v>10</v>
      </c>
      <c r="F1119" t="s">
        <v>33</v>
      </c>
      <c r="G1119" t="s">
        <v>46</v>
      </c>
      <c r="H1119" s="1">
        <v>42792</v>
      </c>
      <c r="I1119" s="1">
        <v>42884</v>
      </c>
      <c r="J1119">
        <v>0</v>
      </c>
    </row>
    <row r="1120" spans="1:10" x14ac:dyDescent="0.3">
      <c r="A1120" t="s">
        <v>1251</v>
      </c>
      <c r="B1120" t="s">
        <v>95</v>
      </c>
      <c r="C1120" t="str">
        <f>_xlfn.XLOOKUP(B1120,
[1]sales_teams!$A$2:$A$100,
[1]sales_teams!$B$2:$B$100)</f>
        <v>Summer Sewald</v>
      </c>
      <c r="D1120" t="str">
        <f>_xlfn.XLOOKUP($B1120,sales_teams!$A$2:$A$36,sales_teams!C$2:C$36)</f>
        <v>West</v>
      </c>
      <c r="E1120" t="s">
        <v>48</v>
      </c>
      <c r="F1120" t="s">
        <v>313</v>
      </c>
      <c r="G1120" t="s">
        <v>40</v>
      </c>
      <c r="H1120" s="1">
        <v>42792</v>
      </c>
    </row>
    <row r="1121" spans="1:10" x14ac:dyDescent="0.3">
      <c r="A1121" t="s">
        <v>1252</v>
      </c>
      <c r="B1121" t="s">
        <v>133</v>
      </c>
      <c r="C1121" t="str">
        <f>_xlfn.XLOOKUP(B1121,
[1]sales_teams!$A$2:$A$100,
[1]sales_teams!$B$2:$B$100)</f>
        <v>Dustin Brinkmann</v>
      </c>
      <c r="D1121" t="str">
        <f>_xlfn.XLOOKUP($B1121,sales_teams!$A$2:$A$36,sales_teams!C$2:C$36)</f>
        <v>Central</v>
      </c>
      <c r="E1121" t="s">
        <v>39</v>
      </c>
      <c r="F1121" t="s">
        <v>109</v>
      </c>
      <c r="G1121" t="s">
        <v>46</v>
      </c>
      <c r="H1121" s="1">
        <v>42792</v>
      </c>
      <c r="I1121" s="1">
        <v>42863</v>
      </c>
      <c r="J1121">
        <v>0</v>
      </c>
    </row>
    <row r="1122" spans="1:10" x14ac:dyDescent="0.3">
      <c r="A1122" t="s">
        <v>1253</v>
      </c>
      <c r="B1122" t="s">
        <v>32</v>
      </c>
      <c r="C1122" t="str">
        <f>_xlfn.XLOOKUP(B1122,
[1]sales_teams!$A$2:$A$100,
[1]sales_teams!$B$2:$B$100)</f>
        <v>Celia Rouche</v>
      </c>
      <c r="D1122" t="str">
        <f>_xlfn.XLOOKUP($B1122,sales_teams!$A$2:$A$36,sales_teams!C$2:C$36)</f>
        <v>West</v>
      </c>
      <c r="E1122" t="s">
        <v>10</v>
      </c>
      <c r="F1122" t="s">
        <v>124</v>
      </c>
      <c r="G1122" t="s">
        <v>46</v>
      </c>
      <c r="H1122" s="1">
        <v>42792</v>
      </c>
      <c r="I1122" s="1">
        <v>42902</v>
      </c>
      <c r="J1122">
        <v>0</v>
      </c>
    </row>
    <row r="1123" spans="1:10" x14ac:dyDescent="0.3">
      <c r="A1123" t="s">
        <v>1254</v>
      </c>
      <c r="B1123" t="s">
        <v>51</v>
      </c>
      <c r="C1123" t="str">
        <f>_xlfn.XLOOKUP(B1123,
[1]sales_teams!$A$2:$A$100,
[1]sales_teams!$B$2:$B$100)</f>
        <v>Summer Sewald</v>
      </c>
      <c r="D1123" t="str">
        <f>_xlfn.XLOOKUP($B1123,sales_teams!$A$2:$A$36,sales_teams!C$2:C$36)</f>
        <v>West</v>
      </c>
      <c r="E1123" t="s">
        <v>10</v>
      </c>
      <c r="G1123" t="s">
        <v>40</v>
      </c>
      <c r="H1123" s="1">
        <v>42792</v>
      </c>
    </row>
    <row r="1124" spans="1:10" x14ac:dyDescent="0.3">
      <c r="A1124" t="s">
        <v>1255</v>
      </c>
      <c r="B1124" t="s">
        <v>51</v>
      </c>
      <c r="C1124" t="str">
        <f>_xlfn.XLOOKUP(B1124,
[1]sales_teams!$A$2:$A$100,
[1]sales_teams!$B$2:$B$100)</f>
        <v>Summer Sewald</v>
      </c>
      <c r="D1124" t="str">
        <f>_xlfn.XLOOKUP($B1124,sales_teams!$A$2:$A$36,sales_teams!C$2:C$36)</f>
        <v>West</v>
      </c>
      <c r="E1124" t="s">
        <v>10</v>
      </c>
      <c r="G1124" t="s">
        <v>40</v>
      </c>
      <c r="H1124" s="1">
        <v>42792</v>
      </c>
    </row>
    <row r="1125" spans="1:10" x14ac:dyDescent="0.3">
      <c r="A1125" t="s">
        <v>1256</v>
      </c>
      <c r="B1125" t="s">
        <v>51</v>
      </c>
      <c r="C1125" t="str">
        <f>_xlfn.XLOOKUP(B1125,
[1]sales_teams!$A$2:$A$100,
[1]sales_teams!$B$2:$B$100)</f>
        <v>Summer Sewald</v>
      </c>
      <c r="D1125" t="str">
        <f>_xlfn.XLOOKUP($B1125,sales_teams!$A$2:$A$36,sales_teams!C$2:C$36)</f>
        <v>West</v>
      </c>
      <c r="E1125" t="s">
        <v>39</v>
      </c>
      <c r="F1125" t="s">
        <v>745</v>
      </c>
      <c r="G1125" t="s">
        <v>40</v>
      </c>
      <c r="H1125" s="1">
        <v>42792</v>
      </c>
    </row>
    <row r="1126" spans="1:10" x14ac:dyDescent="0.3">
      <c r="A1126" t="s">
        <v>1257</v>
      </c>
      <c r="B1126" t="s">
        <v>51</v>
      </c>
      <c r="C1126" t="str">
        <f>_xlfn.XLOOKUP(B1126,
[1]sales_teams!$A$2:$A$100,
[1]sales_teams!$B$2:$B$100)</f>
        <v>Summer Sewald</v>
      </c>
      <c r="D1126" t="str">
        <f>_xlfn.XLOOKUP($B1126,sales_teams!$A$2:$A$36,sales_teams!C$2:C$36)</f>
        <v>West</v>
      </c>
      <c r="E1126" t="s">
        <v>10</v>
      </c>
      <c r="F1126" t="s">
        <v>194</v>
      </c>
      <c r="G1126" t="s">
        <v>46</v>
      </c>
      <c r="H1126" s="1">
        <v>42792</v>
      </c>
      <c r="I1126" s="1">
        <v>42912</v>
      </c>
      <c r="J1126">
        <v>0</v>
      </c>
    </row>
    <row r="1127" spans="1:10" x14ac:dyDescent="0.3">
      <c r="A1127" t="s">
        <v>1258</v>
      </c>
      <c r="B1127" t="s">
        <v>51</v>
      </c>
      <c r="C1127" t="str">
        <f>_xlfn.XLOOKUP(B1127,
[1]sales_teams!$A$2:$A$100,
[1]sales_teams!$B$2:$B$100)</f>
        <v>Summer Sewald</v>
      </c>
      <c r="D1127" t="str">
        <f>_xlfn.XLOOKUP($B1127,sales_teams!$A$2:$A$36,sales_teams!C$2:C$36)</f>
        <v>West</v>
      </c>
      <c r="E1127" t="s">
        <v>18</v>
      </c>
      <c r="F1127" t="s">
        <v>157</v>
      </c>
      <c r="G1127" t="s">
        <v>46</v>
      </c>
      <c r="H1127" s="1">
        <v>42792</v>
      </c>
      <c r="I1127" s="1">
        <v>42858</v>
      </c>
      <c r="J1127">
        <v>0</v>
      </c>
    </row>
    <row r="1128" spans="1:10" x14ac:dyDescent="0.3">
      <c r="A1128" t="s">
        <v>1259</v>
      </c>
      <c r="B1128" t="s">
        <v>9</v>
      </c>
      <c r="C1128" t="str">
        <f>_xlfn.XLOOKUP(B1128,
[1]sales_teams!$A$2:$A$100,
[1]sales_teams!$B$2:$B$100)</f>
        <v>Dustin Brinkmann</v>
      </c>
      <c r="D1128" t="str">
        <f>_xlfn.XLOOKUP($B1128,sales_teams!$A$2:$A$36,sales_teams!C$2:C$36)</f>
        <v>Central</v>
      </c>
      <c r="E1128" t="s">
        <v>20</v>
      </c>
      <c r="F1128" t="s">
        <v>197</v>
      </c>
      <c r="G1128" t="s">
        <v>12</v>
      </c>
      <c r="H1128" s="1">
        <v>42792</v>
      </c>
      <c r="I1128" s="1">
        <v>42809</v>
      </c>
      <c r="J1128">
        <v>660</v>
      </c>
    </row>
    <row r="1129" spans="1:10" x14ac:dyDescent="0.3">
      <c r="A1129" t="s">
        <v>1260</v>
      </c>
      <c r="B1129" t="s">
        <v>9</v>
      </c>
      <c r="C1129" t="str">
        <f>_xlfn.XLOOKUP(B1129,
[1]sales_teams!$A$2:$A$100,
[1]sales_teams!$B$2:$B$100)</f>
        <v>Dustin Brinkmann</v>
      </c>
      <c r="D1129" t="str">
        <f>_xlfn.XLOOKUP($B1129,sales_teams!$A$2:$A$36,sales_teams!C$2:C$36)</f>
        <v>Central</v>
      </c>
      <c r="E1129" t="s">
        <v>20</v>
      </c>
      <c r="F1129" t="s">
        <v>126</v>
      </c>
      <c r="G1129" t="s">
        <v>12</v>
      </c>
      <c r="H1129" s="1">
        <v>42792</v>
      </c>
      <c r="I1129" s="1">
        <v>42881</v>
      </c>
      <c r="J1129">
        <v>443</v>
      </c>
    </row>
    <row r="1130" spans="1:10" x14ac:dyDescent="0.3">
      <c r="A1130" t="s">
        <v>1261</v>
      </c>
      <c r="B1130" t="s">
        <v>35</v>
      </c>
      <c r="C1130" t="str">
        <f>_xlfn.XLOOKUP(B1130,
[1]sales_teams!$A$2:$A$100,
[1]sales_teams!$B$2:$B$100)</f>
        <v>Melvin Marxen</v>
      </c>
      <c r="D1130" t="str">
        <f>_xlfn.XLOOKUP($B1130,sales_teams!$A$2:$A$36,sales_teams!C$2:C$36)</f>
        <v>Central</v>
      </c>
      <c r="E1130" t="s">
        <v>18</v>
      </c>
      <c r="F1130" t="s">
        <v>21</v>
      </c>
      <c r="G1130" t="s">
        <v>46</v>
      </c>
      <c r="H1130" s="1">
        <v>42792</v>
      </c>
      <c r="I1130" s="1">
        <v>42875</v>
      </c>
      <c r="J1130">
        <v>0</v>
      </c>
    </row>
    <row r="1131" spans="1:10" x14ac:dyDescent="0.3">
      <c r="A1131" t="s">
        <v>1262</v>
      </c>
      <c r="B1131" t="s">
        <v>88</v>
      </c>
      <c r="C1131" t="str">
        <f>_xlfn.XLOOKUP(B1131,
[1]sales_teams!$A$2:$A$100,
[1]sales_teams!$B$2:$B$100)</f>
        <v>Cara Losch</v>
      </c>
      <c r="D1131" t="str">
        <f>_xlfn.XLOOKUP($B1131,sales_teams!$A$2:$A$36,sales_teams!C$2:C$36)</f>
        <v>East</v>
      </c>
      <c r="E1131" t="s">
        <v>48</v>
      </c>
      <c r="F1131" t="s">
        <v>89</v>
      </c>
      <c r="G1131" t="s">
        <v>46</v>
      </c>
      <c r="H1131" s="1">
        <v>42792</v>
      </c>
      <c r="I1131" s="1">
        <v>42797</v>
      </c>
      <c r="J1131">
        <v>0</v>
      </c>
    </row>
    <row r="1132" spans="1:10" x14ac:dyDescent="0.3">
      <c r="A1132" t="s">
        <v>1263</v>
      </c>
      <c r="B1132" t="s">
        <v>88</v>
      </c>
      <c r="C1132" t="str">
        <f>_xlfn.XLOOKUP(B1132,
[1]sales_teams!$A$2:$A$100,
[1]sales_teams!$B$2:$B$100)</f>
        <v>Cara Losch</v>
      </c>
      <c r="D1132" t="str">
        <f>_xlfn.XLOOKUP($B1132,sales_teams!$A$2:$A$36,sales_teams!C$2:C$36)</f>
        <v>East</v>
      </c>
      <c r="E1132" t="s">
        <v>18</v>
      </c>
      <c r="F1132" t="s">
        <v>103</v>
      </c>
      <c r="G1132" t="s">
        <v>46</v>
      </c>
      <c r="H1132" s="1">
        <v>42792</v>
      </c>
      <c r="I1132" s="1">
        <v>42873</v>
      </c>
      <c r="J1132">
        <v>0</v>
      </c>
    </row>
    <row r="1133" spans="1:10" x14ac:dyDescent="0.3">
      <c r="A1133" t="s">
        <v>1264</v>
      </c>
      <c r="B1133" t="s">
        <v>61</v>
      </c>
      <c r="C1133" t="str">
        <f>_xlfn.XLOOKUP(B1133,
[1]sales_teams!$A$2:$A$100,
[1]sales_teams!$B$2:$B$100)</f>
        <v>Dustin Brinkmann</v>
      </c>
      <c r="D1133" t="str">
        <f>_xlfn.XLOOKUP($B1133,sales_teams!$A$2:$A$36,sales_teams!C$2:C$36)</f>
        <v>Central</v>
      </c>
      <c r="E1133" t="s">
        <v>18</v>
      </c>
      <c r="F1133" t="s">
        <v>207</v>
      </c>
      <c r="G1133" t="s">
        <v>12</v>
      </c>
      <c r="H1133" s="1">
        <v>42792</v>
      </c>
      <c r="I1133" s="1">
        <v>42904</v>
      </c>
      <c r="J1133">
        <v>61</v>
      </c>
    </row>
    <row r="1134" spans="1:10" x14ac:dyDescent="0.3">
      <c r="A1134" t="s">
        <v>1265</v>
      </c>
      <c r="B1134" t="s">
        <v>23</v>
      </c>
      <c r="C1134" t="str">
        <f>_xlfn.XLOOKUP(B1134,
[1]sales_teams!$A$2:$A$100,
[1]sales_teams!$B$2:$B$100)</f>
        <v>Summer Sewald</v>
      </c>
      <c r="D1134" t="str">
        <f>_xlfn.XLOOKUP($B1134,sales_teams!$A$2:$A$36,sales_teams!C$2:C$36)</f>
        <v>West</v>
      </c>
      <c r="E1134" t="s">
        <v>10</v>
      </c>
      <c r="G1134" t="s">
        <v>40</v>
      </c>
      <c r="H1134" s="1">
        <v>42792</v>
      </c>
    </row>
    <row r="1135" spans="1:10" x14ac:dyDescent="0.3">
      <c r="A1135" t="s">
        <v>1266</v>
      </c>
      <c r="B1135" t="s">
        <v>23</v>
      </c>
      <c r="C1135" t="str">
        <f>_xlfn.XLOOKUP(B1135,
[1]sales_teams!$A$2:$A$100,
[1]sales_teams!$B$2:$B$100)</f>
        <v>Summer Sewald</v>
      </c>
      <c r="D1135" t="str">
        <f>_xlfn.XLOOKUP($B1135,sales_teams!$A$2:$A$36,sales_teams!C$2:C$36)</f>
        <v>West</v>
      </c>
      <c r="E1135" t="s">
        <v>48</v>
      </c>
      <c r="F1135" t="s">
        <v>159</v>
      </c>
      <c r="G1135" t="s">
        <v>12</v>
      </c>
      <c r="H1135" s="1">
        <v>42792</v>
      </c>
      <c r="I1135" s="1">
        <v>42808</v>
      </c>
      <c r="J1135">
        <v>4846</v>
      </c>
    </row>
    <row r="1136" spans="1:10" x14ac:dyDescent="0.3">
      <c r="A1136" t="s">
        <v>1267</v>
      </c>
      <c r="B1136" t="s">
        <v>26</v>
      </c>
      <c r="C1136" t="str">
        <f>_xlfn.XLOOKUP(B1136,
[1]sales_teams!$A$2:$A$100,
[1]sales_teams!$B$2:$B$100)</f>
        <v>Dustin Brinkmann</v>
      </c>
      <c r="D1136" t="str">
        <f>_xlfn.XLOOKUP($B1136,sales_teams!$A$2:$A$36,sales_teams!C$2:C$36)</f>
        <v>Central</v>
      </c>
      <c r="E1136" t="s">
        <v>20</v>
      </c>
      <c r="F1136" t="s">
        <v>91</v>
      </c>
      <c r="G1136" t="s">
        <v>12</v>
      </c>
      <c r="H1136" s="1">
        <v>42793</v>
      </c>
      <c r="I1136" s="1">
        <v>42890</v>
      </c>
      <c r="J1136">
        <v>574</v>
      </c>
    </row>
    <row r="1137" spans="1:10" x14ac:dyDescent="0.3">
      <c r="A1137" t="s">
        <v>1268</v>
      </c>
      <c r="B1137" t="s">
        <v>118</v>
      </c>
      <c r="C1137" t="str">
        <f>_xlfn.XLOOKUP(B1137,
[1]sales_teams!$A$2:$A$100,
[1]sales_teams!$B$2:$B$100)</f>
        <v>Rocco Neubert</v>
      </c>
      <c r="D1137" t="str">
        <f>_xlfn.XLOOKUP($B1137,sales_teams!$A$2:$A$36,sales_teams!C$2:C$36)</f>
        <v>East</v>
      </c>
      <c r="E1137" t="s">
        <v>20</v>
      </c>
      <c r="F1137" t="s">
        <v>81</v>
      </c>
      <c r="G1137" t="s">
        <v>46</v>
      </c>
      <c r="H1137" s="1">
        <v>42793</v>
      </c>
      <c r="I1137" s="1">
        <v>42904</v>
      </c>
      <c r="J1137">
        <v>0</v>
      </c>
    </row>
    <row r="1138" spans="1:10" x14ac:dyDescent="0.3">
      <c r="A1138" t="s">
        <v>1269</v>
      </c>
      <c r="B1138" t="s">
        <v>118</v>
      </c>
      <c r="C1138" t="str">
        <f>_xlfn.XLOOKUP(B1138,
[1]sales_teams!$A$2:$A$100,
[1]sales_teams!$B$2:$B$100)</f>
        <v>Rocco Neubert</v>
      </c>
      <c r="D1138" t="str">
        <f>_xlfn.XLOOKUP($B1138,sales_teams!$A$2:$A$36,sales_teams!C$2:C$36)</f>
        <v>East</v>
      </c>
      <c r="E1138" t="s">
        <v>15</v>
      </c>
      <c r="F1138" t="s">
        <v>329</v>
      </c>
      <c r="G1138" t="s">
        <v>46</v>
      </c>
      <c r="H1138" s="1">
        <v>42793</v>
      </c>
      <c r="I1138" s="1">
        <v>42877</v>
      </c>
      <c r="J1138">
        <v>0</v>
      </c>
    </row>
    <row r="1139" spans="1:10" x14ac:dyDescent="0.3">
      <c r="A1139" t="s">
        <v>1270</v>
      </c>
      <c r="B1139" t="s">
        <v>202</v>
      </c>
      <c r="C1139" t="str">
        <f>_xlfn.XLOOKUP(B1139,
[1]sales_teams!$A$2:$A$100,
[1]sales_teams!$B$2:$B$100)</f>
        <v>Dustin Brinkmann</v>
      </c>
      <c r="D1139" t="str">
        <f>_xlfn.XLOOKUP($B1139,sales_teams!$A$2:$A$36,sales_teams!C$2:C$36)</f>
        <v>Central</v>
      </c>
      <c r="E1139" t="s">
        <v>20</v>
      </c>
      <c r="F1139" t="s">
        <v>120</v>
      </c>
      <c r="G1139" t="s">
        <v>12</v>
      </c>
      <c r="H1139" s="1">
        <v>42793</v>
      </c>
      <c r="I1139" s="1">
        <v>42858</v>
      </c>
      <c r="J1139">
        <v>497</v>
      </c>
    </row>
    <row r="1140" spans="1:10" x14ac:dyDescent="0.3">
      <c r="A1140" t="s">
        <v>1271</v>
      </c>
      <c r="B1140" t="s">
        <v>164</v>
      </c>
      <c r="C1140" t="str">
        <f>_xlfn.XLOOKUP(B1140,
[1]sales_teams!$A$2:$A$100,
[1]sales_teams!$B$2:$B$100)</f>
        <v>Cara Losch</v>
      </c>
      <c r="D1140" t="str">
        <f>_xlfn.XLOOKUP($B1140,sales_teams!$A$2:$A$36,sales_teams!C$2:C$36)</f>
        <v>East</v>
      </c>
      <c r="E1140" t="s">
        <v>20</v>
      </c>
      <c r="F1140" t="s">
        <v>65</v>
      </c>
      <c r="G1140" t="s">
        <v>46</v>
      </c>
      <c r="H1140" s="1">
        <v>42793</v>
      </c>
      <c r="I1140" s="1">
        <v>42859</v>
      </c>
      <c r="J1140">
        <v>0</v>
      </c>
    </row>
    <row r="1141" spans="1:10" x14ac:dyDescent="0.3">
      <c r="A1141" t="s">
        <v>1272</v>
      </c>
      <c r="B1141" t="s">
        <v>164</v>
      </c>
      <c r="C1141" t="str">
        <f>_xlfn.XLOOKUP(B1141,
[1]sales_teams!$A$2:$A$100,
[1]sales_teams!$B$2:$B$100)</f>
        <v>Cara Losch</v>
      </c>
      <c r="D1141" t="str">
        <f>_xlfn.XLOOKUP($B1141,sales_teams!$A$2:$A$36,sales_teams!C$2:C$36)</f>
        <v>East</v>
      </c>
      <c r="E1141" t="s">
        <v>48</v>
      </c>
      <c r="F1141" t="s">
        <v>199</v>
      </c>
      <c r="G1141" t="s">
        <v>12</v>
      </c>
      <c r="H1141" s="1">
        <v>42793</v>
      </c>
      <c r="I1141" s="1">
        <v>42885</v>
      </c>
      <c r="J1141">
        <v>5159</v>
      </c>
    </row>
    <row r="1142" spans="1:10" x14ac:dyDescent="0.3">
      <c r="A1142" t="s">
        <v>1273</v>
      </c>
      <c r="B1142" t="s">
        <v>64</v>
      </c>
      <c r="C1142" t="str">
        <f>_xlfn.XLOOKUP(B1142,
[1]sales_teams!$A$2:$A$100,
[1]sales_teams!$B$2:$B$100)</f>
        <v>Rocco Neubert</v>
      </c>
      <c r="D1142" t="str">
        <f>_xlfn.XLOOKUP($B1142,sales_teams!$A$2:$A$36,sales_teams!C$2:C$36)</f>
        <v>East</v>
      </c>
      <c r="E1142" t="s">
        <v>10</v>
      </c>
      <c r="F1142" t="s">
        <v>159</v>
      </c>
      <c r="G1142" t="s">
        <v>40</v>
      </c>
      <c r="H1142" s="1">
        <v>42793</v>
      </c>
    </row>
    <row r="1143" spans="1:10" x14ac:dyDescent="0.3">
      <c r="A1143" t="s">
        <v>1274</v>
      </c>
      <c r="B1143" t="s">
        <v>14</v>
      </c>
      <c r="C1143" t="str">
        <f>_xlfn.XLOOKUP(B1143,
[1]sales_teams!$A$2:$A$100,
[1]sales_teams!$B$2:$B$100)</f>
        <v>Melvin Marxen</v>
      </c>
      <c r="D1143" t="str">
        <f>_xlfn.XLOOKUP($B1143,sales_teams!$A$2:$A$36,sales_teams!C$2:C$36)</f>
        <v>Central</v>
      </c>
      <c r="E1143" t="s">
        <v>18</v>
      </c>
      <c r="F1143" t="s">
        <v>21</v>
      </c>
      <c r="G1143" t="s">
        <v>46</v>
      </c>
      <c r="H1143" s="1">
        <v>42793</v>
      </c>
      <c r="I1143" s="1">
        <v>42857</v>
      </c>
      <c r="J1143">
        <v>0</v>
      </c>
    </row>
    <row r="1144" spans="1:10" x14ac:dyDescent="0.3">
      <c r="A1144" t="s">
        <v>1275</v>
      </c>
      <c r="B1144" t="s">
        <v>14</v>
      </c>
      <c r="C1144" t="str">
        <f>_xlfn.XLOOKUP(B1144,
[1]sales_teams!$A$2:$A$100,
[1]sales_teams!$B$2:$B$100)</f>
        <v>Melvin Marxen</v>
      </c>
      <c r="D1144" t="str">
        <f>_xlfn.XLOOKUP($B1144,sales_teams!$A$2:$A$36,sales_teams!C$2:C$36)</f>
        <v>Central</v>
      </c>
      <c r="E1144" t="s">
        <v>15</v>
      </c>
      <c r="F1144" t="s">
        <v>120</v>
      </c>
      <c r="G1144" t="s">
        <v>12</v>
      </c>
      <c r="H1144" s="1">
        <v>42793</v>
      </c>
      <c r="I1144" s="1">
        <v>42868</v>
      </c>
      <c r="J1144">
        <v>4311</v>
      </c>
    </row>
    <row r="1145" spans="1:10" x14ac:dyDescent="0.3">
      <c r="A1145" t="s">
        <v>1276</v>
      </c>
      <c r="B1145" t="s">
        <v>142</v>
      </c>
      <c r="C1145" t="str">
        <f>_xlfn.XLOOKUP(B1145,
[1]sales_teams!$A$2:$A$100,
[1]sales_teams!$B$2:$B$100)</f>
        <v>Rocco Neubert</v>
      </c>
      <c r="D1145" t="str">
        <f>_xlfn.XLOOKUP($B1145,sales_teams!$A$2:$A$36,sales_teams!C$2:C$36)</f>
        <v>East</v>
      </c>
      <c r="E1145" t="s">
        <v>20</v>
      </c>
      <c r="F1145" t="s">
        <v>81</v>
      </c>
      <c r="G1145" t="s">
        <v>12</v>
      </c>
      <c r="H1145" s="1">
        <v>42793</v>
      </c>
      <c r="I1145" s="1">
        <v>42877</v>
      </c>
      <c r="J1145">
        <v>609</v>
      </c>
    </row>
    <row r="1146" spans="1:10" x14ac:dyDescent="0.3">
      <c r="A1146" t="s">
        <v>1277</v>
      </c>
      <c r="B1146" t="s">
        <v>44</v>
      </c>
      <c r="C1146" t="str">
        <f>_xlfn.XLOOKUP(B1146,
[1]sales_teams!$A$2:$A$100,
[1]sales_teams!$B$2:$B$100)</f>
        <v>Melvin Marxen</v>
      </c>
      <c r="D1146" t="str">
        <f>_xlfn.XLOOKUP($B1146,sales_teams!$A$2:$A$36,sales_teams!C$2:C$36)</f>
        <v>Central</v>
      </c>
      <c r="E1146" t="s">
        <v>10</v>
      </c>
      <c r="F1146" t="s">
        <v>11</v>
      </c>
      <c r="G1146" t="s">
        <v>12</v>
      </c>
      <c r="H1146" s="1">
        <v>42793</v>
      </c>
      <c r="I1146" s="1">
        <v>42910</v>
      </c>
      <c r="J1146">
        <v>1008</v>
      </c>
    </row>
    <row r="1147" spans="1:10" x14ac:dyDescent="0.3">
      <c r="A1147" t="s">
        <v>1278</v>
      </c>
      <c r="B1147" t="s">
        <v>44</v>
      </c>
      <c r="C1147" t="str">
        <f>_xlfn.XLOOKUP(B1147,
[1]sales_teams!$A$2:$A$100,
[1]sales_teams!$B$2:$B$100)</f>
        <v>Melvin Marxen</v>
      </c>
      <c r="D1147" t="str">
        <f>_xlfn.XLOOKUP($B1147,sales_teams!$A$2:$A$36,sales_teams!C$2:C$36)</f>
        <v>Central</v>
      </c>
      <c r="E1147" t="s">
        <v>15</v>
      </c>
      <c r="F1147" t="s">
        <v>36</v>
      </c>
      <c r="G1147" t="s">
        <v>12</v>
      </c>
      <c r="H1147" s="1">
        <v>42793</v>
      </c>
      <c r="I1147" s="1">
        <v>42908</v>
      </c>
      <c r="J1147">
        <v>4458</v>
      </c>
    </row>
    <row r="1148" spans="1:10" x14ac:dyDescent="0.3">
      <c r="A1148" t="s">
        <v>1279</v>
      </c>
      <c r="B1148" t="s">
        <v>54</v>
      </c>
      <c r="C1148" t="str">
        <f>_xlfn.XLOOKUP(B1148,
[1]sales_teams!$A$2:$A$100,
[1]sales_teams!$B$2:$B$100)</f>
        <v>Celia Rouche</v>
      </c>
      <c r="D1148" t="str">
        <f>_xlfn.XLOOKUP($B1148,sales_teams!$A$2:$A$36,sales_teams!C$2:C$36)</f>
        <v>West</v>
      </c>
      <c r="E1148" t="s">
        <v>39</v>
      </c>
      <c r="G1148" t="s">
        <v>40</v>
      </c>
      <c r="H1148" s="1">
        <v>42793</v>
      </c>
    </row>
    <row r="1149" spans="1:10" x14ac:dyDescent="0.3">
      <c r="A1149" t="s">
        <v>1280</v>
      </c>
      <c r="B1149" t="s">
        <v>54</v>
      </c>
      <c r="C1149" t="str">
        <f>_xlfn.XLOOKUP(B1149,
[1]sales_teams!$A$2:$A$100,
[1]sales_teams!$B$2:$B$100)</f>
        <v>Celia Rouche</v>
      </c>
      <c r="D1149" t="str">
        <f>_xlfn.XLOOKUP($B1149,sales_teams!$A$2:$A$36,sales_teams!C$2:C$36)</f>
        <v>West</v>
      </c>
      <c r="E1149" t="s">
        <v>39</v>
      </c>
      <c r="F1149" t="s">
        <v>124</v>
      </c>
      <c r="G1149" t="s">
        <v>12</v>
      </c>
      <c r="H1149" s="1">
        <v>42793</v>
      </c>
      <c r="I1149" s="1">
        <v>42881</v>
      </c>
      <c r="J1149">
        <v>2964</v>
      </c>
    </row>
    <row r="1150" spans="1:10" x14ac:dyDescent="0.3">
      <c r="A1150" t="s">
        <v>1281</v>
      </c>
      <c r="B1150" t="s">
        <v>38</v>
      </c>
      <c r="C1150" t="str">
        <f>_xlfn.XLOOKUP(B1150,
[1]sales_teams!$A$2:$A$100,
[1]sales_teams!$B$2:$B$100)</f>
        <v>Summer Sewald</v>
      </c>
      <c r="D1150" t="str">
        <f>_xlfn.XLOOKUP($B1150,sales_teams!$A$2:$A$36,sales_teams!C$2:C$36)</f>
        <v>West</v>
      </c>
      <c r="E1150" t="s">
        <v>48</v>
      </c>
      <c r="F1150" t="s">
        <v>184</v>
      </c>
      <c r="G1150" t="s">
        <v>46</v>
      </c>
      <c r="H1150" s="1">
        <v>42793</v>
      </c>
      <c r="I1150" s="1">
        <v>42890</v>
      </c>
      <c r="J1150">
        <v>0</v>
      </c>
    </row>
    <row r="1151" spans="1:10" x14ac:dyDescent="0.3">
      <c r="A1151" t="s">
        <v>1282</v>
      </c>
      <c r="B1151" t="s">
        <v>38</v>
      </c>
      <c r="C1151" t="str">
        <f>_xlfn.XLOOKUP(B1151,
[1]sales_teams!$A$2:$A$100,
[1]sales_teams!$B$2:$B$100)</f>
        <v>Summer Sewald</v>
      </c>
      <c r="D1151" t="str">
        <f>_xlfn.XLOOKUP($B1151,sales_teams!$A$2:$A$36,sales_teams!C$2:C$36)</f>
        <v>West</v>
      </c>
      <c r="E1151" t="s">
        <v>39</v>
      </c>
      <c r="F1151" t="s">
        <v>174</v>
      </c>
      <c r="G1151" t="s">
        <v>12</v>
      </c>
      <c r="H1151" s="1">
        <v>42793</v>
      </c>
      <c r="I1151" s="1">
        <v>42891</v>
      </c>
      <c r="J1151">
        <v>3813</v>
      </c>
    </row>
    <row r="1152" spans="1:10" x14ac:dyDescent="0.3">
      <c r="A1152" t="s">
        <v>1283</v>
      </c>
      <c r="B1152" t="s">
        <v>252</v>
      </c>
      <c r="C1152" t="str">
        <f>_xlfn.XLOOKUP(B1152,
[1]sales_teams!$A$2:$A$100,
[1]sales_teams!$B$2:$B$100)</f>
        <v>Melvin Marxen</v>
      </c>
      <c r="D1152" t="str">
        <f>_xlfn.XLOOKUP($B1152,sales_teams!$A$2:$A$36,sales_teams!C$2:C$36)</f>
        <v>Central</v>
      </c>
      <c r="E1152" t="s">
        <v>20</v>
      </c>
      <c r="F1152" t="s">
        <v>126</v>
      </c>
      <c r="G1152" t="s">
        <v>12</v>
      </c>
      <c r="H1152" s="1">
        <v>42793</v>
      </c>
      <c r="I1152" s="1">
        <v>42882</v>
      </c>
      <c r="J1152">
        <v>528</v>
      </c>
    </row>
    <row r="1153" spans="1:10" x14ac:dyDescent="0.3">
      <c r="A1153" t="s">
        <v>1284</v>
      </c>
      <c r="B1153" t="s">
        <v>95</v>
      </c>
      <c r="C1153" t="str">
        <f>_xlfn.XLOOKUP(B1153,
[1]sales_teams!$A$2:$A$100,
[1]sales_teams!$B$2:$B$100)</f>
        <v>Summer Sewald</v>
      </c>
      <c r="D1153" t="str">
        <f>_xlfn.XLOOKUP($B1153,sales_teams!$A$2:$A$36,sales_teams!C$2:C$36)</f>
        <v>West</v>
      </c>
      <c r="E1153" t="s">
        <v>10</v>
      </c>
      <c r="F1153" t="s">
        <v>68</v>
      </c>
      <c r="G1153" t="s">
        <v>12</v>
      </c>
      <c r="H1153" s="1">
        <v>42793</v>
      </c>
      <c r="I1153" s="1">
        <v>42804</v>
      </c>
      <c r="J1153">
        <v>1173</v>
      </c>
    </row>
    <row r="1154" spans="1:10" x14ac:dyDescent="0.3">
      <c r="A1154" t="s">
        <v>1285</v>
      </c>
      <c r="B1154" t="s">
        <v>95</v>
      </c>
      <c r="C1154" t="str">
        <f>_xlfn.XLOOKUP(B1154,
[1]sales_teams!$A$2:$A$100,
[1]sales_teams!$B$2:$B$100)</f>
        <v>Summer Sewald</v>
      </c>
      <c r="D1154" t="str">
        <f>_xlfn.XLOOKUP($B1154,sales_teams!$A$2:$A$36,sales_teams!C$2:C$36)</f>
        <v>West</v>
      </c>
      <c r="E1154" t="s">
        <v>15</v>
      </c>
      <c r="F1154" t="s">
        <v>155</v>
      </c>
      <c r="G1154" t="s">
        <v>12</v>
      </c>
      <c r="H1154" s="1">
        <v>42793</v>
      </c>
      <c r="I1154" s="1">
        <v>42905</v>
      </c>
      <c r="J1154">
        <v>3893</v>
      </c>
    </row>
    <row r="1155" spans="1:10" x14ac:dyDescent="0.3">
      <c r="A1155" t="s">
        <v>1286</v>
      </c>
      <c r="B1155" t="s">
        <v>95</v>
      </c>
      <c r="C1155" t="str">
        <f>_xlfn.XLOOKUP(B1155,
[1]sales_teams!$A$2:$A$100,
[1]sales_teams!$B$2:$B$100)</f>
        <v>Summer Sewald</v>
      </c>
      <c r="D1155" t="str">
        <f>_xlfn.XLOOKUP($B1155,sales_teams!$A$2:$A$36,sales_teams!C$2:C$36)</f>
        <v>West</v>
      </c>
      <c r="E1155" t="s">
        <v>15</v>
      </c>
      <c r="F1155" t="s">
        <v>52</v>
      </c>
      <c r="G1155" t="s">
        <v>12</v>
      </c>
      <c r="H1155" s="1">
        <v>42793</v>
      </c>
      <c r="I1155" s="1">
        <v>42809</v>
      </c>
      <c r="J1155">
        <v>4678</v>
      </c>
    </row>
    <row r="1156" spans="1:10" x14ac:dyDescent="0.3">
      <c r="A1156" t="s">
        <v>1287</v>
      </c>
      <c r="B1156" t="s">
        <v>133</v>
      </c>
      <c r="C1156" t="str">
        <f>_xlfn.XLOOKUP(B1156,
[1]sales_teams!$A$2:$A$100,
[1]sales_teams!$B$2:$B$100)</f>
        <v>Dustin Brinkmann</v>
      </c>
      <c r="D1156" t="str">
        <f>_xlfn.XLOOKUP($B1156,sales_teams!$A$2:$A$36,sales_teams!C$2:C$36)</f>
        <v>Central</v>
      </c>
      <c r="E1156" t="s">
        <v>20</v>
      </c>
      <c r="F1156" t="s">
        <v>42</v>
      </c>
      <c r="G1156" t="s">
        <v>12</v>
      </c>
      <c r="H1156" s="1">
        <v>42793</v>
      </c>
      <c r="I1156" s="1">
        <v>42887</v>
      </c>
      <c r="J1156">
        <v>530</v>
      </c>
    </row>
    <row r="1157" spans="1:10" x14ac:dyDescent="0.3">
      <c r="A1157" t="s">
        <v>1288</v>
      </c>
      <c r="B1157" t="s">
        <v>32</v>
      </c>
      <c r="C1157" t="str">
        <f>_xlfn.XLOOKUP(B1157,
[1]sales_teams!$A$2:$A$100,
[1]sales_teams!$B$2:$B$100)</f>
        <v>Celia Rouche</v>
      </c>
      <c r="D1157" t="str">
        <f>_xlfn.XLOOKUP($B1157,sales_teams!$A$2:$A$36,sales_teams!C$2:C$36)</f>
        <v>West</v>
      </c>
      <c r="E1157" t="s">
        <v>18</v>
      </c>
      <c r="F1157" t="s">
        <v>49</v>
      </c>
      <c r="G1157" t="s">
        <v>46</v>
      </c>
      <c r="H1157" s="1">
        <v>42793</v>
      </c>
      <c r="I1157" s="1">
        <v>42808</v>
      </c>
      <c r="J1157">
        <v>0</v>
      </c>
    </row>
    <row r="1158" spans="1:10" x14ac:dyDescent="0.3">
      <c r="A1158" t="s">
        <v>1289</v>
      </c>
      <c r="B1158" t="s">
        <v>32</v>
      </c>
      <c r="C1158" t="str">
        <f>_xlfn.XLOOKUP(B1158,
[1]sales_teams!$A$2:$A$100,
[1]sales_teams!$B$2:$B$100)</f>
        <v>Celia Rouche</v>
      </c>
      <c r="D1158" t="str">
        <f>_xlfn.XLOOKUP($B1158,sales_teams!$A$2:$A$36,sales_teams!C$2:C$36)</f>
        <v>West</v>
      </c>
      <c r="E1158" t="s">
        <v>145</v>
      </c>
      <c r="F1158" t="s">
        <v>148</v>
      </c>
      <c r="G1158" t="s">
        <v>12</v>
      </c>
      <c r="H1158" s="1">
        <v>42793</v>
      </c>
      <c r="I1158" s="1">
        <v>42913</v>
      </c>
      <c r="J1158">
        <v>29617</v>
      </c>
    </row>
    <row r="1159" spans="1:10" x14ac:dyDescent="0.3">
      <c r="A1159" t="s">
        <v>1290</v>
      </c>
      <c r="B1159" t="s">
        <v>116</v>
      </c>
      <c r="C1159" t="str">
        <f>_xlfn.XLOOKUP(B1159,
[1]sales_teams!$A$2:$A$100,
[1]sales_teams!$B$2:$B$100)</f>
        <v>Melvin Marxen</v>
      </c>
      <c r="D1159" t="str">
        <f>_xlfn.XLOOKUP($B1159,sales_teams!$A$2:$A$36,sales_teams!C$2:C$36)</f>
        <v>Central</v>
      </c>
      <c r="E1159" t="s">
        <v>10</v>
      </c>
      <c r="F1159" t="s">
        <v>16</v>
      </c>
      <c r="G1159" t="s">
        <v>12</v>
      </c>
      <c r="H1159" s="1">
        <v>42793</v>
      </c>
      <c r="I1159" s="1">
        <v>42864</v>
      </c>
      <c r="J1159">
        <v>1028</v>
      </c>
    </row>
    <row r="1160" spans="1:10" x14ac:dyDescent="0.3">
      <c r="A1160" t="s">
        <v>1291</v>
      </c>
      <c r="B1160" t="s">
        <v>116</v>
      </c>
      <c r="C1160" t="str">
        <f>_xlfn.XLOOKUP(B1160,
[1]sales_teams!$A$2:$A$100,
[1]sales_teams!$B$2:$B$100)</f>
        <v>Melvin Marxen</v>
      </c>
      <c r="D1160" t="str">
        <f>_xlfn.XLOOKUP($B1160,sales_teams!$A$2:$A$36,sales_teams!C$2:C$36)</f>
        <v>Central</v>
      </c>
      <c r="E1160" t="s">
        <v>39</v>
      </c>
      <c r="F1160" t="s">
        <v>207</v>
      </c>
      <c r="G1160" t="s">
        <v>12</v>
      </c>
      <c r="H1160" s="1">
        <v>42793</v>
      </c>
      <c r="I1160" s="1">
        <v>42914</v>
      </c>
      <c r="J1160">
        <v>2863</v>
      </c>
    </row>
    <row r="1161" spans="1:10" x14ac:dyDescent="0.3">
      <c r="A1161" t="s">
        <v>1292</v>
      </c>
      <c r="B1161" t="s">
        <v>51</v>
      </c>
      <c r="C1161" t="str">
        <f>_xlfn.XLOOKUP(B1161,
[1]sales_teams!$A$2:$A$100,
[1]sales_teams!$B$2:$B$100)</f>
        <v>Summer Sewald</v>
      </c>
      <c r="D1161" t="str">
        <f>_xlfn.XLOOKUP($B1161,sales_teams!$A$2:$A$36,sales_teams!C$2:C$36)</f>
        <v>West</v>
      </c>
      <c r="E1161" t="s">
        <v>10</v>
      </c>
      <c r="G1161" t="s">
        <v>40</v>
      </c>
      <c r="H1161" s="1">
        <v>42793</v>
      </c>
    </row>
    <row r="1162" spans="1:10" x14ac:dyDescent="0.3">
      <c r="A1162" t="s">
        <v>1293</v>
      </c>
      <c r="B1162" t="s">
        <v>9</v>
      </c>
      <c r="C1162" t="str">
        <f>_xlfn.XLOOKUP(B1162,
[1]sales_teams!$A$2:$A$100,
[1]sales_teams!$B$2:$B$100)</f>
        <v>Dustin Brinkmann</v>
      </c>
      <c r="D1162" t="str">
        <f>_xlfn.XLOOKUP($B1162,sales_teams!$A$2:$A$36,sales_teams!C$2:C$36)</f>
        <v>Central</v>
      </c>
      <c r="E1162" t="s">
        <v>39</v>
      </c>
      <c r="F1162" t="s">
        <v>21</v>
      </c>
      <c r="G1162" t="s">
        <v>12</v>
      </c>
      <c r="H1162" s="1">
        <v>42793</v>
      </c>
      <c r="I1162" s="1">
        <v>42914</v>
      </c>
      <c r="J1162">
        <v>4109</v>
      </c>
    </row>
    <row r="1163" spans="1:10" x14ac:dyDescent="0.3">
      <c r="A1163" t="s">
        <v>1294</v>
      </c>
      <c r="B1163" t="s">
        <v>35</v>
      </c>
      <c r="C1163" t="str">
        <f>_xlfn.XLOOKUP(B1163,
[1]sales_teams!$A$2:$A$100,
[1]sales_teams!$B$2:$B$100)</f>
        <v>Melvin Marxen</v>
      </c>
      <c r="D1163" t="str">
        <f>_xlfn.XLOOKUP($B1163,sales_teams!$A$2:$A$36,sales_teams!C$2:C$36)</f>
        <v>Central</v>
      </c>
      <c r="E1163" t="s">
        <v>20</v>
      </c>
      <c r="F1163" t="s">
        <v>303</v>
      </c>
      <c r="G1163" t="s">
        <v>46</v>
      </c>
      <c r="H1163" s="1">
        <v>42793</v>
      </c>
      <c r="I1163" s="1">
        <v>42863</v>
      </c>
      <c r="J1163">
        <v>0</v>
      </c>
    </row>
    <row r="1164" spans="1:10" x14ac:dyDescent="0.3">
      <c r="A1164" t="s">
        <v>1295</v>
      </c>
      <c r="B1164" t="s">
        <v>97</v>
      </c>
      <c r="C1164" t="str">
        <f>_xlfn.XLOOKUP(B1164,
[1]sales_teams!$A$2:$A$100,
[1]sales_teams!$B$2:$B$100)</f>
        <v>Rocco Neubert</v>
      </c>
      <c r="D1164" t="str">
        <f>_xlfn.XLOOKUP($B1164,sales_teams!$A$2:$A$36,sales_teams!C$2:C$36)</f>
        <v>East</v>
      </c>
      <c r="E1164" t="s">
        <v>10</v>
      </c>
      <c r="F1164" t="s">
        <v>155</v>
      </c>
      <c r="G1164" t="s">
        <v>12</v>
      </c>
      <c r="H1164" s="1">
        <v>42793</v>
      </c>
      <c r="I1164" s="1">
        <v>42807</v>
      </c>
      <c r="J1164">
        <v>1106</v>
      </c>
    </row>
    <row r="1165" spans="1:10" x14ac:dyDescent="0.3">
      <c r="A1165" t="s">
        <v>1296</v>
      </c>
      <c r="B1165" t="s">
        <v>57</v>
      </c>
      <c r="C1165" t="str">
        <f>_xlfn.XLOOKUP(B1165,
[1]sales_teams!$A$2:$A$100,
[1]sales_teams!$B$2:$B$100)</f>
        <v>Celia Rouche</v>
      </c>
      <c r="D1165" t="str">
        <f>_xlfn.XLOOKUP($B1165,sales_teams!$A$2:$A$36,sales_teams!C$2:C$36)</f>
        <v>West</v>
      </c>
      <c r="E1165" t="s">
        <v>18</v>
      </c>
      <c r="G1165" t="s">
        <v>40</v>
      </c>
      <c r="H1165" s="1">
        <v>42793</v>
      </c>
    </row>
    <row r="1166" spans="1:10" x14ac:dyDescent="0.3">
      <c r="A1166" t="s">
        <v>1297</v>
      </c>
      <c r="B1166" t="s">
        <v>88</v>
      </c>
      <c r="C1166" t="str">
        <f>_xlfn.XLOOKUP(B1166,
[1]sales_teams!$A$2:$A$100,
[1]sales_teams!$B$2:$B$100)</f>
        <v>Cara Losch</v>
      </c>
      <c r="D1166" t="str">
        <f>_xlfn.XLOOKUP($B1166,sales_teams!$A$2:$A$36,sales_teams!C$2:C$36)</f>
        <v>East</v>
      </c>
      <c r="E1166" t="s">
        <v>18</v>
      </c>
      <c r="F1166" t="s">
        <v>192</v>
      </c>
      <c r="G1166" t="s">
        <v>12</v>
      </c>
      <c r="H1166" s="1">
        <v>42793</v>
      </c>
      <c r="I1166" s="1">
        <v>42916</v>
      </c>
      <c r="J1166">
        <v>53</v>
      </c>
    </row>
    <row r="1167" spans="1:10" x14ac:dyDescent="0.3">
      <c r="A1167" t="s">
        <v>1298</v>
      </c>
      <c r="B1167" t="s">
        <v>61</v>
      </c>
      <c r="C1167" t="str">
        <f>_xlfn.XLOOKUP(B1167,
[1]sales_teams!$A$2:$A$100,
[1]sales_teams!$B$2:$B$100)</f>
        <v>Dustin Brinkmann</v>
      </c>
      <c r="D1167" t="str">
        <f>_xlfn.XLOOKUP($B1167,sales_teams!$A$2:$A$36,sales_teams!C$2:C$36)</f>
        <v>Central</v>
      </c>
      <c r="E1167" t="s">
        <v>18</v>
      </c>
      <c r="F1167" t="s">
        <v>213</v>
      </c>
      <c r="G1167" t="s">
        <v>12</v>
      </c>
      <c r="H1167" s="1">
        <v>42793</v>
      </c>
      <c r="I1167" s="1">
        <v>42869</v>
      </c>
      <c r="J1167">
        <v>47</v>
      </c>
    </row>
    <row r="1168" spans="1:10" x14ac:dyDescent="0.3">
      <c r="A1168" t="s">
        <v>1299</v>
      </c>
      <c r="B1168" t="s">
        <v>73</v>
      </c>
      <c r="C1168" t="str">
        <f>_xlfn.XLOOKUP(B1168,
[1]sales_teams!$A$2:$A$100,
[1]sales_teams!$B$2:$B$100)</f>
        <v>Cara Losch</v>
      </c>
      <c r="D1168" t="str">
        <f>_xlfn.XLOOKUP($B1168,sales_teams!$A$2:$A$36,sales_teams!C$2:C$36)</f>
        <v>East</v>
      </c>
      <c r="E1168" t="s">
        <v>39</v>
      </c>
      <c r="F1168" t="s">
        <v>155</v>
      </c>
      <c r="G1168" t="s">
        <v>12</v>
      </c>
      <c r="H1168" s="1">
        <v>42793</v>
      </c>
      <c r="I1168" s="1">
        <v>42878</v>
      </c>
      <c r="J1168">
        <v>3749</v>
      </c>
    </row>
    <row r="1169" spans="1:10" x14ac:dyDescent="0.3">
      <c r="A1169" t="s">
        <v>1300</v>
      </c>
      <c r="B1169" t="s">
        <v>73</v>
      </c>
      <c r="C1169" t="str">
        <f>_xlfn.XLOOKUP(B1169,
[1]sales_teams!$A$2:$A$100,
[1]sales_teams!$B$2:$B$100)</f>
        <v>Cara Losch</v>
      </c>
      <c r="D1169" t="str">
        <f>_xlfn.XLOOKUP($B1169,sales_teams!$A$2:$A$36,sales_teams!C$2:C$36)</f>
        <v>East</v>
      </c>
      <c r="E1169" t="s">
        <v>39</v>
      </c>
      <c r="F1169" t="s">
        <v>177</v>
      </c>
      <c r="G1169" t="s">
        <v>12</v>
      </c>
      <c r="H1169" s="1">
        <v>42793</v>
      </c>
      <c r="I1169" s="1">
        <v>42882</v>
      </c>
      <c r="J1169">
        <v>4204</v>
      </c>
    </row>
    <row r="1170" spans="1:10" x14ac:dyDescent="0.3">
      <c r="A1170" t="s">
        <v>1301</v>
      </c>
      <c r="B1170" t="s">
        <v>118</v>
      </c>
      <c r="C1170" t="str">
        <f>_xlfn.XLOOKUP(B1170,
[1]sales_teams!$A$2:$A$100,
[1]sales_teams!$B$2:$B$100)</f>
        <v>Rocco Neubert</v>
      </c>
      <c r="D1170" t="str">
        <f>_xlfn.XLOOKUP($B1170,sales_teams!$A$2:$A$36,sales_teams!C$2:C$36)</f>
        <v>East</v>
      </c>
      <c r="E1170" t="s">
        <v>39</v>
      </c>
      <c r="F1170" t="s">
        <v>189</v>
      </c>
      <c r="G1170" t="s">
        <v>12</v>
      </c>
      <c r="H1170" s="1">
        <v>42794</v>
      </c>
      <c r="I1170" s="1">
        <v>42901</v>
      </c>
      <c r="J1170">
        <v>3986</v>
      </c>
    </row>
    <row r="1171" spans="1:10" x14ac:dyDescent="0.3">
      <c r="A1171" t="s">
        <v>1302</v>
      </c>
      <c r="B1171" t="s">
        <v>64</v>
      </c>
      <c r="C1171" t="str">
        <f>_xlfn.XLOOKUP(B1171,
[1]sales_teams!$A$2:$A$100,
[1]sales_teams!$B$2:$B$100)</f>
        <v>Rocco Neubert</v>
      </c>
      <c r="D1171" t="str">
        <f>_xlfn.XLOOKUP($B1171,sales_teams!$A$2:$A$36,sales_teams!C$2:C$36)</f>
        <v>East</v>
      </c>
      <c r="E1171" t="s">
        <v>15</v>
      </c>
      <c r="F1171" t="s">
        <v>209</v>
      </c>
      <c r="G1171" t="s">
        <v>12</v>
      </c>
      <c r="H1171" s="1">
        <v>42794</v>
      </c>
      <c r="I1171" s="1">
        <v>42891</v>
      </c>
      <c r="J1171">
        <v>5105</v>
      </c>
    </row>
    <row r="1172" spans="1:10" x14ac:dyDescent="0.3">
      <c r="A1172" t="s">
        <v>1303</v>
      </c>
      <c r="B1172" t="s">
        <v>14</v>
      </c>
      <c r="C1172" t="str">
        <f>_xlfn.XLOOKUP(B1172,
[1]sales_teams!$A$2:$A$100,
[1]sales_teams!$B$2:$B$100)</f>
        <v>Melvin Marxen</v>
      </c>
      <c r="D1172" t="str">
        <f>_xlfn.XLOOKUP($B1172,sales_teams!$A$2:$A$36,sales_teams!C$2:C$36)</f>
        <v>Central</v>
      </c>
      <c r="E1172" t="s">
        <v>20</v>
      </c>
      <c r="F1172" t="s">
        <v>45</v>
      </c>
      <c r="G1172" t="s">
        <v>12</v>
      </c>
      <c r="H1172" s="1">
        <v>42794</v>
      </c>
      <c r="I1172" s="1">
        <v>42908</v>
      </c>
      <c r="J1172">
        <v>516</v>
      </c>
    </row>
    <row r="1173" spans="1:10" x14ac:dyDescent="0.3">
      <c r="A1173" t="s">
        <v>1304</v>
      </c>
      <c r="B1173" t="s">
        <v>14</v>
      </c>
      <c r="C1173" t="str">
        <f>_xlfn.XLOOKUP(B1173,
[1]sales_teams!$A$2:$A$100,
[1]sales_teams!$B$2:$B$100)</f>
        <v>Melvin Marxen</v>
      </c>
      <c r="D1173" t="str">
        <f>_xlfn.XLOOKUP($B1173,sales_teams!$A$2:$A$36,sales_teams!C$2:C$36)</f>
        <v>Central</v>
      </c>
      <c r="E1173" t="s">
        <v>15</v>
      </c>
      <c r="F1173" t="s">
        <v>126</v>
      </c>
      <c r="G1173" t="s">
        <v>12</v>
      </c>
      <c r="H1173" s="1">
        <v>42794</v>
      </c>
      <c r="I1173" s="1">
        <v>42888</v>
      </c>
      <c r="J1173">
        <v>4407</v>
      </c>
    </row>
    <row r="1174" spans="1:10" x14ac:dyDescent="0.3">
      <c r="A1174" t="s">
        <v>1305</v>
      </c>
      <c r="B1174" t="s">
        <v>142</v>
      </c>
      <c r="C1174" t="str">
        <f>_xlfn.XLOOKUP(B1174,
[1]sales_teams!$A$2:$A$100,
[1]sales_teams!$B$2:$B$100)</f>
        <v>Rocco Neubert</v>
      </c>
      <c r="D1174" t="str">
        <f>_xlfn.XLOOKUP($B1174,sales_teams!$A$2:$A$36,sales_teams!C$2:C$36)</f>
        <v>East</v>
      </c>
      <c r="E1174" t="s">
        <v>39</v>
      </c>
      <c r="F1174" t="s">
        <v>300</v>
      </c>
      <c r="G1174" t="s">
        <v>12</v>
      </c>
      <c r="H1174" s="1">
        <v>42794</v>
      </c>
      <c r="I1174" s="1">
        <v>42905</v>
      </c>
      <c r="J1174">
        <v>3087</v>
      </c>
    </row>
    <row r="1175" spans="1:10" x14ac:dyDescent="0.3">
      <c r="A1175" t="s">
        <v>1306</v>
      </c>
      <c r="B1175" t="s">
        <v>44</v>
      </c>
      <c r="C1175" t="str">
        <f>_xlfn.XLOOKUP(B1175,
[1]sales_teams!$A$2:$A$100,
[1]sales_teams!$B$2:$B$100)</f>
        <v>Melvin Marxen</v>
      </c>
      <c r="D1175" t="str">
        <f>_xlfn.XLOOKUP($B1175,sales_teams!$A$2:$A$36,sales_teams!C$2:C$36)</f>
        <v>Central</v>
      </c>
      <c r="E1175" t="s">
        <v>48</v>
      </c>
      <c r="F1175" t="s">
        <v>318</v>
      </c>
      <c r="G1175" t="s">
        <v>12</v>
      </c>
      <c r="H1175" s="1">
        <v>42794</v>
      </c>
      <c r="I1175" s="1">
        <v>42870</v>
      </c>
      <c r="J1175">
        <v>5331</v>
      </c>
    </row>
    <row r="1176" spans="1:10" x14ac:dyDescent="0.3">
      <c r="A1176" t="s">
        <v>1307</v>
      </c>
      <c r="B1176" t="s">
        <v>54</v>
      </c>
      <c r="C1176" t="str">
        <f>_xlfn.XLOOKUP(B1176,
[1]sales_teams!$A$2:$A$100,
[1]sales_teams!$B$2:$B$100)</f>
        <v>Celia Rouche</v>
      </c>
      <c r="D1176" t="str">
        <f>_xlfn.XLOOKUP($B1176,sales_teams!$A$2:$A$36,sales_teams!C$2:C$36)</f>
        <v>West</v>
      </c>
      <c r="E1176" t="s">
        <v>39</v>
      </c>
      <c r="F1176" t="s">
        <v>218</v>
      </c>
      <c r="G1176" t="s">
        <v>12</v>
      </c>
      <c r="H1176" s="1">
        <v>42794</v>
      </c>
      <c r="I1176" s="1">
        <v>42860</v>
      </c>
      <c r="J1176">
        <v>4069</v>
      </c>
    </row>
    <row r="1177" spans="1:10" x14ac:dyDescent="0.3">
      <c r="A1177" t="s">
        <v>1308</v>
      </c>
      <c r="B1177" t="s">
        <v>38</v>
      </c>
      <c r="C1177" t="str">
        <f>_xlfn.XLOOKUP(B1177,
[1]sales_teams!$A$2:$A$100,
[1]sales_teams!$B$2:$B$100)</f>
        <v>Summer Sewald</v>
      </c>
      <c r="D1177" t="str">
        <f>_xlfn.XLOOKUP($B1177,sales_teams!$A$2:$A$36,sales_teams!C$2:C$36)</f>
        <v>West</v>
      </c>
      <c r="E1177" t="s">
        <v>48</v>
      </c>
      <c r="G1177" t="s">
        <v>40</v>
      </c>
      <c r="H1177" s="1">
        <v>42794</v>
      </c>
    </row>
    <row r="1178" spans="1:10" x14ac:dyDescent="0.3">
      <c r="A1178" t="s">
        <v>1309</v>
      </c>
      <c r="B1178" t="s">
        <v>38</v>
      </c>
      <c r="C1178" t="str">
        <f>_xlfn.XLOOKUP(B1178,
[1]sales_teams!$A$2:$A$100,
[1]sales_teams!$B$2:$B$100)</f>
        <v>Summer Sewald</v>
      </c>
      <c r="D1178" t="str">
        <f>_xlfn.XLOOKUP($B1178,sales_teams!$A$2:$A$36,sales_teams!C$2:C$36)</f>
        <v>West</v>
      </c>
      <c r="E1178" t="s">
        <v>20</v>
      </c>
      <c r="F1178" t="s">
        <v>24</v>
      </c>
      <c r="G1178" t="s">
        <v>12</v>
      </c>
      <c r="H1178" s="1">
        <v>42794</v>
      </c>
      <c r="I1178" s="1">
        <v>42915</v>
      </c>
      <c r="J1178">
        <v>463</v>
      </c>
    </row>
    <row r="1179" spans="1:10" x14ac:dyDescent="0.3">
      <c r="A1179" t="s">
        <v>1310</v>
      </c>
      <c r="B1179" t="s">
        <v>38</v>
      </c>
      <c r="C1179" t="str">
        <f>_xlfn.XLOOKUP(B1179,
[1]sales_teams!$A$2:$A$100,
[1]sales_teams!$B$2:$B$100)</f>
        <v>Summer Sewald</v>
      </c>
      <c r="D1179" t="str">
        <f>_xlfn.XLOOKUP($B1179,sales_teams!$A$2:$A$36,sales_teams!C$2:C$36)</f>
        <v>West</v>
      </c>
      <c r="E1179" t="s">
        <v>48</v>
      </c>
      <c r="F1179" t="s">
        <v>194</v>
      </c>
      <c r="G1179" t="s">
        <v>12</v>
      </c>
      <c r="H1179" s="1">
        <v>42794</v>
      </c>
      <c r="I1179" s="1">
        <v>42881</v>
      </c>
      <c r="J1179">
        <v>5625</v>
      </c>
    </row>
    <row r="1180" spans="1:10" x14ac:dyDescent="0.3">
      <c r="A1180" t="s">
        <v>1311</v>
      </c>
      <c r="B1180" t="s">
        <v>133</v>
      </c>
      <c r="C1180" t="str">
        <f>_xlfn.XLOOKUP(B1180,
[1]sales_teams!$A$2:$A$100,
[1]sales_teams!$B$2:$B$100)</f>
        <v>Dustin Brinkmann</v>
      </c>
      <c r="D1180" t="str">
        <f>_xlfn.XLOOKUP($B1180,sales_teams!$A$2:$A$36,sales_teams!C$2:C$36)</f>
        <v>Central</v>
      </c>
      <c r="E1180" t="s">
        <v>20</v>
      </c>
      <c r="F1180" t="s">
        <v>126</v>
      </c>
      <c r="G1180" t="s">
        <v>12</v>
      </c>
      <c r="H1180" s="1">
        <v>42794</v>
      </c>
      <c r="I1180" s="1">
        <v>42901</v>
      </c>
      <c r="J1180">
        <v>524</v>
      </c>
    </row>
    <row r="1181" spans="1:10" x14ac:dyDescent="0.3">
      <c r="A1181" t="s">
        <v>1312</v>
      </c>
      <c r="B1181" t="s">
        <v>32</v>
      </c>
      <c r="C1181" t="str">
        <f>_xlfn.XLOOKUP(B1181,
[1]sales_teams!$A$2:$A$100,
[1]sales_teams!$B$2:$B$100)</f>
        <v>Celia Rouche</v>
      </c>
      <c r="D1181" t="str">
        <f>_xlfn.XLOOKUP($B1181,sales_teams!$A$2:$A$36,sales_teams!C$2:C$36)</f>
        <v>West</v>
      </c>
      <c r="E1181" t="s">
        <v>20</v>
      </c>
      <c r="F1181" t="s">
        <v>33</v>
      </c>
      <c r="G1181" t="s">
        <v>46</v>
      </c>
      <c r="H1181" s="1">
        <v>42794</v>
      </c>
      <c r="I1181" s="1">
        <v>42867</v>
      </c>
      <c r="J1181">
        <v>0</v>
      </c>
    </row>
    <row r="1182" spans="1:10" x14ac:dyDescent="0.3">
      <c r="A1182" t="s">
        <v>1313</v>
      </c>
      <c r="B1182" t="s">
        <v>51</v>
      </c>
      <c r="C1182" t="str">
        <f>_xlfn.XLOOKUP(B1182,
[1]sales_teams!$A$2:$A$100,
[1]sales_teams!$B$2:$B$100)</f>
        <v>Summer Sewald</v>
      </c>
      <c r="D1182" t="str">
        <f>_xlfn.XLOOKUP($B1182,sales_teams!$A$2:$A$36,sales_teams!C$2:C$36)</f>
        <v>West</v>
      </c>
      <c r="E1182" t="s">
        <v>18</v>
      </c>
      <c r="F1182" t="s">
        <v>165</v>
      </c>
      <c r="G1182" t="s">
        <v>40</v>
      </c>
      <c r="H1182" s="1">
        <v>42794</v>
      </c>
    </row>
    <row r="1183" spans="1:10" x14ac:dyDescent="0.3">
      <c r="A1183" t="s">
        <v>1314</v>
      </c>
      <c r="B1183" t="s">
        <v>9</v>
      </c>
      <c r="C1183" t="str">
        <f>_xlfn.XLOOKUP(B1183,
[1]sales_teams!$A$2:$A$100,
[1]sales_teams!$B$2:$B$100)</f>
        <v>Dustin Brinkmann</v>
      </c>
      <c r="D1183" t="str">
        <f>_xlfn.XLOOKUP($B1183,sales_teams!$A$2:$A$36,sales_teams!C$2:C$36)</f>
        <v>Central</v>
      </c>
      <c r="E1183" t="s">
        <v>18</v>
      </c>
      <c r="F1183" t="s">
        <v>45</v>
      </c>
      <c r="G1183" t="s">
        <v>46</v>
      </c>
      <c r="H1183" s="1">
        <v>42794</v>
      </c>
      <c r="I1183" s="1">
        <v>42883</v>
      </c>
      <c r="J1183">
        <v>0</v>
      </c>
    </row>
    <row r="1184" spans="1:10" x14ac:dyDescent="0.3">
      <c r="A1184" t="s">
        <v>1315</v>
      </c>
      <c r="B1184" t="s">
        <v>97</v>
      </c>
      <c r="C1184" t="str">
        <f>_xlfn.XLOOKUP(B1184,
[1]sales_teams!$A$2:$A$100,
[1]sales_teams!$B$2:$B$100)</f>
        <v>Rocco Neubert</v>
      </c>
      <c r="D1184" t="str">
        <f>_xlfn.XLOOKUP($B1184,sales_teams!$A$2:$A$36,sales_teams!C$2:C$36)</f>
        <v>East</v>
      </c>
      <c r="E1184" t="s">
        <v>10</v>
      </c>
      <c r="F1184" t="s">
        <v>373</v>
      </c>
      <c r="G1184" t="s">
        <v>12</v>
      </c>
      <c r="H1184" s="1">
        <v>42794</v>
      </c>
      <c r="I1184" s="1">
        <v>42887</v>
      </c>
      <c r="J1184">
        <v>1161</v>
      </c>
    </row>
    <row r="1185" spans="1:10" x14ac:dyDescent="0.3">
      <c r="A1185" t="s">
        <v>1316</v>
      </c>
      <c r="B1185" t="s">
        <v>97</v>
      </c>
      <c r="C1185" t="str">
        <f>_xlfn.XLOOKUP(B1185,
[1]sales_teams!$A$2:$A$100,
[1]sales_teams!$B$2:$B$100)</f>
        <v>Rocco Neubert</v>
      </c>
      <c r="D1185" t="str">
        <f>_xlfn.XLOOKUP($B1185,sales_teams!$A$2:$A$36,sales_teams!C$2:C$36)</f>
        <v>East</v>
      </c>
      <c r="E1185" t="s">
        <v>48</v>
      </c>
      <c r="F1185" t="s">
        <v>106</v>
      </c>
      <c r="G1185" t="s">
        <v>12</v>
      </c>
      <c r="H1185" s="1">
        <v>42794</v>
      </c>
      <c r="I1185" s="1">
        <v>42889</v>
      </c>
      <c r="J1185">
        <v>6046</v>
      </c>
    </row>
    <row r="1186" spans="1:10" x14ac:dyDescent="0.3">
      <c r="A1186" t="s">
        <v>1317</v>
      </c>
      <c r="B1186" t="s">
        <v>61</v>
      </c>
      <c r="C1186" t="str">
        <f>_xlfn.XLOOKUP(B1186,
[1]sales_teams!$A$2:$A$100,
[1]sales_teams!$B$2:$B$100)</f>
        <v>Dustin Brinkmann</v>
      </c>
      <c r="D1186" t="str">
        <f>_xlfn.XLOOKUP($B1186,sales_teams!$A$2:$A$36,sales_teams!C$2:C$36)</f>
        <v>Central</v>
      </c>
      <c r="E1186" t="s">
        <v>18</v>
      </c>
      <c r="F1186" t="s">
        <v>197</v>
      </c>
      <c r="G1186" t="s">
        <v>12</v>
      </c>
      <c r="H1186" s="1">
        <v>42794</v>
      </c>
      <c r="I1186" s="1">
        <v>42873</v>
      </c>
      <c r="J1186">
        <v>49</v>
      </c>
    </row>
    <row r="1187" spans="1:10" x14ac:dyDescent="0.3">
      <c r="A1187" t="s">
        <v>1318</v>
      </c>
      <c r="B1187" t="s">
        <v>26</v>
      </c>
      <c r="C1187" t="str">
        <f>_xlfn.XLOOKUP(B1187,
[1]sales_teams!$A$2:$A$100,
[1]sales_teams!$B$2:$B$100)</f>
        <v>Dustin Brinkmann</v>
      </c>
      <c r="D1187" t="str">
        <f>_xlfn.XLOOKUP($B1187,sales_teams!$A$2:$A$36,sales_teams!C$2:C$36)</f>
        <v>Central</v>
      </c>
      <c r="E1187" t="s">
        <v>18</v>
      </c>
      <c r="F1187" t="s">
        <v>120</v>
      </c>
      <c r="G1187" t="s">
        <v>12</v>
      </c>
      <c r="H1187" s="1">
        <v>42795</v>
      </c>
      <c r="I1187" s="1">
        <v>42883</v>
      </c>
      <c r="J1187">
        <v>51</v>
      </c>
    </row>
    <row r="1188" spans="1:10" x14ac:dyDescent="0.3">
      <c r="A1188" t="s">
        <v>1319</v>
      </c>
      <c r="B1188" t="s">
        <v>26</v>
      </c>
      <c r="C1188" t="str">
        <f>_xlfn.XLOOKUP(B1188,
[1]sales_teams!$A$2:$A$100,
[1]sales_teams!$B$2:$B$100)</f>
        <v>Dustin Brinkmann</v>
      </c>
      <c r="D1188" t="str">
        <f>_xlfn.XLOOKUP($B1188,sales_teams!$A$2:$A$36,sales_teams!C$2:C$36)</f>
        <v>Central</v>
      </c>
      <c r="E1188" t="s">
        <v>39</v>
      </c>
      <c r="F1188" t="s">
        <v>315</v>
      </c>
      <c r="G1188" t="s">
        <v>12</v>
      </c>
      <c r="H1188" s="1">
        <v>42795</v>
      </c>
      <c r="I1188" s="1">
        <v>42912</v>
      </c>
      <c r="J1188">
        <v>3415</v>
      </c>
    </row>
    <row r="1189" spans="1:10" x14ac:dyDescent="0.3">
      <c r="A1189" t="s">
        <v>1320</v>
      </c>
      <c r="B1189" t="s">
        <v>139</v>
      </c>
      <c r="C1189" t="str">
        <f>_xlfn.XLOOKUP(B1189,
[1]sales_teams!$A$2:$A$100,
[1]sales_teams!$B$2:$B$100)</f>
        <v>Rocco Neubert</v>
      </c>
      <c r="D1189" t="str">
        <f>_xlfn.XLOOKUP($B1189,sales_teams!$A$2:$A$36,sales_teams!C$2:C$36)</f>
        <v>East</v>
      </c>
      <c r="E1189" t="s">
        <v>18</v>
      </c>
      <c r="F1189" t="s">
        <v>179</v>
      </c>
      <c r="G1189" t="s">
        <v>40</v>
      </c>
      <c r="H1189" s="1">
        <v>42795</v>
      </c>
    </row>
    <row r="1190" spans="1:10" x14ac:dyDescent="0.3">
      <c r="A1190" t="s">
        <v>1321</v>
      </c>
      <c r="B1190" t="s">
        <v>139</v>
      </c>
      <c r="C1190" t="str">
        <f>_xlfn.XLOOKUP(B1190,
[1]sales_teams!$A$2:$A$100,
[1]sales_teams!$B$2:$B$100)</f>
        <v>Rocco Neubert</v>
      </c>
      <c r="D1190" t="str">
        <f>_xlfn.XLOOKUP($B1190,sales_teams!$A$2:$A$36,sales_teams!C$2:C$36)</f>
        <v>East</v>
      </c>
      <c r="E1190" t="s">
        <v>10</v>
      </c>
      <c r="F1190" t="s">
        <v>155</v>
      </c>
      <c r="G1190" t="s">
        <v>12</v>
      </c>
      <c r="H1190" s="1">
        <v>42795</v>
      </c>
      <c r="I1190" s="1">
        <v>42804</v>
      </c>
      <c r="J1190">
        <v>1053</v>
      </c>
    </row>
    <row r="1191" spans="1:10" x14ac:dyDescent="0.3">
      <c r="A1191" t="s">
        <v>1322</v>
      </c>
      <c r="B1191" t="s">
        <v>118</v>
      </c>
      <c r="C1191" t="str">
        <f>_xlfn.XLOOKUP(B1191,
[1]sales_teams!$A$2:$A$100,
[1]sales_teams!$B$2:$B$100)</f>
        <v>Rocco Neubert</v>
      </c>
      <c r="D1191" t="str">
        <f>_xlfn.XLOOKUP($B1191,sales_teams!$A$2:$A$36,sales_teams!C$2:C$36)</f>
        <v>East</v>
      </c>
      <c r="E1191" t="s">
        <v>10</v>
      </c>
      <c r="F1191" t="s">
        <v>204</v>
      </c>
      <c r="G1191" t="s">
        <v>46</v>
      </c>
      <c r="H1191" s="1">
        <v>42795</v>
      </c>
      <c r="I1191" s="1">
        <v>42880</v>
      </c>
      <c r="J1191">
        <v>0</v>
      </c>
    </row>
    <row r="1192" spans="1:10" x14ac:dyDescent="0.3">
      <c r="A1192" t="s">
        <v>1323</v>
      </c>
      <c r="B1192" t="s">
        <v>118</v>
      </c>
      <c r="C1192" t="str">
        <f>_xlfn.XLOOKUP(B1192,
[1]sales_teams!$A$2:$A$100,
[1]sales_teams!$B$2:$B$100)</f>
        <v>Rocco Neubert</v>
      </c>
      <c r="D1192" t="str">
        <f>_xlfn.XLOOKUP($B1192,sales_teams!$A$2:$A$36,sales_teams!C$2:C$36)</f>
        <v>East</v>
      </c>
      <c r="E1192" t="s">
        <v>15</v>
      </c>
      <c r="F1192" t="s">
        <v>209</v>
      </c>
      <c r="G1192" t="s">
        <v>12</v>
      </c>
      <c r="H1192" s="1">
        <v>42795</v>
      </c>
      <c r="I1192" s="1">
        <v>42809</v>
      </c>
      <c r="J1192">
        <v>5068</v>
      </c>
    </row>
    <row r="1193" spans="1:10" x14ac:dyDescent="0.3">
      <c r="A1193" t="s">
        <v>1324</v>
      </c>
      <c r="B1193" t="s">
        <v>118</v>
      </c>
      <c r="C1193" t="str">
        <f>_xlfn.XLOOKUP(B1193,
[1]sales_teams!$A$2:$A$100,
[1]sales_teams!$B$2:$B$100)</f>
        <v>Rocco Neubert</v>
      </c>
      <c r="D1193" t="str">
        <f>_xlfn.XLOOKUP($B1193,sales_teams!$A$2:$A$36,sales_teams!C$2:C$36)</f>
        <v>East</v>
      </c>
      <c r="E1193" t="s">
        <v>15</v>
      </c>
      <c r="F1193" t="s">
        <v>222</v>
      </c>
      <c r="G1193" t="s">
        <v>12</v>
      </c>
      <c r="H1193" s="1">
        <v>42795</v>
      </c>
      <c r="I1193" s="1">
        <v>42916</v>
      </c>
      <c r="J1193">
        <v>4256</v>
      </c>
    </row>
    <row r="1194" spans="1:10" x14ac:dyDescent="0.3">
      <c r="A1194" t="s">
        <v>1325</v>
      </c>
      <c r="B1194" t="s">
        <v>164</v>
      </c>
      <c r="C1194" t="str">
        <f>_xlfn.XLOOKUP(B1194,
[1]sales_teams!$A$2:$A$100,
[1]sales_teams!$B$2:$B$100)</f>
        <v>Cara Losch</v>
      </c>
      <c r="D1194" t="str">
        <f>_xlfn.XLOOKUP($B1194,sales_teams!$A$2:$A$36,sales_teams!C$2:C$36)</f>
        <v>East</v>
      </c>
      <c r="E1194" t="s">
        <v>15</v>
      </c>
      <c r="G1194" t="s">
        <v>40</v>
      </c>
      <c r="H1194" s="1">
        <v>42795</v>
      </c>
    </row>
    <row r="1195" spans="1:10" x14ac:dyDescent="0.3">
      <c r="A1195" t="s">
        <v>1326</v>
      </c>
      <c r="B1195" t="s">
        <v>14</v>
      </c>
      <c r="C1195" t="str">
        <f>_xlfn.XLOOKUP(B1195,
[1]sales_teams!$A$2:$A$100,
[1]sales_teams!$B$2:$B$100)</f>
        <v>Melvin Marxen</v>
      </c>
      <c r="D1195" t="str">
        <f>_xlfn.XLOOKUP($B1195,sales_teams!$A$2:$A$36,sales_teams!C$2:C$36)</f>
        <v>Central</v>
      </c>
      <c r="E1195" t="s">
        <v>39</v>
      </c>
      <c r="F1195" t="s">
        <v>62</v>
      </c>
      <c r="G1195" t="s">
        <v>46</v>
      </c>
      <c r="H1195" s="1">
        <v>42795</v>
      </c>
      <c r="I1195" s="1">
        <v>42863</v>
      </c>
      <c r="J1195">
        <v>0</v>
      </c>
    </row>
    <row r="1196" spans="1:10" x14ac:dyDescent="0.3">
      <c r="A1196" t="s">
        <v>1327</v>
      </c>
      <c r="B1196" t="s">
        <v>14</v>
      </c>
      <c r="C1196" t="str">
        <f>_xlfn.XLOOKUP(B1196,
[1]sales_teams!$A$2:$A$100,
[1]sales_teams!$B$2:$B$100)</f>
        <v>Melvin Marxen</v>
      </c>
      <c r="D1196" t="str">
        <f>_xlfn.XLOOKUP($B1196,sales_teams!$A$2:$A$36,sales_teams!C$2:C$36)</f>
        <v>Central</v>
      </c>
      <c r="E1196" t="s">
        <v>20</v>
      </c>
      <c r="F1196" t="s">
        <v>45</v>
      </c>
      <c r="G1196" t="s">
        <v>12</v>
      </c>
      <c r="H1196" s="1">
        <v>42795</v>
      </c>
      <c r="I1196" s="1">
        <v>42806</v>
      </c>
      <c r="J1196">
        <v>657</v>
      </c>
    </row>
    <row r="1197" spans="1:10" x14ac:dyDescent="0.3">
      <c r="A1197" t="s">
        <v>1328</v>
      </c>
      <c r="B1197" t="s">
        <v>14</v>
      </c>
      <c r="C1197" t="str">
        <f>_xlfn.XLOOKUP(B1197,
[1]sales_teams!$A$2:$A$100,
[1]sales_teams!$B$2:$B$100)</f>
        <v>Melvin Marxen</v>
      </c>
      <c r="D1197" t="str">
        <f>_xlfn.XLOOKUP($B1197,sales_teams!$A$2:$A$36,sales_teams!C$2:C$36)</f>
        <v>Central</v>
      </c>
      <c r="E1197" t="s">
        <v>18</v>
      </c>
      <c r="F1197" t="s">
        <v>111</v>
      </c>
      <c r="G1197" t="s">
        <v>12</v>
      </c>
      <c r="H1197" s="1">
        <v>42795</v>
      </c>
      <c r="I1197" s="1">
        <v>42802</v>
      </c>
      <c r="J1197">
        <v>60</v>
      </c>
    </row>
    <row r="1198" spans="1:10" x14ac:dyDescent="0.3">
      <c r="A1198" t="s">
        <v>1329</v>
      </c>
      <c r="B1198" t="s">
        <v>142</v>
      </c>
      <c r="C1198" t="str">
        <f>_xlfn.XLOOKUP(B1198,
[1]sales_teams!$A$2:$A$100,
[1]sales_teams!$B$2:$B$100)</f>
        <v>Rocco Neubert</v>
      </c>
      <c r="D1198" t="str">
        <f>_xlfn.XLOOKUP($B1198,sales_teams!$A$2:$A$36,sales_teams!C$2:C$36)</f>
        <v>East</v>
      </c>
      <c r="E1198" t="s">
        <v>20</v>
      </c>
      <c r="F1198" t="s">
        <v>140</v>
      </c>
      <c r="G1198" t="s">
        <v>46</v>
      </c>
      <c r="H1198" s="1">
        <v>42795</v>
      </c>
      <c r="I1198" s="1">
        <v>42884</v>
      </c>
      <c r="J1198">
        <v>0</v>
      </c>
    </row>
    <row r="1199" spans="1:10" x14ac:dyDescent="0.3">
      <c r="A1199" t="s">
        <v>1330</v>
      </c>
      <c r="B1199" t="s">
        <v>67</v>
      </c>
      <c r="C1199" t="str">
        <f>_xlfn.XLOOKUP(B1199,
[1]sales_teams!$A$2:$A$100,
[1]sales_teams!$B$2:$B$100)</f>
        <v>Celia Rouche</v>
      </c>
      <c r="D1199" t="str">
        <f>_xlfn.XLOOKUP($B1199,sales_teams!$A$2:$A$36,sales_teams!C$2:C$36)</f>
        <v>West</v>
      </c>
      <c r="E1199" t="s">
        <v>48</v>
      </c>
      <c r="F1199" t="s">
        <v>315</v>
      </c>
      <c r="G1199" t="s">
        <v>46</v>
      </c>
      <c r="H1199" s="1">
        <v>42795</v>
      </c>
      <c r="I1199" s="1">
        <v>42865</v>
      </c>
      <c r="J1199">
        <v>0</v>
      </c>
    </row>
    <row r="1200" spans="1:10" x14ac:dyDescent="0.3">
      <c r="A1200" t="s">
        <v>1331</v>
      </c>
      <c r="B1200" t="s">
        <v>105</v>
      </c>
      <c r="C1200" t="str">
        <f>_xlfn.XLOOKUP(B1200,
[1]sales_teams!$A$2:$A$100,
[1]sales_teams!$B$2:$B$100)</f>
        <v>Cara Losch</v>
      </c>
      <c r="D1200" t="str">
        <f>_xlfn.XLOOKUP($B1200,sales_teams!$A$2:$A$36,sales_teams!C$2:C$36)</f>
        <v>East</v>
      </c>
      <c r="E1200" t="s">
        <v>20</v>
      </c>
      <c r="F1200" t="s">
        <v>143</v>
      </c>
      <c r="G1200" t="s">
        <v>46</v>
      </c>
      <c r="H1200" s="1">
        <v>42795</v>
      </c>
      <c r="I1200" s="1">
        <v>42860</v>
      </c>
      <c r="J1200">
        <v>0</v>
      </c>
    </row>
    <row r="1201" spans="1:10" x14ac:dyDescent="0.3">
      <c r="A1201" t="s">
        <v>1332</v>
      </c>
      <c r="B1201" t="s">
        <v>105</v>
      </c>
      <c r="C1201" t="str">
        <f>_xlfn.XLOOKUP(B1201,
[1]sales_teams!$A$2:$A$100,
[1]sales_teams!$B$2:$B$100)</f>
        <v>Cara Losch</v>
      </c>
      <c r="D1201" t="str">
        <f>_xlfn.XLOOKUP($B1201,sales_teams!$A$2:$A$36,sales_teams!C$2:C$36)</f>
        <v>East</v>
      </c>
      <c r="E1201" t="s">
        <v>20</v>
      </c>
      <c r="F1201" t="s">
        <v>215</v>
      </c>
      <c r="G1201" t="s">
        <v>12</v>
      </c>
      <c r="H1201" s="1">
        <v>42795</v>
      </c>
      <c r="I1201" s="1">
        <v>42856</v>
      </c>
      <c r="J1201">
        <v>629</v>
      </c>
    </row>
    <row r="1202" spans="1:10" x14ac:dyDescent="0.3">
      <c r="A1202" t="s">
        <v>1333</v>
      </c>
      <c r="B1202" t="s">
        <v>44</v>
      </c>
      <c r="C1202" t="str">
        <f>_xlfn.XLOOKUP(B1202,
[1]sales_teams!$A$2:$A$100,
[1]sales_teams!$B$2:$B$100)</f>
        <v>Melvin Marxen</v>
      </c>
      <c r="D1202" t="str">
        <f>_xlfn.XLOOKUP($B1202,sales_teams!$A$2:$A$36,sales_teams!C$2:C$36)</f>
        <v>Central</v>
      </c>
      <c r="E1202" t="s">
        <v>39</v>
      </c>
      <c r="F1202" t="s">
        <v>315</v>
      </c>
      <c r="G1202" t="s">
        <v>46</v>
      </c>
      <c r="H1202" s="1">
        <v>42795</v>
      </c>
      <c r="I1202" s="1">
        <v>42878</v>
      </c>
      <c r="J1202">
        <v>0</v>
      </c>
    </row>
    <row r="1203" spans="1:10" x14ac:dyDescent="0.3">
      <c r="A1203" t="s">
        <v>1334</v>
      </c>
      <c r="B1203" t="s">
        <v>44</v>
      </c>
      <c r="C1203" t="str">
        <f>_xlfn.XLOOKUP(B1203,
[1]sales_teams!$A$2:$A$100,
[1]sales_teams!$B$2:$B$100)</f>
        <v>Melvin Marxen</v>
      </c>
      <c r="D1203" t="str">
        <f>_xlfn.XLOOKUP($B1203,sales_teams!$A$2:$A$36,sales_teams!C$2:C$36)</f>
        <v>Central</v>
      </c>
      <c r="E1203" t="s">
        <v>39</v>
      </c>
      <c r="F1203" t="s">
        <v>62</v>
      </c>
      <c r="G1203" t="s">
        <v>12</v>
      </c>
      <c r="H1203" s="1">
        <v>42795</v>
      </c>
      <c r="I1203" s="1">
        <v>42888</v>
      </c>
      <c r="J1203">
        <v>4082</v>
      </c>
    </row>
    <row r="1204" spans="1:10" x14ac:dyDescent="0.3">
      <c r="A1204" t="s">
        <v>1335</v>
      </c>
      <c r="B1204" t="s">
        <v>133</v>
      </c>
      <c r="C1204" t="str">
        <f>_xlfn.XLOOKUP(B1204,
[1]sales_teams!$A$2:$A$100,
[1]sales_teams!$B$2:$B$100)</f>
        <v>Dustin Brinkmann</v>
      </c>
      <c r="D1204" t="str">
        <f>_xlfn.XLOOKUP($B1204,sales_teams!$A$2:$A$36,sales_teams!C$2:C$36)</f>
        <v>Central</v>
      </c>
      <c r="E1204" t="s">
        <v>10</v>
      </c>
      <c r="F1204" t="s">
        <v>126</v>
      </c>
      <c r="G1204" t="s">
        <v>12</v>
      </c>
      <c r="H1204" s="1">
        <v>42795</v>
      </c>
      <c r="I1204" s="1">
        <v>42886</v>
      </c>
      <c r="J1204">
        <v>1044</v>
      </c>
    </row>
    <row r="1205" spans="1:10" x14ac:dyDescent="0.3">
      <c r="A1205" t="s">
        <v>1336</v>
      </c>
      <c r="B1205" t="s">
        <v>116</v>
      </c>
      <c r="C1205" t="str">
        <f>_xlfn.XLOOKUP(B1205,
[1]sales_teams!$A$2:$A$100,
[1]sales_teams!$B$2:$B$100)</f>
        <v>Melvin Marxen</v>
      </c>
      <c r="D1205" t="str">
        <f>_xlfn.XLOOKUP($B1205,sales_teams!$A$2:$A$36,sales_teams!C$2:C$36)</f>
        <v>Central</v>
      </c>
      <c r="E1205" t="s">
        <v>39</v>
      </c>
      <c r="F1205" t="s">
        <v>318</v>
      </c>
      <c r="G1205" t="s">
        <v>46</v>
      </c>
      <c r="H1205" s="1">
        <v>42795</v>
      </c>
      <c r="I1205" s="1">
        <v>42897</v>
      </c>
      <c r="J1205">
        <v>0</v>
      </c>
    </row>
    <row r="1206" spans="1:10" x14ac:dyDescent="0.3">
      <c r="A1206" t="s">
        <v>1337</v>
      </c>
      <c r="B1206" t="s">
        <v>51</v>
      </c>
      <c r="C1206" t="str">
        <f>_xlfn.XLOOKUP(B1206,
[1]sales_teams!$A$2:$A$100,
[1]sales_teams!$B$2:$B$100)</f>
        <v>Summer Sewald</v>
      </c>
      <c r="D1206" t="str">
        <f>_xlfn.XLOOKUP($B1206,sales_teams!$A$2:$A$36,sales_teams!C$2:C$36)</f>
        <v>West</v>
      </c>
      <c r="E1206" t="s">
        <v>10</v>
      </c>
      <c r="F1206" t="s">
        <v>68</v>
      </c>
      <c r="G1206" t="s">
        <v>12</v>
      </c>
      <c r="H1206" s="1">
        <v>42795</v>
      </c>
      <c r="I1206" s="1">
        <v>42815</v>
      </c>
      <c r="J1206">
        <v>1025</v>
      </c>
    </row>
    <row r="1207" spans="1:10" x14ac:dyDescent="0.3">
      <c r="A1207" t="s">
        <v>1338</v>
      </c>
      <c r="B1207" t="s">
        <v>9</v>
      </c>
      <c r="C1207" t="str">
        <f>_xlfn.XLOOKUP(B1207,
[1]sales_teams!$A$2:$A$100,
[1]sales_teams!$B$2:$B$100)</f>
        <v>Dustin Brinkmann</v>
      </c>
      <c r="D1207" t="str">
        <f>_xlfn.XLOOKUP($B1207,sales_teams!$A$2:$A$36,sales_teams!C$2:C$36)</f>
        <v>Central</v>
      </c>
      <c r="E1207" t="s">
        <v>20</v>
      </c>
      <c r="F1207" t="s">
        <v>492</v>
      </c>
      <c r="G1207" t="s">
        <v>12</v>
      </c>
      <c r="H1207" s="1">
        <v>42795</v>
      </c>
      <c r="I1207" s="1">
        <v>42903</v>
      </c>
      <c r="J1207">
        <v>465</v>
      </c>
    </row>
    <row r="1208" spans="1:10" x14ac:dyDescent="0.3">
      <c r="A1208" t="s">
        <v>1339</v>
      </c>
      <c r="B1208" t="s">
        <v>9</v>
      </c>
      <c r="C1208" t="str">
        <f>_xlfn.XLOOKUP(B1208,
[1]sales_teams!$A$2:$A$100,
[1]sales_teams!$B$2:$B$100)</f>
        <v>Dustin Brinkmann</v>
      </c>
      <c r="D1208" t="str">
        <f>_xlfn.XLOOKUP($B1208,sales_teams!$A$2:$A$36,sales_teams!C$2:C$36)</f>
        <v>Central</v>
      </c>
      <c r="E1208" t="s">
        <v>18</v>
      </c>
      <c r="F1208" t="s">
        <v>113</v>
      </c>
      <c r="G1208" t="s">
        <v>12</v>
      </c>
      <c r="H1208" s="1">
        <v>42795</v>
      </c>
      <c r="I1208" s="1">
        <v>42900</v>
      </c>
      <c r="J1208">
        <v>50</v>
      </c>
    </row>
    <row r="1209" spans="1:10" x14ac:dyDescent="0.3">
      <c r="A1209" t="s">
        <v>1340</v>
      </c>
      <c r="B1209" t="s">
        <v>97</v>
      </c>
      <c r="C1209" t="str">
        <f>_xlfn.XLOOKUP(B1209,
[1]sales_teams!$A$2:$A$100,
[1]sales_teams!$B$2:$B$100)</f>
        <v>Rocco Neubert</v>
      </c>
      <c r="D1209" t="str">
        <f>_xlfn.XLOOKUP($B1209,sales_teams!$A$2:$A$36,sales_teams!C$2:C$36)</f>
        <v>East</v>
      </c>
      <c r="E1209" t="s">
        <v>48</v>
      </c>
      <c r="F1209" t="s">
        <v>74</v>
      </c>
      <c r="G1209" t="s">
        <v>12</v>
      </c>
      <c r="H1209" s="1">
        <v>42795</v>
      </c>
      <c r="I1209" s="1">
        <v>42803</v>
      </c>
      <c r="J1209">
        <v>5548</v>
      </c>
    </row>
    <row r="1210" spans="1:10" x14ac:dyDescent="0.3">
      <c r="A1210" t="s">
        <v>1341</v>
      </c>
      <c r="B1210" t="s">
        <v>97</v>
      </c>
      <c r="C1210" t="str">
        <f>_xlfn.XLOOKUP(B1210,
[1]sales_teams!$A$2:$A$100,
[1]sales_teams!$B$2:$B$100)</f>
        <v>Rocco Neubert</v>
      </c>
      <c r="D1210" t="str">
        <f>_xlfn.XLOOKUP($B1210,sales_teams!$A$2:$A$36,sales_teams!C$2:C$36)</f>
        <v>East</v>
      </c>
      <c r="E1210" t="s">
        <v>39</v>
      </c>
      <c r="F1210" t="s">
        <v>155</v>
      </c>
      <c r="G1210" t="s">
        <v>12</v>
      </c>
      <c r="H1210" s="1">
        <v>42795</v>
      </c>
      <c r="I1210" s="1">
        <v>42889</v>
      </c>
      <c r="J1210">
        <v>3558</v>
      </c>
    </row>
    <row r="1211" spans="1:10" x14ac:dyDescent="0.3">
      <c r="A1211" t="s">
        <v>1342</v>
      </c>
      <c r="B1211" t="s">
        <v>57</v>
      </c>
      <c r="C1211" t="str">
        <f>_xlfn.XLOOKUP(B1211,
[1]sales_teams!$A$2:$A$100,
[1]sales_teams!$B$2:$B$100)</f>
        <v>Celia Rouche</v>
      </c>
      <c r="D1211" t="str">
        <f>_xlfn.XLOOKUP($B1211,sales_teams!$A$2:$A$36,sales_teams!C$2:C$36)</f>
        <v>West</v>
      </c>
      <c r="E1211" t="s">
        <v>39</v>
      </c>
      <c r="F1211" t="s">
        <v>273</v>
      </c>
      <c r="G1211" t="s">
        <v>12</v>
      </c>
      <c r="H1211" s="1">
        <v>42795</v>
      </c>
      <c r="I1211" s="1">
        <v>42801</v>
      </c>
      <c r="J1211">
        <v>3959</v>
      </c>
    </row>
    <row r="1212" spans="1:10" x14ac:dyDescent="0.3">
      <c r="A1212" t="s">
        <v>1343</v>
      </c>
      <c r="B1212" t="s">
        <v>61</v>
      </c>
      <c r="C1212" t="str">
        <f>_xlfn.XLOOKUP(B1212,
[1]sales_teams!$A$2:$A$100,
[1]sales_teams!$B$2:$B$100)</f>
        <v>Dustin Brinkmann</v>
      </c>
      <c r="D1212" t="str">
        <f>_xlfn.XLOOKUP($B1212,sales_teams!$A$2:$A$36,sales_teams!C$2:C$36)</f>
        <v>Central</v>
      </c>
      <c r="E1212" t="s">
        <v>18</v>
      </c>
      <c r="F1212" t="s">
        <v>27</v>
      </c>
      <c r="G1212" t="s">
        <v>12</v>
      </c>
      <c r="H1212" s="1">
        <v>42795</v>
      </c>
      <c r="I1212" s="1">
        <v>42811</v>
      </c>
      <c r="J1212">
        <v>49</v>
      </c>
    </row>
    <row r="1213" spans="1:10" x14ac:dyDescent="0.3">
      <c r="A1213" t="s">
        <v>1344</v>
      </c>
      <c r="B1213" t="s">
        <v>61</v>
      </c>
      <c r="C1213" t="str">
        <f>_xlfn.XLOOKUP(B1213,
[1]sales_teams!$A$2:$A$100,
[1]sales_teams!$B$2:$B$100)</f>
        <v>Dustin Brinkmann</v>
      </c>
      <c r="D1213" t="str">
        <f>_xlfn.XLOOKUP($B1213,sales_teams!$A$2:$A$36,sales_teams!C$2:C$36)</f>
        <v>Central</v>
      </c>
      <c r="E1213" t="s">
        <v>18</v>
      </c>
      <c r="F1213" t="s">
        <v>76</v>
      </c>
      <c r="G1213" t="s">
        <v>12</v>
      </c>
      <c r="H1213" s="1">
        <v>42795</v>
      </c>
      <c r="I1213" s="1">
        <v>42902</v>
      </c>
      <c r="J1213">
        <v>50</v>
      </c>
    </row>
    <row r="1214" spans="1:10" x14ac:dyDescent="0.3">
      <c r="A1214" t="s">
        <v>1345</v>
      </c>
      <c r="B1214" t="s">
        <v>29</v>
      </c>
      <c r="C1214" t="str">
        <f>_xlfn.XLOOKUP(B1214,
[1]sales_teams!$A$2:$A$100,
[1]sales_teams!$B$2:$B$100)</f>
        <v>Celia Rouche</v>
      </c>
      <c r="D1214" t="str">
        <f>_xlfn.XLOOKUP($B1214,sales_teams!$A$2:$A$36,sales_teams!C$2:C$36)</f>
        <v>West</v>
      </c>
      <c r="E1214" t="s">
        <v>20</v>
      </c>
      <c r="F1214" t="s">
        <v>93</v>
      </c>
      <c r="G1214" t="s">
        <v>12</v>
      </c>
      <c r="H1214" s="1">
        <v>42795</v>
      </c>
      <c r="I1214" s="1">
        <v>42802</v>
      </c>
      <c r="J1214">
        <v>523</v>
      </c>
    </row>
    <row r="1215" spans="1:10" x14ac:dyDescent="0.3">
      <c r="A1215" t="s">
        <v>1346</v>
      </c>
      <c r="B1215" t="s">
        <v>29</v>
      </c>
      <c r="C1215" t="str">
        <f>_xlfn.XLOOKUP(B1215,
[1]sales_teams!$A$2:$A$100,
[1]sales_teams!$B$2:$B$100)</f>
        <v>Celia Rouche</v>
      </c>
      <c r="D1215" t="str">
        <f>_xlfn.XLOOKUP($B1215,sales_teams!$A$2:$A$36,sales_teams!C$2:C$36)</f>
        <v>West</v>
      </c>
      <c r="E1215" t="s">
        <v>10</v>
      </c>
      <c r="F1215" t="s">
        <v>79</v>
      </c>
      <c r="G1215" t="s">
        <v>12</v>
      </c>
      <c r="H1215" s="1">
        <v>42795</v>
      </c>
      <c r="I1215" s="1">
        <v>42887</v>
      </c>
      <c r="J1215">
        <v>1086</v>
      </c>
    </row>
    <row r="1216" spans="1:10" x14ac:dyDescent="0.3">
      <c r="A1216" t="s">
        <v>1347</v>
      </c>
      <c r="B1216" t="s">
        <v>29</v>
      </c>
      <c r="C1216" t="str">
        <f>_xlfn.XLOOKUP(B1216,
[1]sales_teams!$A$2:$A$100,
[1]sales_teams!$B$2:$B$100)</f>
        <v>Celia Rouche</v>
      </c>
      <c r="D1216" t="str">
        <f>_xlfn.XLOOKUP($B1216,sales_teams!$A$2:$A$36,sales_teams!C$2:C$36)</f>
        <v>West</v>
      </c>
      <c r="E1216" t="s">
        <v>15</v>
      </c>
      <c r="F1216" t="s">
        <v>148</v>
      </c>
      <c r="G1216" t="s">
        <v>12</v>
      </c>
      <c r="H1216" s="1">
        <v>42795</v>
      </c>
      <c r="I1216" s="1">
        <v>42803</v>
      </c>
      <c r="J1216">
        <v>4445</v>
      </c>
    </row>
    <row r="1217" spans="1:10" x14ac:dyDescent="0.3">
      <c r="A1217" t="s">
        <v>1348</v>
      </c>
      <c r="B1217" t="s">
        <v>73</v>
      </c>
      <c r="C1217" t="str">
        <f>_xlfn.XLOOKUP(B1217,
[1]sales_teams!$A$2:$A$100,
[1]sales_teams!$B$2:$B$100)</f>
        <v>Cara Losch</v>
      </c>
      <c r="D1217" t="str">
        <f>_xlfn.XLOOKUP($B1217,sales_teams!$A$2:$A$36,sales_teams!C$2:C$36)</f>
        <v>East</v>
      </c>
      <c r="E1217" t="s">
        <v>20</v>
      </c>
      <c r="F1217" t="s">
        <v>93</v>
      </c>
      <c r="G1217" t="s">
        <v>40</v>
      </c>
      <c r="H1217" s="1">
        <v>42795</v>
      </c>
    </row>
    <row r="1218" spans="1:10" x14ac:dyDescent="0.3">
      <c r="A1218" t="s">
        <v>1349</v>
      </c>
      <c r="B1218" t="s">
        <v>73</v>
      </c>
      <c r="C1218" t="str">
        <f>_xlfn.XLOOKUP(B1218,
[1]sales_teams!$A$2:$A$100,
[1]sales_teams!$B$2:$B$100)</f>
        <v>Cara Losch</v>
      </c>
      <c r="D1218" t="str">
        <f>_xlfn.XLOOKUP($B1218,sales_teams!$A$2:$A$36,sales_teams!C$2:C$36)</f>
        <v>East</v>
      </c>
      <c r="E1218" t="s">
        <v>15</v>
      </c>
      <c r="F1218" t="s">
        <v>189</v>
      </c>
      <c r="G1218" t="s">
        <v>12</v>
      </c>
      <c r="H1218" s="1">
        <v>42795</v>
      </c>
      <c r="I1218" s="1">
        <v>42910</v>
      </c>
      <c r="J1218">
        <v>4756</v>
      </c>
    </row>
    <row r="1219" spans="1:10" x14ac:dyDescent="0.3">
      <c r="A1219" t="s">
        <v>1350</v>
      </c>
      <c r="B1219" t="s">
        <v>73</v>
      </c>
      <c r="C1219" t="str">
        <f>_xlfn.XLOOKUP(B1219,
[1]sales_teams!$A$2:$A$100,
[1]sales_teams!$B$2:$B$100)</f>
        <v>Cara Losch</v>
      </c>
      <c r="D1219" t="str">
        <f>_xlfn.XLOOKUP($B1219,sales_teams!$A$2:$A$36,sales_teams!C$2:C$36)</f>
        <v>East</v>
      </c>
      <c r="E1219" t="s">
        <v>18</v>
      </c>
      <c r="F1219" t="s">
        <v>237</v>
      </c>
      <c r="G1219" t="s">
        <v>12</v>
      </c>
      <c r="H1219" s="1">
        <v>42795</v>
      </c>
      <c r="I1219" s="1">
        <v>42905</v>
      </c>
      <c r="J1219">
        <v>67</v>
      </c>
    </row>
    <row r="1220" spans="1:10" x14ac:dyDescent="0.3">
      <c r="A1220" t="s">
        <v>1351</v>
      </c>
      <c r="B1220" t="s">
        <v>102</v>
      </c>
      <c r="C1220" t="str">
        <f>_xlfn.XLOOKUP(B1220,
[1]sales_teams!$A$2:$A$100,
[1]sales_teams!$B$2:$B$100)</f>
        <v>Cara Losch</v>
      </c>
      <c r="D1220" t="str">
        <f>_xlfn.XLOOKUP($B1220,sales_teams!$A$2:$A$36,sales_teams!C$2:C$36)</f>
        <v>East</v>
      </c>
      <c r="E1220" t="s">
        <v>39</v>
      </c>
      <c r="F1220" t="s">
        <v>518</v>
      </c>
      <c r="G1220" t="s">
        <v>12</v>
      </c>
      <c r="H1220" s="1">
        <v>42795</v>
      </c>
      <c r="I1220" s="1">
        <v>42895</v>
      </c>
      <c r="J1220">
        <v>3783</v>
      </c>
    </row>
    <row r="1221" spans="1:10" x14ac:dyDescent="0.3">
      <c r="A1221" t="s">
        <v>1352</v>
      </c>
      <c r="B1221" t="s">
        <v>23</v>
      </c>
      <c r="C1221" t="str">
        <f>_xlfn.XLOOKUP(B1221,
[1]sales_teams!$A$2:$A$100,
[1]sales_teams!$B$2:$B$100)</f>
        <v>Summer Sewald</v>
      </c>
      <c r="D1221" t="str">
        <f>_xlfn.XLOOKUP($B1221,sales_teams!$A$2:$A$36,sales_teams!C$2:C$36)</f>
        <v>West</v>
      </c>
      <c r="E1221" t="s">
        <v>15</v>
      </c>
      <c r="G1221" t="s">
        <v>40</v>
      </c>
      <c r="H1221" s="1">
        <v>42795</v>
      </c>
    </row>
    <row r="1222" spans="1:10" x14ac:dyDescent="0.3">
      <c r="A1222" t="s">
        <v>1353</v>
      </c>
      <c r="B1222" t="s">
        <v>23</v>
      </c>
      <c r="C1222" t="str">
        <f>_xlfn.XLOOKUP(B1222,
[1]sales_teams!$A$2:$A$100,
[1]sales_teams!$B$2:$B$100)</f>
        <v>Summer Sewald</v>
      </c>
      <c r="D1222" t="str">
        <f>_xlfn.XLOOKUP($B1222,sales_teams!$A$2:$A$36,sales_teams!C$2:C$36)</f>
        <v>West</v>
      </c>
      <c r="E1222" t="s">
        <v>20</v>
      </c>
      <c r="F1222" t="s">
        <v>224</v>
      </c>
      <c r="G1222" t="s">
        <v>46</v>
      </c>
      <c r="H1222" s="1">
        <v>42795</v>
      </c>
      <c r="I1222" s="1">
        <v>42886</v>
      </c>
      <c r="J1222">
        <v>0</v>
      </c>
    </row>
    <row r="1223" spans="1:10" x14ac:dyDescent="0.3">
      <c r="A1223" t="s">
        <v>1354</v>
      </c>
      <c r="B1223" t="s">
        <v>23</v>
      </c>
      <c r="C1223" t="str">
        <f>_xlfn.XLOOKUP(B1223,
[1]sales_teams!$A$2:$A$100,
[1]sales_teams!$B$2:$B$100)</f>
        <v>Summer Sewald</v>
      </c>
      <c r="D1223" t="str">
        <f>_xlfn.XLOOKUP($B1223,sales_teams!$A$2:$A$36,sales_teams!C$2:C$36)</f>
        <v>West</v>
      </c>
      <c r="E1223" t="s">
        <v>48</v>
      </c>
      <c r="F1223" t="s">
        <v>68</v>
      </c>
      <c r="G1223" t="s">
        <v>46</v>
      </c>
      <c r="H1223" s="1">
        <v>42795</v>
      </c>
      <c r="I1223" s="1">
        <v>42913</v>
      </c>
      <c r="J1223">
        <v>0</v>
      </c>
    </row>
    <row r="1224" spans="1:10" x14ac:dyDescent="0.3">
      <c r="A1224" t="s">
        <v>1355</v>
      </c>
      <c r="B1224" t="s">
        <v>26</v>
      </c>
      <c r="C1224" t="str">
        <f>_xlfn.XLOOKUP(B1224,
[1]sales_teams!$A$2:$A$100,
[1]sales_teams!$B$2:$B$100)</f>
        <v>Dustin Brinkmann</v>
      </c>
      <c r="D1224" t="str">
        <f>_xlfn.XLOOKUP($B1224,sales_teams!$A$2:$A$36,sales_teams!C$2:C$36)</f>
        <v>Central</v>
      </c>
      <c r="E1224" t="s">
        <v>39</v>
      </c>
      <c r="F1224" t="s">
        <v>197</v>
      </c>
      <c r="G1224" t="s">
        <v>46</v>
      </c>
      <c r="H1224" s="1">
        <v>42796</v>
      </c>
      <c r="I1224" s="1">
        <v>42886</v>
      </c>
      <c r="J1224">
        <v>0</v>
      </c>
    </row>
    <row r="1225" spans="1:10" x14ac:dyDescent="0.3">
      <c r="A1225" t="s">
        <v>1356</v>
      </c>
      <c r="B1225" t="s">
        <v>26</v>
      </c>
      <c r="C1225" t="str">
        <f>_xlfn.XLOOKUP(B1225,
[1]sales_teams!$A$2:$A$100,
[1]sales_teams!$B$2:$B$100)</f>
        <v>Dustin Brinkmann</v>
      </c>
      <c r="D1225" t="str">
        <f>_xlfn.XLOOKUP($B1225,sales_teams!$A$2:$A$36,sales_teams!C$2:C$36)</f>
        <v>Central</v>
      </c>
      <c r="E1225" t="s">
        <v>20</v>
      </c>
      <c r="F1225" t="s">
        <v>120</v>
      </c>
      <c r="G1225" t="s">
        <v>12</v>
      </c>
      <c r="H1225" s="1">
        <v>42796</v>
      </c>
      <c r="I1225" s="1">
        <v>42806</v>
      </c>
      <c r="J1225">
        <v>522</v>
      </c>
    </row>
    <row r="1226" spans="1:10" x14ac:dyDescent="0.3">
      <c r="A1226" t="s">
        <v>1357</v>
      </c>
      <c r="B1226" t="s">
        <v>139</v>
      </c>
      <c r="C1226" t="str">
        <f>_xlfn.XLOOKUP(B1226,
[1]sales_teams!$A$2:$A$100,
[1]sales_teams!$B$2:$B$100)</f>
        <v>Rocco Neubert</v>
      </c>
      <c r="D1226" t="str">
        <f>_xlfn.XLOOKUP($B1226,sales_teams!$A$2:$A$36,sales_teams!C$2:C$36)</f>
        <v>East</v>
      </c>
      <c r="E1226" t="s">
        <v>10</v>
      </c>
      <c r="F1226" t="s">
        <v>179</v>
      </c>
      <c r="G1226" t="s">
        <v>12</v>
      </c>
      <c r="H1226" s="1">
        <v>42796</v>
      </c>
      <c r="I1226" s="1">
        <v>42812</v>
      </c>
      <c r="J1226">
        <v>1001</v>
      </c>
    </row>
    <row r="1227" spans="1:10" x14ac:dyDescent="0.3">
      <c r="A1227" t="s">
        <v>1358</v>
      </c>
      <c r="B1227" t="s">
        <v>202</v>
      </c>
      <c r="C1227" t="str">
        <f>_xlfn.XLOOKUP(B1227,
[1]sales_teams!$A$2:$A$100,
[1]sales_teams!$B$2:$B$100)</f>
        <v>Dustin Brinkmann</v>
      </c>
      <c r="D1227" t="str">
        <f>_xlfn.XLOOKUP($B1227,sales_teams!$A$2:$A$36,sales_teams!C$2:C$36)</f>
        <v>Central</v>
      </c>
      <c r="E1227" t="s">
        <v>48</v>
      </c>
      <c r="F1227" t="s">
        <v>303</v>
      </c>
      <c r="G1227" t="s">
        <v>12</v>
      </c>
      <c r="H1227" s="1">
        <v>42796</v>
      </c>
      <c r="I1227" s="1">
        <v>42880</v>
      </c>
      <c r="J1227">
        <v>5728</v>
      </c>
    </row>
    <row r="1228" spans="1:10" x14ac:dyDescent="0.3">
      <c r="A1228" t="s">
        <v>1359</v>
      </c>
      <c r="B1228" t="s">
        <v>14</v>
      </c>
      <c r="C1228" t="str">
        <f>_xlfn.XLOOKUP(B1228,
[1]sales_teams!$A$2:$A$100,
[1]sales_teams!$B$2:$B$100)</f>
        <v>Melvin Marxen</v>
      </c>
      <c r="D1228" t="str">
        <f>_xlfn.XLOOKUP($B1228,sales_teams!$A$2:$A$36,sales_teams!C$2:C$36)</f>
        <v>Central</v>
      </c>
      <c r="E1228" t="s">
        <v>48</v>
      </c>
      <c r="F1228" t="s">
        <v>21</v>
      </c>
      <c r="G1228" t="s">
        <v>12</v>
      </c>
      <c r="H1228" s="1">
        <v>42796</v>
      </c>
      <c r="I1228" s="1">
        <v>42905</v>
      </c>
      <c r="J1228">
        <v>4856</v>
      </c>
    </row>
    <row r="1229" spans="1:10" x14ac:dyDescent="0.3">
      <c r="A1229" t="s">
        <v>1360</v>
      </c>
      <c r="B1229" t="s">
        <v>14</v>
      </c>
      <c r="C1229" t="str">
        <f>_xlfn.XLOOKUP(B1229,
[1]sales_teams!$A$2:$A$100,
[1]sales_teams!$B$2:$B$100)</f>
        <v>Melvin Marxen</v>
      </c>
      <c r="D1229" t="str">
        <f>_xlfn.XLOOKUP($B1229,sales_teams!$A$2:$A$36,sales_teams!C$2:C$36)</f>
        <v>Central</v>
      </c>
      <c r="E1229" t="s">
        <v>15</v>
      </c>
      <c r="F1229" t="s">
        <v>11</v>
      </c>
      <c r="G1229" t="s">
        <v>12</v>
      </c>
      <c r="H1229" s="1">
        <v>42796</v>
      </c>
      <c r="I1229" s="1">
        <v>42881</v>
      </c>
      <c r="J1229">
        <v>5570</v>
      </c>
    </row>
    <row r="1230" spans="1:10" x14ac:dyDescent="0.3">
      <c r="A1230" t="s">
        <v>1361</v>
      </c>
      <c r="B1230" t="s">
        <v>14</v>
      </c>
      <c r="C1230" t="str">
        <f>_xlfn.XLOOKUP(B1230,
[1]sales_teams!$A$2:$A$100,
[1]sales_teams!$B$2:$B$100)</f>
        <v>Melvin Marxen</v>
      </c>
      <c r="D1230" t="str">
        <f>_xlfn.XLOOKUP($B1230,sales_teams!$A$2:$A$36,sales_teams!C$2:C$36)</f>
        <v>Central</v>
      </c>
      <c r="E1230" t="s">
        <v>39</v>
      </c>
      <c r="F1230" t="s">
        <v>120</v>
      </c>
      <c r="G1230" t="s">
        <v>12</v>
      </c>
      <c r="H1230" s="1">
        <v>42796</v>
      </c>
      <c r="I1230" s="1">
        <v>42881</v>
      </c>
      <c r="J1230">
        <v>3647</v>
      </c>
    </row>
    <row r="1231" spans="1:10" x14ac:dyDescent="0.3">
      <c r="A1231" t="s">
        <v>1362</v>
      </c>
      <c r="B1231" t="s">
        <v>142</v>
      </c>
      <c r="C1231" t="str">
        <f>_xlfn.XLOOKUP(B1231,
[1]sales_teams!$A$2:$A$100,
[1]sales_teams!$B$2:$B$100)</f>
        <v>Rocco Neubert</v>
      </c>
      <c r="D1231" t="str">
        <f>_xlfn.XLOOKUP($B1231,sales_teams!$A$2:$A$36,sales_teams!C$2:C$36)</f>
        <v>East</v>
      </c>
      <c r="E1231" t="s">
        <v>20</v>
      </c>
      <c r="F1231" t="s">
        <v>106</v>
      </c>
      <c r="G1231" t="s">
        <v>12</v>
      </c>
      <c r="H1231" s="1">
        <v>42796</v>
      </c>
      <c r="I1231" s="1">
        <v>42897</v>
      </c>
      <c r="J1231">
        <v>487</v>
      </c>
    </row>
    <row r="1232" spans="1:10" x14ac:dyDescent="0.3">
      <c r="A1232" t="s">
        <v>1363</v>
      </c>
      <c r="B1232" t="s">
        <v>142</v>
      </c>
      <c r="C1232" t="str">
        <f>_xlfn.XLOOKUP(B1232,
[1]sales_teams!$A$2:$A$100,
[1]sales_teams!$B$2:$B$100)</f>
        <v>Rocco Neubert</v>
      </c>
      <c r="D1232" t="str">
        <f>_xlfn.XLOOKUP($B1232,sales_teams!$A$2:$A$36,sales_teams!C$2:C$36)</f>
        <v>East</v>
      </c>
      <c r="E1232" t="s">
        <v>10</v>
      </c>
      <c r="F1232" t="s">
        <v>209</v>
      </c>
      <c r="G1232" t="s">
        <v>12</v>
      </c>
      <c r="H1232" s="1">
        <v>42796</v>
      </c>
      <c r="I1232" s="1">
        <v>42898</v>
      </c>
      <c r="J1232">
        <v>1166</v>
      </c>
    </row>
    <row r="1233" spans="1:10" x14ac:dyDescent="0.3">
      <c r="A1233" t="s">
        <v>1364</v>
      </c>
      <c r="B1233" t="s">
        <v>67</v>
      </c>
      <c r="C1233" t="str">
        <f>_xlfn.XLOOKUP(B1233,
[1]sales_teams!$A$2:$A$100,
[1]sales_teams!$B$2:$B$100)</f>
        <v>Celia Rouche</v>
      </c>
      <c r="D1233" t="str">
        <f>_xlfn.XLOOKUP($B1233,sales_teams!$A$2:$A$36,sales_teams!C$2:C$36)</f>
        <v>West</v>
      </c>
      <c r="E1233" t="s">
        <v>39</v>
      </c>
      <c r="G1233" t="s">
        <v>40</v>
      </c>
      <c r="H1233" s="1">
        <v>42796</v>
      </c>
    </row>
    <row r="1234" spans="1:10" x14ac:dyDescent="0.3">
      <c r="A1234" t="s">
        <v>1365</v>
      </c>
      <c r="B1234" t="s">
        <v>252</v>
      </c>
      <c r="C1234" t="str">
        <f>_xlfn.XLOOKUP(B1234,
[1]sales_teams!$A$2:$A$100,
[1]sales_teams!$B$2:$B$100)</f>
        <v>Melvin Marxen</v>
      </c>
      <c r="D1234" t="str">
        <f>_xlfn.XLOOKUP($B1234,sales_teams!$A$2:$A$36,sales_teams!C$2:C$36)</f>
        <v>Central</v>
      </c>
      <c r="E1234" t="s">
        <v>20</v>
      </c>
      <c r="F1234" t="s">
        <v>231</v>
      </c>
      <c r="G1234" t="s">
        <v>12</v>
      </c>
      <c r="H1234" s="1">
        <v>42796</v>
      </c>
      <c r="I1234" s="1">
        <v>42892</v>
      </c>
      <c r="J1234">
        <v>595</v>
      </c>
    </row>
    <row r="1235" spans="1:10" x14ac:dyDescent="0.3">
      <c r="A1235" t="s">
        <v>1366</v>
      </c>
      <c r="B1235" t="s">
        <v>78</v>
      </c>
      <c r="C1235" t="str">
        <f>_xlfn.XLOOKUP(B1235,
[1]sales_teams!$A$2:$A$100,
[1]sales_teams!$B$2:$B$100)</f>
        <v>Summer Sewald</v>
      </c>
      <c r="D1235" t="str">
        <f>_xlfn.XLOOKUP($B1235,sales_teams!$A$2:$A$36,sales_teams!C$2:C$36)</f>
        <v>West</v>
      </c>
      <c r="E1235" t="s">
        <v>18</v>
      </c>
      <c r="F1235" t="s">
        <v>218</v>
      </c>
      <c r="G1235" t="s">
        <v>12</v>
      </c>
      <c r="H1235" s="1">
        <v>42796</v>
      </c>
      <c r="I1235" s="1">
        <v>42890</v>
      </c>
      <c r="J1235">
        <v>49</v>
      </c>
    </row>
    <row r="1236" spans="1:10" x14ac:dyDescent="0.3">
      <c r="A1236" t="s">
        <v>1367</v>
      </c>
      <c r="B1236" t="s">
        <v>95</v>
      </c>
      <c r="C1236" t="str">
        <f>_xlfn.XLOOKUP(B1236,
[1]sales_teams!$A$2:$A$100,
[1]sales_teams!$B$2:$B$100)</f>
        <v>Summer Sewald</v>
      </c>
      <c r="D1236" t="str">
        <f>_xlfn.XLOOKUP($B1236,sales_teams!$A$2:$A$36,sales_teams!C$2:C$36)</f>
        <v>West</v>
      </c>
      <c r="E1236" t="s">
        <v>20</v>
      </c>
      <c r="F1236" t="s">
        <v>93</v>
      </c>
      <c r="G1236" t="s">
        <v>12</v>
      </c>
      <c r="H1236" s="1">
        <v>42796</v>
      </c>
      <c r="I1236" s="1">
        <v>42813</v>
      </c>
      <c r="J1236">
        <v>599</v>
      </c>
    </row>
    <row r="1237" spans="1:10" x14ac:dyDescent="0.3">
      <c r="A1237" t="s">
        <v>1368</v>
      </c>
      <c r="B1237" t="s">
        <v>95</v>
      </c>
      <c r="C1237" t="str">
        <f>_xlfn.XLOOKUP(B1237,
[1]sales_teams!$A$2:$A$100,
[1]sales_teams!$B$2:$B$100)</f>
        <v>Summer Sewald</v>
      </c>
      <c r="D1237" t="str">
        <f>_xlfn.XLOOKUP($B1237,sales_teams!$A$2:$A$36,sales_teams!C$2:C$36)</f>
        <v>West</v>
      </c>
      <c r="E1237" t="s">
        <v>15</v>
      </c>
      <c r="F1237" t="s">
        <v>155</v>
      </c>
      <c r="G1237" t="s">
        <v>12</v>
      </c>
      <c r="H1237" s="1">
        <v>42796</v>
      </c>
      <c r="I1237" s="1">
        <v>42870</v>
      </c>
      <c r="J1237">
        <v>4506</v>
      </c>
    </row>
    <row r="1238" spans="1:10" x14ac:dyDescent="0.3">
      <c r="A1238" t="s">
        <v>1369</v>
      </c>
      <c r="B1238" t="s">
        <v>95</v>
      </c>
      <c r="C1238" t="str">
        <f>_xlfn.XLOOKUP(B1238,
[1]sales_teams!$A$2:$A$100,
[1]sales_teams!$B$2:$B$100)</f>
        <v>Summer Sewald</v>
      </c>
      <c r="D1238" t="str">
        <f>_xlfn.XLOOKUP($B1238,sales_teams!$A$2:$A$36,sales_teams!C$2:C$36)</f>
        <v>West</v>
      </c>
      <c r="E1238" t="s">
        <v>15</v>
      </c>
      <c r="F1238" t="s">
        <v>49</v>
      </c>
      <c r="G1238" t="s">
        <v>12</v>
      </c>
      <c r="H1238" s="1">
        <v>42796</v>
      </c>
      <c r="I1238" s="1">
        <v>42861</v>
      </c>
      <c r="J1238">
        <v>4512</v>
      </c>
    </row>
    <row r="1239" spans="1:10" x14ac:dyDescent="0.3">
      <c r="A1239" t="s">
        <v>1370</v>
      </c>
      <c r="B1239" t="s">
        <v>133</v>
      </c>
      <c r="C1239" t="str">
        <f>_xlfn.XLOOKUP(B1239,
[1]sales_teams!$A$2:$A$100,
[1]sales_teams!$B$2:$B$100)</f>
        <v>Dustin Brinkmann</v>
      </c>
      <c r="D1239" t="str">
        <f>_xlfn.XLOOKUP($B1239,sales_teams!$A$2:$A$36,sales_teams!C$2:C$36)</f>
        <v>Central</v>
      </c>
      <c r="E1239" t="s">
        <v>20</v>
      </c>
      <c r="F1239" t="s">
        <v>109</v>
      </c>
      <c r="G1239" t="s">
        <v>46</v>
      </c>
      <c r="H1239" s="1">
        <v>42796</v>
      </c>
      <c r="I1239" s="1">
        <v>42856</v>
      </c>
      <c r="J1239">
        <v>0</v>
      </c>
    </row>
    <row r="1240" spans="1:10" x14ac:dyDescent="0.3">
      <c r="A1240" t="s">
        <v>1371</v>
      </c>
      <c r="B1240" t="s">
        <v>51</v>
      </c>
      <c r="C1240" t="str">
        <f>_xlfn.XLOOKUP(B1240,
[1]sales_teams!$A$2:$A$100,
[1]sales_teams!$B$2:$B$100)</f>
        <v>Summer Sewald</v>
      </c>
      <c r="D1240" t="str">
        <f>_xlfn.XLOOKUP($B1240,sales_teams!$A$2:$A$36,sales_teams!C$2:C$36)</f>
        <v>West</v>
      </c>
      <c r="E1240" t="s">
        <v>10</v>
      </c>
      <c r="F1240" t="s">
        <v>157</v>
      </c>
      <c r="G1240" t="s">
        <v>12</v>
      </c>
      <c r="H1240" s="1">
        <v>42796</v>
      </c>
      <c r="I1240" s="1">
        <v>42861</v>
      </c>
      <c r="J1240">
        <v>1102</v>
      </c>
    </row>
    <row r="1241" spans="1:10" x14ac:dyDescent="0.3">
      <c r="A1241" t="s">
        <v>1372</v>
      </c>
      <c r="B1241" t="s">
        <v>57</v>
      </c>
      <c r="C1241" t="str">
        <f>_xlfn.XLOOKUP(B1241,
[1]sales_teams!$A$2:$A$100,
[1]sales_teams!$B$2:$B$100)</f>
        <v>Celia Rouche</v>
      </c>
      <c r="D1241" t="str">
        <f>_xlfn.XLOOKUP($B1241,sales_teams!$A$2:$A$36,sales_teams!C$2:C$36)</f>
        <v>West</v>
      </c>
      <c r="E1241" t="s">
        <v>20</v>
      </c>
      <c r="G1241" t="s">
        <v>40</v>
      </c>
      <c r="H1241" s="1">
        <v>42796</v>
      </c>
    </row>
    <row r="1242" spans="1:10" x14ac:dyDescent="0.3">
      <c r="A1242" t="s">
        <v>1373</v>
      </c>
      <c r="B1242" t="s">
        <v>57</v>
      </c>
      <c r="C1242" t="str">
        <f>_xlfn.XLOOKUP(B1242,
[1]sales_teams!$A$2:$A$100,
[1]sales_teams!$B$2:$B$100)</f>
        <v>Celia Rouche</v>
      </c>
      <c r="D1242" t="str">
        <f>_xlfn.XLOOKUP($B1242,sales_teams!$A$2:$A$36,sales_teams!C$2:C$36)</f>
        <v>West</v>
      </c>
      <c r="E1242" t="s">
        <v>20</v>
      </c>
      <c r="F1242" t="s">
        <v>68</v>
      </c>
      <c r="G1242" t="s">
        <v>46</v>
      </c>
      <c r="H1242" s="1">
        <v>42796</v>
      </c>
      <c r="I1242" s="1">
        <v>42896</v>
      </c>
      <c r="J1242">
        <v>0</v>
      </c>
    </row>
    <row r="1243" spans="1:10" x14ac:dyDescent="0.3">
      <c r="A1243" t="s">
        <v>1374</v>
      </c>
      <c r="B1243" t="s">
        <v>61</v>
      </c>
      <c r="C1243" t="str">
        <f>_xlfn.XLOOKUP(B1243,
[1]sales_teams!$A$2:$A$100,
[1]sales_teams!$B$2:$B$100)</f>
        <v>Dustin Brinkmann</v>
      </c>
      <c r="D1243" t="str">
        <f>_xlfn.XLOOKUP($B1243,sales_teams!$A$2:$A$36,sales_teams!C$2:C$36)</f>
        <v>Central</v>
      </c>
      <c r="E1243" t="s">
        <v>18</v>
      </c>
      <c r="F1243" t="s">
        <v>218</v>
      </c>
      <c r="G1243" t="s">
        <v>12</v>
      </c>
      <c r="H1243" s="1">
        <v>42796</v>
      </c>
      <c r="I1243" s="1">
        <v>42867</v>
      </c>
      <c r="J1243">
        <v>54</v>
      </c>
    </row>
    <row r="1244" spans="1:10" x14ac:dyDescent="0.3">
      <c r="A1244" t="s">
        <v>1375</v>
      </c>
      <c r="B1244" t="s">
        <v>61</v>
      </c>
      <c r="C1244" t="str">
        <f>_xlfn.XLOOKUP(B1244,
[1]sales_teams!$A$2:$A$100,
[1]sales_teams!$B$2:$B$100)</f>
        <v>Dustin Brinkmann</v>
      </c>
      <c r="D1244" t="str">
        <f>_xlfn.XLOOKUP($B1244,sales_teams!$A$2:$A$36,sales_teams!C$2:C$36)</f>
        <v>Central</v>
      </c>
      <c r="E1244" t="s">
        <v>18</v>
      </c>
      <c r="F1244" t="s">
        <v>315</v>
      </c>
      <c r="G1244" t="s">
        <v>12</v>
      </c>
      <c r="H1244" s="1">
        <v>42796</v>
      </c>
      <c r="I1244" s="1">
        <v>42811</v>
      </c>
      <c r="J1244">
        <v>62</v>
      </c>
    </row>
    <row r="1245" spans="1:10" x14ac:dyDescent="0.3">
      <c r="A1245" t="s">
        <v>1376</v>
      </c>
      <c r="B1245" t="s">
        <v>29</v>
      </c>
      <c r="C1245" t="str">
        <f>_xlfn.XLOOKUP(B1245,
[1]sales_teams!$A$2:$A$100,
[1]sales_teams!$B$2:$B$100)</f>
        <v>Celia Rouche</v>
      </c>
      <c r="D1245" t="str">
        <f>_xlfn.XLOOKUP($B1245,sales_teams!$A$2:$A$36,sales_teams!C$2:C$36)</f>
        <v>West</v>
      </c>
      <c r="E1245" t="s">
        <v>20</v>
      </c>
      <c r="F1245" t="s">
        <v>68</v>
      </c>
      <c r="G1245" t="s">
        <v>40</v>
      </c>
      <c r="H1245" s="1">
        <v>42796</v>
      </c>
    </row>
    <row r="1246" spans="1:10" x14ac:dyDescent="0.3">
      <c r="A1246" t="s">
        <v>1377</v>
      </c>
      <c r="B1246" t="s">
        <v>29</v>
      </c>
      <c r="C1246" t="str">
        <f>_xlfn.XLOOKUP(B1246,
[1]sales_teams!$A$2:$A$100,
[1]sales_teams!$B$2:$B$100)</f>
        <v>Celia Rouche</v>
      </c>
      <c r="D1246" t="str">
        <f>_xlfn.XLOOKUP($B1246,sales_teams!$A$2:$A$36,sales_teams!C$2:C$36)</f>
        <v>West</v>
      </c>
      <c r="E1246" t="s">
        <v>20</v>
      </c>
      <c r="G1246" t="s">
        <v>40</v>
      </c>
      <c r="H1246" s="1">
        <v>42796</v>
      </c>
    </row>
    <row r="1247" spans="1:10" x14ac:dyDescent="0.3">
      <c r="A1247" t="s">
        <v>1378</v>
      </c>
      <c r="B1247" t="s">
        <v>29</v>
      </c>
      <c r="C1247" t="str">
        <f>_xlfn.XLOOKUP(B1247,
[1]sales_teams!$A$2:$A$100,
[1]sales_teams!$B$2:$B$100)</f>
        <v>Celia Rouche</v>
      </c>
      <c r="D1247" t="str">
        <f>_xlfn.XLOOKUP($B1247,sales_teams!$A$2:$A$36,sales_teams!C$2:C$36)</f>
        <v>West</v>
      </c>
      <c r="E1247" t="s">
        <v>18</v>
      </c>
      <c r="G1247" t="s">
        <v>40</v>
      </c>
      <c r="H1247" s="1">
        <v>42796</v>
      </c>
    </row>
    <row r="1248" spans="1:10" x14ac:dyDescent="0.3">
      <c r="A1248" t="s">
        <v>1379</v>
      </c>
      <c r="B1248" t="s">
        <v>73</v>
      </c>
      <c r="C1248" t="str">
        <f>_xlfn.XLOOKUP(B1248,
[1]sales_teams!$A$2:$A$100,
[1]sales_teams!$B$2:$B$100)</f>
        <v>Cara Losch</v>
      </c>
      <c r="D1248" t="str">
        <f>_xlfn.XLOOKUP($B1248,sales_teams!$A$2:$A$36,sales_teams!C$2:C$36)</f>
        <v>East</v>
      </c>
      <c r="E1248" t="s">
        <v>18</v>
      </c>
      <c r="F1248" t="s">
        <v>103</v>
      </c>
      <c r="G1248" t="s">
        <v>12</v>
      </c>
      <c r="H1248" s="1">
        <v>42796</v>
      </c>
      <c r="I1248" s="1">
        <v>42803</v>
      </c>
      <c r="J1248">
        <v>61</v>
      </c>
    </row>
    <row r="1249" spans="1:10" x14ac:dyDescent="0.3">
      <c r="A1249" t="s">
        <v>1380</v>
      </c>
      <c r="B1249" t="s">
        <v>23</v>
      </c>
      <c r="C1249" t="str">
        <f>_xlfn.XLOOKUP(B1249,
[1]sales_teams!$A$2:$A$100,
[1]sales_teams!$B$2:$B$100)</f>
        <v>Summer Sewald</v>
      </c>
      <c r="D1249" t="str">
        <f>_xlfn.XLOOKUP($B1249,sales_teams!$A$2:$A$36,sales_teams!C$2:C$36)</f>
        <v>West</v>
      </c>
      <c r="E1249" t="s">
        <v>20</v>
      </c>
      <c r="G1249" t="s">
        <v>40</v>
      </c>
      <c r="H1249" s="1">
        <v>42796</v>
      </c>
    </row>
    <row r="1250" spans="1:10" x14ac:dyDescent="0.3">
      <c r="A1250" t="s">
        <v>1381</v>
      </c>
      <c r="B1250" t="s">
        <v>23</v>
      </c>
      <c r="C1250" t="str">
        <f>_xlfn.XLOOKUP(B1250,
[1]sales_teams!$A$2:$A$100,
[1]sales_teams!$B$2:$B$100)</f>
        <v>Summer Sewald</v>
      </c>
      <c r="D1250" t="str">
        <f>_xlfn.XLOOKUP($B1250,sales_teams!$A$2:$A$36,sales_teams!C$2:C$36)</f>
        <v>West</v>
      </c>
      <c r="E1250" t="s">
        <v>15</v>
      </c>
      <c r="F1250" t="s">
        <v>273</v>
      </c>
      <c r="G1250" t="s">
        <v>46</v>
      </c>
      <c r="H1250" s="1">
        <v>42796</v>
      </c>
      <c r="I1250" s="1">
        <v>42878</v>
      </c>
      <c r="J1250">
        <v>0</v>
      </c>
    </row>
    <row r="1251" spans="1:10" x14ac:dyDescent="0.3">
      <c r="A1251" t="s">
        <v>1382</v>
      </c>
      <c r="B1251" t="s">
        <v>23</v>
      </c>
      <c r="C1251" t="str">
        <f>_xlfn.XLOOKUP(B1251,
[1]sales_teams!$A$2:$A$100,
[1]sales_teams!$B$2:$B$100)</f>
        <v>Summer Sewald</v>
      </c>
      <c r="D1251" t="str">
        <f>_xlfn.XLOOKUP($B1251,sales_teams!$A$2:$A$36,sales_teams!C$2:C$36)</f>
        <v>West</v>
      </c>
      <c r="E1251" t="s">
        <v>15</v>
      </c>
      <c r="F1251" t="s">
        <v>86</v>
      </c>
      <c r="G1251" t="s">
        <v>12</v>
      </c>
      <c r="H1251" s="1">
        <v>42796</v>
      </c>
      <c r="I1251" s="1">
        <v>42810</v>
      </c>
      <c r="J1251">
        <v>4277</v>
      </c>
    </row>
    <row r="1252" spans="1:10" x14ac:dyDescent="0.3">
      <c r="A1252" t="s">
        <v>1383</v>
      </c>
      <c r="B1252" t="s">
        <v>26</v>
      </c>
      <c r="C1252" t="str">
        <f>_xlfn.XLOOKUP(B1252,
[1]sales_teams!$A$2:$A$100,
[1]sales_teams!$B$2:$B$100)</f>
        <v>Dustin Brinkmann</v>
      </c>
      <c r="D1252" t="str">
        <f>_xlfn.XLOOKUP($B1252,sales_teams!$A$2:$A$36,sales_teams!C$2:C$36)</f>
        <v>Central</v>
      </c>
      <c r="E1252" t="s">
        <v>18</v>
      </c>
      <c r="F1252" t="s">
        <v>213</v>
      </c>
      <c r="G1252" t="s">
        <v>12</v>
      </c>
      <c r="H1252" s="1">
        <v>42797</v>
      </c>
      <c r="I1252" s="1">
        <v>42878</v>
      </c>
      <c r="J1252">
        <v>46</v>
      </c>
    </row>
    <row r="1253" spans="1:10" x14ac:dyDescent="0.3">
      <c r="A1253" t="s">
        <v>1384</v>
      </c>
      <c r="B1253" t="s">
        <v>26</v>
      </c>
      <c r="C1253" t="str">
        <f>_xlfn.XLOOKUP(B1253,
[1]sales_teams!$A$2:$A$100,
[1]sales_teams!$B$2:$B$100)</f>
        <v>Dustin Brinkmann</v>
      </c>
      <c r="D1253" t="str">
        <f>_xlfn.XLOOKUP($B1253,sales_teams!$A$2:$A$36,sales_teams!C$2:C$36)</f>
        <v>Central</v>
      </c>
      <c r="E1253" t="s">
        <v>18</v>
      </c>
      <c r="F1253" t="s">
        <v>126</v>
      </c>
      <c r="G1253" t="s">
        <v>12</v>
      </c>
      <c r="H1253" s="1">
        <v>42797</v>
      </c>
      <c r="I1253" s="1">
        <v>42908</v>
      </c>
      <c r="J1253">
        <v>54</v>
      </c>
    </row>
    <row r="1254" spans="1:10" x14ac:dyDescent="0.3">
      <c r="A1254" t="s">
        <v>1385</v>
      </c>
      <c r="B1254" t="s">
        <v>139</v>
      </c>
      <c r="C1254" t="str">
        <f>_xlfn.XLOOKUP(B1254,
[1]sales_teams!$A$2:$A$100,
[1]sales_teams!$B$2:$B$100)</f>
        <v>Rocco Neubert</v>
      </c>
      <c r="D1254" t="str">
        <f>_xlfn.XLOOKUP($B1254,sales_teams!$A$2:$A$36,sales_teams!C$2:C$36)</f>
        <v>East</v>
      </c>
      <c r="E1254" t="s">
        <v>48</v>
      </c>
      <c r="F1254" t="s">
        <v>209</v>
      </c>
      <c r="G1254" t="s">
        <v>12</v>
      </c>
      <c r="H1254" s="1">
        <v>42797</v>
      </c>
      <c r="I1254" s="1">
        <v>42894</v>
      </c>
      <c r="J1254">
        <v>6173</v>
      </c>
    </row>
    <row r="1255" spans="1:10" x14ac:dyDescent="0.3">
      <c r="A1255" t="s">
        <v>1386</v>
      </c>
      <c r="B1255" t="s">
        <v>118</v>
      </c>
      <c r="C1255" t="str">
        <f>_xlfn.XLOOKUP(B1255,
[1]sales_teams!$A$2:$A$100,
[1]sales_teams!$B$2:$B$100)</f>
        <v>Rocco Neubert</v>
      </c>
      <c r="D1255" t="str">
        <f>_xlfn.XLOOKUP($B1255,sales_teams!$A$2:$A$36,sales_teams!C$2:C$36)</f>
        <v>East</v>
      </c>
      <c r="E1255" t="s">
        <v>15</v>
      </c>
      <c r="F1255" t="s">
        <v>213</v>
      </c>
      <c r="G1255" t="s">
        <v>40</v>
      </c>
      <c r="H1255" s="1">
        <v>42797</v>
      </c>
    </row>
    <row r="1256" spans="1:10" x14ac:dyDescent="0.3">
      <c r="A1256" t="s">
        <v>1387</v>
      </c>
      <c r="B1256" t="s">
        <v>118</v>
      </c>
      <c r="C1256" t="str">
        <f>_xlfn.XLOOKUP(B1256,
[1]sales_teams!$A$2:$A$100,
[1]sales_teams!$B$2:$B$100)</f>
        <v>Rocco Neubert</v>
      </c>
      <c r="D1256" t="str">
        <f>_xlfn.XLOOKUP($B1256,sales_teams!$A$2:$A$36,sales_teams!C$2:C$36)</f>
        <v>East</v>
      </c>
      <c r="E1256" t="s">
        <v>39</v>
      </c>
      <c r="F1256" t="s">
        <v>81</v>
      </c>
      <c r="G1256" t="s">
        <v>46</v>
      </c>
      <c r="H1256" s="1">
        <v>42797</v>
      </c>
      <c r="I1256" s="1">
        <v>42815</v>
      </c>
      <c r="J1256">
        <v>0</v>
      </c>
    </row>
    <row r="1257" spans="1:10" x14ac:dyDescent="0.3">
      <c r="A1257" t="s">
        <v>1388</v>
      </c>
      <c r="B1257" t="s">
        <v>64</v>
      </c>
      <c r="C1257" t="str">
        <f>_xlfn.XLOOKUP(B1257,
[1]sales_teams!$A$2:$A$100,
[1]sales_teams!$B$2:$B$100)</f>
        <v>Rocco Neubert</v>
      </c>
      <c r="D1257" t="str">
        <f>_xlfn.XLOOKUP($B1257,sales_teams!$A$2:$A$36,sales_teams!C$2:C$36)</f>
        <v>East</v>
      </c>
      <c r="E1257" t="s">
        <v>15</v>
      </c>
      <c r="F1257" t="s">
        <v>329</v>
      </c>
      <c r="G1257" t="s">
        <v>46</v>
      </c>
      <c r="H1257" s="1">
        <v>42797</v>
      </c>
      <c r="I1257" s="1">
        <v>42897</v>
      </c>
      <c r="J1257">
        <v>0</v>
      </c>
    </row>
    <row r="1258" spans="1:10" x14ac:dyDescent="0.3">
      <c r="A1258" t="s">
        <v>1389</v>
      </c>
      <c r="B1258" t="s">
        <v>14</v>
      </c>
      <c r="C1258" t="str">
        <f>_xlfn.XLOOKUP(B1258,
[1]sales_teams!$A$2:$A$100,
[1]sales_teams!$B$2:$B$100)</f>
        <v>Melvin Marxen</v>
      </c>
      <c r="D1258" t="str">
        <f>_xlfn.XLOOKUP($B1258,sales_teams!$A$2:$A$36,sales_teams!C$2:C$36)</f>
        <v>Central</v>
      </c>
      <c r="E1258" t="s">
        <v>15</v>
      </c>
      <c r="F1258" t="s">
        <v>170</v>
      </c>
      <c r="G1258" t="s">
        <v>46</v>
      </c>
      <c r="H1258" s="1">
        <v>42797</v>
      </c>
      <c r="I1258" s="1">
        <v>42871</v>
      </c>
      <c r="J1258">
        <v>0</v>
      </c>
    </row>
    <row r="1259" spans="1:10" x14ac:dyDescent="0.3">
      <c r="A1259" t="s">
        <v>1390</v>
      </c>
      <c r="B1259" t="s">
        <v>14</v>
      </c>
      <c r="C1259" t="str">
        <f>_xlfn.XLOOKUP(B1259,
[1]sales_teams!$A$2:$A$100,
[1]sales_teams!$B$2:$B$100)</f>
        <v>Melvin Marxen</v>
      </c>
      <c r="D1259" t="str">
        <f>_xlfn.XLOOKUP($B1259,sales_teams!$A$2:$A$36,sales_teams!C$2:C$36)</f>
        <v>Central</v>
      </c>
      <c r="E1259" t="s">
        <v>10</v>
      </c>
      <c r="F1259" t="s">
        <v>113</v>
      </c>
      <c r="G1259" t="s">
        <v>12</v>
      </c>
      <c r="H1259" s="1">
        <v>42797</v>
      </c>
      <c r="I1259" s="1">
        <v>42883</v>
      </c>
      <c r="J1259">
        <v>1149</v>
      </c>
    </row>
    <row r="1260" spans="1:10" x14ac:dyDescent="0.3">
      <c r="A1260" t="s">
        <v>1391</v>
      </c>
      <c r="B1260" t="s">
        <v>105</v>
      </c>
      <c r="C1260" t="str">
        <f>_xlfn.XLOOKUP(B1260,
[1]sales_teams!$A$2:$A$100,
[1]sales_teams!$B$2:$B$100)</f>
        <v>Cara Losch</v>
      </c>
      <c r="D1260" t="str">
        <f>_xlfn.XLOOKUP($B1260,sales_teams!$A$2:$A$36,sales_teams!C$2:C$36)</f>
        <v>East</v>
      </c>
      <c r="E1260" t="s">
        <v>20</v>
      </c>
      <c r="F1260" t="s">
        <v>143</v>
      </c>
      <c r="G1260" t="s">
        <v>46</v>
      </c>
      <c r="H1260" s="1">
        <v>42797</v>
      </c>
      <c r="I1260" s="1">
        <v>42859</v>
      </c>
      <c r="J1260">
        <v>0</v>
      </c>
    </row>
    <row r="1261" spans="1:10" x14ac:dyDescent="0.3">
      <c r="A1261" t="s">
        <v>1392</v>
      </c>
      <c r="B1261" t="s">
        <v>252</v>
      </c>
      <c r="C1261" t="str">
        <f>_xlfn.XLOOKUP(B1261,
[1]sales_teams!$A$2:$A$100,
[1]sales_teams!$B$2:$B$100)</f>
        <v>Melvin Marxen</v>
      </c>
      <c r="D1261" t="str">
        <f>_xlfn.XLOOKUP($B1261,sales_teams!$A$2:$A$36,sales_teams!C$2:C$36)</f>
        <v>Central</v>
      </c>
      <c r="E1261" t="s">
        <v>10</v>
      </c>
      <c r="F1261" t="s">
        <v>197</v>
      </c>
      <c r="G1261" t="s">
        <v>46</v>
      </c>
      <c r="H1261" s="1">
        <v>42797</v>
      </c>
      <c r="I1261" s="1">
        <v>42810</v>
      </c>
      <c r="J1261">
        <v>0</v>
      </c>
    </row>
    <row r="1262" spans="1:10" x14ac:dyDescent="0.3">
      <c r="A1262" t="s">
        <v>1393</v>
      </c>
      <c r="B1262" t="s">
        <v>95</v>
      </c>
      <c r="C1262" t="str">
        <f>_xlfn.XLOOKUP(B1262,
[1]sales_teams!$A$2:$A$100,
[1]sales_teams!$B$2:$B$100)</f>
        <v>Summer Sewald</v>
      </c>
      <c r="D1262" t="str">
        <f>_xlfn.XLOOKUP($B1262,sales_teams!$A$2:$A$36,sales_teams!C$2:C$36)</f>
        <v>West</v>
      </c>
      <c r="E1262" t="s">
        <v>15</v>
      </c>
      <c r="G1262" t="s">
        <v>40</v>
      </c>
      <c r="H1262" s="1">
        <v>42797</v>
      </c>
    </row>
    <row r="1263" spans="1:10" x14ac:dyDescent="0.3">
      <c r="A1263" t="s">
        <v>1394</v>
      </c>
      <c r="B1263" t="s">
        <v>95</v>
      </c>
      <c r="C1263" t="str">
        <f>_xlfn.XLOOKUP(B1263,
[1]sales_teams!$A$2:$A$100,
[1]sales_teams!$B$2:$B$100)</f>
        <v>Summer Sewald</v>
      </c>
      <c r="D1263" t="str">
        <f>_xlfn.XLOOKUP($B1263,sales_teams!$A$2:$A$36,sales_teams!C$2:C$36)</f>
        <v>West</v>
      </c>
      <c r="E1263" t="s">
        <v>20</v>
      </c>
      <c r="F1263" t="s">
        <v>148</v>
      </c>
      <c r="G1263" t="s">
        <v>12</v>
      </c>
      <c r="H1263" s="1">
        <v>42797</v>
      </c>
      <c r="I1263" s="1">
        <v>42877</v>
      </c>
      <c r="J1263">
        <v>568</v>
      </c>
    </row>
    <row r="1264" spans="1:10" x14ac:dyDescent="0.3">
      <c r="A1264" t="s">
        <v>1395</v>
      </c>
      <c r="B1264" t="s">
        <v>95</v>
      </c>
      <c r="C1264" t="str">
        <f>_xlfn.XLOOKUP(B1264,
[1]sales_teams!$A$2:$A$100,
[1]sales_teams!$B$2:$B$100)</f>
        <v>Summer Sewald</v>
      </c>
      <c r="D1264" t="str">
        <f>_xlfn.XLOOKUP($B1264,sales_teams!$A$2:$A$36,sales_teams!C$2:C$36)</f>
        <v>West</v>
      </c>
      <c r="E1264" t="s">
        <v>20</v>
      </c>
      <c r="F1264" t="s">
        <v>30</v>
      </c>
      <c r="G1264" t="s">
        <v>12</v>
      </c>
      <c r="H1264" s="1">
        <v>42797</v>
      </c>
      <c r="I1264" s="1">
        <v>42885</v>
      </c>
      <c r="J1264">
        <v>567</v>
      </c>
    </row>
    <row r="1265" spans="1:10" x14ac:dyDescent="0.3">
      <c r="A1265" t="s">
        <v>1396</v>
      </c>
      <c r="B1265" t="s">
        <v>133</v>
      </c>
      <c r="C1265" t="str">
        <f>_xlfn.XLOOKUP(B1265,
[1]sales_teams!$A$2:$A$100,
[1]sales_teams!$B$2:$B$100)</f>
        <v>Dustin Brinkmann</v>
      </c>
      <c r="D1265" t="str">
        <f>_xlfn.XLOOKUP($B1265,sales_teams!$A$2:$A$36,sales_teams!C$2:C$36)</f>
        <v>Central</v>
      </c>
      <c r="E1265" t="s">
        <v>20</v>
      </c>
      <c r="F1265" t="s">
        <v>45</v>
      </c>
      <c r="G1265" t="s">
        <v>12</v>
      </c>
      <c r="H1265" s="1">
        <v>42797</v>
      </c>
      <c r="I1265" s="1">
        <v>42803</v>
      </c>
      <c r="J1265">
        <v>542</v>
      </c>
    </row>
    <row r="1266" spans="1:10" x14ac:dyDescent="0.3">
      <c r="A1266" t="s">
        <v>1397</v>
      </c>
      <c r="B1266" t="s">
        <v>116</v>
      </c>
      <c r="C1266" t="str">
        <f>_xlfn.XLOOKUP(B1266,
[1]sales_teams!$A$2:$A$100,
[1]sales_teams!$B$2:$B$100)</f>
        <v>Melvin Marxen</v>
      </c>
      <c r="D1266" t="str">
        <f>_xlfn.XLOOKUP($B1266,sales_teams!$A$2:$A$36,sales_teams!C$2:C$36)</f>
        <v>Central</v>
      </c>
      <c r="E1266" t="s">
        <v>20</v>
      </c>
      <c r="F1266" t="s">
        <v>120</v>
      </c>
      <c r="G1266" t="s">
        <v>46</v>
      </c>
      <c r="H1266" s="1">
        <v>42797</v>
      </c>
      <c r="I1266" s="1">
        <v>42883</v>
      </c>
      <c r="J1266">
        <v>0</v>
      </c>
    </row>
    <row r="1267" spans="1:10" x14ac:dyDescent="0.3">
      <c r="A1267" t="s">
        <v>1398</v>
      </c>
      <c r="B1267" t="s">
        <v>116</v>
      </c>
      <c r="C1267" t="str">
        <f>_xlfn.XLOOKUP(B1267,
[1]sales_teams!$A$2:$A$100,
[1]sales_teams!$B$2:$B$100)</f>
        <v>Melvin Marxen</v>
      </c>
      <c r="D1267" t="str">
        <f>_xlfn.XLOOKUP($B1267,sales_teams!$A$2:$A$36,sales_teams!C$2:C$36)</f>
        <v>Central</v>
      </c>
      <c r="E1267" t="s">
        <v>10</v>
      </c>
      <c r="F1267" t="s">
        <v>135</v>
      </c>
      <c r="G1267" t="s">
        <v>12</v>
      </c>
      <c r="H1267" s="1">
        <v>42797</v>
      </c>
      <c r="I1267" s="1">
        <v>42810</v>
      </c>
      <c r="J1267">
        <v>1062</v>
      </c>
    </row>
    <row r="1268" spans="1:10" x14ac:dyDescent="0.3">
      <c r="A1268" t="s">
        <v>1399</v>
      </c>
      <c r="B1268" t="s">
        <v>51</v>
      </c>
      <c r="C1268" t="str">
        <f>_xlfn.XLOOKUP(B1268,
[1]sales_teams!$A$2:$A$100,
[1]sales_teams!$B$2:$B$100)</f>
        <v>Summer Sewald</v>
      </c>
      <c r="D1268" t="str">
        <f>_xlfn.XLOOKUP($B1268,sales_teams!$A$2:$A$36,sales_teams!C$2:C$36)</f>
        <v>West</v>
      </c>
      <c r="E1268" t="s">
        <v>10</v>
      </c>
      <c r="F1268" t="s">
        <v>70</v>
      </c>
      <c r="G1268" t="s">
        <v>12</v>
      </c>
      <c r="H1268" s="1">
        <v>42797</v>
      </c>
      <c r="I1268" s="1">
        <v>42807</v>
      </c>
      <c r="J1268">
        <v>1057</v>
      </c>
    </row>
    <row r="1269" spans="1:10" x14ac:dyDescent="0.3">
      <c r="A1269" t="s">
        <v>1400</v>
      </c>
      <c r="B1269" t="s">
        <v>9</v>
      </c>
      <c r="C1269" t="str">
        <f>_xlfn.XLOOKUP(B1269,
[1]sales_teams!$A$2:$A$100,
[1]sales_teams!$B$2:$B$100)</f>
        <v>Dustin Brinkmann</v>
      </c>
      <c r="D1269" t="str">
        <f>_xlfn.XLOOKUP($B1269,sales_teams!$A$2:$A$36,sales_teams!C$2:C$36)</f>
        <v>Central</v>
      </c>
      <c r="E1269" t="s">
        <v>10</v>
      </c>
      <c r="F1269" t="s">
        <v>213</v>
      </c>
      <c r="G1269" t="s">
        <v>12</v>
      </c>
      <c r="H1269" s="1">
        <v>42797</v>
      </c>
      <c r="I1269" s="1">
        <v>42887</v>
      </c>
      <c r="J1269">
        <v>1020</v>
      </c>
    </row>
    <row r="1270" spans="1:10" x14ac:dyDescent="0.3">
      <c r="A1270" t="s">
        <v>1401</v>
      </c>
      <c r="B1270" t="s">
        <v>29</v>
      </c>
      <c r="C1270" t="str">
        <f>_xlfn.XLOOKUP(B1270,
[1]sales_teams!$A$2:$A$100,
[1]sales_teams!$B$2:$B$100)</f>
        <v>Celia Rouche</v>
      </c>
      <c r="D1270" t="str">
        <f>_xlfn.XLOOKUP($B1270,sales_teams!$A$2:$A$36,sales_teams!C$2:C$36)</f>
        <v>West</v>
      </c>
      <c r="E1270" t="s">
        <v>18</v>
      </c>
      <c r="G1270" t="s">
        <v>40</v>
      </c>
      <c r="H1270" s="1">
        <v>42797</v>
      </c>
    </row>
    <row r="1271" spans="1:10" x14ac:dyDescent="0.3">
      <c r="A1271" t="s">
        <v>1402</v>
      </c>
      <c r="B1271" t="s">
        <v>102</v>
      </c>
      <c r="C1271" t="str">
        <f>_xlfn.XLOOKUP(B1271,
[1]sales_teams!$A$2:$A$100,
[1]sales_teams!$B$2:$B$100)</f>
        <v>Cara Losch</v>
      </c>
      <c r="D1271" t="str">
        <f>_xlfn.XLOOKUP($B1271,sales_teams!$A$2:$A$36,sales_teams!C$2:C$36)</f>
        <v>East</v>
      </c>
      <c r="E1271" t="s">
        <v>48</v>
      </c>
      <c r="G1271" t="s">
        <v>40</v>
      </c>
      <c r="H1271" s="1">
        <v>42797</v>
      </c>
    </row>
    <row r="1272" spans="1:10" x14ac:dyDescent="0.3">
      <c r="A1272" t="s">
        <v>1403</v>
      </c>
      <c r="B1272" t="s">
        <v>23</v>
      </c>
      <c r="C1272" t="str">
        <f>_xlfn.XLOOKUP(B1272,
[1]sales_teams!$A$2:$A$100,
[1]sales_teams!$B$2:$B$100)</f>
        <v>Summer Sewald</v>
      </c>
      <c r="D1272" t="str">
        <f>_xlfn.XLOOKUP($B1272,sales_teams!$A$2:$A$36,sales_teams!C$2:C$36)</f>
        <v>West</v>
      </c>
      <c r="E1272" t="s">
        <v>20</v>
      </c>
      <c r="G1272" t="s">
        <v>40</v>
      </c>
      <c r="H1272" s="1">
        <v>42797</v>
      </c>
    </row>
    <row r="1273" spans="1:10" x14ac:dyDescent="0.3">
      <c r="A1273" t="s">
        <v>1404</v>
      </c>
      <c r="B1273" t="s">
        <v>23</v>
      </c>
      <c r="C1273" t="str">
        <f>_xlfn.XLOOKUP(B1273,
[1]sales_teams!$A$2:$A$100,
[1]sales_teams!$B$2:$B$100)</f>
        <v>Summer Sewald</v>
      </c>
      <c r="D1273" t="str">
        <f>_xlfn.XLOOKUP($B1273,sales_teams!$A$2:$A$36,sales_teams!C$2:C$36)</f>
        <v>West</v>
      </c>
      <c r="E1273" t="s">
        <v>20</v>
      </c>
      <c r="F1273" t="s">
        <v>100</v>
      </c>
      <c r="G1273" t="s">
        <v>12</v>
      </c>
      <c r="H1273" s="1">
        <v>42797</v>
      </c>
      <c r="I1273" s="1">
        <v>42866</v>
      </c>
      <c r="J1273">
        <v>535</v>
      </c>
    </row>
    <row r="1274" spans="1:10" x14ac:dyDescent="0.3">
      <c r="A1274" t="s">
        <v>1405</v>
      </c>
      <c r="B1274" t="s">
        <v>26</v>
      </c>
      <c r="C1274" t="str">
        <f>_xlfn.XLOOKUP(B1274,
[1]sales_teams!$A$2:$A$100,
[1]sales_teams!$B$2:$B$100)</f>
        <v>Dustin Brinkmann</v>
      </c>
      <c r="D1274" t="str">
        <f>_xlfn.XLOOKUP($B1274,sales_teams!$A$2:$A$36,sales_teams!C$2:C$36)</f>
        <v>Central</v>
      </c>
      <c r="E1274" t="s">
        <v>20</v>
      </c>
      <c r="F1274" t="s">
        <v>21</v>
      </c>
      <c r="G1274" t="s">
        <v>12</v>
      </c>
      <c r="H1274" s="1">
        <v>42798</v>
      </c>
      <c r="I1274" s="1">
        <v>42899</v>
      </c>
      <c r="J1274">
        <v>522</v>
      </c>
    </row>
    <row r="1275" spans="1:10" x14ac:dyDescent="0.3">
      <c r="A1275" t="s">
        <v>1406</v>
      </c>
      <c r="B1275" t="s">
        <v>26</v>
      </c>
      <c r="C1275" t="str">
        <f>_xlfn.XLOOKUP(B1275,
[1]sales_teams!$A$2:$A$100,
[1]sales_teams!$B$2:$B$100)</f>
        <v>Dustin Brinkmann</v>
      </c>
      <c r="D1275" t="str">
        <f>_xlfn.XLOOKUP($B1275,sales_teams!$A$2:$A$36,sales_teams!C$2:C$36)</f>
        <v>Central</v>
      </c>
      <c r="E1275" t="s">
        <v>20</v>
      </c>
      <c r="F1275" t="s">
        <v>151</v>
      </c>
      <c r="G1275" t="s">
        <v>12</v>
      </c>
      <c r="H1275" s="1">
        <v>42798</v>
      </c>
      <c r="I1275" s="1">
        <v>42869</v>
      </c>
      <c r="J1275">
        <v>544</v>
      </c>
    </row>
    <row r="1276" spans="1:10" x14ac:dyDescent="0.3">
      <c r="A1276" t="s">
        <v>1407</v>
      </c>
      <c r="B1276" t="s">
        <v>26</v>
      </c>
      <c r="C1276" t="str">
        <f>_xlfn.XLOOKUP(B1276,
[1]sales_teams!$A$2:$A$100,
[1]sales_teams!$B$2:$B$100)</f>
        <v>Dustin Brinkmann</v>
      </c>
      <c r="D1276" t="str">
        <f>_xlfn.XLOOKUP($B1276,sales_teams!$A$2:$A$36,sales_teams!C$2:C$36)</f>
        <v>Central</v>
      </c>
      <c r="E1276" t="s">
        <v>39</v>
      </c>
      <c r="F1276" t="s">
        <v>45</v>
      </c>
      <c r="G1276" t="s">
        <v>12</v>
      </c>
      <c r="H1276" s="1">
        <v>42798</v>
      </c>
      <c r="I1276" s="1">
        <v>42893</v>
      </c>
      <c r="J1276">
        <v>3081</v>
      </c>
    </row>
    <row r="1277" spans="1:10" x14ac:dyDescent="0.3">
      <c r="A1277" t="s">
        <v>1408</v>
      </c>
      <c r="B1277" t="s">
        <v>118</v>
      </c>
      <c r="C1277" t="str">
        <f>_xlfn.XLOOKUP(B1277,
[1]sales_teams!$A$2:$A$100,
[1]sales_teams!$B$2:$B$100)</f>
        <v>Rocco Neubert</v>
      </c>
      <c r="D1277" t="str">
        <f>_xlfn.XLOOKUP($B1277,sales_teams!$A$2:$A$36,sales_teams!C$2:C$36)</f>
        <v>East</v>
      </c>
      <c r="E1277" t="s">
        <v>39</v>
      </c>
      <c r="G1277" t="s">
        <v>40</v>
      </c>
      <c r="H1277" s="1">
        <v>42798</v>
      </c>
    </row>
    <row r="1278" spans="1:10" x14ac:dyDescent="0.3">
      <c r="A1278" t="s">
        <v>1409</v>
      </c>
      <c r="B1278" t="s">
        <v>202</v>
      </c>
      <c r="C1278" t="str">
        <f>_xlfn.XLOOKUP(B1278,
[1]sales_teams!$A$2:$A$100,
[1]sales_teams!$B$2:$B$100)</f>
        <v>Dustin Brinkmann</v>
      </c>
      <c r="D1278" t="str">
        <f>_xlfn.XLOOKUP($B1278,sales_teams!$A$2:$A$36,sales_teams!C$2:C$36)</f>
        <v>Central</v>
      </c>
      <c r="E1278" t="s">
        <v>18</v>
      </c>
      <c r="F1278" t="s">
        <v>91</v>
      </c>
      <c r="G1278" t="s">
        <v>12</v>
      </c>
      <c r="H1278" s="1">
        <v>42798</v>
      </c>
      <c r="I1278" s="1">
        <v>42873</v>
      </c>
      <c r="J1278">
        <v>51</v>
      </c>
    </row>
    <row r="1279" spans="1:10" x14ac:dyDescent="0.3">
      <c r="A1279" t="s">
        <v>1410</v>
      </c>
      <c r="B1279" t="s">
        <v>164</v>
      </c>
      <c r="C1279" t="str">
        <f>_xlfn.XLOOKUP(B1279,
[1]sales_teams!$A$2:$A$100,
[1]sales_teams!$B$2:$B$100)</f>
        <v>Cara Losch</v>
      </c>
      <c r="D1279" t="str">
        <f>_xlfn.XLOOKUP($B1279,sales_teams!$A$2:$A$36,sales_teams!C$2:C$36)</f>
        <v>East</v>
      </c>
      <c r="E1279" t="s">
        <v>10</v>
      </c>
      <c r="F1279" t="s">
        <v>373</v>
      </c>
      <c r="G1279" t="s">
        <v>46</v>
      </c>
      <c r="H1279" s="1">
        <v>42798</v>
      </c>
      <c r="I1279" s="1">
        <v>42864</v>
      </c>
      <c r="J1279">
        <v>0</v>
      </c>
    </row>
    <row r="1280" spans="1:10" x14ac:dyDescent="0.3">
      <c r="A1280" t="s">
        <v>1411</v>
      </c>
      <c r="B1280" t="s">
        <v>64</v>
      </c>
      <c r="C1280" t="str">
        <f>_xlfn.XLOOKUP(B1280,
[1]sales_teams!$A$2:$A$100,
[1]sales_teams!$B$2:$B$100)</f>
        <v>Rocco Neubert</v>
      </c>
      <c r="D1280" t="str">
        <f>_xlfn.XLOOKUP($B1280,sales_teams!$A$2:$A$36,sales_teams!C$2:C$36)</f>
        <v>East</v>
      </c>
      <c r="E1280" t="s">
        <v>20</v>
      </c>
      <c r="G1280" t="s">
        <v>40</v>
      </c>
      <c r="H1280" s="1">
        <v>42798</v>
      </c>
    </row>
    <row r="1281" spans="1:10" x14ac:dyDescent="0.3">
      <c r="A1281" t="s">
        <v>1412</v>
      </c>
      <c r="B1281" t="s">
        <v>64</v>
      </c>
      <c r="C1281" t="str">
        <f>_xlfn.XLOOKUP(B1281,
[1]sales_teams!$A$2:$A$100,
[1]sales_teams!$B$2:$B$100)</f>
        <v>Rocco Neubert</v>
      </c>
      <c r="D1281" t="str">
        <f>_xlfn.XLOOKUP($B1281,sales_teams!$A$2:$A$36,sales_teams!C$2:C$36)</f>
        <v>East</v>
      </c>
      <c r="E1281" t="s">
        <v>10</v>
      </c>
      <c r="F1281" t="s">
        <v>98</v>
      </c>
      <c r="G1281" t="s">
        <v>46</v>
      </c>
      <c r="H1281" s="1">
        <v>42798</v>
      </c>
      <c r="I1281" s="1">
        <v>42861</v>
      </c>
      <c r="J1281">
        <v>0</v>
      </c>
    </row>
    <row r="1282" spans="1:10" x14ac:dyDescent="0.3">
      <c r="A1282" t="s">
        <v>1413</v>
      </c>
      <c r="B1282" t="s">
        <v>14</v>
      </c>
      <c r="C1282" t="str">
        <f>_xlfn.XLOOKUP(B1282,
[1]sales_teams!$A$2:$A$100,
[1]sales_teams!$B$2:$B$100)</f>
        <v>Melvin Marxen</v>
      </c>
      <c r="D1282" t="str">
        <f>_xlfn.XLOOKUP($B1282,sales_teams!$A$2:$A$36,sales_teams!C$2:C$36)</f>
        <v>Central</v>
      </c>
      <c r="E1282" t="s">
        <v>10</v>
      </c>
      <c r="F1282" t="s">
        <v>492</v>
      </c>
      <c r="G1282" t="s">
        <v>12</v>
      </c>
      <c r="H1282" s="1">
        <v>42798</v>
      </c>
      <c r="I1282" s="1">
        <v>42814</v>
      </c>
      <c r="J1282">
        <v>1076</v>
      </c>
    </row>
    <row r="1283" spans="1:10" x14ac:dyDescent="0.3">
      <c r="A1283" t="s">
        <v>1414</v>
      </c>
      <c r="B1283" t="s">
        <v>38</v>
      </c>
      <c r="C1283" t="str">
        <f>_xlfn.XLOOKUP(B1283,
[1]sales_teams!$A$2:$A$100,
[1]sales_teams!$B$2:$B$100)</f>
        <v>Summer Sewald</v>
      </c>
      <c r="D1283" t="str">
        <f>_xlfn.XLOOKUP($B1283,sales_teams!$A$2:$A$36,sales_teams!C$2:C$36)</f>
        <v>West</v>
      </c>
      <c r="E1283" t="s">
        <v>39</v>
      </c>
      <c r="F1283" t="s">
        <v>159</v>
      </c>
      <c r="G1283" t="s">
        <v>12</v>
      </c>
      <c r="H1283" s="1">
        <v>42798</v>
      </c>
      <c r="I1283" s="1">
        <v>42864</v>
      </c>
      <c r="J1283">
        <v>3685</v>
      </c>
    </row>
    <row r="1284" spans="1:10" x14ac:dyDescent="0.3">
      <c r="A1284" t="s">
        <v>1415</v>
      </c>
      <c r="B1284" t="s">
        <v>252</v>
      </c>
      <c r="C1284" t="str">
        <f>_xlfn.XLOOKUP(B1284,
[1]sales_teams!$A$2:$A$100,
[1]sales_teams!$B$2:$B$100)</f>
        <v>Melvin Marxen</v>
      </c>
      <c r="D1284" t="str">
        <f>_xlfn.XLOOKUP($B1284,sales_teams!$A$2:$A$36,sales_teams!C$2:C$36)</f>
        <v>Central</v>
      </c>
      <c r="E1284" t="s">
        <v>10</v>
      </c>
      <c r="F1284" t="s">
        <v>315</v>
      </c>
      <c r="G1284" t="s">
        <v>46</v>
      </c>
      <c r="H1284" s="1">
        <v>42798</v>
      </c>
      <c r="I1284" s="1">
        <v>42868</v>
      </c>
      <c r="J1284">
        <v>0</v>
      </c>
    </row>
    <row r="1285" spans="1:10" x14ac:dyDescent="0.3">
      <c r="A1285" t="s">
        <v>1416</v>
      </c>
      <c r="B1285" t="s">
        <v>78</v>
      </c>
      <c r="C1285" t="str">
        <f>_xlfn.XLOOKUP(B1285,
[1]sales_teams!$A$2:$A$100,
[1]sales_teams!$B$2:$B$100)</f>
        <v>Summer Sewald</v>
      </c>
      <c r="D1285" t="str">
        <f>_xlfn.XLOOKUP($B1285,sales_teams!$A$2:$A$36,sales_teams!C$2:C$36)</f>
        <v>West</v>
      </c>
      <c r="E1285" t="s">
        <v>15</v>
      </c>
      <c r="F1285" t="s">
        <v>122</v>
      </c>
      <c r="G1285" t="s">
        <v>12</v>
      </c>
      <c r="H1285" s="1">
        <v>42798</v>
      </c>
      <c r="I1285" s="1">
        <v>42873</v>
      </c>
      <c r="J1285">
        <v>3997</v>
      </c>
    </row>
    <row r="1286" spans="1:10" x14ac:dyDescent="0.3">
      <c r="A1286" t="s">
        <v>1417</v>
      </c>
      <c r="B1286" t="s">
        <v>78</v>
      </c>
      <c r="C1286" t="str">
        <f>_xlfn.XLOOKUP(B1286,
[1]sales_teams!$A$2:$A$100,
[1]sales_teams!$B$2:$B$100)</f>
        <v>Summer Sewald</v>
      </c>
      <c r="D1286" t="str">
        <f>_xlfn.XLOOKUP($B1286,sales_teams!$A$2:$A$36,sales_teams!C$2:C$36)</f>
        <v>West</v>
      </c>
      <c r="E1286" t="s">
        <v>18</v>
      </c>
      <c r="F1286" t="s">
        <v>159</v>
      </c>
      <c r="G1286" t="s">
        <v>12</v>
      </c>
      <c r="H1286" s="1">
        <v>42798</v>
      </c>
      <c r="I1286" s="1">
        <v>42812</v>
      </c>
      <c r="J1286">
        <v>51</v>
      </c>
    </row>
    <row r="1287" spans="1:10" x14ac:dyDescent="0.3">
      <c r="A1287" t="s">
        <v>1418</v>
      </c>
      <c r="B1287" t="s">
        <v>78</v>
      </c>
      <c r="C1287" t="str">
        <f>_xlfn.XLOOKUP(B1287,
[1]sales_teams!$A$2:$A$100,
[1]sales_teams!$B$2:$B$100)</f>
        <v>Summer Sewald</v>
      </c>
      <c r="D1287" t="str">
        <f>_xlfn.XLOOKUP($B1287,sales_teams!$A$2:$A$36,sales_teams!C$2:C$36)</f>
        <v>West</v>
      </c>
      <c r="E1287" t="s">
        <v>39</v>
      </c>
      <c r="F1287" t="s">
        <v>49</v>
      </c>
      <c r="G1287" t="s">
        <v>12</v>
      </c>
      <c r="H1287" s="1">
        <v>42798</v>
      </c>
      <c r="I1287" s="1">
        <v>42815</v>
      </c>
      <c r="J1287">
        <v>3164</v>
      </c>
    </row>
    <row r="1288" spans="1:10" x14ac:dyDescent="0.3">
      <c r="A1288" t="s">
        <v>1419</v>
      </c>
      <c r="B1288" t="s">
        <v>133</v>
      </c>
      <c r="C1288" t="str">
        <f>_xlfn.XLOOKUP(B1288,
[1]sales_teams!$A$2:$A$100,
[1]sales_teams!$B$2:$B$100)</f>
        <v>Dustin Brinkmann</v>
      </c>
      <c r="D1288" t="str">
        <f>_xlfn.XLOOKUP($B1288,sales_teams!$A$2:$A$36,sales_teams!C$2:C$36)</f>
        <v>Central</v>
      </c>
      <c r="E1288" t="s">
        <v>20</v>
      </c>
      <c r="F1288" t="s">
        <v>135</v>
      </c>
      <c r="G1288" t="s">
        <v>12</v>
      </c>
      <c r="H1288" s="1">
        <v>42798</v>
      </c>
      <c r="I1288" s="1">
        <v>42908</v>
      </c>
      <c r="J1288">
        <v>496</v>
      </c>
    </row>
    <row r="1289" spans="1:10" x14ac:dyDescent="0.3">
      <c r="A1289" t="s">
        <v>1420</v>
      </c>
      <c r="B1289" t="s">
        <v>32</v>
      </c>
      <c r="C1289" t="str">
        <f>_xlfn.XLOOKUP(B1289,
[1]sales_teams!$A$2:$A$100,
[1]sales_teams!$B$2:$B$100)</f>
        <v>Celia Rouche</v>
      </c>
      <c r="D1289" t="str">
        <f>_xlfn.XLOOKUP($B1289,sales_teams!$A$2:$A$36,sales_teams!C$2:C$36)</f>
        <v>West</v>
      </c>
      <c r="E1289" t="s">
        <v>39</v>
      </c>
      <c r="F1289" t="s">
        <v>194</v>
      </c>
      <c r="G1289" t="s">
        <v>46</v>
      </c>
      <c r="H1289" s="1">
        <v>42798</v>
      </c>
      <c r="I1289" s="1">
        <v>42868</v>
      </c>
      <c r="J1289">
        <v>0</v>
      </c>
    </row>
    <row r="1290" spans="1:10" x14ac:dyDescent="0.3">
      <c r="A1290" t="s">
        <v>1421</v>
      </c>
      <c r="B1290" t="s">
        <v>116</v>
      </c>
      <c r="C1290" t="str">
        <f>_xlfn.XLOOKUP(B1290,
[1]sales_teams!$A$2:$A$100,
[1]sales_teams!$B$2:$B$100)</f>
        <v>Melvin Marxen</v>
      </c>
      <c r="D1290" t="str">
        <f>_xlfn.XLOOKUP($B1290,sales_teams!$A$2:$A$36,sales_teams!C$2:C$36)</f>
        <v>Central</v>
      </c>
      <c r="E1290" t="s">
        <v>20</v>
      </c>
      <c r="F1290" t="s">
        <v>111</v>
      </c>
      <c r="G1290" t="s">
        <v>12</v>
      </c>
      <c r="H1290" s="1">
        <v>42798</v>
      </c>
      <c r="I1290" s="1">
        <v>42820</v>
      </c>
      <c r="J1290">
        <v>579</v>
      </c>
    </row>
    <row r="1291" spans="1:10" x14ac:dyDescent="0.3">
      <c r="A1291" t="s">
        <v>1422</v>
      </c>
      <c r="B1291" t="s">
        <v>51</v>
      </c>
      <c r="C1291" t="str">
        <f>_xlfn.XLOOKUP(B1291,
[1]sales_teams!$A$2:$A$100,
[1]sales_teams!$B$2:$B$100)</f>
        <v>Summer Sewald</v>
      </c>
      <c r="D1291" t="str">
        <f>_xlfn.XLOOKUP($B1291,sales_teams!$A$2:$A$36,sales_teams!C$2:C$36)</f>
        <v>West</v>
      </c>
      <c r="E1291" t="s">
        <v>20</v>
      </c>
      <c r="F1291" t="s">
        <v>93</v>
      </c>
      <c r="G1291" t="s">
        <v>46</v>
      </c>
      <c r="H1291" s="1">
        <v>42798</v>
      </c>
      <c r="I1291" s="1">
        <v>42875</v>
      </c>
      <c r="J1291">
        <v>0</v>
      </c>
    </row>
    <row r="1292" spans="1:10" x14ac:dyDescent="0.3">
      <c r="A1292" t="s">
        <v>1423</v>
      </c>
      <c r="B1292" t="s">
        <v>35</v>
      </c>
      <c r="C1292" t="str">
        <f>_xlfn.XLOOKUP(B1292,
[1]sales_teams!$A$2:$A$100,
[1]sales_teams!$B$2:$B$100)</f>
        <v>Melvin Marxen</v>
      </c>
      <c r="D1292" t="str">
        <f>_xlfn.XLOOKUP($B1292,sales_teams!$A$2:$A$36,sales_teams!C$2:C$36)</f>
        <v>Central</v>
      </c>
      <c r="E1292" t="s">
        <v>15</v>
      </c>
      <c r="F1292" t="s">
        <v>42</v>
      </c>
      <c r="G1292" t="s">
        <v>46</v>
      </c>
      <c r="H1292" s="1">
        <v>42798</v>
      </c>
      <c r="I1292" s="1">
        <v>42857</v>
      </c>
      <c r="J1292">
        <v>0</v>
      </c>
    </row>
    <row r="1293" spans="1:10" x14ac:dyDescent="0.3">
      <c r="A1293" t="s">
        <v>1424</v>
      </c>
      <c r="B1293" t="s">
        <v>35</v>
      </c>
      <c r="C1293" t="str">
        <f>_xlfn.XLOOKUP(B1293,
[1]sales_teams!$A$2:$A$100,
[1]sales_teams!$B$2:$B$100)</f>
        <v>Melvin Marxen</v>
      </c>
      <c r="D1293" t="str">
        <f>_xlfn.XLOOKUP($B1293,sales_teams!$A$2:$A$36,sales_teams!C$2:C$36)</f>
        <v>Central</v>
      </c>
      <c r="E1293" t="s">
        <v>15</v>
      </c>
      <c r="F1293" t="s">
        <v>62</v>
      </c>
      <c r="G1293" t="s">
        <v>46</v>
      </c>
      <c r="H1293" s="1">
        <v>42798</v>
      </c>
      <c r="I1293" s="1">
        <v>42882</v>
      </c>
      <c r="J1293">
        <v>0</v>
      </c>
    </row>
    <row r="1294" spans="1:10" x14ac:dyDescent="0.3">
      <c r="A1294" t="s">
        <v>1425</v>
      </c>
      <c r="B1294" t="s">
        <v>97</v>
      </c>
      <c r="C1294" t="str">
        <f>_xlfn.XLOOKUP(B1294,
[1]sales_teams!$A$2:$A$100,
[1]sales_teams!$B$2:$B$100)</f>
        <v>Rocco Neubert</v>
      </c>
      <c r="D1294" t="str">
        <f>_xlfn.XLOOKUP($B1294,sales_teams!$A$2:$A$36,sales_teams!C$2:C$36)</f>
        <v>East</v>
      </c>
      <c r="E1294" t="s">
        <v>20</v>
      </c>
      <c r="F1294" t="s">
        <v>155</v>
      </c>
      <c r="G1294" t="s">
        <v>12</v>
      </c>
      <c r="H1294" s="1">
        <v>42798</v>
      </c>
      <c r="I1294" s="1">
        <v>42913</v>
      </c>
      <c r="J1294">
        <v>521</v>
      </c>
    </row>
    <row r="1295" spans="1:10" x14ac:dyDescent="0.3">
      <c r="A1295" t="s">
        <v>1426</v>
      </c>
      <c r="B1295" t="s">
        <v>97</v>
      </c>
      <c r="C1295" t="str">
        <f>_xlfn.XLOOKUP(B1295,
[1]sales_teams!$A$2:$A$100,
[1]sales_teams!$B$2:$B$100)</f>
        <v>Rocco Neubert</v>
      </c>
      <c r="D1295" t="str">
        <f>_xlfn.XLOOKUP($B1295,sales_teams!$A$2:$A$36,sales_teams!C$2:C$36)</f>
        <v>East</v>
      </c>
      <c r="E1295" t="s">
        <v>39</v>
      </c>
      <c r="F1295" t="s">
        <v>237</v>
      </c>
      <c r="G1295" t="s">
        <v>12</v>
      </c>
      <c r="H1295" s="1">
        <v>42798</v>
      </c>
      <c r="I1295" s="1">
        <v>42801</v>
      </c>
      <c r="J1295">
        <v>3889</v>
      </c>
    </row>
    <row r="1296" spans="1:10" x14ac:dyDescent="0.3">
      <c r="A1296" t="s">
        <v>1427</v>
      </c>
      <c r="B1296" t="s">
        <v>88</v>
      </c>
      <c r="C1296" t="str">
        <f>_xlfn.XLOOKUP(B1296,
[1]sales_teams!$A$2:$A$100,
[1]sales_teams!$B$2:$B$100)</f>
        <v>Cara Losch</v>
      </c>
      <c r="D1296" t="str">
        <f>_xlfn.XLOOKUP($B1296,sales_teams!$A$2:$A$36,sales_teams!C$2:C$36)</f>
        <v>East</v>
      </c>
      <c r="E1296" t="s">
        <v>39</v>
      </c>
      <c r="F1296" t="s">
        <v>215</v>
      </c>
      <c r="G1296" t="s">
        <v>12</v>
      </c>
      <c r="H1296" s="1">
        <v>42798</v>
      </c>
      <c r="I1296" s="1">
        <v>42806</v>
      </c>
      <c r="J1296">
        <v>3340</v>
      </c>
    </row>
    <row r="1297" spans="1:10" x14ac:dyDescent="0.3">
      <c r="A1297" t="s">
        <v>1428</v>
      </c>
      <c r="B1297" t="s">
        <v>61</v>
      </c>
      <c r="C1297" t="str">
        <f>_xlfn.XLOOKUP(B1297,
[1]sales_teams!$A$2:$A$100,
[1]sales_teams!$B$2:$B$100)</f>
        <v>Dustin Brinkmann</v>
      </c>
      <c r="D1297" t="str">
        <f>_xlfn.XLOOKUP($B1297,sales_teams!$A$2:$A$36,sales_teams!C$2:C$36)</f>
        <v>Central</v>
      </c>
      <c r="E1297" t="s">
        <v>18</v>
      </c>
      <c r="F1297" t="s">
        <v>129</v>
      </c>
      <c r="G1297" t="s">
        <v>46</v>
      </c>
      <c r="H1297" s="1">
        <v>42798</v>
      </c>
      <c r="I1297" s="1">
        <v>42814</v>
      </c>
      <c r="J1297">
        <v>0</v>
      </c>
    </row>
    <row r="1298" spans="1:10" x14ac:dyDescent="0.3">
      <c r="A1298" t="s">
        <v>1429</v>
      </c>
      <c r="B1298" t="s">
        <v>29</v>
      </c>
      <c r="C1298" t="str">
        <f>_xlfn.XLOOKUP(B1298,
[1]sales_teams!$A$2:$A$100,
[1]sales_teams!$B$2:$B$100)</f>
        <v>Celia Rouche</v>
      </c>
      <c r="D1298" t="str">
        <f>_xlfn.XLOOKUP($B1298,sales_teams!$A$2:$A$36,sales_teams!C$2:C$36)</f>
        <v>West</v>
      </c>
      <c r="E1298" t="s">
        <v>15</v>
      </c>
      <c r="F1298" t="s">
        <v>33</v>
      </c>
      <c r="G1298" t="s">
        <v>46</v>
      </c>
      <c r="H1298" s="1">
        <v>42798</v>
      </c>
      <c r="I1298" s="1">
        <v>42866</v>
      </c>
      <c r="J1298">
        <v>0</v>
      </c>
    </row>
    <row r="1299" spans="1:10" x14ac:dyDescent="0.3">
      <c r="A1299" t="s">
        <v>1430</v>
      </c>
      <c r="B1299" t="s">
        <v>23</v>
      </c>
      <c r="C1299" t="str">
        <f>_xlfn.XLOOKUP(B1299,
[1]sales_teams!$A$2:$A$100,
[1]sales_teams!$B$2:$B$100)</f>
        <v>Summer Sewald</v>
      </c>
      <c r="D1299" t="str">
        <f>_xlfn.XLOOKUP($B1299,sales_teams!$A$2:$A$36,sales_teams!C$2:C$36)</f>
        <v>West</v>
      </c>
      <c r="E1299" t="s">
        <v>15</v>
      </c>
      <c r="F1299" t="s">
        <v>98</v>
      </c>
      <c r="G1299" t="s">
        <v>40</v>
      </c>
      <c r="H1299" s="1">
        <v>42798</v>
      </c>
    </row>
    <row r="1300" spans="1:10" x14ac:dyDescent="0.3">
      <c r="A1300" t="s">
        <v>1431</v>
      </c>
      <c r="B1300" t="s">
        <v>23</v>
      </c>
      <c r="C1300" t="str">
        <f>_xlfn.XLOOKUP(B1300,
[1]sales_teams!$A$2:$A$100,
[1]sales_teams!$B$2:$B$100)</f>
        <v>Summer Sewald</v>
      </c>
      <c r="D1300" t="str">
        <f>_xlfn.XLOOKUP($B1300,sales_teams!$A$2:$A$36,sales_teams!C$2:C$36)</f>
        <v>West</v>
      </c>
      <c r="E1300" t="s">
        <v>15</v>
      </c>
      <c r="G1300" t="s">
        <v>40</v>
      </c>
      <c r="H1300" s="1">
        <v>42798</v>
      </c>
    </row>
    <row r="1301" spans="1:10" x14ac:dyDescent="0.3">
      <c r="A1301" t="s">
        <v>1432</v>
      </c>
      <c r="B1301" t="s">
        <v>23</v>
      </c>
      <c r="C1301" t="str">
        <f>_xlfn.XLOOKUP(B1301,
[1]sales_teams!$A$2:$A$100,
[1]sales_teams!$B$2:$B$100)</f>
        <v>Summer Sewald</v>
      </c>
      <c r="D1301" t="str">
        <f>_xlfn.XLOOKUP($B1301,sales_teams!$A$2:$A$36,sales_teams!C$2:C$36)</f>
        <v>West</v>
      </c>
      <c r="E1301" t="s">
        <v>15</v>
      </c>
      <c r="F1301" t="s">
        <v>313</v>
      </c>
      <c r="G1301" t="s">
        <v>12</v>
      </c>
      <c r="H1301" s="1">
        <v>42798</v>
      </c>
      <c r="I1301" s="1">
        <v>42897</v>
      </c>
      <c r="J1301">
        <v>5876</v>
      </c>
    </row>
    <row r="1302" spans="1:10" x14ac:dyDescent="0.3">
      <c r="A1302" t="s">
        <v>1433</v>
      </c>
      <c r="B1302" t="s">
        <v>26</v>
      </c>
      <c r="C1302" t="str">
        <f>_xlfn.XLOOKUP(B1302,
[1]sales_teams!$A$2:$A$100,
[1]sales_teams!$B$2:$B$100)</f>
        <v>Dustin Brinkmann</v>
      </c>
      <c r="D1302" t="str">
        <f>_xlfn.XLOOKUP($B1302,sales_teams!$A$2:$A$36,sales_teams!C$2:C$36)</f>
        <v>Central</v>
      </c>
      <c r="E1302" t="s">
        <v>48</v>
      </c>
      <c r="F1302" t="s">
        <v>170</v>
      </c>
      <c r="G1302" t="s">
        <v>12</v>
      </c>
      <c r="H1302" s="1">
        <v>42799</v>
      </c>
      <c r="I1302" s="1">
        <v>42884</v>
      </c>
      <c r="J1302">
        <v>5092</v>
      </c>
    </row>
    <row r="1303" spans="1:10" x14ac:dyDescent="0.3">
      <c r="A1303" t="s">
        <v>1434</v>
      </c>
      <c r="B1303" t="s">
        <v>139</v>
      </c>
      <c r="C1303" t="str">
        <f>_xlfn.XLOOKUP(B1303,
[1]sales_teams!$A$2:$A$100,
[1]sales_teams!$B$2:$B$100)</f>
        <v>Rocco Neubert</v>
      </c>
      <c r="D1303" t="str">
        <f>_xlfn.XLOOKUP($B1303,sales_teams!$A$2:$A$36,sales_teams!C$2:C$36)</f>
        <v>East</v>
      </c>
      <c r="E1303" t="s">
        <v>10</v>
      </c>
      <c r="F1303" t="s">
        <v>222</v>
      </c>
      <c r="G1303" t="s">
        <v>46</v>
      </c>
      <c r="H1303" s="1">
        <v>42799</v>
      </c>
      <c r="I1303" s="1">
        <v>42864</v>
      </c>
      <c r="J1303">
        <v>0</v>
      </c>
    </row>
    <row r="1304" spans="1:10" x14ac:dyDescent="0.3">
      <c r="A1304" t="s">
        <v>1435</v>
      </c>
      <c r="B1304" t="s">
        <v>118</v>
      </c>
      <c r="C1304" t="str">
        <f>_xlfn.XLOOKUP(B1304,
[1]sales_teams!$A$2:$A$100,
[1]sales_teams!$B$2:$B$100)</f>
        <v>Rocco Neubert</v>
      </c>
      <c r="D1304" t="str">
        <f>_xlfn.XLOOKUP($B1304,sales_teams!$A$2:$A$36,sales_teams!C$2:C$36)</f>
        <v>East</v>
      </c>
      <c r="E1304" t="s">
        <v>39</v>
      </c>
      <c r="G1304" t="s">
        <v>40</v>
      </c>
      <c r="H1304" s="1">
        <v>42799</v>
      </c>
    </row>
    <row r="1305" spans="1:10" x14ac:dyDescent="0.3">
      <c r="A1305" t="s">
        <v>1436</v>
      </c>
      <c r="B1305" t="s">
        <v>64</v>
      </c>
      <c r="C1305" t="str">
        <f>_xlfn.XLOOKUP(B1305,
[1]sales_teams!$A$2:$A$100,
[1]sales_teams!$B$2:$B$100)</f>
        <v>Rocco Neubert</v>
      </c>
      <c r="D1305" t="str">
        <f>_xlfn.XLOOKUP($B1305,sales_teams!$A$2:$A$36,sales_teams!C$2:C$36)</f>
        <v>East</v>
      </c>
      <c r="E1305" t="s">
        <v>20</v>
      </c>
      <c r="G1305" t="s">
        <v>40</v>
      </c>
      <c r="H1305" s="1">
        <v>42799</v>
      </c>
    </row>
    <row r="1306" spans="1:10" x14ac:dyDescent="0.3">
      <c r="A1306" t="s">
        <v>1437</v>
      </c>
      <c r="B1306" t="s">
        <v>64</v>
      </c>
      <c r="C1306" t="str">
        <f>_xlfn.XLOOKUP(B1306,
[1]sales_teams!$A$2:$A$100,
[1]sales_teams!$B$2:$B$100)</f>
        <v>Rocco Neubert</v>
      </c>
      <c r="D1306" t="str">
        <f>_xlfn.XLOOKUP($B1306,sales_teams!$A$2:$A$36,sales_teams!C$2:C$36)</f>
        <v>East</v>
      </c>
      <c r="E1306" t="s">
        <v>10</v>
      </c>
      <c r="F1306" t="s">
        <v>98</v>
      </c>
      <c r="G1306" t="s">
        <v>12</v>
      </c>
      <c r="H1306" s="1">
        <v>42799</v>
      </c>
      <c r="I1306" s="1">
        <v>42894</v>
      </c>
      <c r="J1306">
        <v>966</v>
      </c>
    </row>
    <row r="1307" spans="1:10" x14ac:dyDescent="0.3">
      <c r="A1307" t="s">
        <v>1438</v>
      </c>
      <c r="B1307" t="s">
        <v>64</v>
      </c>
      <c r="C1307" t="str">
        <f>_xlfn.XLOOKUP(B1307,
[1]sales_teams!$A$2:$A$100,
[1]sales_teams!$B$2:$B$100)</f>
        <v>Rocco Neubert</v>
      </c>
      <c r="D1307" t="str">
        <f>_xlfn.XLOOKUP($B1307,sales_teams!$A$2:$A$36,sales_teams!C$2:C$36)</f>
        <v>East</v>
      </c>
      <c r="E1307" t="s">
        <v>48</v>
      </c>
      <c r="F1307" t="s">
        <v>140</v>
      </c>
      <c r="G1307" t="s">
        <v>12</v>
      </c>
      <c r="H1307" s="1">
        <v>42799</v>
      </c>
      <c r="I1307" s="1">
        <v>42815</v>
      </c>
      <c r="J1307">
        <v>6024</v>
      </c>
    </row>
    <row r="1308" spans="1:10" x14ac:dyDescent="0.3">
      <c r="A1308" t="s">
        <v>1439</v>
      </c>
      <c r="B1308" t="s">
        <v>64</v>
      </c>
      <c r="C1308" t="str">
        <f>_xlfn.XLOOKUP(B1308,
[1]sales_teams!$A$2:$A$100,
[1]sales_teams!$B$2:$B$100)</f>
        <v>Rocco Neubert</v>
      </c>
      <c r="D1308" t="str">
        <f>_xlfn.XLOOKUP($B1308,sales_teams!$A$2:$A$36,sales_teams!C$2:C$36)</f>
        <v>East</v>
      </c>
      <c r="E1308" t="s">
        <v>39</v>
      </c>
      <c r="F1308" t="s">
        <v>218</v>
      </c>
      <c r="G1308" t="s">
        <v>12</v>
      </c>
      <c r="H1308" s="1">
        <v>42799</v>
      </c>
      <c r="I1308" s="1">
        <v>42808</v>
      </c>
      <c r="J1308">
        <v>3759</v>
      </c>
    </row>
    <row r="1309" spans="1:10" x14ac:dyDescent="0.3">
      <c r="A1309" t="s">
        <v>1440</v>
      </c>
      <c r="B1309" t="s">
        <v>14</v>
      </c>
      <c r="C1309" t="str">
        <f>_xlfn.XLOOKUP(B1309,
[1]sales_teams!$A$2:$A$100,
[1]sales_teams!$B$2:$B$100)</f>
        <v>Melvin Marxen</v>
      </c>
      <c r="D1309" t="str">
        <f>_xlfn.XLOOKUP($B1309,sales_teams!$A$2:$A$36,sales_teams!C$2:C$36)</f>
        <v>Central</v>
      </c>
      <c r="E1309" t="s">
        <v>15</v>
      </c>
      <c r="F1309" t="s">
        <v>492</v>
      </c>
      <c r="G1309" t="s">
        <v>46</v>
      </c>
      <c r="H1309" s="1">
        <v>42799</v>
      </c>
      <c r="I1309" s="1">
        <v>42879</v>
      </c>
      <c r="J1309">
        <v>0</v>
      </c>
    </row>
    <row r="1310" spans="1:10" x14ac:dyDescent="0.3">
      <c r="A1310" t="s">
        <v>1441</v>
      </c>
      <c r="B1310" t="s">
        <v>142</v>
      </c>
      <c r="C1310" t="str">
        <f>_xlfn.XLOOKUP(B1310,
[1]sales_teams!$A$2:$A$100,
[1]sales_teams!$B$2:$B$100)</f>
        <v>Rocco Neubert</v>
      </c>
      <c r="D1310" t="str">
        <f>_xlfn.XLOOKUP($B1310,sales_teams!$A$2:$A$36,sales_teams!C$2:C$36)</f>
        <v>East</v>
      </c>
      <c r="E1310" t="s">
        <v>15</v>
      </c>
      <c r="F1310" t="s">
        <v>209</v>
      </c>
      <c r="G1310" t="s">
        <v>12</v>
      </c>
      <c r="H1310" s="1">
        <v>42799</v>
      </c>
      <c r="I1310" s="1">
        <v>42817</v>
      </c>
      <c r="J1310">
        <v>4443</v>
      </c>
    </row>
    <row r="1311" spans="1:10" x14ac:dyDescent="0.3">
      <c r="A1311" t="s">
        <v>1442</v>
      </c>
      <c r="B1311" t="s">
        <v>54</v>
      </c>
      <c r="C1311" t="str">
        <f>_xlfn.XLOOKUP(B1311,
[1]sales_teams!$A$2:$A$100,
[1]sales_teams!$B$2:$B$100)</f>
        <v>Celia Rouche</v>
      </c>
      <c r="D1311" t="str">
        <f>_xlfn.XLOOKUP($B1311,sales_teams!$A$2:$A$36,sales_teams!C$2:C$36)</f>
        <v>West</v>
      </c>
      <c r="E1311" t="s">
        <v>39</v>
      </c>
      <c r="F1311" t="s">
        <v>33</v>
      </c>
      <c r="G1311" t="s">
        <v>12</v>
      </c>
      <c r="H1311" s="1">
        <v>42799</v>
      </c>
      <c r="I1311" s="1">
        <v>42914</v>
      </c>
      <c r="J1311">
        <v>3397</v>
      </c>
    </row>
    <row r="1312" spans="1:10" x14ac:dyDescent="0.3">
      <c r="A1312" t="s">
        <v>1443</v>
      </c>
      <c r="B1312" t="s">
        <v>38</v>
      </c>
      <c r="C1312" t="str">
        <f>_xlfn.XLOOKUP(B1312,
[1]sales_teams!$A$2:$A$100,
[1]sales_teams!$B$2:$B$100)</f>
        <v>Summer Sewald</v>
      </c>
      <c r="D1312" t="str">
        <f>_xlfn.XLOOKUP($B1312,sales_teams!$A$2:$A$36,sales_teams!C$2:C$36)</f>
        <v>West</v>
      </c>
      <c r="E1312" t="s">
        <v>48</v>
      </c>
      <c r="F1312" t="s">
        <v>273</v>
      </c>
      <c r="G1312" t="s">
        <v>46</v>
      </c>
      <c r="H1312" s="1">
        <v>42799</v>
      </c>
      <c r="I1312" s="1">
        <v>42809</v>
      </c>
      <c r="J1312">
        <v>0</v>
      </c>
    </row>
    <row r="1313" spans="1:10" x14ac:dyDescent="0.3">
      <c r="A1313" t="s">
        <v>1444</v>
      </c>
      <c r="B1313" t="s">
        <v>38</v>
      </c>
      <c r="C1313" t="str">
        <f>_xlfn.XLOOKUP(B1313,
[1]sales_teams!$A$2:$A$100,
[1]sales_teams!$B$2:$B$100)</f>
        <v>Summer Sewald</v>
      </c>
      <c r="D1313" t="str">
        <f>_xlfn.XLOOKUP($B1313,sales_teams!$A$2:$A$36,sales_teams!C$2:C$36)</f>
        <v>West</v>
      </c>
      <c r="E1313" t="s">
        <v>18</v>
      </c>
      <c r="F1313" t="s">
        <v>49</v>
      </c>
      <c r="G1313" t="s">
        <v>46</v>
      </c>
      <c r="H1313" s="1">
        <v>42799</v>
      </c>
      <c r="I1313" s="1">
        <v>42869</v>
      </c>
      <c r="J1313">
        <v>0</v>
      </c>
    </row>
    <row r="1314" spans="1:10" x14ac:dyDescent="0.3">
      <c r="A1314" t="s">
        <v>1445</v>
      </c>
      <c r="B1314" t="s">
        <v>252</v>
      </c>
      <c r="C1314" t="str">
        <f>_xlfn.XLOOKUP(B1314,
[1]sales_teams!$A$2:$A$100,
[1]sales_teams!$B$2:$B$100)</f>
        <v>Melvin Marxen</v>
      </c>
      <c r="D1314" t="str">
        <f>_xlfn.XLOOKUP($B1314,sales_teams!$A$2:$A$36,sales_teams!C$2:C$36)</f>
        <v>Central</v>
      </c>
      <c r="E1314" t="s">
        <v>18</v>
      </c>
      <c r="F1314" t="s">
        <v>207</v>
      </c>
      <c r="G1314" t="s">
        <v>12</v>
      </c>
      <c r="H1314" s="1">
        <v>42799</v>
      </c>
      <c r="I1314" s="1">
        <v>42860</v>
      </c>
      <c r="J1314">
        <v>59</v>
      </c>
    </row>
    <row r="1315" spans="1:10" x14ac:dyDescent="0.3">
      <c r="A1315" t="s">
        <v>1446</v>
      </c>
      <c r="B1315" t="s">
        <v>78</v>
      </c>
      <c r="C1315" t="str">
        <f>_xlfn.XLOOKUP(B1315,
[1]sales_teams!$A$2:$A$100,
[1]sales_teams!$B$2:$B$100)</f>
        <v>Summer Sewald</v>
      </c>
      <c r="D1315" t="str">
        <f>_xlfn.XLOOKUP($B1315,sales_teams!$A$2:$A$36,sales_teams!C$2:C$36)</f>
        <v>West</v>
      </c>
      <c r="E1315" t="s">
        <v>20</v>
      </c>
      <c r="G1315" t="s">
        <v>40</v>
      </c>
      <c r="H1315" s="1">
        <v>42799</v>
      </c>
    </row>
    <row r="1316" spans="1:10" x14ac:dyDescent="0.3">
      <c r="A1316" t="s">
        <v>1447</v>
      </c>
      <c r="B1316" t="s">
        <v>133</v>
      </c>
      <c r="C1316" t="str">
        <f>_xlfn.XLOOKUP(B1316,
[1]sales_teams!$A$2:$A$100,
[1]sales_teams!$B$2:$B$100)</f>
        <v>Dustin Brinkmann</v>
      </c>
      <c r="D1316" t="str">
        <f>_xlfn.XLOOKUP($B1316,sales_teams!$A$2:$A$36,sales_teams!C$2:C$36)</f>
        <v>Central</v>
      </c>
      <c r="E1316" t="s">
        <v>20</v>
      </c>
      <c r="F1316" t="s">
        <v>11</v>
      </c>
      <c r="G1316" t="s">
        <v>46</v>
      </c>
      <c r="H1316" s="1">
        <v>42799</v>
      </c>
      <c r="I1316" s="1">
        <v>42867</v>
      </c>
      <c r="J1316">
        <v>0</v>
      </c>
    </row>
    <row r="1317" spans="1:10" x14ac:dyDescent="0.3">
      <c r="A1317" t="s">
        <v>1448</v>
      </c>
      <c r="B1317" t="s">
        <v>133</v>
      </c>
      <c r="C1317" t="str">
        <f>_xlfn.XLOOKUP(B1317,
[1]sales_teams!$A$2:$A$100,
[1]sales_teams!$B$2:$B$100)</f>
        <v>Dustin Brinkmann</v>
      </c>
      <c r="D1317" t="str">
        <f>_xlfn.XLOOKUP($B1317,sales_teams!$A$2:$A$36,sales_teams!C$2:C$36)</f>
        <v>Central</v>
      </c>
      <c r="E1317" t="s">
        <v>20</v>
      </c>
      <c r="F1317" t="s">
        <v>91</v>
      </c>
      <c r="G1317" t="s">
        <v>46</v>
      </c>
      <c r="H1317" s="1">
        <v>42799</v>
      </c>
      <c r="I1317" s="1">
        <v>42876</v>
      </c>
      <c r="J1317">
        <v>0</v>
      </c>
    </row>
    <row r="1318" spans="1:10" x14ac:dyDescent="0.3">
      <c r="A1318" t="s">
        <v>1449</v>
      </c>
      <c r="B1318" t="s">
        <v>133</v>
      </c>
      <c r="C1318" t="str">
        <f>_xlfn.XLOOKUP(B1318,
[1]sales_teams!$A$2:$A$100,
[1]sales_teams!$B$2:$B$100)</f>
        <v>Dustin Brinkmann</v>
      </c>
      <c r="D1318" t="str">
        <f>_xlfn.XLOOKUP($B1318,sales_teams!$A$2:$A$36,sales_teams!C$2:C$36)</f>
        <v>Central</v>
      </c>
      <c r="E1318" t="s">
        <v>20</v>
      </c>
      <c r="F1318" t="s">
        <v>151</v>
      </c>
      <c r="G1318" t="s">
        <v>12</v>
      </c>
      <c r="H1318" s="1">
        <v>42799</v>
      </c>
      <c r="I1318" s="1">
        <v>42892</v>
      </c>
      <c r="J1318">
        <v>494</v>
      </c>
    </row>
    <row r="1319" spans="1:10" x14ac:dyDescent="0.3">
      <c r="A1319" t="s">
        <v>1450</v>
      </c>
      <c r="B1319" t="s">
        <v>133</v>
      </c>
      <c r="C1319" t="str">
        <f>_xlfn.XLOOKUP(B1319,
[1]sales_teams!$A$2:$A$100,
[1]sales_teams!$B$2:$B$100)</f>
        <v>Dustin Brinkmann</v>
      </c>
      <c r="D1319" t="str">
        <f>_xlfn.XLOOKUP($B1319,sales_teams!$A$2:$A$36,sales_teams!C$2:C$36)</f>
        <v>Central</v>
      </c>
      <c r="E1319" t="s">
        <v>10</v>
      </c>
      <c r="F1319" t="s">
        <v>21</v>
      </c>
      <c r="G1319" t="s">
        <v>12</v>
      </c>
      <c r="H1319" s="1">
        <v>42799</v>
      </c>
      <c r="I1319" s="1">
        <v>42871</v>
      </c>
      <c r="J1319">
        <v>1060</v>
      </c>
    </row>
    <row r="1320" spans="1:10" x14ac:dyDescent="0.3">
      <c r="A1320" t="s">
        <v>1451</v>
      </c>
      <c r="B1320" t="s">
        <v>32</v>
      </c>
      <c r="C1320" t="str">
        <f>_xlfn.XLOOKUP(B1320,
[1]sales_teams!$A$2:$A$100,
[1]sales_teams!$B$2:$B$100)</f>
        <v>Celia Rouche</v>
      </c>
      <c r="D1320" t="str">
        <f>_xlfn.XLOOKUP($B1320,sales_teams!$A$2:$A$36,sales_teams!C$2:C$36)</f>
        <v>West</v>
      </c>
      <c r="E1320" t="s">
        <v>18</v>
      </c>
      <c r="F1320" t="s">
        <v>313</v>
      </c>
      <c r="G1320" t="s">
        <v>40</v>
      </c>
      <c r="H1320" s="1">
        <v>42799</v>
      </c>
    </row>
    <row r="1321" spans="1:10" x14ac:dyDescent="0.3">
      <c r="A1321" t="s">
        <v>1452</v>
      </c>
      <c r="B1321" t="s">
        <v>116</v>
      </c>
      <c r="C1321" t="str">
        <f>_xlfn.XLOOKUP(B1321,
[1]sales_teams!$A$2:$A$100,
[1]sales_teams!$B$2:$B$100)</f>
        <v>Melvin Marxen</v>
      </c>
      <c r="D1321" t="str">
        <f>_xlfn.XLOOKUP($B1321,sales_teams!$A$2:$A$36,sales_teams!C$2:C$36)</f>
        <v>Central</v>
      </c>
      <c r="E1321" t="s">
        <v>18</v>
      </c>
      <c r="F1321" t="s">
        <v>231</v>
      </c>
      <c r="G1321" t="s">
        <v>46</v>
      </c>
      <c r="H1321" s="1">
        <v>42799</v>
      </c>
      <c r="I1321" s="1">
        <v>42881</v>
      </c>
      <c r="J1321">
        <v>0</v>
      </c>
    </row>
    <row r="1322" spans="1:10" x14ac:dyDescent="0.3">
      <c r="A1322" t="s">
        <v>1453</v>
      </c>
      <c r="B1322" t="s">
        <v>88</v>
      </c>
      <c r="C1322" t="str">
        <f>_xlfn.XLOOKUP(B1322,
[1]sales_teams!$A$2:$A$100,
[1]sales_teams!$B$2:$B$100)</f>
        <v>Cara Losch</v>
      </c>
      <c r="D1322" t="str">
        <f>_xlfn.XLOOKUP($B1322,sales_teams!$A$2:$A$36,sales_teams!C$2:C$36)</f>
        <v>East</v>
      </c>
      <c r="E1322" t="s">
        <v>18</v>
      </c>
      <c r="F1322" t="s">
        <v>165</v>
      </c>
      <c r="G1322" t="s">
        <v>40</v>
      </c>
      <c r="H1322" s="1">
        <v>42799</v>
      </c>
    </row>
    <row r="1323" spans="1:10" x14ac:dyDescent="0.3">
      <c r="A1323" t="s">
        <v>1454</v>
      </c>
      <c r="B1323" t="s">
        <v>88</v>
      </c>
      <c r="C1323" t="str">
        <f>_xlfn.XLOOKUP(B1323,
[1]sales_teams!$A$2:$A$100,
[1]sales_teams!$B$2:$B$100)</f>
        <v>Cara Losch</v>
      </c>
      <c r="D1323" t="str">
        <f>_xlfn.XLOOKUP($B1323,sales_teams!$A$2:$A$36,sales_teams!C$2:C$36)</f>
        <v>East</v>
      </c>
      <c r="E1323" t="s">
        <v>18</v>
      </c>
      <c r="F1323" t="s">
        <v>74</v>
      </c>
      <c r="G1323" t="s">
        <v>46</v>
      </c>
      <c r="H1323" s="1">
        <v>42799</v>
      </c>
      <c r="I1323" s="1">
        <v>42874</v>
      </c>
      <c r="J1323">
        <v>0</v>
      </c>
    </row>
    <row r="1324" spans="1:10" x14ac:dyDescent="0.3">
      <c r="A1324" t="s">
        <v>1455</v>
      </c>
      <c r="B1324" t="s">
        <v>61</v>
      </c>
      <c r="C1324" t="str">
        <f>_xlfn.XLOOKUP(B1324,
[1]sales_teams!$A$2:$A$100,
[1]sales_teams!$B$2:$B$100)</f>
        <v>Dustin Brinkmann</v>
      </c>
      <c r="D1324" t="str">
        <f>_xlfn.XLOOKUP($B1324,sales_teams!$A$2:$A$36,sales_teams!C$2:C$36)</f>
        <v>Central</v>
      </c>
      <c r="E1324" t="s">
        <v>20</v>
      </c>
      <c r="F1324" t="s">
        <v>207</v>
      </c>
      <c r="G1324" t="s">
        <v>46</v>
      </c>
      <c r="H1324" s="1">
        <v>42799</v>
      </c>
      <c r="I1324" s="1">
        <v>42885</v>
      </c>
      <c r="J1324">
        <v>0</v>
      </c>
    </row>
    <row r="1325" spans="1:10" x14ac:dyDescent="0.3">
      <c r="A1325" t="s">
        <v>1456</v>
      </c>
      <c r="B1325" t="s">
        <v>29</v>
      </c>
      <c r="C1325" t="str">
        <f>_xlfn.XLOOKUP(B1325,
[1]sales_teams!$A$2:$A$100,
[1]sales_teams!$B$2:$B$100)</f>
        <v>Celia Rouche</v>
      </c>
      <c r="D1325" t="str">
        <f>_xlfn.XLOOKUP($B1325,sales_teams!$A$2:$A$36,sales_teams!C$2:C$36)</f>
        <v>West</v>
      </c>
      <c r="E1325" t="s">
        <v>20</v>
      </c>
      <c r="F1325" t="s">
        <v>194</v>
      </c>
      <c r="G1325" t="s">
        <v>12</v>
      </c>
      <c r="H1325" s="1">
        <v>42799</v>
      </c>
      <c r="I1325" s="1">
        <v>42866</v>
      </c>
      <c r="J1325">
        <v>624</v>
      </c>
    </row>
    <row r="1326" spans="1:10" x14ac:dyDescent="0.3">
      <c r="A1326" t="s">
        <v>1457</v>
      </c>
      <c r="B1326" t="s">
        <v>29</v>
      </c>
      <c r="C1326" t="str">
        <f>_xlfn.XLOOKUP(B1326,
[1]sales_teams!$A$2:$A$100,
[1]sales_teams!$B$2:$B$100)</f>
        <v>Celia Rouche</v>
      </c>
      <c r="D1326" t="str">
        <f>_xlfn.XLOOKUP($B1326,sales_teams!$A$2:$A$36,sales_teams!C$2:C$36)</f>
        <v>West</v>
      </c>
      <c r="E1326" t="s">
        <v>20</v>
      </c>
      <c r="F1326" t="s">
        <v>148</v>
      </c>
      <c r="G1326" t="s">
        <v>12</v>
      </c>
      <c r="H1326" s="1">
        <v>42799</v>
      </c>
      <c r="I1326" s="1">
        <v>42863</v>
      </c>
      <c r="J1326">
        <v>565</v>
      </c>
    </row>
    <row r="1327" spans="1:10" x14ac:dyDescent="0.3">
      <c r="A1327" t="s">
        <v>1458</v>
      </c>
      <c r="B1327" t="s">
        <v>29</v>
      </c>
      <c r="C1327" t="str">
        <f>_xlfn.XLOOKUP(B1327,
[1]sales_teams!$A$2:$A$100,
[1]sales_teams!$B$2:$B$100)</f>
        <v>Celia Rouche</v>
      </c>
      <c r="D1327" t="str">
        <f>_xlfn.XLOOKUP($B1327,sales_teams!$A$2:$A$36,sales_teams!C$2:C$36)</f>
        <v>West</v>
      </c>
      <c r="E1327" t="s">
        <v>20</v>
      </c>
      <c r="F1327" t="s">
        <v>199</v>
      </c>
      <c r="G1327" t="s">
        <v>12</v>
      </c>
      <c r="H1327" s="1">
        <v>42799</v>
      </c>
      <c r="I1327" s="1">
        <v>42900</v>
      </c>
      <c r="J1327">
        <v>642</v>
      </c>
    </row>
    <row r="1328" spans="1:10" x14ac:dyDescent="0.3">
      <c r="A1328" t="s">
        <v>1459</v>
      </c>
      <c r="B1328" t="s">
        <v>73</v>
      </c>
      <c r="C1328" t="str">
        <f>_xlfn.XLOOKUP(B1328,
[1]sales_teams!$A$2:$A$100,
[1]sales_teams!$B$2:$B$100)</f>
        <v>Cara Losch</v>
      </c>
      <c r="D1328" t="str">
        <f>_xlfn.XLOOKUP($B1328,sales_teams!$A$2:$A$36,sales_teams!C$2:C$36)</f>
        <v>East</v>
      </c>
      <c r="E1328" t="s">
        <v>39</v>
      </c>
      <c r="F1328" t="s">
        <v>555</v>
      </c>
      <c r="G1328" t="s">
        <v>40</v>
      </c>
      <c r="H1328" s="1">
        <v>42799</v>
      </c>
    </row>
    <row r="1329" spans="1:10" x14ac:dyDescent="0.3">
      <c r="A1329" t="s">
        <v>1460</v>
      </c>
      <c r="B1329" t="s">
        <v>73</v>
      </c>
      <c r="C1329" t="str">
        <f>_xlfn.XLOOKUP(B1329,
[1]sales_teams!$A$2:$A$100,
[1]sales_teams!$B$2:$B$100)</f>
        <v>Cara Losch</v>
      </c>
      <c r="D1329" t="str">
        <f>_xlfn.XLOOKUP($B1329,sales_teams!$A$2:$A$36,sales_teams!C$2:C$36)</f>
        <v>East</v>
      </c>
      <c r="E1329" t="s">
        <v>18</v>
      </c>
      <c r="F1329" t="s">
        <v>204</v>
      </c>
      <c r="G1329" t="s">
        <v>12</v>
      </c>
      <c r="H1329" s="1">
        <v>42799</v>
      </c>
      <c r="I1329" s="1">
        <v>42808</v>
      </c>
      <c r="J1329">
        <v>48</v>
      </c>
    </row>
    <row r="1330" spans="1:10" x14ac:dyDescent="0.3">
      <c r="A1330" t="s">
        <v>1461</v>
      </c>
      <c r="B1330" t="s">
        <v>73</v>
      </c>
      <c r="C1330" t="str">
        <f>_xlfn.XLOOKUP(B1330,
[1]sales_teams!$A$2:$A$100,
[1]sales_teams!$B$2:$B$100)</f>
        <v>Cara Losch</v>
      </c>
      <c r="D1330" t="str">
        <f>_xlfn.XLOOKUP($B1330,sales_teams!$A$2:$A$36,sales_teams!C$2:C$36)</f>
        <v>East</v>
      </c>
      <c r="E1330" t="s">
        <v>18</v>
      </c>
      <c r="F1330" t="s">
        <v>410</v>
      </c>
      <c r="G1330" t="s">
        <v>12</v>
      </c>
      <c r="H1330" s="1">
        <v>42799</v>
      </c>
      <c r="I1330" s="1">
        <v>42874</v>
      </c>
      <c r="J1330">
        <v>60</v>
      </c>
    </row>
    <row r="1331" spans="1:10" x14ac:dyDescent="0.3">
      <c r="A1331" t="s">
        <v>1462</v>
      </c>
      <c r="B1331" t="s">
        <v>139</v>
      </c>
      <c r="C1331" t="str">
        <f>_xlfn.XLOOKUP(B1331,
[1]sales_teams!$A$2:$A$100,
[1]sales_teams!$B$2:$B$100)</f>
        <v>Rocco Neubert</v>
      </c>
      <c r="D1331" t="str">
        <f>_xlfn.XLOOKUP($B1331,sales_teams!$A$2:$A$36,sales_teams!C$2:C$36)</f>
        <v>East</v>
      </c>
      <c r="E1331" t="s">
        <v>20</v>
      </c>
      <c r="F1331" t="s">
        <v>155</v>
      </c>
      <c r="G1331" t="s">
        <v>12</v>
      </c>
      <c r="H1331" s="1">
        <v>42800</v>
      </c>
      <c r="I1331" s="1">
        <v>42873</v>
      </c>
      <c r="J1331">
        <v>522</v>
      </c>
    </row>
    <row r="1332" spans="1:10" x14ac:dyDescent="0.3">
      <c r="A1332" t="s">
        <v>1463</v>
      </c>
      <c r="B1332" t="s">
        <v>118</v>
      </c>
      <c r="C1332" t="str">
        <f>_xlfn.XLOOKUP(B1332,
[1]sales_teams!$A$2:$A$100,
[1]sales_teams!$B$2:$B$100)</f>
        <v>Rocco Neubert</v>
      </c>
      <c r="D1332" t="str">
        <f>_xlfn.XLOOKUP($B1332,sales_teams!$A$2:$A$36,sales_teams!C$2:C$36)</f>
        <v>East</v>
      </c>
      <c r="E1332" t="s">
        <v>20</v>
      </c>
      <c r="G1332" t="s">
        <v>40</v>
      </c>
      <c r="H1332" s="1">
        <v>42800</v>
      </c>
    </row>
    <row r="1333" spans="1:10" x14ac:dyDescent="0.3">
      <c r="A1333" t="s">
        <v>1464</v>
      </c>
      <c r="B1333" t="s">
        <v>118</v>
      </c>
      <c r="C1333" t="str">
        <f>_xlfn.XLOOKUP(B1333,
[1]sales_teams!$A$2:$A$100,
[1]sales_teams!$B$2:$B$100)</f>
        <v>Rocco Neubert</v>
      </c>
      <c r="D1333" t="str">
        <f>_xlfn.XLOOKUP($B1333,sales_teams!$A$2:$A$36,sales_teams!C$2:C$36)</f>
        <v>East</v>
      </c>
      <c r="E1333" t="s">
        <v>48</v>
      </c>
      <c r="F1333" t="s">
        <v>189</v>
      </c>
      <c r="G1333" t="s">
        <v>12</v>
      </c>
      <c r="H1333" s="1">
        <v>42800</v>
      </c>
      <c r="I1333" s="1">
        <v>42812</v>
      </c>
      <c r="J1333">
        <v>4701</v>
      </c>
    </row>
    <row r="1334" spans="1:10" x14ac:dyDescent="0.3">
      <c r="A1334" t="s">
        <v>1465</v>
      </c>
      <c r="B1334" t="s">
        <v>14</v>
      </c>
      <c r="C1334" t="str">
        <f>_xlfn.XLOOKUP(B1334,
[1]sales_teams!$A$2:$A$100,
[1]sales_teams!$B$2:$B$100)</f>
        <v>Melvin Marxen</v>
      </c>
      <c r="D1334" t="str">
        <f>_xlfn.XLOOKUP($B1334,sales_teams!$A$2:$A$36,sales_teams!C$2:C$36)</f>
        <v>Central</v>
      </c>
      <c r="E1334" t="s">
        <v>48</v>
      </c>
      <c r="F1334" t="s">
        <v>231</v>
      </c>
      <c r="G1334" t="s">
        <v>46</v>
      </c>
      <c r="H1334" s="1">
        <v>42800</v>
      </c>
      <c r="I1334" s="1">
        <v>42875</v>
      </c>
      <c r="J1334">
        <v>0</v>
      </c>
    </row>
    <row r="1335" spans="1:10" x14ac:dyDescent="0.3">
      <c r="A1335" t="s">
        <v>1466</v>
      </c>
      <c r="B1335" t="s">
        <v>67</v>
      </c>
      <c r="C1335" t="str">
        <f>_xlfn.XLOOKUP(B1335,
[1]sales_teams!$A$2:$A$100,
[1]sales_teams!$B$2:$B$100)</f>
        <v>Celia Rouche</v>
      </c>
      <c r="D1335" t="str">
        <f>_xlfn.XLOOKUP($B1335,sales_teams!$A$2:$A$36,sales_teams!C$2:C$36)</f>
        <v>West</v>
      </c>
      <c r="E1335" t="s">
        <v>15</v>
      </c>
      <c r="F1335" t="s">
        <v>273</v>
      </c>
      <c r="G1335" t="s">
        <v>12</v>
      </c>
      <c r="H1335" s="1">
        <v>42800</v>
      </c>
      <c r="I1335" s="1">
        <v>42807</v>
      </c>
      <c r="J1335">
        <v>4987</v>
      </c>
    </row>
    <row r="1336" spans="1:10" x14ac:dyDescent="0.3">
      <c r="A1336" t="s">
        <v>1467</v>
      </c>
      <c r="B1336" t="s">
        <v>252</v>
      </c>
      <c r="C1336" t="str">
        <f>_xlfn.XLOOKUP(B1336,
[1]sales_teams!$A$2:$A$100,
[1]sales_teams!$B$2:$B$100)</f>
        <v>Melvin Marxen</v>
      </c>
      <c r="D1336" t="str">
        <f>_xlfn.XLOOKUP($B1336,sales_teams!$A$2:$A$36,sales_teams!C$2:C$36)</f>
        <v>Central</v>
      </c>
      <c r="E1336" t="s">
        <v>20</v>
      </c>
      <c r="F1336" t="s">
        <v>318</v>
      </c>
      <c r="G1336" t="s">
        <v>12</v>
      </c>
      <c r="H1336" s="1">
        <v>42800</v>
      </c>
      <c r="I1336" s="1">
        <v>42886</v>
      </c>
      <c r="J1336">
        <v>579</v>
      </c>
    </row>
    <row r="1337" spans="1:10" x14ac:dyDescent="0.3">
      <c r="A1337" t="s">
        <v>1468</v>
      </c>
      <c r="B1337" t="s">
        <v>95</v>
      </c>
      <c r="C1337" t="str">
        <f>_xlfn.XLOOKUP(B1337,
[1]sales_teams!$A$2:$A$100,
[1]sales_teams!$B$2:$B$100)</f>
        <v>Summer Sewald</v>
      </c>
      <c r="D1337" t="str">
        <f>_xlfn.XLOOKUP($B1337,sales_teams!$A$2:$A$36,sales_teams!C$2:C$36)</f>
        <v>West</v>
      </c>
      <c r="E1337" t="s">
        <v>18</v>
      </c>
      <c r="G1337" t="s">
        <v>40</v>
      </c>
      <c r="H1337" s="1">
        <v>42800</v>
      </c>
    </row>
    <row r="1338" spans="1:10" x14ac:dyDescent="0.3">
      <c r="A1338" t="s">
        <v>1469</v>
      </c>
      <c r="B1338" t="s">
        <v>95</v>
      </c>
      <c r="C1338" t="str">
        <f>_xlfn.XLOOKUP(B1338,
[1]sales_teams!$A$2:$A$100,
[1]sales_teams!$B$2:$B$100)</f>
        <v>Summer Sewald</v>
      </c>
      <c r="D1338" t="str">
        <f>_xlfn.XLOOKUP($B1338,sales_teams!$A$2:$A$36,sales_teams!C$2:C$36)</f>
        <v>West</v>
      </c>
      <c r="E1338" t="s">
        <v>20</v>
      </c>
      <c r="F1338" t="s">
        <v>155</v>
      </c>
      <c r="G1338" t="s">
        <v>12</v>
      </c>
      <c r="H1338" s="1">
        <v>42800</v>
      </c>
      <c r="I1338" s="1">
        <v>42915</v>
      </c>
      <c r="J1338">
        <v>494</v>
      </c>
    </row>
    <row r="1339" spans="1:10" x14ac:dyDescent="0.3">
      <c r="A1339" t="s">
        <v>1470</v>
      </c>
      <c r="B1339" t="s">
        <v>116</v>
      </c>
      <c r="C1339" t="str">
        <f>_xlfn.XLOOKUP(B1339,
[1]sales_teams!$A$2:$A$100,
[1]sales_teams!$B$2:$B$100)</f>
        <v>Melvin Marxen</v>
      </c>
      <c r="D1339" t="str">
        <f>_xlfn.XLOOKUP($B1339,sales_teams!$A$2:$A$36,sales_teams!C$2:C$36)</f>
        <v>Central</v>
      </c>
      <c r="E1339" t="s">
        <v>20</v>
      </c>
      <c r="F1339" t="s">
        <v>16</v>
      </c>
      <c r="G1339" t="s">
        <v>12</v>
      </c>
      <c r="H1339" s="1">
        <v>42800</v>
      </c>
      <c r="I1339" s="1">
        <v>42897</v>
      </c>
      <c r="J1339">
        <v>545</v>
      </c>
    </row>
    <row r="1340" spans="1:10" x14ac:dyDescent="0.3">
      <c r="A1340" t="s">
        <v>1471</v>
      </c>
      <c r="B1340" t="s">
        <v>51</v>
      </c>
      <c r="C1340" t="str">
        <f>_xlfn.XLOOKUP(B1340,
[1]sales_teams!$A$2:$A$100,
[1]sales_teams!$B$2:$B$100)</f>
        <v>Summer Sewald</v>
      </c>
      <c r="D1340" t="str">
        <f>_xlfn.XLOOKUP($B1340,sales_teams!$A$2:$A$36,sales_teams!C$2:C$36)</f>
        <v>West</v>
      </c>
      <c r="E1340" t="s">
        <v>20</v>
      </c>
      <c r="F1340" t="s">
        <v>159</v>
      </c>
      <c r="G1340" t="s">
        <v>12</v>
      </c>
      <c r="H1340" s="1">
        <v>42800</v>
      </c>
      <c r="I1340" s="1">
        <v>42887</v>
      </c>
      <c r="J1340">
        <v>584</v>
      </c>
    </row>
    <row r="1341" spans="1:10" x14ac:dyDescent="0.3">
      <c r="A1341" t="s">
        <v>1472</v>
      </c>
      <c r="B1341" t="s">
        <v>9</v>
      </c>
      <c r="C1341" t="str">
        <f>_xlfn.XLOOKUP(B1341,
[1]sales_teams!$A$2:$A$100,
[1]sales_teams!$B$2:$B$100)</f>
        <v>Dustin Brinkmann</v>
      </c>
      <c r="D1341" t="str">
        <f>_xlfn.XLOOKUP($B1341,sales_teams!$A$2:$A$36,sales_teams!C$2:C$36)</f>
        <v>Central</v>
      </c>
      <c r="E1341" t="s">
        <v>39</v>
      </c>
      <c r="F1341" t="s">
        <v>91</v>
      </c>
      <c r="G1341" t="s">
        <v>12</v>
      </c>
      <c r="H1341" s="1">
        <v>42800</v>
      </c>
      <c r="I1341" s="1">
        <v>42895</v>
      </c>
      <c r="J1341">
        <v>3714</v>
      </c>
    </row>
    <row r="1342" spans="1:10" x14ac:dyDescent="0.3">
      <c r="A1342" t="s">
        <v>1473</v>
      </c>
      <c r="B1342" t="s">
        <v>35</v>
      </c>
      <c r="C1342" t="str">
        <f>_xlfn.XLOOKUP(B1342,
[1]sales_teams!$A$2:$A$100,
[1]sales_teams!$B$2:$B$100)</f>
        <v>Melvin Marxen</v>
      </c>
      <c r="D1342" t="str">
        <f>_xlfn.XLOOKUP($B1342,sales_teams!$A$2:$A$36,sales_teams!C$2:C$36)</f>
        <v>Central</v>
      </c>
      <c r="E1342" t="s">
        <v>39</v>
      </c>
      <c r="F1342" t="s">
        <v>129</v>
      </c>
      <c r="G1342" t="s">
        <v>12</v>
      </c>
      <c r="H1342" s="1">
        <v>42800</v>
      </c>
      <c r="I1342" s="1">
        <v>42870</v>
      </c>
      <c r="J1342">
        <v>3423</v>
      </c>
    </row>
    <row r="1343" spans="1:10" x14ac:dyDescent="0.3">
      <c r="A1343" t="s">
        <v>1474</v>
      </c>
      <c r="B1343" t="s">
        <v>35</v>
      </c>
      <c r="C1343" t="str">
        <f>_xlfn.XLOOKUP(B1343,
[1]sales_teams!$A$2:$A$100,
[1]sales_teams!$B$2:$B$100)</f>
        <v>Melvin Marxen</v>
      </c>
      <c r="D1343" t="str">
        <f>_xlfn.XLOOKUP($B1343,sales_teams!$A$2:$A$36,sales_teams!C$2:C$36)</f>
        <v>Central</v>
      </c>
      <c r="E1343" t="s">
        <v>39</v>
      </c>
      <c r="F1343" t="s">
        <v>27</v>
      </c>
      <c r="G1343" t="s">
        <v>12</v>
      </c>
      <c r="H1343" s="1">
        <v>42800</v>
      </c>
      <c r="I1343" s="1">
        <v>42813</v>
      </c>
      <c r="J1343">
        <v>3167</v>
      </c>
    </row>
    <row r="1344" spans="1:10" x14ac:dyDescent="0.3">
      <c r="A1344" t="s">
        <v>1475</v>
      </c>
      <c r="B1344" t="s">
        <v>97</v>
      </c>
      <c r="C1344" t="str">
        <f>_xlfn.XLOOKUP(B1344,
[1]sales_teams!$A$2:$A$100,
[1]sales_teams!$B$2:$B$100)</f>
        <v>Rocco Neubert</v>
      </c>
      <c r="D1344" t="str">
        <f>_xlfn.XLOOKUP($B1344,sales_teams!$A$2:$A$36,sales_teams!C$2:C$36)</f>
        <v>East</v>
      </c>
      <c r="E1344" t="s">
        <v>20</v>
      </c>
      <c r="F1344" t="s">
        <v>98</v>
      </c>
      <c r="G1344" t="s">
        <v>46</v>
      </c>
      <c r="H1344" s="1">
        <v>42800</v>
      </c>
      <c r="I1344" s="1">
        <v>42884</v>
      </c>
      <c r="J1344">
        <v>0</v>
      </c>
    </row>
    <row r="1345" spans="1:10" x14ac:dyDescent="0.3">
      <c r="A1345" t="s">
        <v>1476</v>
      </c>
      <c r="B1345" t="s">
        <v>57</v>
      </c>
      <c r="C1345" t="str">
        <f>_xlfn.XLOOKUP(B1345,
[1]sales_teams!$A$2:$A$100,
[1]sales_teams!$B$2:$B$100)</f>
        <v>Celia Rouche</v>
      </c>
      <c r="D1345" t="str">
        <f>_xlfn.XLOOKUP($B1345,sales_teams!$A$2:$A$36,sales_teams!C$2:C$36)</f>
        <v>West</v>
      </c>
      <c r="E1345" t="s">
        <v>10</v>
      </c>
      <c r="F1345" t="s">
        <v>93</v>
      </c>
      <c r="G1345" t="s">
        <v>12</v>
      </c>
      <c r="H1345" s="1">
        <v>42800</v>
      </c>
      <c r="I1345" s="1">
        <v>42884</v>
      </c>
      <c r="J1345">
        <v>987</v>
      </c>
    </row>
    <row r="1346" spans="1:10" x14ac:dyDescent="0.3">
      <c r="A1346" t="s">
        <v>1477</v>
      </c>
      <c r="B1346" t="s">
        <v>88</v>
      </c>
      <c r="C1346" t="str">
        <f>_xlfn.XLOOKUP(B1346,
[1]sales_teams!$A$2:$A$100,
[1]sales_teams!$B$2:$B$100)</f>
        <v>Cara Losch</v>
      </c>
      <c r="D1346" t="str">
        <f>_xlfn.XLOOKUP($B1346,sales_teams!$A$2:$A$36,sales_teams!C$2:C$36)</f>
        <v>East</v>
      </c>
      <c r="E1346" t="s">
        <v>10</v>
      </c>
      <c r="G1346" t="s">
        <v>40</v>
      </c>
      <c r="H1346" s="1">
        <v>42800</v>
      </c>
    </row>
    <row r="1347" spans="1:10" x14ac:dyDescent="0.3">
      <c r="A1347" t="s">
        <v>1478</v>
      </c>
      <c r="B1347" t="s">
        <v>88</v>
      </c>
      <c r="C1347" t="str">
        <f>_xlfn.XLOOKUP(B1347,
[1]sales_teams!$A$2:$A$100,
[1]sales_teams!$B$2:$B$100)</f>
        <v>Cara Losch</v>
      </c>
      <c r="D1347" t="str">
        <f>_xlfn.XLOOKUP($B1347,sales_teams!$A$2:$A$36,sales_teams!C$2:C$36)</f>
        <v>East</v>
      </c>
      <c r="E1347" t="s">
        <v>39</v>
      </c>
      <c r="F1347" t="s">
        <v>199</v>
      </c>
      <c r="G1347" t="s">
        <v>46</v>
      </c>
      <c r="H1347" s="1">
        <v>42800</v>
      </c>
      <c r="I1347" s="1">
        <v>42892</v>
      </c>
      <c r="J1347">
        <v>0</v>
      </c>
    </row>
    <row r="1348" spans="1:10" x14ac:dyDescent="0.3">
      <c r="A1348" t="s">
        <v>1479</v>
      </c>
      <c r="B1348" t="s">
        <v>61</v>
      </c>
      <c r="C1348" t="str">
        <f>_xlfn.XLOOKUP(B1348,
[1]sales_teams!$A$2:$A$100,
[1]sales_teams!$B$2:$B$100)</f>
        <v>Dustin Brinkmann</v>
      </c>
      <c r="D1348" t="str">
        <f>_xlfn.XLOOKUP($B1348,sales_teams!$A$2:$A$36,sales_teams!C$2:C$36)</f>
        <v>Central</v>
      </c>
      <c r="E1348" t="s">
        <v>39</v>
      </c>
      <c r="F1348" t="s">
        <v>207</v>
      </c>
      <c r="G1348" t="s">
        <v>46</v>
      </c>
      <c r="H1348" s="1">
        <v>42800</v>
      </c>
      <c r="I1348" s="1">
        <v>42876</v>
      </c>
      <c r="J1348">
        <v>0</v>
      </c>
    </row>
    <row r="1349" spans="1:10" x14ac:dyDescent="0.3">
      <c r="A1349" t="s">
        <v>1480</v>
      </c>
      <c r="B1349" t="s">
        <v>61</v>
      </c>
      <c r="C1349" t="str">
        <f>_xlfn.XLOOKUP(B1349,
[1]sales_teams!$A$2:$A$100,
[1]sales_teams!$B$2:$B$100)</f>
        <v>Dustin Brinkmann</v>
      </c>
      <c r="D1349" t="str">
        <f>_xlfn.XLOOKUP($B1349,sales_teams!$A$2:$A$36,sales_teams!C$2:C$36)</f>
        <v>Central</v>
      </c>
      <c r="E1349" t="s">
        <v>39</v>
      </c>
      <c r="F1349" t="s">
        <v>197</v>
      </c>
      <c r="G1349" t="s">
        <v>12</v>
      </c>
      <c r="H1349" s="1">
        <v>42800</v>
      </c>
      <c r="I1349" s="1">
        <v>42879</v>
      </c>
      <c r="J1349">
        <v>3428</v>
      </c>
    </row>
    <row r="1350" spans="1:10" x14ac:dyDescent="0.3">
      <c r="A1350" t="s">
        <v>1481</v>
      </c>
      <c r="B1350" t="s">
        <v>73</v>
      </c>
      <c r="C1350" t="str">
        <f>_xlfn.XLOOKUP(B1350,
[1]sales_teams!$A$2:$A$100,
[1]sales_teams!$B$2:$B$100)</f>
        <v>Cara Losch</v>
      </c>
      <c r="D1350" t="str">
        <f>_xlfn.XLOOKUP($B1350,sales_teams!$A$2:$A$36,sales_teams!C$2:C$36)</f>
        <v>East</v>
      </c>
      <c r="E1350" t="s">
        <v>18</v>
      </c>
      <c r="F1350" t="s">
        <v>76</v>
      </c>
      <c r="G1350" t="s">
        <v>40</v>
      </c>
      <c r="H1350" s="1">
        <v>42800</v>
      </c>
    </row>
    <row r="1351" spans="1:10" x14ac:dyDescent="0.3">
      <c r="A1351" t="s">
        <v>1482</v>
      </c>
      <c r="B1351" t="s">
        <v>73</v>
      </c>
      <c r="C1351" t="str">
        <f>_xlfn.XLOOKUP(B1351,
[1]sales_teams!$A$2:$A$100,
[1]sales_teams!$B$2:$B$100)</f>
        <v>Cara Losch</v>
      </c>
      <c r="D1351" t="str">
        <f>_xlfn.XLOOKUP($B1351,sales_teams!$A$2:$A$36,sales_teams!C$2:C$36)</f>
        <v>East</v>
      </c>
      <c r="E1351" t="s">
        <v>18</v>
      </c>
      <c r="F1351" t="s">
        <v>237</v>
      </c>
      <c r="G1351" t="s">
        <v>46</v>
      </c>
      <c r="H1351" s="1">
        <v>42800</v>
      </c>
      <c r="I1351" s="1">
        <v>42877</v>
      </c>
      <c r="J1351">
        <v>0</v>
      </c>
    </row>
    <row r="1352" spans="1:10" x14ac:dyDescent="0.3">
      <c r="A1352" t="s">
        <v>1483</v>
      </c>
      <c r="B1352" t="s">
        <v>23</v>
      </c>
      <c r="C1352" t="str">
        <f>_xlfn.XLOOKUP(B1352,
[1]sales_teams!$A$2:$A$100,
[1]sales_teams!$B$2:$B$100)</f>
        <v>Summer Sewald</v>
      </c>
      <c r="D1352" t="str">
        <f>_xlfn.XLOOKUP($B1352,sales_teams!$A$2:$A$36,sales_teams!C$2:C$36)</f>
        <v>West</v>
      </c>
      <c r="E1352" t="s">
        <v>10</v>
      </c>
      <c r="F1352" t="s">
        <v>315</v>
      </c>
      <c r="G1352" t="s">
        <v>12</v>
      </c>
      <c r="H1352" s="1">
        <v>42800</v>
      </c>
      <c r="I1352" s="1">
        <v>42886</v>
      </c>
      <c r="J1352">
        <v>1149</v>
      </c>
    </row>
    <row r="1353" spans="1:10" x14ac:dyDescent="0.3">
      <c r="A1353" t="s">
        <v>1484</v>
      </c>
      <c r="B1353" t="s">
        <v>26</v>
      </c>
      <c r="C1353" t="str">
        <f>_xlfn.XLOOKUP(B1353,
[1]sales_teams!$A$2:$A$100,
[1]sales_teams!$B$2:$B$100)</f>
        <v>Dustin Brinkmann</v>
      </c>
      <c r="D1353" t="str">
        <f>_xlfn.XLOOKUP($B1353,sales_teams!$A$2:$A$36,sales_teams!C$2:C$36)</f>
        <v>Central</v>
      </c>
      <c r="E1353" t="s">
        <v>48</v>
      </c>
      <c r="F1353" t="s">
        <v>213</v>
      </c>
      <c r="G1353" t="s">
        <v>12</v>
      </c>
      <c r="H1353" s="1">
        <v>42801</v>
      </c>
      <c r="I1353" s="1">
        <v>42897</v>
      </c>
      <c r="J1353">
        <v>6023</v>
      </c>
    </row>
    <row r="1354" spans="1:10" x14ac:dyDescent="0.3">
      <c r="A1354" t="s">
        <v>1485</v>
      </c>
      <c r="B1354" t="s">
        <v>139</v>
      </c>
      <c r="C1354" t="str">
        <f>_xlfn.XLOOKUP(B1354,
[1]sales_teams!$A$2:$A$100,
[1]sales_teams!$B$2:$B$100)</f>
        <v>Rocco Neubert</v>
      </c>
      <c r="D1354" t="str">
        <f>_xlfn.XLOOKUP($B1354,sales_teams!$A$2:$A$36,sales_teams!C$2:C$36)</f>
        <v>East</v>
      </c>
      <c r="E1354" t="s">
        <v>20</v>
      </c>
      <c r="G1354" t="s">
        <v>40</v>
      </c>
      <c r="H1354" s="1">
        <v>42801</v>
      </c>
    </row>
    <row r="1355" spans="1:10" x14ac:dyDescent="0.3">
      <c r="A1355" t="s">
        <v>1486</v>
      </c>
      <c r="B1355" t="s">
        <v>139</v>
      </c>
      <c r="C1355" t="str">
        <f>_xlfn.XLOOKUP(B1355,
[1]sales_teams!$A$2:$A$100,
[1]sales_teams!$B$2:$B$100)</f>
        <v>Rocco Neubert</v>
      </c>
      <c r="D1355" t="str">
        <f>_xlfn.XLOOKUP($B1355,sales_teams!$A$2:$A$36,sales_teams!C$2:C$36)</f>
        <v>East</v>
      </c>
      <c r="E1355" t="s">
        <v>10</v>
      </c>
      <c r="G1355" t="s">
        <v>40</v>
      </c>
      <c r="H1355" s="1">
        <v>42801</v>
      </c>
    </row>
    <row r="1356" spans="1:10" x14ac:dyDescent="0.3">
      <c r="A1356" t="s">
        <v>1487</v>
      </c>
      <c r="B1356" t="s">
        <v>118</v>
      </c>
      <c r="C1356" t="str">
        <f>_xlfn.XLOOKUP(B1356,
[1]sales_teams!$A$2:$A$100,
[1]sales_teams!$B$2:$B$100)</f>
        <v>Rocco Neubert</v>
      </c>
      <c r="D1356" t="str">
        <f>_xlfn.XLOOKUP($B1356,sales_teams!$A$2:$A$36,sales_teams!C$2:C$36)</f>
        <v>East</v>
      </c>
      <c r="E1356" t="s">
        <v>20</v>
      </c>
      <c r="F1356" t="s">
        <v>745</v>
      </c>
      <c r="G1356" t="s">
        <v>46</v>
      </c>
      <c r="H1356" s="1">
        <v>42801</v>
      </c>
      <c r="I1356" s="1">
        <v>42890</v>
      </c>
      <c r="J1356">
        <v>0</v>
      </c>
    </row>
    <row r="1357" spans="1:10" x14ac:dyDescent="0.3">
      <c r="A1357" t="s">
        <v>1488</v>
      </c>
      <c r="B1357" t="s">
        <v>202</v>
      </c>
      <c r="C1357" t="str">
        <f>_xlfn.XLOOKUP(B1357,
[1]sales_teams!$A$2:$A$100,
[1]sales_teams!$B$2:$B$100)</f>
        <v>Dustin Brinkmann</v>
      </c>
      <c r="D1357" t="str">
        <f>_xlfn.XLOOKUP($B1357,sales_teams!$A$2:$A$36,sales_teams!C$2:C$36)</f>
        <v>Central</v>
      </c>
      <c r="E1357" t="s">
        <v>18</v>
      </c>
      <c r="F1357" t="s">
        <v>231</v>
      </c>
      <c r="G1357" t="s">
        <v>12</v>
      </c>
      <c r="H1357" s="1">
        <v>42801</v>
      </c>
      <c r="I1357" s="1">
        <v>42811</v>
      </c>
      <c r="J1357">
        <v>47</v>
      </c>
    </row>
    <row r="1358" spans="1:10" x14ac:dyDescent="0.3">
      <c r="A1358" t="s">
        <v>1489</v>
      </c>
      <c r="B1358" t="s">
        <v>164</v>
      </c>
      <c r="C1358" t="str">
        <f>_xlfn.XLOOKUP(B1358,
[1]sales_teams!$A$2:$A$100,
[1]sales_teams!$B$2:$B$100)</f>
        <v>Cara Losch</v>
      </c>
      <c r="D1358" t="str">
        <f>_xlfn.XLOOKUP($B1358,sales_teams!$A$2:$A$36,sales_teams!C$2:C$36)</f>
        <v>East</v>
      </c>
      <c r="E1358" t="s">
        <v>20</v>
      </c>
      <c r="F1358" t="s">
        <v>209</v>
      </c>
      <c r="G1358" t="s">
        <v>12</v>
      </c>
      <c r="H1358" s="1">
        <v>42801</v>
      </c>
      <c r="I1358" s="1">
        <v>42804</v>
      </c>
      <c r="J1358">
        <v>542</v>
      </c>
    </row>
    <row r="1359" spans="1:10" x14ac:dyDescent="0.3">
      <c r="A1359" t="s">
        <v>1490</v>
      </c>
      <c r="B1359" t="s">
        <v>164</v>
      </c>
      <c r="C1359" t="str">
        <f>_xlfn.XLOOKUP(B1359,
[1]sales_teams!$A$2:$A$100,
[1]sales_teams!$B$2:$B$100)</f>
        <v>Cara Losch</v>
      </c>
      <c r="D1359" t="str">
        <f>_xlfn.XLOOKUP($B1359,sales_teams!$A$2:$A$36,sales_teams!C$2:C$36)</f>
        <v>East</v>
      </c>
      <c r="E1359" t="s">
        <v>15</v>
      </c>
      <c r="F1359" t="s">
        <v>65</v>
      </c>
      <c r="G1359" t="s">
        <v>12</v>
      </c>
      <c r="H1359" s="1">
        <v>42801</v>
      </c>
      <c r="I1359" s="1">
        <v>42810</v>
      </c>
      <c r="J1359">
        <v>4980</v>
      </c>
    </row>
    <row r="1360" spans="1:10" x14ac:dyDescent="0.3">
      <c r="A1360" t="s">
        <v>1491</v>
      </c>
      <c r="B1360" t="s">
        <v>14</v>
      </c>
      <c r="C1360" t="str">
        <f>_xlfn.XLOOKUP(B1360,
[1]sales_teams!$A$2:$A$100,
[1]sales_teams!$B$2:$B$100)</f>
        <v>Melvin Marxen</v>
      </c>
      <c r="D1360" t="str">
        <f>_xlfn.XLOOKUP($B1360,sales_teams!$A$2:$A$36,sales_teams!C$2:C$36)</f>
        <v>Central</v>
      </c>
      <c r="E1360" t="s">
        <v>15</v>
      </c>
      <c r="F1360" t="s">
        <v>135</v>
      </c>
      <c r="G1360" t="s">
        <v>12</v>
      </c>
      <c r="H1360" s="1">
        <v>42801</v>
      </c>
      <c r="I1360" s="1">
        <v>42883</v>
      </c>
      <c r="J1360">
        <v>4978</v>
      </c>
    </row>
    <row r="1361" spans="1:10" x14ac:dyDescent="0.3">
      <c r="A1361" t="s">
        <v>1492</v>
      </c>
      <c r="B1361" t="s">
        <v>142</v>
      </c>
      <c r="C1361" t="str">
        <f>_xlfn.XLOOKUP(B1361,
[1]sales_teams!$A$2:$A$100,
[1]sales_teams!$B$2:$B$100)</f>
        <v>Rocco Neubert</v>
      </c>
      <c r="D1361" t="str">
        <f>_xlfn.XLOOKUP($B1361,sales_teams!$A$2:$A$36,sales_teams!C$2:C$36)</f>
        <v>East</v>
      </c>
      <c r="E1361" t="s">
        <v>15</v>
      </c>
      <c r="F1361" t="s">
        <v>74</v>
      </c>
      <c r="G1361" t="s">
        <v>12</v>
      </c>
      <c r="H1361" s="1">
        <v>42801</v>
      </c>
      <c r="I1361" s="1">
        <v>42896</v>
      </c>
      <c r="J1361">
        <v>5256</v>
      </c>
    </row>
    <row r="1362" spans="1:10" x14ac:dyDescent="0.3">
      <c r="A1362" t="s">
        <v>1493</v>
      </c>
      <c r="B1362" t="s">
        <v>67</v>
      </c>
      <c r="C1362" t="str">
        <f>_xlfn.XLOOKUP(B1362,
[1]sales_teams!$A$2:$A$100,
[1]sales_teams!$B$2:$B$100)</f>
        <v>Celia Rouche</v>
      </c>
      <c r="D1362" t="str">
        <f>_xlfn.XLOOKUP($B1362,sales_teams!$A$2:$A$36,sales_teams!C$2:C$36)</f>
        <v>West</v>
      </c>
      <c r="E1362" t="s">
        <v>15</v>
      </c>
      <c r="F1362" t="s">
        <v>315</v>
      </c>
      <c r="G1362" t="s">
        <v>12</v>
      </c>
      <c r="H1362" s="1">
        <v>42801</v>
      </c>
      <c r="I1362" s="1">
        <v>42893</v>
      </c>
      <c r="J1362">
        <v>4327</v>
      </c>
    </row>
    <row r="1363" spans="1:10" x14ac:dyDescent="0.3">
      <c r="A1363" t="s">
        <v>1494</v>
      </c>
      <c r="B1363" t="s">
        <v>105</v>
      </c>
      <c r="C1363" t="str">
        <f>_xlfn.XLOOKUP(B1363,
[1]sales_teams!$A$2:$A$100,
[1]sales_teams!$B$2:$B$100)</f>
        <v>Cara Losch</v>
      </c>
      <c r="D1363" t="str">
        <f>_xlfn.XLOOKUP($B1363,sales_teams!$A$2:$A$36,sales_teams!C$2:C$36)</f>
        <v>East</v>
      </c>
      <c r="E1363" t="s">
        <v>15</v>
      </c>
      <c r="F1363" t="s">
        <v>410</v>
      </c>
      <c r="G1363" t="s">
        <v>12</v>
      </c>
      <c r="H1363" s="1">
        <v>42801</v>
      </c>
      <c r="I1363" s="1">
        <v>42870</v>
      </c>
      <c r="J1363">
        <v>5022</v>
      </c>
    </row>
    <row r="1364" spans="1:10" x14ac:dyDescent="0.3">
      <c r="A1364" t="s">
        <v>1495</v>
      </c>
      <c r="B1364" t="s">
        <v>44</v>
      </c>
      <c r="C1364" t="str">
        <f>_xlfn.XLOOKUP(B1364,
[1]sales_teams!$A$2:$A$100,
[1]sales_teams!$B$2:$B$100)</f>
        <v>Melvin Marxen</v>
      </c>
      <c r="D1364" t="str">
        <f>_xlfn.XLOOKUP($B1364,sales_teams!$A$2:$A$36,sales_teams!C$2:C$36)</f>
        <v>Central</v>
      </c>
      <c r="E1364" t="s">
        <v>48</v>
      </c>
      <c r="F1364" t="s">
        <v>42</v>
      </c>
      <c r="G1364" t="s">
        <v>12</v>
      </c>
      <c r="H1364" s="1">
        <v>42801</v>
      </c>
      <c r="I1364" s="1">
        <v>42805</v>
      </c>
      <c r="J1364">
        <v>4887</v>
      </c>
    </row>
    <row r="1365" spans="1:10" x14ac:dyDescent="0.3">
      <c r="A1365" t="s">
        <v>1496</v>
      </c>
      <c r="B1365" t="s">
        <v>44</v>
      </c>
      <c r="C1365" t="str">
        <f>_xlfn.XLOOKUP(B1365,
[1]sales_teams!$A$2:$A$100,
[1]sales_teams!$B$2:$B$100)</f>
        <v>Melvin Marxen</v>
      </c>
      <c r="D1365" t="str">
        <f>_xlfn.XLOOKUP($B1365,sales_teams!$A$2:$A$36,sales_teams!C$2:C$36)</f>
        <v>Central</v>
      </c>
      <c r="E1365" t="s">
        <v>39</v>
      </c>
      <c r="F1365" t="s">
        <v>111</v>
      </c>
      <c r="G1365" t="s">
        <v>12</v>
      </c>
      <c r="H1365" s="1">
        <v>42801</v>
      </c>
      <c r="I1365" s="1">
        <v>42815</v>
      </c>
      <c r="J1365">
        <v>3724</v>
      </c>
    </row>
    <row r="1366" spans="1:10" x14ac:dyDescent="0.3">
      <c r="A1366" t="s">
        <v>1497</v>
      </c>
      <c r="B1366" t="s">
        <v>38</v>
      </c>
      <c r="C1366" t="str">
        <f>_xlfn.XLOOKUP(B1366,
[1]sales_teams!$A$2:$A$100,
[1]sales_teams!$B$2:$B$100)</f>
        <v>Summer Sewald</v>
      </c>
      <c r="D1366" t="str">
        <f>_xlfn.XLOOKUP($B1366,sales_teams!$A$2:$A$36,sales_teams!C$2:C$36)</f>
        <v>West</v>
      </c>
      <c r="E1366" t="s">
        <v>10</v>
      </c>
      <c r="G1366" t="s">
        <v>40</v>
      </c>
      <c r="H1366" s="1">
        <v>42801</v>
      </c>
    </row>
    <row r="1367" spans="1:10" x14ac:dyDescent="0.3">
      <c r="A1367" t="s">
        <v>1498</v>
      </c>
      <c r="B1367" t="s">
        <v>38</v>
      </c>
      <c r="C1367" t="str">
        <f>_xlfn.XLOOKUP(B1367,
[1]sales_teams!$A$2:$A$100,
[1]sales_teams!$B$2:$B$100)</f>
        <v>Summer Sewald</v>
      </c>
      <c r="D1367" t="str">
        <f>_xlfn.XLOOKUP($B1367,sales_teams!$A$2:$A$36,sales_teams!C$2:C$36)</f>
        <v>West</v>
      </c>
      <c r="E1367" t="s">
        <v>20</v>
      </c>
      <c r="F1367" t="s">
        <v>159</v>
      </c>
      <c r="G1367" t="s">
        <v>12</v>
      </c>
      <c r="H1367" s="1">
        <v>42801</v>
      </c>
      <c r="I1367" s="1">
        <v>42805</v>
      </c>
      <c r="J1367">
        <v>535</v>
      </c>
    </row>
    <row r="1368" spans="1:10" x14ac:dyDescent="0.3">
      <c r="A1368" t="s">
        <v>1499</v>
      </c>
      <c r="B1368" t="s">
        <v>95</v>
      </c>
      <c r="C1368" t="str">
        <f>_xlfn.XLOOKUP(B1368,
[1]sales_teams!$A$2:$A$100,
[1]sales_teams!$B$2:$B$100)</f>
        <v>Summer Sewald</v>
      </c>
      <c r="D1368" t="str">
        <f>_xlfn.XLOOKUP($B1368,sales_teams!$A$2:$A$36,sales_teams!C$2:C$36)</f>
        <v>West</v>
      </c>
      <c r="E1368" t="s">
        <v>20</v>
      </c>
      <c r="F1368" t="s">
        <v>197</v>
      </c>
      <c r="G1368" t="s">
        <v>40</v>
      </c>
      <c r="H1368" s="1">
        <v>42801</v>
      </c>
    </row>
    <row r="1369" spans="1:10" x14ac:dyDescent="0.3">
      <c r="A1369" t="s">
        <v>1500</v>
      </c>
      <c r="B1369" t="s">
        <v>95</v>
      </c>
      <c r="C1369" t="str">
        <f>_xlfn.XLOOKUP(B1369,
[1]sales_teams!$A$2:$A$100,
[1]sales_teams!$B$2:$B$100)</f>
        <v>Summer Sewald</v>
      </c>
      <c r="D1369" t="str">
        <f>_xlfn.XLOOKUP($B1369,sales_teams!$A$2:$A$36,sales_teams!C$2:C$36)</f>
        <v>West</v>
      </c>
      <c r="E1369" t="s">
        <v>48</v>
      </c>
      <c r="F1369" t="s">
        <v>313</v>
      </c>
      <c r="G1369" t="s">
        <v>46</v>
      </c>
      <c r="H1369" s="1">
        <v>42801</v>
      </c>
      <c r="I1369" s="1">
        <v>42879</v>
      </c>
      <c r="J1369">
        <v>0</v>
      </c>
    </row>
    <row r="1370" spans="1:10" x14ac:dyDescent="0.3">
      <c r="A1370" t="s">
        <v>1501</v>
      </c>
      <c r="B1370" t="s">
        <v>32</v>
      </c>
      <c r="C1370" t="str">
        <f>_xlfn.XLOOKUP(B1370,
[1]sales_teams!$A$2:$A$100,
[1]sales_teams!$B$2:$B$100)</f>
        <v>Celia Rouche</v>
      </c>
      <c r="D1370" t="str">
        <f>_xlfn.XLOOKUP($B1370,sales_teams!$A$2:$A$36,sales_teams!C$2:C$36)</f>
        <v>West</v>
      </c>
      <c r="E1370" t="s">
        <v>39</v>
      </c>
      <c r="F1370" t="s">
        <v>273</v>
      </c>
      <c r="G1370" t="s">
        <v>12</v>
      </c>
      <c r="H1370" s="1">
        <v>42801</v>
      </c>
      <c r="I1370" s="1">
        <v>42809</v>
      </c>
      <c r="J1370">
        <v>3969</v>
      </c>
    </row>
    <row r="1371" spans="1:10" x14ac:dyDescent="0.3">
      <c r="A1371" t="s">
        <v>1502</v>
      </c>
      <c r="B1371" t="s">
        <v>51</v>
      </c>
      <c r="C1371" t="str">
        <f>_xlfn.XLOOKUP(B1371,
[1]sales_teams!$A$2:$A$100,
[1]sales_teams!$B$2:$B$100)</f>
        <v>Summer Sewald</v>
      </c>
      <c r="D1371" t="str">
        <f>_xlfn.XLOOKUP($B1371,sales_teams!$A$2:$A$36,sales_teams!C$2:C$36)</f>
        <v>West</v>
      </c>
      <c r="E1371" t="s">
        <v>10</v>
      </c>
      <c r="F1371" t="s">
        <v>313</v>
      </c>
      <c r="G1371" t="s">
        <v>40</v>
      </c>
      <c r="H1371" s="1">
        <v>42801</v>
      </c>
    </row>
    <row r="1372" spans="1:10" x14ac:dyDescent="0.3">
      <c r="A1372" t="s">
        <v>1503</v>
      </c>
      <c r="B1372" t="s">
        <v>9</v>
      </c>
      <c r="C1372" t="str">
        <f>_xlfn.XLOOKUP(B1372,
[1]sales_teams!$A$2:$A$100,
[1]sales_teams!$B$2:$B$100)</f>
        <v>Dustin Brinkmann</v>
      </c>
      <c r="D1372" t="str">
        <f>_xlfn.XLOOKUP($B1372,sales_teams!$A$2:$A$36,sales_teams!C$2:C$36)</f>
        <v>Central</v>
      </c>
      <c r="E1372" t="s">
        <v>48</v>
      </c>
      <c r="F1372" t="s">
        <v>170</v>
      </c>
      <c r="G1372" t="s">
        <v>12</v>
      </c>
      <c r="H1372" s="1">
        <v>42801</v>
      </c>
      <c r="I1372" s="1">
        <v>42807</v>
      </c>
      <c r="J1372">
        <v>6805</v>
      </c>
    </row>
    <row r="1373" spans="1:10" x14ac:dyDescent="0.3">
      <c r="A1373" t="s">
        <v>1504</v>
      </c>
      <c r="B1373" t="s">
        <v>35</v>
      </c>
      <c r="C1373" t="str">
        <f>_xlfn.XLOOKUP(B1373,
[1]sales_teams!$A$2:$A$100,
[1]sales_teams!$B$2:$B$100)</f>
        <v>Melvin Marxen</v>
      </c>
      <c r="D1373" t="str">
        <f>_xlfn.XLOOKUP($B1373,sales_teams!$A$2:$A$36,sales_teams!C$2:C$36)</f>
        <v>Central</v>
      </c>
      <c r="E1373" t="s">
        <v>10</v>
      </c>
      <c r="F1373" t="s">
        <v>16</v>
      </c>
      <c r="G1373" t="s">
        <v>12</v>
      </c>
      <c r="H1373" s="1">
        <v>42801</v>
      </c>
      <c r="I1373" s="1">
        <v>42898</v>
      </c>
      <c r="J1373">
        <v>1190</v>
      </c>
    </row>
    <row r="1374" spans="1:10" x14ac:dyDescent="0.3">
      <c r="A1374" t="s">
        <v>1505</v>
      </c>
      <c r="B1374" t="s">
        <v>88</v>
      </c>
      <c r="C1374" t="str">
        <f>_xlfn.XLOOKUP(B1374,
[1]sales_teams!$A$2:$A$100,
[1]sales_teams!$B$2:$B$100)</f>
        <v>Cara Losch</v>
      </c>
      <c r="D1374" t="str">
        <f>_xlfn.XLOOKUP($B1374,sales_teams!$A$2:$A$36,sales_teams!C$2:C$36)</f>
        <v>East</v>
      </c>
      <c r="E1374" t="s">
        <v>48</v>
      </c>
      <c r="F1374" t="s">
        <v>218</v>
      </c>
      <c r="G1374" t="s">
        <v>12</v>
      </c>
      <c r="H1374" s="1">
        <v>42801</v>
      </c>
      <c r="I1374" s="1">
        <v>42884</v>
      </c>
      <c r="J1374">
        <v>4821</v>
      </c>
    </row>
    <row r="1375" spans="1:10" x14ac:dyDescent="0.3">
      <c r="A1375" t="s">
        <v>1506</v>
      </c>
      <c r="B1375" t="s">
        <v>29</v>
      </c>
      <c r="C1375" t="str">
        <f>_xlfn.XLOOKUP(B1375,
[1]sales_teams!$A$2:$A$100,
[1]sales_teams!$B$2:$B$100)</f>
        <v>Celia Rouche</v>
      </c>
      <c r="D1375" t="str">
        <f>_xlfn.XLOOKUP($B1375,sales_teams!$A$2:$A$36,sales_teams!C$2:C$36)</f>
        <v>West</v>
      </c>
      <c r="E1375" t="s">
        <v>20</v>
      </c>
      <c r="F1375" t="s">
        <v>174</v>
      </c>
      <c r="G1375" t="s">
        <v>40</v>
      </c>
      <c r="H1375" s="1">
        <v>42801</v>
      </c>
    </row>
    <row r="1376" spans="1:10" x14ac:dyDescent="0.3">
      <c r="A1376" t="s">
        <v>1507</v>
      </c>
      <c r="B1376" t="s">
        <v>73</v>
      </c>
      <c r="C1376" t="str">
        <f>_xlfn.XLOOKUP(B1376,
[1]sales_teams!$A$2:$A$100,
[1]sales_teams!$B$2:$B$100)</f>
        <v>Cara Losch</v>
      </c>
      <c r="D1376" t="str">
        <f>_xlfn.XLOOKUP($B1376,sales_teams!$A$2:$A$36,sales_teams!C$2:C$36)</f>
        <v>East</v>
      </c>
      <c r="E1376" t="s">
        <v>18</v>
      </c>
      <c r="F1376" t="s">
        <v>179</v>
      </c>
      <c r="G1376" t="s">
        <v>12</v>
      </c>
      <c r="H1376" s="1">
        <v>42801</v>
      </c>
      <c r="I1376" s="1">
        <v>42861</v>
      </c>
      <c r="J1376">
        <v>53</v>
      </c>
    </row>
    <row r="1377" spans="1:10" x14ac:dyDescent="0.3">
      <c r="A1377" t="s">
        <v>1508</v>
      </c>
      <c r="B1377" t="s">
        <v>102</v>
      </c>
      <c r="C1377" t="str">
        <f>_xlfn.XLOOKUP(B1377,
[1]sales_teams!$A$2:$A$100,
[1]sales_teams!$B$2:$B$100)</f>
        <v>Cara Losch</v>
      </c>
      <c r="D1377" t="str">
        <f>_xlfn.XLOOKUP($B1377,sales_teams!$A$2:$A$36,sales_teams!C$2:C$36)</f>
        <v>East</v>
      </c>
      <c r="E1377" t="s">
        <v>10</v>
      </c>
      <c r="G1377" t="s">
        <v>40</v>
      </c>
      <c r="H1377" s="1">
        <v>42801</v>
      </c>
    </row>
    <row r="1378" spans="1:10" x14ac:dyDescent="0.3">
      <c r="A1378" t="s">
        <v>1509</v>
      </c>
      <c r="B1378" t="s">
        <v>102</v>
      </c>
      <c r="C1378" t="str">
        <f>_xlfn.XLOOKUP(B1378,
[1]sales_teams!$A$2:$A$100,
[1]sales_teams!$B$2:$B$100)</f>
        <v>Cara Losch</v>
      </c>
      <c r="D1378" t="str">
        <f>_xlfn.XLOOKUP($B1378,sales_teams!$A$2:$A$36,sales_teams!C$2:C$36)</f>
        <v>East</v>
      </c>
      <c r="E1378" t="s">
        <v>39</v>
      </c>
      <c r="G1378" t="s">
        <v>40</v>
      </c>
      <c r="H1378" s="1">
        <v>42801</v>
      </c>
    </row>
    <row r="1379" spans="1:10" x14ac:dyDescent="0.3">
      <c r="A1379" t="s">
        <v>1510</v>
      </c>
      <c r="B1379" t="s">
        <v>23</v>
      </c>
      <c r="C1379" t="str">
        <f>_xlfn.XLOOKUP(B1379,
[1]sales_teams!$A$2:$A$100,
[1]sales_teams!$B$2:$B$100)</f>
        <v>Summer Sewald</v>
      </c>
      <c r="D1379" t="str">
        <f>_xlfn.XLOOKUP($B1379,sales_teams!$A$2:$A$36,sales_teams!C$2:C$36)</f>
        <v>West</v>
      </c>
      <c r="E1379" t="s">
        <v>15</v>
      </c>
      <c r="G1379" t="s">
        <v>40</v>
      </c>
      <c r="H1379" s="1">
        <v>42801</v>
      </c>
    </row>
    <row r="1380" spans="1:10" x14ac:dyDescent="0.3">
      <c r="A1380" t="s">
        <v>1511</v>
      </c>
      <c r="B1380" t="s">
        <v>118</v>
      </c>
      <c r="C1380" t="str">
        <f>_xlfn.XLOOKUP(B1380,
[1]sales_teams!$A$2:$A$100,
[1]sales_teams!$B$2:$B$100)</f>
        <v>Rocco Neubert</v>
      </c>
      <c r="D1380" t="str">
        <f>_xlfn.XLOOKUP($B1380,sales_teams!$A$2:$A$36,sales_teams!C$2:C$36)</f>
        <v>East</v>
      </c>
      <c r="E1380" t="s">
        <v>39</v>
      </c>
      <c r="F1380" t="s">
        <v>74</v>
      </c>
      <c r="G1380" t="s">
        <v>12</v>
      </c>
      <c r="H1380" s="1">
        <v>42802</v>
      </c>
      <c r="I1380" s="1">
        <v>42877</v>
      </c>
      <c r="J1380">
        <v>3087</v>
      </c>
    </row>
    <row r="1381" spans="1:10" x14ac:dyDescent="0.3">
      <c r="A1381" t="s">
        <v>1512</v>
      </c>
      <c r="B1381" t="s">
        <v>202</v>
      </c>
      <c r="C1381" t="str">
        <f>_xlfn.XLOOKUP(B1381,
[1]sales_teams!$A$2:$A$100,
[1]sales_teams!$B$2:$B$100)</f>
        <v>Dustin Brinkmann</v>
      </c>
      <c r="D1381" t="str">
        <f>_xlfn.XLOOKUP($B1381,sales_teams!$A$2:$A$36,sales_teams!C$2:C$36)</f>
        <v>Central</v>
      </c>
      <c r="E1381" t="s">
        <v>18</v>
      </c>
      <c r="F1381" t="s">
        <v>42</v>
      </c>
      <c r="G1381" t="s">
        <v>12</v>
      </c>
      <c r="H1381" s="1">
        <v>42802</v>
      </c>
      <c r="I1381" s="1">
        <v>42889</v>
      </c>
      <c r="J1381">
        <v>59</v>
      </c>
    </row>
    <row r="1382" spans="1:10" x14ac:dyDescent="0.3">
      <c r="A1382" t="s">
        <v>1513</v>
      </c>
      <c r="B1382" t="s">
        <v>164</v>
      </c>
      <c r="C1382" t="str">
        <f>_xlfn.XLOOKUP(B1382,
[1]sales_teams!$A$2:$A$100,
[1]sales_teams!$B$2:$B$100)</f>
        <v>Cara Losch</v>
      </c>
      <c r="D1382" t="str">
        <f>_xlfn.XLOOKUP($B1382,sales_teams!$A$2:$A$36,sales_teams!C$2:C$36)</f>
        <v>East</v>
      </c>
      <c r="E1382" t="s">
        <v>10</v>
      </c>
      <c r="F1382" t="s">
        <v>192</v>
      </c>
      <c r="G1382" t="s">
        <v>12</v>
      </c>
      <c r="H1382" s="1">
        <v>42802</v>
      </c>
      <c r="I1382" s="1">
        <v>42888</v>
      </c>
      <c r="J1382">
        <v>857</v>
      </c>
    </row>
    <row r="1383" spans="1:10" x14ac:dyDescent="0.3">
      <c r="A1383" t="s">
        <v>1514</v>
      </c>
      <c r="B1383" t="s">
        <v>64</v>
      </c>
      <c r="C1383" t="str">
        <f>_xlfn.XLOOKUP(B1383,
[1]sales_teams!$A$2:$A$100,
[1]sales_teams!$B$2:$B$100)</f>
        <v>Rocco Neubert</v>
      </c>
      <c r="D1383" t="str">
        <f>_xlfn.XLOOKUP($B1383,sales_teams!$A$2:$A$36,sales_teams!C$2:C$36)</f>
        <v>East</v>
      </c>
      <c r="E1383" t="s">
        <v>10</v>
      </c>
      <c r="F1383" t="s">
        <v>222</v>
      </c>
      <c r="G1383" t="s">
        <v>12</v>
      </c>
      <c r="H1383" s="1">
        <v>42802</v>
      </c>
      <c r="I1383" s="1">
        <v>42913</v>
      </c>
      <c r="J1383">
        <v>1142</v>
      </c>
    </row>
    <row r="1384" spans="1:10" x14ac:dyDescent="0.3">
      <c r="A1384" t="s">
        <v>1515</v>
      </c>
      <c r="B1384" t="s">
        <v>142</v>
      </c>
      <c r="C1384" t="str">
        <f>_xlfn.XLOOKUP(B1384,
[1]sales_teams!$A$2:$A$100,
[1]sales_teams!$B$2:$B$100)</f>
        <v>Rocco Neubert</v>
      </c>
      <c r="D1384" t="str">
        <f>_xlfn.XLOOKUP($B1384,sales_teams!$A$2:$A$36,sales_teams!C$2:C$36)</f>
        <v>East</v>
      </c>
      <c r="E1384" t="s">
        <v>20</v>
      </c>
      <c r="F1384" t="s">
        <v>81</v>
      </c>
      <c r="G1384" t="s">
        <v>12</v>
      </c>
      <c r="H1384" s="1">
        <v>42802</v>
      </c>
      <c r="I1384" s="1">
        <v>42869</v>
      </c>
      <c r="J1384">
        <v>566</v>
      </c>
    </row>
    <row r="1385" spans="1:10" x14ac:dyDescent="0.3">
      <c r="A1385" t="s">
        <v>1516</v>
      </c>
      <c r="B1385" t="s">
        <v>105</v>
      </c>
      <c r="C1385" t="str">
        <f>_xlfn.XLOOKUP(B1385,
[1]sales_teams!$A$2:$A$100,
[1]sales_teams!$B$2:$B$100)</f>
        <v>Cara Losch</v>
      </c>
      <c r="D1385" t="str">
        <f>_xlfn.XLOOKUP($B1385,sales_teams!$A$2:$A$36,sales_teams!C$2:C$36)</f>
        <v>East</v>
      </c>
      <c r="E1385" t="s">
        <v>39</v>
      </c>
      <c r="F1385" t="s">
        <v>65</v>
      </c>
      <c r="G1385" t="s">
        <v>12</v>
      </c>
      <c r="H1385" s="1">
        <v>42802</v>
      </c>
      <c r="I1385" s="1">
        <v>42812</v>
      </c>
      <c r="J1385">
        <v>4291</v>
      </c>
    </row>
    <row r="1386" spans="1:10" x14ac:dyDescent="0.3">
      <c r="A1386" t="s">
        <v>1517</v>
      </c>
      <c r="B1386" t="s">
        <v>54</v>
      </c>
      <c r="C1386" t="str">
        <f>_xlfn.XLOOKUP(B1386,
[1]sales_teams!$A$2:$A$100,
[1]sales_teams!$B$2:$B$100)</f>
        <v>Celia Rouche</v>
      </c>
      <c r="D1386" t="str">
        <f>_xlfn.XLOOKUP($B1386,sales_teams!$A$2:$A$36,sales_teams!C$2:C$36)</f>
        <v>West</v>
      </c>
      <c r="E1386" t="s">
        <v>10</v>
      </c>
      <c r="F1386" t="s">
        <v>68</v>
      </c>
      <c r="G1386" t="s">
        <v>12</v>
      </c>
      <c r="H1386" s="1">
        <v>42802</v>
      </c>
      <c r="I1386" s="1">
        <v>42902</v>
      </c>
      <c r="J1386">
        <v>1039</v>
      </c>
    </row>
    <row r="1387" spans="1:10" x14ac:dyDescent="0.3">
      <c r="A1387" t="s">
        <v>1518</v>
      </c>
      <c r="B1387" t="s">
        <v>54</v>
      </c>
      <c r="C1387" t="str">
        <f>_xlfn.XLOOKUP(B1387,
[1]sales_teams!$A$2:$A$100,
[1]sales_teams!$B$2:$B$100)</f>
        <v>Celia Rouche</v>
      </c>
      <c r="D1387" t="str">
        <f>_xlfn.XLOOKUP($B1387,sales_teams!$A$2:$A$36,sales_teams!C$2:C$36)</f>
        <v>West</v>
      </c>
      <c r="E1387" t="s">
        <v>39</v>
      </c>
      <c r="F1387" t="s">
        <v>93</v>
      </c>
      <c r="G1387" t="s">
        <v>12</v>
      </c>
      <c r="H1387" s="1">
        <v>42802</v>
      </c>
      <c r="I1387" s="1">
        <v>42874</v>
      </c>
      <c r="J1387">
        <v>3151</v>
      </c>
    </row>
    <row r="1388" spans="1:10" x14ac:dyDescent="0.3">
      <c r="A1388" t="s">
        <v>1519</v>
      </c>
      <c r="B1388" t="s">
        <v>252</v>
      </c>
      <c r="C1388" t="str">
        <f>_xlfn.XLOOKUP(B1388,
[1]sales_teams!$A$2:$A$100,
[1]sales_teams!$B$2:$B$100)</f>
        <v>Melvin Marxen</v>
      </c>
      <c r="D1388" t="str">
        <f>_xlfn.XLOOKUP($B1388,sales_teams!$A$2:$A$36,sales_teams!C$2:C$36)</f>
        <v>Central</v>
      </c>
      <c r="E1388" t="s">
        <v>20</v>
      </c>
      <c r="F1388" t="s">
        <v>109</v>
      </c>
      <c r="G1388" t="s">
        <v>12</v>
      </c>
      <c r="H1388" s="1">
        <v>42802</v>
      </c>
      <c r="I1388" s="1">
        <v>42818</v>
      </c>
      <c r="J1388">
        <v>590</v>
      </c>
    </row>
    <row r="1389" spans="1:10" x14ac:dyDescent="0.3">
      <c r="A1389" t="s">
        <v>1520</v>
      </c>
      <c r="B1389" t="s">
        <v>252</v>
      </c>
      <c r="C1389" t="str">
        <f>_xlfn.XLOOKUP(B1389,
[1]sales_teams!$A$2:$A$100,
[1]sales_teams!$B$2:$B$100)</f>
        <v>Melvin Marxen</v>
      </c>
      <c r="D1389" t="str">
        <f>_xlfn.XLOOKUP($B1389,sales_teams!$A$2:$A$36,sales_teams!C$2:C$36)</f>
        <v>Central</v>
      </c>
      <c r="E1389" t="s">
        <v>39</v>
      </c>
      <c r="F1389" t="s">
        <v>27</v>
      </c>
      <c r="G1389" t="s">
        <v>12</v>
      </c>
      <c r="H1389" s="1">
        <v>42802</v>
      </c>
      <c r="I1389" s="1">
        <v>42812</v>
      </c>
      <c r="J1389">
        <v>3217</v>
      </c>
    </row>
    <row r="1390" spans="1:10" x14ac:dyDescent="0.3">
      <c r="A1390" t="s">
        <v>1521</v>
      </c>
      <c r="B1390" t="s">
        <v>78</v>
      </c>
      <c r="C1390" t="str">
        <f>_xlfn.XLOOKUP(B1390,
[1]sales_teams!$A$2:$A$100,
[1]sales_teams!$B$2:$B$100)</f>
        <v>Summer Sewald</v>
      </c>
      <c r="D1390" t="str">
        <f>_xlfn.XLOOKUP($B1390,sales_teams!$A$2:$A$36,sales_teams!C$2:C$36)</f>
        <v>West</v>
      </c>
      <c r="E1390" t="s">
        <v>20</v>
      </c>
      <c r="F1390" t="s">
        <v>79</v>
      </c>
      <c r="G1390" t="s">
        <v>12</v>
      </c>
      <c r="H1390" s="1">
        <v>42802</v>
      </c>
      <c r="I1390" s="1">
        <v>42805</v>
      </c>
      <c r="J1390">
        <v>597</v>
      </c>
    </row>
    <row r="1391" spans="1:10" x14ac:dyDescent="0.3">
      <c r="A1391" t="s">
        <v>1522</v>
      </c>
      <c r="B1391" t="s">
        <v>95</v>
      </c>
      <c r="C1391" t="str">
        <f>_xlfn.XLOOKUP(B1391,
[1]sales_teams!$A$2:$A$100,
[1]sales_teams!$B$2:$B$100)</f>
        <v>Summer Sewald</v>
      </c>
      <c r="D1391" t="str">
        <f>_xlfn.XLOOKUP($B1391,sales_teams!$A$2:$A$36,sales_teams!C$2:C$36)</f>
        <v>West</v>
      </c>
      <c r="E1391" t="s">
        <v>15</v>
      </c>
      <c r="F1391" t="s">
        <v>555</v>
      </c>
      <c r="G1391" t="s">
        <v>12</v>
      </c>
      <c r="H1391" s="1">
        <v>42802</v>
      </c>
      <c r="I1391" s="1">
        <v>42866</v>
      </c>
      <c r="J1391">
        <v>4918</v>
      </c>
    </row>
    <row r="1392" spans="1:10" x14ac:dyDescent="0.3">
      <c r="A1392" t="s">
        <v>1523</v>
      </c>
      <c r="B1392" t="s">
        <v>95</v>
      </c>
      <c r="C1392" t="str">
        <f>_xlfn.XLOOKUP(B1392,
[1]sales_teams!$A$2:$A$100,
[1]sales_teams!$B$2:$B$100)</f>
        <v>Summer Sewald</v>
      </c>
      <c r="D1392" t="str">
        <f>_xlfn.XLOOKUP($B1392,sales_teams!$A$2:$A$36,sales_teams!C$2:C$36)</f>
        <v>West</v>
      </c>
      <c r="E1392" t="s">
        <v>15</v>
      </c>
      <c r="F1392" t="s">
        <v>59</v>
      </c>
      <c r="G1392" t="s">
        <v>12</v>
      </c>
      <c r="H1392" s="1">
        <v>42802</v>
      </c>
      <c r="I1392" s="1">
        <v>42813</v>
      </c>
      <c r="J1392">
        <v>5266</v>
      </c>
    </row>
    <row r="1393" spans="1:10" x14ac:dyDescent="0.3">
      <c r="A1393" t="s">
        <v>1524</v>
      </c>
      <c r="B1393" t="s">
        <v>133</v>
      </c>
      <c r="C1393" t="str">
        <f>_xlfn.XLOOKUP(B1393,
[1]sales_teams!$A$2:$A$100,
[1]sales_teams!$B$2:$B$100)</f>
        <v>Dustin Brinkmann</v>
      </c>
      <c r="D1393" t="str">
        <f>_xlfn.XLOOKUP($B1393,sales_teams!$A$2:$A$36,sales_teams!C$2:C$36)</f>
        <v>Central</v>
      </c>
      <c r="E1393" t="s">
        <v>39</v>
      </c>
      <c r="F1393" t="s">
        <v>129</v>
      </c>
      <c r="G1393" t="s">
        <v>46</v>
      </c>
      <c r="H1393" s="1">
        <v>42802</v>
      </c>
      <c r="I1393" s="1">
        <v>42869</v>
      </c>
      <c r="J1393">
        <v>0</v>
      </c>
    </row>
    <row r="1394" spans="1:10" x14ac:dyDescent="0.3">
      <c r="A1394" t="s">
        <v>1525</v>
      </c>
      <c r="B1394" t="s">
        <v>32</v>
      </c>
      <c r="C1394" t="str">
        <f>_xlfn.XLOOKUP(B1394,
[1]sales_teams!$A$2:$A$100,
[1]sales_teams!$B$2:$B$100)</f>
        <v>Celia Rouche</v>
      </c>
      <c r="D1394" t="str">
        <f>_xlfn.XLOOKUP($B1394,sales_teams!$A$2:$A$36,sales_teams!C$2:C$36)</f>
        <v>West</v>
      </c>
      <c r="E1394" t="s">
        <v>20</v>
      </c>
      <c r="F1394" t="s">
        <v>143</v>
      </c>
      <c r="G1394" t="s">
        <v>40</v>
      </c>
      <c r="H1394" s="1">
        <v>42802</v>
      </c>
    </row>
    <row r="1395" spans="1:10" x14ac:dyDescent="0.3">
      <c r="A1395" t="s">
        <v>1526</v>
      </c>
      <c r="B1395" t="s">
        <v>32</v>
      </c>
      <c r="C1395" t="str">
        <f>_xlfn.XLOOKUP(B1395,
[1]sales_teams!$A$2:$A$100,
[1]sales_teams!$B$2:$B$100)</f>
        <v>Celia Rouche</v>
      </c>
      <c r="D1395" t="str">
        <f>_xlfn.XLOOKUP($B1395,sales_teams!$A$2:$A$36,sales_teams!C$2:C$36)</f>
        <v>West</v>
      </c>
      <c r="E1395" t="s">
        <v>20</v>
      </c>
      <c r="F1395" t="s">
        <v>273</v>
      </c>
      <c r="G1395" t="s">
        <v>46</v>
      </c>
      <c r="H1395" s="1">
        <v>42802</v>
      </c>
      <c r="I1395" s="1">
        <v>42872</v>
      </c>
      <c r="J1395">
        <v>0</v>
      </c>
    </row>
    <row r="1396" spans="1:10" x14ac:dyDescent="0.3">
      <c r="A1396" t="s">
        <v>1527</v>
      </c>
      <c r="B1396" t="s">
        <v>32</v>
      </c>
      <c r="C1396" t="str">
        <f>_xlfn.XLOOKUP(B1396,
[1]sales_teams!$A$2:$A$100,
[1]sales_teams!$B$2:$B$100)</f>
        <v>Celia Rouche</v>
      </c>
      <c r="D1396" t="str">
        <f>_xlfn.XLOOKUP($B1396,sales_teams!$A$2:$A$36,sales_teams!C$2:C$36)</f>
        <v>West</v>
      </c>
      <c r="E1396" t="s">
        <v>18</v>
      </c>
      <c r="F1396" t="s">
        <v>313</v>
      </c>
      <c r="G1396" t="s">
        <v>12</v>
      </c>
      <c r="H1396" s="1">
        <v>42802</v>
      </c>
      <c r="I1396" s="1">
        <v>42862</v>
      </c>
      <c r="J1396">
        <v>61</v>
      </c>
    </row>
    <row r="1397" spans="1:10" x14ac:dyDescent="0.3">
      <c r="A1397" t="s">
        <v>1528</v>
      </c>
      <c r="B1397" t="s">
        <v>32</v>
      </c>
      <c r="C1397" t="str">
        <f>_xlfn.XLOOKUP(B1397,
[1]sales_teams!$A$2:$A$100,
[1]sales_teams!$B$2:$B$100)</f>
        <v>Celia Rouche</v>
      </c>
      <c r="D1397" t="str">
        <f>_xlfn.XLOOKUP($B1397,sales_teams!$A$2:$A$36,sales_teams!C$2:C$36)</f>
        <v>West</v>
      </c>
      <c r="E1397" t="s">
        <v>39</v>
      </c>
      <c r="F1397" t="s">
        <v>194</v>
      </c>
      <c r="G1397" t="s">
        <v>12</v>
      </c>
      <c r="H1397" s="1">
        <v>42802</v>
      </c>
      <c r="I1397" s="1">
        <v>42886</v>
      </c>
      <c r="J1397">
        <v>3470</v>
      </c>
    </row>
    <row r="1398" spans="1:10" x14ac:dyDescent="0.3">
      <c r="A1398" t="s">
        <v>1529</v>
      </c>
      <c r="B1398" t="s">
        <v>9</v>
      </c>
      <c r="C1398" t="str">
        <f>_xlfn.XLOOKUP(B1398,
[1]sales_teams!$A$2:$A$100,
[1]sales_teams!$B$2:$B$100)</f>
        <v>Dustin Brinkmann</v>
      </c>
      <c r="D1398" t="str">
        <f>_xlfn.XLOOKUP($B1398,sales_teams!$A$2:$A$36,sales_teams!C$2:C$36)</f>
        <v>Central</v>
      </c>
      <c r="E1398" t="s">
        <v>20</v>
      </c>
      <c r="F1398" t="s">
        <v>303</v>
      </c>
      <c r="G1398" t="s">
        <v>46</v>
      </c>
      <c r="H1398" s="1">
        <v>42802</v>
      </c>
      <c r="I1398" s="1">
        <v>42912</v>
      </c>
      <c r="J1398">
        <v>0</v>
      </c>
    </row>
    <row r="1399" spans="1:10" x14ac:dyDescent="0.3">
      <c r="A1399" t="s">
        <v>1530</v>
      </c>
      <c r="B1399" t="s">
        <v>57</v>
      </c>
      <c r="C1399" t="str">
        <f>_xlfn.XLOOKUP(B1399,
[1]sales_teams!$A$2:$A$100,
[1]sales_teams!$B$2:$B$100)</f>
        <v>Celia Rouche</v>
      </c>
      <c r="D1399" t="str">
        <f>_xlfn.XLOOKUP($B1399,sales_teams!$A$2:$A$36,sales_teams!C$2:C$36)</f>
        <v>West</v>
      </c>
      <c r="E1399" t="s">
        <v>18</v>
      </c>
      <c r="F1399" t="s">
        <v>555</v>
      </c>
      <c r="G1399" t="s">
        <v>12</v>
      </c>
      <c r="H1399" s="1">
        <v>42802</v>
      </c>
      <c r="I1399" s="1">
        <v>42883</v>
      </c>
      <c r="J1399">
        <v>48</v>
      </c>
    </row>
    <row r="1400" spans="1:10" x14ac:dyDescent="0.3">
      <c r="A1400" t="s">
        <v>1531</v>
      </c>
      <c r="B1400" t="s">
        <v>88</v>
      </c>
      <c r="C1400" t="str">
        <f>_xlfn.XLOOKUP(B1400,
[1]sales_teams!$A$2:$A$100,
[1]sales_teams!$B$2:$B$100)</f>
        <v>Cara Losch</v>
      </c>
      <c r="D1400" t="str">
        <f>_xlfn.XLOOKUP($B1400,sales_teams!$A$2:$A$36,sales_teams!C$2:C$36)</f>
        <v>East</v>
      </c>
      <c r="E1400" t="s">
        <v>18</v>
      </c>
      <c r="F1400" t="s">
        <v>98</v>
      </c>
      <c r="G1400" t="s">
        <v>12</v>
      </c>
      <c r="H1400" s="1">
        <v>42802</v>
      </c>
      <c r="I1400" s="1">
        <v>42908</v>
      </c>
      <c r="J1400">
        <v>61</v>
      </c>
    </row>
    <row r="1401" spans="1:10" x14ac:dyDescent="0.3">
      <c r="A1401" t="s">
        <v>1532</v>
      </c>
      <c r="B1401" t="s">
        <v>29</v>
      </c>
      <c r="C1401" t="str">
        <f>_xlfn.XLOOKUP(B1401,
[1]sales_teams!$A$2:$A$100,
[1]sales_teams!$B$2:$B$100)</f>
        <v>Celia Rouche</v>
      </c>
      <c r="D1401" t="str">
        <f>_xlfn.XLOOKUP($B1401,sales_teams!$A$2:$A$36,sales_teams!C$2:C$36)</f>
        <v>West</v>
      </c>
      <c r="E1401" t="s">
        <v>18</v>
      </c>
      <c r="F1401" t="s">
        <v>313</v>
      </c>
      <c r="G1401" t="s">
        <v>46</v>
      </c>
      <c r="H1401" s="1">
        <v>42802</v>
      </c>
      <c r="I1401" s="1">
        <v>42881</v>
      </c>
      <c r="J1401">
        <v>0</v>
      </c>
    </row>
    <row r="1402" spans="1:10" x14ac:dyDescent="0.3">
      <c r="A1402" t="s">
        <v>1533</v>
      </c>
      <c r="B1402" t="s">
        <v>73</v>
      </c>
      <c r="C1402" t="str">
        <f>_xlfn.XLOOKUP(B1402,
[1]sales_teams!$A$2:$A$100,
[1]sales_teams!$B$2:$B$100)</f>
        <v>Cara Losch</v>
      </c>
      <c r="D1402" t="str">
        <f>_xlfn.XLOOKUP($B1402,sales_teams!$A$2:$A$36,sales_teams!C$2:C$36)</f>
        <v>East</v>
      </c>
      <c r="E1402" t="s">
        <v>20</v>
      </c>
      <c r="F1402" t="s">
        <v>143</v>
      </c>
      <c r="G1402" t="s">
        <v>46</v>
      </c>
      <c r="H1402" s="1">
        <v>42802</v>
      </c>
      <c r="I1402" s="1">
        <v>42884</v>
      </c>
      <c r="J1402">
        <v>0</v>
      </c>
    </row>
    <row r="1403" spans="1:10" x14ac:dyDescent="0.3">
      <c r="A1403" t="s">
        <v>1534</v>
      </c>
      <c r="B1403" t="s">
        <v>23</v>
      </c>
      <c r="C1403" t="str">
        <f>_xlfn.XLOOKUP(B1403,
[1]sales_teams!$A$2:$A$100,
[1]sales_teams!$B$2:$B$100)</f>
        <v>Summer Sewald</v>
      </c>
      <c r="D1403" t="str">
        <f>_xlfn.XLOOKUP($B1403,sales_teams!$A$2:$A$36,sales_teams!C$2:C$36)</f>
        <v>West</v>
      </c>
      <c r="E1403" t="s">
        <v>20</v>
      </c>
      <c r="F1403" t="s">
        <v>159</v>
      </c>
      <c r="G1403" t="s">
        <v>46</v>
      </c>
      <c r="H1403" s="1">
        <v>42802</v>
      </c>
      <c r="I1403" s="1">
        <v>42891</v>
      </c>
      <c r="J1403">
        <v>0</v>
      </c>
    </row>
    <row r="1404" spans="1:10" x14ac:dyDescent="0.3">
      <c r="A1404" t="s">
        <v>1535</v>
      </c>
      <c r="B1404" t="s">
        <v>23</v>
      </c>
      <c r="C1404" t="str">
        <f>_xlfn.XLOOKUP(B1404,
[1]sales_teams!$A$2:$A$100,
[1]sales_teams!$B$2:$B$100)</f>
        <v>Summer Sewald</v>
      </c>
      <c r="D1404" t="str">
        <f>_xlfn.XLOOKUP($B1404,sales_teams!$A$2:$A$36,sales_teams!C$2:C$36)</f>
        <v>West</v>
      </c>
      <c r="E1404" t="s">
        <v>10</v>
      </c>
      <c r="F1404" t="s">
        <v>168</v>
      </c>
      <c r="G1404" t="s">
        <v>46</v>
      </c>
      <c r="H1404" s="1">
        <v>42802</v>
      </c>
      <c r="I1404" s="1">
        <v>42882</v>
      </c>
      <c r="J1404">
        <v>0</v>
      </c>
    </row>
    <row r="1405" spans="1:10" x14ac:dyDescent="0.3">
      <c r="A1405" t="s">
        <v>1536</v>
      </c>
      <c r="B1405" t="s">
        <v>26</v>
      </c>
      <c r="C1405" t="str">
        <f>_xlfn.XLOOKUP(B1405,
[1]sales_teams!$A$2:$A$100,
[1]sales_teams!$B$2:$B$100)</f>
        <v>Dustin Brinkmann</v>
      </c>
      <c r="D1405" t="str">
        <f>_xlfn.XLOOKUP($B1405,sales_teams!$A$2:$A$36,sales_teams!C$2:C$36)</f>
        <v>Central</v>
      </c>
      <c r="E1405" t="s">
        <v>20</v>
      </c>
      <c r="F1405" t="s">
        <v>318</v>
      </c>
      <c r="G1405" t="s">
        <v>46</v>
      </c>
      <c r="H1405" s="1">
        <v>42803</v>
      </c>
      <c r="I1405" s="1">
        <v>42877</v>
      </c>
      <c r="J1405">
        <v>0</v>
      </c>
    </row>
    <row r="1406" spans="1:10" x14ac:dyDescent="0.3">
      <c r="A1406" t="s">
        <v>1537</v>
      </c>
      <c r="B1406" t="s">
        <v>26</v>
      </c>
      <c r="C1406" t="str">
        <f>_xlfn.XLOOKUP(B1406,
[1]sales_teams!$A$2:$A$100,
[1]sales_teams!$B$2:$B$100)</f>
        <v>Dustin Brinkmann</v>
      </c>
      <c r="D1406" t="str">
        <f>_xlfn.XLOOKUP($B1406,sales_teams!$A$2:$A$36,sales_teams!C$2:C$36)</f>
        <v>Central</v>
      </c>
      <c r="E1406" t="s">
        <v>48</v>
      </c>
      <c r="F1406" t="s">
        <v>315</v>
      </c>
      <c r="G1406" t="s">
        <v>46</v>
      </c>
      <c r="H1406" s="1">
        <v>42803</v>
      </c>
      <c r="I1406" s="1">
        <v>42866</v>
      </c>
      <c r="J1406">
        <v>0</v>
      </c>
    </row>
    <row r="1407" spans="1:10" x14ac:dyDescent="0.3">
      <c r="A1407" t="s">
        <v>1538</v>
      </c>
      <c r="B1407" t="s">
        <v>26</v>
      </c>
      <c r="C1407" t="str">
        <f>_xlfn.XLOOKUP(B1407,
[1]sales_teams!$A$2:$A$100,
[1]sales_teams!$B$2:$B$100)</f>
        <v>Dustin Brinkmann</v>
      </c>
      <c r="D1407" t="str">
        <f>_xlfn.XLOOKUP($B1407,sales_teams!$A$2:$A$36,sales_teams!C$2:C$36)</f>
        <v>Central</v>
      </c>
      <c r="E1407" t="s">
        <v>20</v>
      </c>
      <c r="F1407" t="s">
        <v>492</v>
      </c>
      <c r="G1407" t="s">
        <v>12</v>
      </c>
      <c r="H1407" s="1">
        <v>42803</v>
      </c>
      <c r="I1407" s="1">
        <v>42897</v>
      </c>
      <c r="J1407">
        <v>595</v>
      </c>
    </row>
    <row r="1408" spans="1:10" x14ac:dyDescent="0.3">
      <c r="A1408" t="s">
        <v>1539</v>
      </c>
      <c r="B1408" t="s">
        <v>26</v>
      </c>
      <c r="C1408" t="str">
        <f>_xlfn.XLOOKUP(B1408,
[1]sales_teams!$A$2:$A$100,
[1]sales_teams!$B$2:$B$100)</f>
        <v>Dustin Brinkmann</v>
      </c>
      <c r="D1408" t="str">
        <f>_xlfn.XLOOKUP($B1408,sales_teams!$A$2:$A$36,sales_teams!C$2:C$36)</f>
        <v>Central</v>
      </c>
      <c r="E1408" t="s">
        <v>18</v>
      </c>
      <c r="F1408" t="s">
        <v>36</v>
      </c>
      <c r="G1408" t="s">
        <v>12</v>
      </c>
      <c r="H1408" s="1">
        <v>42803</v>
      </c>
      <c r="I1408" s="1">
        <v>42887</v>
      </c>
      <c r="J1408">
        <v>51</v>
      </c>
    </row>
    <row r="1409" spans="1:10" x14ac:dyDescent="0.3">
      <c r="A1409" t="s">
        <v>1540</v>
      </c>
      <c r="B1409" t="s">
        <v>139</v>
      </c>
      <c r="C1409" t="str">
        <f>_xlfn.XLOOKUP(B1409,
[1]sales_teams!$A$2:$A$100,
[1]sales_teams!$B$2:$B$100)</f>
        <v>Rocco Neubert</v>
      </c>
      <c r="D1409" t="str">
        <f>_xlfn.XLOOKUP($B1409,sales_teams!$A$2:$A$36,sales_teams!C$2:C$36)</f>
        <v>East</v>
      </c>
      <c r="E1409" t="s">
        <v>18</v>
      </c>
      <c r="F1409" t="s">
        <v>140</v>
      </c>
      <c r="G1409" t="s">
        <v>46</v>
      </c>
      <c r="H1409" s="1">
        <v>42803</v>
      </c>
      <c r="I1409" s="1">
        <v>42894</v>
      </c>
      <c r="J1409">
        <v>0</v>
      </c>
    </row>
    <row r="1410" spans="1:10" x14ac:dyDescent="0.3">
      <c r="A1410" t="s">
        <v>1541</v>
      </c>
      <c r="B1410" t="s">
        <v>118</v>
      </c>
      <c r="C1410" t="str">
        <f>_xlfn.XLOOKUP(B1410,
[1]sales_teams!$A$2:$A$100,
[1]sales_teams!$B$2:$B$100)</f>
        <v>Rocco Neubert</v>
      </c>
      <c r="D1410" t="str">
        <f>_xlfn.XLOOKUP($B1410,sales_teams!$A$2:$A$36,sales_teams!C$2:C$36)</f>
        <v>East</v>
      </c>
      <c r="E1410" t="s">
        <v>15</v>
      </c>
      <c r="F1410" t="s">
        <v>155</v>
      </c>
      <c r="G1410" t="s">
        <v>12</v>
      </c>
      <c r="H1410" s="1">
        <v>42803</v>
      </c>
      <c r="I1410" s="1">
        <v>42880</v>
      </c>
      <c r="J1410">
        <v>4624</v>
      </c>
    </row>
    <row r="1411" spans="1:10" x14ac:dyDescent="0.3">
      <c r="A1411" t="s">
        <v>1542</v>
      </c>
      <c r="B1411" t="s">
        <v>164</v>
      </c>
      <c r="C1411" t="str">
        <f>_xlfn.XLOOKUP(B1411,
[1]sales_teams!$A$2:$A$100,
[1]sales_teams!$B$2:$B$100)</f>
        <v>Cara Losch</v>
      </c>
      <c r="D1411" t="str">
        <f>_xlfn.XLOOKUP($B1411,sales_teams!$A$2:$A$36,sales_teams!C$2:C$36)</f>
        <v>East</v>
      </c>
      <c r="E1411" t="s">
        <v>10</v>
      </c>
      <c r="G1411" t="s">
        <v>40</v>
      </c>
      <c r="H1411" s="1">
        <v>42803</v>
      </c>
    </row>
    <row r="1412" spans="1:10" x14ac:dyDescent="0.3">
      <c r="A1412" t="s">
        <v>1543</v>
      </c>
      <c r="B1412" t="s">
        <v>64</v>
      </c>
      <c r="C1412" t="str">
        <f>_xlfn.XLOOKUP(B1412,
[1]sales_teams!$A$2:$A$100,
[1]sales_teams!$B$2:$B$100)</f>
        <v>Rocco Neubert</v>
      </c>
      <c r="D1412" t="str">
        <f>_xlfn.XLOOKUP($B1412,sales_teams!$A$2:$A$36,sales_teams!C$2:C$36)</f>
        <v>East</v>
      </c>
      <c r="E1412" t="s">
        <v>20</v>
      </c>
      <c r="F1412" t="s">
        <v>106</v>
      </c>
      <c r="G1412" t="s">
        <v>40</v>
      </c>
      <c r="H1412" s="1">
        <v>42803</v>
      </c>
    </row>
    <row r="1413" spans="1:10" x14ac:dyDescent="0.3">
      <c r="A1413" t="s">
        <v>1544</v>
      </c>
      <c r="B1413" t="s">
        <v>64</v>
      </c>
      <c r="C1413" t="str">
        <f>_xlfn.XLOOKUP(B1413,
[1]sales_teams!$A$2:$A$100,
[1]sales_teams!$B$2:$B$100)</f>
        <v>Rocco Neubert</v>
      </c>
      <c r="D1413" t="str">
        <f>_xlfn.XLOOKUP($B1413,sales_teams!$A$2:$A$36,sales_teams!C$2:C$36)</f>
        <v>East</v>
      </c>
      <c r="E1413" t="s">
        <v>20</v>
      </c>
      <c r="G1413" t="s">
        <v>40</v>
      </c>
      <c r="H1413" s="1">
        <v>42803</v>
      </c>
    </row>
    <row r="1414" spans="1:10" x14ac:dyDescent="0.3">
      <c r="A1414" t="s">
        <v>1545</v>
      </c>
      <c r="B1414" t="s">
        <v>14</v>
      </c>
      <c r="C1414" t="str">
        <f>_xlfn.XLOOKUP(B1414,
[1]sales_teams!$A$2:$A$100,
[1]sales_teams!$B$2:$B$100)</f>
        <v>Melvin Marxen</v>
      </c>
      <c r="D1414" t="str">
        <f>_xlfn.XLOOKUP($B1414,sales_teams!$A$2:$A$36,sales_teams!C$2:C$36)</f>
        <v>Central</v>
      </c>
      <c r="E1414" t="s">
        <v>10</v>
      </c>
      <c r="F1414" t="s">
        <v>129</v>
      </c>
      <c r="G1414" t="s">
        <v>46</v>
      </c>
      <c r="H1414" s="1">
        <v>42803</v>
      </c>
      <c r="I1414" s="1">
        <v>42870</v>
      </c>
      <c r="J1414">
        <v>0</v>
      </c>
    </row>
    <row r="1415" spans="1:10" x14ac:dyDescent="0.3">
      <c r="A1415" t="s">
        <v>1546</v>
      </c>
      <c r="B1415" t="s">
        <v>14</v>
      </c>
      <c r="C1415" t="str">
        <f>_xlfn.XLOOKUP(B1415,
[1]sales_teams!$A$2:$A$100,
[1]sales_teams!$B$2:$B$100)</f>
        <v>Melvin Marxen</v>
      </c>
      <c r="D1415" t="str">
        <f>_xlfn.XLOOKUP($B1415,sales_teams!$A$2:$A$36,sales_teams!C$2:C$36)</f>
        <v>Central</v>
      </c>
      <c r="E1415" t="s">
        <v>18</v>
      </c>
      <c r="F1415" t="s">
        <v>42</v>
      </c>
      <c r="G1415" t="s">
        <v>46</v>
      </c>
      <c r="H1415" s="1">
        <v>42803</v>
      </c>
      <c r="I1415" s="1">
        <v>42883</v>
      </c>
      <c r="J1415">
        <v>0</v>
      </c>
    </row>
    <row r="1416" spans="1:10" x14ac:dyDescent="0.3">
      <c r="A1416" t="s">
        <v>1547</v>
      </c>
      <c r="B1416" t="s">
        <v>14</v>
      </c>
      <c r="C1416" t="str">
        <f>_xlfn.XLOOKUP(B1416,
[1]sales_teams!$A$2:$A$100,
[1]sales_teams!$B$2:$B$100)</f>
        <v>Melvin Marxen</v>
      </c>
      <c r="D1416" t="str">
        <f>_xlfn.XLOOKUP($B1416,sales_teams!$A$2:$A$36,sales_teams!C$2:C$36)</f>
        <v>Central</v>
      </c>
      <c r="E1416" t="s">
        <v>20</v>
      </c>
      <c r="F1416" t="s">
        <v>135</v>
      </c>
      <c r="G1416" t="s">
        <v>12</v>
      </c>
      <c r="H1416" s="1">
        <v>42803</v>
      </c>
      <c r="I1416" s="1">
        <v>42903</v>
      </c>
      <c r="J1416">
        <v>571</v>
      </c>
    </row>
    <row r="1417" spans="1:10" x14ac:dyDescent="0.3">
      <c r="A1417" t="s">
        <v>1548</v>
      </c>
      <c r="B1417" t="s">
        <v>67</v>
      </c>
      <c r="C1417" t="str">
        <f>_xlfn.XLOOKUP(B1417,
[1]sales_teams!$A$2:$A$100,
[1]sales_teams!$B$2:$B$100)</f>
        <v>Celia Rouche</v>
      </c>
      <c r="D1417" t="str">
        <f>_xlfn.XLOOKUP($B1417,sales_teams!$A$2:$A$36,sales_teams!C$2:C$36)</f>
        <v>West</v>
      </c>
      <c r="E1417" t="s">
        <v>39</v>
      </c>
      <c r="F1417" t="s">
        <v>184</v>
      </c>
      <c r="G1417" t="s">
        <v>12</v>
      </c>
      <c r="H1417" s="1">
        <v>42803</v>
      </c>
      <c r="I1417" s="1">
        <v>42819</v>
      </c>
      <c r="J1417">
        <v>3333</v>
      </c>
    </row>
    <row r="1418" spans="1:10" x14ac:dyDescent="0.3">
      <c r="A1418" t="s">
        <v>1549</v>
      </c>
      <c r="B1418" t="s">
        <v>44</v>
      </c>
      <c r="C1418" t="str">
        <f>_xlfn.XLOOKUP(B1418,
[1]sales_teams!$A$2:$A$100,
[1]sales_teams!$B$2:$B$100)</f>
        <v>Melvin Marxen</v>
      </c>
      <c r="D1418" t="str">
        <f>_xlfn.XLOOKUP($B1418,sales_teams!$A$2:$A$36,sales_teams!C$2:C$36)</f>
        <v>Central</v>
      </c>
      <c r="E1418" t="s">
        <v>48</v>
      </c>
      <c r="F1418" t="s">
        <v>16</v>
      </c>
      <c r="G1418" t="s">
        <v>12</v>
      </c>
      <c r="H1418" s="1">
        <v>42803</v>
      </c>
      <c r="I1418" s="1">
        <v>42871</v>
      </c>
      <c r="J1418">
        <v>4853</v>
      </c>
    </row>
    <row r="1419" spans="1:10" x14ac:dyDescent="0.3">
      <c r="A1419" t="s">
        <v>1550</v>
      </c>
      <c r="B1419" t="s">
        <v>44</v>
      </c>
      <c r="C1419" t="str">
        <f>_xlfn.XLOOKUP(B1419,
[1]sales_teams!$A$2:$A$100,
[1]sales_teams!$B$2:$B$100)</f>
        <v>Melvin Marxen</v>
      </c>
      <c r="D1419" t="str">
        <f>_xlfn.XLOOKUP($B1419,sales_teams!$A$2:$A$36,sales_teams!C$2:C$36)</f>
        <v>Central</v>
      </c>
      <c r="E1419" t="s">
        <v>18</v>
      </c>
      <c r="F1419" t="s">
        <v>170</v>
      </c>
      <c r="G1419" t="s">
        <v>12</v>
      </c>
      <c r="H1419" s="1">
        <v>42803</v>
      </c>
      <c r="I1419" s="1">
        <v>42894</v>
      </c>
      <c r="J1419">
        <v>51</v>
      </c>
    </row>
    <row r="1420" spans="1:10" x14ac:dyDescent="0.3">
      <c r="A1420" t="s">
        <v>1551</v>
      </c>
      <c r="B1420" t="s">
        <v>38</v>
      </c>
      <c r="C1420" t="str">
        <f>_xlfn.XLOOKUP(B1420,
[1]sales_teams!$A$2:$A$100,
[1]sales_teams!$B$2:$B$100)</f>
        <v>Summer Sewald</v>
      </c>
      <c r="D1420" t="str">
        <f>_xlfn.XLOOKUP($B1420,sales_teams!$A$2:$A$36,sales_teams!C$2:C$36)</f>
        <v>West</v>
      </c>
      <c r="E1420" t="s">
        <v>18</v>
      </c>
      <c r="F1420" t="s">
        <v>89</v>
      </c>
      <c r="G1420" t="s">
        <v>40</v>
      </c>
      <c r="H1420" s="1">
        <v>42803</v>
      </c>
    </row>
    <row r="1421" spans="1:10" x14ac:dyDescent="0.3">
      <c r="A1421" t="s">
        <v>1552</v>
      </c>
      <c r="B1421" t="s">
        <v>38</v>
      </c>
      <c r="C1421" t="str">
        <f>_xlfn.XLOOKUP(B1421,
[1]sales_teams!$A$2:$A$100,
[1]sales_teams!$B$2:$B$100)</f>
        <v>Summer Sewald</v>
      </c>
      <c r="D1421" t="str">
        <f>_xlfn.XLOOKUP($B1421,sales_teams!$A$2:$A$36,sales_teams!C$2:C$36)</f>
        <v>West</v>
      </c>
      <c r="E1421" t="s">
        <v>39</v>
      </c>
      <c r="G1421" t="s">
        <v>40</v>
      </c>
      <c r="H1421" s="1">
        <v>42803</v>
      </c>
    </row>
    <row r="1422" spans="1:10" x14ac:dyDescent="0.3">
      <c r="A1422" t="s">
        <v>1553</v>
      </c>
      <c r="B1422" t="s">
        <v>38</v>
      </c>
      <c r="C1422" t="str">
        <f>_xlfn.XLOOKUP(B1422,
[1]sales_teams!$A$2:$A$100,
[1]sales_teams!$B$2:$B$100)</f>
        <v>Summer Sewald</v>
      </c>
      <c r="D1422" t="str">
        <f>_xlfn.XLOOKUP($B1422,sales_teams!$A$2:$A$36,sales_teams!C$2:C$36)</f>
        <v>West</v>
      </c>
      <c r="E1422" t="s">
        <v>20</v>
      </c>
      <c r="F1422" t="s">
        <v>33</v>
      </c>
      <c r="G1422" t="s">
        <v>46</v>
      </c>
      <c r="H1422" s="1">
        <v>42803</v>
      </c>
      <c r="I1422" s="1">
        <v>42878</v>
      </c>
      <c r="J1422">
        <v>0</v>
      </c>
    </row>
    <row r="1423" spans="1:10" x14ac:dyDescent="0.3">
      <c r="A1423" t="s">
        <v>1554</v>
      </c>
      <c r="B1423" t="s">
        <v>78</v>
      </c>
      <c r="C1423" t="str">
        <f>_xlfn.XLOOKUP(B1423,
[1]sales_teams!$A$2:$A$100,
[1]sales_teams!$B$2:$B$100)</f>
        <v>Summer Sewald</v>
      </c>
      <c r="D1423" t="str">
        <f>_xlfn.XLOOKUP($B1423,sales_teams!$A$2:$A$36,sales_teams!C$2:C$36)</f>
        <v>West</v>
      </c>
      <c r="E1423" t="s">
        <v>15</v>
      </c>
      <c r="F1423" t="s">
        <v>33</v>
      </c>
      <c r="G1423" t="s">
        <v>12</v>
      </c>
      <c r="H1423" s="1">
        <v>42803</v>
      </c>
      <c r="I1423" s="1">
        <v>42903</v>
      </c>
      <c r="J1423">
        <v>5035</v>
      </c>
    </row>
    <row r="1424" spans="1:10" x14ac:dyDescent="0.3">
      <c r="A1424" t="s">
        <v>1555</v>
      </c>
      <c r="B1424" t="s">
        <v>116</v>
      </c>
      <c r="C1424" t="str">
        <f>_xlfn.XLOOKUP(B1424,
[1]sales_teams!$A$2:$A$100,
[1]sales_teams!$B$2:$B$100)</f>
        <v>Melvin Marxen</v>
      </c>
      <c r="D1424" t="str">
        <f>_xlfn.XLOOKUP($B1424,sales_teams!$A$2:$A$36,sales_teams!C$2:C$36)</f>
        <v>Central</v>
      </c>
      <c r="E1424" t="s">
        <v>18</v>
      </c>
      <c r="F1424" t="s">
        <v>21</v>
      </c>
      <c r="G1424" t="s">
        <v>12</v>
      </c>
      <c r="H1424" s="1">
        <v>42803</v>
      </c>
      <c r="I1424" s="1">
        <v>42887</v>
      </c>
      <c r="J1424">
        <v>51</v>
      </c>
    </row>
    <row r="1425" spans="1:10" x14ac:dyDescent="0.3">
      <c r="A1425" t="s">
        <v>1556</v>
      </c>
      <c r="B1425" t="s">
        <v>51</v>
      </c>
      <c r="C1425" t="str">
        <f>_xlfn.XLOOKUP(B1425,
[1]sales_teams!$A$2:$A$100,
[1]sales_teams!$B$2:$B$100)</f>
        <v>Summer Sewald</v>
      </c>
      <c r="D1425" t="str">
        <f>_xlfn.XLOOKUP($B1425,sales_teams!$A$2:$A$36,sales_teams!C$2:C$36)</f>
        <v>West</v>
      </c>
      <c r="E1425" t="s">
        <v>15</v>
      </c>
      <c r="F1425" t="s">
        <v>174</v>
      </c>
      <c r="G1425" t="s">
        <v>12</v>
      </c>
      <c r="H1425" s="1">
        <v>42803</v>
      </c>
      <c r="I1425" s="1">
        <v>42895</v>
      </c>
      <c r="J1425">
        <v>4342</v>
      </c>
    </row>
    <row r="1426" spans="1:10" x14ac:dyDescent="0.3">
      <c r="A1426" t="s">
        <v>1557</v>
      </c>
      <c r="B1426" t="s">
        <v>61</v>
      </c>
      <c r="C1426" t="str">
        <f>_xlfn.XLOOKUP(B1426,
[1]sales_teams!$A$2:$A$100,
[1]sales_teams!$B$2:$B$100)</f>
        <v>Dustin Brinkmann</v>
      </c>
      <c r="D1426" t="str">
        <f>_xlfn.XLOOKUP($B1426,sales_teams!$A$2:$A$36,sales_teams!C$2:C$36)</f>
        <v>Central</v>
      </c>
      <c r="E1426" t="s">
        <v>39</v>
      </c>
      <c r="F1426" t="s">
        <v>21</v>
      </c>
      <c r="G1426" t="s">
        <v>46</v>
      </c>
      <c r="H1426" s="1">
        <v>42803</v>
      </c>
      <c r="I1426" s="1">
        <v>42807</v>
      </c>
      <c r="J1426">
        <v>0</v>
      </c>
    </row>
    <row r="1427" spans="1:10" x14ac:dyDescent="0.3">
      <c r="A1427" t="s">
        <v>1558</v>
      </c>
      <c r="B1427" t="s">
        <v>73</v>
      </c>
      <c r="C1427" t="str">
        <f>_xlfn.XLOOKUP(B1427,
[1]sales_teams!$A$2:$A$100,
[1]sales_teams!$B$2:$B$100)</f>
        <v>Cara Losch</v>
      </c>
      <c r="D1427" t="str">
        <f>_xlfn.XLOOKUP($B1427,sales_teams!$A$2:$A$36,sales_teams!C$2:C$36)</f>
        <v>East</v>
      </c>
      <c r="E1427" t="s">
        <v>18</v>
      </c>
      <c r="G1427" t="s">
        <v>40</v>
      </c>
      <c r="H1427" s="1">
        <v>42803</v>
      </c>
    </row>
    <row r="1428" spans="1:10" x14ac:dyDescent="0.3">
      <c r="A1428" t="s">
        <v>1559</v>
      </c>
      <c r="B1428" t="s">
        <v>73</v>
      </c>
      <c r="C1428" t="str">
        <f>_xlfn.XLOOKUP(B1428,
[1]sales_teams!$A$2:$A$100,
[1]sales_teams!$B$2:$B$100)</f>
        <v>Cara Losch</v>
      </c>
      <c r="D1428" t="str">
        <f>_xlfn.XLOOKUP($B1428,sales_teams!$A$2:$A$36,sales_teams!C$2:C$36)</f>
        <v>East</v>
      </c>
      <c r="E1428" t="s">
        <v>18</v>
      </c>
      <c r="F1428" t="s">
        <v>74</v>
      </c>
      <c r="G1428" t="s">
        <v>12</v>
      </c>
      <c r="H1428" s="1">
        <v>42803</v>
      </c>
      <c r="I1428" s="1">
        <v>42908</v>
      </c>
      <c r="J1428">
        <v>48</v>
      </c>
    </row>
    <row r="1429" spans="1:10" x14ac:dyDescent="0.3">
      <c r="A1429" t="s">
        <v>1560</v>
      </c>
      <c r="B1429" t="s">
        <v>23</v>
      </c>
      <c r="C1429" t="str">
        <f>_xlfn.XLOOKUP(B1429,
[1]sales_teams!$A$2:$A$100,
[1]sales_teams!$B$2:$B$100)</f>
        <v>Summer Sewald</v>
      </c>
      <c r="D1429" t="str">
        <f>_xlfn.XLOOKUP($B1429,sales_teams!$A$2:$A$36,sales_teams!C$2:C$36)</f>
        <v>West</v>
      </c>
      <c r="E1429" t="s">
        <v>48</v>
      </c>
      <c r="F1429" t="s">
        <v>155</v>
      </c>
      <c r="G1429" t="s">
        <v>12</v>
      </c>
      <c r="H1429" s="1">
        <v>42803</v>
      </c>
      <c r="I1429" s="1">
        <v>42873</v>
      </c>
      <c r="J1429">
        <v>5215</v>
      </c>
    </row>
    <row r="1430" spans="1:10" x14ac:dyDescent="0.3">
      <c r="A1430" t="s">
        <v>1561</v>
      </c>
      <c r="B1430" t="s">
        <v>26</v>
      </c>
      <c r="C1430" t="str">
        <f>_xlfn.XLOOKUP(B1430,
[1]sales_teams!$A$2:$A$100,
[1]sales_teams!$B$2:$B$100)</f>
        <v>Dustin Brinkmann</v>
      </c>
      <c r="D1430" t="str">
        <f>_xlfn.XLOOKUP($B1430,sales_teams!$A$2:$A$36,sales_teams!C$2:C$36)</f>
        <v>Central</v>
      </c>
      <c r="E1430" t="s">
        <v>10</v>
      </c>
      <c r="F1430" t="s">
        <v>492</v>
      </c>
      <c r="G1430" t="s">
        <v>46</v>
      </c>
      <c r="H1430" s="1">
        <v>42804</v>
      </c>
      <c r="I1430" s="1">
        <v>42867</v>
      </c>
      <c r="J1430">
        <v>0</v>
      </c>
    </row>
    <row r="1431" spans="1:10" x14ac:dyDescent="0.3">
      <c r="A1431" t="s">
        <v>1562</v>
      </c>
      <c r="B1431" t="s">
        <v>26</v>
      </c>
      <c r="C1431" t="str">
        <f>_xlfn.XLOOKUP(B1431,
[1]sales_teams!$A$2:$A$100,
[1]sales_teams!$B$2:$B$100)</f>
        <v>Dustin Brinkmann</v>
      </c>
      <c r="D1431" t="str">
        <f>_xlfn.XLOOKUP($B1431,sales_teams!$A$2:$A$36,sales_teams!C$2:C$36)</f>
        <v>Central</v>
      </c>
      <c r="E1431" t="s">
        <v>18</v>
      </c>
      <c r="F1431" t="s">
        <v>109</v>
      </c>
      <c r="G1431" t="s">
        <v>12</v>
      </c>
      <c r="H1431" s="1">
        <v>42804</v>
      </c>
      <c r="I1431" s="1">
        <v>42813</v>
      </c>
      <c r="J1431">
        <v>58</v>
      </c>
    </row>
    <row r="1432" spans="1:10" x14ac:dyDescent="0.3">
      <c r="A1432" t="s">
        <v>1563</v>
      </c>
      <c r="B1432" t="s">
        <v>202</v>
      </c>
      <c r="C1432" t="str">
        <f>_xlfn.XLOOKUP(B1432,
[1]sales_teams!$A$2:$A$100,
[1]sales_teams!$B$2:$B$100)</f>
        <v>Dustin Brinkmann</v>
      </c>
      <c r="D1432" t="str">
        <f>_xlfn.XLOOKUP($B1432,sales_teams!$A$2:$A$36,sales_teams!C$2:C$36)</f>
        <v>Central</v>
      </c>
      <c r="E1432" t="s">
        <v>39</v>
      </c>
      <c r="F1432" t="s">
        <v>129</v>
      </c>
      <c r="G1432" t="s">
        <v>12</v>
      </c>
      <c r="H1432" s="1">
        <v>42804</v>
      </c>
      <c r="I1432" s="1">
        <v>42814</v>
      </c>
      <c r="J1432">
        <v>3587</v>
      </c>
    </row>
    <row r="1433" spans="1:10" x14ac:dyDescent="0.3">
      <c r="A1433" t="s">
        <v>1564</v>
      </c>
      <c r="B1433" t="s">
        <v>202</v>
      </c>
      <c r="C1433" t="str">
        <f>_xlfn.XLOOKUP(B1433,
[1]sales_teams!$A$2:$A$100,
[1]sales_teams!$B$2:$B$100)</f>
        <v>Dustin Brinkmann</v>
      </c>
      <c r="D1433" t="str">
        <f>_xlfn.XLOOKUP($B1433,sales_teams!$A$2:$A$36,sales_teams!C$2:C$36)</f>
        <v>Central</v>
      </c>
      <c r="E1433" t="s">
        <v>39</v>
      </c>
      <c r="F1433" t="s">
        <v>76</v>
      </c>
      <c r="G1433" t="s">
        <v>12</v>
      </c>
      <c r="H1433" s="1">
        <v>42804</v>
      </c>
      <c r="I1433" s="1">
        <v>42884</v>
      </c>
      <c r="J1433">
        <v>2915</v>
      </c>
    </row>
    <row r="1434" spans="1:10" x14ac:dyDescent="0.3">
      <c r="A1434" t="s">
        <v>1565</v>
      </c>
      <c r="B1434" t="s">
        <v>64</v>
      </c>
      <c r="C1434" t="str">
        <f>_xlfn.XLOOKUP(B1434,
[1]sales_teams!$A$2:$A$100,
[1]sales_teams!$B$2:$B$100)</f>
        <v>Rocco Neubert</v>
      </c>
      <c r="D1434" t="str">
        <f>_xlfn.XLOOKUP($B1434,sales_teams!$A$2:$A$36,sales_teams!C$2:C$36)</f>
        <v>East</v>
      </c>
      <c r="E1434" t="s">
        <v>15</v>
      </c>
      <c r="F1434" t="s">
        <v>199</v>
      </c>
      <c r="G1434" t="s">
        <v>12</v>
      </c>
      <c r="H1434" s="1">
        <v>42804</v>
      </c>
      <c r="I1434" s="1">
        <v>42914</v>
      </c>
      <c r="J1434">
        <v>4762</v>
      </c>
    </row>
    <row r="1435" spans="1:10" x14ac:dyDescent="0.3">
      <c r="A1435" t="s">
        <v>1566</v>
      </c>
      <c r="B1435" t="s">
        <v>105</v>
      </c>
      <c r="C1435" t="str">
        <f>_xlfn.XLOOKUP(B1435,
[1]sales_teams!$A$2:$A$100,
[1]sales_teams!$B$2:$B$100)</f>
        <v>Cara Losch</v>
      </c>
      <c r="D1435" t="str">
        <f>_xlfn.XLOOKUP($B1435,sales_teams!$A$2:$A$36,sales_teams!C$2:C$36)</f>
        <v>East</v>
      </c>
      <c r="E1435" t="s">
        <v>10</v>
      </c>
      <c r="F1435" t="s">
        <v>237</v>
      </c>
      <c r="G1435" t="s">
        <v>12</v>
      </c>
      <c r="H1435" s="1">
        <v>42804</v>
      </c>
      <c r="I1435" s="1">
        <v>42898</v>
      </c>
      <c r="J1435">
        <v>1062</v>
      </c>
    </row>
    <row r="1436" spans="1:10" x14ac:dyDescent="0.3">
      <c r="A1436" t="s">
        <v>1567</v>
      </c>
      <c r="B1436" t="s">
        <v>44</v>
      </c>
      <c r="C1436" t="str">
        <f>_xlfn.XLOOKUP(B1436,
[1]sales_teams!$A$2:$A$100,
[1]sales_teams!$B$2:$B$100)</f>
        <v>Melvin Marxen</v>
      </c>
      <c r="D1436" t="str">
        <f>_xlfn.XLOOKUP($B1436,sales_teams!$A$2:$A$36,sales_teams!C$2:C$36)</f>
        <v>Central</v>
      </c>
      <c r="E1436" t="s">
        <v>48</v>
      </c>
      <c r="F1436" t="s">
        <v>129</v>
      </c>
      <c r="G1436" t="s">
        <v>46</v>
      </c>
      <c r="H1436" s="1">
        <v>42804</v>
      </c>
      <c r="I1436" s="1">
        <v>42865</v>
      </c>
      <c r="J1436">
        <v>0</v>
      </c>
    </row>
    <row r="1437" spans="1:10" x14ac:dyDescent="0.3">
      <c r="A1437" t="s">
        <v>1568</v>
      </c>
      <c r="B1437" t="s">
        <v>38</v>
      </c>
      <c r="C1437" t="str">
        <f>_xlfn.XLOOKUP(B1437,
[1]sales_teams!$A$2:$A$100,
[1]sales_teams!$B$2:$B$100)</f>
        <v>Summer Sewald</v>
      </c>
      <c r="D1437" t="str">
        <f>_xlfn.XLOOKUP($B1437,sales_teams!$A$2:$A$36,sales_teams!C$2:C$36)</f>
        <v>West</v>
      </c>
      <c r="E1437" t="s">
        <v>48</v>
      </c>
      <c r="G1437" t="s">
        <v>40</v>
      </c>
      <c r="H1437" s="1">
        <v>42804</v>
      </c>
    </row>
    <row r="1438" spans="1:10" x14ac:dyDescent="0.3">
      <c r="A1438" t="s">
        <v>1569</v>
      </c>
      <c r="B1438" t="s">
        <v>95</v>
      </c>
      <c r="C1438" t="str">
        <f>_xlfn.XLOOKUP(B1438,
[1]sales_teams!$A$2:$A$100,
[1]sales_teams!$B$2:$B$100)</f>
        <v>Summer Sewald</v>
      </c>
      <c r="D1438" t="str">
        <f>_xlfn.XLOOKUP($B1438,sales_teams!$A$2:$A$36,sales_teams!C$2:C$36)</f>
        <v>West</v>
      </c>
      <c r="E1438" t="s">
        <v>20</v>
      </c>
      <c r="G1438" t="s">
        <v>40</v>
      </c>
      <c r="H1438" s="1">
        <v>42804</v>
      </c>
    </row>
    <row r="1439" spans="1:10" x14ac:dyDescent="0.3">
      <c r="A1439" t="s">
        <v>1570</v>
      </c>
      <c r="B1439" t="s">
        <v>95</v>
      </c>
      <c r="C1439" t="str">
        <f>_xlfn.XLOOKUP(B1439,
[1]sales_teams!$A$2:$A$100,
[1]sales_teams!$B$2:$B$100)</f>
        <v>Summer Sewald</v>
      </c>
      <c r="D1439" t="str">
        <f>_xlfn.XLOOKUP($B1439,sales_teams!$A$2:$A$36,sales_teams!C$2:C$36)</f>
        <v>West</v>
      </c>
      <c r="E1439" t="s">
        <v>20</v>
      </c>
      <c r="G1439" t="s">
        <v>40</v>
      </c>
      <c r="H1439" s="1">
        <v>42804</v>
      </c>
    </row>
    <row r="1440" spans="1:10" x14ac:dyDescent="0.3">
      <c r="A1440" t="s">
        <v>1571</v>
      </c>
      <c r="B1440" t="s">
        <v>95</v>
      </c>
      <c r="C1440" t="str">
        <f>_xlfn.XLOOKUP(B1440,
[1]sales_teams!$A$2:$A$100,
[1]sales_teams!$B$2:$B$100)</f>
        <v>Summer Sewald</v>
      </c>
      <c r="D1440" t="str">
        <f>_xlfn.XLOOKUP($B1440,sales_teams!$A$2:$A$36,sales_teams!C$2:C$36)</f>
        <v>West</v>
      </c>
      <c r="E1440" t="s">
        <v>20</v>
      </c>
      <c r="F1440" t="s">
        <v>155</v>
      </c>
      <c r="G1440" t="s">
        <v>46</v>
      </c>
      <c r="H1440" s="1">
        <v>42804</v>
      </c>
      <c r="I1440" s="1">
        <v>42885</v>
      </c>
      <c r="J1440">
        <v>0</v>
      </c>
    </row>
    <row r="1441" spans="1:10" x14ac:dyDescent="0.3">
      <c r="A1441" t="s">
        <v>1572</v>
      </c>
      <c r="B1441" t="s">
        <v>51</v>
      </c>
      <c r="C1441" t="str">
        <f>_xlfn.XLOOKUP(B1441,
[1]sales_teams!$A$2:$A$100,
[1]sales_teams!$B$2:$B$100)</f>
        <v>Summer Sewald</v>
      </c>
      <c r="D1441" t="str">
        <f>_xlfn.XLOOKUP($B1441,sales_teams!$A$2:$A$36,sales_teams!C$2:C$36)</f>
        <v>West</v>
      </c>
      <c r="E1441" t="s">
        <v>48</v>
      </c>
      <c r="F1441" t="s">
        <v>155</v>
      </c>
      <c r="G1441" t="s">
        <v>46</v>
      </c>
      <c r="H1441" s="1">
        <v>42804</v>
      </c>
      <c r="I1441" s="1">
        <v>42814</v>
      </c>
      <c r="J1441">
        <v>0</v>
      </c>
    </row>
    <row r="1442" spans="1:10" x14ac:dyDescent="0.3">
      <c r="A1442" t="s">
        <v>1573</v>
      </c>
      <c r="B1442" t="s">
        <v>88</v>
      </c>
      <c r="C1442" t="str">
        <f>_xlfn.XLOOKUP(B1442,
[1]sales_teams!$A$2:$A$100,
[1]sales_teams!$B$2:$B$100)</f>
        <v>Cara Losch</v>
      </c>
      <c r="D1442" t="str">
        <f>_xlfn.XLOOKUP($B1442,sales_teams!$A$2:$A$36,sales_teams!C$2:C$36)</f>
        <v>East</v>
      </c>
      <c r="E1442" t="s">
        <v>18</v>
      </c>
      <c r="F1442" t="s">
        <v>318</v>
      </c>
      <c r="G1442" t="s">
        <v>40</v>
      </c>
      <c r="H1442" s="1">
        <v>42804</v>
      </c>
    </row>
    <row r="1443" spans="1:10" x14ac:dyDescent="0.3">
      <c r="A1443" t="s">
        <v>1574</v>
      </c>
      <c r="B1443" t="s">
        <v>73</v>
      </c>
      <c r="C1443" t="str">
        <f>_xlfn.XLOOKUP(B1443,
[1]sales_teams!$A$2:$A$100,
[1]sales_teams!$B$2:$B$100)</f>
        <v>Cara Losch</v>
      </c>
      <c r="D1443" t="str">
        <f>_xlfn.XLOOKUP($B1443,sales_teams!$A$2:$A$36,sales_teams!C$2:C$36)</f>
        <v>East</v>
      </c>
      <c r="E1443" t="s">
        <v>18</v>
      </c>
      <c r="F1443" t="s">
        <v>222</v>
      </c>
      <c r="G1443" t="s">
        <v>46</v>
      </c>
      <c r="H1443" s="1">
        <v>42804</v>
      </c>
      <c r="I1443" s="1">
        <v>42884</v>
      </c>
      <c r="J1443">
        <v>0</v>
      </c>
    </row>
    <row r="1444" spans="1:10" x14ac:dyDescent="0.3">
      <c r="A1444" t="s">
        <v>1575</v>
      </c>
      <c r="B1444" t="s">
        <v>73</v>
      </c>
      <c r="C1444" t="str">
        <f>_xlfn.XLOOKUP(B1444,
[1]sales_teams!$A$2:$A$100,
[1]sales_teams!$B$2:$B$100)</f>
        <v>Cara Losch</v>
      </c>
      <c r="D1444" t="str">
        <f>_xlfn.XLOOKUP($B1444,sales_teams!$A$2:$A$36,sales_teams!C$2:C$36)</f>
        <v>East</v>
      </c>
      <c r="E1444" t="s">
        <v>10</v>
      </c>
      <c r="F1444" t="s">
        <v>373</v>
      </c>
      <c r="G1444" t="s">
        <v>12</v>
      </c>
      <c r="H1444" s="1">
        <v>42804</v>
      </c>
      <c r="I1444" s="1">
        <v>42914</v>
      </c>
      <c r="J1444">
        <v>1074</v>
      </c>
    </row>
    <row r="1445" spans="1:10" x14ac:dyDescent="0.3">
      <c r="A1445" t="s">
        <v>1576</v>
      </c>
      <c r="B1445" t="s">
        <v>23</v>
      </c>
      <c r="C1445" t="str">
        <f>_xlfn.XLOOKUP(B1445,
[1]sales_teams!$A$2:$A$100,
[1]sales_teams!$B$2:$B$100)</f>
        <v>Summer Sewald</v>
      </c>
      <c r="D1445" t="str">
        <f>_xlfn.XLOOKUP($B1445,sales_teams!$A$2:$A$36,sales_teams!C$2:C$36)</f>
        <v>West</v>
      </c>
      <c r="E1445" t="s">
        <v>18</v>
      </c>
      <c r="F1445" t="s">
        <v>555</v>
      </c>
      <c r="G1445" t="s">
        <v>46</v>
      </c>
      <c r="H1445" s="1">
        <v>42804</v>
      </c>
      <c r="I1445" s="1">
        <v>42860</v>
      </c>
      <c r="J1445">
        <v>0</v>
      </c>
    </row>
    <row r="1446" spans="1:10" x14ac:dyDescent="0.3">
      <c r="A1446" t="s">
        <v>1577</v>
      </c>
      <c r="B1446" t="s">
        <v>26</v>
      </c>
      <c r="C1446" t="str">
        <f>_xlfn.XLOOKUP(B1446,
[1]sales_teams!$A$2:$A$100,
[1]sales_teams!$B$2:$B$100)</f>
        <v>Dustin Brinkmann</v>
      </c>
      <c r="D1446" t="str">
        <f>_xlfn.XLOOKUP($B1446,sales_teams!$A$2:$A$36,sales_teams!C$2:C$36)</f>
        <v>Central</v>
      </c>
      <c r="E1446" t="s">
        <v>18</v>
      </c>
      <c r="F1446" t="s">
        <v>318</v>
      </c>
      <c r="G1446" t="s">
        <v>46</v>
      </c>
      <c r="H1446" s="1">
        <v>42805</v>
      </c>
      <c r="I1446" s="1">
        <v>42885</v>
      </c>
      <c r="J1446">
        <v>0</v>
      </c>
    </row>
    <row r="1447" spans="1:10" x14ac:dyDescent="0.3">
      <c r="A1447" t="s">
        <v>1578</v>
      </c>
      <c r="B1447" t="s">
        <v>26</v>
      </c>
      <c r="C1447" t="str">
        <f>_xlfn.XLOOKUP(B1447,
[1]sales_teams!$A$2:$A$100,
[1]sales_teams!$B$2:$B$100)</f>
        <v>Dustin Brinkmann</v>
      </c>
      <c r="D1447" t="str">
        <f>_xlfn.XLOOKUP($B1447,sales_teams!$A$2:$A$36,sales_teams!C$2:C$36)</f>
        <v>Central</v>
      </c>
      <c r="E1447" t="s">
        <v>18</v>
      </c>
      <c r="F1447" t="s">
        <v>231</v>
      </c>
      <c r="G1447" t="s">
        <v>12</v>
      </c>
      <c r="H1447" s="1">
        <v>42805</v>
      </c>
      <c r="I1447" s="1">
        <v>42811</v>
      </c>
      <c r="J1447">
        <v>57</v>
      </c>
    </row>
    <row r="1448" spans="1:10" x14ac:dyDescent="0.3">
      <c r="A1448" t="s">
        <v>1579</v>
      </c>
      <c r="B1448" t="s">
        <v>118</v>
      </c>
      <c r="C1448" t="str">
        <f>_xlfn.XLOOKUP(B1448,
[1]sales_teams!$A$2:$A$100,
[1]sales_teams!$B$2:$B$100)</f>
        <v>Rocco Neubert</v>
      </c>
      <c r="D1448" t="str">
        <f>_xlfn.XLOOKUP($B1448,sales_teams!$A$2:$A$36,sales_teams!C$2:C$36)</f>
        <v>East</v>
      </c>
      <c r="E1448" t="s">
        <v>20</v>
      </c>
      <c r="F1448" t="s">
        <v>89</v>
      </c>
      <c r="G1448" t="s">
        <v>12</v>
      </c>
      <c r="H1448" s="1">
        <v>42805</v>
      </c>
      <c r="I1448" s="1">
        <v>42877</v>
      </c>
      <c r="J1448">
        <v>586</v>
      </c>
    </row>
    <row r="1449" spans="1:10" x14ac:dyDescent="0.3">
      <c r="A1449" t="s">
        <v>1580</v>
      </c>
      <c r="B1449" t="s">
        <v>202</v>
      </c>
      <c r="C1449" t="str">
        <f>_xlfn.XLOOKUP(B1449,
[1]sales_teams!$A$2:$A$100,
[1]sales_teams!$B$2:$B$100)</f>
        <v>Dustin Brinkmann</v>
      </c>
      <c r="D1449" t="str">
        <f>_xlfn.XLOOKUP($B1449,sales_teams!$A$2:$A$36,sales_teams!C$2:C$36)</f>
        <v>Central</v>
      </c>
      <c r="E1449" t="s">
        <v>10</v>
      </c>
      <c r="F1449" t="s">
        <v>126</v>
      </c>
      <c r="G1449" t="s">
        <v>12</v>
      </c>
      <c r="H1449" s="1">
        <v>42805</v>
      </c>
      <c r="I1449" s="1">
        <v>42899</v>
      </c>
      <c r="J1449">
        <v>1184</v>
      </c>
    </row>
    <row r="1450" spans="1:10" x14ac:dyDescent="0.3">
      <c r="A1450" t="s">
        <v>1581</v>
      </c>
      <c r="B1450" t="s">
        <v>142</v>
      </c>
      <c r="C1450" t="str">
        <f>_xlfn.XLOOKUP(B1450,
[1]sales_teams!$A$2:$A$100,
[1]sales_teams!$B$2:$B$100)</f>
        <v>Rocco Neubert</v>
      </c>
      <c r="D1450" t="str">
        <f>_xlfn.XLOOKUP($B1450,sales_teams!$A$2:$A$36,sales_teams!C$2:C$36)</f>
        <v>East</v>
      </c>
      <c r="E1450" t="s">
        <v>20</v>
      </c>
      <c r="F1450" t="s">
        <v>143</v>
      </c>
      <c r="G1450" t="s">
        <v>46</v>
      </c>
      <c r="H1450" s="1">
        <v>42805</v>
      </c>
      <c r="I1450" s="1">
        <v>42874</v>
      </c>
      <c r="J1450">
        <v>0</v>
      </c>
    </row>
    <row r="1451" spans="1:10" x14ac:dyDescent="0.3">
      <c r="A1451" t="s">
        <v>1582</v>
      </c>
      <c r="B1451" t="s">
        <v>38</v>
      </c>
      <c r="C1451" t="str">
        <f>_xlfn.XLOOKUP(B1451,
[1]sales_teams!$A$2:$A$100,
[1]sales_teams!$B$2:$B$100)</f>
        <v>Summer Sewald</v>
      </c>
      <c r="D1451" t="str">
        <f>_xlfn.XLOOKUP($B1451,sales_teams!$A$2:$A$36,sales_teams!C$2:C$36)</f>
        <v>West</v>
      </c>
      <c r="E1451" t="s">
        <v>39</v>
      </c>
      <c r="G1451" t="s">
        <v>40</v>
      </c>
      <c r="H1451" s="1">
        <v>42805</v>
      </c>
    </row>
    <row r="1452" spans="1:10" x14ac:dyDescent="0.3">
      <c r="A1452" t="s">
        <v>1583</v>
      </c>
      <c r="B1452" t="s">
        <v>38</v>
      </c>
      <c r="C1452" t="str">
        <f>_xlfn.XLOOKUP(B1452,
[1]sales_teams!$A$2:$A$100,
[1]sales_teams!$B$2:$B$100)</f>
        <v>Summer Sewald</v>
      </c>
      <c r="D1452" t="str">
        <f>_xlfn.XLOOKUP($B1452,sales_teams!$A$2:$A$36,sales_teams!C$2:C$36)</f>
        <v>West</v>
      </c>
      <c r="E1452" t="s">
        <v>10</v>
      </c>
      <c r="F1452" t="s">
        <v>184</v>
      </c>
      <c r="G1452" t="s">
        <v>46</v>
      </c>
      <c r="H1452" s="1">
        <v>42805</v>
      </c>
      <c r="I1452" s="1">
        <v>42894</v>
      </c>
      <c r="J1452">
        <v>0</v>
      </c>
    </row>
    <row r="1453" spans="1:10" x14ac:dyDescent="0.3">
      <c r="A1453" t="s">
        <v>1584</v>
      </c>
      <c r="B1453" t="s">
        <v>38</v>
      </c>
      <c r="C1453" t="str">
        <f>_xlfn.XLOOKUP(B1453,
[1]sales_teams!$A$2:$A$100,
[1]sales_teams!$B$2:$B$100)</f>
        <v>Summer Sewald</v>
      </c>
      <c r="D1453" t="str">
        <f>_xlfn.XLOOKUP($B1453,sales_teams!$A$2:$A$36,sales_teams!C$2:C$36)</f>
        <v>West</v>
      </c>
      <c r="E1453" t="s">
        <v>20</v>
      </c>
      <c r="F1453" t="s">
        <v>30</v>
      </c>
      <c r="G1453" t="s">
        <v>12</v>
      </c>
      <c r="H1453" s="1">
        <v>42805</v>
      </c>
      <c r="I1453" s="1">
        <v>42896</v>
      </c>
      <c r="J1453">
        <v>526</v>
      </c>
    </row>
    <row r="1454" spans="1:10" x14ac:dyDescent="0.3">
      <c r="A1454" t="s">
        <v>1585</v>
      </c>
      <c r="B1454" t="s">
        <v>38</v>
      </c>
      <c r="C1454" t="str">
        <f>_xlfn.XLOOKUP(B1454,
[1]sales_teams!$A$2:$A$100,
[1]sales_teams!$B$2:$B$100)</f>
        <v>Summer Sewald</v>
      </c>
      <c r="D1454" t="str">
        <f>_xlfn.XLOOKUP($B1454,sales_teams!$A$2:$A$36,sales_teams!C$2:C$36)</f>
        <v>West</v>
      </c>
      <c r="E1454" t="s">
        <v>48</v>
      </c>
      <c r="F1454" t="s">
        <v>218</v>
      </c>
      <c r="G1454" t="s">
        <v>12</v>
      </c>
      <c r="H1454" s="1">
        <v>42805</v>
      </c>
      <c r="I1454" s="1">
        <v>42898</v>
      </c>
      <c r="J1454">
        <v>5344</v>
      </c>
    </row>
    <row r="1455" spans="1:10" x14ac:dyDescent="0.3">
      <c r="A1455" t="s">
        <v>1586</v>
      </c>
      <c r="B1455" t="s">
        <v>38</v>
      </c>
      <c r="C1455" t="str">
        <f>_xlfn.XLOOKUP(B1455,
[1]sales_teams!$A$2:$A$100,
[1]sales_teams!$B$2:$B$100)</f>
        <v>Summer Sewald</v>
      </c>
      <c r="D1455" t="str">
        <f>_xlfn.XLOOKUP($B1455,sales_teams!$A$2:$A$36,sales_teams!C$2:C$36)</f>
        <v>West</v>
      </c>
      <c r="E1455" t="s">
        <v>15</v>
      </c>
      <c r="F1455" t="s">
        <v>199</v>
      </c>
      <c r="G1455" t="s">
        <v>12</v>
      </c>
      <c r="H1455" s="1">
        <v>42805</v>
      </c>
      <c r="I1455" s="1">
        <v>42877</v>
      </c>
      <c r="J1455">
        <v>4125</v>
      </c>
    </row>
    <row r="1456" spans="1:10" x14ac:dyDescent="0.3">
      <c r="A1456" t="s">
        <v>1587</v>
      </c>
      <c r="B1456" t="s">
        <v>78</v>
      </c>
      <c r="C1456" t="str">
        <f>_xlfn.XLOOKUP(B1456,
[1]sales_teams!$A$2:$A$100,
[1]sales_teams!$B$2:$B$100)</f>
        <v>Summer Sewald</v>
      </c>
      <c r="D1456" t="str">
        <f>_xlfn.XLOOKUP($B1456,sales_teams!$A$2:$A$36,sales_teams!C$2:C$36)</f>
        <v>West</v>
      </c>
      <c r="E1456" t="s">
        <v>20</v>
      </c>
      <c r="F1456" t="s">
        <v>174</v>
      </c>
      <c r="G1456" t="s">
        <v>12</v>
      </c>
      <c r="H1456" s="1">
        <v>42805</v>
      </c>
      <c r="I1456" s="1">
        <v>42892</v>
      </c>
      <c r="J1456">
        <v>528</v>
      </c>
    </row>
    <row r="1457" spans="1:10" x14ac:dyDescent="0.3">
      <c r="A1457" t="s">
        <v>1588</v>
      </c>
      <c r="B1457" t="s">
        <v>78</v>
      </c>
      <c r="C1457" t="str">
        <f>_xlfn.XLOOKUP(B1457,
[1]sales_teams!$A$2:$A$100,
[1]sales_teams!$B$2:$B$100)</f>
        <v>Summer Sewald</v>
      </c>
      <c r="D1457" t="str">
        <f>_xlfn.XLOOKUP($B1457,sales_teams!$A$2:$A$36,sales_teams!C$2:C$36)</f>
        <v>West</v>
      </c>
      <c r="E1457" t="s">
        <v>39</v>
      </c>
      <c r="F1457" t="s">
        <v>273</v>
      </c>
      <c r="G1457" t="s">
        <v>12</v>
      </c>
      <c r="H1457" s="1">
        <v>42805</v>
      </c>
      <c r="I1457" s="1">
        <v>42820</v>
      </c>
      <c r="J1457">
        <v>3254</v>
      </c>
    </row>
    <row r="1458" spans="1:10" x14ac:dyDescent="0.3">
      <c r="A1458" t="s">
        <v>1589</v>
      </c>
      <c r="B1458" t="s">
        <v>95</v>
      </c>
      <c r="C1458" t="str">
        <f>_xlfn.XLOOKUP(B1458,
[1]sales_teams!$A$2:$A$100,
[1]sales_teams!$B$2:$B$100)</f>
        <v>Summer Sewald</v>
      </c>
      <c r="D1458" t="str">
        <f>_xlfn.XLOOKUP($B1458,sales_teams!$A$2:$A$36,sales_teams!C$2:C$36)</f>
        <v>West</v>
      </c>
      <c r="E1458" t="s">
        <v>15</v>
      </c>
      <c r="F1458" t="s">
        <v>100</v>
      </c>
      <c r="G1458" t="s">
        <v>46</v>
      </c>
      <c r="H1458" s="1">
        <v>42805</v>
      </c>
      <c r="I1458" s="1">
        <v>42862</v>
      </c>
      <c r="J1458">
        <v>0</v>
      </c>
    </row>
    <row r="1459" spans="1:10" x14ac:dyDescent="0.3">
      <c r="A1459" t="s">
        <v>1590</v>
      </c>
      <c r="B1459" t="s">
        <v>95</v>
      </c>
      <c r="C1459" t="str">
        <f>_xlfn.XLOOKUP(B1459,
[1]sales_teams!$A$2:$A$100,
[1]sales_teams!$B$2:$B$100)</f>
        <v>Summer Sewald</v>
      </c>
      <c r="D1459" t="str">
        <f>_xlfn.XLOOKUP($B1459,sales_teams!$A$2:$A$36,sales_teams!C$2:C$36)</f>
        <v>West</v>
      </c>
      <c r="E1459" t="s">
        <v>20</v>
      </c>
      <c r="F1459" t="s">
        <v>30</v>
      </c>
      <c r="G1459" t="s">
        <v>12</v>
      </c>
      <c r="H1459" s="1">
        <v>42805</v>
      </c>
      <c r="I1459" s="1">
        <v>42879</v>
      </c>
      <c r="J1459">
        <v>516</v>
      </c>
    </row>
    <row r="1460" spans="1:10" x14ac:dyDescent="0.3">
      <c r="A1460" t="s">
        <v>1591</v>
      </c>
      <c r="B1460" t="s">
        <v>95</v>
      </c>
      <c r="C1460" t="str">
        <f>_xlfn.XLOOKUP(B1460,
[1]sales_teams!$A$2:$A$100,
[1]sales_teams!$B$2:$B$100)</f>
        <v>Summer Sewald</v>
      </c>
      <c r="D1460" t="str">
        <f>_xlfn.XLOOKUP($B1460,sales_teams!$A$2:$A$36,sales_teams!C$2:C$36)</f>
        <v>West</v>
      </c>
      <c r="E1460" t="s">
        <v>20</v>
      </c>
      <c r="F1460" t="s">
        <v>159</v>
      </c>
      <c r="G1460" t="s">
        <v>12</v>
      </c>
      <c r="H1460" s="1">
        <v>42805</v>
      </c>
      <c r="I1460" s="1">
        <v>42821</v>
      </c>
      <c r="J1460">
        <v>538</v>
      </c>
    </row>
    <row r="1461" spans="1:10" x14ac:dyDescent="0.3">
      <c r="A1461" t="s">
        <v>1592</v>
      </c>
      <c r="B1461" t="s">
        <v>133</v>
      </c>
      <c r="C1461" t="str">
        <f>_xlfn.XLOOKUP(B1461,
[1]sales_teams!$A$2:$A$100,
[1]sales_teams!$B$2:$B$100)</f>
        <v>Dustin Brinkmann</v>
      </c>
      <c r="D1461" t="str">
        <f>_xlfn.XLOOKUP($B1461,sales_teams!$A$2:$A$36,sales_teams!C$2:C$36)</f>
        <v>Central</v>
      </c>
      <c r="E1461" t="s">
        <v>20</v>
      </c>
      <c r="F1461" t="s">
        <v>21</v>
      </c>
      <c r="G1461" t="s">
        <v>12</v>
      </c>
      <c r="H1461" s="1">
        <v>42805</v>
      </c>
      <c r="I1461" s="1">
        <v>42903</v>
      </c>
      <c r="J1461">
        <v>459</v>
      </c>
    </row>
    <row r="1462" spans="1:10" x14ac:dyDescent="0.3">
      <c r="A1462" t="s">
        <v>1593</v>
      </c>
      <c r="B1462" t="s">
        <v>51</v>
      </c>
      <c r="C1462" t="str">
        <f>_xlfn.XLOOKUP(B1462,
[1]sales_teams!$A$2:$A$100,
[1]sales_teams!$B$2:$B$100)</f>
        <v>Summer Sewald</v>
      </c>
      <c r="D1462" t="str">
        <f>_xlfn.XLOOKUP($B1462,sales_teams!$A$2:$A$36,sales_teams!C$2:C$36)</f>
        <v>West</v>
      </c>
      <c r="E1462" t="s">
        <v>20</v>
      </c>
      <c r="F1462" t="s">
        <v>33</v>
      </c>
      <c r="G1462" t="s">
        <v>46</v>
      </c>
      <c r="H1462" s="1">
        <v>42805</v>
      </c>
      <c r="I1462" s="1">
        <v>42912</v>
      </c>
      <c r="J1462">
        <v>0</v>
      </c>
    </row>
    <row r="1463" spans="1:10" x14ac:dyDescent="0.3">
      <c r="A1463" t="s">
        <v>1594</v>
      </c>
      <c r="B1463" t="s">
        <v>51</v>
      </c>
      <c r="C1463" t="str">
        <f>_xlfn.XLOOKUP(B1463,
[1]sales_teams!$A$2:$A$100,
[1]sales_teams!$B$2:$B$100)</f>
        <v>Summer Sewald</v>
      </c>
      <c r="D1463" t="str">
        <f>_xlfn.XLOOKUP($B1463,sales_teams!$A$2:$A$36,sales_teams!C$2:C$36)</f>
        <v>West</v>
      </c>
      <c r="E1463" t="s">
        <v>15</v>
      </c>
      <c r="F1463" t="s">
        <v>49</v>
      </c>
      <c r="G1463" t="s">
        <v>12</v>
      </c>
      <c r="H1463" s="1">
        <v>42805</v>
      </c>
      <c r="I1463" s="1">
        <v>42877</v>
      </c>
      <c r="J1463">
        <v>5137</v>
      </c>
    </row>
    <row r="1464" spans="1:10" x14ac:dyDescent="0.3">
      <c r="A1464" t="s">
        <v>1595</v>
      </c>
      <c r="B1464" t="s">
        <v>9</v>
      </c>
      <c r="C1464" t="str">
        <f>_xlfn.XLOOKUP(B1464,
[1]sales_teams!$A$2:$A$100,
[1]sales_teams!$B$2:$B$100)</f>
        <v>Dustin Brinkmann</v>
      </c>
      <c r="D1464" t="str">
        <f>_xlfn.XLOOKUP($B1464,sales_teams!$A$2:$A$36,sales_teams!C$2:C$36)</f>
        <v>Central</v>
      </c>
      <c r="E1464" t="s">
        <v>39</v>
      </c>
      <c r="F1464" t="s">
        <v>113</v>
      </c>
      <c r="G1464" t="s">
        <v>12</v>
      </c>
      <c r="H1464" s="1">
        <v>42805</v>
      </c>
      <c r="I1464" s="1">
        <v>42890</v>
      </c>
      <c r="J1464">
        <v>3330</v>
      </c>
    </row>
    <row r="1465" spans="1:10" x14ac:dyDescent="0.3">
      <c r="A1465" t="s">
        <v>1596</v>
      </c>
      <c r="B1465" t="s">
        <v>61</v>
      </c>
      <c r="C1465" t="str">
        <f>_xlfn.XLOOKUP(B1465,
[1]sales_teams!$A$2:$A$100,
[1]sales_teams!$B$2:$B$100)</f>
        <v>Dustin Brinkmann</v>
      </c>
      <c r="D1465" t="str">
        <f>_xlfn.XLOOKUP($B1465,sales_teams!$A$2:$A$36,sales_teams!C$2:C$36)</f>
        <v>Central</v>
      </c>
      <c r="E1465" t="s">
        <v>20</v>
      </c>
      <c r="F1465" t="s">
        <v>120</v>
      </c>
      <c r="G1465" t="s">
        <v>12</v>
      </c>
      <c r="H1465" s="1">
        <v>42805</v>
      </c>
      <c r="I1465" s="1">
        <v>42865</v>
      </c>
      <c r="J1465">
        <v>589</v>
      </c>
    </row>
    <row r="1466" spans="1:10" x14ac:dyDescent="0.3">
      <c r="A1466" t="s">
        <v>1597</v>
      </c>
      <c r="B1466" t="s">
        <v>29</v>
      </c>
      <c r="C1466" t="str">
        <f>_xlfn.XLOOKUP(B1466,
[1]sales_teams!$A$2:$A$100,
[1]sales_teams!$B$2:$B$100)</f>
        <v>Celia Rouche</v>
      </c>
      <c r="D1466" t="str">
        <f>_xlfn.XLOOKUP($B1466,sales_teams!$A$2:$A$36,sales_teams!C$2:C$36)</f>
        <v>West</v>
      </c>
      <c r="E1466" t="s">
        <v>18</v>
      </c>
      <c r="F1466" t="s">
        <v>148</v>
      </c>
      <c r="G1466" t="s">
        <v>12</v>
      </c>
      <c r="H1466" s="1">
        <v>42805</v>
      </c>
      <c r="I1466" s="1">
        <v>42824</v>
      </c>
      <c r="J1466">
        <v>45</v>
      </c>
    </row>
    <row r="1467" spans="1:10" x14ac:dyDescent="0.3">
      <c r="A1467" t="s">
        <v>1598</v>
      </c>
      <c r="B1467" t="s">
        <v>23</v>
      </c>
      <c r="C1467" t="str">
        <f>_xlfn.XLOOKUP(B1467,
[1]sales_teams!$A$2:$A$100,
[1]sales_teams!$B$2:$B$100)</f>
        <v>Summer Sewald</v>
      </c>
      <c r="D1467" t="str">
        <f>_xlfn.XLOOKUP($B1467,sales_teams!$A$2:$A$36,sales_teams!C$2:C$36)</f>
        <v>West</v>
      </c>
      <c r="E1467" t="s">
        <v>18</v>
      </c>
      <c r="G1467" t="s">
        <v>40</v>
      </c>
      <c r="H1467" s="1">
        <v>42805</v>
      </c>
    </row>
    <row r="1468" spans="1:10" x14ac:dyDescent="0.3">
      <c r="A1468" t="s">
        <v>1599</v>
      </c>
      <c r="B1468" t="s">
        <v>26</v>
      </c>
      <c r="C1468" t="str">
        <f>_xlfn.XLOOKUP(B1468,
[1]sales_teams!$A$2:$A$100,
[1]sales_teams!$B$2:$B$100)</f>
        <v>Dustin Brinkmann</v>
      </c>
      <c r="D1468" t="str">
        <f>_xlfn.XLOOKUP($B1468,sales_teams!$A$2:$A$36,sales_teams!C$2:C$36)</f>
        <v>Central</v>
      </c>
      <c r="E1468" t="s">
        <v>18</v>
      </c>
      <c r="F1468" t="s">
        <v>135</v>
      </c>
      <c r="G1468" t="s">
        <v>46</v>
      </c>
      <c r="H1468" s="1">
        <v>42806</v>
      </c>
      <c r="I1468" s="1">
        <v>42880</v>
      </c>
      <c r="J1468">
        <v>0</v>
      </c>
    </row>
    <row r="1469" spans="1:10" x14ac:dyDescent="0.3">
      <c r="A1469" t="s">
        <v>1600</v>
      </c>
      <c r="B1469" t="s">
        <v>118</v>
      </c>
      <c r="C1469" t="str">
        <f>_xlfn.XLOOKUP(B1469,
[1]sales_teams!$A$2:$A$100,
[1]sales_teams!$B$2:$B$100)</f>
        <v>Rocco Neubert</v>
      </c>
      <c r="D1469" t="str">
        <f>_xlfn.XLOOKUP($B1469,sales_teams!$A$2:$A$36,sales_teams!C$2:C$36)</f>
        <v>East</v>
      </c>
      <c r="E1469" t="s">
        <v>20</v>
      </c>
      <c r="F1469" t="s">
        <v>55</v>
      </c>
      <c r="G1469" t="s">
        <v>40</v>
      </c>
      <c r="H1469" s="1">
        <v>42806</v>
      </c>
    </row>
    <row r="1470" spans="1:10" x14ac:dyDescent="0.3">
      <c r="A1470" t="s">
        <v>1601</v>
      </c>
      <c r="B1470" t="s">
        <v>118</v>
      </c>
      <c r="C1470" t="str">
        <f>_xlfn.XLOOKUP(B1470,
[1]sales_teams!$A$2:$A$100,
[1]sales_teams!$B$2:$B$100)</f>
        <v>Rocco Neubert</v>
      </c>
      <c r="D1470" t="str">
        <f>_xlfn.XLOOKUP($B1470,sales_teams!$A$2:$A$36,sales_teams!C$2:C$36)</f>
        <v>East</v>
      </c>
      <c r="E1470" t="s">
        <v>48</v>
      </c>
      <c r="F1470" t="s">
        <v>140</v>
      </c>
      <c r="G1470" t="s">
        <v>12</v>
      </c>
      <c r="H1470" s="1">
        <v>42806</v>
      </c>
      <c r="I1470" s="1">
        <v>42897</v>
      </c>
      <c r="J1470">
        <v>5664</v>
      </c>
    </row>
    <row r="1471" spans="1:10" x14ac:dyDescent="0.3">
      <c r="A1471" t="s">
        <v>1602</v>
      </c>
      <c r="B1471" t="s">
        <v>202</v>
      </c>
      <c r="C1471" t="str">
        <f>_xlfn.XLOOKUP(B1471,
[1]sales_teams!$A$2:$A$100,
[1]sales_teams!$B$2:$B$100)</f>
        <v>Dustin Brinkmann</v>
      </c>
      <c r="D1471" t="str">
        <f>_xlfn.XLOOKUP($B1471,sales_teams!$A$2:$A$36,sales_teams!C$2:C$36)</f>
        <v>Central</v>
      </c>
      <c r="E1471" t="s">
        <v>39</v>
      </c>
      <c r="F1471" t="s">
        <v>492</v>
      </c>
      <c r="G1471" t="s">
        <v>46</v>
      </c>
      <c r="H1471" s="1">
        <v>42806</v>
      </c>
      <c r="I1471" s="1">
        <v>42857</v>
      </c>
      <c r="J1471">
        <v>0</v>
      </c>
    </row>
    <row r="1472" spans="1:10" x14ac:dyDescent="0.3">
      <c r="A1472" t="s">
        <v>1603</v>
      </c>
      <c r="B1472" t="s">
        <v>164</v>
      </c>
      <c r="C1472" t="str">
        <f>_xlfn.XLOOKUP(B1472,
[1]sales_teams!$A$2:$A$100,
[1]sales_teams!$B$2:$B$100)</f>
        <v>Cara Losch</v>
      </c>
      <c r="D1472" t="str">
        <f>_xlfn.XLOOKUP($B1472,sales_teams!$A$2:$A$36,sales_teams!C$2:C$36)</f>
        <v>East</v>
      </c>
      <c r="E1472" t="s">
        <v>10</v>
      </c>
      <c r="F1472" t="s">
        <v>240</v>
      </c>
      <c r="G1472" t="s">
        <v>12</v>
      </c>
      <c r="H1472" s="1">
        <v>42806</v>
      </c>
      <c r="I1472" s="1">
        <v>42897</v>
      </c>
      <c r="J1472">
        <v>1074</v>
      </c>
    </row>
    <row r="1473" spans="1:10" x14ac:dyDescent="0.3">
      <c r="A1473" t="s">
        <v>1604</v>
      </c>
      <c r="B1473" t="s">
        <v>14</v>
      </c>
      <c r="C1473" t="str">
        <f>_xlfn.XLOOKUP(B1473,
[1]sales_teams!$A$2:$A$100,
[1]sales_teams!$B$2:$B$100)</f>
        <v>Melvin Marxen</v>
      </c>
      <c r="D1473" t="str">
        <f>_xlfn.XLOOKUP($B1473,sales_teams!$A$2:$A$36,sales_teams!C$2:C$36)</f>
        <v>Central</v>
      </c>
      <c r="E1473" t="s">
        <v>10</v>
      </c>
      <c r="F1473" t="s">
        <v>213</v>
      </c>
      <c r="G1473" t="s">
        <v>46</v>
      </c>
      <c r="H1473" s="1">
        <v>42806</v>
      </c>
      <c r="I1473" s="1">
        <v>42857</v>
      </c>
      <c r="J1473">
        <v>0</v>
      </c>
    </row>
    <row r="1474" spans="1:10" x14ac:dyDescent="0.3">
      <c r="A1474" t="s">
        <v>1605</v>
      </c>
      <c r="B1474" t="s">
        <v>14</v>
      </c>
      <c r="C1474" t="str">
        <f>_xlfn.XLOOKUP(B1474,
[1]sales_teams!$A$2:$A$100,
[1]sales_teams!$B$2:$B$100)</f>
        <v>Melvin Marxen</v>
      </c>
      <c r="D1474" t="str">
        <f>_xlfn.XLOOKUP($B1474,sales_teams!$A$2:$A$36,sales_teams!C$2:C$36)</f>
        <v>Central</v>
      </c>
      <c r="E1474" t="s">
        <v>15</v>
      </c>
      <c r="F1474" t="s">
        <v>62</v>
      </c>
      <c r="G1474" t="s">
        <v>46</v>
      </c>
      <c r="H1474" s="1">
        <v>42806</v>
      </c>
      <c r="I1474" s="1">
        <v>42881</v>
      </c>
      <c r="J1474">
        <v>0</v>
      </c>
    </row>
    <row r="1475" spans="1:10" x14ac:dyDescent="0.3">
      <c r="A1475" t="s">
        <v>1606</v>
      </c>
      <c r="B1475" t="s">
        <v>67</v>
      </c>
      <c r="C1475" t="str">
        <f>_xlfn.XLOOKUP(B1475,
[1]sales_teams!$A$2:$A$100,
[1]sales_teams!$B$2:$B$100)</f>
        <v>Celia Rouche</v>
      </c>
      <c r="D1475" t="str">
        <f>_xlfn.XLOOKUP($B1475,sales_teams!$A$2:$A$36,sales_teams!C$2:C$36)</f>
        <v>West</v>
      </c>
      <c r="E1475" t="s">
        <v>20</v>
      </c>
      <c r="F1475" t="s">
        <v>55</v>
      </c>
      <c r="G1475" t="s">
        <v>12</v>
      </c>
      <c r="H1475" s="1">
        <v>42806</v>
      </c>
      <c r="I1475" s="1">
        <v>42825</v>
      </c>
      <c r="J1475">
        <v>481</v>
      </c>
    </row>
    <row r="1476" spans="1:10" x14ac:dyDescent="0.3">
      <c r="A1476" t="s">
        <v>1607</v>
      </c>
      <c r="B1476" t="s">
        <v>67</v>
      </c>
      <c r="C1476" t="str">
        <f>_xlfn.XLOOKUP(B1476,
[1]sales_teams!$A$2:$A$100,
[1]sales_teams!$B$2:$B$100)</f>
        <v>Celia Rouche</v>
      </c>
      <c r="D1476" t="str">
        <f>_xlfn.XLOOKUP($B1476,sales_teams!$A$2:$A$36,sales_teams!C$2:C$36)</f>
        <v>West</v>
      </c>
      <c r="E1476" t="s">
        <v>10</v>
      </c>
      <c r="F1476" t="s">
        <v>86</v>
      </c>
      <c r="G1476" t="s">
        <v>12</v>
      </c>
      <c r="H1476" s="1">
        <v>42806</v>
      </c>
      <c r="I1476" s="1">
        <v>42888</v>
      </c>
      <c r="J1476">
        <v>1101</v>
      </c>
    </row>
    <row r="1477" spans="1:10" x14ac:dyDescent="0.3">
      <c r="A1477" t="s">
        <v>1608</v>
      </c>
      <c r="B1477" t="s">
        <v>44</v>
      </c>
      <c r="C1477" t="str">
        <f>_xlfn.XLOOKUP(B1477,
[1]sales_teams!$A$2:$A$100,
[1]sales_teams!$B$2:$B$100)</f>
        <v>Melvin Marxen</v>
      </c>
      <c r="D1477" t="str">
        <f>_xlfn.XLOOKUP($B1477,sales_teams!$A$2:$A$36,sales_teams!C$2:C$36)</f>
        <v>Central</v>
      </c>
      <c r="E1477" t="s">
        <v>20</v>
      </c>
      <c r="F1477" t="s">
        <v>76</v>
      </c>
      <c r="G1477" t="s">
        <v>12</v>
      </c>
      <c r="H1477" s="1">
        <v>42806</v>
      </c>
      <c r="I1477" s="1">
        <v>42909</v>
      </c>
      <c r="J1477">
        <v>522</v>
      </c>
    </row>
    <row r="1478" spans="1:10" x14ac:dyDescent="0.3">
      <c r="A1478" t="s">
        <v>1609</v>
      </c>
      <c r="B1478" t="s">
        <v>54</v>
      </c>
      <c r="C1478" t="str">
        <f>_xlfn.XLOOKUP(B1478,
[1]sales_teams!$A$2:$A$100,
[1]sales_teams!$B$2:$B$100)</f>
        <v>Celia Rouche</v>
      </c>
      <c r="D1478" t="str">
        <f>_xlfn.XLOOKUP($B1478,sales_teams!$A$2:$A$36,sales_teams!C$2:C$36)</f>
        <v>West</v>
      </c>
      <c r="E1478" t="s">
        <v>18</v>
      </c>
      <c r="F1478" t="s">
        <v>24</v>
      </c>
      <c r="G1478" t="s">
        <v>40</v>
      </c>
      <c r="H1478" s="1">
        <v>42806</v>
      </c>
    </row>
    <row r="1479" spans="1:10" x14ac:dyDescent="0.3">
      <c r="A1479" t="s">
        <v>1610</v>
      </c>
      <c r="B1479" t="s">
        <v>54</v>
      </c>
      <c r="C1479" t="str">
        <f>_xlfn.XLOOKUP(B1479,
[1]sales_teams!$A$2:$A$100,
[1]sales_teams!$B$2:$B$100)</f>
        <v>Celia Rouche</v>
      </c>
      <c r="D1479" t="str">
        <f>_xlfn.XLOOKUP($B1479,sales_teams!$A$2:$A$36,sales_teams!C$2:C$36)</f>
        <v>West</v>
      </c>
      <c r="E1479" t="s">
        <v>18</v>
      </c>
      <c r="F1479" t="s">
        <v>159</v>
      </c>
      <c r="G1479" t="s">
        <v>12</v>
      </c>
      <c r="H1479" s="1">
        <v>42806</v>
      </c>
      <c r="I1479" s="1">
        <v>42899</v>
      </c>
      <c r="J1479">
        <v>49</v>
      </c>
    </row>
    <row r="1480" spans="1:10" x14ac:dyDescent="0.3">
      <c r="A1480" t="s">
        <v>1611</v>
      </c>
      <c r="B1480" t="s">
        <v>78</v>
      </c>
      <c r="C1480" t="str">
        <f>_xlfn.XLOOKUP(B1480,
[1]sales_teams!$A$2:$A$100,
[1]sales_teams!$B$2:$B$100)</f>
        <v>Summer Sewald</v>
      </c>
      <c r="D1480" t="str">
        <f>_xlfn.XLOOKUP($B1480,sales_teams!$A$2:$A$36,sales_teams!C$2:C$36)</f>
        <v>West</v>
      </c>
      <c r="E1480" t="s">
        <v>15</v>
      </c>
      <c r="G1480" t="s">
        <v>40</v>
      </c>
      <c r="H1480" s="1">
        <v>42806</v>
      </c>
    </row>
    <row r="1481" spans="1:10" x14ac:dyDescent="0.3">
      <c r="A1481" t="s">
        <v>1612</v>
      </c>
      <c r="B1481" t="s">
        <v>78</v>
      </c>
      <c r="C1481" t="str">
        <f>_xlfn.XLOOKUP(B1481,
[1]sales_teams!$A$2:$A$100,
[1]sales_teams!$B$2:$B$100)</f>
        <v>Summer Sewald</v>
      </c>
      <c r="D1481" t="str">
        <f>_xlfn.XLOOKUP($B1481,sales_teams!$A$2:$A$36,sales_teams!C$2:C$36)</f>
        <v>West</v>
      </c>
      <c r="E1481" t="s">
        <v>15</v>
      </c>
      <c r="F1481" t="s">
        <v>555</v>
      </c>
      <c r="G1481" t="s">
        <v>12</v>
      </c>
      <c r="H1481" s="1">
        <v>42806</v>
      </c>
      <c r="I1481" s="1">
        <v>42888</v>
      </c>
      <c r="J1481">
        <v>4865</v>
      </c>
    </row>
    <row r="1482" spans="1:10" x14ac:dyDescent="0.3">
      <c r="A1482" t="s">
        <v>1613</v>
      </c>
      <c r="B1482" t="s">
        <v>133</v>
      </c>
      <c r="C1482" t="str">
        <f>_xlfn.XLOOKUP(B1482,
[1]sales_teams!$A$2:$A$100,
[1]sales_teams!$B$2:$B$100)</f>
        <v>Dustin Brinkmann</v>
      </c>
      <c r="D1482" t="str">
        <f>_xlfn.XLOOKUP($B1482,sales_teams!$A$2:$A$36,sales_teams!C$2:C$36)</f>
        <v>Central</v>
      </c>
      <c r="E1482" t="s">
        <v>10</v>
      </c>
      <c r="F1482" t="s">
        <v>16</v>
      </c>
      <c r="G1482" t="s">
        <v>12</v>
      </c>
      <c r="H1482" s="1">
        <v>42806</v>
      </c>
      <c r="I1482" s="1">
        <v>42877</v>
      </c>
      <c r="J1482">
        <v>991</v>
      </c>
    </row>
    <row r="1483" spans="1:10" x14ac:dyDescent="0.3">
      <c r="A1483" t="s">
        <v>1614</v>
      </c>
      <c r="B1483" t="s">
        <v>133</v>
      </c>
      <c r="C1483" t="str">
        <f>_xlfn.XLOOKUP(B1483,
[1]sales_teams!$A$2:$A$100,
[1]sales_teams!$B$2:$B$100)</f>
        <v>Dustin Brinkmann</v>
      </c>
      <c r="D1483" t="str">
        <f>_xlfn.XLOOKUP($B1483,sales_teams!$A$2:$A$36,sales_teams!C$2:C$36)</f>
        <v>Central</v>
      </c>
      <c r="E1483" t="s">
        <v>48</v>
      </c>
      <c r="F1483" t="s">
        <v>197</v>
      </c>
      <c r="G1483" t="s">
        <v>12</v>
      </c>
      <c r="H1483" s="1">
        <v>42806</v>
      </c>
      <c r="I1483" s="1">
        <v>42882</v>
      </c>
      <c r="J1483">
        <v>4509</v>
      </c>
    </row>
    <row r="1484" spans="1:10" x14ac:dyDescent="0.3">
      <c r="A1484" t="s">
        <v>1615</v>
      </c>
      <c r="B1484" t="s">
        <v>32</v>
      </c>
      <c r="C1484" t="str">
        <f>_xlfn.XLOOKUP(B1484,
[1]sales_teams!$A$2:$A$100,
[1]sales_teams!$B$2:$B$100)</f>
        <v>Celia Rouche</v>
      </c>
      <c r="D1484" t="str">
        <f>_xlfn.XLOOKUP($B1484,sales_teams!$A$2:$A$36,sales_teams!C$2:C$36)</f>
        <v>West</v>
      </c>
      <c r="E1484" t="s">
        <v>15</v>
      </c>
      <c r="F1484" t="s">
        <v>157</v>
      </c>
      <c r="G1484" t="s">
        <v>12</v>
      </c>
      <c r="H1484" s="1">
        <v>42806</v>
      </c>
      <c r="I1484" s="1">
        <v>42858</v>
      </c>
      <c r="J1484">
        <v>5169</v>
      </c>
    </row>
    <row r="1485" spans="1:10" x14ac:dyDescent="0.3">
      <c r="A1485" t="s">
        <v>1616</v>
      </c>
      <c r="B1485" t="s">
        <v>51</v>
      </c>
      <c r="C1485" t="str">
        <f>_xlfn.XLOOKUP(B1485,
[1]sales_teams!$A$2:$A$100,
[1]sales_teams!$B$2:$B$100)</f>
        <v>Summer Sewald</v>
      </c>
      <c r="D1485" t="str">
        <f>_xlfn.XLOOKUP($B1485,sales_teams!$A$2:$A$36,sales_teams!C$2:C$36)</f>
        <v>West</v>
      </c>
      <c r="E1485" t="s">
        <v>20</v>
      </c>
      <c r="F1485" t="s">
        <v>52</v>
      </c>
      <c r="G1485" t="s">
        <v>12</v>
      </c>
      <c r="H1485" s="1">
        <v>42806</v>
      </c>
      <c r="I1485" s="1">
        <v>42821</v>
      </c>
      <c r="J1485">
        <v>491</v>
      </c>
    </row>
    <row r="1486" spans="1:10" x14ac:dyDescent="0.3">
      <c r="A1486" t="s">
        <v>1617</v>
      </c>
      <c r="B1486" t="s">
        <v>51</v>
      </c>
      <c r="C1486" t="str">
        <f>_xlfn.XLOOKUP(B1486,
[1]sales_teams!$A$2:$A$100,
[1]sales_teams!$B$2:$B$100)</f>
        <v>Summer Sewald</v>
      </c>
      <c r="D1486" t="str">
        <f>_xlfn.XLOOKUP($B1486,sales_teams!$A$2:$A$36,sales_teams!C$2:C$36)</f>
        <v>West</v>
      </c>
      <c r="E1486" t="s">
        <v>15</v>
      </c>
      <c r="F1486" t="s">
        <v>86</v>
      </c>
      <c r="G1486" t="s">
        <v>12</v>
      </c>
      <c r="H1486" s="1">
        <v>42806</v>
      </c>
      <c r="I1486" s="1">
        <v>42901</v>
      </c>
      <c r="J1486">
        <v>4281</v>
      </c>
    </row>
    <row r="1487" spans="1:10" x14ac:dyDescent="0.3">
      <c r="A1487" t="s">
        <v>1618</v>
      </c>
      <c r="B1487" t="s">
        <v>35</v>
      </c>
      <c r="C1487" t="str">
        <f>_xlfn.XLOOKUP(B1487,
[1]sales_teams!$A$2:$A$100,
[1]sales_teams!$B$2:$B$100)</f>
        <v>Melvin Marxen</v>
      </c>
      <c r="D1487" t="str">
        <f>_xlfn.XLOOKUP($B1487,sales_teams!$A$2:$A$36,sales_teams!C$2:C$36)</f>
        <v>Central</v>
      </c>
      <c r="E1487" t="s">
        <v>10</v>
      </c>
      <c r="F1487" t="s">
        <v>129</v>
      </c>
      <c r="G1487" t="s">
        <v>46</v>
      </c>
      <c r="H1487" s="1">
        <v>42806</v>
      </c>
      <c r="I1487" s="1">
        <v>42863</v>
      </c>
      <c r="J1487">
        <v>0</v>
      </c>
    </row>
    <row r="1488" spans="1:10" x14ac:dyDescent="0.3">
      <c r="A1488" t="s">
        <v>1619</v>
      </c>
      <c r="B1488" t="s">
        <v>88</v>
      </c>
      <c r="C1488" t="str">
        <f>_xlfn.XLOOKUP(B1488,
[1]sales_teams!$A$2:$A$100,
[1]sales_teams!$B$2:$B$100)</f>
        <v>Cara Losch</v>
      </c>
      <c r="D1488" t="str">
        <f>_xlfn.XLOOKUP($B1488,sales_teams!$A$2:$A$36,sales_teams!C$2:C$36)</f>
        <v>East</v>
      </c>
      <c r="E1488" t="s">
        <v>18</v>
      </c>
      <c r="F1488" t="s">
        <v>189</v>
      </c>
      <c r="G1488" t="s">
        <v>46</v>
      </c>
      <c r="H1488" s="1">
        <v>42806</v>
      </c>
      <c r="I1488" s="1">
        <v>42873</v>
      </c>
      <c r="J1488">
        <v>0</v>
      </c>
    </row>
    <row r="1489" spans="1:10" x14ac:dyDescent="0.3">
      <c r="A1489" t="s">
        <v>1620</v>
      </c>
      <c r="B1489" t="s">
        <v>88</v>
      </c>
      <c r="C1489" t="str">
        <f>_xlfn.XLOOKUP(B1489,
[1]sales_teams!$A$2:$A$100,
[1]sales_teams!$B$2:$B$100)</f>
        <v>Cara Losch</v>
      </c>
      <c r="D1489" t="str">
        <f>_xlfn.XLOOKUP($B1489,sales_teams!$A$2:$A$36,sales_teams!C$2:C$36)</f>
        <v>East</v>
      </c>
      <c r="E1489" t="s">
        <v>39</v>
      </c>
      <c r="F1489" t="s">
        <v>179</v>
      </c>
      <c r="G1489" t="s">
        <v>12</v>
      </c>
      <c r="H1489" s="1">
        <v>42806</v>
      </c>
      <c r="I1489" s="1">
        <v>42913</v>
      </c>
      <c r="J1489">
        <v>3443</v>
      </c>
    </row>
    <row r="1490" spans="1:10" x14ac:dyDescent="0.3">
      <c r="A1490" t="s">
        <v>1621</v>
      </c>
      <c r="B1490" t="s">
        <v>61</v>
      </c>
      <c r="C1490" t="str">
        <f>_xlfn.XLOOKUP(B1490,
[1]sales_teams!$A$2:$A$100,
[1]sales_teams!$B$2:$B$100)</f>
        <v>Dustin Brinkmann</v>
      </c>
      <c r="D1490" t="str">
        <f>_xlfn.XLOOKUP($B1490,sales_teams!$A$2:$A$36,sales_teams!C$2:C$36)</f>
        <v>Central</v>
      </c>
      <c r="E1490" t="s">
        <v>18</v>
      </c>
      <c r="F1490" t="s">
        <v>109</v>
      </c>
      <c r="G1490" t="s">
        <v>12</v>
      </c>
      <c r="H1490" s="1">
        <v>42806</v>
      </c>
      <c r="I1490" s="1">
        <v>42884</v>
      </c>
      <c r="J1490">
        <v>60</v>
      </c>
    </row>
    <row r="1491" spans="1:10" x14ac:dyDescent="0.3">
      <c r="A1491" t="s">
        <v>1622</v>
      </c>
      <c r="B1491" t="s">
        <v>61</v>
      </c>
      <c r="C1491" t="str">
        <f>_xlfn.XLOOKUP(B1491,
[1]sales_teams!$A$2:$A$100,
[1]sales_teams!$B$2:$B$100)</f>
        <v>Dustin Brinkmann</v>
      </c>
      <c r="D1491" t="str">
        <f>_xlfn.XLOOKUP($B1491,sales_teams!$A$2:$A$36,sales_teams!C$2:C$36)</f>
        <v>Central</v>
      </c>
      <c r="E1491" t="s">
        <v>18</v>
      </c>
      <c r="F1491" t="s">
        <v>315</v>
      </c>
      <c r="G1491" t="s">
        <v>12</v>
      </c>
      <c r="H1491" s="1">
        <v>42806</v>
      </c>
      <c r="I1491" s="1">
        <v>42906</v>
      </c>
      <c r="J1491">
        <v>53</v>
      </c>
    </row>
    <row r="1492" spans="1:10" x14ac:dyDescent="0.3">
      <c r="A1492" t="s">
        <v>1623</v>
      </c>
      <c r="B1492" t="s">
        <v>29</v>
      </c>
      <c r="C1492" t="str">
        <f>_xlfn.XLOOKUP(B1492,
[1]sales_teams!$A$2:$A$100,
[1]sales_teams!$B$2:$B$100)</f>
        <v>Celia Rouche</v>
      </c>
      <c r="D1492" t="str">
        <f>_xlfn.XLOOKUP($B1492,sales_teams!$A$2:$A$36,sales_teams!C$2:C$36)</f>
        <v>West</v>
      </c>
      <c r="E1492" t="s">
        <v>18</v>
      </c>
      <c r="F1492" t="s">
        <v>55</v>
      </c>
      <c r="G1492" t="s">
        <v>12</v>
      </c>
      <c r="H1492" s="1">
        <v>42806</v>
      </c>
      <c r="I1492" s="1">
        <v>42881</v>
      </c>
      <c r="J1492">
        <v>56</v>
      </c>
    </row>
    <row r="1493" spans="1:10" x14ac:dyDescent="0.3">
      <c r="A1493" t="s">
        <v>1624</v>
      </c>
      <c r="B1493" t="s">
        <v>23</v>
      </c>
      <c r="C1493" t="str">
        <f>_xlfn.XLOOKUP(B1493,
[1]sales_teams!$A$2:$A$100,
[1]sales_teams!$B$2:$B$100)</f>
        <v>Summer Sewald</v>
      </c>
      <c r="D1493" t="str">
        <f>_xlfn.XLOOKUP($B1493,sales_teams!$A$2:$A$36,sales_teams!C$2:C$36)</f>
        <v>West</v>
      </c>
      <c r="E1493" t="s">
        <v>20</v>
      </c>
      <c r="F1493" t="s">
        <v>59</v>
      </c>
      <c r="G1493" t="s">
        <v>12</v>
      </c>
      <c r="H1493" s="1">
        <v>42806</v>
      </c>
      <c r="I1493" s="1">
        <v>42811</v>
      </c>
      <c r="J1493">
        <v>665</v>
      </c>
    </row>
    <row r="1494" spans="1:10" x14ac:dyDescent="0.3">
      <c r="A1494" t="s">
        <v>1625</v>
      </c>
      <c r="B1494" t="s">
        <v>26</v>
      </c>
      <c r="C1494" t="str">
        <f>_xlfn.XLOOKUP(B1494,
[1]sales_teams!$A$2:$A$100,
[1]sales_teams!$B$2:$B$100)</f>
        <v>Dustin Brinkmann</v>
      </c>
      <c r="D1494" t="str">
        <f>_xlfn.XLOOKUP($B1494,sales_teams!$A$2:$A$36,sales_teams!C$2:C$36)</f>
        <v>Central</v>
      </c>
      <c r="E1494" t="s">
        <v>10</v>
      </c>
      <c r="F1494" t="s">
        <v>318</v>
      </c>
      <c r="G1494" t="s">
        <v>12</v>
      </c>
      <c r="H1494" s="1">
        <v>42807</v>
      </c>
      <c r="I1494" s="1">
        <v>42864</v>
      </c>
      <c r="J1494">
        <v>1140</v>
      </c>
    </row>
    <row r="1495" spans="1:10" x14ac:dyDescent="0.3">
      <c r="A1495" t="s">
        <v>1626</v>
      </c>
      <c r="B1495" t="s">
        <v>26</v>
      </c>
      <c r="C1495" t="str">
        <f>_xlfn.XLOOKUP(B1495,
[1]sales_teams!$A$2:$A$100,
[1]sales_teams!$B$2:$B$100)</f>
        <v>Dustin Brinkmann</v>
      </c>
      <c r="D1495" t="str">
        <f>_xlfn.XLOOKUP($B1495,sales_teams!$A$2:$A$36,sales_teams!C$2:C$36)</f>
        <v>Central</v>
      </c>
      <c r="E1495" t="s">
        <v>18</v>
      </c>
      <c r="F1495" t="s">
        <v>492</v>
      </c>
      <c r="G1495" t="s">
        <v>12</v>
      </c>
      <c r="H1495" s="1">
        <v>42807</v>
      </c>
      <c r="I1495" s="1">
        <v>42880</v>
      </c>
      <c r="J1495">
        <v>52</v>
      </c>
    </row>
    <row r="1496" spans="1:10" x14ac:dyDescent="0.3">
      <c r="A1496" t="s">
        <v>1627</v>
      </c>
      <c r="B1496" t="s">
        <v>26</v>
      </c>
      <c r="C1496" t="str">
        <f>_xlfn.XLOOKUP(B1496,
[1]sales_teams!$A$2:$A$100,
[1]sales_teams!$B$2:$B$100)</f>
        <v>Dustin Brinkmann</v>
      </c>
      <c r="D1496" t="str">
        <f>_xlfn.XLOOKUP($B1496,sales_teams!$A$2:$A$36,sales_teams!C$2:C$36)</f>
        <v>Central</v>
      </c>
      <c r="E1496" t="s">
        <v>18</v>
      </c>
      <c r="F1496" t="s">
        <v>76</v>
      </c>
      <c r="G1496" t="s">
        <v>12</v>
      </c>
      <c r="H1496" s="1">
        <v>42807</v>
      </c>
      <c r="I1496" s="1">
        <v>42894</v>
      </c>
      <c r="J1496">
        <v>52</v>
      </c>
    </row>
    <row r="1497" spans="1:10" x14ac:dyDescent="0.3">
      <c r="A1497" t="s">
        <v>1628</v>
      </c>
      <c r="B1497" t="s">
        <v>139</v>
      </c>
      <c r="C1497" t="str">
        <f>_xlfn.XLOOKUP(B1497,
[1]sales_teams!$A$2:$A$100,
[1]sales_teams!$B$2:$B$100)</f>
        <v>Rocco Neubert</v>
      </c>
      <c r="D1497" t="str">
        <f>_xlfn.XLOOKUP($B1497,sales_teams!$A$2:$A$36,sales_teams!C$2:C$36)</f>
        <v>East</v>
      </c>
      <c r="E1497" t="s">
        <v>48</v>
      </c>
      <c r="F1497" t="s">
        <v>209</v>
      </c>
      <c r="G1497" t="s">
        <v>46</v>
      </c>
      <c r="H1497" s="1">
        <v>42807</v>
      </c>
      <c r="I1497" s="1">
        <v>42818</v>
      </c>
      <c r="J1497">
        <v>0</v>
      </c>
    </row>
    <row r="1498" spans="1:10" x14ac:dyDescent="0.3">
      <c r="A1498" t="s">
        <v>1629</v>
      </c>
      <c r="B1498" t="s">
        <v>118</v>
      </c>
      <c r="C1498" t="str">
        <f>_xlfn.XLOOKUP(B1498,
[1]sales_teams!$A$2:$A$100,
[1]sales_teams!$B$2:$B$100)</f>
        <v>Rocco Neubert</v>
      </c>
      <c r="D1498" t="str">
        <f>_xlfn.XLOOKUP($B1498,sales_teams!$A$2:$A$36,sales_teams!C$2:C$36)</f>
        <v>East</v>
      </c>
      <c r="E1498" t="s">
        <v>39</v>
      </c>
      <c r="G1498" t="s">
        <v>40</v>
      </c>
      <c r="H1498" s="1">
        <v>42807</v>
      </c>
    </row>
    <row r="1499" spans="1:10" x14ac:dyDescent="0.3">
      <c r="A1499" t="s">
        <v>1630</v>
      </c>
      <c r="B1499" t="s">
        <v>202</v>
      </c>
      <c r="C1499" t="str">
        <f>_xlfn.XLOOKUP(B1499,
[1]sales_teams!$A$2:$A$100,
[1]sales_teams!$B$2:$B$100)</f>
        <v>Dustin Brinkmann</v>
      </c>
      <c r="D1499" t="str">
        <f>_xlfn.XLOOKUP($B1499,sales_teams!$A$2:$A$36,sales_teams!C$2:C$36)</f>
        <v>Central</v>
      </c>
      <c r="E1499" t="s">
        <v>48</v>
      </c>
      <c r="F1499" t="s">
        <v>113</v>
      </c>
      <c r="G1499" t="s">
        <v>12</v>
      </c>
      <c r="H1499" s="1">
        <v>42807</v>
      </c>
      <c r="I1499" s="1">
        <v>42868</v>
      </c>
      <c r="J1499">
        <v>5121</v>
      </c>
    </row>
    <row r="1500" spans="1:10" x14ac:dyDescent="0.3">
      <c r="A1500" t="s">
        <v>1631</v>
      </c>
      <c r="B1500" t="s">
        <v>202</v>
      </c>
      <c r="C1500" t="str">
        <f>_xlfn.XLOOKUP(B1500,
[1]sales_teams!$A$2:$A$100,
[1]sales_teams!$B$2:$B$100)</f>
        <v>Dustin Brinkmann</v>
      </c>
      <c r="D1500" t="str">
        <f>_xlfn.XLOOKUP($B1500,sales_teams!$A$2:$A$36,sales_teams!C$2:C$36)</f>
        <v>Central</v>
      </c>
      <c r="E1500" t="s">
        <v>39</v>
      </c>
      <c r="F1500" t="s">
        <v>126</v>
      </c>
      <c r="G1500" t="s">
        <v>12</v>
      </c>
      <c r="H1500" s="1">
        <v>42807</v>
      </c>
      <c r="I1500" s="1">
        <v>42825</v>
      </c>
      <c r="J1500">
        <v>3611</v>
      </c>
    </row>
    <row r="1501" spans="1:10" x14ac:dyDescent="0.3">
      <c r="A1501" t="s">
        <v>1632</v>
      </c>
      <c r="B1501" t="s">
        <v>164</v>
      </c>
      <c r="C1501" t="str">
        <f>_xlfn.XLOOKUP(B1501,
[1]sales_teams!$A$2:$A$100,
[1]sales_teams!$B$2:$B$100)</f>
        <v>Cara Losch</v>
      </c>
      <c r="D1501" t="str">
        <f>_xlfn.XLOOKUP($B1501,sales_teams!$A$2:$A$36,sales_teams!C$2:C$36)</f>
        <v>East</v>
      </c>
      <c r="E1501" t="s">
        <v>18</v>
      </c>
      <c r="F1501" t="s">
        <v>222</v>
      </c>
      <c r="G1501" t="s">
        <v>12</v>
      </c>
      <c r="H1501" s="1">
        <v>42807</v>
      </c>
      <c r="I1501" s="1">
        <v>42818</v>
      </c>
      <c r="J1501">
        <v>50</v>
      </c>
    </row>
    <row r="1502" spans="1:10" x14ac:dyDescent="0.3">
      <c r="A1502" t="s">
        <v>1633</v>
      </c>
      <c r="B1502" t="s">
        <v>14</v>
      </c>
      <c r="C1502" t="str">
        <f>_xlfn.XLOOKUP(B1502,
[1]sales_teams!$A$2:$A$100,
[1]sales_teams!$B$2:$B$100)</f>
        <v>Melvin Marxen</v>
      </c>
      <c r="D1502" t="str">
        <f>_xlfn.XLOOKUP($B1502,sales_teams!$A$2:$A$36,sales_teams!C$2:C$36)</f>
        <v>Central</v>
      </c>
      <c r="E1502" t="s">
        <v>20</v>
      </c>
      <c r="F1502" t="s">
        <v>126</v>
      </c>
      <c r="G1502" t="s">
        <v>12</v>
      </c>
      <c r="H1502" s="1">
        <v>42807</v>
      </c>
      <c r="I1502" s="1">
        <v>42870</v>
      </c>
      <c r="J1502">
        <v>618</v>
      </c>
    </row>
    <row r="1503" spans="1:10" x14ac:dyDescent="0.3">
      <c r="A1503" t="s">
        <v>1634</v>
      </c>
      <c r="B1503" t="s">
        <v>14</v>
      </c>
      <c r="C1503" t="str">
        <f>_xlfn.XLOOKUP(B1503,
[1]sales_teams!$A$2:$A$100,
[1]sales_teams!$B$2:$B$100)</f>
        <v>Melvin Marxen</v>
      </c>
      <c r="D1503" t="str">
        <f>_xlfn.XLOOKUP($B1503,sales_teams!$A$2:$A$36,sales_teams!C$2:C$36)</f>
        <v>Central</v>
      </c>
      <c r="E1503" t="s">
        <v>10</v>
      </c>
      <c r="F1503" t="s">
        <v>213</v>
      </c>
      <c r="G1503" t="s">
        <v>12</v>
      </c>
      <c r="H1503" s="1">
        <v>42807</v>
      </c>
      <c r="I1503" s="1">
        <v>42811</v>
      </c>
      <c r="J1503">
        <v>1247</v>
      </c>
    </row>
    <row r="1504" spans="1:10" x14ac:dyDescent="0.3">
      <c r="A1504" t="s">
        <v>1635</v>
      </c>
      <c r="B1504" t="s">
        <v>67</v>
      </c>
      <c r="C1504" t="str">
        <f>_xlfn.XLOOKUP(B1504,
[1]sales_teams!$A$2:$A$100,
[1]sales_teams!$B$2:$B$100)</f>
        <v>Celia Rouche</v>
      </c>
      <c r="D1504" t="str">
        <f>_xlfn.XLOOKUP($B1504,sales_teams!$A$2:$A$36,sales_teams!C$2:C$36)</f>
        <v>West</v>
      </c>
      <c r="E1504" t="s">
        <v>18</v>
      </c>
      <c r="F1504" t="s">
        <v>329</v>
      </c>
      <c r="G1504" t="s">
        <v>40</v>
      </c>
      <c r="H1504" s="1">
        <v>42807</v>
      </c>
    </row>
    <row r="1505" spans="1:10" x14ac:dyDescent="0.3">
      <c r="A1505" t="s">
        <v>1636</v>
      </c>
      <c r="B1505" t="s">
        <v>105</v>
      </c>
      <c r="C1505" t="str">
        <f>_xlfn.XLOOKUP(B1505,
[1]sales_teams!$A$2:$A$100,
[1]sales_teams!$B$2:$B$100)</f>
        <v>Cara Losch</v>
      </c>
      <c r="D1505" t="str">
        <f>_xlfn.XLOOKUP($B1505,sales_teams!$A$2:$A$36,sales_teams!C$2:C$36)</f>
        <v>East</v>
      </c>
      <c r="E1505" t="s">
        <v>18</v>
      </c>
      <c r="F1505" t="s">
        <v>410</v>
      </c>
      <c r="G1505" t="s">
        <v>12</v>
      </c>
      <c r="H1505" s="1">
        <v>42807</v>
      </c>
      <c r="I1505" s="1">
        <v>42858</v>
      </c>
      <c r="J1505">
        <v>55</v>
      </c>
    </row>
    <row r="1506" spans="1:10" x14ac:dyDescent="0.3">
      <c r="A1506" t="s">
        <v>1637</v>
      </c>
      <c r="B1506" t="s">
        <v>54</v>
      </c>
      <c r="C1506" t="str">
        <f>_xlfn.XLOOKUP(B1506,
[1]sales_teams!$A$2:$A$100,
[1]sales_teams!$B$2:$B$100)</f>
        <v>Celia Rouche</v>
      </c>
      <c r="D1506" t="str">
        <f>_xlfn.XLOOKUP($B1506,sales_teams!$A$2:$A$36,sales_teams!C$2:C$36)</f>
        <v>West</v>
      </c>
      <c r="E1506" t="s">
        <v>10</v>
      </c>
      <c r="F1506" t="s">
        <v>273</v>
      </c>
      <c r="G1506" t="s">
        <v>12</v>
      </c>
      <c r="H1506" s="1">
        <v>42807</v>
      </c>
      <c r="I1506" s="1">
        <v>42903</v>
      </c>
      <c r="J1506">
        <v>1157</v>
      </c>
    </row>
    <row r="1507" spans="1:10" x14ac:dyDescent="0.3">
      <c r="A1507" t="s">
        <v>1638</v>
      </c>
      <c r="B1507" t="s">
        <v>95</v>
      </c>
      <c r="C1507" t="str">
        <f>_xlfn.XLOOKUP(B1507,
[1]sales_teams!$A$2:$A$100,
[1]sales_teams!$B$2:$B$100)</f>
        <v>Summer Sewald</v>
      </c>
      <c r="D1507" t="str">
        <f>_xlfn.XLOOKUP($B1507,sales_teams!$A$2:$A$36,sales_teams!C$2:C$36)</f>
        <v>West</v>
      </c>
      <c r="E1507" t="s">
        <v>20</v>
      </c>
      <c r="F1507" t="s">
        <v>315</v>
      </c>
      <c r="G1507" t="s">
        <v>12</v>
      </c>
      <c r="H1507" s="1">
        <v>42807</v>
      </c>
      <c r="I1507" s="1">
        <v>42877</v>
      </c>
      <c r="J1507">
        <v>537</v>
      </c>
    </row>
    <row r="1508" spans="1:10" x14ac:dyDescent="0.3">
      <c r="A1508" t="s">
        <v>1639</v>
      </c>
      <c r="B1508" t="s">
        <v>95</v>
      </c>
      <c r="C1508" t="str">
        <f>_xlfn.XLOOKUP(B1508,
[1]sales_teams!$A$2:$A$100,
[1]sales_teams!$B$2:$B$100)</f>
        <v>Summer Sewald</v>
      </c>
      <c r="D1508" t="str">
        <f>_xlfn.XLOOKUP($B1508,sales_teams!$A$2:$A$36,sales_teams!C$2:C$36)</f>
        <v>West</v>
      </c>
      <c r="E1508" t="s">
        <v>15</v>
      </c>
      <c r="F1508" t="s">
        <v>174</v>
      </c>
      <c r="G1508" t="s">
        <v>12</v>
      </c>
      <c r="H1508" s="1">
        <v>42807</v>
      </c>
      <c r="I1508" s="1">
        <v>42824</v>
      </c>
      <c r="J1508">
        <v>4955</v>
      </c>
    </row>
    <row r="1509" spans="1:10" x14ac:dyDescent="0.3">
      <c r="A1509" t="s">
        <v>1640</v>
      </c>
      <c r="B1509" t="s">
        <v>95</v>
      </c>
      <c r="C1509" t="str">
        <f>_xlfn.XLOOKUP(B1509,
[1]sales_teams!$A$2:$A$100,
[1]sales_teams!$B$2:$B$100)</f>
        <v>Summer Sewald</v>
      </c>
      <c r="D1509" t="str">
        <f>_xlfn.XLOOKUP($B1509,sales_teams!$A$2:$A$36,sales_teams!C$2:C$36)</f>
        <v>West</v>
      </c>
      <c r="E1509" t="s">
        <v>15</v>
      </c>
      <c r="F1509" t="s">
        <v>273</v>
      </c>
      <c r="G1509" t="s">
        <v>12</v>
      </c>
      <c r="H1509" s="1">
        <v>42807</v>
      </c>
      <c r="I1509" s="1">
        <v>42888</v>
      </c>
      <c r="J1509">
        <v>5606</v>
      </c>
    </row>
    <row r="1510" spans="1:10" x14ac:dyDescent="0.3">
      <c r="A1510" t="s">
        <v>1641</v>
      </c>
      <c r="B1510" t="s">
        <v>32</v>
      </c>
      <c r="C1510" t="str">
        <f>_xlfn.XLOOKUP(B1510,
[1]sales_teams!$A$2:$A$100,
[1]sales_teams!$B$2:$B$100)</f>
        <v>Celia Rouche</v>
      </c>
      <c r="D1510" t="str">
        <f>_xlfn.XLOOKUP($B1510,sales_teams!$A$2:$A$36,sales_teams!C$2:C$36)</f>
        <v>West</v>
      </c>
      <c r="E1510" t="s">
        <v>20</v>
      </c>
      <c r="G1510" t="s">
        <v>40</v>
      </c>
      <c r="H1510" s="1">
        <v>42807</v>
      </c>
    </row>
    <row r="1511" spans="1:10" x14ac:dyDescent="0.3">
      <c r="A1511" t="s">
        <v>1642</v>
      </c>
      <c r="B1511" t="s">
        <v>9</v>
      </c>
      <c r="C1511" t="str">
        <f>_xlfn.XLOOKUP(B1511,
[1]sales_teams!$A$2:$A$100,
[1]sales_teams!$B$2:$B$100)</f>
        <v>Dustin Brinkmann</v>
      </c>
      <c r="D1511" t="str">
        <f>_xlfn.XLOOKUP($B1511,sales_teams!$A$2:$A$36,sales_teams!C$2:C$36)</f>
        <v>Central</v>
      </c>
      <c r="E1511" t="s">
        <v>18</v>
      </c>
      <c r="F1511" t="s">
        <v>16</v>
      </c>
      <c r="G1511" t="s">
        <v>12</v>
      </c>
      <c r="H1511" s="1">
        <v>42807</v>
      </c>
      <c r="I1511" s="1">
        <v>42866</v>
      </c>
      <c r="J1511">
        <v>57</v>
      </c>
    </row>
    <row r="1512" spans="1:10" x14ac:dyDescent="0.3">
      <c r="A1512" t="s">
        <v>1643</v>
      </c>
      <c r="B1512" t="s">
        <v>57</v>
      </c>
      <c r="C1512" t="str">
        <f>_xlfn.XLOOKUP(B1512,
[1]sales_teams!$A$2:$A$100,
[1]sales_teams!$B$2:$B$100)</f>
        <v>Celia Rouche</v>
      </c>
      <c r="D1512" t="str">
        <f>_xlfn.XLOOKUP($B1512,sales_teams!$A$2:$A$36,sales_teams!C$2:C$36)</f>
        <v>West</v>
      </c>
      <c r="E1512" t="s">
        <v>18</v>
      </c>
      <c r="F1512" t="s">
        <v>49</v>
      </c>
      <c r="G1512" t="s">
        <v>12</v>
      </c>
      <c r="H1512" s="1">
        <v>42807</v>
      </c>
      <c r="I1512" s="1">
        <v>42875</v>
      </c>
      <c r="J1512">
        <v>66</v>
      </c>
    </row>
    <row r="1513" spans="1:10" x14ac:dyDescent="0.3">
      <c r="A1513" t="s">
        <v>1644</v>
      </c>
      <c r="B1513" t="s">
        <v>23</v>
      </c>
      <c r="C1513" t="str">
        <f>_xlfn.XLOOKUP(B1513,
[1]sales_teams!$A$2:$A$100,
[1]sales_teams!$B$2:$B$100)</f>
        <v>Summer Sewald</v>
      </c>
      <c r="D1513" t="str">
        <f>_xlfn.XLOOKUP($B1513,sales_teams!$A$2:$A$36,sales_teams!C$2:C$36)</f>
        <v>West</v>
      </c>
      <c r="E1513" t="s">
        <v>15</v>
      </c>
      <c r="F1513" t="s">
        <v>174</v>
      </c>
      <c r="G1513" t="s">
        <v>12</v>
      </c>
      <c r="H1513" s="1">
        <v>42807</v>
      </c>
      <c r="I1513" s="1">
        <v>42913</v>
      </c>
      <c r="J1513">
        <v>5113</v>
      </c>
    </row>
    <row r="1514" spans="1:10" x14ac:dyDescent="0.3">
      <c r="A1514" t="s">
        <v>1645</v>
      </c>
      <c r="B1514" t="s">
        <v>23</v>
      </c>
      <c r="C1514" t="str">
        <f>_xlfn.XLOOKUP(B1514,
[1]sales_teams!$A$2:$A$100,
[1]sales_teams!$B$2:$B$100)</f>
        <v>Summer Sewald</v>
      </c>
      <c r="D1514" t="str">
        <f>_xlfn.XLOOKUP($B1514,sales_teams!$A$2:$A$36,sales_teams!C$2:C$36)</f>
        <v>West</v>
      </c>
      <c r="E1514" t="s">
        <v>15</v>
      </c>
      <c r="F1514" t="s">
        <v>49</v>
      </c>
      <c r="G1514" t="s">
        <v>12</v>
      </c>
      <c r="H1514" s="1">
        <v>42807</v>
      </c>
      <c r="I1514" s="1">
        <v>42877</v>
      </c>
      <c r="J1514">
        <v>4595</v>
      </c>
    </row>
    <row r="1515" spans="1:10" x14ac:dyDescent="0.3">
      <c r="A1515" t="s">
        <v>1646</v>
      </c>
      <c r="B1515" t="s">
        <v>139</v>
      </c>
      <c r="C1515" t="str">
        <f>_xlfn.XLOOKUP(B1515,
[1]sales_teams!$A$2:$A$100,
[1]sales_teams!$B$2:$B$100)</f>
        <v>Rocco Neubert</v>
      </c>
      <c r="D1515" t="str">
        <f>_xlfn.XLOOKUP($B1515,sales_teams!$A$2:$A$36,sales_teams!C$2:C$36)</f>
        <v>East</v>
      </c>
      <c r="E1515" t="s">
        <v>10</v>
      </c>
      <c r="G1515" t="s">
        <v>40</v>
      </c>
      <c r="H1515" s="1">
        <v>42808</v>
      </c>
    </row>
    <row r="1516" spans="1:10" x14ac:dyDescent="0.3">
      <c r="A1516" t="s">
        <v>1647</v>
      </c>
      <c r="B1516" t="s">
        <v>118</v>
      </c>
      <c r="C1516" t="str">
        <f>_xlfn.XLOOKUP(B1516,
[1]sales_teams!$A$2:$A$100,
[1]sales_teams!$B$2:$B$100)</f>
        <v>Rocco Neubert</v>
      </c>
      <c r="D1516" t="str">
        <f>_xlfn.XLOOKUP($B1516,sales_teams!$A$2:$A$36,sales_teams!C$2:C$36)</f>
        <v>East</v>
      </c>
      <c r="E1516" t="s">
        <v>39</v>
      </c>
      <c r="F1516" t="s">
        <v>237</v>
      </c>
      <c r="G1516" t="s">
        <v>12</v>
      </c>
      <c r="H1516" s="1">
        <v>42808</v>
      </c>
      <c r="I1516" s="1">
        <v>42815</v>
      </c>
      <c r="J1516">
        <v>3503</v>
      </c>
    </row>
    <row r="1517" spans="1:10" x14ac:dyDescent="0.3">
      <c r="A1517" t="s">
        <v>1648</v>
      </c>
      <c r="B1517" t="s">
        <v>118</v>
      </c>
      <c r="C1517" t="str">
        <f>_xlfn.XLOOKUP(B1517,
[1]sales_teams!$A$2:$A$100,
[1]sales_teams!$B$2:$B$100)</f>
        <v>Rocco Neubert</v>
      </c>
      <c r="D1517" t="str">
        <f>_xlfn.XLOOKUP($B1517,sales_teams!$A$2:$A$36,sales_teams!C$2:C$36)</f>
        <v>East</v>
      </c>
      <c r="E1517" t="s">
        <v>39</v>
      </c>
      <c r="F1517" t="s">
        <v>106</v>
      </c>
      <c r="G1517" t="s">
        <v>12</v>
      </c>
      <c r="H1517" s="1">
        <v>42808</v>
      </c>
      <c r="I1517" s="1">
        <v>42899</v>
      </c>
      <c r="J1517">
        <v>3600</v>
      </c>
    </row>
    <row r="1518" spans="1:10" x14ac:dyDescent="0.3">
      <c r="A1518" t="s">
        <v>1649</v>
      </c>
      <c r="B1518" t="s">
        <v>64</v>
      </c>
      <c r="C1518" t="str">
        <f>_xlfn.XLOOKUP(B1518,
[1]sales_teams!$A$2:$A$100,
[1]sales_teams!$B$2:$B$100)</f>
        <v>Rocco Neubert</v>
      </c>
      <c r="D1518" t="str">
        <f>_xlfn.XLOOKUP($B1518,sales_teams!$A$2:$A$36,sales_teams!C$2:C$36)</f>
        <v>East</v>
      </c>
      <c r="E1518" t="s">
        <v>15</v>
      </c>
      <c r="G1518" t="s">
        <v>40</v>
      </c>
      <c r="H1518" s="1">
        <v>42808</v>
      </c>
    </row>
    <row r="1519" spans="1:10" x14ac:dyDescent="0.3">
      <c r="A1519" t="s">
        <v>1650</v>
      </c>
      <c r="B1519" t="s">
        <v>64</v>
      </c>
      <c r="C1519" t="str">
        <f>_xlfn.XLOOKUP(B1519,
[1]sales_teams!$A$2:$A$100,
[1]sales_teams!$B$2:$B$100)</f>
        <v>Rocco Neubert</v>
      </c>
      <c r="D1519" t="str">
        <f>_xlfn.XLOOKUP($B1519,sales_teams!$A$2:$A$36,sales_teams!C$2:C$36)</f>
        <v>East</v>
      </c>
      <c r="E1519" t="s">
        <v>20</v>
      </c>
      <c r="F1519" t="s">
        <v>222</v>
      </c>
      <c r="G1519" t="s">
        <v>12</v>
      </c>
      <c r="H1519" s="1">
        <v>42808</v>
      </c>
      <c r="I1519" s="1">
        <v>42813</v>
      </c>
      <c r="J1519">
        <v>425</v>
      </c>
    </row>
    <row r="1520" spans="1:10" x14ac:dyDescent="0.3">
      <c r="A1520" t="s">
        <v>1651</v>
      </c>
      <c r="B1520" t="s">
        <v>14</v>
      </c>
      <c r="C1520" t="str">
        <f>_xlfn.XLOOKUP(B1520,
[1]sales_teams!$A$2:$A$100,
[1]sales_teams!$B$2:$B$100)</f>
        <v>Melvin Marxen</v>
      </c>
      <c r="D1520" t="str">
        <f>_xlfn.XLOOKUP($B1520,sales_teams!$A$2:$A$36,sales_teams!C$2:C$36)</f>
        <v>Central</v>
      </c>
      <c r="E1520" t="s">
        <v>15</v>
      </c>
      <c r="F1520" t="s">
        <v>197</v>
      </c>
      <c r="G1520" t="s">
        <v>12</v>
      </c>
      <c r="H1520" s="1">
        <v>42808</v>
      </c>
      <c r="I1520" s="1">
        <v>42906</v>
      </c>
      <c r="J1520">
        <v>4565</v>
      </c>
    </row>
    <row r="1521" spans="1:10" x14ac:dyDescent="0.3">
      <c r="A1521" t="s">
        <v>1652</v>
      </c>
      <c r="B1521" t="s">
        <v>14</v>
      </c>
      <c r="C1521" t="str">
        <f>_xlfn.XLOOKUP(B1521,
[1]sales_teams!$A$2:$A$100,
[1]sales_teams!$B$2:$B$100)</f>
        <v>Melvin Marxen</v>
      </c>
      <c r="D1521" t="str">
        <f>_xlfn.XLOOKUP($B1521,sales_teams!$A$2:$A$36,sales_teams!C$2:C$36)</f>
        <v>Central</v>
      </c>
      <c r="E1521" t="s">
        <v>15</v>
      </c>
      <c r="F1521" t="s">
        <v>27</v>
      </c>
      <c r="G1521" t="s">
        <v>12</v>
      </c>
      <c r="H1521" s="1">
        <v>42808</v>
      </c>
      <c r="I1521" s="1">
        <v>42877</v>
      </c>
      <c r="J1521">
        <v>4754</v>
      </c>
    </row>
    <row r="1522" spans="1:10" x14ac:dyDescent="0.3">
      <c r="A1522" t="s">
        <v>1653</v>
      </c>
      <c r="B1522" t="s">
        <v>14</v>
      </c>
      <c r="C1522" t="str">
        <f>_xlfn.XLOOKUP(B1522,
[1]sales_teams!$A$2:$A$100,
[1]sales_teams!$B$2:$B$100)</f>
        <v>Melvin Marxen</v>
      </c>
      <c r="D1522" t="str">
        <f>_xlfn.XLOOKUP($B1522,sales_teams!$A$2:$A$36,sales_teams!C$2:C$36)</f>
        <v>Central</v>
      </c>
      <c r="E1522" t="s">
        <v>18</v>
      </c>
      <c r="F1522" t="s">
        <v>91</v>
      </c>
      <c r="G1522" t="s">
        <v>12</v>
      </c>
      <c r="H1522" s="1">
        <v>42808</v>
      </c>
      <c r="I1522" s="1">
        <v>42861</v>
      </c>
      <c r="J1522">
        <v>62</v>
      </c>
    </row>
    <row r="1523" spans="1:10" x14ac:dyDescent="0.3">
      <c r="A1523" t="s">
        <v>1654</v>
      </c>
      <c r="B1523" t="s">
        <v>142</v>
      </c>
      <c r="C1523" t="str">
        <f>_xlfn.XLOOKUP(B1523,
[1]sales_teams!$A$2:$A$100,
[1]sales_teams!$B$2:$B$100)</f>
        <v>Rocco Neubert</v>
      </c>
      <c r="D1523" t="str">
        <f>_xlfn.XLOOKUP($B1523,sales_teams!$A$2:$A$36,sales_teams!C$2:C$36)</f>
        <v>East</v>
      </c>
      <c r="E1523" t="s">
        <v>15</v>
      </c>
      <c r="F1523" t="s">
        <v>204</v>
      </c>
      <c r="G1523" t="s">
        <v>12</v>
      </c>
      <c r="H1523" s="1">
        <v>42808</v>
      </c>
      <c r="I1523" s="1">
        <v>42885</v>
      </c>
      <c r="J1523">
        <v>4688</v>
      </c>
    </row>
    <row r="1524" spans="1:10" x14ac:dyDescent="0.3">
      <c r="A1524" t="s">
        <v>1655</v>
      </c>
      <c r="B1524" t="s">
        <v>67</v>
      </c>
      <c r="C1524" t="str">
        <f>_xlfn.XLOOKUP(B1524,
[1]sales_teams!$A$2:$A$100,
[1]sales_teams!$B$2:$B$100)</f>
        <v>Celia Rouche</v>
      </c>
      <c r="D1524" t="str">
        <f>_xlfn.XLOOKUP($B1524,sales_teams!$A$2:$A$36,sales_teams!C$2:C$36)</f>
        <v>West</v>
      </c>
      <c r="E1524" t="s">
        <v>39</v>
      </c>
      <c r="F1524" t="s">
        <v>122</v>
      </c>
      <c r="G1524" t="s">
        <v>12</v>
      </c>
      <c r="H1524" s="1">
        <v>42808</v>
      </c>
      <c r="I1524" s="1">
        <v>42814</v>
      </c>
      <c r="J1524">
        <v>3386</v>
      </c>
    </row>
    <row r="1525" spans="1:10" x14ac:dyDescent="0.3">
      <c r="A1525" t="s">
        <v>1656</v>
      </c>
      <c r="B1525" t="s">
        <v>105</v>
      </c>
      <c r="C1525" t="str">
        <f>_xlfn.XLOOKUP(B1525,
[1]sales_teams!$A$2:$A$100,
[1]sales_teams!$B$2:$B$100)</f>
        <v>Cara Losch</v>
      </c>
      <c r="D1525" t="str">
        <f>_xlfn.XLOOKUP($B1525,sales_teams!$A$2:$A$36,sales_teams!C$2:C$36)</f>
        <v>East</v>
      </c>
      <c r="E1525" t="s">
        <v>15</v>
      </c>
      <c r="F1525" t="s">
        <v>65</v>
      </c>
      <c r="G1525" t="s">
        <v>12</v>
      </c>
      <c r="H1525" s="1">
        <v>42808</v>
      </c>
      <c r="I1525" s="1">
        <v>42892</v>
      </c>
      <c r="J1525">
        <v>3869</v>
      </c>
    </row>
    <row r="1526" spans="1:10" x14ac:dyDescent="0.3">
      <c r="A1526" t="s">
        <v>1657</v>
      </c>
      <c r="B1526" t="s">
        <v>44</v>
      </c>
      <c r="C1526" t="str">
        <f>_xlfn.XLOOKUP(B1526,
[1]sales_teams!$A$2:$A$100,
[1]sales_teams!$B$2:$B$100)</f>
        <v>Melvin Marxen</v>
      </c>
      <c r="D1526" t="str">
        <f>_xlfn.XLOOKUP($B1526,sales_teams!$A$2:$A$36,sales_teams!C$2:C$36)</f>
        <v>Central</v>
      </c>
      <c r="E1526" t="s">
        <v>20</v>
      </c>
      <c r="F1526" t="s">
        <v>492</v>
      </c>
      <c r="G1526" t="s">
        <v>12</v>
      </c>
      <c r="H1526" s="1">
        <v>42808</v>
      </c>
      <c r="I1526" s="1">
        <v>42818</v>
      </c>
      <c r="J1526">
        <v>615</v>
      </c>
    </row>
    <row r="1527" spans="1:10" x14ac:dyDescent="0.3">
      <c r="A1527" t="s">
        <v>1658</v>
      </c>
      <c r="B1527" t="s">
        <v>44</v>
      </c>
      <c r="C1527" t="str">
        <f>_xlfn.XLOOKUP(B1527,
[1]sales_teams!$A$2:$A$100,
[1]sales_teams!$B$2:$B$100)</f>
        <v>Melvin Marxen</v>
      </c>
      <c r="D1527" t="str">
        <f>_xlfn.XLOOKUP($B1527,sales_teams!$A$2:$A$36,sales_teams!C$2:C$36)</f>
        <v>Central</v>
      </c>
      <c r="E1527" t="s">
        <v>18</v>
      </c>
      <c r="F1527" t="s">
        <v>129</v>
      </c>
      <c r="G1527" t="s">
        <v>12</v>
      </c>
      <c r="H1527" s="1">
        <v>42808</v>
      </c>
      <c r="I1527" s="1">
        <v>42873</v>
      </c>
      <c r="J1527">
        <v>55</v>
      </c>
    </row>
    <row r="1528" spans="1:10" x14ac:dyDescent="0.3">
      <c r="A1528" t="s">
        <v>1659</v>
      </c>
      <c r="B1528" t="s">
        <v>54</v>
      </c>
      <c r="C1528" t="str">
        <f>_xlfn.XLOOKUP(B1528,
[1]sales_teams!$A$2:$A$100,
[1]sales_teams!$B$2:$B$100)</f>
        <v>Celia Rouche</v>
      </c>
      <c r="D1528" t="str">
        <f>_xlfn.XLOOKUP($B1528,sales_teams!$A$2:$A$36,sales_teams!C$2:C$36)</f>
        <v>West</v>
      </c>
      <c r="E1528" t="s">
        <v>39</v>
      </c>
      <c r="G1528" t="s">
        <v>40</v>
      </c>
      <c r="H1528" s="1">
        <v>42808</v>
      </c>
    </row>
    <row r="1529" spans="1:10" x14ac:dyDescent="0.3">
      <c r="A1529" t="s">
        <v>1660</v>
      </c>
      <c r="B1529" t="s">
        <v>32</v>
      </c>
      <c r="C1529" t="str">
        <f>_xlfn.XLOOKUP(B1529,
[1]sales_teams!$A$2:$A$100,
[1]sales_teams!$B$2:$B$100)</f>
        <v>Celia Rouche</v>
      </c>
      <c r="D1529" t="str">
        <f>_xlfn.XLOOKUP($B1529,sales_teams!$A$2:$A$36,sales_teams!C$2:C$36)</f>
        <v>West</v>
      </c>
      <c r="E1529" t="s">
        <v>20</v>
      </c>
      <c r="F1529" t="s">
        <v>103</v>
      </c>
      <c r="G1529" t="s">
        <v>40</v>
      </c>
      <c r="H1529" s="1">
        <v>42808</v>
      </c>
    </row>
    <row r="1530" spans="1:10" x14ac:dyDescent="0.3">
      <c r="A1530" t="s">
        <v>1661</v>
      </c>
      <c r="B1530" t="s">
        <v>32</v>
      </c>
      <c r="C1530" t="str">
        <f>_xlfn.XLOOKUP(B1530,
[1]sales_teams!$A$2:$A$100,
[1]sales_teams!$B$2:$B$100)</f>
        <v>Celia Rouche</v>
      </c>
      <c r="D1530" t="str">
        <f>_xlfn.XLOOKUP($B1530,sales_teams!$A$2:$A$36,sales_teams!C$2:C$36)</f>
        <v>West</v>
      </c>
      <c r="E1530" t="s">
        <v>48</v>
      </c>
      <c r="G1530" t="s">
        <v>40</v>
      </c>
      <c r="H1530" s="1">
        <v>42808</v>
      </c>
    </row>
    <row r="1531" spans="1:10" x14ac:dyDescent="0.3">
      <c r="A1531" t="s">
        <v>1662</v>
      </c>
      <c r="B1531" t="s">
        <v>116</v>
      </c>
      <c r="C1531" t="str">
        <f>_xlfn.XLOOKUP(B1531,
[1]sales_teams!$A$2:$A$100,
[1]sales_teams!$B$2:$B$100)</f>
        <v>Melvin Marxen</v>
      </c>
      <c r="D1531" t="str">
        <f>_xlfn.XLOOKUP($B1531,sales_teams!$A$2:$A$36,sales_teams!C$2:C$36)</f>
        <v>Central</v>
      </c>
      <c r="E1531" t="s">
        <v>20</v>
      </c>
      <c r="F1531" t="s">
        <v>16</v>
      </c>
      <c r="G1531" t="s">
        <v>46</v>
      </c>
      <c r="H1531" s="1">
        <v>42808</v>
      </c>
      <c r="I1531" s="1">
        <v>42872</v>
      </c>
      <c r="J1531">
        <v>0</v>
      </c>
    </row>
    <row r="1532" spans="1:10" x14ac:dyDescent="0.3">
      <c r="A1532" t="s">
        <v>1663</v>
      </c>
      <c r="B1532" t="s">
        <v>51</v>
      </c>
      <c r="C1532" t="str">
        <f>_xlfn.XLOOKUP(B1532,
[1]sales_teams!$A$2:$A$100,
[1]sales_teams!$B$2:$B$100)</f>
        <v>Summer Sewald</v>
      </c>
      <c r="D1532" t="str">
        <f>_xlfn.XLOOKUP($B1532,sales_teams!$A$2:$A$36,sales_teams!C$2:C$36)</f>
        <v>West</v>
      </c>
      <c r="E1532" t="s">
        <v>10</v>
      </c>
      <c r="F1532" t="s">
        <v>24</v>
      </c>
      <c r="G1532" t="s">
        <v>12</v>
      </c>
      <c r="H1532" s="1">
        <v>42808</v>
      </c>
      <c r="I1532" s="1">
        <v>42819</v>
      </c>
      <c r="J1532">
        <v>1019</v>
      </c>
    </row>
    <row r="1533" spans="1:10" x14ac:dyDescent="0.3">
      <c r="A1533" t="s">
        <v>1664</v>
      </c>
      <c r="B1533" t="s">
        <v>51</v>
      </c>
      <c r="C1533" t="str">
        <f>_xlfn.XLOOKUP(B1533,
[1]sales_teams!$A$2:$A$100,
[1]sales_teams!$B$2:$B$100)</f>
        <v>Summer Sewald</v>
      </c>
      <c r="D1533" t="str">
        <f>_xlfn.XLOOKUP($B1533,sales_teams!$A$2:$A$36,sales_teams!C$2:C$36)</f>
        <v>West</v>
      </c>
      <c r="E1533" t="s">
        <v>39</v>
      </c>
      <c r="F1533" t="s">
        <v>313</v>
      </c>
      <c r="G1533" t="s">
        <v>12</v>
      </c>
      <c r="H1533" s="1">
        <v>42808</v>
      </c>
      <c r="I1533" s="1">
        <v>42867</v>
      </c>
      <c r="J1533">
        <v>2798</v>
      </c>
    </row>
    <row r="1534" spans="1:10" x14ac:dyDescent="0.3">
      <c r="A1534" t="s">
        <v>1665</v>
      </c>
      <c r="B1534" t="s">
        <v>9</v>
      </c>
      <c r="C1534" t="str">
        <f>_xlfn.XLOOKUP(B1534,
[1]sales_teams!$A$2:$A$100,
[1]sales_teams!$B$2:$B$100)</f>
        <v>Dustin Brinkmann</v>
      </c>
      <c r="D1534" t="str">
        <f>_xlfn.XLOOKUP($B1534,sales_teams!$A$2:$A$36,sales_teams!C$2:C$36)</f>
        <v>Central</v>
      </c>
      <c r="E1534" t="s">
        <v>20</v>
      </c>
      <c r="F1534" t="s">
        <v>492</v>
      </c>
      <c r="G1534" t="s">
        <v>12</v>
      </c>
      <c r="H1534" s="1">
        <v>42808</v>
      </c>
      <c r="I1534" s="1">
        <v>42889</v>
      </c>
      <c r="J1534">
        <v>502</v>
      </c>
    </row>
    <row r="1535" spans="1:10" x14ac:dyDescent="0.3">
      <c r="A1535" t="s">
        <v>1666</v>
      </c>
      <c r="B1535" t="s">
        <v>9</v>
      </c>
      <c r="C1535" t="str">
        <f>_xlfn.XLOOKUP(B1535,
[1]sales_teams!$A$2:$A$100,
[1]sales_teams!$B$2:$B$100)</f>
        <v>Dustin Brinkmann</v>
      </c>
      <c r="D1535" t="str">
        <f>_xlfn.XLOOKUP($B1535,sales_teams!$A$2:$A$36,sales_teams!C$2:C$36)</f>
        <v>Central</v>
      </c>
      <c r="E1535" t="s">
        <v>39</v>
      </c>
      <c r="F1535" t="s">
        <v>16</v>
      </c>
      <c r="G1535" t="s">
        <v>12</v>
      </c>
      <c r="H1535" s="1">
        <v>42808</v>
      </c>
      <c r="I1535" s="1">
        <v>42810</v>
      </c>
      <c r="J1535">
        <v>3323</v>
      </c>
    </row>
    <row r="1536" spans="1:10" x14ac:dyDescent="0.3">
      <c r="A1536" t="s">
        <v>1667</v>
      </c>
      <c r="B1536" t="s">
        <v>97</v>
      </c>
      <c r="C1536" t="str">
        <f>_xlfn.XLOOKUP(B1536,
[1]sales_teams!$A$2:$A$100,
[1]sales_teams!$B$2:$B$100)</f>
        <v>Rocco Neubert</v>
      </c>
      <c r="D1536" t="str">
        <f>_xlfn.XLOOKUP($B1536,sales_teams!$A$2:$A$36,sales_teams!C$2:C$36)</f>
        <v>East</v>
      </c>
      <c r="E1536" t="s">
        <v>10</v>
      </c>
      <c r="F1536" t="s">
        <v>218</v>
      </c>
      <c r="G1536" t="s">
        <v>46</v>
      </c>
      <c r="H1536" s="1">
        <v>42808</v>
      </c>
      <c r="I1536" s="1">
        <v>42897</v>
      </c>
      <c r="J1536">
        <v>0</v>
      </c>
    </row>
    <row r="1537" spans="1:10" x14ac:dyDescent="0.3">
      <c r="A1537" t="s">
        <v>1668</v>
      </c>
      <c r="B1537" t="s">
        <v>57</v>
      </c>
      <c r="C1537" t="str">
        <f>_xlfn.XLOOKUP(B1537,
[1]sales_teams!$A$2:$A$100,
[1]sales_teams!$B$2:$B$100)</f>
        <v>Celia Rouche</v>
      </c>
      <c r="D1537" t="str">
        <f>_xlfn.XLOOKUP($B1537,sales_teams!$A$2:$A$36,sales_teams!C$2:C$36)</f>
        <v>West</v>
      </c>
      <c r="E1537" t="s">
        <v>18</v>
      </c>
      <c r="F1537" t="s">
        <v>157</v>
      </c>
      <c r="G1537" t="s">
        <v>46</v>
      </c>
      <c r="H1537" s="1">
        <v>42808</v>
      </c>
      <c r="I1537" s="1">
        <v>42824</v>
      </c>
      <c r="J1537">
        <v>0</v>
      </c>
    </row>
    <row r="1538" spans="1:10" x14ac:dyDescent="0.3">
      <c r="A1538" t="s">
        <v>1669</v>
      </c>
      <c r="B1538" t="s">
        <v>29</v>
      </c>
      <c r="C1538" t="str">
        <f>_xlfn.XLOOKUP(B1538,
[1]sales_teams!$A$2:$A$100,
[1]sales_teams!$B$2:$B$100)</f>
        <v>Celia Rouche</v>
      </c>
      <c r="D1538" t="str">
        <f>_xlfn.XLOOKUP($B1538,sales_teams!$A$2:$A$36,sales_teams!C$2:C$36)</f>
        <v>West</v>
      </c>
      <c r="E1538" t="s">
        <v>48</v>
      </c>
      <c r="F1538" t="s">
        <v>157</v>
      </c>
      <c r="G1538" t="s">
        <v>46</v>
      </c>
      <c r="H1538" s="1">
        <v>42808</v>
      </c>
      <c r="I1538" s="1">
        <v>42882</v>
      </c>
      <c r="J1538">
        <v>0</v>
      </c>
    </row>
    <row r="1539" spans="1:10" x14ac:dyDescent="0.3">
      <c r="A1539" t="s">
        <v>1670</v>
      </c>
      <c r="B1539" t="s">
        <v>29</v>
      </c>
      <c r="C1539" t="str">
        <f>_xlfn.XLOOKUP(B1539,
[1]sales_teams!$A$2:$A$100,
[1]sales_teams!$B$2:$B$100)</f>
        <v>Celia Rouche</v>
      </c>
      <c r="D1539" t="str">
        <f>_xlfn.XLOOKUP($B1539,sales_teams!$A$2:$A$36,sales_teams!C$2:C$36)</f>
        <v>West</v>
      </c>
      <c r="E1539" t="s">
        <v>39</v>
      </c>
      <c r="F1539" t="s">
        <v>55</v>
      </c>
      <c r="G1539" t="s">
        <v>46</v>
      </c>
      <c r="H1539" s="1">
        <v>42808</v>
      </c>
      <c r="I1539" s="1">
        <v>42907</v>
      </c>
      <c r="J1539">
        <v>0</v>
      </c>
    </row>
    <row r="1540" spans="1:10" x14ac:dyDescent="0.3">
      <c r="A1540" t="s">
        <v>1671</v>
      </c>
      <c r="B1540" t="s">
        <v>29</v>
      </c>
      <c r="C1540" t="str">
        <f>_xlfn.XLOOKUP(B1540,
[1]sales_teams!$A$2:$A$100,
[1]sales_teams!$B$2:$B$100)</f>
        <v>Celia Rouche</v>
      </c>
      <c r="D1540" t="str">
        <f>_xlfn.XLOOKUP($B1540,sales_teams!$A$2:$A$36,sales_teams!C$2:C$36)</f>
        <v>West</v>
      </c>
      <c r="E1540" t="s">
        <v>20</v>
      </c>
      <c r="F1540" t="s">
        <v>59</v>
      </c>
      <c r="G1540" t="s">
        <v>12</v>
      </c>
      <c r="H1540" s="1">
        <v>42808</v>
      </c>
      <c r="I1540" s="1">
        <v>42811</v>
      </c>
      <c r="J1540">
        <v>542</v>
      </c>
    </row>
    <row r="1541" spans="1:10" x14ac:dyDescent="0.3">
      <c r="A1541" t="s">
        <v>1672</v>
      </c>
      <c r="B1541" t="s">
        <v>23</v>
      </c>
      <c r="C1541" t="str">
        <f>_xlfn.XLOOKUP(B1541,
[1]sales_teams!$A$2:$A$100,
[1]sales_teams!$B$2:$B$100)</f>
        <v>Summer Sewald</v>
      </c>
      <c r="D1541" t="str">
        <f>_xlfn.XLOOKUP($B1541,sales_teams!$A$2:$A$36,sales_teams!C$2:C$36)</f>
        <v>West</v>
      </c>
      <c r="E1541" t="s">
        <v>15</v>
      </c>
      <c r="F1541" t="s">
        <v>194</v>
      </c>
      <c r="G1541" t="s">
        <v>12</v>
      </c>
      <c r="H1541" s="1">
        <v>42808</v>
      </c>
      <c r="I1541" s="1">
        <v>42877</v>
      </c>
      <c r="J1541">
        <v>5172</v>
      </c>
    </row>
    <row r="1542" spans="1:10" x14ac:dyDescent="0.3">
      <c r="A1542" t="s">
        <v>1673</v>
      </c>
      <c r="B1542" t="s">
        <v>118</v>
      </c>
      <c r="C1542" t="str">
        <f>_xlfn.XLOOKUP(B1542,
[1]sales_teams!$A$2:$A$100,
[1]sales_teams!$B$2:$B$100)</f>
        <v>Rocco Neubert</v>
      </c>
      <c r="D1542" t="str">
        <f>_xlfn.XLOOKUP($B1542,sales_teams!$A$2:$A$36,sales_teams!C$2:C$36)</f>
        <v>East</v>
      </c>
      <c r="E1542" t="s">
        <v>39</v>
      </c>
      <c r="F1542" t="s">
        <v>222</v>
      </c>
      <c r="G1542" t="s">
        <v>46</v>
      </c>
      <c r="H1542" s="1">
        <v>42809</v>
      </c>
      <c r="I1542" s="1">
        <v>42910</v>
      </c>
      <c r="J1542">
        <v>0</v>
      </c>
    </row>
    <row r="1543" spans="1:10" x14ac:dyDescent="0.3">
      <c r="A1543" t="s">
        <v>1674</v>
      </c>
      <c r="B1543" t="s">
        <v>118</v>
      </c>
      <c r="C1543" t="str">
        <f>_xlfn.XLOOKUP(B1543,
[1]sales_teams!$A$2:$A$100,
[1]sales_teams!$B$2:$B$100)</f>
        <v>Rocco Neubert</v>
      </c>
      <c r="D1543" t="str">
        <f>_xlfn.XLOOKUP($B1543,sales_teams!$A$2:$A$36,sales_teams!C$2:C$36)</f>
        <v>East</v>
      </c>
      <c r="E1543" t="s">
        <v>20</v>
      </c>
      <c r="F1543" t="s">
        <v>189</v>
      </c>
      <c r="G1543" t="s">
        <v>12</v>
      </c>
      <c r="H1543" s="1">
        <v>42809</v>
      </c>
      <c r="I1543" s="1">
        <v>42825</v>
      </c>
      <c r="J1543">
        <v>538</v>
      </c>
    </row>
    <row r="1544" spans="1:10" x14ac:dyDescent="0.3">
      <c r="A1544" t="s">
        <v>1675</v>
      </c>
      <c r="B1544" t="s">
        <v>118</v>
      </c>
      <c r="C1544" t="str">
        <f>_xlfn.XLOOKUP(B1544,
[1]sales_teams!$A$2:$A$100,
[1]sales_teams!$B$2:$B$100)</f>
        <v>Rocco Neubert</v>
      </c>
      <c r="D1544" t="str">
        <f>_xlfn.XLOOKUP($B1544,sales_teams!$A$2:$A$36,sales_teams!C$2:C$36)</f>
        <v>East</v>
      </c>
      <c r="E1544" t="s">
        <v>15</v>
      </c>
      <c r="F1544" t="s">
        <v>204</v>
      </c>
      <c r="G1544" t="s">
        <v>12</v>
      </c>
      <c r="H1544" s="1">
        <v>42809</v>
      </c>
      <c r="I1544" s="1">
        <v>42873</v>
      </c>
      <c r="J1544">
        <v>4497</v>
      </c>
    </row>
    <row r="1545" spans="1:10" x14ac:dyDescent="0.3">
      <c r="A1545" t="s">
        <v>1676</v>
      </c>
      <c r="B1545" t="s">
        <v>14</v>
      </c>
      <c r="C1545" t="str">
        <f>_xlfn.XLOOKUP(B1545,
[1]sales_teams!$A$2:$A$100,
[1]sales_teams!$B$2:$B$100)</f>
        <v>Melvin Marxen</v>
      </c>
      <c r="D1545" t="str">
        <f>_xlfn.XLOOKUP($B1545,sales_teams!$A$2:$A$36,sales_teams!C$2:C$36)</f>
        <v>Central</v>
      </c>
      <c r="E1545" t="s">
        <v>10</v>
      </c>
      <c r="F1545" t="s">
        <v>21</v>
      </c>
      <c r="G1545" t="s">
        <v>12</v>
      </c>
      <c r="H1545" s="1">
        <v>42809</v>
      </c>
      <c r="I1545" s="1">
        <v>42864</v>
      </c>
      <c r="J1545">
        <v>1178</v>
      </c>
    </row>
    <row r="1546" spans="1:10" x14ac:dyDescent="0.3">
      <c r="A1546" t="s">
        <v>1677</v>
      </c>
      <c r="B1546" t="s">
        <v>14</v>
      </c>
      <c r="C1546" t="str">
        <f>_xlfn.XLOOKUP(B1546,
[1]sales_teams!$A$2:$A$100,
[1]sales_teams!$B$2:$B$100)</f>
        <v>Melvin Marxen</v>
      </c>
      <c r="D1546" t="str">
        <f>_xlfn.XLOOKUP($B1546,sales_teams!$A$2:$A$36,sales_teams!C$2:C$36)</f>
        <v>Central</v>
      </c>
      <c r="E1546" t="s">
        <v>15</v>
      </c>
      <c r="F1546" t="s">
        <v>62</v>
      </c>
      <c r="G1546" t="s">
        <v>12</v>
      </c>
      <c r="H1546" s="1">
        <v>42809</v>
      </c>
      <c r="I1546" s="1">
        <v>42907</v>
      </c>
      <c r="J1546">
        <v>4969</v>
      </c>
    </row>
    <row r="1547" spans="1:10" x14ac:dyDescent="0.3">
      <c r="A1547" t="s">
        <v>1678</v>
      </c>
      <c r="B1547" t="s">
        <v>14</v>
      </c>
      <c r="C1547" t="str">
        <f>_xlfn.XLOOKUP(B1547,
[1]sales_teams!$A$2:$A$100,
[1]sales_teams!$B$2:$B$100)</f>
        <v>Melvin Marxen</v>
      </c>
      <c r="D1547" t="str">
        <f>_xlfn.XLOOKUP($B1547,sales_teams!$A$2:$A$36,sales_teams!C$2:C$36)</f>
        <v>Central</v>
      </c>
      <c r="E1547" t="s">
        <v>18</v>
      </c>
      <c r="F1547" t="s">
        <v>151</v>
      </c>
      <c r="G1547" t="s">
        <v>12</v>
      </c>
      <c r="H1547" s="1">
        <v>42809</v>
      </c>
      <c r="I1547" s="1">
        <v>42814</v>
      </c>
      <c r="J1547">
        <v>60</v>
      </c>
    </row>
    <row r="1548" spans="1:10" x14ac:dyDescent="0.3">
      <c r="A1548" t="s">
        <v>1679</v>
      </c>
      <c r="B1548" t="s">
        <v>14</v>
      </c>
      <c r="C1548" t="str">
        <f>_xlfn.XLOOKUP(B1548,
[1]sales_teams!$A$2:$A$100,
[1]sales_teams!$B$2:$B$100)</f>
        <v>Melvin Marxen</v>
      </c>
      <c r="D1548" t="str">
        <f>_xlfn.XLOOKUP($B1548,sales_teams!$A$2:$A$36,sales_teams!C$2:C$36)</f>
        <v>Central</v>
      </c>
      <c r="E1548" t="s">
        <v>39</v>
      </c>
      <c r="F1548" t="s">
        <v>197</v>
      </c>
      <c r="G1548" t="s">
        <v>12</v>
      </c>
      <c r="H1548" s="1">
        <v>42809</v>
      </c>
      <c r="I1548" s="1">
        <v>42891</v>
      </c>
      <c r="J1548">
        <v>2875</v>
      </c>
    </row>
    <row r="1549" spans="1:10" x14ac:dyDescent="0.3">
      <c r="A1549" t="s">
        <v>1680</v>
      </c>
      <c r="B1549" t="s">
        <v>67</v>
      </c>
      <c r="C1549" t="str">
        <f>_xlfn.XLOOKUP(B1549,
[1]sales_teams!$A$2:$A$100,
[1]sales_teams!$B$2:$B$100)</f>
        <v>Celia Rouche</v>
      </c>
      <c r="D1549" t="str">
        <f>_xlfn.XLOOKUP($B1549,sales_teams!$A$2:$A$36,sales_teams!C$2:C$36)</f>
        <v>West</v>
      </c>
      <c r="E1549" t="s">
        <v>20</v>
      </c>
      <c r="F1549" t="s">
        <v>313</v>
      </c>
      <c r="G1549" t="s">
        <v>40</v>
      </c>
      <c r="H1549" s="1">
        <v>42809</v>
      </c>
    </row>
    <row r="1550" spans="1:10" x14ac:dyDescent="0.3">
      <c r="A1550" t="s">
        <v>1681</v>
      </c>
      <c r="B1550" t="s">
        <v>67</v>
      </c>
      <c r="C1550" t="str">
        <f>_xlfn.XLOOKUP(B1550,
[1]sales_teams!$A$2:$A$100,
[1]sales_teams!$B$2:$B$100)</f>
        <v>Celia Rouche</v>
      </c>
      <c r="D1550" t="str">
        <f>_xlfn.XLOOKUP($B1550,sales_teams!$A$2:$A$36,sales_teams!C$2:C$36)</f>
        <v>West</v>
      </c>
      <c r="E1550" t="s">
        <v>145</v>
      </c>
      <c r="F1550" t="s">
        <v>33</v>
      </c>
      <c r="G1550" t="s">
        <v>46</v>
      </c>
      <c r="H1550" s="1">
        <v>42809</v>
      </c>
      <c r="I1550" s="1">
        <v>42874</v>
      </c>
      <c r="J1550">
        <v>0</v>
      </c>
    </row>
    <row r="1551" spans="1:10" x14ac:dyDescent="0.3">
      <c r="A1551" t="s">
        <v>1682</v>
      </c>
      <c r="B1551" t="s">
        <v>105</v>
      </c>
      <c r="C1551" t="str">
        <f>_xlfn.XLOOKUP(B1551,
[1]sales_teams!$A$2:$A$100,
[1]sales_teams!$B$2:$B$100)</f>
        <v>Cara Losch</v>
      </c>
      <c r="D1551" t="str">
        <f>_xlfn.XLOOKUP($B1551,sales_teams!$A$2:$A$36,sales_teams!C$2:C$36)</f>
        <v>East</v>
      </c>
      <c r="E1551" t="s">
        <v>48</v>
      </c>
      <c r="F1551" t="s">
        <v>410</v>
      </c>
      <c r="G1551" t="s">
        <v>12</v>
      </c>
      <c r="H1551" s="1">
        <v>42809</v>
      </c>
      <c r="I1551" s="1">
        <v>42875</v>
      </c>
      <c r="J1551">
        <v>6177</v>
      </c>
    </row>
    <row r="1552" spans="1:10" x14ac:dyDescent="0.3">
      <c r="A1552" t="s">
        <v>1683</v>
      </c>
      <c r="B1552" t="s">
        <v>44</v>
      </c>
      <c r="C1552" t="str">
        <f>_xlfn.XLOOKUP(B1552,
[1]sales_teams!$A$2:$A$100,
[1]sales_teams!$B$2:$B$100)</f>
        <v>Melvin Marxen</v>
      </c>
      <c r="D1552" t="str">
        <f>_xlfn.XLOOKUP($B1552,sales_teams!$A$2:$A$36,sales_teams!C$2:C$36)</f>
        <v>Central</v>
      </c>
      <c r="E1552" t="s">
        <v>39</v>
      </c>
      <c r="F1552" t="s">
        <v>126</v>
      </c>
      <c r="G1552" t="s">
        <v>46</v>
      </c>
      <c r="H1552" s="1">
        <v>42809</v>
      </c>
      <c r="I1552" s="1">
        <v>42914</v>
      </c>
      <c r="J1552">
        <v>0</v>
      </c>
    </row>
    <row r="1553" spans="1:10" x14ac:dyDescent="0.3">
      <c r="A1553" t="s">
        <v>1684</v>
      </c>
      <c r="B1553" t="s">
        <v>95</v>
      </c>
      <c r="C1553" t="str">
        <f>_xlfn.XLOOKUP(B1553,
[1]sales_teams!$A$2:$A$100,
[1]sales_teams!$B$2:$B$100)</f>
        <v>Summer Sewald</v>
      </c>
      <c r="D1553" t="str">
        <f>_xlfn.XLOOKUP($B1553,sales_teams!$A$2:$A$36,sales_teams!C$2:C$36)</f>
        <v>West</v>
      </c>
      <c r="E1553" t="s">
        <v>15</v>
      </c>
      <c r="G1553" t="s">
        <v>40</v>
      </c>
      <c r="H1553" s="1">
        <v>42809</v>
      </c>
    </row>
    <row r="1554" spans="1:10" x14ac:dyDescent="0.3">
      <c r="A1554" t="s">
        <v>1685</v>
      </c>
      <c r="B1554" t="s">
        <v>95</v>
      </c>
      <c r="C1554" t="str">
        <f>_xlfn.XLOOKUP(B1554,
[1]sales_teams!$A$2:$A$100,
[1]sales_teams!$B$2:$B$100)</f>
        <v>Summer Sewald</v>
      </c>
      <c r="D1554" t="str">
        <f>_xlfn.XLOOKUP($B1554,sales_teams!$A$2:$A$36,sales_teams!C$2:C$36)</f>
        <v>West</v>
      </c>
      <c r="E1554" t="s">
        <v>15</v>
      </c>
      <c r="F1554" t="s">
        <v>55</v>
      </c>
      <c r="G1554" t="s">
        <v>46</v>
      </c>
      <c r="H1554" s="1">
        <v>42809</v>
      </c>
      <c r="I1554" s="1">
        <v>42861</v>
      </c>
      <c r="J1554">
        <v>0</v>
      </c>
    </row>
    <row r="1555" spans="1:10" x14ac:dyDescent="0.3">
      <c r="A1555" t="s">
        <v>1686</v>
      </c>
      <c r="B1555" t="s">
        <v>95</v>
      </c>
      <c r="C1555" t="str">
        <f>_xlfn.XLOOKUP(B1555,
[1]sales_teams!$A$2:$A$100,
[1]sales_teams!$B$2:$B$100)</f>
        <v>Summer Sewald</v>
      </c>
      <c r="D1555" t="str">
        <f>_xlfn.XLOOKUP($B1555,sales_teams!$A$2:$A$36,sales_teams!C$2:C$36)</f>
        <v>West</v>
      </c>
      <c r="E1555" t="s">
        <v>15</v>
      </c>
      <c r="F1555" t="s">
        <v>155</v>
      </c>
      <c r="G1555" t="s">
        <v>12</v>
      </c>
      <c r="H1555" s="1">
        <v>42809</v>
      </c>
      <c r="I1555" s="1">
        <v>42900</v>
      </c>
      <c r="J1555">
        <v>4369</v>
      </c>
    </row>
    <row r="1556" spans="1:10" x14ac:dyDescent="0.3">
      <c r="A1556" t="s">
        <v>1687</v>
      </c>
      <c r="B1556" t="s">
        <v>95</v>
      </c>
      <c r="C1556" t="str">
        <f>_xlfn.XLOOKUP(B1556,
[1]sales_teams!$A$2:$A$100,
[1]sales_teams!$B$2:$B$100)</f>
        <v>Summer Sewald</v>
      </c>
      <c r="D1556" t="str">
        <f>_xlfn.XLOOKUP($B1556,sales_teams!$A$2:$A$36,sales_teams!C$2:C$36)</f>
        <v>West</v>
      </c>
      <c r="E1556" t="s">
        <v>15</v>
      </c>
      <c r="F1556" t="s">
        <v>159</v>
      </c>
      <c r="G1556" t="s">
        <v>12</v>
      </c>
      <c r="H1556" s="1">
        <v>42809</v>
      </c>
      <c r="I1556" s="1">
        <v>42876</v>
      </c>
      <c r="J1556">
        <v>4878</v>
      </c>
    </row>
    <row r="1557" spans="1:10" x14ac:dyDescent="0.3">
      <c r="A1557" t="s">
        <v>1688</v>
      </c>
      <c r="B1557" t="s">
        <v>133</v>
      </c>
      <c r="C1557" t="str">
        <f>_xlfn.XLOOKUP(B1557,
[1]sales_teams!$A$2:$A$100,
[1]sales_teams!$B$2:$B$100)</f>
        <v>Dustin Brinkmann</v>
      </c>
      <c r="D1557" t="str">
        <f>_xlfn.XLOOKUP($B1557,sales_teams!$A$2:$A$36,sales_teams!C$2:C$36)</f>
        <v>Central</v>
      </c>
      <c r="E1557" t="s">
        <v>48</v>
      </c>
      <c r="F1557" t="s">
        <v>45</v>
      </c>
      <c r="G1557" t="s">
        <v>12</v>
      </c>
      <c r="H1557" s="1">
        <v>42809</v>
      </c>
      <c r="I1557" s="1">
        <v>42907</v>
      </c>
      <c r="J1557">
        <v>4527</v>
      </c>
    </row>
    <row r="1558" spans="1:10" x14ac:dyDescent="0.3">
      <c r="A1558" t="s">
        <v>1689</v>
      </c>
      <c r="B1558" t="s">
        <v>51</v>
      </c>
      <c r="C1558" t="str">
        <f>_xlfn.XLOOKUP(B1558,
[1]sales_teams!$A$2:$A$100,
[1]sales_teams!$B$2:$B$100)</f>
        <v>Summer Sewald</v>
      </c>
      <c r="D1558" t="str">
        <f>_xlfn.XLOOKUP($B1558,sales_teams!$A$2:$A$36,sales_teams!C$2:C$36)</f>
        <v>West</v>
      </c>
      <c r="E1558" t="s">
        <v>10</v>
      </c>
      <c r="F1558" t="s">
        <v>93</v>
      </c>
      <c r="G1558" t="s">
        <v>46</v>
      </c>
      <c r="H1558" s="1">
        <v>42809</v>
      </c>
      <c r="I1558" s="1">
        <v>42885</v>
      </c>
      <c r="J1558">
        <v>0</v>
      </c>
    </row>
    <row r="1559" spans="1:10" x14ac:dyDescent="0.3">
      <c r="A1559" t="s">
        <v>1690</v>
      </c>
      <c r="B1559" t="s">
        <v>9</v>
      </c>
      <c r="C1559" t="str">
        <f>_xlfn.XLOOKUP(B1559,
[1]sales_teams!$A$2:$A$100,
[1]sales_teams!$B$2:$B$100)</f>
        <v>Dustin Brinkmann</v>
      </c>
      <c r="D1559" t="str">
        <f>_xlfn.XLOOKUP($B1559,sales_teams!$A$2:$A$36,sales_teams!C$2:C$36)</f>
        <v>Central</v>
      </c>
      <c r="E1559" t="s">
        <v>48</v>
      </c>
      <c r="F1559" t="s">
        <v>11</v>
      </c>
      <c r="G1559" t="s">
        <v>12</v>
      </c>
      <c r="H1559" s="1">
        <v>42809</v>
      </c>
      <c r="I1559" s="1">
        <v>42889</v>
      </c>
      <c r="J1559">
        <v>6102</v>
      </c>
    </row>
    <row r="1560" spans="1:10" x14ac:dyDescent="0.3">
      <c r="A1560" t="s">
        <v>1691</v>
      </c>
      <c r="B1560" t="s">
        <v>88</v>
      </c>
      <c r="C1560" t="str">
        <f>_xlfn.XLOOKUP(B1560,
[1]sales_teams!$A$2:$A$100,
[1]sales_teams!$B$2:$B$100)</f>
        <v>Cara Losch</v>
      </c>
      <c r="D1560" t="str">
        <f>_xlfn.XLOOKUP($B1560,sales_teams!$A$2:$A$36,sales_teams!C$2:C$36)</f>
        <v>East</v>
      </c>
      <c r="E1560" t="s">
        <v>48</v>
      </c>
      <c r="F1560" t="s">
        <v>192</v>
      </c>
      <c r="G1560" t="s">
        <v>12</v>
      </c>
      <c r="H1560" s="1">
        <v>42809</v>
      </c>
      <c r="I1560" s="1">
        <v>42865</v>
      </c>
      <c r="J1560">
        <v>4983</v>
      </c>
    </row>
    <row r="1561" spans="1:10" x14ac:dyDescent="0.3">
      <c r="A1561" t="s">
        <v>1692</v>
      </c>
      <c r="B1561" t="s">
        <v>61</v>
      </c>
      <c r="C1561" t="str">
        <f>_xlfn.XLOOKUP(B1561,
[1]sales_teams!$A$2:$A$100,
[1]sales_teams!$B$2:$B$100)</f>
        <v>Dustin Brinkmann</v>
      </c>
      <c r="D1561" t="str">
        <f>_xlfn.XLOOKUP($B1561,sales_teams!$A$2:$A$36,sales_teams!C$2:C$36)</f>
        <v>Central</v>
      </c>
      <c r="E1561" t="s">
        <v>18</v>
      </c>
      <c r="F1561" t="s">
        <v>16</v>
      </c>
      <c r="G1561" t="s">
        <v>12</v>
      </c>
      <c r="H1561" s="1">
        <v>42809</v>
      </c>
      <c r="I1561" s="1">
        <v>42819</v>
      </c>
      <c r="J1561">
        <v>47</v>
      </c>
    </row>
    <row r="1562" spans="1:10" x14ac:dyDescent="0.3">
      <c r="A1562" t="s">
        <v>1693</v>
      </c>
      <c r="B1562" t="s">
        <v>29</v>
      </c>
      <c r="C1562" t="str">
        <f>_xlfn.XLOOKUP(B1562,
[1]sales_teams!$A$2:$A$100,
[1]sales_teams!$B$2:$B$100)</f>
        <v>Celia Rouche</v>
      </c>
      <c r="D1562" t="str">
        <f>_xlfn.XLOOKUP($B1562,sales_teams!$A$2:$A$36,sales_teams!C$2:C$36)</f>
        <v>West</v>
      </c>
      <c r="E1562" t="s">
        <v>18</v>
      </c>
      <c r="F1562" t="s">
        <v>79</v>
      </c>
      <c r="G1562" t="s">
        <v>12</v>
      </c>
      <c r="H1562" s="1">
        <v>42809</v>
      </c>
      <c r="I1562" s="1">
        <v>42897</v>
      </c>
      <c r="J1562">
        <v>52</v>
      </c>
    </row>
    <row r="1563" spans="1:10" x14ac:dyDescent="0.3">
      <c r="A1563" t="s">
        <v>1694</v>
      </c>
      <c r="B1563" t="s">
        <v>73</v>
      </c>
      <c r="C1563" t="str">
        <f>_xlfn.XLOOKUP(B1563,
[1]sales_teams!$A$2:$A$100,
[1]sales_teams!$B$2:$B$100)</f>
        <v>Cara Losch</v>
      </c>
      <c r="D1563" t="str">
        <f>_xlfn.XLOOKUP($B1563,sales_teams!$A$2:$A$36,sales_teams!C$2:C$36)</f>
        <v>East</v>
      </c>
      <c r="E1563" t="s">
        <v>15</v>
      </c>
      <c r="F1563" t="s">
        <v>237</v>
      </c>
      <c r="G1563" t="s">
        <v>12</v>
      </c>
      <c r="H1563" s="1">
        <v>42809</v>
      </c>
      <c r="I1563" s="1">
        <v>42911</v>
      </c>
      <c r="J1563">
        <v>5031</v>
      </c>
    </row>
    <row r="1564" spans="1:10" x14ac:dyDescent="0.3">
      <c r="A1564" t="s">
        <v>1695</v>
      </c>
      <c r="B1564" t="s">
        <v>73</v>
      </c>
      <c r="C1564" t="str">
        <f>_xlfn.XLOOKUP(B1564,
[1]sales_teams!$A$2:$A$100,
[1]sales_teams!$B$2:$B$100)</f>
        <v>Cara Losch</v>
      </c>
      <c r="D1564" t="str">
        <f>_xlfn.XLOOKUP($B1564,sales_teams!$A$2:$A$36,sales_teams!C$2:C$36)</f>
        <v>East</v>
      </c>
      <c r="E1564" t="s">
        <v>18</v>
      </c>
      <c r="F1564" t="s">
        <v>165</v>
      </c>
      <c r="G1564" t="s">
        <v>12</v>
      </c>
      <c r="H1564" s="1">
        <v>42809</v>
      </c>
      <c r="I1564" s="1">
        <v>42892</v>
      </c>
      <c r="J1564">
        <v>53</v>
      </c>
    </row>
    <row r="1565" spans="1:10" x14ac:dyDescent="0.3">
      <c r="A1565" t="s">
        <v>1696</v>
      </c>
      <c r="B1565" t="s">
        <v>102</v>
      </c>
      <c r="C1565" t="str">
        <f>_xlfn.XLOOKUP(B1565,
[1]sales_teams!$A$2:$A$100,
[1]sales_teams!$B$2:$B$100)</f>
        <v>Cara Losch</v>
      </c>
      <c r="D1565" t="str">
        <f>_xlfn.XLOOKUP($B1565,sales_teams!$A$2:$A$36,sales_teams!C$2:C$36)</f>
        <v>East</v>
      </c>
      <c r="E1565" t="s">
        <v>10</v>
      </c>
      <c r="G1565" t="s">
        <v>40</v>
      </c>
      <c r="H1565" s="1">
        <v>42809</v>
      </c>
    </row>
    <row r="1566" spans="1:10" x14ac:dyDescent="0.3">
      <c r="A1566" t="s">
        <v>1697</v>
      </c>
      <c r="B1566" t="s">
        <v>26</v>
      </c>
      <c r="C1566" t="str">
        <f>_xlfn.XLOOKUP(B1566,
[1]sales_teams!$A$2:$A$100,
[1]sales_teams!$B$2:$B$100)</f>
        <v>Dustin Brinkmann</v>
      </c>
      <c r="D1566" t="str">
        <f>_xlfn.XLOOKUP($B1566,sales_teams!$A$2:$A$36,sales_teams!C$2:C$36)</f>
        <v>Central</v>
      </c>
      <c r="E1566" t="s">
        <v>20</v>
      </c>
      <c r="F1566" t="s">
        <v>318</v>
      </c>
      <c r="G1566" t="s">
        <v>12</v>
      </c>
      <c r="H1566" s="1">
        <v>42810</v>
      </c>
      <c r="I1566" s="1">
        <v>42857</v>
      </c>
      <c r="J1566">
        <v>550</v>
      </c>
    </row>
    <row r="1567" spans="1:10" x14ac:dyDescent="0.3">
      <c r="A1567" t="s">
        <v>1698</v>
      </c>
      <c r="B1567" t="s">
        <v>139</v>
      </c>
      <c r="C1567" t="str">
        <f>_xlfn.XLOOKUP(B1567,
[1]sales_teams!$A$2:$A$100,
[1]sales_teams!$B$2:$B$100)</f>
        <v>Rocco Neubert</v>
      </c>
      <c r="D1567" t="str">
        <f>_xlfn.XLOOKUP($B1567,sales_teams!$A$2:$A$36,sales_teams!C$2:C$36)</f>
        <v>East</v>
      </c>
      <c r="E1567" t="s">
        <v>10</v>
      </c>
      <c r="G1567" t="s">
        <v>40</v>
      </c>
      <c r="H1567" s="1">
        <v>42810</v>
      </c>
    </row>
    <row r="1568" spans="1:10" x14ac:dyDescent="0.3">
      <c r="A1568" t="s">
        <v>1699</v>
      </c>
      <c r="B1568" t="s">
        <v>139</v>
      </c>
      <c r="C1568" t="str">
        <f>_xlfn.XLOOKUP(B1568,
[1]sales_teams!$A$2:$A$100,
[1]sales_teams!$B$2:$B$100)</f>
        <v>Rocco Neubert</v>
      </c>
      <c r="D1568" t="str">
        <f>_xlfn.XLOOKUP($B1568,sales_teams!$A$2:$A$36,sales_teams!C$2:C$36)</f>
        <v>East</v>
      </c>
      <c r="E1568" t="s">
        <v>15</v>
      </c>
      <c r="F1568" t="s">
        <v>209</v>
      </c>
      <c r="G1568" t="s">
        <v>12</v>
      </c>
      <c r="H1568" s="1">
        <v>42810</v>
      </c>
      <c r="I1568" s="1">
        <v>42892</v>
      </c>
      <c r="J1568">
        <v>5223</v>
      </c>
    </row>
    <row r="1569" spans="1:10" x14ac:dyDescent="0.3">
      <c r="A1569" t="s">
        <v>1700</v>
      </c>
      <c r="B1569" t="s">
        <v>139</v>
      </c>
      <c r="C1569" t="str">
        <f>_xlfn.XLOOKUP(B1569,
[1]sales_teams!$A$2:$A$100,
[1]sales_teams!$B$2:$B$100)</f>
        <v>Rocco Neubert</v>
      </c>
      <c r="D1569" t="str">
        <f>_xlfn.XLOOKUP($B1569,sales_teams!$A$2:$A$36,sales_teams!C$2:C$36)</f>
        <v>East</v>
      </c>
      <c r="E1569" t="s">
        <v>18</v>
      </c>
      <c r="F1569" t="s">
        <v>204</v>
      </c>
      <c r="G1569" t="s">
        <v>12</v>
      </c>
      <c r="H1569" s="1">
        <v>42810</v>
      </c>
      <c r="I1569" s="1">
        <v>42867</v>
      </c>
      <c r="J1569">
        <v>53</v>
      </c>
    </row>
    <row r="1570" spans="1:10" x14ac:dyDescent="0.3">
      <c r="A1570" t="s">
        <v>1701</v>
      </c>
      <c r="B1570" t="s">
        <v>118</v>
      </c>
      <c r="C1570" t="str">
        <f>_xlfn.XLOOKUP(B1570,
[1]sales_teams!$A$2:$A$100,
[1]sales_teams!$B$2:$B$100)</f>
        <v>Rocco Neubert</v>
      </c>
      <c r="D1570" t="str">
        <f>_xlfn.XLOOKUP($B1570,sales_teams!$A$2:$A$36,sales_teams!C$2:C$36)</f>
        <v>East</v>
      </c>
      <c r="E1570" t="s">
        <v>15</v>
      </c>
      <c r="F1570" t="s">
        <v>745</v>
      </c>
      <c r="G1570" t="s">
        <v>12</v>
      </c>
      <c r="H1570" s="1">
        <v>42810</v>
      </c>
      <c r="I1570" s="1">
        <v>42872</v>
      </c>
      <c r="J1570">
        <v>4519</v>
      </c>
    </row>
    <row r="1571" spans="1:10" x14ac:dyDescent="0.3">
      <c r="A1571" t="s">
        <v>1702</v>
      </c>
      <c r="B1571" t="s">
        <v>164</v>
      </c>
      <c r="C1571" t="str">
        <f>_xlfn.XLOOKUP(B1571,
[1]sales_teams!$A$2:$A$100,
[1]sales_teams!$B$2:$B$100)</f>
        <v>Cara Losch</v>
      </c>
      <c r="D1571" t="str">
        <f>_xlfn.XLOOKUP($B1571,sales_teams!$A$2:$A$36,sales_teams!C$2:C$36)</f>
        <v>East</v>
      </c>
      <c r="E1571" t="s">
        <v>15</v>
      </c>
      <c r="F1571" t="s">
        <v>74</v>
      </c>
      <c r="G1571" t="s">
        <v>12</v>
      </c>
      <c r="H1571" s="1">
        <v>42810</v>
      </c>
      <c r="I1571" s="1">
        <v>42887</v>
      </c>
      <c r="J1571">
        <v>4833</v>
      </c>
    </row>
    <row r="1572" spans="1:10" x14ac:dyDescent="0.3">
      <c r="A1572" t="s">
        <v>1703</v>
      </c>
      <c r="B1572" t="s">
        <v>64</v>
      </c>
      <c r="C1572" t="str">
        <f>_xlfn.XLOOKUP(B1572,
[1]sales_teams!$A$2:$A$100,
[1]sales_teams!$B$2:$B$100)</f>
        <v>Rocco Neubert</v>
      </c>
      <c r="D1572" t="str">
        <f>_xlfn.XLOOKUP($B1572,sales_teams!$A$2:$A$36,sales_teams!C$2:C$36)</f>
        <v>East</v>
      </c>
      <c r="E1572" t="s">
        <v>48</v>
      </c>
      <c r="G1572" t="s">
        <v>40</v>
      </c>
      <c r="H1572" s="1">
        <v>42810</v>
      </c>
    </row>
    <row r="1573" spans="1:10" x14ac:dyDescent="0.3">
      <c r="A1573" t="s">
        <v>1704</v>
      </c>
      <c r="B1573" t="s">
        <v>64</v>
      </c>
      <c r="C1573" t="str">
        <f>_xlfn.XLOOKUP(B1573,
[1]sales_teams!$A$2:$A$100,
[1]sales_teams!$B$2:$B$100)</f>
        <v>Rocco Neubert</v>
      </c>
      <c r="D1573" t="str">
        <f>_xlfn.XLOOKUP($B1573,sales_teams!$A$2:$A$36,sales_teams!C$2:C$36)</f>
        <v>East</v>
      </c>
      <c r="E1573" t="s">
        <v>48</v>
      </c>
      <c r="F1573" t="s">
        <v>373</v>
      </c>
      <c r="G1573" t="s">
        <v>12</v>
      </c>
      <c r="H1573" s="1">
        <v>42810</v>
      </c>
      <c r="I1573" s="1">
        <v>42915</v>
      </c>
      <c r="J1573">
        <v>5407</v>
      </c>
    </row>
    <row r="1574" spans="1:10" x14ac:dyDescent="0.3">
      <c r="A1574" t="s">
        <v>1705</v>
      </c>
      <c r="B1574" t="s">
        <v>14</v>
      </c>
      <c r="C1574" t="str">
        <f>_xlfn.XLOOKUP(B1574,
[1]sales_teams!$A$2:$A$100,
[1]sales_teams!$B$2:$B$100)</f>
        <v>Melvin Marxen</v>
      </c>
      <c r="D1574" t="str">
        <f>_xlfn.XLOOKUP($B1574,sales_teams!$A$2:$A$36,sales_teams!C$2:C$36)</f>
        <v>Central</v>
      </c>
      <c r="E1574" t="s">
        <v>20</v>
      </c>
      <c r="F1574" t="s">
        <v>126</v>
      </c>
      <c r="G1574" t="s">
        <v>46</v>
      </c>
      <c r="H1574" s="1">
        <v>42810</v>
      </c>
      <c r="I1574" s="1">
        <v>42857</v>
      </c>
      <c r="J1574">
        <v>0</v>
      </c>
    </row>
    <row r="1575" spans="1:10" x14ac:dyDescent="0.3">
      <c r="A1575" t="s">
        <v>1706</v>
      </c>
      <c r="B1575" t="s">
        <v>54</v>
      </c>
      <c r="C1575" t="str">
        <f>_xlfn.XLOOKUP(B1575,
[1]sales_teams!$A$2:$A$100,
[1]sales_teams!$B$2:$B$100)</f>
        <v>Celia Rouche</v>
      </c>
      <c r="D1575" t="str">
        <f>_xlfn.XLOOKUP($B1575,sales_teams!$A$2:$A$36,sales_teams!C$2:C$36)</f>
        <v>West</v>
      </c>
      <c r="E1575" t="s">
        <v>18</v>
      </c>
      <c r="F1575" t="s">
        <v>55</v>
      </c>
      <c r="G1575" t="s">
        <v>12</v>
      </c>
      <c r="H1575" s="1">
        <v>42810</v>
      </c>
      <c r="I1575" s="1">
        <v>42863</v>
      </c>
      <c r="J1575">
        <v>56</v>
      </c>
    </row>
    <row r="1576" spans="1:10" x14ac:dyDescent="0.3">
      <c r="A1576" t="s">
        <v>1707</v>
      </c>
      <c r="B1576" t="s">
        <v>78</v>
      </c>
      <c r="C1576" t="str">
        <f>_xlfn.XLOOKUP(B1576,
[1]sales_teams!$A$2:$A$100,
[1]sales_teams!$B$2:$B$100)</f>
        <v>Summer Sewald</v>
      </c>
      <c r="D1576" t="str">
        <f>_xlfn.XLOOKUP($B1576,sales_teams!$A$2:$A$36,sales_teams!C$2:C$36)</f>
        <v>West</v>
      </c>
      <c r="E1576" t="s">
        <v>20</v>
      </c>
      <c r="F1576" t="s">
        <v>518</v>
      </c>
      <c r="G1576" t="s">
        <v>40</v>
      </c>
      <c r="H1576" s="1">
        <v>42810</v>
      </c>
    </row>
    <row r="1577" spans="1:10" x14ac:dyDescent="0.3">
      <c r="A1577" t="s">
        <v>1708</v>
      </c>
      <c r="B1577" t="s">
        <v>78</v>
      </c>
      <c r="C1577" t="str">
        <f>_xlfn.XLOOKUP(B1577,
[1]sales_teams!$A$2:$A$100,
[1]sales_teams!$B$2:$B$100)</f>
        <v>Summer Sewald</v>
      </c>
      <c r="D1577" t="str">
        <f>_xlfn.XLOOKUP($B1577,sales_teams!$A$2:$A$36,sales_teams!C$2:C$36)</f>
        <v>West</v>
      </c>
      <c r="E1577" t="s">
        <v>10</v>
      </c>
      <c r="F1577" t="s">
        <v>199</v>
      </c>
      <c r="G1577" t="s">
        <v>40</v>
      </c>
      <c r="H1577" s="1">
        <v>42810</v>
      </c>
    </row>
    <row r="1578" spans="1:10" x14ac:dyDescent="0.3">
      <c r="A1578" t="s">
        <v>1709</v>
      </c>
      <c r="B1578" t="s">
        <v>95</v>
      </c>
      <c r="C1578" t="str">
        <f>_xlfn.XLOOKUP(B1578,
[1]sales_teams!$A$2:$A$100,
[1]sales_teams!$B$2:$B$100)</f>
        <v>Summer Sewald</v>
      </c>
      <c r="D1578" t="str">
        <f>_xlfn.XLOOKUP($B1578,sales_teams!$A$2:$A$36,sales_teams!C$2:C$36)</f>
        <v>West</v>
      </c>
      <c r="E1578" t="s">
        <v>20</v>
      </c>
      <c r="F1578" t="s">
        <v>55</v>
      </c>
      <c r="G1578" t="s">
        <v>12</v>
      </c>
      <c r="H1578" s="1">
        <v>42810</v>
      </c>
      <c r="I1578" s="1">
        <v>42878</v>
      </c>
      <c r="J1578">
        <v>468</v>
      </c>
    </row>
    <row r="1579" spans="1:10" x14ac:dyDescent="0.3">
      <c r="A1579" s="2" t="s">
        <v>1710</v>
      </c>
      <c r="B1579" t="s">
        <v>95</v>
      </c>
      <c r="C1579" t="str">
        <f>_xlfn.XLOOKUP(B1579,
[1]sales_teams!$A$2:$A$100,
[1]sales_teams!$B$2:$B$100)</f>
        <v>Summer Sewald</v>
      </c>
      <c r="D1579" t="str">
        <f>_xlfn.XLOOKUP($B1579,sales_teams!$A$2:$A$36,sales_teams!C$2:C$36)</f>
        <v>West</v>
      </c>
      <c r="E1579" t="s">
        <v>20</v>
      </c>
      <c r="F1579" t="s">
        <v>155</v>
      </c>
      <c r="G1579" t="s">
        <v>12</v>
      </c>
      <c r="H1579" s="1">
        <v>42810</v>
      </c>
      <c r="I1579" s="1">
        <v>42857</v>
      </c>
      <c r="J1579">
        <v>579</v>
      </c>
    </row>
    <row r="1580" spans="1:10" x14ac:dyDescent="0.3">
      <c r="A1580" t="s">
        <v>1711</v>
      </c>
      <c r="B1580" t="s">
        <v>133</v>
      </c>
      <c r="C1580" t="str">
        <f>_xlfn.XLOOKUP(B1580,
[1]sales_teams!$A$2:$A$100,
[1]sales_teams!$B$2:$B$100)</f>
        <v>Dustin Brinkmann</v>
      </c>
      <c r="D1580" t="str">
        <f>_xlfn.XLOOKUP($B1580,sales_teams!$A$2:$A$36,sales_teams!C$2:C$36)</f>
        <v>Central</v>
      </c>
      <c r="E1580" t="s">
        <v>39</v>
      </c>
      <c r="F1580" t="s">
        <v>62</v>
      </c>
      <c r="G1580" t="s">
        <v>12</v>
      </c>
      <c r="H1580" s="1">
        <v>42810</v>
      </c>
      <c r="I1580" s="1">
        <v>42897</v>
      </c>
      <c r="J1580">
        <v>3185</v>
      </c>
    </row>
    <row r="1581" spans="1:10" x14ac:dyDescent="0.3">
      <c r="A1581" t="s">
        <v>1712</v>
      </c>
      <c r="B1581" t="s">
        <v>32</v>
      </c>
      <c r="C1581" t="str">
        <f>_xlfn.XLOOKUP(B1581,
[1]sales_teams!$A$2:$A$100,
[1]sales_teams!$B$2:$B$100)</f>
        <v>Celia Rouche</v>
      </c>
      <c r="D1581" t="str">
        <f>_xlfn.XLOOKUP($B1581,sales_teams!$A$2:$A$36,sales_teams!C$2:C$36)</f>
        <v>West</v>
      </c>
      <c r="E1581" t="s">
        <v>15</v>
      </c>
      <c r="G1581" t="s">
        <v>40</v>
      </c>
      <c r="H1581" s="1">
        <v>42810</v>
      </c>
    </row>
    <row r="1582" spans="1:10" x14ac:dyDescent="0.3">
      <c r="A1582" t="s">
        <v>1713</v>
      </c>
      <c r="B1582" t="s">
        <v>32</v>
      </c>
      <c r="C1582" t="str">
        <f>_xlfn.XLOOKUP(B1582,
[1]sales_teams!$A$2:$A$100,
[1]sales_teams!$B$2:$B$100)</f>
        <v>Celia Rouche</v>
      </c>
      <c r="D1582" t="str">
        <f>_xlfn.XLOOKUP($B1582,sales_teams!$A$2:$A$36,sales_teams!C$2:C$36)</f>
        <v>West</v>
      </c>
      <c r="E1582" t="s">
        <v>18</v>
      </c>
      <c r="F1582" t="s">
        <v>33</v>
      </c>
      <c r="G1582" t="s">
        <v>12</v>
      </c>
      <c r="H1582" s="1">
        <v>42810</v>
      </c>
      <c r="I1582" s="1">
        <v>42889</v>
      </c>
      <c r="J1582">
        <v>54</v>
      </c>
    </row>
    <row r="1583" spans="1:10" x14ac:dyDescent="0.3">
      <c r="A1583" t="s">
        <v>1714</v>
      </c>
      <c r="B1583" t="s">
        <v>51</v>
      </c>
      <c r="C1583" t="str">
        <f>_xlfn.XLOOKUP(B1583,
[1]sales_teams!$A$2:$A$100,
[1]sales_teams!$B$2:$B$100)</f>
        <v>Summer Sewald</v>
      </c>
      <c r="D1583" t="str">
        <f>_xlfn.XLOOKUP($B1583,sales_teams!$A$2:$A$36,sales_teams!C$2:C$36)</f>
        <v>West</v>
      </c>
      <c r="E1583" t="s">
        <v>18</v>
      </c>
      <c r="F1583" t="s">
        <v>555</v>
      </c>
      <c r="G1583" t="s">
        <v>12</v>
      </c>
      <c r="H1583" s="1">
        <v>42810</v>
      </c>
      <c r="I1583" s="1">
        <v>42912</v>
      </c>
      <c r="J1583">
        <v>62</v>
      </c>
    </row>
    <row r="1584" spans="1:10" x14ac:dyDescent="0.3">
      <c r="A1584" t="s">
        <v>1715</v>
      </c>
      <c r="B1584" t="s">
        <v>9</v>
      </c>
      <c r="C1584" t="str">
        <f>_xlfn.XLOOKUP(B1584,
[1]sales_teams!$A$2:$A$100,
[1]sales_teams!$B$2:$B$100)</f>
        <v>Dustin Brinkmann</v>
      </c>
      <c r="D1584" t="str">
        <f>_xlfn.XLOOKUP($B1584,sales_teams!$A$2:$A$36,sales_teams!C$2:C$36)</f>
        <v>Central</v>
      </c>
      <c r="E1584" t="s">
        <v>20</v>
      </c>
      <c r="F1584" t="s">
        <v>91</v>
      </c>
      <c r="G1584" t="s">
        <v>46</v>
      </c>
      <c r="H1584" s="1">
        <v>42810</v>
      </c>
      <c r="I1584" s="1">
        <v>42878</v>
      </c>
      <c r="J1584">
        <v>0</v>
      </c>
    </row>
    <row r="1585" spans="1:10" x14ac:dyDescent="0.3">
      <c r="A1585" t="s">
        <v>1716</v>
      </c>
      <c r="B1585" t="s">
        <v>9</v>
      </c>
      <c r="C1585" t="str">
        <f>_xlfn.XLOOKUP(B1585,
[1]sales_teams!$A$2:$A$100,
[1]sales_teams!$B$2:$B$100)</f>
        <v>Dustin Brinkmann</v>
      </c>
      <c r="D1585" t="str">
        <f>_xlfn.XLOOKUP($B1585,sales_teams!$A$2:$A$36,sales_teams!C$2:C$36)</f>
        <v>Central</v>
      </c>
      <c r="E1585" t="s">
        <v>20</v>
      </c>
      <c r="F1585" t="s">
        <v>303</v>
      </c>
      <c r="G1585" t="s">
        <v>12</v>
      </c>
      <c r="H1585" s="1">
        <v>42810</v>
      </c>
      <c r="I1585" s="1">
        <v>42911</v>
      </c>
      <c r="J1585">
        <v>619</v>
      </c>
    </row>
    <row r="1586" spans="1:10" x14ac:dyDescent="0.3">
      <c r="A1586" t="s">
        <v>1717</v>
      </c>
      <c r="B1586" t="s">
        <v>57</v>
      </c>
      <c r="C1586" t="str">
        <f>_xlfn.XLOOKUP(B1586,
[1]sales_teams!$A$2:$A$100,
[1]sales_teams!$B$2:$B$100)</f>
        <v>Celia Rouche</v>
      </c>
      <c r="D1586" t="str">
        <f>_xlfn.XLOOKUP($B1586,sales_teams!$A$2:$A$36,sales_teams!C$2:C$36)</f>
        <v>West</v>
      </c>
      <c r="E1586" t="s">
        <v>18</v>
      </c>
      <c r="F1586" t="s">
        <v>122</v>
      </c>
      <c r="G1586" t="s">
        <v>46</v>
      </c>
      <c r="H1586" s="1">
        <v>42810</v>
      </c>
      <c r="I1586" s="1">
        <v>42875</v>
      </c>
      <c r="J1586">
        <v>0</v>
      </c>
    </row>
    <row r="1587" spans="1:10" x14ac:dyDescent="0.3">
      <c r="A1587" t="s">
        <v>1718</v>
      </c>
      <c r="B1587" t="s">
        <v>57</v>
      </c>
      <c r="C1587" t="str">
        <f>_xlfn.XLOOKUP(B1587,
[1]sales_teams!$A$2:$A$100,
[1]sales_teams!$B$2:$B$100)</f>
        <v>Celia Rouche</v>
      </c>
      <c r="D1587" t="str">
        <f>_xlfn.XLOOKUP($B1587,sales_teams!$A$2:$A$36,sales_teams!C$2:C$36)</f>
        <v>West</v>
      </c>
      <c r="E1587" t="s">
        <v>18</v>
      </c>
      <c r="F1587" t="s">
        <v>24</v>
      </c>
      <c r="G1587" t="s">
        <v>46</v>
      </c>
      <c r="H1587" s="1">
        <v>42810</v>
      </c>
      <c r="I1587" s="1">
        <v>42872</v>
      </c>
      <c r="J1587">
        <v>0</v>
      </c>
    </row>
    <row r="1588" spans="1:10" x14ac:dyDescent="0.3">
      <c r="A1588" t="s">
        <v>1719</v>
      </c>
      <c r="B1588" t="s">
        <v>57</v>
      </c>
      <c r="C1588" t="str">
        <f>_xlfn.XLOOKUP(B1588,
[1]sales_teams!$A$2:$A$100,
[1]sales_teams!$B$2:$B$100)</f>
        <v>Celia Rouche</v>
      </c>
      <c r="D1588" t="str">
        <f>_xlfn.XLOOKUP($B1588,sales_teams!$A$2:$A$36,sales_teams!C$2:C$36)</f>
        <v>West</v>
      </c>
      <c r="E1588" t="s">
        <v>39</v>
      </c>
      <c r="F1588" t="s">
        <v>93</v>
      </c>
      <c r="G1588" t="s">
        <v>46</v>
      </c>
      <c r="H1588" s="1">
        <v>42810</v>
      </c>
      <c r="I1588" s="1">
        <v>42891</v>
      </c>
      <c r="J1588">
        <v>0</v>
      </c>
    </row>
    <row r="1589" spans="1:10" x14ac:dyDescent="0.3">
      <c r="A1589" t="s">
        <v>1720</v>
      </c>
      <c r="B1589" t="s">
        <v>88</v>
      </c>
      <c r="C1589" t="str">
        <f>_xlfn.XLOOKUP(B1589,
[1]sales_teams!$A$2:$A$100,
[1]sales_teams!$B$2:$B$100)</f>
        <v>Cara Losch</v>
      </c>
      <c r="D1589" t="str">
        <f>_xlfn.XLOOKUP($B1589,sales_teams!$A$2:$A$36,sales_teams!C$2:C$36)</f>
        <v>East</v>
      </c>
      <c r="E1589" t="s">
        <v>48</v>
      </c>
      <c r="G1589" t="s">
        <v>40</v>
      </c>
      <c r="H1589" s="1">
        <v>42810</v>
      </c>
    </row>
    <row r="1590" spans="1:10" x14ac:dyDescent="0.3">
      <c r="A1590" t="s">
        <v>1721</v>
      </c>
      <c r="B1590" t="s">
        <v>29</v>
      </c>
      <c r="C1590" t="str">
        <f>_xlfn.XLOOKUP(B1590,
[1]sales_teams!$A$2:$A$100,
[1]sales_teams!$B$2:$B$100)</f>
        <v>Celia Rouche</v>
      </c>
      <c r="D1590" t="str">
        <f>_xlfn.XLOOKUP($B1590,sales_teams!$A$2:$A$36,sales_teams!C$2:C$36)</f>
        <v>West</v>
      </c>
      <c r="E1590" t="s">
        <v>15</v>
      </c>
      <c r="F1590" t="s">
        <v>93</v>
      </c>
      <c r="G1590" t="s">
        <v>12</v>
      </c>
      <c r="H1590" s="1">
        <v>42810</v>
      </c>
      <c r="I1590" s="1">
        <v>42823</v>
      </c>
      <c r="J1590">
        <v>4408</v>
      </c>
    </row>
    <row r="1591" spans="1:10" x14ac:dyDescent="0.3">
      <c r="A1591" t="s">
        <v>1722</v>
      </c>
      <c r="B1591" t="s">
        <v>23</v>
      </c>
      <c r="C1591" t="str">
        <f>_xlfn.XLOOKUP(B1591,
[1]sales_teams!$A$2:$A$100,
[1]sales_teams!$B$2:$B$100)</f>
        <v>Summer Sewald</v>
      </c>
      <c r="D1591" t="str">
        <f>_xlfn.XLOOKUP($B1591,sales_teams!$A$2:$A$36,sales_teams!C$2:C$36)</f>
        <v>West</v>
      </c>
      <c r="E1591" t="s">
        <v>20</v>
      </c>
      <c r="F1591" t="s">
        <v>33</v>
      </c>
      <c r="G1591" t="s">
        <v>12</v>
      </c>
      <c r="H1591" s="1">
        <v>42810</v>
      </c>
      <c r="I1591" s="1">
        <v>42893</v>
      </c>
      <c r="J1591">
        <v>605</v>
      </c>
    </row>
    <row r="1592" spans="1:10" x14ac:dyDescent="0.3">
      <c r="A1592" t="s">
        <v>1723</v>
      </c>
      <c r="B1592" t="s">
        <v>26</v>
      </c>
      <c r="C1592" t="str">
        <f>_xlfn.XLOOKUP(B1592,
[1]sales_teams!$A$2:$A$100,
[1]sales_teams!$B$2:$B$100)</f>
        <v>Dustin Brinkmann</v>
      </c>
      <c r="D1592" t="str">
        <f>_xlfn.XLOOKUP($B1592,sales_teams!$A$2:$A$36,sales_teams!C$2:C$36)</f>
        <v>Central</v>
      </c>
      <c r="E1592" t="s">
        <v>48</v>
      </c>
      <c r="F1592" t="s">
        <v>45</v>
      </c>
      <c r="G1592" t="s">
        <v>12</v>
      </c>
      <c r="H1592" s="1">
        <v>42811</v>
      </c>
      <c r="I1592" s="1">
        <v>42820</v>
      </c>
      <c r="J1592">
        <v>6064</v>
      </c>
    </row>
    <row r="1593" spans="1:10" x14ac:dyDescent="0.3">
      <c r="A1593" t="s">
        <v>1724</v>
      </c>
      <c r="B1593" t="s">
        <v>118</v>
      </c>
      <c r="C1593" t="str">
        <f>_xlfn.XLOOKUP(B1593,
[1]sales_teams!$A$2:$A$100,
[1]sales_teams!$B$2:$B$100)</f>
        <v>Rocco Neubert</v>
      </c>
      <c r="D1593" t="str">
        <f>_xlfn.XLOOKUP($B1593,sales_teams!$A$2:$A$36,sales_teams!C$2:C$36)</f>
        <v>East</v>
      </c>
      <c r="E1593" t="s">
        <v>20</v>
      </c>
      <c r="F1593" t="s">
        <v>215</v>
      </c>
      <c r="G1593" t="s">
        <v>12</v>
      </c>
      <c r="H1593" s="1">
        <v>42811</v>
      </c>
      <c r="I1593" s="1">
        <v>42903</v>
      </c>
      <c r="J1593">
        <v>641</v>
      </c>
    </row>
    <row r="1594" spans="1:10" x14ac:dyDescent="0.3">
      <c r="A1594" t="s">
        <v>1725</v>
      </c>
      <c r="B1594" t="s">
        <v>118</v>
      </c>
      <c r="C1594" t="str">
        <f>_xlfn.XLOOKUP(B1594,
[1]sales_teams!$A$2:$A$100,
[1]sales_teams!$B$2:$B$100)</f>
        <v>Rocco Neubert</v>
      </c>
      <c r="D1594" t="str">
        <f>_xlfn.XLOOKUP($B1594,sales_teams!$A$2:$A$36,sales_teams!C$2:C$36)</f>
        <v>East</v>
      </c>
      <c r="E1594" t="s">
        <v>20</v>
      </c>
      <c r="F1594" t="s">
        <v>74</v>
      </c>
      <c r="G1594" t="s">
        <v>12</v>
      </c>
      <c r="H1594" s="1">
        <v>42811</v>
      </c>
      <c r="I1594" s="1">
        <v>42872</v>
      </c>
      <c r="J1594">
        <v>491</v>
      </c>
    </row>
    <row r="1595" spans="1:10" x14ac:dyDescent="0.3">
      <c r="A1595" t="s">
        <v>1726</v>
      </c>
      <c r="B1595" t="s">
        <v>164</v>
      </c>
      <c r="C1595" t="str">
        <f>_xlfn.XLOOKUP(B1595,
[1]sales_teams!$A$2:$A$100,
[1]sales_teams!$B$2:$B$100)</f>
        <v>Cara Losch</v>
      </c>
      <c r="D1595" t="str">
        <f>_xlfn.XLOOKUP($B1595,sales_teams!$A$2:$A$36,sales_teams!C$2:C$36)</f>
        <v>East</v>
      </c>
      <c r="E1595" t="s">
        <v>20</v>
      </c>
      <c r="G1595" t="s">
        <v>40</v>
      </c>
      <c r="H1595" s="1">
        <v>42811</v>
      </c>
    </row>
    <row r="1596" spans="1:10" x14ac:dyDescent="0.3">
      <c r="A1596" t="s">
        <v>1727</v>
      </c>
      <c r="B1596" t="s">
        <v>164</v>
      </c>
      <c r="C1596" t="str">
        <f>_xlfn.XLOOKUP(B1596,
[1]sales_teams!$A$2:$A$100,
[1]sales_teams!$B$2:$B$100)</f>
        <v>Cara Losch</v>
      </c>
      <c r="D1596" t="str">
        <f>_xlfn.XLOOKUP($B1596,sales_teams!$A$2:$A$36,sales_teams!C$2:C$36)</f>
        <v>East</v>
      </c>
      <c r="E1596" t="s">
        <v>10</v>
      </c>
      <c r="F1596" t="s">
        <v>113</v>
      </c>
      <c r="G1596" t="s">
        <v>40</v>
      </c>
      <c r="H1596" s="1">
        <v>42811</v>
      </c>
    </row>
    <row r="1597" spans="1:10" x14ac:dyDescent="0.3">
      <c r="A1597" t="s">
        <v>1728</v>
      </c>
      <c r="B1597" t="s">
        <v>164</v>
      </c>
      <c r="C1597" t="str">
        <f>_xlfn.XLOOKUP(B1597,
[1]sales_teams!$A$2:$A$100,
[1]sales_teams!$B$2:$B$100)</f>
        <v>Cara Losch</v>
      </c>
      <c r="D1597" t="str">
        <f>_xlfn.XLOOKUP($B1597,sales_teams!$A$2:$A$36,sales_teams!C$2:C$36)</f>
        <v>East</v>
      </c>
      <c r="E1597" t="s">
        <v>15</v>
      </c>
      <c r="F1597" t="s">
        <v>215</v>
      </c>
      <c r="G1597" t="s">
        <v>46</v>
      </c>
      <c r="H1597" s="1">
        <v>42811</v>
      </c>
      <c r="I1597" s="1">
        <v>42858</v>
      </c>
      <c r="J1597">
        <v>0</v>
      </c>
    </row>
    <row r="1598" spans="1:10" x14ac:dyDescent="0.3">
      <c r="A1598" t="s">
        <v>1729</v>
      </c>
      <c r="B1598" t="s">
        <v>14</v>
      </c>
      <c r="C1598" t="str">
        <f>_xlfn.XLOOKUP(B1598,
[1]sales_teams!$A$2:$A$100,
[1]sales_teams!$B$2:$B$100)</f>
        <v>Melvin Marxen</v>
      </c>
      <c r="D1598" t="str">
        <f>_xlfn.XLOOKUP($B1598,sales_teams!$A$2:$A$36,sales_teams!C$2:C$36)</f>
        <v>Central</v>
      </c>
      <c r="E1598" t="s">
        <v>18</v>
      </c>
      <c r="F1598" t="s">
        <v>21</v>
      </c>
      <c r="G1598" t="s">
        <v>12</v>
      </c>
      <c r="H1598" s="1">
        <v>42811</v>
      </c>
      <c r="I1598" s="1">
        <v>42882</v>
      </c>
      <c r="J1598">
        <v>47</v>
      </c>
    </row>
    <row r="1599" spans="1:10" x14ac:dyDescent="0.3">
      <c r="A1599" t="s">
        <v>1730</v>
      </c>
      <c r="B1599" t="s">
        <v>67</v>
      </c>
      <c r="C1599" t="str">
        <f>_xlfn.XLOOKUP(B1599,
[1]sales_teams!$A$2:$A$100,
[1]sales_teams!$B$2:$B$100)</f>
        <v>Celia Rouche</v>
      </c>
      <c r="D1599" t="str">
        <f>_xlfn.XLOOKUP($B1599,sales_teams!$A$2:$A$36,sales_teams!C$2:C$36)</f>
        <v>West</v>
      </c>
      <c r="E1599" t="s">
        <v>18</v>
      </c>
      <c r="F1599" t="s">
        <v>194</v>
      </c>
      <c r="G1599" t="s">
        <v>12</v>
      </c>
      <c r="H1599" s="1">
        <v>42811</v>
      </c>
      <c r="I1599" s="1">
        <v>42911</v>
      </c>
      <c r="J1599">
        <v>63</v>
      </c>
    </row>
    <row r="1600" spans="1:10" x14ac:dyDescent="0.3">
      <c r="A1600" t="s">
        <v>1731</v>
      </c>
      <c r="B1600" t="s">
        <v>105</v>
      </c>
      <c r="C1600" t="str">
        <f>_xlfn.XLOOKUP(B1600,
[1]sales_teams!$A$2:$A$100,
[1]sales_teams!$B$2:$B$100)</f>
        <v>Cara Losch</v>
      </c>
      <c r="D1600" t="str">
        <f>_xlfn.XLOOKUP($B1600,sales_teams!$A$2:$A$36,sales_teams!C$2:C$36)</f>
        <v>East</v>
      </c>
      <c r="E1600" t="s">
        <v>39</v>
      </c>
      <c r="F1600" t="s">
        <v>329</v>
      </c>
      <c r="G1600" t="s">
        <v>12</v>
      </c>
      <c r="H1600" s="1">
        <v>42811</v>
      </c>
      <c r="I1600" s="1">
        <v>42873</v>
      </c>
      <c r="J1600">
        <v>3291</v>
      </c>
    </row>
    <row r="1601" spans="1:10" x14ac:dyDescent="0.3">
      <c r="A1601" t="s">
        <v>1732</v>
      </c>
      <c r="B1601" t="s">
        <v>54</v>
      </c>
      <c r="C1601" t="str">
        <f>_xlfn.XLOOKUP(B1601,
[1]sales_teams!$A$2:$A$100,
[1]sales_teams!$B$2:$B$100)</f>
        <v>Celia Rouche</v>
      </c>
      <c r="D1601" t="str">
        <f>_xlfn.XLOOKUP($B1601,sales_teams!$A$2:$A$36,sales_teams!C$2:C$36)</f>
        <v>West</v>
      </c>
      <c r="E1601" t="s">
        <v>10</v>
      </c>
      <c r="G1601" t="s">
        <v>40</v>
      </c>
      <c r="H1601" s="1">
        <v>42811</v>
      </c>
    </row>
    <row r="1602" spans="1:10" x14ac:dyDescent="0.3">
      <c r="A1602" t="s">
        <v>1733</v>
      </c>
      <c r="B1602" t="s">
        <v>54</v>
      </c>
      <c r="C1602" t="str">
        <f>_xlfn.XLOOKUP(B1602,
[1]sales_teams!$A$2:$A$100,
[1]sales_teams!$B$2:$B$100)</f>
        <v>Celia Rouche</v>
      </c>
      <c r="D1602" t="str">
        <f>_xlfn.XLOOKUP($B1602,sales_teams!$A$2:$A$36,sales_teams!C$2:C$36)</f>
        <v>West</v>
      </c>
      <c r="E1602" t="s">
        <v>10</v>
      </c>
      <c r="F1602" t="s">
        <v>273</v>
      </c>
      <c r="G1602" t="s">
        <v>12</v>
      </c>
      <c r="H1602" s="1">
        <v>42811</v>
      </c>
      <c r="I1602" s="1">
        <v>42896</v>
      </c>
      <c r="J1602">
        <v>1188</v>
      </c>
    </row>
    <row r="1603" spans="1:10" x14ac:dyDescent="0.3">
      <c r="A1603" t="s">
        <v>1734</v>
      </c>
      <c r="B1603" t="s">
        <v>95</v>
      </c>
      <c r="C1603" t="str">
        <f>_xlfn.XLOOKUP(B1603,
[1]sales_teams!$A$2:$A$100,
[1]sales_teams!$B$2:$B$100)</f>
        <v>Summer Sewald</v>
      </c>
      <c r="D1603" t="str">
        <f>_xlfn.XLOOKUP($B1603,sales_teams!$A$2:$A$36,sales_teams!C$2:C$36)</f>
        <v>West</v>
      </c>
      <c r="E1603" t="s">
        <v>48</v>
      </c>
      <c r="G1603" t="s">
        <v>40</v>
      </c>
      <c r="H1603" s="1">
        <v>42811</v>
      </c>
    </row>
    <row r="1604" spans="1:10" x14ac:dyDescent="0.3">
      <c r="A1604" t="s">
        <v>1735</v>
      </c>
      <c r="B1604" t="s">
        <v>95</v>
      </c>
      <c r="C1604" t="str">
        <f>_xlfn.XLOOKUP(B1604,
[1]sales_teams!$A$2:$A$100,
[1]sales_teams!$B$2:$B$100)</f>
        <v>Summer Sewald</v>
      </c>
      <c r="D1604" t="str">
        <f>_xlfn.XLOOKUP($B1604,sales_teams!$A$2:$A$36,sales_teams!C$2:C$36)</f>
        <v>West</v>
      </c>
      <c r="E1604" t="s">
        <v>20</v>
      </c>
      <c r="F1604" t="s">
        <v>33</v>
      </c>
      <c r="G1604" t="s">
        <v>46</v>
      </c>
      <c r="H1604" s="1">
        <v>42811</v>
      </c>
      <c r="I1604" s="1">
        <v>42863</v>
      </c>
      <c r="J1604">
        <v>0</v>
      </c>
    </row>
    <row r="1605" spans="1:10" x14ac:dyDescent="0.3">
      <c r="A1605" t="s">
        <v>1736</v>
      </c>
      <c r="B1605" t="s">
        <v>95</v>
      </c>
      <c r="C1605" t="str">
        <f>_xlfn.XLOOKUP(B1605,
[1]sales_teams!$A$2:$A$100,
[1]sales_teams!$B$2:$B$100)</f>
        <v>Summer Sewald</v>
      </c>
      <c r="D1605" t="str">
        <f>_xlfn.XLOOKUP($B1605,sales_teams!$A$2:$A$36,sales_teams!C$2:C$36)</f>
        <v>West</v>
      </c>
      <c r="E1605" t="s">
        <v>20</v>
      </c>
      <c r="F1605" t="s">
        <v>59</v>
      </c>
      <c r="G1605" t="s">
        <v>12</v>
      </c>
      <c r="H1605" s="1">
        <v>42811</v>
      </c>
      <c r="I1605" s="1">
        <v>42897</v>
      </c>
      <c r="J1605">
        <v>478</v>
      </c>
    </row>
    <row r="1606" spans="1:10" x14ac:dyDescent="0.3">
      <c r="A1606" t="s">
        <v>1737</v>
      </c>
      <c r="B1606" t="s">
        <v>95</v>
      </c>
      <c r="C1606" t="str">
        <f>_xlfn.XLOOKUP(B1606,
[1]sales_teams!$A$2:$A$100,
[1]sales_teams!$B$2:$B$100)</f>
        <v>Summer Sewald</v>
      </c>
      <c r="D1606" t="str">
        <f>_xlfn.XLOOKUP($B1606,sales_teams!$A$2:$A$36,sales_teams!C$2:C$36)</f>
        <v>West</v>
      </c>
      <c r="E1606" t="s">
        <v>18</v>
      </c>
      <c r="F1606" t="s">
        <v>100</v>
      </c>
      <c r="G1606" t="s">
        <v>12</v>
      </c>
      <c r="H1606" s="1">
        <v>42811</v>
      </c>
      <c r="I1606" s="1">
        <v>42879</v>
      </c>
      <c r="J1606">
        <v>60</v>
      </c>
    </row>
    <row r="1607" spans="1:10" x14ac:dyDescent="0.3">
      <c r="A1607" t="s">
        <v>1738</v>
      </c>
      <c r="B1607" t="s">
        <v>97</v>
      </c>
      <c r="C1607" t="str">
        <f>_xlfn.XLOOKUP(B1607,
[1]sales_teams!$A$2:$A$100,
[1]sales_teams!$B$2:$B$100)</f>
        <v>Rocco Neubert</v>
      </c>
      <c r="D1607" t="str">
        <f>_xlfn.XLOOKUP($B1607,sales_teams!$A$2:$A$36,sales_teams!C$2:C$36)</f>
        <v>East</v>
      </c>
      <c r="E1607" t="s">
        <v>15</v>
      </c>
      <c r="F1607" t="s">
        <v>143</v>
      </c>
      <c r="G1607" t="s">
        <v>12</v>
      </c>
      <c r="H1607" s="1">
        <v>42811</v>
      </c>
      <c r="I1607" s="1">
        <v>42821</v>
      </c>
      <c r="J1607">
        <v>4064</v>
      </c>
    </row>
    <row r="1608" spans="1:10" x14ac:dyDescent="0.3">
      <c r="A1608" t="s">
        <v>1739</v>
      </c>
      <c r="B1608" t="s">
        <v>97</v>
      </c>
      <c r="C1608" t="str">
        <f>_xlfn.XLOOKUP(B1608,
[1]sales_teams!$A$2:$A$100,
[1]sales_teams!$B$2:$B$100)</f>
        <v>Rocco Neubert</v>
      </c>
      <c r="D1608" t="str">
        <f>_xlfn.XLOOKUP($B1608,sales_teams!$A$2:$A$36,sales_teams!C$2:C$36)</f>
        <v>East</v>
      </c>
      <c r="E1608" t="s">
        <v>39</v>
      </c>
      <c r="F1608" t="s">
        <v>177</v>
      </c>
      <c r="G1608" t="s">
        <v>12</v>
      </c>
      <c r="H1608" s="1">
        <v>42811</v>
      </c>
      <c r="I1608" s="1">
        <v>42825</v>
      </c>
      <c r="J1608">
        <v>2550</v>
      </c>
    </row>
    <row r="1609" spans="1:10" x14ac:dyDescent="0.3">
      <c r="A1609" t="s">
        <v>1740</v>
      </c>
      <c r="B1609" t="s">
        <v>57</v>
      </c>
      <c r="C1609" t="str">
        <f>_xlfn.XLOOKUP(B1609,
[1]sales_teams!$A$2:$A$100,
[1]sales_teams!$B$2:$B$100)</f>
        <v>Celia Rouche</v>
      </c>
      <c r="D1609" t="str">
        <f>_xlfn.XLOOKUP($B1609,sales_teams!$A$2:$A$36,sales_teams!C$2:C$36)</f>
        <v>West</v>
      </c>
      <c r="E1609" t="s">
        <v>48</v>
      </c>
      <c r="F1609" t="s">
        <v>129</v>
      </c>
      <c r="G1609" t="s">
        <v>40</v>
      </c>
      <c r="H1609" s="1">
        <v>42811</v>
      </c>
    </row>
    <row r="1610" spans="1:10" x14ac:dyDescent="0.3">
      <c r="A1610" t="s">
        <v>1741</v>
      </c>
      <c r="B1610" t="s">
        <v>88</v>
      </c>
      <c r="C1610" t="str">
        <f>_xlfn.XLOOKUP(B1610,
[1]sales_teams!$A$2:$A$100,
[1]sales_teams!$B$2:$B$100)</f>
        <v>Cara Losch</v>
      </c>
      <c r="D1610" t="str">
        <f>_xlfn.XLOOKUP($B1610,sales_teams!$A$2:$A$36,sales_teams!C$2:C$36)</f>
        <v>East</v>
      </c>
      <c r="E1610" t="s">
        <v>18</v>
      </c>
      <c r="F1610" t="s">
        <v>165</v>
      </c>
      <c r="G1610" t="s">
        <v>46</v>
      </c>
      <c r="H1610" s="1">
        <v>42811</v>
      </c>
      <c r="I1610" s="1">
        <v>42863</v>
      </c>
      <c r="J1610">
        <v>0</v>
      </c>
    </row>
    <row r="1611" spans="1:10" x14ac:dyDescent="0.3">
      <c r="A1611" t="s">
        <v>1742</v>
      </c>
      <c r="B1611" t="s">
        <v>61</v>
      </c>
      <c r="C1611" t="str">
        <f>_xlfn.XLOOKUP(B1611,
[1]sales_teams!$A$2:$A$100,
[1]sales_teams!$B$2:$B$100)</f>
        <v>Dustin Brinkmann</v>
      </c>
      <c r="D1611" t="str">
        <f>_xlfn.XLOOKUP($B1611,sales_teams!$A$2:$A$36,sales_teams!C$2:C$36)</f>
        <v>Central</v>
      </c>
      <c r="E1611" t="s">
        <v>48</v>
      </c>
      <c r="F1611" t="s">
        <v>197</v>
      </c>
      <c r="G1611" t="s">
        <v>46</v>
      </c>
      <c r="H1611" s="1">
        <v>42811</v>
      </c>
      <c r="I1611" s="1">
        <v>42865</v>
      </c>
      <c r="J1611">
        <v>0</v>
      </c>
    </row>
    <row r="1612" spans="1:10" x14ac:dyDescent="0.3">
      <c r="A1612" t="s">
        <v>1743</v>
      </c>
      <c r="B1612" t="s">
        <v>61</v>
      </c>
      <c r="C1612" t="str">
        <f>_xlfn.XLOOKUP(B1612,
[1]sales_teams!$A$2:$A$100,
[1]sales_teams!$B$2:$B$100)</f>
        <v>Dustin Brinkmann</v>
      </c>
      <c r="D1612" t="str">
        <f>_xlfn.XLOOKUP($B1612,sales_teams!$A$2:$A$36,sales_teams!C$2:C$36)</f>
        <v>Central</v>
      </c>
      <c r="E1612" t="s">
        <v>18</v>
      </c>
      <c r="F1612" t="s">
        <v>45</v>
      </c>
      <c r="G1612" t="s">
        <v>46</v>
      </c>
      <c r="H1612" s="1">
        <v>42811</v>
      </c>
      <c r="I1612" s="1">
        <v>42871</v>
      </c>
      <c r="J1612">
        <v>0</v>
      </c>
    </row>
    <row r="1613" spans="1:10" x14ac:dyDescent="0.3">
      <c r="A1613" t="s">
        <v>1744</v>
      </c>
      <c r="B1613" t="s">
        <v>61</v>
      </c>
      <c r="C1613" t="str">
        <f>_xlfn.XLOOKUP(B1613,
[1]sales_teams!$A$2:$A$100,
[1]sales_teams!$B$2:$B$100)</f>
        <v>Dustin Brinkmann</v>
      </c>
      <c r="D1613" t="str">
        <f>_xlfn.XLOOKUP($B1613,sales_teams!$A$2:$A$36,sales_teams!C$2:C$36)</f>
        <v>Central</v>
      </c>
      <c r="E1613" t="s">
        <v>39</v>
      </c>
      <c r="F1613" t="s">
        <v>187</v>
      </c>
      <c r="G1613" t="s">
        <v>12</v>
      </c>
      <c r="H1613" s="1">
        <v>42811</v>
      </c>
      <c r="I1613" s="1">
        <v>42907</v>
      </c>
      <c r="J1613">
        <v>3378</v>
      </c>
    </row>
    <row r="1614" spans="1:10" x14ac:dyDescent="0.3">
      <c r="A1614" t="s">
        <v>1745</v>
      </c>
      <c r="B1614" t="s">
        <v>29</v>
      </c>
      <c r="C1614" t="str">
        <f>_xlfn.XLOOKUP(B1614,
[1]sales_teams!$A$2:$A$100,
[1]sales_teams!$B$2:$B$100)</f>
        <v>Celia Rouche</v>
      </c>
      <c r="D1614" t="str">
        <f>_xlfn.XLOOKUP($B1614,sales_teams!$A$2:$A$36,sales_teams!C$2:C$36)</f>
        <v>West</v>
      </c>
      <c r="E1614" t="s">
        <v>48</v>
      </c>
      <c r="G1614" t="s">
        <v>40</v>
      </c>
      <c r="H1614" s="1">
        <v>42811</v>
      </c>
    </row>
    <row r="1615" spans="1:10" x14ac:dyDescent="0.3">
      <c r="A1615" t="s">
        <v>1746</v>
      </c>
      <c r="B1615" t="s">
        <v>73</v>
      </c>
      <c r="C1615" t="str">
        <f>_xlfn.XLOOKUP(B1615,
[1]sales_teams!$A$2:$A$100,
[1]sales_teams!$B$2:$B$100)</f>
        <v>Cara Losch</v>
      </c>
      <c r="D1615" t="str">
        <f>_xlfn.XLOOKUP($B1615,sales_teams!$A$2:$A$36,sales_teams!C$2:C$36)</f>
        <v>East</v>
      </c>
      <c r="E1615" t="s">
        <v>20</v>
      </c>
      <c r="G1615" t="s">
        <v>40</v>
      </c>
      <c r="H1615" s="1">
        <v>42811</v>
      </c>
    </row>
    <row r="1616" spans="1:10" x14ac:dyDescent="0.3">
      <c r="A1616" t="s">
        <v>1747</v>
      </c>
      <c r="B1616" t="s">
        <v>73</v>
      </c>
      <c r="C1616" t="str">
        <f>_xlfn.XLOOKUP(B1616,
[1]sales_teams!$A$2:$A$100,
[1]sales_teams!$B$2:$B$100)</f>
        <v>Cara Losch</v>
      </c>
      <c r="D1616" t="str">
        <f>_xlfn.XLOOKUP($B1616,sales_teams!$A$2:$A$36,sales_teams!C$2:C$36)</f>
        <v>East</v>
      </c>
      <c r="E1616" t="s">
        <v>18</v>
      </c>
      <c r="G1616" t="s">
        <v>40</v>
      </c>
      <c r="H1616" s="1">
        <v>42811</v>
      </c>
    </row>
    <row r="1617" spans="1:10" x14ac:dyDescent="0.3">
      <c r="A1617" t="s">
        <v>1748</v>
      </c>
      <c r="B1617" t="s">
        <v>73</v>
      </c>
      <c r="C1617" t="str">
        <f>_xlfn.XLOOKUP(B1617,
[1]sales_teams!$A$2:$A$100,
[1]sales_teams!$B$2:$B$100)</f>
        <v>Cara Losch</v>
      </c>
      <c r="D1617" t="str">
        <f>_xlfn.XLOOKUP($B1617,sales_teams!$A$2:$A$36,sales_teams!C$2:C$36)</f>
        <v>East</v>
      </c>
      <c r="E1617" t="s">
        <v>18</v>
      </c>
      <c r="G1617" t="s">
        <v>40</v>
      </c>
      <c r="H1617" s="1">
        <v>42811</v>
      </c>
    </row>
    <row r="1618" spans="1:10" x14ac:dyDescent="0.3">
      <c r="A1618" t="s">
        <v>1749</v>
      </c>
      <c r="B1618" t="s">
        <v>102</v>
      </c>
      <c r="C1618" t="str">
        <f>_xlfn.XLOOKUP(B1618,
[1]sales_teams!$A$2:$A$100,
[1]sales_teams!$B$2:$B$100)</f>
        <v>Cara Losch</v>
      </c>
      <c r="D1618" t="str">
        <f>_xlfn.XLOOKUP($B1618,sales_teams!$A$2:$A$36,sales_teams!C$2:C$36)</f>
        <v>East</v>
      </c>
      <c r="E1618" t="s">
        <v>15</v>
      </c>
      <c r="F1618" t="s">
        <v>237</v>
      </c>
      <c r="G1618" t="s">
        <v>12</v>
      </c>
      <c r="H1618" s="1">
        <v>42811</v>
      </c>
      <c r="I1618" s="1">
        <v>42885</v>
      </c>
      <c r="J1618">
        <v>6135</v>
      </c>
    </row>
    <row r="1619" spans="1:10" x14ac:dyDescent="0.3">
      <c r="A1619" t="s">
        <v>1750</v>
      </c>
      <c r="B1619" t="s">
        <v>23</v>
      </c>
      <c r="C1619" t="str">
        <f>_xlfn.XLOOKUP(B1619,
[1]sales_teams!$A$2:$A$100,
[1]sales_teams!$B$2:$B$100)</f>
        <v>Summer Sewald</v>
      </c>
      <c r="D1619" t="str">
        <f>_xlfn.XLOOKUP($B1619,sales_teams!$A$2:$A$36,sales_teams!C$2:C$36)</f>
        <v>West</v>
      </c>
      <c r="E1619" t="s">
        <v>10</v>
      </c>
      <c r="F1619" t="s">
        <v>555</v>
      </c>
      <c r="G1619" t="s">
        <v>12</v>
      </c>
      <c r="H1619" s="1">
        <v>42811</v>
      </c>
      <c r="I1619" s="1">
        <v>42888</v>
      </c>
      <c r="J1619">
        <v>999</v>
      </c>
    </row>
    <row r="1620" spans="1:10" x14ac:dyDescent="0.3">
      <c r="A1620" t="s">
        <v>1751</v>
      </c>
      <c r="B1620" t="s">
        <v>23</v>
      </c>
      <c r="C1620" t="str">
        <f>_xlfn.XLOOKUP(B1620,
[1]sales_teams!$A$2:$A$100,
[1]sales_teams!$B$2:$B$100)</f>
        <v>Summer Sewald</v>
      </c>
      <c r="D1620" t="str">
        <f>_xlfn.XLOOKUP($B1620,sales_teams!$A$2:$A$36,sales_teams!C$2:C$36)</f>
        <v>West</v>
      </c>
      <c r="E1620" t="s">
        <v>18</v>
      </c>
      <c r="F1620" t="s">
        <v>273</v>
      </c>
      <c r="G1620" t="s">
        <v>12</v>
      </c>
      <c r="H1620" s="1">
        <v>42811</v>
      </c>
      <c r="I1620" s="1">
        <v>42891</v>
      </c>
      <c r="J1620">
        <v>52</v>
      </c>
    </row>
    <row r="1621" spans="1:10" x14ac:dyDescent="0.3">
      <c r="A1621" t="s">
        <v>1752</v>
      </c>
      <c r="B1621" t="s">
        <v>26</v>
      </c>
      <c r="C1621" t="str">
        <f>_xlfn.XLOOKUP(B1621,
[1]sales_teams!$A$2:$A$100,
[1]sales_teams!$B$2:$B$100)</f>
        <v>Dustin Brinkmann</v>
      </c>
      <c r="D1621" t="str">
        <f>_xlfn.XLOOKUP($B1621,sales_teams!$A$2:$A$36,sales_teams!C$2:C$36)</f>
        <v>Central</v>
      </c>
      <c r="E1621" t="s">
        <v>10</v>
      </c>
      <c r="F1621" t="s">
        <v>76</v>
      </c>
      <c r="G1621" t="s">
        <v>46</v>
      </c>
      <c r="H1621" s="1">
        <v>42812</v>
      </c>
      <c r="I1621" s="1">
        <v>42880</v>
      </c>
      <c r="J1621">
        <v>0</v>
      </c>
    </row>
    <row r="1622" spans="1:10" x14ac:dyDescent="0.3">
      <c r="A1622" t="s">
        <v>1753</v>
      </c>
      <c r="B1622" t="s">
        <v>118</v>
      </c>
      <c r="C1622" t="str">
        <f>_xlfn.XLOOKUP(B1622,
[1]sales_teams!$A$2:$A$100,
[1]sales_teams!$B$2:$B$100)</f>
        <v>Rocco Neubert</v>
      </c>
      <c r="D1622" t="str">
        <f>_xlfn.XLOOKUP($B1622,sales_teams!$A$2:$A$36,sales_teams!C$2:C$36)</f>
        <v>East</v>
      </c>
      <c r="E1622" t="s">
        <v>48</v>
      </c>
      <c r="F1622" t="s">
        <v>410</v>
      </c>
      <c r="G1622" t="s">
        <v>46</v>
      </c>
      <c r="H1622" s="1">
        <v>42812</v>
      </c>
      <c r="I1622" s="1">
        <v>42879</v>
      </c>
      <c r="J1622">
        <v>0</v>
      </c>
    </row>
    <row r="1623" spans="1:10" x14ac:dyDescent="0.3">
      <c r="A1623" t="s">
        <v>1754</v>
      </c>
      <c r="B1623" t="s">
        <v>118</v>
      </c>
      <c r="C1623" t="str">
        <f>_xlfn.XLOOKUP(B1623,
[1]sales_teams!$A$2:$A$100,
[1]sales_teams!$B$2:$B$100)</f>
        <v>Rocco Neubert</v>
      </c>
      <c r="D1623" t="str">
        <f>_xlfn.XLOOKUP($B1623,sales_teams!$A$2:$A$36,sales_teams!C$2:C$36)</f>
        <v>East</v>
      </c>
      <c r="E1623" t="s">
        <v>20</v>
      </c>
      <c r="F1623" t="s">
        <v>215</v>
      </c>
      <c r="G1623" t="s">
        <v>12</v>
      </c>
      <c r="H1623" s="1">
        <v>42812</v>
      </c>
      <c r="I1623" s="1">
        <v>42904</v>
      </c>
      <c r="J1623">
        <v>530</v>
      </c>
    </row>
    <row r="1624" spans="1:10" x14ac:dyDescent="0.3">
      <c r="A1624" t="s">
        <v>1755</v>
      </c>
      <c r="B1624" t="s">
        <v>202</v>
      </c>
      <c r="C1624" t="str">
        <f>_xlfn.XLOOKUP(B1624,
[1]sales_teams!$A$2:$A$100,
[1]sales_teams!$B$2:$B$100)</f>
        <v>Dustin Brinkmann</v>
      </c>
      <c r="D1624" t="str">
        <f>_xlfn.XLOOKUP($B1624,sales_teams!$A$2:$A$36,sales_teams!C$2:C$36)</f>
        <v>Central</v>
      </c>
      <c r="E1624" t="s">
        <v>20</v>
      </c>
      <c r="F1624" t="s">
        <v>113</v>
      </c>
      <c r="G1624" t="s">
        <v>12</v>
      </c>
      <c r="H1624" s="1">
        <v>42812</v>
      </c>
      <c r="I1624" s="1">
        <v>42864</v>
      </c>
      <c r="J1624">
        <v>538</v>
      </c>
    </row>
    <row r="1625" spans="1:10" x14ac:dyDescent="0.3">
      <c r="A1625" t="s">
        <v>1756</v>
      </c>
      <c r="B1625" t="s">
        <v>202</v>
      </c>
      <c r="C1625" t="str">
        <f>_xlfn.XLOOKUP(B1625,
[1]sales_teams!$A$2:$A$100,
[1]sales_teams!$B$2:$B$100)</f>
        <v>Dustin Brinkmann</v>
      </c>
      <c r="D1625" t="str">
        <f>_xlfn.XLOOKUP($B1625,sales_teams!$A$2:$A$36,sales_teams!C$2:C$36)</f>
        <v>Central</v>
      </c>
      <c r="E1625" t="s">
        <v>18</v>
      </c>
      <c r="F1625" t="s">
        <v>126</v>
      </c>
      <c r="G1625" t="s">
        <v>12</v>
      </c>
      <c r="H1625" s="1">
        <v>42812</v>
      </c>
      <c r="I1625" s="1">
        <v>42821</v>
      </c>
      <c r="J1625">
        <v>53</v>
      </c>
    </row>
    <row r="1626" spans="1:10" x14ac:dyDescent="0.3">
      <c r="A1626" t="s">
        <v>1757</v>
      </c>
      <c r="B1626" t="s">
        <v>14</v>
      </c>
      <c r="C1626" t="str">
        <f>_xlfn.XLOOKUP(B1626,
[1]sales_teams!$A$2:$A$100,
[1]sales_teams!$B$2:$B$100)</f>
        <v>Melvin Marxen</v>
      </c>
      <c r="D1626" t="str">
        <f>_xlfn.XLOOKUP($B1626,sales_teams!$A$2:$A$36,sales_teams!C$2:C$36)</f>
        <v>Central</v>
      </c>
      <c r="E1626" t="s">
        <v>15</v>
      </c>
      <c r="F1626" t="s">
        <v>231</v>
      </c>
      <c r="G1626" t="s">
        <v>12</v>
      </c>
      <c r="H1626" s="1">
        <v>42812</v>
      </c>
      <c r="I1626" s="1">
        <v>42898</v>
      </c>
      <c r="J1626">
        <v>5416</v>
      </c>
    </row>
    <row r="1627" spans="1:10" x14ac:dyDescent="0.3">
      <c r="A1627" t="s">
        <v>1758</v>
      </c>
      <c r="B1627" t="s">
        <v>67</v>
      </c>
      <c r="C1627" t="str">
        <f>_xlfn.XLOOKUP(B1627,
[1]sales_teams!$A$2:$A$100,
[1]sales_teams!$B$2:$B$100)</f>
        <v>Celia Rouche</v>
      </c>
      <c r="D1627" t="str">
        <f>_xlfn.XLOOKUP($B1627,sales_teams!$A$2:$A$36,sales_teams!C$2:C$36)</f>
        <v>West</v>
      </c>
      <c r="E1627" t="s">
        <v>18</v>
      </c>
      <c r="F1627" t="s">
        <v>59</v>
      </c>
      <c r="G1627" t="s">
        <v>46</v>
      </c>
      <c r="H1627" s="1">
        <v>42812</v>
      </c>
      <c r="I1627" s="1">
        <v>42882</v>
      </c>
      <c r="J1627">
        <v>0</v>
      </c>
    </row>
    <row r="1628" spans="1:10" x14ac:dyDescent="0.3">
      <c r="A1628" t="s">
        <v>1759</v>
      </c>
      <c r="B1628" t="s">
        <v>105</v>
      </c>
      <c r="C1628" t="str">
        <f>_xlfn.XLOOKUP(B1628,
[1]sales_teams!$A$2:$A$100,
[1]sales_teams!$B$2:$B$100)</f>
        <v>Cara Losch</v>
      </c>
      <c r="D1628" t="str">
        <f>_xlfn.XLOOKUP($B1628,sales_teams!$A$2:$A$36,sales_teams!C$2:C$36)</f>
        <v>East</v>
      </c>
      <c r="E1628" t="s">
        <v>48</v>
      </c>
      <c r="F1628" t="s">
        <v>106</v>
      </c>
      <c r="G1628" t="s">
        <v>12</v>
      </c>
      <c r="H1628" s="1">
        <v>42812</v>
      </c>
      <c r="I1628" s="1">
        <v>42866</v>
      </c>
      <c r="J1628">
        <v>4995</v>
      </c>
    </row>
    <row r="1629" spans="1:10" x14ac:dyDescent="0.3">
      <c r="A1629" t="s">
        <v>1760</v>
      </c>
      <c r="B1629" t="s">
        <v>38</v>
      </c>
      <c r="C1629" t="str">
        <f>_xlfn.XLOOKUP(B1629,
[1]sales_teams!$A$2:$A$100,
[1]sales_teams!$B$2:$B$100)</f>
        <v>Summer Sewald</v>
      </c>
      <c r="D1629" t="str">
        <f>_xlfn.XLOOKUP($B1629,sales_teams!$A$2:$A$36,sales_teams!C$2:C$36)</f>
        <v>West</v>
      </c>
      <c r="E1629" t="s">
        <v>20</v>
      </c>
      <c r="G1629" t="s">
        <v>40</v>
      </c>
      <c r="H1629" s="1">
        <v>42812</v>
      </c>
    </row>
    <row r="1630" spans="1:10" x14ac:dyDescent="0.3">
      <c r="A1630" t="s">
        <v>1761</v>
      </c>
      <c r="B1630" t="s">
        <v>38</v>
      </c>
      <c r="C1630" t="str">
        <f>_xlfn.XLOOKUP(B1630,
[1]sales_teams!$A$2:$A$100,
[1]sales_teams!$B$2:$B$100)</f>
        <v>Summer Sewald</v>
      </c>
      <c r="D1630" t="str">
        <f>_xlfn.XLOOKUP($B1630,sales_teams!$A$2:$A$36,sales_teams!C$2:C$36)</f>
        <v>West</v>
      </c>
      <c r="E1630" t="s">
        <v>20</v>
      </c>
      <c r="F1630" t="s">
        <v>52</v>
      </c>
      <c r="G1630" t="s">
        <v>46</v>
      </c>
      <c r="H1630" s="1">
        <v>42812</v>
      </c>
      <c r="I1630" s="1">
        <v>42908</v>
      </c>
      <c r="J1630">
        <v>0</v>
      </c>
    </row>
    <row r="1631" spans="1:10" x14ac:dyDescent="0.3">
      <c r="A1631" t="s">
        <v>1762</v>
      </c>
      <c r="B1631" t="s">
        <v>252</v>
      </c>
      <c r="C1631" t="str">
        <f>_xlfn.XLOOKUP(B1631,
[1]sales_teams!$A$2:$A$100,
[1]sales_teams!$B$2:$B$100)</f>
        <v>Melvin Marxen</v>
      </c>
      <c r="D1631" t="str">
        <f>_xlfn.XLOOKUP($B1631,sales_teams!$A$2:$A$36,sales_teams!C$2:C$36)</f>
        <v>Central</v>
      </c>
      <c r="E1631" t="s">
        <v>10</v>
      </c>
      <c r="F1631" t="s">
        <v>42</v>
      </c>
      <c r="G1631" t="s">
        <v>12</v>
      </c>
      <c r="H1631" s="1">
        <v>42812</v>
      </c>
      <c r="I1631" s="1">
        <v>42881</v>
      </c>
      <c r="J1631">
        <v>1137</v>
      </c>
    </row>
    <row r="1632" spans="1:10" x14ac:dyDescent="0.3">
      <c r="A1632" t="s">
        <v>1763</v>
      </c>
      <c r="B1632" t="s">
        <v>78</v>
      </c>
      <c r="C1632" t="str">
        <f>_xlfn.XLOOKUP(B1632,
[1]sales_teams!$A$2:$A$100,
[1]sales_teams!$B$2:$B$100)</f>
        <v>Summer Sewald</v>
      </c>
      <c r="D1632" t="str">
        <f>_xlfn.XLOOKUP($B1632,sales_teams!$A$2:$A$36,sales_teams!C$2:C$36)</f>
        <v>West</v>
      </c>
      <c r="E1632" t="s">
        <v>20</v>
      </c>
      <c r="F1632" t="s">
        <v>52</v>
      </c>
      <c r="G1632" t="s">
        <v>12</v>
      </c>
      <c r="H1632" s="1">
        <v>42812</v>
      </c>
      <c r="I1632" s="1">
        <v>42822</v>
      </c>
      <c r="J1632">
        <v>453</v>
      </c>
    </row>
    <row r="1633" spans="1:10" x14ac:dyDescent="0.3">
      <c r="A1633" t="s">
        <v>1764</v>
      </c>
      <c r="B1633" t="s">
        <v>78</v>
      </c>
      <c r="C1633" t="str">
        <f>_xlfn.XLOOKUP(B1633,
[1]sales_teams!$A$2:$A$100,
[1]sales_teams!$B$2:$B$100)</f>
        <v>Summer Sewald</v>
      </c>
      <c r="D1633" t="str">
        <f>_xlfn.XLOOKUP($B1633,sales_teams!$A$2:$A$36,sales_teams!C$2:C$36)</f>
        <v>West</v>
      </c>
      <c r="E1633" t="s">
        <v>10</v>
      </c>
      <c r="F1633" t="s">
        <v>315</v>
      </c>
      <c r="G1633" t="s">
        <v>12</v>
      </c>
      <c r="H1633" s="1">
        <v>42812</v>
      </c>
      <c r="I1633" s="1">
        <v>42882</v>
      </c>
      <c r="J1633">
        <v>1065</v>
      </c>
    </row>
    <row r="1634" spans="1:10" x14ac:dyDescent="0.3">
      <c r="A1634" t="s">
        <v>1765</v>
      </c>
      <c r="B1634" t="s">
        <v>78</v>
      </c>
      <c r="C1634" t="str">
        <f>_xlfn.XLOOKUP(B1634,
[1]sales_teams!$A$2:$A$100,
[1]sales_teams!$B$2:$B$100)</f>
        <v>Summer Sewald</v>
      </c>
      <c r="D1634" t="str">
        <f>_xlfn.XLOOKUP($B1634,sales_teams!$A$2:$A$36,sales_teams!C$2:C$36)</f>
        <v>West</v>
      </c>
      <c r="E1634" t="s">
        <v>15</v>
      </c>
      <c r="F1634" t="s">
        <v>273</v>
      </c>
      <c r="G1634" t="s">
        <v>12</v>
      </c>
      <c r="H1634" s="1">
        <v>42812</v>
      </c>
      <c r="I1634" s="1">
        <v>42859</v>
      </c>
      <c r="J1634">
        <v>4373</v>
      </c>
    </row>
    <row r="1635" spans="1:10" x14ac:dyDescent="0.3">
      <c r="A1635" t="s">
        <v>1766</v>
      </c>
      <c r="B1635" t="s">
        <v>78</v>
      </c>
      <c r="C1635" t="str">
        <f>_xlfn.XLOOKUP(B1635,
[1]sales_teams!$A$2:$A$100,
[1]sales_teams!$B$2:$B$100)</f>
        <v>Summer Sewald</v>
      </c>
      <c r="D1635" t="str">
        <f>_xlfn.XLOOKUP($B1635,sales_teams!$A$2:$A$36,sales_teams!C$2:C$36)</f>
        <v>West</v>
      </c>
      <c r="E1635" t="s">
        <v>39</v>
      </c>
      <c r="F1635" t="s">
        <v>86</v>
      </c>
      <c r="G1635" t="s">
        <v>12</v>
      </c>
      <c r="H1635" s="1">
        <v>42812</v>
      </c>
      <c r="I1635" s="1">
        <v>42905</v>
      </c>
      <c r="J1635">
        <v>2560</v>
      </c>
    </row>
    <row r="1636" spans="1:10" x14ac:dyDescent="0.3">
      <c r="A1636" t="s">
        <v>1767</v>
      </c>
      <c r="B1636" t="s">
        <v>95</v>
      </c>
      <c r="C1636" t="str">
        <f>_xlfn.XLOOKUP(B1636,
[1]sales_teams!$A$2:$A$100,
[1]sales_teams!$B$2:$B$100)</f>
        <v>Summer Sewald</v>
      </c>
      <c r="D1636" t="str">
        <f>_xlfn.XLOOKUP($B1636,sales_teams!$A$2:$A$36,sales_teams!C$2:C$36)</f>
        <v>West</v>
      </c>
      <c r="E1636" t="s">
        <v>15</v>
      </c>
      <c r="F1636" t="s">
        <v>273</v>
      </c>
      <c r="G1636" t="s">
        <v>46</v>
      </c>
      <c r="H1636" s="1">
        <v>42812</v>
      </c>
      <c r="I1636" s="1">
        <v>42890</v>
      </c>
      <c r="J1636">
        <v>0</v>
      </c>
    </row>
    <row r="1637" spans="1:10" x14ac:dyDescent="0.3">
      <c r="A1637" t="s">
        <v>1768</v>
      </c>
      <c r="B1637" t="s">
        <v>32</v>
      </c>
      <c r="C1637" t="str">
        <f>_xlfn.XLOOKUP(B1637,
[1]sales_teams!$A$2:$A$100,
[1]sales_teams!$B$2:$B$100)</f>
        <v>Celia Rouche</v>
      </c>
      <c r="D1637" t="str">
        <f>_xlfn.XLOOKUP($B1637,sales_teams!$A$2:$A$36,sales_teams!C$2:C$36)</f>
        <v>West</v>
      </c>
      <c r="E1637" t="s">
        <v>10</v>
      </c>
      <c r="F1637" t="s">
        <v>398</v>
      </c>
      <c r="G1637" t="s">
        <v>12</v>
      </c>
      <c r="H1637" s="1">
        <v>42812</v>
      </c>
      <c r="I1637" s="1">
        <v>42825</v>
      </c>
      <c r="J1637">
        <v>1171</v>
      </c>
    </row>
    <row r="1638" spans="1:10" x14ac:dyDescent="0.3">
      <c r="A1638" t="s">
        <v>1769</v>
      </c>
      <c r="B1638" t="s">
        <v>32</v>
      </c>
      <c r="C1638" t="str">
        <f>_xlfn.XLOOKUP(B1638,
[1]sales_teams!$A$2:$A$100,
[1]sales_teams!$B$2:$B$100)</f>
        <v>Celia Rouche</v>
      </c>
      <c r="D1638" t="str">
        <f>_xlfn.XLOOKUP($B1638,sales_teams!$A$2:$A$36,sales_teams!C$2:C$36)</f>
        <v>West</v>
      </c>
      <c r="E1638" t="s">
        <v>18</v>
      </c>
      <c r="F1638" t="s">
        <v>199</v>
      </c>
      <c r="G1638" t="s">
        <v>12</v>
      </c>
      <c r="H1638" s="1">
        <v>42812</v>
      </c>
      <c r="I1638" s="1">
        <v>42908</v>
      </c>
      <c r="J1638">
        <v>53</v>
      </c>
    </row>
    <row r="1639" spans="1:10" x14ac:dyDescent="0.3">
      <c r="A1639" t="s">
        <v>1770</v>
      </c>
      <c r="B1639" t="s">
        <v>116</v>
      </c>
      <c r="C1639" t="str">
        <f>_xlfn.XLOOKUP(B1639,
[1]sales_teams!$A$2:$A$100,
[1]sales_teams!$B$2:$B$100)</f>
        <v>Melvin Marxen</v>
      </c>
      <c r="D1639" t="str">
        <f>_xlfn.XLOOKUP($B1639,sales_teams!$A$2:$A$36,sales_teams!C$2:C$36)</f>
        <v>Central</v>
      </c>
      <c r="E1639" t="s">
        <v>48</v>
      </c>
      <c r="F1639" t="s">
        <v>62</v>
      </c>
      <c r="G1639" t="s">
        <v>12</v>
      </c>
      <c r="H1639" s="1">
        <v>42812</v>
      </c>
      <c r="I1639" s="1">
        <v>42888</v>
      </c>
      <c r="J1639">
        <v>6553</v>
      </c>
    </row>
    <row r="1640" spans="1:10" x14ac:dyDescent="0.3">
      <c r="A1640" t="s">
        <v>1771</v>
      </c>
      <c r="B1640" t="s">
        <v>116</v>
      </c>
      <c r="C1640" t="str">
        <f>_xlfn.XLOOKUP(B1640,
[1]sales_teams!$A$2:$A$100,
[1]sales_teams!$B$2:$B$100)</f>
        <v>Melvin Marxen</v>
      </c>
      <c r="D1640" t="str">
        <f>_xlfn.XLOOKUP($B1640,sales_teams!$A$2:$A$36,sales_teams!C$2:C$36)</f>
        <v>Central</v>
      </c>
      <c r="E1640" t="s">
        <v>39</v>
      </c>
      <c r="F1640" t="s">
        <v>303</v>
      </c>
      <c r="G1640" t="s">
        <v>12</v>
      </c>
      <c r="H1640" s="1">
        <v>42812</v>
      </c>
      <c r="I1640" s="1">
        <v>42862</v>
      </c>
      <c r="J1640">
        <v>3542</v>
      </c>
    </row>
    <row r="1641" spans="1:10" x14ac:dyDescent="0.3">
      <c r="A1641" t="s">
        <v>1772</v>
      </c>
      <c r="B1641" t="s">
        <v>51</v>
      </c>
      <c r="C1641" t="str">
        <f>_xlfn.XLOOKUP(B1641,
[1]sales_teams!$A$2:$A$100,
[1]sales_teams!$B$2:$B$100)</f>
        <v>Summer Sewald</v>
      </c>
      <c r="D1641" t="str">
        <f>_xlfn.XLOOKUP($B1641,sales_teams!$A$2:$A$36,sales_teams!C$2:C$36)</f>
        <v>West</v>
      </c>
      <c r="E1641" t="s">
        <v>20</v>
      </c>
      <c r="G1641" t="s">
        <v>40</v>
      </c>
      <c r="H1641" s="1">
        <v>42812</v>
      </c>
    </row>
    <row r="1642" spans="1:10" x14ac:dyDescent="0.3">
      <c r="A1642" t="s">
        <v>1773</v>
      </c>
      <c r="B1642" t="s">
        <v>9</v>
      </c>
      <c r="C1642" t="str">
        <f>_xlfn.XLOOKUP(B1642,
[1]sales_teams!$A$2:$A$100,
[1]sales_teams!$B$2:$B$100)</f>
        <v>Dustin Brinkmann</v>
      </c>
      <c r="D1642" t="str">
        <f>_xlfn.XLOOKUP($B1642,sales_teams!$A$2:$A$36,sales_teams!C$2:C$36)</f>
        <v>Central</v>
      </c>
      <c r="E1642" t="s">
        <v>39</v>
      </c>
      <c r="F1642" t="s">
        <v>129</v>
      </c>
      <c r="G1642" t="s">
        <v>12</v>
      </c>
      <c r="H1642" s="1">
        <v>42812</v>
      </c>
      <c r="I1642" s="1">
        <v>42897</v>
      </c>
      <c r="J1642">
        <v>3619</v>
      </c>
    </row>
    <row r="1643" spans="1:10" x14ac:dyDescent="0.3">
      <c r="A1643" t="s">
        <v>1774</v>
      </c>
      <c r="B1643" t="s">
        <v>57</v>
      </c>
      <c r="C1643" t="str">
        <f>_xlfn.XLOOKUP(B1643,
[1]sales_teams!$A$2:$A$100,
[1]sales_teams!$B$2:$B$100)</f>
        <v>Celia Rouche</v>
      </c>
      <c r="D1643" t="str">
        <f>_xlfn.XLOOKUP($B1643,sales_teams!$A$2:$A$36,sales_teams!C$2:C$36)</f>
        <v>West</v>
      </c>
      <c r="E1643" t="s">
        <v>39</v>
      </c>
      <c r="G1643" t="s">
        <v>40</v>
      </c>
      <c r="H1643" s="1">
        <v>42812</v>
      </c>
    </row>
    <row r="1644" spans="1:10" x14ac:dyDescent="0.3">
      <c r="A1644" t="s">
        <v>1775</v>
      </c>
      <c r="B1644" t="s">
        <v>88</v>
      </c>
      <c r="C1644" t="str">
        <f>_xlfn.XLOOKUP(B1644,
[1]sales_teams!$A$2:$A$100,
[1]sales_teams!$B$2:$B$100)</f>
        <v>Cara Losch</v>
      </c>
      <c r="D1644" t="str">
        <f>_xlfn.XLOOKUP($B1644,sales_teams!$A$2:$A$36,sales_teams!C$2:C$36)</f>
        <v>East</v>
      </c>
      <c r="E1644" t="s">
        <v>39</v>
      </c>
      <c r="F1644" t="s">
        <v>151</v>
      </c>
      <c r="G1644" t="s">
        <v>40</v>
      </c>
      <c r="H1644" s="1">
        <v>42812</v>
      </c>
    </row>
    <row r="1645" spans="1:10" x14ac:dyDescent="0.3">
      <c r="A1645" t="s">
        <v>1776</v>
      </c>
      <c r="B1645" t="s">
        <v>29</v>
      </c>
      <c r="C1645" t="str">
        <f>_xlfn.XLOOKUP(B1645,
[1]sales_teams!$A$2:$A$100,
[1]sales_teams!$B$2:$B$100)</f>
        <v>Celia Rouche</v>
      </c>
      <c r="D1645" t="str">
        <f>_xlfn.XLOOKUP($B1645,sales_teams!$A$2:$A$36,sales_teams!C$2:C$36)</f>
        <v>West</v>
      </c>
      <c r="E1645" t="s">
        <v>18</v>
      </c>
      <c r="G1645" t="s">
        <v>40</v>
      </c>
      <c r="H1645" s="1">
        <v>42812</v>
      </c>
    </row>
    <row r="1646" spans="1:10" x14ac:dyDescent="0.3">
      <c r="A1646" t="s">
        <v>1777</v>
      </c>
      <c r="B1646" t="s">
        <v>102</v>
      </c>
      <c r="C1646" t="str">
        <f>_xlfn.XLOOKUP(B1646,
[1]sales_teams!$A$2:$A$100,
[1]sales_teams!$B$2:$B$100)</f>
        <v>Cara Losch</v>
      </c>
      <c r="D1646" t="str">
        <f>_xlfn.XLOOKUP($B1646,sales_teams!$A$2:$A$36,sales_teams!C$2:C$36)</f>
        <v>East</v>
      </c>
      <c r="E1646" t="s">
        <v>39</v>
      </c>
      <c r="F1646" t="s">
        <v>745</v>
      </c>
      <c r="G1646" t="s">
        <v>12</v>
      </c>
      <c r="H1646" s="1">
        <v>42812</v>
      </c>
      <c r="I1646" s="1">
        <v>42873</v>
      </c>
      <c r="J1646">
        <v>3589</v>
      </c>
    </row>
    <row r="1647" spans="1:10" x14ac:dyDescent="0.3">
      <c r="A1647" t="s">
        <v>1778</v>
      </c>
      <c r="B1647" t="s">
        <v>23</v>
      </c>
      <c r="C1647" t="str">
        <f>_xlfn.XLOOKUP(B1647,
[1]sales_teams!$A$2:$A$100,
[1]sales_teams!$B$2:$B$100)</f>
        <v>Summer Sewald</v>
      </c>
      <c r="D1647" t="str">
        <f>_xlfn.XLOOKUP($B1647,sales_teams!$A$2:$A$36,sales_teams!C$2:C$36)</f>
        <v>West</v>
      </c>
      <c r="E1647" t="s">
        <v>48</v>
      </c>
      <c r="F1647" t="s">
        <v>124</v>
      </c>
      <c r="G1647" t="s">
        <v>12</v>
      </c>
      <c r="H1647" s="1">
        <v>42812</v>
      </c>
      <c r="I1647" s="1">
        <v>42868</v>
      </c>
      <c r="J1647">
        <v>6262</v>
      </c>
    </row>
    <row r="1648" spans="1:10" x14ac:dyDescent="0.3">
      <c r="A1648" t="s">
        <v>1779</v>
      </c>
      <c r="B1648" t="s">
        <v>118</v>
      </c>
      <c r="C1648" t="str">
        <f>_xlfn.XLOOKUP(B1648,
[1]sales_teams!$A$2:$A$100,
[1]sales_teams!$B$2:$B$100)</f>
        <v>Rocco Neubert</v>
      </c>
      <c r="D1648" t="str">
        <f>_xlfn.XLOOKUP($B1648,sales_teams!$A$2:$A$36,sales_teams!C$2:C$36)</f>
        <v>East</v>
      </c>
      <c r="E1648" t="s">
        <v>10</v>
      </c>
      <c r="F1648" t="s">
        <v>157</v>
      </c>
      <c r="G1648" t="s">
        <v>40</v>
      </c>
      <c r="H1648" s="1">
        <v>42813</v>
      </c>
    </row>
    <row r="1649" spans="1:10" x14ac:dyDescent="0.3">
      <c r="A1649" t="s">
        <v>1780</v>
      </c>
      <c r="B1649" t="s">
        <v>118</v>
      </c>
      <c r="C1649" t="str">
        <f>_xlfn.XLOOKUP(B1649,
[1]sales_teams!$A$2:$A$100,
[1]sales_teams!$B$2:$B$100)</f>
        <v>Rocco Neubert</v>
      </c>
      <c r="D1649" t="str">
        <f>_xlfn.XLOOKUP($B1649,sales_teams!$A$2:$A$36,sales_teams!C$2:C$36)</f>
        <v>East</v>
      </c>
      <c r="E1649" t="s">
        <v>10</v>
      </c>
      <c r="F1649" t="s">
        <v>98</v>
      </c>
      <c r="G1649" t="s">
        <v>12</v>
      </c>
      <c r="H1649" s="1">
        <v>42813</v>
      </c>
      <c r="I1649" s="1">
        <v>42818</v>
      </c>
      <c r="J1649">
        <v>1161</v>
      </c>
    </row>
    <row r="1650" spans="1:10" x14ac:dyDescent="0.3">
      <c r="A1650" t="s">
        <v>1781</v>
      </c>
      <c r="B1650" t="s">
        <v>118</v>
      </c>
      <c r="C1650" t="str">
        <f>_xlfn.XLOOKUP(B1650,
[1]sales_teams!$A$2:$A$100,
[1]sales_teams!$B$2:$B$100)</f>
        <v>Rocco Neubert</v>
      </c>
      <c r="D1650" t="str">
        <f>_xlfn.XLOOKUP($B1650,sales_teams!$A$2:$A$36,sales_teams!C$2:C$36)</f>
        <v>East</v>
      </c>
      <c r="E1650" t="s">
        <v>15</v>
      </c>
      <c r="F1650" t="s">
        <v>189</v>
      </c>
      <c r="G1650" t="s">
        <v>12</v>
      </c>
      <c r="H1650" s="1">
        <v>42813</v>
      </c>
      <c r="I1650" s="1">
        <v>42822</v>
      </c>
      <c r="J1650">
        <v>4975</v>
      </c>
    </row>
    <row r="1651" spans="1:10" x14ac:dyDescent="0.3">
      <c r="A1651" t="s">
        <v>1782</v>
      </c>
      <c r="B1651" t="s">
        <v>164</v>
      </c>
      <c r="C1651" t="str">
        <f>_xlfn.XLOOKUP(B1651,
[1]sales_teams!$A$2:$A$100,
[1]sales_teams!$B$2:$B$100)</f>
        <v>Cara Losch</v>
      </c>
      <c r="D1651" t="str">
        <f>_xlfn.XLOOKUP($B1651,sales_teams!$A$2:$A$36,sales_teams!C$2:C$36)</f>
        <v>East</v>
      </c>
      <c r="E1651" t="s">
        <v>20</v>
      </c>
      <c r="F1651" t="s">
        <v>89</v>
      </c>
      <c r="G1651" t="s">
        <v>12</v>
      </c>
      <c r="H1651" s="1">
        <v>42813</v>
      </c>
      <c r="I1651" s="1">
        <v>42816</v>
      </c>
      <c r="J1651">
        <v>586</v>
      </c>
    </row>
    <row r="1652" spans="1:10" x14ac:dyDescent="0.3">
      <c r="A1652" t="s">
        <v>1783</v>
      </c>
      <c r="B1652" t="s">
        <v>164</v>
      </c>
      <c r="C1652" t="str">
        <f>_xlfn.XLOOKUP(B1652,
[1]sales_teams!$A$2:$A$100,
[1]sales_teams!$B$2:$B$100)</f>
        <v>Cara Losch</v>
      </c>
      <c r="D1652" t="str">
        <f>_xlfn.XLOOKUP($B1652,sales_teams!$A$2:$A$36,sales_teams!C$2:C$36)</f>
        <v>East</v>
      </c>
      <c r="E1652" t="s">
        <v>18</v>
      </c>
      <c r="F1652" t="s">
        <v>103</v>
      </c>
      <c r="G1652" t="s">
        <v>12</v>
      </c>
      <c r="H1652" s="1">
        <v>42813</v>
      </c>
      <c r="I1652" s="1">
        <v>42819</v>
      </c>
      <c r="J1652">
        <v>41</v>
      </c>
    </row>
    <row r="1653" spans="1:10" x14ac:dyDescent="0.3">
      <c r="A1653" t="s">
        <v>1784</v>
      </c>
      <c r="B1653" t="s">
        <v>64</v>
      </c>
      <c r="C1653" t="str">
        <f>_xlfn.XLOOKUP(B1653,
[1]sales_teams!$A$2:$A$100,
[1]sales_teams!$B$2:$B$100)</f>
        <v>Rocco Neubert</v>
      </c>
      <c r="D1653" t="str">
        <f>_xlfn.XLOOKUP($B1653,sales_teams!$A$2:$A$36,sales_teams!C$2:C$36)</f>
        <v>East</v>
      </c>
      <c r="E1653" t="s">
        <v>10</v>
      </c>
      <c r="G1653" t="s">
        <v>40</v>
      </c>
      <c r="H1653" s="1">
        <v>42813</v>
      </c>
    </row>
    <row r="1654" spans="1:10" x14ac:dyDescent="0.3">
      <c r="A1654" t="s">
        <v>1785</v>
      </c>
      <c r="B1654" t="s">
        <v>14</v>
      </c>
      <c r="C1654" t="str">
        <f>_xlfn.XLOOKUP(B1654,
[1]sales_teams!$A$2:$A$100,
[1]sales_teams!$B$2:$B$100)</f>
        <v>Melvin Marxen</v>
      </c>
      <c r="D1654" t="str">
        <f>_xlfn.XLOOKUP($B1654,sales_teams!$A$2:$A$36,sales_teams!C$2:C$36)</f>
        <v>Central</v>
      </c>
      <c r="E1654" t="s">
        <v>10</v>
      </c>
      <c r="F1654" t="s">
        <v>27</v>
      </c>
      <c r="G1654" t="s">
        <v>12</v>
      </c>
      <c r="H1654" s="1">
        <v>42813</v>
      </c>
      <c r="I1654" s="1">
        <v>42815</v>
      </c>
      <c r="J1654">
        <v>929</v>
      </c>
    </row>
    <row r="1655" spans="1:10" x14ac:dyDescent="0.3">
      <c r="A1655" t="s">
        <v>1786</v>
      </c>
      <c r="B1655" t="s">
        <v>14</v>
      </c>
      <c r="C1655" t="str">
        <f>_xlfn.XLOOKUP(B1655,
[1]sales_teams!$A$2:$A$100,
[1]sales_teams!$B$2:$B$100)</f>
        <v>Melvin Marxen</v>
      </c>
      <c r="D1655" t="str">
        <f>_xlfn.XLOOKUP($B1655,sales_teams!$A$2:$A$36,sales_teams!C$2:C$36)</f>
        <v>Central</v>
      </c>
      <c r="E1655" t="s">
        <v>18</v>
      </c>
      <c r="F1655" t="s">
        <v>492</v>
      </c>
      <c r="G1655" t="s">
        <v>12</v>
      </c>
      <c r="H1655" s="1">
        <v>42813</v>
      </c>
      <c r="I1655" s="1">
        <v>42890</v>
      </c>
      <c r="J1655">
        <v>65</v>
      </c>
    </row>
    <row r="1656" spans="1:10" x14ac:dyDescent="0.3">
      <c r="A1656" t="s">
        <v>1787</v>
      </c>
      <c r="B1656" t="s">
        <v>142</v>
      </c>
      <c r="C1656" t="str">
        <f>_xlfn.XLOOKUP(B1656,
[1]sales_teams!$A$2:$A$100,
[1]sales_teams!$B$2:$B$100)</f>
        <v>Rocco Neubert</v>
      </c>
      <c r="D1656" t="str">
        <f>_xlfn.XLOOKUP($B1656,sales_teams!$A$2:$A$36,sales_teams!C$2:C$36)</f>
        <v>East</v>
      </c>
      <c r="E1656" t="s">
        <v>20</v>
      </c>
      <c r="F1656" t="s">
        <v>373</v>
      </c>
      <c r="G1656" t="s">
        <v>12</v>
      </c>
      <c r="H1656" s="1">
        <v>42813</v>
      </c>
      <c r="I1656" s="1">
        <v>42824</v>
      </c>
      <c r="J1656">
        <v>574</v>
      </c>
    </row>
    <row r="1657" spans="1:10" x14ac:dyDescent="0.3">
      <c r="A1657" t="s">
        <v>1788</v>
      </c>
      <c r="B1657" t="s">
        <v>44</v>
      </c>
      <c r="C1657" t="str">
        <f>_xlfn.XLOOKUP(B1657,
[1]sales_teams!$A$2:$A$100,
[1]sales_teams!$B$2:$B$100)</f>
        <v>Melvin Marxen</v>
      </c>
      <c r="D1657" t="str">
        <f>_xlfn.XLOOKUP($B1657,sales_teams!$A$2:$A$36,sales_teams!C$2:C$36)</f>
        <v>Central</v>
      </c>
      <c r="E1657" t="s">
        <v>15</v>
      </c>
      <c r="F1657" t="s">
        <v>218</v>
      </c>
      <c r="G1657" t="s">
        <v>46</v>
      </c>
      <c r="H1657" s="1">
        <v>42813</v>
      </c>
      <c r="I1657" s="1">
        <v>42912</v>
      </c>
      <c r="J1657">
        <v>0</v>
      </c>
    </row>
    <row r="1658" spans="1:10" x14ac:dyDescent="0.3">
      <c r="A1658" t="s">
        <v>1789</v>
      </c>
      <c r="B1658" t="s">
        <v>44</v>
      </c>
      <c r="C1658" t="str">
        <f>_xlfn.XLOOKUP(B1658,
[1]sales_teams!$A$2:$A$100,
[1]sales_teams!$B$2:$B$100)</f>
        <v>Melvin Marxen</v>
      </c>
      <c r="D1658" t="str">
        <f>_xlfn.XLOOKUP($B1658,sales_teams!$A$2:$A$36,sales_teams!C$2:C$36)</f>
        <v>Central</v>
      </c>
      <c r="E1658" t="s">
        <v>15</v>
      </c>
      <c r="F1658" t="s">
        <v>492</v>
      </c>
      <c r="G1658" t="s">
        <v>46</v>
      </c>
      <c r="H1658" s="1">
        <v>42813</v>
      </c>
      <c r="I1658" s="1">
        <v>42864</v>
      </c>
      <c r="J1658">
        <v>0</v>
      </c>
    </row>
    <row r="1659" spans="1:10" x14ac:dyDescent="0.3">
      <c r="A1659" t="s">
        <v>1790</v>
      </c>
      <c r="B1659" t="s">
        <v>54</v>
      </c>
      <c r="C1659" t="str">
        <f>_xlfn.XLOOKUP(B1659,
[1]sales_teams!$A$2:$A$100,
[1]sales_teams!$B$2:$B$100)</f>
        <v>Celia Rouche</v>
      </c>
      <c r="D1659" t="str">
        <f>_xlfn.XLOOKUP($B1659,sales_teams!$A$2:$A$36,sales_teams!C$2:C$36)</f>
        <v>West</v>
      </c>
      <c r="E1659" t="s">
        <v>39</v>
      </c>
      <c r="F1659" t="s">
        <v>86</v>
      </c>
      <c r="G1659" t="s">
        <v>12</v>
      </c>
      <c r="H1659" s="1">
        <v>42813</v>
      </c>
      <c r="I1659" s="1">
        <v>42902</v>
      </c>
      <c r="J1659">
        <v>3028</v>
      </c>
    </row>
    <row r="1660" spans="1:10" x14ac:dyDescent="0.3">
      <c r="A1660" t="s">
        <v>1791</v>
      </c>
      <c r="B1660" t="s">
        <v>38</v>
      </c>
      <c r="C1660" t="str">
        <f>_xlfn.XLOOKUP(B1660,
[1]sales_teams!$A$2:$A$100,
[1]sales_teams!$B$2:$B$100)</f>
        <v>Summer Sewald</v>
      </c>
      <c r="D1660" t="str">
        <f>_xlfn.XLOOKUP($B1660,sales_teams!$A$2:$A$36,sales_teams!C$2:C$36)</f>
        <v>West</v>
      </c>
      <c r="E1660" t="s">
        <v>20</v>
      </c>
      <c r="F1660" t="s">
        <v>273</v>
      </c>
      <c r="G1660" t="s">
        <v>12</v>
      </c>
      <c r="H1660" s="1">
        <v>42813</v>
      </c>
      <c r="I1660" s="1">
        <v>42820</v>
      </c>
      <c r="J1660">
        <v>403</v>
      </c>
    </row>
    <row r="1661" spans="1:10" x14ac:dyDescent="0.3">
      <c r="A1661" t="s">
        <v>1792</v>
      </c>
      <c r="B1661" t="s">
        <v>78</v>
      </c>
      <c r="C1661" t="str">
        <f>_xlfn.XLOOKUP(B1661,
[1]sales_teams!$A$2:$A$100,
[1]sales_teams!$B$2:$B$100)</f>
        <v>Summer Sewald</v>
      </c>
      <c r="D1661" t="str">
        <f>_xlfn.XLOOKUP($B1661,sales_teams!$A$2:$A$36,sales_teams!C$2:C$36)</f>
        <v>West</v>
      </c>
      <c r="E1661" t="s">
        <v>20</v>
      </c>
      <c r="F1661" t="s">
        <v>52</v>
      </c>
      <c r="G1661" t="s">
        <v>46</v>
      </c>
      <c r="H1661" s="1">
        <v>42813</v>
      </c>
      <c r="I1661" s="1">
        <v>42871</v>
      </c>
      <c r="J1661">
        <v>0</v>
      </c>
    </row>
    <row r="1662" spans="1:10" x14ac:dyDescent="0.3">
      <c r="A1662" t="s">
        <v>1793</v>
      </c>
      <c r="B1662" t="s">
        <v>78</v>
      </c>
      <c r="C1662" t="str">
        <f>_xlfn.XLOOKUP(B1662,
[1]sales_teams!$A$2:$A$100,
[1]sales_teams!$B$2:$B$100)</f>
        <v>Summer Sewald</v>
      </c>
      <c r="D1662" t="str">
        <f>_xlfn.XLOOKUP($B1662,sales_teams!$A$2:$A$36,sales_teams!C$2:C$36)</f>
        <v>West</v>
      </c>
      <c r="E1662" t="s">
        <v>39</v>
      </c>
      <c r="F1662" t="s">
        <v>155</v>
      </c>
      <c r="G1662" t="s">
        <v>12</v>
      </c>
      <c r="H1662" s="1">
        <v>42813</v>
      </c>
      <c r="I1662" s="1">
        <v>42893</v>
      </c>
      <c r="J1662">
        <v>3290</v>
      </c>
    </row>
    <row r="1663" spans="1:10" x14ac:dyDescent="0.3">
      <c r="A1663" t="s">
        <v>1794</v>
      </c>
      <c r="B1663" t="s">
        <v>95</v>
      </c>
      <c r="C1663" t="str">
        <f>_xlfn.XLOOKUP(B1663,
[1]sales_teams!$A$2:$A$100,
[1]sales_teams!$B$2:$B$100)</f>
        <v>Summer Sewald</v>
      </c>
      <c r="D1663" t="str">
        <f>_xlfn.XLOOKUP($B1663,sales_teams!$A$2:$A$36,sales_teams!C$2:C$36)</f>
        <v>West</v>
      </c>
      <c r="E1663" t="s">
        <v>20</v>
      </c>
      <c r="G1663" t="s">
        <v>40</v>
      </c>
      <c r="H1663" s="1">
        <v>42813</v>
      </c>
    </row>
    <row r="1664" spans="1:10" x14ac:dyDescent="0.3">
      <c r="A1664" t="s">
        <v>1795</v>
      </c>
      <c r="B1664" t="s">
        <v>95</v>
      </c>
      <c r="C1664" t="str">
        <f>_xlfn.XLOOKUP(B1664,
[1]sales_teams!$A$2:$A$100,
[1]sales_teams!$B$2:$B$100)</f>
        <v>Summer Sewald</v>
      </c>
      <c r="D1664" t="str">
        <f>_xlfn.XLOOKUP($B1664,sales_teams!$A$2:$A$36,sales_teams!C$2:C$36)</f>
        <v>West</v>
      </c>
      <c r="E1664" t="s">
        <v>39</v>
      </c>
      <c r="F1664" t="s">
        <v>52</v>
      </c>
      <c r="G1664" t="s">
        <v>46</v>
      </c>
      <c r="H1664" s="1">
        <v>42813</v>
      </c>
      <c r="I1664" s="1">
        <v>42909</v>
      </c>
      <c r="J1664">
        <v>0</v>
      </c>
    </row>
    <row r="1665" spans="1:10" x14ac:dyDescent="0.3">
      <c r="A1665" t="s">
        <v>1796</v>
      </c>
      <c r="B1665" t="s">
        <v>95</v>
      </c>
      <c r="C1665" t="str">
        <f>_xlfn.XLOOKUP(B1665,
[1]sales_teams!$A$2:$A$100,
[1]sales_teams!$B$2:$B$100)</f>
        <v>Summer Sewald</v>
      </c>
      <c r="D1665" t="str">
        <f>_xlfn.XLOOKUP($B1665,sales_teams!$A$2:$A$36,sales_teams!C$2:C$36)</f>
        <v>West</v>
      </c>
      <c r="E1665" t="s">
        <v>39</v>
      </c>
      <c r="F1665" t="s">
        <v>122</v>
      </c>
      <c r="G1665" t="s">
        <v>12</v>
      </c>
      <c r="H1665" s="1">
        <v>42813</v>
      </c>
      <c r="I1665" s="1">
        <v>42823</v>
      </c>
      <c r="J1665">
        <v>3550</v>
      </c>
    </row>
    <row r="1666" spans="1:10" x14ac:dyDescent="0.3">
      <c r="A1666" t="s">
        <v>1797</v>
      </c>
      <c r="B1666" t="s">
        <v>9</v>
      </c>
      <c r="C1666" t="str">
        <f>_xlfn.XLOOKUP(B1666,
[1]sales_teams!$A$2:$A$100,
[1]sales_teams!$B$2:$B$100)</f>
        <v>Dustin Brinkmann</v>
      </c>
      <c r="D1666" t="str">
        <f>_xlfn.XLOOKUP($B1666,sales_teams!$A$2:$A$36,sales_teams!C$2:C$36)</f>
        <v>Central</v>
      </c>
      <c r="E1666" t="s">
        <v>39</v>
      </c>
      <c r="F1666" t="s">
        <v>151</v>
      </c>
      <c r="G1666" t="s">
        <v>12</v>
      </c>
      <c r="H1666" s="1">
        <v>42813</v>
      </c>
      <c r="I1666" s="1">
        <v>42909</v>
      </c>
      <c r="J1666">
        <v>3657</v>
      </c>
    </row>
    <row r="1667" spans="1:10" x14ac:dyDescent="0.3">
      <c r="A1667" t="s">
        <v>1798</v>
      </c>
      <c r="B1667" t="s">
        <v>97</v>
      </c>
      <c r="C1667" t="str">
        <f>_xlfn.XLOOKUP(B1667,
[1]sales_teams!$A$2:$A$100,
[1]sales_teams!$B$2:$B$100)</f>
        <v>Rocco Neubert</v>
      </c>
      <c r="D1667" t="str">
        <f>_xlfn.XLOOKUP($B1667,sales_teams!$A$2:$A$36,sales_teams!C$2:C$36)</f>
        <v>East</v>
      </c>
      <c r="E1667" t="s">
        <v>10</v>
      </c>
      <c r="F1667" t="s">
        <v>89</v>
      </c>
      <c r="G1667" t="s">
        <v>12</v>
      </c>
      <c r="H1667" s="1">
        <v>42813</v>
      </c>
      <c r="I1667" s="1">
        <v>42910</v>
      </c>
      <c r="J1667">
        <v>1046</v>
      </c>
    </row>
    <row r="1668" spans="1:10" x14ac:dyDescent="0.3">
      <c r="A1668" t="s">
        <v>1799</v>
      </c>
      <c r="B1668" t="s">
        <v>61</v>
      </c>
      <c r="C1668" t="str">
        <f>_xlfn.XLOOKUP(B1668,
[1]sales_teams!$A$2:$A$100,
[1]sales_teams!$B$2:$B$100)</f>
        <v>Dustin Brinkmann</v>
      </c>
      <c r="D1668" t="str">
        <f>_xlfn.XLOOKUP($B1668,sales_teams!$A$2:$A$36,sales_teams!C$2:C$36)</f>
        <v>Central</v>
      </c>
      <c r="E1668" t="s">
        <v>18</v>
      </c>
      <c r="F1668" t="s">
        <v>76</v>
      </c>
      <c r="G1668" t="s">
        <v>12</v>
      </c>
      <c r="H1668" s="1">
        <v>42813</v>
      </c>
      <c r="I1668" s="1">
        <v>42882</v>
      </c>
      <c r="J1668">
        <v>50</v>
      </c>
    </row>
    <row r="1669" spans="1:10" x14ac:dyDescent="0.3">
      <c r="A1669" t="s">
        <v>1800</v>
      </c>
      <c r="B1669" t="s">
        <v>61</v>
      </c>
      <c r="C1669" t="str">
        <f>_xlfn.XLOOKUP(B1669,
[1]sales_teams!$A$2:$A$100,
[1]sales_teams!$B$2:$B$100)</f>
        <v>Dustin Brinkmann</v>
      </c>
      <c r="D1669" t="str">
        <f>_xlfn.XLOOKUP($B1669,sales_teams!$A$2:$A$36,sales_teams!C$2:C$36)</f>
        <v>Central</v>
      </c>
      <c r="E1669" t="s">
        <v>39</v>
      </c>
      <c r="F1669" t="s">
        <v>135</v>
      </c>
      <c r="G1669" t="s">
        <v>12</v>
      </c>
      <c r="H1669" s="1">
        <v>42813</v>
      </c>
      <c r="I1669" s="1">
        <v>42821</v>
      </c>
      <c r="J1669">
        <v>2871</v>
      </c>
    </row>
    <row r="1670" spans="1:10" x14ac:dyDescent="0.3">
      <c r="A1670" t="s">
        <v>1801</v>
      </c>
      <c r="B1670" t="s">
        <v>73</v>
      </c>
      <c r="C1670" t="str">
        <f>_xlfn.XLOOKUP(B1670,
[1]sales_teams!$A$2:$A$100,
[1]sales_teams!$B$2:$B$100)</f>
        <v>Cara Losch</v>
      </c>
      <c r="D1670" t="str">
        <f>_xlfn.XLOOKUP($B1670,sales_teams!$A$2:$A$36,sales_teams!C$2:C$36)</f>
        <v>East</v>
      </c>
      <c r="E1670" t="s">
        <v>18</v>
      </c>
      <c r="F1670" t="s">
        <v>165</v>
      </c>
      <c r="G1670" t="s">
        <v>12</v>
      </c>
      <c r="H1670" s="1">
        <v>42813</v>
      </c>
      <c r="I1670" s="1">
        <v>42890</v>
      </c>
      <c r="J1670">
        <v>52</v>
      </c>
    </row>
    <row r="1671" spans="1:10" x14ac:dyDescent="0.3">
      <c r="A1671" t="s">
        <v>1802</v>
      </c>
      <c r="B1671" t="s">
        <v>23</v>
      </c>
      <c r="C1671" t="str">
        <f>_xlfn.XLOOKUP(B1671,
[1]sales_teams!$A$2:$A$100,
[1]sales_teams!$B$2:$B$100)</f>
        <v>Summer Sewald</v>
      </c>
      <c r="D1671" t="str">
        <f>_xlfn.XLOOKUP($B1671,sales_teams!$A$2:$A$36,sales_teams!C$2:C$36)</f>
        <v>West</v>
      </c>
      <c r="E1671" t="s">
        <v>15</v>
      </c>
      <c r="G1671" t="s">
        <v>40</v>
      </c>
      <c r="H1671" s="1">
        <v>42813</v>
      </c>
    </row>
    <row r="1672" spans="1:10" x14ac:dyDescent="0.3">
      <c r="A1672" t="s">
        <v>1803</v>
      </c>
      <c r="B1672" t="s">
        <v>26</v>
      </c>
      <c r="C1672" t="str">
        <f>_xlfn.XLOOKUP(B1672,
[1]sales_teams!$A$2:$A$100,
[1]sales_teams!$B$2:$B$100)</f>
        <v>Dustin Brinkmann</v>
      </c>
      <c r="D1672" t="str">
        <f>_xlfn.XLOOKUP($B1672,sales_teams!$A$2:$A$36,sales_teams!C$2:C$36)</f>
        <v>Central</v>
      </c>
      <c r="E1672" t="s">
        <v>18</v>
      </c>
      <c r="F1672" t="s">
        <v>135</v>
      </c>
      <c r="G1672" t="s">
        <v>46</v>
      </c>
      <c r="H1672" s="1">
        <v>42814</v>
      </c>
      <c r="I1672" s="1">
        <v>42874</v>
      </c>
      <c r="J1672">
        <v>0</v>
      </c>
    </row>
    <row r="1673" spans="1:10" x14ac:dyDescent="0.3">
      <c r="A1673" t="s">
        <v>1804</v>
      </c>
      <c r="B1673" t="s">
        <v>139</v>
      </c>
      <c r="C1673" t="str">
        <f>_xlfn.XLOOKUP(B1673,
[1]sales_teams!$A$2:$A$100,
[1]sales_teams!$B$2:$B$100)</f>
        <v>Rocco Neubert</v>
      </c>
      <c r="D1673" t="str">
        <f>_xlfn.XLOOKUP($B1673,sales_teams!$A$2:$A$36,sales_teams!C$2:C$36)</f>
        <v>East</v>
      </c>
      <c r="E1673" t="s">
        <v>20</v>
      </c>
      <c r="F1673" t="s">
        <v>155</v>
      </c>
      <c r="G1673" t="s">
        <v>12</v>
      </c>
      <c r="H1673" s="1">
        <v>42814</v>
      </c>
      <c r="I1673" s="1">
        <v>42898</v>
      </c>
      <c r="J1673">
        <v>564</v>
      </c>
    </row>
    <row r="1674" spans="1:10" x14ac:dyDescent="0.3">
      <c r="A1674" t="s">
        <v>1805</v>
      </c>
      <c r="B1674" t="s">
        <v>118</v>
      </c>
      <c r="C1674" t="str">
        <f>_xlfn.XLOOKUP(B1674,
[1]sales_teams!$A$2:$A$100,
[1]sales_teams!$B$2:$B$100)</f>
        <v>Rocco Neubert</v>
      </c>
      <c r="D1674" t="str">
        <f>_xlfn.XLOOKUP($B1674,sales_teams!$A$2:$A$36,sales_teams!C$2:C$36)</f>
        <v>East</v>
      </c>
      <c r="E1674" t="s">
        <v>48</v>
      </c>
      <c r="F1674" t="s">
        <v>410</v>
      </c>
      <c r="G1674" t="s">
        <v>46</v>
      </c>
      <c r="H1674" s="1">
        <v>42814</v>
      </c>
      <c r="I1674" s="1">
        <v>42878</v>
      </c>
      <c r="J1674">
        <v>0</v>
      </c>
    </row>
    <row r="1675" spans="1:10" x14ac:dyDescent="0.3">
      <c r="A1675" t="s">
        <v>1806</v>
      </c>
      <c r="B1675" t="s">
        <v>164</v>
      </c>
      <c r="C1675" t="str">
        <f>_xlfn.XLOOKUP(B1675,
[1]sales_teams!$A$2:$A$100,
[1]sales_teams!$B$2:$B$100)</f>
        <v>Cara Losch</v>
      </c>
      <c r="D1675" t="str">
        <f>_xlfn.XLOOKUP($B1675,sales_teams!$A$2:$A$36,sales_teams!C$2:C$36)</f>
        <v>East</v>
      </c>
      <c r="E1675" t="s">
        <v>20</v>
      </c>
      <c r="F1675" t="s">
        <v>124</v>
      </c>
      <c r="G1675" t="s">
        <v>40</v>
      </c>
      <c r="H1675" s="1">
        <v>42814</v>
      </c>
    </row>
    <row r="1676" spans="1:10" x14ac:dyDescent="0.3">
      <c r="A1676" t="s">
        <v>1807</v>
      </c>
      <c r="B1676" t="s">
        <v>64</v>
      </c>
      <c r="C1676" t="str">
        <f>_xlfn.XLOOKUP(B1676,
[1]sales_teams!$A$2:$A$100,
[1]sales_teams!$B$2:$B$100)</f>
        <v>Rocco Neubert</v>
      </c>
      <c r="D1676" t="str">
        <f>_xlfn.XLOOKUP($B1676,sales_teams!$A$2:$A$36,sales_teams!C$2:C$36)</f>
        <v>East</v>
      </c>
      <c r="E1676" t="s">
        <v>39</v>
      </c>
      <c r="F1676" t="s">
        <v>81</v>
      </c>
      <c r="G1676" t="s">
        <v>12</v>
      </c>
      <c r="H1676" s="1">
        <v>42814</v>
      </c>
      <c r="I1676" s="1">
        <v>42888</v>
      </c>
      <c r="J1676">
        <v>3780</v>
      </c>
    </row>
    <row r="1677" spans="1:10" x14ac:dyDescent="0.3">
      <c r="A1677" t="s">
        <v>1808</v>
      </c>
      <c r="B1677" t="s">
        <v>14</v>
      </c>
      <c r="C1677" t="str">
        <f>_xlfn.XLOOKUP(B1677,
[1]sales_teams!$A$2:$A$100,
[1]sales_teams!$B$2:$B$100)</f>
        <v>Melvin Marxen</v>
      </c>
      <c r="D1677" t="str">
        <f>_xlfn.XLOOKUP($B1677,sales_teams!$A$2:$A$36,sales_teams!C$2:C$36)</f>
        <v>Central</v>
      </c>
      <c r="E1677" t="s">
        <v>20</v>
      </c>
      <c r="F1677" t="s">
        <v>91</v>
      </c>
      <c r="G1677" t="s">
        <v>12</v>
      </c>
      <c r="H1677" s="1">
        <v>42814</v>
      </c>
      <c r="I1677" s="1">
        <v>42910</v>
      </c>
      <c r="J1677">
        <v>491</v>
      </c>
    </row>
    <row r="1678" spans="1:10" x14ac:dyDescent="0.3">
      <c r="A1678" t="s">
        <v>1809</v>
      </c>
      <c r="B1678" t="s">
        <v>14</v>
      </c>
      <c r="C1678" t="str">
        <f>_xlfn.XLOOKUP(B1678,
[1]sales_teams!$A$2:$A$100,
[1]sales_teams!$B$2:$B$100)</f>
        <v>Melvin Marxen</v>
      </c>
      <c r="D1678" t="str">
        <f>_xlfn.XLOOKUP($B1678,sales_teams!$A$2:$A$36,sales_teams!C$2:C$36)</f>
        <v>Central</v>
      </c>
      <c r="E1678" t="s">
        <v>20</v>
      </c>
      <c r="F1678" t="s">
        <v>197</v>
      </c>
      <c r="G1678" t="s">
        <v>12</v>
      </c>
      <c r="H1678" s="1">
        <v>42814</v>
      </c>
      <c r="I1678" s="1">
        <v>42824</v>
      </c>
      <c r="J1678">
        <v>604</v>
      </c>
    </row>
    <row r="1679" spans="1:10" x14ac:dyDescent="0.3">
      <c r="A1679" t="s">
        <v>1810</v>
      </c>
      <c r="B1679" t="s">
        <v>67</v>
      </c>
      <c r="C1679" t="str">
        <f>_xlfn.XLOOKUP(B1679,
[1]sales_teams!$A$2:$A$100,
[1]sales_teams!$B$2:$B$100)</f>
        <v>Celia Rouche</v>
      </c>
      <c r="D1679" t="str">
        <f>_xlfn.XLOOKUP($B1679,sales_teams!$A$2:$A$36,sales_teams!C$2:C$36)</f>
        <v>West</v>
      </c>
      <c r="E1679" t="s">
        <v>145</v>
      </c>
      <c r="F1679" t="s">
        <v>273</v>
      </c>
      <c r="G1679" t="s">
        <v>46</v>
      </c>
      <c r="H1679" s="1">
        <v>42814</v>
      </c>
      <c r="I1679" s="1">
        <v>42882</v>
      </c>
      <c r="J1679">
        <v>0</v>
      </c>
    </row>
    <row r="1680" spans="1:10" x14ac:dyDescent="0.3">
      <c r="A1680" t="s">
        <v>1811</v>
      </c>
      <c r="B1680" t="s">
        <v>78</v>
      </c>
      <c r="C1680" t="str">
        <f>_xlfn.XLOOKUP(B1680,
[1]sales_teams!$A$2:$A$100,
[1]sales_teams!$B$2:$B$100)</f>
        <v>Summer Sewald</v>
      </c>
      <c r="D1680" t="str">
        <f>_xlfn.XLOOKUP($B1680,sales_teams!$A$2:$A$36,sales_teams!C$2:C$36)</f>
        <v>West</v>
      </c>
      <c r="E1680" t="s">
        <v>20</v>
      </c>
      <c r="F1680" t="s">
        <v>52</v>
      </c>
      <c r="G1680" t="s">
        <v>46</v>
      </c>
      <c r="H1680" s="1">
        <v>42814</v>
      </c>
      <c r="I1680" s="1">
        <v>42817</v>
      </c>
      <c r="J1680">
        <v>0</v>
      </c>
    </row>
    <row r="1681" spans="1:10" x14ac:dyDescent="0.3">
      <c r="A1681" t="s">
        <v>1812</v>
      </c>
      <c r="B1681" t="s">
        <v>78</v>
      </c>
      <c r="C1681" t="str">
        <f>_xlfn.XLOOKUP(B1681,
[1]sales_teams!$A$2:$A$100,
[1]sales_teams!$B$2:$B$100)</f>
        <v>Summer Sewald</v>
      </c>
      <c r="D1681" t="str">
        <f>_xlfn.XLOOKUP($B1681,sales_teams!$A$2:$A$36,sales_teams!C$2:C$36)</f>
        <v>West</v>
      </c>
      <c r="E1681" t="s">
        <v>20</v>
      </c>
      <c r="F1681" t="s">
        <v>33</v>
      </c>
      <c r="G1681" t="s">
        <v>12</v>
      </c>
      <c r="H1681" s="1">
        <v>42814</v>
      </c>
      <c r="I1681" s="1">
        <v>42909</v>
      </c>
      <c r="J1681">
        <v>568</v>
      </c>
    </row>
    <row r="1682" spans="1:10" x14ac:dyDescent="0.3">
      <c r="A1682" t="s">
        <v>1813</v>
      </c>
      <c r="B1682" t="s">
        <v>95</v>
      </c>
      <c r="C1682" t="str">
        <f>_xlfn.XLOOKUP(B1682,
[1]sales_teams!$A$2:$A$100,
[1]sales_teams!$B$2:$B$100)</f>
        <v>Summer Sewald</v>
      </c>
      <c r="D1682" t="str">
        <f>_xlfn.XLOOKUP($B1682,sales_teams!$A$2:$A$36,sales_teams!C$2:C$36)</f>
        <v>West</v>
      </c>
      <c r="E1682" t="s">
        <v>20</v>
      </c>
      <c r="F1682" t="s">
        <v>273</v>
      </c>
      <c r="G1682" t="s">
        <v>12</v>
      </c>
      <c r="H1682" s="1">
        <v>42814</v>
      </c>
      <c r="I1682" s="1">
        <v>42910</v>
      </c>
      <c r="J1682">
        <v>601</v>
      </c>
    </row>
    <row r="1683" spans="1:10" x14ac:dyDescent="0.3">
      <c r="A1683" t="s">
        <v>1814</v>
      </c>
      <c r="B1683" t="s">
        <v>51</v>
      </c>
      <c r="C1683" t="str">
        <f>_xlfn.XLOOKUP(B1683,
[1]sales_teams!$A$2:$A$100,
[1]sales_teams!$B$2:$B$100)</f>
        <v>Summer Sewald</v>
      </c>
      <c r="D1683" t="str">
        <f>_xlfn.XLOOKUP($B1683,sales_teams!$A$2:$A$36,sales_teams!C$2:C$36)</f>
        <v>West</v>
      </c>
      <c r="E1683" t="s">
        <v>10</v>
      </c>
      <c r="G1683" t="s">
        <v>40</v>
      </c>
      <c r="H1683" s="1">
        <v>42814</v>
      </c>
    </row>
    <row r="1684" spans="1:10" x14ac:dyDescent="0.3">
      <c r="A1684" t="s">
        <v>1815</v>
      </c>
      <c r="B1684" t="s">
        <v>51</v>
      </c>
      <c r="C1684" t="str">
        <f>_xlfn.XLOOKUP(B1684,
[1]sales_teams!$A$2:$A$100,
[1]sales_teams!$B$2:$B$100)</f>
        <v>Summer Sewald</v>
      </c>
      <c r="D1684" t="str">
        <f>_xlfn.XLOOKUP($B1684,sales_teams!$A$2:$A$36,sales_teams!C$2:C$36)</f>
        <v>West</v>
      </c>
      <c r="E1684" t="s">
        <v>39</v>
      </c>
      <c r="F1684" t="s">
        <v>313</v>
      </c>
      <c r="G1684" t="s">
        <v>46</v>
      </c>
      <c r="H1684" s="1">
        <v>42814</v>
      </c>
      <c r="I1684" s="1">
        <v>42888</v>
      </c>
      <c r="J1684">
        <v>0</v>
      </c>
    </row>
    <row r="1685" spans="1:10" x14ac:dyDescent="0.3">
      <c r="A1685" t="s">
        <v>1816</v>
      </c>
      <c r="B1685" t="s">
        <v>35</v>
      </c>
      <c r="C1685" t="str">
        <f>_xlfn.XLOOKUP(B1685,
[1]sales_teams!$A$2:$A$100,
[1]sales_teams!$B$2:$B$100)</f>
        <v>Melvin Marxen</v>
      </c>
      <c r="D1685" t="str">
        <f>_xlfn.XLOOKUP($B1685,sales_teams!$A$2:$A$36,sales_teams!C$2:C$36)</f>
        <v>Central</v>
      </c>
      <c r="E1685" t="s">
        <v>48</v>
      </c>
      <c r="F1685" t="s">
        <v>45</v>
      </c>
      <c r="G1685" t="s">
        <v>12</v>
      </c>
      <c r="H1685" s="1">
        <v>42814</v>
      </c>
      <c r="I1685" s="1">
        <v>42861</v>
      </c>
      <c r="J1685">
        <v>5616</v>
      </c>
    </row>
    <row r="1686" spans="1:10" x14ac:dyDescent="0.3">
      <c r="A1686" t="s">
        <v>1817</v>
      </c>
      <c r="B1686" t="s">
        <v>97</v>
      </c>
      <c r="C1686" t="str">
        <f>_xlfn.XLOOKUP(B1686,
[1]sales_teams!$A$2:$A$100,
[1]sales_teams!$B$2:$B$100)</f>
        <v>Rocco Neubert</v>
      </c>
      <c r="D1686" t="str">
        <f>_xlfn.XLOOKUP($B1686,sales_teams!$A$2:$A$36,sales_teams!C$2:C$36)</f>
        <v>East</v>
      </c>
      <c r="E1686" t="s">
        <v>15</v>
      </c>
      <c r="F1686" t="s">
        <v>89</v>
      </c>
      <c r="G1686" t="s">
        <v>46</v>
      </c>
      <c r="H1686" s="1">
        <v>42814</v>
      </c>
      <c r="I1686" s="1">
        <v>42914</v>
      </c>
      <c r="J1686">
        <v>0</v>
      </c>
    </row>
    <row r="1687" spans="1:10" x14ac:dyDescent="0.3">
      <c r="A1687" t="s">
        <v>1818</v>
      </c>
      <c r="B1687" t="s">
        <v>57</v>
      </c>
      <c r="C1687" t="str">
        <f>_xlfn.XLOOKUP(B1687,
[1]sales_teams!$A$2:$A$100,
[1]sales_teams!$B$2:$B$100)</f>
        <v>Celia Rouche</v>
      </c>
      <c r="D1687" t="str">
        <f>_xlfn.XLOOKUP($B1687,sales_teams!$A$2:$A$36,sales_teams!C$2:C$36)</f>
        <v>West</v>
      </c>
      <c r="E1687" t="s">
        <v>15</v>
      </c>
      <c r="F1687" t="s">
        <v>194</v>
      </c>
      <c r="G1687" t="s">
        <v>46</v>
      </c>
      <c r="H1687" s="1">
        <v>42814</v>
      </c>
      <c r="I1687" s="1">
        <v>42873</v>
      </c>
      <c r="J1687">
        <v>0</v>
      </c>
    </row>
    <row r="1688" spans="1:10" x14ac:dyDescent="0.3">
      <c r="A1688" t="s">
        <v>1819</v>
      </c>
      <c r="B1688" t="s">
        <v>61</v>
      </c>
      <c r="C1688" t="str">
        <f>_xlfn.XLOOKUP(B1688,
[1]sales_teams!$A$2:$A$100,
[1]sales_teams!$B$2:$B$100)</f>
        <v>Dustin Brinkmann</v>
      </c>
      <c r="D1688" t="str">
        <f>_xlfn.XLOOKUP($B1688,sales_teams!$A$2:$A$36,sales_teams!C$2:C$36)</f>
        <v>Central</v>
      </c>
      <c r="E1688" t="s">
        <v>18</v>
      </c>
      <c r="F1688" t="s">
        <v>91</v>
      </c>
      <c r="G1688" t="s">
        <v>46</v>
      </c>
      <c r="H1688" s="1">
        <v>42814</v>
      </c>
      <c r="I1688" s="1">
        <v>42907</v>
      </c>
      <c r="J1688">
        <v>0</v>
      </c>
    </row>
    <row r="1689" spans="1:10" x14ac:dyDescent="0.3">
      <c r="A1689" t="s">
        <v>1820</v>
      </c>
      <c r="B1689" t="s">
        <v>29</v>
      </c>
      <c r="C1689" t="str">
        <f>_xlfn.XLOOKUP(B1689,
[1]sales_teams!$A$2:$A$100,
[1]sales_teams!$B$2:$B$100)</f>
        <v>Celia Rouche</v>
      </c>
      <c r="D1689" t="str">
        <f>_xlfn.XLOOKUP($B1689,sales_teams!$A$2:$A$36,sales_teams!C$2:C$36)</f>
        <v>West</v>
      </c>
      <c r="E1689" t="s">
        <v>39</v>
      </c>
      <c r="F1689" t="s">
        <v>59</v>
      </c>
      <c r="G1689" t="s">
        <v>46</v>
      </c>
      <c r="H1689" s="1">
        <v>42814</v>
      </c>
      <c r="I1689" s="1">
        <v>42898</v>
      </c>
      <c r="J1689">
        <v>0</v>
      </c>
    </row>
    <row r="1690" spans="1:10" x14ac:dyDescent="0.3">
      <c r="A1690" t="s">
        <v>1821</v>
      </c>
      <c r="B1690" t="s">
        <v>73</v>
      </c>
      <c r="C1690" t="str">
        <f>_xlfn.XLOOKUP(B1690,
[1]sales_teams!$A$2:$A$100,
[1]sales_teams!$B$2:$B$100)</f>
        <v>Cara Losch</v>
      </c>
      <c r="D1690" t="str">
        <f>_xlfn.XLOOKUP($B1690,sales_teams!$A$2:$A$36,sales_teams!C$2:C$36)</f>
        <v>East</v>
      </c>
      <c r="E1690" t="s">
        <v>20</v>
      </c>
      <c r="F1690" t="s">
        <v>140</v>
      </c>
      <c r="G1690" t="s">
        <v>12</v>
      </c>
      <c r="H1690" s="1">
        <v>42814</v>
      </c>
      <c r="I1690" s="1">
        <v>42915</v>
      </c>
      <c r="J1690">
        <v>542</v>
      </c>
    </row>
    <row r="1691" spans="1:10" x14ac:dyDescent="0.3">
      <c r="A1691" t="s">
        <v>1822</v>
      </c>
      <c r="B1691" t="s">
        <v>102</v>
      </c>
      <c r="C1691" t="str">
        <f>_xlfn.XLOOKUP(B1691,
[1]sales_teams!$A$2:$A$100,
[1]sales_teams!$B$2:$B$100)</f>
        <v>Cara Losch</v>
      </c>
      <c r="D1691" t="str">
        <f>_xlfn.XLOOKUP($B1691,sales_teams!$A$2:$A$36,sales_teams!C$2:C$36)</f>
        <v>East</v>
      </c>
      <c r="E1691" t="s">
        <v>20</v>
      </c>
      <c r="F1691" t="s">
        <v>237</v>
      </c>
      <c r="G1691" t="s">
        <v>12</v>
      </c>
      <c r="H1691" s="1">
        <v>42814</v>
      </c>
      <c r="I1691" s="1">
        <v>42900</v>
      </c>
      <c r="J1691">
        <v>497</v>
      </c>
    </row>
    <row r="1692" spans="1:10" x14ac:dyDescent="0.3">
      <c r="A1692" t="s">
        <v>1823</v>
      </c>
      <c r="B1692" t="s">
        <v>23</v>
      </c>
      <c r="C1692" t="str">
        <f>_xlfn.XLOOKUP(B1692,
[1]sales_teams!$A$2:$A$100,
[1]sales_teams!$B$2:$B$100)</f>
        <v>Summer Sewald</v>
      </c>
      <c r="D1692" t="str">
        <f>_xlfn.XLOOKUP($B1692,sales_teams!$A$2:$A$36,sales_teams!C$2:C$36)</f>
        <v>West</v>
      </c>
      <c r="E1692" t="s">
        <v>15</v>
      </c>
      <c r="F1692" t="s">
        <v>30</v>
      </c>
      <c r="G1692" t="s">
        <v>12</v>
      </c>
      <c r="H1692" s="1">
        <v>42814</v>
      </c>
      <c r="I1692" s="1">
        <v>42877</v>
      </c>
      <c r="J1692">
        <v>5443</v>
      </c>
    </row>
    <row r="1693" spans="1:10" x14ac:dyDescent="0.3">
      <c r="A1693" t="s">
        <v>1824</v>
      </c>
      <c r="B1693" t="s">
        <v>26</v>
      </c>
      <c r="C1693" t="str">
        <f>_xlfn.XLOOKUP(B1693,
[1]sales_teams!$A$2:$A$100,
[1]sales_teams!$B$2:$B$100)</f>
        <v>Dustin Brinkmann</v>
      </c>
      <c r="D1693" t="str">
        <f>_xlfn.XLOOKUP($B1693,sales_teams!$A$2:$A$36,sales_teams!C$2:C$36)</f>
        <v>Central</v>
      </c>
      <c r="E1693" t="s">
        <v>10</v>
      </c>
      <c r="F1693" t="s">
        <v>151</v>
      </c>
      <c r="G1693" t="s">
        <v>12</v>
      </c>
      <c r="H1693" s="1">
        <v>42815</v>
      </c>
      <c r="I1693" s="1">
        <v>42902</v>
      </c>
      <c r="J1693">
        <v>1037</v>
      </c>
    </row>
    <row r="1694" spans="1:10" x14ac:dyDescent="0.3">
      <c r="A1694" t="s">
        <v>1825</v>
      </c>
      <c r="B1694" t="s">
        <v>139</v>
      </c>
      <c r="C1694" t="str">
        <f>_xlfn.XLOOKUP(B1694,
[1]sales_teams!$A$2:$A$100,
[1]sales_teams!$B$2:$B$100)</f>
        <v>Rocco Neubert</v>
      </c>
      <c r="D1694" t="str">
        <f>_xlfn.XLOOKUP($B1694,sales_teams!$A$2:$A$36,sales_teams!C$2:C$36)</f>
        <v>East</v>
      </c>
      <c r="E1694" t="s">
        <v>10</v>
      </c>
      <c r="F1694" t="s">
        <v>151</v>
      </c>
      <c r="G1694" t="s">
        <v>40</v>
      </c>
      <c r="H1694" s="1">
        <v>42815</v>
      </c>
    </row>
    <row r="1695" spans="1:10" x14ac:dyDescent="0.3">
      <c r="A1695" t="s">
        <v>1826</v>
      </c>
      <c r="B1695" t="s">
        <v>139</v>
      </c>
      <c r="C1695" t="str">
        <f>_xlfn.XLOOKUP(B1695,
[1]sales_teams!$A$2:$A$100,
[1]sales_teams!$B$2:$B$100)</f>
        <v>Rocco Neubert</v>
      </c>
      <c r="D1695" t="str">
        <f>_xlfn.XLOOKUP($B1695,sales_teams!$A$2:$A$36,sales_teams!C$2:C$36)</f>
        <v>East</v>
      </c>
      <c r="E1695" t="s">
        <v>10</v>
      </c>
      <c r="F1695" t="s">
        <v>204</v>
      </c>
      <c r="G1695" t="s">
        <v>12</v>
      </c>
      <c r="H1695" s="1">
        <v>42815</v>
      </c>
      <c r="I1695" s="1">
        <v>42828</v>
      </c>
      <c r="J1695">
        <v>992</v>
      </c>
    </row>
    <row r="1696" spans="1:10" x14ac:dyDescent="0.3">
      <c r="A1696" t="s">
        <v>1827</v>
      </c>
      <c r="B1696" t="s">
        <v>202</v>
      </c>
      <c r="C1696" t="str">
        <f>_xlfn.XLOOKUP(B1696,
[1]sales_teams!$A$2:$A$100,
[1]sales_teams!$B$2:$B$100)</f>
        <v>Dustin Brinkmann</v>
      </c>
      <c r="D1696" t="str">
        <f>_xlfn.XLOOKUP($B1696,sales_teams!$A$2:$A$36,sales_teams!C$2:C$36)</f>
        <v>Central</v>
      </c>
      <c r="E1696" t="s">
        <v>10</v>
      </c>
      <c r="F1696" t="s">
        <v>111</v>
      </c>
      <c r="G1696" t="s">
        <v>12</v>
      </c>
      <c r="H1696" s="1">
        <v>42815</v>
      </c>
      <c r="I1696" s="1">
        <v>42824</v>
      </c>
      <c r="J1696">
        <v>966</v>
      </c>
    </row>
    <row r="1697" spans="1:10" x14ac:dyDescent="0.3">
      <c r="A1697" t="s">
        <v>1828</v>
      </c>
      <c r="B1697" t="s">
        <v>64</v>
      </c>
      <c r="C1697" t="str">
        <f>_xlfn.XLOOKUP(B1697,
[1]sales_teams!$A$2:$A$100,
[1]sales_teams!$B$2:$B$100)</f>
        <v>Rocco Neubert</v>
      </c>
      <c r="D1697" t="str">
        <f>_xlfn.XLOOKUP($B1697,sales_teams!$A$2:$A$36,sales_teams!C$2:C$36)</f>
        <v>East</v>
      </c>
      <c r="E1697" t="s">
        <v>39</v>
      </c>
      <c r="F1697" t="s">
        <v>89</v>
      </c>
      <c r="G1697" t="s">
        <v>46</v>
      </c>
      <c r="H1697" s="1">
        <v>42815</v>
      </c>
      <c r="I1697" s="1">
        <v>42912</v>
      </c>
      <c r="J1697">
        <v>0</v>
      </c>
    </row>
    <row r="1698" spans="1:10" x14ac:dyDescent="0.3">
      <c r="A1698" t="s">
        <v>1829</v>
      </c>
      <c r="B1698" t="s">
        <v>105</v>
      </c>
      <c r="C1698" t="str">
        <f>_xlfn.XLOOKUP(B1698,
[1]sales_teams!$A$2:$A$100,
[1]sales_teams!$B$2:$B$100)</f>
        <v>Cara Losch</v>
      </c>
      <c r="D1698" t="str">
        <f>_xlfn.XLOOKUP($B1698,sales_teams!$A$2:$A$36,sales_teams!C$2:C$36)</f>
        <v>East</v>
      </c>
      <c r="E1698" t="s">
        <v>48</v>
      </c>
      <c r="F1698" t="s">
        <v>74</v>
      </c>
      <c r="G1698" t="s">
        <v>46</v>
      </c>
      <c r="H1698" s="1">
        <v>42815</v>
      </c>
      <c r="I1698" s="1">
        <v>42826</v>
      </c>
      <c r="J1698">
        <v>0</v>
      </c>
    </row>
    <row r="1699" spans="1:10" x14ac:dyDescent="0.3">
      <c r="A1699" t="s">
        <v>1830</v>
      </c>
      <c r="B1699" t="s">
        <v>252</v>
      </c>
      <c r="C1699" t="str">
        <f>_xlfn.XLOOKUP(B1699,
[1]sales_teams!$A$2:$A$100,
[1]sales_teams!$B$2:$B$100)</f>
        <v>Melvin Marxen</v>
      </c>
      <c r="D1699" t="str">
        <f>_xlfn.XLOOKUP($B1699,sales_teams!$A$2:$A$36,sales_teams!C$2:C$36)</f>
        <v>Central</v>
      </c>
      <c r="E1699" t="s">
        <v>20</v>
      </c>
      <c r="F1699" t="s">
        <v>76</v>
      </c>
      <c r="G1699" t="s">
        <v>46</v>
      </c>
      <c r="H1699" s="1">
        <v>42815</v>
      </c>
      <c r="I1699" s="1">
        <v>42826</v>
      </c>
      <c r="J1699">
        <v>0</v>
      </c>
    </row>
    <row r="1700" spans="1:10" x14ac:dyDescent="0.3">
      <c r="A1700" t="s">
        <v>1831</v>
      </c>
      <c r="B1700" t="s">
        <v>252</v>
      </c>
      <c r="C1700" t="str">
        <f>_xlfn.XLOOKUP(B1700,
[1]sales_teams!$A$2:$A$100,
[1]sales_teams!$B$2:$B$100)</f>
        <v>Melvin Marxen</v>
      </c>
      <c r="D1700" t="str">
        <f>_xlfn.XLOOKUP($B1700,sales_teams!$A$2:$A$36,sales_teams!C$2:C$36)</f>
        <v>Central</v>
      </c>
      <c r="E1700" t="s">
        <v>39</v>
      </c>
      <c r="F1700" t="s">
        <v>27</v>
      </c>
      <c r="G1700" t="s">
        <v>12</v>
      </c>
      <c r="H1700" s="1">
        <v>42815</v>
      </c>
      <c r="I1700" s="1">
        <v>42866</v>
      </c>
      <c r="J1700">
        <v>3232</v>
      </c>
    </row>
    <row r="1701" spans="1:10" x14ac:dyDescent="0.3">
      <c r="A1701" t="s">
        <v>1832</v>
      </c>
      <c r="B1701" t="s">
        <v>97</v>
      </c>
      <c r="C1701" t="str">
        <f>_xlfn.XLOOKUP(B1701,
[1]sales_teams!$A$2:$A$100,
[1]sales_teams!$B$2:$B$100)</f>
        <v>Rocco Neubert</v>
      </c>
      <c r="D1701" t="str">
        <f>_xlfn.XLOOKUP($B1701,sales_teams!$A$2:$A$36,sales_teams!C$2:C$36)</f>
        <v>East</v>
      </c>
      <c r="E1701" t="s">
        <v>20</v>
      </c>
      <c r="F1701" t="s">
        <v>81</v>
      </c>
      <c r="G1701" t="s">
        <v>12</v>
      </c>
      <c r="H1701" s="1">
        <v>42815</v>
      </c>
      <c r="I1701" s="1">
        <v>42884</v>
      </c>
      <c r="J1701">
        <v>548</v>
      </c>
    </row>
    <row r="1702" spans="1:10" x14ac:dyDescent="0.3">
      <c r="A1702" t="s">
        <v>1833</v>
      </c>
      <c r="B1702" t="s">
        <v>102</v>
      </c>
      <c r="C1702" t="str">
        <f>_xlfn.XLOOKUP(B1702,
[1]sales_teams!$A$2:$A$100,
[1]sales_teams!$B$2:$B$100)</f>
        <v>Cara Losch</v>
      </c>
      <c r="D1702" t="str">
        <f>_xlfn.XLOOKUP($B1702,sales_teams!$A$2:$A$36,sales_teams!C$2:C$36)</f>
        <v>East</v>
      </c>
      <c r="E1702" t="s">
        <v>39</v>
      </c>
      <c r="G1702" t="s">
        <v>40</v>
      </c>
      <c r="H1702" s="1">
        <v>42815</v>
      </c>
    </row>
    <row r="1703" spans="1:10" x14ac:dyDescent="0.3">
      <c r="A1703" t="s">
        <v>1834</v>
      </c>
      <c r="B1703" t="s">
        <v>102</v>
      </c>
      <c r="C1703" t="str">
        <f>_xlfn.XLOOKUP(B1703,
[1]sales_teams!$A$2:$A$100,
[1]sales_teams!$B$2:$B$100)</f>
        <v>Cara Losch</v>
      </c>
      <c r="D1703" t="str">
        <f>_xlfn.XLOOKUP($B1703,sales_teams!$A$2:$A$36,sales_teams!C$2:C$36)</f>
        <v>East</v>
      </c>
      <c r="E1703" t="s">
        <v>39</v>
      </c>
      <c r="F1703" t="s">
        <v>215</v>
      </c>
      <c r="G1703" t="s">
        <v>46</v>
      </c>
      <c r="H1703" s="1">
        <v>42815</v>
      </c>
      <c r="I1703" s="1">
        <v>42820</v>
      </c>
      <c r="J1703">
        <v>0</v>
      </c>
    </row>
    <row r="1704" spans="1:10" x14ac:dyDescent="0.3">
      <c r="A1704" t="s">
        <v>1835</v>
      </c>
      <c r="B1704" t="s">
        <v>26</v>
      </c>
      <c r="C1704" t="str">
        <f>_xlfn.XLOOKUP(B1704,
[1]sales_teams!$A$2:$A$100,
[1]sales_teams!$B$2:$B$100)</f>
        <v>Dustin Brinkmann</v>
      </c>
      <c r="D1704" t="str">
        <f>_xlfn.XLOOKUP($B1704,sales_teams!$A$2:$A$36,sales_teams!C$2:C$36)</f>
        <v>Central</v>
      </c>
      <c r="E1704" t="s">
        <v>18</v>
      </c>
      <c r="F1704" t="s">
        <v>27</v>
      </c>
      <c r="G1704" t="s">
        <v>12</v>
      </c>
      <c r="H1704" s="1">
        <v>42816</v>
      </c>
      <c r="I1704" s="1">
        <v>42885</v>
      </c>
      <c r="J1704">
        <v>52</v>
      </c>
    </row>
    <row r="1705" spans="1:10" x14ac:dyDescent="0.3">
      <c r="A1705" t="s">
        <v>1836</v>
      </c>
      <c r="B1705" t="s">
        <v>118</v>
      </c>
      <c r="C1705" t="str">
        <f>_xlfn.XLOOKUP(B1705,
[1]sales_teams!$A$2:$A$100,
[1]sales_teams!$B$2:$B$100)</f>
        <v>Rocco Neubert</v>
      </c>
      <c r="D1705" t="str">
        <f>_xlfn.XLOOKUP($B1705,sales_teams!$A$2:$A$36,sales_teams!C$2:C$36)</f>
        <v>East</v>
      </c>
      <c r="E1705" t="s">
        <v>15</v>
      </c>
      <c r="G1705" t="s">
        <v>40</v>
      </c>
      <c r="H1705" s="1">
        <v>42816</v>
      </c>
    </row>
    <row r="1706" spans="1:10" x14ac:dyDescent="0.3">
      <c r="A1706" t="s">
        <v>1837</v>
      </c>
      <c r="B1706" t="s">
        <v>64</v>
      </c>
      <c r="C1706" t="str">
        <f>_xlfn.XLOOKUP(B1706,
[1]sales_teams!$A$2:$A$100,
[1]sales_teams!$B$2:$B$100)</f>
        <v>Rocco Neubert</v>
      </c>
      <c r="D1706" t="str">
        <f>_xlfn.XLOOKUP($B1706,sales_teams!$A$2:$A$36,sales_teams!C$2:C$36)</f>
        <v>East</v>
      </c>
      <c r="E1706" t="s">
        <v>18</v>
      </c>
      <c r="G1706" t="s">
        <v>40</v>
      </c>
      <c r="H1706" s="1">
        <v>42816</v>
      </c>
    </row>
    <row r="1707" spans="1:10" x14ac:dyDescent="0.3">
      <c r="A1707" t="s">
        <v>1838</v>
      </c>
      <c r="B1707" t="s">
        <v>14</v>
      </c>
      <c r="C1707" t="str">
        <f>_xlfn.XLOOKUP(B1707,
[1]sales_teams!$A$2:$A$100,
[1]sales_teams!$B$2:$B$100)</f>
        <v>Melvin Marxen</v>
      </c>
      <c r="D1707" t="str">
        <f>_xlfn.XLOOKUP($B1707,sales_teams!$A$2:$A$36,sales_teams!C$2:C$36)</f>
        <v>Central</v>
      </c>
      <c r="E1707" t="s">
        <v>15</v>
      </c>
      <c r="F1707" t="s">
        <v>45</v>
      </c>
      <c r="G1707" t="s">
        <v>46</v>
      </c>
      <c r="H1707" s="1">
        <v>42816</v>
      </c>
      <c r="I1707" s="1">
        <v>42883</v>
      </c>
      <c r="J1707">
        <v>0</v>
      </c>
    </row>
    <row r="1708" spans="1:10" x14ac:dyDescent="0.3">
      <c r="A1708" t="s">
        <v>1839</v>
      </c>
      <c r="B1708" t="s">
        <v>14</v>
      </c>
      <c r="C1708" t="str">
        <f>_xlfn.XLOOKUP(B1708,
[1]sales_teams!$A$2:$A$100,
[1]sales_teams!$B$2:$B$100)</f>
        <v>Melvin Marxen</v>
      </c>
      <c r="D1708" t="str">
        <f>_xlfn.XLOOKUP($B1708,sales_teams!$A$2:$A$36,sales_teams!C$2:C$36)</f>
        <v>Central</v>
      </c>
      <c r="E1708" t="s">
        <v>15</v>
      </c>
      <c r="F1708" t="s">
        <v>213</v>
      </c>
      <c r="G1708" t="s">
        <v>46</v>
      </c>
      <c r="H1708" s="1">
        <v>42816</v>
      </c>
      <c r="I1708" s="1">
        <v>42878</v>
      </c>
      <c r="J1708">
        <v>0</v>
      </c>
    </row>
    <row r="1709" spans="1:10" x14ac:dyDescent="0.3">
      <c r="A1709" t="s">
        <v>1840</v>
      </c>
      <c r="B1709" t="s">
        <v>14</v>
      </c>
      <c r="C1709" t="str">
        <f>_xlfn.XLOOKUP(B1709,
[1]sales_teams!$A$2:$A$100,
[1]sales_teams!$B$2:$B$100)</f>
        <v>Melvin Marxen</v>
      </c>
      <c r="D1709" t="str">
        <f>_xlfn.XLOOKUP($B1709,sales_teams!$A$2:$A$36,sales_teams!C$2:C$36)</f>
        <v>Central</v>
      </c>
      <c r="E1709" t="s">
        <v>15</v>
      </c>
      <c r="F1709" t="s">
        <v>16</v>
      </c>
      <c r="G1709" t="s">
        <v>12</v>
      </c>
      <c r="H1709" s="1">
        <v>42816</v>
      </c>
      <c r="I1709" s="1">
        <v>42824</v>
      </c>
      <c r="J1709">
        <v>5109</v>
      </c>
    </row>
    <row r="1710" spans="1:10" x14ac:dyDescent="0.3">
      <c r="A1710" t="s">
        <v>1841</v>
      </c>
      <c r="B1710" t="s">
        <v>67</v>
      </c>
      <c r="C1710" t="str">
        <f>_xlfn.XLOOKUP(B1710,
[1]sales_teams!$A$2:$A$100,
[1]sales_teams!$B$2:$B$100)</f>
        <v>Celia Rouche</v>
      </c>
      <c r="D1710" t="str">
        <f>_xlfn.XLOOKUP($B1710,sales_teams!$A$2:$A$36,sales_teams!C$2:C$36)</f>
        <v>West</v>
      </c>
      <c r="E1710" t="s">
        <v>18</v>
      </c>
      <c r="F1710" t="s">
        <v>187</v>
      </c>
      <c r="G1710" t="s">
        <v>40</v>
      </c>
      <c r="H1710" s="1">
        <v>42816</v>
      </c>
    </row>
    <row r="1711" spans="1:10" x14ac:dyDescent="0.3">
      <c r="A1711" t="s">
        <v>1842</v>
      </c>
      <c r="B1711" t="s">
        <v>44</v>
      </c>
      <c r="C1711" t="str">
        <f>_xlfn.XLOOKUP(B1711,
[1]sales_teams!$A$2:$A$100,
[1]sales_teams!$B$2:$B$100)</f>
        <v>Melvin Marxen</v>
      </c>
      <c r="D1711" t="str">
        <f>_xlfn.XLOOKUP($B1711,sales_teams!$A$2:$A$36,sales_teams!C$2:C$36)</f>
        <v>Central</v>
      </c>
      <c r="E1711" t="s">
        <v>18</v>
      </c>
      <c r="F1711" t="s">
        <v>21</v>
      </c>
      <c r="G1711" t="s">
        <v>12</v>
      </c>
      <c r="H1711" s="1">
        <v>42816</v>
      </c>
      <c r="I1711" s="1">
        <v>42907</v>
      </c>
      <c r="J1711">
        <v>49</v>
      </c>
    </row>
    <row r="1712" spans="1:10" x14ac:dyDescent="0.3">
      <c r="A1712" t="s">
        <v>1843</v>
      </c>
      <c r="B1712" t="s">
        <v>252</v>
      </c>
      <c r="C1712" t="str">
        <f>_xlfn.XLOOKUP(B1712,
[1]sales_teams!$A$2:$A$100,
[1]sales_teams!$B$2:$B$100)</f>
        <v>Melvin Marxen</v>
      </c>
      <c r="D1712" t="str">
        <f>_xlfn.XLOOKUP($B1712,sales_teams!$A$2:$A$36,sales_teams!C$2:C$36)</f>
        <v>Central</v>
      </c>
      <c r="E1712" t="s">
        <v>10</v>
      </c>
      <c r="F1712" t="s">
        <v>113</v>
      </c>
      <c r="G1712" t="s">
        <v>46</v>
      </c>
      <c r="H1712" s="1">
        <v>42816</v>
      </c>
      <c r="I1712" s="1">
        <v>42858</v>
      </c>
      <c r="J1712">
        <v>0</v>
      </c>
    </row>
    <row r="1713" spans="1:10" x14ac:dyDescent="0.3">
      <c r="A1713" t="s">
        <v>1844</v>
      </c>
      <c r="B1713" t="s">
        <v>78</v>
      </c>
      <c r="C1713" t="str">
        <f>_xlfn.XLOOKUP(B1713,
[1]sales_teams!$A$2:$A$100,
[1]sales_teams!$B$2:$B$100)</f>
        <v>Summer Sewald</v>
      </c>
      <c r="D1713" t="str">
        <f>_xlfn.XLOOKUP($B1713,sales_teams!$A$2:$A$36,sales_teams!C$2:C$36)</f>
        <v>West</v>
      </c>
      <c r="E1713" t="s">
        <v>20</v>
      </c>
      <c r="G1713" t="s">
        <v>40</v>
      </c>
      <c r="H1713" s="1">
        <v>42816</v>
      </c>
    </row>
    <row r="1714" spans="1:10" x14ac:dyDescent="0.3">
      <c r="A1714" t="s">
        <v>1845</v>
      </c>
      <c r="B1714" t="s">
        <v>78</v>
      </c>
      <c r="C1714" t="str">
        <f>_xlfn.XLOOKUP(B1714,
[1]sales_teams!$A$2:$A$100,
[1]sales_teams!$B$2:$B$100)</f>
        <v>Summer Sewald</v>
      </c>
      <c r="D1714" t="str">
        <f>_xlfn.XLOOKUP($B1714,sales_teams!$A$2:$A$36,sales_teams!C$2:C$36)</f>
        <v>West</v>
      </c>
      <c r="E1714" t="s">
        <v>20</v>
      </c>
      <c r="F1714" t="s">
        <v>155</v>
      </c>
      <c r="G1714" t="s">
        <v>12</v>
      </c>
      <c r="H1714" s="1">
        <v>42816</v>
      </c>
      <c r="I1714" s="1">
        <v>42911</v>
      </c>
      <c r="J1714">
        <v>447</v>
      </c>
    </row>
    <row r="1715" spans="1:10" x14ac:dyDescent="0.3">
      <c r="A1715" t="s">
        <v>1846</v>
      </c>
      <c r="B1715" t="s">
        <v>133</v>
      </c>
      <c r="C1715" t="str">
        <f>_xlfn.XLOOKUP(B1715,
[1]sales_teams!$A$2:$A$100,
[1]sales_teams!$B$2:$B$100)</f>
        <v>Dustin Brinkmann</v>
      </c>
      <c r="D1715" t="str">
        <f>_xlfn.XLOOKUP($B1715,sales_teams!$A$2:$A$36,sales_teams!C$2:C$36)</f>
        <v>Central</v>
      </c>
      <c r="E1715" t="s">
        <v>39</v>
      </c>
      <c r="F1715" t="s">
        <v>16</v>
      </c>
      <c r="G1715" t="s">
        <v>12</v>
      </c>
      <c r="H1715" s="1">
        <v>42816</v>
      </c>
      <c r="I1715" s="1">
        <v>42900</v>
      </c>
      <c r="J1715">
        <v>3430</v>
      </c>
    </row>
    <row r="1716" spans="1:10" x14ac:dyDescent="0.3">
      <c r="A1716" t="s">
        <v>1847</v>
      </c>
      <c r="B1716" t="s">
        <v>32</v>
      </c>
      <c r="C1716" t="str">
        <f>_xlfn.XLOOKUP(B1716,
[1]sales_teams!$A$2:$A$100,
[1]sales_teams!$B$2:$B$100)</f>
        <v>Celia Rouche</v>
      </c>
      <c r="D1716" t="str">
        <f>_xlfn.XLOOKUP($B1716,sales_teams!$A$2:$A$36,sales_teams!C$2:C$36)</f>
        <v>West</v>
      </c>
      <c r="E1716" t="s">
        <v>39</v>
      </c>
      <c r="G1716" t="s">
        <v>40</v>
      </c>
      <c r="H1716" s="1">
        <v>42816</v>
      </c>
    </row>
    <row r="1717" spans="1:10" x14ac:dyDescent="0.3">
      <c r="A1717" t="s">
        <v>1848</v>
      </c>
      <c r="B1717" t="s">
        <v>35</v>
      </c>
      <c r="C1717" t="str">
        <f>_xlfn.XLOOKUP(B1717,
[1]sales_teams!$A$2:$A$100,
[1]sales_teams!$B$2:$B$100)</f>
        <v>Melvin Marxen</v>
      </c>
      <c r="D1717" t="str">
        <f>_xlfn.XLOOKUP($B1717,sales_teams!$A$2:$A$36,sales_teams!C$2:C$36)</f>
        <v>Central</v>
      </c>
      <c r="E1717" t="s">
        <v>20</v>
      </c>
      <c r="F1717" t="s">
        <v>218</v>
      </c>
      <c r="G1717" t="s">
        <v>46</v>
      </c>
      <c r="H1717" s="1">
        <v>42816</v>
      </c>
      <c r="I1717" s="1">
        <v>42904</v>
      </c>
      <c r="J1717">
        <v>0</v>
      </c>
    </row>
    <row r="1718" spans="1:10" x14ac:dyDescent="0.3">
      <c r="A1718" t="s">
        <v>1849</v>
      </c>
      <c r="B1718" t="s">
        <v>97</v>
      </c>
      <c r="C1718" t="str">
        <f>_xlfn.XLOOKUP(B1718,
[1]sales_teams!$A$2:$A$100,
[1]sales_teams!$B$2:$B$100)</f>
        <v>Rocco Neubert</v>
      </c>
      <c r="D1718" t="str">
        <f>_xlfn.XLOOKUP($B1718,sales_teams!$A$2:$A$36,sales_teams!C$2:C$36)</f>
        <v>East</v>
      </c>
      <c r="E1718" t="s">
        <v>39</v>
      </c>
      <c r="F1718" t="s">
        <v>209</v>
      </c>
      <c r="G1718" t="s">
        <v>12</v>
      </c>
      <c r="H1718" s="1">
        <v>42816</v>
      </c>
      <c r="I1718" s="1">
        <v>42896</v>
      </c>
      <c r="J1718">
        <v>3245</v>
      </c>
    </row>
    <row r="1719" spans="1:10" x14ac:dyDescent="0.3">
      <c r="A1719" t="s">
        <v>1850</v>
      </c>
      <c r="B1719" t="s">
        <v>61</v>
      </c>
      <c r="C1719" t="str">
        <f>_xlfn.XLOOKUP(B1719,
[1]sales_teams!$A$2:$A$100,
[1]sales_teams!$B$2:$B$100)</f>
        <v>Dustin Brinkmann</v>
      </c>
      <c r="D1719" t="str">
        <f>_xlfn.XLOOKUP($B1719,sales_teams!$A$2:$A$36,sales_teams!C$2:C$36)</f>
        <v>Central</v>
      </c>
      <c r="E1719" t="s">
        <v>20</v>
      </c>
      <c r="F1719" t="s">
        <v>42</v>
      </c>
      <c r="G1719" t="s">
        <v>46</v>
      </c>
      <c r="H1719" s="1">
        <v>42816</v>
      </c>
      <c r="I1719" s="1">
        <v>42821</v>
      </c>
      <c r="J1719">
        <v>0</v>
      </c>
    </row>
    <row r="1720" spans="1:10" x14ac:dyDescent="0.3">
      <c r="A1720" t="s">
        <v>1851</v>
      </c>
      <c r="B1720" t="s">
        <v>61</v>
      </c>
      <c r="C1720" t="str">
        <f>_xlfn.XLOOKUP(B1720,
[1]sales_teams!$A$2:$A$100,
[1]sales_teams!$B$2:$B$100)</f>
        <v>Dustin Brinkmann</v>
      </c>
      <c r="D1720" t="str">
        <f>_xlfn.XLOOKUP($B1720,sales_teams!$A$2:$A$36,sales_teams!C$2:C$36)</f>
        <v>Central</v>
      </c>
      <c r="E1720" t="s">
        <v>18</v>
      </c>
      <c r="F1720" t="s">
        <v>27</v>
      </c>
      <c r="G1720" t="s">
        <v>12</v>
      </c>
      <c r="H1720" s="1">
        <v>42816</v>
      </c>
      <c r="I1720" s="1">
        <v>42820</v>
      </c>
      <c r="J1720">
        <v>61</v>
      </c>
    </row>
    <row r="1721" spans="1:10" x14ac:dyDescent="0.3">
      <c r="A1721" t="s">
        <v>1852</v>
      </c>
      <c r="B1721" t="s">
        <v>29</v>
      </c>
      <c r="C1721" t="str">
        <f>_xlfn.XLOOKUP(B1721,
[1]sales_teams!$A$2:$A$100,
[1]sales_teams!$B$2:$B$100)</f>
        <v>Celia Rouche</v>
      </c>
      <c r="D1721" t="str">
        <f>_xlfn.XLOOKUP($B1721,sales_teams!$A$2:$A$36,sales_teams!C$2:C$36)</f>
        <v>West</v>
      </c>
      <c r="E1721" t="s">
        <v>18</v>
      </c>
      <c r="F1721" t="s">
        <v>122</v>
      </c>
      <c r="G1721" t="s">
        <v>12</v>
      </c>
      <c r="H1721" s="1">
        <v>42816</v>
      </c>
      <c r="I1721" s="1">
        <v>42915</v>
      </c>
      <c r="J1721">
        <v>60</v>
      </c>
    </row>
    <row r="1722" spans="1:10" x14ac:dyDescent="0.3">
      <c r="A1722" t="s">
        <v>1853</v>
      </c>
      <c r="B1722" t="s">
        <v>73</v>
      </c>
      <c r="C1722" t="str">
        <f>_xlfn.XLOOKUP(B1722,
[1]sales_teams!$A$2:$A$100,
[1]sales_teams!$B$2:$B$100)</f>
        <v>Cara Losch</v>
      </c>
      <c r="D1722" t="str">
        <f>_xlfn.XLOOKUP($B1722,sales_teams!$A$2:$A$36,sales_teams!C$2:C$36)</f>
        <v>East</v>
      </c>
      <c r="E1722" t="s">
        <v>15</v>
      </c>
      <c r="G1722" t="s">
        <v>40</v>
      </c>
      <c r="H1722" s="1">
        <v>42816</v>
      </c>
    </row>
    <row r="1723" spans="1:10" x14ac:dyDescent="0.3">
      <c r="A1723" t="s">
        <v>1854</v>
      </c>
      <c r="B1723" t="s">
        <v>73</v>
      </c>
      <c r="C1723" t="str">
        <f>_xlfn.XLOOKUP(B1723,
[1]sales_teams!$A$2:$A$100,
[1]sales_teams!$B$2:$B$100)</f>
        <v>Cara Losch</v>
      </c>
      <c r="D1723" t="str">
        <f>_xlfn.XLOOKUP($B1723,sales_teams!$A$2:$A$36,sales_teams!C$2:C$36)</f>
        <v>East</v>
      </c>
      <c r="E1723" t="s">
        <v>18</v>
      </c>
      <c r="F1723" t="s">
        <v>155</v>
      </c>
      <c r="G1723" t="s">
        <v>46</v>
      </c>
      <c r="H1723" s="1">
        <v>42816</v>
      </c>
      <c r="I1723" s="1">
        <v>42826</v>
      </c>
      <c r="J1723">
        <v>0</v>
      </c>
    </row>
    <row r="1724" spans="1:10" x14ac:dyDescent="0.3">
      <c r="A1724" t="s">
        <v>1855</v>
      </c>
      <c r="B1724" t="s">
        <v>23</v>
      </c>
      <c r="C1724" t="str">
        <f>_xlfn.XLOOKUP(B1724,
[1]sales_teams!$A$2:$A$100,
[1]sales_teams!$B$2:$B$100)</f>
        <v>Summer Sewald</v>
      </c>
      <c r="D1724" t="str">
        <f>_xlfn.XLOOKUP($B1724,sales_teams!$A$2:$A$36,sales_teams!C$2:C$36)</f>
        <v>West</v>
      </c>
      <c r="E1724" t="s">
        <v>20</v>
      </c>
      <c r="G1724" t="s">
        <v>40</v>
      </c>
      <c r="H1724" s="1">
        <v>42816</v>
      </c>
    </row>
    <row r="1725" spans="1:10" x14ac:dyDescent="0.3">
      <c r="A1725" t="s">
        <v>1856</v>
      </c>
      <c r="B1725" t="s">
        <v>26</v>
      </c>
      <c r="C1725" t="str">
        <f>_xlfn.XLOOKUP(B1725,
[1]sales_teams!$A$2:$A$100,
[1]sales_teams!$B$2:$B$100)</f>
        <v>Dustin Brinkmann</v>
      </c>
      <c r="D1725" t="str">
        <f>_xlfn.XLOOKUP($B1725,sales_teams!$A$2:$A$36,sales_teams!C$2:C$36)</f>
        <v>Central</v>
      </c>
      <c r="E1725" t="s">
        <v>48</v>
      </c>
      <c r="F1725" t="s">
        <v>91</v>
      </c>
      <c r="G1725" t="s">
        <v>12</v>
      </c>
      <c r="H1725" s="1">
        <v>42817</v>
      </c>
      <c r="I1725" s="1">
        <v>42826</v>
      </c>
      <c r="J1725">
        <v>5060</v>
      </c>
    </row>
    <row r="1726" spans="1:10" x14ac:dyDescent="0.3">
      <c r="A1726" t="s">
        <v>1857</v>
      </c>
      <c r="B1726" t="s">
        <v>139</v>
      </c>
      <c r="C1726" t="str">
        <f>_xlfn.XLOOKUP(B1726,
[1]sales_teams!$A$2:$A$100,
[1]sales_teams!$B$2:$B$100)</f>
        <v>Rocco Neubert</v>
      </c>
      <c r="D1726" t="str">
        <f>_xlfn.XLOOKUP($B1726,sales_teams!$A$2:$A$36,sales_teams!C$2:C$36)</f>
        <v>East</v>
      </c>
      <c r="E1726" t="s">
        <v>20</v>
      </c>
      <c r="F1726" t="s">
        <v>65</v>
      </c>
      <c r="G1726" t="s">
        <v>46</v>
      </c>
      <c r="H1726" s="1">
        <v>42817</v>
      </c>
      <c r="I1726" s="1">
        <v>42826</v>
      </c>
      <c r="J1726">
        <v>0</v>
      </c>
    </row>
    <row r="1727" spans="1:10" x14ac:dyDescent="0.3">
      <c r="A1727" t="s">
        <v>1858</v>
      </c>
      <c r="B1727" t="s">
        <v>118</v>
      </c>
      <c r="C1727" t="str">
        <f>_xlfn.XLOOKUP(B1727,
[1]sales_teams!$A$2:$A$100,
[1]sales_teams!$B$2:$B$100)</f>
        <v>Rocco Neubert</v>
      </c>
      <c r="D1727" t="str">
        <f>_xlfn.XLOOKUP($B1727,sales_teams!$A$2:$A$36,sales_teams!C$2:C$36)</f>
        <v>East</v>
      </c>
      <c r="E1727" t="s">
        <v>20</v>
      </c>
      <c r="F1727" t="s">
        <v>313</v>
      </c>
      <c r="G1727" t="s">
        <v>40</v>
      </c>
      <c r="H1727" s="1">
        <v>42817</v>
      </c>
    </row>
    <row r="1728" spans="1:10" x14ac:dyDescent="0.3">
      <c r="A1728" t="s">
        <v>1859</v>
      </c>
      <c r="B1728" t="s">
        <v>118</v>
      </c>
      <c r="C1728" t="str">
        <f>_xlfn.XLOOKUP(B1728,
[1]sales_teams!$A$2:$A$100,
[1]sales_teams!$B$2:$B$100)</f>
        <v>Rocco Neubert</v>
      </c>
      <c r="D1728" t="str">
        <f>_xlfn.XLOOKUP($B1728,sales_teams!$A$2:$A$36,sales_teams!C$2:C$36)</f>
        <v>East</v>
      </c>
      <c r="E1728" t="s">
        <v>20</v>
      </c>
      <c r="F1728" t="s">
        <v>155</v>
      </c>
      <c r="G1728" t="s">
        <v>12</v>
      </c>
      <c r="H1728" s="1">
        <v>42817</v>
      </c>
      <c r="I1728" s="1">
        <v>42826</v>
      </c>
      <c r="J1728">
        <v>585</v>
      </c>
    </row>
    <row r="1729" spans="1:10" x14ac:dyDescent="0.3">
      <c r="A1729" t="s">
        <v>1860</v>
      </c>
      <c r="B1729" t="s">
        <v>164</v>
      </c>
      <c r="C1729" t="str">
        <f>_xlfn.XLOOKUP(B1729,
[1]sales_teams!$A$2:$A$100,
[1]sales_teams!$B$2:$B$100)</f>
        <v>Cara Losch</v>
      </c>
      <c r="D1729" t="str">
        <f>_xlfn.XLOOKUP($B1729,sales_teams!$A$2:$A$36,sales_teams!C$2:C$36)</f>
        <v>East</v>
      </c>
      <c r="E1729" t="s">
        <v>15</v>
      </c>
      <c r="F1729" t="s">
        <v>329</v>
      </c>
      <c r="G1729" t="s">
        <v>46</v>
      </c>
      <c r="H1729" s="1">
        <v>42817</v>
      </c>
      <c r="I1729" s="1">
        <v>42897</v>
      </c>
      <c r="J1729">
        <v>0</v>
      </c>
    </row>
    <row r="1730" spans="1:10" x14ac:dyDescent="0.3">
      <c r="A1730" t="s">
        <v>1861</v>
      </c>
      <c r="B1730" t="s">
        <v>142</v>
      </c>
      <c r="C1730" t="str">
        <f>_xlfn.XLOOKUP(B1730,
[1]sales_teams!$A$2:$A$100,
[1]sales_teams!$B$2:$B$100)</f>
        <v>Rocco Neubert</v>
      </c>
      <c r="D1730" t="str">
        <f>_xlfn.XLOOKUP($B1730,sales_teams!$A$2:$A$36,sales_teams!C$2:C$36)</f>
        <v>East</v>
      </c>
      <c r="E1730" t="s">
        <v>15</v>
      </c>
      <c r="F1730" t="s">
        <v>204</v>
      </c>
      <c r="G1730" t="s">
        <v>46</v>
      </c>
      <c r="H1730" s="1">
        <v>42817</v>
      </c>
      <c r="I1730" s="1">
        <v>42874</v>
      </c>
      <c r="J1730">
        <v>0</v>
      </c>
    </row>
    <row r="1731" spans="1:10" x14ac:dyDescent="0.3">
      <c r="A1731" t="s">
        <v>1862</v>
      </c>
      <c r="B1731" t="s">
        <v>44</v>
      </c>
      <c r="C1731" t="str">
        <f>_xlfn.XLOOKUP(B1731,
[1]sales_teams!$A$2:$A$100,
[1]sales_teams!$B$2:$B$100)</f>
        <v>Melvin Marxen</v>
      </c>
      <c r="D1731" t="str">
        <f>_xlfn.XLOOKUP($B1731,sales_teams!$A$2:$A$36,sales_teams!C$2:C$36)</f>
        <v>Central</v>
      </c>
      <c r="E1731" t="s">
        <v>15</v>
      </c>
      <c r="F1731" t="s">
        <v>315</v>
      </c>
      <c r="G1731" t="s">
        <v>46</v>
      </c>
      <c r="H1731" s="1">
        <v>42817</v>
      </c>
      <c r="I1731" s="1">
        <v>42828</v>
      </c>
      <c r="J1731">
        <v>0</v>
      </c>
    </row>
    <row r="1732" spans="1:10" x14ac:dyDescent="0.3">
      <c r="A1732" t="s">
        <v>1863</v>
      </c>
      <c r="B1732" t="s">
        <v>78</v>
      </c>
      <c r="C1732" t="str">
        <f>_xlfn.XLOOKUP(B1732,
[1]sales_teams!$A$2:$A$100,
[1]sales_teams!$B$2:$B$100)</f>
        <v>Summer Sewald</v>
      </c>
      <c r="D1732" t="str">
        <f>_xlfn.XLOOKUP($B1732,sales_teams!$A$2:$A$36,sales_teams!C$2:C$36)</f>
        <v>West</v>
      </c>
      <c r="E1732" t="s">
        <v>15</v>
      </c>
      <c r="F1732" t="s">
        <v>218</v>
      </c>
      <c r="G1732" t="s">
        <v>46</v>
      </c>
      <c r="H1732" s="1">
        <v>42817</v>
      </c>
      <c r="I1732" s="1">
        <v>42828</v>
      </c>
      <c r="J1732">
        <v>0</v>
      </c>
    </row>
    <row r="1733" spans="1:10" x14ac:dyDescent="0.3">
      <c r="A1733" t="s">
        <v>1864</v>
      </c>
      <c r="B1733" t="s">
        <v>95</v>
      </c>
      <c r="C1733" t="str">
        <f>_xlfn.XLOOKUP(B1733,
[1]sales_teams!$A$2:$A$100,
[1]sales_teams!$B$2:$B$100)</f>
        <v>Summer Sewald</v>
      </c>
      <c r="D1733" t="str">
        <f>_xlfn.XLOOKUP($B1733,sales_teams!$A$2:$A$36,sales_teams!C$2:C$36)</f>
        <v>West</v>
      </c>
      <c r="E1733" t="s">
        <v>15</v>
      </c>
      <c r="G1733" t="s">
        <v>40</v>
      </c>
      <c r="H1733" s="1">
        <v>42817</v>
      </c>
    </row>
    <row r="1734" spans="1:10" x14ac:dyDescent="0.3">
      <c r="A1734" t="s">
        <v>1865</v>
      </c>
      <c r="B1734" t="s">
        <v>133</v>
      </c>
      <c r="C1734" t="str">
        <f>_xlfn.XLOOKUP(B1734,
[1]sales_teams!$A$2:$A$100,
[1]sales_teams!$B$2:$B$100)</f>
        <v>Dustin Brinkmann</v>
      </c>
      <c r="D1734" t="str">
        <f>_xlfn.XLOOKUP($B1734,sales_teams!$A$2:$A$36,sales_teams!C$2:C$36)</f>
        <v>Central</v>
      </c>
      <c r="E1734" t="s">
        <v>18</v>
      </c>
      <c r="F1734" t="s">
        <v>218</v>
      </c>
      <c r="G1734" t="s">
        <v>46</v>
      </c>
      <c r="H1734" s="1">
        <v>42817</v>
      </c>
      <c r="I1734" s="1">
        <v>42830</v>
      </c>
      <c r="J1734">
        <v>0</v>
      </c>
    </row>
    <row r="1735" spans="1:10" x14ac:dyDescent="0.3">
      <c r="A1735" t="s">
        <v>1866</v>
      </c>
      <c r="B1735" t="s">
        <v>133</v>
      </c>
      <c r="C1735" t="str">
        <f>_xlfn.XLOOKUP(B1735,
[1]sales_teams!$A$2:$A$100,
[1]sales_teams!$B$2:$B$100)</f>
        <v>Dustin Brinkmann</v>
      </c>
      <c r="D1735" t="str">
        <f>_xlfn.XLOOKUP($B1735,sales_teams!$A$2:$A$36,sales_teams!C$2:C$36)</f>
        <v>Central</v>
      </c>
      <c r="E1735" t="s">
        <v>18</v>
      </c>
      <c r="F1735" t="s">
        <v>197</v>
      </c>
      <c r="G1735" t="s">
        <v>46</v>
      </c>
      <c r="H1735" s="1">
        <v>42817</v>
      </c>
      <c r="I1735" s="1">
        <v>42901</v>
      </c>
      <c r="J1735">
        <v>0</v>
      </c>
    </row>
    <row r="1736" spans="1:10" x14ac:dyDescent="0.3">
      <c r="A1736" t="s">
        <v>1867</v>
      </c>
      <c r="B1736" t="s">
        <v>32</v>
      </c>
      <c r="C1736" t="str">
        <f>_xlfn.XLOOKUP(B1736,
[1]sales_teams!$A$2:$A$100,
[1]sales_teams!$B$2:$B$100)</f>
        <v>Celia Rouche</v>
      </c>
      <c r="D1736" t="str">
        <f>_xlfn.XLOOKUP($B1736,sales_teams!$A$2:$A$36,sales_teams!C$2:C$36)</f>
        <v>West</v>
      </c>
      <c r="E1736" t="s">
        <v>20</v>
      </c>
      <c r="F1736" t="s">
        <v>157</v>
      </c>
      <c r="G1736" t="s">
        <v>12</v>
      </c>
      <c r="H1736" s="1">
        <v>42817</v>
      </c>
      <c r="I1736" s="1">
        <v>42891</v>
      </c>
      <c r="J1736">
        <v>572</v>
      </c>
    </row>
    <row r="1737" spans="1:10" x14ac:dyDescent="0.3">
      <c r="A1737" t="s">
        <v>1868</v>
      </c>
      <c r="B1737" t="s">
        <v>32</v>
      </c>
      <c r="C1737" t="str">
        <f>_xlfn.XLOOKUP(B1737,
[1]sales_teams!$A$2:$A$100,
[1]sales_teams!$B$2:$B$100)</f>
        <v>Celia Rouche</v>
      </c>
      <c r="D1737" t="str">
        <f>_xlfn.XLOOKUP($B1737,sales_teams!$A$2:$A$36,sales_teams!C$2:C$36)</f>
        <v>West</v>
      </c>
      <c r="E1737" t="s">
        <v>18</v>
      </c>
      <c r="F1737" t="s">
        <v>122</v>
      </c>
      <c r="G1737" t="s">
        <v>12</v>
      </c>
      <c r="H1737" s="1">
        <v>42817</v>
      </c>
      <c r="I1737" s="1">
        <v>42894</v>
      </c>
      <c r="J1737">
        <v>54</v>
      </c>
    </row>
    <row r="1738" spans="1:10" x14ac:dyDescent="0.3">
      <c r="A1738" t="s">
        <v>1869</v>
      </c>
      <c r="B1738" t="s">
        <v>9</v>
      </c>
      <c r="C1738" t="str">
        <f>_xlfn.XLOOKUP(B1738,
[1]sales_teams!$A$2:$A$100,
[1]sales_teams!$B$2:$B$100)</f>
        <v>Dustin Brinkmann</v>
      </c>
      <c r="D1738" t="str">
        <f>_xlfn.XLOOKUP($B1738,sales_teams!$A$2:$A$36,sales_teams!C$2:C$36)</f>
        <v>Central</v>
      </c>
      <c r="E1738" t="s">
        <v>20</v>
      </c>
      <c r="F1738" t="s">
        <v>197</v>
      </c>
      <c r="G1738" t="s">
        <v>46</v>
      </c>
      <c r="H1738" s="1">
        <v>42817</v>
      </c>
      <c r="I1738" s="1">
        <v>42826</v>
      </c>
      <c r="J1738">
        <v>0</v>
      </c>
    </row>
    <row r="1739" spans="1:10" x14ac:dyDescent="0.3">
      <c r="A1739" t="s">
        <v>1870</v>
      </c>
      <c r="B1739" t="s">
        <v>61</v>
      </c>
      <c r="C1739" t="str">
        <f>_xlfn.XLOOKUP(B1739,
[1]sales_teams!$A$2:$A$100,
[1]sales_teams!$B$2:$B$100)</f>
        <v>Dustin Brinkmann</v>
      </c>
      <c r="D1739" t="str">
        <f>_xlfn.XLOOKUP($B1739,sales_teams!$A$2:$A$36,sales_teams!C$2:C$36)</f>
        <v>Central</v>
      </c>
      <c r="E1739" t="s">
        <v>18</v>
      </c>
      <c r="F1739" t="s">
        <v>111</v>
      </c>
      <c r="G1739" t="s">
        <v>12</v>
      </c>
      <c r="H1739" s="1">
        <v>42817</v>
      </c>
      <c r="I1739" s="1">
        <v>42860</v>
      </c>
      <c r="J1739">
        <v>60</v>
      </c>
    </row>
    <row r="1740" spans="1:10" x14ac:dyDescent="0.3">
      <c r="A1740" t="s">
        <v>1871</v>
      </c>
      <c r="B1740" t="s">
        <v>61</v>
      </c>
      <c r="C1740" t="str">
        <f>_xlfn.XLOOKUP(B1740,
[1]sales_teams!$A$2:$A$100,
[1]sales_teams!$B$2:$B$100)</f>
        <v>Dustin Brinkmann</v>
      </c>
      <c r="D1740" t="str">
        <f>_xlfn.XLOOKUP($B1740,sales_teams!$A$2:$A$36,sales_teams!C$2:C$36)</f>
        <v>Central</v>
      </c>
      <c r="E1740" t="s">
        <v>39</v>
      </c>
      <c r="F1740" t="s">
        <v>36</v>
      </c>
      <c r="G1740" t="s">
        <v>12</v>
      </c>
      <c r="H1740" s="1">
        <v>42817</v>
      </c>
      <c r="I1740" s="1">
        <v>42826</v>
      </c>
      <c r="J1740">
        <v>3251</v>
      </c>
    </row>
    <row r="1741" spans="1:10" x14ac:dyDescent="0.3">
      <c r="A1741" t="s">
        <v>1872</v>
      </c>
      <c r="B1741" t="s">
        <v>29</v>
      </c>
      <c r="C1741" t="str">
        <f>_xlfn.XLOOKUP(B1741,
[1]sales_teams!$A$2:$A$100,
[1]sales_teams!$B$2:$B$100)</f>
        <v>Celia Rouche</v>
      </c>
      <c r="D1741" t="str">
        <f>_xlfn.XLOOKUP($B1741,sales_teams!$A$2:$A$36,sales_teams!C$2:C$36)</f>
        <v>West</v>
      </c>
      <c r="E1741" t="s">
        <v>48</v>
      </c>
      <c r="F1741" t="s">
        <v>184</v>
      </c>
      <c r="G1741" t="s">
        <v>12</v>
      </c>
      <c r="H1741" s="1">
        <v>42817</v>
      </c>
      <c r="I1741" s="1">
        <v>42900</v>
      </c>
      <c r="J1741">
        <v>5930</v>
      </c>
    </row>
    <row r="1742" spans="1:10" x14ac:dyDescent="0.3">
      <c r="A1742" t="s">
        <v>1873</v>
      </c>
      <c r="B1742" t="s">
        <v>73</v>
      </c>
      <c r="C1742" t="str">
        <f>_xlfn.XLOOKUP(B1742,
[1]sales_teams!$A$2:$A$100,
[1]sales_teams!$B$2:$B$100)</f>
        <v>Cara Losch</v>
      </c>
      <c r="D1742" t="str">
        <f>_xlfn.XLOOKUP($B1742,sales_teams!$A$2:$A$36,sales_teams!C$2:C$36)</f>
        <v>East</v>
      </c>
      <c r="E1742" t="s">
        <v>10</v>
      </c>
      <c r="F1742" t="s">
        <v>106</v>
      </c>
      <c r="G1742" t="s">
        <v>12</v>
      </c>
      <c r="H1742" s="1">
        <v>42817</v>
      </c>
      <c r="I1742" s="1">
        <v>42826</v>
      </c>
      <c r="J1742">
        <v>941</v>
      </c>
    </row>
    <row r="1743" spans="1:10" x14ac:dyDescent="0.3">
      <c r="A1743" t="s">
        <v>1874</v>
      </c>
      <c r="B1743" t="s">
        <v>26</v>
      </c>
      <c r="C1743" t="str">
        <f>_xlfn.XLOOKUP(B1743,
[1]sales_teams!$A$2:$A$100,
[1]sales_teams!$B$2:$B$100)</f>
        <v>Dustin Brinkmann</v>
      </c>
      <c r="D1743" t="str">
        <f>_xlfn.XLOOKUP($B1743,sales_teams!$A$2:$A$36,sales_teams!C$2:C$36)</f>
        <v>Central</v>
      </c>
      <c r="E1743" t="s">
        <v>20</v>
      </c>
      <c r="F1743" t="s">
        <v>11</v>
      </c>
      <c r="G1743" t="s">
        <v>46</v>
      </c>
      <c r="H1743" s="1">
        <v>42818</v>
      </c>
      <c r="I1743" s="1">
        <v>42873</v>
      </c>
      <c r="J1743">
        <v>0</v>
      </c>
    </row>
    <row r="1744" spans="1:10" x14ac:dyDescent="0.3">
      <c r="A1744" t="s">
        <v>1875</v>
      </c>
      <c r="B1744" t="s">
        <v>26</v>
      </c>
      <c r="C1744" t="str">
        <f>_xlfn.XLOOKUP(B1744,
[1]sales_teams!$A$2:$A$100,
[1]sales_teams!$B$2:$B$100)</f>
        <v>Dustin Brinkmann</v>
      </c>
      <c r="D1744" t="str">
        <f>_xlfn.XLOOKUP($B1744,sales_teams!$A$2:$A$36,sales_teams!C$2:C$36)</f>
        <v>Central</v>
      </c>
      <c r="E1744" t="s">
        <v>18</v>
      </c>
      <c r="F1744" t="s">
        <v>231</v>
      </c>
      <c r="G1744" t="s">
        <v>12</v>
      </c>
      <c r="H1744" s="1">
        <v>42818</v>
      </c>
      <c r="I1744" s="1">
        <v>42892</v>
      </c>
      <c r="J1744">
        <v>56</v>
      </c>
    </row>
    <row r="1745" spans="1:10" x14ac:dyDescent="0.3">
      <c r="A1745" t="s">
        <v>1876</v>
      </c>
      <c r="B1745" t="s">
        <v>26</v>
      </c>
      <c r="C1745" t="str">
        <f>_xlfn.XLOOKUP(B1745,
[1]sales_teams!$A$2:$A$100,
[1]sales_teams!$B$2:$B$100)</f>
        <v>Dustin Brinkmann</v>
      </c>
      <c r="D1745" t="str">
        <f>_xlfn.XLOOKUP($B1745,sales_teams!$A$2:$A$36,sales_teams!C$2:C$36)</f>
        <v>Central</v>
      </c>
      <c r="E1745" t="s">
        <v>39</v>
      </c>
      <c r="F1745" t="s">
        <v>21</v>
      </c>
      <c r="G1745" t="s">
        <v>12</v>
      </c>
      <c r="H1745" s="1">
        <v>42818</v>
      </c>
      <c r="I1745" s="1">
        <v>42829</v>
      </c>
      <c r="J1745">
        <v>3445</v>
      </c>
    </row>
    <row r="1746" spans="1:10" x14ac:dyDescent="0.3">
      <c r="A1746" t="s">
        <v>1877</v>
      </c>
      <c r="B1746" t="s">
        <v>118</v>
      </c>
      <c r="C1746" t="str">
        <f>_xlfn.XLOOKUP(B1746,
[1]sales_teams!$A$2:$A$100,
[1]sales_teams!$B$2:$B$100)</f>
        <v>Rocco Neubert</v>
      </c>
      <c r="D1746" t="str">
        <f>_xlfn.XLOOKUP($B1746,sales_teams!$A$2:$A$36,sales_teams!C$2:C$36)</f>
        <v>East</v>
      </c>
      <c r="E1746" t="s">
        <v>48</v>
      </c>
      <c r="G1746" t="s">
        <v>40</v>
      </c>
      <c r="H1746" s="1">
        <v>42818</v>
      </c>
    </row>
    <row r="1747" spans="1:10" x14ac:dyDescent="0.3">
      <c r="A1747" t="s">
        <v>1878</v>
      </c>
      <c r="B1747" t="s">
        <v>118</v>
      </c>
      <c r="C1747" t="str">
        <f>_xlfn.XLOOKUP(B1747,
[1]sales_teams!$A$2:$A$100,
[1]sales_teams!$B$2:$B$100)</f>
        <v>Rocco Neubert</v>
      </c>
      <c r="D1747" t="str">
        <f>_xlfn.XLOOKUP($B1747,sales_teams!$A$2:$A$36,sales_teams!C$2:C$36)</f>
        <v>East</v>
      </c>
      <c r="E1747" t="s">
        <v>39</v>
      </c>
      <c r="F1747" t="s">
        <v>273</v>
      </c>
      <c r="G1747" t="s">
        <v>40</v>
      </c>
      <c r="H1747" s="1">
        <v>42818</v>
      </c>
    </row>
    <row r="1748" spans="1:10" x14ac:dyDescent="0.3">
      <c r="A1748" t="s">
        <v>1879</v>
      </c>
      <c r="B1748" t="s">
        <v>202</v>
      </c>
      <c r="C1748" t="str">
        <f>_xlfn.XLOOKUP(B1748,
[1]sales_teams!$A$2:$A$100,
[1]sales_teams!$B$2:$B$100)</f>
        <v>Dustin Brinkmann</v>
      </c>
      <c r="D1748" t="str">
        <f>_xlfn.XLOOKUP($B1748,sales_teams!$A$2:$A$36,sales_teams!C$2:C$36)</f>
        <v>Central</v>
      </c>
      <c r="E1748" t="s">
        <v>18</v>
      </c>
      <c r="F1748" t="s">
        <v>42</v>
      </c>
      <c r="G1748" t="s">
        <v>12</v>
      </c>
      <c r="H1748" s="1">
        <v>42818</v>
      </c>
      <c r="I1748" s="1">
        <v>42825</v>
      </c>
      <c r="J1748">
        <v>54</v>
      </c>
    </row>
    <row r="1749" spans="1:10" x14ac:dyDescent="0.3">
      <c r="A1749" t="s">
        <v>1880</v>
      </c>
      <c r="B1749" t="s">
        <v>164</v>
      </c>
      <c r="C1749" t="str">
        <f>_xlfn.XLOOKUP(B1749,
[1]sales_teams!$A$2:$A$100,
[1]sales_teams!$B$2:$B$100)</f>
        <v>Cara Losch</v>
      </c>
      <c r="D1749" t="str">
        <f>_xlfn.XLOOKUP($B1749,sales_teams!$A$2:$A$36,sales_teams!C$2:C$36)</f>
        <v>East</v>
      </c>
      <c r="E1749" t="s">
        <v>20</v>
      </c>
      <c r="G1749" t="s">
        <v>40</v>
      </c>
      <c r="H1749" s="1">
        <v>42818</v>
      </c>
    </row>
    <row r="1750" spans="1:10" x14ac:dyDescent="0.3">
      <c r="A1750" t="s">
        <v>1881</v>
      </c>
      <c r="B1750" t="s">
        <v>164</v>
      </c>
      <c r="C1750" t="str">
        <f>_xlfn.XLOOKUP(B1750,
[1]sales_teams!$A$2:$A$100,
[1]sales_teams!$B$2:$B$100)</f>
        <v>Cara Losch</v>
      </c>
      <c r="D1750" t="str">
        <f>_xlfn.XLOOKUP($B1750,sales_teams!$A$2:$A$36,sales_teams!C$2:C$36)</f>
        <v>East</v>
      </c>
      <c r="E1750" t="s">
        <v>39</v>
      </c>
      <c r="F1750" t="s">
        <v>106</v>
      </c>
      <c r="G1750" t="s">
        <v>12</v>
      </c>
      <c r="H1750" s="1">
        <v>42818</v>
      </c>
      <c r="I1750" s="1">
        <v>42825</v>
      </c>
      <c r="J1750">
        <v>3498</v>
      </c>
    </row>
    <row r="1751" spans="1:10" x14ac:dyDescent="0.3">
      <c r="A1751" t="s">
        <v>1882</v>
      </c>
      <c r="B1751" t="s">
        <v>64</v>
      </c>
      <c r="C1751" t="str">
        <f>_xlfn.XLOOKUP(B1751,
[1]sales_teams!$A$2:$A$100,
[1]sales_teams!$B$2:$B$100)</f>
        <v>Rocco Neubert</v>
      </c>
      <c r="D1751" t="str">
        <f>_xlfn.XLOOKUP($B1751,sales_teams!$A$2:$A$36,sales_teams!C$2:C$36)</f>
        <v>East</v>
      </c>
      <c r="E1751" t="s">
        <v>20</v>
      </c>
      <c r="F1751" t="s">
        <v>74</v>
      </c>
      <c r="G1751" t="s">
        <v>12</v>
      </c>
      <c r="H1751" s="1">
        <v>42818</v>
      </c>
      <c r="I1751" s="1">
        <v>42827</v>
      </c>
      <c r="J1751">
        <v>540</v>
      </c>
    </row>
    <row r="1752" spans="1:10" x14ac:dyDescent="0.3">
      <c r="A1752" t="s">
        <v>1883</v>
      </c>
      <c r="B1752" t="s">
        <v>64</v>
      </c>
      <c r="C1752" t="str">
        <f>_xlfn.XLOOKUP(B1752,
[1]sales_teams!$A$2:$A$100,
[1]sales_teams!$B$2:$B$100)</f>
        <v>Rocco Neubert</v>
      </c>
      <c r="D1752" t="str">
        <f>_xlfn.XLOOKUP($B1752,sales_teams!$A$2:$A$36,sales_teams!C$2:C$36)</f>
        <v>East</v>
      </c>
      <c r="E1752" t="s">
        <v>15</v>
      </c>
      <c r="F1752" t="s">
        <v>237</v>
      </c>
      <c r="G1752" t="s">
        <v>12</v>
      </c>
      <c r="H1752" s="1">
        <v>42818</v>
      </c>
      <c r="I1752" s="1">
        <v>42827</v>
      </c>
      <c r="J1752">
        <v>4986</v>
      </c>
    </row>
    <row r="1753" spans="1:10" x14ac:dyDescent="0.3">
      <c r="A1753" t="s">
        <v>1884</v>
      </c>
      <c r="B1753" t="s">
        <v>14</v>
      </c>
      <c r="C1753" t="str">
        <f>_xlfn.XLOOKUP(B1753,
[1]sales_teams!$A$2:$A$100,
[1]sales_teams!$B$2:$B$100)</f>
        <v>Melvin Marxen</v>
      </c>
      <c r="D1753" t="str">
        <f>_xlfn.XLOOKUP($B1753,sales_teams!$A$2:$A$36,sales_teams!C$2:C$36)</f>
        <v>Central</v>
      </c>
      <c r="E1753" t="s">
        <v>48</v>
      </c>
      <c r="F1753" t="s">
        <v>170</v>
      </c>
      <c r="G1753" t="s">
        <v>46</v>
      </c>
      <c r="H1753" s="1">
        <v>42818</v>
      </c>
      <c r="I1753" s="1">
        <v>42828</v>
      </c>
      <c r="J1753">
        <v>0</v>
      </c>
    </row>
    <row r="1754" spans="1:10" x14ac:dyDescent="0.3">
      <c r="A1754" t="s">
        <v>1885</v>
      </c>
      <c r="B1754" t="s">
        <v>14</v>
      </c>
      <c r="C1754" t="str">
        <f>_xlfn.XLOOKUP(B1754,
[1]sales_teams!$A$2:$A$100,
[1]sales_teams!$B$2:$B$100)</f>
        <v>Melvin Marxen</v>
      </c>
      <c r="D1754" t="str">
        <f>_xlfn.XLOOKUP($B1754,sales_teams!$A$2:$A$36,sales_teams!C$2:C$36)</f>
        <v>Central</v>
      </c>
      <c r="E1754" t="s">
        <v>48</v>
      </c>
      <c r="F1754" t="s">
        <v>207</v>
      </c>
      <c r="G1754" t="s">
        <v>12</v>
      </c>
      <c r="H1754" s="1">
        <v>42818</v>
      </c>
      <c r="I1754" s="1">
        <v>42870</v>
      </c>
      <c r="J1754">
        <v>5214</v>
      </c>
    </row>
    <row r="1755" spans="1:10" x14ac:dyDescent="0.3">
      <c r="A1755" t="s">
        <v>1886</v>
      </c>
      <c r="B1755" t="s">
        <v>14</v>
      </c>
      <c r="C1755" t="str">
        <f>_xlfn.XLOOKUP(B1755,
[1]sales_teams!$A$2:$A$100,
[1]sales_teams!$B$2:$B$100)</f>
        <v>Melvin Marxen</v>
      </c>
      <c r="D1755" t="str">
        <f>_xlfn.XLOOKUP($B1755,sales_teams!$A$2:$A$36,sales_teams!C$2:C$36)</f>
        <v>Central</v>
      </c>
      <c r="E1755" t="s">
        <v>15</v>
      </c>
      <c r="F1755" t="s">
        <v>16</v>
      </c>
      <c r="G1755" t="s">
        <v>12</v>
      </c>
      <c r="H1755" s="1">
        <v>42818</v>
      </c>
      <c r="I1755" s="1">
        <v>42824</v>
      </c>
      <c r="J1755">
        <v>4794</v>
      </c>
    </row>
    <row r="1756" spans="1:10" x14ac:dyDescent="0.3">
      <c r="A1756" t="s">
        <v>1887</v>
      </c>
      <c r="B1756" t="s">
        <v>54</v>
      </c>
      <c r="C1756" t="str">
        <f>_xlfn.XLOOKUP(B1756,
[1]sales_teams!$A$2:$A$100,
[1]sales_teams!$B$2:$B$100)</f>
        <v>Celia Rouche</v>
      </c>
      <c r="D1756" t="str">
        <f>_xlfn.XLOOKUP($B1756,sales_teams!$A$2:$A$36,sales_teams!C$2:C$36)</f>
        <v>West</v>
      </c>
      <c r="E1756" t="s">
        <v>39</v>
      </c>
      <c r="G1756" t="s">
        <v>40</v>
      </c>
      <c r="H1756" s="1">
        <v>42818</v>
      </c>
    </row>
    <row r="1757" spans="1:10" x14ac:dyDescent="0.3">
      <c r="A1757" t="s">
        <v>1888</v>
      </c>
      <c r="B1757" t="s">
        <v>38</v>
      </c>
      <c r="C1757" t="str">
        <f>_xlfn.XLOOKUP(B1757,
[1]sales_teams!$A$2:$A$100,
[1]sales_teams!$B$2:$B$100)</f>
        <v>Summer Sewald</v>
      </c>
      <c r="D1757" t="str">
        <f>_xlfn.XLOOKUP($B1757,sales_teams!$A$2:$A$36,sales_teams!C$2:C$36)</f>
        <v>West</v>
      </c>
      <c r="E1757" t="s">
        <v>10</v>
      </c>
      <c r="F1757" t="s">
        <v>155</v>
      </c>
      <c r="G1757" t="s">
        <v>46</v>
      </c>
      <c r="H1757" s="1">
        <v>42818</v>
      </c>
      <c r="I1757" s="1">
        <v>42827</v>
      </c>
      <c r="J1757">
        <v>0</v>
      </c>
    </row>
    <row r="1758" spans="1:10" x14ac:dyDescent="0.3">
      <c r="A1758" t="s">
        <v>1889</v>
      </c>
      <c r="B1758" t="s">
        <v>95</v>
      </c>
      <c r="C1758" t="str">
        <f>_xlfn.XLOOKUP(B1758,
[1]sales_teams!$A$2:$A$100,
[1]sales_teams!$B$2:$B$100)</f>
        <v>Summer Sewald</v>
      </c>
      <c r="D1758" t="str">
        <f>_xlfn.XLOOKUP($B1758,sales_teams!$A$2:$A$36,sales_teams!C$2:C$36)</f>
        <v>West</v>
      </c>
      <c r="E1758" t="s">
        <v>48</v>
      </c>
      <c r="G1758" t="s">
        <v>40</v>
      </c>
      <c r="H1758" s="1">
        <v>42818</v>
      </c>
    </row>
    <row r="1759" spans="1:10" x14ac:dyDescent="0.3">
      <c r="A1759" t="s">
        <v>1890</v>
      </c>
      <c r="B1759" t="s">
        <v>95</v>
      </c>
      <c r="C1759" t="str">
        <f>_xlfn.XLOOKUP(B1759,
[1]sales_teams!$A$2:$A$100,
[1]sales_teams!$B$2:$B$100)</f>
        <v>Summer Sewald</v>
      </c>
      <c r="D1759" t="str">
        <f>_xlfn.XLOOKUP($B1759,sales_teams!$A$2:$A$36,sales_teams!C$2:C$36)</f>
        <v>West</v>
      </c>
      <c r="E1759" t="s">
        <v>10</v>
      </c>
      <c r="F1759" t="s">
        <v>59</v>
      </c>
      <c r="G1759" t="s">
        <v>46</v>
      </c>
      <c r="H1759" s="1">
        <v>42818</v>
      </c>
      <c r="I1759" s="1">
        <v>42828</v>
      </c>
      <c r="J1759">
        <v>0</v>
      </c>
    </row>
    <row r="1760" spans="1:10" x14ac:dyDescent="0.3">
      <c r="A1760" t="s">
        <v>1891</v>
      </c>
      <c r="B1760" t="s">
        <v>133</v>
      </c>
      <c r="C1760" t="str">
        <f>_xlfn.XLOOKUP(B1760,
[1]sales_teams!$A$2:$A$100,
[1]sales_teams!$B$2:$B$100)</f>
        <v>Dustin Brinkmann</v>
      </c>
      <c r="D1760" t="str">
        <f>_xlfn.XLOOKUP($B1760,sales_teams!$A$2:$A$36,sales_teams!C$2:C$36)</f>
        <v>Central</v>
      </c>
      <c r="E1760" t="s">
        <v>20</v>
      </c>
      <c r="F1760" t="s">
        <v>11</v>
      </c>
      <c r="G1760" t="s">
        <v>12</v>
      </c>
      <c r="H1760" s="1">
        <v>42818</v>
      </c>
      <c r="I1760" s="1">
        <v>42882</v>
      </c>
      <c r="J1760">
        <v>648</v>
      </c>
    </row>
    <row r="1761" spans="1:10" x14ac:dyDescent="0.3">
      <c r="A1761" t="s">
        <v>1892</v>
      </c>
      <c r="B1761" t="s">
        <v>133</v>
      </c>
      <c r="C1761" t="str">
        <f>_xlfn.XLOOKUP(B1761,
[1]sales_teams!$A$2:$A$100,
[1]sales_teams!$B$2:$B$100)</f>
        <v>Dustin Brinkmann</v>
      </c>
      <c r="D1761" t="str">
        <f>_xlfn.XLOOKUP($B1761,sales_teams!$A$2:$A$36,sales_teams!C$2:C$36)</f>
        <v>Central</v>
      </c>
      <c r="E1761" t="s">
        <v>39</v>
      </c>
      <c r="F1761" t="s">
        <v>197</v>
      </c>
      <c r="G1761" t="s">
        <v>12</v>
      </c>
      <c r="H1761" s="1">
        <v>42818</v>
      </c>
      <c r="I1761" s="1">
        <v>42916</v>
      </c>
      <c r="J1761">
        <v>3040</v>
      </c>
    </row>
    <row r="1762" spans="1:10" x14ac:dyDescent="0.3">
      <c r="A1762" t="s">
        <v>1893</v>
      </c>
      <c r="B1762" t="s">
        <v>116</v>
      </c>
      <c r="C1762" t="str">
        <f>_xlfn.XLOOKUP(B1762,
[1]sales_teams!$A$2:$A$100,
[1]sales_teams!$B$2:$B$100)</f>
        <v>Melvin Marxen</v>
      </c>
      <c r="D1762" t="str">
        <f>_xlfn.XLOOKUP($B1762,sales_teams!$A$2:$A$36,sales_teams!C$2:C$36)</f>
        <v>Central</v>
      </c>
      <c r="E1762" t="s">
        <v>10</v>
      </c>
      <c r="F1762" t="s">
        <v>62</v>
      </c>
      <c r="G1762" t="s">
        <v>12</v>
      </c>
      <c r="H1762" s="1">
        <v>42818</v>
      </c>
      <c r="I1762" s="1">
        <v>42916</v>
      </c>
      <c r="J1762">
        <v>1185</v>
      </c>
    </row>
    <row r="1763" spans="1:10" x14ac:dyDescent="0.3">
      <c r="A1763" t="s">
        <v>1894</v>
      </c>
      <c r="B1763" t="s">
        <v>116</v>
      </c>
      <c r="C1763" t="str">
        <f>_xlfn.XLOOKUP(B1763,
[1]sales_teams!$A$2:$A$100,
[1]sales_teams!$B$2:$B$100)</f>
        <v>Melvin Marxen</v>
      </c>
      <c r="D1763" t="str">
        <f>_xlfn.XLOOKUP($B1763,sales_teams!$A$2:$A$36,sales_teams!C$2:C$36)</f>
        <v>Central</v>
      </c>
      <c r="E1763" t="s">
        <v>18</v>
      </c>
      <c r="F1763" t="s">
        <v>129</v>
      </c>
      <c r="G1763" t="s">
        <v>12</v>
      </c>
      <c r="H1763" s="1">
        <v>42818</v>
      </c>
      <c r="I1763" s="1">
        <v>42820</v>
      </c>
      <c r="J1763">
        <v>48</v>
      </c>
    </row>
    <row r="1764" spans="1:10" x14ac:dyDescent="0.3">
      <c r="A1764" t="s">
        <v>1895</v>
      </c>
      <c r="B1764" t="s">
        <v>51</v>
      </c>
      <c r="C1764" t="str">
        <f>_xlfn.XLOOKUP(B1764,
[1]sales_teams!$A$2:$A$100,
[1]sales_teams!$B$2:$B$100)</f>
        <v>Summer Sewald</v>
      </c>
      <c r="D1764" t="str">
        <f>_xlfn.XLOOKUP($B1764,sales_teams!$A$2:$A$36,sales_teams!C$2:C$36)</f>
        <v>West</v>
      </c>
      <c r="E1764" t="s">
        <v>10</v>
      </c>
      <c r="F1764" t="s">
        <v>30</v>
      </c>
      <c r="G1764" t="s">
        <v>46</v>
      </c>
      <c r="H1764" s="1">
        <v>42818</v>
      </c>
      <c r="I1764" s="1">
        <v>42826</v>
      </c>
      <c r="J1764">
        <v>0</v>
      </c>
    </row>
    <row r="1765" spans="1:10" x14ac:dyDescent="0.3">
      <c r="A1765" t="s">
        <v>1896</v>
      </c>
      <c r="B1765" t="s">
        <v>51</v>
      </c>
      <c r="C1765" t="str">
        <f>_xlfn.XLOOKUP(B1765,
[1]sales_teams!$A$2:$A$100,
[1]sales_teams!$B$2:$B$100)</f>
        <v>Summer Sewald</v>
      </c>
      <c r="D1765" t="str">
        <f>_xlfn.XLOOKUP($B1765,sales_teams!$A$2:$A$36,sales_teams!C$2:C$36)</f>
        <v>West</v>
      </c>
      <c r="E1765" t="s">
        <v>10</v>
      </c>
      <c r="F1765" t="s">
        <v>33</v>
      </c>
      <c r="G1765" t="s">
        <v>12</v>
      </c>
      <c r="H1765" s="1">
        <v>42818</v>
      </c>
      <c r="I1765" s="1">
        <v>42916</v>
      </c>
      <c r="J1765">
        <v>1021</v>
      </c>
    </row>
    <row r="1766" spans="1:10" x14ac:dyDescent="0.3">
      <c r="A1766" t="s">
        <v>1897</v>
      </c>
      <c r="B1766" t="s">
        <v>51</v>
      </c>
      <c r="C1766" t="str">
        <f>_xlfn.XLOOKUP(B1766,
[1]sales_teams!$A$2:$A$100,
[1]sales_teams!$B$2:$B$100)</f>
        <v>Summer Sewald</v>
      </c>
      <c r="D1766" t="str">
        <f>_xlfn.XLOOKUP($B1766,sales_teams!$A$2:$A$36,sales_teams!C$2:C$36)</f>
        <v>West</v>
      </c>
      <c r="E1766" t="s">
        <v>10</v>
      </c>
      <c r="F1766" t="s">
        <v>59</v>
      </c>
      <c r="G1766" t="s">
        <v>12</v>
      </c>
      <c r="H1766" s="1">
        <v>42818</v>
      </c>
      <c r="I1766" s="1">
        <v>42881</v>
      </c>
      <c r="J1766">
        <v>1264</v>
      </c>
    </row>
    <row r="1767" spans="1:10" x14ac:dyDescent="0.3">
      <c r="A1767" t="s">
        <v>1898</v>
      </c>
      <c r="B1767" t="s">
        <v>9</v>
      </c>
      <c r="C1767" t="str">
        <f>_xlfn.XLOOKUP(B1767,
[1]sales_teams!$A$2:$A$100,
[1]sales_teams!$B$2:$B$100)</f>
        <v>Dustin Brinkmann</v>
      </c>
      <c r="D1767" t="str">
        <f>_xlfn.XLOOKUP($B1767,sales_teams!$A$2:$A$36,sales_teams!C$2:C$36)</f>
        <v>Central</v>
      </c>
      <c r="E1767" t="s">
        <v>18</v>
      </c>
      <c r="F1767" t="s">
        <v>36</v>
      </c>
      <c r="G1767" t="s">
        <v>46</v>
      </c>
      <c r="H1767" s="1">
        <v>42818</v>
      </c>
      <c r="I1767" s="1">
        <v>42878</v>
      </c>
      <c r="J1767">
        <v>0</v>
      </c>
    </row>
    <row r="1768" spans="1:10" x14ac:dyDescent="0.3">
      <c r="A1768" t="s">
        <v>1899</v>
      </c>
      <c r="B1768" t="s">
        <v>9</v>
      </c>
      <c r="C1768" t="str">
        <f>_xlfn.XLOOKUP(B1768,
[1]sales_teams!$A$2:$A$100,
[1]sales_teams!$B$2:$B$100)</f>
        <v>Dustin Brinkmann</v>
      </c>
      <c r="D1768" t="str">
        <f>_xlfn.XLOOKUP($B1768,sales_teams!$A$2:$A$36,sales_teams!C$2:C$36)</f>
        <v>Central</v>
      </c>
      <c r="E1768" t="s">
        <v>20</v>
      </c>
      <c r="F1768" t="s">
        <v>27</v>
      </c>
      <c r="G1768" t="s">
        <v>12</v>
      </c>
      <c r="H1768" s="1">
        <v>42818</v>
      </c>
      <c r="I1768" s="1">
        <v>42898</v>
      </c>
      <c r="J1768">
        <v>503</v>
      </c>
    </row>
    <row r="1769" spans="1:10" x14ac:dyDescent="0.3">
      <c r="A1769" t="s">
        <v>1900</v>
      </c>
      <c r="B1769" t="s">
        <v>97</v>
      </c>
      <c r="C1769" t="str">
        <f>_xlfn.XLOOKUP(B1769,
[1]sales_teams!$A$2:$A$100,
[1]sales_teams!$B$2:$B$100)</f>
        <v>Rocco Neubert</v>
      </c>
      <c r="D1769" t="str">
        <f>_xlfn.XLOOKUP($B1769,sales_teams!$A$2:$A$36,sales_teams!C$2:C$36)</f>
        <v>East</v>
      </c>
      <c r="E1769" t="s">
        <v>15</v>
      </c>
      <c r="F1769" t="s">
        <v>81</v>
      </c>
      <c r="G1769" t="s">
        <v>12</v>
      </c>
      <c r="H1769" s="1">
        <v>42818</v>
      </c>
      <c r="I1769" s="1">
        <v>42828</v>
      </c>
      <c r="J1769">
        <v>4440</v>
      </c>
    </row>
    <row r="1770" spans="1:10" x14ac:dyDescent="0.3">
      <c r="A1770" t="s">
        <v>1901</v>
      </c>
      <c r="B1770" t="s">
        <v>61</v>
      </c>
      <c r="C1770" t="str">
        <f>_xlfn.XLOOKUP(B1770,
[1]sales_teams!$A$2:$A$100,
[1]sales_teams!$B$2:$B$100)</f>
        <v>Dustin Brinkmann</v>
      </c>
      <c r="D1770" t="str">
        <f>_xlfn.XLOOKUP($B1770,sales_teams!$A$2:$A$36,sales_teams!C$2:C$36)</f>
        <v>Central</v>
      </c>
      <c r="E1770" t="s">
        <v>10</v>
      </c>
      <c r="F1770" t="s">
        <v>318</v>
      </c>
      <c r="G1770" t="s">
        <v>46</v>
      </c>
      <c r="H1770" s="1">
        <v>42818</v>
      </c>
      <c r="I1770" s="1">
        <v>42828</v>
      </c>
      <c r="J1770">
        <v>0</v>
      </c>
    </row>
    <row r="1771" spans="1:10" x14ac:dyDescent="0.3">
      <c r="A1771" t="s">
        <v>1902</v>
      </c>
      <c r="B1771" t="s">
        <v>61</v>
      </c>
      <c r="C1771" t="str">
        <f>_xlfn.XLOOKUP(B1771,
[1]sales_teams!$A$2:$A$100,
[1]sales_teams!$B$2:$B$100)</f>
        <v>Dustin Brinkmann</v>
      </c>
      <c r="D1771" t="str">
        <f>_xlfn.XLOOKUP($B1771,sales_teams!$A$2:$A$36,sales_teams!C$2:C$36)</f>
        <v>Central</v>
      </c>
      <c r="E1771" t="s">
        <v>18</v>
      </c>
      <c r="F1771" t="s">
        <v>151</v>
      </c>
      <c r="G1771" t="s">
        <v>12</v>
      </c>
      <c r="H1771" s="1">
        <v>42818</v>
      </c>
      <c r="I1771" s="1">
        <v>42827</v>
      </c>
      <c r="J1771">
        <v>52</v>
      </c>
    </row>
    <row r="1772" spans="1:10" x14ac:dyDescent="0.3">
      <c r="A1772" t="s">
        <v>1903</v>
      </c>
      <c r="B1772" t="s">
        <v>29</v>
      </c>
      <c r="C1772" t="str">
        <f>_xlfn.XLOOKUP(B1772,
[1]sales_teams!$A$2:$A$100,
[1]sales_teams!$B$2:$B$100)</f>
        <v>Celia Rouche</v>
      </c>
      <c r="D1772" t="str">
        <f>_xlfn.XLOOKUP($B1772,sales_teams!$A$2:$A$36,sales_teams!C$2:C$36)</f>
        <v>West</v>
      </c>
      <c r="E1772" t="s">
        <v>18</v>
      </c>
      <c r="G1772" t="s">
        <v>40</v>
      </c>
      <c r="H1772" s="1">
        <v>42818</v>
      </c>
    </row>
    <row r="1773" spans="1:10" x14ac:dyDescent="0.3">
      <c r="A1773" t="s">
        <v>1904</v>
      </c>
      <c r="B1773" t="s">
        <v>29</v>
      </c>
      <c r="C1773" t="str">
        <f>_xlfn.XLOOKUP(B1773,
[1]sales_teams!$A$2:$A$100,
[1]sales_teams!$B$2:$B$100)</f>
        <v>Celia Rouche</v>
      </c>
      <c r="D1773" t="str">
        <f>_xlfn.XLOOKUP($B1773,sales_teams!$A$2:$A$36,sales_teams!C$2:C$36)</f>
        <v>West</v>
      </c>
      <c r="E1773" t="s">
        <v>20</v>
      </c>
      <c r="F1773" t="s">
        <v>199</v>
      </c>
      <c r="G1773" t="s">
        <v>46</v>
      </c>
      <c r="H1773" s="1">
        <v>42818</v>
      </c>
      <c r="I1773" s="1">
        <v>42828</v>
      </c>
      <c r="J1773">
        <v>0</v>
      </c>
    </row>
    <row r="1774" spans="1:10" x14ac:dyDescent="0.3">
      <c r="A1774" t="s">
        <v>1905</v>
      </c>
      <c r="B1774" t="s">
        <v>73</v>
      </c>
      <c r="C1774" t="str">
        <f>_xlfn.XLOOKUP(B1774,
[1]sales_teams!$A$2:$A$100,
[1]sales_teams!$B$2:$B$100)</f>
        <v>Cara Losch</v>
      </c>
      <c r="D1774" t="str">
        <f>_xlfn.XLOOKUP($B1774,sales_teams!$A$2:$A$36,sales_teams!C$2:C$36)</f>
        <v>East</v>
      </c>
      <c r="E1774" t="s">
        <v>20</v>
      </c>
      <c r="F1774" t="s">
        <v>240</v>
      </c>
      <c r="G1774" t="s">
        <v>46</v>
      </c>
      <c r="H1774" s="1">
        <v>42818</v>
      </c>
      <c r="I1774" s="1">
        <v>42860</v>
      </c>
      <c r="J1774">
        <v>0</v>
      </c>
    </row>
    <row r="1775" spans="1:10" x14ac:dyDescent="0.3">
      <c r="A1775" t="s">
        <v>1906</v>
      </c>
      <c r="B1775" t="s">
        <v>73</v>
      </c>
      <c r="C1775" t="str">
        <f>_xlfn.XLOOKUP(B1775,
[1]sales_teams!$A$2:$A$100,
[1]sales_teams!$B$2:$B$100)</f>
        <v>Cara Losch</v>
      </c>
      <c r="D1775" t="str">
        <f>_xlfn.XLOOKUP($B1775,sales_teams!$A$2:$A$36,sales_teams!C$2:C$36)</f>
        <v>East</v>
      </c>
      <c r="E1775" t="s">
        <v>18</v>
      </c>
      <c r="F1775" t="s">
        <v>237</v>
      </c>
      <c r="G1775" t="s">
        <v>46</v>
      </c>
      <c r="H1775" s="1">
        <v>42818</v>
      </c>
      <c r="I1775" s="1">
        <v>42831</v>
      </c>
      <c r="J1775">
        <v>0</v>
      </c>
    </row>
    <row r="1776" spans="1:10" x14ac:dyDescent="0.3">
      <c r="A1776" t="s">
        <v>1907</v>
      </c>
      <c r="B1776" t="s">
        <v>73</v>
      </c>
      <c r="C1776" t="str">
        <f>_xlfn.XLOOKUP(B1776,
[1]sales_teams!$A$2:$A$100,
[1]sales_teams!$B$2:$B$100)</f>
        <v>Cara Losch</v>
      </c>
      <c r="D1776" t="str">
        <f>_xlfn.XLOOKUP($B1776,sales_teams!$A$2:$A$36,sales_teams!C$2:C$36)</f>
        <v>East</v>
      </c>
      <c r="E1776" t="s">
        <v>20</v>
      </c>
      <c r="F1776" t="s">
        <v>237</v>
      </c>
      <c r="G1776" t="s">
        <v>12</v>
      </c>
      <c r="H1776" s="1">
        <v>42818</v>
      </c>
      <c r="I1776" s="1">
        <v>42820</v>
      </c>
      <c r="J1776">
        <v>499</v>
      </c>
    </row>
    <row r="1777" spans="1:10" x14ac:dyDescent="0.3">
      <c r="A1777" t="s">
        <v>1908</v>
      </c>
      <c r="B1777" t="s">
        <v>23</v>
      </c>
      <c r="C1777" t="str">
        <f>_xlfn.XLOOKUP(B1777,
[1]sales_teams!$A$2:$A$100,
[1]sales_teams!$B$2:$B$100)</f>
        <v>Summer Sewald</v>
      </c>
      <c r="D1777" t="str">
        <f>_xlfn.XLOOKUP($B1777,sales_teams!$A$2:$A$36,sales_teams!C$2:C$36)</f>
        <v>West</v>
      </c>
      <c r="E1777" t="s">
        <v>48</v>
      </c>
      <c r="G1777" t="s">
        <v>40</v>
      </c>
      <c r="H1777" s="1">
        <v>42818</v>
      </c>
    </row>
    <row r="1778" spans="1:10" x14ac:dyDescent="0.3">
      <c r="A1778" t="s">
        <v>1909</v>
      </c>
      <c r="B1778" t="s">
        <v>23</v>
      </c>
      <c r="C1778" t="str">
        <f>_xlfn.XLOOKUP(B1778,
[1]sales_teams!$A$2:$A$100,
[1]sales_teams!$B$2:$B$100)</f>
        <v>Summer Sewald</v>
      </c>
      <c r="D1778" t="str">
        <f>_xlfn.XLOOKUP($B1778,sales_teams!$A$2:$A$36,sales_teams!C$2:C$36)</f>
        <v>West</v>
      </c>
      <c r="E1778" t="s">
        <v>15</v>
      </c>
      <c r="F1778" t="s">
        <v>33</v>
      </c>
      <c r="G1778" t="s">
        <v>46</v>
      </c>
      <c r="H1778" s="1">
        <v>42818</v>
      </c>
      <c r="I1778" s="1">
        <v>42828</v>
      </c>
      <c r="J1778">
        <v>0</v>
      </c>
    </row>
    <row r="1779" spans="1:10" x14ac:dyDescent="0.3">
      <c r="A1779" t="s">
        <v>1910</v>
      </c>
      <c r="B1779" t="s">
        <v>23</v>
      </c>
      <c r="C1779" t="str">
        <f>_xlfn.XLOOKUP(B1779,
[1]sales_teams!$A$2:$A$100,
[1]sales_teams!$B$2:$B$100)</f>
        <v>Summer Sewald</v>
      </c>
      <c r="D1779" t="str">
        <f>_xlfn.XLOOKUP($B1779,sales_teams!$A$2:$A$36,sales_teams!C$2:C$36)</f>
        <v>West</v>
      </c>
      <c r="E1779" t="s">
        <v>10</v>
      </c>
      <c r="F1779" t="s">
        <v>218</v>
      </c>
      <c r="G1779" t="s">
        <v>12</v>
      </c>
      <c r="H1779" s="1">
        <v>42818</v>
      </c>
      <c r="I1779" s="1">
        <v>42823</v>
      </c>
      <c r="J1779">
        <v>1159</v>
      </c>
    </row>
    <row r="1780" spans="1:10" x14ac:dyDescent="0.3">
      <c r="A1780" t="s">
        <v>1911</v>
      </c>
      <c r="B1780" t="s">
        <v>26</v>
      </c>
      <c r="C1780" t="str">
        <f>_xlfn.XLOOKUP(B1780,
[1]sales_teams!$A$2:$A$100,
[1]sales_teams!$B$2:$B$100)</f>
        <v>Dustin Brinkmann</v>
      </c>
      <c r="D1780" t="str">
        <f>_xlfn.XLOOKUP($B1780,sales_teams!$A$2:$A$36,sales_teams!C$2:C$36)</f>
        <v>Central</v>
      </c>
      <c r="E1780" t="s">
        <v>18</v>
      </c>
      <c r="F1780" t="s">
        <v>207</v>
      </c>
      <c r="G1780" t="s">
        <v>46</v>
      </c>
      <c r="H1780" s="1">
        <v>42819</v>
      </c>
      <c r="I1780" s="1">
        <v>42828</v>
      </c>
      <c r="J1780">
        <v>0</v>
      </c>
    </row>
    <row r="1781" spans="1:10" x14ac:dyDescent="0.3">
      <c r="A1781" t="s">
        <v>1912</v>
      </c>
      <c r="B1781" t="s">
        <v>139</v>
      </c>
      <c r="C1781" t="str">
        <f>_xlfn.XLOOKUP(B1781,
[1]sales_teams!$A$2:$A$100,
[1]sales_teams!$B$2:$B$100)</f>
        <v>Rocco Neubert</v>
      </c>
      <c r="D1781" t="str">
        <f>_xlfn.XLOOKUP($B1781,sales_teams!$A$2:$A$36,sales_teams!C$2:C$36)</f>
        <v>East</v>
      </c>
      <c r="E1781" t="s">
        <v>48</v>
      </c>
      <c r="F1781" t="s">
        <v>204</v>
      </c>
      <c r="G1781" t="s">
        <v>12</v>
      </c>
      <c r="H1781" s="1">
        <v>42819</v>
      </c>
      <c r="I1781" s="1">
        <v>42875</v>
      </c>
      <c r="J1781">
        <v>5479</v>
      </c>
    </row>
    <row r="1782" spans="1:10" x14ac:dyDescent="0.3">
      <c r="A1782" t="s">
        <v>1913</v>
      </c>
      <c r="B1782" t="s">
        <v>118</v>
      </c>
      <c r="C1782" t="str">
        <f>_xlfn.XLOOKUP(B1782,
[1]sales_teams!$A$2:$A$100,
[1]sales_teams!$B$2:$B$100)</f>
        <v>Rocco Neubert</v>
      </c>
      <c r="D1782" t="str">
        <f>_xlfn.XLOOKUP($B1782,sales_teams!$A$2:$A$36,sales_teams!C$2:C$36)</f>
        <v>East</v>
      </c>
      <c r="E1782" t="s">
        <v>39</v>
      </c>
      <c r="G1782" t="s">
        <v>40</v>
      </c>
      <c r="H1782" s="1">
        <v>42819</v>
      </c>
    </row>
    <row r="1783" spans="1:10" x14ac:dyDescent="0.3">
      <c r="A1783" t="s">
        <v>1914</v>
      </c>
      <c r="B1783" t="s">
        <v>64</v>
      </c>
      <c r="C1783" t="str">
        <f>_xlfn.XLOOKUP(B1783,
[1]sales_teams!$A$2:$A$100,
[1]sales_teams!$B$2:$B$100)</f>
        <v>Rocco Neubert</v>
      </c>
      <c r="D1783" t="str">
        <f>_xlfn.XLOOKUP($B1783,sales_teams!$A$2:$A$36,sales_teams!C$2:C$36)</f>
        <v>East</v>
      </c>
      <c r="E1783" t="s">
        <v>15</v>
      </c>
      <c r="G1783" t="s">
        <v>40</v>
      </c>
      <c r="H1783" s="1">
        <v>42819</v>
      </c>
    </row>
    <row r="1784" spans="1:10" x14ac:dyDescent="0.3">
      <c r="A1784" t="s">
        <v>1915</v>
      </c>
      <c r="B1784" t="s">
        <v>64</v>
      </c>
      <c r="C1784" t="str">
        <f>_xlfn.XLOOKUP(B1784,
[1]sales_teams!$A$2:$A$100,
[1]sales_teams!$B$2:$B$100)</f>
        <v>Rocco Neubert</v>
      </c>
      <c r="D1784" t="str">
        <f>_xlfn.XLOOKUP($B1784,sales_teams!$A$2:$A$36,sales_teams!C$2:C$36)</f>
        <v>East</v>
      </c>
      <c r="E1784" t="s">
        <v>15</v>
      </c>
      <c r="F1784" t="s">
        <v>89</v>
      </c>
      <c r="G1784" t="s">
        <v>12</v>
      </c>
      <c r="H1784" s="1">
        <v>42819</v>
      </c>
      <c r="I1784" s="1">
        <v>42874</v>
      </c>
      <c r="J1784">
        <v>4555</v>
      </c>
    </row>
    <row r="1785" spans="1:10" x14ac:dyDescent="0.3">
      <c r="A1785" t="s">
        <v>1916</v>
      </c>
      <c r="B1785" t="s">
        <v>14</v>
      </c>
      <c r="C1785" t="str">
        <f>_xlfn.XLOOKUP(B1785,
[1]sales_teams!$A$2:$A$100,
[1]sales_teams!$B$2:$B$100)</f>
        <v>Melvin Marxen</v>
      </c>
      <c r="D1785" t="str">
        <f>_xlfn.XLOOKUP($B1785,sales_teams!$A$2:$A$36,sales_teams!C$2:C$36)</f>
        <v>Central</v>
      </c>
      <c r="E1785" t="s">
        <v>18</v>
      </c>
      <c r="F1785" t="s">
        <v>315</v>
      </c>
      <c r="G1785" t="s">
        <v>46</v>
      </c>
      <c r="H1785" s="1">
        <v>42819</v>
      </c>
      <c r="I1785" s="1">
        <v>42827</v>
      </c>
      <c r="J1785">
        <v>0</v>
      </c>
    </row>
    <row r="1786" spans="1:10" x14ac:dyDescent="0.3">
      <c r="A1786" t="s">
        <v>1917</v>
      </c>
      <c r="B1786" t="s">
        <v>67</v>
      </c>
      <c r="C1786" t="str">
        <f>_xlfn.XLOOKUP(B1786,
[1]sales_teams!$A$2:$A$100,
[1]sales_teams!$B$2:$B$100)</f>
        <v>Celia Rouche</v>
      </c>
      <c r="D1786" t="str">
        <f>_xlfn.XLOOKUP($B1786,sales_teams!$A$2:$A$36,sales_teams!C$2:C$36)</f>
        <v>West</v>
      </c>
      <c r="E1786" t="s">
        <v>18</v>
      </c>
      <c r="F1786" t="s">
        <v>70</v>
      </c>
      <c r="G1786" t="s">
        <v>46</v>
      </c>
      <c r="H1786" s="1">
        <v>42819</v>
      </c>
      <c r="I1786" s="1">
        <v>42880</v>
      </c>
      <c r="J1786">
        <v>0</v>
      </c>
    </row>
    <row r="1787" spans="1:10" x14ac:dyDescent="0.3">
      <c r="A1787" t="s">
        <v>1918</v>
      </c>
      <c r="B1787" t="s">
        <v>105</v>
      </c>
      <c r="C1787" t="str">
        <f>_xlfn.XLOOKUP(B1787,
[1]sales_teams!$A$2:$A$100,
[1]sales_teams!$B$2:$B$100)</f>
        <v>Cara Losch</v>
      </c>
      <c r="D1787" t="str">
        <f>_xlfn.XLOOKUP($B1787,sales_teams!$A$2:$A$36,sales_teams!C$2:C$36)</f>
        <v>East</v>
      </c>
      <c r="E1787" t="s">
        <v>10</v>
      </c>
      <c r="F1787" t="s">
        <v>240</v>
      </c>
      <c r="G1787" t="s">
        <v>12</v>
      </c>
      <c r="H1787" s="1">
        <v>42819</v>
      </c>
      <c r="I1787" s="1">
        <v>42822</v>
      </c>
      <c r="J1787">
        <v>1026</v>
      </c>
    </row>
    <row r="1788" spans="1:10" x14ac:dyDescent="0.3">
      <c r="A1788" t="s">
        <v>1919</v>
      </c>
      <c r="B1788" t="s">
        <v>44</v>
      </c>
      <c r="C1788" t="str">
        <f>_xlfn.XLOOKUP(B1788,
[1]sales_teams!$A$2:$A$100,
[1]sales_teams!$B$2:$B$100)</f>
        <v>Melvin Marxen</v>
      </c>
      <c r="D1788" t="str">
        <f>_xlfn.XLOOKUP($B1788,sales_teams!$A$2:$A$36,sales_teams!C$2:C$36)</f>
        <v>Central</v>
      </c>
      <c r="E1788" t="s">
        <v>20</v>
      </c>
      <c r="F1788" t="s">
        <v>111</v>
      </c>
      <c r="G1788" t="s">
        <v>12</v>
      </c>
      <c r="H1788" s="1">
        <v>42819</v>
      </c>
      <c r="I1788" s="1">
        <v>42828</v>
      </c>
      <c r="J1788">
        <v>503</v>
      </c>
    </row>
    <row r="1789" spans="1:10" x14ac:dyDescent="0.3">
      <c r="A1789" t="s">
        <v>1920</v>
      </c>
      <c r="B1789" t="s">
        <v>44</v>
      </c>
      <c r="C1789" t="str">
        <f>_xlfn.XLOOKUP(B1789,
[1]sales_teams!$A$2:$A$100,
[1]sales_teams!$B$2:$B$100)</f>
        <v>Melvin Marxen</v>
      </c>
      <c r="D1789" t="str">
        <f>_xlfn.XLOOKUP($B1789,sales_teams!$A$2:$A$36,sales_teams!C$2:C$36)</f>
        <v>Central</v>
      </c>
      <c r="E1789" t="s">
        <v>10</v>
      </c>
      <c r="F1789" t="s">
        <v>492</v>
      </c>
      <c r="G1789" t="s">
        <v>12</v>
      </c>
      <c r="H1789" s="1">
        <v>42819</v>
      </c>
      <c r="I1789" s="1">
        <v>42900</v>
      </c>
      <c r="J1789">
        <v>1144</v>
      </c>
    </row>
    <row r="1790" spans="1:10" x14ac:dyDescent="0.3">
      <c r="A1790" t="s">
        <v>1921</v>
      </c>
      <c r="B1790" t="s">
        <v>44</v>
      </c>
      <c r="C1790" t="str">
        <f>_xlfn.XLOOKUP(B1790,
[1]sales_teams!$A$2:$A$100,
[1]sales_teams!$B$2:$B$100)</f>
        <v>Melvin Marxen</v>
      </c>
      <c r="D1790" t="str">
        <f>_xlfn.XLOOKUP($B1790,sales_teams!$A$2:$A$36,sales_teams!C$2:C$36)</f>
        <v>Central</v>
      </c>
      <c r="E1790" t="s">
        <v>18</v>
      </c>
      <c r="F1790" t="s">
        <v>45</v>
      </c>
      <c r="G1790" t="s">
        <v>12</v>
      </c>
      <c r="H1790" s="1">
        <v>42819</v>
      </c>
      <c r="I1790" s="1">
        <v>42902</v>
      </c>
      <c r="J1790">
        <v>55</v>
      </c>
    </row>
    <row r="1791" spans="1:10" x14ac:dyDescent="0.3">
      <c r="A1791" t="s">
        <v>1922</v>
      </c>
      <c r="B1791" t="s">
        <v>78</v>
      </c>
      <c r="C1791" t="str">
        <f>_xlfn.XLOOKUP(B1791,
[1]sales_teams!$A$2:$A$100,
[1]sales_teams!$B$2:$B$100)</f>
        <v>Summer Sewald</v>
      </c>
      <c r="D1791" t="str">
        <f>_xlfn.XLOOKUP($B1791,sales_teams!$A$2:$A$36,sales_teams!C$2:C$36)</f>
        <v>West</v>
      </c>
      <c r="E1791" t="s">
        <v>20</v>
      </c>
      <c r="G1791" t="s">
        <v>40</v>
      </c>
      <c r="H1791" s="1">
        <v>42819</v>
      </c>
    </row>
    <row r="1792" spans="1:10" x14ac:dyDescent="0.3">
      <c r="A1792" t="s">
        <v>1923</v>
      </c>
      <c r="B1792" t="s">
        <v>95</v>
      </c>
      <c r="C1792" t="str">
        <f>_xlfn.XLOOKUP(B1792,
[1]sales_teams!$A$2:$A$100,
[1]sales_teams!$B$2:$B$100)</f>
        <v>Summer Sewald</v>
      </c>
      <c r="D1792" t="str">
        <f>_xlfn.XLOOKUP($B1792,sales_teams!$A$2:$A$36,sales_teams!C$2:C$36)</f>
        <v>West</v>
      </c>
      <c r="E1792" t="s">
        <v>10</v>
      </c>
      <c r="G1792" t="s">
        <v>40</v>
      </c>
      <c r="H1792" s="1">
        <v>42819</v>
      </c>
    </row>
    <row r="1793" spans="1:10" x14ac:dyDescent="0.3">
      <c r="A1793" t="s">
        <v>1924</v>
      </c>
      <c r="B1793" t="s">
        <v>32</v>
      </c>
      <c r="C1793" t="str">
        <f>_xlfn.XLOOKUP(B1793,
[1]sales_teams!$A$2:$A$100,
[1]sales_teams!$B$2:$B$100)</f>
        <v>Celia Rouche</v>
      </c>
      <c r="D1793" t="str">
        <f>_xlfn.XLOOKUP($B1793,sales_teams!$A$2:$A$36,sales_teams!C$2:C$36)</f>
        <v>West</v>
      </c>
      <c r="E1793" t="s">
        <v>39</v>
      </c>
      <c r="F1793" t="s">
        <v>155</v>
      </c>
      <c r="G1793" t="s">
        <v>12</v>
      </c>
      <c r="H1793" s="1">
        <v>42819</v>
      </c>
      <c r="I1793" s="1">
        <v>42831</v>
      </c>
      <c r="J1793">
        <v>3181</v>
      </c>
    </row>
    <row r="1794" spans="1:10" x14ac:dyDescent="0.3">
      <c r="A1794" t="s">
        <v>1925</v>
      </c>
      <c r="B1794" t="s">
        <v>116</v>
      </c>
      <c r="C1794" t="str">
        <f>_xlfn.XLOOKUP(B1794,
[1]sales_teams!$A$2:$A$100,
[1]sales_teams!$B$2:$B$100)</f>
        <v>Melvin Marxen</v>
      </c>
      <c r="D1794" t="str">
        <f>_xlfn.XLOOKUP($B1794,sales_teams!$A$2:$A$36,sales_teams!C$2:C$36)</f>
        <v>Central</v>
      </c>
      <c r="E1794" t="s">
        <v>18</v>
      </c>
      <c r="F1794" t="s">
        <v>231</v>
      </c>
      <c r="G1794" t="s">
        <v>12</v>
      </c>
      <c r="H1794" s="1">
        <v>42819</v>
      </c>
      <c r="I1794" s="1">
        <v>42905</v>
      </c>
      <c r="J1794">
        <v>54</v>
      </c>
    </row>
    <row r="1795" spans="1:10" x14ac:dyDescent="0.3">
      <c r="A1795" t="s">
        <v>1926</v>
      </c>
      <c r="B1795" t="s">
        <v>51</v>
      </c>
      <c r="C1795" t="str">
        <f>_xlfn.XLOOKUP(B1795,
[1]sales_teams!$A$2:$A$100,
[1]sales_teams!$B$2:$B$100)</f>
        <v>Summer Sewald</v>
      </c>
      <c r="D1795" t="str">
        <f>_xlfn.XLOOKUP($B1795,sales_teams!$A$2:$A$36,sales_teams!C$2:C$36)</f>
        <v>West</v>
      </c>
      <c r="E1795" t="s">
        <v>39</v>
      </c>
      <c r="G1795" t="s">
        <v>40</v>
      </c>
      <c r="H1795" s="1">
        <v>42819</v>
      </c>
    </row>
    <row r="1796" spans="1:10" x14ac:dyDescent="0.3">
      <c r="A1796" t="s">
        <v>1927</v>
      </c>
      <c r="B1796" t="s">
        <v>51</v>
      </c>
      <c r="C1796" t="str">
        <f>_xlfn.XLOOKUP(B1796,
[1]sales_teams!$A$2:$A$100,
[1]sales_teams!$B$2:$B$100)</f>
        <v>Summer Sewald</v>
      </c>
      <c r="D1796" t="str">
        <f>_xlfn.XLOOKUP($B1796,sales_teams!$A$2:$A$36,sales_teams!C$2:C$36)</f>
        <v>West</v>
      </c>
      <c r="E1796" t="s">
        <v>15</v>
      </c>
      <c r="F1796" t="s">
        <v>273</v>
      </c>
      <c r="G1796" t="s">
        <v>12</v>
      </c>
      <c r="H1796" s="1">
        <v>42819</v>
      </c>
      <c r="I1796" s="1">
        <v>42916</v>
      </c>
      <c r="J1796">
        <v>3959</v>
      </c>
    </row>
    <row r="1797" spans="1:10" x14ac:dyDescent="0.3">
      <c r="A1797" t="s">
        <v>1928</v>
      </c>
      <c r="B1797" t="s">
        <v>35</v>
      </c>
      <c r="C1797" t="str">
        <f>_xlfn.XLOOKUP(B1797,
[1]sales_teams!$A$2:$A$100,
[1]sales_teams!$B$2:$B$100)</f>
        <v>Melvin Marxen</v>
      </c>
      <c r="D1797" t="str">
        <f>_xlfn.XLOOKUP($B1797,sales_teams!$A$2:$A$36,sales_teams!C$2:C$36)</f>
        <v>Central</v>
      </c>
      <c r="E1797" t="s">
        <v>20</v>
      </c>
      <c r="F1797" t="s">
        <v>492</v>
      </c>
      <c r="G1797" t="s">
        <v>12</v>
      </c>
      <c r="H1797" s="1">
        <v>42819</v>
      </c>
      <c r="I1797" s="1">
        <v>42886</v>
      </c>
      <c r="J1797">
        <v>571</v>
      </c>
    </row>
    <row r="1798" spans="1:10" x14ac:dyDescent="0.3">
      <c r="A1798" t="s">
        <v>1929</v>
      </c>
      <c r="B1798" t="s">
        <v>97</v>
      </c>
      <c r="C1798" t="str">
        <f>_xlfn.XLOOKUP(B1798,
[1]sales_teams!$A$2:$A$100,
[1]sales_teams!$B$2:$B$100)</f>
        <v>Rocco Neubert</v>
      </c>
      <c r="D1798" t="str">
        <f>_xlfn.XLOOKUP($B1798,sales_teams!$A$2:$A$36,sales_teams!C$2:C$36)</f>
        <v>East</v>
      </c>
      <c r="E1798" t="s">
        <v>15</v>
      </c>
      <c r="F1798" t="s">
        <v>209</v>
      </c>
      <c r="G1798" t="s">
        <v>46</v>
      </c>
      <c r="H1798" s="1">
        <v>42819</v>
      </c>
      <c r="I1798" s="1">
        <v>42830</v>
      </c>
      <c r="J1798">
        <v>0</v>
      </c>
    </row>
    <row r="1799" spans="1:10" x14ac:dyDescent="0.3">
      <c r="A1799" t="s">
        <v>1930</v>
      </c>
      <c r="B1799" t="s">
        <v>29</v>
      </c>
      <c r="C1799" t="str">
        <f>_xlfn.XLOOKUP(B1799,
[1]sales_teams!$A$2:$A$100,
[1]sales_teams!$B$2:$B$100)</f>
        <v>Celia Rouche</v>
      </c>
      <c r="D1799" t="str">
        <f>_xlfn.XLOOKUP($B1799,sales_teams!$A$2:$A$36,sales_teams!C$2:C$36)</f>
        <v>West</v>
      </c>
      <c r="E1799" t="s">
        <v>20</v>
      </c>
      <c r="F1799" t="s">
        <v>155</v>
      </c>
      <c r="G1799" t="s">
        <v>46</v>
      </c>
      <c r="H1799" s="1">
        <v>42819</v>
      </c>
      <c r="I1799" s="1">
        <v>42829</v>
      </c>
      <c r="J1799">
        <v>0</v>
      </c>
    </row>
    <row r="1800" spans="1:10" x14ac:dyDescent="0.3">
      <c r="A1800" t="s">
        <v>1931</v>
      </c>
      <c r="B1800" t="s">
        <v>29</v>
      </c>
      <c r="C1800" t="str">
        <f>_xlfn.XLOOKUP(B1800,
[1]sales_teams!$A$2:$A$100,
[1]sales_teams!$B$2:$B$100)</f>
        <v>Celia Rouche</v>
      </c>
      <c r="D1800" t="str">
        <f>_xlfn.XLOOKUP($B1800,sales_teams!$A$2:$A$36,sales_teams!C$2:C$36)</f>
        <v>West</v>
      </c>
      <c r="E1800" t="s">
        <v>20</v>
      </c>
      <c r="F1800" t="s">
        <v>313</v>
      </c>
      <c r="G1800" t="s">
        <v>12</v>
      </c>
      <c r="H1800" s="1">
        <v>42819</v>
      </c>
      <c r="I1800" s="1">
        <v>42828</v>
      </c>
      <c r="J1800">
        <v>545</v>
      </c>
    </row>
    <row r="1801" spans="1:10" x14ac:dyDescent="0.3">
      <c r="A1801" t="s">
        <v>1932</v>
      </c>
      <c r="B1801" t="s">
        <v>29</v>
      </c>
      <c r="C1801" t="str">
        <f>_xlfn.XLOOKUP(B1801,
[1]sales_teams!$A$2:$A$100,
[1]sales_teams!$B$2:$B$100)</f>
        <v>Celia Rouche</v>
      </c>
      <c r="D1801" t="str">
        <f>_xlfn.XLOOKUP($B1801,sales_teams!$A$2:$A$36,sales_teams!C$2:C$36)</f>
        <v>West</v>
      </c>
      <c r="E1801" t="s">
        <v>20</v>
      </c>
      <c r="F1801" t="s">
        <v>86</v>
      </c>
      <c r="G1801" t="s">
        <v>12</v>
      </c>
      <c r="H1801" s="1">
        <v>42819</v>
      </c>
      <c r="I1801" s="1">
        <v>42907</v>
      </c>
      <c r="J1801">
        <v>554</v>
      </c>
    </row>
    <row r="1802" spans="1:10" x14ac:dyDescent="0.3">
      <c r="A1802" t="s">
        <v>1933</v>
      </c>
      <c r="B1802" t="s">
        <v>73</v>
      </c>
      <c r="C1802" t="str">
        <f>_xlfn.XLOOKUP(B1802,
[1]sales_teams!$A$2:$A$100,
[1]sales_teams!$B$2:$B$100)</f>
        <v>Cara Losch</v>
      </c>
      <c r="D1802" t="str">
        <f>_xlfn.XLOOKUP($B1802,sales_teams!$A$2:$A$36,sales_teams!C$2:C$36)</f>
        <v>East</v>
      </c>
      <c r="E1802" t="s">
        <v>39</v>
      </c>
      <c r="F1802" t="s">
        <v>518</v>
      </c>
      <c r="G1802" t="s">
        <v>40</v>
      </c>
      <c r="H1802" s="1">
        <v>42819</v>
      </c>
    </row>
    <row r="1803" spans="1:10" x14ac:dyDescent="0.3">
      <c r="A1803" t="s">
        <v>1934</v>
      </c>
      <c r="B1803" t="s">
        <v>73</v>
      </c>
      <c r="C1803" t="str">
        <f>_xlfn.XLOOKUP(B1803,
[1]sales_teams!$A$2:$A$100,
[1]sales_teams!$B$2:$B$100)</f>
        <v>Cara Losch</v>
      </c>
      <c r="D1803" t="str">
        <f>_xlfn.XLOOKUP($B1803,sales_teams!$A$2:$A$36,sales_teams!C$2:C$36)</f>
        <v>East</v>
      </c>
      <c r="E1803" t="s">
        <v>18</v>
      </c>
      <c r="F1803" t="s">
        <v>278</v>
      </c>
      <c r="G1803" t="s">
        <v>12</v>
      </c>
      <c r="H1803" s="1">
        <v>42819</v>
      </c>
      <c r="I1803" s="1">
        <v>42827</v>
      </c>
      <c r="J1803">
        <v>68</v>
      </c>
    </row>
    <row r="1804" spans="1:10" x14ac:dyDescent="0.3">
      <c r="A1804" t="s">
        <v>1935</v>
      </c>
      <c r="B1804" t="s">
        <v>73</v>
      </c>
      <c r="C1804" t="str">
        <f>_xlfn.XLOOKUP(B1804,
[1]sales_teams!$A$2:$A$100,
[1]sales_teams!$B$2:$B$100)</f>
        <v>Cara Losch</v>
      </c>
      <c r="D1804" t="str">
        <f>_xlfn.XLOOKUP($B1804,sales_teams!$A$2:$A$36,sales_teams!C$2:C$36)</f>
        <v>East</v>
      </c>
      <c r="E1804" t="s">
        <v>18</v>
      </c>
      <c r="F1804" t="s">
        <v>373</v>
      </c>
      <c r="G1804" t="s">
        <v>12</v>
      </c>
      <c r="H1804" s="1">
        <v>42819</v>
      </c>
      <c r="I1804" s="1">
        <v>42902</v>
      </c>
      <c r="J1804">
        <v>52</v>
      </c>
    </row>
    <row r="1805" spans="1:10" x14ac:dyDescent="0.3">
      <c r="A1805" t="s">
        <v>1936</v>
      </c>
      <c r="B1805" t="s">
        <v>102</v>
      </c>
      <c r="C1805" t="str">
        <f>_xlfn.XLOOKUP(B1805,
[1]sales_teams!$A$2:$A$100,
[1]sales_teams!$B$2:$B$100)</f>
        <v>Cara Losch</v>
      </c>
      <c r="D1805" t="str">
        <f>_xlfn.XLOOKUP($B1805,sales_teams!$A$2:$A$36,sales_teams!C$2:C$36)</f>
        <v>East</v>
      </c>
      <c r="E1805" t="s">
        <v>20</v>
      </c>
      <c r="F1805" t="s">
        <v>129</v>
      </c>
      <c r="G1805" t="s">
        <v>40</v>
      </c>
      <c r="H1805" s="1">
        <v>42819</v>
      </c>
    </row>
    <row r="1806" spans="1:10" x14ac:dyDescent="0.3">
      <c r="A1806" t="s">
        <v>1937</v>
      </c>
      <c r="B1806" t="s">
        <v>26</v>
      </c>
      <c r="C1806" t="str">
        <f>_xlfn.XLOOKUP(B1806,
[1]sales_teams!$A$2:$A$100,
[1]sales_teams!$B$2:$B$100)</f>
        <v>Dustin Brinkmann</v>
      </c>
      <c r="D1806" t="str">
        <f>_xlfn.XLOOKUP($B1806,sales_teams!$A$2:$A$36,sales_teams!C$2:C$36)</f>
        <v>Central</v>
      </c>
      <c r="E1806" t="s">
        <v>18</v>
      </c>
      <c r="F1806" t="s">
        <v>213</v>
      </c>
      <c r="G1806" t="s">
        <v>46</v>
      </c>
      <c r="H1806" s="1">
        <v>42820</v>
      </c>
      <c r="I1806" s="1">
        <v>42829</v>
      </c>
      <c r="J1806">
        <v>0</v>
      </c>
    </row>
    <row r="1807" spans="1:10" x14ac:dyDescent="0.3">
      <c r="A1807" t="s">
        <v>1938</v>
      </c>
      <c r="B1807" t="s">
        <v>26</v>
      </c>
      <c r="C1807" t="str">
        <f>_xlfn.XLOOKUP(B1807,
[1]sales_teams!$A$2:$A$100,
[1]sales_teams!$B$2:$B$100)</f>
        <v>Dustin Brinkmann</v>
      </c>
      <c r="D1807" t="str">
        <f>_xlfn.XLOOKUP($B1807,sales_teams!$A$2:$A$36,sales_teams!C$2:C$36)</f>
        <v>Central</v>
      </c>
      <c r="E1807" t="s">
        <v>18</v>
      </c>
      <c r="F1807" t="s">
        <v>197</v>
      </c>
      <c r="G1807" t="s">
        <v>12</v>
      </c>
      <c r="H1807" s="1">
        <v>42820</v>
      </c>
      <c r="I1807" s="1">
        <v>42829</v>
      </c>
      <c r="J1807">
        <v>54</v>
      </c>
    </row>
    <row r="1808" spans="1:10" x14ac:dyDescent="0.3">
      <c r="A1808" t="s">
        <v>1939</v>
      </c>
      <c r="B1808" t="s">
        <v>118</v>
      </c>
      <c r="C1808" t="str">
        <f>_xlfn.XLOOKUP(B1808,
[1]sales_teams!$A$2:$A$100,
[1]sales_teams!$B$2:$B$100)</f>
        <v>Rocco Neubert</v>
      </c>
      <c r="D1808" t="str">
        <f>_xlfn.XLOOKUP($B1808,sales_teams!$A$2:$A$36,sales_teams!C$2:C$36)</f>
        <v>East</v>
      </c>
      <c r="E1808" t="s">
        <v>39</v>
      </c>
      <c r="F1808" t="s">
        <v>410</v>
      </c>
      <c r="G1808" t="s">
        <v>12</v>
      </c>
      <c r="H1808" s="1">
        <v>42820</v>
      </c>
      <c r="I1808" s="1">
        <v>42880</v>
      </c>
      <c r="J1808">
        <v>3822</v>
      </c>
    </row>
    <row r="1809" spans="1:10" x14ac:dyDescent="0.3">
      <c r="A1809" t="s">
        <v>1940</v>
      </c>
      <c r="B1809" t="s">
        <v>64</v>
      </c>
      <c r="C1809" t="str">
        <f>_xlfn.XLOOKUP(B1809,
[1]sales_teams!$A$2:$A$100,
[1]sales_teams!$B$2:$B$100)</f>
        <v>Rocco Neubert</v>
      </c>
      <c r="D1809" t="str">
        <f>_xlfn.XLOOKUP($B1809,sales_teams!$A$2:$A$36,sales_teams!C$2:C$36)</f>
        <v>East</v>
      </c>
      <c r="E1809" t="s">
        <v>10</v>
      </c>
      <c r="F1809" t="s">
        <v>103</v>
      </c>
      <c r="G1809" t="s">
        <v>12</v>
      </c>
      <c r="H1809" s="1">
        <v>42820</v>
      </c>
      <c r="I1809" s="1">
        <v>42830</v>
      </c>
      <c r="J1809">
        <v>971</v>
      </c>
    </row>
    <row r="1810" spans="1:10" x14ac:dyDescent="0.3">
      <c r="A1810" t="s">
        <v>1941</v>
      </c>
      <c r="B1810" t="s">
        <v>64</v>
      </c>
      <c r="C1810" t="str">
        <f>_xlfn.XLOOKUP(B1810,
[1]sales_teams!$A$2:$A$100,
[1]sales_teams!$B$2:$B$100)</f>
        <v>Rocco Neubert</v>
      </c>
      <c r="D1810" t="str">
        <f>_xlfn.XLOOKUP($B1810,sales_teams!$A$2:$A$36,sales_teams!C$2:C$36)</f>
        <v>East</v>
      </c>
      <c r="E1810" t="s">
        <v>48</v>
      </c>
      <c r="F1810" t="s">
        <v>410</v>
      </c>
      <c r="G1810" t="s">
        <v>12</v>
      </c>
      <c r="H1810" s="1">
        <v>42820</v>
      </c>
      <c r="I1810" s="1">
        <v>42830</v>
      </c>
      <c r="J1810">
        <v>6024</v>
      </c>
    </row>
    <row r="1811" spans="1:10" x14ac:dyDescent="0.3">
      <c r="A1811" t="s">
        <v>1942</v>
      </c>
      <c r="B1811" t="s">
        <v>14</v>
      </c>
      <c r="C1811" t="str">
        <f>_xlfn.XLOOKUP(B1811,
[1]sales_teams!$A$2:$A$100,
[1]sales_teams!$B$2:$B$100)</f>
        <v>Melvin Marxen</v>
      </c>
      <c r="D1811" t="str">
        <f>_xlfn.XLOOKUP($B1811,sales_teams!$A$2:$A$36,sales_teams!C$2:C$36)</f>
        <v>Central</v>
      </c>
      <c r="E1811" t="s">
        <v>15</v>
      </c>
      <c r="F1811" t="s">
        <v>111</v>
      </c>
      <c r="G1811" t="s">
        <v>12</v>
      </c>
      <c r="H1811" s="1">
        <v>42820</v>
      </c>
      <c r="I1811" s="1">
        <v>42829</v>
      </c>
      <c r="J1811">
        <v>4820</v>
      </c>
    </row>
    <row r="1812" spans="1:10" x14ac:dyDescent="0.3">
      <c r="A1812" t="s">
        <v>1943</v>
      </c>
      <c r="B1812" t="s">
        <v>142</v>
      </c>
      <c r="C1812" t="str">
        <f>_xlfn.XLOOKUP(B1812,
[1]sales_teams!$A$2:$A$100,
[1]sales_teams!$B$2:$B$100)</f>
        <v>Rocco Neubert</v>
      </c>
      <c r="D1812" t="str">
        <f>_xlfn.XLOOKUP($B1812,sales_teams!$A$2:$A$36,sales_teams!C$2:C$36)</f>
        <v>East</v>
      </c>
      <c r="E1812" t="s">
        <v>48</v>
      </c>
      <c r="F1812" t="s">
        <v>179</v>
      </c>
      <c r="G1812" t="s">
        <v>46</v>
      </c>
      <c r="H1812" s="1">
        <v>42820</v>
      </c>
      <c r="I1812" s="1">
        <v>42883</v>
      </c>
      <c r="J1812">
        <v>0</v>
      </c>
    </row>
    <row r="1813" spans="1:10" x14ac:dyDescent="0.3">
      <c r="A1813" t="s">
        <v>1944</v>
      </c>
      <c r="B1813" t="s">
        <v>105</v>
      </c>
      <c r="C1813" t="str">
        <f>_xlfn.XLOOKUP(B1813,
[1]sales_teams!$A$2:$A$100,
[1]sales_teams!$B$2:$B$100)</f>
        <v>Cara Losch</v>
      </c>
      <c r="D1813" t="str">
        <f>_xlfn.XLOOKUP($B1813,sales_teams!$A$2:$A$36,sales_teams!C$2:C$36)</f>
        <v>East</v>
      </c>
      <c r="E1813" t="s">
        <v>15</v>
      </c>
      <c r="F1813" t="s">
        <v>215</v>
      </c>
      <c r="G1813" t="s">
        <v>46</v>
      </c>
      <c r="H1813" s="1">
        <v>42820</v>
      </c>
      <c r="I1813" s="1">
        <v>42911</v>
      </c>
      <c r="J1813">
        <v>0</v>
      </c>
    </row>
    <row r="1814" spans="1:10" x14ac:dyDescent="0.3">
      <c r="A1814" t="s">
        <v>1945</v>
      </c>
      <c r="B1814" t="s">
        <v>105</v>
      </c>
      <c r="C1814" t="str">
        <f>_xlfn.XLOOKUP(B1814,
[1]sales_teams!$A$2:$A$100,
[1]sales_teams!$B$2:$B$100)</f>
        <v>Cara Losch</v>
      </c>
      <c r="D1814" t="str">
        <f>_xlfn.XLOOKUP($B1814,sales_teams!$A$2:$A$36,sales_teams!C$2:C$36)</f>
        <v>East</v>
      </c>
      <c r="E1814" t="s">
        <v>39</v>
      </c>
      <c r="F1814" t="s">
        <v>81</v>
      </c>
      <c r="G1814" t="s">
        <v>12</v>
      </c>
      <c r="H1814" s="1">
        <v>42820</v>
      </c>
      <c r="I1814" s="1">
        <v>42827</v>
      </c>
      <c r="J1814">
        <v>2940</v>
      </c>
    </row>
    <row r="1815" spans="1:10" x14ac:dyDescent="0.3">
      <c r="A1815" t="s">
        <v>1946</v>
      </c>
      <c r="B1815" t="s">
        <v>54</v>
      </c>
      <c r="C1815" t="str">
        <f>_xlfn.XLOOKUP(B1815,
[1]sales_teams!$A$2:$A$100,
[1]sales_teams!$B$2:$B$100)</f>
        <v>Celia Rouche</v>
      </c>
      <c r="D1815" t="str">
        <f>_xlfn.XLOOKUP($B1815,sales_teams!$A$2:$A$36,sales_teams!C$2:C$36)</f>
        <v>West</v>
      </c>
      <c r="E1815" t="s">
        <v>39</v>
      </c>
      <c r="G1815" t="s">
        <v>40</v>
      </c>
      <c r="H1815" s="1">
        <v>42820</v>
      </c>
    </row>
    <row r="1816" spans="1:10" x14ac:dyDescent="0.3">
      <c r="A1816" t="s">
        <v>1947</v>
      </c>
      <c r="B1816" t="s">
        <v>54</v>
      </c>
      <c r="C1816" t="str">
        <f>_xlfn.XLOOKUP(B1816,
[1]sales_teams!$A$2:$A$100,
[1]sales_teams!$B$2:$B$100)</f>
        <v>Celia Rouche</v>
      </c>
      <c r="D1816" t="str">
        <f>_xlfn.XLOOKUP($B1816,sales_teams!$A$2:$A$36,sales_teams!C$2:C$36)</f>
        <v>West</v>
      </c>
      <c r="E1816" t="s">
        <v>18</v>
      </c>
      <c r="F1816" t="s">
        <v>224</v>
      </c>
      <c r="G1816" t="s">
        <v>12</v>
      </c>
      <c r="H1816" s="1">
        <v>42820</v>
      </c>
      <c r="I1816" s="1">
        <v>42829</v>
      </c>
      <c r="J1816">
        <v>49</v>
      </c>
    </row>
    <row r="1817" spans="1:10" x14ac:dyDescent="0.3">
      <c r="A1817" t="s">
        <v>1948</v>
      </c>
      <c r="B1817" t="s">
        <v>38</v>
      </c>
      <c r="C1817" t="str">
        <f>_xlfn.XLOOKUP(B1817,
[1]sales_teams!$A$2:$A$100,
[1]sales_teams!$B$2:$B$100)</f>
        <v>Summer Sewald</v>
      </c>
      <c r="D1817" t="str">
        <f>_xlfn.XLOOKUP($B1817,sales_teams!$A$2:$A$36,sales_teams!C$2:C$36)</f>
        <v>West</v>
      </c>
      <c r="E1817" t="s">
        <v>15</v>
      </c>
      <c r="G1817" t="s">
        <v>40</v>
      </c>
      <c r="H1817" s="1">
        <v>42820</v>
      </c>
    </row>
    <row r="1818" spans="1:10" x14ac:dyDescent="0.3">
      <c r="A1818" t="s">
        <v>1949</v>
      </c>
      <c r="B1818" t="s">
        <v>38</v>
      </c>
      <c r="C1818" t="str">
        <f>_xlfn.XLOOKUP(B1818,
[1]sales_teams!$A$2:$A$100,
[1]sales_teams!$B$2:$B$100)</f>
        <v>Summer Sewald</v>
      </c>
      <c r="D1818" t="str">
        <f>_xlfn.XLOOKUP($B1818,sales_teams!$A$2:$A$36,sales_teams!C$2:C$36)</f>
        <v>West</v>
      </c>
      <c r="E1818" t="s">
        <v>18</v>
      </c>
      <c r="G1818" t="s">
        <v>40</v>
      </c>
      <c r="H1818" s="1">
        <v>42820</v>
      </c>
    </row>
    <row r="1819" spans="1:10" x14ac:dyDescent="0.3">
      <c r="A1819" t="s">
        <v>1950</v>
      </c>
      <c r="B1819" t="s">
        <v>252</v>
      </c>
      <c r="C1819" t="str">
        <f>_xlfn.XLOOKUP(B1819,
[1]sales_teams!$A$2:$A$100,
[1]sales_teams!$B$2:$B$100)</f>
        <v>Melvin Marxen</v>
      </c>
      <c r="D1819" t="str">
        <f>_xlfn.XLOOKUP($B1819,sales_teams!$A$2:$A$36,sales_teams!C$2:C$36)</f>
        <v>Central</v>
      </c>
      <c r="E1819" t="s">
        <v>20</v>
      </c>
      <c r="F1819" t="s">
        <v>120</v>
      </c>
      <c r="G1819" t="s">
        <v>46</v>
      </c>
      <c r="H1819" s="1">
        <v>42820</v>
      </c>
      <c r="I1819" s="1">
        <v>42827</v>
      </c>
      <c r="J1819">
        <v>0</v>
      </c>
    </row>
    <row r="1820" spans="1:10" x14ac:dyDescent="0.3">
      <c r="A1820" t="s">
        <v>1951</v>
      </c>
      <c r="B1820" t="s">
        <v>78</v>
      </c>
      <c r="C1820" t="str">
        <f>_xlfn.XLOOKUP(B1820,
[1]sales_teams!$A$2:$A$100,
[1]sales_teams!$B$2:$B$100)</f>
        <v>Summer Sewald</v>
      </c>
      <c r="D1820" t="str">
        <f>_xlfn.XLOOKUP($B1820,sales_teams!$A$2:$A$36,sales_teams!C$2:C$36)</f>
        <v>West</v>
      </c>
      <c r="E1820" t="s">
        <v>10</v>
      </c>
      <c r="F1820" t="s">
        <v>55</v>
      </c>
      <c r="G1820" t="s">
        <v>46</v>
      </c>
      <c r="H1820" s="1">
        <v>42820</v>
      </c>
      <c r="I1820" s="1">
        <v>42886</v>
      </c>
      <c r="J1820">
        <v>0</v>
      </c>
    </row>
    <row r="1821" spans="1:10" x14ac:dyDescent="0.3">
      <c r="A1821" t="s">
        <v>1952</v>
      </c>
      <c r="B1821" t="s">
        <v>78</v>
      </c>
      <c r="C1821" t="str">
        <f>_xlfn.XLOOKUP(B1821,
[1]sales_teams!$A$2:$A$100,
[1]sales_teams!$B$2:$B$100)</f>
        <v>Summer Sewald</v>
      </c>
      <c r="D1821" t="str">
        <f>_xlfn.XLOOKUP($B1821,sales_teams!$A$2:$A$36,sales_teams!C$2:C$36)</f>
        <v>West</v>
      </c>
      <c r="E1821" t="s">
        <v>20</v>
      </c>
      <c r="F1821" t="s">
        <v>30</v>
      </c>
      <c r="G1821" t="s">
        <v>12</v>
      </c>
      <c r="H1821" s="1">
        <v>42820</v>
      </c>
      <c r="I1821" s="1">
        <v>42877</v>
      </c>
      <c r="J1821">
        <v>545</v>
      </c>
    </row>
    <row r="1822" spans="1:10" x14ac:dyDescent="0.3">
      <c r="A1822" t="s">
        <v>1953</v>
      </c>
      <c r="B1822" t="s">
        <v>95</v>
      </c>
      <c r="C1822" t="str">
        <f>_xlfn.XLOOKUP(B1822,
[1]sales_teams!$A$2:$A$100,
[1]sales_teams!$B$2:$B$100)</f>
        <v>Summer Sewald</v>
      </c>
      <c r="D1822" t="str">
        <f>_xlfn.XLOOKUP($B1822,sales_teams!$A$2:$A$36,sales_teams!C$2:C$36)</f>
        <v>West</v>
      </c>
      <c r="E1822" t="s">
        <v>48</v>
      </c>
      <c r="F1822" t="s">
        <v>187</v>
      </c>
      <c r="G1822" t="s">
        <v>40</v>
      </c>
      <c r="H1822" s="1">
        <v>42820</v>
      </c>
    </row>
    <row r="1823" spans="1:10" x14ac:dyDescent="0.3">
      <c r="A1823" t="s">
        <v>1954</v>
      </c>
      <c r="B1823" t="s">
        <v>32</v>
      </c>
      <c r="C1823" t="str">
        <f>_xlfn.XLOOKUP(B1823,
[1]sales_teams!$A$2:$A$100,
[1]sales_teams!$B$2:$B$100)</f>
        <v>Celia Rouche</v>
      </c>
      <c r="D1823" t="str">
        <f>_xlfn.XLOOKUP($B1823,sales_teams!$A$2:$A$36,sales_teams!C$2:C$36)</f>
        <v>West</v>
      </c>
      <c r="E1823" t="s">
        <v>18</v>
      </c>
      <c r="F1823" t="s">
        <v>159</v>
      </c>
      <c r="G1823" t="s">
        <v>12</v>
      </c>
      <c r="H1823" s="1">
        <v>42820</v>
      </c>
      <c r="I1823" s="1">
        <v>42904</v>
      </c>
      <c r="J1823">
        <v>58</v>
      </c>
    </row>
    <row r="1824" spans="1:10" x14ac:dyDescent="0.3">
      <c r="A1824" t="s">
        <v>1955</v>
      </c>
      <c r="B1824" t="s">
        <v>116</v>
      </c>
      <c r="C1824" t="str">
        <f>_xlfn.XLOOKUP(B1824,
[1]sales_teams!$A$2:$A$100,
[1]sales_teams!$B$2:$B$100)</f>
        <v>Melvin Marxen</v>
      </c>
      <c r="D1824" t="str">
        <f>_xlfn.XLOOKUP($B1824,sales_teams!$A$2:$A$36,sales_teams!C$2:C$36)</f>
        <v>Central</v>
      </c>
      <c r="E1824" t="s">
        <v>39</v>
      </c>
      <c r="F1824" t="s">
        <v>492</v>
      </c>
      <c r="G1824" t="s">
        <v>46</v>
      </c>
      <c r="H1824" s="1">
        <v>42820</v>
      </c>
      <c r="I1824" s="1">
        <v>42828</v>
      </c>
      <c r="J1824">
        <v>0</v>
      </c>
    </row>
    <row r="1825" spans="1:10" x14ac:dyDescent="0.3">
      <c r="A1825" t="s">
        <v>1956</v>
      </c>
      <c r="B1825" t="s">
        <v>35</v>
      </c>
      <c r="C1825" t="str">
        <f>_xlfn.XLOOKUP(B1825,
[1]sales_teams!$A$2:$A$100,
[1]sales_teams!$B$2:$B$100)</f>
        <v>Melvin Marxen</v>
      </c>
      <c r="D1825" t="str">
        <f>_xlfn.XLOOKUP($B1825,sales_teams!$A$2:$A$36,sales_teams!C$2:C$36)</f>
        <v>Central</v>
      </c>
      <c r="E1825" t="s">
        <v>15</v>
      </c>
      <c r="F1825" t="s">
        <v>197</v>
      </c>
      <c r="G1825" t="s">
        <v>12</v>
      </c>
      <c r="H1825" s="1">
        <v>42820</v>
      </c>
      <c r="I1825" s="1">
        <v>42867</v>
      </c>
      <c r="J1825">
        <v>4280</v>
      </c>
    </row>
    <row r="1826" spans="1:10" x14ac:dyDescent="0.3">
      <c r="A1826" t="s">
        <v>1957</v>
      </c>
      <c r="B1826" t="s">
        <v>97</v>
      </c>
      <c r="C1826" t="str">
        <f>_xlfn.XLOOKUP(B1826,
[1]sales_teams!$A$2:$A$100,
[1]sales_teams!$B$2:$B$100)</f>
        <v>Rocco Neubert</v>
      </c>
      <c r="D1826" t="str">
        <f>_xlfn.XLOOKUP($B1826,sales_teams!$A$2:$A$36,sales_teams!C$2:C$36)</f>
        <v>East</v>
      </c>
      <c r="E1826" t="s">
        <v>39</v>
      </c>
      <c r="F1826" t="s">
        <v>189</v>
      </c>
      <c r="G1826" t="s">
        <v>12</v>
      </c>
      <c r="H1826" s="1">
        <v>42820</v>
      </c>
      <c r="I1826" s="1">
        <v>42884</v>
      </c>
      <c r="J1826">
        <v>2880</v>
      </c>
    </row>
    <row r="1827" spans="1:10" x14ac:dyDescent="0.3">
      <c r="A1827" t="s">
        <v>1958</v>
      </c>
      <c r="B1827" t="s">
        <v>57</v>
      </c>
      <c r="C1827" t="str">
        <f>_xlfn.XLOOKUP(B1827,
[1]sales_teams!$A$2:$A$100,
[1]sales_teams!$B$2:$B$100)</f>
        <v>Celia Rouche</v>
      </c>
      <c r="D1827" t="str">
        <f>_xlfn.XLOOKUP($B1827,sales_teams!$A$2:$A$36,sales_teams!C$2:C$36)</f>
        <v>West</v>
      </c>
      <c r="E1827" t="s">
        <v>145</v>
      </c>
      <c r="F1827" t="s">
        <v>159</v>
      </c>
      <c r="G1827" t="s">
        <v>12</v>
      </c>
      <c r="H1827" s="1">
        <v>42820</v>
      </c>
      <c r="I1827" s="1">
        <v>42830</v>
      </c>
      <c r="J1827">
        <v>25288</v>
      </c>
    </row>
    <row r="1828" spans="1:10" x14ac:dyDescent="0.3">
      <c r="A1828" t="s">
        <v>1959</v>
      </c>
      <c r="B1828" t="s">
        <v>61</v>
      </c>
      <c r="C1828" t="str">
        <f>_xlfn.XLOOKUP(B1828,
[1]sales_teams!$A$2:$A$100,
[1]sales_teams!$B$2:$B$100)</f>
        <v>Dustin Brinkmann</v>
      </c>
      <c r="D1828" t="str">
        <f>_xlfn.XLOOKUP($B1828,sales_teams!$A$2:$A$36,sales_teams!C$2:C$36)</f>
        <v>Central</v>
      </c>
      <c r="E1828" t="s">
        <v>18</v>
      </c>
      <c r="F1828" t="s">
        <v>315</v>
      </c>
      <c r="G1828" t="s">
        <v>46</v>
      </c>
      <c r="H1828" s="1">
        <v>42820</v>
      </c>
      <c r="I1828" s="1">
        <v>42880</v>
      </c>
      <c r="J1828">
        <v>0</v>
      </c>
    </row>
    <row r="1829" spans="1:10" x14ac:dyDescent="0.3">
      <c r="A1829" t="s">
        <v>1960</v>
      </c>
      <c r="B1829" t="s">
        <v>29</v>
      </c>
      <c r="C1829" t="str">
        <f>_xlfn.XLOOKUP(B1829,
[1]sales_teams!$A$2:$A$100,
[1]sales_teams!$B$2:$B$100)</f>
        <v>Celia Rouche</v>
      </c>
      <c r="D1829" t="str">
        <f>_xlfn.XLOOKUP($B1829,sales_teams!$A$2:$A$36,sales_teams!C$2:C$36)</f>
        <v>West</v>
      </c>
      <c r="E1829" t="s">
        <v>18</v>
      </c>
      <c r="F1829" t="s">
        <v>24</v>
      </c>
      <c r="G1829" t="s">
        <v>46</v>
      </c>
      <c r="H1829" s="1">
        <v>42820</v>
      </c>
      <c r="I1829" s="1">
        <v>42861</v>
      </c>
      <c r="J1829">
        <v>0</v>
      </c>
    </row>
    <row r="1830" spans="1:10" x14ac:dyDescent="0.3">
      <c r="A1830" t="s">
        <v>1961</v>
      </c>
      <c r="B1830" t="s">
        <v>23</v>
      </c>
      <c r="C1830" t="str">
        <f>_xlfn.XLOOKUP(B1830,
[1]sales_teams!$A$2:$A$100,
[1]sales_teams!$B$2:$B$100)</f>
        <v>Summer Sewald</v>
      </c>
      <c r="D1830" t="str">
        <f>_xlfn.XLOOKUP($B1830,sales_teams!$A$2:$A$36,sales_teams!C$2:C$36)</f>
        <v>West</v>
      </c>
      <c r="E1830" t="s">
        <v>20</v>
      </c>
      <c r="F1830" t="s">
        <v>148</v>
      </c>
      <c r="G1830" t="s">
        <v>46</v>
      </c>
      <c r="H1830" s="1">
        <v>42820</v>
      </c>
      <c r="I1830" s="1">
        <v>42829</v>
      </c>
      <c r="J1830">
        <v>0</v>
      </c>
    </row>
    <row r="1831" spans="1:10" x14ac:dyDescent="0.3">
      <c r="A1831" t="s">
        <v>1962</v>
      </c>
      <c r="B1831" t="s">
        <v>23</v>
      </c>
      <c r="C1831" t="str">
        <f>_xlfn.XLOOKUP(B1831,
[1]sales_teams!$A$2:$A$100,
[1]sales_teams!$B$2:$B$100)</f>
        <v>Summer Sewald</v>
      </c>
      <c r="D1831" t="str">
        <f>_xlfn.XLOOKUP($B1831,sales_teams!$A$2:$A$36,sales_teams!C$2:C$36)</f>
        <v>West</v>
      </c>
      <c r="E1831" t="s">
        <v>20</v>
      </c>
      <c r="F1831" t="s">
        <v>315</v>
      </c>
      <c r="G1831" t="s">
        <v>46</v>
      </c>
      <c r="H1831" s="1">
        <v>42820</v>
      </c>
      <c r="I1831" s="1">
        <v>42869</v>
      </c>
      <c r="J1831">
        <v>0</v>
      </c>
    </row>
    <row r="1832" spans="1:10" x14ac:dyDescent="0.3">
      <c r="A1832" t="s">
        <v>1963</v>
      </c>
      <c r="B1832" t="s">
        <v>202</v>
      </c>
      <c r="C1832" t="str">
        <f>_xlfn.XLOOKUP(B1832,
[1]sales_teams!$A$2:$A$100,
[1]sales_teams!$B$2:$B$100)</f>
        <v>Dustin Brinkmann</v>
      </c>
      <c r="D1832" t="str">
        <f>_xlfn.XLOOKUP($B1832,sales_teams!$A$2:$A$36,sales_teams!C$2:C$36)</f>
        <v>Central</v>
      </c>
      <c r="E1832" t="s">
        <v>39</v>
      </c>
      <c r="F1832" t="s">
        <v>36</v>
      </c>
      <c r="G1832" t="s">
        <v>12</v>
      </c>
      <c r="H1832" s="1">
        <v>42821</v>
      </c>
      <c r="I1832" s="1">
        <v>42884</v>
      </c>
      <c r="J1832">
        <v>3267</v>
      </c>
    </row>
    <row r="1833" spans="1:10" x14ac:dyDescent="0.3">
      <c r="A1833" t="s">
        <v>1964</v>
      </c>
      <c r="B1833" t="s">
        <v>64</v>
      </c>
      <c r="C1833" t="str">
        <f>_xlfn.XLOOKUP(B1833,
[1]sales_teams!$A$2:$A$100,
[1]sales_teams!$B$2:$B$100)</f>
        <v>Rocco Neubert</v>
      </c>
      <c r="D1833" t="str">
        <f>_xlfn.XLOOKUP($B1833,sales_teams!$A$2:$A$36,sales_teams!C$2:C$36)</f>
        <v>East</v>
      </c>
      <c r="E1833" t="s">
        <v>48</v>
      </c>
      <c r="F1833" t="s">
        <v>204</v>
      </c>
      <c r="G1833" t="s">
        <v>12</v>
      </c>
      <c r="H1833" s="1">
        <v>42821</v>
      </c>
      <c r="I1833" s="1">
        <v>42895</v>
      </c>
      <c r="J1833">
        <v>5182</v>
      </c>
    </row>
    <row r="1834" spans="1:10" x14ac:dyDescent="0.3">
      <c r="A1834" t="s">
        <v>1965</v>
      </c>
      <c r="B1834" t="s">
        <v>14</v>
      </c>
      <c r="C1834" t="str">
        <f>_xlfn.XLOOKUP(B1834,
[1]sales_teams!$A$2:$A$100,
[1]sales_teams!$B$2:$B$100)</f>
        <v>Melvin Marxen</v>
      </c>
      <c r="D1834" t="str">
        <f>_xlfn.XLOOKUP($B1834,sales_teams!$A$2:$A$36,sales_teams!C$2:C$36)</f>
        <v>Central</v>
      </c>
      <c r="E1834" t="s">
        <v>15</v>
      </c>
      <c r="F1834" t="s">
        <v>11</v>
      </c>
      <c r="G1834" t="s">
        <v>46</v>
      </c>
      <c r="H1834" s="1">
        <v>42821</v>
      </c>
      <c r="I1834" s="1">
        <v>42830</v>
      </c>
      <c r="J1834">
        <v>0</v>
      </c>
    </row>
    <row r="1835" spans="1:10" x14ac:dyDescent="0.3">
      <c r="A1835" t="s">
        <v>1966</v>
      </c>
      <c r="B1835" t="s">
        <v>14</v>
      </c>
      <c r="C1835" t="str">
        <f>_xlfn.XLOOKUP(B1835,
[1]sales_teams!$A$2:$A$100,
[1]sales_teams!$B$2:$B$100)</f>
        <v>Melvin Marxen</v>
      </c>
      <c r="D1835" t="str">
        <f>_xlfn.XLOOKUP($B1835,sales_teams!$A$2:$A$36,sales_teams!C$2:C$36)</f>
        <v>Central</v>
      </c>
      <c r="E1835" t="s">
        <v>18</v>
      </c>
      <c r="F1835" t="s">
        <v>187</v>
      </c>
      <c r="G1835" t="s">
        <v>46</v>
      </c>
      <c r="H1835" s="1">
        <v>42821</v>
      </c>
      <c r="I1835" s="1">
        <v>42832</v>
      </c>
      <c r="J1835">
        <v>0</v>
      </c>
    </row>
    <row r="1836" spans="1:10" x14ac:dyDescent="0.3">
      <c r="A1836" t="s">
        <v>1967</v>
      </c>
      <c r="B1836" t="s">
        <v>105</v>
      </c>
      <c r="C1836" t="str">
        <f>_xlfn.XLOOKUP(B1836,
[1]sales_teams!$A$2:$A$100,
[1]sales_teams!$B$2:$B$100)</f>
        <v>Cara Losch</v>
      </c>
      <c r="D1836" t="str">
        <f>_xlfn.XLOOKUP($B1836,sales_teams!$A$2:$A$36,sales_teams!C$2:C$36)</f>
        <v>East</v>
      </c>
      <c r="E1836" t="s">
        <v>15</v>
      </c>
      <c r="F1836" t="s">
        <v>373</v>
      </c>
      <c r="G1836" t="s">
        <v>46</v>
      </c>
      <c r="H1836" s="1">
        <v>42821</v>
      </c>
      <c r="I1836" s="1">
        <v>42886</v>
      </c>
      <c r="J1836">
        <v>0</v>
      </c>
    </row>
    <row r="1837" spans="1:10" x14ac:dyDescent="0.3">
      <c r="A1837" t="s">
        <v>1968</v>
      </c>
      <c r="B1837" t="s">
        <v>38</v>
      </c>
      <c r="C1837" t="str">
        <f>_xlfn.XLOOKUP(B1837,
[1]sales_teams!$A$2:$A$100,
[1]sales_teams!$B$2:$B$100)</f>
        <v>Summer Sewald</v>
      </c>
      <c r="D1837" t="str">
        <f>_xlfn.XLOOKUP($B1837,sales_teams!$A$2:$A$36,sales_teams!C$2:C$36)</f>
        <v>West</v>
      </c>
      <c r="E1837" t="s">
        <v>20</v>
      </c>
      <c r="F1837" t="s">
        <v>159</v>
      </c>
      <c r="G1837" t="s">
        <v>12</v>
      </c>
      <c r="H1837" s="1">
        <v>42821</v>
      </c>
      <c r="I1837" s="1">
        <v>42880</v>
      </c>
      <c r="J1837">
        <v>540</v>
      </c>
    </row>
    <row r="1838" spans="1:10" x14ac:dyDescent="0.3">
      <c r="A1838" t="s">
        <v>1969</v>
      </c>
      <c r="B1838" t="s">
        <v>38</v>
      </c>
      <c r="C1838" t="str">
        <f>_xlfn.XLOOKUP(B1838,
[1]sales_teams!$A$2:$A$100,
[1]sales_teams!$B$2:$B$100)</f>
        <v>Summer Sewald</v>
      </c>
      <c r="D1838" t="str">
        <f>_xlfn.XLOOKUP($B1838,sales_teams!$A$2:$A$36,sales_teams!C$2:C$36)</f>
        <v>West</v>
      </c>
      <c r="E1838" t="s">
        <v>39</v>
      </c>
      <c r="F1838" t="s">
        <v>55</v>
      </c>
      <c r="G1838" t="s">
        <v>12</v>
      </c>
      <c r="H1838" s="1">
        <v>42821</v>
      </c>
      <c r="I1838" s="1">
        <v>42856</v>
      </c>
      <c r="J1838">
        <v>3492</v>
      </c>
    </row>
    <row r="1839" spans="1:10" x14ac:dyDescent="0.3">
      <c r="A1839" t="s">
        <v>1970</v>
      </c>
      <c r="B1839" t="s">
        <v>252</v>
      </c>
      <c r="C1839" t="str">
        <f>_xlfn.XLOOKUP(B1839,
[1]sales_teams!$A$2:$A$100,
[1]sales_teams!$B$2:$B$100)</f>
        <v>Melvin Marxen</v>
      </c>
      <c r="D1839" t="str">
        <f>_xlfn.XLOOKUP($B1839,sales_teams!$A$2:$A$36,sales_teams!C$2:C$36)</f>
        <v>Central</v>
      </c>
      <c r="E1839" t="s">
        <v>48</v>
      </c>
      <c r="F1839" t="s">
        <v>91</v>
      </c>
      <c r="G1839" t="s">
        <v>12</v>
      </c>
      <c r="H1839" s="1">
        <v>42821</v>
      </c>
      <c r="I1839" s="1">
        <v>42912</v>
      </c>
      <c r="J1839">
        <v>5991</v>
      </c>
    </row>
    <row r="1840" spans="1:10" x14ac:dyDescent="0.3">
      <c r="A1840" t="s">
        <v>1971</v>
      </c>
      <c r="B1840" t="s">
        <v>32</v>
      </c>
      <c r="C1840" t="str">
        <f>_xlfn.XLOOKUP(B1840,
[1]sales_teams!$A$2:$A$100,
[1]sales_teams!$B$2:$B$100)</f>
        <v>Celia Rouche</v>
      </c>
      <c r="D1840" t="str">
        <f>_xlfn.XLOOKUP($B1840,sales_teams!$A$2:$A$36,sales_teams!C$2:C$36)</f>
        <v>West</v>
      </c>
      <c r="E1840" t="s">
        <v>20</v>
      </c>
      <c r="F1840" t="s">
        <v>184</v>
      </c>
      <c r="G1840" t="s">
        <v>46</v>
      </c>
      <c r="H1840" s="1">
        <v>42821</v>
      </c>
      <c r="I1840" s="1">
        <v>42827</v>
      </c>
      <c r="J1840">
        <v>0</v>
      </c>
    </row>
    <row r="1841" spans="1:10" x14ac:dyDescent="0.3">
      <c r="A1841" t="s">
        <v>1972</v>
      </c>
      <c r="B1841" t="s">
        <v>32</v>
      </c>
      <c r="C1841" t="str">
        <f>_xlfn.XLOOKUP(B1841,
[1]sales_teams!$A$2:$A$100,
[1]sales_teams!$B$2:$B$100)</f>
        <v>Celia Rouche</v>
      </c>
      <c r="D1841" t="str">
        <f>_xlfn.XLOOKUP($B1841,sales_teams!$A$2:$A$36,sales_teams!C$2:C$36)</f>
        <v>West</v>
      </c>
      <c r="E1841" t="s">
        <v>39</v>
      </c>
      <c r="F1841" t="s">
        <v>199</v>
      </c>
      <c r="G1841" t="s">
        <v>46</v>
      </c>
      <c r="H1841" s="1">
        <v>42821</v>
      </c>
      <c r="I1841" s="1">
        <v>42831</v>
      </c>
      <c r="J1841">
        <v>0</v>
      </c>
    </row>
    <row r="1842" spans="1:10" x14ac:dyDescent="0.3">
      <c r="A1842" t="s">
        <v>1973</v>
      </c>
      <c r="B1842" t="s">
        <v>32</v>
      </c>
      <c r="C1842" t="str">
        <f>_xlfn.XLOOKUP(B1842,
[1]sales_teams!$A$2:$A$100,
[1]sales_teams!$B$2:$B$100)</f>
        <v>Celia Rouche</v>
      </c>
      <c r="D1842" t="str">
        <f>_xlfn.XLOOKUP($B1842,sales_teams!$A$2:$A$36,sales_teams!C$2:C$36)</f>
        <v>West</v>
      </c>
      <c r="E1842" t="s">
        <v>15</v>
      </c>
      <c r="F1842" t="s">
        <v>49</v>
      </c>
      <c r="G1842" t="s">
        <v>12</v>
      </c>
      <c r="H1842" s="1">
        <v>42821</v>
      </c>
      <c r="I1842" s="1">
        <v>42912</v>
      </c>
      <c r="J1842">
        <v>4968</v>
      </c>
    </row>
    <row r="1843" spans="1:10" x14ac:dyDescent="0.3">
      <c r="A1843" t="s">
        <v>1974</v>
      </c>
      <c r="B1843" t="s">
        <v>51</v>
      </c>
      <c r="C1843" t="str">
        <f>_xlfn.XLOOKUP(B1843,
[1]sales_teams!$A$2:$A$100,
[1]sales_teams!$B$2:$B$100)</f>
        <v>Summer Sewald</v>
      </c>
      <c r="D1843" t="str">
        <f>_xlfn.XLOOKUP($B1843,sales_teams!$A$2:$A$36,sales_teams!C$2:C$36)</f>
        <v>West</v>
      </c>
      <c r="E1843" t="s">
        <v>15</v>
      </c>
      <c r="F1843" t="s">
        <v>199</v>
      </c>
      <c r="G1843" t="s">
        <v>12</v>
      </c>
      <c r="H1843" s="1">
        <v>42821</v>
      </c>
      <c r="I1843" s="1">
        <v>42881</v>
      </c>
      <c r="J1843">
        <v>5006</v>
      </c>
    </row>
    <row r="1844" spans="1:10" x14ac:dyDescent="0.3">
      <c r="A1844" t="s">
        <v>1975</v>
      </c>
      <c r="B1844" t="s">
        <v>9</v>
      </c>
      <c r="C1844" t="str">
        <f>_xlfn.XLOOKUP(B1844,
[1]sales_teams!$A$2:$A$100,
[1]sales_teams!$B$2:$B$100)</f>
        <v>Dustin Brinkmann</v>
      </c>
      <c r="D1844" t="str">
        <f>_xlfn.XLOOKUP($B1844,sales_teams!$A$2:$A$36,sales_teams!C$2:C$36)</f>
        <v>Central</v>
      </c>
      <c r="E1844" t="s">
        <v>18</v>
      </c>
      <c r="F1844" t="s">
        <v>120</v>
      </c>
      <c r="G1844" t="s">
        <v>46</v>
      </c>
      <c r="H1844" s="1">
        <v>42821</v>
      </c>
      <c r="I1844" s="1">
        <v>42856</v>
      </c>
      <c r="J1844">
        <v>0</v>
      </c>
    </row>
    <row r="1845" spans="1:10" x14ac:dyDescent="0.3">
      <c r="A1845" t="s">
        <v>1976</v>
      </c>
      <c r="B1845" t="s">
        <v>97</v>
      </c>
      <c r="C1845" t="str">
        <f>_xlfn.XLOOKUP(B1845,
[1]sales_teams!$A$2:$A$100,
[1]sales_teams!$B$2:$B$100)</f>
        <v>Rocco Neubert</v>
      </c>
      <c r="D1845" t="str">
        <f>_xlfn.XLOOKUP($B1845,sales_teams!$A$2:$A$36,sales_teams!C$2:C$36)</f>
        <v>East</v>
      </c>
      <c r="E1845" t="s">
        <v>48</v>
      </c>
      <c r="F1845" t="s">
        <v>89</v>
      </c>
      <c r="G1845" t="s">
        <v>46</v>
      </c>
      <c r="H1845" s="1">
        <v>42821</v>
      </c>
      <c r="I1845" s="1">
        <v>42870</v>
      </c>
      <c r="J1845">
        <v>0</v>
      </c>
    </row>
    <row r="1846" spans="1:10" x14ac:dyDescent="0.3">
      <c r="A1846" t="s">
        <v>1977</v>
      </c>
      <c r="B1846" t="s">
        <v>97</v>
      </c>
      <c r="C1846" t="str">
        <f>_xlfn.XLOOKUP(B1846,
[1]sales_teams!$A$2:$A$100,
[1]sales_teams!$B$2:$B$100)</f>
        <v>Rocco Neubert</v>
      </c>
      <c r="D1846" t="str">
        <f>_xlfn.XLOOKUP($B1846,sales_teams!$A$2:$A$36,sales_teams!C$2:C$36)</f>
        <v>East</v>
      </c>
      <c r="E1846" t="s">
        <v>15</v>
      </c>
      <c r="F1846" t="s">
        <v>106</v>
      </c>
      <c r="G1846" t="s">
        <v>12</v>
      </c>
      <c r="H1846" s="1">
        <v>42821</v>
      </c>
      <c r="I1846" s="1">
        <v>42830</v>
      </c>
      <c r="J1846">
        <v>5363</v>
      </c>
    </row>
    <row r="1847" spans="1:10" x14ac:dyDescent="0.3">
      <c r="A1847" t="s">
        <v>1978</v>
      </c>
      <c r="B1847" t="s">
        <v>61</v>
      </c>
      <c r="C1847" t="str">
        <f>_xlfn.XLOOKUP(B1847,
[1]sales_teams!$A$2:$A$100,
[1]sales_teams!$B$2:$B$100)</f>
        <v>Dustin Brinkmann</v>
      </c>
      <c r="D1847" t="str">
        <f>_xlfn.XLOOKUP($B1847,sales_teams!$A$2:$A$36,sales_teams!C$2:C$36)</f>
        <v>Central</v>
      </c>
      <c r="E1847" t="s">
        <v>18</v>
      </c>
      <c r="F1847" t="s">
        <v>91</v>
      </c>
      <c r="G1847" t="s">
        <v>12</v>
      </c>
      <c r="H1847" s="1">
        <v>42821</v>
      </c>
      <c r="I1847" s="1">
        <v>42914</v>
      </c>
      <c r="J1847">
        <v>49</v>
      </c>
    </row>
    <row r="1848" spans="1:10" x14ac:dyDescent="0.3">
      <c r="A1848" t="s">
        <v>1979</v>
      </c>
      <c r="B1848" t="s">
        <v>29</v>
      </c>
      <c r="C1848" t="str">
        <f>_xlfn.XLOOKUP(B1848,
[1]sales_teams!$A$2:$A$100,
[1]sales_teams!$B$2:$B$100)</f>
        <v>Celia Rouche</v>
      </c>
      <c r="D1848" t="str">
        <f>_xlfn.XLOOKUP($B1848,sales_teams!$A$2:$A$36,sales_teams!C$2:C$36)</f>
        <v>West</v>
      </c>
      <c r="E1848" t="s">
        <v>10</v>
      </c>
      <c r="F1848" t="s">
        <v>410</v>
      </c>
      <c r="G1848" t="s">
        <v>40</v>
      </c>
      <c r="H1848" s="1">
        <v>42821</v>
      </c>
    </row>
    <row r="1849" spans="1:10" x14ac:dyDescent="0.3">
      <c r="A1849" t="s">
        <v>1980</v>
      </c>
      <c r="B1849" t="s">
        <v>23</v>
      </c>
      <c r="C1849" t="str">
        <f>_xlfn.XLOOKUP(B1849,
[1]sales_teams!$A$2:$A$100,
[1]sales_teams!$B$2:$B$100)</f>
        <v>Summer Sewald</v>
      </c>
      <c r="D1849" t="str">
        <f>_xlfn.XLOOKUP($B1849,sales_teams!$A$2:$A$36,sales_teams!C$2:C$36)</f>
        <v>West</v>
      </c>
      <c r="E1849" t="s">
        <v>10</v>
      </c>
      <c r="F1849" t="s">
        <v>70</v>
      </c>
      <c r="G1849" t="s">
        <v>46</v>
      </c>
      <c r="H1849" s="1">
        <v>42821</v>
      </c>
      <c r="I1849" s="1">
        <v>42828</v>
      </c>
      <c r="J1849">
        <v>0</v>
      </c>
    </row>
    <row r="1850" spans="1:10" x14ac:dyDescent="0.3">
      <c r="A1850" t="s">
        <v>1981</v>
      </c>
      <c r="B1850" t="s">
        <v>23</v>
      </c>
      <c r="C1850" t="str">
        <f>_xlfn.XLOOKUP(B1850,
[1]sales_teams!$A$2:$A$100,
[1]sales_teams!$B$2:$B$100)</f>
        <v>Summer Sewald</v>
      </c>
      <c r="D1850" t="str">
        <f>_xlfn.XLOOKUP($B1850,sales_teams!$A$2:$A$36,sales_teams!C$2:C$36)</f>
        <v>West</v>
      </c>
      <c r="E1850" t="s">
        <v>39</v>
      </c>
      <c r="F1850" t="s">
        <v>224</v>
      </c>
      <c r="G1850" t="s">
        <v>12</v>
      </c>
      <c r="H1850" s="1">
        <v>42821</v>
      </c>
      <c r="I1850" s="1">
        <v>42828</v>
      </c>
      <c r="J1850">
        <v>4253</v>
      </c>
    </row>
    <row r="1851" spans="1:10" x14ac:dyDescent="0.3">
      <c r="A1851" t="s">
        <v>1982</v>
      </c>
      <c r="B1851" t="s">
        <v>26</v>
      </c>
      <c r="C1851" t="str">
        <f>_xlfn.XLOOKUP(B1851,
[1]sales_teams!$A$2:$A$100,
[1]sales_teams!$B$2:$B$100)</f>
        <v>Dustin Brinkmann</v>
      </c>
      <c r="D1851" t="str">
        <f>_xlfn.XLOOKUP($B1851,sales_teams!$A$2:$A$36,sales_teams!C$2:C$36)</f>
        <v>Central</v>
      </c>
      <c r="E1851" t="s">
        <v>18</v>
      </c>
      <c r="F1851" t="s">
        <v>21</v>
      </c>
      <c r="G1851" t="s">
        <v>46</v>
      </c>
      <c r="H1851" s="1">
        <v>42822</v>
      </c>
      <c r="I1851" s="1">
        <v>42833</v>
      </c>
      <c r="J1851">
        <v>0</v>
      </c>
    </row>
    <row r="1852" spans="1:10" x14ac:dyDescent="0.3">
      <c r="A1852" t="s">
        <v>1983</v>
      </c>
      <c r="B1852" t="s">
        <v>26</v>
      </c>
      <c r="C1852" t="str">
        <f>_xlfn.XLOOKUP(B1852,
[1]sales_teams!$A$2:$A$100,
[1]sales_teams!$B$2:$B$100)</f>
        <v>Dustin Brinkmann</v>
      </c>
      <c r="D1852" t="str">
        <f>_xlfn.XLOOKUP($B1852,sales_teams!$A$2:$A$36,sales_teams!C$2:C$36)</f>
        <v>Central</v>
      </c>
      <c r="E1852" t="s">
        <v>18</v>
      </c>
      <c r="F1852" t="s">
        <v>21</v>
      </c>
      <c r="G1852" t="s">
        <v>46</v>
      </c>
      <c r="H1852" s="1">
        <v>42822</v>
      </c>
      <c r="I1852" s="1">
        <v>42894</v>
      </c>
      <c r="J1852">
        <v>0</v>
      </c>
    </row>
    <row r="1853" spans="1:10" x14ac:dyDescent="0.3">
      <c r="A1853" t="s">
        <v>1984</v>
      </c>
      <c r="B1853" t="s">
        <v>118</v>
      </c>
      <c r="C1853" t="str">
        <f>_xlfn.XLOOKUP(B1853,
[1]sales_teams!$A$2:$A$100,
[1]sales_teams!$B$2:$B$100)</f>
        <v>Rocco Neubert</v>
      </c>
      <c r="D1853" t="str">
        <f>_xlfn.XLOOKUP($B1853,sales_teams!$A$2:$A$36,sales_teams!C$2:C$36)</f>
        <v>East</v>
      </c>
      <c r="E1853" t="s">
        <v>20</v>
      </c>
      <c r="F1853" t="s">
        <v>215</v>
      </c>
      <c r="G1853" t="s">
        <v>12</v>
      </c>
      <c r="H1853" s="1">
        <v>42822</v>
      </c>
      <c r="I1853" s="1">
        <v>42885</v>
      </c>
      <c r="J1853">
        <v>422</v>
      </c>
    </row>
    <row r="1854" spans="1:10" x14ac:dyDescent="0.3">
      <c r="A1854" t="s">
        <v>1985</v>
      </c>
      <c r="B1854" t="s">
        <v>202</v>
      </c>
      <c r="C1854" t="str">
        <f>_xlfn.XLOOKUP(B1854,
[1]sales_teams!$A$2:$A$100,
[1]sales_teams!$B$2:$B$100)</f>
        <v>Dustin Brinkmann</v>
      </c>
      <c r="D1854" t="str">
        <f>_xlfn.XLOOKUP($B1854,sales_teams!$A$2:$A$36,sales_teams!C$2:C$36)</f>
        <v>Central</v>
      </c>
      <c r="E1854" t="s">
        <v>20</v>
      </c>
      <c r="F1854" t="s">
        <v>315</v>
      </c>
      <c r="G1854" t="s">
        <v>46</v>
      </c>
      <c r="H1854" s="1">
        <v>42822</v>
      </c>
      <c r="I1854" s="1">
        <v>42831</v>
      </c>
      <c r="J1854">
        <v>0</v>
      </c>
    </row>
    <row r="1855" spans="1:10" x14ac:dyDescent="0.3">
      <c r="A1855" t="s">
        <v>1986</v>
      </c>
      <c r="B1855" t="s">
        <v>202</v>
      </c>
      <c r="C1855" t="str">
        <f>_xlfn.XLOOKUP(B1855,
[1]sales_teams!$A$2:$A$100,
[1]sales_teams!$B$2:$B$100)</f>
        <v>Dustin Brinkmann</v>
      </c>
      <c r="D1855" t="str">
        <f>_xlfn.XLOOKUP($B1855,sales_teams!$A$2:$A$36,sales_teams!C$2:C$36)</f>
        <v>Central</v>
      </c>
      <c r="E1855" t="s">
        <v>10</v>
      </c>
      <c r="F1855" t="s">
        <v>21</v>
      </c>
      <c r="G1855" t="s">
        <v>12</v>
      </c>
      <c r="H1855" s="1">
        <v>42822</v>
      </c>
      <c r="I1855" s="1">
        <v>42833</v>
      </c>
      <c r="J1855">
        <v>1056</v>
      </c>
    </row>
    <row r="1856" spans="1:10" x14ac:dyDescent="0.3">
      <c r="A1856" t="s">
        <v>1987</v>
      </c>
      <c r="B1856" t="s">
        <v>164</v>
      </c>
      <c r="C1856" t="str">
        <f>_xlfn.XLOOKUP(B1856,
[1]sales_teams!$A$2:$A$100,
[1]sales_teams!$B$2:$B$100)</f>
        <v>Cara Losch</v>
      </c>
      <c r="D1856" t="str">
        <f>_xlfn.XLOOKUP($B1856,sales_teams!$A$2:$A$36,sales_teams!C$2:C$36)</f>
        <v>East</v>
      </c>
      <c r="E1856" t="s">
        <v>15</v>
      </c>
      <c r="F1856" t="s">
        <v>165</v>
      </c>
      <c r="G1856" t="s">
        <v>46</v>
      </c>
      <c r="H1856" s="1">
        <v>42822</v>
      </c>
      <c r="I1856" s="1">
        <v>42832</v>
      </c>
      <c r="J1856">
        <v>0</v>
      </c>
    </row>
    <row r="1857" spans="1:10" x14ac:dyDescent="0.3">
      <c r="A1857" t="s">
        <v>1988</v>
      </c>
      <c r="B1857" t="s">
        <v>164</v>
      </c>
      <c r="C1857" t="str">
        <f>_xlfn.XLOOKUP(B1857,
[1]sales_teams!$A$2:$A$100,
[1]sales_teams!$B$2:$B$100)</f>
        <v>Cara Losch</v>
      </c>
      <c r="D1857" t="str">
        <f>_xlfn.XLOOKUP($B1857,sales_teams!$A$2:$A$36,sales_teams!C$2:C$36)</f>
        <v>East</v>
      </c>
      <c r="E1857" t="s">
        <v>15</v>
      </c>
      <c r="F1857" t="s">
        <v>81</v>
      </c>
      <c r="G1857" t="s">
        <v>46</v>
      </c>
      <c r="H1857" s="1">
        <v>42822</v>
      </c>
      <c r="I1857" s="1">
        <v>42883</v>
      </c>
      <c r="J1857">
        <v>0</v>
      </c>
    </row>
    <row r="1858" spans="1:10" x14ac:dyDescent="0.3">
      <c r="A1858" t="s">
        <v>1989</v>
      </c>
      <c r="B1858" t="s">
        <v>14</v>
      </c>
      <c r="C1858" t="str">
        <f>_xlfn.XLOOKUP(B1858,
[1]sales_teams!$A$2:$A$100,
[1]sales_teams!$B$2:$B$100)</f>
        <v>Melvin Marxen</v>
      </c>
      <c r="D1858" t="str">
        <f>_xlfn.XLOOKUP($B1858,sales_teams!$A$2:$A$36,sales_teams!C$2:C$36)</f>
        <v>Central</v>
      </c>
      <c r="E1858" t="s">
        <v>15</v>
      </c>
      <c r="F1858" t="s">
        <v>197</v>
      </c>
      <c r="G1858" t="s">
        <v>46</v>
      </c>
      <c r="H1858" s="1">
        <v>42822</v>
      </c>
      <c r="I1858" s="1">
        <v>42831</v>
      </c>
      <c r="J1858">
        <v>0</v>
      </c>
    </row>
    <row r="1859" spans="1:10" x14ac:dyDescent="0.3">
      <c r="A1859" t="s">
        <v>1990</v>
      </c>
      <c r="B1859" t="s">
        <v>14</v>
      </c>
      <c r="C1859" t="str">
        <f>_xlfn.XLOOKUP(B1859,
[1]sales_teams!$A$2:$A$100,
[1]sales_teams!$B$2:$B$100)</f>
        <v>Melvin Marxen</v>
      </c>
      <c r="D1859" t="str">
        <f>_xlfn.XLOOKUP($B1859,sales_teams!$A$2:$A$36,sales_teams!C$2:C$36)</f>
        <v>Central</v>
      </c>
      <c r="E1859" t="s">
        <v>39</v>
      </c>
      <c r="F1859" t="s">
        <v>318</v>
      </c>
      <c r="G1859" t="s">
        <v>46</v>
      </c>
      <c r="H1859" s="1">
        <v>42822</v>
      </c>
      <c r="I1859" s="1">
        <v>42828</v>
      </c>
      <c r="J1859">
        <v>0</v>
      </c>
    </row>
    <row r="1860" spans="1:10" x14ac:dyDescent="0.3">
      <c r="A1860" t="s">
        <v>1991</v>
      </c>
      <c r="B1860" t="s">
        <v>14</v>
      </c>
      <c r="C1860" t="str">
        <f>_xlfn.XLOOKUP(B1860,
[1]sales_teams!$A$2:$A$100,
[1]sales_teams!$B$2:$B$100)</f>
        <v>Melvin Marxen</v>
      </c>
      <c r="D1860" t="str">
        <f>_xlfn.XLOOKUP($B1860,sales_teams!$A$2:$A$36,sales_teams!C$2:C$36)</f>
        <v>Central</v>
      </c>
      <c r="E1860" t="s">
        <v>39</v>
      </c>
      <c r="F1860" t="s">
        <v>76</v>
      </c>
      <c r="G1860" t="s">
        <v>12</v>
      </c>
      <c r="H1860" s="1">
        <v>42822</v>
      </c>
      <c r="I1860" s="1">
        <v>42834</v>
      </c>
      <c r="J1860">
        <v>3665</v>
      </c>
    </row>
    <row r="1861" spans="1:10" x14ac:dyDescent="0.3">
      <c r="A1861" t="s">
        <v>1992</v>
      </c>
      <c r="B1861" t="s">
        <v>142</v>
      </c>
      <c r="C1861" t="str">
        <f>_xlfn.XLOOKUP(B1861,
[1]sales_teams!$A$2:$A$100,
[1]sales_teams!$B$2:$B$100)</f>
        <v>Rocco Neubert</v>
      </c>
      <c r="D1861" t="str">
        <f>_xlfn.XLOOKUP($B1861,sales_teams!$A$2:$A$36,sales_teams!C$2:C$36)</f>
        <v>East</v>
      </c>
      <c r="E1861" t="s">
        <v>15</v>
      </c>
      <c r="F1861" t="s">
        <v>209</v>
      </c>
      <c r="G1861" t="s">
        <v>12</v>
      </c>
      <c r="H1861" s="1">
        <v>42822</v>
      </c>
      <c r="I1861" s="1">
        <v>42889</v>
      </c>
      <c r="J1861">
        <v>4329</v>
      </c>
    </row>
    <row r="1862" spans="1:10" x14ac:dyDescent="0.3">
      <c r="A1862" t="s">
        <v>1993</v>
      </c>
      <c r="B1862" t="s">
        <v>44</v>
      </c>
      <c r="C1862" t="str">
        <f>_xlfn.XLOOKUP(B1862,
[1]sales_teams!$A$2:$A$100,
[1]sales_teams!$B$2:$B$100)</f>
        <v>Melvin Marxen</v>
      </c>
      <c r="D1862" t="str">
        <f>_xlfn.XLOOKUP($B1862,sales_teams!$A$2:$A$36,sales_teams!C$2:C$36)</f>
        <v>Central</v>
      </c>
      <c r="E1862" t="s">
        <v>18</v>
      </c>
      <c r="F1862" t="s">
        <v>129</v>
      </c>
      <c r="G1862" t="s">
        <v>46</v>
      </c>
      <c r="H1862" s="1">
        <v>42822</v>
      </c>
      <c r="I1862" s="1">
        <v>42828</v>
      </c>
      <c r="J1862">
        <v>0</v>
      </c>
    </row>
    <row r="1863" spans="1:10" x14ac:dyDescent="0.3">
      <c r="A1863" t="s">
        <v>1994</v>
      </c>
      <c r="B1863" t="s">
        <v>54</v>
      </c>
      <c r="C1863" t="str">
        <f>_xlfn.XLOOKUP(B1863,
[1]sales_teams!$A$2:$A$100,
[1]sales_teams!$B$2:$B$100)</f>
        <v>Celia Rouche</v>
      </c>
      <c r="D1863" t="str">
        <f>_xlfn.XLOOKUP($B1863,sales_teams!$A$2:$A$36,sales_teams!C$2:C$36)</f>
        <v>West</v>
      </c>
      <c r="E1863" t="s">
        <v>18</v>
      </c>
      <c r="F1863" t="s">
        <v>148</v>
      </c>
      <c r="G1863" t="s">
        <v>12</v>
      </c>
      <c r="H1863" s="1">
        <v>42822</v>
      </c>
      <c r="I1863" s="1">
        <v>42833</v>
      </c>
      <c r="J1863">
        <v>58</v>
      </c>
    </row>
    <row r="1864" spans="1:10" x14ac:dyDescent="0.3">
      <c r="A1864" t="s">
        <v>1995</v>
      </c>
      <c r="B1864" t="s">
        <v>38</v>
      </c>
      <c r="C1864" t="str">
        <f>_xlfn.XLOOKUP(B1864,
[1]sales_teams!$A$2:$A$100,
[1]sales_teams!$B$2:$B$100)</f>
        <v>Summer Sewald</v>
      </c>
      <c r="D1864" t="str">
        <f>_xlfn.XLOOKUP($B1864,sales_teams!$A$2:$A$36,sales_teams!C$2:C$36)</f>
        <v>West</v>
      </c>
      <c r="E1864" t="s">
        <v>48</v>
      </c>
      <c r="F1864" t="s">
        <v>159</v>
      </c>
      <c r="G1864" t="s">
        <v>12</v>
      </c>
      <c r="H1864" s="1">
        <v>42822</v>
      </c>
      <c r="I1864" s="1">
        <v>42912</v>
      </c>
      <c r="J1864">
        <v>7356</v>
      </c>
    </row>
    <row r="1865" spans="1:10" x14ac:dyDescent="0.3">
      <c r="A1865" t="s">
        <v>1996</v>
      </c>
      <c r="B1865" t="s">
        <v>38</v>
      </c>
      <c r="C1865" t="str">
        <f>_xlfn.XLOOKUP(B1865,
[1]sales_teams!$A$2:$A$100,
[1]sales_teams!$B$2:$B$100)</f>
        <v>Summer Sewald</v>
      </c>
      <c r="D1865" t="str">
        <f>_xlfn.XLOOKUP($B1865,sales_teams!$A$2:$A$36,sales_teams!C$2:C$36)</f>
        <v>West</v>
      </c>
      <c r="E1865" t="s">
        <v>15</v>
      </c>
      <c r="F1865" t="s">
        <v>70</v>
      </c>
      <c r="G1865" t="s">
        <v>12</v>
      </c>
      <c r="H1865" s="1">
        <v>42822</v>
      </c>
      <c r="I1865" s="1">
        <v>42911</v>
      </c>
      <c r="J1865">
        <v>4066</v>
      </c>
    </row>
    <row r="1866" spans="1:10" x14ac:dyDescent="0.3">
      <c r="A1866" t="s">
        <v>1997</v>
      </c>
      <c r="B1866" t="s">
        <v>133</v>
      </c>
      <c r="C1866" t="str">
        <f>_xlfn.XLOOKUP(B1866,
[1]sales_teams!$A$2:$A$100,
[1]sales_teams!$B$2:$B$100)</f>
        <v>Dustin Brinkmann</v>
      </c>
      <c r="D1866" t="str">
        <f>_xlfn.XLOOKUP($B1866,sales_teams!$A$2:$A$36,sales_teams!C$2:C$36)</f>
        <v>Central</v>
      </c>
      <c r="E1866" t="s">
        <v>18</v>
      </c>
      <c r="F1866" t="s">
        <v>218</v>
      </c>
      <c r="G1866" t="s">
        <v>12</v>
      </c>
      <c r="H1866" s="1">
        <v>42822</v>
      </c>
      <c r="I1866" s="1">
        <v>42892</v>
      </c>
      <c r="J1866">
        <v>55</v>
      </c>
    </row>
    <row r="1867" spans="1:10" x14ac:dyDescent="0.3">
      <c r="A1867" t="s">
        <v>1998</v>
      </c>
      <c r="B1867" t="s">
        <v>32</v>
      </c>
      <c r="C1867" t="str">
        <f>_xlfn.XLOOKUP(B1867,
[1]sales_teams!$A$2:$A$100,
[1]sales_teams!$B$2:$B$100)</f>
        <v>Celia Rouche</v>
      </c>
      <c r="D1867" t="str">
        <f>_xlfn.XLOOKUP($B1867,sales_teams!$A$2:$A$36,sales_teams!C$2:C$36)</f>
        <v>West</v>
      </c>
      <c r="E1867" t="s">
        <v>39</v>
      </c>
      <c r="F1867" t="s">
        <v>79</v>
      </c>
      <c r="G1867" t="s">
        <v>12</v>
      </c>
      <c r="H1867" s="1">
        <v>42822</v>
      </c>
      <c r="I1867" s="1">
        <v>42913</v>
      </c>
      <c r="J1867">
        <v>3738</v>
      </c>
    </row>
    <row r="1868" spans="1:10" x14ac:dyDescent="0.3">
      <c r="A1868" t="s">
        <v>1999</v>
      </c>
      <c r="B1868" t="s">
        <v>51</v>
      </c>
      <c r="C1868" t="str">
        <f>_xlfn.XLOOKUP(B1868,
[1]sales_teams!$A$2:$A$100,
[1]sales_teams!$B$2:$B$100)</f>
        <v>Summer Sewald</v>
      </c>
      <c r="D1868" t="str">
        <f>_xlfn.XLOOKUP($B1868,sales_teams!$A$2:$A$36,sales_teams!C$2:C$36)</f>
        <v>West</v>
      </c>
      <c r="E1868" t="s">
        <v>18</v>
      </c>
      <c r="F1868" t="s">
        <v>231</v>
      </c>
      <c r="G1868" t="s">
        <v>40</v>
      </c>
      <c r="H1868" s="1">
        <v>42822</v>
      </c>
    </row>
    <row r="1869" spans="1:10" x14ac:dyDescent="0.3">
      <c r="A1869" t="s">
        <v>2000</v>
      </c>
      <c r="B1869" t="s">
        <v>51</v>
      </c>
      <c r="C1869" t="str">
        <f>_xlfn.XLOOKUP(B1869,
[1]sales_teams!$A$2:$A$100,
[1]sales_teams!$B$2:$B$100)</f>
        <v>Summer Sewald</v>
      </c>
      <c r="D1869" t="str">
        <f>_xlfn.XLOOKUP($B1869,sales_teams!$A$2:$A$36,sales_teams!C$2:C$36)</f>
        <v>West</v>
      </c>
      <c r="E1869" t="s">
        <v>20</v>
      </c>
      <c r="F1869" t="s">
        <v>315</v>
      </c>
      <c r="G1869" t="s">
        <v>46</v>
      </c>
      <c r="H1869" s="1">
        <v>42822</v>
      </c>
      <c r="I1869" s="1">
        <v>42829</v>
      </c>
      <c r="J1869">
        <v>0</v>
      </c>
    </row>
    <row r="1870" spans="1:10" x14ac:dyDescent="0.3">
      <c r="A1870" t="s">
        <v>2001</v>
      </c>
      <c r="B1870" t="s">
        <v>51</v>
      </c>
      <c r="C1870" t="str">
        <f>_xlfn.XLOOKUP(B1870,
[1]sales_teams!$A$2:$A$100,
[1]sales_teams!$B$2:$B$100)</f>
        <v>Summer Sewald</v>
      </c>
      <c r="D1870" t="str">
        <f>_xlfn.XLOOKUP($B1870,sales_teams!$A$2:$A$36,sales_teams!C$2:C$36)</f>
        <v>West</v>
      </c>
      <c r="E1870" t="s">
        <v>39</v>
      </c>
      <c r="F1870" t="s">
        <v>86</v>
      </c>
      <c r="G1870" t="s">
        <v>46</v>
      </c>
      <c r="H1870" s="1">
        <v>42822</v>
      </c>
      <c r="I1870" s="1">
        <v>42881</v>
      </c>
      <c r="J1870">
        <v>0</v>
      </c>
    </row>
    <row r="1871" spans="1:10" x14ac:dyDescent="0.3">
      <c r="A1871" t="s">
        <v>2002</v>
      </c>
      <c r="B1871" t="s">
        <v>51</v>
      </c>
      <c r="C1871" t="str">
        <f>_xlfn.XLOOKUP(B1871,
[1]sales_teams!$A$2:$A$100,
[1]sales_teams!$B$2:$B$100)</f>
        <v>Summer Sewald</v>
      </c>
      <c r="D1871" t="str">
        <f>_xlfn.XLOOKUP($B1871,sales_teams!$A$2:$A$36,sales_teams!C$2:C$36)</f>
        <v>West</v>
      </c>
      <c r="E1871" t="s">
        <v>10</v>
      </c>
      <c r="F1871" t="s">
        <v>159</v>
      </c>
      <c r="G1871" t="s">
        <v>12</v>
      </c>
      <c r="H1871" s="1">
        <v>42822</v>
      </c>
      <c r="I1871" s="1">
        <v>42870</v>
      </c>
      <c r="J1871">
        <v>888</v>
      </c>
    </row>
    <row r="1872" spans="1:10" x14ac:dyDescent="0.3">
      <c r="A1872" t="s">
        <v>2003</v>
      </c>
      <c r="B1872" t="s">
        <v>9</v>
      </c>
      <c r="C1872" t="str">
        <f>_xlfn.XLOOKUP(B1872,
[1]sales_teams!$A$2:$A$100,
[1]sales_teams!$B$2:$B$100)</f>
        <v>Dustin Brinkmann</v>
      </c>
      <c r="D1872" t="str">
        <f>_xlfn.XLOOKUP($B1872,sales_teams!$A$2:$A$36,sales_teams!C$2:C$36)</f>
        <v>Central</v>
      </c>
      <c r="E1872" t="s">
        <v>48</v>
      </c>
      <c r="F1872" t="s">
        <v>42</v>
      </c>
      <c r="G1872" t="s">
        <v>12</v>
      </c>
      <c r="H1872" s="1">
        <v>42822</v>
      </c>
      <c r="I1872" s="1">
        <v>42832</v>
      </c>
      <c r="J1872">
        <v>5447</v>
      </c>
    </row>
    <row r="1873" spans="1:10" x14ac:dyDescent="0.3">
      <c r="A1873" t="s">
        <v>2004</v>
      </c>
      <c r="B1873" t="s">
        <v>35</v>
      </c>
      <c r="C1873" t="str">
        <f>_xlfn.XLOOKUP(B1873,
[1]sales_teams!$A$2:$A$100,
[1]sales_teams!$B$2:$B$100)</f>
        <v>Melvin Marxen</v>
      </c>
      <c r="D1873" t="str">
        <f>_xlfn.XLOOKUP($B1873,sales_teams!$A$2:$A$36,sales_teams!C$2:C$36)</f>
        <v>Central</v>
      </c>
      <c r="E1873" t="s">
        <v>48</v>
      </c>
      <c r="F1873" t="s">
        <v>213</v>
      </c>
      <c r="G1873" t="s">
        <v>12</v>
      </c>
      <c r="H1873" s="1">
        <v>42822</v>
      </c>
      <c r="I1873" s="1">
        <v>42830</v>
      </c>
      <c r="J1873">
        <v>5972</v>
      </c>
    </row>
    <row r="1874" spans="1:10" x14ac:dyDescent="0.3">
      <c r="A1874" t="s">
        <v>2005</v>
      </c>
      <c r="B1874" t="s">
        <v>57</v>
      </c>
      <c r="C1874" t="str">
        <f>_xlfn.XLOOKUP(B1874,
[1]sales_teams!$A$2:$A$100,
[1]sales_teams!$B$2:$B$100)</f>
        <v>Celia Rouche</v>
      </c>
      <c r="D1874" t="str">
        <f>_xlfn.XLOOKUP($B1874,sales_teams!$A$2:$A$36,sales_teams!C$2:C$36)</f>
        <v>West</v>
      </c>
      <c r="E1874" t="s">
        <v>15</v>
      </c>
      <c r="F1874" t="s">
        <v>33</v>
      </c>
      <c r="G1874" t="s">
        <v>12</v>
      </c>
      <c r="H1874" s="1">
        <v>42822</v>
      </c>
      <c r="I1874" s="1">
        <v>42827</v>
      </c>
      <c r="J1874">
        <v>4855</v>
      </c>
    </row>
    <row r="1875" spans="1:10" x14ac:dyDescent="0.3">
      <c r="A1875" t="s">
        <v>2006</v>
      </c>
      <c r="B1875" t="s">
        <v>88</v>
      </c>
      <c r="C1875" t="str">
        <f>_xlfn.XLOOKUP(B1875,
[1]sales_teams!$A$2:$A$100,
[1]sales_teams!$B$2:$B$100)</f>
        <v>Cara Losch</v>
      </c>
      <c r="D1875" t="str">
        <f>_xlfn.XLOOKUP($B1875,sales_teams!$A$2:$A$36,sales_teams!C$2:C$36)</f>
        <v>East</v>
      </c>
      <c r="E1875" t="s">
        <v>39</v>
      </c>
      <c r="F1875" t="s">
        <v>65</v>
      </c>
      <c r="G1875" t="s">
        <v>12</v>
      </c>
      <c r="H1875" s="1">
        <v>42822</v>
      </c>
      <c r="I1875" s="1">
        <v>42884</v>
      </c>
      <c r="J1875">
        <v>3395</v>
      </c>
    </row>
    <row r="1876" spans="1:10" x14ac:dyDescent="0.3">
      <c r="A1876" t="s">
        <v>2007</v>
      </c>
      <c r="B1876" t="s">
        <v>29</v>
      </c>
      <c r="C1876" t="str">
        <f>_xlfn.XLOOKUP(B1876,
[1]sales_teams!$A$2:$A$100,
[1]sales_teams!$B$2:$B$100)</f>
        <v>Celia Rouche</v>
      </c>
      <c r="D1876" t="str">
        <f>_xlfn.XLOOKUP($B1876,sales_teams!$A$2:$A$36,sales_teams!C$2:C$36)</f>
        <v>West</v>
      </c>
      <c r="E1876" t="s">
        <v>18</v>
      </c>
      <c r="G1876" t="s">
        <v>40</v>
      </c>
      <c r="H1876" s="1">
        <v>42822</v>
      </c>
    </row>
    <row r="1877" spans="1:10" x14ac:dyDescent="0.3">
      <c r="A1877" t="s">
        <v>2008</v>
      </c>
      <c r="B1877" t="s">
        <v>29</v>
      </c>
      <c r="C1877" t="str">
        <f>_xlfn.XLOOKUP(B1877,
[1]sales_teams!$A$2:$A$100,
[1]sales_teams!$B$2:$B$100)</f>
        <v>Celia Rouche</v>
      </c>
      <c r="D1877" t="str">
        <f>_xlfn.XLOOKUP($B1877,sales_teams!$A$2:$A$36,sales_teams!C$2:C$36)</f>
        <v>West</v>
      </c>
      <c r="E1877" t="s">
        <v>18</v>
      </c>
      <c r="G1877" t="s">
        <v>40</v>
      </c>
      <c r="H1877" s="1">
        <v>42822</v>
      </c>
    </row>
    <row r="1878" spans="1:10" x14ac:dyDescent="0.3">
      <c r="A1878" t="s">
        <v>2009</v>
      </c>
      <c r="B1878" t="s">
        <v>29</v>
      </c>
      <c r="C1878" t="str">
        <f>_xlfn.XLOOKUP(B1878,
[1]sales_teams!$A$2:$A$100,
[1]sales_teams!$B$2:$B$100)</f>
        <v>Celia Rouche</v>
      </c>
      <c r="D1878" t="str">
        <f>_xlfn.XLOOKUP($B1878,sales_teams!$A$2:$A$36,sales_teams!C$2:C$36)</f>
        <v>West</v>
      </c>
      <c r="E1878" t="s">
        <v>18</v>
      </c>
      <c r="G1878" t="s">
        <v>40</v>
      </c>
      <c r="H1878" s="1">
        <v>42822</v>
      </c>
    </row>
    <row r="1879" spans="1:10" x14ac:dyDescent="0.3">
      <c r="A1879" t="s">
        <v>2010</v>
      </c>
      <c r="B1879" t="s">
        <v>73</v>
      </c>
      <c r="C1879" t="str">
        <f>_xlfn.XLOOKUP(B1879,
[1]sales_teams!$A$2:$A$100,
[1]sales_teams!$B$2:$B$100)</f>
        <v>Cara Losch</v>
      </c>
      <c r="D1879" t="str">
        <f>_xlfn.XLOOKUP($B1879,sales_teams!$A$2:$A$36,sales_teams!C$2:C$36)</f>
        <v>East</v>
      </c>
      <c r="E1879" t="s">
        <v>18</v>
      </c>
      <c r="F1879" t="s">
        <v>165</v>
      </c>
      <c r="G1879" t="s">
        <v>46</v>
      </c>
      <c r="H1879" s="1">
        <v>42822</v>
      </c>
      <c r="I1879" s="1">
        <v>42832</v>
      </c>
      <c r="J1879">
        <v>0</v>
      </c>
    </row>
    <row r="1880" spans="1:10" x14ac:dyDescent="0.3">
      <c r="A1880" t="s">
        <v>2011</v>
      </c>
      <c r="B1880" t="s">
        <v>23</v>
      </c>
      <c r="C1880" t="str">
        <f>_xlfn.XLOOKUP(B1880,
[1]sales_teams!$A$2:$A$100,
[1]sales_teams!$B$2:$B$100)</f>
        <v>Summer Sewald</v>
      </c>
      <c r="D1880" t="str">
        <f>_xlfn.XLOOKUP($B1880,sales_teams!$A$2:$A$36,sales_teams!C$2:C$36)</f>
        <v>West</v>
      </c>
      <c r="E1880" t="s">
        <v>10</v>
      </c>
      <c r="F1880" t="s">
        <v>148</v>
      </c>
      <c r="G1880" t="s">
        <v>12</v>
      </c>
      <c r="H1880" s="1">
        <v>42822</v>
      </c>
      <c r="I1880" s="1">
        <v>42824</v>
      </c>
      <c r="J1880">
        <v>1084</v>
      </c>
    </row>
    <row r="1881" spans="1:10" x14ac:dyDescent="0.3">
      <c r="A1881" t="s">
        <v>2012</v>
      </c>
      <c r="B1881" t="s">
        <v>202</v>
      </c>
      <c r="C1881" t="str">
        <f>_xlfn.XLOOKUP(B1881,
[1]sales_teams!$A$2:$A$100,
[1]sales_teams!$B$2:$B$100)</f>
        <v>Dustin Brinkmann</v>
      </c>
      <c r="D1881" t="str">
        <f>_xlfn.XLOOKUP($B1881,sales_teams!$A$2:$A$36,sales_teams!C$2:C$36)</f>
        <v>Central</v>
      </c>
      <c r="E1881" t="s">
        <v>39</v>
      </c>
      <c r="F1881" t="s">
        <v>318</v>
      </c>
      <c r="G1881" t="s">
        <v>12</v>
      </c>
      <c r="H1881" s="1">
        <v>42823</v>
      </c>
      <c r="I1881" s="1">
        <v>42889</v>
      </c>
      <c r="J1881">
        <v>3670</v>
      </c>
    </row>
    <row r="1882" spans="1:10" x14ac:dyDescent="0.3">
      <c r="A1882" t="s">
        <v>2013</v>
      </c>
      <c r="B1882" t="s">
        <v>64</v>
      </c>
      <c r="C1882" t="str">
        <f>_xlfn.XLOOKUP(B1882,
[1]sales_teams!$A$2:$A$100,
[1]sales_teams!$B$2:$B$100)</f>
        <v>Rocco Neubert</v>
      </c>
      <c r="D1882" t="str">
        <f>_xlfn.XLOOKUP($B1882,sales_teams!$A$2:$A$36,sales_teams!C$2:C$36)</f>
        <v>East</v>
      </c>
      <c r="E1882" t="s">
        <v>10</v>
      </c>
      <c r="F1882" t="s">
        <v>240</v>
      </c>
      <c r="G1882" t="s">
        <v>46</v>
      </c>
      <c r="H1882" s="1">
        <v>42823</v>
      </c>
      <c r="I1882" s="1">
        <v>42827</v>
      </c>
      <c r="J1882">
        <v>0</v>
      </c>
    </row>
    <row r="1883" spans="1:10" x14ac:dyDescent="0.3">
      <c r="A1883" t="s">
        <v>2014</v>
      </c>
      <c r="B1883" t="s">
        <v>64</v>
      </c>
      <c r="C1883" t="str">
        <f>_xlfn.XLOOKUP(B1883,
[1]sales_teams!$A$2:$A$100,
[1]sales_teams!$B$2:$B$100)</f>
        <v>Rocco Neubert</v>
      </c>
      <c r="D1883" t="str">
        <f>_xlfn.XLOOKUP($B1883,sales_teams!$A$2:$A$36,sales_teams!C$2:C$36)</f>
        <v>East</v>
      </c>
      <c r="E1883" t="s">
        <v>48</v>
      </c>
      <c r="F1883" t="s">
        <v>237</v>
      </c>
      <c r="G1883" t="s">
        <v>12</v>
      </c>
      <c r="H1883" s="1">
        <v>42823</v>
      </c>
      <c r="I1883" s="1">
        <v>42888</v>
      </c>
      <c r="J1883">
        <v>5304</v>
      </c>
    </row>
    <row r="1884" spans="1:10" x14ac:dyDescent="0.3">
      <c r="A1884" t="s">
        <v>2015</v>
      </c>
      <c r="B1884" t="s">
        <v>14</v>
      </c>
      <c r="C1884" t="str">
        <f>_xlfn.XLOOKUP(B1884,
[1]sales_teams!$A$2:$A$100,
[1]sales_teams!$B$2:$B$100)</f>
        <v>Melvin Marxen</v>
      </c>
      <c r="D1884" t="str">
        <f>_xlfn.XLOOKUP($B1884,sales_teams!$A$2:$A$36,sales_teams!C$2:C$36)</f>
        <v>Central</v>
      </c>
      <c r="E1884" t="s">
        <v>48</v>
      </c>
      <c r="F1884" t="s">
        <v>62</v>
      </c>
      <c r="G1884" t="s">
        <v>46</v>
      </c>
      <c r="H1884" s="1">
        <v>42823</v>
      </c>
      <c r="I1884" s="1">
        <v>42831</v>
      </c>
      <c r="J1884">
        <v>0</v>
      </c>
    </row>
    <row r="1885" spans="1:10" x14ac:dyDescent="0.3">
      <c r="A1885" t="s">
        <v>2016</v>
      </c>
      <c r="B1885" t="s">
        <v>14</v>
      </c>
      <c r="C1885" t="str">
        <f>_xlfn.XLOOKUP(B1885,
[1]sales_teams!$A$2:$A$100,
[1]sales_teams!$B$2:$B$100)</f>
        <v>Melvin Marxen</v>
      </c>
      <c r="D1885" t="str">
        <f>_xlfn.XLOOKUP($B1885,sales_teams!$A$2:$A$36,sales_teams!C$2:C$36)</f>
        <v>Central</v>
      </c>
      <c r="E1885" t="s">
        <v>15</v>
      </c>
      <c r="F1885" t="s">
        <v>120</v>
      </c>
      <c r="G1885" t="s">
        <v>12</v>
      </c>
      <c r="H1885" s="1">
        <v>42823</v>
      </c>
      <c r="I1885" s="1">
        <v>42902</v>
      </c>
      <c r="J1885">
        <v>3844</v>
      </c>
    </row>
    <row r="1886" spans="1:10" x14ac:dyDescent="0.3">
      <c r="A1886" t="s">
        <v>2017</v>
      </c>
      <c r="B1886" t="s">
        <v>142</v>
      </c>
      <c r="C1886" t="str">
        <f>_xlfn.XLOOKUP(B1886,
[1]sales_teams!$A$2:$A$100,
[1]sales_teams!$B$2:$B$100)</f>
        <v>Rocco Neubert</v>
      </c>
      <c r="D1886" t="str">
        <f>_xlfn.XLOOKUP($B1886,sales_teams!$A$2:$A$36,sales_teams!C$2:C$36)</f>
        <v>East</v>
      </c>
      <c r="E1886" t="s">
        <v>20</v>
      </c>
      <c r="F1886" t="s">
        <v>98</v>
      </c>
      <c r="G1886" t="s">
        <v>12</v>
      </c>
      <c r="H1886" s="1">
        <v>42823</v>
      </c>
      <c r="I1886" s="1">
        <v>42866</v>
      </c>
      <c r="J1886">
        <v>549</v>
      </c>
    </row>
    <row r="1887" spans="1:10" x14ac:dyDescent="0.3">
      <c r="A1887" t="s">
        <v>2018</v>
      </c>
      <c r="B1887" t="s">
        <v>44</v>
      </c>
      <c r="C1887" t="str">
        <f>_xlfn.XLOOKUP(B1887,
[1]sales_teams!$A$2:$A$100,
[1]sales_teams!$B$2:$B$100)</f>
        <v>Melvin Marxen</v>
      </c>
      <c r="D1887" t="str">
        <f>_xlfn.XLOOKUP($B1887,sales_teams!$A$2:$A$36,sales_teams!C$2:C$36)</f>
        <v>Central</v>
      </c>
      <c r="E1887" t="s">
        <v>15</v>
      </c>
      <c r="F1887" t="s">
        <v>218</v>
      </c>
      <c r="G1887" t="s">
        <v>46</v>
      </c>
      <c r="H1887" s="1">
        <v>42823</v>
      </c>
      <c r="I1887" s="1">
        <v>42875</v>
      </c>
      <c r="J1887">
        <v>0</v>
      </c>
    </row>
    <row r="1888" spans="1:10" x14ac:dyDescent="0.3">
      <c r="A1888" t="s">
        <v>2019</v>
      </c>
      <c r="B1888" t="s">
        <v>44</v>
      </c>
      <c r="C1888" t="str">
        <f>_xlfn.XLOOKUP(B1888,
[1]sales_teams!$A$2:$A$100,
[1]sales_teams!$B$2:$B$100)</f>
        <v>Melvin Marxen</v>
      </c>
      <c r="D1888" t="str">
        <f>_xlfn.XLOOKUP($B1888,sales_teams!$A$2:$A$36,sales_teams!C$2:C$36)</f>
        <v>Central</v>
      </c>
      <c r="E1888" t="s">
        <v>39</v>
      </c>
      <c r="F1888" t="s">
        <v>111</v>
      </c>
      <c r="G1888" t="s">
        <v>46</v>
      </c>
      <c r="H1888" s="1">
        <v>42823</v>
      </c>
      <c r="I1888" s="1">
        <v>42830</v>
      </c>
      <c r="J1888">
        <v>0</v>
      </c>
    </row>
    <row r="1889" spans="1:10" x14ac:dyDescent="0.3">
      <c r="A1889" t="s">
        <v>2020</v>
      </c>
      <c r="B1889" t="s">
        <v>252</v>
      </c>
      <c r="C1889" t="str">
        <f>_xlfn.XLOOKUP(B1889,
[1]sales_teams!$A$2:$A$100,
[1]sales_teams!$B$2:$B$100)</f>
        <v>Melvin Marxen</v>
      </c>
      <c r="D1889" t="str">
        <f>_xlfn.XLOOKUP($B1889,sales_teams!$A$2:$A$36,sales_teams!C$2:C$36)</f>
        <v>Central</v>
      </c>
      <c r="E1889" t="s">
        <v>20</v>
      </c>
      <c r="F1889" t="s">
        <v>315</v>
      </c>
      <c r="G1889" t="s">
        <v>12</v>
      </c>
      <c r="H1889" s="1">
        <v>42823</v>
      </c>
      <c r="I1889" s="1">
        <v>42830</v>
      </c>
      <c r="J1889">
        <v>553</v>
      </c>
    </row>
    <row r="1890" spans="1:10" x14ac:dyDescent="0.3">
      <c r="A1890" t="s">
        <v>2021</v>
      </c>
      <c r="B1890" t="s">
        <v>78</v>
      </c>
      <c r="C1890" t="str">
        <f>_xlfn.XLOOKUP(B1890,
[1]sales_teams!$A$2:$A$100,
[1]sales_teams!$B$2:$B$100)</f>
        <v>Summer Sewald</v>
      </c>
      <c r="D1890" t="str">
        <f>_xlfn.XLOOKUP($B1890,sales_teams!$A$2:$A$36,sales_teams!C$2:C$36)</f>
        <v>West</v>
      </c>
      <c r="E1890" t="s">
        <v>20</v>
      </c>
      <c r="G1890" t="s">
        <v>40</v>
      </c>
      <c r="H1890" s="1">
        <v>42823</v>
      </c>
    </row>
    <row r="1891" spans="1:10" x14ac:dyDescent="0.3">
      <c r="A1891" t="s">
        <v>2022</v>
      </c>
      <c r="B1891" t="s">
        <v>78</v>
      </c>
      <c r="C1891" t="str">
        <f>_xlfn.XLOOKUP(B1891,
[1]sales_teams!$A$2:$A$100,
[1]sales_teams!$B$2:$B$100)</f>
        <v>Summer Sewald</v>
      </c>
      <c r="D1891" t="str">
        <f>_xlfn.XLOOKUP($B1891,sales_teams!$A$2:$A$36,sales_teams!C$2:C$36)</f>
        <v>West</v>
      </c>
      <c r="E1891" t="s">
        <v>10</v>
      </c>
      <c r="F1891" t="s">
        <v>124</v>
      </c>
      <c r="G1891" t="s">
        <v>46</v>
      </c>
      <c r="H1891" s="1">
        <v>42823</v>
      </c>
      <c r="I1891" s="1">
        <v>42860</v>
      </c>
      <c r="J1891">
        <v>0</v>
      </c>
    </row>
    <row r="1892" spans="1:10" x14ac:dyDescent="0.3">
      <c r="A1892" t="s">
        <v>2023</v>
      </c>
      <c r="B1892" t="s">
        <v>78</v>
      </c>
      <c r="C1892" t="str">
        <f>_xlfn.XLOOKUP(B1892,
[1]sales_teams!$A$2:$A$100,
[1]sales_teams!$B$2:$B$100)</f>
        <v>Summer Sewald</v>
      </c>
      <c r="D1892" t="str">
        <f>_xlfn.XLOOKUP($B1892,sales_teams!$A$2:$A$36,sales_teams!C$2:C$36)</f>
        <v>West</v>
      </c>
      <c r="E1892" t="s">
        <v>39</v>
      </c>
      <c r="F1892" t="s">
        <v>194</v>
      </c>
      <c r="G1892" t="s">
        <v>12</v>
      </c>
      <c r="H1892" s="1">
        <v>42823</v>
      </c>
      <c r="I1892" s="1">
        <v>42832</v>
      </c>
      <c r="J1892">
        <v>3523</v>
      </c>
    </row>
    <row r="1893" spans="1:10" x14ac:dyDescent="0.3">
      <c r="A1893" t="s">
        <v>2024</v>
      </c>
      <c r="B1893" t="s">
        <v>95</v>
      </c>
      <c r="C1893" t="str">
        <f>_xlfn.XLOOKUP(B1893,
[1]sales_teams!$A$2:$A$100,
[1]sales_teams!$B$2:$B$100)</f>
        <v>Summer Sewald</v>
      </c>
      <c r="D1893" t="str">
        <f>_xlfn.XLOOKUP($B1893,sales_teams!$A$2:$A$36,sales_teams!C$2:C$36)</f>
        <v>West</v>
      </c>
      <c r="E1893" t="s">
        <v>15</v>
      </c>
      <c r="F1893" t="s">
        <v>135</v>
      </c>
      <c r="G1893" t="s">
        <v>40</v>
      </c>
      <c r="H1893" s="1">
        <v>42823</v>
      </c>
    </row>
    <row r="1894" spans="1:10" x14ac:dyDescent="0.3">
      <c r="A1894" t="s">
        <v>2025</v>
      </c>
      <c r="B1894" t="s">
        <v>95</v>
      </c>
      <c r="C1894" t="str">
        <f>_xlfn.XLOOKUP(B1894,
[1]sales_teams!$A$2:$A$100,
[1]sales_teams!$B$2:$B$100)</f>
        <v>Summer Sewald</v>
      </c>
      <c r="D1894" t="str">
        <f>_xlfn.XLOOKUP($B1894,sales_teams!$A$2:$A$36,sales_teams!C$2:C$36)</f>
        <v>West</v>
      </c>
      <c r="E1894" t="s">
        <v>20</v>
      </c>
      <c r="F1894" t="s">
        <v>199</v>
      </c>
      <c r="G1894" t="s">
        <v>46</v>
      </c>
      <c r="H1894" s="1">
        <v>42823</v>
      </c>
      <c r="I1894" s="1">
        <v>42875</v>
      </c>
      <c r="J1894">
        <v>0</v>
      </c>
    </row>
    <row r="1895" spans="1:10" x14ac:dyDescent="0.3">
      <c r="A1895" t="s">
        <v>2026</v>
      </c>
      <c r="B1895" t="s">
        <v>95</v>
      </c>
      <c r="C1895" t="str">
        <f>_xlfn.XLOOKUP(B1895,
[1]sales_teams!$A$2:$A$100,
[1]sales_teams!$B$2:$B$100)</f>
        <v>Summer Sewald</v>
      </c>
      <c r="D1895" t="str">
        <f>_xlfn.XLOOKUP($B1895,sales_teams!$A$2:$A$36,sales_teams!C$2:C$36)</f>
        <v>West</v>
      </c>
      <c r="E1895" t="s">
        <v>20</v>
      </c>
      <c r="F1895" t="s">
        <v>315</v>
      </c>
      <c r="G1895" t="s">
        <v>12</v>
      </c>
      <c r="H1895" s="1">
        <v>42823</v>
      </c>
      <c r="I1895" s="1">
        <v>42914</v>
      </c>
      <c r="J1895">
        <v>424</v>
      </c>
    </row>
    <row r="1896" spans="1:10" x14ac:dyDescent="0.3">
      <c r="A1896" t="s">
        <v>2027</v>
      </c>
      <c r="B1896" t="s">
        <v>116</v>
      </c>
      <c r="C1896" t="str">
        <f>_xlfn.XLOOKUP(B1896,
[1]sales_teams!$A$2:$A$100,
[1]sales_teams!$B$2:$B$100)</f>
        <v>Melvin Marxen</v>
      </c>
      <c r="D1896" t="str">
        <f>_xlfn.XLOOKUP($B1896,sales_teams!$A$2:$A$36,sales_teams!C$2:C$36)</f>
        <v>Central</v>
      </c>
      <c r="E1896" t="s">
        <v>20</v>
      </c>
      <c r="F1896" t="s">
        <v>113</v>
      </c>
      <c r="G1896" t="s">
        <v>12</v>
      </c>
      <c r="H1896" s="1">
        <v>42823</v>
      </c>
      <c r="I1896" s="1">
        <v>42888</v>
      </c>
      <c r="J1896">
        <v>490</v>
      </c>
    </row>
    <row r="1897" spans="1:10" x14ac:dyDescent="0.3">
      <c r="A1897" t="s">
        <v>2028</v>
      </c>
      <c r="B1897" t="s">
        <v>51</v>
      </c>
      <c r="C1897" t="str">
        <f>_xlfn.XLOOKUP(B1897,
[1]sales_teams!$A$2:$A$100,
[1]sales_teams!$B$2:$B$100)</f>
        <v>Summer Sewald</v>
      </c>
      <c r="D1897" t="str">
        <f>_xlfn.XLOOKUP($B1897,sales_teams!$A$2:$A$36,sales_teams!C$2:C$36)</f>
        <v>West</v>
      </c>
      <c r="E1897" t="s">
        <v>15</v>
      </c>
      <c r="F1897" t="s">
        <v>199</v>
      </c>
      <c r="G1897" t="s">
        <v>46</v>
      </c>
      <c r="H1897" s="1">
        <v>42823</v>
      </c>
      <c r="I1897" s="1">
        <v>42829</v>
      </c>
      <c r="J1897">
        <v>0</v>
      </c>
    </row>
    <row r="1898" spans="1:10" x14ac:dyDescent="0.3">
      <c r="A1898" t="s">
        <v>2029</v>
      </c>
      <c r="B1898" t="s">
        <v>51</v>
      </c>
      <c r="C1898" t="str">
        <f>_xlfn.XLOOKUP(B1898,
[1]sales_teams!$A$2:$A$100,
[1]sales_teams!$B$2:$B$100)</f>
        <v>Summer Sewald</v>
      </c>
      <c r="D1898" t="str">
        <f>_xlfn.XLOOKUP($B1898,sales_teams!$A$2:$A$36,sales_teams!C$2:C$36)</f>
        <v>West</v>
      </c>
      <c r="E1898" t="s">
        <v>18</v>
      </c>
      <c r="F1898" t="s">
        <v>100</v>
      </c>
      <c r="G1898" t="s">
        <v>12</v>
      </c>
      <c r="H1898" s="1">
        <v>42823</v>
      </c>
      <c r="I1898" s="1">
        <v>42832</v>
      </c>
      <c r="J1898">
        <v>48</v>
      </c>
    </row>
    <row r="1899" spans="1:10" x14ac:dyDescent="0.3">
      <c r="A1899" t="s">
        <v>2030</v>
      </c>
      <c r="B1899" t="s">
        <v>9</v>
      </c>
      <c r="C1899" t="str">
        <f>_xlfn.XLOOKUP(B1899,
[1]sales_teams!$A$2:$A$100,
[1]sales_teams!$B$2:$B$100)</f>
        <v>Dustin Brinkmann</v>
      </c>
      <c r="D1899" t="str">
        <f>_xlfn.XLOOKUP($B1899,sales_teams!$A$2:$A$36,sales_teams!C$2:C$36)</f>
        <v>Central</v>
      </c>
      <c r="E1899" t="s">
        <v>39</v>
      </c>
      <c r="F1899" t="s">
        <v>315</v>
      </c>
      <c r="G1899" t="s">
        <v>12</v>
      </c>
      <c r="H1899" s="1">
        <v>42823</v>
      </c>
      <c r="I1899" s="1">
        <v>42881</v>
      </c>
      <c r="J1899">
        <v>3982</v>
      </c>
    </row>
    <row r="1900" spans="1:10" x14ac:dyDescent="0.3">
      <c r="A1900" t="s">
        <v>2031</v>
      </c>
      <c r="B1900" t="s">
        <v>57</v>
      </c>
      <c r="C1900" t="str">
        <f>_xlfn.XLOOKUP(B1900,
[1]sales_teams!$A$2:$A$100,
[1]sales_teams!$B$2:$B$100)</f>
        <v>Celia Rouche</v>
      </c>
      <c r="D1900" t="str">
        <f>_xlfn.XLOOKUP($B1900,sales_teams!$A$2:$A$36,sales_teams!C$2:C$36)</f>
        <v>West</v>
      </c>
      <c r="E1900" t="s">
        <v>39</v>
      </c>
      <c r="F1900" t="s">
        <v>55</v>
      </c>
      <c r="G1900" t="s">
        <v>46</v>
      </c>
      <c r="H1900" s="1">
        <v>42823</v>
      </c>
      <c r="I1900" s="1">
        <v>42897</v>
      </c>
      <c r="J1900">
        <v>0</v>
      </c>
    </row>
    <row r="1901" spans="1:10" x14ac:dyDescent="0.3">
      <c r="A1901" t="s">
        <v>2032</v>
      </c>
      <c r="B1901" t="s">
        <v>29</v>
      </c>
      <c r="C1901" t="str">
        <f>_xlfn.XLOOKUP(B1901,
[1]sales_teams!$A$2:$A$100,
[1]sales_teams!$B$2:$B$100)</f>
        <v>Celia Rouche</v>
      </c>
      <c r="D1901" t="str">
        <f>_xlfn.XLOOKUP($B1901,sales_teams!$A$2:$A$36,sales_teams!C$2:C$36)</f>
        <v>West</v>
      </c>
      <c r="E1901" t="s">
        <v>48</v>
      </c>
      <c r="F1901" t="s">
        <v>52</v>
      </c>
      <c r="G1901" t="s">
        <v>46</v>
      </c>
      <c r="H1901" s="1">
        <v>42823</v>
      </c>
      <c r="I1901" s="1">
        <v>42831</v>
      </c>
      <c r="J1901">
        <v>0</v>
      </c>
    </row>
    <row r="1902" spans="1:10" x14ac:dyDescent="0.3">
      <c r="A1902" t="s">
        <v>2033</v>
      </c>
      <c r="B1902" t="s">
        <v>29</v>
      </c>
      <c r="C1902" t="str">
        <f>_xlfn.XLOOKUP(B1902,
[1]sales_teams!$A$2:$A$100,
[1]sales_teams!$B$2:$B$100)</f>
        <v>Celia Rouche</v>
      </c>
      <c r="D1902" t="str">
        <f>_xlfn.XLOOKUP($B1902,sales_teams!$A$2:$A$36,sales_teams!C$2:C$36)</f>
        <v>West</v>
      </c>
      <c r="E1902" t="s">
        <v>10</v>
      </c>
      <c r="F1902" t="s">
        <v>148</v>
      </c>
      <c r="G1902" t="s">
        <v>12</v>
      </c>
      <c r="H1902" s="1">
        <v>42823</v>
      </c>
      <c r="I1902" s="1">
        <v>42834</v>
      </c>
      <c r="J1902">
        <v>1176</v>
      </c>
    </row>
    <row r="1903" spans="1:10" x14ac:dyDescent="0.3">
      <c r="A1903" t="s">
        <v>2034</v>
      </c>
      <c r="B1903" t="s">
        <v>102</v>
      </c>
      <c r="C1903" t="str">
        <f>_xlfn.XLOOKUP(B1903,
[1]sales_teams!$A$2:$A$100,
[1]sales_teams!$B$2:$B$100)</f>
        <v>Cara Losch</v>
      </c>
      <c r="D1903" t="str">
        <f>_xlfn.XLOOKUP($B1903,sales_teams!$A$2:$A$36,sales_teams!C$2:C$36)</f>
        <v>East</v>
      </c>
      <c r="E1903" t="s">
        <v>20</v>
      </c>
      <c r="F1903" t="s">
        <v>204</v>
      </c>
      <c r="G1903" t="s">
        <v>46</v>
      </c>
      <c r="H1903" s="1">
        <v>42823</v>
      </c>
      <c r="I1903" s="1">
        <v>42835</v>
      </c>
      <c r="J1903">
        <v>0</v>
      </c>
    </row>
    <row r="1904" spans="1:10" x14ac:dyDescent="0.3">
      <c r="A1904" t="s">
        <v>2035</v>
      </c>
      <c r="B1904" t="s">
        <v>102</v>
      </c>
      <c r="C1904" t="str">
        <f>_xlfn.XLOOKUP(B1904,
[1]sales_teams!$A$2:$A$100,
[1]sales_teams!$B$2:$B$100)</f>
        <v>Cara Losch</v>
      </c>
      <c r="D1904" t="str">
        <f>_xlfn.XLOOKUP($B1904,sales_teams!$A$2:$A$36,sales_teams!C$2:C$36)</f>
        <v>East</v>
      </c>
      <c r="E1904" t="s">
        <v>20</v>
      </c>
      <c r="F1904" t="s">
        <v>179</v>
      </c>
      <c r="G1904" t="s">
        <v>12</v>
      </c>
      <c r="H1904" s="1">
        <v>42823</v>
      </c>
      <c r="I1904" s="1">
        <v>42829</v>
      </c>
      <c r="J1904">
        <v>589</v>
      </c>
    </row>
    <row r="1905" spans="1:10" x14ac:dyDescent="0.3">
      <c r="A1905" t="s">
        <v>2036</v>
      </c>
      <c r="B1905" t="s">
        <v>23</v>
      </c>
      <c r="C1905" t="str">
        <f>_xlfn.XLOOKUP(B1905,
[1]sales_teams!$A$2:$A$100,
[1]sales_teams!$B$2:$B$100)</f>
        <v>Summer Sewald</v>
      </c>
      <c r="D1905" t="str">
        <f>_xlfn.XLOOKUP($B1905,sales_teams!$A$2:$A$36,sales_teams!C$2:C$36)</f>
        <v>West</v>
      </c>
      <c r="E1905" t="s">
        <v>48</v>
      </c>
      <c r="F1905" t="s">
        <v>273</v>
      </c>
      <c r="G1905" t="s">
        <v>46</v>
      </c>
      <c r="H1905" s="1">
        <v>42823</v>
      </c>
      <c r="I1905" s="1">
        <v>42871</v>
      </c>
      <c r="J1905">
        <v>0</v>
      </c>
    </row>
    <row r="1906" spans="1:10" x14ac:dyDescent="0.3">
      <c r="A1906" t="s">
        <v>2037</v>
      </c>
      <c r="B1906" t="s">
        <v>139</v>
      </c>
      <c r="C1906" t="str">
        <f>_xlfn.XLOOKUP(B1906,
[1]sales_teams!$A$2:$A$100,
[1]sales_teams!$B$2:$B$100)</f>
        <v>Rocco Neubert</v>
      </c>
      <c r="D1906" t="str">
        <f>_xlfn.XLOOKUP($B1906,sales_teams!$A$2:$A$36,sales_teams!C$2:C$36)</f>
        <v>East</v>
      </c>
      <c r="E1906" t="s">
        <v>20</v>
      </c>
      <c r="F1906" t="s">
        <v>74</v>
      </c>
      <c r="G1906" t="s">
        <v>46</v>
      </c>
      <c r="H1906" s="1">
        <v>42824</v>
      </c>
      <c r="I1906" s="1">
        <v>42826</v>
      </c>
      <c r="J1906">
        <v>0</v>
      </c>
    </row>
    <row r="1907" spans="1:10" x14ac:dyDescent="0.3">
      <c r="A1907" t="s">
        <v>2038</v>
      </c>
      <c r="B1907" t="s">
        <v>139</v>
      </c>
      <c r="C1907" t="str">
        <f>_xlfn.XLOOKUP(B1907,
[1]sales_teams!$A$2:$A$100,
[1]sales_teams!$B$2:$B$100)</f>
        <v>Rocco Neubert</v>
      </c>
      <c r="D1907" t="str">
        <f>_xlfn.XLOOKUP($B1907,sales_teams!$A$2:$A$36,sales_teams!C$2:C$36)</f>
        <v>East</v>
      </c>
      <c r="E1907" t="s">
        <v>48</v>
      </c>
      <c r="F1907" t="s">
        <v>65</v>
      </c>
      <c r="G1907" t="s">
        <v>46</v>
      </c>
      <c r="H1907" s="1">
        <v>42824</v>
      </c>
      <c r="I1907" s="1">
        <v>42832</v>
      </c>
      <c r="J1907">
        <v>0</v>
      </c>
    </row>
    <row r="1908" spans="1:10" x14ac:dyDescent="0.3">
      <c r="A1908" t="s">
        <v>2039</v>
      </c>
      <c r="B1908" t="s">
        <v>118</v>
      </c>
      <c r="C1908" t="str">
        <f>_xlfn.XLOOKUP(B1908,
[1]sales_teams!$A$2:$A$100,
[1]sales_teams!$B$2:$B$100)</f>
        <v>Rocco Neubert</v>
      </c>
      <c r="D1908" t="str">
        <f>_xlfn.XLOOKUP($B1908,sales_teams!$A$2:$A$36,sales_teams!C$2:C$36)</f>
        <v>East</v>
      </c>
      <c r="E1908" t="s">
        <v>15</v>
      </c>
      <c r="F1908" t="s">
        <v>103</v>
      </c>
      <c r="G1908" t="s">
        <v>12</v>
      </c>
      <c r="H1908" s="1">
        <v>42824</v>
      </c>
      <c r="I1908" s="1">
        <v>42831</v>
      </c>
      <c r="J1908">
        <v>4276</v>
      </c>
    </row>
    <row r="1909" spans="1:10" x14ac:dyDescent="0.3">
      <c r="A1909" t="s">
        <v>2040</v>
      </c>
      <c r="B1909" t="s">
        <v>118</v>
      </c>
      <c r="C1909" t="str">
        <f>_xlfn.XLOOKUP(B1909,
[1]sales_teams!$A$2:$A$100,
[1]sales_teams!$B$2:$B$100)</f>
        <v>Rocco Neubert</v>
      </c>
      <c r="D1909" t="str">
        <f>_xlfn.XLOOKUP($B1909,sales_teams!$A$2:$A$36,sales_teams!C$2:C$36)</f>
        <v>East</v>
      </c>
      <c r="E1909" t="s">
        <v>39</v>
      </c>
      <c r="F1909" t="s">
        <v>143</v>
      </c>
      <c r="G1909" t="s">
        <v>12</v>
      </c>
      <c r="H1909" s="1">
        <v>42824</v>
      </c>
      <c r="I1909" s="1">
        <v>42832</v>
      </c>
      <c r="J1909">
        <v>3390</v>
      </c>
    </row>
    <row r="1910" spans="1:10" x14ac:dyDescent="0.3">
      <c r="A1910" t="s">
        <v>2041</v>
      </c>
      <c r="B1910" t="s">
        <v>202</v>
      </c>
      <c r="C1910" t="str">
        <f>_xlfn.XLOOKUP(B1910,
[1]sales_teams!$A$2:$A$100,
[1]sales_teams!$B$2:$B$100)</f>
        <v>Dustin Brinkmann</v>
      </c>
      <c r="D1910" t="str">
        <f>_xlfn.XLOOKUP($B1910,sales_teams!$A$2:$A$36,sales_teams!C$2:C$36)</f>
        <v>Central</v>
      </c>
      <c r="E1910" t="s">
        <v>20</v>
      </c>
      <c r="F1910" t="s">
        <v>42</v>
      </c>
      <c r="G1910" t="s">
        <v>46</v>
      </c>
      <c r="H1910" s="1">
        <v>42824</v>
      </c>
      <c r="I1910" s="1">
        <v>42836</v>
      </c>
      <c r="J1910">
        <v>0</v>
      </c>
    </row>
    <row r="1911" spans="1:10" x14ac:dyDescent="0.3">
      <c r="A1911" t="s">
        <v>2042</v>
      </c>
      <c r="B1911" t="s">
        <v>202</v>
      </c>
      <c r="C1911" t="str">
        <f>_xlfn.XLOOKUP(B1911,
[1]sales_teams!$A$2:$A$100,
[1]sales_teams!$B$2:$B$100)</f>
        <v>Dustin Brinkmann</v>
      </c>
      <c r="D1911" t="str">
        <f>_xlfn.XLOOKUP($B1911,sales_teams!$A$2:$A$36,sales_teams!C$2:C$36)</f>
        <v>Central</v>
      </c>
      <c r="E1911" t="s">
        <v>18</v>
      </c>
      <c r="F1911" t="s">
        <v>91</v>
      </c>
      <c r="G1911" t="s">
        <v>46</v>
      </c>
      <c r="H1911" s="1">
        <v>42824</v>
      </c>
      <c r="I1911" s="1">
        <v>42834</v>
      </c>
      <c r="J1911">
        <v>0</v>
      </c>
    </row>
    <row r="1912" spans="1:10" x14ac:dyDescent="0.3">
      <c r="A1912" t="s">
        <v>2043</v>
      </c>
      <c r="B1912" t="s">
        <v>202</v>
      </c>
      <c r="C1912" t="str">
        <f>_xlfn.XLOOKUP(B1912,
[1]sales_teams!$A$2:$A$100,
[1]sales_teams!$B$2:$B$100)</f>
        <v>Dustin Brinkmann</v>
      </c>
      <c r="D1912" t="str">
        <f>_xlfn.XLOOKUP($B1912,sales_teams!$A$2:$A$36,sales_teams!C$2:C$36)</f>
        <v>Central</v>
      </c>
      <c r="E1912" t="s">
        <v>20</v>
      </c>
      <c r="F1912" t="s">
        <v>197</v>
      </c>
      <c r="G1912" t="s">
        <v>12</v>
      </c>
      <c r="H1912" s="1">
        <v>42824</v>
      </c>
      <c r="I1912" s="1">
        <v>42874</v>
      </c>
      <c r="J1912">
        <v>541</v>
      </c>
    </row>
    <row r="1913" spans="1:10" x14ac:dyDescent="0.3">
      <c r="A1913" t="s">
        <v>2044</v>
      </c>
      <c r="B1913" t="s">
        <v>164</v>
      </c>
      <c r="C1913" t="str">
        <f>_xlfn.XLOOKUP(B1913,
[1]sales_teams!$A$2:$A$100,
[1]sales_teams!$B$2:$B$100)</f>
        <v>Cara Losch</v>
      </c>
      <c r="D1913" t="str">
        <f>_xlfn.XLOOKUP($B1913,sales_teams!$A$2:$A$36,sales_teams!C$2:C$36)</f>
        <v>East</v>
      </c>
      <c r="E1913" t="s">
        <v>48</v>
      </c>
      <c r="F1913" t="s">
        <v>81</v>
      </c>
      <c r="G1913" t="s">
        <v>12</v>
      </c>
      <c r="H1913" s="1">
        <v>42824</v>
      </c>
      <c r="I1913" s="1">
        <v>42912</v>
      </c>
      <c r="J1913">
        <v>5189</v>
      </c>
    </row>
    <row r="1914" spans="1:10" x14ac:dyDescent="0.3">
      <c r="A1914" t="s">
        <v>2045</v>
      </c>
      <c r="B1914" t="s">
        <v>64</v>
      </c>
      <c r="C1914" t="str">
        <f>_xlfn.XLOOKUP(B1914,
[1]sales_teams!$A$2:$A$100,
[1]sales_teams!$B$2:$B$100)</f>
        <v>Rocco Neubert</v>
      </c>
      <c r="D1914" t="str">
        <f>_xlfn.XLOOKUP($B1914,sales_teams!$A$2:$A$36,sales_teams!C$2:C$36)</f>
        <v>East</v>
      </c>
      <c r="E1914" t="s">
        <v>15</v>
      </c>
      <c r="F1914" t="s">
        <v>81</v>
      </c>
      <c r="G1914" t="s">
        <v>46</v>
      </c>
      <c r="H1914" s="1">
        <v>42824</v>
      </c>
      <c r="I1914" s="1">
        <v>42832</v>
      </c>
      <c r="J1914">
        <v>0</v>
      </c>
    </row>
    <row r="1915" spans="1:10" x14ac:dyDescent="0.3">
      <c r="A1915" t="s">
        <v>2046</v>
      </c>
      <c r="B1915" t="s">
        <v>64</v>
      </c>
      <c r="C1915" t="str">
        <f>_xlfn.XLOOKUP(B1915,
[1]sales_teams!$A$2:$A$100,
[1]sales_teams!$B$2:$B$100)</f>
        <v>Rocco Neubert</v>
      </c>
      <c r="D1915" t="str">
        <f>_xlfn.XLOOKUP($B1915,sales_teams!$A$2:$A$36,sales_teams!C$2:C$36)</f>
        <v>East</v>
      </c>
      <c r="E1915" t="s">
        <v>48</v>
      </c>
      <c r="F1915" t="s">
        <v>65</v>
      </c>
      <c r="G1915" t="s">
        <v>12</v>
      </c>
      <c r="H1915" s="1">
        <v>42824</v>
      </c>
      <c r="I1915" s="1">
        <v>42909</v>
      </c>
      <c r="J1915">
        <v>6920</v>
      </c>
    </row>
    <row r="1916" spans="1:10" x14ac:dyDescent="0.3">
      <c r="A1916" t="s">
        <v>2047</v>
      </c>
      <c r="B1916" t="s">
        <v>14</v>
      </c>
      <c r="C1916" t="str">
        <f>_xlfn.XLOOKUP(B1916,
[1]sales_teams!$A$2:$A$100,
[1]sales_teams!$B$2:$B$100)</f>
        <v>Melvin Marxen</v>
      </c>
      <c r="D1916" t="str">
        <f>_xlfn.XLOOKUP($B1916,sales_teams!$A$2:$A$36,sales_teams!C$2:C$36)</f>
        <v>Central</v>
      </c>
      <c r="E1916" t="s">
        <v>20</v>
      </c>
      <c r="F1916" t="s">
        <v>218</v>
      </c>
      <c r="G1916" t="s">
        <v>46</v>
      </c>
      <c r="H1916" s="1">
        <v>42824</v>
      </c>
      <c r="I1916" s="1">
        <v>42826</v>
      </c>
      <c r="J1916">
        <v>0</v>
      </c>
    </row>
    <row r="1917" spans="1:10" x14ac:dyDescent="0.3">
      <c r="A1917" t="s">
        <v>2048</v>
      </c>
      <c r="B1917" t="s">
        <v>14</v>
      </c>
      <c r="C1917" t="str">
        <f>_xlfn.XLOOKUP(B1917,
[1]sales_teams!$A$2:$A$100,
[1]sales_teams!$B$2:$B$100)</f>
        <v>Melvin Marxen</v>
      </c>
      <c r="D1917" t="str">
        <f>_xlfn.XLOOKUP($B1917,sales_teams!$A$2:$A$36,sales_teams!C$2:C$36)</f>
        <v>Central</v>
      </c>
      <c r="E1917" t="s">
        <v>10</v>
      </c>
      <c r="F1917" t="s">
        <v>16</v>
      </c>
      <c r="G1917" t="s">
        <v>46</v>
      </c>
      <c r="H1917" s="1">
        <v>42824</v>
      </c>
      <c r="I1917" s="1">
        <v>42832</v>
      </c>
      <c r="J1917">
        <v>0</v>
      </c>
    </row>
    <row r="1918" spans="1:10" x14ac:dyDescent="0.3">
      <c r="A1918" t="s">
        <v>2049</v>
      </c>
      <c r="B1918" t="s">
        <v>14</v>
      </c>
      <c r="C1918" t="str">
        <f>_xlfn.XLOOKUP(B1918,
[1]sales_teams!$A$2:$A$100,
[1]sales_teams!$B$2:$B$100)</f>
        <v>Melvin Marxen</v>
      </c>
      <c r="D1918" t="str">
        <f>_xlfn.XLOOKUP($B1918,sales_teams!$A$2:$A$36,sales_teams!C$2:C$36)</f>
        <v>Central</v>
      </c>
      <c r="E1918" t="s">
        <v>39</v>
      </c>
      <c r="F1918" t="s">
        <v>213</v>
      </c>
      <c r="G1918" t="s">
        <v>46</v>
      </c>
      <c r="H1918" s="1">
        <v>42824</v>
      </c>
      <c r="I1918" s="1">
        <v>42872</v>
      </c>
      <c r="J1918">
        <v>0</v>
      </c>
    </row>
    <row r="1919" spans="1:10" x14ac:dyDescent="0.3">
      <c r="A1919" t="s">
        <v>2050</v>
      </c>
      <c r="B1919" t="s">
        <v>14</v>
      </c>
      <c r="C1919" t="str">
        <f>_xlfn.XLOOKUP(B1919,
[1]sales_teams!$A$2:$A$100,
[1]sales_teams!$B$2:$B$100)</f>
        <v>Melvin Marxen</v>
      </c>
      <c r="D1919" t="str">
        <f>_xlfn.XLOOKUP($B1919,sales_teams!$A$2:$A$36,sales_teams!C$2:C$36)</f>
        <v>Central</v>
      </c>
      <c r="E1919" t="s">
        <v>20</v>
      </c>
      <c r="F1919" t="s">
        <v>42</v>
      </c>
      <c r="G1919" t="s">
        <v>12</v>
      </c>
      <c r="H1919" s="1">
        <v>42824</v>
      </c>
      <c r="I1919" s="1">
        <v>42906</v>
      </c>
      <c r="J1919">
        <v>600</v>
      </c>
    </row>
    <row r="1920" spans="1:10" x14ac:dyDescent="0.3">
      <c r="A1920" t="s">
        <v>2051</v>
      </c>
      <c r="B1920" t="s">
        <v>142</v>
      </c>
      <c r="C1920" t="str">
        <f>_xlfn.XLOOKUP(B1920,
[1]sales_teams!$A$2:$A$100,
[1]sales_teams!$B$2:$B$100)</f>
        <v>Rocco Neubert</v>
      </c>
      <c r="D1920" t="str">
        <f>_xlfn.XLOOKUP($B1920,sales_teams!$A$2:$A$36,sales_teams!C$2:C$36)</f>
        <v>East</v>
      </c>
      <c r="E1920" t="s">
        <v>10</v>
      </c>
      <c r="F1920" t="s">
        <v>192</v>
      </c>
      <c r="G1920" t="s">
        <v>46</v>
      </c>
      <c r="H1920" s="1">
        <v>42824</v>
      </c>
      <c r="I1920" s="1">
        <v>42836</v>
      </c>
      <c r="J1920">
        <v>0</v>
      </c>
    </row>
    <row r="1921" spans="1:10" x14ac:dyDescent="0.3">
      <c r="A1921" t="s">
        <v>2052</v>
      </c>
      <c r="B1921" t="s">
        <v>142</v>
      </c>
      <c r="C1921" t="str">
        <f>_xlfn.XLOOKUP(B1921,
[1]sales_teams!$A$2:$A$100,
[1]sales_teams!$B$2:$B$100)</f>
        <v>Rocco Neubert</v>
      </c>
      <c r="D1921" t="str">
        <f>_xlfn.XLOOKUP($B1921,sales_teams!$A$2:$A$36,sales_teams!C$2:C$36)</f>
        <v>East</v>
      </c>
      <c r="E1921" t="s">
        <v>15</v>
      </c>
      <c r="F1921" t="s">
        <v>199</v>
      </c>
      <c r="G1921" t="s">
        <v>46</v>
      </c>
      <c r="H1921" s="1">
        <v>42824</v>
      </c>
      <c r="I1921" s="1">
        <v>42826</v>
      </c>
      <c r="J1921">
        <v>0</v>
      </c>
    </row>
    <row r="1922" spans="1:10" x14ac:dyDescent="0.3">
      <c r="A1922" t="s">
        <v>2053</v>
      </c>
      <c r="B1922" t="s">
        <v>142</v>
      </c>
      <c r="C1922" t="str">
        <f>_xlfn.XLOOKUP(B1922,
[1]sales_teams!$A$2:$A$100,
[1]sales_teams!$B$2:$B$100)</f>
        <v>Rocco Neubert</v>
      </c>
      <c r="D1922" t="str">
        <f>_xlfn.XLOOKUP($B1922,sales_teams!$A$2:$A$36,sales_teams!C$2:C$36)</f>
        <v>East</v>
      </c>
      <c r="E1922" t="s">
        <v>20</v>
      </c>
      <c r="F1922" t="s">
        <v>65</v>
      </c>
      <c r="G1922" t="s">
        <v>12</v>
      </c>
      <c r="H1922" s="1">
        <v>42824</v>
      </c>
      <c r="I1922" s="1">
        <v>42831</v>
      </c>
      <c r="J1922">
        <v>564</v>
      </c>
    </row>
    <row r="1923" spans="1:10" x14ac:dyDescent="0.3">
      <c r="A1923" t="s">
        <v>2054</v>
      </c>
      <c r="B1923" t="s">
        <v>67</v>
      </c>
      <c r="C1923" t="str">
        <f>_xlfn.XLOOKUP(B1923,
[1]sales_teams!$A$2:$A$100,
[1]sales_teams!$B$2:$B$100)</f>
        <v>Celia Rouche</v>
      </c>
      <c r="D1923" t="str">
        <f>_xlfn.XLOOKUP($B1923,sales_teams!$A$2:$A$36,sales_teams!C$2:C$36)</f>
        <v>West</v>
      </c>
      <c r="E1923" t="s">
        <v>145</v>
      </c>
      <c r="F1923" t="s">
        <v>148</v>
      </c>
      <c r="G1923" t="s">
        <v>46</v>
      </c>
      <c r="H1923" s="1">
        <v>42824</v>
      </c>
      <c r="I1923" s="1">
        <v>42829</v>
      </c>
      <c r="J1923">
        <v>0</v>
      </c>
    </row>
    <row r="1924" spans="1:10" x14ac:dyDescent="0.3">
      <c r="A1924" t="s">
        <v>2055</v>
      </c>
      <c r="B1924" t="s">
        <v>105</v>
      </c>
      <c r="C1924" t="str">
        <f>_xlfn.XLOOKUP(B1924,
[1]sales_teams!$A$2:$A$100,
[1]sales_teams!$B$2:$B$100)</f>
        <v>Cara Losch</v>
      </c>
      <c r="D1924" t="str">
        <f>_xlfn.XLOOKUP($B1924,sales_teams!$A$2:$A$36,sales_teams!C$2:C$36)</f>
        <v>East</v>
      </c>
      <c r="E1924" t="s">
        <v>10</v>
      </c>
      <c r="F1924" t="s">
        <v>300</v>
      </c>
      <c r="G1924" t="s">
        <v>12</v>
      </c>
      <c r="H1924" s="1">
        <v>42824</v>
      </c>
      <c r="I1924" s="1">
        <v>42886</v>
      </c>
      <c r="J1924">
        <v>1037</v>
      </c>
    </row>
    <row r="1925" spans="1:10" x14ac:dyDescent="0.3">
      <c r="A1925" t="s">
        <v>2056</v>
      </c>
      <c r="B1925" t="s">
        <v>78</v>
      </c>
      <c r="C1925" t="str">
        <f>_xlfn.XLOOKUP(B1925,
[1]sales_teams!$A$2:$A$100,
[1]sales_teams!$B$2:$B$100)</f>
        <v>Summer Sewald</v>
      </c>
      <c r="D1925" t="str">
        <f>_xlfn.XLOOKUP($B1925,sales_teams!$A$2:$A$36,sales_teams!C$2:C$36)</f>
        <v>West</v>
      </c>
      <c r="E1925" t="s">
        <v>20</v>
      </c>
      <c r="F1925" t="s">
        <v>315</v>
      </c>
      <c r="G1925" t="s">
        <v>12</v>
      </c>
      <c r="H1925" s="1">
        <v>42824</v>
      </c>
      <c r="I1925" s="1">
        <v>42826</v>
      </c>
      <c r="J1925">
        <v>500</v>
      </c>
    </row>
    <row r="1926" spans="1:10" x14ac:dyDescent="0.3">
      <c r="A1926" t="s">
        <v>2057</v>
      </c>
      <c r="B1926" t="s">
        <v>133</v>
      </c>
      <c r="C1926" t="str">
        <f>_xlfn.XLOOKUP(B1926,
[1]sales_teams!$A$2:$A$100,
[1]sales_teams!$B$2:$B$100)</f>
        <v>Dustin Brinkmann</v>
      </c>
      <c r="D1926" t="str">
        <f>_xlfn.XLOOKUP($B1926,sales_teams!$A$2:$A$36,sales_teams!C$2:C$36)</f>
        <v>Central</v>
      </c>
      <c r="E1926" t="s">
        <v>48</v>
      </c>
      <c r="F1926" t="s">
        <v>315</v>
      </c>
      <c r="G1926" t="s">
        <v>12</v>
      </c>
      <c r="H1926" s="1">
        <v>42824</v>
      </c>
      <c r="I1926" s="1">
        <v>42832</v>
      </c>
      <c r="J1926">
        <v>5728</v>
      </c>
    </row>
    <row r="1927" spans="1:10" x14ac:dyDescent="0.3">
      <c r="A1927" t="s">
        <v>2058</v>
      </c>
      <c r="B1927" t="s">
        <v>32</v>
      </c>
      <c r="C1927" t="str">
        <f>_xlfn.XLOOKUP(B1927,
[1]sales_teams!$A$2:$A$100,
[1]sales_teams!$B$2:$B$100)</f>
        <v>Celia Rouche</v>
      </c>
      <c r="D1927" t="str">
        <f>_xlfn.XLOOKUP($B1927,sales_teams!$A$2:$A$36,sales_teams!C$2:C$36)</f>
        <v>West</v>
      </c>
      <c r="E1927" t="s">
        <v>39</v>
      </c>
      <c r="F1927" t="s">
        <v>155</v>
      </c>
      <c r="G1927" t="s">
        <v>46</v>
      </c>
      <c r="H1927" s="1">
        <v>42824</v>
      </c>
      <c r="I1927" s="1">
        <v>42834</v>
      </c>
      <c r="J1927">
        <v>0</v>
      </c>
    </row>
    <row r="1928" spans="1:10" x14ac:dyDescent="0.3">
      <c r="A1928" t="s">
        <v>2059</v>
      </c>
      <c r="B1928" t="s">
        <v>116</v>
      </c>
      <c r="C1928" t="str">
        <f>_xlfn.XLOOKUP(B1928,
[1]sales_teams!$A$2:$A$100,
[1]sales_teams!$B$2:$B$100)</f>
        <v>Melvin Marxen</v>
      </c>
      <c r="D1928" t="str">
        <f>_xlfn.XLOOKUP($B1928,sales_teams!$A$2:$A$36,sales_teams!C$2:C$36)</f>
        <v>Central</v>
      </c>
      <c r="E1928" t="s">
        <v>15</v>
      </c>
      <c r="F1928" t="s">
        <v>187</v>
      </c>
      <c r="G1928" t="s">
        <v>46</v>
      </c>
      <c r="H1928" s="1">
        <v>42824</v>
      </c>
      <c r="I1928" s="1">
        <v>42831</v>
      </c>
      <c r="J1928">
        <v>0</v>
      </c>
    </row>
    <row r="1929" spans="1:10" x14ac:dyDescent="0.3">
      <c r="A1929" t="s">
        <v>2060</v>
      </c>
      <c r="B1929" t="s">
        <v>9</v>
      </c>
      <c r="C1929" t="str">
        <f>_xlfn.XLOOKUP(B1929,
[1]sales_teams!$A$2:$A$100,
[1]sales_teams!$B$2:$B$100)</f>
        <v>Dustin Brinkmann</v>
      </c>
      <c r="D1929" t="str">
        <f>_xlfn.XLOOKUP($B1929,sales_teams!$A$2:$A$36,sales_teams!C$2:C$36)</f>
        <v>Central</v>
      </c>
      <c r="E1929" t="s">
        <v>39</v>
      </c>
      <c r="F1929" t="s">
        <v>231</v>
      </c>
      <c r="G1929" t="s">
        <v>46</v>
      </c>
      <c r="H1929" s="1">
        <v>42824</v>
      </c>
      <c r="I1929" s="1">
        <v>42836</v>
      </c>
      <c r="J1929">
        <v>0</v>
      </c>
    </row>
    <row r="1930" spans="1:10" x14ac:dyDescent="0.3">
      <c r="A1930" t="s">
        <v>2061</v>
      </c>
      <c r="B1930" t="s">
        <v>9</v>
      </c>
      <c r="C1930" t="str">
        <f>_xlfn.XLOOKUP(B1930,
[1]sales_teams!$A$2:$A$100,
[1]sales_teams!$B$2:$B$100)</f>
        <v>Dustin Brinkmann</v>
      </c>
      <c r="D1930" t="str">
        <f>_xlfn.XLOOKUP($B1930,sales_teams!$A$2:$A$36,sales_teams!C$2:C$36)</f>
        <v>Central</v>
      </c>
      <c r="E1930" t="s">
        <v>18</v>
      </c>
      <c r="F1930" t="s">
        <v>129</v>
      </c>
      <c r="G1930" t="s">
        <v>12</v>
      </c>
      <c r="H1930" s="1">
        <v>42824</v>
      </c>
      <c r="I1930" s="1">
        <v>42875</v>
      </c>
      <c r="J1930">
        <v>54</v>
      </c>
    </row>
    <row r="1931" spans="1:10" x14ac:dyDescent="0.3">
      <c r="A1931" t="s">
        <v>2062</v>
      </c>
      <c r="B1931" t="s">
        <v>57</v>
      </c>
      <c r="C1931" t="str">
        <f>_xlfn.XLOOKUP(B1931,
[1]sales_teams!$A$2:$A$100,
[1]sales_teams!$B$2:$B$100)</f>
        <v>Celia Rouche</v>
      </c>
      <c r="D1931" t="str">
        <f>_xlfn.XLOOKUP($B1931,sales_teams!$A$2:$A$36,sales_teams!C$2:C$36)</f>
        <v>West</v>
      </c>
      <c r="E1931" t="s">
        <v>20</v>
      </c>
      <c r="F1931" t="s">
        <v>93</v>
      </c>
      <c r="G1931" t="s">
        <v>12</v>
      </c>
      <c r="H1931" s="1">
        <v>42824</v>
      </c>
      <c r="I1931" s="1">
        <v>42905</v>
      </c>
      <c r="J1931">
        <v>501</v>
      </c>
    </row>
    <row r="1932" spans="1:10" x14ac:dyDescent="0.3">
      <c r="A1932" t="s">
        <v>2063</v>
      </c>
      <c r="B1932" t="s">
        <v>88</v>
      </c>
      <c r="C1932" t="str">
        <f>_xlfn.XLOOKUP(B1932,
[1]sales_teams!$A$2:$A$100,
[1]sales_teams!$B$2:$B$100)</f>
        <v>Cara Losch</v>
      </c>
      <c r="D1932" t="str">
        <f>_xlfn.XLOOKUP($B1932,sales_teams!$A$2:$A$36,sales_teams!C$2:C$36)</f>
        <v>East</v>
      </c>
      <c r="E1932" t="s">
        <v>20</v>
      </c>
      <c r="F1932" t="s">
        <v>55</v>
      </c>
      <c r="G1932" t="s">
        <v>40</v>
      </c>
      <c r="H1932" s="1">
        <v>42824</v>
      </c>
    </row>
    <row r="1933" spans="1:10" x14ac:dyDescent="0.3">
      <c r="A1933" t="s">
        <v>2064</v>
      </c>
      <c r="B1933" t="s">
        <v>88</v>
      </c>
      <c r="C1933" t="str">
        <f>_xlfn.XLOOKUP(B1933,
[1]sales_teams!$A$2:$A$100,
[1]sales_teams!$B$2:$B$100)</f>
        <v>Cara Losch</v>
      </c>
      <c r="D1933" t="str">
        <f>_xlfn.XLOOKUP($B1933,sales_teams!$A$2:$A$36,sales_teams!C$2:C$36)</f>
        <v>East</v>
      </c>
      <c r="E1933" t="s">
        <v>48</v>
      </c>
      <c r="F1933" t="s">
        <v>189</v>
      </c>
      <c r="G1933" t="s">
        <v>12</v>
      </c>
      <c r="H1933" s="1">
        <v>42824</v>
      </c>
      <c r="I1933" s="1">
        <v>42833</v>
      </c>
      <c r="J1933">
        <v>6155</v>
      </c>
    </row>
    <row r="1934" spans="1:10" x14ac:dyDescent="0.3">
      <c r="A1934" t="s">
        <v>2065</v>
      </c>
      <c r="B1934" t="s">
        <v>88</v>
      </c>
      <c r="C1934" t="str">
        <f>_xlfn.XLOOKUP(B1934,
[1]sales_teams!$A$2:$A$100,
[1]sales_teams!$B$2:$B$100)</f>
        <v>Cara Losch</v>
      </c>
      <c r="D1934" t="str">
        <f>_xlfn.XLOOKUP($B1934,sales_teams!$A$2:$A$36,sales_teams!C$2:C$36)</f>
        <v>East</v>
      </c>
      <c r="E1934" t="s">
        <v>48</v>
      </c>
      <c r="F1934" t="s">
        <v>300</v>
      </c>
      <c r="G1934" t="s">
        <v>12</v>
      </c>
      <c r="H1934" s="1">
        <v>42824</v>
      </c>
      <c r="I1934" s="1">
        <v>42833</v>
      </c>
      <c r="J1934">
        <v>4668</v>
      </c>
    </row>
    <row r="1935" spans="1:10" x14ac:dyDescent="0.3">
      <c r="A1935" t="s">
        <v>2066</v>
      </c>
      <c r="B1935" t="s">
        <v>61</v>
      </c>
      <c r="C1935" t="str">
        <f>_xlfn.XLOOKUP(B1935,
[1]sales_teams!$A$2:$A$100,
[1]sales_teams!$B$2:$B$100)</f>
        <v>Dustin Brinkmann</v>
      </c>
      <c r="D1935" t="str">
        <f>_xlfn.XLOOKUP($B1935,sales_teams!$A$2:$A$36,sales_teams!C$2:C$36)</f>
        <v>Central</v>
      </c>
      <c r="E1935" t="s">
        <v>48</v>
      </c>
      <c r="F1935" t="s">
        <v>36</v>
      </c>
      <c r="G1935" t="s">
        <v>12</v>
      </c>
      <c r="H1935" s="1">
        <v>42824</v>
      </c>
      <c r="I1935" s="1">
        <v>42895</v>
      </c>
      <c r="J1935">
        <v>5017</v>
      </c>
    </row>
    <row r="1936" spans="1:10" x14ac:dyDescent="0.3">
      <c r="A1936" t="s">
        <v>2067</v>
      </c>
      <c r="B1936" t="s">
        <v>61</v>
      </c>
      <c r="C1936" t="str">
        <f>_xlfn.XLOOKUP(B1936,
[1]sales_teams!$A$2:$A$100,
[1]sales_teams!$B$2:$B$100)</f>
        <v>Dustin Brinkmann</v>
      </c>
      <c r="D1936" t="str">
        <f>_xlfn.XLOOKUP($B1936,sales_teams!$A$2:$A$36,sales_teams!C$2:C$36)</f>
        <v>Central</v>
      </c>
      <c r="E1936" t="s">
        <v>18</v>
      </c>
      <c r="F1936" t="s">
        <v>27</v>
      </c>
      <c r="G1936" t="s">
        <v>12</v>
      </c>
      <c r="H1936" s="1">
        <v>42824</v>
      </c>
      <c r="I1936" s="1">
        <v>42833</v>
      </c>
      <c r="J1936">
        <v>59</v>
      </c>
    </row>
    <row r="1937" spans="1:10" x14ac:dyDescent="0.3">
      <c r="A1937" t="s">
        <v>2068</v>
      </c>
      <c r="B1937" t="s">
        <v>29</v>
      </c>
      <c r="C1937" t="str">
        <f>_xlfn.XLOOKUP(B1937,
[1]sales_teams!$A$2:$A$100,
[1]sales_teams!$B$2:$B$100)</f>
        <v>Celia Rouche</v>
      </c>
      <c r="D1937" t="str">
        <f>_xlfn.XLOOKUP($B1937,sales_teams!$A$2:$A$36,sales_teams!C$2:C$36)</f>
        <v>West</v>
      </c>
      <c r="E1937" t="s">
        <v>20</v>
      </c>
      <c r="G1937" t="s">
        <v>40</v>
      </c>
      <c r="H1937" s="1">
        <v>42824</v>
      </c>
    </row>
    <row r="1938" spans="1:10" x14ac:dyDescent="0.3">
      <c r="A1938" t="s">
        <v>2069</v>
      </c>
      <c r="B1938" t="s">
        <v>29</v>
      </c>
      <c r="C1938" t="str">
        <f>_xlfn.XLOOKUP(B1938,
[1]sales_teams!$A$2:$A$100,
[1]sales_teams!$B$2:$B$100)</f>
        <v>Celia Rouche</v>
      </c>
      <c r="D1938" t="str">
        <f>_xlfn.XLOOKUP($B1938,sales_teams!$A$2:$A$36,sales_teams!C$2:C$36)</f>
        <v>West</v>
      </c>
      <c r="E1938" t="s">
        <v>15</v>
      </c>
      <c r="F1938" t="s">
        <v>70</v>
      </c>
      <c r="G1938" t="s">
        <v>46</v>
      </c>
      <c r="H1938" s="1">
        <v>42824</v>
      </c>
      <c r="I1938" s="1">
        <v>42833</v>
      </c>
      <c r="J1938">
        <v>0</v>
      </c>
    </row>
    <row r="1939" spans="1:10" x14ac:dyDescent="0.3">
      <c r="A1939" t="s">
        <v>2070</v>
      </c>
      <c r="B1939" t="s">
        <v>29</v>
      </c>
      <c r="C1939" t="str">
        <f>_xlfn.XLOOKUP(B1939,
[1]sales_teams!$A$2:$A$100,
[1]sales_teams!$B$2:$B$100)</f>
        <v>Celia Rouche</v>
      </c>
      <c r="D1939" t="str">
        <f>_xlfn.XLOOKUP($B1939,sales_teams!$A$2:$A$36,sales_teams!C$2:C$36)</f>
        <v>West</v>
      </c>
      <c r="E1939" t="s">
        <v>39</v>
      </c>
      <c r="F1939" t="s">
        <v>124</v>
      </c>
      <c r="G1939" t="s">
        <v>12</v>
      </c>
      <c r="H1939" s="1">
        <v>42824</v>
      </c>
      <c r="I1939" s="1">
        <v>42831</v>
      </c>
      <c r="J1939">
        <v>3316</v>
      </c>
    </row>
    <row r="1940" spans="1:10" x14ac:dyDescent="0.3">
      <c r="A1940" t="s">
        <v>2071</v>
      </c>
      <c r="B1940" t="s">
        <v>23</v>
      </c>
      <c r="C1940" t="str">
        <f>_xlfn.XLOOKUP(B1940,
[1]sales_teams!$A$2:$A$100,
[1]sales_teams!$B$2:$B$100)</f>
        <v>Summer Sewald</v>
      </c>
      <c r="D1940" t="str">
        <f>_xlfn.XLOOKUP($B1940,sales_teams!$A$2:$A$36,sales_teams!C$2:C$36)</f>
        <v>West</v>
      </c>
      <c r="E1940" t="s">
        <v>20</v>
      </c>
      <c r="F1940" t="s">
        <v>36</v>
      </c>
      <c r="G1940" t="s">
        <v>40</v>
      </c>
      <c r="H1940" s="1">
        <v>42824</v>
      </c>
    </row>
    <row r="1941" spans="1:10" x14ac:dyDescent="0.3">
      <c r="A1941" t="s">
        <v>2072</v>
      </c>
      <c r="B1941" t="s">
        <v>23</v>
      </c>
      <c r="C1941" t="str">
        <f>_xlfn.XLOOKUP(B1941,
[1]sales_teams!$A$2:$A$100,
[1]sales_teams!$B$2:$B$100)</f>
        <v>Summer Sewald</v>
      </c>
      <c r="D1941" t="str">
        <f>_xlfn.XLOOKUP($B1941,sales_teams!$A$2:$A$36,sales_teams!C$2:C$36)</f>
        <v>West</v>
      </c>
      <c r="E1941" t="s">
        <v>48</v>
      </c>
      <c r="F1941" t="s">
        <v>124</v>
      </c>
      <c r="G1941" t="s">
        <v>12</v>
      </c>
      <c r="H1941" s="1">
        <v>42824</v>
      </c>
      <c r="I1941" s="1">
        <v>42835</v>
      </c>
      <c r="J1941">
        <v>6227</v>
      </c>
    </row>
    <row r="1942" spans="1:10" x14ac:dyDescent="0.3">
      <c r="A1942" t="s">
        <v>2073</v>
      </c>
      <c r="B1942" t="s">
        <v>26</v>
      </c>
      <c r="C1942" t="str">
        <f>_xlfn.XLOOKUP(B1942,
[1]sales_teams!$A$2:$A$100,
[1]sales_teams!$B$2:$B$100)</f>
        <v>Dustin Brinkmann</v>
      </c>
      <c r="D1942" t="str">
        <f>_xlfn.XLOOKUP($B1942,sales_teams!$A$2:$A$36,sales_teams!C$2:C$36)</f>
        <v>Central</v>
      </c>
      <c r="E1942" t="s">
        <v>18</v>
      </c>
      <c r="F1942" t="s">
        <v>62</v>
      </c>
      <c r="G1942" t="s">
        <v>46</v>
      </c>
      <c r="H1942" s="1">
        <v>42825</v>
      </c>
      <c r="I1942" s="1">
        <v>42832</v>
      </c>
      <c r="J1942">
        <v>0</v>
      </c>
    </row>
    <row r="1943" spans="1:10" x14ac:dyDescent="0.3">
      <c r="A1943" t="s">
        <v>2074</v>
      </c>
      <c r="B1943" t="s">
        <v>26</v>
      </c>
      <c r="C1943" t="str">
        <f>_xlfn.XLOOKUP(B1943,
[1]sales_teams!$A$2:$A$100,
[1]sales_teams!$B$2:$B$100)</f>
        <v>Dustin Brinkmann</v>
      </c>
      <c r="D1943" t="str">
        <f>_xlfn.XLOOKUP($B1943,sales_teams!$A$2:$A$36,sales_teams!C$2:C$36)</f>
        <v>Central</v>
      </c>
      <c r="E1943" t="s">
        <v>18</v>
      </c>
      <c r="F1943" t="s">
        <v>218</v>
      </c>
      <c r="G1943" t="s">
        <v>12</v>
      </c>
      <c r="H1943" s="1">
        <v>42825</v>
      </c>
      <c r="I1943" s="1">
        <v>42901</v>
      </c>
      <c r="J1943">
        <v>58</v>
      </c>
    </row>
    <row r="1944" spans="1:10" x14ac:dyDescent="0.3">
      <c r="A1944" t="s">
        <v>2075</v>
      </c>
      <c r="B1944" t="s">
        <v>26</v>
      </c>
      <c r="C1944" t="str">
        <f>_xlfn.XLOOKUP(B1944,
[1]sales_teams!$A$2:$A$100,
[1]sales_teams!$B$2:$B$100)</f>
        <v>Dustin Brinkmann</v>
      </c>
      <c r="D1944" t="str">
        <f>_xlfn.XLOOKUP($B1944,sales_teams!$A$2:$A$36,sales_teams!C$2:C$36)</f>
        <v>Central</v>
      </c>
      <c r="E1944" t="s">
        <v>39</v>
      </c>
      <c r="F1944" t="s">
        <v>91</v>
      </c>
      <c r="G1944" t="s">
        <v>12</v>
      </c>
      <c r="H1944" s="1">
        <v>42825</v>
      </c>
      <c r="I1944" s="1">
        <v>42833</v>
      </c>
      <c r="J1944">
        <v>3626</v>
      </c>
    </row>
    <row r="1945" spans="1:10" x14ac:dyDescent="0.3">
      <c r="A1945" t="s">
        <v>2076</v>
      </c>
      <c r="B1945" t="s">
        <v>139</v>
      </c>
      <c r="C1945" t="str">
        <f>_xlfn.XLOOKUP(B1945,
[1]sales_teams!$A$2:$A$100,
[1]sales_teams!$B$2:$B$100)</f>
        <v>Rocco Neubert</v>
      </c>
      <c r="D1945" t="str">
        <f>_xlfn.XLOOKUP($B1945,sales_teams!$A$2:$A$36,sales_teams!C$2:C$36)</f>
        <v>East</v>
      </c>
      <c r="E1945" t="s">
        <v>39</v>
      </c>
      <c r="F1945" t="s">
        <v>74</v>
      </c>
      <c r="G1945" t="s">
        <v>12</v>
      </c>
      <c r="H1945" s="1">
        <v>42825</v>
      </c>
      <c r="I1945" s="1">
        <v>42826</v>
      </c>
      <c r="J1945">
        <v>2819</v>
      </c>
    </row>
    <row r="1946" spans="1:10" x14ac:dyDescent="0.3">
      <c r="A1946" t="s">
        <v>2077</v>
      </c>
      <c r="B1946" t="s">
        <v>118</v>
      </c>
      <c r="C1946" t="str">
        <f>_xlfn.XLOOKUP(B1946,
[1]sales_teams!$A$2:$A$100,
[1]sales_teams!$B$2:$B$100)</f>
        <v>Rocco Neubert</v>
      </c>
      <c r="D1946" t="str">
        <f>_xlfn.XLOOKUP($B1946,sales_teams!$A$2:$A$36,sales_teams!C$2:C$36)</f>
        <v>East</v>
      </c>
      <c r="E1946" t="s">
        <v>15</v>
      </c>
      <c r="F1946" t="s">
        <v>11</v>
      </c>
      <c r="G1946" t="s">
        <v>40</v>
      </c>
      <c r="H1946" s="1">
        <v>42825</v>
      </c>
    </row>
    <row r="1947" spans="1:10" x14ac:dyDescent="0.3">
      <c r="A1947" t="s">
        <v>2078</v>
      </c>
      <c r="B1947" t="s">
        <v>118</v>
      </c>
      <c r="C1947" t="str">
        <f>_xlfn.XLOOKUP(B1947,
[1]sales_teams!$A$2:$A$100,
[1]sales_teams!$B$2:$B$100)</f>
        <v>Rocco Neubert</v>
      </c>
      <c r="D1947" t="str">
        <f>_xlfn.XLOOKUP($B1947,sales_teams!$A$2:$A$36,sales_teams!C$2:C$36)</f>
        <v>East</v>
      </c>
      <c r="E1947" t="s">
        <v>15</v>
      </c>
      <c r="F1947" t="s">
        <v>65</v>
      </c>
      <c r="G1947" t="s">
        <v>46</v>
      </c>
      <c r="H1947" s="1">
        <v>42825</v>
      </c>
      <c r="I1947" s="1">
        <v>42826</v>
      </c>
      <c r="J1947">
        <v>0</v>
      </c>
    </row>
    <row r="1948" spans="1:10" x14ac:dyDescent="0.3">
      <c r="A1948" t="s">
        <v>2079</v>
      </c>
      <c r="B1948" t="s">
        <v>118</v>
      </c>
      <c r="C1948" t="str">
        <f>_xlfn.XLOOKUP(B1948,
[1]sales_teams!$A$2:$A$100,
[1]sales_teams!$B$2:$B$100)</f>
        <v>Rocco Neubert</v>
      </c>
      <c r="D1948" t="str">
        <f>_xlfn.XLOOKUP($B1948,sales_teams!$A$2:$A$36,sales_teams!C$2:C$36)</f>
        <v>East</v>
      </c>
      <c r="E1948" t="s">
        <v>15</v>
      </c>
      <c r="F1948" t="s">
        <v>373</v>
      </c>
      <c r="G1948" t="s">
        <v>46</v>
      </c>
      <c r="H1948" s="1">
        <v>42825</v>
      </c>
      <c r="I1948" s="1">
        <v>42832</v>
      </c>
      <c r="J1948">
        <v>0</v>
      </c>
    </row>
    <row r="1949" spans="1:10" x14ac:dyDescent="0.3">
      <c r="A1949" t="s">
        <v>2080</v>
      </c>
      <c r="B1949" t="s">
        <v>164</v>
      </c>
      <c r="C1949" t="str">
        <f>_xlfn.XLOOKUP(B1949,
[1]sales_teams!$A$2:$A$100,
[1]sales_teams!$B$2:$B$100)</f>
        <v>Cara Losch</v>
      </c>
      <c r="D1949" t="str">
        <f>_xlfn.XLOOKUP($B1949,sales_teams!$A$2:$A$36,sales_teams!C$2:C$36)</f>
        <v>East</v>
      </c>
      <c r="E1949" t="s">
        <v>20</v>
      </c>
      <c r="F1949" t="s">
        <v>100</v>
      </c>
      <c r="G1949" t="s">
        <v>40</v>
      </c>
      <c r="H1949" s="1">
        <v>42825</v>
      </c>
    </row>
    <row r="1950" spans="1:10" x14ac:dyDescent="0.3">
      <c r="A1950" t="s">
        <v>2081</v>
      </c>
      <c r="B1950" t="s">
        <v>67</v>
      </c>
      <c r="C1950" t="str">
        <f>_xlfn.XLOOKUP(B1950,
[1]sales_teams!$A$2:$A$100,
[1]sales_teams!$B$2:$B$100)</f>
        <v>Celia Rouche</v>
      </c>
      <c r="D1950" t="str">
        <f>_xlfn.XLOOKUP($B1950,sales_teams!$A$2:$A$36,sales_teams!C$2:C$36)</f>
        <v>West</v>
      </c>
      <c r="E1950" t="s">
        <v>18</v>
      </c>
      <c r="F1950" t="s">
        <v>318</v>
      </c>
      <c r="G1950" t="s">
        <v>40</v>
      </c>
      <c r="H1950" s="1">
        <v>42825</v>
      </c>
    </row>
    <row r="1951" spans="1:10" x14ac:dyDescent="0.3">
      <c r="A1951" t="s">
        <v>2082</v>
      </c>
      <c r="B1951" t="s">
        <v>44</v>
      </c>
      <c r="C1951" t="str">
        <f>_xlfn.XLOOKUP(B1951,
[1]sales_teams!$A$2:$A$100,
[1]sales_teams!$B$2:$B$100)</f>
        <v>Melvin Marxen</v>
      </c>
      <c r="D1951" t="str">
        <f>_xlfn.XLOOKUP($B1951,sales_teams!$A$2:$A$36,sales_teams!C$2:C$36)</f>
        <v>Central</v>
      </c>
      <c r="E1951" t="s">
        <v>48</v>
      </c>
      <c r="F1951" t="s">
        <v>213</v>
      </c>
      <c r="G1951" t="s">
        <v>46</v>
      </c>
      <c r="H1951" s="1">
        <v>42825</v>
      </c>
      <c r="I1951" s="1">
        <v>42827</v>
      </c>
      <c r="J1951">
        <v>0</v>
      </c>
    </row>
    <row r="1952" spans="1:10" x14ac:dyDescent="0.3">
      <c r="A1952" t="s">
        <v>2083</v>
      </c>
      <c r="B1952" t="s">
        <v>54</v>
      </c>
      <c r="C1952" t="str">
        <f>_xlfn.XLOOKUP(B1952,
[1]sales_teams!$A$2:$A$100,
[1]sales_teams!$B$2:$B$100)</f>
        <v>Celia Rouche</v>
      </c>
      <c r="D1952" t="str">
        <f>_xlfn.XLOOKUP($B1952,sales_teams!$A$2:$A$36,sales_teams!C$2:C$36)</f>
        <v>West</v>
      </c>
      <c r="E1952" t="s">
        <v>10</v>
      </c>
      <c r="F1952" t="s">
        <v>70</v>
      </c>
      <c r="G1952" t="s">
        <v>12</v>
      </c>
      <c r="H1952" s="1">
        <v>42825</v>
      </c>
      <c r="I1952" s="1">
        <v>42834</v>
      </c>
      <c r="J1952">
        <v>901</v>
      </c>
    </row>
    <row r="1953" spans="1:10" x14ac:dyDescent="0.3">
      <c r="A1953" t="s">
        <v>2084</v>
      </c>
      <c r="B1953" t="s">
        <v>54</v>
      </c>
      <c r="C1953" t="str">
        <f>_xlfn.XLOOKUP(B1953,
[1]sales_teams!$A$2:$A$100,
[1]sales_teams!$B$2:$B$100)</f>
        <v>Celia Rouche</v>
      </c>
      <c r="D1953" t="str">
        <f>_xlfn.XLOOKUP($B1953,sales_teams!$A$2:$A$36,sales_teams!C$2:C$36)</f>
        <v>West</v>
      </c>
      <c r="E1953" t="s">
        <v>39</v>
      </c>
      <c r="F1953" t="s">
        <v>224</v>
      </c>
      <c r="G1953" t="s">
        <v>12</v>
      </c>
      <c r="H1953" s="1">
        <v>42825</v>
      </c>
      <c r="I1953" s="1">
        <v>42890</v>
      </c>
      <c r="J1953">
        <v>3438</v>
      </c>
    </row>
    <row r="1954" spans="1:10" x14ac:dyDescent="0.3">
      <c r="A1954" t="s">
        <v>2085</v>
      </c>
      <c r="B1954" t="s">
        <v>38</v>
      </c>
      <c r="C1954" t="str">
        <f>_xlfn.XLOOKUP(B1954,
[1]sales_teams!$A$2:$A$100,
[1]sales_teams!$B$2:$B$100)</f>
        <v>Summer Sewald</v>
      </c>
      <c r="D1954" t="str">
        <f>_xlfn.XLOOKUP($B1954,sales_teams!$A$2:$A$36,sales_teams!C$2:C$36)</f>
        <v>West</v>
      </c>
      <c r="E1954" t="s">
        <v>20</v>
      </c>
      <c r="F1954" t="s">
        <v>194</v>
      </c>
      <c r="G1954" t="s">
        <v>12</v>
      </c>
      <c r="H1954" s="1">
        <v>42825</v>
      </c>
      <c r="I1954" s="1">
        <v>42833</v>
      </c>
      <c r="J1954">
        <v>589</v>
      </c>
    </row>
    <row r="1955" spans="1:10" x14ac:dyDescent="0.3">
      <c r="A1955" t="s">
        <v>2086</v>
      </c>
      <c r="B1955" t="s">
        <v>78</v>
      </c>
      <c r="C1955" t="str">
        <f>_xlfn.XLOOKUP(B1955,
[1]sales_teams!$A$2:$A$100,
[1]sales_teams!$B$2:$B$100)</f>
        <v>Summer Sewald</v>
      </c>
      <c r="D1955" t="str">
        <f>_xlfn.XLOOKUP($B1955,sales_teams!$A$2:$A$36,sales_teams!C$2:C$36)</f>
        <v>West</v>
      </c>
      <c r="E1955" t="s">
        <v>18</v>
      </c>
      <c r="F1955" t="s">
        <v>168</v>
      </c>
      <c r="G1955" t="s">
        <v>46</v>
      </c>
      <c r="H1955" s="1">
        <v>42825</v>
      </c>
      <c r="I1955" s="1">
        <v>42906</v>
      </c>
      <c r="J1955">
        <v>0</v>
      </c>
    </row>
    <row r="1956" spans="1:10" x14ac:dyDescent="0.3">
      <c r="A1956" t="s">
        <v>2087</v>
      </c>
      <c r="B1956" t="s">
        <v>78</v>
      </c>
      <c r="C1956" t="str">
        <f>_xlfn.XLOOKUP(B1956,
[1]sales_teams!$A$2:$A$100,
[1]sales_teams!$B$2:$B$100)</f>
        <v>Summer Sewald</v>
      </c>
      <c r="D1956" t="str">
        <f>_xlfn.XLOOKUP($B1956,sales_teams!$A$2:$A$36,sales_teams!C$2:C$36)</f>
        <v>West</v>
      </c>
      <c r="E1956" t="s">
        <v>15</v>
      </c>
      <c r="F1956" t="s">
        <v>49</v>
      </c>
      <c r="G1956" t="s">
        <v>12</v>
      </c>
      <c r="H1956" s="1">
        <v>42825</v>
      </c>
      <c r="I1956" s="1">
        <v>42826</v>
      </c>
      <c r="J1956">
        <v>5073</v>
      </c>
    </row>
    <row r="1957" spans="1:10" x14ac:dyDescent="0.3">
      <c r="A1957" t="s">
        <v>2088</v>
      </c>
      <c r="B1957" t="s">
        <v>95</v>
      </c>
      <c r="C1957" t="str">
        <f>_xlfn.XLOOKUP(B1957,
[1]sales_teams!$A$2:$A$100,
[1]sales_teams!$B$2:$B$100)</f>
        <v>Summer Sewald</v>
      </c>
      <c r="D1957" t="str">
        <f>_xlfn.XLOOKUP($B1957,sales_teams!$A$2:$A$36,sales_teams!C$2:C$36)</f>
        <v>West</v>
      </c>
      <c r="E1957" t="s">
        <v>48</v>
      </c>
      <c r="G1957" t="s">
        <v>40</v>
      </c>
      <c r="H1957" s="1">
        <v>42825</v>
      </c>
    </row>
    <row r="1958" spans="1:10" x14ac:dyDescent="0.3">
      <c r="A1958" t="s">
        <v>2089</v>
      </c>
      <c r="B1958" t="s">
        <v>95</v>
      </c>
      <c r="C1958" t="str">
        <f>_xlfn.XLOOKUP(B1958,
[1]sales_teams!$A$2:$A$100,
[1]sales_teams!$B$2:$B$100)</f>
        <v>Summer Sewald</v>
      </c>
      <c r="D1958" t="str">
        <f>_xlfn.XLOOKUP($B1958,sales_teams!$A$2:$A$36,sales_teams!C$2:C$36)</f>
        <v>West</v>
      </c>
      <c r="E1958" t="s">
        <v>18</v>
      </c>
      <c r="G1958" t="s">
        <v>40</v>
      </c>
      <c r="H1958" s="1">
        <v>42825</v>
      </c>
    </row>
    <row r="1959" spans="1:10" x14ac:dyDescent="0.3">
      <c r="A1959" t="s">
        <v>2090</v>
      </c>
      <c r="B1959" t="s">
        <v>95</v>
      </c>
      <c r="C1959" t="str">
        <f>_xlfn.XLOOKUP(B1959,
[1]sales_teams!$A$2:$A$100,
[1]sales_teams!$B$2:$B$100)</f>
        <v>Summer Sewald</v>
      </c>
      <c r="D1959" t="str">
        <f>_xlfn.XLOOKUP($B1959,sales_teams!$A$2:$A$36,sales_teams!C$2:C$36)</f>
        <v>West</v>
      </c>
      <c r="E1959" t="s">
        <v>39</v>
      </c>
      <c r="F1959" t="s">
        <v>315</v>
      </c>
      <c r="G1959" t="s">
        <v>46</v>
      </c>
      <c r="H1959" s="1">
        <v>42825</v>
      </c>
      <c r="I1959" s="1">
        <v>42826</v>
      </c>
      <c r="J1959">
        <v>0</v>
      </c>
    </row>
    <row r="1960" spans="1:10" x14ac:dyDescent="0.3">
      <c r="A1960" t="s">
        <v>2091</v>
      </c>
      <c r="B1960" t="s">
        <v>95</v>
      </c>
      <c r="C1960" t="str">
        <f>_xlfn.XLOOKUP(B1960,
[1]sales_teams!$A$2:$A$100,
[1]sales_teams!$B$2:$B$100)</f>
        <v>Summer Sewald</v>
      </c>
      <c r="D1960" t="str">
        <f>_xlfn.XLOOKUP($B1960,sales_teams!$A$2:$A$36,sales_teams!C$2:C$36)</f>
        <v>West</v>
      </c>
      <c r="E1960" t="s">
        <v>20</v>
      </c>
      <c r="F1960" t="s">
        <v>199</v>
      </c>
      <c r="G1960" t="s">
        <v>12</v>
      </c>
      <c r="H1960" s="1">
        <v>42825</v>
      </c>
      <c r="I1960" s="1">
        <v>42827</v>
      </c>
      <c r="J1960">
        <v>609</v>
      </c>
    </row>
    <row r="1961" spans="1:10" x14ac:dyDescent="0.3">
      <c r="A1961" t="s">
        <v>2092</v>
      </c>
      <c r="B1961" t="s">
        <v>95</v>
      </c>
      <c r="C1961" t="str">
        <f>_xlfn.XLOOKUP(B1961,
[1]sales_teams!$A$2:$A$100,
[1]sales_teams!$B$2:$B$100)</f>
        <v>Summer Sewald</v>
      </c>
      <c r="D1961" t="str">
        <f>_xlfn.XLOOKUP($B1961,sales_teams!$A$2:$A$36,sales_teams!C$2:C$36)</f>
        <v>West</v>
      </c>
      <c r="E1961" t="s">
        <v>18</v>
      </c>
      <c r="F1961" t="s">
        <v>148</v>
      </c>
      <c r="G1961" t="s">
        <v>12</v>
      </c>
      <c r="H1961" s="1">
        <v>42825</v>
      </c>
      <c r="I1961" s="1">
        <v>42826</v>
      </c>
      <c r="J1961">
        <v>55</v>
      </c>
    </row>
    <row r="1962" spans="1:10" x14ac:dyDescent="0.3">
      <c r="A1962" t="s">
        <v>2093</v>
      </c>
      <c r="B1962" t="s">
        <v>32</v>
      </c>
      <c r="C1962" t="str">
        <f>_xlfn.XLOOKUP(B1962,
[1]sales_teams!$A$2:$A$100,
[1]sales_teams!$B$2:$B$100)</f>
        <v>Celia Rouche</v>
      </c>
      <c r="D1962" t="str">
        <f>_xlfn.XLOOKUP($B1962,sales_teams!$A$2:$A$36,sales_teams!C$2:C$36)</f>
        <v>West</v>
      </c>
      <c r="E1962" t="s">
        <v>18</v>
      </c>
      <c r="F1962" t="s">
        <v>70</v>
      </c>
      <c r="G1962" t="s">
        <v>46</v>
      </c>
      <c r="H1962" s="1">
        <v>42825</v>
      </c>
      <c r="I1962" s="1">
        <v>42837</v>
      </c>
      <c r="J1962">
        <v>0</v>
      </c>
    </row>
    <row r="1963" spans="1:10" x14ac:dyDescent="0.3">
      <c r="A1963" t="s">
        <v>2094</v>
      </c>
      <c r="B1963" t="s">
        <v>51</v>
      </c>
      <c r="C1963" t="str">
        <f>_xlfn.XLOOKUP(B1963,
[1]sales_teams!$A$2:$A$100,
[1]sales_teams!$B$2:$B$100)</f>
        <v>Summer Sewald</v>
      </c>
      <c r="D1963" t="str">
        <f>_xlfn.XLOOKUP($B1963,sales_teams!$A$2:$A$36,sales_teams!C$2:C$36)</f>
        <v>West</v>
      </c>
      <c r="E1963" t="s">
        <v>10</v>
      </c>
      <c r="F1963" t="s">
        <v>100</v>
      </c>
      <c r="G1963" t="s">
        <v>46</v>
      </c>
      <c r="H1963" s="1">
        <v>42825</v>
      </c>
      <c r="I1963" s="1">
        <v>42837</v>
      </c>
      <c r="J1963">
        <v>0</v>
      </c>
    </row>
    <row r="1964" spans="1:10" x14ac:dyDescent="0.3">
      <c r="A1964" t="s">
        <v>2095</v>
      </c>
      <c r="B1964" t="s">
        <v>51</v>
      </c>
      <c r="C1964" t="str">
        <f>_xlfn.XLOOKUP(B1964,
[1]sales_teams!$A$2:$A$100,
[1]sales_teams!$B$2:$B$100)</f>
        <v>Summer Sewald</v>
      </c>
      <c r="D1964" t="str">
        <f>_xlfn.XLOOKUP($B1964,sales_teams!$A$2:$A$36,sales_teams!C$2:C$36)</f>
        <v>West</v>
      </c>
      <c r="E1964" t="s">
        <v>48</v>
      </c>
      <c r="F1964" t="s">
        <v>218</v>
      </c>
      <c r="G1964" t="s">
        <v>12</v>
      </c>
      <c r="H1964" s="1">
        <v>42825</v>
      </c>
      <c r="I1964" s="1">
        <v>42835</v>
      </c>
      <c r="J1964">
        <v>5637</v>
      </c>
    </row>
    <row r="1965" spans="1:10" x14ac:dyDescent="0.3">
      <c r="A1965" t="s">
        <v>2096</v>
      </c>
      <c r="B1965" t="s">
        <v>51</v>
      </c>
      <c r="C1965" t="str">
        <f>_xlfn.XLOOKUP(B1965,
[1]sales_teams!$A$2:$A$100,
[1]sales_teams!$B$2:$B$100)</f>
        <v>Summer Sewald</v>
      </c>
      <c r="D1965" t="str">
        <f>_xlfn.XLOOKUP($B1965,sales_teams!$A$2:$A$36,sales_teams!C$2:C$36)</f>
        <v>West</v>
      </c>
      <c r="E1965" t="s">
        <v>48</v>
      </c>
      <c r="F1965" t="s">
        <v>124</v>
      </c>
      <c r="G1965" t="s">
        <v>12</v>
      </c>
      <c r="H1965" s="1">
        <v>42825</v>
      </c>
      <c r="I1965" s="1">
        <v>42836</v>
      </c>
      <c r="J1965">
        <v>5793</v>
      </c>
    </row>
    <row r="1966" spans="1:10" x14ac:dyDescent="0.3">
      <c r="A1966" t="s">
        <v>2097</v>
      </c>
      <c r="B1966" t="s">
        <v>97</v>
      </c>
      <c r="C1966" t="str">
        <f>_xlfn.XLOOKUP(B1966,
[1]sales_teams!$A$2:$A$100,
[1]sales_teams!$B$2:$B$100)</f>
        <v>Rocco Neubert</v>
      </c>
      <c r="D1966" t="str">
        <f>_xlfn.XLOOKUP($B1966,sales_teams!$A$2:$A$36,sales_teams!C$2:C$36)</f>
        <v>East</v>
      </c>
      <c r="E1966" t="s">
        <v>18</v>
      </c>
      <c r="F1966" t="s">
        <v>222</v>
      </c>
      <c r="G1966" t="s">
        <v>46</v>
      </c>
      <c r="H1966" s="1">
        <v>42825</v>
      </c>
      <c r="I1966" s="1">
        <v>42837</v>
      </c>
      <c r="J1966">
        <v>0</v>
      </c>
    </row>
    <row r="1967" spans="1:10" x14ac:dyDescent="0.3">
      <c r="A1967" t="s">
        <v>2098</v>
      </c>
      <c r="B1967" t="s">
        <v>57</v>
      </c>
      <c r="C1967" t="str">
        <f>_xlfn.XLOOKUP(B1967,
[1]sales_teams!$A$2:$A$100,
[1]sales_teams!$B$2:$B$100)</f>
        <v>Celia Rouche</v>
      </c>
      <c r="D1967" t="str">
        <f>_xlfn.XLOOKUP($B1967,sales_teams!$A$2:$A$36,sales_teams!C$2:C$36)</f>
        <v>West</v>
      </c>
      <c r="E1967" t="s">
        <v>20</v>
      </c>
      <c r="F1967" t="s">
        <v>30</v>
      </c>
      <c r="G1967" t="s">
        <v>46</v>
      </c>
      <c r="H1967" s="1">
        <v>42825</v>
      </c>
      <c r="I1967" s="1">
        <v>42830</v>
      </c>
      <c r="J1967">
        <v>0</v>
      </c>
    </row>
    <row r="1968" spans="1:10" x14ac:dyDescent="0.3">
      <c r="A1968" t="s">
        <v>2099</v>
      </c>
      <c r="B1968" t="s">
        <v>57</v>
      </c>
      <c r="C1968" t="str">
        <f>_xlfn.XLOOKUP(B1968,
[1]sales_teams!$A$2:$A$100,
[1]sales_teams!$B$2:$B$100)</f>
        <v>Celia Rouche</v>
      </c>
      <c r="D1968" t="str">
        <f>_xlfn.XLOOKUP($B1968,sales_teams!$A$2:$A$36,sales_teams!C$2:C$36)</f>
        <v>West</v>
      </c>
      <c r="E1968" t="s">
        <v>39</v>
      </c>
      <c r="F1968" t="s">
        <v>174</v>
      </c>
      <c r="G1968" t="s">
        <v>46</v>
      </c>
      <c r="H1968" s="1">
        <v>42825</v>
      </c>
      <c r="I1968" s="1">
        <v>42885</v>
      </c>
      <c r="J1968">
        <v>0</v>
      </c>
    </row>
    <row r="1969" spans="1:10" x14ac:dyDescent="0.3">
      <c r="A1969" t="s">
        <v>2100</v>
      </c>
      <c r="B1969" t="s">
        <v>57</v>
      </c>
      <c r="C1969" t="str">
        <f>_xlfn.XLOOKUP(B1969,
[1]sales_teams!$A$2:$A$100,
[1]sales_teams!$B$2:$B$100)</f>
        <v>Celia Rouche</v>
      </c>
      <c r="D1969" t="str">
        <f>_xlfn.XLOOKUP($B1969,sales_teams!$A$2:$A$36,sales_teams!C$2:C$36)</f>
        <v>West</v>
      </c>
      <c r="E1969" t="s">
        <v>20</v>
      </c>
      <c r="F1969" t="s">
        <v>315</v>
      </c>
      <c r="G1969" t="s">
        <v>12</v>
      </c>
      <c r="H1969" s="1">
        <v>42825</v>
      </c>
      <c r="I1969" s="1">
        <v>42832</v>
      </c>
      <c r="J1969">
        <v>520</v>
      </c>
    </row>
    <row r="1970" spans="1:10" x14ac:dyDescent="0.3">
      <c r="A1970" t="s">
        <v>2101</v>
      </c>
      <c r="B1970" t="s">
        <v>57</v>
      </c>
      <c r="C1970" t="str">
        <f>_xlfn.XLOOKUP(B1970,
[1]sales_teams!$A$2:$A$100,
[1]sales_teams!$B$2:$B$100)</f>
        <v>Celia Rouche</v>
      </c>
      <c r="D1970" t="str">
        <f>_xlfn.XLOOKUP($B1970,sales_teams!$A$2:$A$36,sales_teams!C$2:C$36)</f>
        <v>West</v>
      </c>
      <c r="E1970" t="s">
        <v>39</v>
      </c>
      <c r="F1970" t="s">
        <v>55</v>
      </c>
      <c r="G1970" t="s">
        <v>12</v>
      </c>
      <c r="H1970" s="1">
        <v>42825</v>
      </c>
      <c r="I1970" s="1">
        <v>42827</v>
      </c>
      <c r="J1970">
        <v>4080</v>
      </c>
    </row>
    <row r="1971" spans="1:10" x14ac:dyDescent="0.3">
      <c r="A1971" t="s">
        <v>2102</v>
      </c>
      <c r="B1971" t="s">
        <v>61</v>
      </c>
      <c r="C1971" t="str">
        <f>_xlfn.XLOOKUP(B1971,
[1]sales_teams!$A$2:$A$100,
[1]sales_teams!$B$2:$B$100)</f>
        <v>Dustin Brinkmann</v>
      </c>
      <c r="D1971" t="str">
        <f>_xlfn.XLOOKUP($B1971,sales_teams!$A$2:$A$36,sales_teams!C$2:C$36)</f>
        <v>Central</v>
      </c>
      <c r="E1971" t="s">
        <v>20</v>
      </c>
      <c r="F1971" t="s">
        <v>318</v>
      </c>
      <c r="G1971" t="s">
        <v>12</v>
      </c>
      <c r="H1971" s="1">
        <v>42825</v>
      </c>
      <c r="I1971" s="1">
        <v>42916</v>
      </c>
      <c r="J1971">
        <v>526</v>
      </c>
    </row>
    <row r="1972" spans="1:10" x14ac:dyDescent="0.3">
      <c r="A1972" t="s">
        <v>2103</v>
      </c>
      <c r="B1972" t="s">
        <v>61</v>
      </c>
      <c r="C1972" t="str">
        <f>_xlfn.XLOOKUP(B1972,
[1]sales_teams!$A$2:$A$100,
[1]sales_teams!$B$2:$B$100)</f>
        <v>Dustin Brinkmann</v>
      </c>
      <c r="D1972" t="str">
        <f>_xlfn.XLOOKUP($B1972,sales_teams!$A$2:$A$36,sales_teams!C$2:C$36)</f>
        <v>Central</v>
      </c>
      <c r="E1972" t="s">
        <v>18</v>
      </c>
      <c r="F1972" t="s">
        <v>231</v>
      </c>
      <c r="G1972" t="s">
        <v>12</v>
      </c>
      <c r="H1972" s="1">
        <v>42825</v>
      </c>
      <c r="I1972" s="1">
        <v>42872</v>
      </c>
      <c r="J1972">
        <v>57</v>
      </c>
    </row>
    <row r="1973" spans="1:10" x14ac:dyDescent="0.3">
      <c r="A1973" t="s">
        <v>2104</v>
      </c>
      <c r="B1973" t="s">
        <v>29</v>
      </c>
      <c r="C1973" t="str">
        <f>_xlfn.XLOOKUP(B1973,
[1]sales_teams!$A$2:$A$100,
[1]sales_teams!$B$2:$B$100)</f>
        <v>Celia Rouche</v>
      </c>
      <c r="D1973" t="str">
        <f>_xlfn.XLOOKUP($B1973,sales_teams!$A$2:$A$36,sales_teams!C$2:C$36)</f>
        <v>West</v>
      </c>
      <c r="E1973" t="s">
        <v>15</v>
      </c>
      <c r="G1973" t="s">
        <v>40</v>
      </c>
      <c r="H1973" s="1">
        <v>42825</v>
      </c>
    </row>
    <row r="1974" spans="1:10" x14ac:dyDescent="0.3">
      <c r="A1974" t="s">
        <v>2105</v>
      </c>
      <c r="B1974" t="s">
        <v>29</v>
      </c>
      <c r="C1974" t="str">
        <f>_xlfn.XLOOKUP(B1974,
[1]sales_teams!$A$2:$A$100,
[1]sales_teams!$B$2:$B$100)</f>
        <v>Celia Rouche</v>
      </c>
      <c r="D1974" t="str">
        <f>_xlfn.XLOOKUP($B1974,sales_teams!$A$2:$A$36,sales_teams!C$2:C$36)</f>
        <v>West</v>
      </c>
      <c r="E1974" t="s">
        <v>39</v>
      </c>
      <c r="F1974" t="s">
        <v>93</v>
      </c>
      <c r="G1974" t="s">
        <v>46</v>
      </c>
      <c r="H1974" s="1">
        <v>42825</v>
      </c>
      <c r="I1974" s="1">
        <v>42834</v>
      </c>
      <c r="J1974">
        <v>0</v>
      </c>
    </row>
    <row r="1975" spans="1:10" x14ac:dyDescent="0.3">
      <c r="A1975" t="s">
        <v>2106</v>
      </c>
      <c r="B1975" t="s">
        <v>29</v>
      </c>
      <c r="C1975" t="str">
        <f>_xlfn.XLOOKUP(B1975,
[1]sales_teams!$A$2:$A$100,
[1]sales_teams!$B$2:$B$100)</f>
        <v>Celia Rouche</v>
      </c>
      <c r="D1975" t="str">
        <f>_xlfn.XLOOKUP($B1975,sales_teams!$A$2:$A$36,sales_teams!C$2:C$36)</f>
        <v>West</v>
      </c>
      <c r="E1975" t="s">
        <v>18</v>
      </c>
      <c r="F1975" t="s">
        <v>159</v>
      </c>
      <c r="G1975" t="s">
        <v>12</v>
      </c>
      <c r="H1975" s="1">
        <v>42825</v>
      </c>
      <c r="I1975" s="1">
        <v>42914</v>
      </c>
      <c r="J1975">
        <v>54</v>
      </c>
    </row>
    <row r="1976" spans="1:10" x14ac:dyDescent="0.3">
      <c r="A1976" t="s">
        <v>2107</v>
      </c>
      <c r="B1976" t="s">
        <v>29</v>
      </c>
      <c r="C1976" t="str">
        <f>_xlfn.XLOOKUP(B1976,
[1]sales_teams!$A$2:$A$100,
[1]sales_teams!$B$2:$B$100)</f>
        <v>Celia Rouche</v>
      </c>
      <c r="D1976" t="str">
        <f>_xlfn.XLOOKUP($B1976,sales_teams!$A$2:$A$36,sales_teams!C$2:C$36)</f>
        <v>West</v>
      </c>
      <c r="E1976" t="s">
        <v>39</v>
      </c>
      <c r="F1976" t="s">
        <v>49</v>
      </c>
      <c r="G1976" t="s">
        <v>12</v>
      </c>
      <c r="H1976" s="1">
        <v>42825</v>
      </c>
      <c r="I1976" s="1">
        <v>42837</v>
      </c>
      <c r="J1976">
        <v>3367</v>
      </c>
    </row>
    <row r="1977" spans="1:10" x14ac:dyDescent="0.3">
      <c r="A1977" t="s">
        <v>2108</v>
      </c>
      <c r="B1977" t="s">
        <v>73</v>
      </c>
      <c r="C1977" t="str">
        <f>_xlfn.XLOOKUP(B1977,
[1]sales_teams!$A$2:$A$100,
[1]sales_teams!$B$2:$B$100)</f>
        <v>Cara Losch</v>
      </c>
      <c r="D1977" t="str">
        <f>_xlfn.XLOOKUP($B1977,sales_teams!$A$2:$A$36,sales_teams!C$2:C$36)</f>
        <v>East</v>
      </c>
      <c r="E1977" t="s">
        <v>39</v>
      </c>
      <c r="G1977" t="s">
        <v>40</v>
      </c>
      <c r="H1977" s="1">
        <v>42825</v>
      </c>
    </row>
    <row r="1978" spans="1:10" x14ac:dyDescent="0.3">
      <c r="A1978" t="s">
        <v>2109</v>
      </c>
      <c r="B1978" t="s">
        <v>23</v>
      </c>
      <c r="C1978" t="str">
        <f>_xlfn.XLOOKUP(B1978,
[1]sales_teams!$A$2:$A$100,
[1]sales_teams!$B$2:$B$100)</f>
        <v>Summer Sewald</v>
      </c>
      <c r="D1978" t="str">
        <f>_xlfn.XLOOKUP($B1978,sales_teams!$A$2:$A$36,sales_teams!C$2:C$36)</f>
        <v>West</v>
      </c>
      <c r="E1978" t="s">
        <v>20</v>
      </c>
      <c r="F1978" t="s">
        <v>174</v>
      </c>
      <c r="G1978" t="s">
        <v>12</v>
      </c>
      <c r="H1978" s="1">
        <v>42825</v>
      </c>
      <c r="I1978" s="1">
        <v>42831</v>
      </c>
      <c r="J1978">
        <v>430</v>
      </c>
    </row>
    <row r="1979" spans="1:10" x14ac:dyDescent="0.3">
      <c r="A1979" t="s">
        <v>2110</v>
      </c>
      <c r="B1979" t="s">
        <v>26</v>
      </c>
      <c r="C1979" t="str">
        <f>_xlfn.XLOOKUP(B1979,
[1]sales_teams!$A$2:$A$100,
[1]sales_teams!$B$2:$B$100)</f>
        <v>Dustin Brinkmann</v>
      </c>
      <c r="D1979" t="str">
        <f>_xlfn.XLOOKUP($B1979,sales_teams!$A$2:$A$36,sales_teams!C$2:C$36)</f>
        <v>Central</v>
      </c>
      <c r="E1979" t="s">
        <v>20</v>
      </c>
      <c r="F1979" t="s">
        <v>315</v>
      </c>
      <c r="G1979" t="s">
        <v>12</v>
      </c>
      <c r="H1979" s="1">
        <v>42826</v>
      </c>
      <c r="I1979" s="1">
        <v>42860</v>
      </c>
      <c r="J1979">
        <v>518</v>
      </c>
    </row>
    <row r="1980" spans="1:10" x14ac:dyDescent="0.3">
      <c r="A1980" t="s">
        <v>2111</v>
      </c>
      <c r="B1980" t="s">
        <v>139</v>
      </c>
      <c r="C1980" t="str">
        <f>_xlfn.XLOOKUP(B1980,
[1]sales_teams!$A$2:$A$100,
[1]sales_teams!$B$2:$B$100)</f>
        <v>Rocco Neubert</v>
      </c>
      <c r="D1980" t="str">
        <f>_xlfn.XLOOKUP($B1980,sales_teams!$A$2:$A$36,sales_teams!C$2:C$36)</f>
        <v>East</v>
      </c>
      <c r="E1980" t="s">
        <v>10</v>
      </c>
      <c r="F1980" t="s">
        <v>189</v>
      </c>
      <c r="G1980" t="s">
        <v>46</v>
      </c>
      <c r="H1980" s="1">
        <v>42826</v>
      </c>
      <c r="I1980" s="1">
        <v>42837</v>
      </c>
      <c r="J1980">
        <v>0</v>
      </c>
    </row>
    <row r="1981" spans="1:10" x14ac:dyDescent="0.3">
      <c r="A1981" t="s">
        <v>2112</v>
      </c>
      <c r="B1981" t="s">
        <v>118</v>
      </c>
      <c r="C1981" t="str">
        <f>_xlfn.XLOOKUP(B1981,
[1]sales_teams!$A$2:$A$100,
[1]sales_teams!$B$2:$B$100)</f>
        <v>Rocco Neubert</v>
      </c>
      <c r="D1981" t="str">
        <f>_xlfn.XLOOKUP($B1981,sales_teams!$A$2:$A$36,sales_teams!C$2:C$36)</f>
        <v>East</v>
      </c>
      <c r="E1981" t="s">
        <v>18</v>
      </c>
      <c r="G1981" t="s">
        <v>40</v>
      </c>
      <c r="H1981" s="1">
        <v>42826</v>
      </c>
    </row>
    <row r="1982" spans="1:10" x14ac:dyDescent="0.3">
      <c r="A1982" t="s">
        <v>2113</v>
      </c>
      <c r="B1982" t="s">
        <v>164</v>
      </c>
      <c r="C1982" t="str">
        <f>_xlfn.XLOOKUP(B1982,
[1]sales_teams!$A$2:$A$100,
[1]sales_teams!$B$2:$B$100)</f>
        <v>Cara Losch</v>
      </c>
      <c r="D1982" t="str">
        <f>_xlfn.XLOOKUP($B1982,sales_teams!$A$2:$A$36,sales_teams!C$2:C$36)</f>
        <v>East</v>
      </c>
      <c r="E1982" t="s">
        <v>10</v>
      </c>
      <c r="F1982" t="s">
        <v>89</v>
      </c>
      <c r="G1982" t="s">
        <v>46</v>
      </c>
      <c r="H1982" s="1">
        <v>42826</v>
      </c>
      <c r="I1982" s="1">
        <v>42836</v>
      </c>
      <c r="J1982">
        <v>0</v>
      </c>
    </row>
    <row r="1983" spans="1:10" x14ac:dyDescent="0.3">
      <c r="A1983" t="s">
        <v>2114</v>
      </c>
      <c r="B1983" t="s">
        <v>64</v>
      </c>
      <c r="C1983" t="str">
        <f>_xlfn.XLOOKUP(B1983,
[1]sales_teams!$A$2:$A$100,
[1]sales_teams!$B$2:$B$100)</f>
        <v>Rocco Neubert</v>
      </c>
      <c r="D1983" t="str">
        <f>_xlfn.XLOOKUP($B1983,sales_teams!$A$2:$A$36,sales_teams!C$2:C$36)</f>
        <v>East</v>
      </c>
      <c r="E1983" t="s">
        <v>15</v>
      </c>
      <c r="F1983" t="s">
        <v>59</v>
      </c>
      <c r="G1983" t="s">
        <v>40</v>
      </c>
      <c r="H1983" s="1">
        <v>42826</v>
      </c>
    </row>
    <row r="1984" spans="1:10" x14ac:dyDescent="0.3">
      <c r="A1984" t="s">
        <v>2115</v>
      </c>
      <c r="B1984" t="s">
        <v>64</v>
      </c>
      <c r="C1984" t="str">
        <f>_xlfn.XLOOKUP(B1984,
[1]sales_teams!$A$2:$A$100,
[1]sales_teams!$B$2:$B$100)</f>
        <v>Rocco Neubert</v>
      </c>
      <c r="D1984" t="str">
        <f>_xlfn.XLOOKUP($B1984,sales_teams!$A$2:$A$36,sales_teams!C$2:C$36)</f>
        <v>East</v>
      </c>
      <c r="E1984" t="s">
        <v>15</v>
      </c>
      <c r="F1984" t="s">
        <v>222</v>
      </c>
      <c r="G1984" t="s">
        <v>46</v>
      </c>
      <c r="H1984" s="1">
        <v>42826</v>
      </c>
      <c r="I1984" s="1">
        <v>42828</v>
      </c>
      <c r="J1984">
        <v>0</v>
      </c>
    </row>
    <row r="1985" spans="1:10" x14ac:dyDescent="0.3">
      <c r="A1985" t="s">
        <v>2116</v>
      </c>
      <c r="B1985" t="s">
        <v>14</v>
      </c>
      <c r="C1985" t="str">
        <f>_xlfn.XLOOKUP(B1985,
[1]sales_teams!$A$2:$A$100,
[1]sales_teams!$B$2:$B$100)</f>
        <v>Melvin Marxen</v>
      </c>
      <c r="D1985" t="str">
        <f>_xlfn.XLOOKUP($B1985,sales_teams!$A$2:$A$36,sales_teams!C$2:C$36)</f>
        <v>Central</v>
      </c>
      <c r="E1985" t="s">
        <v>48</v>
      </c>
      <c r="F1985" t="s">
        <v>42</v>
      </c>
      <c r="G1985" t="s">
        <v>12</v>
      </c>
      <c r="H1985" s="1">
        <v>42826</v>
      </c>
      <c r="I1985" s="1">
        <v>42833</v>
      </c>
      <c r="J1985">
        <v>5798</v>
      </c>
    </row>
    <row r="1986" spans="1:10" x14ac:dyDescent="0.3">
      <c r="A1986" t="s">
        <v>2117</v>
      </c>
      <c r="B1986" t="s">
        <v>14</v>
      </c>
      <c r="C1986" t="str">
        <f>_xlfn.XLOOKUP(B1986,
[1]sales_teams!$A$2:$A$100,
[1]sales_teams!$B$2:$B$100)</f>
        <v>Melvin Marxen</v>
      </c>
      <c r="D1986" t="str">
        <f>_xlfn.XLOOKUP($B1986,sales_teams!$A$2:$A$36,sales_teams!C$2:C$36)</f>
        <v>Central</v>
      </c>
      <c r="E1986" t="s">
        <v>15</v>
      </c>
      <c r="F1986" t="s">
        <v>303</v>
      </c>
      <c r="G1986" t="s">
        <v>12</v>
      </c>
      <c r="H1986" s="1">
        <v>42826</v>
      </c>
      <c r="I1986" s="1">
        <v>42835</v>
      </c>
      <c r="J1986">
        <v>4685</v>
      </c>
    </row>
    <row r="1987" spans="1:10" x14ac:dyDescent="0.3">
      <c r="A1987" t="s">
        <v>2118</v>
      </c>
      <c r="B1987" t="s">
        <v>14</v>
      </c>
      <c r="C1987" t="str">
        <f>_xlfn.XLOOKUP(B1987,
[1]sales_teams!$A$2:$A$100,
[1]sales_teams!$B$2:$B$100)</f>
        <v>Melvin Marxen</v>
      </c>
      <c r="D1987" t="str">
        <f>_xlfn.XLOOKUP($B1987,sales_teams!$A$2:$A$36,sales_teams!C$2:C$36)</f>
        <v>Central</v>
      </c>
      <c r="E1987" t="s">
        <v>39</v>
      </c>
      <c r="F1987" t="s">
        <v>45</v>
      </c>
      <c r="G1987" t="s">
        <v>12</v>
      </c>
      <c r="H1987" s="1">
        <v>42826</v>
      </c>
      <c r="I1987" s="1">
        <v>42903</v>
      </c>
      <c r="J1987">
        <v>3228</v>
      </c>
    </row>
    <row r="1988" spans="1:10" x14ac:dyDescent="0.3">
      <c r="A1988" t="s">
        <v>2119</v>
      </c>
      <c r="B1988" t="s">
        <v>142</v>
      </c>
      <c r="C1988" t="str">
        <f>_xlfn.XLOOKUP(B1988,
[1]sales_teams!$A$2:$A$100,
[1]sales_teams!$B$2:$B$100)</f>
        <v>Rocco Neubert</v>
      </c>
      <c r="D1988" t="str">
        <f>_xlfn.XLOOKUP($B1988,sales_teams!$A$2:$A$36,sales_teams!C$2:C$36)</f>
        <v>East</v>
      </c>
      <c r="E1988" t="s">
        <v>20</v>
      </c>
      <c r="F1988" t="s">
        <v>240</v>
      </c>
      <c r="G1988" t="s">
        <v>46</v>
      </c>
      <c r="H1988" s="1">
        <v>42826</v>
      </c>
      <c r="I1988" s="1">
        <v>42828</v>
      </c>
      <c r="J1988">
        <v>0</v>
      </c>
    </row>
    <row r="1989" spans="1:10" x14ac:dyDescent="0.3">
      <c r="A1989" t="s">
        <v>2120</v>
      </c>
      <c r="B1989" t="s">
        <v>67</v>
      </c>
      <c r="C1989" t="str">
        <f>_xlfn.XLOOKUP(B1989,
[1]sales_teams!$A$2:$A$100,
[1]sales_teams!$B$2:$B$100)</f>
        <v>Celia Rouche</v>
      </c>
      <c r="D1989" t="str">
        <f>_xlfn.XLOOKUP($B1989,sales_teams!$A$2:$A$36,sales_teams!C$2:C$36)</f>
        <v>West</v>
      </c>
      <c r="E1989" t="s">
        <v>20</v>
      </c>
      <c r="F1989" t="s">
        <v>124</v>
      </c>
      <c r="G1989" t="s">
        <v>12</v>
      </c>
      <c r="H1989" s="1">
        <v>42826</v>
      </c>
      <c r="I1989" s="1">
        <v>42908</v>
      </c>
      <c r="J1989">
        <v>452</v>
      </c>
    </row>
    <row r="1990" spans="1:10" x14ac:dyDescent="0.3">
      <c r="A1990" t="s">
        <v>2121</v>
      </c>
      <c r="B1990" t="s">
        <v>44</v>
      </c>
      <c r="C1990" t="str">
        <f>_xlfn.XLOOKUP(B1990,
[1]sales_teams!$A$2:$A$100,
[1]sales_teams!$B$2:$B$100)</f>
        <v>Melvin Marxen</v>
      </c>
      <c r="D1990" t="str">
        <f>_xlfn.XLOOKUP($B1990,sales_teams!$A$2:$A$36,sales_teams!C$2:C$36)</f>
        <v>Central</v>
      </c>
      <c r="E1990" t="s">
        <v>10</v>
      </c>
      <c r="F1990" t="s">
        <v>218</v>
      </c>
      <c r="G1990" t="s">
        <v>46</v>
      </c>
      <c r="H1990" s="1">
        <v>42826</v>
      </c>
      <c r="I1990" s="1">
        <v>42836</v>
      </c>
      <c r="J1990">
        <v>0</v>
      </c>
    </row>
    <row r="1991" spans="1:10" x14ac:dyDescent="0.3">
      <c r="A1991" t="s">
        <v>2122</v>
      </c>
      <c r="B1991" t="s">
        <v>54</v>
      </c>
      <c r="C1991" t="str">
        <f>_xlfn.XLOOKUP(B1991,
[1]sales_teams!$A$2:$A$100,
[1]sales_teams!$B$2:$B$100)</f>
        <v>Celia Rouche</v>
      </c>
      <c r="D1991" t="str">
        <f>_xlfn.XLOOKUP($B1991,sales_teams!$A$2:$A$36,sales_teams!C$2:C$36)</f>
        <v>West</v>
      </c>
      <c r="E1991" t="s">
        <v>39</v>
      </c>
      <c r="G1991" t="s">
        <v>40</v>
      </c>
      <c r="H1991" s="1">
        <v>42826</v>
      </c>
    </row>
    <row r="1992" spans="1:10" x14ac:dyDescent="0.3">
      <c r="A1992" t="s">
        <v>2123</v>
      </c>
      <c r="B1992" t="s">
        <v>252</v>
      </c>
      <c r="C1992" t="str">
        <f>_xlfn.XLOOKUP(B1992,
[1]sales_teams!$A$2:$A$100,
[1]sales_teams!$B$2:$B$100)</f>
        <v>Melvin Marxen</v>
      </c>
      <c r="D1992" t="str">
        <f>_xlfn.XLOOKUP($B1992,sales_teams!$A$2:$A$36,sales_teams!C$2:C$36)</f>
        <v>Central</v>
      </c>
      <c r="E1992" t="s">
        <v>20</v>
      </c>
      <c r="F1992" t="s">
        <v>197</v>
      </c>
      <c r="G1992" t="s">
        <v>12</v>
      </c>
      <c r="H1992" s="1">
        <v>42826</v>
      </c>
      <c r="I1992" s="1">
        <v>42833</v>
      </c>
      <c r="J1992">
        <v>565</v>
      </c>
    </row>
    <row r="1993" spans="1:10" x14ac:dyDescent="0.3">
      <c r="A1993" t="s">
        <v>2124</v>
      </c>
      <c r="B1993" t="s">
        <v>252</v>
      </c>
      <c r="C1993" t="str">
        <f>_xlfn.XLOOKUP(B1993,
[1]sales_teams!$A$2:$A$100,
[1]sales_teams!$B$2:$B$100)</f>
        <v>Melvin Marxen</v>
      </c>
      <c r="D1993" t="str">
        <f>_xlfn.XLOOKUP($B1993,sales_teams!$A$2:$A$36,sales_teams!C$2:C$36)</f>
        <v>Central</v>
      </c>
      <c r="E1993" t="s">
        <v>10</v>
      </c>
      <c r="F1993" t="s">
        <v>76</v>
      </c>
      <c r="G1993" t="s">
        <v>12</v>
      </c>
      <c r="H1993" s="1">
        <v>42826</v>
      </c>
      <c r="I1993" s="1">
        <v>42891</v>
      </c>
      <c r="J1993">
        <v>1184</v>
      </c>
    </row>
    <row r="1994" spans="1:10" x14ac:dyDescent="0.3">
      <c r="A1994" t="s">
        <v>2125</v>
      </c>
      <c r="B1994" t="s">
        <v>78</v>
      </c>
      <c r="C1994" t="str">
        <f>_xlfn.XLOOKUP(B1994,
[1]sales_teams!$A$2:$A$100,
[1]sales_teams!$B$2:$B$100)</f>
        <v>Summer Sewald</v>
      </c>
      <c r="D1994" t="str">
        <f>_xlfn.XLOOKUP($B1994,sales_teams!$A$2:$A$36,sales_teams!C$2:C$36)</f>
        <v>West</v>
      </c>
      <c r="E1994" t="s">
        <v>10</v>
      </c>
      <c r="F1994" t="s">
        <v>24</v>
      </c>
      <c r="G1994" t="s">
        <v>12</v>
      </c>
      <c r="H1994" s="1">
        <v>42826</v>
      </c>
      <c r="I1994" s="1">
        <v>42908</v>
      </c>
      <c r="J1994">
        <v>1150</v>
      </c>
    </row>
    <row r="1995" spans="1:10" x14ac:dyDescent="0.3">
      <c r="A1995" t="s">
        <v>2126</v>
      </c>
      <c r="B1995" t="s">
        <v>95</v>
      </c>
      <c r="C1995" t="str">
        <f>_xlfn.XLOOKUP(B1995,
[1]sales_teams!$A$2:$A$100,
[1]sales_teams!$B$2:$B$100)</f>
        <v>Summer Sewald</v>
      </c>
      <c r="D1995" t="str">
        <f>_xlfn.XLOOKUP($B1995,sales_teams!$A$2:$A$36,sales_teams!C$2:C$36)</f>
        <v>West</v>
      </c>
      <c r="E1995" t="s">
        <v>20</v>
      </c>
      <c r="F1995" t="s">
        <v>518</v>
      </c>
      <c r="G1995" t="s">
        <v>40</v>
      </c>
      <c r="H1995" s="1">
        <v>42826</v>
      </c>
    </row>
    <row r="1996" spans="1:10" x14ac:dyDescent="0.3">
      <c r="A1996" t="s">
        <v>2127</v>
      </c>
      <c r="B1996" t="s">
        <v>95</v>
      </c>
      <c r="C1996" t="str">
        <f>_xlfn.XLOOKUP(B1996,
[1]sales_teams!$A$2:$A$100,
[1]sales_teams!$B$2:$B$100)</f>
        <v>Summer Sewald</v>
      </c>
      <c r="D1996" t="str">
        <f>_xlfn.XLOOKUP($B1996,sales_teams!$A$2:$A$36,sales_teams!C$2:C$36)</f>
        <v>West</v>
      </c>
      <c r="E1996" t="s">
        <v>10</v>
      </c>
      <c r="F1996" t="s">
        <v>273</v>
      </c>
      <c r="G1996" t="s">
        <v>12</v>
      </c>
      <c r="H1996" s="1">
        <v>42826</v>
      </c>
      <c r="I1996" s="1">
        <v>42879</v>
      </c>
      <c r="J1996">
        <v>1110</v>
      </c>
    </row>
    <row r="1997" spans="1:10" x14ac:dyDescent="0.3">
      <c r="A1997" t="s">
        <v>2128</v>
      </c>
      <c r="B1997" t="s">
        <v>133</v>
      </c>
      <c r="C1997" t="str">
        <f>_xlfn.XLOOKUP(B1997,
[1]sales_teams!$A$2:$A$100,
[1]sales_teams!$B$2:$B$100)</f>
        <v>Dustin Brinkmann</v>
      </c>
      <c r="D1997" t="str">
        <f>_xlfn.XLOOKUP($B1997,sales_teams!$A$2:$A$36,sales_teams!C$2:C$36)</f>
        <v>Central</v>
      </c>
      <c r="E1997" t="s">
        <v>39</v>
      </c>
      <c r="F1997" t="s">
        <v>36</v>
      </c>
      <c r="G1997" t="s">
        <v>46</v>
      </c>
      <c r="H1997" s="1">
        <v>42826</v>
      </c>
      <c r="I1997" s="1">
        <v>42835</v>
      </c>
      <c r="J1997">
        <v>0</v>
      </c>
    </row>
    <row r="1998" spans="1:10" x14ac:dyDescent="0.3">
      <c r="A1998" t="s">
        <v>2129</v>
      </c>
      <c r="B1998" t="s">
        <v>32</v>
      </c>
      <c r="C1998" t="str">
        <f>_xlfn.XLOOKUP(B1998,
[1]sales_teams!$A$2:$A$100,
[1]sales_teams!$B$2:$B$100)</f>
        <v>Celia Rouche</v>
      </c>
      <c r="D1998" t="str">
        <f>_xlfn.XLOOKUP($B1998,sales_teams!$A$2:$A$36,sales_teams!C$2:C$36)</f>
        <v>West</v>
      </c>
      <c r="E1998" t="s">
        <v>39</v>
      </c>
      <c r="F1998" t="s">
        <v>30</v>
      </c>
      <c r="G1998" t="s">
        <v>12</v>
      </c>
      <c r="H1998" s="1">
        <v>42826</v>
      </c>
      <c r="I1998" s="1">
        <v>42831</v>
      </c>
      <c r="J1998">
        <v>3817</v>
      </c>
    </row>
    <row r="1999" spans="1:10" x14ac:dyDescent="0.3">
      <c r="A1999" t="s">
        <v>2130</v>
      </c>
      <c r="B1999" t="s">
        <v>116</v>
      </c>
      <c r="C1999" t="str">
        <f>_xlfn.XLOOKUP(B1999,
[1]sales_teams!$A$2:$A$100,
[1]sales_teams!$B$2:$B$100)</f>
        <v>Melvin Marxen</v>
      </c>
      <c r="D1999" t="str">
        <f>_xlfn.XLOOKUP($B1999,sales_teams!$A$2:$A$36,sales_teams!C$2:C$36)</f>
        <v>Central</v>
      </c>
      <c r="E1999" t="s">
        <v>39</v>
      </c>
      <c r="F1999" t="s">
        <v>126</v>
      </c>
      <c r="G1999" t="s">
        <v>46</v>
      </c>
      <c r="H1999" s="1">
        <v>42826</v>
      </c>
      <c r="I1999" s="1">
        <v>42835</v>
      </c>
      <c r="J1999">
        <v>0</v>
      </c>
    </row>
    <row r="2000" spans="1:10" x14ac:dyDescent="0.3">
      <c r="A2000" t="s">
        <v>2131</v>
      </c>
      <c r="B2000" t="s">
        <v>9</v>
      </c>
      <c r="C2000" t="str">
        <f>_xlfn.XLOOKUP(B2000,
[1]sales_teams!$A$2:$A$100,
[1]sales_teams!$B$2:$B$100)</f>
        <v>Dustin Brinkmann</v>
      </c>
      <c r="D2000" t="str">
        <f>_xlfn.XLOOKUP($B2000,sales_teams!$A$2:$A$36,sales_teams!C$2:C$36)</f>
        <v>Central</v>
      </c>
      <c r="E2000" t="s">
        <v>39</v>
      </c>
      <c r="F2000" t="s">
        <v>42</v>
      </c>
      <c r="G2000" t="s">
        <v>46</v>
      </c>
      <c r="H2000" s="1">
        <v>42826</v>
      </c>
      <c r="I2000" s="1">
        <v>42831</v>
      </c>
      <c r="J2000">
        <v>0</v>
      </c>
    </row>
    <row r="2001" spans="1:10" x14ac:dyDescent="0.3">
      <c r="A2001" t="s">
        <v>2132</v>
      </c>
      <c r="B2001" t="s">
        <v>35</v>
      </c>
      <c r="C2001" t="str">
        <f>_xlfn.XLOOKUP(B2001,
[1]sales_teams!$A$2:$A$100,
[1]sales_teams!$B$2:$B$100)</f>
        <v>Melvin Marxen</v>
      </c>
      <c r="D2001" t="str">
        <f>_xlfn.XLOOKUP($B2001,sales_teams!$A$2:$A$36,sales_teams!C$2:C$36)</f>
        <v>Central</v>
      </c>
      <c r="E2001" t="s">
        <v>20</v>
      </c>
      <c r="F2001" t="s">
        <v>315</v>
      </c>
      <c r="G2001" t="s">
        <v>12</v>
      </c>
      <c r="H2001" s="1">
        <v>42826</v>
      </c>
      <c r="I2001" s="1">
        <v>42835</v>
      </c>
      <c r="J2001">
        <v>531</v>
      </c>
    </row>
    <row r="2002" spans="1:10" x14ac:dyDescent="0.3">
      <c r="A2002" t="s">
        <v>2133</v>
      </c>
      <c r="B2002" t="s">
        <v>97</v>
      </c>
      <c r="C2002" t="str">
        <f>_xlfn.XLOOKUP(B2002,
[1]sales_teams!$A$2:$A$100,
[1]sales_teams!$B$2:$B$100)</f>
        <v>Rocco Neubert</v>
      </c>
      <c r="D2002" t="str">
        <f>_xlfn.XLOOKUP($B2002,sales_teams!$A$2:$A$36,sales_teams!C$2:C$36)</f>
        <v>East</v>
      </c>
      <c r="E2002" t="s">
        <v>48</v>
      </c>
      <c r="F2002" t="s">
        <v>103</v>
      </c>
      <c r="G2002" t="s">
        <v>46</v>
      </c>
      <c r="H2002" s="1">
        <v>42826</v>
      </c>
      <c r="I2002" s="1">
        <v>42829</v>
      </c>
      <c r="J2002">
        <v>0</v>
      </c>
    </row>
    <row r="2003" spans="1:10" x14ac:dyDescent="0.3">
      <c r="A2003" t="s">
        <v>2134</v>
      </c>
      <c r="B2003" t="s">
        <v>97</v>
      </c>
      <c r="C2003" t="str">
        <f>_xlfn.XLOOKUP(B2003,
[1]sales_teams!$A$2:$A$100,
[1]sales_teams!$B$2:$B$100)</f>
        <v>Rocco Neubert</v>
      </c>
      <c r="D2003" t="str">
        <f>_xlfn.XLOOKUP($B2003,sales_teams!$A$2:$A$36,sales_teams!C$2:C$36)</f>
        <v>East</v>
      </c>
      <c r="E2003" t="s">
        <v>39</v>
      </c>
      <c r="F2003" t="s">
        <v>177</v>
      </c>
      <c r="G2003" t="s">
        <v>46</v>
      </c>
      <c r="H2003" s="1">
        <v>42826</v>
      </c>
      <c r="I2003" s="1">
        <v>42827</v>
      </c>
      <c r="J2003">
        <v>0</v>
      </c>
    </row>
    <row r="2004" spans="1:10" x14ac:dyDescent="0.3">
      <c r="A2004" t="s">
        <v>2135</v>
      </c>
      <c r="B2004" t="s">
        <v>57</v>
      </c>
      <c r="C2004" t="str">
        <f>_xlfn.XLOOKUP(B2004,
[1]sales_teams!$A$2:$A$100,
[1]sales_teams!$B$2:$B$100)</f>
        <v>Celia Rouche</v>
      </c>
      <c r="D2004" t="str">
        <f>_xlfn.XLOOKUP($B2004,sales_teams!$A$2:$A$36,sales_teams!C$2:C$36)</f>
        <v>West</v>
      </c>
      <c r="E2004" t="s">
        <v>18</v>
      </c>
      <c r="F2004" t="s">
        <v>313</v>
      </c>
      <c r="G2004" t="s">
        <v>12</v>
      </c>
      <c r="H2004" s="1">
        <v>42826</v>
      </c>
      <c r="I2004" s="1">
        <v>42832</v>
      </c>
      <c r="J2004">
        <v>51</v>
      </c>
    </row>
    <row r="2005" spans="1:10" x14ac:dyDescent="0.3">
      <c r="A2005" t="s">
        <v>2136</v>
      </c>
      <c r="B2005" t="s">
        <v>88</v>
      </c>
      <c r="C2005" t="str">
        <f>_xlfn.XLOOKUP(B2005,
[1]sales_teams!$A$2:$A$100,
[1]sales_teams!$B$2:$B$100)</f>
        <v>Cara Losch</v>
      </c>
      <c r="D2005" t="str">
        <f>_xlfn.XLOOKUP($B2005,sales_teams!$A$2:$A$36,sales_teams!C$2:C$36)</f>
        <v>East</v>
      </c>
      <c r="E2005" t="s">
        <v>39</v>
      </c>
      <c r="F2005" t="s">
        <v>49</v>
      </c>
      <c r="G2005" t="s">
        <v>40</v>
      </c>
      <c r="H2005" s="1">
        <v>42826</v>
      </c>
    </row>
    <row r="2006" spans="1:10" x14ac:dyDescent="0.3">
      <c r="A2006" t="s">
        <v>2137</v>
      </c>
      <c r="B2006" t="s">
        <v>88</v>
      </c>
      <c r="C2006" t="str">
        <f>_xlfn.XLOOKUP(B2006,
[1]sales_teams!$A$2:$A$100,
[1]sales_teams!$B$2:$B$100)</f>
        <v>Cara Losch</v>
      </c>
      <c r="D2006" t="str">
        <f>_xlfn.XLOOKUP($B2006,sales_teams!$A$2:$A$36,sales_teams!C$2:C$36)</f>
        <v>East</v>
      </c>
      <c r="E2006" t="s">
        <v>15</v>
      </c>
      <c r="F2006" t="s">
        <v>106</v>
      </c>
      <c r="G2006" t="s">
        <v>12</v>
      </c>
      <c r="H2006" s="1">
        <v>42826</v>
      </c>
      <c r="I2006" s="1">
        <v>42867</v>
      </c>
      <c r="J2006">
        <v>5106</v>
      </c>
    </row>
    <row r="2007" spans="1:10" x14ac:dyDescent="0.3">
      <c r="A2007" t="s">
        <v>2138</v>
      </c>
      <c r="B2007" t="s">
        <v>61</v>
      </c>
      <c r="C2007" t="str">
        <f>_xlfn.XLOOKUP(B2007,
[1]sales_teams!$A$2:$A$100,
[1]sales_teams!$B$2:$B$100)</f>
        <v>Dustin Brinkmann</v>
      </c>
      <c r="D2007" t="str">
        <f>_xlfn.XLOOKUP($B2007,sales_teams!$A$2:$A$36,sales_teams!C$2:C$36)</f>
        <v>Central</v>
      </c>
      <c r="E2007" t="s">
        <v>39</v>
      </c>
      <c r="F2007" t="s">
        <v>45</v>
      </c>
      <c r="G2007" t="s">
        <v>46</v>
      </c>
      <c r="H2007" s="1">
        <v>42826</v>
      </c>
      <c r="I2007" s="1">
        <v>42838</v>
      </c>
      <c r="J2007">
        <v>0</v>
      </c>
    </row>
    <row r="2008" spans="1:10" x14ac:dyDescent="0.3">
      <c r="A2008" t="s">
        <v>2139</v>
      </c>
      <c r="B2008" t="s">
        <v>61</v>
      </c>
      <c r="C2008" t="str">
        <f>_xlfn.XLOOKUP(B2008,
[1]sales_teams!$A$2:$A$100,
[1]sales_teams!$B$2:$B$100)</f>
        <v>Dustin Brinkmann</v>
      </c>
      <c r="D2008" t="str">
        <f>_xlfn.XLOOKUP($B2008,sales_teams!$A$2:$A$36,sales_teams!C$2:C$36)</f>
        <v>Central</v>
      </c>
      <c r="E2008" t="s">
        <v>18</v>
      </c>
      <c r="F2008" t="s">
        <v>111</v>
      </c>
      <c r="G2008" t="s">
        <v>12</v>
      </c>
      <c r="H2008" s="1">
        <v>42826</v>
      </c>
      <c r="I2008" s="1">
        <v>42827</v>
      </c>
      <c r="J2008">
        <v>60</v>
      </c>
    </row>
    <row r="2009" spans="1:10" x14ac:dyDescent="0.3">
      <c r="A2009" t="s">
        <v>2140</v>
      </c>
      <c r="B2009" t="s">
        <v>29</v>
      </c>
      <c r="C2009" t="str">
        <f>_xlfn.XLOOKUP(B2009,
[1]sales_teams!$A$2:$A$100,
[1]sales_teams!$B$2:$B$100)</f>
        <v>Celia Rouche</v>
      </c>
      <c r="D2009" t="str">
        <f>_xlfn.XLOOKUP($B2009,sales_teams!$A$2:$A$36,sales_teams!C$2:C$36)</f>
        <v>West</v>
      </c>
      <c r="E2009" t="s">
        <v>15</v>
      </c>
      <c r="F2009" t="s">
        <v>179</v>
      </c>
      <c r="G2009" t="s">
        <v>40</v>
      </c>
      <c r="H2009" s="1">
        <v>42826</v>
      </c>
    </row>
    <row r="2010" spans="1:10" x14ac:dyDescent="0.3">
      <c r="A2010" t="s">
        <v>2141</v>
      </c>
      <c r="B2010" t="s">
        <v>29</v>
      </c>
      <c r="C2010" t="str">
        <f>_xlfn.XLOOKUP(B2010,
[1]sales_teams!$A$2:$A$100,
[1]sales_teams!$B$2:$B$100)</f>
        <v>Celia Rouche</v>
      </c>
      <c r="D2010" t="str">
        <f>_xlfn.XLOOKUP($B2010,sales_teams!$A$2:$A$36,sales_teams!C$2:C$36)</f>
        <v>West</v>
      </c>
      <c r="E2010" t="s">
        <v>15</v>
      </c>
      <c r="F2010" t="s">
        <v>159</v>
      </c>
      <c r="G2010" t="s">
        <v>46</v>
      </c>
      <c r="H2010" s="1">
        <v>42826</v>
      </c>
      <c r="I2010" s="1">
        <v>42834</v>
      </c>
      <c r="J2010">
        <v>0</v>
      </c>
    </row>
    <row r="2011" spans="1:10" x14ac:dyDescent="0.3">
      <c r="A2011" t="s">
        <v>2142</v>
      </c>
      <c r="B2011" t="s">
        <v>102</v>
      </c>
      <c r="C2011" t="str">
        <f>_xlfn.XLOOKUP(B2011,
[1]sales_teams!$A$2:$A$100,
[1]sales_teams!$B$2:$B$100)</f>
        <v>Cara Losch</v>
      </c>
      <c r="D2011" t="str">
        <f>_xlfn.XLOOKUP($B2011,sales_teams!$A$2:$A$36,sales_teams!C$2:C$36)</f>
        <v>East</v>
      </c>
      <c r="E2011" t="s">
        <v>48</v>
      </c>
      <c r="F2011" t="s">
        <v>89</v>
      </c>
      <c r="G2011" t="s">
        <v>46</v>
      </c>
      <c r="H2011" s="1">
        <v>42826</v>
      </c>
      <c r="I2011" s="1">
        <v>42834</v>
      </c>
      <c r="J2011">
        <v>0</v>
      </c>
    </row>
    <row r="2012" spans="1:10" x14ac:dyDescent="0.3">
      <c r="A2012" t="s">
        <v>2143</v>
      </c>
      <c r="B2012" t="s">
        <v>23</v>
      </c>
      <c r="C2012" t="str">
        <f>_xlfn.XLOOKUP(B2012,
[1]sales_teams!$A$2:$A$100,
[1]sales_teams!$B$2:$B$100)</f>
        <v>Summer Sewald</v>
      </c>
      <c r="D2012" t="str">
        <f>_xlfn.XLOOKUP($B2012,sales_teams!$A$2:$A$36,sales_teams!C$2:C$36)</f>
        <v>West</v>
      </c>
      <c r="E2012" t="s">
        <v>10</v>
      </c>
      <c r="F2012" t="s">
        <v>315</v>
      </c>
      <c r="G2012" t="s">
        <v>46</v>
      </c>
      <c r="H2012" s="1">
        <v>42826</v>
      </c>
      <c r="I2012" s="1">
        <v>42827</v>
      </c>
      <c r="J2012">
        <v>0</v>
      </c>
    </row>
    <row r="2013" spans="1:10" x14ac:dyDescent="0.3">
      <c r="A2013" t="s">
        <v>2144</v>
      </c>
      <c r="B2013" t="s">
        <v>23</v>
      </c>
      <c r="C2013" t="str">
        <f>_xlfn.XLOOKUP(B2013,
[1]sales_teams!$A$2:$A$100,
[1]sales_teams!$B$2:$B$100)</f>
        <v>Summer Sewald</v>
      </c>
      <c r="D2013" t="str">
        <f>_xlfn.XLOOKUP($B2013,sales_teams!$A$2:$A$36,sales_teams!C$2:C$36)</f>
        <v>West</v>
      </c>
      <c r="E2013" t="s">
        <v>15</v>
      </c>
      <c r="F2013" t="s">
        <v>24</v>
      </c>
      <c r="G2013" t="s">
        <v>12</v>
      </c>
      <c r="H2013" s="1">
        <v>42826</v>
      </c>
      <c r="I2013" s="1">
        <v>42915</v>
      </c>
      <c r="J2013">
        <v>5079</v>
      </c>
    </row>
    <row r="2014" spans="1:10" x14ac:dyDescent="0.3">
      <c r="A2014" t="s">
        <v>2145</v>
      </c>
      <c r="B2014" t="s">
        <v>26</v>
      </c>
      <c r="C2014" t="str">
        <f>_xlfn.XLOOKUP(B2014,
[1]sales_teams!$A$2:$A$100,
[1]sales_teams!$B$2:$B$100)</f>
        <v>Dustin Brinkmann</v>
      </c>
      <c r="D2014" t="str">
        <f>_xlfn.XLOOKUP($B2014,sales_teams!$A$2:$A$36,sales_teams!C$2:C$36)</f>
        <v>Central</v>
      </c>
      <c r="E2014" t="s">
        <v>20</v>
      </c>
      <c r="F2014" t="s">
        <v>492</v>
      </c>
      <c r="G2014" t="s">
        <v>12</v>
      </c>
      <c r="H2014" s="1">
        <v>42827</v>
      </c>
      <c r="I2014" s="1">
        <v>42906</v>
      </c>
      <c r="J2014">
        <v>460</v>
      </c>
    </row>
    <row r="2015" spans="1:10" x14ac:dyDescent="0.3">
      <c r="A2015" t="s">
        <v>2146</v>
      </c>
      <c r="B2015" t="s">
        <v>139</v>
      </c>
      <c r="C2015" t="str">
        <f>_xlfn.XLOOKUP(B2015,
[1]sales_teams!$A$2:$A$100,
[1]sales_teams!$B$2:$B$100)</f>
        <v>Rocco Neubert</v>
      </c>
      <c r="D2015" t="str">
        <f>_xlfn.XLOOKUP($B2015,sales_teams!$A$2:$A$36,sales_teams!C$2:C$36)</f>
        <v>East</v>
      </c>
      <c r="E2015" t="s">
        <v>39</v>
      </c>
      <c r="G2015" t="s">
        <v>40</v>
      </c>
      <c r="H2015" s="1">
        <v>42827</v>
      </c>
    </row>
    <row r="2016" spans="1:10" x14ac:dyDescent="0.3">
      <c r="A2016" t="s">
        <v>2147</v>
      </c>
      <c r="B2016" t="s">
        <v>139</v>
      </c>
      <c r="C2016" t="str">
        <f>_xlfn.XLOOKUP(B2016,
[1]sales_teams!$A$2:$A$100,
[1]sales_teams!$B$2:$B$100)</f>
        <v>Rocco Neubert</v>
      </c>
      <c r="D2016" t="str">
        <f>_xlfn.XLOOKUP($B2016,sales_teams!$A$2:$A$36,sales_teams!C$2:C$36)</f>
        <v>East</v>
      </c>
      <c r="E2016" t="s">
        <v>10</v>
      </c>
      <c r="F2016" t="s">
        <v>518</v>
      </c>
      <c r="G2016" t="s">
        <v>46</v>
      </c>
      <c r="H2016" s="1">
        <v>42827</v>
      </c>
      <c r="I2016" s="1">
        <v>42910</v>
      </c>
      <c r="J2016">
        <v>0</v>
      </c>
    </row>
    <row r="2017" spans="1:10" x14ac:dyDescent="0.3">
      <c r="A2017" t="s">
        <v>2148</v>
      </c>
      <c r="B2017" t="s">
        <v>202</v>
      </c>
      <c r="C2017" t="str">
        <f>_xlfn.XLOOKUP(B2017,
[1]sales_teams!$A$2:$A$100,
[1]sales_teams!$B$2:$B$100)</f>
        <v>Dustin Brinkmann</v>
      </c>
      <c r="D2017" t="str">
        <f>_xlfn.XLOOKUP($B2017,sales_teams!$A$2:$A$36,sales_teams!C$2:C$36)</f>
        <v>Central</v>
      </c>
      <c r="E2017" t="s">
        <v>39</v>
      </c>
      <c r="F2017" t="s">
        <v>207</v>
      </c>
      <c r="G2017" t="s">
        <v>12</v>
      </c>
      <c r="H2017" s="1">
        <v>42827</v>
      </c>
      <c r="I2017" s="1">
        <v>42835</v>
      </c>
      <c r="J2017">
        <v>3343</v>
      </c>
    </row>
    <row r="2018" spans="1:10" x14ac:dyDescent="0.3">
      <c r="A2018" t="s">
        <v>2149</v>
      </c>
      <c r="B2018" t="s">
        <v>164</v>
      </c>
      <c r="C2018" t="str">
        <f>_xlfn.XLOOKUP(B2018,
[1]sales_teams!$A$2:$A$100,
[1]sales_teams!$B$2:$B$100)</f>
        <v>Cara Losch</v>
      </c>
      <c r="D2018" t="str">
        <f>_xlfn.XLOOKUP($B2018,sales_teams!$A$2:$A$36,sales_teams!C$2:C$36)</f>
        <v>East</v>
      </c>
      <c r="E2018" t="s">
        <v>48</v>
      </c>
      <c r="F2018" t="s">
        <v>65</v>
      </c>
      <c r="G2018" t="s">
        <v>12</v>
      </c>
      <c r="H2018" s="1">
        <v>42827</v>
      </c>
      <c r="I2018" s="1">
        <v>42883</v>
      </c>
      <c r="J2018">
        <v>5125</v>
      </c>
    </row>
    <row r="2019" spans="1:10" x14ac:dyDescent="0.3">
      <c r="A2019" t="s">
        <v>2150</v>
      </c>
      <c r="B2019" t="s">
        <v>14</v>
      </c>
      <c r="C2019" t="str">
        <f>_xlfn.XLOOKUP(B2019,
[1]sales_teams!$A$2:$A$100,
[1]sales_teams!$B$2:$B$100)</f>
        <v>Melvin Marxen</v>
      </c>
      <c r="D2019" t="str">
        <f>_xlfn.XLOOKUP($B2019,sales_teams!$A$2:$A$36,sales_teams!C$2:C$36)</f>
        <v>Central</v>
      </c>
      <c r="E2019" t="s">
        <v>39</v>
      </c>
      <c r="F2019" t="s">
        <v>42</v>
      </c>
      <c r="G2019" t="s">
        <v>12</v>
      </c>
      <c r="H2019" s="1">
        <v>42827</v>
      </c>
      <c r="I2019" s="1">
        <v>42836</v>
      </c>
      <c r="J2019">
        <v>3263</v>
      </c>
    </row>
    <row r="2020" spans="1:10" x14ac:dyDescent="0.3">
      <c r="A2020" t="s">
        <v>2151</v>
      </c>
      <c r="B2020" t="s">
        <v>67</v>
      </c>
      <c r="C2020" t="str">
        <f>_xlfn.XLOOKUP(B2020,
[1]sales_teams!$A$2:$A$100,
[1]sales_teams!$B$2:$B$100)</f>
        <v>Celia Rouche</v>
      </c>
      <c r="D2020" t="str">
        <f>_xlfn.XLOOKUP($B2020,sales_teams!$A$2:$A$36,sales_teams!C$2:C$36)</f>
        <v>West</v>
      </c>
      <c r="E2020" t="s">
        <v>10</v>
      </c>
      <c r="F2020" t="s">
        <v>70</v>
      </c>
      <c r="G2020" t="s">
        <v>12</v>
      </c>
      <c r="H2020" s="1">
        <v>42827</v>
      </c>
      <c r="I2020" s="1">
        <v>42833</v>
      </c>
      <c r="J2020">
        <v>976</v>
      </c>
    </row>
    <row r="2021" spans="1:10" x14ac:dyDescent="0.3">
      <c r="A2021" t="s">
        <v>2152</v>
      </c>
      <c r="B2021" t="s">
        <v>105</v>
      </c>
      <c r="C2021" t="str">
        <f>_xlfn.XLOOKUP(B2021,
[1]sales_teams!$A$2:$A$100,
[1]sales_teams!$B$2:$B$100)</f>
        <v>Cara Losch</v>
      </c>
      <c r="D2021" t="str">
        <f>_xlfn.XLOOKUP($B2021,sales_teams!$A$2:$A$36,sales_teams!C$2:C$36)</f>
        <v>East</v>
      </c>
      <c r="E2021" t="s">
        <v>15</v>
      </c>
      <c r="F2021" t="s">
        <v>215</v>
      </c>
      <c r="G2021" t="s">
        <v>12</v>
      </c>
      <c r="H2021" s="1">
        <v>42827</v>
      </c>
      <c r="I2021" s="1">
        <v>42834</v>
      </c>
      <c r="J2021">
        <v>4746</v>
      </c>
    </row>
    <row r="2022" spans="1:10" x14ac:dyDescent="0.3">
      <c r="A2022" t="s">
        <v>2153</v>
      </c>
      <c r="B2022" t="s">
        <v>44</v>
      </c>
      <c r="C2022" t="str">
        <f>_xlfn.XLOOKUP(B2022,
[1]sales_teams!$A$2:$A$100,
[1]sales_teams!$B$2:$B$100)</f>
        <v>Melvin Marxen</v>
      </c>
      <c r="D2022" t="str">
        <f>_xlfn.XLOOKUP($B2022,sales_teams!$A$2:$A$36,sales_teams!C$2:C$36)</f>
        <v>Central</v>
      </c>
      <c r="E2022" t="s">
        <v>10</v>
      </c>
      <c r="F2022" t="s">
        <v>120</v>
      </c>
      <c r="G2022" t="s">
        <v>46</v>
      </c>
      <c r="H2022" s="1">
        <v>42827</v>
      </c>
      <c r="I2022" s="1">
        <v>42828</v>
      </c>
      <c r="J2022">
        <v>0</v>
      </c>
    </row>
    <row r="2023" spans="1:10" x14ac:dyDescent="0.3">
      <c r="A2023" t="s">
        <v>2154</v>
      </c>
      <c r="B2023" t="s">
        <v>44</v>
      </c>
      <c r="C2023" t="str">
        <f>_xlfn.XLOOKUP(B2023,
[1]sales_teams!$A$2:$A$100,
[1]sales_teams!$B$2:$B$100)</f>
        <v>Melvin Marxen</v>
      </c>
      <c r="D2023" t="str">
        <f>_xlfn.XLOOKUP($B2023,sales_teams!$A$2:$A$36,sales_teams!C$2:C$36)</f>
        <v>Central</v>
      </c>
      <c r="E2023" t="s">
        <v>20</v>
      </c>
      <c r="F2023" t="s">
        <v>21</v>
      </c>
      <c r="G2023" t="s">
        <v>12</v>
      </c>
      <c r="H2023" s="1">
        <v>42827</v>
      </c>
      <c r="I2023" s="1">
        <v>42836</v>
      </c>
      <c r="J2023">
        <v>507</v>
      </c>
    </row>
    <row r="2024" spans="1:10" x14ac:dyDescent="0.3">
      <c r="A2024" t="s">
        <v>2155</v>
      </c>
      <c r="B2024" t="s">
        <v>38</v>
      </c>
      <c r="C2024" t="str">
        <f>_xlfn.XLOOKUP(B2024,
[1]sales_teams!$A$2:$A$100,
[1]sales_teams!$B$2:$B$100)</f>
        <v>Summer Sewald</v>
      </c>
      <c r="D2024" t="str">
        <f>_xlfn.XLOOKUP($B2024,sales_teams!$A$2:$A$36,sales_teams!C$2:C$36)</f>
        <v>West</v>
      </c>
      <c r="E2024" t="s">
        <v>48</v>
      </c>
      <c r="G2024" t="s">
        <v>40</v>
      </c>
      <c r="H2024" s="1">
        <v>42827</v>
      </c>
    </row>
    <row r="2025" spans="1:10" x14ac:dyDescent="0.3">
      <c r="A2025" t="s">
        <v>2156</v>
      </c>
      <c r="B2025" t="s">
        <v>38</v>
      </c>
      <c r="C2025" t="str">
        <f>_xlfn.XLOOKUP(B2025,
[1]sales_teams!$A$2:$A$100,
[1]sales_teams!$B$2:$B$100)</f>
        <v>Summer Sewald</v>
      </c>
      <c r="D2025" t="str">
        <f>_xlfn.XLOOKUP($B2025,sales_teams!$A$2:$A$36,sales_teams!C$2:C$36)</f>
        <v>West</v>
      </c>
      <c r="E2025" t="s">
        <v>20</v>
      </c>
      <c r="F2025" t="s">
        <v>199</v>
      </c>
      <c r="G2025" t="s">
        <v>46</v>
      </c>
      <c r="H2025" s="1">
        <v>42827</v>
      </c>
      <c r="I2025" s="1">
        <v>42839</v>
      </c>
      <c r="J2025">
        <v>0</v>
      </c>
    </row>
    <row r="2026" spans="1:10" x14ac:dyDescent="0.3">
      <c r="A2026" t="s">
        <v>2157</v>
      </c>
      <c r="B2026" t="s">
        <v>38</v>
      </c>
      <c r="C2026" t="str">
        <f>_xlfn.XLOOKUP(B2026,
[1]sales_teams!$A$2:$A$100,
[1]sales_teams!$B$2:$B$100)</f>
        <v>Summer Sewald</v>
      </c>
      <c r="D2026" t="str">
        <f>_xlfn.XLOOKUP($B2026,sales_teams!$A$2:$A$36,sales_teams!C$2:C$36)</f>
        <v>West</v>
      </c>
      <c r="E2026" t="s">
        <v>15</v>
      </c>
      <c r="F2026" t="s">
        <v>70</v>
      </c>
      <c r="G2026" t="s">
        <v>12</v>
      </c>
      <c r="H2026" s="1">
        <v>42827</v>
      </c>
      <c r="I2026" s="1">
        <v>42834</v>
      </c>
      <c r="J2026">
        <v>5693</v>
      </c>
    </row>
    <row r="2027" spans="1:10" x14ac:dyDescent="0.3">
      <c r="A2027" t="s">
        <v>2158</v>
      </c>
      <c r="B2027" t="s">
        <v>78</v>
      </c>
      <c r="C2027" t="str">
        <f>_xlfn.XLOOKUP(B2027,
[1]sales_teams!$A$2:$A$100,
[1]sales_teams!$B$2:$B$100)</f>
        <v>Summer Sewald</v>
      </c>
      <c r="D2027" t="str">
        <f>_xlfn.XLOOKUP($B2027,sales_teams!$A$2:$A$36,sales_teams!C$2:C$36)</f>
        <v>West</v>
      </c>
      <c r="E2027" t="s">
        <v>15</v>
      </c>
      <c r="G2027" t="s">
        <v>40</v>
      </c>
      <c r="H2027" s="1">
        <v>42827</v>
      </c>
    </row>
    <row r="2028" spans="1:10" x14ac:dyDescent="0.3">
      <c r="A2028" t="s">
        <v>2159</v>
      </c>
      <c r="B2028" t="s">
        <v>78</v>
      </c>
      <c r="C2028" t="str">
        <f>_xlfn.XLOOKUP(B2028,
[1]sales_teams!$A$2:$A$100,
[1]sales_teams!$B$2:$B$100)</f>
        <v>Summer Sewald</v>
      </c>
      <c r="D2028" t="str">
        <f>_xlfn.XLOOKUP($B2028,sales_teams!$A$2:$A$36,sales_teams!C$2:C$36)</f>
        <v>West</v>
      </c>
      <c r="E2028" t="s">
        <v>10</v>
      </c>
      <c r="F2028" t="s">
        <v>70</v>
      </c>
      <c r="G2028" t="s">
        <v>46</v>
      </c>
      <c r="H2028" s="1">
        <v>42827</v>
      </c>
      <c r="I2028" s="1">
        <v>42839</v>
      </c>
      <c r="J2028">
        <v>0</v>
      </c>
    </row>
    <row r="2029" spans="1:10" x14ac:dyDescent="0.3">
      <c r="A2029" t="s">
        <v>2160</v>
      </c>
      <c r="B2029" t="s">
        <v>95</v>
      </c>
      <c r="C2029" t="str">
        <f>_xlfn.XLOOKUP(B2029,
[1]sales_teams!$A$2:$A$100,
[1]sales_teams!$B$2:$B$100)</f>
        <v>Summer Sewald</v>
      </c>
      <c r="D2029" t="str">
        <f>_xlfn.XLOOKUP($B2029,sales_teams!$A$2:$A$36,sales_teams!C$2:C$36)</f>
        <v>West</v>
      </c>
      <c r="E2029" t="s">
        <v>20</v>
      </c>
      <c r="F2029" t="s">
        <v>86</v>
      </c>
      <c r="G2029" t="s">
        <v>46</v>
      </c>
      <c r="H2029" s="1">
        <v>42827</v>
      </c>
      <c r="I2029" s="1">
        <v>42828</v>
      </c>
      <c r="J2029">
        <v>0</v>
      </c>
    </row>
    <row r="2030" spans="1:10" x14ac:dyDescent="0.3">
      <c r="A2030" t="s">
        <v>2161</v>
      </c>
      <c r="B2030" t="s">
        <v>95</v>
      </c>
      <c r="C2030" t="str">
        <f>_xlfn.XLOOKUP(B2030,
[1]sales_teams!$A$2:$A$100,
[1]sales_teams!$B$2:$B$100)</f>
        <v>Summer Sewald</v>
      </c>
      <c r="D2030" t="str">
        <f>_xlfn.XLOOKUP($B2030,sales_teams!$A$2:$A$36,sales_teams!C$2:C$36)</f>
        <v>West</v>
      </c>
      <c r="E2030" t="s">
        <v>20</v>
      </c>
      <c r="F2030" t="s">
        <v>33</v>
      </c>
      <c r="G2030" t="s">
        <v>12</v>
      </c>
      <c r="H2030" s="1">
        <v>42827</v>
      </c>
      <c r="I2030" s="1">
        <v>42835</v>
      </c>
      <c r="J2030">
        <v>488</v>
      </c>
    </row>
    <row r="2031" spans="1:10" x14ac:dyDescent="0.3">
      <c r="A2031" t="s">
        <v>2162</v>
      </c>
      <c r="B2031" t="s">
        <v>95</v>
      </c>
      <c r="C2031" t="str">
        <f>_xlfn.XLOOKUP(B2031,
[1]sales_teams!$A$2:$A$100,
[1]sales_teams!$B$2:$B$100)</f>
        <v>Summer Sewald</v>
      </c>
      <c r="D2031" t="str">
        <f>_xlfn.XLOOKUP($B2031,sales_teams!$A$2:$A$36,sales_teams!C$2:C$36)</f>
        <v>West</v>
      </c>
      <c r="E2031" t="s">
        <v>20</v>
      </c>
      <c r="F2031" t="s">
        <v>68</v>
      </c>
      <c r="G2031" t="s">
        <v>12</v>
      </c>
      <c r="H2031" s="1">
        <v>42827</v>
      </c>
      <c r="I2031" s="1">
        <v>42875</v>
      </c>
      <c r="J2031">
        <v>605</v>
      </c>
    </row>
    <row r="2032" spans="1:10" x14ac:dyDescent="0.3">
      <c r="A2032" t="s">
        <v>2163</v>
      </c>
      <c r="B2032" t="s">
        <v>32</v>
      </c>
      <c r="C2032" t="str">
        <f>_xlfn.XLOOKUP(B2032,
[1]sales_teams!$A$2:$A$100,
[1]sales_teams!$B$2:$B$100)</f>
        <v>Celia Rouche</v>
      </c>
      <c r="D2032" t="str">
        <f>_xlfn.XLOOKUP($B2032,sales_teams!$A$2:$A$36,sales_teams!C$2:C$36)</f>
        <v>West</v>
      </c>
      <c r="E2032" t="s">
        <v>15</v>
      </c>
      <c r="G2032" t="s">
        <v>40</v>
      </c>
      <c r="H2032" s="1">
        <v>42827</v>
      </c>
    </row>
    <row r="2033" spans="1:10" x14ac:dyDescent="0.3">
      <c r="A2033" t="s">
        <v>2164</v>
      </c>
      <c r="B2033" t="s">
        <v>32</v>
      </c>
      <c r="C2033" t="str">
        <f>_xlfn.XLOOKUP(B2033,
[1]sales_teams!$A$2:$A$100,
[1]sales_teams!$B$2:$B$100)</f>
        <v>Celia Rouche</v>
      </c>
      <c r="D2033" t="str">
        <f>_xlfn.XLOOKUP($B2033,sales_teams!$A$2:$A$36,sales_teams!C$2:C$36)</f>
        <v>West</v>
      </c>
      <c r="E2033" t="s">
        <v>48</v>
      </c>
      <c r="F2033" t="s">
        <v>93</v>
      </c>
      <c r="G2033" t="s">
        <v>46</v>
      </c>
      <c r="H2033" s="1">
        <v>42827</v>
      </c>
      <c r="I2033" s="1">
        <v>42870</v>
      </c>
      <c r="J2033">
        <v>0</v>
      </c>
    </row>
    <row r="2034" spans="1:10" x14ac:dyDescent="0.3">
      <c r="A2034" t="s">
        <v>2165</v>
      </c>
      <c r="B2034" t="s">
        <v>116</v>
      </c>
      <c r="C2034" t="str">
        <f>_xlfn.XLOOKUP(B2034,
[1]sales_teams!$A$2:$A$100,
[1]sales_teams!$B$2:$B$100)</f>
        <v>Melvin Marxen</v>
      </c>
      <c r="D2034" t="str">
        <f>_xlfn.XLOOKUP($B2034,sales_teams!$A$2:$A$36,sales_teams!C$2:C$36)</f>
        <v>Central</v>
      </c>
      <c r="E2034" t="s">
        <v>10</v>
      </c>
      <c r="F2034" t="s">
        <v>135</v>
      </c>
      <c r="G2034" t="s">
        <v>12</v>
      </c>
      <c r="H2034" s="1">
        <v>42827</v>
      </c>
      <c r="I2034" s="1">
        <v>42836</v>
      </c>
      <c r="J2034">
        <v>949</v>
      </c>
    </row>
    <row r="2035" spans="1:10" x14ac:dyDescent="0.3">
      <c r="A2035" t="s">
        <v>2166</v>
      </c>
      <c r="B2035" t="s">
        <v>51</v>
      </c>
      <c r="C2035" t="str">
        <f>_xlfn.XLOOKUP(B2035,
[1]sales_teams!$A$2:$A$100,
[1]sales_teams!$B$2:$B$100)</f>
        <v>Summer Sewald</v>
      </c>
      <c r="D2035" t="str">
        <f>_xlfn.XLOOKUP($B2035,sales_teams!$A$2:$A$36,sales_teams!C$2:C$36)</f>
        <v>West</v>
      </c>
      <c r="E2035" t="s">
        <v>10</v>
      </c>
      <c r="F2035" t="s">
        <v>194</v>
      </c>
      <c r="G2035" t="s">
        <v>12</v>
      </c>
      <c r="H2035" s="1">
        <v>42827</v>
      </c>
      <c r="I2035" s="1">
        <v>42829</v>
      </c>
      <c r="J2035">
        <v>882</v>
      </c>
    </row>
    <row r="2036" spans="1:10" x14ac:dyDescent="0.3">
      <c r="A2036" t="s">
        <v>2167</v>
      </c>
      <c r="B2036" t="s">
        <v>51</v>
      </c>
      <c r="C2036" t="str">
        <f>_xlfn.XLOOKUP(B2036,
[1]sales_teams!$A$2:$A$100,
[1]sales_teams!$B$2:$B$100)</f>
        <v>Summer Sewald</v>
      </c>
      <c r="D2036" t="str">
        <f>_xlfn.XLOOKUP($B2036,sales_teams!$A$2:$A$36,sales_teams!C$2:C$36)</f>
        <v>West</v>
      </c>
      <c r="E2036" t="s">
        <v>10</v>
      </c>
      <c r="F2036" t="s">
        <v>148</v>
      </c>
      <c r="G2036" t="s">
        <v>12</v>
      </c>
      <c r="H2036" s="1">
        <v>42827</v>
      </c>
      <c r="I2036" s="1">
        <v>42908</v>
      </c>
      <c r="J2036">
        <v>1096</v>
      </c>
    </row>
    <row r="2037" spans="1:10" x14ac:dyDescent="0.3">
      <c r="A2037" t="s">
        <v>2168</v>
      </c>
      <c r="B2037" t="s">
        <v>97</v>
      </c>
      <c r="C2037" t="str">
        <f>_xlfn.XLOOKUP(B2037,
[1]sales_teams!$A$2:$A$100,
[1]sales_teams!$B$2:$B$100)</f>
        <v>Rocco Neubert</v>
      </c>
      <c r="D2037" t="str">
        <f>_xlfn.XLOOKUP($B2037,sales_teams!$A$2:$A$36,sales_teams!C$2:C$36)</f>
        <v>East</v>
      </c>
      <c r="E2037" t="s">
        <v>20</v>
      </c>
      <c r="F2037" t="s">
        <v>410</v>
      </c>
      <c r="G2037" t="s">
        <v>46</v>
      </c>
      <c r="H2037" s="1">
        <v>42827</v>
      </c>
      <c r="I2037" s="1">
        <v>42835</v>
      </c>
      <c r="J2037">
        <v>0</v>
      </c>
    </row>
    <row r="2038" spans="1:10" x14ac:dyDescent="0.3">
      <c r="A2038" t="s">
        <v>2169</v>
      </c>
      <c r="B2038" t="s">
        <v>97</v>
      </c>
      <c r="C2038" t="str">
        <f>_xlfn.XLOOKUP(B2038,
[1]sales_teams!$A$2:$A$100,
[1]sales_teams!$B$2:$B$100)</f>
        <v>Rocco Neubert</v>
      </c>
      <c r="D2038" t="str">
        <f>_xlfn.XLOOKUP($B2038,sales_teams!$A$2:$A$36,sales_teams!C$2:C$36)</f>
        <v>East</v>
      </c>
      <c r="E2038" t="s">
        <v>20</v>
      </c>
      <c r="F2038" t="s">
        <v>410</v>
      </c>
      <c r="G2038" t="s">
        <v>12</v>
      </c>
      <c r="H2038" s="1">
        <v>42827</v>
      </c>
      <c r="I2038" s="1">
        <v>42951</v>
      </c>
      <c r="J2038">
        <v>572</v>
      </c>
    </row>
    <row r="2039" spans="1:10" x14ac:dyDescent="0.3">
      <c r="A2039" t="s">
        <v>2170</v>
      </c>
      <c r="B2039" t="s">
        <v>88</v>
      </c>
      <c r="C2039" t="str">
        <f>_xlfn.XLOOKUP(B2039,
[1]sales_teams!$A$2:$A$100,
[1]sales_teams!$B$2:$B$100)</f>
        <v>Cara Losch</v>
      </c>
      <c r="D2039" t="str">
        <f>_xlfn.XLOOKUP($B2039,sales_teams!$A$2:$A$36,sales_teams!C$2:C$36)</f>
        <v>East</v>
      </c>
      <c r="E2039" t="s">
        <v>39</v>
      </c>
      <c r="F2039" t="s">
        <v>745</v>
      </c>
      <c r="G2039" t="s">
        <v>46</v>
      </c>
      <c r="H2039" s="1">
        <v>42827</v>
      </c>
      <c r="I2039" s="1">
        <v>42832</v>
      </c>
      <c r="J2039">
        <v>0</v>
      </c>
    </row>
    <row r="2040" spans="1:10" x14ac:dyDescent="0.3">
      <c r="A2040" t="s">
        <v>2171</v>
      </c>
      <c r="B2040" t="s">
        <v>88</v>
      </c>
      <c r="C2040" t="str">
        <f>_xlfn.XLOOKUP(B2040,
[1]sales_teams!$A$2:$A$100,
[1]sales_teams!$B$2:$B$100)</f>
        <v>Cara Losch</v>
      </c>
      <c r="D2040" t="str">
        <f>_xlfn.XLOOKUP($B2040,sales_teams!$A$2:$A$36,sales_teams!C$2:C$36)</f>
        <v>East</v>
      </c>
      <c r="E2040" t="s">
        <v>15</v>
      </c>
      <c r="F2040" t="s">
        <v>179</v>
      </c>
      <c r="G2040" t="s">
        <v>12</v>
      </c>
      <c r="H2040" s="1">
        <v>42827</v>
      </c>
      <c r="I2040" s="1">
        <v>42837</v>
      </c>
      <c r="J2040">
        <v>3731</v>
      </c>
    </row>
    <row r="2041" spans="1:10" x14ac:dyDescent="0.3">
      <c r="A2041" t="s">
        <v>2172</v>
      </c>
      <c r="B2041" t="s">
        <v>61</v>
      </c>
      <c r="C2041" t="str">
        <f>_xlfn.XLOOKUP(B2041,
[1]sales_teams!$A$2:$A$100,
[1]sales_teams!$B$2:$B$100)</f>
        <v>Dustin Brinkmann</v>
      </c>
      <c r="D2041" t="str">
        <f>_xlfn.XLOOKUP($B2041,sales_teams!$A$2:$A$36,sales_teams!C$2:C$36)</f>
        <v>Central</v>
      </c>
      <c r="E2041" t="s">
        <v>18</v>
      </c>
      <c r="F2041" t="s">
        <v>113</v>
      </c>
      <c r="G2041" t="s">
        <v>46</v>
      </c>
      <c r="H2041" s="1">
        <v>42827</v>
      </c>
      <c r="I2041" s="1">
        <v>42837</v>
      </c>
      <c r="J2041">
        <v>0</v>
      </c>
    </row>
    <row r="2042" spans="1:10" x14ac:dyDescent="0.3">
      <c r="A2042" t="s">
        <v>2173</v>
      </c>
      <c r="B2042" t="s">
        <v>23</v>
      </c>
      <c r="C2042" t="str">
        <f>_xlfn.XLOOKUP(B2042,
[1]sales_teams!$A$2:$A$100,
[1]sales_teams!$B$2:$B$100)</f>
        <v>Summer Sewald</v>
      </c>
      <c r="D2042" t="str">
        <f>_xlfn.XLOOKUP($B2042,sales_teams!$A$2:$A$36,sales_teams!C$2:C$36)</f>
        <v>West</v>
      </c>
      <c r="E2042" t="s">
        <v>10</v>
      </c>
      <c r="F2042" t="s">
        <v>315</v>
      </c>
      <c r="G2042" t="s">
        <v>12</v>
      </c>
      <c r="H2042" s="1">
        <v>42827</v>
      </c>
      <c r="I2042" s="1">
        <v>42899</v>
      </c>
      <c r="J2042">
        <v>1214</v>
      </c>
    </row>
    <row r="2043" spans="1:10" x14ac:dyDescent="0.3">
      <c r="A2043" t="s">
        <v>2174</v>
      </c>
      <c r="B2043" t="s">
        <v>23</v>
      </c>
      <c r="C2043" t="str">
        <f>_xlfn.XLOOKUP(B2043,
[1]sales_teams!$A$2:$A$100,
[1]sales_teams!$B$2:$B$100)</f>
        <v>Summer Sewald</v>
      </c>
      <c r="D2043" t="str">
        <f>_xlfn.XLOOKUP($B2043,sales_teams!$A$2:$A$36,sales_teams!C$2:C$36)</f>
        <v>West</v>
      </c>
      <c r="E2043" t="s">
        <v>15</v>
      </c>
      <c r="F2043" t="s">
        <v>49</v>
      </c>
      <c r="G2043" t="s">
        <v>12</v>
      </c>
      <c r="H2043" s="1">
        <v>42827</v>
      </c>
      <c r="I2043" s="1">
        <v>42828</v>
      </c>
      <c r="J2043">
        <v>4444</v>
      </c>
    </row>
    <row r="2044" spans="1:10" x14ac:dyDescent="0.3">
      <c r="A2044" t="s">
        <v>2175</v>
      </c>
      <c r="B2044" t="s">
        <v>26</v>
      </c>
      <c r="C2044" t="str">
        <f>_xlfn.XLOOKUP(B2044,
[1]sales_teams!$A$2:$A$100,
[1]sales_teams!$B$2:$B$100)</f>
        <v>Dustin Brinkmann</v>
      </c>
      <c r="D2044" t="str">
        <f>_xlfn.XLOOKUP($B2044,sales_teams!$A$2:$A$36,sales_teams!C$2:C$36)</f>
        <v>Central</v>
      </c>
      <c r="E2044" t="s">
        <v>20</v>
      </c>
      <c r="F2044" t="s">
        <v>151</v>
      </c>
      <c r="G2044" t="s">
        <v>12</v>
      </c>
      <c r="H2044" s="1">
        <v>42828</v>
      </c>
      <c r="I2044" s="1">
        <v>42913</v>
      </c>
      <c r="J2044">
        <v>524</v>
      </c>
    </row>
    <row r="2045" spans="1:10" x14ac:dyDescent="0.3">
      <c r="A2045" t="s">
        <v>2176</v>
      </c>
      <c r="B2045" t="s">
        <v>118</v>
      </c>
      <c r="C2045" t="str">
        <f>_xlfn.XLOOKUP(B2045,
[1]sales_teams!$A$2:$A$100,
[1]sales_teams!$B$2:$B$100)</f>
        <v>Rocco Neubert</v>
      </c>
      <c r="D2045" t="str">
        <f>_xlfn.XLOOKUP($B2045,sales_teams!$A$2:$A$36,sales_teams!C$2:C$36)</f>
        <v>East</v>
      </c>
      <c r="E2045" t="s">
        <v>10</v>
      </c>
      <c r="G2045" t="s">
        <v>40</v>
      </c>
      <c r="H2045" s="1">
        <v>42828</v>
      </c>
    </row>
    <row r="2046" spans="1:10" x14ac:dyDescent="0.3">
      <c r="A2046" t="s">
        <v>2177</v>
      </c>
      <c r="B2046" t="s">
        <v>118</v>
      </c>
      <c r="C2046" t="str">
        <f>_xlfn.XLOOKUP(B2046,
[1]sales_teams!$A$2:$A$100,
[1]sales_teams!$B$2:$B$100)</f>
        <v>Rocco Neubert</v>
      </c>
      <c r="D2046" t="str">
        <f>_xlfn.XLOOKUP($B2046,sales_teams!$A$2:$A$36,sales_teams!C$2:C$36)</f>
        <v>East</v>
      </c>
      <c r="E2046" t="s">
        <v>48</v>
      </c>
      <c r="G2046" t="s">
        <v>40</v>
      </c>
      <c r="H2046" s="1">
        <v>42828</v>
      </c>
    </row>
    <row r="2047" spans="1:10" x14ac:dyDescent="0.3">
      <c r="A2047" t="s">
        <v>2178</v>
      </c>
      <c r="B2047" t="s">
        <v>118</v>
      </c>
      <c r="C2047" t="str">
        <f>_xlfn.XLOOKUP(B2047,
[1]sales_teams!$A$2:$A$100,
[1]sales_teams!$B$2:$B$100)</f>
        <v>Rocco Neubert</v>
      </c>
      <c r="D2047" t="str">
        <f>_xlfn.XLOOKUP($B2047,sales_teams!$A$2:$A$36,sales_teams!C$2:C$36)</f>
        <v>East</v>
      </c>
      <c r="E2047" t="s">
        <v>10</v>
      </c>
      <c r="F2047" t="s">
        <v>192</v>
      </c>
      <c r="G2047" t="s">
        <v>12</v>
      </c>
      <c r="H2047" s="1">
        <v>42828</v>
      </c>
      <c r="I2047" s="1">
        <v>42875</v>
      </c>
      <c r="J2047">
        <v>997</v>
      </c>
    </row>
    <row r="2048" spans="1:10" x14ac:dyDescent="0.3">
      <c r="A2048" t="s">
        <v>2179</v>
      </c>
      <c r="B2048" t="s">
        <v>164</v>
      </c>
      <c r="C2048" t="str">
        <f>_xlfn.XLOOKUP(B2048,
[1]sales_teams!$A$2:$A$100,
[1]sales_teams!$B$2:$B$100)</f>
        <v>Cara Losch</v>
      </c>
      <c r="D2048" t="str">
        <f>_xlfn.XLOOKUP($B2048,sales_teams!$A$2:$A$36,sales_teams!C$2:C$36)</f>
        <v>East</v>
      </c>
      <c r="E2048" t="s">
        <v>39</v>
      </c>
      <c r="F2048" t="s">
        <v>204</v>
      </c>
      <c r="G2048" t="s">
        <v>12</v>
      </c>
      <c r="H2048" s="1">
        <v>42828</v>
      </c>
      <c r="I2048" s="1">
        <v>42835</v>
      </c>
      <c r="J2048">
        <v>2794</v>
      </c>
    </row>
    <row r="2049" spans="1:10" x14ac:dyDescent="0.3">
      <c r="A2049" t="s">
        <v>2180</v>
      </c>
      <c r="B2049" t="s">
        <v>14</v>
      </c>
      <c r="C2049" t="str">
        <f>_xlfn.XLOOKUP(B2049,
[1]sales_teams!$A$2:$A$100,
[1]sales_teams!$B$2:$B$100)</f>
        <v>Melvin Marxen</v>
      </c>
      <c r="D2049" t="str">
        <f>_xlfn.XLOOKUP($B2049,sales_teams!$A$2:$A$36,sales_teams!C$2:C$36)</f>
        <v>Central</v>
      </c>
      <c r="E2049" t="s">
        <v>18</v>
      </c>
      <c r="F2049" t="s">
        <v>151</v>
      </c>
      <c r="G2049" t="s">
        <v>12</v>
      </c>
      <c r="H2049" s="1">
        <v>42828</v>
      </c>
      <c r="I2049" s="1">
        <v>42834</v>
      </c>
      <c r="J2049">
        <v>53</v>
      </c>
    </row>
    <row r="2050" spans="1:10" x14ac:dyDescent="0.3">
      <c r="A2050" t="s">
        <v>2181</v>
      </c>
      <c r="B2050" t="s">
        <v>14</v>
      </c>
      <c r="C2050" t="str">
        <f>_xlfn.XLOOKUP(B2050,
[1]sales_teams!$A$2:$A$100,
[1]sales_teams!$B$2:$B$100)</f>
        <v>Melvin Marxen</v>
      </c>
      <c r="D2050" t="str">
        <f>_xlfn.XLOOKUP($B2050,sales_teams!$A$2:$A$36,sales_teams!C$2:C$36)</f>
        <v>Central</v>
      </c>
      <c r="E2050" t="s">
        <v>39</v>
      </c>
      <c r="F2050" t="s">
        <v>213</v>
      </c>
      <c r="G2050" t="s">
        <v>12</v>
      </c>
      <c r="H2050" s="1">
        <v>42828</v>
      </c>
      <c r="I2050" s="1">
        <v>42838</v>
      </c>
      <c r="J2050">
        <v>3141</v>
      </c>
    </row>
    <row r="2051" spans="1:10" x14ac:dyDescent="0.3">
      <c r="A2051" t="s">
        <v>2182</v>
      </c>
      <c r="B2051" t="s">
        <v>142</v>
      </c>
      <c r="C2051" t="str">
        <f>_xlfn.XLOOKUP(B2051,
[1]sales_teams!$A$2:$A$100,
[1]sales_teams!$B$2:$B$100)</f>
        <v>Rocco Neubert</v>
      </c>
      <c r="D2051" t="str">
        <f>_xlfn.XLOOKUP($B2051,sales_teams!$A$2:$A$36,sales_teams!C$2:C$36)</f>
        <v>East</v>
      </c>
      <c r="E2051" t="s">
        <v>18</v>
      </c>
      <c r="F2051" t="s">
        <v>143</v>
      </c>
      <c r="G2051" t="s">
        <v>46</v>
      </c>
      <c r="H2051" s="1">
        <v>42828</v>
      </c>
      <c r="I2051" s="1">
        <v>42840</v>
      </c>
      <c r="J2051">
        <v>0</v>
      </c>
    </row>
    <row r="2052" spans="1:10" x14ac:dyDescent="0.3">
      <c r="A2052" t="s">
        <v>2183</v>
      </c>
      <c r="B2052" t="s">
        <v>142</v>
      </c>
      <c r="C2052" t="str">
        <f>_xlfn.XLOOKUP(B2052,
[1]sales_teams!$A$2:$A$100,
[1]sales_teams!$B$2:$B$100)</f>
        <v>Rocco Neubert</v>
      </c>
      <c r="D2052" t="str">
        <f>_xlfn.XLOOKUP($B2052,sales_teams!$A$2:$A$36,sales_teams!C$2:C$36)</f>
        <v>East</v>
      </c>
      <c r="E2052" t="s">
        <v>10</v>
      </c>
      <c r="F2052" t="s">
        <v>165</v>
      </c>
      <c r="G2052" t="s">
        <v>12</v>
      </c>
      <c r="H2052" s="1">
        <v>42828</v>
      </c>
      <c r="I2052" s="1">
        <v>42912</v>
      </c>
      <c r="J2052">
        <v>1109</v>
      </c>
    </row>
    <row r="2053" spans="1:10" x14ac:dyDescent="0.3">
      <c r="A2053" t="s">
        <v>2184</v>
      </c>
      <c r="B2053" t="s">
        <v>142</v>
      </c>
      <c r="C2053" t="str">
        <f>_xlfn.XLOOKUP(B2053,
[1]sales_teams!$A$2:$A$100,
[1]sales_teams!$B$2:$B$100)</f>
        <v>Rocco Neubert</v>
      </c>
      <c r="D2053" t="str">
        <f>_xlfn.XLOOKUP($B2053,sales_teams!$A$2:$A$36,sales_teams!C$2:C$36)</f>
        <v>East</v>
      </c>
      <c r="E2053" t="s">
        <v>48</v>
      </c>
      <c r="F2053" t="s">
        <v>518</v>
      </c>
      <c r="G2053" t="s">
        <v>12</v>
      </c>
      <c r="H2053" s="1">
        <v>42828</v>
      </c>
      <c r="I2053" s="1">
        <v>42839</v>
      </c>
      <c r="J2053">
        <v>5691</v>
      </c>
    </row>
    <row r="2054" spans="1:10" x14ac:dyDescent="0.3">
      <c r="A2054" t="s">
        <v>2185</v>
      </c>
      <c r="B2054" t="s">
        <v>67</v>
      </c>
      <c r="C2054" t="str">
        <f>_xlfn.XLOOKUP(B2054,
[1]sales_teams!$A$2:$A$100,
[1]sales_teams!$B$2:$B$100)</f>
        <v>Celia Rouche</v>
      </c>
      <c r="D2054" t="str">
        <f>_xlfn.XLOOKUP($B2054,sales_teams!$A$2:$A$36,sales_teams!C$2:C$36)</f>
        <v>West</v>
      </c>
      <c r="E2054" t="s">
        <v>15</v>
      </c>
      <c r="G2054" t="s">
        <v>40</v>
      </c>
      <c r="H2054" s="1">
        <v>42828</v>
      </c>
    </row>
    <row r="2055" spans="1:10" x14ac:dyDescent="0.3">
      <c r="A2055" t="s">
        <v>2186</v>
      </c>
      <c r="B2055" t="s">
        <v>67</v>
      </c>
      <c r="C2055" t="str">
        <f>_xlfn.XLOOKUP(B2055,
[1]sales_teams!$A$2:$A$100,
[1]sales_teams!$B$2:$B$100)</f>
        <v>Celia Rouche</v>
      </c>
      <c r="D2055" t="str">
        <f>_xlfn.XLOOKUP($B2055,sales_teams!$A$2:$A$36,sales_teams!C$2:C$36)</f>
        <v>West</v>
      </c>
      <c r="E2055" t="s">
        <v>18</v>
      </c>
      <c r="F2055" t="s">
        <v>157</v>
      </c>
      <c r="G2055" t="s">
        <v>12</v>
      </c>
      <c r="H2055" s="1">
        <v>42828</v>
      </c>
      <c r="I2055" s="1">
        <v>42832</v>
      </c>
      <c r="J2055">
        <v>52</v>
      </c>
    </row>
    <row r="2056" spans="1:10" x14ac:dyDescent="0.3">
      <c r="A2056" t="s">
        <v>2187</v>
      </c>
      <c r="B2056" t="s">
        <v>44</v>
      </c>
      <c r="C2056" t="str">
        <f>_xlfn.XLOOKUP(B2056,
[1]sales_teams!$A$2:$A$100,
[1]sales_teams!$B$2:$B$100)</f>
        <v>Melvin Marxen</v>
      </c>
      <c r="D2056" t="str">
        <f>_xlfn.XLOOKUP($B2056,sales_teams!$A$2:$A$36,sales_teams!C$2:C$36)</f>
        <v>Central</v>
      </c>
      <c r="E2056" t="s">
        <v>18</v>
      </c>
      <c r="F2056" t="s">
        <v>315</v>
      </c>
      <c r="G2056" t="s">
        <v>46</v>
      </c>
      <c r="H2056" s="1">
        <v>42828</v>
      </c>
      <c r="I2056" s="1">
        <v>42835</v>
      </c>
      <c r="J2056">
        <v>0</v>
      </c>
    </row>
    <row r="2057" spans="1:10" x14ac:dyDescent="0.3">
      <c r="A2057" t="s">
        <v>2188</v>
      </c>
      <c r="B2057" t="s">
        <v>44</v>
      </c>
      <c r="C2057" t="str">
        <f>_xlfn.XLOOKUP(B2057,
[1]sales_teams!$A$2:$A$100,
[1]sales_teams!$B$2:$B$100)</f>
        <v>Melvin Marxen</v>
      </c>
      <c r="D2057" t="str">
        <f>_xlfn.XLOOKUP($B2057,sales_teams!$A$2:$A$36,sales_teams!C$2:C$36)</f>
        <v>Central</v>
      </c>
      <c r="E2057" t="s">
        <v>20</v>
      </c>
      <c r="F2057" t="s">
        <v>303</v>
      </c>
      <c r="G2057" t="s">
        <v>12</v>
      </c>
      <c r="H2057" s="1">
        <v>42828</v>
      </c>
      <c r="I2057" s="1">
        <v>42830</v>
      </c>
      <c r="J2057">
        <v>532</v>
      </c>
    </row>
    <row r="2058" spans="1:10" x14ac:dyDescent="0.3">
      <c r="A2058" t="s">
        <v>2189</v>
      </c>
      <c r="B2058" t="s">
        <v>44</v>
      </c>
      <c r="C2058" t="str">
        <f>_xlfn.XLOOKUP(B2058,
[1]sales_teams!$A$2:$A$100,
[1]sales_teams!$B$2:$B$100)</f>
        <v>Melvin Marxen</v>
      </c>
      <c r="D2058" t="str">
        <f>_xlfn.XLOOKUP($B2058,sales_teams!$A$2:$A$36,sales_teams!C$2:C$36)</f>
        <v>Central</v>
      </c>
      <c r="E2058" t="s">
        <v>15</v>
      </c>
      <c r="F2058" t="s">
        <v>16</v>
      </c>
      <c r="G2058" t="s">
        <v>12</v>
      </c>
      <c r="H2058" s="1">
        <v>42828</v>
      </c>
      <c r="I2058" s="1">
        <v>42829</v>
      </c>
      <c r="J2058">
        <v>5615</v>
      </c>
    </row>
    <row r="2059" spans="1:10" x14ac:dyDescent="0.3">
      <c r="A2059" t="s">
        <v>2190</v>
      </c>
      <c r="B2059" t="s">
        <v>54</v>
      </c>
      <c r="C2059" t="str">
        <f>_xlfn.XLOOKUP(B2059,
[1]sales_teams!$A$2:$A$100,
[1]sales_teams!$B$2:$B$100)</f>
        <v>Celia Rouche</v>
      </c>
      <c r="D2059" t="str">
        <f>_xlfn.XLOOKUP($B2059,sales_teams!$A$2:$A$36,sales_teams!C$2:C$36)</f>
        <v>West</v>
      </c>
      <c r="E2059" t="s">
        <v>10</v>
      </c>
      <c r="G2059" t="s">
        <v>40</v>
      </c>
      <c r="H2059" s="1">
        <v>42828</v>
      </c>
    </row>
    <row r="2060" spans="1:10" x14ac:dyDescent="0.3">
      <c r="A2060" t="s">
        <v>2191</v>
      </c>
      <c r="B2060" t="s">
        <v>38</v>
      </c>
      <c r="C2060" t="str">
        <f>_xlfn.XLOOKUP(B2060,
[1]sales_teams!$A$2:$A$100,
[1]sales_teams!$B$2:$B$100)</f>
        <v>Summer Sewald</v>
      </c>
      <c r="D2060" t="str">
        <f>_xlfn.XLOOKUP($B2060,sales_teams!$A$2:$A$36,sales_teams!C$2:C$36)</f>
        <v>West</v>
      </c>
      <c r="E2060" t="s">
        <v>20</v>
      </c>
      <c r="F2060" t="s">
        <v>148</v>
      </c>
      <c r="G2060" t="s">
        <v>46</v>
      </c>
      <c r="H2060" s="1">
        <v>42828</v>
      </c>
      <c r="I2060" s="1">
        <v>42829</v>
      </c>
      <c r="J2060">
        <v>0</v>
      </c>
    </row>
    <row r="2061" spans="1:10" x14ac:dyDescent="0.3">
      <c r="A2061" t="s">
        <v>2192</v>
      </c>
      <c r="B2061" t="s">
        <v>78</v>
      </c>
      <c r="C2061" t="str">
        <f>_xlfn.XLOOKUP(B2061,
[1]sales_teams!$A$2:$A$100,
[1]sales_teams!$B$2:$B$100)</f>
        <v>Summer Sewald</v>
      </c>
      <c r="D2061" t="str">
        <f>_xlfn.XLOOKUP($B2061,sales_teams!$A$2:$A$36,sales_teams!C$2:C$36)</f>
        <v>West</v>
      </c>
      <c r="E2061" t="s">
        <v>15</v>
      </c>
      <c r="F2061" t="s">
        <v>194</v>
      </c>
      <c r="G2061" t="s">
        <v>46</v>
      </c>
      <c r="H2061" s="1">
        <v>42828</v>
      </c>
      <c r="I2061" s="1">
        <v>42881</v>
      </c>
      <c r="J2061">
        <v>0</v>
      </c>
    </row>
    <row r="2062" spans="1:10" x14ac:dyDescent="0.3">
      <c r="A2062" t="s">
        <v>2193</v>
      </c>
      <c r="B2062" t="s">
        <v>78</v>
      </c>
      <c r="C2062" t="str">
        <f>_xlfn.XLOOKUP(B2062,
[1]sales_teams!$A$2:$A$100,
[1]sales_teams!$B$2:$B$100)</f>
        <v>Summer Sewald</v>
      </c>
      <c r="D2062" t="str">
        <f>_xlfn.XLOOKUP($B2062,sales_teams!$A$2:$A$36,sales_teams!C$2:C$36)</f>
        <v>West</v>
      </c>
      <c r="E2062" t="s">
        <v>20</v>
      </c>
      <c r="F2062" t="s">
        <v>30</v>
      </c>
      <c r="G2062" t="s">
        <v>12</v>
      </c>
      <c r="H2062" s="1">
        <v>42828</v>
      </c>
      <c r="I2062" s="1">
        <v>42837</v>
      </c>
      <c r="J2062">
        <v>565</v>
      </c>
    </row>
    <row r="2063" spans="1:10" x14ac:dyDescent="0.3">
      <c r="A2063" t="s">
        <v>2194</v>
      </c>
      <c r="B2063" t="s">
        <v>133</v>
      </c>
      <c r="C2063" t="str">
        <f>_xlfn.XLOOKUP(B2063,
[1]sales_teams!$A$2:$A$100,
[1]sales_teams!$B$2:$B$100)</f>
        <v>Dustin Brinkmann</v>
      </c>
      <c r="D2063" t="str">
        <f>_xlfn.XLOOKUP($B2063,sales_teams!$A$2:$A$36,sales_teams!C$2:C$36)</f>
        <v>Central</v>
      </c>
      <c r="E2063" t="s">
        <v>20</v>
      </c>
      <c r="F2063" t="s">
        <v>27</v>
      </c>
      <c r="G2063" t="s">
        <v>46</v>
      </c>
      <c r="H2063" s="1">
        <v>42828</v>
      </c>
      <c r="I2063" s="1">
        <v>42836</v>
      </c>
      <c r="J2063">
        <v>0</v>
      </c>
    </row>
    <row r="2064" spans="1:10" x14ac:dyDescent="0.3">
      <c r="A2064" t="s">
        <v>2195</v>
      </c>
      <c r="B2064" t="s">
        <v>32</v>
      </c>
      <c r="C2064" t="str">
        <f>_xlfn.XLOOKUP(B2064,
[1]sales_teams!$A$2:$A$100,
[1]sales_teams!$B$2:$B$100)</f>
        <v>Celia Rouche</v>
      </c>
      <c r="D2064" t="str">
        <f>_xlfn.XLOOKUP($B2064,sales_teams!$A$2:$A$36,sales_teams!C$2:C$36)</f>
        <v>West</v>
      </c>
      <c r="E2064" t="s">
        <v>20</v>
      </c>
      <c r="F2064" t="s">
        <v>100</v>
      </c>
      <c r="G2064" t="s">
        <v>40</v>
      </c>
      <c r="H2064" s="1">
        <v>42828</v>
      </c>
    </row>
    <row r="2065" spans="1:10" x14ac:dyDescent="0.3">
      <c r="A2065" t="s">
        <v>2196</v>
      </c>
      <c r="B2065" t="s">
        <v>32</v>
      </c>
      <c r="C2065" t="str">
        <f>_xlfn.XLOOKUP(B2065,
[1]sales_teams!$A$2:$A$100,
[1]sales_teams!$B$2:$B$100)</f>
        <v>Celia Rouche</v>
      </c>
      <c r="D2065" t="str">
        <f>_xlfn.XLOOKUP($B2065,sales_teams!$A$2:$A$36,sales_teams!C$2:C$36)</f>
        <v>West</v>
      </c>
      <c r="E2065" t="s">
        <v>20</v>
      </c>
      <c r="F2065" t="s">
        <v>518</v>
      </c>
      <c r="G2065" t="s">
        <v>40</v>
      </c>
      <c r="H2065" s="1">
        <v>42828</v>
      </c>
    </row>
    <row r="2066" spans="1:10" x14ac:dyDescent="0.3">
      <c r="A2066" t="s">
        <v>2197</v>
      </c>
      <c r="B2066" t="s">
        <v>97</v>
      </c>
      <c r="C2066" t="str">
        <f>_xlfn.XLOOKUP(B2066,
[1]sales_teams!$A$2:$A$100,
[1]sales_teams!$B$2:$B$100)</f>
        <v>Rocco Neubert</v>
      </c>
      <c r="D2066" t="str">
        <f>_xlfn.XLOOKUP($B2066,sales_teams!$A$2:$A$36,sales_teams!C$2:C$36)</f>
        <v>East</v>
      </c>
      <c r="E2066" t="s">
        <v>15</v>
      </c>
      <c r="F2066" t="s">
        <v>237</v>
      </c>
      <c r="G2066" t="s">
        <v>46</v>
      </c>
      <c r="H2066" s="1">
        <v>42828</v>
      </c>
      <c r="I2066" s="1">
        <v>42830</v>
      </c>
      <c r="J2066">
        <v>0</v>
      </c>
    </row>
    <row r="2067" spans="1:10" x14ac:dyDescent="0.3">
      <c r="A2067" t="s">
        <v>2198</v>
      </c>
      <c r="B2067" t="s">
        <v>97</v>
      </c>
      <c r="C2067" t="str">
        <f>_xlfn.XLOOKUP(B2067,
[1]sales_teams!$A$2:$A$100,
[1]sales_teams!$B$2:$B$100)</f>
        <v>Rocco Neubert</v>
      </c>
      <c r="D2067" t="str">
        <f>_xlfn.XLOOKUP($B2067,sales_teams!$A$2:$A$36,sales_teams!C$2:C$36)</f>
        <v>East</v>
      </c>
      <c r="E2067" t="s">
        <v>15</v>
      </c>
      <c r="F2067" t="s">
        <v>278</v>
      </c>
      <c r="G2067" t="s">
        <v>12</v>
      </c>
      <c r="H2067" s="1">
        <v>42828</v>
      </c>
      <c r="I2067" s="1">
        <v>42839</v>
      </c>
      <c r="J2067">
        <v>3991</v>
      </c>
    </row>
    <row r="2068" spans="1:10" x14ac:dyDescent="0.3">
      <c r="A2068" t="s">
        <v>2199</v>
      </c>
      <c r="B2068" t="s">
        <v>88</v>
      </c>
      <c r="C2068" t="str">
        <f>_xlfn.XLOOKUP(B2068,
[1]sales_teams!$A$2:$A$100,
[1]sales_teams!$B$2:$B$100)</f>
        <v>Cara Losch</v>
      </c>
      <c r="D2068" t="str">
        <f>_xlfn.XLOOKUP($B2068,sales_teams!$A$2:$A$36,sales_teams!C$2:C$36)</f>
        <v>East</v>
      </c>
      <c r="E2068" t="s">
        <v>15</v>
      </c>
      <c r="F2068" t="s">
        <v>179</v>
      </c>
      <c r="G2068" t="s">
        <v>12</v>
      </c>
      <c r="H2068" s="1">
        <v>42828</v>
      </c>
      <c r="I2068" s="1">
        <v>42875</v>
      </c>
      <c r="J2068">
        <v>5763</v>
      </c>
    </row>
    <row r="2069" spans="1:10" x14ac:dyDescent="0.3">
      <c r="A2069" t="s">
        <v>2200</v>
      </c>
      <c r="B2069" t="s">
        <v>61</v>
      </c>
      <c r="C2069" t="str">
        <f>_xlfn.XLOOKUP(B2069,
[1]sales_teams!$A$2:$A$100,
[1]sales_teams!$B$2:$B$100)</f>
        <v>Dustin Brinkmann</v>
      </c>
      <c r="D2069" t="str">
        <f>_xlfn.XLOOKUP($B2069,sales_teams!$A$2:$A$36,sales_teams!C$2:C$36)</f>
        <v>Central</v>
      </c>
      <c r="E2069" t="s">
        <v>18</v>
      </c>
      <c r="F2069" t="s">
        <v>120</v>
      </c>
      <c r="G2069" t="s">
        <v>46</v>
      </c>
      <c r="H2069" s="1">
        <v>42828</v>
      </c>
      <c r="I2069" s="1">
        <v>42839</v>
      </c>
      <c r="J2069">
        <v>0</v>
      </c>
    </row>
    <row r="2070" spans="1:10" x14ac:dyDescent="0.3">
      <c r="A2070" t="s">
        <v>2201</v>
      </c>
      <c r="B2070" t="s">
        <v>29</v>
      </c>
      <c r="C2070" t="str">
        <f>_xlfn.XLOOKUP(B2070,
[1]sales_teams!$A$2:$A$100,
[1]sales_teams!$B$2:$B$100)</f>
        <v>Celia Rouche</v>
      </c>
      <c r="D2070" t="str">
        <f>_xlfn.XLOOKUP($B2070,sales_teams!$A$2:$A$36,sales_teams!C$2:C$36)</f>
        <v>West</v>
      </c>
      <c r="E2070" t="s">
        <v>18</v>
      </c>
      <c r="G2070" t="s">
        <v>40</v>
      </c>
      <c r="H2070" s="1">
        <v>42828</v>
      </c>
    </row>
    <row r="2071" spans="1:10" x14ac:dyDescent="0.3">
      <c r="A2071" t="s">
        <v>2202</v>
      </c>
      <c r="B2071" t="s">
        <v>29</v>
      </c>
      <c r="C2071" t="str">
        <f>_xlfn.XLOOKUP(B2071,
[1]sales_teams!$A$2:$A$100,
[1]sales_teams!$B$2:$B$100)</f>
        <v>Celia Rouche</v>
      </c>
      <c r="D2071" t="str">
        <f>_xlfn.XLOOKUP($B2071,sales_teams!$A$2:$A$36,sales_teams!C$2:C$36)</f>
        <v>West</v>
      </c>
      <c r="E2071" t="s">
        <v>39</v>
      </c>
      <c r="F2071" t="s">
        <v>33</v>
      </c>
      <c r="G2071" t="s">
        <v>46</v>
      </c>
      <c r="H2071" s="1">
        <v>42828</v>
      </c>
      <c r="I2071" s="1">
        <v>42836</v>
      </c>
      <c r="J2071">
        <v>0</v>
      </c>
    </row>
    <row r="2072" spans="1:10" x14ac:dyDescent="0.3">
      <c r="A2072" t="s">
        <v>2203</v>
      </c>
      <c r="B2072" t="s">
        <v>29</v>
      </c>
      <c r="C2072" t="str">
        <f>_xlfn.XLOOKUP(B2072,
[1]sales_teams!$A$2:$A$100,
[1]sales_teams!$B$2:$B$100)</f>
        <v>Celia Rouche</v>
      </c>
      <c r="D2072" t="str">
        <f>_xlfn.XLOOKUP($B2072,sales_teams!$A$2:$A$36,sales_teams!C$2:C$36)</f>
        <v>West</v>
      </c>
      <c r="E2072" t="s">
        <v>20</v>
      </c>
      <c r="F2072" t="s">
        <v>30</v>
      </c>
      <c r="G2072" t="s">
        <v>12</v>
      </c>
      <c r="H2072" s="1">
        <v>42828</v>
      </c>
      <c r="I2072" s="1">
        <v>42840</v>
      </c>
      <c r="J2072">
        <v>456</v>
      </c>
    </row>
    <row r="2073" spans="1:10" x14ac:dyDescent="0.3">
      <c r="A2073" t="s">
        <v>2204</v>
      </c>
      <c r="B2073" t="s">
        <v>102</v>
      </c>
      <c r="C2073" t="str">
        <f>_xlfn.XLOOKUP(B2073,
[1]sales_teams!$A$2:$A$100,
[1]sales_teams!$B$2:$B$100)</f>
        <v>Cara Losch</v>
      </c>
      <c r="D2073" t="str">
        <f>_xlfn.XLOOKUP($B2073,sales_teams!$A$2:$A$36,sales_teams!C$2:C$36)</f>
        <v>East</v>
      </c>
      <c r="E2073" t="s">
        <v>18</v>
      </c>
      <c r="G2073" t="s">
        <v>40</v>
      </c>
      <c r="H2073" s="1">
        <v>42828</v>
      </c>
    </row>
    <row r="2074" spans="1:10" x14ac:dyDescent="0.3">
      <c r="A2074" t="s">
        <v>2205</v>
      </c>
      <c r="B2074" t="s">
        <v>102</v>
      </c>
      <c r="C2074" t="str">
        <f>_xlfn.XLOOKUP(B2074,
[1]sales_teams!$A$2:$A$100,
[1]sales_teams!$B$2:$B$100)</f>
        <v>Cara Losch</v>
      </c>
      <c r="D2074" t="str">
        <f>_xlfn.XLOOKUP($B2074,sales_teams!$A$2:$A$36,sales_teams!C$2:C$36)</f>
        <v>East</v>
      </c>
      <c r="E2074" t="s">
        <v>18</v>
      </c>
      <c r="F2074" t="s">
        <v>745</v>
      </c>
      <c r="G2074" t="s">
        <v>46</v>
      </c>
      <c r="H2074" s="1">
        <v>42828</v>
      </c>
      <c r="I2074" s="1">
        <v>42830</v>
      </c>
      <c r="J2074">
        <v>0</v>
      </c>
    </row>
    <row r="2075" spans="1:10" x14ac:dyDescent="0.3">
      <c r="A2075" t="s">
        <v>2206</v>
      </c>
      <c r="B2075" t="s">
        <v>26</v>
      </c>
      <c r="C2075" t="str">
        <f>_xlfn.XLOOKUP(B2075,
[1]sales_teams!$A$2:$A$100,
[1]sales_teams!$B$2:$B$100)</f>
        <v>Dustin Brinkmann</v>
      </c>
      <c r="D2075" t="str">
        <f>_xlfn.XLOOKUP($B2075,sales_teams!$A$2:$A$36,sales_teams!C$2:C$36)</f>
        <v>Central</v>
      </c>
      <c r="E2075" t="s">
        <v>20</v>
      </c>
      <c r="F2075" t="s">
        <v>207</v>
      </c>
      <c r="G2075" t="s">
        <v>12</v>
      </c>
      <c r="H2075" s="1">
        <v>42829</v>
      </c>
      <c r="I2075" s="1">
        <v>42836</v>
      </c>
      <c r="J2075">
        <v>582</v>
      </c>
    </row>
    <row r="2076" spans="1:10" x14ac:dyDescent="0.3">
      <c r="A2076" t="s">
        <v>2207</v>
      </c>
      <c r="B2076" t="s">
        <v>26</v>
      </c>
      <c r="C2076" t="str">
        <f>_xlfn.XLOOKUP(B2076,
[1]sales_teams!$A$2:$A$100,
[1]sales_teams!$B$2:$B$100)</f>
        <v>Dustin Brinkmann</v>
      </c>
      <c r="D2076" t="str">
        <f>_xlfn.XLOOKUP($B2076,sales_teams!$A$2:$A$36,sales_teams!C$2:C$36)</f>
        <v>Central</v>
      </c>
      <c r="E2076" t="s">
        <v>18</v>
      </c>
      <c r="F2076" t="s">
        <v>207</v>
      </c>
      <c r="G2076" t="s">
        <v>12</v>
      </c>
      <c r="H2076" s="1">
        <v>42829</v>
      </c>
      <c r="I2076" s="1">
        <v>42837</v>
      </c>
      <c r="J2076">
        <v>59</v>
      </c>
    </row>
    <row r="2077" spans="1:10" x14ac:dyDescent="0.3">
      <c r="A2077" t="s">
        <v>2208</v>
      </c>
      <c r="B2077" t="s">
        <v>139</v>
      </c>
      <c r="C2077" t="str">
        <f>_xlfn.XLOOKUP(B2077,
[1]sales_teams!$A$2:$A$100,
[1]sales_teams!$B$2:$B$100)</f>
        <v>Rocco Neubert</v>
      </c>
      <c r="D2077" t="str">
        <f>_xlfn.XLOOKUP($B2077,sales_teams!$A$2:$A$36,sales_teams!C$2:C$36)</f>
        <v>East</v>
      </c>
      <c r="E2077" t="s">
        <v>39</v>
      </c>
      <c r="F2077" t="s">
        <v>209</v>
      </c>
      <c r="G2077" t="s">
        <v>12</v>
      </c>
      <c r="H2077" s="1">
        <v>42829</v>
      </c>
      <c r="I2077" s="1">
        <v>42834</v>
      </c>
      <c r="J2077">
        <v>3259</v>
      </c>
    </row>
    <row r="2078" spans="1:10" x14ac:dyDescent="0.3">
      <c r="A2078" t="s">
        <v>2209</v>
      </c>
      <c r="B2078" t="s">
        <v>164</v>
      </c>
      <c r="C2078" t="str">
        <f>_xlfn.XLOOKUP(B2078,
[1]sales_teams!$A$2:$A$100,
[1]sales_teams!$B$2:$B$100)</f>
        <v>Cara Losch</v>
      </c>
      <c r="D2078" t="str">
        <f>_xlfn.XLOOKUP($B2078,sales_teams!$A$2:$A$36,sales_teams!C$2:C$36)</f>
        <v>East</v>
      </c>
      <c r="E2078" t="s">
        <v>48</v>
      </c>
      <c r="G2078" t="s">
        <v>40</v>
      </c>
      <c r="H2078" s="1">
        <v>42829</v>
      </c>
    </row>
    <row r="2079" spans="1:10" x14ac:dyDescent="0.3">
      <c r="A2079" t="s">
        <v>2210</v>
      </c>
      <c r="B2079" t="s">
        <v>164</v>
      </c>
      <c r="C2079" t="str">
        <f>_xlfn.XLOOKUP(B2079,
[1]sales_teams!$A$2:$A$100,
[1]sales_teams!$B$2:$B$100)</f>
        <v>Cara Losch</v>
      </c>
      <c r="D2079" t="str">
        <f>_xlfn.XLOOKUP($B2079,sales_teams!$A$2:$A$36,sales_teams!C$2:C$36)</f>
        <v>East</v>
      </c>
      <c r="E2079" t="s">
        <v>20</v>
      </c>
      <c r="F2079" t="s">
        <v>81</v>
      </c>
      <c r="G2079" t="s">
        <v>46</v>
      </c>
      <c r="H2079" s="1">
        <v>42829</v>
      </c>
      <c r="I2079" s="1">
        <v>42865</v>
      </c>
      <c r="J2079">
        <v>0</v>
      </c>
    </row>
    <row r="2080" spans="1:10" x14ac:dyDescent="0.3">
      <c r="A2080" t="s">
        <v>2211</v>
      </c>
      <c r="B2080" t="s">
        <v>164</v>
      </c>
      <c r="C2080" t="str">
        <f>_xlfn.XLOOKUP(B2080,
[1]sales_teams!$A$2:$A$100,
[1]sales_teams!$B$2:$B$100)</f>
        <v>Cara Losch</v>
      </c>
      <c r="D2080" t="str">
        <f>_xlfn.XLOOKUP($B2080,sales_teams!$A$2:$A$36,sales_teams!C$2:C$36)</f>
        <v>East</v>
      </c>
      <c r="E2080" t="s">
        <v>10</v>
      </c>
      <c r="F2080" t="s">
        <v>155</v>
      </c>
      <c r="G2080" t="s">
        <v>46</v>
      </c>
      <c r="H2080" s="1">
        <v>42829</v>
      </c>
      <c r="I2080" s="1">
        <v>42836</v>
      </c>
      <c r="J2080">
        <v>0</v>
      </c>
    </row>
    <row r="2081" spans="1:10" x14ac:dyDescent="0.3">
      <c r="A2081" t="s">
        <v>2212</v>
      </c>
      <c r="B2081" t="s">
        <v>164</v>
      </c>
      <c r="C2081" t="str">
        <f>_xlfn.XLOOKUP(B2081,
[1]sales_teams!$A$2:$A$100,
[1]sales_teams!$B$2:$B$100)</f>
        <v>Cara Losch</v>
      </c>
      <c r="D2081" t="str">
        <f>_xlfn.XLOOKUP($B2081,sales_teams!$A$2:$A$36,sales_teams!C$2:C$36)</f>
        <v>East</v>
      </c>
      <c r="E2081" t="s">
        <v>20</v>
      </c>
      <c r="F2081" t="s">
        <v>74</v>
      </c>
      <c r="G2081" t="s">
        <v>12</v>
      </c>
      <c r="H2081" s="1">
        <v>42829</v>
      </c>
      <c r="I2081" s="1">
        <v>42836</v>
      </c>
      <c r="J2081">
        <v>593</v>
      </c>
    </row>
    <row r="2082" spans="1:10" x14ac:dyDescent="0.3">
      <c r="A2082" t="s">
        <v>2213</v>
      </c>
      <c r="B2082" t="s">
        <v>164</v>
      </c>
      <c r="C2082" t="str">
        <f>_xlfn.XLOOKUP(B2082,
[1]sales_teams!$A$2:$A$100,
[1]sales_teams!$B$2:$B$100)</f>
        <v>Cara Losch</v>
      </c>
      <c r="D2082" t="str">
        <f>_xlfn.XLOOKUP($B2082,sales_teams!$A$2:$A$36,sales_teams!C$2:C$36)</f>
        <v>East</v>
      </c>
      <c r="E2082" t="s">
        <v>15</v>
      </c>
      <c r="F2082" t="s">
        <v>215</v>
      </c>
      <c r="G2082" t="s">
        <v>12</v>
      </c>
      <c r="H2082" s="1">
        <v>42829</v>
      </c>
      <c r="I2082" s="1">
        <v>42912</v>
      </c>
      <c r="J2082">
        <v>5197</v>
      </c>
    </row>
    <row r="2083" spans="1:10" x14ac:dyDescent="0.3">
      <c r="A2083" t="s">
        <v>2214</v>
      </c>
      <c r="B2083" t="s">
        <v>14</v>
      </c>
      <c r="C2083" t="str">
        <f>_xlfn.XLOOKUP(B2083,
[1]sales_teams!$A$2:$A$100,
[1]sales_teams!$B$2:$B$100)</f>
        <v>Melvin Marxen</v>
      </c>
      <c r="D2083" t="str">
        <f>_xlfn.XLOOKUP($B2083,sales_teams!$A$2:$A$36,sales_teams!C$2:C$36)</f>
        <v>Central</v>
      </c>
      <c r="E2083" t="s">
        <v>15</v>
      </c>
      <c r="F2083" t="s">
        <v>91</v>
      </c>
      <c r="G2083" t="s">
        <v>46</v>
      </c>
      <c r="H2083" s="1">
        <v>42829</v>
      </c>
      <c r="I2083" s="1">
        <v>42840</v>
      </c>
      <c r="J2083">
        <v>0</v>
      </c>
    </row>
    <row r="2084" spans="1:10" x14ac:dyDescent="0.3">
      <c r="A2084" t="s">
        <v>2215</v>
      </c>
      <c r="B2084" t="s">
        <v>14</v>
      </c>
      <c r="C2084" t="str">
        <f>_xlfn.XLOOKUP(B2084,
[1]sales_teams!$A$2:$A$100,
[1]sales_teams!$B$2:$B$100)</f>
        <v>Melvin Marxen</v>
      </c>
      <c r="D2084" t="str">
        <f>_xlfn.XLOOKUP($B2084,sales_teams!$A$2:$A$36,sales_teams!C$2:C$36)</f>
        <v>Central</v>
      </c>
      <c r="E2084" t="s">
        <v>15</v>
      </c>
      <c r="F2084" t="s">
        <v>113</v>
      </c>
      <c r="G2084" t="s">
        <v>46</v>
      </c>
      <c r="H2084" s="1">
        <v>42829</v>
      </c>
      <c r="I2084" s="1">
        <v>42907</v>
      </c>
      <c r="J2084">
        <v>0</v>
      </c>
    </row>
    <row r="2085" spans="1:10" x14ac:dyDescent="0.3">
      <c r="A2085" t="s">
        <v>2216</v>
      </c>
      <c r="B2085" t="s">
        <v>14</v>
      </c>
      <c r="C2085" t="str">
        <f>_xlfn.XLOOKUP(B2085,
[1]sales_teams!$A$2:$A$100,
[1]sales_teams!$B$2:$B$100)</f>
        <v>Melvin Marxen</v>
      </c>
      <c r="D2085" t="str">
        <f>_xlfn.XLOOKUP($B2085,sales_teams!$A$2:$A$36,sales_teams!C$2:C$36)</f>
        <v>Central</v>
      </c>
      <c r="E2085" t="s">
        <v>18</v>
      </c>
      <c r="F2085" t="s">
        <v>187</v>
      </c>
      <c r="G2085" t="s">
        <v>46</v>
      </c>
      <c r="H2085" s="1">
        <v>42829</v>
      </c>
      <c r="I2085" s="1">
        <v>42837</v>
      </c>
      <c r="J2085">
        <v>0</v>
      </c>
    </row>
    <row r="2086" spans="1:10" x14ac:dyDescent="0.3">
      <c r="A2086" t="s">
        <v>2217</v>
      </c>
      <c r="B2086" t="s">
        <v>14</v>
      </c>
      <c r="C2086" t="str">
        <f>_xlfn.XLOOKUP(B2086,
[1]sales_teams!$A$2:$A$100,
[1]sales_teams!$B$2:$B$100)</f>
        <v>Melvin Marxen</v>
      </c>
      <c r="D2086" t="str">
        <f>_xlfn.XLOOKUP($B2086,sales_teams!$A$2:$A$36,sales_teams!C$2:C$36)</f>
        <v>Central</v>
      </c>
      <c r="E2086" t="s">
        <v>39</v>
      </c>
      <c r="F2086" t="s">
        <v>129</v>
      </c>
      <c r="G2086" t="s">
        <v>12</v>
      </c>
      <c r="H2086" s="1">
        <v>42829</v>
      </c>
      <c r="I2086" s="1">
        <v>42904</v>
      </c>
      <c r="J2086">
        <v>3031</v>
      </c>
    </row>
    <row r="2087" spans="1:10" x14ac:dyDescent="0.3">
      <c r="A2087" t="s">
        <v>2218</v>
      </c>
      <c r="B2087" t="s">
        <v>142</v>
      </c>
      <c r="C2087" t="str">
        <f>_xlfn.XLOOKUP(B2087,
[1]sales_teams!$A$2:$A$100,
[1]sales_teams!$B$2:$B$100)</f>
        <v>Rocco Neubert</v>
      </c>
      <c r="D2087" t="str">
        <f>_xlfn.XLOOKUP($B2087,sales_teams!$A$2:$A$36,sales_teams!C$2:C$36)</f>
        <v>East</v>
      </c>
      <c r="E2087" t="s">
        <v>15</v>
      </c>
      <c r="F2087" t="s">
        <v>237</v>
      </c>
      <c r="G2087" t="s">
        <v>46</v>
      </c>
      <c r="H2087" s="1">
        <v>42829</v>
      </c>
      <c r="I2087" s="1">
        <v>42840</v>
      </c>
      <c r="J2087">
        <v>0</v>
      </c>
    </row>
    <row r="2088" spans="1:10" x14ac:dyDescent="0.3">
      <c r="A2088" t="s">
        <v>2219</v>
      </c>
      <c r="B2088" t="s">
        <v>142</v>
      </c>
      <c r="C2088" t="str">
        <f>_xlfn.XLOOKUP(B2088,
[1]sales_teams!$A$2:$A$100,
[1]sales_teams!$B$2:$B$100)</f>
        <v>Rocco Neubert</v>
      </c>
      <c r="D2088" t="str">
        <f>_xlfn.XLOOKUP($B2088,sales_teams!$A$2:$A$36,sales_teams!C$2:C$36)</f>
        <v>East</v>
      </c>
      <c r="E2088" t="s">
        <v>15</v>
      </c>
      <c r="F2088" t="s">
        <v>373</v>
      </c>
      <c r="G2088" t="s">
        <v>12</v>
      </c>
      <c r="H2088" s="1">
        <v>42829</v>
      </c>
      <c r="I2088" s="1">
        <v>42880</v>
      </c>
      <c r="J2088">
        <v>5244</v>
      </c>
    </row>
    <row r="2089" spans="1:10" x14ac:dyDescent="0.3">
      <c r="A2089" t="s">
        <v>2220</v>
      </c>
      <c r="B2089" t="s">
        <v>67</v>
      </c>
      <c r="C2089" t="str">
        <f>_xlfn.XLOOKUP(B2089,
[1]sales_teams!$A$2:$A$100,
[1]sales_teams!$B$2:$B$100)</f>
        <v>Celia Rouche</v>
      </c>
      <c r="D2089" t="str">
        <f>_xlfn.XLOOKUP($B2089,sales_teams!$A$2:$A$36,sales_teams!C$2:C$36)</f>
        <v>West</v>
      </c>
      <c r="E2089" t="s">
        <v>18</v>
      </c>
      <c r="G2089" t="s">
        <v>40</v>
      </c>
      <c r="H2089" s="1">
        <v>42829</v>
      </c>
    </row>
    <row r="2090" spans="1:10" x14ac:dyDescent="0.3">
      <c r="A2090" t="s">
        <v>2221</v>
      </c>
      <c r="B2090" t="s">
        <v>67</v>
      </c>
      <c r="C2090" t="str">
        <f>_xlfn.XLOOKUP(B2090,
[1]sales_teams!$A$2:$A$100,
[1]sales_teams!$B$2:$B$100)</f>
        <v>Celia Rouche</v>
      </c>
      <c r="D2090" t="str">
        <f>_xlfn.XLOOKUP($B2090,sales_teams!$A$2:$A$36,sales_teams!C$2:C$36)</f>
        <v>West</v>
      </c>
      <c r="E2090" t="s">
        <v>18</v>
      </c>
      <c r="F2090" t="s">
        <v>100</v>
      </c>
      <c r="G2090" t="s">
        <v>46</v>
      </c>
      <c r="H2090" s="1">
        <v>42829</v>
      </c>
      <c r="I2090" s="1">
        <v>42835</v>
      </c>
      <c r="J2090">
        <v>0</v>
      </c>
    </row>
    <row r="2091" spans="1:10" x14ac:dyDescent="0.3">
      <c r="A2091" t="s">
        <v>2222</v>
      </c>
      <c r="B2091" t="s">
        <v>105</v>
      </c>
      <c r="C2091" t="str">
        <f>_xlfn.XLOOKUP(B2091,
[1]sales_teams!$A$2:$A$100,
[1]sales_teams!$B$2:$B$100)</f>
        <v>Cara Losch</v>
      </c>
      <c r="D2091" t="str">
        <f>_xlfn.XLOOKUP($B2091,sales_teams!$A$2:$A$36,sales_teams!C$2:C$36)</f>
        <v>East</v>
      </c>
      <c r="E2091" t="s">
        <v>48</v>
      </c>
      <c r="F2091" t="s">
        <v>177</v>
      </c>
      <c r="G2091" t="s">
        <v>12</v>
      </c>
      <c r="H2091" s="1">
        <v>42829</v>
      </c>
      <c r="I2091" s="1">
        <v>42906</v>
      </c>
      <c r="J2091">
        <v>5946</v>
      </c>
    </row>
    <row r="2092" spans="1:10" x14ac:dyDescent="0.3">
      <c r="A2092" t="s">
        <v>2223</v>
      </c>
      <c r="B2092" t="s">
        <v>54</v>
      </c>
      <c r="C2092" t="str">
        <f>_xlfn.XLOOKUP(B2092,
[1]sales_teams!$A$2:$A$100,
[1]sales_teams!$B$2:$B$100)</f>
        <v>Celia Rouche</v>
      </c>
      <c r="D2092" t="str">
        <f>_xlfn.XLOOKUP($B2092,sales_teams!$A$2:$A$36,sales_teams!C$2:C$36)</f>
        <v>West</v>
      </c>
      <c r="E2092" t="s">
        <v>10</v>
      </c>
      <c r="F2092" t="s">
        <v>122</v>
      </c>
      <c r="G2092" t="s">
        <v>46</v>
      </c>
      <c r="H2092" s="1">
        <v>42829</v>
      </c>
      <c r="I2092" s="1">
        <v>42833</v>
      </c>
      <c r="J2092">
        <v>0</v>
      </c>
    </row>
    <row r="2093" spans="1:10" x14ac:dyDescent="0.3">
      <c r="A2093" t="s">
        <v>2224</v>
      </c>
      <c r="B2093" t="s">
        <v>38</v>
      </c>
      <c r="C2093" t="str">
        <f>_xlfn.XLOOKUP(B2093,
[1]sales_teams!$A$2:$A$100,
[1]sales_teams!$B$2:$B$100)</f>
        <v>Summer Sewald</v>
      </c>
      <c r="D2093" t="str">
        <f>_xlfn.XLOOKUP($B2093,sales_teams!$A$2:$A$36,sales_teams!C$2:C$36)</f>
        <v>West</v>
      </c>
      <c r="E2093" t="s">
        <v>48</v>
      </c>
      <c r="F2093" t="s">
        <v>86</v>
      </c>
      <c r="G2093" t="s">
        <v>46</v>
      </c>
      <c r="H2093" s="1">
        <v>42829</v>
      </c>
      <c r="I2093" s="1">
        <v>42836</v>
      </c>
      <c r="J2093">
        <v>0</v>
      </c>
    </row>
    <row r="2094" spans="1:10" x14ac:dyDescent="0.3">
      <c r="A2094" t="s">
        <v>2225</v>
      </c>
      <c r="B2094" t="s">
        <v>38</v>
      </c>
      <c r="C2094" t="str">
        <f>_xlfn.XLOOKUP(B2094,
[1]sales_teams!$A$2:$A$100,
[1]sales_teams!$B$2:$B$100)</f>
        <v>Summer Sewald</v>
      </c>
      <c r="D2094" t="str">
        <f>_xlfn.XLOOKUP($B2094,sales_teams!$A$2:$A$36,sales_teams!C$2:C$36)</f>
        <v>West</v>
      </c>
      <c r="E2094" t="s">
        <v>15</v>
      </c>
      <c r="F2094" t="s">
        <v>273</v>
      </c>
      <c r="G2094" t="s">
        <v>12</v>
      </c>
      <c r="H2094" s="1">
        <v>42829</v>
      </c>
      <c r="I2094" s="1">
        <v>42892</v>
      </c>
      <c r="J2094">
        <v>4335</v>
      </c>
    </row>
    <row r="2095" spans="1:10" x14ac:dyDescent="0.3">
      <c r="A2095" t="s">
        <v>2226</v>
      </c>
      <c r="B2095" t="s">
        <v>252</v>
      </c>
      <c r="C2095" t="str">
        <f>_xlfn.XLOOKUP(B2095,
[1]sales_teams!$A$2:$A$100,
[1]sales_teams!$B$2:$B$100)</f>
        <v>Melvin Marxen</v>
      </c>
      <c r="D2095" t="str">
        <f>_xlfn.XLOOKUP($B2095,sales_teams!$A$2:$A$36,sales_teams!C$2:C$36)</f>
        <v>Central</v>
      </c>
      <c r="E2095" t="s">
        <v>48</v>
      </c>
      <c r="F2095" t="s">
        <v>129</v>
      </c>
      <c r="G2095" t="s">
        <v>46</v>
      </c>
      <c r="H2095" s="1">
        <v>42829</v>
      </c>
      <c r="I2095" s="1">
        <v>42831</v>
      </c>
      <c r="J2095">
        <v>0</v>
      </c>
    </row>
    <row r="2096" spans="1:10" x14ac:dyDescent="0.3">
      <c r="A2096" t="s">
        <v>2227</v>
      </c>
      <c r="B2096" t="s">
        <v>252</v>
      </c>
      <c r="C2096" t="str">
        <f>_xlfn.XLOOKUP(B2096,
[1]sales_teams!$A$2:$A$100,
[1]sales_teams!$B$2:$B$100)</f>
        <v>Melvin Marxen</v>
      </c>
      <c r="D2096" t="str">
        <f>_xlfn.XLOOKUP($B2096,sales_teams!$A$2:$A$36,sales_teams!C$2:C$36)</f>
        <v>Central</v>
      </c>
      <c r="E2096" t="s">
        <v>15</v>
      </c>
      <c r="F2096" t="s">
        <v>113</v>
      </c>
      <c r="G2096" t="s">
        <v>12</v>
      </c>
      <c r="H2096" s="1">
        <v>42829</v>
      </c>
      <c r="I2096" s="1">
        <v>42831</v>
      </c>
      <c r="J2096">
        <v>5063</v>
      </c>
    </row>
    <row r="2097" spans="1:10" x14ac:dyDescent="0.3">
      <c r="A2097" t="s">
        <v>2228</v>
      </c>
      <c r="B2097" t="s">
        <v>252</v>
      </c>
      <c r="C2097" t="str">
        <f>_xlfn.XLOOKUP(B2097,
[1]sales_teams!$A$2:$A$100,
[1]sales_teams!$B$2:$B$100)</f>
        <v>Melvin Marxen</v>
      </c>
      <c r="D2097" t="str">
        <f>_xlfn.XLOOKUP($B2097,sales_teams!$A$2:$A$36,sales_teams!C$2:C$36)</f>
        <v>Central</v>
      </c>
      <c r="E2097" t="s">
        <v>15</v>
      </c>
      <c r="F2097" t="s">
        <v>492</v>
      </c>
      <c r="G2097" t="s">
        <v>12</v>
      </c>
      <c r="H2097" s="1">
        <v>42829</v>
      </c>
      <c r="I2097" s="1">
        <v>42835</v>
      </c>
      <c r="J2097">
        <v>5032</v>
      </c>
    </row>
    <row r="2098" spans="1:10" x14ac:dyDescent="0.3">
      <c r="A2098" t="s">
        <v>2229</v>
      </c>
      <c r="B2098" t="s">
        <v>78</v>
      </c>
      <c r="C2098" t="str">
        <f>_xlfn.XLOOKUP(B2098,
[1]sales_teams!$A$2:$A$100,
[1]sales_teams!$B$2:$B$100)</f>
        <v>Summer Sewald</v>
      </c>
      <c r="D2098" t="str">
        <f>_xlfn.XLOOKUP($B2098,sales_teams!$A$2:$A$36,sales_teams!C$2:C$36)</f>
        <v>West</v>
      </c>
      <c r="E2098" t="s">
        <v>15</v>
      </c>
      <c r="F2098" t="s">
        <v>86</v>
      </c>
      <c r="G2098" t="s">
        <v>12</v>
      </c>
      <c r="H2098" s="1">
        <v>42829</v>
      </c>
      <c r="I2098" s="1">
        <v>42886</v>
      </c>
      <c r="J2098">
        <v>4398</v>
      </c>
    </row>
    <row r="2099" spans="1:10" x14ac:dyDescent="0.3">
      <c r="A2099" t="s">
        <v>2230</v>
      </c>
      <c r="B2099" t="s">
        <v>78</v>
      </c>
      <c r="C2099" t="str">
        <f>_xlfn.XLOOKUP(B2099,
[1]sales_teams!$A$2:$A$100,
[1]sales_teams!$B$2:$B$100)</f>
        <v>Summer Sewald</v>
      </c>
      <c r="D2099" t="str">
        <f>_xlfn.XLOOKUP($B2099,sales_teams!$A$2:$A$36,sales_teams!C$2:C$36)</f>
        <v>West</v>
      </c>
      <c r="E2099" t="s">
        <v>15</v>
      </c>
      <c r="F2099" t="s">
        <v>59</v>
      </c>
      <c r="G2099" t="s">
        <v>12</v>
      </c>
      <c r="H2099" s="1">
        <v>42829</v>
      </c>
      <c r="I2099" s="1">
        <v>42831</v>
      </c>
      <c r="J2099">
        <v>4449</v>
      </c>
    </row>
    <row r="2100" spans="1:10" x14ac:dyDescent="0.3">
      <c r="A2100" t="s">
        <v>2231</v>
      </c>
      <c r="B2100" t="s">
        <v>95</v>
      </c>
      <c r="C2100" t="str">
        <f>_xlfn.XLOOKUP(B2100,
[1]sales_teams!$A$2:$A$100,
[1]sales_teams!$B$2:$B$100)</f>
        <v>Summer Sewald</v>
      </c>
      <c r="D2100" t="str">
        <f>_xlfn.XLOOKUP($B2100,sales_teams!$A$2:$A$36,sales_teams!C$2:C$36)</f>
        <v>West</v>
      </c>
      <c r="E2100" t="s">
        <v>48</v>
      </c>
      <c r="F2100" t="s">
        <v>313</v>
      </c>
      <c r="G2100" t="s">
        <v>46</v>
      </c>
      <c r="H2100" s="1">
        <v>42829</v>
      </c>
      <c r="I2100" s="1">
        <v>42865</v>
      </c>
      <c r="J2100">
        <v>0</v>
      </c>
    </row>
    <row r="2101" spans="1:10" x14ac:dyDescent="0.3">
      <c r="A2101" t="s">
        <v>2232</v>
      </c>
      <c r="B2101" t="s">
        <v>133</v>
      </c>
      <c r="C2101" t="str">
        <f>_xlfn.XLOOKUP(B2101,
[1]sales_teams!$A$2:$A$100,
[1]sales_teams!$B$2:$B$100)</f>
        <v>Dustin Brinkmann</v>
      </c>
      <c r="D2101" t="str">
        <f>_xlfn.XLOOKUP($B2101,sales_teams!$A$2:$A$36,sales_teams!C$2:C$36)</f>
        <v>Central</v>
      </c>
      <c r="E2101" t="s">
        <v>20</v>
      </c>
      <c r="F2101" t="s">
        <v>62</v>
      </c>
      <c r="G2101" t="s">
        <v>46</v>
      </c>
      <c r="H2101" s="1">
        <v>42829</v>
      </c>
      <c r="I2101" s="1">
        <v>42831</v>
      </c>
      <c r="J2101">
        <v>0</v>
      </c>
    </row>
    <row r="2102" spans="1:10" x14ac:dyDescent="0.3">
      <c r="A2102" t="s">
        <v>2233</v>
      </c>
      <c r="B2102" t="s">
        <v>133</v>
      </c>
      <c r="C2102" t="str">
        <f>_xlfn.XLOOKUP(B2102,
[1]sales_teams!$A$2:$A$100,
[1]sales_teams!$B$2:$B$100)</f>
        <v>Dustin Brinkmann</v>
      </c>
      <c r="D2102" t="str">
        <f>_xlfn.XLOOKUP($B2102,sales_teams!$A$2:$A$36,sales_teams!C$2:C$36)</f>
        <v>Central</v>
      </c>
      <c r="E2102" t="s">
        <v>39</v>
      </c>
      <c r="F2102" t="s">
        <v>16</v>
      </c>
      <c r="G2102" t="s">
        <v>46</v>
      </c>
      <c r="H2102" s="1">
        <v>42829</v>
      </c>
      <c r="I2102" s="1">
        <v>42840</v>
      </c>
      <c r="J2102">
        <v>0</v>
      </c>
    </row>
    <row r="2103" spans="1:10" x14ac:dyDescent="0.3">
      <c r="A2103" t="s">
        <v>2234</v>
      </c>
      <c r="B2103" t="s">
        <v>133</v>
      </c>
      <c r="C2103" t="str">
        <f>_xlfn.XLOOKUP(B2103,
[1]sales_teams!$A$2:$A$100,
[1]sales_teams!$B$2:$B$100)</f>
        <v>Dustin Brinkmann</v>
      </c>
      <c r="D2103" t="str">
        <f>_xlfn.XLOOKUP($B2103,sales_teams!$A$2:$A$36,sales_teams!C$2:C$36)</f>
        <v>Central</v>
      </c>
      <c r="E2103" t="s">
        <v>18</v>
      </c>
      <c r="F2103" t="s">
        <v>135</v>
      </c>
      <c r="G2103" t="s">
        <v>12</v>
      </c>
      <c r="H2103" s="1">
        <v>42829</v>
      </c>
      <c r="I2103" s="1">
        <v>42886</v>
      </c>
      <c r="J2103">
        <v>50</v>
      </c>
    </row>
    <row r="2104" spans="1:10" x14ac:dyDescent="0.3">
      <c r="A2104" t="s">
        <v>2235</v>
      </c>
      <c r="B2104" t="s">
        <v>32</v>
      </c>
      <c r="C2104" t="str">
        <f>_xlfn.XLOOKUP(B2104,
[1]sales_teams!$A$2:$A$100,
[1]sales_teams!$B$2:$B$100)</f>
        <v>Celia Rouche</v>
      </c>
      <c r="D2104" t="str">
        <f>_xlfn.XLOOKUP($B2104,sales_teams!$A$2:$A$36,sales_teams!C$2:C$36)</f>
        <v>West</v>
      </c>
      <c r="E2104" t="s">
        <v>10</v>
      </c>
      <c r="G2104" t="s">
        <v>40</v>
      </c>
      <c r="H2104" s="1">
        <v>42829</v>
      </c>
    </row>
    <row r="2105" spans="1:10" x14ac:dyDescent="0.3">
      <c r="A2105" t="s">
        <v>2236</v>
      </c>
      <c r="B2105" t="s">
        <v>32</v>
      </c>
      <c r="C2105" t="str">
        <f>_xlfn.XLOOKUP(B2105,
[1]sales_teams!$A$2:$A$100,
[1]sales_teams!$B$2:$B$100)</f>
        <v>Celia Rouche</v>
      </c>
      <c r="D2105" t="str">
        <f>_xlfn.XLOOKUP($B2105,sales_teams!$A$2:$A$36,sales_teams!C$2:C$36)</f>
        <v>West</v>
      </c>
      <c r="E2105" t="s">
        <v>20</v>
      </c>
      <c r="F2105" t="s">
        <v>148</v>
      </c>
      <c r="G2105" t="s">
        <v>12</v>
      </c>
      <c r="H2105" s="1">
        <v>42829</v>
      </c>
      <c r="I2105" s="1">
        <v>42889</v>
      </c>
      <c r="J2105">
        <v>605</v>
      </c>
    </row>
    <row r="2106" spans="1:10" x14ac:dyDescent="0.3">
      <c r="A2106" t="s">
        <v>2237</v>
      </c>
      <c r="B2106" t="s">
        <v>32</v>
      </c>
      <c r="C2106" t="str">
        <f>_xlfn.XLOOKUP(B2106,
[1]sales_teams!$A$2:$A$100,
[1]sales_teams!$B$2:$B$100)</f>
        <v>Celia Rouche</v>
      </c>
      <c r="D2106" t="str">
        <f>_xlfn.XLOOKUP($B2106,sales_teams!$A$2:$A$36,sales_teams!C$2:C$36)</f>
        <v>West</v>
      </c>
      <c r="E2106" t="s">
        <v>18</v>
      </c>
      <c r="F2106" t="s">
        <v>59</v>
      </c>
      <c r="G2106" t="s">
        <v>12</v>
      </c>
      <c r="H2106" s="1">
        <v>42829</v>
      </c>
      <c r="I2106" s="1">
        <v>42833</v>
      </c>
      <c r="J2106">
        <v>57</v>
      </c>
    </row>
    <row r="2107" spans="1:10" x14ac:dyDescent="0.3">
      <c r="A2107" t="s">
        <v>2238</v>
      </c>
      <c r="B2107" t="s">
        <v>32</v>
      </c>
      <c r="C2107" t="str">
        <f>_xlfn.XLOOKUP(B2107,
[1]sales_teams!$A$2:$A$100,
[1]sales_teams!$B$2:$B$100)</f>
        <v>Celia Rouche</v>
      </c>
      <c r="D2107" t="str">
        <f>_xlfn.XLOOKUP($B2107,sales_teams!$A$2:$A$36,sales_teams!C$2:C$36)</f>
        <v>West</v>
      </c>
      <c r="E2107" t="s">
        <v>39</v>
      </c>
      <c r="F2107" t="s">
        <v>33</v>
      </c>
      <c r="G2107" t="s">
        <v>12</v>
      </c>
      <c r="H2107" s="1">
        <v>42829</v>
      </c>
      <c r="I2107" s="1">
        <v>42896</v>
      </c>
      <c r="J2107">
        <v>2882</v>
      </c>
    </row>
    <row r="2108" spans="1:10" x14ac:dyDescent="0.3">
      <c r="A2108" t="s">
        <v>2239</v>
      </c>
      <c r="B2108" t="s">
        <v>116</v>
      </c>
      <c r="C2108" t="str">
        <f>_xlfn.XLOOKUP(B2108,
[1]sales_teams!$A$2:$A$100,
[1]sales_teams!$B$2:$B$100)</f>
        <v>Melvin Marxen</v>
      </c>
      <c r="D2108" t="str">
        <f>_xlfn.XLOOKUP($B2108,sales_teams!$A$2:$A$36,sales_teams!C$2:C$36)</f>
        <v>Central</v>
      </c>
      <c r="E2108" t="s">
        <v>39</v>
      </c>
      <c r="F2108" t="s">
        <v>109</v>
      </c>
      <c r="G2108" t="s">
        <v>12</v>
      </c>
      <c r="H2108" s="1">
        <v>42829</v>
      </c>
      <c r="I2108" s="1">
        <v>42891</v>
      </c>
      <c r="J2108">
        <v>3011</v>
      </c>
    </row>
    <row r="2109" spans="1:10" x14ac:dyDescent="0.3">
      <c r="A2109" t="s">
        <v>2240</v>
      </c>
      <c r="B2109" t="s">
        <v>51</v>
      </c>
      <c r="C2109" t="str">
        <f>_xlfn.XLOOKUP(B2109,
[1]sales_teams!$A$2:$A$100,
[1]sales_teams!$B$2:$B$100)</f>
        <v>Summer Sewald</v>
      </c>
      <c r="D2109" t="str">
        <f>_xlfn.XLOOKUP($B2109,sales_teams!$A$2:$A$36,sales_teams!C$2:C$36)</f>
        <v>West</v>
      </c>
      <c r="E2109" t="s">
        <v>48</v>
      </c>
      <c r="G2109" t="s">
        <v>40</v>
      </c>
      <c r="H2109" s="1">
        <v>42829</v>
      </c>
    </row>
    <row r="2110" spans="1:10" x14ac:dyDescent="0.3">
      <c r="A2110" t="s">
        <v>2241</v>
      </c>
      <c r="B2110" t="s">
        <v>51</v>
      </c>
      <c r="C2110" t="str">
        <f>_xlfn.XLOOKUP(B2110,
[1]sales_teams!$A$2:$A$100,
[1]sales_teams!$B$2:$B$100)</f>
        <v>Summer Sewald</v>
      </c>
      <c r="D2110" t="str">
        <f>_xlfn.XLOOKUP($B2110,sales_teams!$A$2:$A$36,sales_teams!C$2:C$36)</f>
        <v>West</v>
      </c>
      <c r="E2110" t="s">
        <v>10</v>
      </c>
      <c r="F2110" t="s">
        <v>68</v>
      </c>
      <c r="G2110" t="s">
        <v>12</v>
      </c>
      <c r="H2110" s="1">
        <v>42829</v>
      </c>
      <c r="I2110" s="1">
        <v>42836</v>
      </c>
      <c r="J2110">
        <v>1181</v>
      </c>
    </row>
    <row r="2111" spans="1:10" x14ac:dyDescent="0.3">
      <c r="A2111" t="s">
        <v>2242</v>
      </c>
      <c r="B2111" t="s">
        <v>35</v>
      </c>
      <c r="C2111" t="str">
        <f>_xlfn.XLOOKUP(B2111,
[1]sales_teams!$A$2:$A$100,
[1]sales_teams!$B$2:$B$100)</f>
        <v>Melvin Marxen</v>
      </c>
      <c r="D2111" t="str">
        <f>_xlfn.XLOOKUP($B2111,sales_teams!$A$2:$A$36,sales_teams!C$2:C$36)</f>
        <v>Central</v>
      </c>
      <c r="E2111" t="s">
        <v>10</v>
      </c>
      <c r="F2111" t="s">
        <v>303</v>
      </c>
      <c r="G2111" t="s">
        <v>12</v>
      </c>
      <c r="H2111" s="1">
        <v>42829</v>
      </c>
      <c r="I2111" s="1">
        <v>42897</v>
      </c>
      <c r="J2111">
        <v>1067</v>
      </c>
    </row>
    <row r="2112" spans="1:10" x14ac:dyDescent="0.3">
      <c r="A2112" t="s">
        <v>2243</v>
      </c>
      <c r="B2112" t="s">
        <v>97</v>
      </c>
      <c r="C2112" t="str">
        <f>_xlfn.XLOOKUP(B2112,
[1]sales_teams!$A$2:$A$100,
[1]sales_teams!$B$2:$B$100)</f>
        <v>Rocco Neubert</v>
      </c>
      <c r="D2112" t="str">
        <f>_xlfn.XLOOKUP($B2112,sales_teams!$A$2:$A$36,sales_teams!C$2:C$36)</f>
        <v>East</v>
      </c>
      <c r="E2112" t="s">
        <v>20</v>
      </c>
      <c r="F2112" t="s">
        <v>209</v>
      </c>
      <c r="G2112" t="s">
        <v>46</v>
      </c>
      <c r="H2112" s="1">
        <v>42829</v>
      </c>
      <c r="I2112" s="1">
        <v>42838</v>
      </c>
      <c r="J2112">
        <v>0</v>
      </c>
    </row>
    <row r="2113" spans="1:10" x14ac:dyDescent="0.3">
      <c r="A2113" t="s">
        <v>2244</v>
      </c>
      <c r="B2113" t="s">
        <v>97</v>
      </c>
      <c r="C2113" t="str">
        <f>_xlfn.XLOOKUP(B2113,
[1]sales_teams!$A$2:$A$100,
[1]sales_teams!$B$2:$B$100)</f>
        <v>Rocco Neubert</v>
      </c>
      <c r="D2113" t="str">
        <f>_xlfn.XLOOKUP($B2113,sales_teams!$A$2:$A$36,sales_teams!C$2:C$36)</f>
        <v>East</v>
      </c>
      <c r="E2113" t="s">
        <v>20</v>
      </c>
      <c r="F2113" t="s">
        <v>240</v>
      </c>
      <c r="G2113" t="s">
        <v>46</v>
      </c>
      <c r="H2113" s="1">
        <v>42829</v>
      </c>
      <c r="I2113" s="1">
        <v>42834</v>
      </c>
      <c r="J2113">
        <v>0</v>
      </c>
    </row>
    <row r="2114" spans="1:10" x14ac:dyDescent="0.3">
      <c r="A2114" t="s">
        <v>2245</v>
      </c>
      <c r="B2114" t="s">
        <v>61</v>
      </c>
      <c r="C2114" t="str">
        <f>_xlfn.XLOOKUP(B2114,
[1]sales_teams!$A$2:$A$100,
[1]sales_teams!$B$2:$B$100)</f>
        <v>Dustin Brinkmann</v>
      </c>
      <c r="D2114" t="str">
        <f>_xlfn.XLOOKUP($B2114,sales_teams!$A$2:$A$36,sales_teams!C$2:C$36)</f>
        <v>Central</v>
      </c>
      <c r="E2114" t="s">
        <v>18</v>
      </c>
      <c r="F2114" t="s">
        <v>16</v>
      </c>
      <c r="G2114" t="s">
        <v>12</v>
      </c>
      <c r="H2114" s="1">
        <v>42829</v>
      </c>
      <c r="I2114" s="1">
        <v>42831</v>
      </c>
      <c r="J2114">
        <v>54</v>
      </c>
    </row>
    <row r="2115" spans="1:10" x14ac:dyDescent="0.3">
      <c r="A2115" t="s">
        <v>2246</v>
      </c>
      <c r="B2115" t="s">
        <v>23</v>
      </c>
      <c r="C2115" t="str">
        <f>_xlfn.XLOOKUP(B2115,
[1]sales_teams!$A$2:$A$100,
[1]sales_teams!$B$2:$B$100)</f>
        <v>Summer Sewald</v>
      </c>
      <c r="D2115" t="str">
        <f>_xlfn.XLOOKUP($B2115,sales_teams!$A$2:$A$36,sales_teams!C$2:C$36)</f>
        <v>West</v>
      </c>
      <c r="E2115" t="s">
        <v>20</v>
      </c>
      <c r="F2115" t="s">
        <v>124</v>
      </c>
      <c r="G2115" t="s">
        <v>12</v>
      </c>
      <c r="H2115" s="1">
        <v>42829</v>
      </c>
      <c r="I2115" s="1">
        <v>42915</v>
      </c>
      <c r="J2115">
        <v>564</v>
      </c>
    </row>
    <row r="2116" spans="1:10" x14ac:dyDescent="0.3">
      <c r="A2116" t="s">
        <v>2247</v>
      </c>
      <c r="B2116" t="s">
        <v>26</v>
      </c>
      <c r="C2116" t="str">
        <f>_xlfn.XLOOKUP(B2116,
[1]sales_teams!$A$2:$A$100,
[1]sales_teams!$B$2:$B$100)</f>
        <v>Dustin Brinkmann</v>
      </c>
      <c r="D2116" t="str">
        <f>_xlfn.XLOOKUP($B2116,sales_teams!$A$2:$A$36,sales_teams!C$2:C$36)</f>
        <v>Central</v>
      </c>
      <c r="E2116" t="s">
        <v>10</v>
      </c>
      <c r="F2116" t="s">
        <v>120</v>
      </c>
      <c r="G2116" t="s">
        <v>46</v>
      </c>
      <c r="H2116" s="1">
        <v>42830</v>
      </c>
      <c r="I2116" s="1">
        <v>42831</v>
      </c>
      <c r="J2116">
        <v>0</v>
      </c>
    </row>
    <row r="2117" spans="1:10" x14ac:dyDescent="0.3">
      <c r="A2117" t="s">
        <v>2248</v>
      </c>
      <c r="B2117" t="s">
        <v>26</v>
      </c>
      <c r="C2117" t="str">
        <f>_xlfn.XLOOKUP(B2117,
[1]sales_teams!$A$2:$A$100,
[1]sales_teams!$B$2:$B$100)</f>
        <v>Dustin Brinkmann</v>
      </c>
      <c r="D2117" t="str">
        <f>_xlfn.XLOOKUP($B2117,sales_teams!$A$2:$A$36,sales_teams!C$2:C$36)</f>
        <v>Central</v>
      </c>
      <c r="E2117" t="s">
        <v>18</v>
      </c>
      <c r="F2117" t="s">
        <v>303</v>
      </c>
      <c r="G2117" t="s">
        <v>12</v>
      </c>
      <c r="H2117" s="1">
        <v>42830</v>
      </c>
      <c r="I2117" s="1">
        <v>42839</v>
      </c>
      <c r="J2117">
        <v>57</v>
      </c>
    </row>
    <row r="2118" spans="1:10" x14ac:dyDescent="0.3">
      <c r="A2118" t="s">
        <v>2249</v>
      </c>
      <c r="B2118" t="s">
        <v>118</v>
      </c>
      <c r="C2118" t="str">
        <f>_xlfn.XLOOKUP(B2118,
[1]sales_teams!$A$2:$A$100,
[1]sales_teams!$B$2:$B$100)</f>
        <v>Rocco Neubert</v>
      </c>
      <c r="D2118" t="str">
        <f>_xlfn.XLOOKUP($B2118,sales_teams!$A$2:$A$36,sales_teams!C$2:C$36)</f>
        <v>East</v>
      </c>
      <c r="E2118" t="s">
        <v>15</v>
      </c>
      <c r="F2118" t="s">
        <v>278</v>
      </c>
      <c r="G2118" t="s">
        <v>12</v>
      </c>
      <c r="H2118" s="1">
        <v>42830</v>
      </c>
      <c r="I2118" s="1">
        <v>42916</v>
      </c>
      <c r="J2118">
        <v>5558</v>
      </c>
    </row>
    <row r="2119" spans="1:10" x14ac:dyDescent="0.3">
      <c r="A2119" t="s">
        <v>2250</v>
      </c>
      <c r="B2119" t="s">
        <v>202</v>
      </c>
      <c r="C2119" t="str">
        <f>_xlfn.XLOOKUP(B2119,
[1]sales_teams!$A$2:$A$100,
[1]sales_teams!$B$2:$B$100)</f>
        <v>Dustin Brinkmann</v>
      </c>
      <c r="D2119" t="str">
        <f>_xlfn.XLOOKUP($B2119,sales_teams!$A$2:$A$36,sales_teams!C$2:C$36)</f>
        <v>Central</v>
      </c>
      <c r="E2119" t="s">
        <v>48</v>
      </c>
      <c r="F2119" t="s">
        <v>62</v>
      </c>
      <c r="G2119" t="s">
        <v>46</v>
      </c>
      <c r="H2119" s="1">
        <v>42830</v>
      </c>
      <c r="I2119" s="1">
        <v>42835</v>
      </c>
      <c r="J2119">
        <v>0</v>
      </c>
    </row>
    <row r="2120" spans="1:10" x14ac:dyDescent="0.3">
      <c r="A2120" t="s">
        <v>2251</v>
      </c>
      <c r="B2120" t="s">
        <v>164</v>
      </c>
      <c r="C2120" t="str">
        <f>_xlfn.XLOOKUP(B2120,
[1]sales_teams!$A$2:$A$100,
[1]sales_teams!$B$2:$B$100)</f>
        <v>Cara Losch</v>
      </c>
      <c r="D2120" t="str">
        <f>_xlfn.XLOOKUP($B2120,sales_teams!$A$2:$A$36,sales_teams!C$2:C$36)</f>
        <v>East</v>
      </c>
      <c r="E2120" t="s">
        <v>20</v>
      </c>
      <c r="F2120" t="s">
        <v>143</v>
      </c>
      <c r="G2120" t="s">
        <v>46</v>
      </c>
      <c r="H2120" s="1">
        <v>42830</v>
      </c>
      <c r="I2120" s="1">
        <v>42832</v>
      </c>
      <c r="J2120">
        <v>0</v>
      </c>
    </row>
    <row r="2121" spans="1:10" x14ac:dyDescent="0.3">
      <c r="A2121" t="s">
        <v>2252</v>
      </c>
      <c r="B2121" t="s">
        <v>164</v>
      </c>
      <c r="C2121" t="str">
        <f>_xlfn.XLOOKUP(B2121,
[1]sales_teams!$A$2:$A$100,
[1]sales_teams!$B$2:$B$100)</f>
        <v>Cara Losch</v>
      </c>
      <c r="D2121" t="str">
        <f>_xlfn.XLOOKUP($B2121,sales_teams!$A$2:$A$36,sales_teams!C$2:C$36)</f>
        <v>East</v>
      </c>
      <c r="E2121" t="s">
        <v>10</v>
      </c>
      <c r="F2121" t="s">
        <v>192</v>
      </c>
      <c r="G2121" t="s">
        <v>12</v>
      </c>
      <c r="H2121" s="1">
        <v>42830</v>
      </c>
      <c r="I2121" s="1">
        <v>42835</v>
      </c>
      <c r="J2121">
        <v>1083</v>
      </c>
    </row>
    <row r="2122" spans="1:10" x14ac:dyDescent="0.3">
      <c r="A2122" t="s">
        <v>2253</v>
      </c>
      <c r="B2122" t="s">
        <v>14</v>
      </c>
      <c r="C2122" t="str">
        <f>_xlfn.XLOOKUP(B2122,
[1]sales_teams!$A$2:$A$100,
[1]sales_teams!$B$2:$B$100)</f>
        <v>Melvin Marxen</v>
      </c>
      <c r="D2122" t="str">
        <f>_xlfn.XLOOKUP($B2122,sales_teams!$A$2:$A$36,sales_teams!C$2:C$36)</f>
        <v>Central</v>
      </c>
      <c r="E2122" t="s">
        <v>15</v>
      </c>
      <c r="F2122" t="s">
        <v>62</v>
      </c>
      <c r="G2122" t="s">
        <v>12</v>
      </c>
      <c r="H2122" s="1">
        <v>42830</v>
      </c>
      <c r="I2122" s="1">
        <v>42831</v>
      </c>
      <c r="J2122">
        <v>5647</v>
      </c>
    </row>
    <row r="2123" spans="1:10" x14ac:dyDescent="0.3">
      <c r="A2123" t="s">
        <v>2254</v>
      </c>
      <c r="B2123" t="s">
        <v>142</v>
      </c>
      <c r="C2123" t="str">
        <f>_xlfn.XLOOKUP(B2123,
[1]sales_teams!$A$2:$A$100,
[1]sales_teams!$B$2:$B$100)</f>
        <v>Rocco Neubert</v>
      </c>
      <c r="D2123" t="str">
        <f>_xlfn.XLOOKUP($B2123,sales_teams!$A$2:$A$36,sales_teams!C$2:C$36)</f>
        <v>East</v>
      </c>
      <c r="E2123" t="s">
        <v>20</v>
      </c>
      <c r="F2123" t="s">
        <v>373</v>
      </c>
      <c r="G2123" t="s">
        <v>46</v>
      </c>
      <c r="H2123" s="1">
        <v>42830</v>
      </c>
      <c r="I2123" s="1">
        <v>42954</v>
      </c>
      <c r="J2123">
        <v>0</v>
      </c>
    </row>
    <row r="2124" spans="1:10" x14ac:dyDescent="0.3">
      <c r="A2124" t="s">
        <v>2255</v>
      </c>
      <c r="B2124" t="s">
        <v>142</v>
      </c>
      <c r="C2124" t="str">
        <f>_xlfn.XLOOKUP(B2124,
[1]sales_teams!$A$2:$A$100,
[1]sales_teams!$B$2:$B$100)</f>
        <v>Rocco Neubert</v>
      </c>
      <c r="D2124" t="str">
        <f>_xlfn.XLOOKUP($B2124,sales_teams!$A$2:$A$36,sales_teams!C$2:C$36)</f>
        <v>East</v>
      </c>
      <c r="E2124" t="s">
        <v>15</v>
      </c>
      <c r="F2124" t="s">
        <v>143</v>
      </c>
      <c r="G2124" t="s">
        <v>12</v>
      </c>
      <c r="H2124" s="1">
        <v>42830</v>
      </c>
      <c r="I2124" s="1">
        <v>42905</v>
      </c>
      <c r="J2124">
        <v>4648</v>
      </c>
    </row>
    <row r="2125" spans="1:10" x14ac:dyDescent="0.3">
      <c r="A2125" t="s">
        <v>2256</v>
      </c>
      <c r="B2125" t="s">
        <v>142</v>
      </c>
      <c r="C2125" t="str">
        <f>_xlfn.XLOOKUP(B2125,
[1]sales_teams!$A$2:$A$100,
[1]sales_teams!$B$2:$B$100)</f>
        <v>Rocco Neubert</v>
      </c>
      <c r="D2125" t="str">
        <f>_xlfn.XLOOKUP($B2125,sales_teams!$A$2:$A$36,sales_teams!C$2:C$36)</f>
        <v>East</v>
      </c>
      <c r="E2125" t="s">
        <v>18</v>
      </c>
      <c r="F2125" t="s">
        <v>215</v>
      </c>
      <c r="G2125" t="s">
        <v>12</v>
      </c>
      <c r="H2125" s="1">
        <v>42830</v>
      </c>
      <c r="I2125" s="1">
        <v>42839</v>
      </c>
      <c r="J2125">
        <v>50</v>
      </c>
    </row>
    <row r="2126" spans="1:10" x14ac:dyDescent="0.3">
      <c r="A2126" t="s">
        <v>2257</v>
      </c>
      <c r="B2126" t="s">
        <v>44</v>
      </c>
      <c r="C2126" t="str">
        <f>_xlfn.XLOOKUP(B2126,
[1]sales_teams!$A$2:$A$100,
[1]sales_teams!$B$2:$B$100)</f>
        <v>Melvin Marxen</v>
      </c>
      <c r="D2126" t="str">
        <f>_xlfn.XLOOKUP($B2126,sales_teams!$A$2:$A$36,sales_teams!C$2:C$36)</f>
        <v>Central</v>
      </c>
      <c r="E2126" t="s">
        <v>39</v>
      </c>
      <c r="F2126" t="s">
        <v>315</v>
      </c>
      <c r="G2126" t="s">
        <v>46</v>
      </c>
      <c r="H2126" s="1">
        <v>42830</v>
      </c>
      <c r="I2126" s="1">
        <v>42832</v>
      </c>
      <c r="J2126">
        <v>0</v>
      </c>
    </row>
    <row r="2127" spans="1:10" x14ac:dyDescent="0.3">
      <c r="A2127" t="s">
        <v>2258</v>
      </c>
      <c r="B2127" t="s">
        <v>38</v>
      </c>
      <c r="C2127" t="str">
        <f>_xlfn.XLOOKUP(B2127,
[1]sales_teams!$A$2:$A$100,
[1]sales_teams!$B$2:$B$100)</f>
        <v>Summer Sewald</v>
      </c>
      <c r="D2127" t="str">
        <f>_xlfn.XLOOKUP($B2127,sales_teams!$A$2:$A$36,sales_teams!C$2:C$36)</f>
        <v>West</v>
      </c>
      <c r="E2127" t="s">
        <v>20</v>
      </c>
      <c r="F2127" t="s">
        <v>155</v>
      </c>
      <c r="G2127" t="s">
        <v>46</v>
      </c>
      <c r="H2127" s="1">
        <v>42830</v>
      </c>
      <c r="I2127" s="1">
        <v>42885</v>
      </c>
      <c r="J2127">
        <v>0</v>
      </c>
    </row>
    <row r="2128" spans="1:10" x14ac:dyDescent="0.3">
      <c r="A2128" t="s">
        <v>2259</v>
      </c>
      <c r="B2128" t="s">
        <v>38</v>
      </c>
      <c r="C2128" t="str">
        <f>_xlfn.XLOOKUP(B2128,
[1]sales_teams!$A$2:$A$100,
[1]sales_teams!$B$2:$B$100)</f>
        <v>Summer Sewald</v>
      </c>
      <c r="D2128" t="str">
        <f>_xlfn.XLOOKUP($B2128,sales_teams!$A$2:$A$36,sales_teams!C$2:C$36)</f>
        <v>West</v>
      </c>
      <c r="E2128" t="s">
        <v>15</v>
      </c>
      <c r="F2128" t="s">
        <v>273</v>
      </c>
      <c r="G2128" t="s">
        <v>46</v>
      </c>
      <c r="H2128" s="1">
        <v>42830</v>
      </c>
      <c r="I2128" s="1">
        <v>42832</v>
      </c>
      <c r="J2128">
        <v>0</v>
      </c>
    </row>
    <row r="2129" spans="1:10" x14ac:dyDescent="0.3">
      <c r="A2129" t="s">
        <v>2260</v>
      </c>
      <c r="B2129" t="s">
        <v>252</v>
      </c>
      <c r="C2129" t="str">
        <f>_xlfn.XLOOKUP(B2129,
[1]sales_teams!$A$2:$A$100,
[1]sales_teams!$B$2:$B$100)</f>
        <v>Melvin Marxen</v>
      </c>
      <c r="D2129" t="str">
        <f>_xlfn.XLOOKUP($B2129,sales_teams!$A$2:$A$36,sales_teams!C$2:C$36)</f>
        <v>Central</v>
      </c>
      <c r="E2129" t="s">
        <v>20</v>
      </c>
      <c r="F2129" t="s">
        <v>91</v>
      </c>
      <c r="G2129" t="s">
        <v>46</v>
      </c>
      <c r="H2129" s="1">
        <v>42830</v>
      </c>
      <c r="I2129" s="1">
        <v>42954</v>
      </c>
      <c r="J2129">
        <v>0</v>
      </c>
    </row>
    <row r="2130" spans="1:10" x14ac:dyDescent="0.3">
      <c r="A2130" t="s">
        <v>2261</v>
      </c>
      <c r="B2130" t="s">
        <v>252</v>
      </c>
      <c r="C2130" t="str">
        <f>_xlfn.XLOOKUP(B2130,
[1]sales_teams!$A$2:$A$100,
[1]sales_teams!$B$2:$B$100)</f>
        <v>Melvin Marxen</v>
      </c>
      <c r="D2130" t="str">
        <f>_xlfn.XLOOKUP($B2130,sales_teams!$A$2:$A$36,sales_teams!C$2:C$36)</f>
        <v>Central</v>
      </c>
      <c r="E2130" t="s">
        <v>20</v>
      </c>
      <c r="F2130" t="s">
        <v>151</v>
      </c>
      <c r="G2130" t="s">
        <v>12</v>
      </c>
      <c r="H2130" s="1">
        <v>42830</v>
      </c>
      <c r="I2130" s="1">
        <v>42867</v>
      </c>
      <c r="J2130">
        <v>505</v>
      </c>
    </row>
    <row r="2131" spans="1:10" x14ac:dyDescent="0.3">
      <c r="A2131" t="s">
        <v>2262</v>
      </c>
      <c r="B2131" t="s">
        <v>95</v>
      </c>
      <c r="C2131" t="str">
        <f>_xlfn.XLOOKUP(B2131,
[1]sales_teams!$A$2:$A$100,
[1]sales_teams!$B$2:$B$100)</f>
        <v>Summer Sewald</v>
      </c>
      <c r="D2131" t="str">
        <f>_xlfn.XLOOKUP($B2131,sales_teams!$A$2:$A$36,sales_teams!C$2:C$36)</f>
        <v>West</v>
      </c>
      <c r="E2131" t="s">
        <v>15</v>
      </c>
      <c r="F2131" t="s">
        <v>224</v>
      </c>
      <c r="G2131" t="s">
        <v>46</v>
      </c>
      <c r="H2131" s="1">
        <v>42830</v>
      </c>
      <c r="I2131" s="1">
        <v>42840</v>
      </c>
      <c r="J2131">
        <v>0</v>
      </c>
    </row>
    <row r="2132" spans="1:10" x14ac:dyDescent="0.3">
      <c r="A2132" t="s">
        <v>2263</v>
      </c>
      <c r="B2132" t="s">
        <v>95</v>
      </c>
      <c r="C2132" t="str">
        <f>_xlfn.XLOOKUP(B2132,
[1]sales_teams!$A$2:$A$100,
[1]sales_teams!$B$2:$B$100)</f>
        <v>Summer Sewald</v>
      </c>
      <c r="D2132" t="str">
        <f>_xlfn.XLOOKUP($B2132,sales_teams!$A$2:$A$36,sales_teams!C$2:C$36)</f>
        <v>West</v>
      </c>
      <c r="E2132" t="s">
        <v>20</v>
      </c>
      <c r="F2132" t="s">
        <v>100</v>
      </c>
      <c r="G2132" t="s">
        <v>12</v>
      </c>
      <c r="H2132" s="1">
        <v>42830</v>
      </c>
      <c r="I2132" s="1">
        <v>42831</v>
      </c>
      <c r="J2132">
        <v>450</v>
      </c>
    </row>
    <row r="2133" spans="1:10" x14ac:dyDescent="0.3">
      <c r="A2133" t="s">
        <v>2264</v>
      </c>
      <c r="B2133" t="s">
        <v>95</v>
      </c>
      <c r="C2133" t="str">
        <f>_xlfn.XLOOKUP(B2133,
[1]sales_teams!$A$2:$A$100,
[1]sales_teams!$B$2:$B$100)</f>
        <v>Summer Sewald</v>
      </c>
      <c r="D2133" t="str">
        <f>_xlfn.XLOOKUP($B2133,sales_teams!$A$2:$A$36,sales_teams!C$2:C$36)</f>
        <v>West</v>
      </c>
      <c r="E2133" t="s">
        <v>48</v>
      </c>
      <c r="F2133" t="s">
        <v>313</v>
      </c>
      <c r="G2133" t="s">
        <v>12</v>
      </c>
      <c r="H2133" s="1">
        <v>42830</v>
      </c>
      <c r="I2133" s="1">
        <v>42876</v>
      </c>
      <c r="J2133">
        <v>4983</v>
      </c>
    </row>
    <row r="2134" spans="1:10" x14ac:dyDescent="0.3">
      <c r="A2134" t="s">
        <v>2265</v>
      </c>
      <c r="B2134" t="s">
        <v>133</v>
      </c>
      <c r="C2134" t="str">
        <f>_xlfn.XLOOKUP(B2134,
[1]sales_teams!$A$2:$A$100,
[1]sales_teams!$B$2:$B$100)</f>
        <v>Dustin Brinkmann</v>
      </c>
      <c r="D2134" t="str">
        <f>_xlfn.XLOOKUP($B2134,sales_teams!$A$2:$A$36,sales_teams!C$2:C$36)</f>
        <v>Central</v>
      </c>
      <c r="E2134" t="s">
        <v>10</v>
      </c>
      <c r="F2134" t="s">
        <v>27</v>
      </c>
      <c r="G2134" t="s">
        <v>12</v>
      </c>
      <c r="H2134" s="1">
        <v>42830</v>
      </c>
      <c r="I2134" s="1">
        <v>42905</v>
      </c>
      <c r="J2134">
        <v>1140</v>
      </c>
    </row>
    <row r="2135" spans="1:10" x14ac:dyDescent="0.3">
      <c r="A2135" t="s">
        <v>2266</v>
      </c>
      <c r="B2135" t="s">
        <v>32</v>
      </c>
      <c r="C2135" t="str">
        <f>_xlfn.XLOOKUP(B2135,
[1]sales_teams!$A$2:$A$100,
[1]sales_teams!$B$2:$B$100)</f>
        <v>Celia Rouche</v>
      </c>
      <c r="D2135" t="str">
        <f>_xlfn.XLOOKUP($B2135,sales_teams!$A$2:$A$36,sales_teams!C$2:C$36)</f>
        <v>West</v>
      </c>
      <c r="E2135" t="s">
        <v>18</v>
      </c>
      <c r="G2135" t="s">
        <v>40</v>
      </c>
      <c r="H2135" s="1">
        <v>42830</v>
      </c>
    </row>
    <row r="2136" spans="1:10" x14ac:dyDescent="0.3">
      <c r="A2136" t="s">
        <v>2267</v>
      </c>
      <c r="B2136" t="s">
        <v>32</v>
      </c>
      <c r="C2136" t="str">
        <f>_xlfn.XLOOKUP(B2136,
[1]sales_teams!$A$2:$A$100,
[1]sales_teams!$B$2:$B$100)</f>
        <v>Celia Rouche</v>
      </c>
      <c r="D2136" t="str">
        <f>_xlfn.XLOOKUP($B2136,sales_teams!$A$2:$A$36,sales_teams!C$2:C$36)</f>
        <v>West</v>
      </c>
      <c r="E2136" t="s">
        <v>10</v>
      </c>
      <c r="F2136" t="s">
        <v>194</v>
      </c>
      <c r="G2136" t="s">
        <v>46</v>
      </c>
      <c r="H2136" s="1">
        <v>42830</v>
      </c>
      <c r="I2136" s="1">
        <v>42832</v>
      </c>
      <c r="J2136">
        <v>0</v>
      </c>
    </row>
    <row r="2137" spans="1:10" x14ac:dyDescent="0.3">
      <c r="A2137" t="s">
        <v>2268</v>
      </c>
      <c r="B2137" t="s">
        <v>32</v>
      </c>
      <c r="C2137" t="str">
        <f>_xlfn.XLOOKUP(B2137,
[1]sales_teams!$A$2:$A$100,
[1]sales_teams!$B$2:$B$100)</f>
        <v>Celia Rouche</v>
      </c>
      <c r="D2137" t="str">
        <f>_xlfn.XLOOKUP($B2137,sales_teams!$A$2:$A$36,sales_teams!C$2:C$36)</f>
        <v>West</v>
      </c>
      <c r="E2137" t="s">
        <v>39</v>
      </c>
      <c r="F2137" t="s">
        <v>30</v>
      </c>
      <c r="G2137" t="s">
        <v>12</v>
      </c>
      <c r="H2137" s="1">
        <v>42830</v>
      </c>
      <c r="I2137" s="1">
        <v>42908</v>
      </c>
      <c r="J2137">
        <v>3188</v>
      </c>
    </row>
    <row r="2138" spans="1:10" x14ac:dyDescent="0.3">
      <c r="A2138" t="s">
        <v>2269</v>
      </c>
      <c r="B2138" t="s">
        <v>97</v>
      </c>
      <c r="C2138" t="str">
        <f>_xlfn.XLOOKUP(B2138,
[1]sales_teams!$A$2:$A$100,
[1]sales_teams!$B$2:$B$100)</f>
        <v>Rocco Neubert</v>
      </c>
      <c r="D2138" t="str">
        <f>_xlfn.XLOOKUP($B2138,sales_teams!$A$2:$A$36,sales_teams!C$2:C$36)</f>
        <v>East</v>
      </c>
      <c r="E2138" t="s">
        <v>20</v>
      </c>
      <c r="F2138" t="s">
        <v>143</v>
      </c>
      <c r="G2138" t="s">
        <v>46</v>
      </c>
      <c r="H2138" s="1">
        <v>42830</v>
      </c>
      <c r="I2138" s="1">
        <v>42831</v>
      </c>
      <c r="J2138">
        <v>0</v>
      </c>
    </row>
    <row r="2139" spans="1:10" x14ac:dyDescent="0.3">
      <c r="A2139" t="s">
        <v>2270</v>
      </c>
      <c r="B2139" t="s">
        <v>97</v>
      </c>
      <c r="C2139" t="str">
        <f>_xlfn.XLOOKUP(B2139,
[1]sales_teams!$A$2:$A$100,
[1]sales_teams!$B$2:$B$100)</f>
        <v>Rocco Neubert</v>
      </c>
      <c r="D2139" t="str">
        <f>_xlfn.XLOOKUP($B2139,sales_teams!$A$2:$A$36,sales_teams!C$2:C$36)</f>
        <v>East</v>
      </c>
      <c r="E2139" t="s">
        <v>10</v>
      </c>
      <c r="F2139" t="s">
        <v>65</v>
      </c>
      <c r="G2139" t="s">
        <v>12</v>
      </c>
      <c r="H2139" s="1">
        <v>42830</v>
      </c>
      <c r="I2139" s="1">
        <v>42949</v>
      </c>
      <c r="J2139">
        <v>1091</v>
      </c>
    </row>
    <row r="2140" spans="1:10" x14ac:dyDescent="0.3">
      <c r="A2140" t="s">
        <v>2271</v>
      </c>
      <c r="B2140" t="s">
        <v>97</v>
      </c>
      <c r="C2140" t="str">
        <f>_xlfn.XLOOKUP(B2140,
[1]sales_teams!$A$2:$A$100,
[1]sales_teams!$B$2:$B$100)</f>
        <v>Rocco Neubert</v>
      </c>
      <c r="D2140" t="str">
        <f>_xlfn.XLOOKUP($B2140,sales_teams!$A$2:$A$36,sales_teams!C$2:C$36)</f>
        <v>East</v>
      </c>
      <c r="E2140" t="s">
        <v>48</v>
      </c>
      <c r="F2140" t="s">
        <v>165</v>
      </c>
      <c r="G2140" t="s">
        <v>12</v>
      </c>
      <c r="H2140" s="1">
        <v>42830</v>
      </c>
      <c r="I2140" s="1">
        <v>42837</v>
      </c>
      <c r="J2140">
        <v>5095</v>
      </c>
    </row>
    <row r="2141" spans="1:10" x14ac:dyDescent="0.3">
      <c r="A2141" t="s">
        <v>2272</v>
      </c>
      <c r="B2141" t="s">
        <v>97</v>
      </c>
      <c r="C2141" t="str">
        <f>_xlfn.XLOOKUP(B2141,
[1]sales_teams!$A$2:$A$100,
[1]sales_teams!$B$2:$B$100)</f>
        <v>Rocco Neubert</v>
      </c>
      <c r="D2141" t="str">
        <f>_xlfn.XLOOKUP($B2141,sales_teams!$A$2:$A$36,sales_teams!C$2:C$36)</f>
        <v>East</v>
      </c>
      <c r="E2141" t="s">
        <v>18</v>
      </c>
      <c r="F2141" t="s">
        <v>218</v>
      </c>
      <c r="G2141" t="s">
        <v>12</v>
      </c>
      <c r="H2141" s="1">
        <v>42830</v>
      </c>
      <c r="I2141" s="1">
        <v>42949</v>
      </c>
      <c r="J2141">
        <v>51</v>
      </c>
    </row>
    <row r="2142" spans="1:10" x14ac:dyDescent="0.3">
      <c r="A2142" t="s">
        <v>2273</v>
      </c>
      <c r="B2142" t="s">
        <v>57</v>
      </c>
      <c r="C2142" t="str">
        <f>_xlfn.XLOOKUP(B2142,
[1]sales_teams!$A$2:$A$100,
[1]sales_teams!$B$2:$B$100)</f>
        <v>Celia Rouche</v>
      </c>
      <c r="D2142" t="str">
        <f>_xlfn.XLOOKUP($B2142,sales_teams!$A$2:$A$36,sales_teams!C$2:C$36)</f>
        <v>West</v>
      </c>
      <c r="E2142" t="s">
        <v>18</v>
      </c>
      <c r="F2142" t="s">
        <v>100</v>
      </c>
      <c r="G2142" t="s">
        <v>12</v>
      </c>
      <c r="H2142" s="1">
        <v>42830</v>
      </c>
      <c r="I2142" s="1">
        <v>42905</v>
      </c>
      <c r="J2142">
        <v>62</v>
      </c>
    </row>
    <row r="2143" spans="1:10" x14ac:dyDescent="0.3">
      <c r="A2143" t="s">
        <v>2274</v>
      </c>
      <c r="B2143" t="s">
        <v>29</v>
      </c>
      <c r="C2143" t="str">
        <f>_xlfn.XLOOKUP(B2143,
[1]sales_teams!$A$2:$A$100,
[1]sales_teams!$B$2:$B$100)</f>
        <v>Celia Rouche</v>
      </c>
      <c r="D2143" t="str">
        <f>_xlfn.XLOOKUP($B2143,sales_teams!$A$2:$A$36,sales_teams!C$2:C$36)</f>
        <v>West</v>
      </c>
      <c r="E2143" t="s">
        <v>20</v>
      </c>
      <c r="F2143" t="s">
        <v>79</v>
      </c>
      <c r="G2143" t="s">
        <v>12</v>
      </c>
      <c r="H2143" s="1">
        <v>42830</v>
      </c>
      <c r="I2143" s="1">
        <v>42914</v>
      </c>
      <c r="J2143">
        <v>550</v>
      </c>
    </row>
    <row r="2144" spans="1:10" x14ac:dyDescent="0.3">
      <c r="A2144" t="s">
        <v>2275</v>
      </c>
      <c r="B2144" t="s">
        <v>73</v>
      </c>
      <c r="C2144" t="str">
        <f>_xlfn.XLOOKUP(B2144,
[1]sales_teams!$A$2:$A$100,
[1]sales_teams!$B$2:$B$100)</f>
        <v>Cara Losch</v>
      </c>
      <c r="D2144" t="str">
        <f>_xlfn.XLOOKUP($B2144,sales_teams!$A$2:$A$36,sales_teams!C$2:C$36)</f>
        <v>East</v>
      </c>
      <c r="E2144" t="s">
        <v>18</v>
      </c>
      <c r="F2144" t="s">
        <v>237</v>
      </c>
      <c r="G2144" t="s">
        <v>12</v>
      </c>
      <c r="H2144" s="1">
        <v>42830</v>
      </c>
      <c r="I2144" s="1">
        <v>42832</v>
      </c>
      <c r="J2144">
        <v>45</v>
      </c>
    </row>
    <row r="2145" spans="1:10" x14ac:dyDescent="0.3">
      <c r="A2145" t="s">
        <v>2276</v>
      </c>
      <c r="B2145" t="s">
        <v>23</v>
      </c>
      <c r="C2145" t="str">
        <f>_xlfn.XLOOKUP(B2145,
[1]sales_teams!$A$2:$A$100,
[1]sales_teams!$B$2:$B$100)</f>
        <v>Summer Sewald</v>
      </c>
      <c r="D2145" t="str">
        <f>_xlfn.XLOOKUP($B2145,sales_teams!$A$2:$A$36,sales_teams!C$2:C$36)</f>
        <v>West</v>
      </c>
      <c r="E2145" t="s">
        <v>20</v>
      </c>
      <c r="G2145" t="s">
        <v>40</v>
      </c>
      <c r="H2145" s="1">
        <v>42830</v>
      </c>
    </row>
    <row r="2146" spans="1:10" x14ac:dyDescent="0.3">
      <c r="A2146" t="s">
        <v>2277</v>
      </c>
      <c r="B2146" t="s">
        <v>26</v>
      </c>
      <c r="C2146" t="str">
        <f>_xlfn.XLOOKUP(B2146,
[1]sales_teams!$A$2:$A$100,
[1]sales_teams!$B$2:$B$100)</f>
        <v>Dustin Brinkmann</v>
      </c>
      <c r="D2146" t="str">
        <f>_xlfn.XLOOKUP($B2146,sales_teams!$A$2:$A$36,sales_teams!C$2:C$36)</f>
        <v>Central</v>
      </c>
      <c r="E2146" t="s">
        <v>20</v>
      </c>
      <c r="F2146" t="s">
        <v>197</v>
      </c>
      <c r="G2146" t="s">
        <v>12</v>
      </c>
      <c r="H2146" s="1">
        <v>42831</v>
      </c>
      <c r="I2146" s="1">
        <v>42895</v>
      </c>
      <c r="J2146">
        <v>527</v>
      </c>
    </row>
    <row r="2147" spans="1:10" x14ac:dyDescent="0.3">
      <c r="A2147" t="s">
        <v>2278</v>
      </c>
      <c r="B2147" t="s">
        <v>118</v>
      </c>
      <c r="C2147" t="str">
        <f>_xlfn.XLOOKUP(B2147,
[1]sales_teams!$A$2:$A$100,
[1]sales_teams!$B$2:$B$100)</f>
        <v>Rocco Neubert</v>
      </c>
      <c r="D2147" t="str">
        <f>_xlfn.XLOOKUP($B2147,sales_teams!$A$2:$A$36,sales_teams!C$2:C$36)</f>
        <v>East</v>
      </c>
      <c r="E2147" t="s">
        <v>20</v>
      </c>
      <c r="F2147" t="s">
        <v>179</v>
      </c>
      <c r="G2147" t="s">
        <v>46</v>
      </c>
      <c r="H2147" s="1">
        <v>42831</v>
      </c>
      <c r="I2147" s="1">
        <v>42840</v>
      </c>
      <c r="J2147">
        <v>0</v>
      </c>
    </row>
    <row r="2148" spans="1:10" x14ac:dyDescent="0.3">
      <c r="A2148" t="s">
        <v>2279</v>
      </c>
      <c r="B2148" t="s">
        <v>118</v>
      </c>
      <c r="C2148" t="str">
        <f>_xlfn.XLOOKUP(B2148,
[1]sales_teams!$A$2:$A$100,
[1]sales_teams!$B$2:$B$100)</f>
        <v>Rocco Neubert</v>
      </c>
      <c r="D2148" t="str">
        <f>_xlfn.XLOOKUP($B2148,sales_teams!$A$2:$A$36,sales_teams!C$2:C$36)</f>
        <v>East</v>
      </c>
      <c r="E2148" t="s">
        <v>10</v>
      </c>
      <c r="F2148" t="s">
        <v>65</v>
      </c>
      <c r="G2148" t="s">
        <v>46</v>
      </c>
      <c r="H2148" s="1">
        <v>42831</v>
      </c>
      <c r="I2148" s="1">
        <v>42885</v>
      </c>
      <c r="J2148">
        <v>0</v>
      </c>
    </row>
    <row r="2149" spans="1:10" x14ac:dyDescent="0.3">
      <c r="A2149" t="s">
        <v>2280</v>
      </c>
      <c r="B2149" t="s">
        <v>64</v>
      </c>
      <c r="C2149" t="str">
        <f>_xlfn.XLOOKUP(B2149,
[1]sales_teams!$A$2:$A$100,
[1]sales_teams!$B$2:$B$100)</f>
        <v>Rocco Neubert</v>
      </c>
      <c r="D2149" t="str">
        <f>_xlfn.XLOOKUP($B2149,sales_teams!$A$2:$A$36,sales_teams!C$2:C$36)</f>
        <v>East</v>
      </c>
      <c r="E2149" t="s">
        <v>39</v>
      </c>
      <c r="G2149" t="s">
        <v>40</v>
      </c>
      <c r="H2149" s="1">
        <v>42831</v>
      </c>
    </row>
    <row r="2150" spans="1:10" x14ac:dyDescent="0.3">
      <c r="A2150" t="s">
        <v>2281</v>
      </c>
      <c r="B2150" t="s">
        <v>14</v>
      </c>
      <c r="C2150" t="str">
        <f>_xlfn.XLOOKUP(B2150,
[1]sales_teams!$A$2:$A$100,
[1]sales_teams!$B$2:$B$100)</f>
        <v>Melvin Marxen</v>
      </c>
      <c r="D2150" t="str">
        <f>_xlfn.XLOOKUP($B2150,sales_teams!$A$2:$A$36,sales_teams!C$2:C$36)</f>
        <v>Central</v>
      </c>
      <c r="E2150" t="s">
        <v>39</v>
      </c>
      <c r="F2150" t="s">
        <v>207</v>
      </c>
      <c r="G2150" t="s">
        <v>46</v>
      </c>
      <c r="H2150" s="1">
        <v>42831</v>
      </c>
      <c r="I2150" s="1">
        <v>42833</v>
      </c>
      <c r="J2150">
        <v>0</v>
      </c>
    </row>
    <row r="2151" spans="1:10" x14ac:dyDescent="0.3">
      <c r="A2151" t="s">
        <v>2282</v>
      </c>
      <c r="B2151" t="s">
        <v>14</v>
      </c>
      <c r="C2151" t="str">
        <f>_xlfn.XLOOKUP(B2151,
[1]sales_teams!$A$2:$A$100,
[1]sales_teams!$B$2:$B$100)</f>
        <v>Melvin Marxen</v>
      </c>
      <c r="D2151" t="str">
        <f>_xlfn.XLOOKUP($B2151,sales_teams!$A$2:$A$36,sales_teams!C$2:C$36)</f>
        <v>Central</v>
      </c>
      <c r="E2151" t="s">
        <v>18</v>
      </c>
      <c r="F2151" t="s">
        <v>126</v>
      </c>
      <c r="G2151" t="s">
        <v>12</v>
      </c>
      <c r="H2151" s="1">
        <v>42831</v>
      </c>
      <c r="I2151" s="1">
        <v>42839</v>
      </c>
      <c r="J2151">
        <v>64</v>
      </c>
    </row>
    <row r="2152" spans="1:10" x14ac:dyDescent="0.3">
      <c r="A2152" t="s">
        <v>2283</v>
      </c>
      <c r="B2152" t="s">
        <v>142</v>
      </c>
      <c r="C2152" t="str">
        <f>_xlfn.XLOOKUP(B2152,
[1]sales_teams!$A$2:$A$100,
[1]sales_teams!$B$2:$B$100)</f>
        <v>Rocco Neubert</v>
      </c>
      <c r="D2152" t="str">
        <f>_xlfn.XLOOKUP($B2152,sales_teams!$A$2:$A$36,sales_teams!C$2:C$36)</f>
        <v>East</v>
      </c>
      <c r="E2152" t="s">
        <v>39</v>
      </c>
      <c r="F2152" t="s">
        <v>215</v>
      </c>
      <c r="G2152" t="s">
        <v>12</v>
      </c>
      <c r="H2152" s="1">
        <v>42831</v>
      </c>
      <c r="I2152" s="1">
        <v>42840</v>
      </c>
      <c r="J2152">
        <v>3655</v>
      </c>
    </row>
    <row r="2153" spans="1:10" x14ac:dyDescent="0.3">
      <c r="A2153" t="s">
        <v>2284</v>
      </c>
      <c r="B2153" t="s">
        <v>67</v>
      </c>
      <c r="C2153" t="str">
        <f>_xlfn.XLOOKUP(B2153,
[1]sales_teams!$A$2:$A$100,
[1]sales_teams!$B$2:$B$100)</f>
        <v>Celia Rouche</v>
      </c>
      <c r="D2153" t="str">
        <f>_xlfn.XLOOKUP($B2153,sales_teams!$A$2:$A$36,sales_teams!C$2:C$36)</f>
        <v>West</v>
      </c>
      <c r="E2153" t="s">
        <v>145</v>
      </c>
      <c r="G2153" t="s">
        <v>40</v>
      </c>
      <c r="H2153" s="1">
        <v>42831</v>
      </c>
    </row>
    <row r="2154" spans="1:10" x14ac:dyDescent="0.3">
      <c r="A2154" t="s">
        <v>2285</v>
      </c>
      <c r="B2154" t="s">
        <v>67</v>
      </c>
      <c r="C2154" t="str">
        <f>_xlfn.XLOOKUP(B2154,
[1]sales_teams!$A$2:$A$100,
[1]sales_teams!$B$2:$B$100)</f>
        <v>Celia Rouche</v>
      </c>
      <c r="D2154" t="str">
        <f>_xlfn.XLOOKUP($B2154,sales_teams!$A$2:$A$36,sales_teams!C$2:C$36)</f>
        <v>West</v>
      </c>
      <c r="E2154" t="s">
        <v>18</v>
      </c>
      <c r="G2154" t="s">
        <v>40</v>
      </c>
      <c r="H2154" s="1">
        <v>42831</v>
      </c>
    </row>
    <row r="2155" spans="1:10" x14ac:dyDescent="0.3">
      <c r="A2155" t="s">
        <v>2286</v>
      </c>
      <c r="B2155" t="s">
        <v>44</v>
      </c>
      <c r="C2155" t="str">
        <f>_xlfn.XLOOKUP(B2155,
[1]sales_teams!$A$2:$A$100,
[1]sales_teams!$B$2:$B$100)</f>
        <v>Melvin Marxen</v>
      </c>
      <c r="D2155" t="str">
        <f>_xlfn.XLOOKUP($B2155,sales_teams!$A$2:$A$36,sales_teams!C$2:C$36)</f>
        <v>Central</v>
      </c>
      <c r="E2155" t="s">
        <v>18</v>
      </c>
      <c r="F2155" t="s">
        <v>42</v>
      </c>
      <c r="G2155" t="s">
        <v>46</v>
      </c>
      <c r="H2155" s="1">
        <v>42831</v>
      </c>
      <c r="I2155" s="1">
        <v>42841</v>
      </c>
      <c r="J2155">
        <v>0</v>
      </c>
    </row>
    <row r="2156" spans="1:10" x14ac:dyDescent="0.3">
      <c r="A2156" t="s">
        <v>2287</v>
      </c>
      <c r="B2156" t="s">
        <v>44</v>
      </c>
      <c r="C2156" t="str">
        <f>_xlfn.XLOOKUP(B2156,
[1]sales_teams!$A$2:$A$100,
[1]sales_teams!$B$2:$B$100)</f>
        <v>Melvin Marxen</v>
      </c>
      <c r="D2156" t="str">
        <f>_xlfn.XLOOKUP($B2156,sales_teams!$A$2:$A$36,sales_teams!C$2:C$36)</f>
        <v>Central</v>
      </c>
      <c r="E2156" t="s">
        <v>39</v>
      </c>
      <c r="F2156" t="s">
        <v>126</v>
      </c>
      <c r="G2156" t="s">
        <v>46</v>
      </c>
      <c r="H2156" s="1">
        <v>42831</v>
      </c>
      <c r="I2156" s="1">
        <v>42838</v>
      </c>
      <c r="J2156">
        <v>0</v>
      </c>
    </row>
    <row r="2157" spans="1:10" x14ac:dyDescent="0.3">
      <c r="A2157" t="s">
        <v>2288</v>
      </c>
      <c r="B2157" t="s">
        <v>54</v>
      </c>
      <c r="C2157" t="str">
        <f>_xlfn.XLOOKUP(B2157,
[1]sales_teams!$A$2:$A$100,
[1]sales_teams!$B$2:$B$100)</f>
        <v>Celia Rouche</v>
      </c>
      <c r="D2157" t="str">
        <f>_xlfn.XLOOKUP($B2157,sales_teams!$A$2:$A$36,sales_teams!C$2:C$36)</f>
        <v>West</v>
      </c>
      <c r="E2157" t="s">
        <v>39</v>
      </c>
      <c r="G2157" t="s">
        <v>40</v>
      </c>
      <c r="H2157" s="1">
        <v>42831</v>
      </c>
    </row>
    <row r="2158" spans="1:10" x14ac:dyDescent="0.3">
      <c r="A2158" t="s">
        <v>2289</v>
      </c>
      <c r="B2158" t="s">
        <v>38</v>
      </c>
      <c r="C2158" t="str">
        <f>_xlfn.XLOOKUP(B2158,
[1]sales_teams!$A$2:$A$100,
[1]sales_teams!$B$2:$B$100)</f>
        <v>Summer Sewald</v>
      </c>
      <c r="D2158" t="str">
        <f>_xlfn.XLOOKUP($B2158,sales_teams!$A$2:$A$36,sales_teams!C$2:C$36)</f>
        <v>West</v>
      </c>
      <c r="E2158" t="s">
        <v>20</v>
      </c>
      <c r="F2158" t="s">
        <v>55</v>
      </c>
      <c r="G2158" t="s">
        <v>12</v>
      </c>
      <c r="H2158" s="1">
        <v>42831</v>
      </c>
      <c r="I2158" s="1">
        <v>42876</v>
      </c>
      <c r="J2158">
        <v>561</v>
      </c>
    </row>
    <row r="2159" spans="1:10" x14ac:dyDescent="0.3">
      <c r="A2159" t="s">
        <v>2290</v>
      </c>
      <c r="B2159" t="s">
        <v>78</v>
      </c>
      <c r="C2159" t="str">
        <f>_xlfn.XLOOKUP(B2159,
[1]sales_teams!$A$2:$A$100,
[1]sales_teams!$B$2:$B$100)</f>
        <v>Summer Sewald</v>
      </c>
      <c r="D2159" t="str">
        <f>_xlfn.XLOOKUP($B2159,sales_teams!$A$2:$A$36,sales_teams!C$2:C$36)</f>
        <v>West</v>
      </c>
      <c r="E2159" t="s">
        <v>10</v>
      </c>
      <c r="G2159" t="s">
        <v>40</v>
      </c>
      <c r="H2159" s="1">
        <v>42831</v>
      </c>
    </row>
    <row r="2160" spans="1:10" x14ac:dyDescent="0.3">
      <c r="A2160" t="s">
        <v>2291</v>
      </c>
      <c r="B2160" t="s">
        <v>95</v>
      </c>
      <c r="C2160" t="str">
        <f>_xlfn.XLOOKUP(B2160,
[1]sales_teams!$A$2:$A$100,
[1]sales_teams!$B$2:$B$100)</f>
        <v>Summer Sewald</v>
      </c>
      <c r="D2160" t="str">
        <f>_xlfn.XLOOKUP($B2160,sales_teams!$A$2:$A$36,sales_teams!C$2:C$36)</f>
        <v>West</v>
      </c>
      <c r="E2160" t="s">
        <v>20</v>
      </c>
      <c r="F2160" t="s">
        <v>24</v>
      </c>
      <c r="G2160" t="s">
        <v>46</v>
      </c>
      <c r="H2160" s="1">
        <v>42831</v>
      </c>
      <c r="I2160" s="1">
        <v>42953</v>
      </c>
      <c r="J2160">
        <v>0</v>
      </c>
    </row>
    <row r="2161" spans="1:10" x14ac:dyDescent="0.3">
      <c r="A2161" t="s">
        <v>2292</v>
      </c>
      <c r="B2161" t="s">
        <v>95</v>
      </c>
      <c r="C2161" t="str">
        <f>_xlfn.XLOOKUP(B2161,
[1]sales_teams!$A$2:$A$100,
[1]sales_teams!$B$2:$B$100)</f>
        <v>Summer Sewald</v>
      </c>
      <c r="D2161" t="str">
        <f>_xlfn.XLOOKUP($B2161,sales_teams!$A$2:$A$36,sales_teams!C$2:C$36)</f>
        <v>West</v>
      </c>
      <c r="E2161" t="s">
        <v>10</v>
      </c>
      <c r="F2161" t="s">
        <v>194</v>
      </c>
      <c r="G2161" t="s">
        <v>46</v>
      </c>
      <c r="H2161" s="1">
        <v>42831</v>
      </c>
      <c r="I2161" s="1">
        <v>42841</v>
      </c>
      <c r="J2161">
        <v>0</v>
      </c>
    </row>
    <row r="2162" spans="1:10" x14ac:dyDescent="0.3">
      <c r="A2162" t="s">
        <v>2293</v>
      </c>
      <c r="B2162" t="s">
        <v>95</v>
      </c>
      <c r="C2162" t="str">
        <f>_xlfn.XLOOKUP(B2162,
[1]sales_teams!$A$2:$A$100,
[1]sales_teams!$B$2:$B$100)</f>
        <v>Summer Sewald</v>
      </c>
      <c r="D2162" t="str">
        <f>_xlfn.XLOOKUP($B2162,sales_teams!$A$2:$A$36,sales_teams!C$2:C$36)</f>
        <v>West</v>
      </c>
      <c r="E2162" t="s">
        <v>48</v>
      </c>
      <c r="F2162" t="s">
        <v>124</v>
      </c>
      <c r="G2162" t="s">
        <v>12</v>
      </c>
      <c r="H2162" s="1">
        <v>42831</v>
      </c>
      <c r="I2162" s="1">
        <v>42832</v>
      </c>
      <c r="J2162">
        <v>6154</v>
      </c>
    </row>
    <row r="2163" spans="1:10" x14ac:dyDescent="0.3">
      <c r="A2163" t="s">
        <v>2294</v>
      </c>
      <c r="B2163" t="s">
        <v>95</v>
      </c>
      <c r="C2163" t="str">
        <f>_xlfn.XLOOKUP(B2163,
[1]sales_teams!$A$2:$A$100,
[1]sales_teams!$B$2:$B$100)</f>
        <v>Summer Sewald</v>
      </c>
      <c r="D2163" t="str">
        <f>_xlfn.XLOOKUP($B2163,sales_teams!$A$2:$A$36,sales_teams!C$2:C$36)</f>
        <v>West</v>
      </c>
      <c r="E2163" t="s">
        <v>15</v>
      </c>
      <c r="F2163" t="s">
        <v>33</v>
      </c>
      <c r="G2163" t="s">
        <v>12</v>
      </c>
      <c r="H2163" s="1">
        <v>42831</v>
      </c>
      <c r="I2163" s="1">
        <v>42837</v>
      </c>
      <c r="J2163">
        <v>4756</v>
      </c>
    </row>
    <row r="2164" spans="1:10" x14ac:dyDescent="0.3">
      <c r="A2164" t="s">
        <v>2295</v>
      </c>
      <c r="B2164" t="s">
        <v>133</v>
      </c>
      <c r="C2164" t="str">
        <f>_xlfn.XLOOKUP(B2164,
[1]sales_teams!$A$2:$A$100,
[1]sales_teams!$B$2:$B$100)</f>
        <v>Dustin Brinkmann</v>
      </c>
      <c r="D2164" t="str">
        <f>_xlfn.XLOOKUP($B2164,sales_teams!$A$2:$A$36,sales_teams!C$2:C$36)</f>
        <v>Central</v>
      </c>
      <c r="E2164" t="s">
        <v>20</v>
      </c>
      <c r="F2164" t="s">
        <v>492</v>
      </c>
      <c r="G2164" t="s">
        <v>46</v>
      </c>
      <c r="H2164" s="1">
        <v>42831</v>
      </c>
      <c r="I2164" s="1">
        <v>42839</v>
      </c>
      <c r="J2164">
        <v>0</v>
      </c>
    </row>
    <row r="2165" spans="1:10" x14ac:dyDescent="0.3">
      <c r="A2165" t="s">
        <v>2296</v>
      </c>
      <c r="B2165" t="s">
        <v>133</v>
      </c>
      <c r="C2165" t="str">
        <f>_xlfn.XLOOKUP(B2165,
[1]sales_teams!$A$2:$A$100,
[1]sales_teams!$B$2:$B$100)</f>
        <v>Dustin Brinkmann</v>
      </c>
      <c r="D2165" t="str">
        <f>_xlfn.XLOOKUP($B2165,sales_teams!$A$2:$A$36,sales_teams!C$2:C$36)</f>
        <v>Central</v>
      </c>
      <c r="E2165" t="s">
        <v>18</v>
      </c>
      <c r="F2165" t="s">
        <v>109</v>
      </c>
      <c r="G2165" t="s">
        <v>12</v>
      </c>
      <c r="H2165" s="1">
        <v>42831</v>
      </c>
      <c r="I2165" s="1">
        <v>42885</v>
      </c>
      <c r="J2165">
        <v>61</v>
      </c>
    </row>
    <row r="2166" spans="1:10" x14ac:dyDescent="0.3">
      <c r="A2166" t="s">
        <v>2297</v>
      </c>
      <c r="B2166" t="s">
        <v>9</v>
      </c>
      <c r="C2166" t="str">
        <f>_xlfn.XLOOKUP(B2166,
[1]sales_teams!$A$2:$A$100,
[1]sales_teams!$B$2:$B$100)</f>
        <v>Dustin Brinkmann</v>
      </c>
      <c r="D2166" t="str">
        <f>_xlfn.XLOOKUP($B2166,sales_teams!$A$2:$A$36,sales_teams!C$2:C$36)</f>
        <v>Central</v>
      </c>
      <c r="E2166" t="s">
        <v>20</v>
      </c>
      <c r="F2166" t="s">
        <v>76</v>
      </c>
      <c r="G2166" t="s">
        <v>12</v>
      </c>
      <c r="H2166" s="1">
        <v>42831</v>
      </c>
      <c r="I2166" s="1">
        <v>42910</v>
      </c>
      <c r="J2166">
        <v>575</v>
      </c>
    </row>
    <row r="2167" spans="1:10" x14ac:dyDescent="0.3">
      <c r="A2167" t="s">
        <v>2298</v>
      </c>
      <c r="B2167" t="s">
        <v>9</v>
      </c>
      <c r="C2167" t="str">
        <f>_xlfn.XLOOKUP(B2167,
[1]sales_teams!$A$2:$A$100,
[1]sales_teams!$B$2:$B$100)</f>
        <v>Dustin Brinkmann</v>
      </c>
      <c r="D2167" t="str">
        <f>_xlfn.XLOOKUP($B2167,sales_teams!$A$2:$A$36,sales_teams!C$2:C$36)</f>
        <v>Central</v>
      </c>
      <c r="E2167" t="s">
        <v>10</v>
      </c>
      <c r="F2167" t="s">
        <v>129</v>
      </c>
      <c r="G2167" t="s">
        <v>12</v>
      </c>
      <c r="H2167" s="1">
        <v>42831</v>
      </c>
      <c r="I2167" s="1">
        <v>42877</v>
      </c>
      <c r="J2167">
        <v>1147</v>
      </c>
    </row>
    <row r="2168" spans="1:10" x14ac:dyDescent="0.3">
      <c r="A2168" t="s">
        <v>2299</v>
      </c>
      <c r="B2168" t="s">
        <v>9</v>
      </c>
      <c r="C2168" t="str">
        <f>_xlfn.XLOOKUP(B2168,
[1]sales_teams!$A$2:$A$100,
[1]sales_teams!$B$2:$B$100)</f>
        <v>Dustin Brinkmann</v>
      </c>
      <c r="D2168" t="str">
        <f>_xlfn.XLOOKUP($B2168,sales_teams!$A$2:$A$36,sales_teams!C$2:C$36)</f>
        <v>Central</v>
      </c>
      <c r="E2168" t="s">
        <v>39</v>
      </c>
      <c r="F2168" t="s">
        <v>135</v>
      </c>
      <c r="G2168" t="s">
        <v>12</v>
      </c>
      <c r="H2168" s="1">
        <v>42831</v>
      </c>
      <c r="I2168" s="1">
        <v>42898</v>
      </c>
      <c r="J2168">
        <v>3161</v>
      </c>
    </row>
    <row r="2169" spans="1:10" x14ac:dyDescent="0.3">
      <c r="A2169" t="s">
        <v>2300</v>
      </c>
      <c r="B2169" t="s">
        <v>35</v>
      </c>
      <c r="C2169" t="str">
        <f>_xlfn.XLOOKUP(B2169,
[1]sales_teams!$A$2:$A$100,
[1]sales_teams!$B$2:$B$100)</f>
        <v>Melvin Marxen</v>
      </c>
      <c r="D2169" t="str">
        <f>_xlfn.XLOOKUP($B2169,sales_teams!$A$2:$A$36,sales_teams!C$2:C$36)</f>
        <v>Central</v>
      </c>
      <c r="E2169" t="s">
        <v>20</v>
      </c>
      <c r="F2169" t="s">
        <v>16</v>
      </c>
      <c r="G2169" t="s">
        <v>46</v>
      </c>
      <c r="H2169" s="1">
        <v>42831</v>
      </c>
      <c r="I2169" s="1">
        <v>42841</v>
      </c>
      <c r="J2169">
        <v>0</v>
      </c>
    </row>
    <row r="2170" spans="1:10" x14ac:dyDescent="0.3">
      <c r="A2170" t="s">
        <v>2301</v>
      </c>
      <c r="B2170" t="s">
        <v>29</v>
      </c>
      <c r="C2170" t="str">
        <f>_xlfn.XLOOKUP(B2170,
[1]sales_teams!$A$2:$A$100,
[1]sales_teams!$B$2:$B$100)</f>
        <v>Celia Rouche</v>
      </c>
      <c r="D2170" t="str">
        <f>_xlfn.XLOOKUP($B2170,sales_teams!$A$2:$A$36,sales_teams!C$2:C$36)</f>
        <v>West</v>
      </c>
      <c r="E2170" t="s">
        <v>39</v>
      </c>
      <c r="F2170" t="s">
        <v>218</v>
      </c>
      <c r="G2170" t="s">
        <v>46</v>
      </c>
      <c r="H2170" s="1">
        <v>42831</v>
      </c>
      <c r="I2170" s="1">
        <v>42839</v>
      </c>
      <c r="J2170">
        <v>0</v>
      </c>
    </row>
    <row r="2171" spans="1:10" x14ac:dyDescent="0.3">
      <c r="A2171" t="s">
        <v>2302</v>
      </c>
      <c r="B2171" t="s">
        <v>29</v>
      </c>
      <c r="C2171" t="str">
        <f>_xlfn.XLOOKUP(B2171,
[1]sales_teams!$A$2:$A$100,
[1]sales_teams!$B$2:$B$100)</f>
        <v>Celia Rouche</v>
      </c>
      <c r="D2171" t="str">
        <f>_xlfn.XLOOKUP($B2171,sales_teams!$A$2:$A$36,sales_teams!C$2:C$36)</f>
        <v>West</v>
      </c>
      <c r="E2171" t="s">
        <v>20</v>
      </c>
      <c r="F2171" t="s">
        <v>59</v>
      </c>
      <c r="G2171" t="s">
        <v>12</v>
      </c>
      <c r="H2171" s="1">
        <v>42831</v>
      </c>
      <c r="I2171" s="1">
        <v>42859</v>
      </c>
      <c r="J2171">
        <v>525</v>
      </c>
    </row>
    <row r="2172" spans="1:10" x14ac:dyDescent="0.3">
      <c r="A2172" t="s">
        <v>2303</v>
      </c>
      <c r="B2172" t="s">
        <v>23</v>
      </c>
      <c r="C2172" t="str">
        <f>_xlfn.XLOOKUP(B2172,
[1]sales_teams!$A$2:$A$100,
[1]sales_teams!$B$2:$B$100)</f>
        <v>Summer Sewald</v>
      </c>
      <c r="D2172" t="str">
        <f>_xlfn.XLOOKUP($B2172,sales_teams!$A$2:$A$36,sales_teams!C$2:C$36)</f>
        <v>West</v>
      </c>
      <c r="E2172" t="s">
        <v>15</v>
      </c>
      <c r="F2172" t="s">
        <v>174</v>
      </c>
      <c r="G2172" t="s">
        <v>12</v>
      </c>
      <c r="H2172" s="1">
        <v>42831</v>
      </c>
      <c r="I2172" s="1">
        <v>42837</v>
      </c>
      <c r="J2172">
        <v>4168</v>
      </c>
    </row>
    <row r="2173" spans="1:10" x14ac:dyDescent="0.3">
      <c r="A2173" t="s">
        <v>2304</v>
      </c>
      <c r="B2173" t="s">
        <v>26</v>
      </c>
      <c r="C2173" t="str">
        <f>_xlfn.XLOOKUP(B2173,
[1]sales_teams!$A$2:$A$100,
[1]sales_teams!$B$2:$B$100)</f>
        <v>Dustin Brinkmann</v>
      </c>
      <c r="D2173" t="str">
        <f>_xlfn.XLOOKUP($B2173,sales_teams!$A$2:$A$36,sales_teams!C$2:C$36)</f>
        <v>Central</v>
      </c>
      <c r="E2173" t="s">
        <v>20</v>
      </c>
      <c r="F2173" t="s">
        <v>76</v>
      </c>
      <c r="G2173" t="s">
        <v>12</v>
      </c>
      <c r="H2173" s="1">
        <v>42832</v>
      </c>
      <c r="I2173" s="1">
        <v>42833</v>
      </c>
      <c r="J2173">
        <v>596</v>
      </c>
    </row>
    <row r="2174" spans="1:10" x14ac:dyDescent="0.3">
      <c r="A2174" t="s">
        <v>2305</v>
      </c>
      <c r="B2174" t="s">
        <v>139</v>
      </c>
      <c r="C2174" t="str">
        <f>_xlfn.XLOOKUP(B2174,
[1]sales_teams!$A$2:$A$100,
[1]sales_teams!$B$2:$B$100)</f>
        <v>Rocco Neubert</v>
      </c>
      <c r="D2174" t="str">
        <f>_xlfn.XLOOKUP($B2174,sales_teams!$A$2:$A$36,sales_teams!C$2:C$36)</f>
        <v>East</v>
      </c>
      <c r="E2174" t="s">
        <v>15</v>
      </c>
      <c r="G2174" t="s">
        <v>40</v>
      </c>
      <c r="H2174" s="1">
        <v>42832</v>
      </c>
    </row>
    <row r="2175" spans="1:10" x14ac:dyDescent="0.3">
      <c r="A2175" t="s">
        <v>2306</v>
      </c>
      <c r="B2175" t="s">
        <v>139</v>
      </c>
      <c r="C2175" t="str">
        <f>_xlfn.XLOOKUP(B2175,
[1]sales_teams!$A$2:$A$100,
[1]sales_teams!$B$2:$B$100)</f>
        <v>Rocco Neubert</v>
      </c>
      <c r="D2175" t="str">
        <f>_xlfn.XLOOKUP($B2175,sales_teams!$A$2:$A$36,sales_teams!C$2:C$36)</f>
        <v>East</v>
      </c>
      <c r="E2175" t="s">
        <v>18</v>
      </c>
      <c r="F2175" t="s">
        <v>89</v>
      </c>
      <c r="G2175" t="s">
        <v>12</v>
      </c>
      <c r="H2175" s="1">
        <v>42832</v>
      </c>
      <c r="I2175" s="1">
        <v>42840</v>
      </c>
      <c r="J2175">
        <v>59</v>
      </c>
    </row>
    <row r="2176" spans="1:10" x14ac:dyDescent="0.3">
      <c r="A2176" t="s">
        <v>2307</v>
      </c>
      <c r="B2176" t="s">
        <v>118</v>
      </c>
      <c r="C2176" t="str">
        <f>_xlfn.XLOOKUP(B2176,
[1]sales_teams!$A$2:$A$100,
[1]sales_teams!$B$2:$B$100)</f>
        <v>Rocco Neubert</v>
      </c>
      <c r="D2176" t="str">
        <f>_xlfn.XLOOKUP($B2176,sales_teams!$A$2:$A$36,sales_teams!C$2:C$36)</f>
        <v>East</v>
      </c>
      <c r="E2176" t="s">
        <v>15</v>
      </c>
      <c r="F2176" t="s">
        <v>177</v>
      </c>
      <c r="G2176" t="s">
        <v>46</v>
      </c>
      <c r="H2176" s="1">
        <v>42832</v>
      </c>
      <c r="I2176" s="1">
        <v>42869</v>
      </c>
      <c r="J2176">
        <v>0</v>
      </c>
    </row>
    <row r="2177" spans="1:10" x14ac:dyDescent="0.3">
      <c r="A2177" t="s">
        <v>2308</v>
      </c>
      <c r="B2177" t="s">
        <v>164</v>
      </c>
      <c r="C2177" t="str">
        <f>_xlfn.XLOOKUP(B2177,
[1]sales_teams!$A$2:$A$100,
[1]sales_teams!$B$2:$B$100)</f>
        <v>Cara Losch</v>
      </c>
      <c r="D2177" t="str">
        <f>_xlfn.XLOOKUP($B2177,sales_teams!$A$2:$A$36,sales_teams!C$2:C$36)</f>
        <v>East</v>
      </c>
      <c r="E2177" t="s">
        <v>39</v>
      </c>
      <c r="G2177" t="s">
        <v>40</v>
      </c>
      <c r="H2177" s="1">
        <v>42832</v>
      </c>
    </row>
    <row r="2178" spans="1:10" x14ac:dyDescent="0.3">
      <c r="A2178" t="s">
        <v>2309</v>
      </c>
      <c r="B2178" t="s">
        <v>164</v>
      </c>
      <c r="C2178" t="str">
        <f>_xlfn.XLOOKUP(B2178,
[1]sales_teams!$A$2:$A$100,
[1]sales_teams!$B$2:$B$100)</f>
        <v>Cara Losch</v>
      </c>
      <c r="D2178" t="str">
        <f>_xlfn.XLOOKUP($B2178,sales_teams!$A$2:$A$36,sales_teams!C$2:C$36)</f>
        <v>East</v>
      </c>
      <c r="E2178" t="s">
        <v>48</v>
      </c>
      <c r="F2178" t="s">
        <v>199</v>
      </c>
      <c r="G2178" t="s">
        <v>12</v>
      </c>
      <c r="H2178" s="1">
        <v>42832</v>
      </c>
      <c r="I2178" s="1">
        <v>42840</v>
      </c>
      <c r="J2178">
        <v>5684</v>
      </c>
    </row>
    <row r="2179" spans="1:10" x14ac:dyDescent="0.3">
      <c r="A2179" t="s">
        <v>2310</v>
      </c>
      <c r="B2179" t="s">
        <v>64</v>
      </c>
      <c r="C2179" t="str">
        <f>_xlfn.XLOOKUP(B2179,
[1]sales_teams!$A$2:$A$100,
[1]sales_teams!$B$2:$B$100)</f>
        <v>Rocco Neubert</v>
      </c>
      <c r="D2179" t="str">
        <f>_xlfn.XLOOKUP($B2179,sales_teams!$A$2:$A$36,sales_teams!C$2:C$36)</f>
        <v>East</v>
      </c>
      <c r="E2179" t="s">
        <v>39</v>
      </c>
      <c r="F2179" t="s">
        <v>155</v>
      </c>
      <c r="G2179" t="s">
        <v>46</v>
      </c>
      <c r="H2179" s="1">
        <v>42832</v>
      </c>
      <c r="I2179" s="1">
        <v>42840</v>
      </c>
      <c r="J2179">
        <v>0</v>
      </c>
    </row>
    <row r="2180" spans="1:10" x14ac:dyDescent="0.3">
      <c r="A2180" t="s">
        <v>2311</v>
      </c>
      <c r="B2180" t="s">
        <v>14</v>
      </c>
      <c r="C2180" t="str">
        <f>_xlfn.XLOOKUP(B2180,
[1]sales_teams!$A$2:$A$100,
[1]sales_teams!$B$2:$B$100)</f>
        <v>Melvin Marxen</v>
      </c>
      <c r="D2180" t="str">
        <f>_xlfn.XLOOKUP($B2180,sales_teams!$A$2:$A$36,sales_teams!C$2:C$36)</f>
        <v>Central</v>
      </c>
      <c r="E2180" t="s">
        <v>15</v>
      </c>
      <c r="F2180" t="s">
        <v>109</v>
      </c>
      <c r="G2180" t="s">
        <v>12</v>
      </c>
      <c r="H2180" s="1">
        <v>42832</v>
      </c>
      <c r="I2180" s="1">
        <v>42840</v>
      </c>
      <c r="J2180">
        <v>4413</v>
      </c>
    </row>
    <row r="2181" spans="1:10" x14ac:dyDescent="0.3">
      <c r="A2181" t="s">
        <v>2312</v>
      </c>
      <c r="B2181" t="s">
        <v>142</v>
      </c>
      <c r="C2181" t="str">
        <f>_xlfn.XLOOKUP(B2181,
[1]sales_teams!$A$2:$A$100,
[1]sales_teams!$B$2:$B$100)</f>
        <v>Rocco Neubert</v>
      </c>
      <c r="D2181" t="str">
        <f>_xlfn.XLOOKUP($B2181,sales_teams!$A$2:$A$36,sales_teams!C$2:C$36)</f>
        <v>East</v>
      </c>
      <c r="E2181" t="s">
        <v>39</v>
      </c>
      <c r="F2181" t="s">
        <v>140</v>
      </c>
      <c r="G2181" t="s">
        <v>46</v>
      </c>
      <c r="H2181" s="1">
        <v>42832</v>
      </c>
      <c r="I2181" s="1">
        <v>42842</v>
      </c>
      <c r="J2181">
        <v>0</v>
      </c>
    </row>
    <row r="2182" spans="1:10" x14ac:dyDescent="0.3">
      <c r="A2182" t="s">
        <v>2313</v>
      </c>
      <c r="B2182" t="s">
        <v>142</v>
      </c>
      <c r="C2182" t="str">
        <f>_xlfn.XLOOKUP(B2182,
[1]sales_teams!$A$2:$A$100,
[1]sales_teams!$B$2:$B$100)</f>
        <v>Rocco Neubert</v>
      </c>
      <c r="D2182" t="str">
        <f>_xlfn.XLOOKUP($B2182,sales_teams!$A$2:$A$36,sales_teams!C$2:C$36)</f>
        <v>East</v>
      </c>
      <c r="E2182" t="s">
        <v>39</v>
      </c>
      <c r="F2182" t="s">
        <v>74</v>
      </c>
      <c r="G2182" t="s">
        <v>46</v>
      </c>
      <c r="H2182" s="1">
        <v>42832</v>
      </c>
      <c r="I2182" s="1">
        <v>42840</v>
      </c>
      <c r="J2182">
        <v>0</v>
      </c>
    </row>
    <row r="2183" spans="1:10" x14ac:dyDescent="0.3">
      <c r="A2183" t="s">
        <v>2314</v>
      </c>
      <c r="B2183" t="s">
        <v>142</v>
      </c>
      <c r="C2183" t="str">
        <f>_xlfn.XLOOKUP(B2183,
[1]sales_teams!$A$2:$A$100,
[1]sales_teams!$B$2:$B$100)</f>
        <v>Rocco Neubert</v>
      </c>
      <c r="D2183" t="str">
        <f>_xlfn.XLOOKUP($B2183,sales_teams!$A$2:$A$36,sales_teams!C$2:C$36)</f>
        <v>East</v>
      </c>
      <c r="E2183" t="s">
        <v>15</v>
      </c>
      <c r="F2183" t="s">
        <v>106</v>
      </c>
      <c r="G2183" t="s">
        <v>12</v>
      </c>
      <c r="H2183" s="1">
        <v>42832</v>
      </c>
      <c r="I2183" s="1">
        <v>42838</v>
      </c>
      <c r="J2183">
        <v>4152</v>
      </c>
    </row>
    <row r="2184" spans="1:10" x14ac:dyDescent="0.3">
      <c r="A2184" t="s">
        <v>2315</v>
      </c>
      <c r="B2184" t="s">
        <v>67</v>
      </c>
      <c r="C2184" t="str">
        <f>_xlfn.XLOOKUP(B2184,
[1]sales_teams!$A$2:$A$100,
[1]sales_teams!$B$2:$B$100)</f>
        <v>Celia Rouche</v>
      </c>
      <c r="D2184" t="str">
        <f>_xlfn.XLOOKUP($B2184,sales_teams!$A$2:$A$36,sales_teams!C$2:C$36)</f>
        <v>West</v>
      </c>
      <c r="E2184" t="s">
        <v>18</v>
      </c>
      <c r="F2184" t="s">
        <v>174</v>
      </c>
      <c r="G2184" t="s">
        <v>12</v>
      </c>
      <c r="H2184" s="1">
        <v>42832</v>
      </c>
      <c r="I2184" s="1">
        <v>42910</v>
      </c>
      <c r="J2184">
        <v>51</v>
      </c>
    </row>
    <row r="2185" spans="1:10" x14ac:dyDescent="0.3">
      <c r="A2185" t="s">
        <v>2316</v>
      </c>
      <c r="B2185" t="s">
        <v>105</v>
      </c>
      <c r="C2185" t="str">
        <f>_xlfn.XLOOKUP(B2185,
[1]sales_teams!$A$2:$A$100,
[1]sales_teams!$B$2:$B$100)</f>
        <v>Cara Losch</v>
      </c>
      <c r="D2185" t="str">
        <f>_xlfn.XLOOKUP($B2185,sales_teams!$A$2:$A$36,sales_teams!C$2:C$36)</f>
        <v>East</v>
      </c>
      <c r="E2185" t="s">
        <v>20</v>
      </c>
      <c r="F2185" t="s">
        <v>300</v>
      </c>
      <c r="G2185" t="s">
        <v>46</v>
      </c>
      <c r="H2185" s="1">
        <v>42832</v>
      </c>
      <c r="I2185" s="1">
        <v>42840</v>
      </c>
      <c r="J2185">
        <v>0</v>
      </c>
    </row>
    <row r="2186" spans="1:10" x14ac:dyDescent="0.3">
      <c r="A2186" t="s">
        <v>2317</v>
      </c>
      <c r="B2186" t="s">
        <v>44</v>
      </c>
      <c r="C2186" t="str">
        <f>_xlfn.XLOOKUP(B2186,
[1]sales_teams!$A$2:$A$100,
[1]sales_teams!$B$2:$B$100)</f>
        <v>Melvin Marxen</v>
      </c>
      <c r="D2186" t="str">
        <f>_xlfn.XLOOKUP($B2186,sales_teams!$A$2:$A$36,sales_teams!C$2:C$36)</f>
        <v>Central</v>
      </c>
      <c r="E2186" t="s">
        <v>39</v>
      </c>
      <c r="F2186" t="s">
        <v>170</v>
      </c>
      <c r="G2186" t="s">
        <v>46</v>
      </c>
      <c r="H2186" s="1">
        <v>42832</v>
      </c>
      <c r="I2186" s="1">
        <v>42843</v>
      </c>
      <c r="J2186">
        <v>0</v>
      </c>
    </row>
    <row r="2187" spans="1:10" x14ac:dyDescent="0.3">
      <c r="A2187" t="s">
        <v>2318</v>
      </c>
      <c r="B2187" t="s">
        <v>38</v>
      </c>
      <c r="C2187" t="str">
        <f>_xlfn.XLOOKUP(B2187,
[1]sales_teams!$A$2:$A$100,
[1]sales_teams!$B$2:$B$100)</f>
        <v>Summer Sewald</v>
      </c>
      <c r="D2187" t="str">
        <f>_xlfn.XLOOKUP($B2187,sales_teams!$A$2:$A$36,sales_teams!C$2:C$36)</f>
        <v>West</v>
      </c>
      <c r="E2187" t="s">
        <v>10</v>
      </c>
      <c r="F2187" t="s">
        <v>52</v>
      </c>
      <c r="G2187" t="s">
        <v>12</v>
      </c>
      <c r="H2187" s="1">
        <v>42832</v>
      </c>
      <c r="I2187" s="1">
        <v>42873</v>
      </c>
      <c r="J2187">
        <v>1103</v>
      </c>
    </row>
    <row r="2188" spans="1:10" x14ac:dyDescent="0.3">
      <c r="A2188" t="s">
        <v>2319</v>
      </c>
      <c r="B2188" t="s">
        <v>252</v>
      </c>
      <c r="C2188" t="str">
        <f>_xlfn.XLOOKUP(B2188,
[1]sales_teams!$A$2:$A$100,
[1]sales_teams!$B$2:$B$100)</f>
        <v>Melvin Marxen</v>
      </c>
      <c r="D2188" t="str">
        <f>_xlfn.XLOOKUP($B2188,sales_teams!$A$2:$A$36,sales_teams!C$2:C$36)</f>
        <v>Central</v>
      </c>
      <c r="E2188" t="s">
        <v>10</v>
      </c>
      <c r="F2188" t="s">
        <v>76</v>
      </c>
      <c r="G2188" t="s">
        <v>12</v>
      </c>
      <c r="H2188" s="1">
        <v>42832</v>
      </c>
      <c r="I2188" s="1">
        <v>42834</v>
      </c>
      <c r="J2188">
        <v>1091</v>
      </c>
    </row>
    <row r="2189" spans="1:10" x14ac:dyDescent="0.3">
      <c r="A2189" t="s">
        <v>2320</v>
      </c>
      <c r="B2189" t="s">
        <v>252</v>
      </c>
      <c r="C2189" t="str">
        <f>_xlfn.XLOOKUP(B2189,
[1]sales_teams!$A$2:$A$100,
[1]sales_teams!$B$2:$B$100)</f>
        <v>Melvin Marxen</v>
      </c>
      <c r="D2189" t="str">
        <f>_xlfn.XLOOKUP($B2189,sales_teams!$A$2:$A$36,sales_teams!C$2:C$36)</f>
        <v>Central</v>
      </c>
      <c r="E2189" t="s">
        <v>10</v>
      </c>
      <c r="F2189" t="s">
        <v>36</v>
      </c>
      <c r="G2189" t="s">
        <v>12</v>
      </c>
      <c r="H2189" s="1">
        <v>42832</v>
      </c>
      <c r="I2189" s="1">
        <v>42842</v>
      </c>
      <c r="J2189">
        <v>1189</v>
      </c>
    </row>
    <row r="2190" spans="1:10" x14ac:dyDescent="0.3">
      <c r="A2190" t="s">
        <v>2321</v>
      </c>
      <c r="B2190" t="s">
        <v>252</v>
      </c>
      <c r="C2190" t="str">
        <f>_xlfn.XLOOKUP(B2190,
[1]sales_teams!$A$2:$A$100,
[1]sales_teams!$B$2:$B$100)</f>
        <v>Melvin Marxen</v>
      </c>
      <c r="D2190" t="str">
        <f>_xlfn.XLOOKUP($B2190,sales_teams!$A$2:$A$36,sales_teams!C$2:C$36)</f>
        <v>Central</v>
      </c>
      <c r="E2190" t="s">
        <v>15</v>
      </c>
      <c r="F2190" t="s">
        <v>492</v>
      </c>
      <c r="G2190" t="s">
        <v>12</v>
      </c>
      <c r="H2190" s="1">
        <v>42832</v>
      </c>
      <c r="I2190" s="1">
        <v>42913</v>
      </c>
      <c r="J2190">
        <v>4534</v>
      </c>
    </row>
    <row r="2191" spans="1:10" x14ac:dyDescent="0.3">
      <c r="A2191" t="s">
        <v>2322</v>
      </c>
      <c r="B2191" t="s">
        <v>78</v>
      </c>
      <c r="C2191" t="str">
        <f>_xlfn.XLOOKUP(B2191,
[1]sales_teams!$A$2:$A$100,
[1]sales_teams!$B$2:$B$100)</f>
        <v>Summer Sewald</v>
      </c>
      <c r="D2191" t="str">
        <f>_xlfn.XLOOKUP($B2191,sales_teams!$A$2:$A$36,sales_teams!C$2:C$36)</f>
        <v>West</v>
      </c>
      <c r="E2191" t="s">
        <v>20</v>
      </c>
      <c r="F2191" t="s">
        <v>122</v>
      </c>
      <c r="G2191" t="s">
        <v>46</v>
      </c>
      <c r="H2191" s="1">
        <v>42832</v>
      </c>
      <c r="I2191" s="1">
        <v>42867</v>
      </c>
      <c r="J2191">
        <v>0</v>
      </c>
    </row>
    <row r="2192" spans="1:10" x14ac:dyDescent="0.3">
      <c r="A2192" t="s">
        <v>2323</v>
      </c>
      <c r="B2192" t="s">
        <v>78</v>
      </c>
      <c r="C2192" t="str">
        <f>_xlfn.XLOOKUP(B2192,
[1]sales_teams!$A$2:$A$100,
[1]sales_teams!$B$2:$B$100)</f>
        <v>Summer Sewald</v>
      </c>
      <c r="D2192" t="str">
        <f>_xlfn.XLOOKUP($B2192,sales_teams!$A$2:$A$36,sales_teams!C$2:C$36)</f>
        <v>West</v>
      </c>
      <c r="E2192" t="s">
        <v>10</v>
      </c>
      <c r="F2192" t="s">
        <v>199</v>
      </c>
      <c r="G2192" t="s">
        <v>46</v>
      </c>
      <c r="H2192" s="1">
        <v>42832</v>
      </c>
      <c r="I2192" s="1">
        <v>42841</v>
      </c>
      <c r="J2192">
        <v>0</v>
      </c>
    </row>
    <row r="2193" spans="1:10" x14ac:dyDescent="0.3">
      <c r="A2193" t="s">
        <v>2324</v>
      </c>
      <c r="B2193" t="s">
        <v>95</v>
      </c>
      <c r="C2193" t="str">
        <f>_xlfn.XLOOKUP(B2193,
[1]sales_teams!$A$2:$A$100,
[1]sales_teams!$B$2:$B$100)</f>
        <v>Summer Sewald</v>
      </c>
      <c r="D2193" t="str">
        <f>_xlfn.XLOOKUP($B2193,sales_teams!$A$2:$A$36,sales_teams!C$2:C$36)</f>
        <v>West</v>
      </c>
      <c r="E2193" t="s">
        <v>20</v>
      </c>
      <c r="G2193" t="s">
        <v>40</v>
      </c>
      <c r="H2193" s="1">
        <v>42832</v>
      </c>
    </row>
    <row r="2194" spans="1:10" x14ac:dyDescent="0.3">
      <c r="A2194" t="s">
        <v>2325</v>
      </c>
      <c r="B2194" t="s">
        <v>95</v>
      </c>
      <c r="C2194" t="str">
        <f>_xlfn.XLOOKUP(B2194,
[1]sales_teams!$A$2:$A$100,
[1]sales_teams!$B$2:$B$100)</f>
        <v>Summer Sewald</v>
      </c>
      <c r="D2194" t="str">
        <f>_xlfn.XLOOKUP($B2194,sales_teams!$A$2:$A$36,sales_teams!C$2:C$36)</f>
        <v>West</v>
      </c>
      <c r="E2194" t="s">
        <v>39</v>
      </c>
      <c r="G2194" t="s">
        <v>40</v>
      </c>
      <c r="H2194" s="1">
        <v>42832</v>
      </c>
    </row>
    <row r="2195" spans="1:10" x14ac:dyDescent="0.3">
      <c r="A2195" t="s">
        <v>2326</v>
      </c>
      <c r="B2195" t="s">
        <v>133</v>
      </c>
      <c r="C2195" t="str">
        <f>_xlfn.XLOOKUP(B2195,
[1]sales_teams!$A$2:$A$100,
[1]sales_teams!$B$2:$B$100)</f>
        <v>Dustin Brinkmann</v>
      </c>
      <c r="D2195" t="str">
        <f>_xlfn.XLOOKUP($B2195,sales_teams!$A$2:$A$36,sales_teams!C$2:C$36)</f>
        <v>Central</v>
      </c>
      <c r="E2195" t="s">
        <v>20</v>
      </c>
      <c r="F2195" t="s">
        <v>21</v>
      </c>
      <c r="G2195" t="s">
        <v>46</v>
      </c>
      <c r="H2195" s="1">
        <v>42832</v>
      </c>
      <c r="I2195" s="1">
        <v>42841</v>
      </c>
      <c r="J2195">
        <v>0</v>
      </c>
    </row>
    <row r="2196" spans="1:10" x14ac:dyDescent="0.3">
      <c r="A2196" t="s">
        <v>2327</v>
      </c>
      <c r="B2196" t="s">
        <v>32</v>
      </c>
      <c r="C2196" t="str">
        <f>_xlfn.XLOOKUP(B2196,
[1]sales_teams!$A$2:$A$100,
[1]sales_teams!$B$2:$B$100)</f>
        <v>Celia Rouche</v>
      </c>
      <c r="D2196" t="str">
        <f>_xlfn.XLOOKUP($B2196,sales_teams!$A$2:$A$36,sales_teams!C$2:C$36)</f>
        <v>West</v>
      </c>
      <c r="E2196" t="s">
        <v>20</v>
      </c>
      <c r="F2196" t="s">
        <v>218</v>
      </c>
      <c r="G2196" t="s">
        <v>12</v>
      </c>
      <c r="H2196" s="1">
        <v>42832</v>
      </c>
      <c r="I2196" s="1">
        <v>42838</v>
      </c>
      <c r="J2196">
        <v>522</v>
      </c>
    </row>
    <row r="2197" spans="1:10" x14ac:dyDescent="0.3">
      <c r="A2197" t="s">
        <v>2328</v>
      </c>
      <c r="B2197" t="s">
        <v>32</v>
      </c>
      <c r="C2197" t="str">
        <f>_xlfn.XLOOKUP(B2197,
[1]sales_teams!$A$2:$A$100,
[1]sales_teams!$B$2:$B$100)</f>
        <v>Celia Rouche</v>
      </c>
      <c r="D2197" t="str">
        <f>_xlfn.XLOOKUP($B2197,sales_teams!$A$2:$A$36,sales_teams!C$2:C$36)</f>
        <v>West</v>
      </c>
      <c r="E2197" t="s">
        <v>15</v>
      </c>
      <c r="F2197" t="s">
        <v>148</v>
      </c>
      <c r="G2197" t="s">
        <v>12</v>
      </c>
      <c r="H2197" s="1">
        <v>42832</v>
      </c>
      <c r="I2197" s="1">
        <v>42882</v>
      </c>
      <c r="J2197">
        <v>5012</v>
      </c>
    </row>
    <row r="2198" spans="1:10" x14ac:dyDescent="0.3">
      <c r="A2198" t="s">
        <v>2329</v>
      </c>
      <c r="B2198" t="s">
        <v>51</v>
      </c>
      <c r="C2198" t="str">
        <f>_xlfn.XLOOKUP(B2198,
[1]sales_teams!$A$2:$A$100,
[1]sales_teams!$B$2:$B$100)</f>
        <v>Summer Sewald</v>
      </c>
      <c r="D2198" t="str">
        <f>_xlfn.XLOOKUP($B2198,sales_teams!$A$2:$A$36,sales_teams!C$2:C$36)</f>
        <v>West</v>
      </c>
      <c r="E2198" t="s">
        <v>10</v>
      </c>
      <c r="F2198" t="s">
        <v>68</v>
      </c>
      <c r="G2198" t="s">
        <v>12</v>
      </c>
      <c r="H2198" s="1">
        <v>42832</v>
      </c>
      <c r="I2198" s="1">
        <v>42833</v>
      </c>
      <c r="J2198">
        <v>1109</v>
      </c>
    </row>
    <row r="2199" spans="1:10" x14ac:dyDescent="0.3">
      <c r="A2199" t="s">
        <v>2330</v>
      </c>
      <c r="B2199" t="s">
        <v>9</v>
      </c>
      <c r="C2199" t="str">
        <f>_xlfn.XLOOKUP(B2199,
[1]sales_teams!$A$2:$A$100,
[1]sales_teams!$B$2:$B$100)</f>
        <v>Dustin Brinkmann</v>
      </c>
      <c r="D2199" t="str">
        <f>_xlfn.XLOOKUP($B2199,sales_teams!$A$2:$A$36,sales_teams!C$2:C$36)</f>
        <v>Central</v>
      </c>
      <c r="E2199" t="s">
        <v>48</v>
      </c>
      <c r="F2199" t="s">
        <v>45</v>
      </c>
      <c r="G2199" t="s">
        <v>12</v>
      </c>
      <c r="H2199" s="1">
        <v>42832</v>
      </c>
      <c r="I2199" s="1">
        <v>42838</v>
      </c>
      <c r="J2199">
        <v>4659</v>
      </c>
    </row>
    <row r="2200" spans="1:10" x14ac:dyDescent="0.3">
      <c r="A2200" t="s">
        <v>2331</v>
      </c>
      <c r="B2200" t="s">
        <v>35</v>
      </c>
      <c r="C2200" t="str">
        <f>_xlfn.XLOOKUP(B2200,
[1]sales_teams!$A$2:$A$100,
[1]sales_teams!$B$2:$B$100)</f>
        <v>Melvin Marxen</v>
      </c>
      <c r="D2200" t="str">
        <f>_xlfn.XLOOKUP($B2200,sales_teams!$A$2:$A$36,sales_teams!C$2:C$36)</f>
        <v>Central</v>
      </c>
      <c r="E2200" t="s">
        <v>20</v>
      </c>
      <c r="F2200" t="s">
        <v>11</v>
      </c>
      <c r="G2200" t="s">
        <v>46</v>
      </c>
      <c r="H2200" s="1">
        <v>42832</v>
      </c>
      <c r="I2200" s="1">
        <v>42841</v>
      </c>
      <c r="J2200">
        <v>0</v>
      </c>
    </row>
    <row r="2201" spans="1:10" x14ac:dyDescent="0.3">
      <c r="A2201" t="s">
        <v>2332</v>
      </c>
      <c r="B2201" t="s">
        <v>61</v>
      </c>
      <c r="C2201" t="str">
        <f>_xlfn.XLOOKUP(B2201,
[1]sales_teams!$A$2:$A$100,
[1]sales_teams!$B$2:$B$100)</f>
        <v>Dustin Brinkmann</v>
      </c>
      <c r="D2201" t="str">
        <f>_xlfn.XLOOKUP($B2201,sales_teams!$A$2:$A$36,sales_teams!C$2:C$36)</f>
        <v>Central</v>
      </c>
      <c r="E2201" t="s">
        <v>48</v>
      </c>
      <c r="F2201" t="s">
        <v>21</v>
      </c>
      <c r="G2201" t="s">
        <v>46</v>
      </c>
      <c r="H2201" s="1">
        <v>42832</v>
      </c>
      <c r="I2201" s="1">
        <v>42899</v>
      </c>
      <c r="J2201">
        <v>0</v>
      </c>
    </row>
    <row r="2202" spans="1:10" x14ac:dyDescent="0.3">
      <c r="A2202" t="s">
        <v>2333</v>
      </c>
      <c r="B2202" t="s">
        <v>61</v>
      </c>
      <c r="C2202" t="str">
        <f>_xlfn.XLOOKUP(B2202,
[1]sales_teams!$A$2:$A$100,
[1]sales_teams!$B$2:$B$100)</f>
        <v>Dustin Brinkmann</v>
      </c>
      <c r="D2202" t="str">
        <f>_xlfn.XLOOKUP($B2202,sales_teams!$A$2:$A$36,sales_teams!C$2:C$36)</f>
        <v>Central</v>
      </c>
      <c r="E2202" t="s">
        <v>48</v>
      </c>
      <c r="F2202" t="s">
        <v>62</v>
      </c>
      <c r="G2202" t="s">
        <v>46</v>
      </c>
      <c r="H2202" s="1">
        <v>42832</v>
      </c>
      <c r="I2202" s="1">
        <v>42834</v>
      </c>
      <c r="J2202">
        <v>0</v>
      </c>
    </row>
    <row r="2203" spans="1:10" x14ac:dyDescent="0.3">
      <c r="A2203" t="s">
        <v>2334</v>
      </c>
      <c r="B2203" t="s">
        <v>61</v>
      </c>
      <c r="C2203" t="str">
        <f>_xlfn.XLOOKUP(B2203,
[1]sales_teams!$A$2:$A$100,
[1]sales_teams!$B$2:$B$100)</f>
        <v>Dustin Brinkmann</v>
      </c>
      <c r="D2203" t="str">
        <f>_xlfn.XLOOKUP($B2203,sales_teams!$A$2:$A$36,sales_teams!C$2:C$36)</f>
        <v>Central</v>
      </c>
      <c r="E2203" t="s">
        <v>18</v>
      </c>
      <c r="F2203" t="s">
        <v>113</v>
      </c>
      <c r="G2203" t="s">
        <v>46</v>
      </c>
      <c r="H2203" s="1">
        <v>42832</v>
      </c>
      <c r="I2203" s="1">
        <v>42885</v>
      </c>
      <c r="J2203">
        <v>0</v>
      </c>
    </row>
    <row r="2204" spans="1:10" x14ac:dyDescent="0.3">
      <c r="A2204" t="s">
        <v>2335</v>
      </c>
      <c r="B2204" t="s">
        <v>61</v>
      </c>
      <c r="C2204" t="str">
        <f>_xlfn.XLOOKUP(B2204,
[1]sales_teams!$A$2:$A$100,
[1]sales_teams!$B$2:$B$100)</f>
        <v>Dustin Brinkmann</v>
      </c>
      <c r="D2204" t="str">
        <f>_xlfn.XLOOKUP($B2204,sales_teams!$A$2:$A$36,sales_teams!C$2:C$36)</f>
        <v>Central</v>
      </c>
      <c r="E2204" t="s">
        <v>39</v>
      </c>
      <c r="F2204" t="s">
        <v>151</v>
      </c>
      <c r="G2204" t="s">
        <v>46</v>
      </c>
      <c r="H2204" s="1">
        <v>42832</v>
      </c>
      <c r="I2204" s="1">
        <v>42837</v>
      </c>
      <c r="J2204">
        <v>0</v>
      </c>
    </row>
    <row r="2205" spans="1:10" x14ac:dyDescent="0.3">
      <c r="A2205" t="s">
        <v>2336</v>
      </c>
      <c r="B2205" t="s">
        <v>29</v>
      </c>
      <c r="C2205" t="str">
        <f>_xlfn.XLOOKUP(B2205,
[1]sales_teams!$A$2:$A$100,
[1]sales_teams!$B$2:$B$100)</f>
        <v>Celia Rouche</v>
      </c>
      <c r="D2205" t="str">
        <f>_xlfn.XLOOKUP($B2205,sales_teams!$A$2:$A$36,sales_teams!C$2:C$36)</f>
        <v>West</v>
      </c>
      <c r="E2205" t="s">
        <v>20</v>
      </c>
      <c r="G2205" t="s">
        <v>40</v>
      </c>
      <c r="H2205" s="1">
        <v>42832</v>
      </c>
    </row>
    <row r="2206" spans="1:10" x14ac:dyDescent="0.3">
      <c r="A2206" t="s">
        <v>2337</v>
      </c>
      <c r="B2206" t="s">
        <v>29</v>
      </c>
      <c r="C2206" t="str">
        <f>_xlfn.XLOOKUP(B2206,
[1]sales_teams!$A$2:$A$100,
[1]sales_teams!$B$2:$B$100)</f>
        <v>Celia Rouche</v>
      </c>
      <c r="D2206" t="str">
        <f>_xlfn.XLOOKUP($B2206,sales_teams!$A$2:$A$36,sales_teams!C$2:C$36)</f>
        <v>West</v>
      </c>
      <c r="E2206" t="s">
        <v>39</v>
      </c>
      <c r="F2206" t="s">
        <v>199</v>
      </c>
      <c r="G2206" t="s">
        <v>46</v>
      </c>
      <c r="H2206" s="1">
        <v>42832</v>
      </c>
      <c r="I2206" s="1">
        <v>42841</v>
      </c>
      <c r="J2206">
        <v>0</v>
      </c>
    </row>
    <row r="2207" spans="1:10" x14ac:dyDescent="0.3">
      <c r="A2207" t="s">
        <v>2338</v>
      </c>
      <c r="B2207" t="s">
        <v>23</v>
      </c>
      <c r="C2207" t="str">
        <f>_xlfn.XLOOKUP(B2207,
[1]sales_teams!$A$2:$A$100,
[1]sales_teams!$B$2:$B$100)</f>
        <v>Summer Sewald</v>
      </c>
      <c r="D2207" t="str">
        <f>_xlfn.XLOOKUP($B2207,sales_teams!$A$2:$A$36,sales_teams!C$2:C$36)</f>
        <v>West</v>
      </c>
      <c r="E2207" t="s">
        <v>39</v>
      </c>
      <c r="F2207" t="s">
        <v>55</v>
      </c>
      <c r="G2207" t="s">
        <v>46</v>
      </c>
      <c r="H2207" s="1">
        <v>42832</v>
      </c>
      <c r="I2207" s="1">
        <v>42838</v>
      </c>
      <c r="J2207">
        <v>0</v>
      </c>
    </row>
    <row r="2208" spans="1:10" x14ac:dyDescent="0.3">
      <c r="A2208" t="s">
        <v>2339</v>
      </c>
      <c r="B2208" t="s">
        <v>26</v>
      </c>
      <c r="C2208" t="str">
        <f>_xlfn.XLOOKUP(B2208,
[1]sales_teams!$A$2:$A$100,
[1]sales_teams!$B$2:$B$100)</f>
        <v>Dustin Brinkmann</v>
      </c>
      <c r="D2208" t="str">
        <f>_xlfn.XLOOKUP($B2208,sales_teams!$A$2:$A$36,sales_teams!C$2:C$36)</f>
        <v>Central</v>
      </c>
      <c r="E2208" t="s">
        <v>39</v>
      </c>
      <c r="F2208" t="s">
        <v>91</v>
      </c>
      <c r="G2208" t="s">
        <v>46</v>
      </c>
      <c r="H2208" s="1">
        <v>42833</v>
      </c>
      <c r="I2208" s="1">
        <v>42840</v>
      </c>
      <c r="J2208">
        <v>0</v>
      </c>
    </row>
    <row r="2209" spans="1:10" x14ac:dyDescent="0.3">
      <c r="A2209" t="s">
        <v>2340</v>
      </c>
      <c r="B2209" t="s">
        <v>26</v>
      </c>
      <c r="C2209" t="str">
        <f>_xlfn.XLOOKUP(B2209,
[1]sales_teams!$A$2:$A$100,
[1]sales_teams!$B$2:$B$100)</f>
        <v>Dustin Brinkmann</v>
      </c>
      <c r="D2209" t="str">
        <f>_xlfn.XLOOKUP($B2209,sales_teams!$A$2:$A$36,sales_teams!C$2:C$36)</f>
        <v>Central</v>
      </c>
      <c r="E2209" t="s">
        <v>10</v>
      </c>
      <c r="F2209" t="s">
        <v>111</v>
      </c>
      <c r="G2209" t="s">
        <v>12</v>
      </c>
      <c r="H2209" s="1">
        <v>42833</v>
      </c>
      <c r="I2209" s="1">
        <v>42840</v>
      </c>
      <c r="J2209">
        <v>1142</v>
      </c>
    </row>
    <row r="2210" spans="1:10" x14ac:dyDescent="0.3">
      <c r="A2210" t="s">
        <v>2341</v>
      </c>
      <c r="B2210" t="s">
        <v>118</v>
      </c>
      <c r="C2210" t="str">
        <f>_xlfn.XLOOKUP(B2210,
[1]sales_teams!$A$2:$A$100,
[1]sales_teams!$B$2:$B$100)</f>
        <v>Rocco Neubert</v>
      </c>
      <c r="D2210" t="str">
        <f>_xlfn.XLOOKUP($B2210,sales_teams!$A$2:$A$36,sales_teams!C$2:C$36)</f>
        <v>East</v>
      </c>
      <c r="E2210" t="s">
        <v>15</v>
      </c>
      <c r="G2210" t="s">
        <v>40</v>
      </c>
      <c r="H2210" s="1">
        <v>42833</v>
      </c>
    </row>
    <row r="2211" spans="1:10" x14ac:dyDescent="0.3">
      <c r="A2211" t="s">
        <v>2342</v>
      </c>
      <c r="B2211" t="s">
        <v>164</v>
      </c>
      <c r="C2211" t="str">
        <f>_xlfn.XLOOKUP(B2211,
[1]sales_teams!$A$2:$A$100,
[1]sales_teams!$B$2:$B$100)</f>
        <v>Cara Losch</v>
      </c>
      <c r="D2211" t="str">
        <f>_xlfn.XLOOKUP($B2211,sales_teams!$A$2:$A$36,sales_teams!C$2:C$36)</f>
        <v>East</v>
      </c>
      <c r="E2211" t="s">
        <v>20</v>
      </c>
      <c r="F2211" t="s">
        <v>300</v>
      </c>
      <c r="G2211" t="s">
        <v>12</v>
      </c>
      <c r="H2211" s="1">
        <v>42833</v>
      </c>
      <c r="I2211" s="1">
        <v>42882</v>
      </c>
      <c r="J2211">
        <v>491</v>
      </c>
    </row>
    <row r="2212" spans="1:10" x14ac:dyDescent="0.3">
      <c r="A2212" t="s">
        <v>2343</v>
      </c>
      <c r="B2212" t="s">
        <v>64</v>
      </c>
      <c r="C2212" t="str">
        <f>_xlfn.XLOOKUP(B2212,
[1]sales_teams!$A$2:$A$100,
[1]sales_teams!$B$2:$B$100)</f>
        <v>Rocco Neubert</v>
      </c>
      <c r="D2212" t="str">
        <f>_xlfn.XLOOKUP($B2212,sales_teams!$A$2:$A$36,sales_teams!C$2:C$36)</f>
        <v>East</v>
      </c>
      <c r="E2212" t="s">
        <v>48</v>
      </c>
      <c r="F2212" t="s">
        <v>159</v>
      </c>
      <c r="G2212" t="s">
        <v>40</v>
      </c>
      <c r="H2212" s="1">
        <v>42833</v>
      </c>
    </row>
    <row r="2213" spans="1:10" x14ac:dyDescent="0.3">
      <c r="A2213" t="s">
        <v>2344</v>
      </c>
      <c r="B2213" t="s">
        <v>14</v>
      </c>
      <c r="C2213" t="str">
        <f>_xlfn.XLOOKUP(B2213,
[1]sales_teams!$A$2:$A$100,
[1]sales_teams!$B$2:$B$100)</f>
        <v>Melvin Marxen</v>
      </c>
      <c r="D2213" t="str">
        <f>_xlfn.XLOOKUP($B2213,sales_teams!$A$2:$A$36,sales_teams!C$2:C$36)</f>
        <v>Central</v>
      </c>
      <c r="E2213" t="s">
        <v>15</v>
      </c>
      <c r="F2213" t="s">
        <v>129</v>
      </c>
      <c r="G2213" t="s">
        <v>46</v>
      </c>
      <c r="H2213" s="1">
        <v>42833</v>
      </c>
      <c r="I2213" s="1">
        <v>42843</v>
      </c>
      <c r="J2213">
        <v>0</v>
      </c>
    </row>
    <row r="2214" spans="1:10" x14ac:dyDescent="0.3">
      <c r="A2214" t="s">
        <v>2345</v>
      </c>
      <c r="B2214" t="s">
        <v>14</v>
      </c>
      <c r="C2214" t="str">
        <f>_xlfn.XLOOKUP(B2214,
[1]sales_teams!$A$2:$A$100,
[1]sales_teams!$B$2:$B$100)</f>
        <v>Melvin Marxen</v>
      </c>
      <c r="D2214" t="str">
        <f>_xlfn.XLOOKUP($B2214,sales_teams!$A$2:$A$36,sales_teams!C$2:C$36)</f>
        <v>Central</v>
      </c>
      <c r="E2214" t="s">
        <v>18</v>
      </c>
      <c r="F2214" t="s">
        <v>207</v>
      </c>
      <c r="G2214" t="s">
        <v>46</v>
      </c>
      <c r="H2214" s="1">
        <v>42833</v>
      </c>
      <c r="I2214" s="1">
        <v>42839</v>
      </c>
      <c r="J2214">
        <v>0</v>
      </c>
    </row>
    <row r="2215" spans="1:10" x14ac:dyDescent="0.3">
      <c r="A2215" t="s">
        <v>2346</v>
      </c>
      <c r="B2215" t="s">
        <v>14</v>
      </c>
      <c r="C2215" t="str">
        <f>_xlfn.XLOOKUP(B2215,
[1]sales_teams!$A$2:$A$100,
[1]sales_teams!$B$2:$B$100)</f>
        <v>Melvin Marxen</v>
      </c>
      <c r="D2215" t="str">
        <f>_xlfn.XLOOKUP($B2215,sales_teams!$A$2:$A$36,sales_teams!C$2:C$36)</f>
        <v>Central</v>
      </c>
      <c r="E2215" t="s">
        <v>15</v>
      </c>
      <c r="F2215" t="s">
        <v>135</v>
      </c>
      <c r="G2215" t="s">
        <v>12</v>
      </c>
      <c r="H2215" s="1">
        <v>42833</v>
      </c>
      <c r="I2215" s="1">
        <v>42834</v>
      </c>
      <c r="J2215">
        <v>5678</v>
      </c>
    </row>
    <row r="2216" spans="1:10" x14ac:dyDescent="0.3">
      <c r="A2216" t="s">
        <v>2347</v>
      </c>
      <c r="B2216" t="s">
        <v>142</v>
      </c>
      <c r="C2216" t="str">
        <f>_xlfn.XLOOKUP(B2216,
[1]sales_teams!$A$2:$A$100,
[1]sales_teams!$B$2:$B$100)</f>
        <v>Rocco Neubert</v>
      </c>
      <c r="D2216" t="str">
        <f>_xlfn.XLOOKUP($B2216,sales_teams!$A$2:$A$36,sales_teams!C$2:C$36)</f>
        <v>East</v>
      </c>
      <c r="E2216" t="s">
        <v>15</v>
      </c>
      <c r="F2216" t="s">
        <v>165</v>
      </c>
      <c r="G2216" t="s">
        <v>46</v>
      </c>
      <c r="H2216" s="1">
        <v>42833</v>
      </c>
      <c r="I2216" s="1">
        <v>42841</v>
      </c>
      <c r="J2216">
        <v>0</v>
      </c>
    </row>
    <row r="2217" spans="1:10" x14ac:dyDescent="0.3">
      <c r="A2217" t="s">
        <v>2348</v>
      </c>
      <c r="B2217" t="s">
        <v>142</v>
      </c>
      <c r="C2217" t="str">
        <f>_xlfn.XLOOKUP(B2217,
[1]sales_teams!$A$2:$A$100,
[1]sales_teams!$B$2:$B$100)</f>
        <v>Rocco Neubert</v>
      </c>
      <c r="D2217" t="str">
        <f>_xlfn.XLOOKUP($B2217,sales_teams!$A$2:$A$36,sales_teams!C$2:C$36)</f>
        <v>East</v>
      </c>
      <c r="E2217" t="s">
        <v>20</v>
      </c>
      <c r="F2217" t="s">
        <v>329</v>
      </c>
      <c r="G2217" t="s">
        <v>12</v>
      </c>
      <c r="H2217" s="1">
        <v>42833</v>
      </c>
      <c r="I2217" s="1">
        <v>42900</v>
      </c>
      <c r="J2217">
        <v>547</v>
      </c>
    </row>
    <row r="2218" spans="1:10" x14ac:dyDescent="0.3">
      <c r="A2218" t="s">
        <v>2349</v>
      </c>
      <c r="B2218" t="s">
        <v>105</v>
      </c>
      <c r="C2218" t="str">
        <f>_xlfn.XLOOKUP(B2218,
[1]sales_teams!$A$2:$A$100,
[1]sales_teams!$B$2:$B$100)</f>
        <v>Cara Losch</v>
      </c>
      <c r="D2218" t="str">
        <f>_xlfn.XLOOKUP($B2218,sales_teams!$A$2:$A$36,sales_teams!C$2:C$36)</f>
        <v>East</v>
      </c>
      <c r="E2218" t="s">
        <v>20</v>
      </c>
      <c r="F2218" t="s">
        <v>189</v>
      </c>
      <c r="G2218" t="s">
        <v>46</v>
      </c>
      <c r="H2218" s="1">
        <v>42833</v>
      </c>
      <c r="I2218" s="1">
        <v>42841</v>
      </c>
      <c r="J2218">
        <v>0</v>
      </c>
    </row>
    <row r="2219" spans="1:10" x14ac:dyDescent="0.3">
      <c r="A2219" t="s">
        <v>2350</v>
      </c>
      <c r="B2219" t="s">
        <v>54</v>
      </c>
      <c r="C2219" t="str">
        <f>_xlfn.XLOOKUP(B2219,
[1]sales_teams!$A$2:$A$100,
[1]sales_teams!$B$2:$B$100)</f>
        <v>Celia Rouche</v>
      </c>
      <c r="D2219" t="str">
        <f>_xlfn.XLOOKUP($B2219,sales_teams!$A$2:$A$36,sales_teams!C$2:C$36)</f>
        <v>West</v>
      </c>
      <c r="E2219" t="s">
        <v>10</v>
      </c>
      <c r="F2219" t="s">
        <v>273</v>
      </c>
      <c r="G2219" t="s">
        <v>12</v>
      </c>
      <c r="H2219" s="1">
        <v>42833</v>
      </c>
      <c r="I2219" s="1">
        <v>42880</v>
      </c>
      <c r="J2219">
        <v>935</v>
      </c>
    </row>
    <row r="2220" spans="1:10" x14ac:dyDescent="0.3">
      <c r="A2220" t="s">
        <v>2351</v>
      </c>
      <c r="B2220" t="s">
        <v>54</v>
      </c>
      <c r="C2220" t="str">
        <f>_xlfn.XLOOKUP(B2220,
[1]sales_teams!$A$2:$A$100,
[1]sales_teams!$B$2:$B$100)</f>
        <v>Celia Rouche</v>
      </c>
      <c r="D2220" t="str">
        <f>_xlfn.XLOOKUP($B2220,sales_teams!$A$2:$A$36,sales_teams!C$2:C$36)</f>
        <v>West</v>
      </c>
      <c r="E2220" t="s">
        <v>48</v>
      </c>
      <c r="F2220" t="s">
        <v>59</v>
      </c>
      <c r="G2220" t="s">
        <v>12</v>
      </c>
      <c r="H2220" s="1">
        <v>42833</v>
      </c>
      <c r="I2220" s="1">
        <v>42835</v>
      </c>
      <c r="J2220">
        <v>4761</v>
      </c>
    </row>
    <row r="2221" spans="1:10" x14ac:dyDescent="0.3">
      <c r="A2221" t="s">
        <v>2352</v>
      </c>
      <c r="B2221" t="s">
        <v>54</v>
      </c>
      <c r="C2221" t="str">
        <f>_xlfn.XLOOKUP(B2221,
[1]sales_teams!$A$2:$A$100,
[1]sales_teams!$B$2:$B$100)</f>
        <v>Celia Rouche</v>
      </c>
      <c r="D2221" t="str">
        <f>_xlfn.XLOOKUP($B2221,sales_teams!$A$2:$A$36,sales_teams!C$2:C$36)</f>
        <v>West</v>
      </c>
      <c r="E2221" t="s">
        <v>39</v>
      </c>
      <c r="F2221" t="s">
        <v>555</v>
      </c>
      <c r="G2221" t="s">
        <v>12</v>
      </c>
      <c r="H2221" s="1">
        <v>42833</v>
      </c>
      <c r="I2221" s="1">
        <v>42839</v>
      </c>
      <c r="J2221">
        <v>3224</v>
      </c>
    </row>
    <row r="2222" spans="1:10" x14ac:dyDescent="0.3">
      <c r="A2222" t="s">
        <v>2353</v>
      </c>
      <c r="B2222" t="s">
        <v>78</v>
      </c>
      <c r="C2222" t="str">
        <f>_xlfn.XLOOKUP(B2222,
[1]sales_teams!$A$2:$A$100,
[1]sales_teams!$B$2:$B$100)</f>
        <v>Summer Sewald</v>
      </c>
      <c r="D2222" t="str">
        <f>_xlfn.XLOOKUP($B2222,sales_teams!$A$2:$A$36,sales_teams!C$2:C$36)</f>
        <v>West</v>
      </c>
      <c r="E2222" t="s">
        <v>20</v>
      </c>
      <c r="F2222" t="s">
        <v>49</v>
      </c>
      <c r="G2222" t="s">
        <v>12</v>
      </c>
      <c r="H2222" s="1">
        <v>42833</v>
      </c>
      <c r="I2222" s="1">
        <v>42842</v>
      </c>
      <c r="J2222">
        <v>501</v>
      </c>
    </row>
    <row r="2223" spans="1:10" x14ac:dyDescent="0.3">
      <c r="A2223" t="s">
        <v>2354</v>
      </c>
      <c r="B2223" t="s">
        <v>133</v>
      </c>
      <c r="C2223" t="str">
        <f>_xlfn.XLOOKUP(B2223,
[1]sales_teams!$A$2:$A$100,
[1]sales_teams!$B$2:$B$100)</f>
        <v>Dustin Brinkmann</v>
      </c>
      <c r="D2223" t="str">
        <f>_xlfn.XLOOKUP($B2223,sales_teams!$A$2:$A$36,sales_teams!C$2:C$36)</f>
        <v>Central</v>
      </c>
      <c r="E2223" t="s">
        <v>39</v>
      </c>
      <c r="F2223" t="s">
        <v>187</v>
      </c>
      <c r="G2223" t="s">
        <v>12</v>
      </c>
      <c r="H2223" s="1">
        <v>42833</v>
      </c>
      <c r="I2223" s="1">
        <v>42842</v>
      </c>
      <c r="J2223">
        <v>3532</v>
      </c>
    </row>
    <row r="2224" spans="1:10" x14ac:dyDescent="0.3">
      <c r="A2224" t="s">
        <v>2355</v>
      </c>
      <c r="B2224" t="s">
        <v>32</v>
      </c>
      <c r="C2224" t="str">
        <f>_xlfn.XLOOKUP(B2224,
[1]sales_teams!$A$2:$A$100,
[1]sales_teams!$B$2:$B$100)</f>
        <v>Celia Rouche</v>
      </c>
      <c r="D2224" t="str">
        <f>_xlfn.XLOOKUP($B2224,sales_teams!$A$2:$A$36,sales_teams!C$2:C$36)</f>
        <v>West</v>
      </c>
      <c r="E2224" t="s">
        <v>39</v>
      </c>
      <c r="G2224" t="s">
        <v>40</v>
      </c>
      <c r="H2224" s="1">
        <v>42833</v>
      </c>
    </row>
    <row r="2225" spans="1:10" x14ac:dyDescent="0.3">
      <c r="A2225" t="s">
        <v>2356</v>
      </c>
      <c r="B2225" t="s">
        <v>51</v>
      </c>
      <c r="C2225" t="str">
        <f>_xlfn.XLOOKUP(B2225,
[1]sales_teams!$A$2:$A$100,
[1]sales_teams!$B$2:$B$100)</f>
        <v>Summer Sewald</v>
      </c>
      <c r="D2225" t="str">
        <f>_xlfn.XLOOKUP($B2225,sales_teams!$A$2:$A$36,sales_teams!C$2:C$36)</f>
        <v>West</v>
      </c>
      <c r="E2225" t="s">
        <v>15</v>
      </c>
      <c r="F2225" t="s">
        <v>93</v>
      </c>
      <c r="G2225" t="s">
        <v>12</v>
      </c>
      <c r="H2225" s="1">
        <v>42833</v>
      </c>
      <c r="I2225" s="1">
        <v>42837</v>
      </c>
      <c r="J2225">
        <v>4320</v>
      </c>
    </row>
    <row r="2226" spans="1:10" x14ac:dyDescent="0.3">
      <c r="A2226" t="s">
        <v>2357</v>
      </c>
      <c r="B2226" t="s">
        <v>9</v>
      </c>
      <c r="C2226" t="str">
        <f>_xlfn.XLOOKUP(B2226,
[1]sales_teams!$A$2:$A$100,
[1]sales_teams!$B$2:$B$100)</f>
        <v>Dustin Brinkmann</v>
      </c>
      <c r="D2226" t="str">
        <f>_xlfn.XLOOKUP($B2226,sales_teams!$A$2:$A$36,sales_teams!C$2:C$36)</f>
        <v>Central</v>
      </c>
      <c r="E2226" t="s">
        <v>18</v>
      </c>
      <c r="F2226" t="s">
        <v>45</v>
      </c>
      <c r="G2226" t="s">
        <v>46</v>
      </c>
      <c r="H2226" s="1">
        <v>42833</v>
      </c>
      <c r="I2226" s="1">
        <v>42835</v>
      </c>
      <c r="J2226">
        <v>0</v>
      </c>
    </row>
    <row r="2227" spans="1:10" x14ac:dyDescent="0.3">
      <c r="A2227" t="s">
        <v>2358</v>
      </c>
      <c r="B2227" t="s">
        <v>97</v>
      </c>
      <c r="C2227" t="str">
        <f>_xlfn.XLOOKUP(B2227,
[1]sales_teams!$A$2:$A$100,
[1]sales_teams!$B$2:$B$100)</f>
        <v>Rocco Neubert</v>
      </c>
      <c r="D2227" t="str">
        <f>_xlfn.XLOOKUP($B2227,sales_teams!$A$2:$A$36,sales_teams!C$2:C$36)</f>
        <v>East</v>
      </c>
      <c r="E2227" t="s">
        <v>10</v>
      </c>
      <c r="F2227" t="s">
        <v>89</v>
      </c>
      <c r="G2227" t="s">
        <v>12</v>
      </c>
      <c r="H2227" s="1">
        <v>42833</v>
      </c>
      <c r="I2227" s="1">
        <v>42897</v>
      </c>
      <c r="J2227">
        <v>1123</v>
      </c>
    </row>
    <row r="2228" spans="1:10" x14ac:dyDescent="0.3">
      <c r="A2228" t="s">
        <v>2359</v>
      </c>
      <c r="B2228" t="s">
        <v>88</v>
      </c>
      <c r="C2228" t="str">
        <f>_xlfn.XLOOKUP(B2228,
[1]sales_teams!$A$2:$A$100,
[1]sales_teams!$B$2:$B$100)</f>
        <v>Cara Losch</v>
      </c>
      <c r="D2228" t="str">
        <f>_xlfn.XLOOKUP($B2228,sales_teams!$A$2:$A$36,sales_teams!C$2:C$36)</f>
        <v>East</v>
      </c>
      <c r="E2228" t="s">
        <v>15</v>
      </c>
      <c r="F2228" t="s">
        <v>65</v>
      </c>
      <c r="G2228" t="s">
        <v>12</v>
      </c>
      <c r="H2228" s="1">
        <v>42833</v>
      </c>
      <c r="I2228" s="1">
        <v>42834</v>
      </c>
      <c r="J2228">
        <v>5217</v>
      </c>
    </row>
    <row r="2229" spans="1:10" x14ac:dyDescent="0.3">
      <c r="A2229" t="s">
        <v>2360</v>
      </c>
      <c r="B2229" t="s">
        <v>61</v>
      </c>
      <c r="C2229" t="str">
        <f>_xlfn.XLOOKUP(B2229,
[1]sales_teams!$A$2:$A$100,
[1]sales_teams!$B$2:$B$100)</f>
        <v>Dustin Brinkmann</v>
      </c>
      <c r="D2229" t="str">
        <f>_xlfn.XLOOKUP($B2229,sales_teams!$A$2:$A$36,sales_teams!C$2:C$36)</f>
        <v>Central</v>
      </c>
      <c r="E2229" t="s">
        <v>18</v>
      </c>
      <c r="F2229" t="s">
        <v>21</v>
      </c>
      <c r="G2229" t="s">
        <v>46</v>
      </c>
      <c r="H2229" s="1">
        <v>42833</v>
      </c>
      <c r="I2229" s="1">
        <v>42882</v>
      </c>
      <c r="J2229">
        <v>0</v>
      </c>
    </row>
    <row r="2230" spans="1:10" x14ac:dyDescent="0.3">
      <c r="A2230" t="s">
        <v>2361</v>
      </c>
      <c r="B2230" t="s">
        <v>29</v>
      </c>
      <c r="C2230" t="str">
        <f>_xlfn.XLOOKUP(B2230,
[1]sales_teams!$A$2:$A$100,
[1]sales_teams!$B$2:$B$100)</f>
        <v>Celia Rouche</v>
      </c>
      <c r="D2230" t="str">
        <f>_xlfn.XLOOKUP($B2230,sales_teams!$A$2:$A$36,sales_teams!C$2:C$36)</f>
        <v>West</v>
      </c>
      <c r="E2230" t="s">
        <v>15</v>
      </c>
      <c r="G2230" t="s">
        <v>40</v>
      </c>
      <c r="H2230" s="1">
        <v>42833</v>
      </c>
    </row>
    <row r="2231" spans="1:10" x14ac:dyDescent="0.3">
      <c r="A2231" t="s">
        <v>2362</v>
      </c>
      <c r="B2231" t="s">
        <v>29</v>
      </c>
      <c r="C2231" t="str">
        <f>_xlfn.XLOOKUP(B2231,
[1]sales_teams!$A$2:$A$100,
[1]sales_teams!$B$2:$B$100)</f>
        <v>Celia Rouche</v>
      </c>
      <c r="D2231" t="str">
        <f>_xlfn.XLOOKUP($B2231,sales_teams!$A$2:$A$36,sales_teams!C$2:C$36)</f>
        <v>West</v>
      </c>
      <c r="E2231" t="s">
        <v>20</v>
      </c>
      <c r="F2231" t="s">
        <v>86</v>
      </c>
      <c r="G2231" t="s">
        <v>12</v>
      </c>
      <c r="H2231" s="1">
        <v>42833</v>
      </c>
      <c r="I2231" s="1">
        <v>42896</v>
      </c>
      <c r="J2231">
        <v>595</v>
      </c>
    </row>
    <row r="2232" spans="1:10" x14ac:dyDescent="0.3">
      <c r="A2232" t="s">
        <v>2363</v>
      </c>
      <c r="B2232" t="s">
        <v>29</v>
      </c>
      <c r="C2232" t="str">
        <f>_xlfn.XLOOKUP(B2232,
[1]sales_teams!$A$2:$A$100,
[1]sales_teams!$B$2:$B$100)</f>
        <v>Celia Rouche</v>
      </c>
      <c r="D2232" t="str">
        <f>_xlfn.XLOOKUP($B2232,sales_teams!$A$2:$A$36,sales_teams!C$2:C$36)</f>
        <v>West</v>
      </c>
      <c r="E2232" t="s">
        <v>48</v>
      </c>
      <c r="F2232" t="s">
        <v>199</v>
      </c>
      <c r="G2232" t="s">
        <v>12</v>
      </c>
      <c r="H2232" s="1">
        <v>42833</v>
      </c>
      <c r="I2232" s="1">
        <v>42841</v>
      </c>
      <c r="J2232">
        <v>5848</v>
      </c>
    </row>
    <row r="2233" spans="1:10" x14ac:dyDescent="0.3">
      <c r="A2233" t="s">
        <v>2364</v>
      </c>
      <c r="B2233" t="s">
        <v>23</v>
      </c>
      <c r="C2233" t="str">
        <f>_xlfn.XLOOKUP(B2233,
[1]sales_teams!$A$2:$A$100,
[1]sales_teams!$B$2:$B$100)</f>
        <v>Summer Sewald</v>
      </c>
      <c r="D2233" t="str">
        <f>_xlfn.XLOOKUP($B2233,sales_teams!$A$2:$A$36,sales_teams!C$2:C$36)</f>
        <v>West</v>
      </c>
      <c r="E2233" t="s">
        <v>20</v>
      </c>
      <c r="F2233" t="s">
        <v>194</v>
      </c>
      <c r="G2233" t="s">
        <v>46</v>
      </c>
      <c r="H2233" s="1">
        <v>42833</v>
      </c>
      <c r="I2233" s="1">
        <v>42834</v>
      </c>
      <c r="J2233">
        <v>0</v>
      </c>
    </row>
    <row r="2234" spans="1:10" x14ac:dyDescent="0.3">
      <c r="A2234" t="s">
        <v>2365</v>
      </c>
      <c r="B2234" t="s">
        <v>23</v>
      </c>
      <c r="C2234" t="str">
        <f>_xlfn.XLOOKUP(B2234,
[1]sales_teams!$A$2:$A$100,
[1]sales_teams!$B$2:$B$100)</f>
        <v>Summer Sewald</v>
      </c>
      <c r="D2234" t="str">
        <f>_xlfn.XLOOKUP($B2234,sales_teams!$A$2:$A$36,sales_teams!C$2:C$36)</f>
        <v>West</v>
      </c>
      <c r="E2234" t="s">
        <v>18</v>
      </c>
      <c r="F2234" t="s">
        <v>124</v>
      </c>
      <c r="G2234" t="s">
        <v>46</v>
      </c>
      <c r="H2234" s="1">
        <v>42833</v>
      </c>
      <c r="I2234" s="1">
        <v>42838</v>
      </c>
      <c r="J2234">
        <v>0</v>
      </c>
    </row>
    <row r="2235" spans="1:10" x14ac:dyDescent="0.3">
      <c r="A2235" t="s">
        <v>2366</v>
      </c>
      <c r="B2235" t="s">
        <v>23</v>
      </c>
      <c r="C2235" t="str">
        <f>_xlfn.XLOOKUP(B2235,
[1]sales_teams!$A$2:$A$100,
[1]sales_teams!$B$2:$B$100)</f>
        <v>Summer Sewald</v>
      </c>
      <c r="D2235" t="str">
        <f>_xlfn.XLOOKUP($B2235,sales_teams!$A$2:$A$36,sales_teams!C$2:C$36)</f>
        <v>West</v>
      </c>
      <c r="E2235" t="s">
        <v>48</v>
      </c>
      <c r="F2235" t="s">
        <v>93</v>
      </c>
      <c r="G2235" t="s">
        <v>12</v>
      </c>
      <c r="H2235" s="1">
        <v>42833</v>
      </c>
      <c r="I2235" s="1">
        <v>42842</v>
      </c>
      <c r="J2235">
        <v>5884</v>
      </c>
    </row>
    <row r="2236" spans="1:10" x14ac:dyDescent="0.3">
      <c r="A2236" t="s">
        <v>2367</v>
      </c>
      <c r="B2236" t="s">
        <v>26</v>
      </c>
      <c r="C2236" t="str">
        <f>_xlfn.XLOOKUP(B2236,
[1]sales_teams!$A$2:$A$100,
[1]sales_teams!$B$2:$B$100)</f>
        <v>Dustin Brinkmann</v>
      </c>
      <c r="D2236" t="str">
        <f>_xlfn.XLOOKUP($B2236,sales_teams!$A$2:$A$36,sales_teams!C$2:C$36)</f>
        <v>Central</v>
      </c>
      <c r="E2236" t="s">
        <v>39</v>
      </c>
      <c r="F2236" t="s">
        <v>303</v>
      </c>
      <c r="G2236" t="s">
        <v>12</v>
      </c>
      <c r="H2236" s="1">
        <v>42834</v>
      </c>
      <c r="I2236" s="1">
        <v>42888</v>
      </c>
      <c r="J2236">
        <v>3666</v>
      </c>
    </row>
    <row r="2237" spans="1:10" x14ac:dyDescent="0.3">
      <c r="A2237" t="s">
        <v>2368</v>
      </c>
      <c r="B2237" t="s">
        <v>139</v>
      </c>
      <c r="C2237" t="str">
        <f>_xlfn.XLOOKUP(B2237,
[1]sales_teams!$A$2:$A$100,
[1]sales_teams!$B$2:$B$100)</f>
        <v>Rocco Neubert</v>
      </c>
      <c r="D2237" t="str">
        <f>_xlfn.XLOOKUP($B2237,sales_teams!$A$2:$A$36,sales_teams!C$2:C$36)</f>
        <v>East</v>
      </c>
      <c r="E2237" t="s">
        <v>20</v>
      </c>
      <c r="F2237" t="s">
        <v>300</v>
      </c>
      <c r="G2237" t="s">
        <v>46</v>
      </c>
      <c r="H2237" s="1">
        <v>42834</v>
      </c>
      <c r="I2237" s="1">
        <v>42843</v>
      </c>
      <c r="J2237">
        <v>0</v>
      </c>
    </row>
    <row r="2238" spans="1:10" x14ac:dyDescent="0.3">
      <c r="A2238" t="s">
        <v>2369</v>
      </c>
      <c r="B2238" t="s">
        <v>118</v>
      </c>
      <c r="C2238" t="str">
        <f>_xlfn.XLOOKUP(B2238,
[1]sales_teams!$A$2:$A$100,
[1]sales_teams!$B$2:$B$100)</f>
        <v>Rocco Neubert</v>
      </c>
      <c r="D2238" t="str">
        <f>_xlfn.XLOOKUP($B2238,sales_teams!$A$2:$A$36,sales_teams!C$2:C$36)</f>
        <v>East</v>
      </c>
      <c r="E2238" t="s">
        <v>20</v>
      </c>
      <c r="F2238" t="s">
        <v>199</v>
      </c>
      <c r="G2238" t="s">
        <v>12</v>
      </c>
      <c r="H2238" s="1">
        <v>42834</v>
      </c>
      <c r="I2238" s="1">
        <v>42845</v>
      </c>
      <c r="J2238">
        <v>598</v>
      </c>
    </row>
    <row r="2239" spans="1:10" x14ac:dyDescent="0.3">
      <c r="A2239" t="s">
        <v>2370</v>
      </c>
      <c r="B2239" t="s">
        <v>118</v>
      </c>
      <c r="C2239" t="str">
        <f>_xlfn.XLOOKUP(B2239,
[1]sales_teams!$A$2:$A$100,
[1]sales_teams!$B$2:$B$100)</f>
        <v>Rocco Neubert</v>
      </c>
      <c r="D2239" t="str">
        <f>_xlfn.XLOOKUP($B2239,sales_teams!$A$2:$A$36,sales_teams!C$2:C$36)</f>
        <v>East</v>
      </c>
      <c r="E2239" t="s">
        <v>39</v>
      </c>
      <c r="F2239" t="s">
        <v>240</v>
      </c>
      <c r="G2239" t="s">
        <v>12</v>
      </c>
      <c r="H2239" s="1">
        <v>42834</v>
      </c>
      <c r="I2239" s="1">
        <v>42841</v>
      </c>
      <c r="J2239">
        <v>3275</v>
      </c>
    </row>
    <row r="2240" spans="1:10" x14ac:dyDescent="0.3">
      <c r="A2240" t="s">
        <v>2371</v>
      </c>
      <c r="B2240" t="s">
        <v>202</v>
      </c>
      <c r="C2240" t="str">
        <f>_xlfn.XLOOKUP(B2240,
[1]sales_teams!$A$2:$A$100,
[1]sales_teams!$B$2:$B$100)</f>
        <v>Dustin Brinkmann</v>
      </c>
      <c r="D2240" t="str">
        <f>_xlfn.XLOOKUP($B2240,sales_teams!$A$2:$A$36,sales_teams!C$2:C$36)</f>
        <v>Central</v>
      </c>
      <c r="E2240" t="s">
        <v>20</v>
      </c>
      <c r="F2240" t="s">
        <v>135</v>
      </c>
      <c r="G2240" t="s">
        <v>46</v>
      </c>
      <c r="H2240" s="1">
        <v>42834</v>
      </c>
      <c r="I2240" s="1">
        <v>42835</v>
      </c>
      <c r="J2240">
        <v>0</v>
      </c>
    </row>
    <row r="2241" spans="1:10" x14ac:dyDescent="0.3">
      <c r="A2241" t="s">
        <v>2372</v>
      </c>
      <c r="B2241" t="s">
        <v>202</v>
      </c>
      <c r="C2241" t="str">
        <f>_xlfn.XLOOKUP(B2241,
[1]sales_teams!$A$2:$A$100,
[1]sales_teams!$B$2:$B$100)</f>
        <v>Dustin Brinkmann</v>
      </c>
      <c r="D2241" t="str">
        <f>_xlfn.XLOOKUP($B2241,sales_teams!$A$2:$A$36,sales_teams!C$2:C$36)</f>
        <v>Central</v>
      </c>
      <c r="E2241" t="s">
        <v>20</v>
      </c>
      <c r="F2241" t="s">
        <v>16</v>
      </c>
      <c r="G2241" t="s">
        <v>46</v>
      </c>
      <c r="H2241" s="1">
        <v>42834</v>
      </c>
      <c r="I2241" s="1">
        <v>42843</v>
      </c>
      <c r="J2241">
        <v>0</v>
      </c>
    </row>
    <row r="2242" spans="1:10" x14ac:dyDescent="0.3">
      <c r="A2242" t="s">
        <v>2373</v>
      </c>
      <c r="B2242" t="s">
        <v>202</v>
      </c>
      <c r="C2242" t="str">
        <f>_xlfn.XLOOKUP(B2242,
[1]sales_teams!$A$2:$A$100,
[1]sales_teams!$B$2:$B$100)</f>
        <v>Dustin Brinkmann</v>
      </c>
      <c r="D2242" t="str">
        <f>_xlfn.XLOOKUP($B2242,sales_teams!$A$2:$A$36,sales_teams!C$2:C$36)</f>
        <v>Central</v>
      </c>
      <c r="E2242" t="s">
        <v>18</v>
      </c>
      <c r="F2242" t="s">
        <v>36</v>
      </c>
      <c r="G2242" t="s">
        <v>46</v>
      </c>
      <c r="H2242" s="1">
        <v>42834</v>
      </c>
      <c r="I2242" s="1">
        <v>42845</v>
      </c>
      <c r="J2242">
        <v>0</v>
      </c>
    </row>
    <row r="2243" spans="1:10" x14ac:dyDescent="0.3">
      <c r="A2243" t="s">
        <v>2374</v>
      </c>
      <c r="B2243" t="s">
        <v>164</v>
      </c>
      <c r="C2243" t="str">
        <f>_xlfn.XLOOKUP(B2243,
[1]sales_teams!$A$2:$A$100,
[1]sales_teams!$B$2:$B$100)</f>
        <v>Cara Losch</v>
      </c>
      <c r="D2243" t="str">
        <f>_xlfn.XLOOKUP($B2243,sales_teams!$A$2:$A$36,sales_teams!C$2:C$36)</f>
        <v>East</v>
      </c>
      <c r="E2243" t="s">
        <v>39</v>
      </c>
      <c r="G2243" t="s">
        <v>40</v>
      </c>
      <c r="H2243" s="1">
        <v>42834</v>
      </c>
    </row>
    <row r="2244" spans="1:10" x14ac:dyDescent="0.3">
      <c r="A2244" t="s">
        <v>2375</v>
      </c>
      <c r="B2244" t="s">
        <v>64</v>
      </c>
      <c r="C2244" t="str">
        <f>_xlfn.XLOOKUP(B2244,
[1]sales_teams!$A$2:$A$100,
[1]sales_teams!$B$2:$B$100)</f>
        <v>Rocco Neubert</v>
      </c>
      <c r="D2244" t="str">
        <f>_xlfn.XLOOKUP($B2244,sales_teams!$A$2:$A$36,sales_teams!C$2:C$36)</f>
        <v>East</v>
      </c>
      <c r="E2244" t="s">
        <v>15</v>
      </c>
      <c r="F2244" t="s">
        <v>204</v>
      </c>
      <c r="G2244" t="s">
        <v>46</v>
      </c>
      <c r="H2244" s="1">
        <v>42834</v>
      </c>
      <c r="I2244" s="1">
        <v>42885</v>
      </c>
      <c r="J2244">
        <v>0</v>
      </c>
    </row>
    <row r="2245" spans="1:10" x14ac:dyDescent="0.3">
      <c r="A2245" t="s">
        <v>2376</v>
      </c>
      <c r="B2245" t="s">
        <v>14</v>
      </c>
      <c r="C2245" t="str">
        <f>_xlfn.XLOOKUP(B2245,
[1]sales_teams!$A$2:$A$100,
[1]sales_teams!$B$2:$B$100)</f>
        <v>Melvin Marxen</v>
      </c>
      <c r="D2245" t="str">
        <f>_xlfn.XLOOKUP($B2245,sales_teams!$A$2:$A$36,sales_teams!C$2:C$36)</f>
        <v>Central</v>
      </c>
      <c r="E2245" t="s">
        <v>15</v>
      </c>
      <c r="F2245" t="s">
        <v>27</v>
      </c>
      <c r="G2245" t="s">
        <v>12</v>
      </c>
      <c r="H2245" s="1">
        <v>42834</v>
      </c>
      <c r="I2245" s="1">
        <v>42843</v>
      </c>
      <c r="J2245">
        <v>4978</v>
      </c>
    </row>
    <row r="2246" spans="1:10" x14ac:dyDescent="0.3">
      <c r="A2246" t="s">
        <v>2377</v>
      </c>
      <c r="B2246" t="s">
        <v>67</v>
      </c>
      <c r="C2246" t="str">
        <f>_xlfn.XLOOKUP(B2246,
[1]sales_teams!$A$2:$A$100,
[1]sales_teams!$B$2:$B$100)</f>
        <v>Celia Rouche</v>
      </c>
      <c r="D2246" t="str">
        <f>_xlfn.XLOOKUP($B2246,sales_teams!$A$2:$A$36,sales_teams!C$2:C$36)</f>
        <v>West</v>
      </c>
      <c r="E2246" t="s">
        <v>18</v>
      </c>
      <c r="F2246" t="s">
        <v>174</v>
      </c>
      <c r="G2246" t="s">
        <v>12</v>
      </c>
      <c r="H2246" s="1">
        <v>42834</v>
      </c>
      <c r="I2246" s="1">
        <v>42884</v>
      </c>
      <c r="J2246">
        <v>56</v>
      </c>
    </row>
    <row r="2247" spans="1:10" x14ac:dyDescent="0.3">
      <c r="A2247" t="s">
        <v>2378</v>
      </c>
      <c r="B2247" t="s">
        <v>44</v>
      </c>
      <c r="C2247" t="str">
        <f>_xlfn.XLOOKUP(B2247,
[1]sales_teams!$A$2:$A$100,
[1]sales_teams!$B$2:$B$100)</f>
        <v>Melvin Marxen</v>
      </c>
      <c r="D2247" t="str">
        <f>_xlfn.XLOOKUP($B2247,sales_teams!$A$2:$A$36,sales_teams!C$2:C$36)</f>
        <v>Central</v>
      </c>
      <c r="E2247" t="s">
        <v>39</v>
      </c>
      <c r="F2247" t="s">
        <v>318</v>
      </c>
      <c r="G2247" t="s">
        <v>12</v>
      </c>
      <c r="H2247" s="1">
        <v>42834</v>
      </c>
      <c r="I2247" s="1">
        <v>42839</v>
      </c>
      <c r="J2247">
        <v>3077</v>
      </c>
    </row>
    <row r="2248" spans="1:10" x14ac:dyDescent="0.3">
      <c r="A2248" t="s">
        <v>2379</v>
      </c>
      <c r="B2248" t="s">
        <v>54</v>
      </c>
      <c r="C2248" t="str">
        <f>_xlfn.XLOOKUP(B2248,
[1]sales_teams!$A$2:$A$100,
[1]sales_teams!$B$2:$B$100)</f>
        <v>Celia Rouche</v>
      </c>
      <c r="D2248" t="str">
        <f>_xlfn.XLOOKUP($B2248,sales_teams!$A$2:$A$36,sales_teams!C$2:C$36)</f>
        <v>West</v>
      </c>
      <c r="E2248" t="s">
        <v>10</v>
      </c>
      <c r="F2248" t="s">
        <v>315</v>
      </c>
      <c r="G2248" t="s">
        <v>12</v>
      </c>
      <c r="H2248" s="1">
        <v>42834</v>
      </c>
      <c r="I2248" s="1">
        <v>42842</v>
      </c>
      <c r="J2248">
        <v>974</v>
      </c>
    </row>
    <row r="2249" spans="1:10" x14ac:dyDescent="0.3">
      <c r="A2249" t="s">
        <v>2380</v>
      </c>
      <c r="B2249" t="s">
        <v>78</v>
      </c>
      <c r="C2249" t="str">
        <f>_xlfn.XLOOKUP(B2249,
[1]sales_teams!$A$2:$A$100,
[1]sales_teams!$B$2:$B$100)</f>
        <v>Summer Sewald</v>
      </c>
      <c r="D2249" t="str">
        <f>_xlfn.XLOOKUP($B2249,sales_teams!$A$2:$A$36,sales_teams!C$2:C$36)</f>
        <v>West</v>
      </c>
      <c r="E2249" t="s">
        <v>10</v>
      </c>
      <c r="F2249" t="s">
        <v>33</v>
      </c>
      <c r="G2249" t="s">
        <v>12</v>
      </c>
      <c r="H2249" s="1">
        <v>42834</v>
      </c>
      <c r="I2249" s="1">
        <v>42835</v>
      </c>
      <c r="J2249">
        <v>915</v>
      </c>
    </row>
    <row r="2250" spans="1:10" x14ac:dyDescent="0.3">
      <c r="A2250" t="s">
        <v>2381</v>
      </c>
      <c r="B2250" t="s">
        <v>95</v>
      </c>
      <c r="C2250" t="str">
        <f>_xlfn.XLOOKUP(B2250,
[1]sales_teams!$A$2:$A$100,
[1]sales_teams!$B$2:$B$100)</f>
        <v>Summer Sewald</v>
      </c>
      <c r="D2250" t="str">
        <f>_xlfn.XLOOKUP($B2250,sales_teams!$A$2:$A$36,sales_teams!C$2:C$36)</f>
        <v>West</v>
      </c>
      <c r="E2250" t="s">
        <v>10</v>
      </c>
      <c r="F2250" t="s">
        <v>273</v>
      </c>
      <c r="G2250" t="s">
        <v>46</v>
      </c>
      <c r="H2250" s="1">
        <v>42834</v>
      </c>
      <c r="I2250" s="1">
        <v>42959</v>
      </c>
      <c r="J2250">
        <v>0</v>
      </c>
    </row>
    <row r="2251" spans="1:10" x14ac:dyDescent="0.3">
      <c r="A2251" t="s">
        <v>2382</v>
      </c>
      <c r="B2251" t="s">
        <v>95</v>
      </c>
      <c r="C2251" t="str">
        <f>_xlfn.XLOOKUP(B2251,
[1]sales_teams!$A$2:$A$100,
[1]sales_teams!$B$2:$B$100)</f>
        <v>Summer Sewald</v>
      </c>
      <c r="D2251" t="str">
        <f>_xlfn.XLOOKUP($B2251,sales_teams!$A$2:$A$36,sales_teams!C$2:C$36)</f>
        <v>West</v>
      </c>
      <c r="E2251" t="s">
        <v>39</v>
      </c>
      <c r="F2251" t="s">
        <v>313</v>
      </c>
      <c r="G2251" t="s">
        <v>46</v>
      </c>
      <c r="H2251" s="1">
        <v>42834</v>
      </c>
      <c r="I2251" s="1">
        <v>42841</v>
      </c>
      <c r="J2251">
        <v>0</v>
      </c>
    </row>
    <row r="2252" spans="1:10" x14ac:dyDescent="0.3">
      <c r="A2252" t="s">
        <v>2383</v>
      </c>
      <c r="B2252" t="s">
        <v>95</v>
      </c>
      <c r="C2252" t="str">
        <f>_xlfn.XLOOKUP(B2252,
[1]sales_teams!$A$2:$A$100,
[1]sales_teams!$B$2:$B$100)</f>
        <v>Summer Sewald</v>
      </c>
      <c r="D2252" t="str">
        <f>_xlfn.XLOOKUP($B2252,sales_teams!$A$2:$A$36,sales_teams!C$2:C$36)</f>
        <v>West</v>
      </c>
      <c r="E2252" t="s">
        <v>10</v>
      </c>
      <c r="F2252" t="s">
        <v>218</v>
      </c>
      <c r="G2252" t="s">
        <v>12</v>
      </c>
      <c r="H2252" s="1">
        <v>42834</v>
      </c>
      <c r="I2252" s="1">
        <v>42906</v>
      </c>
      <c r="J2252">
        <v>983</v>
      </c>
    </row>
    <row r="2253" spans="1:10" x14ac:dyDescent="0.3">
      <c r="A2253" t="s">
        <v>2384</v>
      </c>
      <c r="B2253" t="s">
        <v>116</v>
      </c>
      <c r="C2253" t="str">
        <f>_xlfn.XLOOKUP(B2253,
[1]sales_teams!$A$2:$A$100,
[1]sales_teams!$B$2:$B$100)</f>
        <v>Melvin Marxen</v>
      </c>
      <c r="D2253" t="str">
        <f>_xlfn.XLOOKUP($B2253,sales_teams!$A$2:$A$36,sales_teams!C$2:C$36)</f>
        <v>Central</v>
      </c>
      <c r="E2253" t="s">
        <v>10</v>
      </c>
      <c r="F2253" t="s">
        <v>318</v>
      </c>
      <c r="G2253" t="s">
        <v>12</v>
      </c>
      <c r="H2253" s="1">
        <v>42834</v>
      </c>
      <c r="I2253" s="1">
        <v>42835</v>
      </c>
      <c r="J2253">
        <v>1204</v>
      </c>
    </row>
    <row r="2254" spans="1:10" x14ac:dyDescent="0.3">
      <c r="A2254" t="s">
        <v>2385</v>
      </c>
      <c r="B2254" t="s">
        <v>9</v>
      </c>
      <c r="C2254" t="str">
        <f>_xlfn.XLOOKUP(B2254,
[1]sales_teams!$A$2:$A$100,
[1]sales_teams!$B$2:$B$100)</f>
        <v>Dustin Brinkmann</v>
      </c>
      <c r="D2254" t="str">
        <f>_xlfn.XLOOKUP($B2254,sales_teams!$A$2:$A$36,sales_teams!C$2:C$36)</f>
        <v>Central</v>
      </c>
      <c r="E2254" t="s">
        <v>48</v>
      </c>
      <c r="F2254" t="s">
        <v>218</v>
      </c>
      <c r="G2254" t="s">
        <v>46</v>
      </c>
      <c r="H2254" s="1">
        <v>42834</v>
      </c>
      <c r="I2254" s="1">
        <v>42841</v>
      </c>
      <c r="J2254">
        <v>0</v>
      </c>
    </row>
    <row r="2255" spans="1:10" x14ac:dyDescent="0.3">
      <c r="A2255" t="s">
        <v>2386</v>
      </c>
      <c r="B2255" t="s">
        <v>35</v>
      </c>
      <c r="C2255" t="str">
        <f>_xlfn.XLOOKUP(B2255,
[1]sales_teams!$A$2:$A$100,
[1]sales_teams!$B$2:$B$100)</f>
        <v>Melvin Marxen</v>
      </c>
      <c r="D2255" t="str">
        <f>_xlfn.XLOOKUP($B2255,sales_teams!$A$2:$A$36,sales_teams!C$2:C$36)</f>
        <v>Central</v>
      </c>
      <c r="E2255" t="s">
        <v>10</v>
      </c>
      <c r="F2255" t="s">
        <v>113</v>
      </c>
      <c r="G2255" t="s">
        <v>12</v>
      </c>
      <c r="H2255" s="1">
        <v>42834</v>
      </c>
      <c r="I2255" s="1">
        <v>42835</v>
      </c>
      <c r="J2255">
        <v>970</v>
      </c>
    </row>
    <row r="2256" spans="1:10" x14ac:dyDescent="0.3">
      <c r="A2256" t="s">
        <v>2387</v>
      </c>
      <c r="B2256" t="s">
        <v>97</v>
      </c>
      <c r="C2256" t="str">
        <f>_xlfn.XLOOKUP(B2256,
[1]sales_teams!$A$2:$A$100,
[1]sales_teams!$B$2:$B$100)</f>
        <v>Rocco Neubert</v>
      </c>
      <c r="D2256" t="str">
        <f>_xlfn.XLOOKUP($B2256,sales_teams!$A$2:$A$36,sales_teams!C$2:C$36)</f>
        <v>East</v>
      </c>
      <c r="E2256" t="s">
        <v>20</v>
      </c>
      <c r="F2256" t="s">
        <v>204</v>
      </c>
      <c r="G2256" t="s">
        <v>12</v>
      </c>
      <c r="H2256" s="1">
        <v>42834</v>
      </c>
      <c r="I2256" s="1">
        <v>42841</v>
      </c>
      <c r="J2256">
        <v>575</v>
      </c>
    </row>
    <row r="2257" spans="1:10" x14ac:dyDescent="0.3">
      <c r="A2257" t="s">
        <v>2388</v>
      </c>
      <c r="B2257" t="s">
        <v>88</v>
      </c>
      <c r="C2257" t="str">
        <f>_xlfn.XLOOKUP(B2257,
[1]sales_teams!$A$2:$A$100,
[1]sales_teams!$B$2:$B$100)</f>
        <v>Cara Losch</v>
      </c>
      <c r="D2257" t="str">
        <f>_xlfn.XLOOKUP($B2257,sales_teams!$A$2:$A$36,sales_teams!C$2:C$36)</f>
        <v>East</v>
      </c>
      <c r="E2257" t="s">
        <v>48</v>
      </c>
      <c r="F2257" t="s">
        <v>81</v>
      </c>
      <c r="G2257" t="s">
        <v>12</v>
      </c>
      <c r="H2257" s="1">
        <v>42834</v>
      </c>
      <c r="I2257" s="1">
        <v>42904</v>
      </c>
      <c r="J2257">
        <v>5986</v>
      </c>
    </row>
    <row r="2258" spans="1:10" x14ac:dyDescent="0.3">
      <c r="A2258" t="s">
        <v>2389</v>
      </c>
      <c r="B2258" t="s">
        <v>61</v>
      </c>
      <c r="C2258" t="str">
        <f>_xlfn.XLOOKUP(B2258,
[1]sales_teams!$A$2:$A$100,
[1]sales_teams!$B$2:$B$100)</f>
        <v>Dustin Brinkmann</v>
      </c>
      <c r="D2258" t="str">
        <f>_xlfn.XLOOKUP($B2258,sales_teams!$A$2:$A$36,sales_teams!C$2:C$36)</f>
        <v>Central</v>
      </c>
      <c r="E2258" t="s">
        <v>10</v>
      </c>
      <c r="F2258" t="s">
        <v>129</v>
      </c>
      <c r="G2258" t="s">
        <v>46</v>
      </c>
      <c r="H2258" s="1">
        <v>42834</v>
      </c>
      <c r="I2258" s="1">
        <v>42846</v>
      </c>
      <c r="J2258">
        <v>0</v>
      </c>
    </row>
    <row r="2259" spans="1:10" x14ac:dyDescent="0.3">
      <c r="A2259" t="s">
        <v>2390</v>
      </c>
      <c r="B2259" t="s">
        <v>29</v>
      </c>
      <c r="C2259" t="str">
        <f>_xlfn.XLOOKUP(B2259,
[1]sales_teams!$A$2:$A$100,
[1]sales_teams!$B$2:$B$100)</f>
        <v>Celia Rouche</v>
      </c>
      <c r="D2259" t="str">
        <f>_xlfn.XLOOKUP($B2259,sales_teams!$A$2:$A$36,sales_teams!C$2:C$36)</f>
        <v>West</v>
      </c>
      <c r="E2259" t="s">
        <v>18</v>
      </c>
      <c r="F2259" t="s">
        <v>68</v>
      </c>
      <c r="G2259" t="s">
        <v>12</v>
      </c>
      <c r="H2259" s="1">
        <v>42834</v>
      </c>
      <c r="I2259" s="1">
        <v>42902</v>
      </c>
      <c r="J2259">
        <v>64</v>
      </c>
    </row>
    <row r="2260" spans="1:10" x14ac:dyDescent="0.3">
      <c r="A2260" t="s">
        <v>2391</v>
      </c>
      <c r="B2260" t="s">
        <v>73</v>
      </c>
      <c r="C2260" t="str">
        <f>_xlfn.XLOOKUP(B2260,
[1]sales_teams!$A$2:$A$100,
[1]sales_teams!$B$2:$B$100)</f>
        <v>Cara Losch</v>
      </c>
      <c r="D2260" t="str">
        <f>_xlfn.XLOOKUP($B2260,sales_teams!$A$2:$A$36,sales_teams!C$2:C$36)</f>
        <v>East</v>
      </c>
      <c r="E2260" t="s">
        <v>18</v>
      </c>
      <c r="G2260" t="s">
        <v>40</v>
      </c>
      <c r="H2260" s="1">
        <v>42834</v>
      </c>
    </row>
    <row r="2261" spans="1:10" x14ac:dyDescent="0.3">
      <c r="A2261" t="s">
        <v>2392</v>
      </c>
      <c r="B2261" t="s">
        <v>23</v>
      </c>
      <c r="C2261" t="str">
        <f>_xlfn.XLOOKUP(B2261,
[1]sales_teams!$A$2:$A$100,
[1]sales_teams!$B$2:$B$100)</f>
        <v>Summer Sewald</v>
      </c>
      <c r="D2261" t="str">
        <f>_xlfn.XLOOKUP($B2261,sales_teams!$A$2:$A$36,sales_teams!C$2:C$36)</f>
        <v>West</v>
      </c>
      <c r="E2261" t="s">
        <v>10</v>
      </c>
      <c r="F2261" t="s">
        <v>373</v>
      </c>
      <c r="G2261" t="s">
        <v>40</v>
      </c>
      <c r="H2261" s="1">
        <v>42834</v>
      </c>
    </row>
    <row r="2262" spans="1:10" x14ac:dyDescent="0.3">
      <c r="A2262" t="s">
        <v>2393</v>
      </c>
      <c r="B2262" t="s">
        <v>23</v>
      </c>
      <c r="C2262" t="str">
        <f>_xlfn.XLOOKUP(B2262,
[1]sales_teams!$A$2:$A$100,
[1]sales_teams!$B$2:$B$100)</f>
        <v>Summer Sewald</v>
      </c>
      <c r="D2262" t="str">
        <f>_xlfn.XLOOKUP($B2262,sales_teams!$A$2:$A$36,sales_teams!C$2:C$36)</f>
        <v>West</v>
      </c>
      <c r="E2262" t="s">
        <v>20</v>
      </c>
      <c r="F2262" t="s">
        <v>59</v>
      </c>
      <c r="G2262" t="s">
        <v>46</v>
      </c>
      <c r="H2262" s="1">
        <v>42834</v>
      </c>
      <c r="I2262" s="1">
        <v>42840</v>
      </c>
      <c r="J2262">
        <v>0</v>
      </c>
    </row>
    <row r="2263" spans="1:10" x14ac:dyDescent="0.3">
      <c r="A2263" t="s">
        <v>2394</v>
      </c>
      <c r="B2263" t="s">
        <v>23</v>
      </c>
      <c r="C2263" t="str">
        <f>_xlfn.XLOOKUP(B2263,
[1]sales_teams!$A$2:$A$100,
[1]sales_teams!$B$2:$B$100)</f>
        <v>Summer Sewald</v>
      </c>
      <c r="D2263" t="str">
        <f>_xlfn.XLOOKUP($B2263,sales_teams!$A$2:$A$36,sales_teams!C$2:C$36)</f>
        <v>West</v>
      </c>
      <c r="E2263" t="s">
        <v>39</v>
      </c>
      <c r="F2263" t="s">
        <v>30</v>
      </c>
      <c r="G2263" t="s">
        <v>12</v>
      </c>
      <c r="H2263" s="1">
        <v>42834</v>
      </c>
      <c r="I2263" s="1">
        <v>42912</v>
      </c>
      <c r="J2263">
        <v>3070</v>
      </c>
    </row>
    <row r="2264" spans="1:10" x14ac:dyDescent="0.3">
      <c r="A2264" t="s">
        <v>2395</v>
      </c>
      <c r="B2264" t="s">
        <v>26</v>
      </c>
      <c r="C2264" t="str">
        <f>_xlfn.XLOOKUP(B2264,
[1]sales_teams!$A$2:$A$100,
[1]sales_teams!$B$2:$B$100)</f>
        <v>Dustin Brinkmann</v>
      </c>
      <c r="D2264" t="str">
        <f>_xlfn.XLOOKUP($B2264,sales_teams!$A$2:$A$36,sales_teams!C$2:C$36)</f>
        <v>Central</v>
      </c>
      <c r="E2264" t="s">
        <v>18</v>
      </c>
      <c r="F2264" t="s">
        <v>129</v>
      </c>
      <c r="G2264" t="s">
        <v>46</v>
      </c>
      <c r="H2264" s="1">
        <v>42835</v>
      </c>
      <c r="I2264" s="1">
        <v>42836</v>
      </c>
      <c r="J2264">
        <v>0</v>
      </c>
    </row>
    <row r="2265" spans="1:10" x14ac:dyDescent="0.3">
      <c r="A2265" t="s">
        <v>2396</v>
      </c>
      <c r="B2265" t="s">
        <v>139</v>
      </c>
      <c r="C2265" t="str">
        <f>_xlfn.XLOOKUP(B2265,
[1]sales_teams!$A$2:$A$100,
[1]sales_teams!$B$2:$B$100)</f>
        <v>Rocco Neubert</v>
      </c>
      <c r="D2265" t="str">
        <f>_xlfn.XLOOKUP($B2265,sales_teams!$A$2:$A$36,sales_teams!C$2:C$36)</f>
        <v>East</v>
      </c>
      <c r="E2265" t="s">
        <v>20</v>
      </c>
      <c r="F2265" t="s">
        <v>240</v>
      </c>
      <c r="G2265" t="s">
        <v>46</v>
      </c>
      <c r="H2265" s="1">
        <v>42835</v>
      </c>
      <c r="I2265" s="1">
        <v>42836</v>
      </c>
      <c r="J2265">
        <v>0</v>
      </c>
    </row>
    <row r="2266" spans="1:10" x14ac:dyDescent="0.3">
      <c r="A2266" t="s">
        <v>2397</v>
      </c>
      <c r="B2266" t="s">
        <v>118</v>
      </c>
      <c r="C2266" t="str">
        <f>_xlfn.XLOOKUP(B2266,
[1]sales_teams!$A$2:$A$100,
[1]sales_teams!$B$2:$B$100)</f>
        <v>Rocco Neubert</v>
      </c>
      <c r="D2266" t="str">
        <f>_xlfn.XLOOKUP($B2266,sales_teams!$A$2:$A$36,sales_teams!C$2:C$36)</f>
        <v>East</v>
      </c>
      <c r="E2266" t="s">
        <v>10</v>
      </c>
      <c r="F2266" t="s">
        <v>106</v>
      </c>
      <c r="G2266" t="s">
        <v>46</v>
      </c>
      <c r="H2266" s="1">
        <v>42835</v>
      </c>
      <c r="I2266" s="1">
        <v>42842</v>
      </c>
      <c r="J2266">
        <v>0</v>
      </c>
    </row>
    <row r="2267" spans="1:10" x14ac:dyDescent="0.3">
      <c r="A2267" t="s">
        <v>2398</v>
      </c>
      <c r="B2267" t="s">
        <v>202</v>
      </c>
      <c r="C2267" t="str">
        <f>_xlfn.XLOOKUP(B2267,
[1]sales_teams!$A$2:$A$100,
[1]sales_teams!$B$2:$B$100)</f>
        <v>Dustin Brinkmann</v>
      </c>
      <c r="D2267" t="str">
        <f>_xlfn.XLOOKUP($B2267,sales_teams!$A$2:$A$36,sales_teams!C$2:C$36)</f>
        <v>Central</v>
      </c>
      <c r="E2267" t="s">
        <v>18</v>
      </c>
      <c r="F2267" t="s">
        <v>151</v>
      </c>
      <c r="G2267" t="s">
        <v>46</v>
      </c>
      <c r="H2267" s="1">
        <v>42835</v>
      </c>
      <c r="I2267" s="1">
        <v>42845</v>
      </c>
      <c r="J2267">
        <v>0</v>
      </c>
    </row>
    <row r="2268" spans="1:10" x14ac:dyDescent="0.3">
      <c r="A2268" t="s">
        <v>2399</v>
      </c>
      <c r="B2268" t="s">
        <v>202</v>
      </c>
      <c r="C2268" t="str">
        <f>_xlfn.XLOOKUP(B2268,
[1]sales_teams!$A$2:$A$100,
[1]sales_teams!$B$2:$B$100)</f>
        <v>Dustin Brinkmann</v>
      </c>
      <c r="D2268" t="str">
        <f>_xlfn.XLOOKUP($B2268,sales_teams!$A$2:$A$36,sales_teams!C$2:C$36)</f>
        <v>Central</v>
      </c>
      <c r="E2268" t="s">
        <v>39</v>
      </c>
      <c r="F2268" t="s">
        <v>16</v>
      </c>
      <c r="G2268" t="s">
        <v>12</v>
      </c>
      <c r="H2268" s="1">
        <v>42835</v>
      </c>
      <c r="I2268" s="1">
        <v>42843</v>
      </c>
      <c r="J2268">
        <v>3409</v>
      </c>
    </row>
    <row r="2269" spans="1:10" x14ac:dyDescent="0.3">
      <c r="A2269" t="s">
        <v>2400</v>
      </c>
      <c r="B2269" t="s">
        <v>64</v>
      </c>
      <c r="C2269" t="str">
        <f>_xlfn.XLOOKUP(B2269,
[1]sales_teams!$A$2:$A$100,
[1]sales_teams!$B$2:$B$100)</f>
        <v>Rocco Neubert</v>
      </c>
      <c r="D2269" t="str">
        <f>_xlfn.XLOOKUP($B2269,sales_teams!$A$2:$A$36,sales_teams!C$2:C$36)</f>
        <v>East</v>
      </c>
      <c r="E2269" t="s">
        <v>48</v>
      </c>
      <c r="F2269" t="s">
        <v>98</v>
      </c>
      <c r="G2269" t="s">
        <v>12</v>
      </c>
      <c r="H2269" s="1">
        <v>42835</v>
      </c>
      <c r="I2269" s="1">
        <v>42897</v>
      </c>
      <c r="J2269">
        <v>5721</v>
      </c>
    </row>
    <row r="2270" spans="1:10" x14ac:dyDescent="0.3">
      <c r="A2270" t="s">
        <v>2401</v>
      </c>
      <c r="B2270" t="s">
        <v>64</v>
      </c>
      <c r="C2270" t="str">
        <f>_xlfn.XLOOKUP(B2270,
[1]sales_teams!$A$2:$A$100,
[1]sales_teams!$B$2:$B$100)</f>
        <v>Rocco Neubert</v>
      </c>
      <c r="D2270" t="str">
        <f>_xlfn.XLOOKUP($B2270,sales_teams!$A$2:$A$36,sales_teams!C$2:C$36)</f>
        <v>East</v>
      </c>
      <c r="E2270" t="s">
        <v>15</v>
      </c>
      <c r="F2270" t="s">
        <v>81</v>
      </c>
      <c r="G2270" t="s">
        <v>12</v>
      </c>
      <c r="H2270" s="1">
        <v>42835</v>
      </c>
      <c r="I2270" s="1">
        <v>42914</v>
      </c>
      <c r="J2270">
        <v>5039</v>
      </c>
    </row>
    <row r="2271" spans="1:10" x14ac:dyDescent="0.3">
      <c r="A2271" t="s">
        <v>2402</v>
      </c>
      <c r="B2271" t="s">
        <v>64</v>
      </c>
      <c r="C2271" t="str">
        <f>_xlfn.XLOOKUP(B2271,
[1]sales_teams!$A$2:$A$100,
[1]sales_teams!$B$2:$B$100)</f>
        <v>Rocco Neubert</v>
      </c>
      <c r="D2271" t="str">
        <f>_xlfn.XLOOKUP($B2271,sales_teams!$A$2:$A$36,sales_teams!C$2:C$36)</f>
        <v>East</v>
      </c>
      <c r="E2271" t="s">
        <v>15</v>
      </c>
      <c r="F2271" t="s">
        <v>65</v>
      </c>
      <c r="G2271" t="s">
        <v>12</v>
      </c>
      <c r="H2271" s="1">
        <v>42835</v>
      </c>
      <c r="I2271" s="1">
        <v>42836</v>
      </c>
      <c r="J2271">
        <v>5000</v>
      </c>
    </row>
    <row r="2272" spans="1:10" x14ac:dyDescent="0.3">
      <c r="A2272" t="s">
        <v>2403</v>
      </c>
      <c r="B2272" t="s">
        <v>14</v>
      </c>
      <c r="C2272" t="str">
        <f>_xlfn.XLOOKUP(B2272,
[1]sales_teams!$A$2:$A$100,
[1]sales_teams!$B$2:$B$100)</f>
        <v>Melvin Marxen</v>
      </c>
      <c r="D2272" t="str">
        <f>_xlfn.XLOOKUP($B2272,sales_teams!$A$2:$A$36,sales_teams!C$2:C$36)</f>
        <v>Central</v>
      </c>
      <c r="E2272" t="s">
        <v>20</v>
      </c>
      <c r="F2272" t="s">
        <v>315</v>
      </c>
      <c r="G2272" t="s">
        <v>46</v>
      </c>
      <c r="H2272" s="1">
        <v>42835</v>
      </c>
      <c r="I2272" s="1">
        <v>42843</v>
      </c>
      <c r="J2272">
        <v>0</v>
      </c>
    </row>
    <row r="2273" spans="1:10" x14ac:dyDescent="0.3">
      <c r="A2273" t="s">
        <v>2404</v>
      </c>
      <c r="B2273" t="s">
        <v>14</v>
      </c>
      <c r="C2273" t="str">
        <f>_xlfn.XLOOKUP(B2273,
[1]sales_teams!$A$2:$A$100,
[1]sales_teams!$B$2:$B$100)</f>
        <v>Melvin Marxen</v>
      </c>
      <c r="D2273" t="str">
        <f>_xlfn.XLOOKUP($B2273,sales_teams!$A$2:$A$36,sales_teams!C$2:C$36)</f>
        <v>Central</v>
      </c>
      <c r="E2273" t="s">
        <v>15</v>
      </c>
      <c r="F2273" t="s">
        <v>21</v>
      </c>
      <c r="G2273" t="s">
        <v>46</v>
      </c>
      <c r="H2273" s="1">
        <v>42835</v>
      </c>
      <c r="I2273" s="1">
        <v>42843</v>
      </c>
      <c r="J2273">
        <v>0</v>
      </c>
    </row>
    <row r="2274" spans="1:10" x14ac:dyDescent="0.3">
      <c r="A2274" t="s">
        <v>2405</v>
      </c>
      <c r="B2274" t="s">
        <v>14</v>
      </c>
      <c r="C2274" t="str">
        <f>_xlfn.XLOOKUP(B2274,
[1]sales_teams!$A$2:$A$100,
[1]sales_teams!$B$2:$B$100)</f>
        <v>Melvin Marxen</v>
      </c>
      <c r="D2274" t="str">
        <f>_xlfn.XLOOKUP($B2274,sales_teams!$A$2:$A$36,sales_teams!C$2:C$36)</f>
        <v>Central</v>
      </c>
      <c r="E2274" t="s">
        <v>48</v>
      </c>
      <c r="F2274" t="s">
        <v>109</v>
      </c>
      <c r="G2274" t="s">
        <v>12</v>
      </c>
      <c r="H2274" s="1">
        <v>42835</v>
      </c>
      <c r="I2274" s="1">
        <v>42841</v>
      </c>
      <c r="J2274">
        <v>4955</v>
      </c>
    </row>
    <row r="2275" spans="1:10" x14ac:dyDescent="0.3">
      <c r="A2275" t="s">
        <v>2406</v>
      </c>
      <c r="B2275" t="s">
        <v>14</v>
      </c>
      <c r="C2275" t="str">
        <f>_xlfn.XLOOKUP(B2275,
[1]sales_teams!$A$2:$A$100,
[1]sales_teams!$B$2:$B$100)</f>
        <v>Melvin Marxen</v>
      </c>
      <c r="D2275" t="str">
        <f>_xlfn.XLOOKUP($B2275,sales_teams!$A$2:$A$36,sales_teams!C$2:C$36)</f>
        <v>Central</v>
      </c>
      <c r="E2275" t="s">
        <v>15</v>
      </c>
      <c r="F2275" t="s">
        <v>218</v>
      </c>
      <c r="G2275" t="s">
        <v>12</v>
      </c>
      <c r="H2275" s="1">
        <v>42835</v>
      </c>
      <c r="I2275" s="1">
        <v>42842</v>
      </c>
      <c r="J2275">
        <v>5065</v>
      </c>
    </row>
    <row r="2276" spans="1:10" x14ac:dyDescent="0.3">
      <c r="A2276" t="s">
        <v>2407</v>
      </c>
      <c r="B2276" t="s">
        <v>14</v>
      </c>
      <c r="C2276" t="str">
        <f>_xlfn.XLOOKUP(B2276,
[1]sales_teams!$A$2:$A$100,
[1]sales_teams!$B$2:$B$100)</f>
        <v>Melvin Marxen</v>
      </c>
      <c r="D2276" t="str">
        <f>_xlfn.XLOOKUP($B2276,sales_teams!$A$2:$A$36,sales_teams!C$2:C$36)</f>
        <v>Central</v>
      </c>
      <c r="E2276" t="s">
        <v>15</v>
      </c>
      <c r="F2276" t="s">
        <v>213</v>
      </c>
      <c r="G2276" t="s">
        <v>12</v>
      </c>
      <c r="H2276" s="1">
        <v>42835</v>
      </c>
      <c r="I2276" s="1">
        <v>42842</v>
      </c>
      <c r="J2276">
        <v>4343</v>
      </c>
    </row>
    <row r="2277" spans="1:10" x14ac:dyDescent="0.3">
      <c r="A2277" t="s">
        <v>2408</v>
      </c>
      <c r="B2277" t="s">
        <v>14</v>
      </c>
      <c r="C2277" t="str">
        <f>_xlfn.XLOOKUP(B2277,
[1]sales_teams!$A$2:$A$100,
[1]sales_teams!$B$2:$B$100)</f>
        <v>Melvin Marxen</v>
      </c>
      <c r="D2277" t="str">
        <f>_xlfn.XLOOKUP($B2277,sales_teams!$A$2:$A$36,sales_teams!C$2:C$36)</f>
        <v>Central</v>
      </c>
      <c r="E2277" t="s">
        <v>15</v>
      </c>
      <c r="F2277" t="s">
        <v>111</v>
      </c>
      <c r="G2277" t="s">
        <v>12</v>
      </c>
      <c r="H2277" s="1">
        <v>42835</v>
      </c>
      <c r="I2277" s="1">
        <v>42845</v>
      </c>
      <c r="J2277">
        <v>3892</v>
      </c>
    </row>
    <row r="2278" spans="1:10" x14ac:dyDescent="0.3">
      <c r="A2278" t="s">
        <v>2409</v>
      </c>
      <c r="B2278" t="s">
        <v>44</v>
      </c>
      <c r="C2278" t="str">
        <f>_xlfn.XLOOKUP(B2278,
[1]sales_teams!$A$2:$A$100,
[1]sales_teams!$B$2:$B$100)</f>
        <v>Melvin Marxen</v>
      </c>
      <c r="D2278" t="str">
        <f>_xlfn.XLOOKUP($B2278,sales_teams!$A$2:$A$36,sales_teams!C$2:C$36)</f>
        <v>Central</v>
      </c>
      <c r="E2278" t="s">
        <v>20</v>
      </c>
      <c r="F2278" t="s">
        <v>76</v>
      </c>
      <c r="G2278" t="s">
        <v>46</v>
      </c>
      <c r="H2278" s="1">
        <v>42835</v>
      </c>
      <c r="I2278" s="1">
        <v>42845</v>
      </c>
      <c r="J2278">
        <v>0</v>
      </c>
    </row>
    <row r="2279" spans="1:10" x14ac:dyDescent="0.3">
      <c r="A2279" t="s">
        <v>2410</v>
      </c>
      <c r="B2279" t="s">
        <v>54</v>
      </c>
      <c r="C2279" t="str">
        <f>_xlfn.XLOOKUP(B2279,
[1]sales_teams!$A$2:$A$100,
[1]sales_teams!$B$2:$B$100)</f>
        <v>Celia Rouche</v>
      </c>
      <c r="D2279" t="str">
        <f>_xlfn.XLOOKUP($B2279,sales_teams!$A$2:$A$36,sales_teams!C$2:C$36)</f>
        <v>West</v>
      </c>
      <c r="E2279" t="s">
        <v>39</v>
      </c>
      <c r="G2279" t="s">
        <v>40</v>
      </c>
      <c r="H2279" s="1">
        <v>42835</v>
      </c>
    </row>
    <row r="2280" spans="1:10" x14ac:dyDescent="0.3">
      <c r="A2280" t="s">
        <v>2411</v>
      </c>
      <c r="B2280" t="s">
        <v>38</v>
      </c>
      <c r="C2280" t="str">
        <f>_xlfn.XLOOKUP(B2280,
[1]sales_teams!$A$2:$A$100,
[1]sales_teams!$B$2:$B$100)</f>
        <v>Summer Sewald</v>
      </c>
      <c r="D2280" t="str">
        <f>_xlfn.XLOOKUP($B2280,sales_teams!$A$2:$A$36,sales_teams!C$2:C$36)</f>
        <v>West</v>
      </c>
      <c r="E2280" t="s">
        <v>39</v>
      </c>
      <c r="F2280" t="s">
        <v>33</v>
      </c>
      <c r="G2280" t="s">
        <v>46</v>
      </c>
      <c r="H2280" s="1">
        <v>42835</v>
      </c>
      <c r="I2280" s="1">
        <v>42836</v>
      </c>
      <c r="J2280">
        <v>0</v>
      </c>
    </row>
    <row r="2281" spans="1:10" x14ac:dyDescent="0.3">
      <c r="A2281" t="s">
        <v>2412</v>
      </c>
      <c r="B2281" t="s">
        <v>252</v>
      </c>
      <c r="C2281" t="str">
        <f>_xlfn.XLOOKUP(B2281,
[1]sales_teams!$A$2:$A$100,
[1]sales_teams!$B$2:$B$100)</f>
        <v>Melvin Marxen</v>
      </c>
      <c r="D2281" t="str">
        <f>_xlfn.XLOOKUP($B2281,sales_teams!$A$2:$A$36,sales_teams!C$2:C$36)</f>
        <v>Central</v>
      </c>
      <c r="E2281" t="s">
        <v>10</v>
      </c>
      <c r="F2281" t="s">
        <v>120</v>
      </c>
      <c r="G2281" t="s">
        <v>12</v>
      </c>
      <c r="H2281" s="1">
        <v>42835</v>
      </c>
      <c r="I2281" s="1">
        <v>42913</v>
      </c>
      <c r="J2281">
        <v>1115</v>
      </c>
    </row>
    <row r="2282" spans="1:10" x14ac:dyDescent="0.3">
      <c r="A2282" t="s">
        <v>2413</v>
      </c>
      <c r="B2282" t="s">
        <v>78</v>
      </c>
      <c r="C2282" t="str">
        <f>_xlfn.XLOOKUP(B2282,
[1]sales_teams!$A$2:$A$100,
[1]sales_teams!$B$2:$B$100)</f>
        <v>Summer Sewald</v>
      </c>
      <c r="D2282" t="str">
        <f>_xlfn.XLOOKUP($B2282,sales_teams!$A$2:$A$36,sales_teams!C$2:C$36)</f>
        <v>West</v>
      </c>
      <c r="E2282" t="s">
        <v>20</v>
      </c>
      <c r="F2282" t="s">
        <v>155</v>
      </c>
      <c r="G2282" t="s">
        <v>12</v>
      </c>
      <c r="H2282" s="1">
        <v>42835</v>
      </c>
      <c r="I2282" s="1">
        <v>42841</v>
      </c>
      <c r="J2282">
        <v>533</v>
      </c>
    </row>
    <row r="2283" spans="1:10" x14ac:dyDescent="0.3">
      <c r="A2283" t="s">
        <v>2414</v>
      </c>
      <c r="B2283" t="s">
        <v>78</v>
      </c>
      <c r="C2283" t="str">
        <f>_xlfn.XLOOKUP(B2283,
[1]sales_teams!$A$2:$A$100,
[1]sales_teams!$B$2:$B$100)</f>
        <v>Summer Sewald</v>
      </c>
      <c r="D2283" t="str">
        <f>_xlfn.XLOOKUP($B2283,sales_teams!$A$2:$A$36,sales_teams!C$2:C$36)</f>
        <v>West</v>
      </c>
      <c r="E2283" t="s">
        <v>10</v>
      </c>
      <c r="F2283" t="s">
        <v>33</v>
      </c>
      <c r="G2283" t="s">
        <v>12</v>
      </c>
      <c r="H2283" s="1">
        <v>42835</v>
      </c>
      <c r="I2283" s="1">
        <v>42838</v>
      </c>
      <c r="J2283">
        <v>1290</v>
      </c>
    </row>
    <row r="2284" spans="1:10" x14ac:dyDescent="0.3">
      <c r="A2284" t="s">
        <v>2415</v>
      </c>
      <c r="B2284" t="s">
        <v>95</v>
      </c>
      <c r="C2284" t="str">
        <f>_xlfn.XLOOKUP(B2284,
[1]sales_teams!$A$2:$A$100,
[1]sales_teams!$B$2:$B$100)</f>
        <v>Summer Sewald</v>
      </c>
      <c r="D2284" t="str">
        <f>_xlfn.XLOOKUP($B2284,sales_teams!$A$2:$A$36,sales_teams!C$2:C$36)</f>
        <v>West</v>
      </c>
      <c r="E2284" t="s">
        <v>20</v>
      </c>
      <c r="F2284" t="s">
        <v>315</v>
      </c>
      <c r="G2284" t="s">
        <v>46</v>
      </c>
      <c r="H2284" s="1">
        <v>42835</v>
      </c>
      <c r="I2284" s="1">
        <v>42837</v>
      </c>
      <c r="J2284">
        <v>0</v>
      </c>
    </row>
    <row r="2285" spans="1:10" x14ac:dyDescent="0.3">
      <c r="A2285" t="s">
        <v>2416</v>
      </c>
      <c r="B2285" t="s">
        <v>95</v>
      </c>
      <c r="C2285" t="str">
        <f>_xlfn.XLOOKUP(B2285,
[1]sales_teams!$A$2:$A$100,
[1]sales_teams!$B$2:$B$100)</f>
        <v>Summer Sewald</v>
      </c>
      <c r="D2285" t="str">
        <f>_xlfn.XLOOKUP($B2285,sales_teams!$A$2:$A$36,sales_teams!C$2:C$36)</f>
        <v>West</v>
      </c>
      <c r="E2285" t="s">
        <v>10</v>
      </c>
      <c r="F2285" t="s">
        <v>100</v>
      </c>
      <c r="G2285" t="s">
        <v>46</v>
      </c>
      <c r="H2285" s="1">
        <v>42835</v>
      </c>
      <c r="I2285" s="1">
        <v>42899</v>
      </c>
      <c r="J2285">
        <v>0</v>
      </c>
    </row>
    <row r="2286" spans="1:10" x14ac:dyDescent="0.3">
      <c r="A2286" t="s">
        <v>2417</v>
      </c>
      <c r="B2286" t="s">
        <v>133</v>
      </c>
      <c r="C2286" t="str">
        <f>_xlfn.XLOOKUP(B2286,
[1]sales_teams!$A$2:$A$100,
[1]sales_teams!$B$2:$B$100)</f>
        <v>Dustin Brinkmann</v>
      </c>
      <c r="D2286" t="str">
        <f>_xlfn.XLOOKUP($B2286,sales_teams!$A$2:$A$36,sales_teams!C$2:C$36)</f>
        <v>Central</v>
      </c>
      <c r="E2286" t="s">
        <v>18</v>
      </c>
      <c r="F2286" t="s">
        <v>197</v>
      </c>
      <c r="G2286" t="s">
        <v>46</v>
      </c>
      <c r="H2286" s="1">
        <v>42835</v>
      </c>
      <c r="I2286" s="1">
        <v>42837</v>
      </c>
      <c r="J2286">
        <v>0</v>
      </c>
    </row>
    <row r="2287" spans="1:10" x14ac:dyDescent="0.3">
      <c r="A2287" t="s">
        <v>2418</v>
      </c>
      <c r="B2287" t="s">
        <v>133</v>
      </c>
      <c r="C2287" t="str">
        <f>_xlfn.XLOOKUP(B2287,
[1]sales_teams!$A$2:$A$100,
[1]sales_teams!$B$2:$B$100)</f>
        <v>Dustin Brinkmann</v>
      </c>
      <c r="D2287" t="str">
        <f>_xlfn.XLOOKUP($B2287,sales_teams!$A$2:$A$36,sales_teams!C$2:C$36)</f>
        <v>Central</v>
      </c>
      <c r="E2287" t="s">
        <v>10</v>
      </c>
      <c r="F2287" t="s">
        <v>21</v>
      </c>
      <c r="G2287" t="s">
        <v>12</v>
      </c>
      <c r="H2287" s="1">
        <v>42835</v>
      </c>
      <c r="I2287" s="1">
        <v>42888</v>
      </c>
      <c r="J2287">
        <v>1047</v>
      </c>
    </row>
    <row r="2288" spans="1:10" x14ac:dyDescent="0.3">
      <c r="A2288" t="s">
        <v>2419</v>
      </c>
      <c r="B2288" t="s">
        <v>133</v>
      </c>
      <c r="C2288" t="str">
        <f>_xlfn.XLOOKUP(B2288,
[1]sales_teams!$A$2:$A$100,
[1]sales_teams!$B$2:$B$100)</f>
        <v>Dustin Brinkmann</v>
      </c>
      <c r="D2288" t="str">
        <f>_xlfn.XLOOKUP($B2288,sales_teams!$A$2:$A$36,sales_teams!C$2:C$36)</f>
        <v>Central</v>
      </c>
      <c r="E2288" t="s">
        <v>18</v>
      </c>
      <c r="F2288" t="s">
        <v>109</v>
      </c>
      <c r="G2288" t="s">
        <v>12</v>
      </c>
      <c r="H2288" s="1">
        <v>42835</v>
      </c>
      <c r="I2288" s="1">
        <v>42843</v>
      </c>
      <c r="J2288">
        <v>47</v>
      </c>
    </row>
    <row r="2289" spans="1:10" x14ac:dyDescent="0.3">
      <c r="A2289" t="s">
        <v>2420</v>
      </c>
      <c r="B2289" t="s">
        <v>32</v>
      </c>
      <c r="C2289" t="str">
        <f>_xlfn.XLOOKUP(B2289,
[1]sales_teams!$A$2:$A$100,
[1]sales_teams!$B$2:$B$100)</f>
        <v>Celia Rouche</v>
      </c>
      <c r="D2289" t="str">
        <f>_xlfn.XLOOKUP($B2289,sales_teams!$A$2:$A$36,sales_teams!C$2:C$36)</f>
        <v>West</v>
      </c>
      <c r="E2289" t="s">
        <v>39</v>
      </c>
      <c r="F2289" t="s">
        <v>135</v>
      </c>
      <c r="G2289" t="s">
        <v>40</v>
      </c>
      <c r="H2289" s="1">
        <v>42835</v>
      </c>
    </row>
    <row r="2290" spans="1:10" x14ac:dyDescent="0.3">
      <c r="A2290" t="s">
        <v>2421</v>
      </c>
      <c r="B2290" t="s">
        <v>116</v>
      </c>
      <c r="C2290" t="str">
        <f>_xlfn.XLOOKUP(B2290,
[1]sales_teams!$A$2:$A$100,
[1]sales_teams!$B$2:$B$100)</f>
        <v>Melvin Marxen</v>
      </c>
      <c r="D2290" t="str">
        <f>_xlfn.XLOOKUP($B2290,sales_teams!$A$2:$A$36,sales_teams!C$2:C$36)</f>
        <v>Central</v>
      </c>
      <c r="E2290" t="s">
        <v>20</v>
      </c>
      <c r="F2290" t="s">
        <v>218</v>
      </c>
      <c r="G2290" t="s">
        <v>46</v>
      </c>
      <c r="H2290" s="1">
        <v>42835</v>
      </c>
      <c r="I2290" s="1">
        <v>42846</v>
      </c>
      <c r="J2290">
        <v>0</v>
      </c>
    </row>
    <row r="2291" spans="1:10" x14ac:dyDescent="0.3">
      <c r="A2291" t="s">
        <v>2422</v>
      </c>
      <c r="B2291" t="s">
        <v>116</v>
      </c>
      <c r="C2291" t="str">
        <f>_xlfn.XLOOKUP(B2291,
[1]sales_teams!$A$2:$A$100,
[1]sales_teams!$B$2:$B$100)</f>
        <v>Melvin Marxen</v>
      </c>
      <c r="D2291" t="str">
        <f>_xlfn.XLOOKUP($B2291,sales_teams!$A$2:$A$36,sales_teams!C$2:C$36)</f>
        <v>Central</v>
      </c>
      <c r="E2291" t="s">
        <v>15</v>
      </c>
      <c r="F2291" t="s">
        <v>151</v>
      </c>
      <c r="G2291" t="s">
        <v>12</v>
      </c>
      <c r="H2291" s="1">
        <v>42835</v>
      </c>
      <c r="I2291" s="1">
        <v>42895</v>
      </c>
      <c r="J2291">
        <v>4413</v>
      </c>
    </row>
    <row r="2292" spans="1:10" x14ac:dyDescent="0.3">
      <c r="A2292" t="s">
        <v>2423</v>
      </c>
      <c r="B2292" t="s">
        <v>51</v>
      </c>
      <c r="C2292" t="str">
        <f>_xlfn.XLOOKUP(B2292,
[1]sales_teams!$A$2:$A$100,
[1]sales_teams!$B$2:$B$100)</f>
        <v>Summer Sewald</v>
      </c>
      <c r="D2292" t="str">
        <f>_xlfn.XLOOKUP($B2292,sales_teams!$A$2:$A$36,sales_teams!C$2:C$36)</f>
        <v>West</v>
      </c>
      <c r="E2292" t="s">
        <v>10</v>
      </c>
      <c r="F2292" t="s">
        <v>315</v>
      </c>
      <c r="G2292" t="s">
        <v>12</v>
      </c>
      <c r="H2292" s="1">
        <v>42835</v>
      </c>
      <c r="I2292" s="1">
        <v>42912</v>
      </c>
      <c r="J2292">
        <v>950</v>
      </c>
    </row>
    <row r="2293" spans="1:10" x14ac:dyDescent="0.3">
      <c r="A2293" t="s">
        <v>2424</v>
      </c>
      <c r="B2293" t="s">
        <v>97</v>
      </c>
      <c r="C2293" t="str">
        <f>_xlfn.XLOOKUP(B2293,
[1]sales_teams!$A$2:$A$100,
[1]sales_teams!$B$2:$B$100)</f>
        <v>Rocco Neubert</v>
      </c>
      <c r="D2293" t="str">
        <f>_xlfn.XLOOKUP($B2293,sales_teams!$A$2:$A$36,sales_teams!C$2:C$36)</f>
        <v>East</v>
      </c>
      <c r="E2293" t="s">
        <v>15</v>
      </c>
      <c r="F2293" t="s">
        <v>215</v>
      </c>
      <c r="G2293" t="s">
        <v>46</v>
      </c>
      <c r="H2293" s="1">
        <v>42835</v>
      </c>
      <c r="I2293" s="1">
        <v>42841</v>
      </c>
      <c r="J2293">
        <v>0</v>
      </c>
    </row>
    <row r="2294" spans="1:10" x14ac:dyDescent="0.3">
      <c r="A2294" t="s">
        <v>2425</v>
      </c>
      <c r="B2294" t="s">
        <v>97</v>
      </c>
      <c r="C2294" t="str">
        <f>_xlfn.XLOOKUP(B2294,
[1]sales_teams!$A$2:$A$100,
[1]sales_teams!$B$2:$B$100)</f>
        <v>Rocco Neubert</v>
      </c>
      <c r="D2294" t="str">
        <f>_xlfn.XLOOKUP($B2294,sales_teams!$A$2:$A$36,sales_teams!C$2:C$36)</f>
        <v>East</v>
      </c>
      <c r="E2294" t="s">
        <v>15</v>
      </c>
      <c r="F2294" t="s">
        <v>103</v>
      </c>
      <c r="G2294" t="s">
        <v>12</v>
      </c>
      <c r="H2294" s="1">
        <v>42835</v>
      </c>
      <c r="I2294" s="1">
        <v>42845</v>
      </c>
      <c r="J2294">
        <v>4136</v>
      </c>
    </row>
    <row r="2295" spans="1:10" x14ac:dyDescent="0.3">
      <c r="A2295" t="s">
        <v>2426</v>
      </c>
      <c r="B2295" t="s">
        <v>61</v>
      </c>
      <c r="C2295" t="str">
        <f>_xlfn.XLOOKUP(B2295,
[1]sales_teams!$A$2:$A$100,
[1]sales_teams!$B$2:$B$100)</f>
        <v>Dustin Brinkmann</v>
      </c>
      <c r="D2295" t="str">
        <f>_xlfn.XLOOKUP($B2295,sales_teams!$A$2:$A$36,sales_teams!C$2:C$36)</f>
        <v>Central</v>
      </c>
      <c r="E2295" t="s">
        <v>18</v>
      </c>
      <c r="F2295" t="s">
        <v>126</v>
      </c>
      <c r="G2295" t="s">
        <v>12</v>
      </c>
      <c r="H2295" s="1">
        <v>42835</v>
      </c>
      <c r="I2295" s="1">
        <v>42843</v>
      </c>
      <c r="J2295">
        <v>62</v>
      </c>
    </row>
    <row r="2296" spans="1:10" x14ac:dyDescent="0.3">
      <c r="A2296" t="s">
        <v>2427</v>
      </c>
      <c r="B2296" t="s">
        <v>29</v>
      </c>
      <c r="C2296" t="str">
        <f>_xlfn.XLOOKUP(B2296,
[1]sales_teams!$A$2:$A$100,
[1]sales_teams!$B$2:$B$100)</f>
        <v>Celia Rouche</v>
      </c>
      <c r="D2296" t="str">
        <f>_xlfn.XLOOKUP($B2296,sales_teams!$A$2:$A$36,sales_teams!C$2:C$36)</f>
        <v>West</v>
      </c>
      <c r="E2296" t="s">
        <v>18</v>
      </c>
      <c r="F2296" t="s">
        <v>30</v>
      </c>
      <c r="G2296" t="s">
        <v>46</v>
      </c>
      <c r="H2296" s="1">
        <v>42835</v>
      </c>
      <c r="I2296" s="1">
        <v>42843</v>
      </c>
      <c r="J2296">
        <v>0</v>
      </c>
    </row>
    <row r="2297" spans="1:10" x14ac:dyDescent="0.3">
      <c r="A2297" t="s">
        <v>2428</v>
      </c>
      <c r="B2297" t="s">
        <v>23</v>
      </c>
      <c r="C2297" t="str">
        <f>_xlfn.XLOOKUP(B2297,
[1]sales_teams!$A$2:$A$100,
[1]sales_teams!$B$2:$B$100)</f>
        <v>Summer Sewald</v>
      </c>
      <c r="D2297" t="str">
        <f>_xlfn.XLOOKUP($B2297,sales_teams!$A$2:$A$36,sales_teams!C$2:C$36)</f>
        <v>West</v>
      </c>
      <c r="E2297" t="s">
        <v>39</v>
      </c>
      <c r="G2297" t="s">
        <v>40</v>
      </c>
      <c r="H2297" s="1">
        <v>42835</v>
      </c>
    </row>
    <row r="2298" spans="1:10" x14ac:dyDescent="0.3">
      <c r="A2298" t="s">
        <v>2429</v>
      </c>
      <c r="B2298" t="s">
        <v>23</v>
      </c>
      <c r="C2298" t="str">
        <f>_xlfn.XLOOKUP(B2298,
[1]sales_teams!$A$2:$A$100,
[1]sales_teams!$B$2:$B$100)</f>
        <v>Summer Sewald</v>
      </c>
      <c r="D2298" t="str">
        <f>_xlfn.XLOOKUP($B2298,sales_teams!$A$2:$A$36,sales_teams!C$2:C$36)</f>
        <v>West</v>
      </c>
      <c r="E2298" t="s">
        <v>20</v>
      </c>
      <c r="F2298" t="s">
        <v>148</v>
      </c>
      <c r="G2298" t="s">
        <v>12</v>
      </c>
      <c r="H2298" s="1">
        <v>42835</v>
      </c>
      <c r="I2298" s="1">
        <v>42836</v>
      </c>
      <c r="J2298">
        <v>467</v>
      </c>
    </row>
    <row r="2299" spans="1:10" x14ac:dyDescent="0.3">
      <c r="A2299" t="s">
        <v>2430</v>
      </c>
      <c r="B2299" t="s">
        <v>139</v>
      </c>
      <c r="C2299" t="str">
        <f>_xlfn.XLOOKUP(B2299,
[1]sales_teams!$A$2:$A$100,
[1]sales_teams!$B$2:$B$100)</f>
        <v>Rocco Neubert</v>
      </c>
      <c r="D2299" t="str">
        <f>_xlfn.XLOOKUP($B2299,sales_teams!$A$2:$A$36,sales_teams!C$2:C$36)</f>
        <v>East</v>
      </c>
      <c r="E2299" t="s">
        <v>10</v>
      </c>
      <c r="F2299" t="s">
        <v>237</v>
      </c>
      <c r="G2299" t="s">
        <v>12</v>
      </c>
      <c r="H2299" s="1">
        <v>42836</v>
      </c>
      <c r="I2299" s="1">
        <v>42897</v>
      </c>
      <c r="J2299">
        <v>1075</v>
      </c>
    </row>
    <row r="2300" spans="1:10" x14ac:dyDescent="0.3">
      <c r="A2300" t="s">
        <v>2431</v>
      </c>
      <c r="B2300" t="s">
        <v>202</v>
      </c>
      <c r="C2300" t="str">
        <f>_xlfn.XLOOKUP(B2300,
[1]sales_teams!$A$2:$A$100,
[1]sales_teams!$B$2:$B$100)</f>
        <v>Dustin Brinkmann</v>
      </c>
      <c r="D2300" t="str">
        <f>_xlfn.XLOOKUP($B2300,sales_teams!$A$2:$A$36,sales_teams!C$2:C$36)</f>
        <v>Central</v>
      </c>
      <c r="E2300" t="s">
        <v>18</v>
      </c>
      <c r="F2300" t="s">
        <v>303</v>
      </c>
      <c r="G2300" t="s">
        <v>46</v>
      </c>
      <c r="H2300" s="1">
        <v>42836</v>
      </c>
      <c r="I2300" s="1">
        <v>42844</v>
      </c>
      <c r="J2300">
        <v>0</v>
      </c>
    </row>
    <row r="2301" spans="1:10" x14ac:dyDescent="0.3">
      <c r="A2301" t="s">
        <v>2432</v>
      </c>
      <c r="B2301" t="s">
        <v>64</v>
      </c>
      <c r="C2301" t="str">
        <f>_xlfn.XLOOKUP(B2301,
[1]sales_teams!$A$2:$A$100,
[1]sales_teams!$B$2:$B$100)</f>
        <v>Rocco Neubert</v>
      </c>
      <c r="D2301" t="str">
        <f>_xlfn.XLOOKUP($B2301,sales_teams!$A$2:$A$36,sales_teams!C$2:C$36)</f>
        <v>East</v>
      </c>
      <c r="E2301" t="s">
        <v>18</v>
      </c>
      <c r="F2301" t="s">
        <v>177</v>
      </c>
      <c r="G2301" t="s">
        <v>12</v>
      </c>
      <c r="H2301" s="1">
        <v>42836</v>
      </c>
      <c r="I2301" s="1">
        <v>42838</v>
      </c>
      <c r="J2301">
        <v>52</v>
      </c>
    </row>
    <row r="2302" spans="1:10" x14ac:dyDescent="0.3">
      <c r="A2302" t="s">
        <v>2433</v>
      </c>
      <c r="B2302" t="s">
        <v>14</v>
      </c>
      <c r="C2302" t="str">
        <f>_xlfn.XLOOKUP(B2302,
[1]sales_teams!$A$2:$A$100,
[1]sales_teams!$B$2:$B$100)</f>
        <v>Melvin Marxen</v>
      </c>
      <c r="D2302" t="str">
        <f>_xlfn.XLOOKUP($B2302,sales_teams!$A$2:$A$36,sales_teams!C$2:C$36)</f>
        <v>Central</v>
      </c>
      <c r="E2302" t="s">
        <v>15</v>
      </c>
      <c r="F2302" t="s">
        <v>318</v>
      </c>
      <c r="G2302" t="s">
        <v>46</v>
      </c>
      <c r="H2302" s="1">
        <v>42836</v>
      </c>
      <c r="I2302" s="1">
        <v>42844</v>
      </c>
      <c r="J2302">
        <v>0</v>
      </c>
    </row>
    <row r="2303" spans="1:10" x14ac:dyDescent="0.3">
      <c r="A2303" t="s">
        <v>2434</v>
      </c>
      <c r="B2303" t="s">
        <v>14</v>
      </c>
      <c r="C2303" t="str">
        <f>_xlfn.XLOOKUP(B2303,
[1]sales_teams!$A$2:$A$100,
[1]sales_teams!$B$2:$B$100)</f>
        <v>Melvin Marxen</v>
      </c>
      <c r="D2303" t="str">
        <f>_xlfn.XLOOKUP($B2303,sales_teams!$A$2:$A$36,sales_teams!C$2:C$36)</f>
        <v>Central</v>
      </c>
      <c r="E2303" t="s">
        <v>15</v>
      </c>
      <c r="F2303" t="s">
        <v>318</v>
      </c>
      <c r="G2303" t="s">
        <v>46</v>
      </c>
      <c r="H2303" s="1">
        <v>42836</v>
      </c>
      <c r="I2303" s="1">
        <v>42837</v>
      </c>
      <c r="J2303">
        <v>0</v>
      </c>
    </row>
    <row r="2304" spans="1:10" x14ac:dyDescent="0.3">
      <c r="A2304" t="s">
        <v>2435</v>
      </c>
      <c r="B2304" t="s">
        <v>14</v>
      </c>
      <c r="C2304" t="str">
        <f>_xlfn.XLOOKUP(B2304,
[1]sales_teams!$A$2:$A$100,
[1]sales_teams!$B$2:$B$100)</f>
        <v>Melvin Marxen</v>
      </c>
      <c r="D2304" t="str">
        <f>_xlfn.XLOOKUP($B2304,sales_teams!$A$2:$A$36,sales_teams!C$2:C$36)</f>
        <v>Central</v>
      </c>
      <c r="E2304" t="s">
        <v>15</v>
      </c>
      <c r="F2304" t="s">
        <v>218</v>
      </c>
      <c r="G2304" t="s">
        <v>12</v>
      </c>
      <c r="H2304" s="1">
        <v>42836</v>
      </c>
      <c r="I2304" s="1">
        <v>42843</v>
      </c>
      <c r="J2304">
        <v>4837</v>
      </c>
    </row>
    <row r="2305" spans="1:10" x14ac:dyDescent="0.3">
      <c r="A2305" t="s">
        <v>2436</v>
      </c>
      <c r="B2305" t="s">
        <v>142</v>
      </c>
      <c r="C2305" t="str">
        <f>_xlfn.XLOOKUP(B2305,
[1]sales_teams!$A$2:$A$100,
[1]sales_teams!$B$2:$B$100)</f>
        <v>Rocco Neubert</v>
      </c>
      <c r="D2305" t="str">
        <f>_xlfn.XLOOKUP($B2305,sales_teams!$A$2:$A$36,sales_teams!C$2:C$36)</f>
        <v>East</v>
      </c>
      <c r="E2305" t="s">
        <v>10</v>
      </c>
      <c r="F2305" t="s">
        <v>215</v>
      </c>
      <c r="G2305" t="s">
        <v>46</v>
      </c>
      <c r="H2305" s="1">
        <v>42836</v>
      </c>
      <c r="I2305" s="1">
        <v>42843</v>
      </c>
      <c r="J2305">
        <v>0</v>
      </c>
    </row>
    <row r="2306" spans="1:10" x14ac:dyDescent="0.3">
      <c r="A2306" t="s">
        <v>2437</v>
      </c>
      <c r="B2306" t="s">
        <v>67</v>
      </c>
      <c r="C2306" t="str">
        <f>_xlfn.XLOOKUP(B2306,
[1]sales_teams!$A$2:$A$100,
[1]sales_teams!$B$2:$B$100)</f>
        <v>Celia Rouche</v>
      </c>
      <c r="D2306" t="str">
        <f>_xlfn.XLOOKUP($B2306,sales_teams!$A$2:$A$36,sales_teams!C$2:C$36)</f>
        <v>West</v>
      </c>
      <c r="E2306" t="s">
        <v>20</v>
      </c>
      <c r="F2306" t="s">
        <v>194</v>
      </c>
      <c r="G2306" t="s">
        <v>46</v>
      </c>
      <c r="H2306" s="1">
        <v>42836</v>
      </c>
      <c r="I2306" s="1">
        <v>42908</v>
      </c>
      <c r="J2306">
        <v>0</v>
      </c>
    </row>
    <row r="2307" spans="1:10" x14ac:dyDescent="0.3">
      <c r="A2307" t="s">
        <v>2438</v>
      </c>
      <c r="B2307" t="s">
        <v>67</v>
      </c>
      <c r="C2307" t="str">
        <f>_xlfn.XLOOKUP(B2307,
[1]sales_teams!$A$2:$A$100,
[1]sales_teams!$B$2:$B$100)</f>
        <v>Celia Rouche</v>
      </c>
      <c r="D2307" t="str">
        <f>_xlfn.XLOOKUP($B2307,sales_teams!$A$2:$A$36,sales_teams!C$2:C$36)</f>
        <v>West</v>
      </c>
      <c r="E2307" t="s">
        <v>10</v>
      </c>
      <c r="F2307" t="s">
        <v>93</v>
      </c>
      <c r="G2307" t="s">
        <v>12</v>
      </c>
      <c r="H2307" s="1">
        <v>42836</v>
      </c>
      <c r="I2307" s="1">
        <v>42838</v>
      </c>
      <c r="J2307">
        <v>1163</v>
      </c>
    </row>
    <row r="2308" spans="1:10" x14ac:dyDescent="0.3">
      <c r="A2308" t="s">
        <v>2439</v>
      </c>
      <c r="B2308" t="s">
        <v>44</v>
      </c>
      <c r="C2308" t="str">
        <f>_xlfn.XLOOKUP(B2308,
[1]sales_teams!$A$2:$A$100,
[1]sales_teams!$B$2:$B$100)</f>
        <v>Melvin Marxen</v>
      </c>
      <c r="D2308" t="str">
        <f>_xlfn.XLOOKUP($B2308,sales_teams!$A$2:$A$36,sales_teams!C$2:C$36)</f>
        <v>Central</v>
      </c>
      <c r="E2308" t="s">
        <v>20</v>
      </c>
      <c r="F2308" t="s">
        <v>126</v>
      </c>
      <c r="G2308" t="s">
        <v>46</v>
      </c>
      <c r="H2308" s="1">
        <v>42836</v>
      </c>
      <c r="I2308" s="1">
        <v>42846</v>
      </c>
      <c r="J2308">
        <v>0</v>
      </c>
    </row>
    <row r="2309" spans="1:10" x14ac:dyDescent="0.3">
      <c r="A2309" t="s">
        <v>2440</v>
      </c>
      <c r="B2309" t="s">
        <v>38</v>
      </c>
      <c r="C2309" t="str">
        <f>_xlfn.XLOOKUP(B2309,
[1]sales_teams!$A$2:$A$100,
[1]sales_teams!$B$2:$B$100)</f>
        <v>Summer Sewald</v>
      </c>
      <c r="D2309" t="str">
        <f>_xlfn.XLOOKUP($B2309,sales_teams!$A$2:$A$36,sales_teams!C$2:C$36)</f>
        <v>West</v>
      </c>
      <c r="E2309" t="s">
        <v>48</v>
      </c>
      <c r="F2309" t="s">
        <v>68</v>
      </c>
      <c r="G2309" t="s">
        <v>46</v>
      </c>
      <c r="H2309" s="1">
        <v>42836</v>
      </c>
      <c r="I2309" s="1">
        <v>42896</v>
      </c>
      <c r="J2309">
        <v>0</v>
      </c>
    </row>
    <row r="2310" spans="1:10" x14ac:dyDescent="0.3">
      <c r="A2310" t="s">
        <v>2441</v>
      </c>
      <c r="B2310" t="s">
        <v>78</v>
      </c>
      <c r="C2310" t="str">
        <f>_xlfn.XLOOKUP(B2310,
[1]sales_teams!$A$2:$A$100,
[1]sales_teams!$B$2:$B$100)</f>
        <v>Summer Sewald</v>
      </c>
      <c r="D2310" t="str">
        <f>_xlfn.XLOOKUP($B2310,sales_teams!$A$2:$A$36,sales_teams!C$2:C$36)</f>
        <v>West</v>
      </c>
      <c r="E2310" t="s">
        <v>20</v>
      </c>
      <c r="F2310" t="s">
        <v>199</v>
      </c>
      <c r="G2310" t="s">
        <v>46</v>
      </c>
      <c r="H2310" s="1">
        <v>42836</v>
      </c>
      <c r="I2310" s="1">
        <v>42838</v>
      </c>
      <c r="J2310">
        <v>0</v>
      </c>
    </row>
    <row r="2311" spans="1:10" x14ac:dyDescent="0.3">
      <c r="A2311" t="s">
        <v>2442</v>
      </c>
      <c r="B2311" t="s">
        <v>95</v>
      </c>
      <c r="C2311" t="str">
        <f>_xlfn.XLOOKUP(B2311,
[1]sales_teams!$A$2:$A$100,
[1]sales_teams!$B$2:$B$100)</f>
        <v>Summer Sewald</v>
      </c>
      <c r="D2311" t="str">
        <f>_xlfn.XLOOKUP($B2311,sales_teams!$A$2:$A$36,sales_teams!C$2:C$36)</f>
        <v>West</v>
      </c>
      <c r="E2311" t="s">
        <v>10</v>
      </c>
      <c r="G2311" t="s">
        <v>40</v>
      </c>
      <c r="H2311" s="1">
        <v>42836</v>
      </c>
    </row>
    <row r="2312" spans="1:10" x14ac:dyDescent="0.3">
      <c r="A2312" t="s">
        <v>2443</v>
      </c>
      <c r="B2312" t="s">
        <v>95</v>
      </c>
      <c r="C2312" t="str">
        <f>_xlfn.XLOOKUP(B2312,
[1]sales_teams!$A$2:$A$100,
[1]sales_teams!$B$2:$B$100)</f>
        <v>Summer Sewald</v>
      </c>
      <c r="D2312" t="str">
        <f>_xlfn.XLOOKUP($B2312,sales_teams!$A$2:$A$36,sales_teams!C$2:C$36)</f>
        <v>West</v>
      </c>
      <c r="E2312" t="s">
        <v>20</v>
      </c>
      <c r="F2312" t="s">
        <v>398</v>
      </c>
      <c r="G2312" t="s">
        <v>46</v>
      </c>
      <c r="H2312" s="1">
        <v>42836</v>
      </c>
      <c r="I2312" s="1">
        <v>42838</v>
      </c>
      <c r="J2312">
        <v>0</v>
      </c>
    </row>
    <row r="2313" spans="1:10" x14ac:dyDescent="0.3">
      <c r="A2313" t="s">
        <v>2444</v>
      </c>
      <c r="B2313" t="s">
        <v>95</v>
      </c>
      <c r="C2313" t="str">
        <f>_xlfn.XLOOKUP(B2313,
[1]sales_teams!$A$2:$A$100,
[1]sales_teams!$B$2:$B$100)</f>
        <v>Summer Sewald</v>
      </c>
      <c r="D2313" t="str">
        <f>_xlfn.XLOOKUP($B2313,sales_teams!$A$2:$A$36,sales_teams!C$2:C$36)</f>
        <v>West</v>
      </c>
      <c r="E2313" t="s">
        <v>20</v>
      </c>
      <c r="F2313" t="s">
        <v>273</v>
      </c>
      <c r="G2313" t="s">
        <v>46</v>
      </c>
      <c r="H2313" s="1">
        <v>42836</v>
      </c>
      <c r="I2313" s="1">
        <v>42843</v>
      </c>
      <c r="J2313">
        <v>0</v>
      </c>
    </row>
    <row r="2314" spans="1:10" x14ac:dyDescent="0.3">
      <c r="A2314" t="s">
        <v>2445</v>
      </c>
      <c r="B2314" t="s">
        <v>95</v>
      </c>
      <c r="C2314" t="str">
        <f>_xlfn.XLOOKUP(B2314,
[1]sales_teams!$A$2:$A$100,
[1]sales_teams!$B$2:$B$100)</f>
        <v>Summer Sewald</v>
      </c>
      <c r="D2314" t="str">
        <f>_xlfn.XLOOKUP($B2314,sales_teams!$A$2:$A$36,sales_teams!C$2:C$36)</f>
        <v>West</v>
      </c>
      <c r="E2314" t="s">
        <v>20</v>
      </c>
      <c r="F2314" t="s">
        <v>224</v>
      </c>
      <c r="G2314" t="s">
        <v>12</v>
      </c>
      <c r="H2314" s="1">
        <v>42836</v>
      </c>
      <c r="I2314" s="1">
        <v>42843</v>
      </c>
      <c r="J2314">
        <v>568</v>
      </c>
    </row>
    <row r="2315" spans="1:10" x14ac:dyDescent="0.3">
      <c r="A2315" t="s">
        <v>2446</v>
      </c>
      <c r="B2315" t="s">
        <v>95</v>
      </c>
      <c r="C2315" t="str">
        <f>_xlfn.XLOOKUP(B2315,
[1]sales_teams!$A$2:$A$100,
[1]sales_teams!$B$2:$B$100)</f>
        <v>Summer Sewald</v>
      </c>
      <c r="D2315" t="str">
        <f>_xlfn.XLOOKUP($B2315,sales_teams!$A$2:$A$36,sales_teams!C$2:C$36)</f>
        <v>West</v>
      </c>
      <c r="E2315" t="s">
        <v>15</v>
      </c>
      <c r="F2315" t="s">
        <v>68</v>
      </c>
      <c r="G2315" t="s">
        <v>12</v>
      </c>
      <c r="H2315" s="1">
        <v>42836</v>
      </c>
      <c r="I2315" s="1">
        <v>42905</v>
      </c>
      <c r="J2315">
        <v>5063</v>
      </c>
    </row>
    <row r="2316" spans="1:10" x14ac:dyDescent="0.3">
      <c r="A2316" t="s">
        <v>2447</v>
      </c>
      <c r="B2316" t="s">
        <v>9</v>
      </c>
      <c r="C2316" t="str">
        <f>_xlfn.XLOOKUP(B2316,
[1]sales_teams!$A$2:$A$100,
[1]sales_teams!$B$2:$B$100)</f>
        <v>Dustin Brinkmann</v>
      </c>
      <c r="D2316" t="str">
        <f>_xlfn.XLOOKUP($B2316,sales_teams!$A$2:$A$36,sales_teams!C$2:C$36)</f>
        <v>Central</v>
      </c>
      <c r="E2316" t="s">
        <v>39</v>
      </c>
      <c r="F2316" t="s">
        <v>91</v>
      </c>
      <c r="G2316" t="s">
        <v>46</v>
      </c>
      <c r="H2316" s="1">
        <v>42836</v>
      </c>
      <c r="I2316" s="1">
        <v>42846</v>
      </c>
      <c r="J2316">
        <v>0</v>
      </c>
    </row>
    <row r="2317" spans="1:10" x14ac:dyDescent="0.3">
      <c r="A2317" t="s">
        <v>2448</v>
      </c>
      <c r="B2317" t="s">
        <v>9</v>
      </c>
      <c r="C2317" t="str">
        <f>_xlfn.XLOOKUP(B2317,
[1]sales_teams!$A$2:$A$100,
[1]sales_teams!$B$2:$B$100)</f>
        <v>Dustin Brinkmann</v>
      </c>
      <c r="D2317" t="str">
        <f>_xlfn.XLOOKUP($B2317,sales_teams!$A$2:$A$36,sales_teams!C$2:C$36)</f>
        <v>Central</v>
      </c>
      <c r="E2317" t="s">
        <v>18</v>
      </c>
      <c r="F2317" t="s">
        <v>126</v>
      </c>
      <c r="G2317" t="s">
        <v>12</v>
      </c>
      <c r="H2317" s="1">
        <v>42836</v>
      </c>
      <c r="I2317" s="1">
        <v>42892</v>
      </c>
      <c r="J2317">
        <v>46</v>
      </c>
    </row>
    <row r="2318" spans="1:10" x14ac:dyDescent="0.3">
      <c r="A2318" t="s">
        <v>2449</v>
      </c>
      <c r="B2318" t="s">
        <v>35</v>
      </c>
      <c r="C2318" t="str">
        <f>_xlfn.XLOOKUP(B2318,
[1]sales_teams!$A$2:$A$100,
[1]sales_teams!$B$2:$B$100)</f>
        <v>Melvin Marxen</v>
      </c>
      <c r="D2318" t="str">
        <f>_xlfn.XLOOKUP($B2318,sales_teams!$A$2:$A$36,sales_teams!C$2:C$36)</f>
        <v>Central</v>
      </c>
      <c r="E2318" t="s">
        <v>39</v>
      </c>
      <c r="F2318" t="s">
        <v>91</v>
      </c>
      <c r="G2318" t="s">
        <v>46</v>
      </c>
      <c r="H2318" s="1">
        <v>42836</v>
      </c>
      <c r="I2318" s="1">
        <v>42837</v>
      </c>
      <c r="J2318">
        <v>0</v>
      </c>
    </row>
    <row r="2319" spans="1:10" x14ac:dyDescent="0.3">
      <c r="A2319" t="s">
        <v>2450</v>
      </c>
      <c r="B2319" t="s">
        <v>35</v>
      </c>
      <c r="C2319" t="str">
        <f>_xlfn.XLOOKUP(B2319,
[1]sales_teams!$A$2:$A$100,
[1]sales_teams!$B$2:$B$100)</f>
        <v>Melvin Marxen</v>
      </c>
      <c r="D2319" t="str">
        <f>_xlfn.XLOOKUP($B2319,sales_teams!$A$2:$A$36,sales_teams!C$2:C$36)</f>
        <v>Central</v>
      </c>
      <c r="E2319" t="s">
        <v>20</v>
      </c>
      <c r="F2319" t="s">
        <v>109</v>
      </c>
      <c r="G2319" t="s">
        <v>12</v>
      </c>
      <c r="H2319" s="1">
        <v>42836</v>
      </c>
      <c r="I2319" s="1">
        <v>42837</v>
      </c>
      <c r="J2319">
        <v>504</v>
      </c>
    </row>
    <row r="2320" spans="1:10" x14ac:dyDescent="0.3">
      <c r="A2320" t="s">
        <v>2451</v>
      </c>
      <c r="B2320" t="s">
        <v>35</v>
      </c>
      <c r="C2320" t="str">
        <f>_xlfn.XLOOKUP(B2320,
[1]sales_teams!$A$2:$A$100,
[1]sales_teams!$B$2:$B$100)</f>
        <v>Melvin Marxen</v>
      </c>
      <c r="D2320" t="str">
        <f>_xlfn.XLOOKUP($B2320,sales_teams!$A$2:$A$36,sales_teams!C$2:C$36)</f>
        <v>Central</v>
      </c>
      <c r="E2320" t="s">
        <v>18</v>
      </c>
      <c r="F2320" t="s">
        <v>109</v>
      </c>
      <c r="G2320" t="s">
        <v>12</v>
      </c>
      <c r="H2320" s="1">
        <v>42836</v>
      </c>
      <c r="I2320" s="1">
        <v>42838</v>
      </c>
      <c r="J2320">
        <v>55</v>
      </c>
    </row>
    <row r="2321" spans="1:10" x14ac:dyDescent="0.3">
      <c r="A2321" t="s">
        <v>2452</v>
      </c>
      <c r="B2321" t="s">
        <v>57</v>
      </c>
      <c r="C2321" t="str">
        <f>_xlfn.XLOOKUP(B2321,
[1]sales_teams!$A$2:$A$100,
[1]sales_teams!$B$2:$B$100)</f>
        <v>Celia Rouche</v>
      </c>
      <c r="D2321" t="str">
        <f>_xlfn.XLOOKUP($B2321,sales_teams!$A$2:$A$36,sales_teams!C$2:C$36)</f>
        <v>West</v>
      </c>
      <c r="E2321" t="s">
        <v>15</v>
      </c>
      <c r="F2321" t="s">
        <v>24</v>
      </c>
      <c r="G2321" t="s">
        <v>12</v>
      </c>
      <c r="H2321" s="1">
        <v>42836</v>
      </c>
      <c r="I2321" s="1">
        <v>42903</v>
      </c>
      <c r="J2321">
        <v>4760</v>
      </c>
    </row>
    <row r="2322" spans="1:10" x14ac:dyDescent="0.3">
      <c r="A2322" t="s">
        <v>2453</v>
      </c>
      <c r="B2322" t="s">
        <v>61</v>
      </c>
      <c r="C2322" t="str">
        <f>_xlfn.XLOOKUP(B2322,
[1]sales_teams!$A$2:$A$100,
[1]sales_teams!$B$2:$B$100)</f>
        <v>Dustin Brinkmann</v>
      </c>
      <c r="D2322" t="str">
        <f>_xlfn.XLOOKUP($B2322,sales_teams!$A$2:$A$36,sales_teams!C$2:C$36)</f>
        <v>Central</v>
      </c>
      <c r="E2322" t="s">
        <v>20</v>
      </c>
      <c r="F2322" t="s">
        <v>11</v>
      </c>
      <c r="G2322" t="s">
        <v>46</v>
      </c>
      <c r="H2322" s="1">
        <v>42836</v>
      </c>
      <c r="I2322" s="1">
        <v>42846</v>
      </c>
      <c r="J2322">
        <v>0</v>
      </c>
    </row>
    <row r="2323" spans="1:10" x14ac:dyDescent="0.3">
      <c r="A2323" t="s">
        <v>2454</v>
      </c>
      <c r="B2323" t="s">
        <v>61</v>
      </c>
      <c r="C2323" t="str">
        <f>_xlfn.XLOOKUP(B2323,
[1]sales_teams!$A$2:$A$100,
[1]sales_teams!$B$2:$B$100)</f>
        <v>Dustin Brinkmann</v>
      </c>
      <c r="D2323" t="str">
        <f>_xlfn.XLOOKUP($B2323,sales_teams!$A$2:$A$36,sales_teams!C$2:C$36)</f>
        <v>Central</v>
      </c>
      <c r="E2323" t="s">
        <v>39</v>
      </c>
      <c r="F2323" t="s">
        <v>135</v>
      </c>
      <c r="G2323" t="s">
        <v>46</v>
      </c>
      <c r="H2323" s="1">
        <v>42836</v>
      </c>
      <c r="I2323" s="1">
        <v>42843</v>
      </c>
      <c r="J2323">
        <v>0</v>
      </c>
    </row>
    <row r="2324" spans="1:10" x14ac:dyDescent="0.3">
      <c r="A2324" t="s">
        <v>2455</v>
      </c>
      <c r="B2324" t="s">
        <v>29</v>
      </c>
      <c r="C2324" t="str">
        <f>_xlfn.XLOOKUP(B2324,
[1]sales_teams!$A$2:$A$100,
[1]sales_teams!$B$2:$B$100)</f>
        <v>Celia Rouche</v>
      </c>
      <c r="D2324" t="str">
        <f>_xlfn.XLOOKUP($B2324,sales_teams!$A$2:$A$36,sales_teams!C$2:C$36)</f>
        <v>West</v>
      </c>
      <c r="E2324" t="s">
        <v>15</v>
      </c>
      <c r="F2324" t="s">
        <v>70</v>
      </c>
      <c r="G2324" t="s">
        <v>12</v>
      </c>
      <c r="H2324" s="1">
        <v>42836</v>
      </c>
      <c r="I2324" s="1">
        <v>42907</v>
      </c>
      <c r="J2324">
        <v>4653</v>
      </c>
    </row>
    <row r="2325" spans="1:10" x14ac:dyDescent="0.3">
      <c r="A2325" t="s">
        <v>2456</v>
      </c>
      <c r="B2325" t="s">
        <v>73</v>
      </c>
      <c r="C2325" t="str">
        <f>_xlfn.XLOOKUP(B2325,
[1]sales_teams!$A$2:$A$100,
[1]sales_teams!$B$2:$B$100)</f>
        <v>Cara Losch</v>
      </c>
      <c r="D2325" t="str">
        <f>_xlfn.XLOOKUP($B2325,sales_teams!$A$2:$A$36,sales_teams!C$2:C$36)</f>
        <v>East</v>
      </c>
      <c r="E2325" t="s">
        <v>18</v>
      </c>
      <c r="G2325" t="s">
        <v>40</v>
      </c>
      <c r="H2325" s="1">
        <v>42836</v>
      </c>
    </row>
    <row r="2326" spans="1:10" x14ac:dyDescent="0.3">
      <c r="A2326" t="s">
        <v>2457</v>
      </c>
      <c r="B2326" t="s">
        <v>73</v>
      </c>
      <c r="C2326" t="str">
        <f>_xlfn.XLOOKUP(B2326,
[1]sales_teams!$A$2:$A$100,
[1]sales_teams!$B$2:$B$100)</f>
        <v>Cara Losch</v>
      </c>
      <c r="D2326" t="str">
        <f>_xlfn.XLOOKUP($B2326,sales_teams!$A$2:$A$36,sales_teams!C$2:C$36)</f>
        <v>East</v>
      </c>
      <c r="E2326" t="s">
        <v>18</v>
      </c>
      <c r="F2326" t="s">
        <v>140</v>
      </c>
      <c r="G2326" t="s">
        <v>46</v>
      </c>
      <c r="H2326" s="1">
        <v>42836</v>
      </c>
      <c r="I2326" s="1">
        <v>42847</v>
      </c>
      <c r="J2326">
        <v>0</v>
      </c>
    </row>
    <row r="2327" spans="1:10" x14ac:dyDescent="0.3">
      <c r="A2327" t="s">
        <v>2458</v>
      </c>
      <c r="B2327" t="s">
        <v>73</v>
      </c>
      <c r="C2327" t="str">
        <f>_xlfn.XLOOKUP(B2327,
[1]sales_teams!$A$2:$A$100,
[1]sales_teams!$B$2:$B$100)</f>
        <v>Cara Losch</v>
      </c>
      <c r="D2327" t="str">
        <f>_xlfn.XLOOKUP($B2327,sales_teams!$A$2:$A$36,sales_teams!C$2:C$36)</f>
        <v>East</v>
      </c>
      <c r="E2327" t="s">
        <v>18</v>
      </c>
      <c r="F2327" t="s">
        <v>222</v>
      </c>
      <c r="G2327" t="s">
        <v>12</v>
      </c>
      <c r="H2327" s="1">
        <v>42836</v>
      </c>
      <c r="I2327" s="1">
        <v>42837</v>
      </c>
      <c r="J2327">
        <v>55</v>
      </c>
    </row>
    <row r="2328" spans="1:10" x14ac:dyDescent="0.3">
      <c r="A2328" t="s">
        <v>2459</v>
      </c>
      <c r="B2328" t="s">
        <v>26</v>
      </c>
      <c r="C2328" t="str">
        <f>_xlfn.XLOOKUP(B2328,
[1]sales_teams!$A$2:$A$100,
[1]sales_teams!$B$2:$B$100)</f>
        <v>Dustin Brinkmann</v>
      </c>
      <c r="D2328" t="str">
        <f>_xlfn.XLOOKUP($B2328,sales_teams!$A$2:$A$36,sales_teams!C$2:C$36)</f>
        <v>Central</v>
      </c>
      <c r="E2328" t="s">
        <v>20</v>
      </c>
      <c r="F2328" t="s">
        <v>126</v>
      </c>
      <c r="G2328" t="s">
        <v>46</v>
      </c>
      <c r="H2328" s="1">
        <v>42837</v>
      </c>
      <c r="I2328" s="1">
        <v>42843</v>
      </c>
      <c r="J2328">
        <v>0</v>
      </c>
    </row>
    <row r="2329" spans="1:10" x14ac:dyDescent="0.3">
      <c r="A2329" t="s">
        <v>2460</v>
      </c>
      <c r="B2329" t="s">
        <v>139</v>
      </c>
      <c r="C2329" t="str">
        <f>_xlfn.XLOOKUP(B2329,
[1]sales_teams!$A$2:$A$100,
[1]sales_teams!$B$2:$B$100)</f>
        <v>Rocco Neubert</v>
      </c>
      <c r="D2329" t="str">
        <f>_xlfn.XLOOKUP($B2329,sales_teams!$A$2:$A$36,sales_teams!C$2:C$36)</f>
        <v>East</v>
      </c>
      <c r="E2329" t="s">
        <v>10</v>
      </c>
      <c r="F2329" t="s">
        <v>45</v>
      </c>
      <c r="G2329" t="s">
        <v>40</v>
      </c>
      <c r="H2329" s="1">
        <v>42837</v>
      </c>
    </row>
    <row r="2330" spans="1:10" x14ac:dyDescent="0.3">
      <c r="A2330" t="s">
        <v>2461</v>
      </c>
      <c r="B2330" t="s">
        <v>139</v>
      </c>
      <c r="C2330" t="str">
        <f>_xlfn.XLOOKUP(B2330,
[1]sales_teams!$A$2:$A$100,
[1]sales_teams!$B$2:$B$100)</f>
        <v>Rocco Neubert</v>
      </c>
      <c r="D2330" t="str">
        <f>_xlfn.XLOOKUP($B2330,sales_teams!$A$2:$A$36,sales_teams!C$2:C$36)</f>
        <v>East</v>
      </c>
      <c r="E2330" t="s">
        <v>39</v>
      </c>
      <c r="F2330" t="s">
        <v>199</v>
      </c>
      <c r="G2330" t="s">
        <v>12</v>
      </c>
      <c r="H2330" s="1">
        <v>42837</v>
      </c>
      <c r="I2330" s="1">
        <v>42847</v>
      </c>
      <c r="J2330">
        <v>3223</v>
      </c>
    </row>
    <row r="2331" spans="1:10" x14ac:dyDescent="0.3">
      <c r="A2331" t="s">
        <v>2462</v>
      </c>
      <c r="B2331" t="s">
        <v>118</v>
      </c>
      <c r="C2331" t="str">
        <f>_xlfn.XLOOKUP(B2331,
[1]sales_teams!$A$2:$A$100,
[1]sales_teams!$B$2:$B$100)</f>
        <v>Rocco Neubert</v>
      </c>
      <c r="D2331" t="str">
        <f>_xlfn.XLOOKUP($B2331,sales_teams!$A$2:$A$36,sales_teams!C$2:C$36)</f>
        <v>East</v>
      </c>
      <c r="E2331" t="s">
        <v>48</v>
      </c>
      <c r="F2331" t="s">
        <v>204</v>
      </c>
      <c r="G2331" t="s">
        <v>46</v>
      </c>
      <c r="H2331" s="1">
        <v>42837</v>
      </c>
      <c r="I2331" s="1">
        <v>42842</v>
      </c>
      <c r="J2331">
        <v>0</v>
      </c>
    </row>
    <row r="2332" spans="1:10" x14ac:dyDescent="0.3">
      <c r="A2332" t="s">
        <v>2463</v>
      </c>
      <c r="B2332" t="s">
        <v>118</v>
      </c>
      <c r="C2332" t="str">
        <f>_xlfn.XLOOKUP(B2332,
[1]sales_teams!$A$2:$A$100,
[1]sales_teams!$B$2:$B$100)</f>
        <v>Rocco Neubert</v>
      </c>
      <c r="D2332" t="str">
        <f>_xlfn.XLOOKUP($B2332,sales_teams!$A$2:$A$36,sales_teams!C$2:C$36)</f>
        <v>East</v>
      </c>
      <c r="E2332" t="s">
        <v>20</v>
      </c>
      <c r="F2332" t="s">
        <v>300</v>
      </c>
      <c r="G2332" t="s">
        <v>12</v>
      </c>
      <c r="H2332" s="1">
        <v>42837</v>
      </c>
      <c r="I2332" s="1">
        <v>42844</v>
      </c>
      <c r="J2332">
        <v>553</v>
      </c>
    </row>
    <row r="2333" spans="1:10" x14ac:dyDescent="0.3">
      <c r="A2333" t="s">
        <v>2464</v>
      </c>
      <c r="B2333" t="s">
        <v>118</v>
      </c>
      <c r="C2333" t="str">
        <f>_xlfn.XLOOKUP(B2333,
[1]sales_teams!$A$2:$A$100,
[1]sales_teams!$B$2:$B$100)</f>
        <v>Rocco Neubert</v>
      </c>
      <c r="D2333" t="str">
        <f>_xlfn.XLOOKUP($B2333,sales_teams!$A$2:$A$36,sales_teams!C$2:C$36)</f>
        <v>East</v>
      </c>
      <c r="E2333" t="s">
        <v>10</v>
      </c>
      <c r="F2333" t="s">
        <v>237</v>
      </c>
      <c r="G2333" t="s">
        <v>12</v>
      </c>
      <c r="H2333" s="1">
        <v>42837</v>
      </c>
      <c r="I2333" s="1">
        <v>42839</v>
      </c>
      <c r="J2333">
        <v>1114</v>
      </c>
    </row>
    <row r="2334" spans="1:10" x14ac:dyDescent="0.3">
      <c r="A2334" t="s">
        <v>2465</v>
      </c>
      <c r="B2334" t="s">
        <v>202</v>
      </c>
      <c r="C2334" t="str">
        <f>_xlfn.XLOOKUP(B2334,
[1]sales_teams!$A$2:$A$100,
[1]sales_teams!$B$2:$B$100)</f>
        <v>Dustin Brinkmann</v>
      </c>
      <c r="D2334" t="str">
        <f>_xlfn.XLOOKUP($B2334,sales_teams!$A$2:$A$36,sales_teams!C$2:C$36)</f>
        <v>Central</v>
      </c>
      <c r="E2334" t="s">
        <v>39</v>
      </c>
      <c r="F2334" t="s">
        <v>91</v>
      </c>
      <c r="G2334" t="s">
        <v>12</v>
      </c>
      <c r="H2334" s="1">
        <v>42837</v>
      </c>
      <c r="I2334" s="1">
        <v>42845</v>
      </c>
      <c r="J2334">
        <v>3785</v>
      </c>
    </row>
    <row r="2335" spans="1:10" x14ac:dyDescent="0.3">
      <c r="A2335" t="s">
        <v>2466</v>
      </c>
      <c r="B2335" t="s">
        <v>164</v>
      </c>
      <c r="C2335" t="str">
        <f>_xlfn.XLOOKUP(B2335,
[1]sales_teams!$A$2:$A$100,
[1]sales_teams!$B$2:$B$100)</f>
        <v>Cara Losch</v>
      </c>
      <c r="D2335" t="str">
        <f>_xlfn.XLOOKUP($B2335,sales_teams!$A$2:$A$36,sales_teams!C$2:C$36)</f>
        <v>East</v>
      </c>
      <c r="E2335" t="s">
        <v>48</v>
      </c>
      <c r="F2335" t="s">
        <v>151</v>
      </c>
      <c r="G2335" t="s">
        <v>40</v>
      </c>
      <c r="H2335" s="1">
        <v>42837</v>
      </c>
    </row>
    <row r="2336" spans="1:10" x14ac:dyDescent="0.3">
      <c r="A2336" t="s">
        <v>2467</v>
      </c>
      <c r="B2336" t="s">
        <v>14</v>
      </c>
      <c r="C2336" t="str">
        <f>_xlfn.XLOOKUP(B2336,
[1]sales_teams!$A$2:$A$100,
[1]sales_teams!$B$2:$B$100)</f>
        <v>Melvin Marxen</v>
      </c>
      <c r="D2336" t="str">
        <f>_xlfn.XLOOKUP($B2336,sales_teams!$A$2:$A$36,sales_teams!C$2:C$36)</f>
        <v>Central</v>
      </c>
      <c r="E2336" t="s">
        <v>10</v>
      </c>
      <c r="F2336" t="s">
        <v>492</v>
      </c>
      <c r="G2336" t="s">
        <v>46</v>
      </c>
      <c r="H2336" s="1">
        <v>42837</v>
      </c>
      <c r="I2336" s="1">
        <v>42839</v>
      </c>
      <c r="J2336">
        <v>0</v>
      </c>
    </row>
    <row r="2337" spans="1:10" x14ac:dyDescent="0.3">
      <c r="A2337" t="s">
        <v>2468</v>
      </c>
      <c r="B2337" t="s">
        <v>14</v>
      </c>
      <c r="C2337" t="str">
        <f>_xlfn.XLOOKUP(B2337,
[1]sales_teams!$A$2:$A$100,
[1]sales_teams!$B$2:$B$100)</f>
        <v>Melvin Marxen</v>
      </c>
      <c r="D2337" t="str">
        <f>_xlfn.XLOOKUP($B2337,sales_teams!$A$2:$A$36,sales_teams!C$2:C$36)</f>
        <v>Central</v>
      </c>
      <c r="E2337" t="s">
        <v>39</v>
      </c>
      <c r="F2337" t="s">
        <v>109</v>
      </c>
      <c r="G2337" t="s">
        <v>46</v>
      </c>
      <c r="H2337" s="1">
        <v>42837</v>
      </c>
      <c r="I2337" s="1">
        <v>42914</v>
      </c>
      <c r="J2337">
        <v>0</v>
      </c>
    </row>
    <row r="2338" spans="1:10" x14ac:dyDescent="0.3">
      <c r="A2338" t="s">
        <v>2469</v>
      </c>
      <c r="B2338" t="s">
        <v>142</v>
      </c>
      <c r="C2338" t="str">
        <f>_xlfn.XLOOKUP(B2338,
[1]sales_teams!$A$2:$A$100,
[1]sales_teams!$B$2:$B$100)</f>
        <v>Rocco Neubert</v>
      </c>
      <c r="D2338" t="str">
        <f>_xlfn.XLOOKUP($B2338,sales_teams!$A$2:$A$36,sales_teams!C$2:C$36)</f>
        <v>East</v>
      </c>
      <c r="E2338" t="s">
        <v>15</v>
      </c>
      <c r="F2338" t="s">
        <v>278</v>
      </c>
      <c r="G2338" t="s">
        <v>12</v>
      </c>
      <c r="H2338" s="1">
        <v>42837</v>
      </c>
      <c r="I2338" s="1">
        <v>42838</v>
      </c>
      <c r="J2338">
        <v>5316</v>
      </c>
    </row>
    <row r="2339" spans="1:10" x14ac:dyDescent="0.3">
      <c r="A2339" t="s">
        <v>2470</v>
      </c>
      <c r="B2339" t="s">
        <v>54</v>
      </c>
      <c r="C2339" t="str">
        <f>_xlfn.XLOOKUP(B2339,
[1]sales_teams!$A$2:$A$100,
[1]sales_teams!$B$2:$B$100)</f>
        <v>Celia Rouche</v>
      </c>
      <c r="D2339" t="str">
        <f>_xlfn.XLOOKUP($B2339,sales_teams!$A$2:$A$36,sales_teams!C$2:C$36)</f>
        <v>West</v>
      </c>
      <c r="E2339" t="s">
        <v>18</v>
      </c>
      <c r="F2339" t="s">
        <v>148</v>
      </c>
      <c r="G2339" t="s">
        <v>46</v>
      </c>
      <c r="H2339" s="1">
        <v>42837</v>
      </c>
      <c r="I2339" s="1">
        <v>42841</v>
      </c>
      <c r="J2339">
        <v>0</v>
      </c>
    </row>
    <row r="2340" spans="1:10" x14ac:dyDescent="0.3">
      <c r="A2340" t="s">
        <v>2471</v>
      </c>
      <c r="B2340" t="s">
        <v>252</v>
      </c>
      <c r="C2340" t="str">
        <f>_xlfn.XLOOKUP(B2340,
[1]sales_teams!$A$2:$A$100,
[1]sales_teams!$B$2:$B$100)</f>
        <v>Melvin Marxen</v>
      </c>
      <c r="D2340" t="str">
        <f>_xlfn.XLOOKUP($B2340,sales_teams!$A$2:$A$36,sales_teams!C$2:C$36)</f>
        <v>Central</v>
      </c>
      <c r="E2340" t="s">
        <v>15</v>
      </c>
      <c r="F2340" t="s">
        <v>11</v>
      </c>
      <c r="G2340" t="s">
        <v>46</v>
      </c>
      <c r="H2340" s="1">
        <v>42837</v>
      </c>
      <c r="I2340" s="1">
        <v>42849</v>
      </c>
      <c r="J2340">
        <v>0</v>
      </c>
    </row>
    <row r="2341" spans="1:10" x14ac:dyDescent="0.3">
      <c r="A2341" t="s">
        <v>2472</v>
      </c>
      <c r="B2341" t="s">
        <v>252</v>
      </c>
      <c r="C2341" t="str">
        <f>_xlfn.XLOOKUP(B2341,
[1]sales_teams!$A$2:$A$100,
[1]sales_teams!$B$2:$B$100)</f>
        <v>Melvin Marxen</v>
      </c>
      <c r="D2341" t="str">
        <f>_xlfn.XLOOKUP($B2341,sales_teams!$A$2:$A$36,sales_teams!C$2:C$36)</f>
        <v>Central</v>
      </c>
      <c r="E2341" t="s">
        <v>20</v>
      </c>
      <c r="F2341" t="s">
        <v>197</v>
      </c>
      <c r="G2341" t="s">
        <v>12</v>
      </c>
      <c r="H2341" s="1">
        <v>42837</v>
      </c>
      <c r="I2341" s="1">
        <v>42909</v>
      </c>
      <c r="J2341">
        <v>531</v>
      </c>
    </row>
    <row r="2342" spans="1:10" x14ac:dyDescent="0.3">
      <c r="A2342" t="s">
        <v>2473</v>
      </c>
      <c r="B2342" t="s">
        <v>252</v>
      </c>
      <c r="C2342" t="str">
        <f>_xlfn.XLOOKUP(B2342,
[1]sales_teams!$A$2:$A$100,
[1]sales_teams!$B$2:$B$100)</f>
        <v>Melvin Marxen</v>
      </c>
      <c r="D2342" t="str">
        <f>_xlfn.XLOOKUP($B2342,sales_teams!$A$2:$A$36,sales_teams!C$2:C$36)</f>
        <v>Central</v>
      </c>
      <c r="E2342" t="s">
        <v>20</v>
      </c>
      <c r="F2342" t="s">
        <v>151</v>
      </c>
      <c r="G2342" t="s">
        <v>12</v>
      </c>
      <c r="H2342" s="1">
        <v>42837</v>
      </c>
      <c r="I2342" s="1">
        <v>42902</v>
      </c>
      <c r="J2342">
        <v>544</v>
      </c>
    </row>
    <row r="2343" spans="1:10" x14ac:dyDescent="0.3">
      <c r="A2343" t="s">
        <v>2474</v>
      </c>
      <c r="B2343" t="s">
        <v>78</v>
      </c>
      <c r="C2343" t="str">
        <f>_xlfn.XLOOKUP(B2343,
[1]sales_teams!$A$2:$A$100,
[1]sales_teams!$B$2:$B$100)</f>
        <v>Summer Sewald</v>
      </c>
      <c r="D2343" t="str">
        <f>_xlfn.XLOOKUP($B2343,sales_teams!$A$2:$A$36,sales_teams!C$2:C$36)</f>
        <v>West</v>
      </c>
      <c r="E2343" t="s">
        <v>20</v>
      </c>
      <c r="F2343" t="s">
        <v>159</v>
      </c>
      <c r="G2343" t="s">
        <v>12</v>
      </c>
      <c r="H2343" s="1">
        <v>42837</v>
      </c>
      <c r="I2343" s="1">
        <v>42838</v>
      </c>
      <c r="J2343">
        <v>478</v>
      </c>
    </row>
    <row r="2344" spans="1:10" x14ac:dyDescent="0.3">
      <c r="A2344" t="s">
        <v>2475</v>
      </c>
      <c r="B2344" t="s">
        <v>78</v>
      </c>
      <c r="C2344" t="str">
        <f>_xlfn.XLOOKUP(B2344,
[1]sales_teams!$A$2:$A$100,
[1]sales_teams!$B$2:$B$100)</f>
        <v>Summer Sewald</v>
      </c>
      <c r="D2344" t="str">
        <f>_xlfn.XLOOKUP($B2344,sales_teams!$A$2:$A$36,sales_teams!C$2:C$36)</f>
        <v>West</v>
      </c>
      <c r="E2344" t="s">
        <v>15</v>
      </c>
      <c r="F2344" t="s">
        <v>55</v>
      </c>
      <c r="G2344" t="s">
        <v>12</v>
      </c>
      <c r="H2344" s="1">
        <v>42837</v>
      </c>
      <c r="I2344" s="1">
        <v>42847</v>
      </c>
      <c r="J2344">
        <v>5672</v>
      </c>
    </row>
    <row r="2345" spans="1:10" x14ac:dyDescent="0.3">
      <c r="A2345" t="s">
        <v>2476</v>
      </c>
      <c r="B2345" t="s">
        <v>78</v>
      </c>
      <c r="C2345" t="str">
        <f>_xlfn.XLOOKUP(B2345,
[1]sales_teams!$A$2:$A$100,
[1]sales_teams!$B$2:$B$100)</f>
        <v>Summer Sewald</v>
      </c>
      <c r="D2345" t="str">
        <f>_xlfn.XLOOKUP($B2345,sales_teams!$A$2:$A$36,sales_teams!C$2:C$36)</f>
        <v>West</v>
      </c>
      <c r="E2345" t="s">
        <v>18</v>
      </c>
      <c r="F2345" t="s">
        <v>148</v>
      </c>
      <c r="G2345" t="s">
        <v>12</v>
      </c>
      <c r="H2345" s="1">
        <v>42837</v>
      </c>
      <c r="I2345" s="1">
        <v>42844</v>
      </c>
      <c r="J2345">
        <v>51</v>
      </c>
    </row>
    <row r="2346" spans="1:10" x14ac:dyDescent="0.3">
      <c r="A2346" t="s">
        <v>2477</v>
      </c>
      <c r="B2346" t="s">
        <v>78</v>
      </c>
      <c r="C2346" t="str">
        <f>_xlfn.XLOOKUP(B2346,
[1]sales_teams!$A$2:$A$100,
[1]sales_teams!$B$2:$B$100)</f>
        <v>Summer Sewald</v>
      </c>
      <c r="D2346" t="str">
        <f>_xlfn.XLOOKUP($B2346,sales_teams!$A$2:$A$36,sales_teams!C$2:C$36)</f>
        <v>West</v>
      </c>
      <c r="E2346" t="s">
        <v>39</v>
      </c>
      <c r="F2346" t="s">
        <v>199</v>
      </c>
      <c r="G2346" t="s">
        <v>12</v>
      </c>
      <c r="H2346" s="1">
        <v>42837</v>
      </c>
      <c r="I2346" s="1">
        <v>42844</v>
      </c>
      <c r="J2346">
        <v>3141</v>
      </c>
    </row>
    <row r="2347" spans="1:10" x14ac:dyDescent="0.3">
      <c r="A2347" t="s">
        <v>2478</v>
      </c>
      <c r="B2347" t="s">
        <v>95</v>
      </c>
      <c r="C2347" t="str">
        <f>_xlfn.XLOOKUP(B2347,
[1]sales_teams!$A$2:$A$100,
[1]sales_teams!$B$2:$B$100)</f>
        <v>Summer Sewald</v>
      </c>
      <c r="D2347" t="str">
        <f>_xlfn.XLOOKUP($B2347,sales_teams!$A$2:$A$36,sales_teams!C$2:C$36)</f>
        <v>West</v>
      </c>
      <c r="E2347" t="s">
        <v>15</v>
      </c>
      <c r="G2347" t="s">
        <v>40</v>
      </c>
      <c r="H2347" s="1">
        <v>42837</v>
      </c>
    </row>
    <row r="2348" spans="1:10" x14ac:dyDescent="0.3">
      <c r="A2348" t="s">
        <v>2479</v>
      </c>
      <c r="B2348" t="s">
        <v>95</v>
      </c>
      <c r="C2348" t="str">
        <f>_xlfn.XLOOKUP(B2348,
[1]sales_teams!$A$2:$A$100,
[1]sales_teams!$B$2:$B$100)</f>
        <v>Summer Sewald</v>
      </c>
      <c r="D2348" t="str">
        <f>_xlfn.XLOOKUP($B2348,sales_teams!$A$2:$A$36,sales_teams!C$2:C$36)</f>
        <v>West</v>
      </c>
      <c r="E2348" t="s">
        <v>15</v>
      </c>
      <c r="F2348" t="s">
        <v>224</v>
      </c>
      <c r="G2348" t="s">
        <v>46</v>
      </c>
      <c r="H2348" s="1">
        <v>42837</v>
      </c>
      <c r="I2348" s="1">
        <v>42838</v>
      </c>
      <c r="J2348">
        <v>0</v>
      </c>
    </row>
    <row r="2349" spans="1:10" x14ac:dyDescent="0.3">
      <c r="A2349" t="s">
        <v>2480</v>
      </c>
      <c r="B2349" t="s">
        <v>95</v>
      </c>
      <c r="C2349" t="str">
        <f>_xlfn.XLOOKUP(B2349,
[1]sales_teams!$A$2:$A$100,
[1]sales_teams!$B$2:$B$100)</f>
        <v>Summer Sewald</v>
      </c>
      <c r="D2349" t="str">
        <f>_xlfn.XLOOKUP($B2349,sales_teams!$A$2:$A$36,sales_teams!C$2:C$36)</f>
        <v>West</v>
      </c>
      <c r="E2349" t="s">
        <v>18</v>
      </c>
      <c r="F2349" t="s">
        <v>398</v>
      </c>
      <c r="G2349" t="s">
        <v>46</v>
      </c>
      <c r="H2349" s="1">
        <v>42837</v>
      </c>
      <c r="I2349" s="1">
        <v>42841</v>
      </c>
      <c r="J2349">
        <v>0</v>
      </c>
    </row>
    <row r="2350" spans="1:10" x14ac:dyDescent="0.3">
      <c r="A2350" t="s">
        <v>2481</v>
      </c>
      <c r="B2350" t="s">
        <v>32</v>
      </c>
      <c r="C2350" t="str">
        <f>_xlfn.XLOOKUP(B2350,
[1]sales_teams!$A$2:$A$100,
[1]sales_teams!$B$2:$B$100)</f>
        <v>Celia Rouche</v>
      </c>
      <c r="D2350" t="str">
        <f>_xlfn.XLOOKUP($B2350,sales_teams!$A$2:$A$36,sales_teams!C$2:C$36)</f>
        <v>West</v>
      </c>
      <c r="E2350" t="s">
        <v>18</v>
      </c>
      <c r="F2350" t="s">
        <v>122</v>
      </c>
      <c r="G2350" t="s">
        <v>46</v>
      </c>
      <c r="H2350" s="1">
        <v>42837</v>
      </c>
      <c r="I2350" s="1">
        <v>42838</v>
      </c>
      <c r="J2350">
        <v>0</v>
      </c>
    </row>
    <row r="2351" spans="1:10" x14ac:dyDescent="0.3">
      <c r="A2351" t="s">
        <v>2482</v>
      </c>
      <c r="B2351" t="s">
        <v>116</v>
      </c>
      <c r="C2351" t="str">
        <f>_xlfn.XLOOKUP(B2351,
[1]sales_teams!$A$2:$A$100,
[1]sales_teams!$B$2:$B$100)</f>
        <v>Melvin Marxen</v>
      </c>
      <c r="D2351" t="str">
        <f>_xlfn.XLOOKUP($B2351,sales_teams!$A$2:$A$36,sales_teams!C$2:C$36)</f>
        <v>Central</v>
      </c>
      <c r="E2351" t="s">
        <v>10</v>
      </c>
      <c r="F2351" t="s">
        <v>21</v>
      </c>
      <c r="G2351" t="s">
        <v>46</v>
      </c>
      <c r="H2351" s="1">
        <v>42837</v>
      </c>
      <c r="I2351" s="1">
        <v>42838</v>
      </c>
      <c r="J2351">
        <v>0</v>
      </c>
    </row>
    <row r="2352" spans="1:10" x14ac:dyDescent="0.3">
      <c r="A2352" t="s">
        <v>2483</v>
      </c>
      <c r="B2352" t="s">
        <v>116</v>
      </c>
      <c r="C2352" t="str">
        <f>_xlfn.XLOOKUP(B2352,
[1]sales_teams!$A$2:$A$100,
[1]sales_teams!$B$2:$B$100)</f>
        <v>Melvin Marxen</v>
      </c>
      <c r="D2352" t="str">
        <f>_xlfn.XLOOKUP($B2352,sales_teams!$A$2:$A$36,sales_teams!C$2:C$36)</f>
        <v>Central</v>
      </c>
      <c r="E2352" t="s">
        <v>48</v>
      </c>
      <c r="F2352" t="s">
        <v>315</v>
      </c>
      <c r="G2352" t="s">
        <v>46</v>
      </c>
      <c r="H2352" s="1">
        <v>42837</v>
      </c>
      <c r="I2352" s="1">
        <v>42839</v>
      </c>
      <c r="J2352">
        <v>0</v>
      </c>
    </row>
    <row r="2353" spans="1:10" x14ac:dyDescent="0.3">
      <c r="A2353" t="s">
        <v>2484</v>
      </c>
      <c r="B2353" t="s">
        <v>9</v>
      </c>
      <c r="C2353" t="str">
        <f>_xlfn.XLOOKUP(B2353,
[1]sales_teams!$A$2:$A$100,
[1]sales_teams!$B$2:$B$100)</f>
        <v>Dustin Brinkmann</v>
      </c>
      <c r="D2353" t="str">
        <f>_xlfn.XLOOKUP($B2353,sales_teams!$A$2:$A$36,sales_teams!C$2:C$36)</f>
        <v>Central</v>
      </c>
      <c r="E2353" t="s">
        <v>48</v>
      </c>
      <c r="F2353" t="s">
        <v>120</v>
      </c>
      <c r="G2353" t="s">
        <v>46</v>
      </c>
      <c r="H2353" s="1">
        <v>42837</v>
      </c>
      <c r="I2353" s="1">
        <v>42847</v>
      </c>
      <c r="J2353">
        <v>0</v>
      </c>
    </row>
    <row r="2354" spans="1:10" x14ac:dyDescent="0.3">
      <c r="A2354" t="s">
        <v>2485</v>
      </c>
      <c r="B2354" t="s">
        <v>97</v>
      </c>
      <c r="C2354" t="str">
        <f>_xlfn.XLOOKUP(B2354,
[1]sales_teams!$A$2:$A$100,
[1]sales_teams!$B$2:$B$100)</f>
        <v>Rocco Neubert</v>
      </c>
      <c r="D2354" t="str">
        <f>_xlfn.XLOOKUP($B2354,sales_teams!$A$2:$A$36,sales_teams!C$2:C$36)</f>
        <v>East</v>
      </c>
      <c r="E2354" t="s">
        <v>48</v>
      </c>
      <c r="F2354" t="s">
        <v>155</v>
      </c>
      <c r="G2354" t="s">
        <v>12</v>
      </c>
      <c r="H2354" s="1">
        <v>42837</v>
      </c>
      <c r="I2354" s="1">
        <v>42907</v>
      </c>
      <c r="J2354">
        <v>5393</v>
      </c>
    </row>
    <row r="2355" spans="1:10" x14ac:dyDescent="0.3">
      <c r="A2355" t="s">
        <v>2486</v>
      </c>
      <c r="B2355" t="s">
        <v>57</v>
      </c>
      <c r="C2355" t="str">
        <f>_xlfn.XLOOKUP(B2355,
[1]sales_teams!$A$2:$A$100,
[1]sales_teams!$B$2:$B$100)</f>
        <v>Celia Rouche</v>
      </c>
      <c r="D2355" t="str">
        <f>_xlfn.XLOOKUP($B2355,sales_teams!$A$2:$A$36,sales_teams!C$2:C$36)</f>
        <v>West</v>
      </c>
      <c r="E2355" t="s">
        <v>18</v>
      </c>
      <c r="F2355" t="s">
        <v>197</v>
      </c>
      <c r="G2355" t="s">
        <v>40</v>
      </c>
      <c r="H2355" s="1">
        <v>42837</v>
      </c>
    </row>
    <row r="2356" spans="1:10" x14ac:dyDescent="0.3">
      <c r="A2356" t="s">
        <v>2487</v>
      </c>
      <c r="B2356" t="s">
        <v>61</v>
      </c>
      <c r="C2356" t="str">
        <f>_xlfn.XLOOKUP(B2356,
[1]sales_teams!$A$2:$A$100,
[1]sales_teams!$B$2:$B$100)</f>
        <v>Dustin Brinkmann</v>
      </c>
      <c r="D2356" t="str">
        <f>_xlfn.XLOOKUP($B2356,sales_teams!$A$2:$A$36,sales_teams!C$2:C$36)</f>
        <v>Central</v>
      </c>
      <c r="E2356" t="s">
        <v>18</v>
      </c>
      <c r="F2356" t="s">
        <v>187</v>
      </c>
      <c r="G2356" t="s">
        <v>46</v>
      </c>
      <c r="H2356" s="1">
        <v>42837</v>
      </c>
      <c r="I2356" s="1">
        <v>42844</v>
      </c>
      <c r="J2356">
        <v>0</v>
      </c>
    </row>
    <row r="2357" spans="1:10" x14ac:dyDescent="0.3">
      <c r="A2357" t="s">
        <v>2488</v>
      </c>
      <c r="B2357" t="s">
        <v>29</v>
      </c>
      <c r="C2357" t="str">
        <f>_xlfn.XLOOKUP(B2357,
[1]sales_teams!$A$2:$A$100,
[1]sales_teams!$B$2:$B$100)</f>
        <v>Celia Rouche</v>
      </c>
      <c r="D2357" t="str">
        <f>_xlfn.XLOOKUP($B2357,sales_teams!$A$2:$A$36,sales_teams!C$2:C$36)</f>
        <v>West</v>
      </c>
      <c r="E2357" t="s">
        <v>18</v>
      </c>
      <c r="G2357" t="s">
        <v>40</v>
      </c>
      <c r="H2357" s="1">
        <v>42837</v>
      </c>
    </row>
    <row r="2358" spans="1:10" x14ac:dyDescent="0.3">
      <c r="A2358" t="s">
        <v>2489</v>
      </c>
      <c r="B2358" t="s">
        <v>29</v>
      </c>
      <c r="C2358" t="str">
        <f>_xlfn.XLOOKUP(B2358,
[1]sales_teams!$A$2:$A$100,
[1]sales_teams!$B$2:$B$100)</f>
        <v>Celia Rouche</v>
      </c>
      <c r="D2358" t="str">
        <f>_xlfn.XLOOKUP($B2358,sales_teams!$A$2:$A$36,sales_teams!C$2:C$36)</f>
        <v>West</v>
      </c>
      <c r="E2358" t="s">
        <v>39</v>
      </c>
      <c r="F2358" t="s">
        <v>184</v>
      </c>
      <c r="G2358" t="s">
        <v>40</v>
      </c>
      <c r="H2358" s="1">
        <v>42837</v>
      </c>
    </row>
    <row r="2359" spans="1:10" x14ac:dyDescent="0.3">
      <c r="A2359" t="s">
        <v>2490</v>
      </c>
      <c r="B2359" t="s">
        <v>29</v>
      </c>
      <c r="C2359" t="str">
        <f>_xlfn.XLOOKUP(B2359,
[1]sales_teams!$A$2:$A$100,
[1]sales_teams!$B$2:$B$100)</f>
        <v>Celia Rouche</v>
      </c>
      <c r="D2359" t="str">
        <f>_xlfn.XLOOKUP($B2359,sales_teams!$A$2:$A$36,sales_teams!C$2:C$36)</f>
        <v>West</v>
      </c>
      <c r="E2359" t="s">
        <v>48</v>
      </c>
      <c r="F2359" t="s">
        <v>100</v>
      </c>
      <c r="G2359" t="s">
        <v>46</v>
      </c>
      <c r="H2359" s="1">
        <v>42837</v>
      </c>
      <c r="I2359" s="1">
        <v>42844</v>
      </c>
      <c r="J2359">
        <v>0</v>
      </c>
    </row>
    <row r="2360" spans="1:10" x14ac:dyDescent="0.3">
      <c r="A2360" t="s">
        <v>2491</v>
      </c>
      <c r="B2360" t="s">
        <v>29</v>
      </c>
      <c r="C2360" t="str">
        <f>_xlfn.XLOOKUP(B2360,
[1]sales_teams!$A$2:$A$100,
[1]sales_teams!$B$2:$B$100)</f>
        <v>Celia Rouche</v>
      </c>
      <c r="D2360" t="str">
        <f>_xlfn.XLOOKUP($B2360,sales_teams!$A$2:$A$36,sales_teams!C$2:C$36)</f>
        <v>West</v>
      </c>
      <c r="E2360" t="s">
        <v>20</v>
      </c>
      <c r="F2360" t="s">
        <v>315</v>
      </c>
      <c r="G2360" t="s">
        <v>12</v>
      </c>
      <c r="H2360" s="1">
        <v>42837</v>
      </c>
      <c r="I2360" s="1">
        <v>42892</v>
      </c>
      <c r="J2360">
        <v>638</v>
      </c>
    </row>
    <row r="2361" spans="1:10" x14ac:dyDescent="0.3">
      <c r="A2361" t="s">
        <v>2492</v>
      </c>
      <c r="B2361" t="s">
        <v>29</v>
      </c>
      <c r="C2361" t="str">
        <f>_xlfn.XLOOKUP(B2361,
[1]sales_teams!$A$2:$A$100,
[1]sales_teams!$B$2:$B$100)</f>
        <v>Celia Rouche</v>
      </c>
      <c r="D2361" t="str">
        <f>_xlfn.XLOOKUP($B2361,sales_teams!$A$2:$A$36,sales_teams!C$2:C$36)</f>
        <v>West</v>
      </c>
      <c r="E2361" t="s">
        <v>18</v>
      </c>
      <c r="F2361" t="s">
        <v>30</v>
      </c>
      <c r="G2361" t="s">
        <v>12</v>
      </c>
      <c r="H2361" s="1">
        <v>42837</v>
      </c>
      <c r="I2361" s="1">
        <v>42848</v>
      </c>
      <c r="J2361">
        <v>50</v>
      </c>
    </row>
    <row r="2362" spans="1:10" x14ac:dyDescent="0.3">
      <c r="A2362" t="s">
        <v>2493</v>
      </c>
      <c r="B2362" t="s">
        <v>73</v>
      </c>
      <c r="C2362" t="str">
        <f>_xlfn.XLOOKUP(B2362,
[1]sales_teams!$A$2:$A$100,
[1]sales_teams!$B$2:$B$100)</f>
        <v>Cara Losch</v>
      </c>
      <c r="D2362" t="str">
        <f>_xlfn.XLOOKUP($B2362,sales_teams!$A$2:$A$36,sales_teams!C$2:C$36)</f>
        <v>East</v>
      </c>
      <c r="E2362" t="s">
        <v>39</v>
      </c>
      <c r="F2362" t="s">
        <v>165</v>
      </c>
      <c r="G2362" t="s">
        <v>46</v>
      </c>
      <c r="H2362" s="1">
        <v>42837</v>
      </c>
      <c r="I2362" s="1">
        <v>42843</v>
      </c>
      <c r="J2362">
        <v>0</v>
      </c>
    </row>
    <row r="2363" spans="1:10" x14ac:dyDescent="0.3">
      <c r="A2363" t="s">
        <v>2494</v>
      </c>
      <c r="B2363" t="s">
        <v>23</v>
      </c>
      <c r="C2363" t="str">
        <f>_xlfn.XLOOKUP(B2363,
[1]sales_teams!$A$2:$A$100,
[1]sales_teams!$B$2:$B$100)</f>
        <v>Summer Sewald</v>
      </c>
      <c r="D2363" t="str">
        <f>_xlfn.XLOOKUP($B2363,sales_teams!$A$2:$A$36,sales_teams!C$2:C$36)</f>
        <v>West</v>
      </c>
      <c r="E2363" t="s">
        <v>15</v>
      </c>
      <c r="F2363" t="s">
        <v>24</v>
      </c>
      <c r="G2363" t="s">
        <v>12</v>
      </c>
      <c r="H2363" s="1">
        <v>42837</v>
      </c>
      <c r="I2363" s="1">
        <v>42847</v>
      </c>
      <c r="J2363">
        <v>4272</v>
      </c>
    </row>
    <row r="2364" spans="1:10" x14ac:dyDescent="0.3">
      <c r="A2364" t="s">
        <v>2495</v>
      </c>
      <c r="B2364" t="s">
        <v>26</v>
      </c>
      <c r="C2364" t="str">
        <f>_xlfn.XLOOKUP(B2364,
[1]sales_teams!$A$2:$A$100,
[1]sales_teams!$B$2:$B$100)</f>
        <v>Dustin Brinkmann</v>
      </c>
      <c r="D2364" t="str">
        <f>_xlfn.XLOOKUP($B2364,sales_teams!$A$2:$A$36,sales_teams!C$2:C$36)</f>
        <v>Central</v>
      </c>
      <c r="E2364" t="s">
        <v>10</v>
      </c>
      <c r="F2364" t="s">
        <v>42</v>
      </c>
      <c r="G2364" t="s">
        <v>46</v>
      </c>
      <c r="H2364" s="1">
        <v>42838</v>
      </c>
      <c r="I2364" s="1">
        <v>42840</v>
      </c>
      <c r="J2364">
        <v>0</v>
      </c>
    </row>
    <row r="2365" spans="1:10" x14ac:dyDescent="0.3">
      <c r="A2365" t="s">
        <v>2496</v>
      </c>
      <c r="B2365" t="s">
        <v>26</v>
      </c>
      <c r="C2365" t="str">
        <f>_xlfn.XLOOKUP(B2365,
[1]sales_teams!$A$2:$A$100,
[1]sales_teams!$B$2:$B$100)</f>
        <v>Dustin Brinkmann</v>
      </c>
      <c r="D2365" t="str">
        <f>_xlfn.XLOOKUP($B2365,sales_teams!$A$2:$A$36,sales_teams!C$2:C$36)</f>
        <v>Central</v>
      </c>
      <c r="E2365" t="s">
        <v>18</v>
      </c>
      <c r="F2365" t="s">
        <v>318</v>
      </c>
      <c r="G2365" t="s">
        <v>12</v>
      </c>
      <c r="H2365" s="1">
        <v>42838</v>
      </c>
      <c r="I2365" s="1">
        <v>42840</v>
      </c>
      <c r="J2365">
        <v>58</v>
      </c>
    </row>
    <row r="2366" spans="1:10" x14ac:dyDescent="0.3">
      <c r="A2366" t="s">
        <v>2497</v>
      </c>
      <c r="B2366" t="s">
        <v>139</v>
      </c>
      <c r="C2366" t="str">
        <f>_xlfn.XLOOKUP(B2366,
[1]sales_teams!$A$2:$A$100,
[1]sales_teams!$B$2:$B$100)</f>
        <v>Rocco Neubert</v>
      </c>
      <c r="D2366" t="str">
        <f>_xlfn.XLOOKUP($B2366,sales_teams!$A$2:$A$36,sales_teams!C$2:C$36)</f>
        <v>East</v>
      </c>
      <c r="E2366" t="s">
        <v>10</v>
      </c>
      <c r="F2366" t="s">
        <v>177</v>
      </c>
      <c r="G2366" t="s">
        <v>12</v>
      </c>
      <c r="H2366" s="1">
        <v>42838</v>
      </c>
      <c r="I2366" s="1">
        <v>42839</v>
      </c>
      <c r="J2366">
        <v>1088</v>
      </c>
    </row>
    <row r="2367" spans="1:10" x14ac:dyDescent="0.3">
      <c r="A2367" t="s">
        <v>2498</v>
      </c>
      <c r="B2367" t="s">
        <v>164</v>
      </c>
      <c r="C2367" t="str">
        <f>_xlfn.XLOOKUP(B2367,
[1]sales_teams!$A$2:$A$100,
[1]sales_teams!$B$2:$B$100)</f>
        <v>Cara Losch</v>
      </c>
      <c r="D2367" t="str">
        <f>_xlfn.XLOOKUP($B2367,sales_teams!$A$2:$A$36,sales_teams!C$2:C$36)</f>
        <v>East</v>
      </c>
      <c r="E2367" t="s">
        <v>20</v>
      </c>
      <c r="F2367" t="s">
        <v>209</v>
      </c>
      <c r="G2367" t="s">
        <v>46</v>
      </c>
      <c r="H2367" s="1">
        <v>42838</v>
      </c>
      <c r="I2367" s="1">
        <v>42848</v>
      </c>
      <c r="J2367">
        <v>0</v>
      </c>
    </row>
    <row r="2368" spans="1:10" x14ac:dyDescent="0.3">
      <c r="A2368" t="s">
        <v>2499</v>
      </c>
      <c r="B2368" t="s">
        <v>164</v>
      </c>
      <c r="C2368" t="str">
        <f>_xlfn.XLOOKUP(B2368,
[1]sales_teams!$A$2:$A$100,
[1]sales_teams!$B$2:$B$100)</f>
        <v>Cara Losch</v>
      </c>
      <c r="D2368" t="str">
        <f>_xlfn.XLOOKUP($B2368,sales_teams!$A$2:$A$36,sales_teams!C$2:C$36)</f>
        <v>East</v>
      </c>
      <c r="E2368" t="s">
        <v>15</v>
      </c>
      <c r="F2368" t="s">
        <v>143</v>
      </c>
      <c r="G2368" t="s">
        <v>46</v>
      </c>
      <c r="H2368" s="1">
        <v>42838</v>
      </c>
      <c r="I2368" s="1">
        <v>42843</v>
      </c>
      <c r="J2368">
        <v>0</v>
      </c>
    </row>
    <row r="2369" spans="1:10" x14ac:dyDescent="0.3">
      <c r="A2369" t="s">
        <v>2500</v>
      </c>
      <c r="B2369" t="s">
        <v>64</v>
      </c>
      <c r="C2369" t="str">
        <f>_xlfn.XLOOKUP(B2369,
[1]sales_teams!$A$2:$A$100,
[1]sales_teams!$B$2:$B$100)</f>
        <v>Rocco Neubert</v>
      </c>
      <c r="D2369" t="str">
        <f>_xlfn.XLOOKUP($B2369,sales_teams!$A$2:$A$36,sales_teams!C$2:C$36)</f>
        <v>East</v>
      </c>
      <c r="E2369" t="s">
        <v>20</v>
      </c>
      <c r="F2369" t="s">
        <v>215</v>
      </c>
      <c r="G2369" t="s">
        <v>46</v>
      </c>
      <c r="H2369" s="1">
        <v>42838</v>
      </c>
      <c r="I2369" s="1">
        <v>42845</v>
      </c>
      <c r="J2369">
        <v>0</v>
      </c>
    </row>
    <row r="2370" spans="1:10" x14ac:dyDescent="0.3">
      <c r="A2370" t="s">
        <v>2501</v>
      </c>
      <c r="B2370" t="s">
        <v>64</v>
      </c>
      <c r="C2370" t="str">
        <f>_xlfn.XLOOKUP(B2370,
[1]sales_teams!$A$2:$A$100,
[1]sales_teams!$B$2:$B$100)</f>
        <v>Rocco Neubert</v>
      </c>
      <c r="D2370" t="str">
        <f>_xlfn.XLOOKUP($B2370,sales_teams!$A$2:$A$36,sales_teams!C$2:C$36)</f>
        <v>East</v>
      </c>
      <c r="E2370" t="s">
        <v>15</v>
      </c>
      <c r="F2370" t="s">
        <v>155</v>
      </c>
      <c r="G2370" t="s">
        <v>46</v>
      </c>
      <c r="H2370" s="1">
        <v>42838</v>
      </c>
      <c r="I2370" s="1">
        <v>42868</v>
      </c>
      <c r="J2370">
        <v>0</v>
      </c>
    </row>
    <row r="2371" spans="1:10" x14ac:dyDescent="0.3">
      <c r="A2371" t="s">
        <v>2502</v>
      </c>
      <c r="B2371" t="s">
        <v>14</v>
      </c>
      <c r="C2371" t="str">
        <f>_xlfn.XLOOKUP(B2371,
[1]sales_teams!$A$2:$A$100,
[1]sales_teams!$B$2:$B$100)</f>
        <v>Melvin Marxen</v>
      </c>
      <c r="D2371" t="str">
        <f>_xlfn.XLOOKUP($B2371,sales_teams!$A$2:$A$36,sales_teams!C$2:C$36)</f>
        <v>Central</v>
      </c>
      <c r="E2371" t="s">
        <v>20</v>
      </c>
      <c r="F2371" t="s">
        <v>303</v>
      </c>
      <c r="G2371" t="s">
        <v>46</v>
      </c>
      <c r="H2371" s="1">
        <v>42838</v>
      </c>
      <c r="I2371" s="1">
        <v>42845</v>
      </c>
      <c r="J2371">
        <v>0</v>
      </c>
    </row>
    <row r="2372" spans="1:10" x14ac:dyDescent="0.3">
      <c r="A2372" t="s">
        <v>2503</v>
      </c>
      <c r="B2372" t="s">
        <v>14</v>
      </c>
      <c r="C2372" t="str">
        <f>_xlfn.XLOOKUP(B2372,
[1]sales_teams!$A$2:$A$100,
[1]sales_teams!$B$2:$B$100)</f>
        <v>Melvin Marxen</v>
      </c>
      <c r="D2372" t="str">
        <f>_xlfn.XLOOKUP($B2372,sales_teams!$A$2:$A$36,sales_teams!C$2:C$36)</f>
        <v>Central</v>
      </c>
      <c r="E2372" t="s">
        <v>15</v>
      </c>
      <c r="F2372" t="s">
        <v>213</v>
      </c>
      <c r="G2372" t="s">
        <v>46</v>
      </c>
      <c r="H2372" s="1">
        <v>42838</v>
      </c>
      <c r="I2372" s="1">
        <v>42839</v>
      </c>
      <c r="J2372">
        <v>0</v>
      </c>
    </row>
    <row r="2373" spans="1:10" x14ac:dyDescent="0.3">
      <c r="A2373" t="s">
        <v>2504</v>
      </c>
      <c r="B2373" t="s">
        <v>14</v>
      </c>
      <c r="C2373" t="str">
        <f>_xlfn.XLOOKUP(B2373,
[1]sales_teams!$A$2:$A$100,
[1]sales_teams!$B$2:$B$100)</f>
        <v>Melvin Marxen</v>
      </c>
      <c r="D2373" t="str">
        <f>_xlfn.XLOOKUP($B2373,sales_teams!$A$2:$A$36,sales_teams!C$2:C$36)</f>
        <v>Central</v>
      </c>
      <c r="E2373" t="s">
        <v>10</v>
      </c>
      <c r="F2373" t="s">
        <v>207</v>
      </c>
      <c r="G2373" t="s">
        <v>12</v>
      </c>
      <c r="H2373" s="1">
        <v>42838</v>
      </c>
      <c r="I2373" s="1">
        <v>42844</v>
      </c>
      <c r="J2373">
        <v>1327</v>
      </c>
    </row>
    <row r="2374" spans="1:10" x14ac:dyDescent="0.3">
      <c r="A2374" t="s">
        <v>2505</v>
      </c>
      <c r="B2374" t="s">
        <v>14</v>
      </c>
      <c r="C2374" t="str">
        <f>_xlfn.XLOOKUP(B2374,
[1]sales_teams!$A$2:$A$100,
[1]sales_teams!$B$2:$B$100)</f>
        <v>Melvin Marxen</v>
      </c>
      <c r="D2374" t="str">
        <f>_xlfn.XLOOKUP($B2374,sales_teams!$A$2:$A$36,sales_teams!C$2:C$36)</f>
        <v>Central</v>
      </c>
      <c r="E2374" t="s">
        <v>10</v>
      </c>
      <c r="F2374" t="s">
        <v>197</v>
      </c>
      <c r="G2374" t="s">
        <v>12</v>
      </c>
      <c r="H2374" s="1">
        <v>42838</v>
      </c>
      <c r="I2374" s="1">
        <v>42913</v>
      </c>
      <c r="J2374">
        <v>923</v>
      </c>
    </row>
    <row r="2375" spans="1:10" x14ac:dyDescent="0.3">
      <c r="A2375" t="s">
        <v>2506</v>
      </c>
      <c r="B2375" t="s">
        <v>14</v>
      </c>
      <c r="C2375" t="str">
        <f>_xlfn.XLOOKUP(B2375,
[1]sales_teams!$A$2:$A$100,
[1]sales_teams!$B$2:$B$100)</f>
        <v>Melvin Marxen</v>
      </c>
      <c r="D2375" t="str">
        <f>_xlfn.XLOOKUP($B2375,sales_teams!$A$2:$A$36,sales_teams!C$2:C$36)</f>
        <v>Central</v>
      </c>
      <c r="E2375" t="s">
        <v>10</v>
      </c>
      <c r="F2375" t="s">
        <v>231</v>
      </c>
      <c r="G2375" t="s">
        <v>12</v>
      </c>
      <c r="H2375" s="1">
        <v>42838</v>
      </c>
      <c r="I2375" s="1">
        <v>42848</v>
      </c>
      <c r="J2375">
        <v>1058</v>
      </c>
    </row>
    <row r="2376" spans="1:10" x14ac:dyDescent="0.3">
      <c r="A2376" t="s">
        <v>2507</v>
      </c>
      <c r="B2376" t="s">
        <v>14</v>
      </c>
      <c r="C2376" t="str">
        <f>_xlfn.XLOOKUP(B2376,
[1]sales_teams!$A$2:$A$100,
[1]sales_teams!$B$2:$B$100)</f>
        <v>Melvin Marxen</v>
      </c>
      <c r="D2376" t="str">
        <f>_xlfn.XLOOKUP($B2376,sales_teams!$A$2:$A$36,sales_teams!C$2:C$36)</f>
        <v>Central</v>
      </c>
      <c r="E2376" t="s">
        <v>48</v>
      </c>
      <c r="F2376" t="s">
        <v>492</v>
      </c>
      <c r="G2376" t="s">
        <v>12</v>
      </c>
      <c r="H2376" s="1">
        <v>42838</v>
      </c>
      <c r="I2376" s="1">
        <v>42846</v>
      </c>
      <c r="J2376">
        <v>5220</v>
      </c>
    </row>
    <row r="2377" spans="1:10" x14ac:dyDescent="0.3">
      <c r="A2377" t="s">
        <v>2508</v>
      </c>
      <c r="B2377" t="s">
        <v>44</v>
      </c>
      <c r="C2377" t="str">
        <f>_xlfn.XLOOKUP(B2377,
[1]sales_teams!$A$2:$A$100,
[1]sales_teams!$B$2:$B$100)</f>
        <v>Melvin Marxen</v>
      </c>
      <c r="D2377" t="str">
        <f>_xlfn.XLOOKUP($B2377,sales_teams!$A$2:$A$36,sales_teams!C$2:C$36)</f>
        <v>Central</v>
      </c>
      <c r="E2377" t="s">
        <v>48</v>
      </c>
      <c r="F2377" t="s">
        <v>218</v>
      </c>
      <c r="G2377" t="s">
        <v>46</v>
      </c>
      <c r="H2377" s="1">
        <v>42838</v>
      </c>
      <c r="I2377" s="1">
        <v>42844</v>
      </c>
      <c r="J2377">
        <v>0</v>
      </c>
    </row>
    <row r="2378" spans="1:10" x14ac:dyDescent="0.3">
      <c r="A2378" t="s">
        <v>2509</v>
      </c>
      <c r="B2378" t="s">
        <v>44</v>
      </c>
      <c r="C2378" t="str">
        <f>_xlfn.XLOOKUP(B2378,
[1]sales_teams!$A$2:$A$100,
[1]sales_teams!$B$2:$B$100)</f>
        <v>Melvin Marxen</v>
      </c>
      <c r="D2378" t="str">
        <f>_xlfn.XLOOKUP($B2378,sales_teams!$A$2:$A$36,sales_teams!C$2:C$36)</f>
        <v>Central</v>
      </c>
      <c r="E2378" t="s">
        <v>18</v>
      </c>
      <c r="F2378" t="s">
        <v>27</v>
      </c>
      <c r="G2378" t="s">
        <v>12</v>
      </c>
      <c r="H2378" s="1">
        <v>42838</v>
      </c>
      <c r="I2378" s="1">
        <v>42847</v>
      </c>
      <c r="J2378">
        <v>55</v>
      </c>
    </row>
    <row r="2379" spans="1:10" x14ac:dyDescent="0.3">
      <c r="A2379" t="s">
        <v>2510</v>
      </c>
      <c r="B2379" t="s">
        <v>54</v>
      </c>
      <c r="C2379" t="str">
        <f>_xlfn.XLOOKUP(B2379,
[1]sales_teams!$A$2:$A$100,
[1]sales_teams!$B$2:$B$100)</f>
        <v>Celia Rouche</v>
      </c>
      <c r="D2379" t="str">
        <f>_xlfn.XLOOKUP($B2379,sales_teams!$A$2:$A$36,sales_teams!C$2:C$36)</f>
        <v>West</v>
      </c>
      <c r="E2379" t="s">
        <v>39</v>
      </c>
      <c r="F2379" t="s">
        <v>174</v>
      </c>
      <c r="G2379" t="s">
        <v>46</v>
      </c>
      <c r="H2379" s="1">
        <v>42838</v>
      </c>
      <c r="I2379" s="1">
        <v>42845</v>
      </c>
      <c r="J2379">
        <v>0</v>
      </c>
    </row>
    <row r="2380" spans="1:10" x14ac:dyDescent="0.3">
      <c r="A2380" t="s">
        <v>2511</v>
      </c>
      <c r="B2380" t="s">
        <v>54</v>
      </c>
      <c r="C2380" t="str">
        <f>_xlfn.XLOOKUP(B2380,
[1]sales_teams!$A$2:$A$100,
[1]sales_teams!$B$2:$B$100)</f>
        <v>Celia Rouche</v>
      </c>
      <c r="D2380" t="str">
        <f>_xlfn.XLOOKUP($B2380,sales_teams!$A$2:$A$36,sales_teams!C$2:C$36)</f>
        <v>West</v>
      </c>
      <c r="E2380" t="s">
        <v>18</v>
      </c>
      <c r="F2380" t="s">
        <v>24</v>
      </c>
      <c r="G2380" t="s">
        <v>12</v>
      </c>
      <c r="H2380" s="1">
        <v>42838</v>
      </c>
      <c r="I2380" s="1">
        <v>42909</v>
      </c>
      <c r="J2380">
        <v>62</v>
      </c>
    </row>
    <row r="2381" spans="1:10" x14ac:dyDescent="0.3">
      <c r="A2381" t="s">
        <v>2512</v>
      </c>
      <c r="B2381" t="s">
        <v>38</v>
      </c>
      <c r="C2381" t="str">
        <f>_xlfn.XLOOKUP(B2381,
[1]sales_teams!$A$2:$A$100,
[1]sales_teams!$B$2:$B$100)</f>
        <v>Summer Sewald</v>
      </c>
      <c r="D2381" t="str">
        <f>_xlfn.XLOOKUP($B2381,sales_teams!$A$2:$A$36,sales_teams!C$2:C$36)</f>
        <v>West</v>
      </c>
      <c r="E2381" t="s">
        <v>10</v>
      </c>
      <c r="F2381" t="s">
        <v>122</v>
      </c>
      <c r="G2381" t="s">
        <v>12</v>
      </c>
      <c r="H2381" s="1">
        <v>42838</v>
      </c>
      <c r="I2381" s="1">
        <v>42845</v>
      </c>
      <c r="J2381">
        <v>996</v>
      </c>
    </row>
    <row r="2382" spans="1:10" x14ac:dyDescent="0.3">
      <c r="A2382" t="s">
        <v>2513</v>
      </c>
      <c r="B2382" t="s">
        <v>78</v>
      </c>
      <c r="C2382" t="str">
        <f>_xlfn.XLOOKUP(B2382,
[1]sales_teams!$A$2:$A$100,
[1]sales_teams!$B$2:$B$100)</f>
        <v>Summer Sewald</v>
      </c>
      <c r="D2382" t="str">
        <f>_xlfn.XLOOKUP($B2382,sales_teams!$A$2:$A$36,sales_teams!C$2:C$36)</f>
        <v>West</v>
      </c>
      <c r="E2382" t="s">
        <v>15</v>
      </c>
      <c r="G2382" t="s">
        <v>40</v>
      </c>
      <c r="H2382" s="1">
        <v>42838</v>
      </c>
    </row>
    <row r="2383" spans="1:10" x14ac:dyDescent="0.3">
      <c r="A2383" t="s">
        <v>2514</v>
      </c>
      <c r="B2383" t="s">
        <v>78</v>
      </c>
      <c r="C2383" t="str">
        <f>_xlfn.XLOOKUP(B2383,
[1]sales_teams!$A$2:$A$100,
[1]sales_teams!$B$2:$B$100)</f>
        <v>Summer Sewald</v>
      </c>
      <c r="D2383" t="str">
        <f>_xlfn.XLOOKUP($B2383,sales_teams!$A$2:$A$36,sales_teams!C$2:C$36)</f>
        <v>West</v>
      </c>
      <c r="E2383" t="s">
        <v>20</v>
      </c>
      <c r="F2383" t="s">
        <v>68</v>
      </c>
      <c r="G2383" t="s">
        <v>46</v>
      </c>
      <c r="H2383" s="1">
        <v>42838</v>
      </c>
      <c r="I2383" s="1">
        <v>42895</v>
      </c>
      <c r="J2383">
        <v>0</v>
      </c>
    </row>
    <row r="2384" spans="1:10" x14ac:dyDescent="0.3">
      <c r="A2384" t="s">
        <v>2515</v>
      </c>
      <c r="B2384" t="s">
        <v>78</v>
      </c>
      <c r="C2384" t="str">
        <f>_xlfn.XLOOKUP(B2384,
[1]sales_teams!$A$2:$A$100,
[1]sales_teams!$B$2:$B$100)</f>
        <v>Summer Sewald</v>
      </c>
      <c r="D2384" t="str">
        <f>_xlfn.XLOOKUP($B2384,sales_teams!$A$2:$A$36,sales_teams!C$2:C$36)</f>
        <v>West</v>
      </c>
      <c r="E2384" t="s">
        <v>20</v>
      </c>
      <c r="F2384" t="s">
        <v>315</v>
      </c>
      <c r="G2384" t="s">
        <v>12</v>
      </c>
      <c r="H2384" s="1">
        <v>42838</v>
      </c>
      <c r="I2384" s="1">
        <v>42847</v>
      </c>
      <c r="J2384">
        <v>543</v>
      </c>
    </row>
    <row r="2385" spans="1:10" x14ac:dyDescent="0.3">
      <c r="A2385" t="s">
        <v>2516</v>
      </c>
      <c r="B2385" t="s">
        <v>95</v>
      </c>
      <c r="C2385" t="str">
        <f>_xlfn.XLOOKUP(B2385,
[1]sales_teams!$A$2:$A$100,
[1]sales_teams!$B$2:$B$100)</f>
        <v>Summer Sewald</v>
      </c>
      <c r="D2385" t="str">
        <f>_xlfn.XLOOKUP($B2385,sales_teams!$A$2:$A$36,sales_teams!C$2:C$36)</f>
        <v>West</v>
      </c>
      <c r="E2385" t="s">
        <v>15</v>
      </c>
      <c r="F2385" t="s">
        <v>24</v>
      </c>
      <c r="G2385" t="s">
        <v>46</v>
      </c>
      <c r="H2385" s="1">
        <v>42838</v>
      </c>
      <c r="I2385" s="1">
        <v>42844</v>
      </c>
      <c r="J2385">
        <v>0</v>
      </c>
    </row>
    <row r="2386" spans="1:10" x14ac:dyDescent="0.3">
      <c r="A2386" t="s">
        <v>2517</v>
      </c>
      <c r="B2386" t="s">
        <v>95</v>
      </c>
      <c r="C2386" t="str">
        <f>_xlfn.XLOOKUP(B2386,
[1]sales_teams!$A$2:$A$100,
[1]sales_teams!$B$2:$B$100)</f>
        <v>Summer Sewald</v>
      </c>
      <c r="D2386" t="str">
        <f>_xlfn.XLOOKUP($B2386,sales_teams!$A$2:$A$36,sales_teams!C$2:C$36)</f>
        <v>West</v>
      </c>
      <c r="E2386" t="s">
        <v>15</v>
      </c>
      <c r="F2386" t="s">
        <v>159</v>
      </c>
      <c r="G2386" t="s">
        <v>46</v>
      </c>
      <c r="H2386" s="1">
        <v>42838</v>
      </c>
      <c r="I2386" s="1">
        <v>42846</v>
      </c>
      <c r="J2386">
        <v>0</v>
      </c>
    </row>
    <row r="2387" spans="1:10" x14ac:dyDescent="0.3">
      <c r="A2387" t="s">
        <v>2518</v>
      </c>
      <c r="B2387" t="s">
        <v>9</v>
      </c>
      <c r="C2387" t="str">
        <f>_xlfn.XLOOKUP(B2387,
[1]sales_teams!$A$2:$A$100,
[1]sales_teams!$B$2:$B$100)</f>
        <v>Dustin Brinkmann</v>
      </c>
      <c r="D2387" t="str">
        <f>_xlfn.XLOOKUP($B2387,sales_teams!$A$2:$A$36,sales_teams!C$2:C$36)</f>
        <v>Central</v>
      </c>
      <c r="E2387" t="s">
        <v>18</v>
      </c>
      <c r="F2387" t="s">
        <v>76</v>
      </c>
      <c r="G2387" t="s">
        <v>46</v>
      </c>
      <c r="H2387" s="1">
        <v>42838</v>
      </c>
      <c r="I2387" s="1">
        <v>42963</v>
      </c>
      <c r="J2387">
        <v>0</v>
      </c>
    </row>
    <row r="2388" spans="1:10" x14ac:dyDescent="0.3">
      <c r="A2388" t="s">
        <v>2519</v>
      </c>
      <c r="B2388" t="s">
        <v>35</v>
      </c>
      <c r="C2388" t="str">
        <f>_xlfn.XLOOKUP(B2388,
[1]sales_teams!$A$2:$A$100,
[1]sales_teams!$B$2:$B$100)</f>
        <v>Melvin Marxen</v>
      </c>
      <c r="D2388" t="str">
        <f>_xlfn.XLOOKUP($B2388,sales_teams!$A$2:$A$36,sales_teams!C$2:C$36)</f>
        <v>Central</v>
      </c>
      <c r="E2388" t="s">
        <v>10</v>
      </c>
      <c r="F2388" t="s">
        <v>231</v>
      </c>
      <c r="G2388" t="s">
        <v>46</v>
      </c>
      <c r="H2388" s="1">
        <v>42838</v>
      </c>
      <c r="I2388" s="1">
        <v>42902</v>
      </c>
      <c r="J2388">
        <v>0</v>
      </c>
    </row>
    <row r="2389" spans="1:10" x14ac:dyDescent="0.3">
      <c r="A2389" t="s">
        <v>2520</v>
      </c>
      <c r="B2389" t="s">
        <v>61</v>
      </c>
      <c r="C2389" t="str">
        <f>_xlfn.XLOOKUP(B2389,
[1]sales_teams!$A$2:$A$100,
[1]sales_teams!$B$2:$B$100)</f>
        <v>Dustin Brinkmann</v>
      </c>
      <c r="D2389" t="str">
        <f>_xlfn.XLOOKUP($B2389,sales_teams!$A$2:$A$36,sales_teams!C$2:C$36)</f>
        <v>Central</v>
      </c>
      <c r="E2389" t="s">
        <v>18</v>
      </c>
      <c r="F2389" t="s">
        <v>129</v>
      </c>
      <c r="G2389" t="s">
        <v>46</v>
      </c>
      <c r="H2389" s="1">
        <v>42838</v>
      </c>
      <c r="I2389" s="1">
        <v>42881</v>
      </c>
      <c r="J2389">
        <v>0</v>
      </c>
    </row>
    <row r="2390" spans="1:10" x14ac:dyDescent="0.3">
      <c r="A2390" t="s">
        <v>2521</v>
      </c>
      <c r="B2390" t="s">
        <v>61</v>
      </c>
      <c r="C2390" t="str">
        <f>_xlfn.XLOOKUP(B2390,
[1]sales_teams!$A$2:$A$100,
[1]sales_teams!$B$2:$B$100)</f>
        <v>Dustin Brinkmann</v>
      </c>
      <c r="D2390" t="str">
        <f>_xlfn.XLOOKUP($B2390,sales_teams!$A$2:$A$36,sales_teams!C$2:C$36)</f>
        <v>Central</v>
      </c>
      <c r="E2390" t="s">
        <v>18</v>
      </c>
      <c r="F2390" t="s">
        <v>42</v>
      </c>
      <c r="G2390" t="s">
        <v>12</v>
      </c>
      <c r="H2390" s="1">
        <v>42838</v>
      </c>
      <c r="I2390" s="1">
        <v>42847</v>
      </c>
      <c r="J2390">
        <v>56</v>
      </c>
    </row>
    <row r="2391" spans="1:10" x14ac:dyDescent="0.3">
      <c r="A2391" t="s">
        <v>2522</v>
      </c>
      <c r="B2391" t="s">
        <v>29</v>
      </c>
      <c r="C2391" t="str">
        <f>_xlfn.XLOOKUP(B2391,
[1]sales_teams!$A$2:$A$100,
[1]sales_teams!$B$2:$B$100)</f>
        <v>Celia Rouche</v>
      </c>
      <c r="D2391" t="str">
        <f>_xlfn.XLOOKUP($B2391,sales_teams!$A$2:$A$36,sales_teams!C$2:C$36)</f>
        <v>West</v>
      </c>
      <c r="E2391" t="s">
        <v>48</v>
      </c>
      <c r="F2391" t="s">
        <v>155</v>
      </c>
      <c r="G2391" t="s">
        <v>46</v>
      </c>
      <c r="H2391" s="1">
        <v>42838</v>
      </c>
      <c r="I2391" s="1">
        <v>42845</v>
      </c>
      <c r="J2391">
        <v>0</v>
      </c>
    </row>
    <row r="2392" spans="1:10" x14ac:dyDescent="0.3">
      <c r="A2392" t="s">
        <v>2523</v>
      </c>
      <c r="B2392" t="s">
        <v>29</v>
      </c>
      <c r="C2392" t="str">
        <f>_xlfn.XLOOKUP(B2392,
[1]sales_teams!$A$2:$A$100,
[1]sales_teams!$B$2:$B$100)</f>
        <v>Celia Rouche</v>
      </c>
      <c r="D2392" t="str">
        <f>_xlfn.XLOOKUP($B2392,sales_teams!$A$2:$A$36,sales_teams!C$2:C$36)</f>
        <v>West</v>
      </c>
      <c r="E2392" t="s">
        <v>39</v>
      </c>
      <c r="F2392" t="s">
        <v>313</v>
      </c>
      <c r="G2392" t="s">
        <v>46</v>
      </c>
      <c r="H2392" s="1">
        <v>42838</v>
      </c>
      <c r="I2392" s="1">
        <v>42848</v>
      </c>
      <c r="J2392">
        <v>0</v>
      </c>
    </row>
    <row r="2393" spans="1:10" x14ac:dyDescent="0.3">
      <c r="A2393" t="s">
        <v>2524</v>
      </c>
      <c r="B2393" t="s">
        <v>73</v>
      </c>
      <c r="C2393" t="str">
        <f>_xlfn.XLOOKUP(B2393,
[1]sales_teams!$A$2:$A$100,
[1]sales_teams!$B$2:$B$100)</f>
        <v>Cara Losch</v>
      </c>
      <c r="D2393" t="str">
        <f>_xlfn.XLOOKUP($B2393,sales_teams!$A$2:$A$36,sales_teams!C$2:C$36)</f>
        <v>East</v>
      </c>
      <c r="E2393" t="s">
        <v>10</v>
      </c>
      <c r="F2393" t="s">
        <v>329</v>
      </c>
      <c r="G2393" t="s">
        <v>12</v>
      </c>
      <c r="H2393" s="1">
        <v>42838</v>
      </c>
      <c r="I2393" s="1">
        <v>42896</v>
      </c>
      <c r="J2393">
        <v>1145</v>
      </c>
    </row>
    <row r="2394" spans="1:10" x14ac:dyDescent="0.3">
      <c r="A2394" t="s">
        <v>2525</v>
      </c>
      <c r="B2394" t="s">
        <v>102</v>
      </c>
      <c r="C2394" t="str">
        <f>_xlfn.XLOOKUP(B2394,
[1]sales_teams!$A$2:$A$100,
[1]sales_teams!$B$2:$B$100)</f>
        <v>Cara Losch</v>
      </c>
      <c r="D2394" t="str">
        <f>_xlfn.XLOOKUP($B2394,sales_teams!$A$2:$A$36,sales_teams!C$2:C$36)</f>
        <v>East</v>
      </c>
      <c r="E2394" t="s">
        <v>15</v>
      </c>
      <c r="F2394" t="s">
        <v>143</v>
      </c>
      <c r="G2394" t="s">
        <v>46</v>
      </c>
      <c r="H2394" s="1">
        <v>42838</v>
      </c>
      <c r="I2394" s="1">
        <v>42851</v>
      </c>
      <c r="J2394">
        <v>0</v>
      </c>
    </row>
    <row r="2395" spans="1:10" x14ac:dyDescent="0.3">
      <c r="A2395" t="s">
        <v>2526</v>
      </c>
      <c r="B2395" t="s">
        <v>23</v>
      </c>
      <c r="C2395" t="str">
        <f>_xlfn.XLOOKUP(B2395,
[1]sales_teams!$A$2:$A$100,
[1]sales_teams!$B$2:$B$100)</f>
        <v>Summer Sewald</v>
      </c>
      <c r="D2395" t="str">
        <f>_xlfn.XLOOKUP($B2395,sales_teams!$A$2:$A$36,sales_teams!C$2:C$36)</f>
        <v>West</v>
      </c>
      <c r="E2395" t="s">
        <v>20</v>
      </c>
      <c r="G2395" t="s">
        <v>40</v>
      </c>
      <c r="H2395" s="1">
        <v>42838</v>
      </c>
    </row>
    <row r="2396" spans="1:10" x14ac:dyDescent="0.3">
      <c r="A2396" t="s">
        <v>2527</v>
      </c>
      <c r="B2396" t="s">
        <v>23</v>
      </c>
      <c r="C2396" t="str">
        <f>_xlfn.XLOOKUP(B2396,
[1]sales_teams!$A$2:$A$100,
[1]sales_teams!$B$2:$B$100)</f>
        <v>Summer Sewald</v>
      </c>
      <c r="D2396" t="str">
        <f>_xlfn.XLOOKUP($B2396,sales_teams!$A$2:$A$36,sales_teams!C$2:C$36)</f>
        <v>West</v>
      </c>
      <c r="E2396" t="s">
        <v>39</v>
      </c>
      <c r="G2396" t="s">
        <v>40</v>
      </c>
      <c r="H2396" s="1">
        <v>42838</v>
      </c>
    </row>
    <row r="2397" spans="1:10" x14ac:dyDescent="0.3">
      <c r="A2397" t="s">
        <v>2528</v>
      </c>
      <c r="B2397" t="s">
        <v>118</v>
      </c>
      <c r="C2397" t="str">
        <f>_xlfn.XLOOKUP(B2397,
[1]sales_teams!$A$2:$A$100,
[1]sales_teams!$B$2:$B$100)</f>
        <v>Rocco Neubert</v>
      </c>
      <c r="D2397" t="str">
        <f>_xlfn.XLOOKUP($B2397,sales_teams!$A$2:$A$36,sales_teams!C$2:C$36)</f>
        <v>East</v>
      </c>
      <c r="E2397" t="s">
        <v>48</v>
      </c>
      <c r="F2397" t="s">
        <v>373</v>
      </c>
      <c r="G2397" t="s">
        <v>46</v>
      </c>
      <c r="H2397" s="1">
        <v>42839</v>
      </c>
      <c r="I2397" s="1">
        <v>42844</v>
      </c>
      <c r="J2397">
        <v>0</v>
      </c>
    </row>
    <row r="2398" spans="1:10" x14ac:dyDescent="0.3">
      <c r="A2398" t="s">
        <v>2529</v>
      </c>
      <c r="B2398" t="s">
        <v>118</v>
      </c>
      <c r="C2398" t="str">
        <f>_xlfn.XLOOKUP(B2398,
[1]sales_teams!$A$2:$A$100,
[1]sales_teams!$B$2:$B$100)</f>
        <v>Rocco Neubert</v>
      </c>
      <c r="D2398" t="str">
        <f>_xlfn.XLOOKUP($B2398,sales_teams!$A$2:$A$36,sales_teams!C$2:C$36)</f>
        <v>East</v>
      </c>
      <c r="E2398" t="s">
        <v>15</v>
      </c>
      <c r="F2398" t="s">
        <v>745</v>
      </c>
      <c r="G2398" t="s">
        <v>46</v>
      </c>
      <c r="H2398" s="1">
        <v>42839</v>
      </c>
      <c r="I2398" s="1">
        <v>42847</v>
      </c>
      <c r="J2398">
        <v>0</v>
      </c>
    </row>
    <row r="2399" spans="1:10" x14ac:dyDescent="0.3">
      <c r="A2399" t="s">
        <v>2530</v>
      </c>
      <c r="B2399" t="s">
        <v>118</v>
      </c>
      <c r="C2399" t="str">
        <f>_xlfn.XLOOKUP(B2399,
[1]sales_teams!$A$2:$A$100,
[1]sales_teams!$B$2:$B$100)</f>
        <v>Rocco Neubert</v>
      </c>
      <c r="D2399" t="str">
        <f>_xlfn.XLOOKUP($B2399,sales_teams!$A$2:$A$36,sales_teams!C$2:C$36)</f>
        <v>East</v>
      </c>
      <c r="E2399" t="s">
        <v>39</v>
      </c>
      <c r="F2399" t="s">
        <v>189</v>
      </c>
      <c r="G2399" t="s">
        <v>46</v>
      </c>
      <c r="H2399" s="1">
        <v>42839</v>
      </c>
      <c r="I2399" s="1">
        <v>42844</v>
      </c>
      <c r="J2399">
        <v>0</v>
      </c>
    </row>
    <row r="2400" spans="1:10" x14ac:dyDescent="0.3">
      <c r="A2400" t="s">
        <v>2531</v>
      </c>
      <c r="B2400" t="s">
        <v>164</v>
      </c>
      <c r="C2400" t="str">
        <f>_xlfn.XLOOKUP(B2400,
[1]sales_teams!$A$2:$A$100,
[1]sales_teams!$B$2:$B$100)</f>
        <v>Cara Losch</v>
      </c>
      <c r="D2400" t="str">
        <f>_xlfn.XLOOKUP($B2400,sales_teams!$A$2:$A$36,sales_teams!C$2:C$36)</f>
        <v>East</v>
      </c>
      <c r="E2400" t="s">
        <v>10</v>
      </c>
      <c r="F2400" t="s">
        <v>222</v>
      </c>
      <c r="G2400" t="s">
        <v>12</v>
      </c>
      <c r="H2400" s="1">
        <v>42839</v>
      </c>
      <c r="I2400" s="1">
        <v>42848</v>
      </c>
      <c r="J2400">
        <v>1033</v>
      </c>
    </row>
    <row r="2401" spans="1:10" x14ac:dyDescent="0.3">
      <c r="A2401" t="s">
        <v>2532</v>
      </c>
      <c r="B2401" t="s">
        <v>64</v>
      </c>
      <c r="C2401" t="str">
        <f>_xlfn.XLOOKUP(B2401,
[1]sales_teams!$A$2:$A$100,
[1]sales_teams!$B$2:$B$100)</f>
        <v>Rocco Neubert</v>
      </c>
      <c r="D2401" t="str">
        <f>_xlfn.XLOOKUP($B2401,sales_teams!$A$2:$A$36,sales_teams!C$2:C$36)</f>
        <v>East</v>
      </c>
      <c r="E2401" t="s">
        <v>39</v>
      </c>
      <c r="F2401" t="s">
        <v>103</v>
      </c>
      <c r="G2401" t="s">
        <v>46</v>
      </c>
      <c r="H2401" s="1">
        <v>42839</v>
      </c>
      <c r="I2401" s="1">
        <v>42845</v>
      </c>
      <c r="J2401">
        <v>0</v>
      </c>
    </row>
    <row r="2402" spans="1:10" x14ac:dyDescent="0.3">
      <c r="A2402" t="s">
        <v>2533</v>
      </c>
      <c r="B2402" t="s">
        <v>14</v>
      </c>
      <c r="C2402" t="str">
        <f>_xlfn.XLOOKUP(B2402,
[1]sales_teams!$A$2:$A$100,
[1]sales_teams!$B$2:$B$100)</f>
        <v>Melvin Marxen</v>
      </c>
      <c r="D2402" t="str">
        <f>_xlfn.XLOOKUP($B2402,sales_teams!$A$2:$A$36,sales_teams!C$2:C$36)</f>
        <v>Central</v>
      </c>
      <c r="E2402" t="s">
        <v>10</v>
      </c>
      <c r="F2402" t="s">
        <v>109</v>
      </c>
      <c r="G2402" t="s">
        <v>46</v>
      </c>
      <c r="H2402" s="1">
        <v>42839</v>
      </c>
      <c r="I2402" s="1">
        <v>42840</v>
      </c>
      <c r="J2402">
        <v>0</v>
      </c>
    </row>
    <row r="2403" spans="1:10" x14ac:dyDescent="0.3">
      <c r="A2403" t="s">
        <v>2534</v>
      </c>
      <c r="B2403" t="s">
        <v>14</v>
      </c>
      <c r="C2403" t="str">
        <f>_xlfn.XLOOKUP(B2403,
[1]sales_teams!$A$2:$A$100,
[1]sales_teams!$B$2:$B$100)</f>
        <v>Melvin Marxen</v>
      </c>
      <c r="D2403" t="str">
        <f>_xlfn.XLOOKUP($B2403,sales_teams!$A$2:$A$36,sales_teams!C$2:C$36)</f>
        <v>Central</v>
      </c>
      <c r="E2403" t="s">
        <v>15</v>
      </c>
      <c r="F2403" t="s">
        <v>62</v>
      </c>
      <c r="G2403" t="s">
        <v>46</v>
      </c>
      <c r="H2403" s="1">
        <v>42839</v>
      </c>
      <c r="I2403" s="1">
        <v>42841</v>
      </c>
      <c r="J2403">
        <v>0</v>
      </c>
    </row>
    <row r="2404" spans="1:10" x14ac:dyDescent="0.3">
      <c r="A2404" t="s">
        <v>2535</v>
      </c>
      <c r="B2404" t="s">
        <v>14</v>
      </c>
      <c r="C2404" t="str">
        <f>_xlfn.XLOOKUP(B2404,
[1]sales_teams!$A$2:$A$100,
[1]sales_teams!$B$2:$B$100)</f>
        <v>Melvin Marxen</v>
      </c>
      <c r="D2404" t="str">
        <f>_xlfn.XLOOKUP($B2404,sales_teams!$A$2:$A$36,sales_teams!C$2:C$36)</f>
        <v>Central</v>
      </c>
      <c r="E2404" t="s">
        <v>15</v>
      </c>
      <c r="F2404" t="s">
        <v>11</v>
      </c>
      <c r="G2404" t="s">
        <v>12</v>
      </c>
      <c r="H2404" s="1">
        <v>42839</v>
      </c>
      <c r="I2404" s="1">
        <v>42961</v>
      </c>
      <c r="J2404">
        <v>4359</v>
      </c>
    </row>
    <row r="2405" spans="1:10" x14ac:dyDescent="0.3">
      <c r="A2405" t="s">
        <v>2536</v>
      </c>
      <c r="B2405" t="s">
        <v>14</v>
      </c>
      <c r="C2405" t="str">
        <f>_xlfn.XLOOKUP(B2405,
[1]sales_teams!$A$2:$A$100,
[1]sales_teams!$B$2:$B$100)</f>
        <v>Melvin Marxen</v>
      </c>
      <c r="D2405" t="str">
        <f>_xlfn.XLOOKUP($B2405,sales_teams!$A$2:$A$36,sales_teams!C$2:C$36)</f>
        <v>Central</v>
      </c>
      <c r="E2405" t="s">
        <v>15</v>
      </c>
      <c r="F2405" t="s">
        <v>76</v>
      </c>
      <c r="G2405" t="s">
        <v>12</v>
      </c>
      <c r="H2405" s="1">
        <v>42839</v>
      </c>
      <c r="I2405" s="1">
        <v>42888</v>
      </c>
      <c r="J2405">
        <v>4575</v>
      </c>
    </row>
    <row r="2406" spans="1:10" x14ac:dyDescent="0.3">
      <c r="A2406" t="s">
        <v>2537</v>
      </c>
      <c r="B2406" t="s">
        <v>14</v>
      </c>
      <c r="C2406" t="str">
        <f>_xlfn.XLOOKUP(B2406,
[1]sales_teams!$A$2:$A$100,
[1]sales_teams!$B$2:$B$100)</f>
        <v>Melvin Marxen</v>
      </c>
      <c r="D2406" t="str">
        <f>_xlfn.XLOOKUP($B2406,sales_teams!$A$2:$A$36,sales_teams!C$2:C$36)</f>
        <v>Central</v>
      </c>
      <c r="E2406" t="s">
        <v>18</v>
      </c>
      <c r="F2406" t="s">
        <v>129</v>
      </c>
      <c r="G2406" t="s">
        <v>12</v>
      </c>
      <c r="H2406" s="1">
        <v>42839</v>
      </c>
      <c r="I2406" s="1">
        <v>42847</v>
      </c>
      <c r="J2406">
        <v>53</v>
      </c>
    </row>
    <row r="2407" spans="1:10" x14ac:dyDescent="0.3">
      <c r="A2407" t="s">
        <v>2538</v>
      </c>
      <c r="B2407" t="s">
        <v>67</v>
      </c>
      <c r="C2407" t="str">
        <f>_xlfn.XLOOKUP(B2407,
[1]sales_teams!$A$2:$A$100,
[1]sales_teams!$B$2:$B$100)</f>
        <v>Celia Rouche</v>
      </c>
      <c r="D2407" t="str">
        <f>_xlfn.XLOOKUP($B2407,sales_teams!$A$2:$A$36,sales_teams!C$2:C$36)</f>
        <v>West</v>
      </c>
      <c r="E2407" t="s">
        <v>20</v>
      </c>
      <c r="F2407" t="s">
        <v>30</v>
      </c>
      <c r="G2407" t="s">
        <v>12</v>
      </c>
      <c r="H2407" s="1">
        <v>42839</v>
      </c>
      <c r="I2407" s="1">
        <v>42841</v>
      </c>
      <c r="J2407">
        <v>597</v>
      </c>
    </row>
    <row r="2408" spans="1:10" x14ac:dyDescent="0.3">
      <c r="A2408" t="s">
        <v>2539</v>
      </c>
      <c r="B2408" t="s">
        <v>67</v>
      </c>
      <c r="C2408" t="str">
        <f>_xlfn.XLOOKUP(B2408,
[1]sales_teams!$A$2:$A$100,
[1]sales_teams!$B$2:$B$100)</f>
        <v>Celia Rouche</v>
      </c>
      <c r="D2408" t="str">
        <f>_xlfn.XLOOKUP($B2408,sales_teams!$A$2:$A$36,sales_teams!C$2:C$36)</f>
        <v>West</v>
      </c>
      <c r="E2408" t="s">
        <v>39</v>
      </c>
      <c r="F2408" t="s">
        <v>79</v>
      </c>
      <c r="G2408" t="s">
        <v>12</v>
      </c>
      <c r="H2408" s="1">
        <v>42839</v>
      </c>
      <c r="I2408" s="1">
        <v>42902</v>
      </c>
      <c r="J2408">
        <v>3179</v>
      </c>
    </row>
    <row r="2409" spans="1:10" x14ac:dyDescent="0.3">
      <c r="A2409" t="s">
        <v>2540</v>
      </c>
      <c r="B2409" t="s">
        <v>44</v>
      </c>
      <c r="C2409" t="str">
        <f>_xlfn.XLOOKUP(B2409,
[1]sales_teams!$A$2:$A$100,
[1]sales_teams!$B$2:$B$100)</f>
        <v>Melvin Marxen</v>
      </c>
      <c r="D2409" t="str">
        <f>_xlfn.XLOOKUP($B2409,sales_teams!$A$2:$A$36,sales_teams!C$2:C$36)</f>
        <v>Central</v>
      </c>
      <c r="E2409" t="s">
        <v>20</v>
      </c>
      <c r="F2409" t="s">
        <v>213</v>
      </c>
      <c r="G2409" t="s">
        <v>46</v>
      </c>
      <c r="H2409" s="1">
        <v>42839</v>
      </c>
      <c r="I2409" s="1">
        <v>42902</v>
      </c>
      <c r="J2409">
        <v>0</v>
      </c>
    </row>
    <row r="2410" spans="1:10" x14ac:dyDescent="0.3">
      <c r="A2410" t="s">
        <v>2541</v>
      </c>
      <c r="B2410" t="s">
        <v>44</v>
      </c>
      <c r="C2410" t="str">
        <f>_xlfn.XLOOKUP(B2410,
[1]sales_teams!$A$2:$A$100,
[1]sales_teams!$B$2:$B$100)</f>
        <v>Melvin Marxen</v>
      </c>
      <c r="D2410" t="str">
        <f>_xlfn.XLOOKUP($B2410,sales_teams!$A$2:$A$36,sales_teams!C$2:C$36)</f>
        <v>Central</v>
      </c>
      <c r="E2410" t="s">
        <v>18</v>
      </c>
      <c r="F2410" t="s">
        <v>111</v>
      </c>
      <c r="G2410" t="s">
        <v>12</v>
      </c>
      <c r="H2410" s="1">
        <v>42839</v>
      </c>
      <c r="I2410" s="1">
        <v>42840</v>
      </c>
      <c r="J2410">
        <v>57</v>
      </c>
    </row>
    <row r="2411" spans="1:10" x14ac:dyDescent="0.3">
      <c r="A2411" t="s">
        <v>2542</v>
      </c>
      <c r="B2411" t="s">
        <v>54</v>
      </c>
      <c r="C2411" t="str">
        <f>_xlfn.XLOOKUP(B2411,
[1]sales_teams!$A$2:$A$100,
[1]sales_teams!$B$2:$B$100)</f>
        <v>Celia Rouche</v>
      </c>
      <c r="D2411" t="str">
        <f>_xlfn.XLOOKUP($B2411,sales_teams!$A$2:$A$36,sales_teams!C$2:C$36)</f>
        <v>West</v>
      </c>
      <c r="E2411" t="s">
        <v>39</v>
      </c>
      <c r="F2411" t="s">
        <v>315</v>
      </c>
      <c r="G2411" t="s">
        <v>46</v>
      </c>
      <c r="H2411" s="1">
        <v>42839</v>
      </c>
      <c r="I2411" s="1">
        <v>42840</v>
      </c>
      <c r="J2411">
        <v>0</v>
      </c>
    </row>
    <row r="2412" spans="1:10" x14ac:dyDescent="0.3">
      <c r="A2412" t="s">
        <v>2543</v>
      </c>
      <c r="B2412" t="s">
        <v>54</v>
      </c>
      <c r="C2412" t="str">
        <f>_xlfn.XLOOKUP(B2412,
[1]sales_teams!$A$2:$A$100,
[1]sales_teams!$B$2:$B$100)</f>
        <v>Celia Rouche</v>
      </c>
      <c r="D2412" t="str">
        <f>_xlfn.XLOOKUP($B2412,sales_teams!$A$2:$A$36,sales_teams!C$2:C$36)</f>
        <v>West</v>
      </c>
      <c r="E2412" t="s">
        <v>39</v>
      </c>
      <c r="F2412" t="s">
        <v>59</v>
      </c>
      <c r="G2412" t="s">
        <v>12</v>
      </c>
      <c r="H2412" s="1">
        <v>42839</v>
      </c>
      <c r="I2412" s="1">
        <v>42849</v>
      </c>
      <c r="J2412">
        <v>2997</v>
      </c>
    </row>
    <row r="2413" spans="1:10" x14ac:dyDescent="0.3">
      <c r="A2413" t="s">
        <v>2544</v>
      </c>
      <c r="B2413" t="s">
        <v>38</v>
      </c>
      <c r="C2413" t="str">
        <f>_xlfn.XLOOKUP(B2413,
[1]sales_teams!$A$2:$A$100,
[1]sales_teams!$B$2:$B$100)</f>
        <v>Summer Sewald</v>
      </c>
      <c r="D2413" t="str">
        <f>_xlfn.XLOOKUP($B2413,sales_teams!$A$2:$A$36,sales_teams!C$2:C$36)</f>
        <v>West</v>
      </c>
      <c r="E2413" t="s">
        <v>20</v>
      </c>
      <c r="F2413" t="s">
        <v>194</v>
      </c>
      <c r="G2413" t="s">
        <v>12</v>
      </c>
      <c r="H2413" s="1">
        <v>42839</v>
      </c>
      <c r="I2413" s="1">
        <v>42884</v>
      </c>
      <c r="J2413">
        <v>545</v>
      </c>
    </row>
    <row r="2414" spans="1:10" x14ac:dyDescent="0.3">
      <c r="A2414" t="s">
        <v>2545</v>
      </c>
      <c r="B2414" t="s">
        <v>252</v>
      </c>
      <c r="C2414" t="str">
        <f>_xlfn.XLOOKUP(B2414,
[1]sales_teams!$A$2:$A$100,
[1]sales_teams!$B$2:$B$100)</f>
        <v>Melvin Marxen</v>
      </c>
      <c r="D2414" t="str">
        <f>_xlfn.XLOOKUP($B2414,sales_teams!$A$2:$A$36,sales_teams!C$2:C$36)</f>
        <v>Central</v>
      </c>
      <c r="E2414" t="s">
        <v>20</v>
      </c>
      <c r="F2414" t="s">
        <v>36</v>
      </c>
      <c r="G2414" t="s">
        <v>12</v>
      </c>
      <c r="H2414" s="1">
        <v>42839</v>
      </c>
      <c r="I2414" s="1">
        <v>42850</v>
      </c>
      <c r="J2414">
        <v>565</v>
      </c>
    </row>
    <row r="2415" spans="1:10" x14ac:dyDescent="0.3">
      <c r="A2415" t="s">
        <v>2546</v>
      </c>
      <c r="B2415" t="s">
        <v>252</v>
      </c>
      <c r="C2415" t="str">
        <f>_xlfn.XLOOKUP(B2415,
[1]sales_teams!$A$2:$A$100,
[1]sales_teams!$B$2:$B$100)</f>
        <v>Melvin Marxen</v>
      </c>
      <c r="D2415" t="str">
        <f>_xlfn.XLOOKUP($B2415,sales_teams!$A$2:$A$36,sales_teams!C$2:C$36)</f>
        <v>Central</v>
      </c>
      <c r="E2415" t="s">
        <v>18</v>
      </c>
      <c r="F2415" t="s">
        <v>62</v>
      </c>
      <c r="G2415" t="s">
        <v>12</v>
      </c>
      <c r="H2415" s="1">
        <v>42839</v>
      </c>
      <c r="I2415" s="1">
        <v>42849</v>
      </c>
      <c r="J2415">
        <v>54</v>
      </c>
    </row>
    <row r="2416" spans="1:10" x14ac:dyDescent="0.3">
      <c r="A2416" t="s">
        <v>2547</v>
      </c>
      <c r="B2416" t="s">
        <v>78</v>
      </c>
      <c r="C2416" t="str">
        <f>_xlfn.XLOOKUP(B2416,
[1]sales_teams!$A$2:$A$100,
[1]sales_teams!$B$2:$B$100)</f>
        <v>Summer Sewald</v>
      </c>
      <c r="D2416" t="str">
        <f>_xlfn.XLOOKUP($B2416,sales_teams!$A$2:$A$36,sales_teams!C$2:C$36)</f>
        <v>West</v>
      </c>
      <c r="E2416" t="s">
        <v>15</v>
      </c>
      <c r="G2416" t="s">
        <v>40</v>
      </c>
      <c r="H2416" s="1">
        <v>42839</v>
      </c>
    </row>
    <row r="2417" spans="1:10" x14ac:dyDescent="0.3">
      <c r="A2417" t="s">
        <v>2548</v>
      </c>
      <c r="B2417" t="s">
        <v>78</v>
      </c>
      <c r="C2417" t="str">
        <f>_xlfn.XLOOKUP(B2417,
[1]sales_teams!$A$2:$A$100,
[1]sales_teams!$B$2:$B$100)</f>
        <v>Summer Sewald</v>
      </c>
      <c r="D2417" t="str">
        <f>_xlfn.XLOOKUP($B2417,sales_teams!$A$2:$A$36,sales_teams!C$2:C$36)</f>
        <v>West</v>
      </c>
      <c r="E2417" t="s">
        <v>20</v>
      </c>
      <c r="F2417" t="s">
        <v>30</v>
      </c>
      <c r="G2417" t="s">
        <v>46</v>
      </c>
      <c r="H2417" s="1">
        <v>42839</v>
      </c>
      <c r="I2417" s="1">
        <v>42840</v>
      </c>
      <c r="J2417">
        <v>0</v>
      </c>
    </row>
    <row r="2418" spans="1:10" x14ac:dyDescent="0.3">
      <c r="A2418" t="s">
        <v>2549</v>
      </c>
      <c r="B2418" t="s">
        <v>78</v>
      </c>
      <c r="C2418" t="str">
        <f>_xlfn.XLOOKUP(B2418,
[1]sales_teams!$A$2:$A$100,
[1]sales_teams!$B$2:$B$100)</f>
        <v>Summer Sewald</v>
      </c>
      <c r="D2418" t="str">
        <f>_xlfn.XLOOKUP($B2418,sales_teams!$A$2:$A$36,sales_teams!C$2:C$36)</f>
        <v>West</v>
      </c>
      <c r="E2418" t="s">
        <v>15</v>
      </c>
      <c r="F2418" t="s">
        <v>49</v>
      </c>
      <c r="G2418" t="s">
        <v>12</v>
      </c>
      <c r="H2418" s="1">
        <v>42839</v>
      </c>
      <c r="I2418" s="1">
        <v>42846</v>
      </c>
      <c r="J2418">
        <v>4991</v>
      </c>
    </row>
    <row r="2419" spans="1:10" x14ac:dyDescent="0.3">
      <c r="A2419" t="s">
        <v>2550</v>
      </c>
      <c r="B2419" t="s">
        <v>32</v>
      </c>
      <c r="C2419" t="str">
        <f>_xlfn.XLOOKUP(B2419,
[1]sales_teams!$A$2:$A$100,
[1]sales_teams!$B$2:$B$100)</f>
        <v>Celia Rouche</v>
      </c>
      <c r="D2419" t="str">
        <f>_xlfn.XLOOKUP($B2419,sales_teams!$A$2:$A$36,sales_teams!C$2:C$36)</f>
        <v>West</v>
      </c>
      <c r="E2419" t="s">
        <v>20</v>
      </c>
      <c r="G2419" t="s">
        <v>40</v>
      </c>
      <c r="H2419" s="1">
        <v>42839</v>
      </c>
    </row>
    <row r="2420" spans="1:10" x14ac:dyDescent="0.3">
      <c r="A2420" t="s">
        <v>2551</v>
      </c>
      <c r="B2420" t="s">
        <v>32</v>
      </c>
      <c r="C2420" t="str">
        <f>_xlfn.XLOOKUP(B2420,
[1]sales_teams!$A$2:$A$100,
[1]sales_teams!$B$2:$B$100)</f>
        <v>Celia Rouche</v>
      </c>
      <c r="D2420" t="str">
        <f>_xlfn.XLOOKUP($B2420,sales_teams!$A$2:$A$36,sales_teams!C$2:C$36)</f>
        <v>West</v>
      </c>
      <c r="E2420" t="s">
        <v>18</v>
      </c>
      <c r="G2420" t="s">
        <v>40</v>
      </c>
      <c r="H2420" s="1">
        <v>42839</v>
      </c>
    </row>
    <row r="2421" spans="1:10" x14ac:dyDescent="0.3">
      <c r="A2421" t="s">
        <v>2552</v>
      </c>
      <c r="B2421" t="s">
        <v>51</v>
      </c>
      <c r="C2421" t="str">
        <f>_xlfn.XLOOKUP(B2421,
[1]sales_teams!$A$2:$A$100,
[1]sales_teams!$B$2:$B$100)</f>
        <v>Summer Sewald</v>
      </c>
      <c r="D2421" t="str">
        <f>_xlfn.XLOOKUP($B2421,sales_teams!$A$2:$A$36,sales_teams!C$2:C$36)</f>
        <v>West</v>
      </c>
      <c r="E2421" t="s">
        <v>48</v>
      </c>
      <c r="F2421" t="s">
        <v>315</v>
      </c>
      <c r="G2421" t="s">
        <v>46</v>
      </c>
      <c r="H2421" s="1">
        <v>42839</v>
      </c>
      <c r="I2421" s="1">
        <v>42844</v>
      </c>
      <c r="J2421">
        <v>0</v>
      </c>
    </row>
    <row r="2422" spans="1:10" x14ac:dyDescent="0.3">
      <c r="A2422" t="s">
        <v>2553</v>
      </c>
      <c r="B2422" t="s">
        <v>51</v>
      </c>
      <c r="C2422" t="str">
        <f>_xlfn.XLOOKUP(B2422,
[1]sales_teams!$A$2:$A$100,
[1]sales_teams!$B$2:$B$100)</f>
        <v>Summer Sewald</v>
      </c>
      <c r="D2422" t="str">
        <f>_xlfn.XLOOKUP($B2422,sales_teams!$A$2:$A$36,sales_teams!C$2:C$36)</f>
        <v>West</v>
      </c>
      <c r="E2422" t="s">
        <v>39</v>
      </c>
      <c r="F2422" t="s">
        <v>313</v>
      </c>
      <c r="G2422" t="s">
        <v>46</v>
      </c>
      <c r="H2422" s="1">
        <v>42839</v>
      </c>
      <c r="I2422" s="1">
        <v>42841</v>
      </c>
      <c r="J2422">
        <v>0</v>
      </c>
    </row>
    <row r="2423" spans="1:10" x14ac:dyDescent="0.3">
      <c r="A2423" t="s">
        <v>2554</v>
      </c>
      <c r="B2423" t="s">
        <v>88</v>
      </c>
      <c r="C2423" t="str">
        <f>_xlfn.XLOOKUP(B2423,
[1]sales_teams!$A$2:$A$100,
[1]sales_teams!$B$2:$B$100)</f>
        <v>Cara Losch</v>
      </c>
      <c r="D2423" t="str">
        <f>_xlfn.XLOOKUP($B2423,sales_teams!$A$2:$A$36,sales_teams!C$2:C$36)</f>
        <v>East</v>
      </c>
      <c r="E2423" t="s">
        <v>15</v>
      </c>
      <c r="F2423" t="s">
        <v>143</v>
      </c>
      <c r="G2423" t="s">
        <v>12</v>
      </c>
      <c r="H2423" s="1">
        <v>42839</v>
      </c>
      <c r="I2423" s="1">
        <v>42902</v>
      </c>
      <c r="J2423">
        <v>5546</v>
      </c>
    </row>
    <row r="2424" spans="1:10" x14ac:dyDescent="0.3">
      <c r="A2424" t="s">
        <v>2555</v>
      </c>
      <c r="B2424" t="s">
        <v>29</v>
      </c>
      <c r="C2424" t="str">
        <f>_xlfn.XLOOKUP(B2424,
[1]sales_teams!$A$2:$A$100,
[1]sales_teams!$B$2:$B$100)</f>
        <v>Celia Rouche</v>
      </c>
      <c r="D2424" t="str">
        <f>_xlfn.XLOOKUP($B2424,sales_teams!$A$2:$A$36,sales_teams!C$2:C$36)</f>
        <v>West</v>
      </c>
      <c r="E2424" t="s">
        <v>18</v>
      </c>
      <c r="F2424" t="s">
        <v>315</v>
      </c>
      <c r="G2424" t="s">
        <v>12</v>
      </c>
      <c r="H2424" s="1">
        <v>42839</v>
      </c>
      <c r="I2424" s="1">
        <v>42845</v>
      </c>
      <c r="J2424">
        <v>59</v>
      </c>
    </row>
    <row r="2425" spans="1:10" x14ac:dyDescent="0.3">
      <c r="A2425" t="s">
        <v>2556</v>
      </c>
      <c r="B2425" t="s">
        <v>26</v>
      </c>
      <c r="C2425" t="str">
        <f>_xlfn.XLOOKUP(B2425,
[1]sales_teams!$A$2:$A$100,
[1]sales_teams!$B$2:$B$100)</f>
        <v>Dustin Brinkmann</v>
      </c>
      <c r="D2425" t="str">
        <f>_xlfn.XLOOKUP($B2425,sales_teams!$A$2:$A$36,sales_teams!C$2:C$36)</f>
        <v>Central</v>
      </c>
      <c r="E2425" t="s">
        <v>10</v>
      </c>
      <c r="F2425" t="s">
        <v>187</v>
      </c>
      <c r="G2425" t="s">
        <v>46</v>
      </c>
      <c r="H2425" s="1">
        <v>42840</v>
      </c>
      <c r="I2425" s="1">
        <v>42848</v>
      </c>
      <c r="J2425">
        <v>0</v>
      </c>
    </row>
    <row r="2426" spans="1:10" x14ac:dyDescent="0.3">
      <c r="A2426" t="s">
        <v>2557</v>
      </c>
      <c r="B2426" t="s">
        <v>26</v>
      </c>
      <c r="C2426" t="str">
        <f>_xlfn.XLOOKUP(B2426,
[1]sales_teams!$A$2:$A$100,
[1]sales_teams!$B$2:$B$100)</f>
        <v>Dustin Brinkmann</v>
      </c>
      <c r="D2426" t="str">
        <f>_xlfn.XLOOKUP($B2426,sales_teams!$A$2:$A$36,sales_teams!C$2:C$36)</f>
        <v>Central</v>
      </c>
      <c r="E2426" t="s">
        <v>18</v>
      </c>
      <c r="F2426" t="s">
        <v>187</v>
      </c>
      <c r="G2426" t="s">
        <v>46</v>
      </c>
      <c r="H2426" s="1">
        <v>42840</v>
      </c>
      <c r="I2426" s="1">
        <v>42845</v>
      </c>
      <c r="J2426">
        <v>0</v>
      </c>
    </row>
    <row r="2427" spans="1:10" x14ac:dyDescent="0.3">
      <c r="A2427" t="s">
        <v>2558</v>
      </c>
      <c r="B2427" t="s">
        <v>26</v>
      </c>
      <c r="C2427" t="str">
        <f>_xlfn.XLOOKUP(B2427,
[1]sales_teams!$A$2:$A$100,
[1]sales_teams!$B$2:$B$100)</f>
        <v>Dustin Brinkmann</v>
      </c>
      <c r="D2427" t="str">
        <f>_xlfn.XLOOKUP($B2427,sales_teams!$A$2:$A$36,sales_teams!C$2:C$36)</f>
        <v>Central</v>
      </c>
      <c r="E2427" t="s">
        <v>48</v>
      </c>
      <c r="F2427" t="s">
        <v>187</v>
      </c>
      <c r="G2427" t="s">
        <v>12</v>
      </c>
      <c r="H2427" s="1">
        <v>42840</v>
      </c>
      <c r="I2427" s="1">
        <v>42841</v>
      </c>
      <c r="J2427">
        <v>5082</v>
      </c>
    </row>
    <row r="2428" spans="1:10" x14ac:dyDescent="0.3">
      <c r="A2428" t="s">
        <v>2559</v>
      </c>
      <c r="B2428" t="s">
        <v>139</v>
      </c>
      <c r="C2428" t="str">
        <f>_xlfn.XLOOKUP(B2428,
[1]sales_teams!$A$2:$A$100,
[1]sales_teams!$B$2:$B$100)</f>
        <v>Rocco Neubert</v>
      </c>
      <c r="D2428" t="str">
        <f>_xlfn.XLOOKUP($B2428,sales_teams!$A$2:$A$36,sales_teams!C$2:C$36)</f>
        <v>East</v>
      </c>
      <c r="E2428" t="s">
        <v>48</v>
      </c>
      <c r="F2428" t="s">
        <v>518</v>
      </c>
      <c r="G2428" t="s">
        <v>12</v>
      </c>
      <c r="H2428" s="1">
        <v>42840</v>
      </c>
      <c r="I2428" s="1">
        <v>42849</v>
      </c>
      <c r="J2428">
        <v>5293</v>
      </c>
    </row>
    <row r="2429" spans="1:10" x14ac:dyDescent="0.3">
      <c r="A2429" t="s">
        <v>2560</v>
      </c>
      <c r="B2429" t="s">
        <v>202</v>
      </c>
      <c r="C2429" t="str">
        <f>_xlfn.XLOOKUP(B2429,
[1]sales_teams!$A$2:$A$100,
[1]sales_teams!$B$2:$B$100)</f>
        <v>Dustin Brinkmann</v>
      </c>
      <c r="D2429" t="str">
        <f>_xlfn.XLOOKUP($B2429,sales_teams!$A$2:$A$36,sales_teams!C$2:C$36)</f>
        <v>Central</v>
      </c>
      <c r="E2429" t="s">
        <v>10</v>
      </c>
      <c r="F2429" t="s">
        <v>315</v>
      </c>
      <c r="G2429" t="s">
        <v>12</v>
      </c>
      <c r="H2429" s="1">
        <v>42840</v>
      </c>
      <c r="I2429" s="1">
        <v>42913</v>
      </c>
      <c r="J2429">
        <v>1163</v>
      </c>
    </row>
    <row r="2430" spans="1:10" x14ac:dyDescent="0.3">
      <c r="A2430" t="s">
        <v>2561</v>
      </c>
      <c r="B2430" t="s">
        <v>142</v>
      </c>
      <c r="C2430" t="str">
        <f>_xlfn.XLOOKUP(B2430,
[1]sales_teams!$A$2:$A$100,
[1]sales_teams!$B$2:$B$100)</f>
        <v>Rocco Neubert</v>
      </c>
      <c r="D2430" t="str">
        <f>_xlfn.XLOOKUP($B2430,sales_teams!$A$2:$A$36,sales_teams!C$2:C$36)</f>
        <v>East</v>
      </c>
      <c r="E2430" t="s">
        <v>18</v>
      </c>
      <c r="F2430" t="s">
        <v>81</v>
      </c>
      <c r="G2430" t="s">
        <v>12</v>
      </c>
      <c r="H2430" s="1">
        <v>42840</v>
      </c>
      <c r="I2430" s="1">
        <v>42841</v>
      </c>
      <c r="J2430">
        <v>49</v>
      </c>
    </row>
    <row r="2431" spans="1:10" x14ac:dyDescent="0.3">
      <c r="A2431" t="s">
        <v>2562</v>
      </c>
      <c r="B2431" t="s">
        <v>105</v>
      </c>
      <c r="C2431" t="str">
        <f>_xlfn.XLOOKUP(B2431,
[1]sales_teams!$A$2:$A$100,
[1]sales_teams!$B$2:$B$100)</f>
        <v>Cara Losch</v>
      </c>
      <c r="D2431" t="str">
        <f>_xlfn.XLOOKUP($B2431,sales_teams!$A$2:$A$36,sales_teams!C$2:C$36)</f>
        <v>East</v>
      </c>
      <c r="E2431" t="s">
        <v>18</v>
      </c>
      <c r="F2431" t="s">
        <v>209</v>
      </c>
      <c r="G2431" t="s">
        <v>12</v>
      </c>
      <c r="H2431" s="1">
        <v>42840</v>
      </c>
      <c r="I2431" s="1">
        <v>42856</v>
      </c>
      <c r="J2431">
        <v>53</v>
      </c>
    </row>
    <row r="2432" spans="1:10" x14ac:dyDescent="0.3">
      <c r="A2432" t="s">
        <v>2563</v>
      </c>
      <c r="B2432" t="s">
        <v>44</v>
      </c>
      <c r="C2432" t="str">
        <f>_xlfn.XLOOKUP(B2432,
[1]sales_teams!$A$2:$A$100,
[1]sales_teams!$B$2:$B$100)</f>
        <v>Melvin Marxen</v>
      </c>
      <c r="D2432" t="str">
        <f>_xlfn.XLOOKUP($B2432,sales_teams!$A$2:$A$36,sales_teams!C$2:C$36)</f>
        <v>Central</v>
      </c>
      <c r="E2432" t="s">
        <v>39</v>
      </c>
      <c r="F2432" t="s">
        <v>303</v>
      </c>
      <c r="G2432" t="s">
        <v>46</v>
      </c>
      <c r="H2432" s="1">
        <v>42840</v>
      </c>
      <c r="I2432" s="1">
        <v>42841</v>
      </c>
      <c r="J2432">
        <v>0</v>
      </c>
    </row>
    <row r="2433" spans="1:10" x14ac:dyDescent="0.3">
      <c r="A2433" t="s">
        <v>2564</v>
      </c>
      <c r="B2433" t="s">
        <v>44</v>
      </c>
      <c r="C2433" t="str">
        <f>_xlfn.XLOOKUP(B2433,
[1]sales_teams!$A$2:$A$100,
[1]sales_teams!$B$2:$B$100)</f>
        <v>Melvin Marxen</v>
      </c>
      <c r="D2433" t="str">
        <f>_xlfn.XLOOKUP($B2433,sales_teams!$A$2:$A$36,sales_teams!C$2:C$36)</f>
        <v>Central</v>
      </c>
      <c r="E2433" t="s">
        <v>39</v>
      </c>
      <c r="F2433" t="s">
        <v>109</v>
      </c>
      <c r="G2433" t="s">
        <v>46</v>
      </c>
      <c r="H2433" s="1">
        <v>42840</v>
      </c>
      <c r="I2433" s="1">
        <v>42898</v>
      </c>
      <c r="J2433">
        <v>0</v>
      </c>
    </row>
    <row r="2434" spans="1:10" x14ac:dyDescent="0.3">
      <c r="A2434" t="s">
        <v>2565</v>
      </c>
      <c r="B2434" t="s">
        <v>54</v>
      </c>
      <c r="C2434" t="str">
        <f>_xlfn.XLOOKUP(B2434,
[1]sales_teams!$A$2:$A$100,
[1]sales_teams!$B$2:$B$100)</f>
        <v>Celia Rouche</v>
      </c>
      <c r="D2434" t="str">
        <f>_xlfn.XLOOKUP($B2434,sales_teams!$A$2:$A$36,sales_teams!C$2:C$36)</f>
        <v>West</v>
      </c>
      <c r="E2434" t="s">
        <v>10</v>
      </c>
      <c r="F2434" t="s">
        <v>184</v>
      </c>
      <c r="G2434" t="s">
        <v>46</v>
      </c>
      <c r="H2434" s="1">
        <v>42840</v>
      </c>
      <c r="I2434" s="1">
        <v>42849</v>
      </c>
      <c r="J2434">
        <v>0</v>
      </c>
    </row>
    <row r="2435" spans="1:10" x14ac:dyDescent="0.3">
      <c r="A2435" t="s">
        <v>2566</v>
      </c>
      <c r="B2435" t="s">
        <v>78</v>
      </c>
      <c r="C2435" t="str">
        <f>_xlfn.XLOOKUP(B2435,
[1]sales_teams!$A$2:$A$100,
[1]sales_teams!$B$2:$B$100)</f>
        <v>Summer Sewald</v>
      </c>
      <c r="D2435" t="str">
        <f>_xlfn.XLOOKUP($B2435,sales_teams!$A$2:$A$36,sales_teams!C$2:C$36)</f>
        <v>West</v>
      </c>
      <c r="E2435" t="s">
        <v>10</v>
      </c>
      <c r="G2435" t="s">
        <v>40</v>
      </c>
      <c r="H2435" s="1">
        <v>42840</v>
      </c>
    </row>
    <row r="2436" spans="1:10" x14ac:dyDescent="0.3">
      <c r="A2436" t="s">
        <v>2567</v>
      </c>
      <c r="B2436" t="s">
        <v>78</v>
      </c>
      <c r="C2436" t="str">
        <f>_xlfn.XLOOKUP(B2436,
[1]sales_teams!$A$2:$A$100,
[1]sales_teams!$B$2:$B$100)</f>
        <v>Summer Sewald</v>
      </c>
      <c r="D2436" t="str">
        <f>_xlfn.XLOOKUP($B2436,sales_teams!$A$2:$A$36,sales_teams!C$2:C$36)</f>
        <v>West</v>
      </c>
      <c r="E2436" t="s">
        <v>20</v>
      </c>
      <c r="F2436" t="s">
        <v>70</v>
      </c>
      <c r="G2436" t="s">
        <v>46</v>
      </c>
      <c r="H2436" s="1">
        <v>42840</v>
      </c>
      <c r="I2436" s="1">
        <v>42846</v>
      </c>
      <c r="J2436">
        <v>0</v>
      </c>
    </row>
    <row r="2437" spans="1:10" x14ac:dyDescent="0.3">
      <c r="A2437" t="s">
        <v>2568</v>
      </c>
      <c r="B2437" t="s">
        <v>95</v>
      </c>
      <c r="C2437" t="str">
        <f>_xlfn.XLOOKUP(B2437,
[1]sales_teams!$A$2:$A$100,
[1]sales_teams!$B$2:$B$100)</f>
        <v>Summer Sewald</v>
      </c>
      <c r="D2437" t="str">
        <f>_xlfn.XLOOKUP($B2437,sales_teams!$A$2:$A$36,sales_teams!C$2:C$36)</f>
        <v>West</v>
      </c>
      <c r="E2437" t="s">
        <v>20</v>
      </c>
      <c r="G2437" t="s">
        <v>40</v>
      </c>
      <c r="H2437" s="1">
        <v>42840</v>
      </c>
    </row>
    <row r="2438" spans="1:10" x14ac:dyDescent="0.3">
      <c r="A2438" t="s">
        <v>2569</v>
      </c>
      <c r="B2438" t="s">
        <v>95</v>
      </c>
      <c r="C2438" t="str">
        <f>_xlfn.XLOOKUP(B2438,
[1]sales_teams!$A$2:$A$100,
[1]sales_teams!$B$2:$B$100)</f>
        <v>Summer Sewald</v>
      </c>
      <c r="D2438" t="str">
        <f>_xlfn.XLOOKUP($B2438,sales_teams!$A$2:$A$36,sales_teams!C$2:C$36)</f>
        <v>West</v>
      </c>
      <c r="E2438" t="s">
        <v>20</v>
      </c>
      <c r="F2438" t="s">
        <v>49</v>
      </c>
      <c r="G2438" t="s">
        <v>46</v>
      </c>
      <c r="H2438" s="1">
        <v>42840</v>
      </c>
      <c r="I2438" s="1">
        <v>42954</v>
      </c>
      <c r="J2438">
        <v>0</v>
      </c>
    </row>
    <row r="2439" spans="1:10" x14ac:dyDescent="0.3">
      <c r="A2439" t="s">
        <v>2570</v>
      </c>
      <c r="B2439" t="s">
        <v>9</v>
      </c>
      <c r="C2439" t="str">
        <f>_xlfn.XLOOKUP(B2439,
[1]sales_teams!$A$2:$A$100,
[1]sales_teams!$B$2:$B$100)</f>
        <v>Dustin Brinkmann</v>
      </c>
      <c r="D2439" t="str">
        <f>_xlfn.XLOOKUP($B2439,sales_teams!$A$2:$A$36,sales_teams!C$2:C$36)</f>
        <v>Central</v>
      </c>
      <c r="E2439" t="s">
        <v>39</v>
      </c>
      <c r="F2439" t="s">
        <v>21</v>
      </c>
      <c r="G2439" t="s">
        <v>46</v>
      </c>
      <c r="H2439" s="1">
        <v>42840</v>
      </c>
      <c r="I2439" s="1">
        <v>42842</v>
      </c>
      <c r="J2439">
        <v>0</v>
      </c>
    </row>
    <row r="2440" spans="1:10" x14ac:dyDescent="0.3">
      <c r="A2440" t="s">
        <v>2571</v>
      </c>
      <c r="B2440" t="s">
        <v>61</v>
      </c>
      <c r="C2440" t="str">
        <f>_xlfn.XLOOKUP(B2440,
[1]sales_teams!$A$2:$A$100,
[1]sales_teams!$B$2:$B$100)</f>
        <v>Dustin Brinkmann</v>
      </c>
      <c r="D2440" t="str">
        <f>_xlfn.XLOOKUP($B2440,sales_teams!$A$2:$A$36,sales_teams!C$2:C$36)</f>
        <v>Central</v>
      </c>
      <c r="E2440" t="s">
        <v>39</v>
      </c>
      <c r="F2440" t="s">
        <v>129</v>
      </c>
      <c r="G2440" t="s">
        <v>12</v>
      </c>
      <c r="H2440" s="1">
        <v>42840</v>
      </c>
      <c r="I2440" s="1">
        <v>42874</v>
      </c>
      <c r="J2440">
        <v>3641</v>
      </c>
    </row>
    <row r="2441" spans="1:10" x14ac:dyDescent="0.3">
      <c r="A2441" t="s">
        <v>2572</v>
      </c>
      <c r="B2441" t="s">
        <v>73</v>
      </c>
      <c r="C2441" t="str">
        <f>_xlfn.XLOOKUP(B2441,
[1]sales_teams!$A$2:$A$100,
[1]sales_teams!$B$2:$B$100)</f>
        <v>Cara Losch</v>
      </c>
      <c r="D2441" t="str">
        <f>_xlfn.XLOOKUP($B2441,sales_teams!$A$2:$A$36,sales_teams!C$2:C$36)</f>
        <v>East</v>
      </c>
      <c r="E2441" t="s">
        <v>18</v>
      </c>
      <c r="F2441" t="s">
        <v>168</v>
      </c>
      <c r="G2441" t="s">
        <v>40</v>
      </c>
      <c r="H2441" s="1">
        <v>42840</v>
      </c>
    </row>
    <row r="2442" spans="1:10" x14ac:dyDescent="0.3">
      <c r="A2442" t="s">
        <v>2573</v>
      </c>
      <c r="B2442" t="s">
        <v>73</v>
      </c>
      <c r="C2442" t="str">
        <f>_xlfn.XLOOKUP(B2442,
[1]sales_teams!$A$2:$A$100,
[1]sales_teams!$B$2:$B$100)</f>
        <v>Cara Losch</v>
      </c>
      <c r="D2442" t="str">
        <f>_xlfn.XLOOKUP($B2442,sales_teams!$A$2:$A$36,sales_teams!C$2:C$36)</f>
        <v>East</v>
      </c>
      <c r="E2442" t="s">
        <v>20</v>
      </c>
      <c r="F2442" t="s">
        <v>218</v>
      </c>
      <c r="G2442" t="s">
        <v>46</v>
      </c>
      <c r="H2442" s="1">
        <v>42840</v>
      </c>
      <c r="I2442" s="1">
        <v>42842</v>
      </c>
      <c r="J2442">
        <v>0</v>
      </c>
    </row>
    <row r="2443" spans="1:10" x14ac:dyDescent="0.3">
      <c r="A2443" t="s">
        <v>2574</v>
      </c>
      <c r="B2443" t="s">
        <v>23</v>
      </c>
      <c r="C2443" t="str">
        <f>_xlfn.XLOOKUP(B2443,
[1]sales_teams!$A$2:$A$100,
[1]sales_teams!$B$2:$B$100)</f>
        <v>Summer Sewald</v>
      </c>
      <c r="D2443" t="str">
        <f>_xlfn.XLOOKUP($B2443,sales_teams!$A$2:$A$36,sales_teams!C$2:C$36)</f>
        <v>West</v>
      </c>
      <c r="E2443" t="s">
        <v>20</v>
      </c>
      <c r="F2443" t="s">
        <v>218</v>
      </c>
      <c r="G2443" t="s">
        <v>12</v>
      </c>
      <c r="H2443" s="1">
        <v>42840</v>
      </c>
      <c r="I2443" s="1">
        <v>42878</v>
      </c>
      <c r="J2443">
        <v>501</v>
      </c>
    </row>
    <row r="2444" spans="1:10" x14ac:dyDescent="0.3">
      <c r="A2444" t="s">
        <v>2575</v>
      </c>
      <c r="B2444" t="s">
        <v>23</v>
      </c>
      <c r="C2444" t="str">
        <f>_xlfn.XLOOKUP(B2444,
[1]sales_teams!$A$2:$A$100,
[1]sales_teams!$B$2:$B$100)</f>
        <v>Summer Sewald</v>
      </c>
      <c r="D2444" t="str">
        <f>_xlfn.XLOOKUP($B2444,sales_teams!$A$2:$A$36,sales_teams!C$2:C$36)</f>
        <v>West</v>
      </c>
      <c r="E2444" t="s">
        <v>48</v>
      </c>
      <c r="F2444" t="s">
        <v>199</v>
      </c>
      <c r="G2444" t="s">
        <v>12</v>
      </c>
      <c r="H2444" s="1">
        <v>42840</v>
      </c>
      <c r="I2444" s="1">
        <v>42845</v>
      </c>
      <c r="J2444">
        <v>4687</v>
      </c>
    </row>
    <row r="2445" spans="1:10" x14ac:dyDescent="0.3">
      <c r="A2445" t="s">
        <v>2576</v>
      </c>
      <c r="B2445" t="s">
        <v>26</v>
      </c>
      <c r="C2445" t="str">
        <f>_xlfn.XLOOKUP(B2445,
[1]sales_teams!$A$2:$A$100,
[1]sales_teams!$B$2:$B$100)</f>
        <v>Dustin Brinkmann</v>
      </c>
      <c r="D2445" t="str">
        <f>_xlfn.XLOOKUP($B2445,sales_teams!$A$2:$A$36,sales_teams!C$2:C$36)</f>
        <v>Central</v>
      </c>
      <c r="E2445" t="s">
        <v>20</v>
      </c>
      <c r="F2445" t="s">
        <v>91</v>
      </c>
      <c r="G2445" t="s">
        <v>12</v>
      </c>
      <c r="H2445" s="1">
        <v>42841</v>
      </c>
      <c r="I2445" s="1">
        <v>42909</v>
      </c>
      <c r="J2445">
        <v>626</v>
      </c>
    </row>
    <row r="2446" spans="1:10" x14ac:dyDescent="0.3">
      <c r="A2446" t="s">
        <v>2577</v>
      </c>
      <c r="B2446" t="s">
        <v>26</v>
      </c>
      <c r="C2446" t="str">
        <f>_xlfn.XLOOKUP(B2446,
[1]sales_teams!$A$2:$A$100,
[1]sales_teams!$B$2:$B$100)</f>
        <v>Dustin Brinkmann</v>
      </c>
      <c r="D2446" t="str">
        <f>_xlfn.XLOOKUP($B2446,sales_teams!$A$2:$A$36,sales_teams!C$2:C$36)</f>
        <v>Central</v>
      </c>
      <c r="E2446" t="s">
        <v>20</v>
      </c>
      <c r="F2446" t="s">
        <v>129</v>
      </c>
      <c r="G2446" t="s">
        <v>12</v>
      </c>
      <c r="H2446" s="1">
        <v>42841</v>
      </c>
      <c r="I2446" s="1">
        <v>42950</v>
      </c>
      <c r="J2446">
        <v>489</v>
      </c>
    </row>
    <row r="2447" spans="1:10" x14ac:dyDescent="0.3">
      <c r="A2447" t="s">
        <v>2578</v>
      </c>
      <c r="B2447" t="s">
        <v>118</v>
      </c>
      <c r="C2447" t="str">
        <f>_xlfn.XLOOKUP(B2447,
[1]sales_teams!$A$2:$A$100,
[1]sales_teams!$B$2:$B$100)</f>
        <v>Rocco Neubert</v>
      </c>
      <c r="D2447" t="str">
        <f>_xlfn.XLOOKUP($B2447,sales_teams!$A$2:$A$36,sales_teams!C$2:C$36)</f>
        <v>East</v>
      </c>
      <c r="E2447" t="s">
        <v>15</v>
      </c>
      <c r="F2447" t="s">
        <v>373</v>
      </c>
      <c r="G2447" t="s">
        <v>12</v>
      </c>
      <c r="H2447" s="1">
        <v>42841</v>
      </c>
      <c r="I2447" s="1">
        <v>42852</v>
      </c>
      <c r="J2447">
        <v>4852</v>
      </c>
    </row>
    <row r="2448" spans="1:10" x14ac:dyDescent="0.3">
      <c r="A2448" t="s">
        <v>2579</v>
      </c>
      <c r="B2448" t="s">
        <v>202</v>
      </c>
      <c r="C2448" t="str">
        <f>_xlfn.XLOOKUP(B2448,
[1]sales_teams!$A$2:$A$100,
[1]sales_teams!$B$2:$B$100)</f>
        <v>Dustin Brinkmann</v>
      </c>
      <c r="D2448" t="str">
        <f>_xlfn.XLOOKUP($B2448,sales_teams!$A$2:$A$36,sales_teams!C$2:C$36)</f>
        <v>Central</v>
      </c>
      <c r="E2448" t="s">
        <v>39</v>
      </c>
      <c r="F2448" t="s">
        <v>76</v>
      </c>
      <c r="G2448" t="s">
        <v>46</v>
      </c>
      <c r="H2448" s="1">
        <v>42841</v>
      </c>
      <c r="I2448" s="1">
        <v>42914</v>
      </c>
      <c r="J2448">
        <v>0</v>
      </c>
    </row>
    <row r="2449" spans="1:10" x14ac:dyDescent="0.3">
      <c r="A2449" t="s">
        <v>2580</v>
      </c>
      <c r="B2449" t="s">
        <v>64</v>
      </c>
      <c r="C2449" t="str">
        <f>_xlfn.XLOOKUP(B2449,
[1]sales_teams!$A$2:$A$100,
[1]sales_teams!$B$2:$B$100)</f>
        <v>Rocco Neubert</v>
      </c>
      <c r="D2449" t="str">
        <f>_xlfn.XLOOKUP($B2449,sales_teams!$A$2:$A$36,sales_teams!C$2:C$36)</f>
        <v>East</v>
      </c>
      <c r="E2449" t="s">
        <v>10</v>
      </c>
      <c r="F2449" t="s">
        <v>192</v>
      </c>
      <c r="G2449" t="s">
        <v>12</v>
      </c>
      <c r="H2449" s="1">
        <v>42841</v>
      </c>
      <c r="I2449" s="1">
        <v>42892</v>
      </c>
      <c r="J2449">
        <v>1192</v>
      </c>
    </row>
    <row r="2450" spans="1:10" x14ac:dyDescent="0.3">
      <c r="A2450" t="s">
        <v>2581</v>
      </c>
      <c r="B2450" t="s">
        <v>64</v>
      </c>
      <c r="C2450" t="str">
        <f>_xlfn.XLOOKUP(B2450,
[1]sales_teams!$A$2:$A$100,
[1]sales_teams!$B$2:$B$100)</f>
        <v>Rocco Neubert</v>
      </c>
      <c r="D2450" t="str">
        <f>_xlfn.XLOOKUP($B2450,sales_teams!$A$2:$A$36,sales_teams!C$2:C$36)</f>
        <v>East</v>
      </c>
      <c r="E2450" t="s">
        <v>15</v>
      </c>
      <c r="F2450" t="s">
        <v>209</v>
      </c>
      <c r="G2450" t="s">
        <v>12</v>
      </c>
      <c r="H2450" s="1">
        <v>42841</v>
      </c>
      <c r="I2450" s="1">
        <v>42842</v>
      </c>
      <c r="J2450">
        <v>5104</v>
      </c>
    </row>
    <row r="2451" spans="1:10" x14ac:dyDescent="0.3">
      <c r="A2451" t="s">
        <v>2582</v>
      </c>
      <c r="B2451" t="s">
        <v>14</v>
      </c>
      <c r="C2451" t="str">
        <f>_xlfn.XLOOKUP(B2451,
[1]sales_teams!$A$2:$A$100,
[1]sales_teams!$B$2:$B$100)</f>
        <v>Melvin Marxen</v>
      </c>
      <c r="D2451" t="str">
        <f>_xlfn.XLOOKUP($B2451,sales_teams!$A$2:$A$36,sales_teams!C$2:C$36)</f>
        <v>Central</v>
      </c>
      <c r="E2451" t="s">
        <v>15</v>
      </c>
      <c r="F2451" t="s">
        <v>21</v>
      </c>
      <c r="G2451" t="s">
        <v>12</v>
      </c>
      <c r="H2451" s="1">
        <v>42841</v>
      </c>
      <c r="I2451" s="1">
        <v>42956</v>
      </c>
      <c r="J2451">
        <v>5820</v>
      </c>
    </row>
    <row r="2452" spans="1:10" x14ac:dyDescent="0.3">
      <c r="A2452" t="s">
        <v>2583</v>
      </c>
      <c r="B2452" t="s">
        <v>142</v>
      </c>
      <c r="C2452" t="str">
        <f>_xlfn.XLOOKUP(B2452,
[1]sales_teams!$A$2:$A$100,
[1]sales_teams!$B$2:$B$100)</f>
        <v>Rocco Neubert</v>
      </c>
      <c r="D2452" t="str">
        <f>_xlfn.XLOOKUP($B2452,sales_teams!$A$2:$A$36,sales_teams!C$2:C$36)</f>
        <v>East</v>
      </c>
      <c r="E2452" t="s">
        <v>39</v>
      </c>
      <c r="F2452" t="s">
        <v>98</v>
      </c>
      <c r="G2452" t="s">
        <v>12</v>
      </c>
      <c r="H2452" s="1">
        <v>42841</v>
      </c>
      <c r="I2452" s="1">
        <v>42952</v>
      </c>
      <c r="J2452">
        <v>3012</v>
      </c>
    </row>
    <row r="2453" spans="1:10" x14ac:dyDescent="0.3">
      <c r="A2453" t="s">
        <v>2584</v>
      </c>
      <c r="B2453" t="s">
        <v>105</v>
      </c>
      <c r="C2453" t="str">
        <f>_xlfn.XLOOKUP(B2453,
[1]sales_teams!$A$2:$A$100,
[1]sales_teams!$B$2:$B$100)</f>
        <v>Cara Losch</v>
      </c>
      <c r="D2453" t="str">
        <f>_xlfn.XLOOKUP($B2453,sales_teams!$A$2:$A$36,sales_teams!C$2:C$36)</f>
        <v>East</v>
      </c>
      <c r="E2453" t="s">
        <v>48</v>
      </c>
      <c r="F2453" t="s">
        <v>329</v>
      </c>
      <c r="G2453" t="s">
        <v>46</v>
      </c>
      <c r="H2453" s="1">
        <v>42841</v>
      </c>
      <c r="I2453" s="1">
        <v>42847</v>
      </c>
      <c r="J2453">
        <v>0</v>
      </c>
    </row>
    <row r="2454" spans="1:10" x14ac:dyDescent="0.3">
      <c r="A2454" t="s">
        <v>2585</v>
      </c>
      <c r="B2454" t="s">
        <v>105</v>
      </c>
      <c r="C2454" t="str">
        <f>_xlfn.XLOOKUP(B2454,
[1]sales_teams!$A$2:$A$100,
[1]sales_teams!$B$2:$B$100)</f>
        <v>Cara Losch</v>
      </c>
      <c r="D2454" t="str">
        <f>_xlfn.XLOOKUP($B2454,sales_teams!$A$2:$A$36,sales_teams!C$2:C$36)</f>
        <v>East</v>
      </c>
      <c r="E2454" t="s">
        <v>15</v>
      </c>
      <c r="F2454" t="s">
        <v>106</v>
      </c>
      <c r="G2454" t="s">
        <v>46</v>
      </c>
      <c r="H2454" s="1">
        <v>42841</v>
      </c>
      <c r="I2454" s="1">
        <v>42843</v>
      </c>
      <c r="J2454">
        <v>0</v>
      </c>
    </row>
    <row r="2455" spans="1:10" x14ac:dyDescent="0.3">
      <c r="A2455" t="s">
        <v>2586</v>
      </c>
      <c r="B2455" t="s">
        <v>105</v>
      </c>
      <c r="C2455" t="str">
        <f>_xlfn.XLOOKUP(B2455,
[1]sales_teams!$A$2:$A$100,
[1]sales_teams!$B$2:$B$100)</f>
        <v>Cara Losch</v>
      </c>
      <c r="D2455" t="str">
        <f>_xlfn.XLOOKUP($B2455,sales_teams!$A$2:$A$36,sales_teams!C$2:C$36)</f>
        <v>East</v>
      </c>
      <c r="E2455" t="s">
        <v>15</v>
      </c>
      <c r="F2455" t="s">
        <v>199</v>
      </c>
      <c r="G2455" t="s">
        <v>12</v>
      </c>
      <c r="H2455" s="1">
        <v>42841</v>
      </c>
      <c r="I2455" s="1">
        <v>42848</v>
      </c>
      <c r="J2455">
        <v>3930</v>
      </c>
    </row>
    <row r="2456" spans="1:10" x14ac:dyDescent="0.3">
      <c r="A2456" t="s">
        <v>2587</v>
      </c>
      <c r="B2456" t="s">
        <v>44</v>
      </c>
      <c r="C2456" t="str">
        <f>_xlfn.XLOOKUP(B2456,
[1]sales_teams!$A$2:$A$100,
[1]sales_teams!$B$2:$B$100)</f>
        <v>Melvin Marxen</v>
      </c>
      <c r="D2456" t="str">
        <f>_xlfn.XLOOKUP($B2456,sales_teams!$A$2:$A$36,sales_teams!C$2:C$36)</f>
        <v>Central</v>
      </c>
      <c r="E2456" t="s">
        <v>10</v>
      </c>
      <c r="F2456" t="s">
        <v>207</v>
      </c>
      <c r="G2456" t="s">
        <v>12</v>
      </c>
      <c r="H2456" s="1">
        <v>42841</v>
      </c>
      <c r="I2456" s="1">
        <v>42847</v>
      </c>
      <c r="J2456">
        <v>1055</v>
      </c>
    </row>
    <row r="2457" spans="1:10" x14ac:dyDescent="0.3">
      <c r="A2457" t="s">
        <v>2588</v>
      </c>
      <c r="B2457" t="s">
        <v>54</v>
      </c>
      <c r="C2457" t="str">
        <f>_xlfn.XLOOKUP(B2457,
[1]sales_teams!$A$2:$A$100,
[1]sales_teams!$B$2:$B$100)</f>
        <v>Celia Rouche</v>
      </c>
      <c r="D2457" t="str">
        <f>_xlfn.XLOOKUP($B2457,sales_teams!$A$2:$A$36,sales_teams!C$2:C$36)</f>
        <v>West</v>
      </c>
      <c r="E2457" t="s">
        <v>39</v>
      </c>
      <c r="F2457" t="s">
        <v>313</v>
      </c>
      <c r="G2457" t="s">
        <v>46</v>
      </c>
      <c r="H2457" s="1">
        <v>42841</v>
      </c>
      <c r="I2457" s="1">
        <v>42847</v>
      </c>
      <c r="J2457">
        <v>0</v>
      </c>
    </row>
    <row r="2458" spans="1:10" x14ac:dyDescent="0.3">
      <c r="A2458" t="s">
        <v>2589</v>
      </c>
      <c r="B2458" t="s">
        <v>252</v>
      </c>
      <c r="C2458" t="str">
        <f>_xlfn.XLOOKUP(B2458,
[1]sales_teams!$A$2:$A$100,
[1]sales_teams!$B$2:$B$100)</f>
        <v>Melvin Marxen</v>
      </c>
      <c r="D2458" t="str">
        <f>_xlfn.XLOOKUP($B2458,sales_teams!$A$2:$A$36,sales_teams!C$2:C$36)</f>
        <v>Central</v>
      </c>
      <c r="E2458" t="s">
        <v>20</v>
      </c>
      <c r="F2458" t="s">
        <v>231</v>
      </c>
      <c r="G2458" t="s">
        <v>12</v>
      </c>
      <c r="H2458" s="1">
        <v>42841</v>
      </c>
      <c r="I2458" s="1">
        <v>42849</v>
      </c>
      <c r="J2458">
        <v>538</v>
      </c>
    </row>
    <row r="2459" spans="1:10" x14ac:dyDescent="0.3">
      <c r="A2459" t="s">
        <v>2590</v>
      </c>
      <c r="B2459" t="s">
        <v>252</v>
      </c>
      <c r="C2459" t="str">
        <f>_xlfn.XLOOKUP(B2459,
[1]sales_teams!$A$2:$A$100,
[1]sales_teams!$B$2:$B$100)</f>
        <v>Melvin Marxen</v>
      </c>
      <c r="D2459" t="str">
        <f>_xlfn.XLOOKUP($B2459,sales_teams!$A$2:$A$36,sales_teams!C$2:C$36)</f>
        <v>Central</v>
      </c>
      <c r="E2459" t="s">
        <v>18</v>
      </c>
      <c r="F2459" t="s">
        <v>207</v>
      </c>
      <c r="G2459" t="s">
        <v>12</v>
      </c>
      <c r="H2459" s="1">
        <v>42841</v>
      </c>
      <c r="I2459" s="1">
        <v>42848</v>
      </c>
      <c r="J2459">
        <v>68</v>
      </c>
    </row>
    <row r="2460" spans="1:10" x14ac:dyDescent="0.3">
      <c r="A2460" t="s">
        <v>2591</v>
      </c>
      <c r="B2460" t="s">
        <v>95</v>
      </c>
      <c r="C2460" t="str">
        <f>_xlfn.XLOOKUP(B2460,
[1]sales_teams!$A$2:$A$100,
[1]sales_teams!$B$2:$B$100)</f>
        <v>Summer Sewald</v>
      </c>
      <c r="D2460" t="str">
        <f>_xlfn.XLOOKUP($B2460,sales_teams!$A$2:$A$36,sales_teams!C$2:C$36)</f>
        <v>West</v>
      </c>
      <c r="E2460" t="s">
        <v>15</v>
      </c>
      <c r="G2460" t="s">
        <v>40</v>
      </c>
      <c r="H2460" s="1">
        <v>42841</v>
      </c>
    </row>
    <row r="2461" spans="1:10" x14ac:dyDescent="0.3">
      <c r="A2461" t="s">
        <v>2592</v>
      </c>
      <c r="B2461" t="s">
        <v>95</v>
      </c>
      <c r="C2461" t="str">
        <f>_xlfn.XLOOKUP(B2461,
[1]sales_teams!$A$2:$A$100,
[1]sales_teams!$B$2:$B$100)</f>
        <v>Summer Sewald</v>
      </c>
      <c r="D2461" t="str">
        <f>_xlfn.XLOOKUP($B2461,sales_teams!$A$2:$A$36,sales_teams!C$2:C$36)</f>
        <v>West</v>
      </c>
      <c r="E2461" t="s">
        <v>39</v>
      </c>
      <c r="F2461" t="s">
        <v>555</v>
      </c>
      <c r="G2461" t="s">
        <v>46</v>
      </c>
      <c r="H2461" s="1">
        <v>42841</v>
      </c>
      <c r="I2461" s="1">
        <v>42848</v>
      </c>
      <c r="J2461">
        <v>0</v>
      </c>
    </row>
    <row r="2462" spans="1:10" x14ac:dyDescent="0.3">
      <c r="A2462" t="s">
        <v>2593</v>
      </c>
      <c r="B2462" t="s">
        <v>51</v>
      </c>
      <c r="C2462" t="str">
        <f>_xlfn.XLOOKUP(B2462,
[1]sales_teams!$A$2:$A$100,
[1]sales_teams!$B$2:$B$100)</f>
        <v>Summer Sewald</v>
      </c>
      <c r="D2462" t="str">
        <f>_xlfn.XLOOKUP($B2462,sales_teams!$A$2:$A$36,sales_teams!C$2:C$36)</f>
        <v>West</v>
      </c>
      <c r="E2462" t="s">
        <v>20</v>
      </c>
      <c r="F2462" t="s">
        <v>555</v>
      </c>
      <c r="G2462" t="s">
        <v>12</v>
      </c>
      <c r="H2462" s="1">
        <v>42841</v>
      </c>
      <c r="I2462" s="1">
        <v>42853</v>
      </c>
      <c r="J2462">
        <v>572</v>
      </c>
    </row>
    <row r="2463" spans="1:10" x14ac:dyDescent="0.3">
      <c r="A2463" t="s">
        <v>2594</v>
      </c>
      <c r="B2463" t="s">
        <v>51</v>
      </c>
      <c r="C2463" t="str">
        <f>_xlfn.XLOOKUP(B2463,
[1]sales_teams!$A$2:$A$100,
[1]sales_teams!$B$2:$B$100)</f>
        <v>Summer Sewald</v>
      </c>
      <c r="D2463" t="str">
        <f>_xlfn.XLOOKUP($B2463,sales_teams!$A$2:$A$36,sales_teams!C$2:C$36)</f>
        <v>West</v>
      </c>
      <c r="E2463" t="s">
        <v>10</v>
      </c>
      <c r="F2463" t="s">
        <v>398</v>
      </c>
      <c r="G2463" t="s">
        <v>12</v>
      </c>
      <c r="H2463" s="1">
        <v>42841</v>
      </c>
      <c r="I2463" s="1">
        <v>42849</v>
      </c>
      <c r="J2463">
        <v>1234</v>
      </c>
    </row>
    <row r="2464" spans="1:10" x14ac:dyDescent="0.3">
      <c r="A2464" t="s">
        <v>2595</v>
      </c>
      <c r="B2464" t="s">
        <v>9</v>
      </c>
      <c r="C2464" t="str">
        <f>_xlfn.XLOOKUP(B2464,
[1]sales_teams!$A$2:$A$100,
[1]sales_teams!$B$2:$B$100)</f>
        <v>Dustin Brinkmann</v>
      </c>
      <c r="D2464" t="str">
        <f>_xlfn.XLOOKUP($B2464,sales_teams!$A$2:$A$36,sales_teams!C$2:C$36)</f>
        <v>Central</v>
      </c>
      <c r="E2464" t="s">
        <v>20</v>
      </c>
      <c r="F2464" t="s">
        <v>27</v>
      </c>
      <c r="G2464" t="s">
        <v>46</v>
      </c>
      <c r="H2464" s="1">
        <v>42841</v>
      </c>
      <c r="I2464" s="1">
        <v>42843</v>
      </c>
      <c r="J2464">
        <v>0</v>
      </c>
    </row>
    <row r="2465" spans="1:10" x14ac:dyDescent="0.3">
      <c r="A2465" t="s">
        <v>2596</v>
      </c>
      <c r="B2465" t="s">
        <v>61</v>
      </c>
      <c r="C2465" t="str">
        <f>_xlfn.XLOOKUP(B2465,
[1]sales_teams!$A$2:$A$100,
[1]sales_teams!$B$2:$B$100)</f>
        <v>Dustin Brinkmann</v>
      </c>
      <c r="D2465" t="str">
        <f>_xlfn.XLOOKUP($B2465,sales_teams!$A$2:$A$36,sales_teams!C$2:C$36)</f>
        <v>Central</v>
      </c>
      <c r="E2465" t="s">
        <v>18</v>
      </c>
      <c r="F2465" t="s">
        <v>16</v>
      </c>
      <c r="G2465" t="s">
        <v>46</v>
      </c>
      <c r="H2465" s="1">
        <v>42841</v>
      </c>
      <c r="I2465" s="1">
        <v>42842</v>
      </c>
      <c r="J2465">
        <v>0</v>
      </c>
    </row>
    <row r="2466" spans="1:10" x14ac:dyDescent="0.3">
      <c r="A2466" t="s">
        <v>2597</v>
      </c>
      <c r="B2466" t="s">
        <v>29</v>
      </c>
      <c r="C2466" t="str">
        <f>_xlfn.XLOOKUP(B2466,
[1]sales_teams!$A$2:$A$100,
[1]sales_teams!$B$2:$B$100)</f>
        <v>Celia Rouche</v>
      </c>
      <c r="D2466" t="str">
        <f>_xlfn.XLOOKUP($B2466,sales_teams!$A$2:$A$36,sales_teams!C$2:C$36)</f>
        <v>West</v>
      </c>
      <c r="E2466" t="s">
        <v>15</v>
      </c>
      <c r="G2466" t="s">
        <v>40</v>
      </c>
      <c r="H2466" s="1">
        <v>42841</v>
      </c>
    </row>
    <row r="2467" spans="1:10" x14ac:dyDescent="0.3">
      <c r="A2467" t="s">
        <v>2598</v>
      </c>
      <c r="B2467" t="s">
        <v>29</v>
      </c>
      <c r="C2467" t="str">
        <f>_xlfn.XLOOKUP(B2467,
[1]sales_teams!$A$2:$A$100,
[1]sales_teams!$B$2:$B$100)</f>
        <v>Celia Rouche</v>
      </c>
      <c r="D2467" t="str">
        <f>_xlfn.XLOOKUP($B2467,sales_teams!$A$2:$A$36,sales_teams!C$2:C$36)</f>
        <v>West</v>
      </c>
      <c r="E2467" t="s">
        <v>18</v>
      </c>
      <c r="F2467" t="s">
        <v>168</v>
      </c>
      <c r="G2467" t="s">
        <v>12</v>
      </c>
      <c r="H2467" s="1">
        <v>42841</v>
      </c>
      <c r="I2467" s="1">
        <v>42859</v>
      </c>
      <c r="J2467">
        <v>56</v>
      </c>
    </row>
    <row r="2468" spans="1:10" x14ac:dyDescent="0.3">
      <c r="A2468" t="s">
        <v>2599</v>
      </c>
      <c r="B2468" t="s">
        <v>73</v>
      </c>
      <c r="C2468" t="str">
        <f>_xlfn.XLOOKUP(B2468,
[1]sales_teams!$A$2:$A$100,
[1]sales_teams!$B$2:$B$100)</f>
        <v>Cara Losch</v>
      </c>
      <c r="D2468" t="str">
        <f>_xlfn.XLOOKUP($B2468,sales_teams!$A$2:$A$36,sales_teams!C$2:C$36)</f>
        <v>East</v>
      </c>
      <c r="E2468" t="s">
        <v>18</v>
      </c>
      <c r="F2468" t="s">
        <v>300</v>
      </c>
      <c r="G2468" t="s">
        <v>46</v>
      </c>
      <c r="H2468" s="1">
        <v>42841</v>
      </c>
      <c r="I2468" s="1">
        <v>42858</v>
      </c>
      <c r="J2468">
        <v>0</v>
      </c>
    </row>
    <row r="2469" spans="1:10" x14ac:dyDescent="0.3">
      <c r="A2469" t="s">
        <v>2600</v>
      </c>
      <c r="B2469" t="s">
        <v>23</v>
      </c>
      <c r="C2469" t="str">
        <f>_xlfn.XLOOKUP(B2469,
[1]sales_teams!$A$2:$A$100,
[1]sales_teams!$B$2:$B$100)</f>
        <v>Summer Sewald</v>
      </c>
      <c r="D2469" t="str">
        <f>_xlfn.XLOOKUP($B2469,sales_teams!$A$2:$A$36,sales_teams!C$2:C$36)</f>
        <v>West</v>
      </c>
      <c r="E2469" t="s">
        <v>18</v>
      </c>
      <c r="F2469" t="s">
        <v>224</v>
      </c>
      <c r="G2469" t="s">
        <v>46</v>
      </c>
      <c r="H2469" s="1">
        <v>42841</v>
      </c>
      <c r="I2469" s="1">
        <v>42850</v>
      </c>
      <c r="J2469">
        <v>0</v>
      </c>
    </row>
    <row r="2470" spans="1:10" x14ac:dyDescent="0.3">
      <c r="A2470" t="s">
        <v>2601</v>
      </c>
      <c r="B2470" t="s">
        <v>26</v>
      </c>
      <c r="C2470" t="str">
        <f>_xlfn.XLOOKUP(B2470,
[1]sales_teams!$A$2:$A$100,
[1]sales_teams!$B$2:$B$100)</f>
        <v>Dustin Brinkmann</v>
      </c>
      <c r="D2470" t="str">
        <f>_xlfn.XLOOKUP($B2470,sales_teams!$A$2:$A$36,sales_teams!C$2:C$36)</f>
        <v>Central</v>
      </c>
      <c r="E2470" t="s">
        <v>18</v>
      </c>
      <c r="F2470" t="s">
        <v>76</v>
      </c>
      <c r="G2470" t="s">
        <v>12</v>
      </c>
      <c r="H2470" s="1">
        <v>42842</v>
      </c>
      <c r="I2470" s="1">
        <v>42851</v>
      </c>
      <c r="J2470">
        <v>52</v>
      </c>
    </row>
    <row r="2471" spans="1:10" x14ac:dyDescent="0.3">
      <c r="A2471" t="s">
        <v>2602</v>
      </c>
      <c r="B2471" t="s">
        <v>26</v>
      </c>
      <c r="C2471" t="str">
        <f>_xlfn.XLOOKUP(B2471,
[1]sales_teams!$A$2:$A$100,
[1]sales_teams!$B$2:$B$100)</f>
        <v>Dustin Brinkmann</v>
      </c>
      <c r="D2471" t="str">
        <f>_xlfn.XLOOKUP($B2471,sales_teams!$A$2:$A$36,sales_teams!C$2:C$36)</f>
        <v>Central</v>
      </c>
      <c r="E2471" t="s">
        <v>39</v>
      </c>
      <c r="F2471" t="s">
        <v>21</v>
      </c>
      <c r="G2471" t="s">
        <v>12</v>
      </c>
      <c r="H2471" s="1">
        <v>42842</v>
      </c>
      <c r="I2471" s="1">
        <v>42849</v>
      </c>
      <c r="J2471">
        <v>3668</v>
      </c>
    </row>
    <row r="2472" spans="1:10" x14ac:dyDescent="0.3">
      <c r="A2472" t="s">
        <v>2603</v>
      </c>
      <c r="B2472" t="s">
        <v>139</v>
      </c>
      <c r="C2472" t="str">
        <f>_xlfn.XLOOKUP(B2472,
[1]sales_teams!$A$2:$A$100,
[1]sales_teams!$B$2:$B$100)</f>
        <v>Rocco Neubert</v>
      </c>
      <c r="D2472" t="str">
        <f>_xlfn.XLOOKUP($B2472,sales_teams!$A$2:$A$36,sales_teams!C$2:C$36)</f>
        <v>East</v>
      </c>
      <c r="E2472" t="s">
        <v>20</v>
      </c>
      <c r="F2472" t="s">
        <v>215</v>
      </c>
      <c r="G2472" t="s">
        <v>46</v>
      </c>
      <c r="H2472" s="1">
        <v>42842</v>
      </c>
      <c r="I2472" s="1">
        <v>42844</v>
      </c>
      <c r="J2472">
        <v>0</v>
      </c>
    </row>
    <row r="2473" spans="1:10" x14ac:dyDescent="0.3">
      <c r="A2473" t="s">
        <v>2604</v>
      </c>
      <c r="B2473" t="s">
        <v>139</v>
      </c>
      <c r="C2473" t="str">
        <f>_xlfn.XLOOKUP(B2473,
[1]sales_teams!$A$2:$A$100,
[1]sales_teams!$B$2:$B$100)</f>
        <v>Rocco Neubert</v>
      </c>
      <c r="D2473" t="str">
        <f>_xlfn.XLOOKUP($B2473,sales_teams!$A$2:$A$36,sales_teams!C$2:C$36)</f>
        <v>East</v>
      </c>
      <c r="E2473" t="s">
        <v>39</v>
      </c>
      <c r="F2473" t="s">
        <v>89</v>
      </c>
      <c r="G2473" t="s">
        <v>12</v>
      </c>
      <c r="H2473" s="1">
        <v>42842</v>
      </c>
      <c r="I2473" s="1">
        <v>42951</v>
      </c>
      <c r="J2473">
        <v>3138</v>
      </c>
    </row>
    <row r="2474" spans="1:10" x14ac:dyDescent="0.3">
      <c r="A2474" t="s">
        <v>2605</v>
      </c>
      <c r="B2474" t="s">
        <v>202</v>
      </c>
      <c r="C2474" t="str">
        <f>_xlfn.XLOOKUP(B2474,
[1]sales_teams!$A$2:$A$100,
[1]sales_teams!$B$2:$B$100)</f>
        <v>Dustin Brinkmann</v>
      </c>
      <c r="D2474" t="str">
        <f>_xlfn.XLOOKUP($B2474,sales_teams!$A$2:$A$36,sales_teams!C$2:C$36)</f>
        <v>Central</v>
      </c>
      <c r="E2474" t="s">
        <v>18</v>
      </c>
      <c r="F2474" t="s">
        <v>120</v>
      </c>
      <c r="G2474" t="s">
        <v>46</v>
      </c>
      <c r="H2474" s="1">
        <v>42842</v>
      </c>
      <c r="I2474" s="1">
        <v>42844</v>
      </c>
      <c r="J2474">
        <v>0</v>
      </c>
    </row>
    <row r="2475" spans="1:10" x14ac:dyDescent="0.3">
      <c r="A2475" t="s">
        <v>2606</v>
      </c>
      <c r="B2475" t="s">
        <v>164</v>
      </c>
      <c r="C2475" t="str">
        <f>_xlfn.XLOOKUP(B2475,
[1]sales_teams!$A$2:$A$100,
[1]sales_teams!$B$2:$B$100)</f>
        <v>Cara Losch</v>
      </c>
      <c r="D2475" t="str">
        <f>_xlfn.XLOOKUP($B2475,sales_teams!$A$2:$A$36,sales_teams!C$2:C$36)</f>
        <v>East</v>
      </c>
      <c r="E2475" t="s">
        <v>20</v>
      </c>
      <c r="F2475" t="s">
        <v>177</v>
      </c>
      <c r="G2475" t="s">
        <v>46</v>
      </c>
      <c r="H2475" s="1">
        <v>42842</v>
      </c>
      <c r="I2475" s="1">
        <v>42843</v>
      </c>
      <c r="J2475">
        <v>0</v>
      </c>
    </row>
    <row r="2476" spans="1:10" x14ac:dyDescent="0.3">
      <c r="A2476" t="s">
        <v>2607</v>
      </c>
      <c r="B2476" t="s">
        <v>164</v>
      </c>
      <c r="C2476" t="str">
        <f>_xlfn.XLOOKUP(B2476,
[1]sales_teams!$A$2:$A$100,
[1]sales_teams!$B$2:$B$100)</f>
        <v>Cara Losch</v>
      </c>
      <c r="D2476" t="str">
        <f>_xlfn.XLOOKUP($B2476,sales_teams!$A$2:$A$36,sales_teams!C$2:C$36)</f>
        <v>East</v>
      </c>
      <c r="E2476" t="s">
        <v>20</v>
      </c>
      <c r="F2476" t="s">
        <v>373</v>
      </c>
      <c r="G2476" t="s">
        <v>46</v>
      </c>
      <c r="H2476" s="1">
        <v>42842</v>
      </c>
      <c r="I2476" s="1">
        <v>42846</v>
      </c>
      <c r="J2476">
        <v>0</v>
      </c>
    </row>
    <row r="2477" spans="1:10" x14ac:dyDescent="0.3">
      <c r="A2477" t="s">
        <v>2608</v>
      </c>
      <c r="B2477" t="s">
        <v>164</v>
      </c>
      <c r="C2477" t="str">
        <f>_xlfn.XLOOKUP(B2477,
[1]sales_teams!$A$2:$A$100,
[1]sales_teams!$B$2:$B$100)</f>
        <v>Cara Losch</v>
      </c>
      <c r="D2477" t="str">
        <f>_xlfn.XLOOKUP($B2477,sales_teams!$A$2:$A$36,sales_teams!C$2:C$36)</f>
        <v>East</v>
      </c>
      <c r="E2477" t="s">
        <v>15</v>
      </c>
      <c r="F2477" t="s">
        <v>518</v>
      </c>
      <c r="G2477" t="s">
        <v>12</v>
      </c>
      <c r="H2477" s="1">
        <v>42842</v>
      </c>
      <c r="I2477" s="1">
        <v>42887</v>
      </c>
      <c r="J2477">
        <v>5032</v>
      </c>
    </row>
    <row r="2478" spans="1:10" x14ac:dyDescent="0.3">
      <c r="A2478" t="s">
        <v>2609</v>
      </c>
      <c r="B2478" t="s">
        <v>64</v>
      </c>
      <c r="C2478" t="str">
        <f>_xlfn.XLOOKUP(B2478,
[1]sales_teams!$A$2:$A$100,
[1]sales_teams!$B$2:$B$100)</f>
        <v>Rocco Neubert</v>
      </c>
      <c r="D2478" t="str">
        <f>_xlfn.XLOOKUP($B2478,sales_teams!$A$2:$A$36,sales_teams!C$2:C$36)</f>
        <v>East</v>
      </c>
      <c r="E2478" t="s">
        <v>10</v>
      </c>
      <c r="F2478" t="s">
        <v>215</v>
      </c>
      <c r="G2478" t="s">
        <v>12</v>
      </c>
      <c r="H2478" s="1">
        <v>42842</v>
      </c>
      <c r="I2478" s="1">
        <v>42845</v>
      </c>
      <c r="J2478">
        <v>1310</v>
      </c>
    </row>
    <row r="2479" spans="1:10" x14ac:dyDescent="0.3">
      <c r="A2479" t="s">
        <v>2610</v>
      </c>
      <c r="B2479" t="s">
        <v>64</v>
      </c>
      <c r="C2479" t="str">
        <f>_xlfn.XLOOKUP(B2479,
[1]sales_teams!$A$2:$A$100,
[1]sales_teams!$B$2:$B$100)</f>
        <v>Rocco Neubert</v>
      </c>
      <c r="D2479" t="str">
        <f>_xlfn.XLOOKUP($B2479,sales_teams!$A$2:$A$36,sales_teams!C$2:C$36)</f>
        <v>East</v>
      </c>
      <c r="E2479" t="s">
        <v>48</v>
      </c>
      <c r="F2479" t="s">
        <v>106</v>
      </c>
      <c r="G2479" t="s">
        <v>12</v>
      </c>
      <c r="H2479" s="1">
        <v>42842</v>
      </c>
      <c r="I2479" s="1">
        <v>42913</v>
      </c>
      <c r="J2479">
        <v>5076</v>
      </c>
    </row>
    <row r="2480" spans="1:10" x14ac:dyDescent="0.3">
      <c r="A2480" t="s">
        <v>2611</v>
      </c>
      <c r="B2480" t="s">
        <v>64</v>
      </c>
      <c r="C2480" t="str">
        <f>_xlfn.XLOOKUP(B2480,
[1]sales_teams!$A$2:$A$100,
[1]sales_teams!$B$2:$B$100)</f>
        <v>Rocco Neubert</v>
      </c>
      <c r="D2480" t="str">
        <f>_xlfn.XLOOKUP($B2480,sales_teams!$A$2:$A$36,sales_teams!C$2:C$36)</f>
        <v>East</v>
      </c>
      <c r="E2480" t="s">
        <v>39</v>
      </c>
      <c r="F2480" t="s">
        <v>74</v>
      </c>
      <c r="G2480" t="s">
        <v>12</v>
      </c>
      <c r="H2480" s="1">
        <v>42842</v>
      </c>
      <c r="I2480" s="1">
        <v>42905</v>
      </c>
      <c r="J2480">
        <v>3641</v>
      </c>
    </row>
    <row r="2481" spans="1:10" x14ac:dyDescent="0.3">
      <c r="A2481" t="s">
        <v>2612</v>
      </c>
      <c r="B2481" t="s">
        <v>14</v>
      </c>
      <c r="C2481" t="str">
        <f>_xlfn.XLOOKUP(B2481,
[1]sales_teams!$A$2:$A$100,
[1]sales_teams!$B$2:$B$100)</f>
        <v>Melvin Marxen</v>
      </c>
      <c r="D2481" t="str">
        <f>_xlfn.XLOOKUP($B2481,sales_teams!$A$2:$A$36,sales_teams!C$2:C$36)</f>
        <v>Central</v>
      </c>
      <c r="E2481" t="s">
        <v>15</v>
      </c>
      <c r="F2481" t="s">
        <v>120</v>
      </c>
      <c r="G2481" t="s">
        <v>46</v>
      </c>
      <c r="H2481" s="1">
        <v>42842</v>
      </c>
      <c r="I2481" s="1">
        <v>42843</v>
      </c>
      <c r="J2481">
        <v>0</v>
      </c>
    </row>
    <row r="2482" spans="1:10" x14ac:dyDescent="0.3">
      <c r="A2482" t="s">
        <v>2613</v>
      </c>
      <c r="B2482" t="s">
        <v>14</v>
      </c>
      <c r="C2482" t="str">
        <f>_xlfn.XLOOKUP(B2482,
[1]sales_teams!$A$2:$A$100,
[1]sales_teams!$B$2:$B$100)</f>
        <v>Melvin Marxen</v>
      </c>
      <c r="D2482" t="str">
        <f>_xlfn.XLOOKUP($B2482,sales_teams!$A$2:$A$36,sales_teams!C$2:C$36)</f>
        <v>Central</v>
      </c>
      <c r="E2482" t="s">
        <v>10</v>
      </c>
      <c r="F2482" t="s">
        <v>76</v>
      </c>
      <c r="G2482" t="s">
        <v>12</v>
      </c>
      <c r="H2482" s="1">
        <v>42842</v>
      </c>
      <c r="I2482" s="1">
        <v>42850</v>
      </c>
      <c r="J2482">
        <v>1170</v>
      </c>
    </row>
    <row r="2483" spans="1:10" x14ac:dyDescent="0.3">
      <c r="A2483" t="s">
        <v>2614</v>
      </c>
      <c r="B2483" t="s">
        <v>14</v>
      </c>
      <c r="C2483" t="str">
        <f>_xlfn.XLOOKUP(B2483,
[1]sales_teams!$A$2:$A$100,
[1]sales_teams!$B$2:$B$100)</f>
        <v>Melvin Marxen</v>
      </c>
      <c r="D2483" t="str">
        <f>_xlfn.XLOOKUP($B2483,sales_teams!$A$2:$A$36,sales_teams!C$2:C$36)</f>
        <v>Central</v>
      </c>
      <c r="E2483" t="s">
        <v>15</v>
      </c>
      <c r="F2483" t="s">
        <v>207</v>
      </c>
      <c r="G2483" t="s">
        <v>12</v>
      </c>
      <c r="H2483" s="1">
        <v>42842</v>
      </c>
      <c r="I2483" s="1">
        <v>42856</v>
      </c>
      <c r="J2483">
        <v>4226</v>
      </c>
    </row>
    <row r="2484" spans="1:10" x14ac:dyDescent="0.3">
      <c r="A2484" t="s">
        <v>2615</v>
      </c>
      <c r="B2484" t="s">
        <v>67</v>
      </c>
      <c r="C2484" t="str">
        <f>_xlfn.XLOOKUP(B2484,
[1]sales_teams!$A$2:$A$100,
[1]sales_teams!$B$2:$B$100)</f>
        <v>Celia Rouche</v>
      </c>
      <c r="D2484" t="str">
        <f>_xlfn.XLOOKUP($B2484,sales_teams!$A$2:$A$36,sales_teams!C$2:C$36)</f>
        <v>West</v>
      </c>
      <c r="E2484" t="s">
        <v>18</v>
      </c>
      <c r="G2484" t="s">
        <v>40</v>
      </c>
      <c r="H2484" s="1">
        <v>42842</v>
      </c>
    </row>
    <row r="2485" spans="1:10" x14ac:dyDescent="0.3">
      <c r="A2485" t="s">
        <v>2616</v>
      </c>
      <c r="B2485" t="s">
        <v>67</v>
      </c>
      <c r="C2485" t="str">
        <f>_xlfn.XLOOKUP(B2485,
[1]sales_teams!$A$2:$A$100,
[1]sales_teams!$B$2:$B$100)</f>
        <v>Celia Rouche</v>
      </c>
      <c r="D2485" t="str">
        <f>_xlfn.XLOOKUP($B2485,sales_teams!$A$2:$A$36,sales_teams!C$2:C$36)</f>
        <v>West</v>
      </c>
      <c r="E2485" t="s">
        <v>39</v>
      </c>
      <c r="F2485" t="s">
        <v>100</v>
      </c>
      <c r="G2485" t="s">
        <v>46</v>
      </c>
      <c r="H2485" s="1">
        <v>42842</v>
      </c>
      <c r="I2485" s="1">
        <v>42843</v>
      </c>
      <c r="J2485">
        <v>0</v>
      </c>
    </row>
    <row r="2486" spans="1:10" x14ac:dyDescent="0.3">
      <c r="A2486" t="s">
        <v>2617</v>
      </c>
      <c r="B2486" t="s">
        <v>44</v>
      </c>
      <c r="C2486" t="str">
        <f>_xlfn.XLOOKUP(B2486,
[1]sales_teams!$A$2:$A$100,
[1]sales_teams!$B$2:$B$100)</f>
        <v>Melvin Marxen</v>
      </c>
      <c r="D2486" t="str">
        <f>_xlfn.XLOOKUP($B2486,sales_teams!$A$2:$A$36,sales_teams!C$2:C$36)</f>
        <v>Central</v>
      </c>
      <c r="E2486" t="s">
        <v>15</v>
      </c>
      <c r="F2486" t="s">
        <v>45</v>
      </c>
      <c r="G2486" t="s">
        <v>12</v>
      </c>
      <c r="H2486" s="1">
        <v>42842</v>
      </c>
      <c r="I2486" s="1">
        <v>42849</v>
      </c>
      <c r="J2486">
        <v>4784</v>
      </c>
    </row>
    <row r="2487" spans="1:10" x14ac:dyDescent="0.3">
      <c r="A2487" t="s">
        <v>2618</v>
      </c>
      <c r="B2487" t="s">
        <v>54</v>
      </c>
      <c r="C2487" t="str">
        <f>_xlfn.XLOOKUP(B2487,
[1]sales_teams!$A$2:$A$100,
[1]sales_teams!$B$2:$B$100)</f>
        <v>Celia Rouche</v>
      </c>
      <c r="D2487" t="str">
        <f>_xlfn.XLOOKUP($B2487,sales_teams!$A$2:$A$36,sales_teams!C$2:C$36)</f>
        <v>West</v>
      </c>
      <c r="E2487" t="s">
        <v>10</v>
      </c>
      <c r="F2487" t="s">
        <v>194</v>
      </c>
      <c r="G2487" t="s">
        <v>46</v>
      </c>
      <c r="H2487" s="1">
        <v>42842</v>
      </c>
      <c r="I2487" s="1">
        <v>42850</v>
      </c>
      <c r="J2487">
        <v>0</v>
      </c>
    </row>
    <row r="2488" spans="1:10" x14ac:dyDescent="0.3">
      <c r="A2488" t="s">
        <v>2619</v>
      </c>
      <c r="B2488" t="s">
        <v>54</v>
      </c>
      <c r="C2488" t="str">
        <f>_xlfn.XLOOKUP(B2488,
[1]sales_teams!$A$2:$A$100,
[1]sales_teams!$B$2:$B$100)</f>
        <v>Celia Rouche</v>
      </c>
      <c r="D2488" t="str">
        <f>_xlfn.XLOOKUP($B2488,sales_teams!$A$2:$A$36,sales_teams!C$2:C$36)</f>
        <v>West</v>
      </c>
      <c r="E2488" t="s">
        <v>39</v>
      </c>
      <c r="F2488" t="s">
        <v>313</v>
      </c>
      <c r="G2488" t="s">
        <v>46</v>
      </c>
      <c r="H2488" s="1">
        <v>42842</v>
      </c>
      <c r="I2488" s="1">
        <v>42844</v>
      </c>
      <c r="J2488">
        <v>0</v>
      </c>
    </row>
    <row r="2489" spans="1:10" x14ac:dyDescent="0.3">
      <c r="A2489" t="s">
        <v>2620</v>
      </c>
      <c r="B2489" t="s">
        <v>38</v>
      </c>
      <c r="C2489" t="str">
        <f>_xlfn.XLOOKUP(B2489,
[1]sales_teams!$A$2:$A$100,
[1]sales_teams!$B$2:$B$100)</f>
        <v>Summer Sewald</v>
      </c>
      <c r="D2489" t="str">
        <f>_xlfn.XLOOKUP($B2489,sales_teams!$A$2:$A$36,sales_teams!C$2:C$36)</f>
        <v>West</v>
      </c>
      <c r="E2489" t="s">
        <v>20</v>
      </c>
      <c r="G2489" t="s">
        <v>40</v>
      </c>
      <c r="H2489" s="1">
        <v>42842</v>
      </c>
    </row>
    <row r="2490" spans="1:10" x14ac:dyDescent="0.3">
      <c r="A2490" t="s">
        <v>2621</v>
      </c>
      <c r="B2490" t="s">
        <v>38</v>
      </c>
      <c r="C2490" t="str">
        <f>_xlfn.XLOOKUP(B2490,
[1]sales_teams!$A$2:$A$100,
[1]sales_teams!$B$2:$B$100)</f>
        <v>Summer Sewald</v>
      </c>
      <c r="D2490" t="str">
        <f>_xlfn.XLOOKUP($B2490,sales_teams!$A$2:$A$36,sales_teams!C$2:C$36)</f>
        <v>West</v>
      </c>
      <c r="E2490" t="s">
        <v>39</v>
      </c>
      <c r="F2490" t="s">
        <v>122</v>
      </c>
      <c r="G2490" t="s">
        <v>46</v>
      </c>
      <c r="H2490" s="1">
        <v>42842</v>
      </c>
      <c r="I2490" s="1">
        <v>42959</v>
      </c>
      <c r="J2490">
        <v>0</v>
      </c>
    </row>
    <row r="2491" spans="1:10" x14ac:dyDescent="0.3">
      <c r="A2491" t="s">
        <v>2622</v>
      </c>
      <c r="B2491" t="s">
        <v>38</v>
      </c>
      <c r="C2491" t="str">
        <f>_xlfn.XLOOKUP(B2491,
[1]sales_teams!$A$2:$A$100,
[1]sales_teams!$B$2:$B$100)</f>
        <v>Summer Sewald</v>
      </c>
      <c r="D2491" t="str">
        <f>_xlfn.XLOOKUP($B2491,sales_teams!$A$2:$A$36,sales_teams!C$2:C$36)</f>
        <v>West</v>
      </c>
      <c r="E2491" t="s">
        <v>15</v>
      </c>
      <c r="F2491" t="s">
        <v>148</v>
      </c>
      <c r="G2491" t="s">
        <v>12</v>
      </c>
      <c r="H2491" s="1">
        <v>42842</v>
      </c>
      <c r="I2491" s="1">
        <v>42849</v>
      </c>
      <c r="J2491">
        <v>5451</v>
      </c>
    </row>
    <row r="2492" spans="1:10" x14ac:dyDescent="0.3">
      <c r="A2492" t="s">
        <v>2623</v>
      </c>
      <c r="B2492" t="s">
        <v>78</v>
      </c>
      <c r="C2492" t="str">
        <f>_xlfn.XLOOKUP(B2492,
[1]sales_teams!$A$2:$A$100,
[1]sales_teams!$B$2:$B$100)</f>
        <v>Summer Sewald</v>
      </c>
      <c r="D2492" t="str">
        <f>_xlfn.XLOOKUP($B2492,sales_teams!$A$2:$A$36,sales_teams!C$2:C$36)</f>
        <v>West</v>
      </c>
      <c r="E2492" t="s">
        <v>20</v>
      </c>
      <c r="F2492" t="s">
        <v>194</v>
      </c>
      <c r="G2492" t="s">
        <v>12</v>
      </c>
      <c r="H2492" s="1">
        <v>42842</v>
      </c>
      <c r="I2492" s="1">
        <v>42844</v>
      </c>
      <c r="J2492">
        <v>527</v>
      </c>
    </row>
    <row r="2493" spans="1:10" x14ac:dyDescent="0.3">
      <c r="A2493" t="s">
        <v>2624</v>
      </c>
      <c r="B2493" t="s">
        <v>95</v>
      </c>
      <c r="C2493" t="str">
        <f>_xlfn.XLOOKUP(B2493,
[1]sales_teams!$A$2:$A$100,
[1]sales_teams!$B$2:$B$100)</f>
        <v>Summer Sewald</v>
      </c>
      <c r="D2493" t="str">
        <f>_xlfn.XLOOKUP($B2493,sales_teams!$A$2:$A$36,sales_teams!C$2:C$36)</f>
        <v>West</v>
      </c>
      <c r="E2493" t="s">
        <v>48</v>
      </c>
      <c r="G2493" t="s">
        <v>40</v>
      </c>
      <c r="H2493" s="1">
        <v>42842</v>
      </c>
    </row>
    <row r="2494" spans="1:10" x14ac:dyDescent="0.3">
      <c r="A2494" t="s">
        <v>2625</v>
      </c>
      <c r="B2494" t="s">
        <v>95</v>
      </c>
      <c r="C2494" t="str">
        <f>_xlfn.XLOOKUP(B2494,
[1]sales_teams!$A$2:$A$100,
[1]sales_teams!$B$2:$B$100)</f>
        <v>Summer Sewald</v>
      </c>
      <c r="D2494" t="str">
        <f>_xlfn.XLOOKUP($B2494,sales_teams!$A$2:$A$36,sales_teams!C$2:C$36)</f>
        <v>West</v>
      </c>
      <c r="E2494" t="s">
        <v>15</v>
      </c>
      <c r="G2494" t="s">
        <v>40</v>
      </c>
      <c r="H2494" s="1">
        <v>42842</v>
      </c>
    </row>
    <row r="2495" spans="1:10" x14ac:dyDescent="0.3">
      <c r="A2495" t="s">
        <v>2626</v>
      </c>
      <c r="B2495" t="s">
        <v>95</v>
      </c>
      <c r="C2495" t="str">
        <f>_xlfn.XLOOKUP(B2495,
[1]sales_teams!$A$2:$A$100,
[1]sales_teams!$B$2:$B$100)</f>
        <v>Summer Sewald</v>
      </c>
      <c r="D2495" t="str">
        <f>_xlfn.XLOOKUP($B2495,sales_teams!$A$2:$A$36,sales_teams!C$2:C$36)</f>
        <v>West</v>
      </c>
      <c r="E2495" t="s">
        <v>48</v>
      </c>
      <c r="F2495" t="s">
        <v>159</v>
      </c>
      <c r="G2495" t="s">
        <v>46</v>
      </c>
      <c r="H2495" s="1">
        <v>42842</v>
      </c>
      <c r="I2495" s="1">
        <v>42850</v>
      </c>
      <c r="J2495">
        <v>0</v>
      </c>
    </row>
    <row r="2496" spans="1:10" x14ac:dyDescent="0.3">
      <c r="A2496" t="s">
        <v>2627</v>
      </c>
      <c r="B2496" t="s">
        <v>95</v>
      </c>
      <c r="C2496" t="str">
        <f>_xlfn.XLOOKUP(B2496,
[1]sales_teams!$A$2:$A$100,
[1]sales_teams!$B$2:$B$100)</f>
        <v>Summer Sewald</v>
      </c>
      <c r="D2496" t="str">
        <f>_xlfn.XLOOKUP($B2496,sales_teams!$A$2:$A$36,sales_teams!C$2:C$36)</f>
        <v>West</v>
      </c>
      <c r="E2496" t="s">
        <v>48</v>
      </c>
      <c r="F2496" t="s">
        <v>159</v>
      </c>
      <c r="G2496" t="s">
        <v>46</v>
      </c>
      <c r="H2496" s="1">
        <v>42842</v>
      </c>
      <c r="I2496" s="1">
        <v>42844</v>
      </c>
      <c r="J2496">
        <v>0</v>
      </c>
    </row>
    <row r="2497" spans="1:10" x14ac:dyDescent="0.3">
      <c r="A2497" t="s">
        <v>2628</v>
      </c>
      <c r="B2497" t="s">
        <v>95</v>
      </c>
      <c r="C2497" t="str">
        <f>_xlfn.XLOOKUP(B2497,
[1]sales_teams!$A$2:$A$100,
[1]sales_teams!$B$2:$B$100)</f>
        <v>Summer Sewald</v>
      </c>
      <c r="D2497" t="str">
        <f>_xlfn.XLOOKUP($B2497,sales_teams!$A$2:$A$36,sales_teams!C$2:C$36)</f>
        <v>West</v>
      </c>
      <c r="E2497" t="s">
        <v>15</v>
      </c>
      <c r="F2497" t="s">
        <v>59</v>
      </c>
      <c r="G2497" t="s">
        <v>46</v>
      </c>
      <c r="H2497" s="1">
        <v>42842</v>
      </c>
      <c r="I2497" s="1">
        <v>42843</v>
      </c>
      <c r="J2497">
        <v>0</v>
      </c>
    </row>
    <row r="2498" spans="1:10" x14ac:dyDescent="0.3">
      <c r="A2498" t="s">
        <v>2629</v>
      </c>
      <c r="B2498" t="s">
        <v>95</v>
      </c>
      <c r="C2498" t="str">
        <f>_xlfn.XLOOKUP(B2498,
[1]sales_teams!$A$2:$A$100,
[1]sales_teams!$B$2:$B$100)</f>
        <v>Summer Sewald</v>
      </c>
      <c r="D2498" t="str">
        <f>_xlfn.XLOOKUP($B2498,sales_teams!$A$2:$A$36,sales_teams!C$2:C$36)</f>
        <v>West</v>
      </c>
      <c r="E2498" t="s">
        <v>48</v>
      </c>
      <c r="F2498" t="s">
        <v>70</v>
      </c>
      <c r="G2498" t="s">
        <v>12</v>
      </c>
      <c r="H2498" s="1">
        <v>42842</v>
      </c>
      <c r="I2498" s="1">
        <v>42844</v>
      </c>
      <c r="J2498">
        <v>5408</v>
      </c>
    </row>
    <row r="2499" spans="1:10" x14ac:dyDescent="0.3">
      <c r="A2499" t="s">
        <v>2630</v>
      </c>
      <c r="B2499" t="s">
        <v>133</v>
      </c>
      <c r="C2499" t="str">
        <f>_xlfn.XLOOKUP(B2499,
[1]sales_teams!$A$2:$A$100,
[1]sales_teams!$B$2:$B$100)</f>
        <v>Dustin Brinkmann</v>
      </c>
      <c r="D2499" t="str">
        <f>_xlfn.XLOOKUP($B2499,sales_teams!$A$2:$A$36,sales_teams!C$2:C$36)</f>
        <v>Central</v>
      </c>
      <c r="E2499" t="s">
        <v>10</v>
      </c>
      <c r="F2499" t="s">
        <v>120</v>
      </c>
      <c r="G2499" t="s">
        <v>46</v>
      </c>
      <c r="H2499" s="1">
        <v>42842</v>
      </c>
      <c r="I2499" s="1">
        <v>42857</v>
      </c>
      <c r="J2499">
        <v>0</v>
      </c>
    </row>
    <row r="2500" spans="1:10" x14ac:dyDescent="0.3">
      <c r="A2500" t="s">
        <v>2631</v>
      </c>
      <c r="B2500" t="s">
        <v>133</v>
      </c>
      <c r="C2500" t="str">
        <f>_xlfn.XLOOKUP(B2500,
[1]sales_teams!$A$2:$A$100,
[1]sales_teams!$B$2:$B$100)</f>
        <v>Dustin Brinkmann</v>
      </c>
      <c r="D2500" t="str">
        <f>_xlfn.XLOOKUP($B2500,sales_teams!$A$2:$A$36,sales_teams!C$2:C$36)</f>
        <v>Central</v>
      </c>
      <c r="E2500" t="s">
        <v>48</v>
      </c>
      <c r="F2500" t="s">
        <v>16</v>
      </c>
      <c r="G2500" t="s">
        <v>46</v>
      </c>
      <c r="H2500" s="1">
        <v>42842</v>
      </c>
      <c r="I2500" s="1">
        <v>42849</v>
      </c>
      <c r="J2500">
        <v>0</v>
      </c>
    </row>
    <row r="2501" spans="1:10" x14ac:dyDescent="0.3">
      <c r="A2501" t="s">
        <v>2632</v>
      </c>
      <c r="B2501" t="s">
        <v>133</v>
      </c>
      <c r="C2501" t="str">
        <f>_xlfn.XLOOKUP(B2501,
[1]sales_teams!$A$2:$A$100,
[1]sales_teams!$B$2:$B$100)</f>
        <v>Dustin Brinkmann</v>
      </c>
      <c r="D2501" t="str">
        <f>_xlfn.XLOOKUP($B2501,sales_teams!$A$2:$A$36,sales_teams!C$2:C$36)</f>
        <v>Central</v>
      </c>
      <c r="E2501" t="s">
        <v>18</v>
      </c>
      <c r="F2501" t="s">
        <v>113</v>
      </c>
      <c r="G2501" t="s">
        <v>12</v>
      </c>
      <c r="H2501" s="1">
        <v>42842</v>
      </c>
      <c r="I2501" s="1">
        <v>42909</v>
      </c>
      <c r="J2501">
        <v>48</v>
      </c>
    </row>
    <row r="2502" spans="1:10" x14ac:dyDescent="0.3">
      <c r="A2502" t="s">
        <v>2633</v>
      </c>
      <c r="B2502" t="s">
        <v>32</v>
      </c>
      <c r="C2502" t="str">
        <f>_xlfn.XLOOKUP(B2502,
[1]sales_teams!$A$2:$A$100,
[1]sales_teams!$B$2:$B$100)</f>
        <v>Celia Rouche</v>
      </c>
      <c r="D2502" t="str">
        <f>_xlfn.XLOOKUP($B2502,sales_teams!$A$2:$A$36,sales_teams!C$2:C$36)</f>
        <v>West</v>
      </c>
      <c r="E2502" t="s">
        <v>20</v>
      </c>
      <c r="F2502" t="s">
        <v>313</v>
      </c>
      <c r="G2502" t="s">
        <v>40</v>
      </c>
      <c r="H2502" s="1">
        <v>42842</v>
      </c>
    </row>
    <row r="2503" spans="1:10" x14ac:dyDescent="0.3">
      <c r="A2503" t="s">
        <v>2634</v>
      </c>
      <c r="B2503" t="s">
        <v>32</v>
      </c>
      <c r="C2503" t="str">
        <f>_xlfn.XLOOKUP(B2503,
[1]sales_teams!$A$2:$A$100,
[1]sales_teams!$B$2:$B$100)</f>
        <v>Celia Rouche</v>
      </c>
      <c r="D2503" t="str">
        <f>_xlfn.XLOOKUP($B2503,sales_teams!$A$2:$A$36,sales_teams!C$2:C$36)</f>
        <v>West</v>
      </c>
      <c r="E2503" t="s">
        <v>20</v>
      </c>
      <c r="F2503" t="s">
        <v>124</v>
      </c>
      <c r="G2503" t="s">
        <v>12</v>
      </c>
      <c r="H2503" s="1">
        <v>42842</v>
      </c>
      <c r="I2503" s="1">
        <v>42849</v>
      </c>
      <c r="J2503">
        <v>527</v>
      </c>
    </row>
    <row r="2504" spans="1:10" x14ac:dyDescent="0.3">
      <c r="A2504" t="s">
        <v>2635</v>
      </c>
      <c r="B2504" t="s">
        <v>116</v>
      </c>
      <c r="C2504" t="str">
        <f>_xlfn.XLOOKUP(B2504,
[1]sales_teams!$A$2:$A$100,
[1]sales_teams!$B$2:$B$100)</f>
        <v>Melvin Marxen</v>
      </c>
      <c r="D2504" t="str">
        <f>_xlfn.XLOOKUP($B2504,sales_teams!$A$2:$A$36,sales_teams!C$2:C$36)</f>
        <v>Central</v>
      </c>
      <c r="E2504" t="s">
        <v>10</v>
      </c>
      <c r="F2504" t="s">
        <v>91</v>
      </c>
      <c r="G2504" t="s">
        <v>12</v>
      </c>
      <c r="H2504" s="1">
        <v>42842</v>
      </c>
      <c r="I2504" s="1">
        <v>42848</v>
      </c>
      <c r="J2504">
        <v>1160</v>
      </c>
    </row>
    <row r="2505" spans="1:10" x14ac:dyDescent="0.3">
      <c r="A2505" t="s">
        <v>2636</v>
      </c>
      <c r="B2505" t="s">
        <v>35</v>
      </c>
      <c r="C2505" t="str">
        <f>_xlfn.XLOOKUP(B2505,
[1]sales_teams!$A$2:$A$100,
[1]sales_teams!$B$2:$B$100)</f>
        <v>Melvin Marxen</v>
      </c>
      <c r="D2505" t="str">
        <f>_xlfn.XLOOKUP($B2505,sales_teams!$A$2:$A$36,sales_teams!C$2:C$36)</f>
        <v>Central</v>
      </c>
      <c r="E2505" t="s">
        <v>20</v>
      </c>
      <c r="F2505" t="s">
        <v>318</v>
      </c>
      <c r="G2505" t="s">
        <v>12</v>
      </c>
      <c r="H2505" s="1">
        <v>42842</v>
      </c>
      <c r="I2505" s="1">
        <v>42892</v>
      </c>
      <c r="J2505">
        <v>491</v>
      </c>
    </row>
    <row r="2506" spans="1:10" x14ac:dyDescent="0.3">
      <c r="A2506" t="s">
        <v>2637</v>
      </c>
      <c r="B2506" t="s">
        <v>97</v>
      </c>
      <c r="C2506" t="str">
        <f>_xlfn.XLOOKUP(B2506,
[1]sales_teams!$A$2:$A$100,
[1]sales_teams!$B$2:$B$100)</f>
        <v>Rocco Neubert</v>
      </c>
      <c r="D2506" t="str">
        <f>_xlfn.XLOOKUP($B2506,sales_teams!$A$2:$A$36,sales_teams!C$2:C$36)</f>
        <v>East</v>
      </c>
      <c r="E2506" t="s">
        <v>20</v>
      </c>
      <c r="F2506" t="s">
        <v>189</v>
      </c>
      <c r="G2506" t="s">
        <v>12</v>
      </c>
      <c r="H2506" s="1">
        <v>42842</v>
      </c>
      <c r="I2506" s="1">
        <v>42844</v>
      </c>
      <c r="J2506">
        <v>555</v>
      </c>
    </row>
    <row r="2507" spans="1:10" x14ac:dyDescent="0.3">
      <c r="A2507" t="s">
        <v>2638</v>
      </c>
      <c r="B2507" t="s">
        <v>57</v>
      </c>
      <c r="C2507" t="str">
        <f>_xlfn.XLOOKUP(B2507,
[1]sales_teams!$A$2:$A$100,
[1]sales_teams!$B$2:$B$100)</f>
        <v>Celia Rouche</v>
      </c>
      <c r="D2507" t="str">
        <f>_xlfn.XLOOKUP($B2507,sales_teams!$A$2:$A$36,sales_teams!C$2:C$36)</f>
        <v>West</v>
      </c>
      <c r="E2507" t="s">
        <v>20</v>
      </c>
      <c r="G2507" t="s">
        <v>40</v>
      </c>
      <c r="H2507" s="1">
        <v>42842</v>
      </c>
    </row>
    <row r="2508" spans="1:10" x14ac:dyDescent="0.3">
      <c r="A2508" t="s">
        <v>2639</v>
      </c>
      <c r="B2508" t="s">
        <v>57</v>
      </c>
      <c r="C2508" t="str">
        <f>_xlfn.XLOOKUP(B2508,
[1]sales_teams!$A$2:$A$100,
[1]sales_teams!$B$2:$B$100)</f>
        <v>Celia Rouche</v>
      </c>
      <c r="D2508" t="str">
        <f>_xlfn.XLOOKUP($B2508,sales_teams!$A$2:$A$36,sales_teams!C$2:C$36)</f>
        <v>West</v>
      </c>
      <c r="E2508" t="s">
        <v>15</v>
      </c>
      <c r="G2508" t="s">
        <v>40</v>
      </c>
      <c r="H2508" s="1">
        <v>42842</v>
      </c>
    </row>
    <row r="2509" spans="1:10" x14ac:dyDescent="0.3">
      <c r="A2509" t="s">
        <v>2640</v>
      </c>
      <c r="B2509" t="s">
        <v>57</v>
      </c>
      <c r="C2509" t="str">
        <f>_xlfn.XLOOKUP(B2509,
[1]sales_teams!$A$2:$A$100,
[1]sales_teams!$B$2:$B$100)</f>
        <v>Celia Rouche</v>
      </c>
      <c r="D2509" t="str">
        <f>_xlfn.XLOOKUP($B2509,sales_teams!$A$2:$A$36,sales_teams!C$2:C$36)</f>
        <v>West</v>
      </c>
      <c r="E2509" t="s">
        <v>18</v>
      </c>
      <c r="F2509" t="s">
        <v>184</v>
      </c>
      <c r="G2509" t="s">
        <v>46</v>
      </c>
      <c r="H2509" s="1">
        <v>42842</v>
      </c>
      <c r="I2509" s="1">
        <v>42852</v>
      </c>
      <c r="J2509">
        <v>0</v>
      </c>
    </row>
    <row r="2510" spans="1:10" x14ac:dyDescent="0.3">
      <c r="A2510" t="s">
        <v>2641</v>
      </c>
      <c r="B2510" t="s">
        <v>61</v>
      </c>
      <c r="C2510" t="str">
        <f>_xlfn.XLOOKUP(B2510,
[1]sales_teams!$A$2:$A$100,
[1]sales_teams!$B$2:$B$100)</f>
        <v>Dustin Brinkmann</v>
      </c>
      <c r="D2510" t="str">
        <f>_xlfn.XLOOKUP($B2510,sales_teams!$A$2:$A$36,sales_teams!C$2:C$36)</f>
        <v>Central</v>
      </c>
      <c r="E2510" t="s">
        <v>18</v>
      </c>
      <c r="F2510" t="s">
        <v>16</v>
      </c>
      <c r="G2510" t="s">
        <v>12</v>
      </c>
      <c r="H2510" s="1">
        <v>42842</v>
      </c>
      <c r="I2510" s="1">
        <v>42848</v>
      </c>
      <c r="J2510">
        <v>62</v>
      </c>
    </row>
    <row r="2511" spans="1:10" x14ac:dyDescent="0.3">
      <c r="A2511" t="s">
        <v>2642</v>
      </c>
      <c r="B2511" t="s">
        <v>73</v>
      </c>
      <c r="C2511" t="str">
        <f>_xlfn.XLOOKUP(B2511,
[1]sales_teams!$A$2:$A$100,
[1]sales_teams!$B$2:$B$100)</f>
        <v>Cara Losch</v>
      </c>
      <c r="D2511" t="str">
        <f>_xlfn.XLOOKUP($B2511,sales_teams!$A$2:$A$36,sales_teams!C$2:C$36)</f>
        <v>East</v>
      </c>
      <c r="E2511" t="s">
        <v>18</v>
      </c>
      <c r="F2511" t="s">
        <v>81</v>
      </c>
      <c r="G2511" t="s">
        <v>46</v>
      </c>
      <c r="H2511" s="1">
        <v>42842</v>
      </c>
      <c r="I2511" s="1">
        <v>42851</v>
      </c>
      <c r="J2511">
        <v>0</v>
      </c>
    </row>
    <row r="2512" spans="1:10" x14ac:dyDescent="0.3">
      <c r="A2512" t="s">
        <v>2643</v>
      </c>
      <c r="B2512" t="s">
        <v>73</v>
      </c>
      <c r="C2512" t="str">
        <f>_xlfn.XLOOKUP(B2512,
[1]sales_teams!$A$2:$A$100,
[1]sales_teams!$B$2:$B$100)</f>
        <v>Cara Losch</v>
      </c>
      <c r="D2512" t="str">
        <f>_xlfn.XLOOKUP($B2512,sales_teams!$A$2:$A$36,sales_teams!C$2:C$36)</f>
        <v>East</v>
      </c>
      <c r="E2512" t="s">
        <v>18</v>
      </c>
      <c r="F2512" t="s">
        <v>199</v>
      </c>
      <c r="G2512" t="s">
        <v>12</v>
      </c>
      <c r="H2512" s="1">
        <v>42842</v>
      </c>
      <c r="I2512" s="1">
        <v>42850</v>
      </c>
      <c r="J2512">
        <v>56</v>
      </c>
    </row>
    <row r="2513" spans="1:10" x14ac:dyDescent="0.3">
      <c r="A2513" t="s">
        <v>2644</v>
      </c>
      <c r="B2513" t="s">
        <v>102</v>
      </c>
      <c r="C2513" t="str">
        <f>_xlfn.XLOOKUP(B2513,
[1]sales_teams!$A$2:$A$100,
[1]sales_teams!$B$2:$B$100)</f>
        <v>Cara Losch</v>
      </c>
      <c r="D2513" t="str">
        <f>_xlfn.XLOOKUP($B2513,sales_teams!$A$2:$A$36,sales_teams!C$2:C$36)</f>
        <v>East</v>
      </c>
      <c r="E2513" t="s">
        <v>39</v>
      </c>
      <c r="F2513" t="s">
        <v>103</v>
      </c>
      <c r="G2513" t="s">
        <v>12</v>
      </c>
      <c r="H2513" s="1">
        <v>42842</v>
      </c>
      <c r="I2513" s="1">
        <v>42848</v>
      </c>
      <c r="J2513">
        <v>3490</v>
      </c>
    </row>
    <row r="2514" spans="1:10" x14ac:dyDescent="0.3">
      <c r="A2514" t="s">
        <v>2645</v>
      </c>
      <c r="B2514" t="s">
        <v>23</v>
      </c>
      <c r="C2514" t="str">
        <f>_xlfn.XLOOKUP(B2514,
[1]sales_teams!$A$2:$A$100,
[1]sales_teams!$B$2:$B$100)</f>
        <v>Summer Sewald</v>
      </c>
      <c r="D2514" t="str">
        <f>_xlfn.XLOOKUP($B2514,sales_teams!$A$2:$A$36,sales_teams!C$2:C$36)</f>
        <v>West</v>
      </c>
      <c r="E2514" t="s">
        <v>15</v>
      </c>
      <c r="F2514" t="s">
        <v>159</v>
      </c>
      <c r="G2514" t="s">
        <v>46</v>
      </c>
      <c r="H2514" s="1">
        <v>42842</v>
      </c>
      <c r="I2514" s="1">
        <v>42910</v>
      </c>
      <c r="J2514">
        <v>0</v>
      </c>
    </row>
    <row r="2515" spans="1:10" x14ac:dyDescent="0.3">
      <c r="A2515" t="s">
        <v>2646</v>
      </c>
      <c r="B2515" t="s">
        <v>26</v>
      </c>
      <c r="C2515" t="str">
        <f>_xlfn.XLOOKUP(B2515,
[1]sales_teams!$A$2:$A$100,
[1]sales_teams!$B$2:$B$100)</f>
        <v>Dustin Brinkmann</v>
      </c>
      <c r="D2515" t="str">
        <f>_xlfn.XLOOKUP($B2515,sales_teams!$A$2:$A$36,sales_teams!C$2:C$36)</f>
        <v>Central</v>
      </c>
      <c r="E2515" t="s">
        <v>18</v>
      </c>
      <c r="F2515" t="s">
        <v>303</v>
      </c>
      <c r="G2515" t="s">
        <v>46</v>
      </c>
      <c r="H2515" s="1">
        <v>42843</v>
      </c>
      <c r="I2515" s="1">
        <v>42849</v>
      </c>
      <c r="J2515">
        <v>0</v>
      </c>
    </row>
    <row r="2516" spans="1:10" x14ac:dyDescent="0.3">
      <c r="A2516" t="s">
        <v>2647</v>
      </c>
      <c r="B2516" t="s">
        <v>26</v>
      </c>
      <c r="C2516" t="str">
        <f>_xlfn.XLOOKUP(B2516,
[1]sales_teams!$A$2:$A$100,
[1]sales_teams!$B$2:$B$100)</f>
        <v>Dustin Brinkmann</v>
      </c>
      <c r="D2516" t="str">
        <f>_xlfn.XLOOKUP($B2516,sales_teams!$A$2:$A$36,sales_teams!C$2:C$36)</f>
        <v>Central</v>
      </c>
      <c r="E2516" t="s">
        <v>18</v>
      </c>
      <c r="F2516" t="s">
        <v>303</v>
      </c>
      <c r="G2516" t="s">
        <v>12</v>
      </c>
      <c r="H2516" s="1">
        <v>42843</v>
      </c>
      <c r="I2516" s="1">
        <v>42850</v>
      </c>
      <c r="J2516">
        <v>51</v>
      </c>
    </row>
    <row r="2517" spans="1:10" x14ac:dyDescent="0.3">
      <c r="A2517" t="s">
        <v>2648</v>
      </c>
      <c r="B2517" t="s">
        <v>26</v>
      </c>
      <c r="C2517" t="str">
        <f>_xlfn.XLOOKUP(B2517,
[1]sales_teams!$A$2:$A$100,
[1]sales_teams!$B$2:$B$100)</f>
        <v>Dustin Brinkmann</v>
      </c>
      <c r="D2517" t="str">
        <f>_xlfn.XLOOKUP($B2517,sales_teams!$A$2:$A$36,sales_teams!C$2:C$36)</f>
        <v>Central</v>
      </c>
      <c r="E2517" t="s">
        <v>18</v>
      </c>
      <c r="F2517" t="s">
        <v>218</v>
      </c>
      <c r="G2517" t="s">
        <v>12</v>
      </c>
      <c r="H2517" s="1">
        <v>42843</v>
      </c>
      <c r="I2517" s="1">
        <v>42906</v>
      </c>
      <c r="J2517">
        <v>54</v>
      </c>
    </row>
    <row r="2518" spans="1:10" x14ac:dyDescent="0.3">
      <c r="A2518" t="s">
        <v>2649</v>
      </c>
      <c r="B2518" t="s">
        <v>26</v>
      </c>
      <c r="C2518" t="str">
        <f>_xlfn.XLOOKUP(B2518,
[1]sales_teams!$A$2:$A$100,
[1]sales_teams!$B$2:$B$100)</f>
        <v>Dustin Brinkmann</v>
      </c>
      <c r="D2518" t="str">
        <f>_xlfn.XLOOKUP($B2518,sales_teams!$A$2:$A$36,sales_teams!C$2:C$36)</f>
        <v>Central</v>
      </c>
      <c r="E2518" t="s">
        <v>18</v>
      </c>
      <c r="F2518" t="s">
        <v>120</v>
      </c>
      <c r="G2518" t="s">
        <v>12</v>
      </c>
      <c r="H2518" s="1">
        <v>42843</v>
      </c>
      <c r="I2518" s="1">
        <v>42852</v>
      </c>
      <c r="J2518">
        <v>56</v>
      </c>
    </row>
    <row r="2519" spans="1:10" x14ac:dyDescent="0.3">
      <c r="A2519" t="s">
        <v>2650</v>
      </c>
      <c r="B2519" t="s">
        <v>139</v>
      </c>
      <c r="C2519" t="str">
        <f>_xlfn.XLOOKUP(B2519,
[1]sales_teams!$A$2:$A$100,
[1]sales_teams!$B$2:$B$100)</f>
        <v>Rocco Neubert</v>
      </c>
      <c r="D2519" t="str">
        <f>_xlfn.XLOOKUP($B2519,sales_teams!$A$2:$A$36,sales_teams!C$2:C$36)</f>
        <v>East</v>
      </c>
      <c r="E2519" t="s">
        <v>15</v>
      </c>
      <c r="F2519" t="s">
        <v>155</v>
      </c>
      <c r="G2519" t="s">
        <v>46</v>
      </c>
      <c r="H2519" s="1">
        <v>42843</v>
      </c>
      <c r="I2519" s="1">
        <v>42882</v>
      </c>
      <c r="J2519">
        <v>0</v>
      </c>
    </row>
    <row r="2520" spans="1:10" x14ac:dyDescent="0.3">
      <c r="A2520" t="s">
        <v>2651</v>
      </c>
      <c r="B2520" t="s">
        <v>118</v>
      </c>
      <c r="C2520" t="str">
        <f>_xlfn.XLOOKUP(B2520,
[1]sales_teams!$A$2:$A$100,
[1]sales_teams!$B$2:$B$100)</f>
        <v>Rocco Neubert</v>
      </c>
      <c r="D2520" t="str">
        <f>_xlfn.XLOOKUP($B2520,sales_teams!$A$2:$A$36,sales_teams!C$2:C$36)</f>
        <v>East</v>
      </c>
      <c r="E2520" t="s">
        <v>39</v>
      </c>
      <c r="F2520" t="s">
        <v>237</v>
      </c>
      <c r="G2520" t="s">
        <v>12</v>
      </c>
      <c r="H2520" s="1">
        <v>42843</v>
      </c>
      <c r="I2520" s="1">
        <v>42951</v>
      </c>
      <c r="J2520">
        <v>3808</v>
      </c>
    </row>
    <row r="2521" spans="1:10" x14ac:dyDescent="0.3">
      <c r="A2521" t="s">
        <v>2652</v>
      </c>
      <c r="B2521" t="s">
        <v>164</v>
      </c>
      <c r="C2521" t="str">
        <f>_xlfn.XLOOKUP(B2521,
[1]sales_teams!$A$2:$A$100,
[1]sales_teams!$B$2:$B$100)</f>
        <v>Cara Losch</v>
      </c>
      <c r="D2521" t="str">
        <f>_xlfn.XLOOKUP($B2521,sales_teams!$A$2:$A$36,sales_teams!C$2:C$36)</f>
        <v>East</v>
      </c>
      <c r="E2521" t="s">
        <v>48</v>
      </c>
      <c r="F2521" t="s">
        <v>278</v>
      </c>
      <c r="G2521" t="s">
        <v>46</v>
      </c>
      <c r="H2521" s="1">
        <v>42843</v>
      </c>
      <c r="I2521" s="1">
        <v>42859</v>
      </c>
      <c r="J2521">
        <v>0</v>
      </c>
    </row>
    <row r="2522" spans="1:10" x14ac:dyDescent="0.3">
      <c r="A2522" t="s">
        <v>2653</v>
      </c>
      <c r="B2522" t="s">
        <v>164</v>
      </c>
      <c r="C2522" t="str">
        <f>_xlfn.XLOOKUP(B2522,
[1]sales_teams!$A$2:$A$100,
[1]sales_teams!$B$2:$B$100)</f>
        <v>Cara Losch</v>
      </c>
      <c r="D2522" t="str">
        <f>_xlfn.XLOOKUP($B2522,sales_teams!$A$2:$A$36,sales_teams!C$2:C$36)</f>
        <v>East</v>
      </c>
      <c r="E2522" t="s">
        <v>39</v>
      </c>
      <c r="F2522" t="s">
        <v>199</v>
      </c>
      <c r="G2522" t="s">
        <v>12</v>
      </c>
      <c r="H2522" s="1">
        <v>42843</v>
      </c>
      <c r="I2522" s="1">
        <v>42858</v>
      </c>
      <c r="J2522">
        <v>3041</v>
      </c>
    </row>
    <row r="2523" spans="1:10" x14ac:dyDescent="0.3">
      <c r="A2523" t="s">
        <v>2654</v>
      </c>
      <c r="B2523" t="s">
        <v>142</v>
      </c>
      <c r="C2523" t="str">
        <f>_xlfn.XLOOKUP(B2523,
[1]sales_teams!$A$2:$A$100,
[1]sales_teams!$B$2:$B$100)</f>
        <v>Rocco Neubert</v>
      </c>
      <c r="D2523" t="str">
        <f>_xlfn.XLOOKUP($B2523,sales_teams!$A$2:$A$36,sales_teams!C$2:C$36)</f>
        <v>East</v>
      </c>
      <c r="E2523" t="s">
        <v>20</v>
      </c>
      <c r="F2523" t="s">
        <v>65</v>
      </c>
      <c r="G2523" t="s">
        <v>46</v>
      </c>
      <c r="H2523" s="1">
        <v>42843</v>
      </c>
      <c r="I2523" s="1">
        <v>42850</v>
      </c>
      <c r="J2523">
        <v>0</v>
      </c>
    </row>
    <row r="2524" spans="1:10" x14ac:dyDescent="0.3">
      <c r="A2524" t="s">
        <v>2655</v>
      </c>
      <c r="B2524" t="s">
        <v>67</v>
      </c>
      <c r="C2524" t="str">
        <f>_xlfn.XLOOKUP(B2524,
[1]sales_teams!$A$2:$A$100,
[1]sales_teams!$B$2:$B$100)</f>
        <v>Celia Rouche</v>
      </c>
      <c r="D2524" t="str">
        <f>_xlfn.XLOOKUP($B2524,sales_teams!$A$2:$A$36,sales_teams!C$2:C$36)</f>
        <v>West</v>
      </c>
      <c r="E2524" t="s">
        <v>145</v>
      </c>
      <c r="F2524" t="s">
        <v>65</v>
      </c>
      <c r="G2524" t="s">
        <v>40</v>
      </c>
      <c r="H2524" s="1">
        <v>42843</v>
      </c>
    </row>
    <row r="2525" spans="1:10" x14ac:dyDescent="0.3">
      <c r="A2525" t="s">
        <v>2656</v>
      </c>
      <c r="B2525" t="s">
        <v>105</v>
      </c>
      <c r="C2525" t="str">
        <f>_xlfn.XLOOKUP(B2525,
[1]sales_teams!$A$2:$A$100,
[1]sales_teams!$B$2:$B$100)</f>
        <v>Cara Losch</v>
      </c>
      <c r="D2525" t="str">
        <f>_xlfn.XLOOKUP($B2525,sales_teams!$A$2:$A$36,sales_teams!C$2:C$36)</f>
        <v>East</v>
      </c>
      <c r="E2525" t="s">
        <v>39</v>
      </c>
      <c r="F2525" t="s">
        <v>218</v>
      </c>
      <c r="G2525" t="s">
        <v>46</v>
      </c>
      <c r="H2525" s="1">
        <v>42843</v>
      </c>
      <c r="I2525" s="1">
        <v>42855</v>
      </c>
      <c r="J2525">
        <v>0</v>
      </c>
    </row>
    <row r="2526" spans="1:10" x14ac:dyDescent="0.3">
      <c r="A2526" t="s">
        <v>2657</v>
      </c>
      <c r="B2526" t="s">
        <v>44</v>
      </c>
      <c r="C2526" t="str">
        <f>_xlfn.XLOOKUP(B2526,
[1]sales_teams!$A$2:$A$100,
[1]sales_teams!$B$2:$B$100)</f>
        <v>Melvin Marxen</v>
      </c>
      <c r="D2526" t="str">
        <f>_xlfn.XLOOKUP($B2526,sales_teams!$A$2:$A$36,sales_teams!C$2:C$36)</f>
        <v>Central</v>
      </c>
      <c r="E2526" t="s">
        <v>15</v>
      </c>
      <c r="F2526" t="s">
        <v>16</v>
      </c>
      <c r="G2526" t="s">
        <v>46</v>
      </c>
      <c r="H2526" s="1">
        <v>42843</v>
      </c>
      <c r="I2526" s="1">
        <v>42859</v>
      </c>
      <c r="J2526">
        <v>0</v>
      </c>
    </row>
    <row r="2527" spans="1:10" x14ac:dyDescent="0.3">
      <c r="A2527" t="s">
        <v>2658</v>
      </c>
      <c r="B2527" t="s">
        <v>54</v>
      </c>
      <c r="C2527" t="str">
        <f>_xlfn.XLOOKUP(B2527,
[1]sales_teams!$A$2:$A$100,
[1]sales_teams!$B$2:$B$100)</f>
        <v>Celia Rouche</v>
      </c>
      <c r="D2527" t="str">
        <f>_xlfn.XLOOKUP($B2527,sales_teams!$A$2:$A$36,sales_teams!C$2:C$36)</f>
        <v>West</v>
      </c>
      <c r="E2527" t="s">
        <v>48</v>
      </c>
      <c r="F2527" t="s">
        <v>148</v>
      </c>
      <c r="G2527" t="s">
        <v>46</v>
      </c>
      <c r="H2527" s="1">
        <v>42843</v>
      </c>
      <c r="I2527" s="1">
        <v>42848</v>
      </c>
      <c r="J2527">
        <v>0</v>
      </c>
    </row>
    <row r="2528" spans="1:10" x14ac:dyDescent="0.3">
      <c r="A2528" t="s">
        <v>2659</v>
      </c>
      <c r="B2528" t="s">
        <v>38</v>
      </c>
      <c r="C2528" t="str">
        <f>_xlfn.XLOOKUP(B2528,
[1]sales_teams!$A$2:$A$100,
[1]sales_teams!$B$2:$B$100)</f>
        <v>Summer Sewald</v>
      </c>
      <c r="D2528" t="str">
        <f>_xlfn.XLOOKUP($B2528,sales_teams!$A$2:$A$36,sales_teams!C$2:C$36)</f>
        <v>West</v>
      </c>
      <c r="E2528" t="s">
        <v>39</v>
      </c>
      <c r="G2528" t="s">
        <v>40</v>
      </c>
      <c r="H2528" s="1">
        <v>42843</v>
      </c>
    </row>
    <row r="2529" spans="1:10" x14ac:dyDescent="0.3">
      <c r="A2529" t="s">
        <v>2660</v>
      </c>
      <c r="B2529" t="s">
        <v>38</v>
      </c>
      <c r="C2529" t="str">
        <f>_xlfn.XLOOKUP(B2529,
[1]sales_teams!$A$2:$A$100,
[1]sales_teams!$B$2:$B$100)</f>
        <v>Summer Sewald</v>
      </c>
      <c r="D2529" t="str">
        <f>_xlfn.XLOOKUP($B2529,sales_teams!$A$2:$A$36,sales_teams!C$2:C$36)</f>
        <v>West</v>
      </c>
      <c r="E2529" t="s">
        <v>10</v>
      </c>
      <c r="F2529" t="s">
        <v>122</v>
      </c>
      <c r="G2529" t="s">
        <v>46</v>
      </c>
      <c r="H2529" s="1">
        <v>42843</v>
      </c>
      <c r="I2529" s="1">
        <v>42845</v>
      </c>
      <c r="J2529">
        <v>0</v>
      </c>
    </row>
    <row r="2530" spans="1:10" x14ac:dyDescent="0.3">
      <c r="A2530" t="s">
        <v>2661</v>
      </c>
      <c r="B2530" t="s">
        <v>38</v>
      </c>
      <c r="C2530" t="str">
        <f>_xlfn.XLOOKUP(B2530,
[1]sales_teams!$A$2:$A$100,
[1]sales_teams!$B$2:$B$100)</f>
        <v>Summer Sewald</v>
      </c>
      <c r="D2530" t="str">
        <f>_xlfn.XLOOKUP($B2530,sales_teams!$A$2:$A$36,sales_teams!C$2:C$36)</f>
        <v>West</v>
      </c>
      <c r="E2530" t="s">
        <v>18</v>
      </c>
      <c r="F2530" t="s">
        <v>155</v>
      </c>
      <c r="G2530" t="s">
        <v>12</v>
      </c>
      <c r="H2530" s="1">
        <v>42843</v>
      </c>
      <c r="I2530" s="1">
        <v>42854</v>
      </c>
      <c r="J2530">
        <v>44</v>
      </c>
    </row>
    <row r="2531" spans="1:10" x14ac:dyDescent="0.3">
      <c r="A2531" t="s">
        <v>2662</v>
      </c>
      <c r="B2531" t="s">
        <v>78</v>
      </c>
      <c r="C2531" t="str">
        <f>_xlfn.XLOOKUP(B2531,
[1]sales_teams!$A$2:$A$100,
[1]sales_teams!$B$2:$B$100)</f>
        <v>Summer Sewald</v>
      </c>
      <c r="D2531" t="str">
        <f>_xlfn.XLOOKUP($B2531,sales_teams!$A$2:$A$36,sales_teams!C$2:C$36)</f>
        <v>West</v>
      </c>
      <c r="E2531" t="s">
        <v>48</v>
      </c>
      <c r="F2531" t="s">
        <v>93</v>
      </c>
      <c r="G2531" t="s">
        <v>46</v>
      </c>
      <c r="H2531" s="1">
        <v>42843</v>
      </c>
      <c r="I2531" s="1">
        <v>42849</v>
      </c>
      <c r="J2531">
        <v>0</v>
      </c>
    </row>
    <row r="2532" spans="1:10" x14ac:dyDescent="0.3">
      <c r="A2532" t="s">
        <v>2663</v>
      </c>
      <c r="B2532" t="s">
        <v>78</v>
      </c>
      <c r="C2532" t="str">
        <f>_xlfn.XLOOKUP(B2532,
[1]sales_teams!$A$2:$A$100,
[1]sales_teams!$B$2:$B$100)</f>
        <v>Summer Sewald</v>
      </c>
      <c r="D2532" t="str">
        <f>_xlfn.XLOOKUP($B2532,sales_teams!$A$2:$A$36,sales_teams!C$2:C$36)</f>
        <v>West</v>
      </c>
      <c r="E2532" t="s">
        <v>20</v>
      </c>
      <c r="F2532" t="s">
        <v>224</v>
      </c>
      <c r="G2532" t="s">
        <v>12</v>
      </c>
      <c r="H2532" s="1">
        <v>42843</v>
      </c>
      <c r="I2532" s="1">
        <v>42849</v>
      </c>
      <c r="J2532">
        <v>552</v>
      </c>
    </row>
    <row r="2533" spans="1:10" x14ac:dyDescent="0.3">
      <c r="A2533" t="s">
        <v>2664</v>
      </c>
      <c r="B2533" t="s">
        <v>95</v>
      </c>
      <c r="C2533" t="str">
        <f>_xlfn.XLOOKUP(B2533,
[1]sales_teams!$A$2:$A$100,
[1]sales_teams!$B$2:$B$100)</f>
        <v>Summer Sewald</v>
      </c>
      <c r="D2533" t="str">
        <f>_xlfn.XLOOKUP($B2533,sales_teams!$A$2:$A$36,sales_teams!C$2:C$36)</f>
        <v>West</v>
      </c>
      <c r="E2533" t="s">
        <v>48</v>
      </c>
      <c r="F2533" t="s">
        <v>140</v>
      </c>
      <c r="G2533" t="s">
        <v>40</v>
      </c>
      <c r="H2533" s="1">
        <v>42843</v>
      </c>
    </row>
    <row r="2534" spans="1:10" x14ac:dyDescent="0.3">
      <c r="A2534" t="s">
        <v>2665</v>
      </c>
      <c r="B2534" t="s">
        <v>95</v>
      </c>
      <c r="C2534" t="str">
        <f>_xlfn.XLOOKUP(B2534,
[1]sales_teams!$A$2:$A$100,
[1]sales_teams!$B$2:$B$100)</f>
        <v>Summer Sewald</v>
      </c>
      <c r="D2534" t="str">
        <f>_xlfn.XLOOKUP($B2534,sales_teams!$A$2:$A$36,sales_teams!C$2:C$36)</f>
        <v>West</v>
      </c>
      <c r="E2534" t="s">
        <v>20</v>
      </c>
      <c r="F2534" t="s">
        <v>555</v>
      </c>
      <c r="G2534" t="s">
        <v>12</v>
      </c>
      <c r="H2534" s="1">
        <v>42843</v>
      </c>
      <c r="I2534" s="1">
        <v>42851</v>
      </c>
      <c r="J2534">
        <v>474</v>
      </c>
    </row>
    <row r="2535" spans="1:10" x14ac:dyDescent="0.3">
      <c r="A2535" t="s">
        <v>2666</v>
      </c>
      <c r="B2535" t="s">
        <v>95</v>
      </c>
      <c r="C2535" t="str">
        <f>_xlfn.XLOOKUP(B2535,
[1]sales_teams!$A$2:$A$100,
[1]sales_teams!$B$2:$B$100)</f>
        <v>Summer Sewald</v>
      </c>
      <c r="D2535" t="str">
        <f>_xlfn.XLOOKUP($B2535,sales_teams!$A$2:$A$36,sales_teams!C$2:C$36)</f>
        <v>West</v>
      </c>
      <c r="E2535" t="s">
        <v>10</v>
      </c>
      <c r="F2535" t="s">
        <v>93</v>
      </c>
      <c r="G2535" t="s">
        <v>12</v>
      </c>
      <c r="H2535" s="1">
        <v>42843</v>
      </c>
      <c r="I2535" s="1">
        <v>42847</v>
      </c>
      <c r="J2535">
        <v>1158</v>
      </c>
    </row>
    <row r="2536" spans="1:10" x14ac:dyDescent="0.3">
      <c r="A2536" t="s">
        <v>2667</v>
      </c>
      <c r="B2536" t="s">
        <v>95</v>
      </c>
      <c r="C2536" t="str">
        <f>_xlfn.XLOOKUP(B2536,
[1]sales_teams!$A$2:$A$100,
[1]sales_teams!$B$2:$B$100)</f>
        <v>Summer Sewald</v>
      </c>
      <c r="D2536" t="str">
        <f>_xlfn.XLOOKUP($B2536,sales_teams!$A$2:$A$36,sales_teams!C$2:C$36)</f>
        <v>West</v>
      </c>
      <c r="E2536" t="s">
        <v>48</v>
      </c>
      <c r="F2536" t="s">
        <v>194</v>
      </c>
      <c r="G2536" t="s">
        <v>12</v>
      </c>
      <c r="H2536" s="1">
        <v>42843</v>
      </c>
      <c r="I2536" s="1">
        <v>42844</v>
      </c>
      <c r="J2536">
        <v>5839</v>
      </c>
    </row>
    <row r="2537" spans="1:10" x14ac:dyDescent="0.3">
      <c r="A2537" t="s">
        <v>2668</v>
      </c>
      <c r="B2537" t="s">
        <v>95</v>
      </c>
      <c r="C2537" t="str">
        <f>_xlfn.XLOOKUP(B2537,
[1]sales_teams!$A$2:$A$100,
[1]sales_teams!$B$2:$B$100)</f>
        <v>Summer Sewald</v>
      </c>
      <c r="D2537" t="str">
        <f>_xlfn.XLOOKUP($B2537,sales_teams!$A$2:$A$36,sales_teams!C$2:C$36)</f>
        <v>West</v>
      </c>
      <c r="E2537" t="s">
        <v>15</v>
      </c>
      <c r="F2537" t="s">
        <v>273</v>
      </c>
      <c r="G2537" t="s">
        <v>12</v>
      </c>
      <c r="H2537" s="1">
        <v>42843</v>
      </c>
      <c r="I2537" s="1">
        <v>42953</v>
      </c>
      <c r="J2537">
        <v>4554</v>
      </c>
    </row>
    <row r="2538" spans="1:10" x14ac:dyDescent="0.3">
      <c r="A2538" t="s">
        <v>2669</v>
      </c>
      <c r="B2538" t="s">
        <v>95</v>
      </c>
      <c r="C2538" t="str">
        <f>_xlfn.XLOOKUP(B2538,
[1]sales_teams!$A$2:$A$100,
[1]sales_teams!$B$2:$B$100)</f>
        <v>Summer Sewald</v>
      </c>
      <c r="D2538" t="str">
        <f>_xlfn.XLOOKUP($B2538,sales_teams!$A$2:$A$36,sales_teams!C$2:C$36)</f>
        <v>West</v>
      </c>
      <c r="E2538" t="s">
        <v>15</v>
      </c>
      <c r="F2538" t="s">
        <v>93</v>
      </c>
      <c r="G2538" t="s">
        <v>12</v>
      </c>
      <c r="H2538" s="1">
        <v>42843</v>
      </c>
      <c r="I2538" s="1">
        <v>42849</v>
      </c>
      <c r="J2538">
        <v>5078</v>
      </c>
    </row>
    <row r="2539" spans="1:10" x14ac:dyDescent="0.3">
      <c r="A2539" t="s">
        <v>2670</v>
      </c>
      <c r="B2539" t="s">
        <v>133</v>
      </c>
      <c r="C2539" t="str">
        <f>_xlfn.XLOOKUP(B2539,
[1]sales_teams!$A$2:$A$100,
[1]sales_teams!$B$2:$B$100)</f>
        <v>Dustin Brinkmann</v>
      </c>
      <c r="D2539" t="str">
        <f>_xlfn.XLOOKUP($B2539,sales_teams!$A$2:$A$36,sales_teams!C$2:C$36)</f>
        <v>Central</v>
      </c>
      <c r="E2539" t="s">
        <v>10</v>
      </c>
      <c r="F2539" t="s">
        <v>45</v>
      </c>
      <c r="G2539" t="s">
        <v>46</v>
      </c>
      <c r="H2539" s="1">
        <v>42843</v>
      </c>
      <c r="I2539" s="1">
        <v>42851</v>
      </c>
      <c r="J2539">
        <v>0</v>
      </c>
    </row>
    <row r="2540" spans="1:10" x14ac:dyDescent="0.3">
      <c r="A2540" t="s">
        <v>2671</v>
      </c>
      <c r="B2540" t="s">
        <v>32</v>
      </c>
      <c r="C2540" t="str">
        <f>_xlfn.XLOOKUP(B2540,
[1]sales_teams!$A$2:$A$100,
[1]sales_teams!$B$2:$B$100)</f>
        <v>Celia Rouche</v>
      </c>
      <c r="D2540" t="str">
        <f>_xlfn.XLOOKUP($B2540,sales_teams!$A$2:$A$36,sales_teams!C$2:C$36)</f>
        <v>West</v>
      </c>
      <c r="E2540" t="s">
        <v>20</v>
      </c>
      <c r="F2540" t="s">
        <v>33</v>
      </c>
      <c r="G2540" t="s">
        <v>12</v>
      </c>
      <c r="H2540" s="1">
        <v>42843</v>
      </c>
      <c r="I2540" s="1">
        <v>42890</v>
      </c>
      <c r="J2540">
        <v>561</v>
      </c>
    </row>
    <row r="2541" spans="1:10" x14ac:dyDescent="0.3">
      <c r="A2541" t="s">
        <v>2672</v>
      </c>
      <c r="B2541" t="s">
        <v>51</v>
      </c>
      <c r="C2541" t="str">
        <f>_xlfn.XLOOKUP(B2541,
[1]sales_teams!$A$2:$A$100,
[1]sales_teams!$B$2:$B$100)</f>
        <v>Summer Sewald</v>
      </c>
      <c r="D2541" t="str">
        <f>_xlfn.XLOOKUP($B2541,sales_teams!$A$2:$A$36,sales_teams!C$2:C$36)</f>
        <v>West</v>
      </c>
      <c r="E2541" t="s">
        <v>10</v>
      </c>
      <c r="G2541" t="s">
        <v>40</v>
      </c>
      <c r="H2541" s="1">
        <v>42843</v>
      </c>
    </row>
    <row r="2542" spans="1:10" x14ac:dyDescent="0.3">
      <c r="A2542" t="s">
        <v>2673</v>
      </c>
      <c r="B2542" t="s">
        <v>51</v>
      </c>
      <c r="C2542" t="str">
        <f>_xlfn.XLOOKUP(B2542,
[1]sales_teams!$A$2:$A$100,
[1]sales_teams!$B$2:$B$100)</f>
        <v>Summer Sewald</v>
      </c>
      <c r="D2542" t="str">
        <f>_xlfn.XLOOKUP($B2542,sales_teams!$A$2:$A$36,sales_teams!C$2:C$36)</f>
        <v>West</v>
      </c>
      <c r="E2542" t="s">
        <v>10</v>
      </c>
      <c r="F2542" t="s">
        <v>55</v>
      </c>
      <c r="G2542" t="s">
        <v>46</v>
      </c>
      <c r="H2542" s="1">
        <v>42843</v>
      </c>
      <c r="I2542" s="1">
        <v>42847</v>
      </c>
      <c r="J2542">
        <v>0</v>
      </c>
    </row>
    <row r="2543" spans="1:10" x14ac:dyDescent="0.3">
      <c r="A2543" t="s">
        <v>2674</v>
      </c>
      <c r="B2543" t="s">
        <v>35</v>
      </c>
      <c r="C2543" t="str">
        <f>_xlfn.XLOOKUP(B2543,
[1]sales_teams!$A$2:$A$100,
[1]sales_teams!$B$2:$B$100)</f>
        <v>Melvin Marxen</v>
      </c>
      <c r="D2543" t="str">
        <f>_xlfn.XLOOKUP($B2543,sales_teams!$A$2:$A$36,sales_teams!C$2:C$36)</f>
        <v>Central</v>
      </c>
      <c r="E2543" t="s">
        <v>39</v>
      </c>
      <c r="F2543" t="s">
        <v>27</v>
      </c>
      <c r="G2543" t="s">
        <v>46</v>
      </c>
      <c r="H2543" s="1">
        <v>42843</v>
      </c>
      <c r="I2543" s="1">
        <v>42877</v>
      </c>
      <c r="J2543">
        <v>0</v>
      </c>
    </row>
    <row r="2544" spans="1:10" x14ac:dyDescent="0.3">
      <c r="A2544" t="s">
        <v>2675</v>
      </c>
      <c r="B2544" t="s">
        <v>35</v>
      </c>
      <c r="C2544" t="str">
        <f>_xlfn.XLOOKUP(B2544,
[1]sales_teams!$A$2:$A$100,
[1]sales_teams!$B$2:$B$100)</f>
        <v>Melvin Marxen</v>
      </c>
      <c r="D2544" t="str">
        <f>_xlfn.XLOOKUP($B2544,sales_teams!$A$2:$A$36,sales_teams!C$2:C$36)</f>
        <v>Central</v>
      </c>
      <c r="E2544" t="s">
        <v>39</v>
      </c>
      <c r="F2544" t="s">
        <v>318</v>
      </c>
      <c r="G2544" t="s">
        <v>12</v>
      </c>
      <c r="H2544" s="1">
        <v>42843</v>
      </c>
      <c r="I2544" s="1">
        <v>42844</v>
      </c>
      <c r="J2544">
        <v>3392</v>
      </c>
    </row>
    <row r="2545" spans="1:10" x14ac:dyDescent="0.3">
      <c r="A2545" t="s">
        <v>2676</v>
      </c>
      <c r="B2545" t="s">
        <v>88</v>
      </c>
      <c r="C2545" t="str">
        <f>_xlfn.XLOOKUP(B2545,
[1]sales_teams!$A$2:$A$100,
[1]sales_teams!$B$2:$B$100)</f>
        <v>Cara Losch</v>
      </c>
      <c r="D2545" t="str">
        <f>_xlfn.XLOOKUP($B2545,sales_teams!$A$2:$A$36,sales_teams!C$2:C$36)</f>
        <v>East</v>
      </c>
      <c r="E2545" t="s">
        <v>48</v>
      </c>
      <c r="G2545" t="s">
        <v>40</v>
      </c>
      <c r="H2545" s="1">
        <v>42843</v>
      </c>
    </row>
    <row r="2546" spans="1:10" x14ac:dyDescent="0.3">
      <c r="A2546" t="s">
        <v>2677</v>
      </c>
      <c r="B2546" t="s">
        <v>29</v>
      </c>
      <c r="C2546" t="str">
        <f>_xlfn.XLOOKUP(B2546,
[1]sales_teams!$A$2:$A$100,
[1]sales_teams!$B$2:$B$100)</f>
        <v>Celia Rouche</v>
      </c>
      <c r="D2546" t="str">
        <f>_xlfn.XLOOKUP($B2546,sales_teams!$A$2:$A$36,sales_teams!C$2:C$36)</f>
        <v>West</v>
      </c>
      <c r="E2546" t="s">
        <v>18</v>
      </c>
      <c r="G2546" t="s">
        <v>40</v>
      </c>
      <c r="H2546" s="1">
        <v>42843</v>
      </c>
    </row>
    <row r="2547" spans="1:10" x14ac:dyDescent="0.3">
      <c r="A2547" t="s">
        <v>2678</v>
      </c>
      <c r="B2547" t="s">
        <v>29</v>
      </c>
      <c r="C2547" t="str">
        <f>_xlfn.XLOOKUP(B2547,
[1]sales_teams!$A$2:$A$100,
[1]sales_teams!$B$2:$B$100)</f>
        <v>Celia Rouche</v>
      </c>
      <c r="D2547" t="str">
        <f>_xlfn.XLOOKUP($B2547,sales_teams!$A$2:$A$36,sales_teams!C$2:C$36)</f>
        <v>West</v>
      </c>
      <c r="E2547" t="s">
        <v>39</v>
      </c>
      <c r="G2547" t="s">
        <v>40</v>
      </c>
      <c r="H2547" s="1">
        <v>42843</v>
      </c>
    </row>
    <row r="2548" spans="1:10" x14ac:dyDescent="0.3">
      <c r="A2548" t="s">
        <v>2679</v>
      </c>
      <c r="B2548" t="s">
        <v>29</v>
      </c>
      <c r="C2548" t="str">
        <f>_xlfn.XLOOKUP(B2548,
[1]sales_teams!$A$2:$A$100,
[1]sales_teams!$B$2:$B$100)</f>
        <v>Celia Rouche</v>
      </c>
      <c r="D2548" t="str">
        <f>_xlfn.XLOOKUP($B2548,sales_teams!$A$2:$A$36,sales_teams!C$2:C$36)</f>
        <v>West</v>
      </c>
      <c r="E2548" t="s">
        <v>15</v>
      </c>
      <c r="F2548" t="s">
        <v>70</v>
      </c>
      <c r="G2548" t="s">
        <v>12</v>
      </c>
      <c r="H2548" s="1">
        <v>42843</v>
      </c>
      <c r="I2548" s="1">
        <v>42845</v>
      </c>
      <c r="J2548">
        <v>5040</v>
      </c>
    </row>
    <row r="2549" spans="1:10" x14ac:dyDescent="0.3">
      <c r="A2549" t="s">
        <v>2680</v>
      </c>
      <c r="B2549" t="s">
        <v>73</v>
      </c>
      <c r="C2549" t="str">
        <f>_xlfn.XLOOKUP(B2549,
[1]sales_teams!$A$2:$A$100,
[1]sales_teams!$B$2:$B$100)</f>
        <v>Cara Losch</v>
      </c>
      <c r="D2549" t="str">
        <f>_xlfn.XLOOKUP($B2549,sales_teams!$A$2:$A$36,sales_teams!C$2:C$36)</f>
        <v>East</v>
      </c>
      <c r="E2549" t="s">
        <v>18</v>
      </c>
      <c r="G2549" t="s">
        <v>40</v>
      </c>
      <c r="H2549" s="1">
        <v>42843</v>
      </c>
    </row>
    <row r="2550" spans="1:10" x14ac:dyDescent="0.3">
      <c r="A2550" t="s">
        <v>2681</v>
      </c>
      <c r="B2550" t="s">
        <v>73</v>
      </c>
      <c r="C2550" t="str">
        <f>_xlfn.XLOOKUP(B2550,
[1]sales_teams!$A$2:$A$100,
[1]sales_teams!$B$2:$B$100)</f>
        <v>Cara Losch</v>
      </c>
      <c r="D2550" t="str">
        <f>_xlfn.XLOOKUP($B2550,sales_teams!$A$2:$A$36,sales_teams!C$2:C$36)</f>
        <v>East</v>
      </c>
      <c r="E2550" t="s">
        <v>18</v>
      </c>
      <c r="G2550" t="s">
        <v>40</v>
      </c>
      <c r="H2550" s="1">
        <v>42843</v>
      </c>
    </row>
    <row r="2551" spans="1:10" x14ac:dyDescent="0.3">
      <c r="A2551" t="s">
        <v>2682</v>
      </c>
      <c r="B2551" t="s">
        <v>23</v>
      </c>
      <c r="C2551" t="str">
        <f>_xlfn.XLOOKUP(B2551,
[1]sales_teams!$A$2:$A$100,
[1]sales_teams!$B$2:$B$100)</f>
        <v>Summer Sewald</v>
      </c>
      <c r="D2551" t="str">
        <f>_xlfn.XLOOKUP($B2551,sales_teams!$A$2:$A$36,sales_teams!C$2:C$36)</f>
        <v>West</v>
      </c>
      <c r="E2551" t="s">
        <v>15</v>
      </c>
      <c r="F2551" t="s">
        <v>148</v>
      </c>
      <c r="G2551" t="s">
        <v>46</v>
      </c>
      <c r="H2551" s="1">
        <v>42843</v>
      </c>
      <c r="I2551" s="1">
        <v>42849</v>
      </c>
      <c r="J2551">
        <v>0</v>
      </c>
    </row>
    <row r="2552" spans="1:10" x14ac:dyDescent="0.3">
      <c r="A2552" t="s">
        <v>2683</v>
      </c>
      <c r="B2552" t="s">
        <v>23</v>
      </c>
      <c r="C2552" t="str">
        <f>_xlfn.XLOOKUP(B2552,
[1]sales_teams!$A$2:$A$100,
[1]sales_teams!$B$2:$B$100)</f>
        <v>Summer Sewald</v>
      </c>
      <c r="D2552" t="str">
        <f>_xlfn.XLOOKUP($B2552,sales_teams!$A$2:$A$36,sales_teams!C$2:C$36)</f>
        <v>West</v>
      </c>
      <c r="E2552" t="s">
        <v>39</v>
      </c>
      <c r="F2552" t="s">
        <v>68</v>
      </c>
      <c r="G2552" t="s">
        <v>46</v>
      </c>
      <c r="H2552" s="1">
        <v>42843</v>
      </c>
      <c r="I2552" s="1">
        <v>42850</v>
      </c>
      <c r="J2552">
        <v>0</v>
      </c>
    </row>
    <row r="2553" spans="1:10" x14ac:dyDescent="0.3">
      <c r="A2553" t="s">
        <v>2684</v>
      </c>
      <c r="B2553" t="s">
        <v>23</v>
      </c>
      <c r="C2553" t="str">
        <f>_xlfn.XLOOKUP(B2553,
[1]sales_teams!$A$2:$A$100,
[1]sales_teams!$B$2:$B$100)</f>
        <v>Summer Sewald</v>
      </c>
      <c r="D2553" t="str">
        <f>_xlfn.XLOOKUP($B2553,sales_teams!$A$2:$A$36,sales_teams!C$2:C$36)</f>
        <v>West</v>
      </c>
      <c r="E2553" t="s">
        <v>48</v>
      </c>
      <c r="F2553" t="s">
        <v>52</v>
      </c>
      <c r="G2553" t="s">
        <v>12</v>
      </c>
      <c r="H2553" s="1">
        <v>42843</v>
      </c>
      <c r="I2553" s="1">
        <v>42850</v>
      </c>
      <c r="J2553">
        <v>5853</v>
      </c>
    </row>
    <row r="2554" spans="1:10" x14ac:dyDescent="0.3">
      <c r="A2554" t="s">
        <v>2685</v>
      </c>
      <c r="B2554" t="s">
        <v>26</v>
      </c>
      <c r="C2554" t="str">
        <f>_xlfn.XLOOKUP(B2554,
[1]sales_teams!$A$2:$A$100,
[1]sales_teams!$B$2:$B$100)</f>
        <v>Dustin Brinkmann</v>
      </c>
      <c r="D2554" t="str">
        <f>_xlfn.XLOOKUP($B2554,sales_teams!$A$2:$A$36,sales_teams!C$2:C$36)</f>
        <v>Central</v>
      </c>
      <c r="E2554" t="s">
        <v>18</v>
      </c>
      <c r="F2554" t="s">
        <v>231</v>
      </c>
      <c r="G2554" t="s">
        <v>12</v>
      </c>
      <c r="H2554" s="1">
        <v>42844</v>
      </c>
      <c r="I2554" s="1">
        <v>42850</v>
      </c>
      <c r="J2554">
        <v>49</v>
      </c>
    </row>
    <row r="2555" spans="1:10" x14ac:dyDescent="0.3">
      <c r="A2555" t="s">
        <v>2686</v>
      </c>
      <c r="B2555" t="s">
        <v>139</v>
      </c>
      <c r="C2555" t="str">
        <f>_xlfn.XLOOKUP(B2555,
[1]sales_teams!$A$2:$A$100,
[1]sales_teams!$B$2:$B$100)</f>
        <v>Rocco Neubert</v>
      </c>
      <c r="D2555" t="str">
        <f>_xlfn.XLOOKUP($B2555,sales_teams!$A$2:$A$36,sales_teams!C$2:C$36)</f>
        <v>East</v>
      </c>
      <c r="E2555" t="s">
        <v>20</v>
      </c>
      <c r="G2555" t="s">
        <v>40</v>
      </c>
      <c r="H2555" s="1">
        <v>42844</v>
      </c>
    </row>
    <row r="2556" spans="1:10" x14ac:dyDescent="0.3">
      <c r="A2556" t="s">
        <v>2687</v>
      </c>
      <c r="B2556" t="s">
        <v>139</v>
      </c>
      <c r="C2556" t="str">
        <f>_xlfn.XLOOKUP(B2556,
[1]sales_teams!$A$2:$A$100,
[1]sales_teams!$B$2:$B$100)</f>
        <v>Rocco Neubert</v>
      </c>
      <c r="D2556" t="str">
        <f>_xlfn.XLOOKUP($B2556,sales_teams!$A$2:$A$36,sales_teams!C$2:C$36)</f>
        <v>East</v>
      </c>
      <c r="E2556" t="s">
        <v>10</v>
      </c>
      <c r="F2556" t="s">
        <v>237</v>
      </c>
      <c r="G2556" t="s">
        <v>12</v>
      </c>
      <c r="H2556" s="1">
        <v>42844</v>
      </c>
      <c r="I2556" s="1">
        <v>42854</v>
      </c>
      <c r="J2556">
        <v>1080</v>
      </c>
    </row>
    <row r="2557" spans="1:10" x14ac:dyDescent="0.3">
      <c r="A2557" t="s">
        <v>2688</v>
      </c>
      <c r="B2557" t="s">
        <v>202</v>
      </c>
      <c r="C2557" t="str">
        <f>_xlfn.XLOOKUP(B2557,
[1]sales_teams!$A$2:$A$100,
[1]sales_teams!$B$2:$B$100)</f>
        <v>Dustin Brinkmann</v>
      </c>
      <c r="D2557" t="str">
        <f>_xlfn.XLOOKUP($B2557,sales_teams!$A$2:$A$36,sales_teams!C$2:C$36)</f>
        <v>Central</v>
      </c>
      <c r="E2557" t="s">
        <v>20</v>
      </c>
      <c r="F2557" t="s">
        <v>45</v>
      </c>
      <c r="G2557" t="s">
        <v>46</v>
      </c>
      <c r="H2557" s="1">
        <v>42844</v>
      </c>
      <c r="I2557" s="1">
        <v>42853</v>
      </c>
      <c r="J2557">
        <v>0</v>
      </c>
    </row>
    <row r="2558" spans="1:10" x14ac:dyDescent="0.3">
      <c r="A2558" t="s">
        <v>2689</v>
      </c>
      <c r="B2558" t="s">
        <v>202</v>
      </c>
      <c r="C2558" t="str">
        <f>_xlfn.XLOOKUP(B2558,
[1]sales_teams!$A$2:$A$100,
[1]sales_teams!$B$2:$B$100)</f>
        <v>Dustin Brinkmann</v>
      </c>
      <c r="D2558" t="str">
        <f>_xlfn.XLOOKUP($B2558,sales_teams!$A$2:$A$36,sales_teams!C$2:C$36)</f>
        <v>Central</v>
      </c>
      <c r="E2558" t="s">
        <v>18</v>
      </c>
      <c r="F2558" t="s">
        <v>113</v>
      </c>
      <c r="G2558" t="s">
        <v>12</v>
      </c>
      <c r="H2558" s="1">
        <v>42844</v>
      </c>
      <c r="I2558" s="1">
        <v>42845</v>
      </c>
      <c r="J2558">
        <v>55</v>
      </c>
    </row>
    <row r="2559" spans="1:10" x14ac:dyDescent="0.3">
      <c r="A2559" t="s">
        <v>2690</v>
      </c>
      <c r="B2559" t="s">
        <v>164</v>
      </c>
      <c r="C2559" t="str">
        <f>_xlfn.XLOOKUP(B2559,
[1]sales_teams!$A$2:$A$100,
[1]sales_teams!$B$2:$B$100)</f>
        <v>Cara Losch</v>
      </c>
      <c r="D2559" t="str">
        <f>_xlfn.XLOOKUP($B2559,sales_teams!$A$2:$A$36,sales_teams!C$2:C$36)</f>
        <v>East</v>
      </c>
      <c r="E2559" t="s">
        <v>20</v>
      </c>
      <c r="G2559" t="s">
        <v>40</v>
      </c>
      <c r="H2559" s="1">
        <v>42844</v>
      </c>
    </row>
    <row r="2560" spans="1:10" x14ac:dyDescent="0.3">
      <c r="A2560" t="s">
        <v>2691</v>
      </c>
      <c r="B2560" t="s">
        <v>64</v>
      </c>
      <c r="C2560" t="str">
        <f>_xlfn.XLOOKUP(B2560,
[1]sales_teams!$A$2:$A$100,
[1]sales_teams!$B$2:$B$100)</f>
        <v>Rocco Neubert</v>
      </c>
      <c r="D2560" t="str">
        <f>_xlfn.XLOOKUP($B2560,sales_teams!$A$2:$A$36,sales_teams!C$2:C$36)</f>
        <v>East</v>
      </c>
      <c r="E2560" t="s">
        <v>10</v>
      </c>
      <c r="F2560" t="s">
        <v>98</v>
      </c>
      <c r="G2560" t="s">
        <v>12</v>
      </c>
      <c r="H2560" s="1">
        <v>42844</v>
      </c>
      <c r="I2560" s="1">
        <v>42877</v>
      </c>
      <c r="J2560">
        <v>1282</v>
      </c>
    </row>
    <row r="2561" spans="1:10" x14ac:dyDescent="0.3">
      <c r="A2561" t="s">
        <v>2692</v>
      </c>
      <c r="B2561" t="s">
        <v>67</v>
      </c>
      <c r="C2561" t="str">
        <f>_xlfn.XLOOKUP(B2561,
[1]sales_teams!$A$2:$A$100,
[1]sales_teams!$B$2:$B$100)</f>
        <v>Celia Rouche</v>
      </c>
      <c r="D2561" t="str">
        <f>_xlfn.XLOOKUP($B2561,sales_teams!$A$2:$A$36,sales_teams!C$2:C$36)</f>
        <v>West</v>
      </c>
      <c r="E2561" t="s">
        <v>145</v>
      </c>
      <c r="F2561" t="s">
        <v>184</v>
      </c>
      <c r="G2561" t="s">
        <v>12</v>
      </c>
      <c r="H2561" s="1">
        <v>42844</v>
      </c>
      <c r="I2561" s="1">
        <v>42845</v>
      </c>
      <c r="J2561">
        <v>23746</v>
      </c>
    </row>
    <row r="2562" spans="1:10" x14ac:dyDescent="0.3">
      <c r="A2562" t="s">
        <v>2693</v>
      </c>
      <c r="B2562" t="s">
        <v>105</v>
      </c>
      <c r="C2562" t="str">
        <f>_xlfn.XLOOKUP(B2562,
[1]sales_teams!$A$2:$A$100,
[1]sales_teams!$B$2:$B$100)</f>
        <v>Cara Losch</v>
      </c>
      <c r="D2562" t="str">
        <f>_xlfn.XLOOKUP($B2562,sales_teams!$A$2:$A$36,sales_teams!C$2:C$36)</f>
        <v>East</v>
      </c>
      <c r="E2562" t="s">
        <v>20</v>
      </c>
      <c r="F2562" t="s">
        <v>222</v>
      </c>
      <c r="G2562" t="s">
        <v>46</v>
      </c>
      <c r="H2562" s="1">
        <v>42844</v>
      </c>
      <c r="I2562" s="1">
        <v>42853</v>
      </c>
      <c r="J2562">
        <v>0</v>
      </c>
    </row>
    <row r="2563" spans="1:10" x14ac:dyDescent="0.3">
      <c r="A2563" t="s">
        <v>2694</v>
      </c>
      <c r="B2563" t="s">
        <v>54</v>
      </c>
      <c r="C2563" t="str">
        <f>_xlfn.XLOOKUP(B2563,
[1]sales_teams!$A$2:$A$100,
[1]sales_teams!$B$2:$B$100)</f>
        <v>Celia Rouche</v>
      </c>
      <c r="D2563" t="str">
        <f>_xlfn.XLOOKUP($B2563,sales_teams!$A$2:$A$36,sales_teams!C$2:C$36)</f>
        <v>West</v>
      </c>
      <c r="E2563" t="s">
        <v>39</v>
      </c>
      <c r="G2563" t="s">
        <v>40</v>
      </c>
      <c r="H2563" s="1">
        <v>42844</v>
      </c>
    </row>
    <row r="2564" spans="1:10" x14ac:dyDescent="0.3">
      <c r="A2564" t="s">
        <v>2695</v>
      </c>
      <c r="B2564" t="s">
        <v>38</v>
      </c>
      <c r="C2564" t="str">
        <f>_xlfn.XLOOKUP(B2564,
[1]sales_teams!$A$2:$A$100,
[1]sales_teams!$B$2:$B$100)</f>
        <v>Summer Sewald</v>
      </c>
      <c r="D2564" t="str">
        <f>_xlfn.XLOOKUP($B2564,sales_teams!$A$2:$A$36,sales_teams!C$2:C$36)</f>
        <v>West</v>
      </c>
      <c r="E2564" t="s">
        <v>20</v>
      </c>
      <c r="F2564" t="s">
        <v>224</v>
      </c>
      <c r="G2564" t="s">
        <v>46</v>
      </c>
      <c r="H2564" s="1">
        <v>42844</v>
      </c>
      <c r="I2564" s="1">
        <v>42856</v>
      </c>
      <c r="J2564">
        <v>0</v>
      </c>
    </row>
    <row r="2565" spans="1:10" x14ac:dyDescent="0.3">
      <c r="A2565" t="s">
        <v>2696</v>
      </c>
      <c r="B2565" t="s">
        <v>78</v>
      </c>
      <c r="C2565" t="str">
        <f>_xlfn.XLOOKUP(B2565,
[1]sales_teams!$A$2:$A$100,
[1]sales_teams!$B$2:$B$100)</f>
        <v>Summer Sewald</v>
      </c>
      <c r="D2565" t="str">
        <f>_xlfn.XLOOKUP($B2565,sales_teams!$A$2:$A$36,sales_teams!C$2:C$36)</f>
        <v>West</v>
      </c>
      <c r="E2565" t="s">
        <v>20</v>
      </c>
      <c r="F2565" t="s">
        <v>122</v>
      </c>
      <c r="G2565" t="s">
        <v>46</v>
      </c>
      <c r="H2565" s="1">
        <v>42844</v>
      </c>
      <c r="I2565" s="1">
        <v>42963</v>
      </c>
      <c r="J2565">
        <v>0</v>
      </c>
    </row>
    <row r="2566" spans="1:10" x14ac:dyDescent="0.3">
      <c r="A2566" t="s">
        <v>2697</v>
      </c>
      <c r="B2566" t="s">
        <v>133</v>
      </c>
      <c r="C2566" t="str">
        <f>_xlfn.XLOOKUP(B2566,
[1]sales_teams!$A$2:$A$100,
[1]sales_teams!$B$2:$B$100)</f>
        <v>Dustin Brinkmann</v>
      </c>
      <c r="D2566" t="str">
        <f>_xlfn.XLOOKUP($B2566,sales_teams!$A$2:$A$36,sales_teams!C$2:C$36)</f>
        <v>Central</v>
      </c>
      <c r="E2566" t="s">
        <v>39</v>
      </c>
      <c r="F2566" t="s">
        <v>492</v>
      </c>
      <c r="G2566" t="s">
        <v>46</v>
      </c>
      <c r="H2566" s="1">
        <v>42844</v>
      </c>
      <c r="I2566" s="1">
        <v>42846</v>
      </c>
      <c r="J2566">
        <v>0</v>
      </c>
    </row>
    <row r="2567" spans="1:10" x14ac:dyDescent="0.3">
      <c r="A2567" t="s">
        <v>2698</v>
      </c>
      <c r="B2567" t="s">
        <v>51</v>
      </c>
      <c r="C2567" t="str">
        <f>_xlfn.XLOOKUP(B2567,
[1]sales_teams!$A$2:$A$100,
[1]sales_teams!$B$2:$B$100)</f>
        <v>Summer Sewald</v>
      </c>
      <c r="D2567" t="str">
        <f>_xlfn.XLOOKUP($B2567,sales_teams!$A$2:$A$36,sales_teams!C$2:C$36)</f>
        <v>West</v>
      </c>
      <c r="E2567" t="s">
        <v>10</v>
      </c>
      <c r="F2567" t="s">
        <v>33</v>
      </c>
      <c r="G2567" t="s">
        <v>46</v>
      </c>
      <c r="H2567" s="1">
        <v>42844</v>
      </c>
      <c r="I2567" s="1">
        <v>42852</v>
      </c>
      <c r="J2567">
        <v>0</v>
      </c>
    </row>
    <row r="2568" spans="1:10" x14ac:dyDescent="0.3">
      <c r="A2568" t="s">
        <v>2699</v>
      </c>
      <c r="B2568" t="s">
        <v>35</v>
      </c>
      <c r="C2568" t="str">
        <f>_xlfn.XLOOKUP(B2568,
[1]sales_teams!$A$2:$A$100,
[1]sales_teams!$B$2:$B$100)</f>
        <v>Melvin Marxen</v>
      </c>
      <c r="D2568" t="str">
        <f>_xlfn.XLOOKUP($B2568,sales_teams!$A$2:$A$36,sales_teams!C$2:C$36)</f>
        <v>Central</v>
      </c>
      <c r="E2568" t="s">
        <v>20</v>
      </c>
      <c r="F2568" t="s">
        <v>11</v>
      </c>
      <c r="G2568" t="s">
        <v>46</v>
      </c>
      <c r="H2568" s="1">
        <v>42844</v>
      </c>
      <c r="I2568" s="1">
        <v>42846</v>
      </c>
      <c r="J2568">
        <v>0</v>
      </c>
    </row>
    <row r="2569" spans="1:10" x14ac:dyDescent="0.3">
      <c r="A2569" t="s">
        <v>2700</v>
      </c>
      <c r="B2569" t="s">
        <v>97</v>
      </c>
      <c r="C2569" t="str">
        <f>_xlfn.XLOOKUP(B2569,
[1]sales_teams!$A$2:$A$100,
[1]sales_teams!$B$2:$B$100)</f>
        <v>Rocco Neubert</v>
      </c>
      <c r="D2569" t="str">
        <f>_xlfn.XLOOKUP($B2569,sales_teams!$A$2:$A$36,sales_teams!C$2:C$36)</f>
        <v>East</v>
      </c>
      <c r="E2569" t="s">
        <v>18</v>
      </c>
      <c r="F2569" t="s">
        <v>140</v>
      </c>
      <c r="G2569" t="s">
        <v>46</v>
      </c>
      <c r="H2569" s="1">
        <v>42844</v>
      </c>
      <c r="I2569" s="1">
        <v>42845</v>
      </c>
      <c r="J2569">
        <v>0</v>
      </c>
    </row>
    <row r="2570" spans="1:10" x14ac:dyDescent="0.3">
      <c r="A2570" t="s">
        <v>2701</v>
      </c>
      <c r="B2570" t="s">
        <v>97</v>
      </c>
      <c r="C2570" t="str">
        <f>_xlfn.XLOOKUP(B2570,
[1]sales_teams!$A$2:$A$100,
[1]sales_teams!$B$2:$B$100)</f>
        <v>Rocco Neubert</v>
      </c>
      <c r="D2570" t="str">
        <f>_xlfn.XLOOKUP($B2570,sales_teams!$A$2:$A$36,sales_teams!C$2:C$36)</f>
        <v>East</v>
      </c>
      <c r="E2570" t="s">
        <v>18</v>
      </c>
      <c r="F2570" t="s">
        <v>140</v>
      </c>
      <c r="G2570" t="s">
        <v>12</v>
      </c>
      <c r="H2570" s="1">
        <v>42844</v>
      </c>
      <c r="I2570" s="1">
        <v>42852</v>
      </c>
      <c r="J2570">
        <v>61</v>
      </c>
    </row>
    <row r="2571" spans="1:10" x14ac:dyDescent="0.3">
      <c r="A2571" t="s">
        <v>2702</v>
      </c>
      <c r="B2571" t="s">
        <v>57</v>
      </c>
      <c r="C2571" t="str">
        <f>_xlfn.XLOOKUP(B2571,
[1]sales_teams!$A$2:$A$100,
[1]sales_teams!$B$2:$B$100)</f>
        <v>Celia Rouche</v>
      </c>
      <c r="D2571" t="str">
        <f>_xlfn.XLOOKUP($B2571,sales_teams!$A$2:$A$36,sales_teams!C$2:C$36)</f>
        <v>West</v>
      </c>
      <c r="E2571" t="s">
        <v>18</v>
      </c>
      <c r="F2571" t="s">
        <v>30</v>
      </c>
      <c r="G2571" t="s">
        <v>46</v>
      </c>
      <c r="H2571" s="1">
        <v>42844</v>
      </c>
      <c r="I2571" s="1">
        <v>42855</v>
      </c>
      <c r="J2571">
        <v>0</v>
      </c>
    </row>
    <row r="2572" spans="1:10" x14ac:dyDescent="0.3">
      <c r="A2572" t="s">
        <v>2703</v>
      </c>
      <c r="B2572" t="s">
        <v>57</v>
      </c>
      <c r="C2572" t="str">
        <f>_xlfn.XLOOKUP(B2572,
[1]sales_teams!$A$2:$A$100,
[1]sales_teams!$B$2:$B$100)</f>
        <v>Celia Rouche</v>
      </c>
      <c r="D2572" t="str">
        <f>_xlfn.XLOOKUP($B2572,sales_teams!$A$2:$A$36,sales_teams!C$2:C$36)</f>
        <v>West</v>
      </c>
      <c r="E2572" t="s">
        <v>20</v>
      </c>
      <c r="F2572" t="s">
        <v>148</v>
      </c>
      <c r="G2572" t="s">
        <v>12</v>
      </c>
      <c r="H2572" s="1">
        <v>42844</v>
      </c>
      <c r="I2572" s="1">
        <v>42853</v>
      </c>
      <c r="J2572">
        <v>600</v>
      </c>
    </row>
    <row r="2573" spans="1:10" x14ac:dyDescent="0.3">
      <c r="A2573" t="s">
        <v>2704</v>
      </c>
      <c r="B2573" t="s">
        <v>88</v>
      </c>
      <c r="C2573" t="str">
        <f>_xlfn.XLOOKUP(B2573,
[1]sales_teams!$A$2:$A$100,
[1]sales_teams!$B$2:$B$100)</f>
        <v>Cara Losch</v>
      </c>
      <c r="D2573" t="str">
        <f>_xlfn.XLOOKUP($B2573,sales_teams!$A$2:$A$36,sales_teams!C$2:C$36)</f>
        <v>East</v>
      </c>
      <c r="E2573" t="s">
        <v>15</v>
      </c>
      <c r="F2573" t="s">
        <v>204</v>
      </c>
      <c r="G2573" t="s">
        <v>40</v>
      </c>
      <c r="H2573" s="1">
        <v>42844</v>
      </c>
    </row>
    <row r="2574" spans="1:10" x14ac:dyDescent="0.3">
      <c r="A2574" t="s">
        <v>2705</v>
      </c>
      <c r="B2574" t="s">
        <v>88</v>
      </c>
      <c r="C2574" t="str">
        <f>_xlfn.XLOOKUP(B2574,
[1]sales_teams!$A$2:$A$100,
[1]sales_teams!$B$2:$B$100)</f>
        <v>Cara Losch</v>
      </c>
      <c r="D2574" t="str">
        <f>_xlfn.XLOOKUP($B2574,sales_teams!$A$2:$A$36,sales_teams!C$2:C$36)</f>
        <v>East</v>
      </c>
      <c r="E2574" t="s">
        <v>48</v>
      </c>
      <c r="F2574" t="s">
        <v>140</v>
      </c>
      <c r="G2574" t="s">
        <v>12</v>
      </c>
      <c r="H2574" s="1">
        <v>42844</v>
      </c>
      <c r="I2574" s="1">
        <v>42845</v>
      </c>
      <c r="J2574">
        <v>5805</v>
      </c>
    </row>
    <row r="2575" spans="1:10" x14ac:dyDescent="0.3">
      <c r="A2575" t="s">
        <v>2706</v>
      </c>
      <c r="B2575" t="s">
        <v>61</v>
      </c>
      <c r="C2575" t="str">
        <f>_xlfn.XLOOKUP(B2575,
[1]sales_teams!$A$2:$A$100,
[1]sales_teams!$B$2:$B$100)</f>
        <v>Dustin Brinkmann</v>
      </c>
      <c r="D2575" t="str">
        <f>_xlfn.XLOOKUP($B2575,sales_teams!$A$2:$A$36,sales_teams!C$2:C$36)</f>
        <v>Central</v>
      </c>
      <c r="E2575" t="s">
        <v>18</v>
      </c>
      <c r="F2575" t="s">
        <v>315</v>
      </c>
      <c r="G2575" t="s">
        <v>12</v>
      </c>
      <c r="H2575" s="1">
        <v>42844</v>
      </c>
      <c r="I2575" s="1">
        <v>42913</v>
      </c>
      <c r="J2575">
        <v>58</v>
      </c>
    </row>
    <row r="2576" spans="1:10" x14ac:dyDescent="0.3">
      <c r="A2576" t="s">
        <v>2707</v>
      </c>
      <c r="B2576" t="s">
        <v>61</v>
      </c>
      <c r="C2576" t="str">
        <f>_xlfn.XLOOKUP(B2576,
[1]sales_teams!$A$2:$A$100,
[1]sales_teams!$B$2:$B$100)</f>
        <v>Dustin Brinkmann</v>
      </c>
      <c r="D2576" t="str">
        <f>_xlfn.XLOOKUP($B2576,sales_teams!$A$2:$A$36,sales_teams!C$2:C$36)</f>
        <v>Central</v>
      </c>
      <c r="E2576" t="s">
        <v>18</v>
      </c>
      <c r="F2576" t="s">
        <v>231</v>
      </c>
      <c r="G2576" t="s">
        <v>12</v>
      </c>
      <c r="H2576" s="1">
        <v>42844</v>
      </c>
      <c r="I2576" s="1">
        <v>42950</v>
      </c>
      <c r="J2576">
        <v>52</v>
      </c>
    </row>
    <row r="2577" spans="1:10" x14ac:dyDescent="0.3">
      <c r="A2577" t="s">
        <v>2708</v>
      </c>
      <c r="B2577" t="s">
        <v>73</v>
      </c>
      <c r="C2577" t="str">
        <f>_xlfn.XLOOKUP(B2577,
[1]sales_teams!$A$2:$A$100,
[1]sales_teams!$B$2:$B$100)</f>
        <v>Cara Losch</v>
      </c>
      <c r="D2577" t="str">
        <f>_xlfn.XLOOKUP($B2577,sales_teams!$A$2:$A$36,sales_teams!C$2:C$36)</f>
        <v>East</v>
      </c>
      <c r="E2577" t="s">
        <v>18</v>
      </c>
      <c r="F2577" t="s">
        <v>237</v>
      </c>
      <c r="G2577" t="s">
        <v>46</v>
      </c>
      <c r="H2577" s="1">
        <v>42844</v>
      </c>
      <c r="I2577" s="1">
        <v>42846</v>
      </c>
      <c r="J2577">
        <v>0</v>
      </c>
    </row>
    <row r="2578" spans="1:10" x14ac:dyDescent="0.3">
      <c r="A2578" t="s">
        <v>2709</v>
      </c>
      <c r="B2578" t="s">
        <v>23</v>
      </c>
      <c r="C2578" t="str">
        <f>_xlfn.XLOOKUP(B2578,
[1]sales_teams!$A$2:$A$100,
[1]sales_teams!$B$2:$B$100)</f>
        <v>Summer Sewald</v>
      </c>
      <c r="D2578" t="str">
        <f>_xlfn.XLOOKUP($B2578,sales_teams!$A$2:$A$36,sales_teams!C$2:C$36)</f>
        <v>West</v>
      </c>
      <c r="E2578" t="s">
        <v>20</v>
      </c>
      <c r="F2578" t="s">
        <v>315</v>
      </c>
      <c r="G2578" t="s">
        <v>40</v>
      </c>
      <c r="H2578" s="1">
        <v>42844</v>
      </c>
    </row>
    <row r="2579" spans="1:10" x14ac:dyDescent="0.3">
      <c r="A2579" t="s">
        <v>2710</v>
      </c>
      <c r="B2579" t="s">
        <v>139</v>
      </c>
      <c r="C2579" t="str">
        <f>_xlfn.XLOOKUP(B2579,
[1]sales_teams!$A$2:$A$100,
[1]sales_teams!$B$2:$B$100)</f>
        <v>Rocco Neubert</v>
      </c>
      <c r="D2579" t="str">
        <f>_xlfn.XLOOKUP($B2579,sales_teams!$A$2:$A$36,sales_teams!C$2:C$36)</f>
        <v>East</v>
      </c>
      <c r="E2579" t="s">
        <v>18</v>
      </c>
      <c r="F2579" t="s">
        <v>143</v>
      </c>
      <c r="G2579" t="s">
        <v>12</v>
      </c>
      <c r="H2579" s="1">
        <v>42845</v>
      </c>
      <c r="I2579" s="1">
        <v>42902</v>
      </c>
      <c r="J2579">
        <v>55</v>
      </c>
    </row>
    <row r="2580" spans="1:10" x14ac:dyDescent="0.3">
      <c r="A2580" t="s">
        <v>2711</v>
      </c>
      <c r="B2580" t="s">
        <v>118</v>
      </c>
      <c r="C2580" t="str">
        <f>_xlfn.XLOOKUP(B2580,
[1]sales_teams!$A$2:$A$100,
[1]sales_teams!$B$2:$B$100)</f>
        <v>Rocco Neubert</v>
      </c>
      <c r="D2580" t="str">
        <f>_xlfn.XLOOKUP($B2580,sales_teams!$A$2:$A$36,sales_teams!C$2:C$36)</f>
        <v>East</v>
      </c>
      <c r="E2580" t="s">
        <v>10</v>
      </c>
      <c r="F2580" t="s">
        <v>98</v>
      </c>
      <c r="G2580" t="s">
        <v>12</v>
      </c>
      <c r="H2580" s="1">
        <v>42845</v>
      </c>
      <c r="I2580" s="1">
        <v>42957</v>
      </c>
      <c r="J2580">
        <v>1161</v>
      </c>
    </row>
    <row r="2581" spans="1:10" x14ac:dyDescent="0.3">
      <c r="A2581" t="s">
        <v>2712</v>
      </c>
      <c r="B2581" t="s">
        <v>118</v>
      </c>
      <c r="C2581" t="str">
        <f>_xlfn.XLOOKUP(B2581,
[1]sales_teams!$A$2:$A$100,
[1]sales_teams!$B$2:$B$100)</f>
        <v>Rocco Neubert</v>
      </c>
      <c r="D2581" t="str">
        <f>_xlfn.XLOOKUP($B2581,sales_teams!$A$2:$A$36,sales_teams!C$2:C$36)</f>
        <v>East</v>
      </c>
      <c r="E2581" t="s">
        <v>15</v>
      </c>
      <c r="F2581" t="s">
        <v>215</v>
      </c>
      <c r="G2581" t="s">
        <v>12</v>
      </c>
      <c r="H2581" s="1">
        <v>42845</v>
      </c>
      <c r="I2581" s="1">
        <v>42850</v>
      </c>
      <c r="J2581">
        <v>5091</v>
      </c>
    </row>
    <row r="2582" spans="1:10" x14ac:dyDescent="0.3">
      <c r="A2582" t="s">
        <v>2713</v>
      </c>
      <c r="B2582" t="s">
        <v>118</v>
      </c>
      <c r="C2582" t="str">
        <f>_xlfn.XLOOKUP(B2582,
[1]sales_teams!$A$2:$A$100,
[1]sales_teams!$B$2:$B$100)</f>
        <v>Rocco Neubert</v>
      </c>
      <c r="D2582" t="str">
        <f>_xlfn.XLOOKUP($B2582,sales_teams!$A$2:$A$36,sales_teams!C$2:C$36)</f>
        <v>East</v>
      </c>
      <c r="E2582" t="s">
        <v>18</v>
      </c>
      <c r="F2582" t="s">
        <v>209</v>
      </c>
      <c r="G2582" t="s">
        <v>12</v>
      </c>
      <c r="H2582" s="1">
        <v>42845</v>
      </c>
      <c r="I2582" s="1">
        <v>42847</v>
      </c>
      <c r="J2582">
        <v>59</v>
      </c>
    </row>
    <row r="2583" spans="1:10" x14ac:dyDescent="0.3">
      <c r="A2583" t="s">
        <v>2714</v>
      </c>
      <c r="B2583" t="s">
        <v>164</v>
      </c>
      <c r="C2583" t="str">
        <f>_xlfn.XLOOKUP(B2583,
[1]sales_teams!$A$2:$A$100,
[1]sales_teams!$B$2:$B$100)</f>
        <v>Cara Losch</v>
      </c>
      <c r="D2583" t="str">
        <f>_xlfn.XLOOKUP($B2583,sales_teams!$A$2:$A$36,sales_teams!C$2:C$36)</f>
        <v>East</v>
      </c>
      <c r="E2583" t="s">
        <v>48</v>
      </c>
      <c r="F2583" t="s">
        <v>215</v>
      </c>
      <c r="G2583" t="s">
        <v>46</v>
      </c>
      <c r="H2583" s="1">
        <v>42845</v>
      </c>
      <c r="I2583" s="1">
        <v>42856</v>
      </c>
      <c r="J2583">
        <v>0</v>
      </c>
    </row>
    <row r="2584" spans="1:10" x14ac:dyDescent="0.3">
      <c r="A2584" t="s">
        <v>2715</v>
      </c>
      <c r="B2584" t="s">
        <v>64</v>
      </c>
      <c r="C2584" t="str">
        <f>_xlfn.XLOOKUP(B2584,
[1]sales_teams!$A$2:$A$100,
[1]sales_teams!$B$2:$B$100)</f>
        <v>Rocco Neubert</v>
      </c>
      <c r="D2584" t="str">
        <f>_xlfn.XLOOKUP($B2584,sales_teams!$A$2:$A$36,sales_teams!C$2:C$36)</f>
        <v>East</v>
      </c>
      <c r="E2584" t="s">
        <v>20</v>
      </c>
      <c r="F2584" t="s">
        <v>177</v>
      </c>
      <c r="G2584" t="s">
        <v>46</v>
      </c>
      <c r="H2584" s="1">
        <v>42845</v>
      </c>
      <c r="I2584" s="1">
        <v>42847</v>
      </c>
      <c r="J2584">
        <v>0</v>
      </c>
    </row>
    <row r="2585" spans="1:10" x14ac:dyDescent="0.3">
      <c r="A2585" t="s">
        <v>2716</v>
      </c>
      <c r="B2585" t="s">
        <v>14</v>
      </c>
      <c r="C2585" t="str">
        <f>_xlfn.XLOOKUP(B2585,
[1]sales_teams!$A$2:$A$100,
[1]sales_teams!$B$2:$B$100)</f>
        <v>Melvin Marxen</v>
      </c>
      <c r="D2585" t="str">
        <f>_xlfn.XLOOKUP($B2585,sales_teams!$A$2:$A$36,sales_teams!C$2:C$36)</f>
        <v>Central</v>
      </c>
      <c r="E2585" t="s">
        <v>15</v>
      </c>
      <c r="F2585" t="s">
        <v>109</v>
      </c>
      <c r="G2585" t="s">
        <v>46</v>
      </c>
      <c r="H2585" s="1">
        <v>42845</v>
      </c>
      <c r="I2585" s="1">
        <v>42855</v>
      </c>
      <c r="J2585">
        <v>0</v>
      </c>
    </row>
    <row r="2586" spans="1:10" x14ac:dyDescent="0.3">
      <c r="A2586" t="s">
        <v>2717</v>
      </c>
      <c r="B2586" t="s">
        <v>14</v>
      </c>
      <c r="C2586" t="str">
        <f>_xlfn.XLOOKUP(B2586,
[1]sales_teams!$A$2:$A$100,
[1]sales_teams!$B$2:$B$100)</f>
        <v>Melvin Marxen</v>
      </c>
      <c r="D2586" t="str">
        <f>_xlfn.XLOOKUP($B2586,sales_teams!$A$2:$A$36,sales_teams!C$2:C$36)</f>
        <v>Central</v>
      </c>
      <c r="E2586" t="s">
        <v>20</v>
      </c>
      <c r="F2586" t="s">
        <v>126</v>
      </c>
      <c r="G2586" t="s">
        <v>12</v>
      </c>
      <c r="H2586" s="1">
        <v>42845</v>
      </c>
      <c r="I2586" s="1">
        <v>42853</v>
      </c>
      <c r="J2586">
        <v>549</v>
      </c>
    </row>
    <row r="2587" spans="1:10" x14ac:dyDescent="0.3">
      <c r="A2587" t="s">
        <v>2718</v>
      </c>
      <c r="B2587" t="s">
        <v>142</v>
      </c>
      <c r="C2587" t="str">
        <f>_xlfn.XLOOKUP(B2587,
[1]sales_teams!$A$2:$A$100,
[1]sales_teams!$B$2:$B$100)</f>
        <v>Rocco Neubert</v>
      </c>
      <c r="D2587" t="str">
        <f>_xlfn.XLOOKUP($B2587,sales_teams!$A$2:$A$36,sales_teams!C$2:C$36)</f>
        <v>East</v>
      </c>
      <c r="E2587" t="s">
        <v>10</v>
      </c>
      <c r="F2587" t="s">
        <v>300</v>
      </c>
      <c r="G2587" t="s">
        <v>46</v>
      </c>
      <c r="H2587" s="1">
        <v>42845</v>
      </c>
      <c r="I2587" s="1">
        <v>42849</v>
      </c>
      <c r="J2587">
        <v>0</v>
      </c>
    </row>
    <row r="2588" spans="1:10" x14ac:dyDescent="0.3">
      <c r="A2588" t="s">
        <v>2719</v>
      </c>
      <c r="B2588" t="s">
        <v>67</v>
      </c>
      <c r="C2588" t="str">
        <f>_xlfn.XLOOKUP(B2588,
[1]sales_teams!$A$2:$A$100,
[1]sales_teams!$B$2:$B$100)</f>
        <v>Celia Rouche</v>
      </c>
      <c r="D2588" t="str">
        <f>_xlfn.XLOOKUP($B2588,sales_teams!$A$2:$A$36,sales_teams!C$2:C$36)</f>
        <v>West</v>
      </c>
      <c r="E2588" t="s">
        <v>145</v>
      </c>
      <c r="F2588" t="s">
        <v>124</v>
      </c>
      <c r="G2588" t="s">
        <v>12</v>
      </c>
      <c r="H2588" s="1">
        <v>42845</v>
      </c>
      <c r="I2588" s="1">
        <v>42914</v>
      </c>
      <c r="J2588">
        <v>24949</v>
      </c>
    </row>
    <row r="2589" spans="1:10" x14ac:dyDescent="0.3">
      <c r="A2589" t="s">
        <v>2720</v>
      </c>
      <c r="B2589" t="s">
        <v>44</v>
      </c>
      <c r="C2589" t="str">
        <f>_xlfn.XLOOKUP(B2589,
[1]sales_teams!$A$2:$A$100,
[1]sales_teams!$B$2:$B$100)</f>
        <v>Melvin Marxen</v>
      </c>
      <c r="D2589" t="str">
        <f>_xlfn.XLOOKUP($B2589,sales_teams!$A$2:$A$36,sales_teams!C$2:C$36)</f>
        <v>Central</v>
      </c>
      <c r="E2589" t="s">
        <v>10</v>
      </c>
      <c r="F2589" t="s">
        <v>45</v>
      </c>
      <c r="G2589" t="s">
        <v>46</v>
      </c>
      <c r="H2589" s="1">
        <v>42845</v>
      </c>
      <c r="I2589" s="1">
        <v>42857</v>
      </c>
      <c r="J2589">
        <v>0</v>
      </c>
    </row>
    <row r="2590" spans="1:10" x14ac:dyDescent="0.3">
      <c r="A2590" t="s">
        <v>2721</v>
      </c>
      <c r="B2590" t="s">
        <v>38</v>
      </c>
      <c r="C2590" t="str">
        <f>_xlfn.XLOOKUP(B2590,
[1]sales_teams!$A$2:$A$100,
[1]sales_teams!$B$2:$B$100)</f>
        <v>Summer Sewald</v>
      </c>
      <c r="D2590" t="str">
        <f>_xlfn.XLOOKUP($B2590,sales_teams!$A$2:$A$36,sales_teams!C$2:C$36)</f>
        <v>West</v>
      </c>
      <c r="E2590" t="s">
        <v>15</v>
      </c>
      <c r="F2590" t="s">
        <v>555</v>
      </c>
      <c r="G2590" t="s">
        <v>46</v>
      </c>
      <c r="H2590" s="1">
        <v>42845</v>
      </c>
      <c r="I2590" s="1">
        <v>42864</v>
      </c>
      <c r="J2590">
        <v>0</v>
      </c>
    </row>
    <row r="2591" spans="1:10" x14ac:dyDescent="0.3">
      <c r="A2591" t="s">
        <v>2722</v>
      </c>
      <c r="B2591" t="s">
        <v>38</v>
      </c>
      <c r="C2591" t="str">
        <f>_xlfn.XLOOKUP(B2591,
[1]sales_teams!$A$2:$A$100,
[1]sales_teams!$B$2:$B$100)</f>
        <v>Summer Sewald</v>
      </c>
      <c r="D2591" t="str">
        <f>_xlfn.XLOOKUP($B2591,sales_teams!$A$2:$A$36,sales_teams!C$2:C$36)</f>
        <v>West</v>
      </c>
      <c r="E2591" t="s">
        <v>48</v>
      </c>
      <c r="F2591" t="s">
        <v>70</v>
      </c>
      <c r="G2591" t="s">
        <v>12</v>
      </c>
      <c r="H2591" s="1">
        <v>42845</v>
      </c>
      <c r="I2591" s="1">
        <v>42857</v>
      </c>
      <c r="J2591">
        <v>4985</v>
      </c>
    </row>
    <row r="2592" spans="1:10" x14ac:dyDescent="0.3">
      <c r="A2592" t="s">
        <v>2723</v>
      </c>
      <c r="B2592" t="s">
        <v>252</v>
      </c>
      <c r="C2592" t="str">
        <f>_xlfn.XLOOKUP(B2592,
[1]sales_teams!$A$2:$A$100,
[1]sales_teams!$B$2:$B$100)</f>
        <v>Melvin Marxen</v>
      </c>
      <c r="D2592" t="str">
        <f>_xlfn.XLOOKUP($B2592,sales_teams!$A$2:$A$36,sales_teams!C$2:C$36)</f>
        <v>Central</v>
      </c>
      <c r="E2592" t="s">
        <v>20</v>
      </c>
      <c r="F2592" t="s">
        <v>170</v>
      </c>
      <c r="G2592" t="s">
        <v>46</v>
      </c>
      <c r="H2592" s="1">
        <v>42845</v>
      </c>
      <c r="I2592" s="1">
        <v>42847</v>
      </c>
      <c r="J2592">
        <v>0</v>
      </c>
    </row>
    <row r="2593" spans="1:10" x14ac:dyDescent="0.3">
      <c r="A2593" t="s">
        <v>2724</v>
      </c>
      <c r="B2593" t="s">
        <v>252</v>
      </c>
      <c r="C2593" t="str">
        <f>_xlfn.XLOOKUP(B2593,
[1]sales_teams!$A$2:$A$100,
[1]sales_teams!$B$2:$B$100)</f>
        <v>Melvin Marxen</v>
      </c>
      <c r="D2593" t="str">
        <f>_xlfn.XLOOKUP($B2593,sales_teams!$A$2:$A$36,sales_teams!C$2:C$36)</f>
        <v>Central</v>
      </c>
      <c r="E2593" t="s">
        <v>20</v>
      </c>
      <c r="F2593" t="s">
        <v>120</v>
      </c>
      <c r="G2593" t="s">
        <v>12</v>
      </c>
      <c r="H2593" s="1">
        <v>42845</v>
      </c>
      <c r="I2593" s="1">
        <v>42854</v>
      </c>
      <c r="J2593">
        <v>657</v>
      </c>
    </row>
    <row r="2594" spans="1:10" x14ac:dyDescent="0.3">
      <c r="A2594" t="s">
        <v>2725</v>
      </c>
      <c r="B2594" t="s">
        <v>252</v>
      </c>
      <c r="C2594" t="str">
        <f>_xlfn.XLOOKUP(B2594,
[1]sales_teams!$A$2:$A$100,
[1]sales_teams!$B$2:$B$100)</f>
        <v>Melvin Marxen</v>
      </c>
      <c r="D2594" t="str">
        <f>_xlfn.XLOOKUP($B2594,sales_teams!$A$2:$A$36,sales_teams!C$2:C$36)</f>
        <v>Central</v>
      </c>
      <c r="E2594" t="s">
        <v>20</v>
      </c>
      <c r="F2594" t="s">
        <v>492</v>
      </c>
      <c r="G2594" t="s">
        <v>12</v>
      </c>
      <c r="H2594" s="1">
        <v>42845</v>
      </c>
      <c r="I2594" s="1">
        <v>42916</v>
      </c>
      <c r="J2594">
        <v>628</v>
      </c>
    </row>
    <row r="2595" spans="1:10" x14ac:dyDescent="0.3">
      <c r="A2595" t="s">
        <v>2726</v>
      </c>
      <c r="B2595" t="s">
        <v>252</v>
      </c>
      <c r="C2595" t="str">
        <f>_xlfn.XLOOKUP(B2595,
[1]sales_teams!$A$2:$A$100,
[1]sales_teams!$B$2:$B$100)</f>
        <v>Melvin Marxen</v>
      </c>
      <c r="D2595" t="str">
        <f>_xlfn.XLOOKUP($B2595,sales_teams!$A$2:$A$36,sales_teams!C$2:C$36)</f>
        <v>Central</v>
      </c>
      <c r="E2595" t="s">
        <v>10</v>
      </c>
      <c r="F2595" t="s">
        <v>120</v>
      </c>
      <c r="G2595" t="s">
        <v>12</v>
      </c>
      <c r="H2595" s="1">
        <v>42845</v>
      </c>
      <c r="I2595" s="1">
        <v>42901</v>
      </c>
      <c r="J2595">
        <v>1183</v>
      </c>
    </row>
    <row r="2596" spans="1:10" x14ac:dyDescent="0.3">
      <c r="A2596" t="s">
        <v>2727</v>
      </c>
      <c r="B2596" t="s">
        <v>252</v>
      </c>
      <c r="C2596" t="str">
        <f>_xlfn.XLOOKUP(B2596,
[1]sales_teams!$A$2:$A$100,
[1]sales_teams!$B$2:$B$100)</f>
        <v>Melvin Marxen</v>
      </c>
      <c r="D2596" t="str">
        <f>_xlfn.XLOOKUP($B2596,sales_teams!$A$2:$A$36,sales_teams!C$2:C$36)</f>
        <v>Central</v>
      </c>
      <c r="E2596" t="s">
        <v>48</v>
      </c>
      <c r="F2596" t="s">
        <v>207</v>
      </c>
      <c r="G2596" t="s">
        <v>12</v>
      </c>
      <c r="H2596" s="1">
        <v>42845</v>
      </c>
      <c r="I2596" s="1">
        <v>42950</v>
      </c>
      <c r="J2596">
        <v>5203</v>
      </c>
    </row>
    <row r="2597" spans="1:10" x14ac:dyDescent="0.3">
      <c r="A2597" t="s">
        <v>2728</v>
      </c>
      <c r="B2597" t="s">
        <v>252</v>
      </c>
      <c r="C2597" t="str">
        <f>_xlfn.XLOOKUP(B2597,
[1]sales_teams!$A$2:$A$100,
[1]sales_teams!$B$2:$B$100)</f>
        <v>Melvin Marxen</v>
      </c>
      <c r="D2597" t="str">
        <f>_xlfn.XLOOKUP($B2597,sales_teams!$A$2:$A$36,sales_teams!C$2:C$36)</f>
        <v>Central</v>
      </c>
      <c r="E2597" t="s">
        <v>18</v>
      </c>
      <c r="F2597" t="s">
        <v>109</v>
      </c>
      <c r="G2597" t="s">
        <v>12</v>
      </c>
      <c r="H2597" s="1">
        <v>42845</v>
      </c>
      <c r="I2597" s="1">
        <v>42852</v>
      </c>
      <c r="J2597">
        <v>56</v>
      </c>
    </row>
    <row r="2598" spans="1:10" x14ac:dyDescent="0.3">
      <c r="A2598" t="s">
        <v>2729</v>
      </c>
      <c r="B2598" t="s">
        <v>78</v>
      </c>
      <c r="C2598" t="str">
        <f>_xlfn.XLOOKUP(B2598,
[1]sales_teams!$A$2:$A$100,
[1]sales_teams!$B$2:$B$100)</f>
        <v>Summer Sewald</v>
      </c>
      <c r="D2598" t="str">
        <f>_xlfn.XLOOKUP($B2598,sales_teams!$A$2:$A$36,sales_teams!C$2:C$36)</f>
        <v>West</v>
      </c>
      <c r="E2598" t="s">
        <v>18</v>
      </c>
      <c r="G2598" t="s">
        <v>40</v>
      </c>
      <c r="H2598" s="1">
        <v>42845</v>
      </c>
    </row>
    <row r="2599" spans="1:10" x14ac:dyDescent="0.3">
      <c r="A2599" t="s">
        <v>2730</v>
      </c>
      <c r="B2599" t="s">
        <v>78</v>
      </c>
      <c r="C2599" t="str">
        <f>_xlfn.XLOOKUP(B2599,
[1]sales_teams!$A$2:$A$100,
[1]sales_teams!$B$2:$B$100)</f>
        <v>Summer Sewald</v>
      </c>
      <c r="D2599" t="str">
        <f>_xlfn.XLOOKUP($B2599,sales_teams!$A$2:$A$36,sales_teams!C$2:C$36)</f>
        <v>West</v>
      </c>
      <c r="E2599" t="s">
        <v>20</v>
      </c>
      <c r="F2599" t="s">
        <v>313</v>
      </c>
      <c r="G2599" t="s">
        <v>12</v>
      </c>
      <c r="H2599" s="1">
        <v>42845</v>
      </c>
      <c r="I2599" s="1">
        <v>42853</v>
      </c>
      <c r="J2599">
        <v>502</v>
      </c>
    </row>
    <row r="2600" spans="1:10" x14ac:dyDescent="0.3">
      <c r="A2600" t="s">
        <v>2731</v>
      </c>
      <c r="B2600" t="s">
        <v>95</v>
      </c>
      <c r="C2600" t="str">
        <f>_xlfn.XLOOKUP(B2600,
[1]sales_teams!$A$2:$A$100,
[1]sales_teams!$B$2:$B$100)</f>
        <v>Summer Sewald</v>
      </c>
      <c r="D2600" t="str">
        <f>_xlfn.XLOOKUP($B2600,sales_teams!$A$2:$A$36,sales_teams!C$2:C$36)</f>
        <v>West</v>
      </c>
      <c r="E2600" t="s">
        <v>20</v>
      </c>
      <c r="G2600" t="s">
        <v>40</v>
      </c>
      <c r="H2600" s="1">
        <v>42845</v>
      </c>
    </row>
    <row r="2601" spans="1:10" x14ac:dyDescent="0.3">
      <c r="A2601" t="s">
        <v>2732</v>
      </c>
      <c r="B2601" t="s">
        <v>95</v>
      </c>
      <c r="C2601" t="str">
        <f>_xlfn.XLOOKUP(B2601,
[1]sales_teams!$A$2:$A$100,
[1]sales_teams!$B$2:$B$100)</f>
        <v>Summer Sewald</v>
      </c>
      <c r="D2601" t="str">
        <f>_xlfn.XLOOKUP($B2601,sales_teams!$A$2:$A$36,sales_teams!C$2:C$36)</f>
        <v>West</v>
      </c>
      <c r="E2601" t="s">
        <v>20</v>
      </c>
      <c r="F2601" t="s">
        <v>93</v>
      </c>
      <c r="G2601" t="s">
        <v>12</v>
      </c>
      <c r="H2601" s="1">
        <v>42845</v>
      </c>
      <c r="I2601" s="1">
        <v>42911</v>
      </c>
      <c r="J2601">
        <v>527</v>
      </c>
    </row>
    <row r="2602" spans="1:10" x14ac:dyDescent="0.3">
      <c r="A2602" t="s">
        <v>2733</v>
      </c>
      <c r="B2602" t="s">
        <v>32</v>
      </c>
      <c r="C2602" t="str">
        <f>_xlfn.XLOOKUP(B2602,
[1]sales_teams!$A$2:$A$100,
[1]sales_teams!$B$2:$B$100)</f>
        <v>Celia Rouche</v>
      </c>
      <c r="D2602" t="str">
        <f>_xlfn.XLOOKUP($B2602,sales_teams!$A$2:$A$36,sales_teams!C$2:C$36)</f>
        <v>West</v>
      </c>
      <c r="E2602" t="s">
        <v>18</v>
      </c>
      <c r="F2602" t="s">
        <v>93</v>
      </c>
      <c r="G2602" t="s">
        <v>46</v>
      </c>
      <c r="H2602" s="1">
        <v>42845</v>
      </c>
      <c r="I2602" s="1">
        <v>42846</v>
      </c>
      <c r="J2602">
        <v>0</v>
      </c>
    </row>
    <row r="2603" spans="1:10" x14ac:dyDescent="0.3">
      <c r="A2603" t="s">
        <v>2734</v>
      </c>
      <c r="B2603" t="s">
        <v>116</v>
      </c>
      <c r="C2603" t="str">
        <f>_xlfn.XLOOKUP(B2603,
[1]sales_teams!$A$2:$A$100,
[1]sales_teams!$B$2:$B$100)</f>
        <v>Melvin Marxen</v>
      </c>
      <c r="D2603" t="str">
        <f>_xlfn.XLOOKUP($B2603,sales_teams!$A$2:$A$36,sales_teams!C$2:C$36)</f>
        <v>Central</v>
      </c>
      <c r="E2603" t="s">
        <v>18</v>
      </c>
      <c r="F2603" t="s">
        <v>129</v>
      </c>
      <c r="G2603" t="s">
        <v>12</v>
      </c>
      <c r="H2603" s="1">
        <v>42845</v>
      </c>
      <c r="I2603" s="1">
        <v>42853</v>
      </c>
      <c r="J2603">
        <v>64</v>
      </c>
    </row>
    <row r="2604" spans="1:10" x14ac:dyDescent="0.3">
      <c r="A2604" t="s">
        <v>2735</v>
      </c>
      <c r="B2604" t="s">
        <v>51</v>
      </c>
      <c r="C2604" t="str">
        <f>_xlfn.XLOOKUP(B2604,
[1]sales_teams!$A$2:$A$100,
[1]sales_teams!$B$2:$B$100)</f>
        <v>Summer Sewald</v>
      </c>
      <c r="D2604" t="str">
        <f>_xlfn.XLOOKUP($B2604,sales_teams!$A$2:$A$36,sales_teams!C$2:C$36)</f>
        <v>West</v>
      </c>
      <c r="E2604" t="s">
        <v>20</v>
      </c>
      <c r="F2604" t="s">
        <v>59</v>
      </c>
      <c r="G2604" t="s">
        <v>12</v>
      </c>
      <c r="H2604" s="1">
        <v>42845</v>
      </c>
      <c r="I2604" s="1">
        <v>42852</v>
      </c>
      <c r="J2604">
        <v>579</v>
      </c>
    </row>
    <row r="2605" spans="1:10" x14ac:dyDescent="0.3">
      <c r="A2605" t="s">
        <v>2736</v>
      </c>
      <c r="B2605" t="s">
        <v>51</v>
      </c>
      <c r="C2605" t="str">
        <f>_xlfn.XLOOKUP(B2605,
[1]sales_teams!$A$2:$A$100,
[1]sales_teams!$B$2:$B$100)</f>
        <v>Summer Sewald</v>
      </c>
      <c r="D2605" t="str">
        <f>_xlfn.XLOOKUP($B2605,sales_teams!$A$2:$A$36,sales_teams!C$2:C$36)</f>
        <v>West</v>
      </c>
      <c r="E2605" t="s">
        <v>48</v>
      </c>
      <c r="F2605" t="s">
        <v>184</v>
      </c>
      <c r="G2605" t="s">
        <v>12</v>
      </c>
      <c r="H2605" s="1">
        <v>42845</v>
      </c>
      <c r="I2605" s="1">
        <v>42855</v>
      </c>
      <c r="J2605">
        <v>5958</v>
      </c>
    </row>
    <row r="2606" spans="1:10" x14ac:dyDescent="0.3">
      <c r="A2606" t="s">
        <v>2737</v>
      </c>
      <c r="B2606" t="s">
        <v>51</v>
      </c>
      <c r="C2606" t="str">
        <f>_xlfn.XLOOKUP(B2606,
[1]sales_teams!$A$2:$A$100,
[1]sales_teams!$B$2:$B$100)</f>
        <v>Summer Sewald</v>
      </c>
      <c r="D2606" t="str">
        <f>_xlfn.XLOOKUP($B2606,sales_teams!$A$2:$A$36,sales_teams!C$2:C$36)</f>
        <v>West</v>
      </c>
      <c r="E2606" t="s">
        <v>15</v>
      </c>
      <c r="F2606" t="s">
        <v>59</v>
      </c>
      <c r="G2606" t="s">
        <v>12</v>
      </c>
      <c r="H2606" s="1">
        <v>42845</v>
      </c>
      <c r="I2606" s="1">
        <v>42882</v>
      </c>
      <c r="J2606">
        <v>4543</v>
      </c>
    </row>
    <row r="2607" spans="1:10" x14ac:dyDescent="0.3">
      <c r="A2607" t="s">
        <v>2738</v>
      </c>
      <c r="B2607" t="s">
        <v>9</v>
      </c>
      <c r="C2607" t="str">
        <f>_xlfn.XLOOKUP(B2607,
[1]sales_teams!$A$2:$A$100,
[1]sales_teams!$B$2:$B$100)</f>
        <v>Dustin Brinkmann</v>
      </c>
      <c r="D2607" t="str">
        <f>_xlfn.XLOOKUP($B2607,sales_teams!$A$2:$A$36,sales_teams!C$2:C$36)</f>
        <v>Central</v>
      </c>
      <c r="E2607" t="s">
        <v>20</v>
      </c>
      <c r="F2607" t="s">
        <v>318</v>
      </c>
      <c r="G2607" t="s">
        <v>46</v>
      </c>
      <c r="H2607" s="1">
        <v>42845</v>
      </c>
      <c r="I2607" s="1">
        <v>42847</v>
      </c>
      <c r="J2607">
        <v>0</v>
      </c>
    </row>
    <row r="2608" spans="1:10" x14ac:dyDescent="0.3">
      <c r="A2608" t="s">
        <v>2739</v>
      </c>
      <c r="B2608" t="s">
        <v>9</v>
      </c>
      <c r="C2608" t="str">
        <f>_xlfn.XLOOKUP(B2608,
[1]sales_teams!$A$2:$A$100,
[1]sales_teams!$B$2:$B$100)</f>
        <v>Dustin Brinkmann</v>
      </c>
      <c r="D2608" t="str">
        <f>_xlfn.XLOOKUP($B2608,sales_teams!$A$2:$A$36,sales_teams!C$2:C$36)</f>
        <v>Central</v>
      </c>
      <c r="E2608" t="s">
        <v>18</v>
      </c>
      <c r="F2608" t="s">
        <v>62</v>
      </c>
      <c r="G2608" t="s">
        <v>12</v>
      </c>
      <c r="H2608" s="1">
        <v>42845</v>
      </c>
      <c r="I2608" s="1">
        <v>42857</v>
      </c>
      <c r="J2608">
        <v>58</v>
      </c>
    </row>
    <row r="2609" spans="1:10" x14ac:dyDescent="0.3">
      <c r="A2609" t="s">
        <v>2740</v>
      </c>
      <c r="B2609" t="s">
        <v>97</v>
      </c>
      <c r="C2609" t="str">
        <f>_xlfn.XLOOKUP(B2609,
[1]sales_teams!$A$2:$A$100,
[1]sales_teams!$B$2:$B$100)</f>
        <v>Rocco Neubert</v>
      </c>
      <c r="D2609" t="str">
        <f>_xlfn.XLOOKUP($B2609,sales_teams!$A$2:$A$36,sales_teams!C$2:C$36)</f>
        <v>East</v>
      </c>
      <c r="E2609" t="s">
        <v>10</v>
      </c>
      <c r="F2609" t="s">
        <v>215</v>
      </c>
      <c r="G2609" t="s">
        <v>46</v>
      </c>
      <c r="H2609" s="1">
        <v>42845</v>
      </c>
      <c r="I2609" s="1">
        <v>42846</v>
      </c>
      <c r="J2609">
        <v>0</v>
      </c>
    </row>
    <row r="2610" spans="1:10" x14ac:dyDescent="0.3">
      <c r="A2610" t="s">
        <v>2741</v>
      </c>
      <c r="B2610" t="s">
        <v>97</v>
      </c>
      <c r="C2610" t="str">
        <f>_xlfn.XLOOKUP(B2610,
[1]sales_teams!$A$2:$A$100,
[1]sales_teams!$B$2:$B$100)</f>
        <v>Rocco Neubert</v>
      </c>
      <c r="D2610" t="str">
        <f>_xlfn.XLOOKUP($B2610,sales_teams!$A$2:$A$36,sales_teams!C$2:C$36)</f>
        <v>East</v>
      </c>
      <c r="E2610" t="s">
        <v>48</v>
      </c>
      <c r="F2610" t="s">
        <v>74</v>
      </c>
      <c r="G2610" t="s">
        <v>46</v>
      </c>
      <c r="H2610" s="1">
        <v>42845</v>
      </c>
      <c r="I2610" s="1">
        <v>42852</v>
      </c>
      <c r="J2610">
        <v>0</v>
      </c>
    </row>
    <row r="2611" spans="1:10" x14ac:dyDescent="0.3">
      <c r="A2611" t="s">
        <v>2742</v>
      </c>
      <c r="B2611" t="s">
        <v>88</v>
      </c>
      <c r="C2611" t="str">
        <f>_xlfn.XLOOKUP(B2611,
[1]sales_teams!$A$2:$A$100,
[1]sales_teams!$B$2:$B$100)</f>
        <v>Cara Losch</v>
      </c>
      <c r="D2611" t="str">
        <f>_xlfn.XLOOKUP($B2611,sales_teams!$A$2:$A$36,sales_teams!C$2:C$36)</f>
        <v>East</v>
      </c>
      <c r="E2611" t="s">
        <v>10</v>
      </c>
      <c r="F2611" t="s">
        <v>204</v>
      </c>
      <c r="G2611" t="s">
        <v>12</v>
      </c>
      <c r="H2611" s="1">
        <v>42845</v>
      </c>
      <c r="I2611" s="1">
        <v>42910</v>
      </c>
      <c r="J2611">
        <v>1036</v>
      </c>
    </row>
    <row r="2612" spans="1:10" x14ac:dyDescent="0.3">
      <c r="A2612" t="s">
        <v>2743</v>
      </c>
      <c r="B2612" t="s">
        <v>61</v>
      </c>
      <c r="C2612" t="str">
        <f>_xlfn.XLOOKUP(B2612,
[1]sales_teams!$A$2:$A$100,
[1]sales_teams!$B$2:$B$100)</f>
        <v>Dustin Brinkmann</v>
      </c>
      <c r="D2612" t="str">
        <f>_xlfn.XLOOKUP($B2612,sales_teams!$A$2:$A$36,sales_teams!C$2:C$36)</f>
        <v>Central</v>
      </c>
      <c r="E2612" t="s">
        <v>48</v>
      </c>
      <c r="F2612" t="s">
        <v>45</v>
      </c>
      <c r="G2612" t="s">
        <v>12</v>
      </c>
      <c r="H2612" s="1">
        <v>42845</v>
      </c>
      <c r="I2612" s="1">
        <v>42852</v>
      </c>
      <c r="J2612">
        <v>4878</v>
      </c>
    </row>
    <row r="2613" spans="1:10" x14ac:dyDescent="0.3">
      <c r="A2613" t="s">
        <v>2744</v>
      </c>
      <c r="B2613" t="s">
        <v>29</v>
      </c>
      <c r="C2613" t="str">
        <f>_xlfn.XLOOKUP(B2613,
[1]sales_teams!$A$2:$A$100,
[1]sales_teams!$B$2:$B$100)</f>
        <v>Celia Rouche</v>
      </c>
      <c r="D2613" t="str">
        <f>_xlfn.XLOOKUP($B2613,sales_teams!$A$2:$A$36,sales_teams!C$2:C$36)</f>
        <v>West</v>
      </c>
      <c r="E2613" t="s">
        <v>20</v>
      </c>
      <c r="F2613" t="s">
        <v>194</v>
      </c>
      <c r="G2613" t="s">
        <v>46</v>
      </c>
      <c r="H2613" s="1">
        <v>42845</v>
      </c>
      <c r="I2613" s="1">
        <v>42853</v>
      </c>
      <c r="J2613">
        <v>0</v>
      </c>
    </row>
    <row r="2614" spans="1:10" x14ac:dyDescent="0.3">
      <c r="A2614" t="s">
        <v>2745</v>
      </c>
      <c r="B2614" t="s">
        <v>26</v>
      </c>
      <c r="C2614" t="str">
        <f>_xlfn.XLOOKUP(B2614,
[1]sales_teams!$A$2:$A$100,
[1]sales_teams!$B$2:$B$100)</f>
        <v>Dustin Brinkmann</v>
      </c>
      <c r="D2614" t="str">
        <f>_xlfn.XLOOKUP($B2614,sales_teams!$A$2:$A$36,sales_teams!C$2:C$36)</f>
        <v>Central</v>
      </c>
      <c r="E2614" t="s">
        <v>10</v>
      </c>
      <c r="F2614" t="s">
        <v>492</v>
      </c>
      <c r="G2614" t="s">
        <v>46</v>
      </c>
      <c r="H2614" s="1">
        <v>42846</v>
      </c>
      <c r="I2614" s="1">
        <v>42860</v>
      </c>
      <c r="J2614">
        <v>0</v>
      </c>
    </row>
    <row r="2615" spans="1:10" x14ac:dyDescent="0.3">
      <c r="A2615" t="s">
        <v>2746</v>
      </c>
      <c r="B2615" t="s">
        <v>118</v>
      </c>
      <c r="C2615" t="str">
        <f>_xlfn.XLOOKUP(B2615,
[1]sales_teams!$A$2:$A$100,
[1]sales_teams!$B$2:$B$100)</f>
        <v>Rocco Neubert</v>
      </c>
      <c r="D2615" t="str">
        <f>_xlfn.XLOOKUP($B2615,sales_teams!$A$2:$A$36,sales_teams!C$2:C$36)</f>
        <v>East</v>
      </c>
      <c r="E2615" t="s">
        <v>10</v>
      </c>
      <c r="G2615" t="s">
        <v>40</v>
      </c>
      <c r="H2615" s="1">
        <v>42846</v>
      </c>
    </row>
    <row r="2616" spans="1:10" x14ac:dyDescent="0.3">
      <c r="A2616" t="s">
        <v>2747</v>
      </c>
      <c r="B2616" t="s">
        <v>118</v>
      </c>
      <c r="C2616" t="str">
        <f>_xlfn.XLOOKUP(B2616,
[1]sales_teams!$A$2:$A$100,
[1]sales_teams!$B$2:$B$100)</f>
        <v>Rocco Neubert</v>
      </c>
      <c r="D2616" t="str">
        <f>_xlfn.XLOOKUP($B2616,sales_teams!$A$2:$A$36,sales_teams!C$2:C$36)</f>
        <v>East</v>
      </c>
      <c r="E2616" t="s">
        <v>10</v>
      </c>
      <c r="F2616" t="s">
        <v>192</v>
      </c>
      <c r="G2616" t="s">
        <v>12</v>
      </c>
      <c r="H2616" s="1">
        <v>42846</v>
      </c>
      <c r="I2616" s="1">
        <v>42968</v>
      </c>
      <c r="J2616">
        <v>1033</v>
      </c>
    </row>
    <row r="2617" spans="1:10" x14ac:dyDescent="0.3">
      <c r="A2617" t="s">
        <v>2748</v>
      </c>
      <c r="B2617" t="s">
        <v>64</v>
      </c>
      <c r="C2617" t="str">
        <f>_xlfn.XLOOKUP(B2617,
[1]sales_teams!$A$2:$A$100,
[1]sales_teams!$B$2:$B$100)</f>
        <v>Rocco Neubert</v>
      </c>
      <c r="D2617" t="str">
        <f>_xlfn.XLOOKUP($B2617,sales_teams!$A$2:$A$36,sales_teams!C$2:C$36)</f>
        <v>East</v>
      </c>
      <c r="E2617" t="s">
        <v>48</v>
      </c>
      <c r="F2617" t="s">
        <v>300</v>
      </c>
      <c r="G2617" t="s">
        <v>12</v>
      </c>
      <c r="H2617" s="1">
        <v>42846</v>
      </c>
      <c r="I2617" s="1">
        <v>42898</v>
      </c>
      <c r="J2617">
        <v>5343</v>
      </c>
    </row>
    <row r="2618" spans="1:10" x14ac:dyDescent="0.3">
      <c r="A2618" t="s">
        <v>2749</v>
      </c>
      <c r="B2618" t="s">
        <v>14</v>
      </c>
      <c r="C2618" t="str">
        <f>_xlfn.XLOOKUP(B2618,
[1]sales_teams!$A$2:$A$100,
[1]sales_teams!$B$2:$B$100)</f>
        <v>Melvin Marxen</v>
      </c>
      <c r="D2618" t="str">
        <f>_xlfn.XLOOKUP($B2618,sales_teams!$A$2:$A$36,sales_teams!C$2:C$36)</f>
        <v>Central</v>
      </c>
      <c r="E2618" t="s">
        <v>10</v>
      </c>
      <c r="F2618" t="s">
        <v>120</v>
      </c>
      <c r="G2618" t="s">
        <v>46</v>
      </c>
      <c r="H2618" s="1">
        <v>42846</v>
      </c>
      <c r="I2618" s="1">
        <v>42855</v>
      </c>
      <c r="J2618">
        <v>0</v>
      </c>
    </row>
    <row r="2619" spans="1:10" x14ac:dyDescent="0.3">
      <c r="A2619" t="s">
        <v>2750</v>
      </c>
      <c r="B2619" t="s">
        <v>14</v>
      </c>
      <c r="C2619" t="str">
        <f>_xlfn.XLOOKUP(B2619,
[1]sales_teams!$A$2:$A$100,
[1]sales_teams!$B$2:$B$100)</f>
        <v>Melvin Marxen</v>
      </c>
      <c r="D2619" t="str">
        <f>_xlfn.XLOOKUP($B2619,sales_teams!$A$2:$A$36,sales_teams!C$2:C$36)</f>
        <v>Central</v>
      </c>
      <c r="E2619" t="s">
        <v>15</v>
      </c>
      <c r="F2619" t="s">
        <v>111</v>
      </c>
      <c r="G2619" t="s">
        <v>46</v>
      </c>
      <c r="H2619" s="1">
        <v>42846</v>
      </c>
      <c r="I2619" s="1">
        <v>42852</v>
      </c>
      <c r="J2619">
        <v>0</v>
      </c>
    </row>
    <row r="2620" spans="1:10" x14ac:dyDescent="0.3">
      <c r="A2620" t="s">
        <v>2751</v>
      </c>
      <c r="B2620" t="s">
        <v>14</v>
      </c>
      <c r="C2620" t="str">
        <f>_xlfn.XLOOKUP(B2620,
[1]sales_teams!$A$2:$A$100,
[1]sales_teams!$B$2:$B$100)</f>
        <v>Melvin Marxen</v>
      </c>
      <c r="D2620" t="str">
        <f>_xlfn.XLOOKUP($B2620,sales_teams!$A$2:$A$36,sales_teams!C$2:C$36)</f>
        <v>Central</v>
      </c>
      <c r="E2620" t="s">
        <v>15</v>
      </c>
      <c r="F2620" t="s">
        <v>111</v>
      </c>
      <c r="G2620" t="s">
        <v>46</v>
      </c>
      <c r="H2620" s="1">
        <v>42846</v>
      </c>
      <c r="I2620" s="1">
        <v>42957</v>
      </c>
      <c r="J2620">
        <v>0</v>
      </c>
    </row>
    <row r="2621" spans="1:10" x14ac:dyDescent="0.3">
      <c r="A2621" t="s">
        <v>2752</v>
      </c>
      <c r="B2621" t="s">
        <v>14</v>
      </c>
      <c r="C2621" t="str">
        <f>_xlfn.XLOOKUP(B2621,
[1]sales_teams!$A$2:$A$100,
[1]sales_teams!$B$2:$B$100)</f>
        <v>Melvin Marxen</v>
      </c>
      <c r="D2621" t="str">
        <f>_xlfn.XLOOKUP($B2621,sales_teams!$A$2:$A$36,sales_teams!C$2:C$36)</f>
        <v>Central</v>
      </c>
      <c r="E2621" t="s">
        <v>39</v>
      </c>
      <c r="F2621" t="s">
        <v>129</v>
      </c>
      <c r="G2621" t="s">
        <v>12</v>
      </c>
      <c r="H2621" s="1">
        <v>42846</v>
      </c>
      <c r="I2621" s="1">
        <v>42851</v>
      </c>
      <c r="J2621">
        <v>3269</v>
      </c>
    </row>
    <row r="2622" spans="1:10" x14ac:dyDescent="0.3">
      <c r="A2622" t="s">
        <v>2753</v>
      </c>
      <c r="B2622" t="s">
        <v>142</v>
      </c>
      <c r="C2622" t="str">
        <f>_xlfn.XLOOKUP(B2622,
[1]sales_teams!$A$2:$A$100,
[1]sales_teams!$B$2:$B$100)</f>
        <v>Rocco Neubert</v>
      </c>
      <c r="D2622" t="str">
        <f>_xlfn.XLOOKUP($B2622,sales_teams!$A$2:$A$36,sales_teams!C$2:C$36)</f>
        <v>East</v>
      </c>
      <c r="E2622" t="s">
        <v>20</v>
      </c>
      <c r="F2622" t="s">
        <v>143</v>
      </c>
      <c r="G2622" t="s">
        <v>46</v>
      </c>
      <c r="H2622" s="1">
        <v>42846</v>
      </c>
      <c r="I2622" s="1">
        <v>42862</v>
      </c>
      <c r="J2622">
        <v>0</v>
      </c>
    </row>
    <row r="2623" spans="1:10" x14ac:dyDescent="0.3">
      <c r="A2623" t="s">
        <v>2754</v>
      </c>
      <c r="B2623" t="s">
        <v>142</v>
      </c>
      <c r="C2623" t="str">
        <f>_xlfn.XLOOKUP(B2623,
[1]sales_teams!$A$2:$A$100,
[1]sales_teams!$B$2:$B$100)</f>
        <v>Rocco Neubert</v>
      </c>
      <c r="D2623" t="str">
        <f>_xlfn.XLOOKUP($B2623,sales_teams!$A$2:$A$36,sales_teams!C$2:C$36)</f>
        <v>East</v>
      </c>
      <c r="E2623" t="s">
        <v>15</v>
      </c>
      <c r="F2623" t="s">
        <v>98</v>
      </c>
      <c r="G2623" t="s">
        <v>12</v>
      </c>
      <c r="H2623" s="1">
        <v>42846</v>
      </c>
      <c r="I2623" s="1">
        <v>42852</v>
      </c>
      <c r="J2623">
        <v>4605</v>
      </c>
    </row>
    <row r="2624" spans="1:10" x14ac:dyDescent="0.3">
      <c r="A2624" t="s">
        <v>2755</v>
      </c>
      <c r="B2624" t="s">
        <v>105</v>
      </c>
      <c r="C2624" t="str">
        <f>_xlfn.XLOOKUP(B2624,
[1]sales_teams!$A$2:$A$100,
[1]sales_teams!$B$2:$B$100)</f>
        <v>Cara Losch</v>
      </c>
      <c r="D2624" t="str">
        <f>_xlfn.XLOOKUP($B2624,sales_teams!$A$2:$A$36,sales_teams!C$2:C$36)</f>
        <v>East</v>
      </c>
      <c r="E2624" t="s">
        <v>48</v>
      </c>
      <c r="F2624" t="s">
        <v>106</v>
      </c>
      <c r="G2624" t="s">
        <v>12</v>
      </c>
      <c r="H2624" s="1">
        <v>42846</v>
      </c>
      <c r="I2624" s="1">
        <v>42898</v>
      </c>
      <c r="J2624">
        <v>4908</v>
      </c>
    </row>
    <row r="2625" spans="1:10" x14ac:dyDescent="0.3">
      <c r="A2625" t="s">
        <v>2756</v>
      </c>
      <c r="B2625" t="s">
        <v>54</v>
      </c>
      <c r="C2625" t="str">
        <f>_xlfn.XLOOKUP(B2625,
[1]sales_teams!$A$2:$A$100,
[1]sales_teams!$B$2:$B$100)</f>
        <v>Celia Rouche</v>
      </c>
      <c r="D2625" t="str">
        <f>_xlfn.XLOOKUP($B2625,sales_teams!$A$2:$A$36,sales_teams!C$2:C$36)</f>
        <v>West</v>
      </c>
      <c r="E2625" t="s">
        <v>39</v>
      </c>
      <c r="F2625" t="s">
        <v>86</v>
      </c>
      <c r="G2625" t="s">
        <v>12</v>
      </c>
      <c r="H2625" s="1">
        <v>42846</v>
      </c>
      <c r="I2625" s="1">
        <v>42855</v>
      </c>
      <c r="J2625">
        <v>3303</v>
      </c>
    </row>
    <row r="2626" spans="1:10" x14ac:dyDescent="0.3">
      <c r="A2626" t="s">
        <v>2757</v>
      </c>
      <c r="B2626" t="s">
        <v>252</v>
      </c>
      <c r="C2626" t="str">
        <f>_xlfn.XLOOKUP(B2626,
[1]sales_teams!$A$2:$A$100,
[1]sales_teams!$B$2:$B$100)</f>
        <v>Melvin Marxen</v>
      </c>
      <c r="D2626" t="str">
        <f>_xlfn.XLOOKUP($B2626,sales_teams!$A$2:$A$36,sales_teams!C$2:C$36)</f>
        <v>Central</v>
      </c>
      <c r="E2626" t="s">
        <v>39</v>
      </c>
      <c r="F2626" t="s">
        <v>91</v>
      </c>
      <c r="G2626" t="s">
        <v>46</v>
      </c>
      <c r="H2626" s="1">
        <v>42846</v>
      </c>
      <c r="I2626" s="1">
        <v>42847</v>
      </c>
      <c r="J2626">
        <v>0</v>
      </c>
    </row>
    <row r="2627" spans="1:10" x14ac:dyDescent="0.3">
      <c r="A2627" t="s">
        <v>2758</v>
      </c>
      <c r="B2627" t="s">
        <v>252</v>
      </c>
      <c r="C2627" t="str">
        <f>_xlfn.XLOOKUP(B2627,
[1]sales_teams!$A$2:$A$100,
[1]sales_teams!$B$2:$B$100)</f>
        <v>Melvin Marxen</v>
      </c>
      <c r="D2627" t="str">
        <f>_xlfn.XLOOKUP($B2627,sales_teams!$A$2:$A$36,sales_teams!C$2:C$36)</f>
        <v>Central</v>
      </c>
      <c r="E2627" t="s">
        <v>39</v>
      </c>
      <c r="F2627" t="s">
        <v>27</v>
      </c>
      <c r="G2627" t="s">
        <v>46</v>
      </c>
      <c r="H2627" s="1">
        <v>42846</v>
      </c>
      <c r="I2627" s="1">
        <v>42857</v>
      </c>
      <c r="J2627">
        <v>0</v>
      </c>
    </row>
    <row r="2628" spans="1:10" x14ac:dyDescent="0.3">
      <c r="A2628" t="s">
        <v>2759</v>
      </c>
      <c r="B2628" t="s">
        <v>252</v>
      </c>
      <c r="C2628" t="str">
        <f>_xlfn.XLOOKUP(B2628,
[1]sales_teams!$A$2:$A$100,
[1]sales_teams!$B$2:$B$100)</f>
        <v>Melvin Marxen</v>
      </c>
      <c r="D2628" t="str">
        <f>_xlfn.XLOOKUP($B2628,sales_teams!$A$2:$A$36,sales_teams!C$2:C$36)</f>
        <v>Central</v>
      </c>
      <c r="E2628" t="s">
        <v>18</v>
      </c>
      <c r="F2628" t="s">
        <v>492</v>
      </c>
      <c r="G2628" t="s">
        <v>12</v>
      </c>
      <c r="H2628" s="1">
        <v>42846</v>
      </c>
      <c r="I2628" s="1">
        <v>42847</v>
      </c>
      <c r="J2628">
        <v>55</v>
      </c>
    </row>
    <row r="2629" spans="1:10" x14ac:dyDescent="0.3">
      <c r="A2629" t="s">
        <v>2760</v>
      </c>
      <c r="B2629" t="s">
        <v>78</v>
      </c>
      <c r="C2629" t="str">
        <f>_xlfn.XLOOKUP(B2629,
[1]sales_teams!$A$2:$A$100,
[1]sales_teams!$B$2:$B$100)</f>
        <v>Summer Sewald</v>
      </c>
      <c r="D2629" t="str">
        <f>_xlfn.XLOOKUP($B2629,sales_teams!$A$2:$A$36,sales_teams!C$2:C$36)</f>
        <v>West</v>
      </c>
      <c r="E2629" t="s">
        <v>20</v>
      </c>
      <c r="F2629" t="s">
        <v>184</v>
      </c>
      <c r="G2629" t="s">
        <v>12</v>
      </c>
      <c r="H2629" s="1">
        <v>42846</v>
      </c>
      <c r="I2629" s="1">
        <v>42915</v>
      </c>
      <c r="J2629">
        <v>531</v>
      </c>
    </row>
    <row r="2630" spans="1:10" x14ac:dyDescent="0.3">
      <c r="A2630" t="s">
        <v>2761</v>
      </c>
      <c r="B2630" t="s">
        <v>78</v>
      </c>
      <c r="C2630" t="str">
        <f>_xlfn.XLOOKUP(B2630,
[1]sales_teams!$A$2:$A$100,
[1]sales_teams!$B$2:$B$100)</f>
        <v>Summer Sewald</v>
      </c>
      <c r="D2630" t="str">
        <f>_xlfn.XLOOKUP($B2630,sales_teams!$A$2:$A$36,sales_teams!C$2:C$36)</f>
        <v>West</v>
      </c>
      <c r="E2630" t="s">
        <v>20</v>
      </c>
      <c r="F2630" t="s">
        <v>555</v>
      </c>
      <c r="G2630" t="s">
        <v>12</v>
      </c>
      <c r="H2630" s="1">
        <v>42846</v>
      </c>
      <c r="I2630" s="1">
        <v>42859</v>
      </c>
      <c r="J2630">
        <v>557</v>
      </c>
    </row>
    <row r="2631" spans="1:10" x14ac:dyDescent="0.3">
      <c r="A2631" t="s">
        <v>2762</v>
      </c>
      <c r="B2631" t="s">
        <v>133</v>
      </c>
      <c r="C2631" t="str">
        <f>_xlfn.XLOOKUP(B2631,
[1]sales_teams!$A$2:$A$100,
[1]sales_teams!$B$2:$B$100)</f>
        <v>Dustin Brinkmann</v>
      </c>
      <c r="D2631" t="str">
        <f>_xlfn.XLOOKUP($B2631,sales_teams!$A$2:$A$36,sales_teams!C$2:C$36)</f>
        <v>Central</v>
      </c>
      <c r="E2631" t="s">
        <v>20</v>
      </c>
      <c r="F2631" t="s">
        <v>315</v>
      </c>
      <c r="G2631" t="s">
        <v>12</v>
      </c>
      <c r="H2631" s="1">
        <v>42846</v>
      </c>
      <c r="I2631" s="1">
        <v>42898</v>
      </c>
      <c r="J2631">
        <v>489</v>
      </c>
    </row>
    <row r="2632" spans="1:10" x14ac:dyDescent="0.3">
      <c r="A2632" t="s">
        <v>2763</v>
      </c>
      <c r="B2632" t="s">
        <v>116</v>
      </c>
      <c r="C2632" t="str">
        <f>_xlfn.XLOOKUP(B2632,
[1]sales_teams!$A$2:$A$100,
[1]sales_teams!$B$2:$B$100)</f>
        <v>Melvin Marxen</v>
      </c>
      <c r="D2632" t="str">
        <f>_xlfn.XLOOKUP($B2632,sales_teams!$A$2:$A$36,sales_teams!C$2:C$36)</f>
        <v>Central</v>
      </c>
      <c r="E2632" t="s">
        <v>39</v>
      </c>
      <c r="F2632" t="s">
        <v>231</v>
      </c>
      <c r="G2632" t="s">
        <v>46</v>
      </c>
      <c r="H2632" s="1">
        <v>42846</v>
      </c>
      <c r="I2632" s="1">
        <v>42884</v>
      </c>
      <c r="J2632">
        <v>0</v>
      </c>
    </row>
    <row r="2633" spans="1:10" x14ac:dyDescent="0.3">
      <c r="A2633" t="s">
        <v>2764</v>
      </c>
      <c r="B2633" t="s">
        <v>9</v>
      </c>
      <c r="C2633" t="str">
        <f>_xlfn.XLOOKUP(B2633,
[1]sales_teams!$A$2:$A$100,
[1]sales_teams!$B$2:$B$100)</f>
        <v>Dustin Brinkmann</v>
      </c>
      <c r="D2633" t="str">
        <f>_xlfn.XLOOKUP($B2633,sales_teams!$A$2:$A$36,sales_teams!C$2:C$36)</f>
        <v>Central</v>
      </c>
      <c r="E2633" t="s">
        <v>18</v>
      </c>
      <c r="F2633" t="s">
        <v>492</v>
      </c>
      <c r="G2633" t="s">
        <v>12</v>
      </c>
      <c r="H2633" s="1">
        <v>42846</v>
      </c>
      <c r="I2633" s="1">
        <v>42861</v>
      </c>
      <c r="J2633">
        <v>60</v>
      </c>
    </row>
    <row r="2634" spans="1:10" x14ac:dyDescent="0.3">
      <c r="A2634" t="s">
        <v>2765</v>
      </c>
      <c r="B2634" t="s">
        <v>97</v>
      </c>
      <c r="C2634" t="str">
        <f>_xlfn.XLOOKUP(B2634,
[1]sales_teams!$A$2:$A$100,
[1]sales_teams!$B$2:$B$100)</f>
        <v>Rocco Neubert</v>
      </c>
      <c r="D2634" t="str">
        <f>_xlfn.XLOOKUP($B2634,sales_teams!$A$2:$A$36,sales_teams!C$2:C$36)</f>
        <v>East</v>
      </c>
      <c r="E2634" t="s">
        <v>39</v>
      </c>
      <c r="F2634" t="s">
        <v>204</v>
      </c>
      <c r="G2634" t="s">
        <v>12</v>
      </c>
      <c r="H2634" s="1">
        <v>42846</v>
      </c>
      <c r="I2634" s="1">
        <v>42890</v>
      </c>
      <c r="J2634">
        <v>2887</v>
      </c>
    </row>
    <row r="2635" spans="1:10" x14ac:dyDescent="0.3">
      <c r="A2635" t="s">
        <v>2766</v>
      </c>
      <c r="B2635" t="s">
        <v>97</v>
      </c>
      <c r="C2635" t="str">
        <f>_xlfn.XLOOKUP(B2635,
[1]sales_teams!$A$2:$A$100,
[1]sales_teams!$B$2:$B$100)</f>
        <v>Rocco Neubert</v>
      </c>
      <c r="D2635" t="str">
        <f>_xlfn.XLOOKUP($B2635,sales_teams!$A$2:$A$36,sales_teams!C$2:C$36)</f>
        <v>East</v>
      </c>
      <c r="E2635" t="s">
        <v>39</v>
      </c>
      <c r="F2635" t="s">
        <v>410</v>
      </c>
      <c r="G2635" t="s">
        <v>12</v>
      </c>
      <c r="H2635" s="1">
        <v>42846</v>
      </c>
      <c r="I2635" s="1">
        <v>42857</v>
      </c>
      <c r="J2635">
        <v>3214</v>
      </c>
    </row>
    <row r="2636" spans="1:10" x14ac:dyDescent="0.3">
      <c r="A2636" t="s">
        <v>2767</v>
      </c>
      <c r="B2636" t="s">
        <v>88</v>
      </c>
      <c r="C2636" t="str">
        <f>_xlfn.XLOOKUP(B2636,
[1]sales_teams!$A$2:$A$100,
[1]sales_teams!$B$2:$B$100)</f>
        <v>Cara Losch</v>
      </c>
      <c r="D2636" t="str">
        <f>_xlfn.XLOOKUP($B2636,sales_teams!$A$2:$A$36,sales_teams!C$2:C$36)</f>
        <v>East</v>
      </c>
      <c r="E2636" t="s">
        <v>39</v>
      </c>
      <c r="F2636" t="s">
        <v>303</v>
      </c>
      <c r="G2636" t="s">
        <v>40</v>
      </c>
      <c r="H2636" s="1">
        <v>42846</v>
      </c>
    </row>
    <row r="2637" spans="1:10" x14ac:dyDescent="0.3">
      <c r="A2637" t="s">
        <v>2768</v>
      </c>
      <c r="B2637" t="s">
        <v>88</v>
      </c>
      <c r="C2637" t="str">
        <f>_xlfn.XLOOKUP(B2637,
[1]sales_teams!$A$2:$A$100,
[1]sales_teams!$B$2:$B$100)</f>
        <v>Cara Losch</v>
      </c>
      <c r="D2637" t="str">
        <f>_xlfn.XLOOKUP($B2637,sales_teams!$A$2:$A$36,sales_teams!C$2:C$36)</f>
        <v>East</v>
      </c>
      <c r="E2637" t="s">
        <v>39</v>
      </c>
      <c r="F2637" t="s">
        <v>98</v>
      </c>
      <c r="G2637" t="s">
        <v>12</v>
      </c>
      <c r="H2637" s="1">
        <v>42846</v>
      </c>
      <c r="I2637" s="1">
        <v>42848</v>
      </c>
      <c r="J2637">
        <v>3850</v>
      </c>
    </row>
    <row r="2638" spans="1:10" x14ac:dyDescent="0.3">
      <c r="A2638" t="s">
        <v>2769</v>
      </c>
      <c r="B2638" t="s">
        <v>61</v>
      </c>
      <c r="C2638" t="str">
        <f>_xlfn.XLOOKUP(B2638,
[1]sales_teams!$A$2:$A$100,
[1]sales_teams!$B$2:$B$100)</f>
        <v>Dustin Brinkmann</v>
      </c>
      <c r="D2638" t="str">
        <f>_xlfn.XLOOKUP($B2638,sales_teams!$A$2:$A$36,sales_teams!C$2:C$36)</f>
        <v>Central</v>
      </c>
      <c r="E2638" t="s">
        <v>18</v>
      </c>
      <c r="F2638" t="s">
        <v>109</v>
      </c>
      <c r="G2638" t="s">
        <v>12</v>
      </c>
      <c r="H2638" s="1">
        <v>42846</v>
      </c>
      <c r="I2638" s="1">
        <v>42895</v>
      </c>
      <c r="J2638">
        <v>54</v>
      </c>
    </row>
    <row r="2639" spans="1:10" x14ac:dyDescent="0.3">
      <c r="A2639" t="s">
        <v>2770</v>
      </c>
      <c r="B2639" t="s">
        <v>29</v>
      </c>
      <c r="C2639" t="str">
        <f>_xlfn.XLOOKUP(B2639,
[1]sales_teams!$A$2:$A$100,
[1]sales_teams!$B$2:$B$100)</f>
        <v>Celia Rouche</v>
      </c>
      <c r="D2639" t="str">
        <f>_xlfn.XLOOKUP($B2639,sales_teams!$A$2:$A$36,sales_teams!C$2:C$36)</f>
        <v>West</v>
      </c>
      <c r="E2639" t="s">
        <v>15</v>
      </c>
      <c r="G2639" t="s">
        <v>40</v>
      </c>
      <c r="H2639" s="1">
        <v>42846</v>
      </c>
    </row>
    <row r="2640" spans="1:10" x14ac:dyDescent="0.3">
      <c r="A2640" t="s">
        <v>2771</v>
      </c>
      <c r="B2640" t="s">
        <v>29</v>
      </c>
      <c r="C2640" t="str">
        <f>_xlfn.XLOOKUP(B2640,
[1]sales_teams!$A$2:$A$100,
[1]sales_teams!$B$2:$B$100)</f>
        <v>Celia Rouche</v>
      </c>
      <c r="D2640" t="str">
        <f>_xlfn.XLOOKUP($B2640,sales_teams!$A$2:$A$36,sales_teams!C$2:C$36)</f>
        <v>West</v>
      </c>
      <c r="E2640" t="s">
        <v>18</v>
      </c>
      <c r="F2640" t="s">
        <v>398</v>
      </c>
      <c r="G2640" t="s">
        <v>46</v>
      </c>
      <c r="H2640" s="1">
        <v>42846</v>
      </c>
      <c r="I2640" s="1">
        <v>42854</v>
      </c>
      <c r="J2640">
        <v>0</v>
      </c>
    </row>
    <row r="2641" spans="1:10" x14ac:dyDescent="0.3">
      <c r="A2641" t="s">
        <v>2772</v>
      </c>
      <c r="B2641" t="s">
        <v>29</v>
      </c>
      <c r="C2641" t="str">
        <f>_xlfn.XLOOKUP(B2641,
[1]sales_teams!$A$2:$A$100,
[1]sales_teams!$B$2:$B$100)</f>
        <v>Celia Rouche</v>
      </c>
      <c r="D2641" t="str">
        <f>_xlfn.XLOOKUP($B2641,sales_teams!$A$2:$A$36,sales_teams!C$2:C$36)</f>
        <v>West</v>
      </c>
      <c r="E2641" t="s">
        <v>15</v>
      </c>
      <c r="F2641" t="s">
        <v>124</v>
      </c>
      <c r="G2641" t="s">
        <v>12</v>
      </c>
      <c r="H2641" s="1">
        <v>42846</v>
      </c>
      <c r="I2641" s="1">
        <v>42959</v>
      </c>
      <c r="J2641">
        <v>5040</v>
      </c>
    </row>
    <row r="2642" spans="1:10" x14ac:dyDescent="0.3">
      <c r="A2642" t="s">
        <v>2773</v>
      </c>
      <c r="B2642" t="s">
        <v>102</v>
      </c>
      <c r="C2642" t="str">
        <f>_xlfn.XLOOKUP(B2642,
[1]sales_teams!$A$2:$A$100,
[1]sales_teams!$B$2:$B$100)</f>
        <v>Cara Losch</v>
      </c>
      <c r="D2642" t="str">
        <f>_xlfn.XLOOKUP($B2642,sales_teams!$A$2:$A$36,sales_teams!C$2:C$36)</f>
        <v>East</v>
      </c>
      <c r="E2642" t="s">
        <v>48</v>
      </c>
      <c r="F2642" t="s">
        <v>518</v>
      </c>
      <c r="G2642" t="s">
        <v>12</v>
      </c>
      <c r="H2642" s="1">
        <v>42846</v>
      </c>
      <c r="I2642" s="1">
        <v>42847</v>
      </c>
      <c r="J2642">
        <v>6263</v>
      </c>
    </row>
    <row r="2643" spans="1:10" x14ac:dyDescent="0.3">
      <c r="A2643" t="s">
        <v>2774</v>
      </c>
      <c r="B2643" t="s">
        <v>23</v>
      </c>
      <c r="C2643" t="str">
        <f>_xlfn.XLOOKUP(B2643,
[1]sales_teams!$A$2:$A$100,
[1]sales_teams!$B$2:$B$100)</f>
        <v>Summer Sewald</v>
      </c>
      <c r="D2643" t="str">
        <f>_xlfn.XLOOKUP($B2643,sales_teams!$A$2:$A$36,sales_teams!C$2:C$36)</f>
        <v>West</v>
      </c>
      <c r="E2643" t="s">
        <v>15</v>
      </c>
      <c r="F2643" t="s">
        <v>59</v>
      </c>
      <c r="G2643" t="s">
        <v>46</v>
      </c>
      <c r="H2643" s="1">
        <v>42846</v>
      </c>
      <c r="I2643" s="1">
        <v>42857</v>
      </c>
      <c r="J2643">
        <v>0</v>
      </c>
    </row>
    <row r="2644" spans="1:10" x14ac:dyDescent="0.3">
      <c r="A2644" t="s">
        <v>2775</v>
      </c>
      <c r="B2644" t="s">
        <v>23</v>
      </c>
      <c r="C2644" t="str">
        <f>_xlfn.XLOOKUP(B2644,
[1]sales_teams!$A$2:$A$100,
[1]sales_teams!$B$2:$B$100)</f>
        <v>Summer Sewald</v>
      </c>
      <c r="D2644" t="str">
        <f>_xlfn.XLOOKUP($B2644,sales_teams!$A$2:$A$36,sales_teams!C$2:C$36)</f>
        <v>West</v>
      </c>
      <c r="E2644" t="s">
        <v>20</v>
      </c>
      <c r="F2644" t="s">
        <v>313</v>
      </c>
      <c r="G2644" t="s">
        <v>12</v>
      </c>
      <c r="H2644" s="1">
        <v>42846</v>
      </c>
      <c r="I2644" s="1">
        <v>42848</v>
      </c>
      <c r="J2644">
        <v>570</v>
      </c>
    </row>
    <row r="2645" spans="1:10" x14ac:dyDescent="0.3">
      <c r="A2645" t="s">
        <v>2776</v>
      </c>
      <c r="B2645" t="s">
        <v>23</v>
      </c>
      <c r="C2645" t="str">
        <f>_xlfn.XLOOKUP(B2645,
[1]sales_teams!$A$2:$A$100,
[1]sales_teams!$B$2:$B$100)</f>
        <v>Summer Sewald</v>
      </c>
      <c r="D2645" t="str">
        <f>_xlfn.XLOOKUP($B2645,sales_teams!$A$2:$A$36,sales_teams!C$2:C$36)</f>
        <v>West</v>
      </c>
      <c r="E2645" t="s">
        <v>15</v>
      </c>
      <c r="F2645" t="s">
        <v>174</v>
      </c>
      <c r="G2645" t="s">
        <v>12</v>
      </c>
      <c r="H2645" s="1">
        <v>42846</v>
      </c>
      <c r="I2645" s="1">
        <v>42854</v>
      </c>
      <c r="J2645">
        <v>4633</v>
      </c>
    </row>
    <row r="2646" spans="1:10" x14ac:dyDescent="0.3">
      <c r="A2646" t="s">
        <v>2777</v>
      </c>
      <c r="B2646" t="s">
        <v>139</v>
      </c>
      <c r="C2646" t="str">
        <f>_xlfn.XLOOKUP(B2646,
[1]sales_teams!$A$2:$A$100,
[1]sales_teams!$B$2:$B$100)</f>
        <v>Rocco Neubert</v>
      </c>
      <c r="D2646" t="str">
        <f>_xlfn.XLOOKUP($B2646,sales_teams!$A$2:$A$36,sales_teams!C$2:C$36)</f>
        <v>East</v>
      </c>
      <c r="E2646" t="s">
        <v>48</v>
      </c>
      <c r="F2646" t="s">
        <v>209</v>
      </c>
      <c r="G2646" t="s">
        <v>46</v>
      </c>
      <c r="H2646" s="1">
        <v>42847</v>
      </c>
      <c r="I2646" s="1">
        <v>42854</v>
      </c>
      <c r="J2646">
        <v>0</v>
      </c>
    </row>
    <row r="2647" spans="1:10" x14ac:dyDescent="0.3">
      <c r="A2647" t="s">
        <v>2778</v>
      </c>
      <c r="B2647" t="s">
        <v>118</v>
      </c>
      <c r="C2647" t="str">
        <f>_xlfn.XLOOKUP(B2647,
[1]sales_teams!$A$2:$A$100,
[1]sales_teams!$B$2:$B$100)</f>
        <v>Rocco Neubert</v>
      </c>
      <c r="D2647" t="str">
        <f>_xlfn.XLOOKUP($B2647,sales_teams!$A$2:$A$36,sales_teams!C$2:C$36)</f>
        <v>East</v>
      </c>
      <c r="E2647" t="s">
        <v>15</v>
      </c>
      <c r="F2647" t="s">
        <v>179</v>
      </c>
      <c r="G2647" t="s">
        <v>46</v>
      </c>
      <c r="H2647" s="1">
        <v>42847</v>
      </c>
      <c r="I2647" s="1">
        <v>42863</v>
      </c>
      <c r="J2647">
        <v>0</v>
      </c>
    </row>
    <row r="2648" spans="1:10" x14ac:dyDescent="0.3">
      <c r="A2648" t="s">
        <v>2779</v>
      </c>
      <c r="B2648" t="s">
        <v>118</v>
      </c>
      <c r="C2648" t="str">
        <f>_xlfn.XLOOKUP(B2648,
[1]sales_teams!$A$2:$A$100,
[1]sales_teams!$B$2:$B$100)</f>
        <v>Rocco Neubert</v>
      </c>
      <c r="D2648" t="str">
        <f>_xlfn.XLOOKUP($B2648,sales_teams!$A$2:$A$36,sales_teams!C$2:C$36)</f>
        <v>East</v>
      </c>
      <c r="E2648" t="s">
        <v>15</v>
      </c>
      <c r="F2648" t="s">
        <v>103</v>
      </c>
      <c r="G2648" t="s">
        <v>12</v>
      </c>
      <c r="H2648" s="1">
        <v>42847</v>
      </c>
      <c r="I2648" s="1">
        <v>42853</v>
      </c>
      <c r="J2648">
        <v>4891</v>
      </c>
    </row>
    <row r="2649" spans="1:10" x14ac:dyDescent="0.3">
      <c r="A2649" t="s">
        <v>2780</v>
      </c>
      <c r="B2649" t="s">
        <v>14</v>
      </c>
      <c r="C2649" t="str">
        <f>_xlfn.XLOOKUP(B2649,
[1]sales_teams!$A$2:$A$100,
[1]sales_teams!$B$2:$B$100)</f>
        <v>Melvin Marxen</v>
      </c>
      <c r="D2649" t="str">
        <f>_xlfn.XLOOKUP($B2649,sales_teams!$A$2:$A$36,sales_teams!C$2:C$36)</f>
        <v>Central</v>
      </c>
      <c r="E2649" t="s">
        <v>48</v>
      </c>
      <c r="F2649" t="s">
        <v>492</v>
      </c>
      <c r="G2649" t="s">
        <v>12</v>
      </c>
      <c r="H2649" s="1">
        <v>42847</v>
      </c>
      <c r="I2649" s="1">
        <v>42854</v>
      </c>
      <c r="J2649">
        <v>5858</v>
      </c>
    </row>
    <row r="2650" spans="1:10" x14ac:dyDescent="0.3">
      <c r="A2650" t="s">
        <v>2781</v>
      </c>
      <c r="B2650" t="s">
        <v>14</v>
      </c>
      <c r="C2650" t="str">
        <f>_xlfn.XLOOKUP(B2650,
[1]sales_teams!$A$2:$A$100,
[1]sales_teams!$B$2:$B$100)</f>
        <v>Melvin Marxen</v>
      </c>
      <c r="D2650" t="str">
        <f>_xlfn.XLOOKUP($B2650,sales_teams!$A$2:$A$36,sales_teams!C$2:C$36)</f>
        <v>Central</v>
      </c>
      <c r="E2650" t="s">
        <v>15</v>
      </c>
      <c r="F2650" t="s">
        <v>126</v>
      </c>
      <c r="G2650" t="s">
        <v>12</v>
      </c>
      <c r="H2650" s="1">
        <v>42847</v>
      </c>
      <c r="I2650" s="1">
        <v>42879</v>
      </c>
      <c r="J2650">
        <v>4939</v>
      </c>
    </row>
    <row r="2651" spans="1:10" x14ac:dyDescent="0.3">
      <c r="A2651" t="s">
        <v>2782</v>
      </c>
      <c r="B2651" t="s">
        <v>252</v>
      </c>
      <c r="C2651" t="str">
        <f>_xlfn.XLOOKUP(B2651,
[1]sales_teams!$A$2:$A$100,
[1]sales_teams!$B$2:$B$100)</f>
        <v>Melvin Marxen</v>
      </c>
      <c r="D2651" t="str">
        <f>_xlfn.XLOOKUP($B2651,sales_teams!$A$2:$A$36,sales_teams!C$2:C$36)</f>
        <v>Central</v>
      </c>
      <c r="E2651" t="s">
        <v>20</v>
      </c>
      <c r="F2651" t="s">
        <v>318</v>
      </c>
      <c r="G2651" t="s">
        <v>12</v>
      </c>
      <c r="H2651" s="1">
        <v>42847</v>
      </c>
      <c r="I2651" s="1">
        <v>42959</v>
      </c>
      <c r="J2651">
        <v>570</v>
      </c>
    </row>
    <row r="2652" spans="1:10" x14ac:dyDescent="0.3">
      <c r="A2652" t="s">
        <v>2783</v>
      </c>
      <c r="B2652" t="s">
        <v>95</v>
      </c>
      <c r="C2652" t="str">
        <f>_xlfn.XLOOKUP(B2652,
[1]sales_teams!$A$2:$A$100,
[1]sales_teams!$B$2:$B$100)</f>
        <v>Summer Sewald</v>
      </c>
      <c r="D2652" t="str">
        <f>_xlfn.XLOOKUP($B2652,sales_teams!$A$2:$A$36,sales_teams!C$2:C$36)</f>
        <v>West</v>
      </c>
      <c r="E2652" t="s">
        <v>39</v>
      </c>
      <c r="F2652" t="s">
        <v>70</v>
      </c>
      <c r="G2652" t="s">
        <v>46</v>
      </c>
      <c r="H2652" s="1">
        <v>42847</v>
      </c>
      <c r="I2652" s="1">
        <v>42854</v>
      </c>
      <c r="J2652">
        <v>0</v>
      </c>
    </row>
    <row r="2653" spans="1:10" x14ac:dyDescent="0.3">
      <c r="A2653" t="s">
        <v>2784</v>
      </c>
      <c r="B2653" t="s">
        <v>95</v>
      </c>
      <c r="C2653" t="str">
        <f>_xlfn.XLOOKUP(B2653,
[1]sales_teams!$A$2:$A$100,
[1]sales_teams!$B$2:$B$100)</f>
        <v>Summer Sewald</v>
      </c>
      <c r="D2653" t="str">
        <f>_xlfn.XLOOKUP($B2653,sales_teams!$A$2:$A$36,sales_teams!C$2:C$36)</f>
        <v>West</v>
      </c>
      <c r="E2653" t="s">
        <v>20</v>
      </c>
      <c r="F2653" t="s">
        <v>159</v>
      </c>
      <c r="G2653" t="s">
        <v>12</v>
      </c>
      <c r="H2653" s="1">
        <v>42847</v>
      </c>
      <c r="I2653" s="1">
        <v>42855</v>
      </c>
      <c r="J2653">
        <v>500</v>
      </c>
    </row>
    <row r="2654" spans="1:10" x14ac:dyDescent="0.3">
      <c r="A2654" t="s">
        <v>2785</v>
      </c>
      <c r="B2654" t="s">
        <v>95</v>
      </c>
      <c r="C2654" t="str">
        <f>_xlfn.XLOOKUP(B2654,
[1]sales_teams!$A$2:$A$100,
[1]sales_teams!$B$2:$B$100)</f>
        <v>Summer Sewald</v>
      </c>
      <c r="D2654" t="str">
        <f>_xlfn.XLOOKUP($B2654,sales_teams!$A$2:$A$36,sales_teams!C$2:C$36)</f>
        <v>West</v>
      </c>
      <c r="E2654" t="s">
        <v>39</v>
      </c>
      <c r="F2654" t="s">
        <v>155</v>
      </c>
      <c r="G2654" t="s">
        <v>12</v>
      </c>
      <c r="H2654" s="1">
        <v>42847</v>
      </c>
      <c r="I2654" s="1">
        <v>42848</v>
      </c>
      <c r="J2654">
        <v>3546</v>
      </c>
    </row>
    <row r="2655" spans="1:10" x14ac:dyDescent="0.3">
      <c r="A2655" t="s">
        <v>2786</v>
      </c>
      <c r="B2655" t="s">
        <v>32</v>
      </c>
      <c r="C2655" t="str">
        <f>_xlfn.XLOOKUP(B2655,
[1]sales_teams!$A$2:$A$100,
[1]sales_teams!$B$2:$B$100)</f>
        <v>Celia Rouche</v>
      </c>
      <c r="D2655" t="str">
        <f>_xlfn.XLOOKUP($B2655,sales_teams!$A$2:$A$36,sales_teams!C$2:C$36)</f>
        <v>West</v>
      </c>
      <c r="E2655" t="s">
        <v>20</v>
      </c>
      <c r="F2655" t="s">
        <v>174</v>
      </c>
      <c r="G2655" t="s">
        <v>12</v>
      </c>
      <c r="H2655" s="1">
        <v>42847</v>
      </c>
      <c r="I2655" s="1">
        <v>42855</v>
      </c>
      <c r="J2655">
        <v>525</v>
      </c>
    </row>
    <row r="2656" spans="1:10" x14ac:dyDescent="0.3">
      <c r="A2656" t="s">
        <v>2787</v>
      </c>
      <c r="B2656" t="s">
        <v>51</v>
      </c>
      <c r="C2656" t="str">
        <f>_xlfn.XLOOKUP(B2656,
[1]sales_teams!$A$2:$A$100,
[1]sales_teams!$B$2:$B$100)</f>
        <v>Summer Sewald</v>
      </c>
      <c r="D2656" t="str">
        <f>_xlfn.XLOOKUP($B2656,sales_teams!$A$2:$A$36,sales_teams!C$2:C$36)</f>
        <v>West</v>
      </c>
      <c r="E2656" t="s">
        <v>18</v>
      </c>
      <c r="G2656" t="s">
        <v>40</v>
      </c>
      <c r="H2656" s="1">
        <v>42847</v>
      </c>
    </row>
    <row r="2657" spans="1:10" x14ac:dyDescent="0.3">
      <c r="A2657" t="s">
        <v>2788</v>
      </c>
      <c r="B2657" t="s">
        <v>9</v>
      </c>
      <c r="C2657" t="str">
        <f>_xlfn.XLOOKUP(B2657,
[1]sales_teams!$A$2:$A$100,
[1]sales_teams!$B$2:$B$100)</f>
        <v>Dustin Brinkmann</v>
      </c>
      <c r="D2657" t="str">
        <f>_xlfn.XLOOKUP($B2657,sales_teams!$A$2:$A$36,sales_teams!C$2:C$36)</f>
        <v>Central</v>
      </c>
      <c r="E2657" t="s">
        <v>10</v>
      </c>
      <c r="F2657" t="s">
        <v>120</v>
      </c>
      <c r="G2657" t="s">
        <v>12</v>
      </c>
      <c r="H2657" s="1">
        <v>42847</v>
      </c>
      <c r="I2657" s="1">
        <v>42852</v>
      </c>
      <c r="J2657">
        <v>1024</v>
      </c>
    </row>
    <row r="2658" spans="1:10" x14ac:dyDescent="0.3">
      <c r="A2658" t="s">
        <v>2789</v>
      </c>
      <c r="B2658" t="s">
        <v>35</v>
      </c>
      <c r="C2658" t="str">
        <f>_xlfn.XLOOKUP(B2658,
[1]sales_teams!$A$2:$A$100,
[1]sales_teams!$B$2:$B$100)</f>
        <v>Melvin Marxen</v>
      </c>
      <c r="D2658" t="str">
        <f>_xlfn.XLOOKUP($B2658,sales_teams!$A$2:$A$36,sales_teams!C$2:C$36)</f>
        <v>Central</v>
      </c>
      <c r="E2658" t="s">
        <v>48</v>
      </c>
      <c r="F2658" t="s">
        <v>492</v>
      </c>
      <c r="G2658" t="s">
        <v>12</v>
      </c>
      <c r="H2658" s="1">
        <v>42847</v>
      </c>
      <c r="I2658" s="1">
        <v>42855</v>
      </c>
      <c r="J2658">
        <v>6384</v>
      </c>
    </row>
    <row r="2659" spans="1:10" x14ac:dyDescent="0.3">
      <c r="A2659" t="s">
        <v>2790</v>
      </c>
      <c r="B2659" t="s">
        <v>97</v>
      </c>
      <c r="C2659" t="str">
        <f>_xlfn.XLOOKUP(B2659,
[1]sales_teams!$A$2:$A$100,
[1]sales_teams!$B$2:$B$100)</f>
        <v>Rocco Neubert</v>
      </c>
      <c r="D2659" t="str">
        <f>_xlfn.XLOOKUP($B2659,sales_teams!$A$2:$A$36,sales_teams!C$2:C$36)</f>
        <v>East</v>
      </c>
      <c r="E2659" t="s">
        <v>20</v>
      </c>
      <c r="F2659" t="s">
        <v>98</v>
      </c>
      <c r="G2659" t="s">
        <v>46</v>
      </c>
      <c r="H2659" s="1">
        <v>42847</v>
      </c>
      <c r="I2659" s="1">
        <v>42863</v>
      </c>
      <c r="J2659">
        <v>0</v>
      </c>
    </row>
    <row r="2660" spans="1:10" x14ac:dyDescent="0.3">
      <c r="A2660" t="s">
        <v>2791</v>
      </c>
      <c r="B2660" t="s">
        <v>97</v>
      </c>
      <c r="C2660" t="str">
        <f>_xlfn.XLOOKUP(B2660,
[1]sales_teams!$A$2:$A$100,
[1]sales_teams!$B$2:$B$100)</f>
        <v>Rocco Neubert</v>
      </c>
      <c r="D2660" t="str">
        <f>_xlfn.XLOOKUP($B2660,sales_teams!$A$2:$A$36,sales_teams!C$2:C$36)</f>
        <v>East</v>
      </c>
      <c r="E2660" t="s">
        <v>20</v>
      </c>
      <c r="F2660" t="s">
        <v>410</v>
      </c>
      <c r="G2660" t="s">
        <v>12</v>
      </c>
      <c r="H2660" s="1">
        <v>42847</v>
      </c>
      <c r="I2660" s="1">
        <v>42910</v>
      </c>
      <c r="J2660">
        <v>587</v>
      </c>
    </row>
    <row r="2661" spans="1:10" x14ac:dyDescent="0.3">
      <c r="A2661" t="s">
        <v>2792</v>
      </c>
      <c r="B2661" t="s">
        <v>57</v>
      </c>
      <c r="C2661" t="str">
        <f>_xlfn.XLOOKUP(B2661,
[1]sales_teams!$A$2:$A$100,
[1]sales_teams!$B$2:$B$100)</f>
        <v>Celia Rouche</v>
      </c>
      <c r="D2661" t="str">
        <f>_xlfn.XLOOKUP($B2661,sales_teams!$A$2:$A$36,sales_teams!C$2:C$36)</f>
        <v>West</v>
      </c>
      <c r="E2661" t="s">
        <v>18</v>
      </c>
      <c r="F2661" t="s">
        <v>86</v>
      </c>
      <c r="G2661" t="s">
        <v>12</v>
      </c>
      <c r="H2661" s="1">
        <v>42847</v>
      </c>
      <c r="I2661" s="1">
        <v>42853</v>
      </c>
      <c r="J2661">
        <v>55</v>
      </c>
    </row>
    <row r="2662" spans="1:10" x14ac:dyDescent="0.3">
      <c r="A2662" t="s">
        <v>2793</v>
      </c>
      <c r="B2662" t="s">
        <v>57</v>
      </c>
      <c r="C2662" t="str">
        <f>_xlfn.XLOOKUP(B2662,
[1]sales_teams!$A$2:$A$100,
[1]sales_teams!$B$2:$B$100)</f>
        <v>Celia Rouche</v>
      </c>
      <c r="D2662" t="str">
        <f>_xlfn.XLOOKUP($B2662,sales_teams!$A$2:$A$36,sales_teams!C$2:C$36)</f>
        <v>West</v>
      </c>
      <c r="E2662" t="s">
        <v>39</v>
      </c>
      <c r="F2662" t="s">
        <v>159</v>
      </c>
      <c r="G2662" t="s">
        <v>12</v>
      </c>
      <c r="H2662" s="1">
        <v>42847</v>
      </c>
      <c r="I2662" s="1">
        <v>42855</v>
      </c>
      <c r="J2662">
        <v>3242</v>
      </c>
    </row>
    <row r="2663" spans="1:10" x14ac:dyDescent="0.3">
      <c r="A2663" t="s">
        <v>2794</v>
      </c>
      <c r="B2663" t="s">
        <v>61</v>
      </c>
      <c r="C2663" t="str">
        <f>_xlfn.XLOOKUP(B2663,
[1]sales_teams!$A$2:$A$100,
[1]sales_teams!$B$2:$B$100)</f>
        <v>Dustin Brinkmann</v>
      </c>
      <c r="D2663" t="str">
        <f>_xlfn.XLOOKUP($B2663,sales_teams!$A$2:$A$36,sales_teams!C$2:C$36)</f>
        <v>Central</v>
      </c>
      <c r="E2663" t="s">
        <v>48</v>
      </c>
      <c r="F2663" t="s">
        <v>36</v>
      </c>
      <c r="G2663" t="s">
        <v>12</v>
      </c>
      <c r="H2663" s="1">
        <v>42847</v>
      </c>
      <c r="I2663" s="1">
        <v>42881</v>
      </c>
      <c r="J2663">
        <v>5558</v>
      </c>
    </row>
    <row r="2664" spans="1:10" x14ac:dyDescent="0.3">
      <c r="A2664" t="s">
        <v>2795</v>
      </c>
      <c r="B2664" t="s">
        <v>29</v>
      </c>
      <c r="C2664" t="str">
        <f>_xlfn.XLOOKUP(B2664,
[1]sales_teams!$A$2:$A$100,
[1]sales_teams!$B$2:$B$100)</f>
        <v>Celia Rouche</v>
      </c>
      <c r="D2664" t="str">
        <f>_xlfn.XLOOKUP($B2664,sales_teams!$A$2:$A$36,sales_teams!C$2:C$36)</f>
        <v>West</v>
      </c>
      <c r="E2664" t="s">
        <v>15</v>
      </c>
      <c r="F2664" t="s">
        <v>273</v>
      </c>
      <c r="G2664" t="s">
        <v>12</v>
      </c>
      <c r="H2664" s="1">
        <v>42847</v>
      </c>
      <c r="I2664" s="1">
        <v>42853</v>
      </c>
      <c r="J2664">
        <v>4869</v>
      </c>
    </row>
    <row r="2665" spans="1:10" x14ac:dyDescent="0.3">
      <c r="A2665" t="s">
        <v>2796</v>
      </c>
      <c r="B2665" t="s">
        <v>29</v>
      </c>
      <c r="C2665" t="str">
        <f>_xlfn.XLOOKUP(B2665,
[1]sales_teams!$A$2:$A$100,
[1]sales_teams!$B$2:$B$100)</f>
        <v>Celia Rouche</v>
      </c>
      <c r="D2665" t="str">
        <f>_xlfn.XLOOKUP($B2665,sales_teams!$A$2:$A$36,sales_teams!C$2:C$36)</f>
        <v>West</v>
      </c>
      <c r="E2665" t="s">
        <v>39</v>
      </c>
      <c r="F2665" t="s">
        <v>315</v>
      </c>
      <c r="G2665" t="s">
        <v>12</v>
      </c>
      <c r="H2665" s="1">
        <v>42847</v>
      </c>
      <c r="I2665" s="1">
        <v>42854</v>
      </c>
      <c r="J2665">
        <v>3661</v>
      </c>
    </row>
    <row r="2666" spans="1:10" x14ac:dyDescent="0.3">
      <c r="A2666" t="s">
        <v>2797</v>
      </c>
      <c r="B2666" t="s">
        <v>73</v>
      </c>
      <c r="C2666" t="str">
        <f>_xlfn.XLOOKUP(B2666,
[1]sales_teams!$A$2:$A$100,
[1]sales_teams!$B$2:$B$100)</f>
        <v>Cara Losch</v>
      </c>
      <c r="D2666" t="str">
        <f>_xlfn.XLOOKUP($B2666,sales_teams!$A$2:$A$36,sales_teams!C$2:C$36)</f>
        <v>East</v>
      </c>
      <c r="E2666" t="s">
        <v>20</v>
      </c>
      <c r="G2666" t="s">
        <v>40</v>
      </c>
      <c r="H2666" s="1">
        <v>42847</v>
      </c>
    </row>
    <row r="2667" spans="1:10" x14ac:dyDescent="0.3">
      <c r="A2667" t="s">
        <v>2798</v>
      </c>
      <c r="B2667" t="s">
        <v>73</v>
      </c>
      <c r="C2667" t="str">
        <f>_xlfn.XLOOKUP(B2667,
[1]sales_teams!$A$2:$A$100,
[1]sales_teams!$B$2:$B$100)</f>
        <v>Cara Losch</v>
      </c>
      <c r="D2667" t="str">
        <f>_xlfn.XLOOKUP($B2667,sales_teams!$A$2:$A$36,sales_teams!C$2:C$36)</f>
        <v>East</v>
      </c>
      <c r="E2667" t="s">
        <v>18</v>
      </c>
      <c r="G2667" t="s">
        <v>40</v>
      </c>
      <c r="H2667" s="1">
        <v>42847</v>
      </c>
    </row>
    <row r="2668" spans="1:10" x14ac:dyDescent="0.3">
      <c r="A2668" t="s">
        <v>2799</v>
      </c>
      <c r="B2668" t="s">
        <v>23</v>
      </c>
      <c r="C2668" t="str">
        <f>_xlfn.XLOOKUP(B2668,
[1]sales_teams!$A$2:$A$100,
[1]sales_teams!$B$2:$B$100)</f>
        <v>Summer Sewald</v>
      </c>
      <c r="D2668" t="str">
        <f>_xlfn.XLOOKUP($B2668,sales_teams!$A$2:$A$36,sales_teams!C$2:C$36)</f>
        <v>West</v>
      </c>
      <c r="E2668" t="s">
        <v>15</v>
      </c>
      <c r="F2668" t="s">
        <v>155</v>
      </c>
      <c r="G2668" t="s">
        <v>12</v>
      </c>
      <c r="H2668" s="1">
        <v>42847</v>
      </c>
      <c r="I2668" s="1">
        <v>42854</v>
      </c>
      <c r="J2668">
        <v>5456</v>
      </c>
    </row>
    <row r="2669" spans="1:10" x14ac:dyDescent="0.3">
      <c r="A2669" t="s">
        <v>2800</v>
      </c>
      <c r="B2669" t="s">
        <v>26</v>
      </c>
      <c r="C2669" t="str">
        <f>_xlfn.XLOOKUP(B2669,
[1]sales_teams!$A$2:$A$100,
[1]sales_teams!$B$2:$B$100)</f>
        <v>Dustin Brinkmann</v>
      </c>
      <c r="D2669" t="str">
        <f>_xlfn.XLOOKUP($B2669,sales_teams!$A$2:$A$36,sales_teams!C$2:C$36)</f>
        <v>Central</v>
      </c>
      <c r="E2669" t="s">
        <v>18</v>
      </c>
      <c r="F2669" t="s">
        <v>213</v>
      </c>
      <c r="G2669" t="s">
        <v>46</v>
      </c>
      <c r="H2669" s="1">
        <v>42848</v>
      </c>
      <c r="I2669" s="1">
        <v>42973</v>
      </c>
      <c r="J2669">
        <v>0</v>
      </c>
    </row>
    <row r="2670" spans="1:10" x14ac:dyDescent="0.3">
      <c r="A2670" t="s">
        <v>2801</v>
      </c>
      <c r="B2670" t="s">
        <v>139</v>
      </c>
      <c r="C2670" t="str">
        <f>_xlfn.XLOOKUP(B2670,
[1]sales_teams!$A$2:$A$100,
[1]sales_teams!$B$2:$B$100)</f>
        <v>Rocco Neubert</v>
      </c>
      <c r="D2670" t="str">
        <f>_xlfn.XLOOKUP($B2670,sales_teams!$A$2:$A$36,sales_teams!C$2:C$36)</f>
        <v>East</v>
      </c>
      <c r="E2670" t="s">
        <v>15</v>
      </c>
      <c r="F2670" t="s">
        <v>215</v>
      </c>
      <c r="G2670" t="s">
        <v>46</v>
      </c>
      <c r="H2670" s="1">
        <v>42848</v>
      </c>
      <c r="I2670" s="1">
        <v>42849</v>
      </c>
      <c r="J2670">
        <v>0</v>
      </c>
    </row>
    <row r="2671" spans="1:10" x14ac:dyDescent="0.3">
      <c r="A2671" t="s">
        <v>2802</v>
      </c>
      <c r="B2671" t="s">
        <v>118</v>
      </c>
      <c r="C2671" t="str">
        <f>_xlfn.XLOOKUP(B2671,
[1]sales_teams!$A$2:$A$100,
[1]sales_teams!$B$2:$B$100)</f>
        <v>Rocco Neubert</v>
      </c>
      <c r="D2671" t="str">
        <f>_xlfn.XLOOKUP($B2671,sales_teams!$A$2:$A$36,sales_teams!C$2:C$36)</f>
        <v>East</v>
      </c>
      <c r="E2671" t="s">
        <v>20</v>
      </c>
      <c r="F2671" t="s">
        <v>81</v>
      </c>
      <c r="G2671" t="s">
        <v>46</v>
      </c>
      <c r="H2671" s="1">
        <v>42848</v>
      </c>
      <c r="I2671" s="1">
        <v>42855</v>
      </c>
      <c r="J2671">
        <v>0</v>
      </c>
    </row>
    <row r="2672" spans="1:10" x14ac:dyDescent="0.3">
      <c r="A2672" t="s">
        <v>2803</v>
      </c>
      <c r="B2672" t="s">
        <v>118</v>
      </c>
      <c r="C2672" t="str">
        <f>_xlfn.XLOOKUP(B2672,
[1]sales_teams!$A$2:$A$100,
[1]sales_teams!$B$2:$B$100)</f>
        <v>Rocco Neubert</v>
      </c>
      <c r="D2672" t="str">
        <f>_xlfn.XLOOKUP($B2672,sales_teams!$A$2:$A$36,sales_teams!C$2:C$36)</f>
        <v>East</v>
      </c>
      <c r="E2672" t="s">
        <v>39</v>
      </c>
      <c r="F2672" t="s">
        <v>189</v>
      </c>
      <c r="G2672" t="s">
        <v>46</v>
      </c>
      <c r="H2672" s="1">
        <v>42848</v>
      </c>
      <c r="I2672" s="1">
        <v>42967</v>
      </c>
      <c r="J2672">
        <v>0</v>
      </c>
    </row>
    <row r="2673" spans="1:10" x14ac:dyDescent="0.3">
      <c r="A2673" t="s">
        <v>2804</v>
      </c>
      <c r="B2673" t="s">
        <v>164</v>
      </c>
      <c r="C2673" t="str">
        <f>_xlfn.XLOOKUP(B2673,
[1]sales_teams!$A$2:$A$100,
[1]sales_teams!$B$2:$B$100)</f>
        <v>Cara Losch</v>
      </c>
      <c r="D2673" t="str">
        <f>_xlfn.XLOOKUP($B2673,sales_teams!$A$2:$A$36,sales_teams!C$2:C$36)</f>
        <v>East</v>
      </c>
      <c r="E2673" t="s">
        <v>15</v>
      </c>
      <c r="F2673" t="s">
        <v>106</v>
      </c>
      <c r="G2673" t="s">
        <v>46</v>
      </c>
      <c r="H2673" s="1">
        <v>42848</v>
      </c>
      <c r="I2673" s="1">
        <v>42855</v>
      </c>
      <c r="J2673">
        <v>0</v>
      </c>
    </row>
    <row r="2674" spans="1:10" x14ac:dyDescent="0.3">
      <c r="A2674" t="s">
        <v>2805</v>
      </c>
      <c r="B2674" t="s">
        <v>164</v>
      </c>
      <c r="C2674" t="str">
        <f>_xlfn.XLOOKUP(B2674,
[1]sales_teams!$A$2:$A$100,
[1]sales_teams!$B$2:$B$100)</f>
        <v>Cara Losch</v>
      </c>
      <c r="D2674" t="str">
        <f>_xlfn.XLOOKUP($B2674,sales_teams!$A$2:$A$36,sales_teams!C$2:C$36)</f>
        <v>East</v>
      </c>
      <c r="E2674" t="s">
        <v>48</v>
      </c>
      <c r="F2674" t="s">
        <v>89</v>
      </c>
      <c r="G2674" t="s">
        <v>12</v>
      </c>
      <c r="H2674" s="1">
        <v>42848</v>
      </c>
      <c r="I2674" s="1">
        <v>42849</v>
      </c>
      <c r="J2674">
        <v>5780</v>
      </c>
    </row>
    <row r="2675" spans="1:10" x14ac:dyDescent="0.3">
      <c r="A2675" t="s">
        <v>2806</v>
      </c>
      <c r="B2675" t="s">
        <v>164</v>
      </c>
      <c r="C2675" t="str">
        <f>_xlfn.XLOOKUP(B2675,
[1]sales_teams!$A$2:$A$100,
[1]sales_teams!$B$2:$B$100)</f>
        <v>Cara Losch</v>
      </c>
      <c r="D2675" t="str">
        <f>_xlfn.XLOOKUP($B2675,sales_teams!$A$2:$A$36,sales_teams!C$2:C$36)</f>
        <v>East</v>
      </c>
      <c r="E2675" t="s">
        <v>15</v>
      </c>
      <c r="F2675" t="s">
        <v>373</v>
      </c>
      <c r="G2675" t="s">
        <v>12</v>
      </c>
      <c r="H2675" s="1">
        <v>42848</v>
      </c>
      <c r="I2675" s="1">
        <v>42855</v>
      </c>
      <c r="J2675">
        <v>5787</v>
      </c>
    </row>
    <row r="2676" spans="1:10" x14ac:dyDescent="0.3">
      <c r="A2676" t="s">
        <v>2807</v>
      </c>
      <c r="B2676" t="s">
        <v>64</v>
      </c>
      <c r="C2676" t="str">
        <f>_xlfn.XLOOKUP(B2676,
[1]sales_teams!$A$2:$A$100,
[1]sales_teams!$B$2:$B$100)</f>
        <v>Rocco Neubert</v>
      </c>
      <c r="D2676" t="str">
        <f>_xlfn.XLOOKUP($B2676,sales_teams!$A$2:$A$36,sales_teams!C$2:C$36)</f>
        <v>East</v>
      </c>
      <c r="E2676" t="s">
        <v>15</v>
      </c>
      <c r="F2676" t="s">
        <v>165</v>
      </c>
      <c r="G2676" t="s">
        <v>12</v>
      </c>
      <c r="H2676" s="1">
        <v>42848</v>
      </c>
      <c r="I2676" s="1">
        <v>42850</v>
      </c>
      <c r="J2676">
        <v>5149</v>
      </c>
    </row>
    <row r="2677" spans="1:10" x14ac:dyDescent="0.3">
      <c r="A2677" t="s">
        <v>2808</v>
      </c>
      <c r="B2677" t="s">
        <v>142</v>
      </c>
      <c r="C2677" t="str">
        <f>_xlfn.XLOOKUP(B2677,
[1]sales_teams!$A$2:$A$100,
[1]sales_teams!$B$2:$B$100)</f>
        <v>Rocco Neubert</v>
      </c>
      <c r="D2677" t="str">
        <f>_xlfn.XLOOKUP($B2677,sales_teams!$A$2:$A$36,sales_teams!C$2:C$36)</f>
        <v>East</v>
      </c>
      <c r="E2677" t="s">
        <v>10</v>
      </c>
      <c r="F2677" t="s">
        <v>81</v>
      </c>
      <c r="G2677" t="s">
        <v>46</v>
      </c>
      <c r="H2677" s="1">
        <v>42848</v>
      </c>
      <c r="I2677" s="1">
        <v>42973</v>
      </c>
      <c r="J2677">
        <v>0</v>
      </c>
    </row>
    <row r="2678" spans="1:10" x14ac:dyDescent="0.3">
      <c r="A2678" t="s">
        <v>2809</v>
      </c>
      <c r="B2678" t="s">
        <v>142</v>
      </c>
      <c r="C2678" t="str">
        <f>_xlfn.XLOOKUP(B2678,
[1]sales_teams!$A$2:$A$100,
[1]sales_teams!$B$2:$B$100)</f>
        <v>Rocco Neubert</v>
      </c>
      <c r="D2678" t="str">
        <f>_xlfn.XLOOKUP($B2678,sales_teams!$A$2:$A$36,sales_teams!C$2:C$36)</f>
        <v>East</v>
      </c>
      <c r="E2678" t="s">
        <v>15</v>
      </c>
      <c r="F2678" t="s">
        <v>204</v>
      </c>
      <c r="G2678" t="s">
        <v>12</v>
      </c>
      <c r="H2678" s="1">
        <v>42848</v>
      </c>
      <c r="I2678" s="1">
        <v>42889</v>
      </c>
      <c r="J2678">
        <v>5100</v>
      </c>
    </row>
    <row r="2679" spans="1:10" x14ac:dyDescent="0.3">
      <c r="A2679" t="s">
        <v>2810</v>
      </c>
      <c r="B2679" t="s">
        <v>142</v>
      </c>
      <c r="C2679" t="str">
        <f>_xlfn.XLOOKUP(B2679,
[1]sales_teams!$A$2:$A$100,
[1]sales_teams!$B$2:$B$100)</f>
        <v>Rocco Neubert</v>
      </c>
      <c r="D2679" t="str">
        <f>_xlfn.XLOOKUP($B2679,sales_teams!$A$2:$A$36,sales_teams!C$2:C$36)</f>
        <v>East</v>
      </c>
      <c r="E2679" t="s">
        <v>15</v>
      </c>
      <c r="F2679" t="s">
        <v>74</v>
      </c>
      <c r="G2679" t="s">
        <v>12</v>
      </c>
      <c r="H2679" s="1">
        <v>42848</v>
      </c>
      <c r="I2679" s="1">
        <v>42855</v>
      </c>
      <c r="J2679">
        <v>4810</v>
      </c>
    </row>
    <row r="2680" spans="1:10" x14ac:dyDescent="0.3">
      <c r="A2680" t="s">
        <v>2811</v>
      </c>
      <c r="B2680" t="s">
        <v>67</v>
      </c>
      <c r="C2680" t="str">
        <f>_xlfn.XLOOKUP(B2680,
[1]sales_teams!$A$2:$A$100,
[1]sales_teams!$B$2:$B$100)</f>
        <v>Celia Rouche</v>
      </c>
      <c r="D2680" t="str">
        <f>_xlfn.XLOOKUP($B2680,sales_teams!$A$2:$A$36,sales_teams!C$2:C$36)</f>
        <v>West</v>
      </c>
      <c r="E2680" t="s">
        <v>18</v>
      </c>
      <c r="F2680" t="s">
        <v>148</v>
      </c>
      <c r="G2680" t="s">
        <v>46</v>
      </c>
      <c r="H2680" s="1">
        <v>42848</v>
      </c>
      <c r="I2680" s="1">
        <v>42859</v>
      </c>
      <c r="J2680">
        <v>0</v>
      </c>
    </row>
    <row r="2681" spans="1:10" x14ac:dyDescent="0.3">
      <c r="A2681" t="s">
        <v>2812</v>
      </c>
      <c r="B2681" t="s">
        <v>67</v>
      </c>
      <c r="C2681" t="str">
        <f>_xlfn.XLOOKUP(B2681,
[1]sales_teams!$A$2:$A$100,
[1]sales_teams!$B$2:$B$100)</f>
        <v>Celia Rouche</v>
      </c>
      <c r="D2681" t="str">
        <f>_xlfn.XLOOKUP($B2681,sales_teams!$A$2:$A$36,sales_teams!C$2:C$36)</f>
        <v>West</v>
      </c>
      <c r="E2681" t="s">
        <v>39</v>
      </c>
      <c r="F2681" t="s">
        <v>313</v>
      </c>
      <c r="G2681" t="s">
        <v>46</v>
      </c>
      <c r="H2681" s="1">
        <v>42848</v>
      </c>
      <c r="I2681" s="1">
        <v>42948</v>
      </c>
      <c r="J2681">
        <v>0</v>
      </c>
    </row>
    <row r="2682" spans="1:10" x14ac:dyDescent="0.3">
      <c r="A2682" t="s">
        <v>2813</v>
      </c>
      <c r="B2682" t="s">
        <v>44</v>
      </c>
      <c r="C2682" t="str">
        <f>_xlfn.XLOOKUP(B2682,
[1]sales_teams!$A$2:$A$100,
[1]sales_teams!$B$2:$B$100)</f>
        <v>Melvin Marxen</v>
      </c>
      <c r="D2682" t="str">
        <f>_xlfn.XLOOKUP($B2682,sales_teams!$A$2:$A$36,sales_teams!C$2:C$36)</f>
        <v>Central</v>
      </c>
      <c r="E2682" t="s">
        <v>20</v>
      </c>
      <c r="F2682" t="s">
        <v>303</v>
      </c>
      <c r="G2682" t="s">
        <v>12</v>
      </c>
      <c r="H2682" s="1">
        <v>42848</v>
      </c>
      <c r="I2682" s="1">
        <v>42849</v>
      </c>
      <c r="J2682">
        <v>560</v>
      </c>
    </row>
    <row r="2683" spans="1:10" x14ac:dyDescent="0.3">
      <c r="A2683" t="s">
        <v>2814</v>
      </c>
      <c r="B2683" t="s">
        <v>44</v>
      </c>
      <c r="C2683" t="str">
        <f>_xlfn.XLOOKUP(B2683,
[1]sales_teams!$A$2:$A$100,
[1]sales_teams!$B$2:$B$100)</f>
        <v>Melvin Marxen</v>
      </c>
      <c r="D2683" t="str">
        <f>_xlfn.XLOOKUP($B2683,sales_teams!$A$2:$A$36,sales_teams!C$2:C$36)</f>
        <v>Central</v>
      </c>
      <c r="E2683" t="s">
        <v>15</v>
      </c>
      <c r="F2683" t="s">
        <v>318</v>
      </c>
      <c r="G2683" t="s">
        <v>12</v>
      </c>
      <c r="H2683" s="1">
        <v>42848</v>
      </c>
      <c r="I2683" s="1">
        <v>42857</v>
      </c>
      <c r="J2683">
        <v>4916</v>
      </c>
    </row>
    <row r="2684" spans="1:10" x14ac:dyDescent="0.3">
      <c r="A2684" t="s">
        <v>2815</v>
      </c>
      <c r="B2684" t="s">
        <v>38</v>
      </c>
      <c r="C2684" t="str">
        <f>_xlfn.XLOOKUP(B2684,
[1]sales_teams!$A$2:$A$100,
[1]sales_teams!$B$2:$B$100)</f>
        <v>Summer Sewald</v>
      </c>
      <c r="D2684" t="str">
        <f>_xlfn.XLOOKUP($B2684,sales_teams!$A$2:$A$36,sales_teams!C$2:C$36)</f>
        <v>West</v>
      </c>
      <c r="E2684" t="s">
        <v>18</v>
      </c>
      <c r="G2684" t="s">
        <v>40</v>
      </c>
      <c r="H2684" s="1">
        <v>42848</v>
      </c>
    </row>
    <row r="2685" spans="1:10" x14ac:dyDescent="0.3">
      <c r="A2685" t="s">
        <v>2816</v>
      </c>
      <c r="B2685" t="s">
        <v>38</v>
      </c>
      <c r="C2685" t="str">
        <f>_xlfn.XLOOKUP(B2685,
[1]sales_teams!$A$2:$A$100,
[1]sales_teams!$B$2:$B$100)</f>
        <v>Summer Sewald</v>
      </c>
      <c r="D2685" t="str">
        <f>_xlfn.XLOOKUP($B2685,sales_teams!$A$2:$A$36,sales_teams!C$2:C$36)</f>
        <v>West</v>
      </c>
      <c r="E2685" t="s">
        <v>18</v>
      </c>
      <c r="F2685" t="s">
        <v>555</v>
      </c>
      <c r="G2685" t="s">
        <v>12</v>
      </c>
      <c r="H2685" s="1">
        <v>42848</v>
      </c>
      <c r="I2685" s="1">
        <v>42897</v>
      </c>
      <c r="J2685">
        <v>45</v>
      </c>
    </row>
    <row r="2686" spans="1:10" x14ac:dyDescent="0.3">
      <c r="A2686" t="s">
        <v>2817</v>
      </c>
      <c r="B2686" t="s">
        <v>78</v>
      </c>
      <c r="C2686" t="str">
        <f>_xlfn.XLOOKUP(B2686,
[1]sales_teams!$A$2:$A$100,
[1]sales_teams!$B$2:$B$100)</f>
        <v>Summer Sewald</v>
      </c>
      <c r="D2686" t="str">
        <f>_xlfn.XLOOKUP($B2686,sales_teams!$A$2:$A$36,sales_teams!C$2:C$36)</f>
        <v>West</v>
      </c>
      <c r="E2686" t="s">
        <v>10</v>
      </c>
      <c r="F2686" t="s">
        <v>199</v>
      </c>
      <c r="G2686" t="s">
        <v>46</v>
      </c>
      <c r="H2686" s="1">
        <v>42848</v>
      </c>
      <c r="I2686" s="1">
        <v>42850</v>
      </c>
      <c r="J2686">
        <v>0</v>
      </c>
    </row>
    <row r="2687" spans="1:10" x14ac:dyDescent="0.3">
      <c r="A2687" t="s">
        <v>2818</v>
      </c>
      <c r="B2687" t="s">
        <v>78</v>
      </c>
      <c r="C2687" t="str">
        <f>_xlfn.XLOOKUP(B2687,
[1]sales_teams!$A$2:$A$100,
[1]sales_teams!$B$2:$B$100)</f>
        <v>Summer Sewald</v>
      </c>
      <c r="D2687" t="str">
        <f>_xlfn.XLOOKUP($B2687,sales_teams!$A$2:$A$36,sales_teams!C$2:C$36)</f>
        <v>West</v>
      </c>
      <c r="E2687" t="s">
        <v>20</v>
      </c>
      <c r="F2687" t="s">
        <v>122</v>
      </c>
      <c r="G2687" t="s">
        <v>12</v>
      </c>
      <c r="H2687" s="1">
        <v>42848</v>
      </c>
      <c r="I2687" s="1">
        <v>42849</v>
      </c>
      <c r="J2687">
        <v>592</v>
      </c>
    </row>
    <row r="2688" spans="1:10" x14ac:dyDescent="0.3">
      <c r="A2688" t="s">
        <v>2819</v>
      </c>
      <c r="B2688" t="s">
        <v>95</v>
      </c>
      <c r="C2688" t="str">
        <f>_xlfn.XLOOKUP(B2688,
[1]sales_teams!$A$2:$A$100,
[1]sales_teams!$B$2:$B$100)</f>
        <v>Summer Sewald</v>
      </c>
      <c r="D2688" t="str">
        <f>_xlfn.XLOOKUP($B2688,sales_teams!$A$2:$A$36,sales_teams!C$2:C$36)</f>
        <v>West</v>
      </c>
      <c r="E2688" t="s">
        <v>20</v>
      </c>
      <c r="F2688" t="s">
        <v>224</v>
      </c>
      <c r="G2688" t="s">
        <v>12</v>
      </c>
      <c r="H2688" s="1">
        <v>42848</v>
      </c>
      <c r="I2688" s="1">
        <v>42854</v>
      </c>
      <c r="J2688">
        <v>529</v>
      </c>
    </row>
    <row r="2689" spans="1:10" x14ac:dyDescent="0.3">
      <c r="A2689" t="s">
        <v>2820</v>
      </c>
      <c r="B2689" t="s">
        <v>95</v>
      </c>
      <c r="C2689" t="str">
        <f>_xlfn.XLOOKUP(B2689,
[1]sales_teams!$A$2:$A$100,
[1]sales_teams!$B$2:$B$100)</f>
        <v>Summer Sewald</v>
      </c>
      <c r="D2689" t="str">
        <f>_xlfn.XLOOKUP($B2689,sales_teams!$A$2:$A$36,sales_teams!C$2:C$36)</f>
        <v>West</v>
      </c>
      <c r="E2689" t="s">
        <v>15</v>
      </c>
      <c r="F2689" t="s">
        <v>30</v>
      </c>
      <c r="G2689" t="s">
        <v>12</v>
      </c>
      <c r="H2689" s="1">
        <v>42848</v>
      </c>
      <c r="I2689" s="1">
        <v>42851</v>
      </c>
      <c r="J2689">
        <v>5415</v>
      </c>
    </row>
    <row r="2690" spans="1:10" x14ac:dyDescent="0.3">
      <c r="A2690" t="s">
        <v>2821</v>
      </c>
      <c r="B2690" t="s">
        <v>133</v>
      </c>
      <c r="C2690" t="str">
        <f>_xlfn.XLOOKUP(B2690,
[1]sales_teams!$A$2:$A$100,
[1]sales_teams!$B$2:$B$100)</f>
        <v>Dustin Brinkmann</v>
      </c>
      <c r="D2690" t="str">
        <f>_xlfn.XLOOKUP($B2690,sales_teams!$A$2:$A$36,sales_teams!C$2:C$36)</f>
        <v>Central</v>
      </c>
      <c r="E2690" t="s">
        <v>48</v>
      </c>
      <c r="F2690" t="s">
        <v>492</v>
      </c>
      <c r="G2690" t="s">
        <v>46</v>
      </c>
      <c r="H2690" s="1">
        <v>42848</v>
      </c>
      <c r="I2690" s="1">
        <v>42857</v>
      </c>
      <c r="J2690">
        <v>0</v>
      </c>
    </row>
    <row r="2691" spans="1:10" x14ac:dyDescent="0.3">
      <c r="A2691" t="s">
        <v>2822</v>
      </c>
      <c r="B2691" t="s">
        <v>133</v>
      </c>
      <c r="C2691" t="str">
        <f>_xlfn.XLOOKUP(B2691,
[1]sales_teams!$A$2:$A$100,
[1]sales_teams!$B$2:$B$100)</f>
        <v>Dustin Brinkmann</v>
      </c>
      <c r="D2691" t="str">
        <f>_xlfn.XLOOKUP($B2691,sales_teams!$A$2:$A$36,sales_teams!C$2:C$36)</f>
        <v>Central</v>
      </c>
      <c r="E2691" t="s">
        <v>20</v>
      </c>
      <c r="F2691" t="s">
        <v>42</v>
      </c>
      <c r="G2691" t="s">
        <v>12</v>
      </c>
      <c r="H2691" s="1">
        <v>42848</v>
      </c>
      <c r="I2691" s="1">
        <v>42901</v>
      </c>
      <c r="J2691">
        <v>518</v>
      </c>
    </row>
    <row r="2692" spans="1:10" x14ac:dyDescent="0.3">
      <c r="A2692" t="s">
        <v>2823</v>
      </c>
      <c r="B2692" t="s">
        <v>133</v>
      </c>
      <c r="C2692" t="str">
        <f>_xlfn.XLOOKUP(B2692,
[1]sales_teams!$A$2:$A$100,
[1]sales_teams!$B$2:$B$100)</f>
        <v>Dustin Brinkmann</v>
      </c>
      <c r="D2692" t="str">
        <f>_xlfn.XLOOKUP($B2692,sales_teams!$A$2:$A$36,sales_teams!C$2:C$36)</f>
        <v>Central</v>
      </c>
      <c r="E2692" t="s">
        <v>18</v>
      </c>
      <c r="F2692" t="s">
        <v>76</v>
      </c>
      <c r="G2692" t="s">
        <v>12</v>
      </c>
      <c r="H2692" s="1">
        <v>42848</v>
      </c>
      <c r="I2692" s="1">
        <v>42958</v>
      </c>
      <c r="J2692">
        <v>52</v>
      </c>
    </row>
    <row r="2693" spans="1:10" x14ac:dyDescent="0.3">
      <c r="A2693" t="s">
        <v>2824</v>
      </c>
      <c r="B2693" t="s">
        <v>32</v>
      </c>
      <c r="C2693" t="str">
        <f>_xlfn.XLOOKUP(B2693,
[1]sales_teams!$A$2:$A$100,
[1]sales_teams!$B$2:$B$100)</f>
        <v>Celia Rouche</v>
      </c>
      <c r="D2693" t="str">
        <f>_xlfn.XLOOKUP($B2693,sales_teams!$A$2:$A$36,sales_teams!C$2:C$36)</f>
        <v>West</v>
      </c>
      <c r="E2693" t="s">
        <v>39</v>
      </c>
      <c r="G2693" t="s">
        <v>40</v>
      </c>
      <c r="H2693" s="1">
        <v>42848</v>
      </c>
    </row>
    <row r="2694" spans="1:10" x14ac:dyDescent="0.3">
      <c r="A2694" t="s">
        <v>2825</v>
      </c>
      <c r="B2694" t="s">
        <v>32</v>
      </c>
      <c r="C2694" t="str">
        <f>_xlfn.XLOOKUP(B2694,
[1]sales_teams!$A$2:$A$100,
[1]sales_teams!$B$2:$B$100)</f>
        <v>Celia Rouche</v>
      </c>
      <c r="D2694" t="str">
        <f>_xlfn.XLOOKUP($B2694,sales_teams!$A$2:$A$36,sales_teams!C$2:C$36)</f>
        <v>West</v>
      </c>
      <c r="E2694" t="s">
        <v>18</v>
      </c>
      <c r="F2694" t="s">
        <v>86</v>
      </c>
      <c r="G2694" t="s">
        <v>46</v>
      </c>
      <c r="H2694" s="1">
        <v>42848</v>
      </c>
      <c r="I2694" s="1">
        <v>42849</v>
      </c>
      <c r="J2694">
        <v>0</v>
      </c>
    </row>
    <row r="2695" spans="1:10" x14ac:dyDescent="0.3">
      <c r="A2695" t="s">
        <v>2826</v>
      </c>
      <c r="B2695" t="s">
        <v>9</v>
      </c>
      <c r="C2695" t="str">
        <f>_xlfn.XLOOKUP(B2695,
[1]sales_teams!$A$2:$A$100,
[1]sales_teams!$B$2:$B$100)</f>
        <v>Dustin Brinkmann</v>
      </c>
      <c r="D2695" t="str">
        <f>_xlfn.XLOOKUP($B2695,sales_teams!$A$2:$A$36,sales_teams!C$2:C$36)</f>
        <v>Central</v>
      </c>
      <c r="E2695" t="s">
        <v>18</v>
      </c>
      <c r="F2695" t="s">
        <v>135</v>
      </c>
      <c r="G2695" t="s">
        <v>12</v>
      </c>
      <c r="H2695" s="1">
        <v>42848</v>
      </c>
      <c r="I2695" s="1">
        <v>42911</v>
      </c>
      <c r="J2695">
        <v>51</v>
      </c>
    </row>
    <row r="2696" spans="1:10" x14ac:dyDescent="0.3">
      <c r="A2696" t="s">
        <v>2827</v>
      </c>
      <c r="B2696" t="s">
        <v>35</v>
      </c>
      <c r="C2696" t="str">
        <f>_xlfn.XLOOKUP(B2696,
[1]sales_teams!$A$2:$A$100,
[1]sales_teams!$B$2:$B$100)</f>
        <v>Melvin Marxen</v>
      </c>
      <c r="D2696" t="str">
        <f>_xlfn.XLOOKUP($B2696,sales_teams!$A$2:$A$36,sales_teams!C$2:C$36)</f>
        <v>Central</v>
      </c>
      <c r="E2696" t="s">
        <v>20</v>
      </c>
      <c r="F2696" t="s">
        <v>45</v>
      </c>
      <c r="G2696" t="s">
        <v>12</v>
      </c>
      <c r="H2696" s="1">
        <v>42848</v>
      </c>
      <c r="I2696" s="1">
        <v>42849</v>
      </c>
      <c r="J2696">
        <v>554</v>
      </c>
    </row>
    <row r="2697" spans="1:10" x14ac:dyDescent="0.3">
      <c r="A2697" t="s">
        <v>2828</v>
      </c>
      <c r="B2697" t="s">
        <v>35</v>
      </c>
      <c r="C2697" t="str">
        <f>_xlfn.XLOOKUP(B2697,
[1]sales_teams!$A$2:$A$100,
[1]sales_teams!$B$2:$B$100)</f>
        <v>Melvin Marxen</v>
      </c>
      <c r="D2697" t="str">
        <f>_xlfn.XLOOKUP($B2697,sales_teams!$A$2:$A$36,sales_teams!C$2:C$36)</f>
        <v>Central</v>
      </c>
      <c r="E2697" t="s">
        <v>15</v>
      </c>
      <c r="F2697" t="s">
        <v>126</v>
      </c>
      <c r="G2697" t="s">
        <v>12</v>
      </c>
      <c r="H2697" s="1">
        <v>42848</v>
      </c>
      <c r="I2697" s="1">
        <v>42979</v>
      </c>
      <c r="J2697">
        <v>4835</v>
      </c>
    </row>
    <row r="2698" spans="1:10" x14ac:dyDescent="0.3">
      <c r="A2698" t="s">
        <v>2829</v>
      </c>
      <c r="B2698" t="s">
        <v>97</v>
      </c>
      <c r="C2698" t="str">
        <f>_xlfn.XLOOKUP(B2698,
[1]sales_teams!$A$2:$A$100,
[1]sales_teams!$B$2:$B$100)</f>
        <v>Rocco Neubert</v>
      </c>
      <c r="D2698" t="str">
        <f>_xlfn.XLOOKUP($B2698,sales_teams!$A$2:$A$36,sales_teams!C$2:C$36)</f>
        <v>East</v>
      </c>
      <c r="E2698" t="s">
        <v>39</v>
      </c>
      <c r="F2698" t="s">
        <v>177</v>
      </c>
      <c r="G2698" t="s">
        <v>46</v>
      </c>
      <c r="H2698" s="1">
        <v>42848</v>
      </c>
      <c r="I2698" s="1">
        <v>42849</v>
      </c>
      <c r="J2698">
        <v>0</v>
      </c>
    </row>
    <row r="2699" spans="1:10" x14ac:dyDescent="0.3">
      <c r="A2699" t="s">
        <v>2830</v>
      </c>
      <c r="B2699" t="s">
        <v>57</v>
      </c>
      <c r="C2699" t="str">
        <f>_xlfn.XLOOKUP(B2699,
[1]sales_teams!$A$2:$A$100,
[1]sales_teams!$B$2:$B$100)</f>
        <v>Celia Rouche</v>
      </c>
      <c r="D2699" t="str">
        <f>_xlfn.XLOOKUP($B2699,sales_teams!$A$2:$A$36,sales_teams!C$2:C$36)</f>
        <v>West</v>
      </c>
      <c r="E2699" t="s">
        <v>18</v>
      </c>
      <c r="G2699" t="s">
        <v>40</v>
      </c>
      <c r="H2699" s="1">
        <v>42848</v>
      </c>
    </row>
    <row r="2700" spans="1:10" x14ac:dyDescent="0.3">
      <c r="A2700" t="s">
        <v>2831</v>
      </c>
      <c r="B2700" t="s">
        <v>57</v>
      </c>
      <c r="C2700" t="str">
        <f>_xlfn.XLOOKUP(B2700,
[1]sales_teams!$A$2:$A$100,
[1]sales_teams!$B$2:$B$100)</f>
        <v>Celia Rouche</v>
      </c>
      <c r="D2700" t="str">
        <f>_xlfn.XLOOKUP($B2700,sales_teams!$A$2:$A$36,sales_teams!C$2:C$36)</f>
        <v>West</v>
      </c>
      <c r="E2700" t="s">
        <v>18</v>
      </c>
      <c r="F2700" t="s">
        <v>313</v>
      </c>
      <c r="G2700" t="s">
        <v>12</v>
      </c>
      <c r="H2700" s="1">
        <v>42848</v>
      </c>
      <c r="I2700" s="1">
        <v>42855</v>
      </c>
      <c r="J2700">
        <v>59</v>
      </c>
    </row>
    <row r="2701" spans="1:10" x14ac:dyDescent="0.3">
      <c r="A2701" t="s">
        <v>2832</v>
      </c>
      <c r="B2701" t="s">
        <v>88</v>
      </c>
      <c r="C2701" t="str">
        <f>_xlfn.XLOOKUP(B2701,
[1]sales_teams!$A$2:$A$100,
[1]sales_teams!$B$2:$B$100)</f>
        <v>Cara Losch</v>
      </c>
      <c r="D2701" t="str">
        <f>_xlfn.XLOOKUP($B2701,sales_teams!$A$2:$A$36,sales_teams!C$2:C$36)</f>
        <v>East</v>
      </c>
      <c r="E2701" t="s">
        <v>39</v>
      </c>
      <c r="F2701" t="s">
        <v>240</v>
      </c>
      <c r="G2701" t="s">
        <v>46</v>
      </c>
      <c r="H2701" s="1">
        <v>42848</v>
      </c>
      <c r="I2701" s="1">
        <v>42861</v>
      </c>
      <c r="J2701">
        <v>0</v>
      </c>
    </row>
    <row r="2702" spans="1:10" x14ac:dyDescent="0.3">
      <c r="A2702" t="s">
        <v>2833</v>
      </c>
      <c r="B2702" t="s">
        <v>61</v>
      </c>
      <c r="C2702" t="str">
        <f>_xlfn.XLOOKUP(B2702,
[1]sales_teams!$A$2:$A$100,
[1]sales_teams!$B$2:$B$100)</f>
        <v>Dustin Brinkmann</v>
      </c>
      <c r="D2702" t="str">
        <f>_xlfn.XLOOKUP($B2702,sales_teams!$A$2:$A$36,sales_teams!C$2:C$36)</f>
        <v>Central</v>
      </c>
      <c r="E2702" t="s">
        <v>18</v>
      </c>
      <c r="F2702" t="s">
        <v>36</v>
      </c>
      <c r="G2702" t="s">
        <v>46</v>
      </c>
      <c r="H2702" s="1">
        <v>42848</v>
      </c>
      <c r="I2702" s="1">
        <v>42860</v>
      </c>
      <c r="J2702">
        <v>0</v>
      </c>
    </row>
    <row r="2703" spans="1:10" x14ac:dyDescent="0.3">
      <c r="A2703" t="s">
        <v>2834</v>
      </c>
      <c r="B2703" t="s">
        <v>61</v>
      </c>
      <c r="C2703" t="str">
        <f>_xlfn.XLOOKUP(B2703,
[1]sales_teams!$A$2:$A$100,
[1]sales_teams!$B$2:$B$100)</f>
        <v>Dustin Brinkmann</v>
      </c>
      <c r="D2703" t="str">
        <f>_xlfn.XLOOKUP($B2703,sales_teams!$A$2:$A$36,sales_teams!C$2:C$36)</f>
        <v>Central</v>
      </c>
      <c r="E2703" t="s">
        <v>39</v>
      </c>
      <c r="F2703" t="s">
        <v>197</v>
      </c>
      <c r="G2703" t="s">
        <v>46</v>
      </c>
      <c r="H2703" s="1">
        <v>42848</v>
      </c>
      <c r="I2703" s="1">
        <v>42953</v>
      </c>
      <c r="J2703">
        <v>0</v>
      </c>
    </row>
    <row r="2704" spans="1:10" x14ac:dyDescent="0.3">
      <c r="A2704" t="s">
        <v>2835</v>
      </c>
      <c r="B2704" t="s">
        <v>29</v>
      </c>
      <c r="C2704" t="str">
        <f>_xlfn.XLOOKUP(B2704,
[1]sales_teams!$A$2:$A$100,
[1]sales_teams!$B$2:$B$100)</f>
        <v>Celia Rouche</v>
      </c>
      <c r="D2704" t="str">
        <f>_xlfn.XLOOKUP($B2704,sales_teams!$A$2:$A$36,sales_teams!C$2:C$36)</f>
        <v>West</v>
      </c>
      <c r="E2704" t="s">
        <v>15</v>
      </c>
      <c r="F2704" t="s">
        <v>124</v>
      </c>
      <c r="G2704" t="s">
        <v>46</v>
      </c>
      <c r="H2704" s="1">
        <v>42848</v>
      </c>
      <c r="I2704" s="1">
        <v>42960</v>
      </c>
      <c r="J2704">
        <v>0</v>
      </c>
    </row>
    <row r="2705" spans="1:10" x14ac:dyDescent="0.3">
      <c r="A2705" t="s">
        <v>2836</v>
      </c>
      <c r="B2705" t="s">
        <v>29</v>
      </c>
      <c r="C2705" t="str">
        <f>_xlfn.XLOOKUP(B2705,
[1]sales_teams!$A$2:$A$100,
[1]sales_teams!$B$2:$B$100)</f>
        <v>Celia Rouche</v>
      </c>
      <c r="D2705" t="str">
        <f>_xlfn.XLOOKUP($B2705,sales_teams!$A$2:$A$36,sales_teams!C$2:C$36)</f>
        <v>West</v>
      </c>
      <c r="E2705" t="s">
        <v>18</v>
      </c>
      <c r="F2705" t="s">
        <v>555</v>
      </c>
      <c r="G2705" t="s">
        <v>46</v>
      </c>
      <c r="H2705" s="1">
        <v>42848</v>
      </c>
      <c r="I2705" s="1">
        <v>42855</v>
      </c>
      <c r="J2705">
        <v>0</v>
      </c>
    </row>
    <row r="2706" spans="1:10" x14ac:dyDescent="0.3">
      <c r="A2706" t="s">
        <v>2837</v>
      </c>
      <c r="B2706" t="s">
        <v>73</v>
      </c>
      <c r="C2706" t="str">
        <f>_xlfn.XLOOKUP(B2706,
[1]sales_teams!$A$2:$A$100,
[1]sales_teams!$B$2:$B$100)</f>
        <v>Cara Losch</v>
      </c>
      <c r="D2706" t="str">
        <f>_xlfn.XLOOKUP($B2706,sales_teams!$A$2:$A$36,sales_teams!C$2:C$36)</f>
        <v>East</v>
      </c>
      <c r="E2706" t="s">
        <v>48</v>
      </c>
      <c r="F2706" t="s">
        <v>65</v>
      </c>
      <c r="G2706" t="s">
        <v>12</v>
      </c>
      <c r="H2706" s="1">
        <v>42848</v>
      </c>
      <c r="I2706" s="1">
        <v>42863</v>
      </c>
      <c r="J2706">
        <v>5813</v>
      </c>
    </row>
    <row r="2707" spans="1:10" x14ac:dyDescent="0.3">
      <c r="A2707" t="s">
        <v>2838</v>
      </c>
      <c r="B2707" t="s">
        <v>102</v>
      </c>
      <c r="C2707" t="str">
        <f>_xlfn.XLOOKUP(B2707,
[1]sales_teams!$A$2:$A$100,
[1]sales_teams!$B$2:$B$100)</f>
        <v>Cara Losch</v>
      </c>
      <c r="D2707" t="str">
        <f>_xlfn.XLOOKUP($B2707,sales_teams!$A$2:$A$36,sales_teams!C$2:C$36)</f>
        <v>East</v>
      </c>
      <c r="E2707" t="s">
        <v>15</v>
      </c>
      <c r="F2707" t="s">
        <v>140</v>
      </c>
      <c r="G2707" t="s">
        <v>12</v>
      </c>
      <c r="H2707" s="1">
        <v>42848</v>
      </c>
      <c r="I2707" s="1">
        <v>42856</v>
      </c>
      <c r="J2707">
        <v>5414</v>
      </c>
    </row>
    <row r="2708" spans="1:10" x14ac:dyDescent="0.3">
      <c r="A2708" t="s">
        <v>2839</v>
      </c>
      <c r="B2708" t="s">
        <v>23</v>
      </c>
      <c r="C2708" t="str">
        <f>_xlfn.XLOOKUP(B2708,
[1]sales_teams!$A$2:$A$100,
[1]sales_teams!$B$2:$B$100)</f>
        <v>Summer Sewald</v>
      </c>
      <c r="D2708" t="str">
        <f>_xlfn.XLOOKUP($B2708,sales_teams!$A$2:$A$36,sales_teams!C$2:C$36)</f>
        <v>West</v>
      </c>
      <c r="E2708" t="s">
        <v>48</v>
      </c>
      <c r="F2708" t="s">
        <v>93</v>
      </c>
      <c r="G2708" t="s">
        <v>46</v>
      </c>
      <c r="H2708" s="1">
        <v>42848</v>
      </c>
      <c r="I2708" s="1">
        <v>42853</v>
      </c>
      <c r="J2708">
        <v>0</v>
      </c>
    </row>
    <row r="2709" spans="1:10" x14ac:dyDescent="0.3">
      <c r="A2709" t="s">
        <v>2840</v>
      </c>
      <c r="B2709" t="s">
        <v>26</v>
      </c>
      <c r="C2709" t="str">
        <f>_xlfn.XLOOKUP(B2709,
[1]sales_teams!$A$2:$A$100,
[1]sales_teams!$B$2:$B$100)</f>
        <v>Dustin Brinkmann</v>
      </c>
      <c r="D2709" t="str">
        <f>_xlfn.XLOOKUP($B2709,sales_teams!$A$2:$A$36,sales_teams!C$2:C$36)</f>
        <v>Central</v>
      </c>
      <c r="E2709" t="s">
        <v>18</v>
      </c>
      <c r="F2709" t="s">
        <v>27</v>
      </c>
      <c r="G2709" t="s">
        <v>12</v>
      </c>
      <c r="H2709" s="1">
        <v>42849</v>
      </c>
      <c r="I2709" s="1">
        <v>42850</v>
      </c>
      <c r="J2709">
        <v>62</v>
      </c>
    </row>
    <row r="2710" spans="1:10" x14ac:dyDescent="0.3">
      <c r="A2710" t="s">
        <v>2841</v>
      </c>
      <c r="B2710" t="s">
        <v>164</v>
      </c>
      <c r="C2710" t="str">
        <f>_xlfn.XLOOKUP(B2710,
[1]sales_teams!$A$2:$A$100,
[1]sales_teams!$B$2:$B$100)</f>
        <v>Cara Losch</v>
      </c>
      <c r="D2710" t="str">
        <f>_xlfn.XLOOKUP($B2710,sales_teams!$A$2:$A$36,sales_teams!C$2:C$36)</f>
        <v>East</v>
      </c>
      <c r="E2710" t="s">
        <v>39</v>
      </c>
      <c r="G2710" t="s">
        <v>40</v>
      </c>
      <c r="H2710" s="1">
        <v>42849</v>
      </c>
    </row>
    <row r="2711" spans="1:10" x14ac:dyDescent="0.3">
      <c r="A2711" t="s">
        <v>2842</v>
      </c>
      <c r="B2711" t="s">
        <v>164</v>
      </c>
      <c r="C2711" t="str">
        <f>_xlfn.XLOOKUP(B2711,
[1]sales_teams!$A$2:$A$100,
[1]sales_teams!$B$2:$B$100)</f>
        <v>Cara Losch</v>
      </c>
      <c r="D2711" t="str">
        <f>_xlfn.XLOOKUP($B2711,sales_teams!$A$2:$A$36,sales_teams!C$2:C$36)</f>
        <v>East</v>
      </c>
      <c r="E2711" t="s">
        <v>15</v>
      </c>
      <c r="F2711" t="s">
        <v>215</v>
      </c>
      <c r="G2711" t="s">
        <v>12</v>
      </c>
      <c r="H2711" s="1">
        <v>42849</v>
      </c>
      <c r="I2711" s="1">
        <v>42951</v>
      </c>
      <c r="J2711">
        <v>4505</v>
      </c>
    </row>
    <row r="2712" spans="1:10" x14ac:dyDescent="0.3">
      <c r="A2712" t="s">
        <v>2843</v>
      </c>
      <c r="B2712" t="s">
        <v>14</v>
      </c>
      <c r="C2712" t="str">
        <f>_xlfn.XLOOKUP(B2712,
[1]sales_teams!$A$2:$A$100,
[1]sales_teams!$B$2:$B$100)</f>
        <v>Melvin Marxen</v>
      </c>
      <c r="D2712" t="str">
        <f>_xlfn.XLOOKUP($B2712,sales_teams!$A$2:$A$36,sales_teams!C$2:C$36)</f>
        <v>Central</v>
      </c>
      <c r="E2712" t="s">
        <v>15</v>
      </c>
      <c r="F2712" t="s">
        <v>16</v>
      </c>
      <c r="G2712" t="s">
        <v>46</v>
      </c>
      <c r="H2712" s="1">
        <v>42849</v>
      </c>
      <c r="I2712" s="1">
        <v>42855</v>
      </c>
      <c r="J2712">
        <v>0</v>
      </c>
    </row>
    <row r="2713" spans="1:10" x14ac:dyDescent="0.3">
      <c r="A2713" t="s">
        <v>2844</v>
      </c>
      <c r="B2713" t="s">
        <v>14</v>
      </c>
      <c r="C2713" t="str">
        <f>_xlfn.XLOOKUP(B2713,
[1]sales_teams!$A$2:$A$100,
[1]sales_teams!$B$2:$B$100)</f>
        <v>Melvin Marxen</v>
      </c>
      <c r="D2713" t="str">
        <f>_xlfn.XLOOKUP($B2713,sales_teams!$A$2:$A$36,sales_teams!C$2:C$36)</f>
        <v>Central</v>
      </c>
      <c r="E2713" t="s">
        <v>10</v>
      </c>
      <c r="F2713" t="s">
        <v>113</v>
      </c>
      <c r="G2713" t="s">
        <v>12</v>
      </c>
      <c r="H2713" s="1">
        <v>42849</v>
      </c>
      <c r="I2713" s="1">
        <v>42861</v>
      </c>
      <c r="J2713">
        <v>1020</v>
      </c>
    </row>
    <row r="2714" spans="1:10" x14ac:dyDescent="0.3">
      <c r="A2714" t="s">
        <v>2845</v>
      </c>
      <c r="B2714" t="s">
        <v>14</v>
      </c>
      <c r="C2714" t="str">
        <f>_xlfn.XLOOKUP(B2714,
[1]sales_teams!$A$2:$A$100,
[1]sales_teams!$B$2:$B$100)</f>
        <v>Melvin Marxen</v>
      </c>
      <c r="D2714" t="str">
        <f>_xlfn.XLOOKUP($B2714,sales_teams!$A$2:$A$36,sales_teams!C$2:C$36)</f>
        <v>Central</v>
      </c>
      <c r="E2714" t="s">
        <v>48</v>
      </c>
      <c r="F2714" t="s">
        <v>207</v>
      </c>
      <c r="G2714" t="s">
        <v>12</v>
      </c>
      <c r="H2714" s="1">
        <v>42849</v>
      </c>
      <c r="I2714" s="1">
        <v>42854</v>
      </c>
      <c r="J2714">
        <v>5029</v>
      </c>
    </row>
    <row r="2715" spans="1:10" x14ac:dyDescent="0.3">
      <c r="A2715" t="s">
        <v>2846</v>
      </c>
      <c r="B2715" t="s">
        <v>14</v>
      </c>
      <c r="C2715" t="str">
        <f>_xlfn.XLOOKUP(B2715,
[1]sales_teams!$A$2:$A$100,
[1]sales_teams!$B$2:$B$100)</f>
        <v>Melvin Marxen</v>
      </c>
      <c r="D2715" t="str">
        <f>_xlfn.XLOOKUP($B2715,sales_teams!$A$2:$A$36,sales_teams!C$2:C$36)</f>
        <v>Central</v>
      </c>
      <c r="E2715" t="s">
        <v>15</v>
      </c>
      <c r="F2715" t="s">
        <v>231</v>
      </c>
      <c r="G2715" t="s">
        <v>12</v>
      </c>
      <c r="H2715" s="1">
        <v>42849</v>
      </c>
      <c r="I2715" s="1">
        <v>42962</v>
      </c>
      <c r="J2715">
        <v>5191</v>
      </c>
    </row>
    <row r="2716" spans="1:10" x14ac:dyDescent="0.3">
      <c r="A2716" t="s">
        <v>2847</v>
      </c>
      <c r="B2716" t="s">
        <v>105</v>
      </c>
      <c r="C2716" t="str">
        <f>_xlfn.XLOOKUP(B2716,
[1]sales_teams!$A$2:$A$100,
[1]sales_teams!$B$2:$B$100)</f>
        <v>Cara Losch</v>
      </c>
      <c r="D2716" t="str">
        <f>_xlfn.XLOOKUP($B2716,sales_teams!$A$2:$A$36,sales_teams!C$2:C$36)</f>
        <v>East</v>
      </c>
      <c r="E2716" t="s">
        <v>20</v>
      </c>
      <c r="F2716" t="s">
        <v>89</v>
      </c>
      <c r="G2716" t="s">
        <v>46</v>
      </c>
      <c r="H2716" s="1">
        <v>42849</v>
      </c>
      <c r="I2716" s="1">
        <v>42861</v>
      </c>
      <c r="J2716">
        <v>0</v>
      </c>
    </row>
    <row r="2717" spans="1:10" x14ac:dyDescent="0.3">
      <c r="A2717" t="s">
        <v>2848</v>
      </c>
      <c r="B2717" t="s">
        <v>44</v>
      </c>
      <c r="C2717" t="str">
        <f>_xlfn.XLOOKUP(B2717,
[1]sales_teams!$A$2:$A$100,
[1]sales_teams!$B$2:$B$100)</f>
        <v>Melvin Marxen</v>
      </c>
      <c r="D2717" t="str">
        <f>_xlfn.XLOOKUP($B2717,sales_teams!$A$2:$A$36,sales_teams!C$2:C$36)</f>
        <v>Central</v>
      </c>
      <c r="E2717" t="s">
        <v>15</v>
      </c>
      <c r="F2717" t="s">
        <v>197</v>
      </c>
      <c r="G2717" t="s">
        <v>46</v>
      </c>
      <c r="H2717" s="1">
        <v>42849</v>
      </c>
      <c r="I2717" s="1">
        <v>42858</v>
      </c>
      <c r="J2717">
        <v>0</v>
      </c>
    </row>
    <row r="2718" spans="1:10" x14ac:dyDescent="0.3">
      <c r="A2718" t="s">
        <v>2849</v>
      </c>
      <c r="B2718" t="s">
        <v>54</v>
      </c>
      <c r="C2718" t="str">
        <f>_xlfn.XLOOKUP(B2718,
[1]sales_teams!$A$2:$A$100,
[1]sales_teams!$B$2:$B$100)</f>
        <v>Celia Rouche</v>
      </c>
      <c r="D2718" t="str">
        <f>_xlfn.XLOOKUP($B2718,sales_teams!$A$2:$A$36,sales_teams!C$2:C$36)</f>
        <v>West</v>
      </c>
      <c r="E2718" t="s">
        <v>39</v>
      </c>
      <c r="G2718" t="s">
        <v>40</v>
      </c>
      <c r="H2718" s="1">
        <v>42849</v>
      </c>
    </row>
    <row r="2719" spans="1:10" x14ac:dyDescent="0.3">
      <c r="A2719" t="s">
        <v>2850</v>
      </c>
      <c r="B2719" t="s">
        <v>38</v>
      </c>
      <c r="C2719" t="str">
        <f>_xlfn.XLOOKUP(B2719,
[1]sales_teams!$A$2:$A$100,
[1]sales_teams!$B$2:$B$100)</f>
        <v>Summer Sewald</v>
      </c>
      <c r="D2719" t="str">
        <f>_xlfn.XLOOKUP($B2719,sales_teams!$A$2:$A$36,sales_teams!C$2:C$36)</f>
        <v>West</v>
      </c>
      <c r="E2719" t="s">
        <v>39</v>
      </c>
      <c r="F2719" t="s">
        <v>59</v>
      </c>
      <c r="G2719" t="s">
        <v>12</v>
      </c>
      <c r="H2719" s="1">
        <v>42849</v>
      </c>
      <c r="I2719" s="1">
        <v>42860</v>
      </c>
      <c r="J2719">
        <v>3042</v>
      </c>
    </row>
    <row r="2720" spans="1:10" x14ac:dyDescent="0.3">
      <c r="A2720" t="s">
        <v>2851</v>
      </c>
      <c r="B2720" t="s">
        <v>252</v>
      </c>
      <c r="C2720" t="str">
        <f>_xlfn.XLOOKUP(B2720,
[1]sales_teams!$A$2:$A$100,
[1]sales_teams!$B$2:$B$100)</f>
        <v>Melvin Marxen</v>
      </c>
      <c r="D2720" t="str">
        <f>_xlfn.XLOOKUP($B2720,sales_teams!$A$2:$A$36,sales_teams!C$2:C$36)</f>
        <v>Central</v>
      </c>
      <c r="E2720" t="s">
        <v>20</v>
      </c>
      <c r="F2720" t="s">
        <v>213</v>
      </c>
      <c r="G2720" t="s">
        <v>12</v>
      </c>
      <c r="H2720" s="1">
        <v>42849</v>
      </c>
      <c r="I2720" s="1">
        <v>42851</v>
      </c>
      <c r="J2720">
        <v>580</v>
      </c>
    </row>
    <row r="2721" spans="1:10" x14ac:dyDescent="0.3">
      <c r="A2721" t="s">
        <v>2852</v>
      </c>
      <c r="B2721" t="s">
        <v>78</v>
      </c>
      <c r="C2721" t="str">
        <f>_xlfn.XLOOKUP(B2721,
[1]sales_teams!$A$2:$A$100,
[1]sales_teams!$B$2:$B$100)</f>
        <v>Summer Sewald</v>
      </c>
      <c r="D2721" t="str">
        <f>_xlfn.XLOOKUP($B2721,sales_teams!$A$2:$A$36,sales_teams!C$2:C$36)</f>
        <v>West</v>
      </c>
      <c r="E2721" t="s">
        <v>10</v>
      </c>
      <c r="G2721" t="s">
        <v>40</v>
      </c>
      <c r="H2721" s="1">
        <v>42849</v>
      </c>
    </row>
    <row r="2722" spans="1:10" x14ac:dyDescent="0.3">
      <c r="A2722" t="s">
        <v>2853</v>
      </c>
      <c r="B2722" t="s">
        <v>95</v>
      </c>
      <c r="C2722" t="str">
        <f>_xlfn.XLOOKUP(B2722,
[1]sales_teams!$A$2:$A$100,
[1]sales_teams!$B$2:$B$100)</f>
        <v>Summer Sewald</v>
      </c>
      <c r="D2722" t="str">
        <f>_xlfn.XLOOKUP($B2722,sales_teams!$A$2:$A$36,sales_teams!C$2:C$36)</f>
        <v>West</v>
      </c>
      <c r="E2722" t="s">
        <v>20</v>
      </c>
      <c r="F2722" t="s">
        <v>157</v>
      </c>
      <c r="G2722" t="s">
        <v>12</v>
      </c>
      <c r="H2722" s="1">
        <v>42849</v>
      </c>
      <c r="I2722" s="1">
        <v>42981</v>
      </c>
      <c r="J2722">
        <v>616</v>
      </c>
    </row>
    <row r="2723" spans="1:10" x14ac:dyDescent="0.3">
      <c r="A2723" t="s">
        <v>2854</v>
      </c>
      <c r="B2723" t="s">
        <v>32</v>
      </c>
      <c r="C2723" t="str">
        <f>_xlfn.XLOOKUP(B2723,
[1]sales_teams!$A$2:$A$100,
[1]sales_teams!$B$2:$B$100)</f>
        <v>Celia Rouche</v>
      </c>
      <c r="D2723" t="str">
        <f>_xlfn.XLOOKUP($B2723,sales_teams!$A$2:$A$36,sales_teams!C$2:C$36)</f>
        <v>West</v>
      </c>
      <c r="E2723" t="s">
        <v>10</v>
      </c>
      <c r="F2723" t="s">
        <v>30</v>
      </c>
      <c r="G2723" t="s">
        <v>12</v>
      </c>
      <c r="H2723" s="1">
        <v>42849</v>
      </c>
      <c r="I2723" s="1">
        <v>42854</v>
      </c>
      <c r="J2723">
        <v>788</v>
      </c>
    </row>
    <row r="2724" spans="1:10" x14ac:dyDescent="0.3">
      <c r="A2724" t="s">
        <v>2855</v>
      </c>
      <c r="B2724" t="s">
        <v>51</v>
      </c>
      <c r="C2724" t="str">
        <f>_xlfn.XLOOKUP(B2724,
[1]sales_teams!$A$2:$A$100,
[1]sales_teams!$B$2:$B$100)</f>
        <v>Summer Sewald</v>
      </c>
      <c r="D2724" t="str">
        <f>_xlfn.XLOOKUP($B2724,sales_teams!$A$2:$A$36,sales_teams!C$2:C$36)</f>
        <v>West</v>
      </c>
      <c r="E2724" t="s">
        <v>20</v>
      </c>
      <c r="F2724" t="s">
        <v>155</v>
      </c>
      <c r="G2724" t="s">
        <v>46</v>
      </c>
      <c r="H2724" s="1">
        <v>42849</v>
      </c>
      <c r="I2724" s="1">
        <v>42851</v>
      </c>
      <c r="J2724">
        <v>0</v>
      </c>
    </row>
    <row r="2725" spans="1:10" x14ac:dyDescent="0.3">
      <c r="A2725" t="s">
        <v>2856</v>
      </c>
      <c r="B2725" t="s">
        <v>97</v>
      </c>
      <c r="C2725" t="str">
        <f>_xlfn.XLOOKUP(B2725,
[1]sales_teams!$A$2:$A$100,
[1]sales_teams!$B$2:$B$100)</f>
        <v>Rocco Neubert</v>
      </c>
      <c r="D2725" t="str">
        <f>_xlfn.XLOOKUP($B2725,sales_teams!$A$2:$A$36,sales_teams!C$2:C$36)</f>
        <v>East</v>
      </c>
      <c r="E2725" t="s">
        <v>15</v>
      </c>
      <c r="F2725" t="s">
        <v>74</v>
      </c>
      <c r="G2725" t="s">
        <v>12</v>
      </c>
      <c r="H2725" s="1">
        <v>42849</v>
      </c>
      <c r="I2725" s="1">
        <v>42850</v>
      </c>
      <c r="J2725">
        <v>4980</v>
      </c>
    </row>
    <row r="2726" spans="1:10" x14ac:dyDescent="0.3">
      <c r="A2726" t="s">
        <v>2857</v>
      </c>
      <c r="B2726" t="s">
        <v>29</v>
      </c>
      <c r="C2726" t="str">
        <f>_xlfn.XLOOKUP(B2726,
[1]sales_teams!$A$2:$A$100,
[1]sales_teams!$B$2:$B$100)</f>
        <v>Celia Rouche</v>
      </c>
      <c r="D2726" t="str">
        <f>_xlfn.XLOOKUP($B2726,sales_teams!$A$2:$A$36,sales_teams!C$2:C$36)</f>
        <v>West</v>
      </c>
      <c r="E2726" t="s">
        <v>18</v>
      </c>
      <c r="G2726" t="s">
        <v>40</v>
      </c>
      <c r="H2726" s="1">
        <v>42849</v>
      </c>
    </row>
    <row r="2727" spans="1:10" x14ac:dyDescent="0.3">
      <c r="A2727" t="s">
        <v>2858</v>
      </c>
      <c r="B2727" t="s">
        <v>29</v>
      </c>
      <c r="C2727" t="str">
        <f>_xlfn.XLOOKUP(B2727,
[1]sales_teams!$A$2:$A$100,
[1]sales_teams!$B$2:$B$100)</f>
        <v>Celia Rouche</v>
      </c>
      <c r="D2727" t="str">
        <f>_xlfn.XLOOKUP($B2727,sales_teams!$A$2:$A$36,sales_teams!C$2:C$36)</f>
        <v>West</v>
      </c>
      <c r="E2727" t="s">
        <v>18</v>
      </c>
      <c r="G2727" t="s">
        <v>40</v>
      </c>
      <c r="H2727" s="1">
        <v>42849</v>
      </c>
    </row>
    <row r="2728" spans="1:10" x14ac:dyDescent="0.3">
      <c r="A2728" t="s">
        <v>2859</v>
      </c>
      <c r="B2728" t="s">
        <v>29</v>
      </c>
      <c r="C2728" t="str">
        <f>_xlfn.XLOOKUP(B2728,
[1]sales_teams!$A$2:$A$100,
[1]sales_teams!$B$2:$B$100)</f>
        <v>Celia Rouche</v>
      </c>
      <c r="D2728" t="str">
        <f>_xlfn.XLOOKUP($B2728,sales_teams!$A$2:$A$36,sales_teams!C$2:C$36)</f>
        <v>West</v>
      </c>
      <c r="E2728" t="s">
        <v>20</v>
      </c>
      <c r="F2728" t="s">
        <v>100</v>
      </c>
      <c r="G2728" t="s">
        <v>46</v>
      </c>
      <c r="H2728" s="1">
        <v>42849</v>
      </c>
      <c r="I2728" s="1">
        <v>42957</v>
      </c>
      <c r="J2728">
        <v>0</v>
      </c>
    </row>
    <row r="2729" spans="1:10" x14ac:dyDescent="0.3">
      <c r="A2729" t="s">
        <v>2860</v>
      </c>
      <c r="B2729" t="s">
        <v>73</v>
      </c>
      <c r="C2729" t="str">
        <f>_xlfn.XLOOKUP(B2729,
[1]sales_teams!$A$2:$A$100,
[1]sales_teams!$B$2:$B$100)</f>
        <v>Cara Losch</v>
      </c>
      <c r="D2729" t="str">
        <f>_xlfn.XLOOKUP($B2729,sales_teams!$A$2:$A$36,sales_teams!C$2:C$36)</f>
        <v>East</v>
      </c>
      <c r="E2729" t="s">
        <v>39</v>
      </c>
      <c r="F2729" t="s">
        <v>165</v>
      </c>
      <c r="G2729" t="s">
        <v>12</v>
      </c>
      <c r="H2729" s="1">
        <v>42849</v>
      </c>
      <c r="I2729" s="1">
        <v>42951</v>
      </c>
      <c r="J2729">
        <v>2981</v>
      </c>
    </row>
    <row r="2730" spans="1:10" x14ac:dyDescent="0.3">
      <c r="A2730" t="s">
        <v>2861</v>
      </c>
      <c r="B2730" t="s">
        <v>23</v>
      </c>
      <c r="C2730" t="str">
        <f>_xlfn.XLOOKUP(B2730,
[1]sales_teams!$A$2:$A$100,
[1]sales_teams!$B$2:$B$100)</f>
        <v>Summer Sewald</v>
      </c>
      <c r="D2730" t="str">
        <f>_xlfn.XLOOKUP($B2730,sales_teams!$A$2:$A$36,sales_teams!C$2:C$36)</f>
        <v>West</v>
      </c>
      <c r="E2730" t="s">
        <v>20</v>
      </c>
      <c r="F2730" t="s">
        <v>55</v>
      </c>
      <c r="G2730" t="s">
        <v>46</v>
      </c>
      <c r="H2730" s="1">
        <v>42849</v>
      </c>
      <c r="I2730" s="1">
        <v>42855</v>
      </c>
      <c r="J2730">
        <v>0</v>
      </c>
    </row>
    <row r="2731" spans="1:10" x14ac:dyDescent="0.3">
      <c r="A2731" t="s">
        <v>2862</v>
      </c>
      <c r="B2731" t="s">
        <v>23</v>
      </c>
      <c r="C2731" t="str">
        <f>_xlfn.XLOOKUP(B2731,
[1]sales_teams!$A$2:$A$100,
[1]sales_teams!$B$2:$B$100)</f>
        <v>Summer Sewald</v>
      </c>
      <c r="D2731" t="str">
        <f>_xlfn.XLOOKUP($B2731,sales_teams!$A$2:$A$36,sales_teams!C$2:C$36)</f>
        <v>West</v>
      </c>
      <c r="E2731" t="s">
        <v>48</v>
      </c>
      <c r="F2731" t="s">
        <v>100</v>
      </c>
      <c r="G2731" t="s">
        <v>46</v>
      </c>
      <c r="H2731" s="1">
        <v>42849</v>
      </c>
      <c r="I2731" s="1">
        <v>42852</v>
      </c>
      <c r="J2731">
        <v>0</v>
      </c>
    </row>
    <row r="2732" spans="1:10" x14ac:dyDescent="0.3">
      <c r="A2732" t="s">
        <v>2863</v>
      </c>
      <c r="B2732" t="s">
        <v>139</v>
      </c>
      <c r="C2732" t="str">
        <f>_xlfn.XLOOKUP(B2732,
[1]sales_teams!$A$2:$A$100,
[1]sales_teams!$B$2:$B$100)</f>
        <v>Rocco Neubert</v>
      </c>
      <c r="D2732" t="str">
        <f>_xlfn.XLOOKUP($B2732,sales_teams!$A$2:$A$36,sales_teams!C$2:C$36)</f>
        <v>East</v>
      </c>
      <c r="E2732" t="s">
        <v>10</v>
      </c>
      <c r="G2732" t="s">
        <v>40</v>
      </c>
      <c r="H2732" s="1">
        <v>42850</v>
      </c>
    </row>
    <row r="2733" spans="1:10" x14ac:dyDescent="0.3">
      <c r="A2733" t="s">
        <v>2864</v>
      </c>
      <c r="B2733" t="s">
        <v>139</v>
      </c>
      <c r="C2733" t="str">
        <f>_xlfn.XLOOKUP(B2733,
[1]sales_teams!$A$2:$A$100,
[1]sales_teams!$B$2:$B$100)</f>
        <v>Rocco Neubert</v>
      </c>
      <c r="D2733" t="str">
        <f>_xlfn.XLOOKUP($B2733,sales_teams!$A$2:$A$36,sales_teams!C$2:C$36)</f>
        <v>East</v>
      </c>
      <c r="E2733" t="s">
        <v>20</v>
      </c>
      <c r="F2733" t="s">
        <v>373</v>
      </c>
      <c r="G2733" t="s">
        <v>12</v>
      </c>
      <c r="H2733" s="1">
        <v>42850</v>
      </c>
      <c r="I2733" s="1">
        <v>42852</v>
      </c>
      <c r="J2733">
        <v>560</v>
      </c>
    </row>
    <row r="2734" spans="1:10" x14ac:dyDescent="0.3">
      <c r="A2734" t="s">
        <v>2865</v>
      </c>
      <c r="B2734" t="s">
        <v>118</v>
      </c>
      <c r="C2734" t="str">
        <f>_xlfn.XLOOKUP(B2734,
[1]sales_teams!$A$2:$A$100,
[1]sales_teams!$B$2:$B$100)</f>
        <v>Rocco Neubert</v>
      </c>
      <c r="D2734" t="str">
        <f>_xlfn.XLOOKUP($B2734,sales_teams!$A$2:$A$36,sales_teams!C$2:C$36)</f>
        <v>East</v>
      </c>
      <c r="E2734" t="s">
        <v>15</v>
      </c>
      <c r="G2734" t="s">
        <v>40</v>
      </c>
      <c r="H2734" s="1">
        <v>42850</v>
      </c>
    </row>
    <row r="2735" spans="1:10" x14ac:dyDescent="0.3">
      <c r="A2735" t="s">
        <v>2866</v>
      </c>
      <c r="B2735" t="s">
        <v>118</v>
      </c>
      <c r="C2735" t="str">
        <f>_xlfn.XLOOKUP(B2735,
[1]sales_teams!$A$2:$A$100,
[1]sales_teams!$B$2:$B$100)</f>
        <v>Rocco Neubert</v>
      </c>
      <c r="D2735" t="str">
        <f>_xlfn.XLOOKUP($B2735,sales_teams!$A$2:$A$36,sales_teams!C$2:C$36)</f>
        <v>East</v>
      </c>
      <c r="E2735" t="s">
        <v>39</v>
      </c>
      <c r="F2735" t="s">
        <v>209</v>
      </c>
      <c r="G2735" t="s">
        <v>12</v>
      </c>
      <c r="H2735" s="1">
        <v>42850</v>
      </c>
      <c r="I2735" s="1">
        <v>42865</v>
      </c>
      <c r="J2735">
        <v>3844</v>
      </c>
    </row>
    <row r="2736" spans="1:10" x14ac:dyDescent="0.3">
      <c r="A2736" t="s">
        <v>2867</v>
      </c>
      <c r="B2736" t="s">
        <v>164</v>
      </c>
      <c r="C2736" t="str">
        <f>_xlfn.XLOOKUP(B2736,
[1]sales_teams!$A$2:$A$100,
[1]sales_teams!$B$2:$B$100)</f>
        <v>Cara Losch</v>
      </c>
      <c r="D2736" t="str">
        <f>_xlfn.XLOOKUP($B2736,sales_teams!$A$2:$A$36,sales_teams!C$2:C$36)</f>
        <v>East</v>
      </c>
      <c r="E2736" t="s">
        <v>20</v>
      </c>
      <c r="F2736" t="s">
        <v>745</v>
      </c>
      <c r="G2736" t="s">
        <v>12</v>
      </c>
      <c r="H2736" s="1">
        <v>42850</v>
      </c>
      <c r="I2736" s="1">
        <v>42861</v>
      </c>
      <c r="J2736">
        <v>562</v>
      </c>
    </row>
    <row r="2737" spans="1:10" x14ac:dyDescent="0.3">
      <c r="A2737" t="s">
        <v>2868</v>
      </c>
      <c r="B2737" t="s">
        <v>64</v>
      </c>
      <c r="C2737" t="str">
        <f>_xlfn.XLOOKUP(B2737,
[1]sales_teams!$A$2:$A$100,
[1]sales_teams!$B$2:$B$100)</f>
        <v>Rocco Neubert</v>
      </c>
      <c r="D2737" t="str">
        <f>_xlfn.XLOOKUP($B2737,sales_teams!$A$2:$A$36,sales_teams!C$2:C$36)</f>
        <v>East</v>
      </c>
      <c r="E2737" t="s">
        <v>18</v>
      </c>
      <c r="F2737" t="s">
        <v>103</v>
      </c>
      <c r="G2737" t="s">
        <v>12</v>
      </c>
      <c r="H2737" s="1">
        <v>42850</v>
      </c>
      <c r="I2737" s="1">
        <v>42856</v>
      </c>
      <c r="J2737">
        <v>51</v>
      </c>
    </row>
    <row r="2738" spans="1:10" x14ac:dyDescent="0.3">
      <c r="A2738" t="s">
        <v>2869</v>
      </c>
      <c r="B2738" t="s">
        <v>14</v>
      </c>
      <c r="C2738" t="str">
        <f>_xlfn.XLOOKUP(B2738,
[1]sales_teams!$A$2:$A$100,
[1]sales_teams!$B$2:$B$100)</f>
        <v>Melvin Marxen</v>
      </c>
      <c r="D2738" t="str">
        <f>_xlfn.XLOOKUP($B2738,sales_teams!$A$2:$A$36,sales_teams!C$2:C$36)</f>
        <v>Central</v>
      </c>
      <c r="E2738" t="s">
        <v>10</v>
      </c>
      <c r="F2738" t="s">
        <v>129</v>
      </c>
      <c r="G2738" t="s">
        <v>12</v>
      </c>
      <c r="H2738" s="1">
        <v>42850</v>
      </c>
      <c r="I2738" s="1">
        <v>42906</v>
      </c>
      <c r="J2738">
        <v>984</v>
      </c>
    </row>
    <row r="2739" spans="1:10" x14ac:dyDescent="0.3">
      <c r="A2739" t="s">
        <v>2870</v>
      </c>
      <c r="B2739" t="s">
        <v>14</v>
      </c>
      <c r="C2739" t="str">
        <f>_xlfn.XLOOKUP(B2739,
[1]sales_teams!$A$2:$A$100,
[1]sales_teams!$B$2:$B$100)</f>
        <v>Melvin Marxen</v>
      </c>
      <c r="D2739" t="str">
        <f>_xlfn.XLOOKUP($B2739,sales_teams!$A$2:$A$36,sales_teams!C$2:C$36)</f>
        <v>Central</v>
      </c>
      <c r="E2739" t="s">
        <v>15</v>
      </c>
      <c r="F2739" t="s">
        <v>109</v>
      </c>
      <c r="G2739" t="s">
        <v>12</v>
      </c>
      <c r="H2739" s="1">
        <v>42850</v>
      </c>
      <c r="I2739" s="1">
        <v>42893</v>
      </c>
      <c r="J2739">
        <v>4923</v>
      </c>
    </row>
    <row r="2740" spans="1:10" x14ac:dyDescent="0.3">
      <c r="A2740" t="s">
        <v>2871</v>
      </c>
      <c r="B2740" t="s">
        <v>54</v>
      </c>
      <c r="C2740" t="str">
        <f>_xlfn.XLOOKUP(B2740,
[1]sales_teams!$A$2:$A$100,
[1]sales_teams!$B$2:$B$100)</f>
        <v>Celia Rouche</v>
      </c>
      <c r="D2740" t="str">
        <f>_xlfn.XLOOKUP($B2740,sales_teams!$A$2:$A$36,sales_teams!C$2:C$36)</f>
        <v>West</v>
      </c>
      <c r="E2740" t="s">
        <v>10</v>
      </c>
      <c r="G2740" t="s">
        <v>40</v>
      </c>
      <c r="H2740" s="1">
        <v>42850</v>
      </c>
    </row>
    <row r="2741" spans="1:10" x14ac:dyDescent="0.3">
      <c r="A2741" t="s">
        <v>2872</v>
      </c>
      <c r="B2741" t="s">
        <v>38</v>
      </c>
      <c r="C2741" t="str">
        <f>_xlfn.XLOOKUP(B2741,
[1]sales_teams!$A$2:$A$100,
[1]sales_teams!$B$2:$B$100)</f>
        <v>Summer Sewald</v>
      </c>
      <c r="D2741" t="str">
        <f>_xlfn.XLOOKUP($B2741,sales_teams!$A$2:$A$36,sales_teams!C$2:C$36)</f>
        <v>West</v>
      </c>
      <c r="E2741" t="s">
        <v>20</v>
      </c>
      <c r="F2741" t="s">
        <v>194</v>
      </c>
      <c r="G2741" t="s">
        <v>46</v>
      </c>
      <c r="H2741" s="1">
        <v>42850</v>
      </c>
      <c r="I2741" s="1">
        <v>42950</v>
      </c>
      <c r="J2741">
        <v>0</v>
      </c>
    </row>
    <row r="2742" spans="1:10" x14ac:dyDescent="0.3">
      <c r="A2742" t="s">
        <v>2873</v>
      </c>
      <c r="B2742" t="s">
        <v>95</v>
      </c>
      <c r="C2742" t="str">
        <f>_xlfn.XLOOKUP(B2742,
[1]sales_teams!$A$2:$A$100,
[1]sales_teams!$B$2:$B$100)</f>
        <v>Summer Sewald</v>
      </c>
      <c r="D2742" t="str">
        <f>_xlfn.XLOOKUP($B2742,sales_teams!$A$2:$A$36,sales_teams!C$2:C$36)</f>
        <v>West</v>
      </c>
      <c r="E2742" t="s">
        <v>15</v>
      </c>
      <c r="F2742" t="s">
        <v>49</v>
      </c>
      <c r="G2742" t="s">
        <v>46</v>
      </c>
      <c r="H2742" s="1">
        <v>42850</v>
      </c>
      <c r="I2742" s="1">
        <v>42852</v>
      </c>
      <c r="J2742">
        <v>0</v>
      </c>
    </row>
    <row r="2743" spans="1:10" x14ac:dyDescent="0.3">
      <c r="A2743" t="s">
        <v>2874</v>
      </c>
      <c r="B2743" t="s">
        <v>133</v>
      </c>
      <c r="C2743" t="str">
        <f>_xlfn.XLOOKUP(B2743,
[1]sales_teams!$A$2:$A$100,
[1]sales_teams!$B$2:$B$100)</f>
        <v>Dustin Brinkmann</v>
      </c>
      <c r="D2743" t="str">
        <f>_xlfn.XLOOKUP($B2743,sales_teams!$A$2:$A$36,sales_teams!C$2:C$36)</f>
        <v>Central</v>
      </c>
      <c r="E2743" t="s">
        <v>20</v>
      </c>
      <c r="F2743" t="s">
        <v>315</v>
      </c>
      <c r="G2743" t="s">
        <v>46</v>
      </c>
      <c r="H2743" s="1">
        <v>42850</v>
      </c>
      <c r="I2743" s="1">
        <v>42963</v>
      </c>
      <c r="J2743">
        <v>0</v>
      </c>
    </row>
    <row r="2744" spans="1:10" x14ac:dyDescent="0.3">
      <c r="A2744" t="s">
        <v>2875</v>
      </c>
      <c r="B2744" t="s">
        <v>116</v>
      </c>
      <c r="C2744" t="str">
        <f>_xlfn.XLOOKUP(B2744,
[1]sales_teams!$A$2:$A$100,
[1]sales_teams!$B$2:$B$100)</f>
        <v>Melvin Marxen</v>
      </c>
      <c r="D2744" t="str">
        <f>_xlfn.XLOOKUP($B2744,sales_teams!$A$2:$A$36,sales_teams!C$2:C$36)</f>
        <v>Central</v>
      </c>
      <c r="E2744" t="s">
        <v>39</v>
      </c>
      <c r="F2744" t="s">
        <v>113</v>
      </c>
      <c r="G2744" t="s">
        <v>46</v>
      </c>
      <c r="H2744" s="1">
        <v>42850</v>
      </c>
      <c r="I2744" s="1">
        <v>42857</v>
      </c>
      <c r="J2744">
        <v>0</v>
      </c>
    </row>
    <row r="2745" spans="1:10" x14ac:dyDescent="0.3">
      <c r="A2745" t="s">
        <v>2876</v>
      </c>
      <c r="B2745" t="s">
        <v>51</v>
      </c>
      <c r="C2745" t="str">
        <f>_xlfn.XLOOKUP(B2745,
[1]sales_teams!$A$2:$A$100,
[1]sales_teams!$B$2:$B$100)</f>
        <v>Summer Sewald</v>
      </c>
      <c r="D2745" t="str">
        <f>_xlfn.XLOOKUP($B2745,sales_teams!$A$2:$A$36,sales_teams!C$2:C$36)</f>
        <v>West</v>
      </c>
      <c r="E2745" t="s">
        <v>15</v>
      </c>
      <c r="G2745" t="s">
        <v>40</v>
      </c>
      <c r="H2745" s="1">
        <v>42850</v>
      </c>
    </row>
    <row r="2746" spans="1:10" x14ac:dyDescent="0.3">
      <c r="A2746" t="s">
        <v>2877</v>
      </c>
      <c r="B2746" t="s">
        <v>51</v>
      </c>
      <c r="C2746" t="str">
        <f>_xlfn.XLOOKUP(B2746,
[1]sales_teams!$A$2:$A$100,
[1]sales_teams!$B$2:$B$100)</f>
        <v>Summer Sewald</v>
      </c>
      <c r="D2746" t="str">
        <f>_xlfn.XLOOKUP($B2746,sales_teams!$A$2:$A$36,sales_teams!C$2:C$36)</f>
        <v>West</v>
      </c>
      <c r="E2746" t="s">
        <v>10</v>
      </c>
      <c r="F2746" t="s">
        <v>159</v>
      </c>
      <c r="G2746" t="s">
        <v>12</v>
      </c>
      <c r="H2746" s="1">
        <v>42850</v>
      </c>
      <c r="I2746" s="1">
        <v>42851</v>
      </c>
      <c r="J2746">
        <v>1113</v>
      </c>
    </row>
    <row r="2747" spans="1:10" x14ac:dyDescent="0.3">
      <c r="A2747" t="s">
        <v>2878</v>
      </c>
      <c r="B2747" t="s">
        <v>35</v>
      </c>
      <c r="C2747" t="str">
        <f>_xlfn.XLOOKUP(B2747,
[1]sales_teams!$A$2:$A$100,
[1]sales_teams!$B$2:$B$100)</f>
        <v>Melvin Marxen</v>
      </c>
      <c r="D2747" t="str">
        <f>_xlfn.XLOOKUP($B2747,sales_teams!$A$2:$A$36,sales_teams!C$2:C$36)</f>
        <v>Central</v>
      </c>
      <c r="E2747" t="s">
        <v>48</v>
      </c>
      <c r="F2747" t="s">
        <v>62</v>
      </c>
      <c r="G2747" t="s">
        <v>12</v>
      </c>
      <c r="H2747" s="1">
        <v>42850</v>
      </c>
      <c r="I2747" s="1">
        <v>42866</v>
      </c>
      <c r="J2747">
        <v>6039</v>
      </c>
    </row>
    <row r="2748" spans="1:10" x14ac:dyDescent="0.3">
      <c r="A2748" t="s">
        <v>2879</v>
      </c>
      <c r="B2748" t="s">
        <v>97</v>
      </c>
      <c r="C2748" t="str">
        <f>_xlfn.XLOOKUP(B2748,
[1]sales_teams!$A$2:$A$100,
[1]sales_teams!$B$2:$B$100)</f>
        <v>Rocco Neubert</v>
      </c>
      <c r="D2748" t="str">
        <f>_xlfn.XLOOKUP($B2748,sales_teams!$A$2:$A$36,sales_teams!C$2:C$36)</f>
        <v>East</v>
      </c>
      <c r="E2748" t="s">
        <v>20</v>
      </c>
      <c r="F2748" t="s">
        <v>222</v>
      </c>
      <c r="G2748" t="s">
        <v>12</v>
      </c>
      <c r="H2748" s="1">
        <v>42850</v>
      </c>
      <c r="I2748" s="1">
        <v>42890</v>
      </c>
      <c r="J2748">
        <v>538</v>
      </c>
    </row>
    <row r="2749" spans="1:10" x14ac:dyDescent="0.3">
      <c r="A2749" t="s">
        <v>2880</v>
      </c>
      <c r="B2749" t="s">
        <v>61</v>
      </c>
      <c r="C2749" t="str">
        <f>_xlfn.XLOOKUP(B2749,
[1]sales_teams!$A$2:$A$100,
[1]sales_teams!$B$2:$B$100)</f>
        <v>Dustin Brinkmann</v>
      </c>
      <c r="D2749" t="str">
        <f>_xlfn.XLOOKUP($B2749,sales_teams!$A$2:$A$36,sales_teams!C$2:C$36)</f>
        <v>Central</v>
      </c>
      <c r="E2749" t="s">
        <v>39</v>
      </c>
      <c r="F2749" t="s">
        <v>213</v>
      </c>
      <c r="G2749" t="s">
        <v>46</v>
      </c>
      <c r="H2749" s="1">
        <v>42850</v>
      </c>
      <c r="I2749" s="1">
        <v>42852</v>
      </c>
      <c r="J2749">
        <v>0</v>
      </c>
    </row>
    <row r="2750" spans="1:10" x14ac:dyDescent="0.3">
      <c r="A2750" t="s">
        <v>2881</v>
      </c>
      <c r="B2750" t="s">
        <v>29</v>
      </c>
      <c r="C2750" t="str">
        <f>_xlfn.XLOOKUP(B2750,
[1]sales_teams!$A$2:$A$100,
[1]sales_teams!$B$2:$B$100)</f>
        <v>Celia Rouche</v>
      </c>
      <c r="D2750" t="str">
        <f>_xlfn.XLOOKUP($B2750,sales_teams!$A$2:$A$36,sales_teams!C$2:C$36)</f>
        <v>West</v>
      </c>
      <c r="E2750" t="s">
        <v>15</v>
      </c>
      <c r="F2750" t="s">
        <v>398</v>
      </c>
      <c r="G2750" t="s">
        <v>12</v>
      </c>
      <c r="H2750" s="1">
        <v>42850</v>
      </c>
      <c r="I2750" s="1">
        <v>42877</v>
      </c>
      <c r="J2750">
        <v>4364</v>
      </c>
    </row>
    <row r="2751" spans="1:10" x14ac:dyDescent="0.3">
      <c r="A2751" t="s">
        <v>2882</v>
      </c>
      <c r="B2751" t="s">
        <v>73</v>
      </c>
      <c r="C2751" t="str">
        <f>_xlfn.XLOOKUP(B2751,
[1]sales_teams!$A$2:$A$100,
[1]sales_teams!$B$2:$B$100)</f>
        <v>Cara Losch</v>
      </c>
      <c r="D2751" t="str">
        <f>_xlfn.XLOOKUP($B2751,sales_teams!$A$2:$A$36,sales_teams!C$2:C$36)</f>
        <v>East</v>
      </c>
      <c r="E2751" t="s">
        <v>10</v>
      </c>
      <c r="G2751" t="s">
        <v>40</v>
      </c>
      <c r="H2751" s="1">
        <v>42850</v>
      </c>
    </row>
    <row r="2752" spans="1:10" x14ac:dyDescent="0.3">
      <c r="A2752" t="s">
        <v>2883</v>
      </c>
      <c r="B2752" t="s">
        <v>102</v>
      </c>
      <c r="C2752" t="str">
        <f>_xlfn.XLOOKUP(B2752,
[1]sales_teams!$A$2:$A$100,
[1]sales_teams!$B$2:$B$100)</f>
        <v>Cara Losch</v>
      </c>
      <c r="D2752" t="str">
        <f>_xlfn.XLOOKUP($B2752,sales_teams!$A$2:$A$36,sales_teams!C$2:C$36)</f>
        <v>East</v>
      </c>
      <c r="E2752" t="s">
        <v>20</v>
      </c>
      <c r="G2752" t="s">
        <v>40</v>
      </c>
      <c r="H2752" s="1">
        <v>42850</v>
      </c>
    </row>
    <row r="2753" spans="1:10" x14ac:dyDescent="0.3">
      <c r="A2753" t="s">
        <v>2884</v>
      </c>
      <c r="B2753" t="s">
        <v>23</v>
      </c>
      <c r="C2753" t="str">
        <f>_xlfn.XLOOKUP(B2753,
[1]sales_teams!$A$2:$A$100,
[1]sales_teams!$B$2:$B$100)</f>
        <v>Summer Sewald</v>
      </c>
      <c r="D2753" t="str">
        <f>_xlfn.XLOOKUP($B2753,sales_teams!$A$2:$A$36,sales_teams!C$2:C$36)</f>
        <v>West</v>
      </c>
      <c r="E2753" t="s">
        <v>20</v>
      </c>
      <c r="F2753" t="s">
        <v>86</v>
      </c>
      <c r="G2753" t="s">
        <v>46</v>
      </c>
      <c r="H2753" s="1">
        <v>42850</v>
      </c>
      <c r="I2753" s="1">
        <v>42954</v>
      </c>
      <c r="J2753">
        <v>0</v>
      </c>
    </row>
    <row r="2754" spans="1:10" x14ac:dyDescent="0.3">
      <c r="A2754" t="s">
        <v>2885</v>
      </c>
      <c r="B2754" t="s">
        <v>23</v>
      </c>
      <c r="C2754" t="str">
        <f>_xlfn.XLOOKUP(B2754,
[1]sales_teams!$A$2:$A$100,
[1]sales_teams!$B$2:$B$100)</f>
        <v>Summer Sewald</v>
      </c>
      <c r="D2754" t="str">
        <f>_xlfn.XLOOKUP($B2754,sales_teams!$A$2:$A$36,sales_teams!C$2:C$36)</f>
        <v>West</v>
      </c>
      <c r="E2754" t="s">
        <v>20</v>
      </c>
      <c r="F2754" t="s">
        <v>68</v>
      </c>
      <c r="G2754" t="s">
        <v>12</v>
      </c>
      <c r="H2754" s="1">
        <v>42850</v>
      </c>
      <c r="I2754" s="1">
        <v>42852</v>
      </c>
      <c r="J2754">
        <v>464</v>
      </c>
    </row>
    <row r="2755" spans="1:10" x14ac:dyDescent="0.3">
      <c r="A2755" t="s">
        <v>2886</v>
      </c>
      <c r="B2755" t="s">
        <v>26</v>
      </c>
      <c r="C2755" t="str">
        <f>_xlfn.XLOOKUP(B2755,
[1]sales_teams!$A$2:$A$100,
[1]sales_teams!$B$2:$B$100)</f>
        <v>Dustin Brinkmann</v>
      </c>
      <c r="D2755" t="str">
        <f>_xlfn.XLOOKUP($B2755,sales_teams!$A$2:$A$36,sales_teams!C$2:C$36)</f>
        <v>Central</v>
      </c>
      <c r="E2755" t="s">
        <v>10</v>
      </c>
      <c r="F2755" t="s">
        <v>11</v>
      </c>
      <c r="G2755" t="s">
        <v>46</v>
      </c>
      <c r="H2755" s="1">
        <v>42851</v>
      </c>
      <c r="I2755" s="1">
        <v>42948</v>
      </c>
      <c r="J2755">
        <v>0</v>
      </c>
    </row>
    <row r="2756" spans="1:10" x14ac:dyDescent="0.3">
      <c r="A2756" t="s">
        <v>2887</v>
      </c>
      <c r="B2756" t="s">
        <v>26</v>
      </c>
      <c r="C2756" t="str">
        <f>_xlfn.XLOOKUP(B2756,
[1]sales_teams!$A$2:$A$100,
[1]sales_teams!$B$2:$B$100)</f>
        <v>Dustin Brinkmann</v>
      </c>
      <c r="D2756" t="str">
        <f>_xlfn.XLOOKUP($B2756,sales_teams!$A$2:$A$36,sales_teams!C$2:C$36)</f>
        <v>Central</v>
      </c>
      <c r="E2756" t="s">
        <v>48</v>
      </c>
      <c r="F2756" t="s">
        <v>76</v>
      </c>
      <c r="G2756" t="s">
        <v>46</v>
      </c>
      <c r="H2756" s="1">
        <v>42851</v>
      </c>
      <c r="I2756" s="1">
        <v>42948</v>
      </c>
      <c r="J2756">
        <v>0</v>
      </c>
    </row>
    <row r="2757" spans="1:10" x14ac:dyDescent="0.3">
      <c r="A2757" t="s">
        <v>2888</v>
      </c>
      <c r="B2757" t="s">
        <v>26</v>
      </c>
      <c r="C2757" t="str">
        <f>_xlfn.XLOOKUP(B2757,
[1]sales_teams!$A$2:$A$100,
[1]sales_teams!$B$2:$B$100)</f>
        <v>Dustin Brinkmann</v>
      </c>
      <c r="D2757" t="str">
        <f>_xlfn.XLOOKUP($B2757,sales_teams!$A$2:$A$36,sales_teams!C$2:C$36)</f>
        <v>Central</v>
      </c>
      <c r="E2757" t="s">
        <v>10</v>
      </c>
      <c r="F2757" t="s">
        <v>315</v>
      </c>
      <c r="G2757" t="s">
        <v>12</v>
      </c>
      <c r="H2757" s="1">
        <v>42851</v>
      </c>
      <c r="I2757" s="1">
        <v>42916</v>
      </c>
      <c r="J2757">
        <v>1073</v>
      </c>
    </row>
    <row r="2758" spans="1:10" x14ac:dyDescent="0.3">
      <c r="A2758" t="s">
        <v>2889</v>
      </c>
      <c r="B2758" t="s">
        <v>139</v>
      </c>
      <c r="C2758" t="str">
        <f>_xlfn.XLOOKUP(B2758,
[1]sales_teams!$A$2:$A$100,
[1]sales_teams!$B$2:$B$100)</f>
        <v>Rocco Neubert</v>
      </c>
      <c r="D2758" t="str">
        <f>_xlfn.XLOOKUP($B2758,sales_teams!$A$2:$A$36,sales_teams!C$2:C$36)</f>
        <v>East</v>
      </c>
      <c r="E2758" t="s">
        <v>20</v>
      </c>
      <c r="F2758" t="s">
        <v>189</v>
      </c>
      <c r="G2758" t="s">
        <v>46</v>
      </c>
      <c r="H2758" s="1">
        <v>42851</v>
      </c>
      <c r="I2758" s="1">
        <v>42853</v>
      </c>
      <c r="J2758">
        <v>0</v>
      </c>
    </row>
    <row r="2759" spans="1:10" x14ac:dyDescent="0.3">
      <c r="A2759" t="s">
        <v>2890</v>
      </c>
      <c r="B2759" t="s">
        <v>139</v>
      </c>
      <c r="C2759" t="str">
        <f>_xlfn.XLOOKUP(B2759,
[1]sales_teams!$A$2:$A$100,
[1]sales_teams!$B$2:$B$100)</f>
        <v>Rocco Neubert</v>
      </c>
      <c r="D2759" t="str">
        <f>_xlfn.XLOOKUP($B2759,sales_teams!$A$2:$A$36,sales_teams!C$2:C$36)</f>
        <v>East</v>
      </c>
      <c r="E2759" t="s">
        <v>10</v>
      </c>
      <c r="F2759" t="s">
        <v>410</v>
      </c>
      <c r="G2759" t="s">
        <v>46</v>
      </c>
      <c r="H2759" s="1">
        <v>42851</v>
      </c>
      <c r="I2759" s="1">
        <v>42856</v>
      </c>
      <c r="J2759">
        <v>0</v>
      </c>
    </row>
    <row r="2760" spans="1:10" x14ac:dyDescent="0.3">
      <c r="A2760" t="s">
        <v>2891</v>
      </c>
      <c r="B2760" t="s">
        <v>118</v>
      </c>
      <c r="C2760" t="str">
        <f>_xlfn.XLOOKUP(B2760,
[1]sales_teams!$A$2:$A$100,
[1]sales_teams!$B$2:$B$100)</f>
        <v>Rocco Neubert</v>
      </c>
      <c r="D2760" t="str">
        <f>_xlfn.XLOOKUP($B2760,sales_teams!$A$2:$A$36,sales_teams!C$2:C$36)</f>
        <v>East</v>
      </c>
      <c r="E2760" t="s">
        <v>15</v>
      </c>
      <c r="F2760" t="s">
        <v>222</v>
      </c>
      <c r="G2760" t="s">
        <v>46</v>
      </c>
      <c r="H2760" s="1">
        <v>42851</v>
      </c>
      <c r="I2760" s="1">
        <v>42956</v>
      </c>
      <c r="J2760">
        <v>0</v>
      </c>
    </row>
    <row r="2761" spans="1:10" x14ac:dyDescent="0.3">
      <c r="A2761" t="s">
        <v>2892</v>
      </c>
      <c r="B2761" t="s">
        <v>164</v>
      </c>
      <c r="C2761" t="str">
        <f>_xlfn.XLOOKUP(B2761,
[1]sales_teams!$A$2:$A$100,
[1]sales_teams!$B$2:$B$100)</f>
        <v>Cara Losch</v>
      </c>
      <c r="D2761" t="str">
        <f>_xlfn.XLOOKUP($B2761,sales_teams!$A$2:$A$36,sales_teams!C$2:C$36)</f>
        <v>East</v>
      </c>
      <c r="E2761" t="s">
        <v>48</v>
      </c>
      <c r="G2761" t="s">
        <v>40</v>
      </c>
      <c r="H2761" s="1">
        <v>42851</v>
      </c>
    </row>
    <row r="2762" spans="1:10" x14ac:dyDescent="0.3">
      <c r="A2762" t="s">
        <v>2893</v>
      </c>
      <c r="B2762" t="s">
        <v>164</v>
      </c>
      <c r="C2762" t="str">
        <f>_xlfn.XLOOKUP(B2762,
[1]sales_teams!$A$2:$A$100,
[1]sales_teams!$B$2:$B$100)</f>
        <v>Cara Losch</v>
      </c>
      <c r="D2762" t="str">
        <f>_xlfn.XLOOKUP($B2762,sales_teams!$A$2:$A$36,sales_teams!C$2:C$36)</f>
        <v>East</v>
      </c>
      <c r="E2762" t="s">
        <v>18</v>
      </c>
      <c r="F2762" t="s">
        <v>410</v>
      </c>
      <c r="G2762" t="s">
        <v>46</v>
      </c>
      <c r="H2762" s="1">
        <v>42851</v>
      </c>
      <c r="I2762" s="1">
        <v>42951</v>
      </c>
      <c r="J2762">
        <v>0</v>
      </c>
    </row>
    <row r="2763" spans="1:10" x14ac:dyDescent="0.3">
      <c r="A2763" t="s">
        <v>2894</v>
      </c>
      <c r="B2763" t="s">
        <v>64</v>
      </c>
      <c r="C2763" t="str">
        <f>_xlfn.XLOOKUP(B2763,
[1]sales_teams!$A$2:$A$100,
[1]sales_teams!$B$2:$B$100)</f>
        <v>Rocco Neubert</v>
      </c>
      <c r="D2763" t="str">
        <f>_xlfn.XLOOKUP($B2763,sales_teams!$A$2:$A$36,sales_teams!C$2:C$36)</f>
        <v>East</v>
      </c>
      <c r="E2763" t="s">
        <v>39</v>
      </c>
      <c r="G2763" t="s">
        <v>40</v>
      </c>
      <c r="H2763" s="1">
        <v>42851</v>
      </c>
    </row>
    <row r="2764" spans="1:10" x14ac:dyDescent="0.3">
      <c r="A2764" t="s">
        <v>2895</v>
      </c>
      <c r="B2764" t="s">
        <v>14</v>
      </c>
      <c r="C2764" t="str">
        <f>_xlfn.XLOOKUP(B2764,
[1]sales_teams!$A$2:$A$100,
[1]sales_teams!$B$2:$B$100)</f>
        <v>Melvin Marxen</v>
      </c>
      <c r="D2764" t="str">
        <f>_xlfn.XLOOKUP($B2764,sales_teams!$A$2:$A$36,sales_teams!C$2:C$36)</f>
        <v>Central</v>
      </c>
      <c r="E2764" t="s">
        <v>10</v>
      </c>
      <c r="F2764" t="s">
        <v>213</v>
      </c>
      <c r="G2764" t="s">
        <v>46</v>
      </c>
      <c r="H2764" s="1">
        <v>42851</v>
      </c>
      <c r="I2764" s="1">
        <v>42956</v>
      </c>
      <c r="J2764">
        <v>0</v>
      </c>
    </row>
    <row r="2765" spans="1:10" x14ac:dyDescent="0.3">
      <c r="A2765" t="s">
        <v>2896</v>
      </c>
      <c r="B2765" t="s">
        <v>14</v>
      </c>
      <c r="C2765" t="str">
        <f>_xlfn.XLOOKUP(B2765,
[1]sales_teams!$A$2:$A$100,
[1]sales_teams!$B$2:$B$100)</f>
        <v>Melvin Marxen</v>
      </c>
      <c r="D2765" t="str">
        <f>_xlfn.XLOOKUP($B2765,sales_teams!$A$2:$A$36,sales_teams!C$2:C$36)</f>
        <v>Central</v>
      </c>
      <c r="E2765" t="s">
        <v>10</v>
      </c>
      <c r="F2765" t="s">
        <v>126</v>
      </c>
      <c r="G2765" t="s">
        <v>12</v>
      </c>
      <c r="H2765" s="1">
        <v>42851</v>
      </c>
      <c r="I2765" s="1">
        <v>42866</v>
      </c>
      <c r="J2765">
        <v>1055</v>
      </c>
    </row>
    <row r="2766" spans="1:10" x14ac:dyDescent="0.3">
      <c r="A2766" t="s">
        <v>2897</v>
      </c>
      <c r="B2766" t="s">
        <v>67</v>
      </c>
      <c r="C2766" t="str">
        <f>_xlfn.XLOOKUP(B2766,
[1]sales_teams!$A$2:$A$100,
[1]sales_teams!$B$2:$B$100)</f>
        <v>Celia Rouche</v>
      </c>
      <c r="D2766" t="str">
        <f>_xlfn.XLOOKUP($B2766,sales_teams!$A$2:$A$36,sales_teams!C$2:C$36)</f>
        <v>West</v>
      </c>
      <c r="E2766" t="s">
        <v>18</v>
      </c>
      <c r="F2766" t="s">
        <v>194</v>
      </c>
      <c r="G2766" t="s">
        <v>12</v>
      </c>
      <c r="H2766" s="1">
        <v>42851</v>
      </c>
      <c r="I2766" s="1">
        <v>42853</v>
      </c>
      <c r="J2766">
        <v>43</v>
      </c>
    </row>
    <row r="2767" spans="1:10" x14ac:dyDescent="0.3">
      <c r="A2767" t="s">
        <v>2898</v>
      </c>
      <c r="B2767" t="s">
        <v>38</v>
      </c>
      <c r="C2767" t="str">
        <f>_xlfn.XLOOKUP(B2767,
[1]sales_teams!$A$2:$A$100,
[1]sales_teams!$B$2:$B$100)</f>
        <v>Summer Sewald</v>
      </c>
      <c r="D2767" t="str">
        <f>_xlfn.XLOOKUP($B2767,sales_teams!$A$2:$A$36,sales_teams!C$2:C$36)</f>
        <v>West</v>
      </c>
      <c r="E2767" t="s">
        <v>20</v>
      </c>
      <c r="F2767" t="s">
        <v>315</v>
      </c>
      <c r="G2767" t="s">
        <v>46</v>
      </c>
      <c r="H2767" s="1">
        <v>42851</v>
      </c>
      <c r="I2767" s="1">
        <v>42859</v>
      </c>
      <c r="J2767">
        <v>0</v>
      </c>
    </row>
    <row r="2768" spans="1:10" x14ac:dyDescent="0.3">
      <c r="A2768" t="s">
        <v>2899</v>
      </c>
      <c r="B2768" t="s">
        <v>38</v>
      </c>
      <c r="C2768" t="str">
        <f>_xlfn.XLOOKUP(B2768,
[1]sales_teams!$A$2:$A$100,
[1]sales_teams!$B$2:$B$100)</f>
        <v>Summer Sewald</v>
      </c>
      <c r="D2768" t="str">
        <f>_xlfn.XLOOKUP($B2768,sales_teams!$A$2:$A$36,sales_teams!C$2:C$36)</f>
        <v>West</v>
      </c>
      <c r="E2768" t="s">
        <v>18</v>
      </c>
      <c r="F2768" t="s">
        <v>122</v>
      </c>
      <c r="G2768" t="s">
        <v>12</v>
      </c>
      <c r="H2768" s="1">
        <v>42851</v>
      </c>
      <c r="I2768" s="1">
        <v>42853</v>
      </c>
      <c r="J2768">
        <v>49</v>
      </c>
    </row>
    <row r="2769" spans="1:10" x14ac:dyDescent="0.3">
      <c r="A2769" t="s">
        <v>2900</v>
      </c>
      <c r="B2769" t="s">
        <v>78</v>
      </c>
      <c r="C2769" t="str">
        <f>_xlfn.XLOOKUP(B2769,
[1]sales_teams!$A$2:$A$100,
[1]sales_teams!$B$2:$B$100)</f>
        <v>Summer Sewald</v>
      </c>
      <c r="D2769" t="str">
        <f>_xlfn.XLOOKUP($B2769,sales_teams!$A$2:$A$36,sales_teams!C$2:C$36)</f>
        <v>West</v>
      </c>
      <c r="E2769" t="s">
        <v>10</v>
      </c>
      <c r="F2769" t="s">
        <v>157</v>
      </c>
      <c r="G2769" t="s">
        <v>46</v>
      </c>
      <c r="H2769" s="1">
        <v>42851</v>
      </c>
      <c r="I2769" s="1">
        <v>42853</v>
      </c>
      <c r="J2769">
        <v>0</v>
      </c>
    </row>
    <row r="2770" spans="1:10" x14ac:dyDescent="0.3">
      <c r="A2770" t="s">
        <v>2901</v>
      </c>
      <c r="B2770" t="s">
        <v>78</v>
      </c>
      <c r="C2770" t="str">
        <f>_xlfn.XLOOKUP(B2770,
[1]sales_teams!$A$2:$A$100,
[1]sales_teams!$B$2:$B$100)</f>
        <v>Summer Sewald</v>
      </c>
      <c r="D2770" t="str">
        <f>_xlfn.XLOOKUP($B2770,sales_teams!$A$2:$A$36,sales_teams!C$2:C$36)</f>
        <v>West</v>
      </c>
      <c r="E2770" t="s">
        <v>15</v>
      </c>
      <c r="F2770" t="s">
        <v>159</v>
      </c>
      <c r="G2770" t="s">
        <v>46</v>
      </c>
      <c r="H2770" s="1">
        <v>42851</v>
      </c>
      <c r="I2770" s="1">
        <v>42853</v>
      </c>
      <c r="J2770">
        <v>0</v>
      </c>
    </row>
    <row r="2771" spans="1:10" x14ac:dyDescent="0.3">
      <c r="A2771" t="s">
        <v>2902</v>
      </c>
      <c r="B2771" t="s">
        <v>95</v>
      </c>
      <c r="C2771" t="str">
        <f>_xlfn.XLOOKUP(B2771,
[1]sales_teams!$A$2:$A$100,
[1]sales_teams!$B$2:$B$100)</f>
        <v>Summer Sewald</v>
      </c>
      <c r="D2771" t="str">
        <f>_xlfn.XLOOKUP($B2771,sales_teams!$A$2:$A$36,sales_teams!C$2:C$36)</f>
        <v>West</v>
      </c>
      <c r="E2771" t="s">
        <v>15</v>
      </c>
      <c r="F2771" t="s">
        <v>86</v>
      </c>
      <c r="G2771" t="s">
        <v>12</v>
      </c>
      <c r="H2771" s="1">
        <v>42851</v>
      </c>
      <c r="I2771" s="1">
        <v>42955</v>
      </c>
      <c r="J2771">
        <v>4901</v>
      </c>
    </row>
    <row r="2772" spans="1:10" x14ac:dyDescent="0.3">
      <c r="A2772" t="s">
        <v>2903</v>
      </c>
      <c r="B2772" t="s">
        <v>133</v>
      </c>
      <c r="C2772" t="str">
        <f>_xlfn.XLOOKUP(B2772,
[1]sales_teams!$A$2:$A$100,
[1]sales_teams!$B$2:$B$100)</f>
        <v>Dustin Brinkmann</v>
      </c>
      <c r="D2772" t="str">
        <f>_xlfn.XLOOKUP($B2772,sales_teams!$A$2:$A$36,sales_teams!C$2:C$36)</f>
        <v>Central</v>
      </c>
      <c r="E2772" t="s">
        <v>20</v>
      </c>
      <c r="F2772" t="s">
        <v>111</v>
      </c>
      <c r="G2772" t="s">
        <v>12</v>
      </c>
      <c r="H2772" s="1">
        <v>42851</v>
      </c>
      <c r="I2772" s="1">
        <v>42852</v>
      </c>
      <c r="J2772">
        <v>517</v>
      </c>
    </row>
    <row r="2773" spans="1:10" x14ac:dyDescent="0.3">
      <c r="A2773" t="s">
        <v>2904</v>
      </c>
      <c r="B2773" t="s">
        <v>116</v>
      </c>
      <c r="C2773" t="str">
        <f>_xlfn.XLOOKUP(B2773,
[1]sales_teams!$A$2:$A$100,
[1]sales_teams!$B$2:$B$100)</f>
        <v>Melvin Marxen</v>
      </c>
      <c r="D2773" t="str">
        <f>_xlfn.XLOOKUP($B2773,sales_teams!$A$2:$A$36,sales_teams!C$2:C$36)</f>
        <v>Central</v>
      </c>
      <c r="E2773" t="s">
        <v>10</v>
      </c>
      <c r="F2773" t="s">
        <v>135</v>
      </c>
      <c r="G2773" t="s">
        <v>12</v>
      </c>
      <c r="H2773" s="1">
        <v>42851</v>
      </c>
      <c r="I2773" s="1">
        <v>42899</v>
      </c>
      <c r="J2773">
        <v>1105</v>
      </c>
    </row>
    <row r="2774" spans="1:10" x14ac:dyDescent="0.3">
      <c r="A2774" t="s">
        <v>2905</v>
      </c>
      <c r="B2774" t="s">
        <v>51</v>
      </c>
      <c r="C2774" t="str">
        <f>_xlfn.XLOOKUP(B2774,
[1]sales_teams!$A$2:$A$100,
[1]sales_teams!$B$2:$B$100)</f>
        <v>Summer Sewald</v>
      </c>
      <c r="D2774" t="str">
        <f>_xlfn.XLOOKUP($B2774,sales_teams!$A$2:$A$36,sales_teams!C$2:C$36)</f>
        <v>West</v>
      </c>
      <c r="E2774" t="s">
        <v>20</v>
      </c>
      <c r="F2774" t="s">
        <v>157</v>
      </c>
      <c r="G2774" t="s">
        <v>12</v>
      </c>
      <c r="H2774" s="1">
        <v>42851</v>
      </c>
      <c r="I2774" s="1">
        <v>42865</v>
      </c>
      <c r="J2774">
        <v>556</v>
      </c>
    </row>
    <row r="2775" spans="1:10" x14ac:dyDescent="0.3">
      <c r="A2775" t="s">
        <v>2906</v>
      </c>
      <c r="B2775" t="s">
        <v>9</v>
      </c>
      <c r="C2775" t="str">
        <f>_xlfn.XLOOKUP(B2775,
[1]sales_teams!$A$2:$A$100,
[1]sales_teams!$B$2:$B$100)</f>
        <v>Dustin Brinkmann</v>
      </c>
      <c r="D2775" t="str">
        <f>_xlfn.XLOOKUP($B2775,sales_teams!$A$2:$A$36,sales_teams!C$2:C$36)</f>
        <v>Central</v>
      </c>
      <c r="E2775" t="s">
        <v>39</v>
      </c>
      <c r="F2775" t="s">
        <v>62</v>
      </c>
      <c r="G2775" t="s">
        <v>12</v>
      </c>
      <c r="H2775" s="1">
        <v>42851</v>
      </c>
      <c r="I2775" s="1">
        <v>42963</v>
      </c>
      <c r="J2775">
        <v>3025</v>
      </c>
    </row>
    <row r="2776" spans="1:10" x14ac:dyDescent="0.3">
      <c r="A2776" t="s">
        <v>2907</v>
      </c>
      <c r="B2776" t="s">
        <v>35</v>
      </c>
      <c r="C2776" t="str">
        <f>_xlfn.XLOOKUP(B2776,
[1]sales_teams!$A$2:$A$100,
[1]sales_teams!$B$2:$B$100)</f>
        <v>Melvin Marxen</v>
      </c>
      <c r="D2776" t="str">
        <f>_xlfn.XLOOKUP($B2776,sales_teams!$A$2:$A$36,sales_teams!C$2:C$36)</f>
        <v>Central</v>
      </c>
      <c r="E2776" t="s">
        <v>18</v>
      </c>
      <c r="F2776" t="s">
        <v>218</v>
      </c>
      <c r="G2776" t="s">
        <v>12</v>
      </c>
      <c r="H2776" s="1">
        <v>42851</v>
      </c>
      <c r="I2776" s="1">
        <v>42891</v>
      </c>
      <c r="J2776">
        <v>54</v>
      </c>
    </row>
    <row r="2777" spans="1:10" x14ac:dyDescent="0.3">
      <c r="A2777" t="s">
        <v>2908</v>
      </c>
      <c r="B2777" t="s">
        <v>57</v>
      </c>
      <c r="C2777" t="str">
        <f>_xlfn.XLOOKUP(B2777,
[1]sales_teams!$A$2:$A$100,
[1]sales_teams!$B$2:$B$100)</f>
        <v>Celia Rouche</v>
      </c>
      <c r="D2777" t="str">
        <f>_xlfn.XLOOKUP($B2777,sales_teams!$A$2:$A$36,sales_teams!C$2:C$36)</f>
        <v>West</v>
      </c>
      <c r="E2777" t="s">
        <v>18</v>
      </c>
      <c r="F2777" t="s">
        <v>218</v>
      </c>
      <c r="G2777" t="s">
        <v>12</v>
      </c>
      <c r="H2777" s="1">
        <v>42851</v>
      </c>
      <c r="I2777" s="1">
        <v>42853</v>
      </c>
      <c r="J2777">
        <v>53</v>
      </c>
    </row>
    <row r="2778" spans="1:10" x14ac:dyDescent="0.3">
      <c r="A2778" t="s">
        <v>2909</v>
      </c>
      <c r="B2778" t="s">
        <v>29</v>
      </c>
      <c r="C2778" t="str">
        <f>_xlfn.XLOOKUP(B2778,
[1]sales_teams!$A$2:$A$100,
[1]sales_teams!$B$2:$B$100)</f>
        <v>Celia Rouche</v>
      </c>
      <c r="D2778" t="str">
        <f>_xlfn.XLOOKUP($B2778,sales_teams!$A$2:$A$36,sales_teams!C$2:C$36)</f>
        <v>West</v>
      </c>
      <c r="E2778" t="s">
        <v>15</v>
      </c>
      <c r="F2778" t="s">
        <v>555</v>
      </c>
      <c r="G2778" t="s">
        <v>12</v>
      </c>
      <c r="H2778" s="1">
        <v>42851</v>
      </c>
      <c r="I2778" s="1">
        <v>42852</v>
      </c>
      <c r="J2778">
        <v>4735</v>
      </c>
    </row>
    <row r="2779" spans="1:10" x14ac:dyDescent="0.3">
      <c r="A2779" t="s">
        <v>2910</v>
      </c>
      <c r="B2779" t="s">
        <v>23</v>
      </c>
      <c r="C2779" t="str">
        <f>_xlfn.XLOOKUP(B2779,
[1]sales_teams!$A$2:$A$100,
[1]sales_teams!$B$2:$B$100)</f>
        <v>Summer Sewald</v>
      </c>
      <c r="D2779" t="str">
        <f>_xlfn.XLOOKUP($B2779,sales_teams!$A$2:$A$36,sales_teams!C$2:C$36)</f>
        <v>West</v>
      </c>
      <c r="E2779" t="s">
        <v>20</v>
      </c>
      <c r="G2779" t="s">
        <v>40</v>
      </c>
      <c r="H2779" s="1">
        <v>42851</v>
      </c>
    </row>
    <row r="2780" spans="1:10" x14ac:dyDescent="0.3">
      <c r="A2780" t="s">
        <v>2911</v>
      </c>
      <c r="B2780" t="s">
        <v>139</v>
      </c>
      <c r="C2780" t="str">
        <f>_xlfn.XLOOKUP(B2780,
[1]sales_teams!$A$2:$A$100,
[1]sales_teams!$B$2:$B$100)</f>
        <v>Rocco Neubert</v>
      </c>
      <c r="D2780" t="str">
        <f>_xlfn.XLOOKUP($B2780,sales_teams!$A$2:$A$36,sales_teams!C$2:C$36)</f>
        <v>East</v>
      </c>
      <c r="E2780" t="s">
        <v>20</v>
      </c>
      <c r="F2780" t="s">
        <v>199</v>
      </c>
      <c r="G2780" t="s">
        <v>12</v>
      </c>
      <c r="H2780" s="1">
        <v>42852</v>
      </c>
      <c r="I2780" s="1">
        <v>42854</v>
      </c>
      <c r="J2780">
        <v>584</v>
      </c>
    </row>
    <row r="2781" spans="1:10" x14ac:dyDescent="0.3">
      <c r="A2781" t="s">
        <v>2912</v>
      </c>
      <c r="B2781" t="s">
        <v>118</v>
      </c>
      <c r="C2781" t="str">
        <f>_xlfn.XLOOKUP(B2781,
[1]sales_teams!$A$2:$A$100,
[1]sales_teams!$B$2:$B$100)</f>
        <v>Rocco Neubert</v>
      </c>
      <c r="D2781" t="str">
        <f>_xlfn.XLOOKUP($B2781,sales_teams!$A$2:$A$36,sales_teams!C$2:C$36)</f>
        <v>East</v>
      </c>
      <c r="E2781" t="s">
        <v>15</v>
      </c>
      <c r="F2781" t="s">
        <v>189</v>
      </c>
      <c r="G2781" t="s">
        <v>46</v>
      </c>
      <c r="H2781" s="1">
        <v>42852</v>
      </c>
      <c r="I2781" s="1">
        <v>42867</v>
      </c>
      <c r="J2781">
        <v>0</v>
      </c>
    </row>
    <row r="2782" spans="1:10" x14ac:dyDescent="0.3">
      <c r="A2782" t="s">
        <v>2913</v>
      </c>
      <c r="B2782" t="s">
        <v>64</v>
      </c>
      <c r="C2782" t="str">
        <f>_xlfn.XLOOKUP(B2782,
[1]sales_teams!$A$2:$A$100,
[1]sales_teams!$B$2:$B$100)</f>
        <v>Rocco Neubert</v>
      </c>
      <c r="D2782" t="str">
        <f>_xlfn.XLOOKUP($B2782,sales_teams!$A$2:$A$36,sales_teams!C$2:C$36)</f>
        <v>East</v>
      </c>
      <c r="E2782" t="s">
        <v>48</v>
      </c>
      <c r="G2782" t="s">
        <v>40</v>
      </c>
      <c r="H2782" s="1">
        <v>42852</v>
      </c>
    </row>
    <row r="2783" spans="1:10" x14ac:dyDescent="0.3">
      <c r="A2783" t="s">
        <v>2914</v>
      </c>
      <c r="B2783" t="s">
        <v>64</v>
      </c>
      <c r="C2783" t="str">
        <f>_xlfn.XLOOKUP(B2783,
[1]sales_teams!$A$2:$A$100,
[1]sales_teams!$B$2:$B$100)</f>
        <v>Rocco Neubert</v>
      </c>
      <c r="D2783" t="str">
        <f>_xlfn.XLOOKUP($B2783,sales_teams!$A$2:$A$36,sales_teams!C$2:C$36)</f>
        <v>East</v>
      </c>
      <c r="E2783" t="s">
        <v>15</v>
      </c>
      <c r="F2783" t="s">
        <v>199</v>
      </c>
      <c r="G2783" t="s">
        <v>12</v>
      </c>
      <c r="H2783" s="1">
        <v>42852</v>
      </c>
      <c r="I2783" s="1">
        <v>42853</v>
      </c>
      <c r="J2783">
        <v>5676</v>
      </c>
    </row>
    <row r="2784" spans="1:10" x14ac:dyDescent="0.3">
      <c r="A2784" t="s">
        <v>2915</v>
      </c>
      <c r="B2784" t="s">
        <v>14</v>
      </c>
      <c r="C2784" t="str">
        <f>_xlfn.XLOOKUP(B2784,
[1]sales_teams!$A$2:$A$100,
[1]sales_teams!$B$2:$B$100)</f>
        <v>Melvin Marxen</v>
      </c>
      <c r="D2784" t="str">
        <f>_xlfn.XLOOKUP($B2784,sales_teams!$A$2:$A$36,sales_teams!C$2:C$36)</f>
        <v>Central</v>
      </c>
      <c r="E2784" t="s">
        <v>20</v>
      </c>
      <c r="F2784" t="s">
        <v>113</v>
      </c>
      <c r="G2784" t="s">
        <v>46</v>
      </c>
      <c r="H2784" s="1">
        <v>42852</v>
      </c>
      <c r="I2784" s="1">
        <v>42854</v>
      </c>
      <c r="J2784">
        <v>0</v>
      </c>
    </row>
    <row r="2785" spans="1:10" x14ac:dyDescent="0.3">
      <c r="A2785" t="s">
        <v>2916</v>
      </c>
      <c r="B2785" t="s">
        <v>14</v>
      </c>
      <c r="C2785" t="str">
        <f>_xlfn.XLOOKUP(B2785,
[1]sales_teams!$A$2:$A$100,
[1]sales_teams!$B$2:$B$100)</f>
        <v>Melvin Marxen</v>
      </c>
      <c r="D2785" t="str">
        <f>_xlfn.XLOOKUP($B2785,sales_teams!$A$2:$A$36,sales_teams!C$2:C$36)</f>
        <v>Central</v>
      </c>
      <c r="E2785" t="s">
        <v>15</v>
      </c>
      <c r="F2785" t="s">
        <v>231</v>
      </c>
      <c r="G2785" t="s">
        <v>46</v>
      </c>
      <c r="H2785" s="1">
        <v>42852</v>
      </c>
      <c r="I2785" s="1">
        <v>42854</v>
      </c>
      <c r="J2785">
        <v>0</v>
      </c>
    </row>
    <row r="2786" spans="1:10" x14ac:dyDescent="0.3">
      <c r="A2786" t="s">
        <v>2917</v>
      </c>
      <c r="B2786" t="s">
        <v>14</v>
      </c>
      <c r="C2786" t="str">
        <f>_xlfn.XLOOKUP(B2786,
[1]sales_teams!$A$2:$A$100,
[1]sales_teams!$B$2:$B$100)</f>
        <v>Melvin Marxen</v>
      </c>
      <c r="D2786" t="str">
        <f>_xlfn.XLOOKUP($B2786,sales_teams!$A$2:$A$36,sales_teams!C$2:C$36)</f>
        <v>Central</v>
      </c>
      <c r="E2786" t="s">
        <v>15</v>
      </c>
      <c r="F2786" t="s">
        <v>129</v>
      </c>
      <c r="G2786" t="s">
        <v>12</v>
      </c>
      <c r="H2786" s="1">
        <v>42852</v>
      </c>
      <c r="I2786" s="1">
        <v>42861</v>
      </c>
      <c r="J2786">
        <v>4727</v>
      </c>
    </row>
    <row r="2787" spans="1:10" x14ac:dyDescent="0.3">
      <c r="A2787" t="s">
        <v>2918</v>
      </c>
      <c r="B2787" t="s">
        <v>105</v>
      </c>
      <c r="C2787" t="str">
        <f>_xlfn.XLOOKUP(B2787,
[1]sales_teams!$A$2:$A$100,
[1]sales_teams!$B$2:$B$100)</f>
        <v>Cara Losch</v>
      </c>
      <c r="D2787" t="str">
        <f>_xlfn.XLOOKUP($B2787,sales_teams!$A$2:$A$36,sales_teams!C$2:C$36)</f>
        <v>East</v>
      </c>
      <c r="E2787" t="s">
        <v>48</v>
      </c>
      <c r="F2787" t="s">
        <v>237</v>
      </c>
      <c r="G2787" t="s">
        <v>46</v>
      </c>
      <c r="H2787" s="1">
        <v>42852</v>
      </c>
      <c r="I2787" s="1">
        <v>42958</v>
      </c>
      <c r="J2787">
        <v>0</v>
      </c>
    </row>
    <row r="2788" spans="1:10" x14ac:dyDescent="0.3">
      <c r="A2788" t="s">
        <v>2919</v>
      </c>
      <c r="B2788" t="s">
        <v>44</v>
      </c>
      <c r="C2788" t="str">
        <f>_xlfn.XLOOKUP(B2788,
[1]sales_teams!$A$2:$A$100,
[1]sales_teams!$B$2:$B$100)</f>
        <v>Melvin Marxen</v>
      </c>
      <c r="D2788" t="str">
        <f>_xlfn.XLOOKUP($B2788,sales_teams!$A$2:$A$36,sales_teams!C$2:C$36)</f>
        <v>Central</v>
      </c>
      <c r="E2788" t="s">
        <v>10</v>
      </c>
      <c r="F2788" t="s">
        <v>91</v>
      </c>
      <c r="G2788" t="s">
        <v>12</v>
      </c>
      <c r="H2788" s="1">
        <v>42852</v>
      </c>
      <c r="I2788" s="1">
        <v>42948</v>
      </c>
      <c r="J2788">
        <v>821</v>
      </c>
    </row>
    <row r="2789" spans="1:10" x14ac:dyDescent="0.3">
      <c r="A2789" t="s">
        <v>2920</v>
      </c>
      <c r="B2789" t="s">
        <v>38</v>
      </c>
      <c r="C2789" t="str">
        <f>_xlfn.XLOOKUP(B2789,
[1]sales_teams!$A$2:$A$100,
[1]sales_teams!$B$2:$B$100)</f>
        <v>Summer Sewald</v>
      </c>
      <c r="D2789" t="str">
        <f>_xlfn.XLOOKUP($B2789,sales_teams!$A$2:$A$36,sales_teams!C$2:C$36)</f>
        <v>West</v>
      </c>
      <c r="E2789" t="s">
        <v>10</v>
      </c>
      <c r="F2789" t="s">
        <v>122</v>
      </c>
      <c r="G2789" t="s">
        <v>46</v>
      </c>
      <c r="H2789" s="1">
        <v>42852</v>
      </c>
      <c r="I2789" s="1">
        <v>42872</v>
      </c>
      <c r="J2789">
        <v>0</v>
      </c>
    </row>
    <row r="2790" spans="1:10" x14ac:dyDescent="0.3">
      <c r="A2790" t="s">
        <v>2921</v>
      </c>
      <c r="B2790" t="s">
        <v>133</v>
      </c>
      <c r="C2790" t="str">
        <f>_xlfn.XLOOKUP(B2790,
[1]sales_teams!$A$2:$A$100,
[1]sales_teams!$B$2:$B$100)</f>
        <v>Dustin Brinkmann</v>
      </c>
      <c r="D2790" t="str">
        <f>_xlfn.XLOOKUP($B2790,sales_teams!$A$2:$A$36,sales_teams!C$2:C$36)</f>
        <v>Central</v>
      </c>
      <c r="E2790" t="s">
        <v>10</v>
      </c>
      <c r="F2790" t="s">
        <v>197</v>
      </c>
      <c r="G2790" t="s">
        <v>12</v>
      </c>
      <c r="H2790" s="1">
        <v>42852</v>
      </c>
      <c r="I2790" s="1">
        <v>42954</v>
      </c>
      <c r="J2790">
        <v>999</v>
      </c>
    </row>
    <row r="2791" spans="1:10" x14ac:dyDescent="0.3">
      <c r="A2791" t="s">
        <v>2922</v>
      </c>
      <c r="B2791" t="s">
        <v>133</v>
      </c>
      <c r="C2791" t="str">
        <f>_xlfn.XLOOKUP(B2791,
[1]sales_teams!$A$2:$A$100,
[1]sales_teams!$B$2:$B$100)</f>
        <v>Dustin Brinkmann</v>
      </c>
      <c r="D2791" t="str">
        <f>_xlfn.XLOOKUP($B2791,sales_teams!$A$2:$A$36,sales_teams!C$2:C$36)</f>
        <v>Central</v>
      </c>
      <c r="E2791" t="s">
        <v>18</v>
      </c>
      <c r="F2791" t="s">
        <v>91</v>
      </c>
      <c r="G2791" t="s">
        <v>12</v>
      </c>
      <c r="H2791" s="1">
        <v>42852</v>
      </c>
      <c r="I2791" s="1">
        <v>42952</v>
      </c>
      <c r="J2791">
        <v>54</v>
      </c>
    </row>
    <row r="2792" spans="1:10" x14ac:dyDescent="0.3">
      <c r="A2792" t="s">
        <v>2923</v>
      </c>
      <c r="B2792" t="s">
        <v>116</v>
      </c>
      <c r="C2792" t="str">
        <f>_xlfn.XLOOKUP(B2792,
[1]sales_teams!$A$2:$A$100,
[1]sales_teams!$B$2:$B$100)</f>
        <v>Melvin Marxen</v>
      </c>
      <c r="D2792" t="str">
        <f>_xlfn.XLOOKUP($B2792,sales_teams!$A$2:$A$36,sales_teams!C$2:C$36)</f>
        <v>Central</v>
      </c>
      <c r="E2792" t="s">
        <v>20</v>
      </c>
      <c r="F2792" t="s">
        <v>120</v>
      </c>
      <c r="G2792" t="s">
        <v>46</v>
      </c>
      <c r="H2792" s="1">
        <v>42852</v>
      </c>
      <c r="I2792" s="1">
        <v>42953</v>
      </c>
      <c r="J2792">
        <v>0</v>
      </c>
    </row>
    <row r="2793" spans="1:10" x14ac:dyDescent="0.3">
      <c r="A2793" t="s">
        <v>2924</v>
      </c>
      <c r="B2793" t="s">
        <v>35</v>
      </c>
      <c r="C2793" t="str">
        <f>_xlfn.XLOOKUP(B2793,
[1]sales_teams!$A$2:$A$100,
[1]sales_teams!$B$2:$B$100)</f>
        <v>Melvin Marxen</v>
      </c>
      <c r="D2793" t="str">
        <f>_xlfn.XLOOKUP($B2793,sales_teams!$A$2:$A$36,sales_teams!C$2:C$36)</f>
        <v>Central</v>
      </c>
      <c r="E2793" t="s">
        <v>39</v>
      </c>
      <c r="F2793" t="s">
        <v>109</v>
      </c>
      <c r="G2793" t="s">
        <v>12</v>
      </c>
      <c r="H2793" s="1">
        <v>42852</v>
      </c>
      <c r="I2793" s="1">
        <v>42865</v>
      </c>
      <c r="J2793">
        <v>3397</v>
      </c>
    </row>
    <row r="2794" spans="1:10" x14ac:dyDescent="0.3">
      <c r="A2794" t="s">
        <v>2925</v>
      </c>
      <c r="B2794" t="s">
        <v>88</v>
      </c>
      <c r="C2794" t="str">
        <f>_xlfn.XLOOKUP(B2794,
[1]sales_teams!$A$2:$A$100,
[1]sales_teams!$B$2:$B$100)</f>
        <v>Cara Losch</v>
      </c>
      <c r="D2794" t="str">
        <f>_xlfn.XLOOKUP($B2794,sales_teams!$A$2:$A$36,sales_teams!C$2:C$36)</f>
        <v>East</v>
      </c>
      <c r="E2794" t="s">
        <v>20</v>
      </c>
      <c r="F2794" t="s">
        <v>143</v>
      </c>
      <c r="G2794" t="s">
        <v>12</v>
      </c>
      <c r="H2794" s="1">
        <v>42852</v>
      </c>
      <c r="I2794" s="1">
        <v>42870</v>
      </c>
      <c r="J2794">
        <v>574</v>
      </c>
    </row>
    <row r="2795" spans="1:10" x14ac:dyDescent="0.3">
      <c r="A2795" t="s">
        <v>2926</v>
      </c>
      <c r="B2795" t="s">
        <v>61</v>
      </c>
      <c r="C2795" t="str">
        <f>_xlfn.XLOOKUP(B2795,
[1]sales_teams!$A$2:$A$100,
[1]sales_teams!$B$2:$B$100)</f>
        <v>Dustin Brinkmann</v>
      </c>
      <c r="D2795" t="str">
        <f>_xlfn.XLOOKUP($B2795,sales_teams!$A$2:$A$36,sales_teams!C$2:C$36)</f>
        <v>Central</v>
      </c>
      <c r="E2795" t="s">
        <v>18</v>
      </c>
      <c r="F2795" t="s">
        <v>318</v>
      </c>
      <c r="G2795" t="s">
        <v>46</v>
      </c>
      <c r="H2795" s="1">
        <v>42852</v>
      </c>
      <c r="I2795" s="1">
        <v>42864</v>
      </c>
      <c r="J2795">
        <v>0</v>
      </c>
    </row>
    <row r="2796" spans="1:10" x14ac:dyDescent="0.3">
      <c r="A2796" t="s">
        <v>2927</v>
      </c>
      <c r="B2796" t="s">
        <v>61</v>
      </c>
      <c r="C2796" t="str">
        <f>_xlfn.XLOOKUP(B2796,
[1]sales_teams!$A$2:$A$100,
[1]sales_teams!$B$2:$B$100)</f>
        <v>Dustin Brinkmann</v>
      </c>
      <c r="D2796" t="str">
        <f>_xlfn.XLOOKUP($B2796,sales_teams!$A$2:$A$36,sales_teams!C$2:C$36)</f>
        <v>Central</v>
      </c>
      <c r="E2796" t="s">
        <v>18</v>
      </c>
      <c r="F2796" t="s">
        <v>109</v>
      </c>
      <c r="G2796" t="s">
        <v>12</v>
      </c>
      <c r="H2796" s="1">
        <v>42852</v>
      </c>
      <c r="I2796" s="1">
        <v>42962</v>
      </c>
      <c r="J2796">
        <v>59</v>
      </c>
    </row>
    <row r="2797" spans="1:10" x14ac:dyDescent="0.3">
      <c r="A2797" t="s">
        <v>2928</v>
      </c>
      <c r="B2797" t="s">
        <v>61</v>
      </c>
      <c r="C2797" t="str">
        <f>_xlfn.XLOOKUP(B2797,
[1]sales_teams!$A$2:$A$100,
[1]sales_teams!$B$2:$B$100)</f>
        <v>Dustin Brinkmann</v>
      </c>
      <c r="D2797" t="str">
        <f>_xlfn.XLOOKUP($B2797,sales_teams!$A$2:$A$36,sales_teams!C$2:C$36)</f>
        <v>Central</v>
      </c>
      <c r="E2797" t="s">
        <v>18</v>
      </c>
      <c r="F2797" t="s">
        <v>62</v>
      </c>
      <c r="G2797" t="s">
        <v>12</v>
      </c>
      <c r="H2797" s="1">
        <v>42852</v>
      </c>
      <c r="I2797" s="1">
        <v>42854</v>
      </c>
      <c r="J2797">
        <v>60</v>
      </c>
    </row>
    <row r="2798" spans="1:10" x14ac:dyDescent="0.3">
      <c r="A2798" t="s">
        <v>2929</v>
      </c>
      <c r="B2798" t="s">
        <v>29</v>
      </c>
      <c r="C2798" t="str">
        <f>_xlfn.XLOOKUP(B2798,
[1]sales_teams!$A$2:$A$100,
[1]sales_teams!$B$2:$B$100)</f>
        <v>Celia Rouche</v>
      </c>
      <c r="D2798" t="str">
        <f>_xlfn.XLOOKUP($B2798,sales_teams!$A$2:$A$36,sales_teams!C$2:C$36)</f>
        <v>West</v>
      </c>
      <c r="E2798" t="s">
        <v>20</v>
      </c>
      <c r="F2798" t="s">
        <v>184</v>
      </c>
      <c r="G2798" t="s">
        <v>46</v>
      </c>
      <c r="H2798" s="1">
        <v>42852</v>
      </c>
      <c r="I2798" s="1">
        <v>42854</v>
      </c>
      <c r="J2798">
        <v>0</v>
      </c>
    </row>
    <row r="2799" spans="1:10" x14ac:dyDescent="0.3">
      <c r="A2799" t="s">
        <v>2930</v>
      </c>
      <c r="B2799" t="s">
        <v>29</v>
      </c>
      <c r="C2799" t="str">
        <f>_xlfn.XLOOKUP(B2799,
[1]sales_teams!$A$2:$A$100,
[1]sales_teams!$B$2:$B$100)</f>
        <v>Celia Rouche</v>
      </c>
      <c r="D2799" t="str">
        <f>_xlfn.XLOOKUP($B2799,sales_teams!$A$2:$A$36,sales_teams!C$2:C$36)</f>
        <v>West</v>
      </c>
      <c r="E2799" t="s">
        <v>20</v>
      </c>
      <c r="F2799" t="s">
        <v>79</v>
      </c>
      <c r="G2799" t="s">
        <v>12</v>
      </c>
      <c r="H2799" s="1">
        <v>42852</v>
      </c>
      <c r="I2799" s="1">
        <v>42870</v>
      </c>
      <c r="J2799">
        <v>573</v>
      </c>
    </row>
    <row r="2800" spans="1:10" x14ac:dyDescent="0.3">
      <c r="A2800" t="s">
        <v>2931</v>
      </c>
      <c r="B2800" t="s">
        <v>29</v>
      </c>
      <c r="C2800" t="str">
        <f>_xlfn.XLOOKUP(B2800,
[1]sales_teams!$A$2:$A$100,
[1]sales_teams!$B$2:$B$100)</f>
        <v>Celia Rouche</v>
      </c>
      <c r="D2800" t="str">
        <f>_xlfn.XLOOKUP($B2800,sales_teams!$A$2:$A$36,sales_teams!C$2:C$36)</f>
        <v>West</v>
      </c>
      <c r="E2800" t="s">
        <v>15</v>
      </c>
      <c r="F2800" t="s">
        <v>55</v>
      </c>
      <c r="G2800" t="s">
        <v>12</v>
      </c>
      <c r="H2800" s="1">
        <v>42852</v>
      </c>
      <c r="I2800" s="1">
        <v>42872</v>
      </c>
      <c r="J2800">
        <v>4406</v>
      </c>
    </row>
    <row r="2801" spans="1:10" x14ac:dyDescent="0.3">
      <c r="A2801" t="s">
        <v>2932</v>
      </c>
      <c r="B2801" t="s">
        <v>73</v>
      </c>
      <c r="C2801" t="str">
        <f>_xlfn.XLOOKUP(B2801,
[1]sales_teams!$A$2:$A$100,
[1]sales_teams!$B$2:$B$100)</f>
        <v>Cara Losch</v>
      </c>
      <c r="D2801" t="str">
        <f>_xlfn.XLOOKUP($B2801,sales_teams!$A$2:$A$36,sales_teams!C$2:C$36)</f>
        <v>East</v>
      </c>
      <c r="E2801" t="s">
        <v>10</v>
      </c>
      <c r="F2801" t="s">
        <v>215</v>
      </c>
      <c r="G2801" t="s">
        <v>12</v>
      </c>
      <c r="H2801" s="1">
        <v>42852</v>
      </c>
      <c r="I2801" s="1">
        <v>42853</v>
      </c>
      <c r="J2801">
        <v>1146</v>
      </c>
    </row>
    <row r="2802" spans="1:10" x14ac:dyDescent="0.3">
      <c r="A2802" t="s">
        <v>2933</v>
      </c>
      <c r="B2802" t="s">
        <v>102</v>
      </c>
      <c r="C2802" t="str">
        <f>_xlfn.XLOOKUP(B2802,
[1]sales_teams!$A$2:$A$100,
[1]sales_teams!$B$2:$B$100)</f>
        <v>Cara Losch</v>
      </c>
      <c r="D2802" t="str">
        <f>_xlfn.XLOOKUP($B2802,sales_teams!$A$2:$A$36,sales_teams!C$2:C$36)</f>
        <v>East</v>
      </c>
      <c r="E2802" t="s">
        <v>18</v>
      </c>
      <c r="G2802" t="s">
        <v>40</v>
      </c>
      <c r="H2802" s="1">
        <v>42852</v>
      </c>
    </row>
    <row r="2803" spans="1:10" x14ac:dyDescent="0.3">
      <c r="A2803" t="s">
        <v>2934</v>
      </c>
      <c r="B2803" t="s">
        <v>102</v>
      </c>
      <c r="C2803" t="str">
        <f>_xlfn.XLOOKUP(B2803,
[1]sales_teams!$A$2:$A$100,
[1]sales_teams!$B$2:$B$100)</f>
        <v>Cara Losch</v>
      </c>
      <c r="D2803" t="str">
        <f>_xlfn.XLOOKUP($B2803,sales_teams!$A$2:$A$36,sales_teams!C$2:C$36)</f>
        <v>East</v>
      </c>
      <c r="E2803" t="s">
        <v>20</v>
      </c>
      <c r="F2803" t="s">
        <v>179</v>
      </c>
      <c r="G2803" t="s">
        <v>12</v>
      </c>
      <c r="H2803" s="1">
        <v>42852</v>
      </c>
      <c r="I2803" s="1">
        <v>42868</v>
      </c>
      <c r="J2803">
        <v>525</v>
      </c>
    </row>
    <row r="2804" spans="1:10" x14ac:dyDescent="0.3">
      <c r="A2804" t="s">
        <v>2935</v>
      </c>
      <c r="B2804" t="s">
        <v>26</v>
      </c>
      <c r="C2804" t="str">
        <f>_xlfn.XLOOKUP(B2804,
[1]sales_teams!$A$2:$A$100,
[1]sales_teams!$B$2:$B$100)</f>
        <v>Dustin Brinkmann</v>
      </c>
      <c r="D2804" t="str">
        <f>_xlfn.XLOOKUP($B2804,sales_teams!$A$2:$A$36,sales_teams!C$2:C$36)</f>
        <v>Central</v>
      </c>
      <c r="E2804" t="s">
        <v>20</v>
      </c>
      <c r="F2804" t="s">
        <v>197</v>
      </c>
      <c r="G2804" t="s">
        <v>46</v>
      </c>
      <c r="H2804" s="1">
        <v>42853</v>
      </c>
      <c r="I2804" s="1">
        <v>42854</v>
      </c>
      <c r="J2804">
        <v>0</v>
      </c>
    </row>
    <row r="2805" spans="1:10" x14ac:dyDescent="0.3">
      <c r="A2805" t="s">
        <v>2936</v>
      </c>
      <c r="B2805" t="s">
        <v>26</v>
      </c>
      <c r="C2805" t="str">
        <f>_xlfn.XLOOKUP(B2805,
[1]sales_teams!$A$2:$A$100,
[1]sales_teams!$B$2:$B$100)</f>
        <v>Dustin Brinkmann</v>
      </c>
      <c r="D2805" t="str">
        <f>_xlfn.XLOOKUP($B2805,sales_teams!$A$2:$A$36,sales_teams!C$2:C$36)</f>
        <v>Central</v>
      </c>
      <c r="E2805" t="s">
        <v>10</v>
      </c>
      <c r="F2805" t="s">
        <v>231</v>
      </c>
      <c r="G2805" t="s">
        <v>46</v>
      </c>
      <c r="H2805" s="1">
        <v>42853</v>
      </c>
      <c r="I2805" s="1">
        <v>42984</v>
      </c>
      <c r="J2805">
        <v>0</v>
      </c>
    </row>
    <row r="2806" spans="1:10" x14ac:dyDescent="0.3">
      <c r="A2806" t="s">
        <v>2937</v>
      </c>
      <c r="B2806" t="s">
        <v>26</v>
      </c>
      <c r="C2806" t="str">
        <f>_xlfn.XLOOKUP(B2806,
[1]sales_teams!$A$2:$A$100,
[1]sales_teams!$B$2:$B$100)</f>
        <v>Dustin Brinkmann</v>
      </c>
      <c r="D2806" t="str">
        <f>_xlfn.XLOOKUP($B2806,sales_teams!$A$2:$A$36,sales_teams!C$2:C$36)</f>
        <v>Central</v>
      </c>
      <c r="E2806" t="s">
        <v>39</v>
      </c>
      <c r="F2806" t="s">
        <v>151</v>
      </c>
      <c r="G2806" t="s">
        <v>12</v>
      </c>
      <c r="H2806" s="1">
        <v>42853</v>
      </c>
      <c r="I2806" s="1">
        <v>42961</v>
      </c>
      <c r="J2806">
        <v>3334</v>
      </c>
    </row>
    <row r="2807" spans="1:10" x14ac:dyDescent="0.3">
      <c r="A2807" t="s">
        <v>2938</v>
      </c>
      <c r="B2807" t="s">
        <v>118</v>
      </c>
      <c r="C2807" t="str">
        <f>_xlfn.XLOOKUP(B2807,
[1]sales_teams!$A$2:$A$100,
[1]sales_teams!$B$2:$B$100)</f>
        <v>Rocco Neubert</v>
      </c>
      <c r="D2807" t="str">
        <f>_xlfn.XLOOKUP($B2807,sales_teams!$A$2:$A$36,sales_teams!C$2:C$36)</f>
        <v>East</v>
      </c>
      <c r="E2807" t="s">
        <v>20</v>
      </c>
      <c r="F2807" t="s">
        <v>240</v>
      </c>
      <c r="G2807" t="s">
        <v>46</v>
      </c>
      <c r="H2807" s="1">
        <v>42853</v>
      </c>
      <c r="I2807" s="1">
        <v>42867</v>
      </c>
      <c r="J2807">
        <v>0</v>
      </c>
    </row>
    <row r="2808" spans="1:10" x14ac:dyDescent="0.3">
      <c r="A2808" t="s">
        <v>2939</v>
      </c>
      <c r="B2808" t="s">
        <v>64</v>
      </c>
      <c r="C2808" t="str">
        <f>_xlfn.XLOOKUP(B2808,
[1]sales_teams!$A$2:$A$100,
[1]sales_teams!$B$2:$B$100)</f>
        <v>Rocco Neubert</v>
      </c>
      <c r="D2808" t="str">
        <f>_xlfn.XLOOKUP($B2808,sales_teams!$A$2:$A$36,sales_teams!C$2:C$36)</f>
        <v>East</v>
      </c>
      <c r="E2808" t="s">
        <v>10</v>
      </c>
      <c r="F2808" t="s">
        <v>209</v>
      </c>
      <c r="G2808" t="s">
        <v>46</v>
      </c>
      <c r="H2808" s="1">
        <v>42853</v>
      </c>
      <c r="I2808" s="1">
        <v>42855</v>
      </c>
      <c r="J2808">
        <v>0</v>
      </c>
    </row>
    <row r="2809" spans="1:10" x14ac:dyDescent="0.3">
      <c r="A2809" t="s">
        <v>2940</v>
      </c>
      <c r="B2809" t="s">
        <v>142</v>
      </c>
      <c r="C2809" t="str">
        <f>_xlfn.XLOOKUP(B2809,
[1]sales_teams!$A$2:$A$100,
[1]sales_teams!$B$2:$B$100)</f>
        <v>Rocco Neubert</v>
      </c>
      <c r="D2809" t="str">
        <f>_xlfn.XLOOKUP($B2809,sales_teams!$A$2:$A$36,sales_teams!C$2:C$36)</f>
        <v>East</v>
      </c>
      <c r="E2809" t="s">
        <v>15</v>
      </c>
      <c r="F2809" t="s">
        <v>81</v>
      </c>
      <c r="G2809" t="s">
        <v>46</v>
      </c>
      <c r="H2809" s="1">
        <v>42853</v>
      </c>
      <c r="I2809" s="1">
        <v>42854</v>
      </c>
      <c r="J2809">
        <v>0</v>
      </c>
    </row>
    <row r="2810" spans="1:10" x14ac:dyDescent="0.3">
      <c r="A2810" t="s">
        <v>2941</v>
      </c>
      <c r="B2810" t="s">
        <v>67</v>
      </c>
      <c r="C2810" t="str">
        <f>_xlfn.XLOOKUP(B2810,
[1]sales_teams!$A$2:$A$100,
[1]sales_teams!$B$2:$B$100)</f>
        <v>Celia Rouche</v>
      </c>
      <c r="D2810" t="str">
        <f>_xlfn.XLOOKUP($B2810,sales_teams!$A$2:$A$36,sales_teams!C$2:C$36)</f>
        <v>West</v>
      </c>
      <c r="E2810" t="s">
        <v>145</v>
      </c>
      <c r="F2810" t="s">
        <v>86</v>
      </c>
      <c r="G2810" t="s">
        <v>12</v>
      </c>
      <c r="H2810" s="1">
        <v>42853</v>
      </c>
      <c r="I2810" s="1">
        <v>42904</v>
      </c>
      <c r="J2810">
        <v>27385</v>
      </c>
    </row>
    <row r="2811" spans="1:10" x14ac:dyDescent="0.3">
      <c r="A2811" t="s">
        <v>2942</v>
      </c>
      <c r="B2811" t="s">
        <v>252</v>
      </c>
      <c r="C2811" t="str">
        <f>_xlfn.XLOOKUP(B2811,
[1]sales_teams!$A$2:$A$100,
[1]sales_teams!$B$2:$B$100)</f>
        <v>Melvin Marxen</v>
      </c>
      <c r="D2811" t="str">
        <f>_xlfn.XLOOKUP($B2811,sales_teams!$A$2:$A$36,sales_teams!C$2:C$36)</f>
        <v>Central</v>
      </c>
      <c r="E2811" t="s">
        <v>20</v>
      </c>
      <c r="F2811" t="s">
        <v>113</v>
      </c>
      <c r="G2811" t="s">
        <v>46</v>
      </c>
      <c r="H2811" s="1">
        <v>42853</v>
      </c>
      <c r="I2811" s="1">
        <v>42962</v>
      </c>
      <c r="J2811">
        <v>0</v>
      </c>
    </row>
    <row r="2812" spans="1:10" x14ac:dyDescent="0.3">
      <c r="A2812" t="s">
        <v>2943</v>
      </c>
      <c r="B2812" t="s">
        <v>78</v>
      </c>
      <c r="C2812" t="str">
        <f>_xlfn.XLOOKUP(B2812,
[1]sales_teams!$A$2:$A$100,
[1]sales_teams!$B$2:$B$100)</f>
        <v>Summer Sewald</v>
      </c>
      <c r="D2812" t="str">
        <f>_xlfn.XLOOKUP($B2812,sales_teams!$A$2:$A$36,sales_teams!C$2:C$36)</f>
        <v>West</v>
      </c>
      <c r="E2812" t="s">
        <v>20</v>
      </c>
      <c r="F2812" t="s">
        <v>318</v>
      </c>
      <c r="G2812" t="s">
        <v>40</v>
      </c>
      <c r="H2812" s="1">
        <v>42853</v>
      </c>
    </row>
    <row r="2813" spans="1:10" x14ac:dyDescent="0.3">
      <c r="A2813" t="s">
        <v>2944</v>
      </c>
      <c r="B2813" t="s">
        <v>32</v>
      </c>
      <c r="C2813" t="str">
        <f>_xlfn.XLOOKUP(B2813,
[1]sales_teams!$A$2:$A$100,
[1]sales_teams!$B$2:$B$100)</f>
        <v>Celia Rouche</v>
      </c>
      <c r="D2813" t="str">
        <f>_xlfn.XLOOKUP($B2813,sales_teams!$A$2:$A$36,sales_teams!C$2:C$36)</f>
        <v>West</v>
      </c>
      <c r="E2813" t="s">
        <v>10</v>
      </c>
      <c r="F2813" t="s">
        <v>184</v>
      </c>
      <c r="G2813" t="s">
        <v>46</v>
      </c>
      <c r="H2813" s="1">
        <v>42853</v>
      </c>
      <c r="I2813" s="1">
        <v>42854</v>
      </c>
      <c r="J2813">
        <v>0</v>
      </c>
    </row>
    <row r="2814" spans="1:10" x14ac:dyDescent="0.3">
      <c r="A2814" t="s">
        <v>2945</v>
      </c>
      <c r="B2814" t="s">
        <v>9</v>
      </c>
      <c r="C2814" t="str">
        <f>_xlfn.XLOOKUP(B2814,
[1]sales_teams!$A$2:$A$100,
[1]sales_teams!$B$2:$B$100)</f>
        <v>Dustin Brinkmann</v>
      </c>
      <c r="D2814" t="str">
        <f>_xlfn.XLOOKUP($B2814,sales_teams!$A$2:$A$36,sales_teams!C$2:C$36)</f>
        <v>Central</v>
      </c>
      <c r="E2814" t="s">
        <v>20</v>
      </c>
      <c r="F2814" t="s">
        <v>76</v>
      </c>
      <c r="G2814" t="s">
        <v>12</v>
      </c>
      <c r="H2814" s="1">
        <v>42853</v>
      </c>
      <c r="I2814" s="1">
        <v>42961</v>
      </c>
      <c r="J2814">
        <v>599</v>
      </c>
    </row>
    <row r="2815" spans="1:10" x14ac:dyDescent="0.3">
      <c r="A2815" t="s">
        <v>2946</v>
      </c>
      <c r="B2815" t="s">
        <v>88</v>
      </c>
      <c r="C2815" t="str">
        <f>_xlfn.XLOOKUP(B2815,
[1]sales_teams!$A$2:$A$100,
[1]sales_teams!$B$2:$B$100)</f>
        <v>Cara Losch</v>
      </c>
      <c r="D2815" t="str">
        <f>_xlfn.XLOOKUP($B2815,sales_teams!$A$2:$A$36,sales_teams!C$2:C$36)</f>
        <v>East</v>
      </c>
      <c r="E2815" t="s">
        <v>18</v>
      </c>
      <c r="F2815" t="s">
        <v>106</v>
      </c>
      <c r="G2815" t="s">
        <v>12</v>
      </c>
      <c r="H2815" s="1">
        <v>42853</v>
      </c>
      <c r="I2815" s="1">
        <v>42858</v>
      </c>
      <c r="J2815">
        <v>64</v>
      </c>
    </row>
    <row r="2816" spans="1:10" x14ac:dyDescent="0.3">
      <c r="A2816" t="s">
        <v>2947</v>
      </c>
      <c r="B2816" t="s">
        <v>29</v>
      </c>
      <c r="C2816" t="str">
        <f>_xlfn.XLOOKUP(B2816,
[1]sales_teams!$A$2:$A$100,
[1]sales_teams!$B$2:$B$100)</f>
        <v>Celia Rouche</v>
      </c>
      <c r="D2816" t="str">
        <f>_xlfn.XLOOKUP($B2816,sales_teams!$A$2:$A$36,sales_teams!C$2:C$36)</f>
        <v>West</v>
      </c>
      <c r="E2816" t="s">
        <v>48</v>
      </c>
      <c r="F2816" t="s">
        <v>209</v>
      </c>
      <c r="G2816" t="s">
        <v>40</v>
      </c>
      <c r="H2816" s="1">
        <v>42853</v>
      </c>
    </row>
    <row r="2817" spans="1:10" x14ac:dyDescent="0.3">
      <c r="A2817" t="s">
        <v>2948</v>
      </c>
      <c r="B2817" t="s">
        <v>29</v>
      </c>
      <c r="C2817" t="str">
        <f>_xlfn.XLOOKUP(B2817,
[1]sales_teams!$A$2:$A$100,
[1]sales_teams!$B$2:$B$100)</f>
        <v>Celia Rouche</v>
      </c>
      <c r="D2817" t="str">
        <f>_xlfn.XLOOKUP($B2817,sales_teams!$A$2:$A$36,sales_teams!C$2:C$36)</f>
        <v>West</v>
      </c>
      <c r="E2817" t="s">
        <v>15</v>
      </c>
      <c r="F2817" t="s">
        <v>59</v>
      </c>
      <c r="G2817" t="s">
        <v>46</v>
      </c>
      <c r="H2817" s="1">
        <v>42853</v>
      </c>
      <c r="I2817" s="1">
        <v>42861</v>
      </c>
      <c r="J2817">
        <v>0</v>
      </c>
    </row>
    <row r="2818" spans="1:10" x14ac:dyDescent="0.3">
      <c r="A2818" t="s">
        <v>2949</v>
      </c>
      <c r="B2818" t="s">
        <v>29</v>
      </c>
      <c r="C2818" t="str">
        <f>_xlfn.XLOOKUP(B2818,
[1]sales_teams!$A$2:$A$100,
[1]sales_teams!$B$2:$B$100)</f>
        <v>Celia Rouche</v>
      </c>
      <c r="D2818" t="str">
        <f>_xlfn.XLOOKUP($B2818,sales_teams!$A$2:$A$36,sales_teams!C$2:C$36)</f>
        <v>West</v>
      </c>
      <c r="E2818" t="s">
        <v>39</v>
      </c>
      <c r="F2818" t="s">
        <v>184</v>
      </c>
      <c r="G2818" t="s">
        <v>46</v>
      </c>
      <c r="H2818" s="1">
        <v>42853</v>
      </c>
      <c r="I2818" s="1">
        <v>42869</v>
      </c>
      <c r="J2818">
        <v>0</v>
      </c>
    </row>
    <row r="2819" spans="1:10" x14ac:dyDescent="0.3">
      <c r="A2819" t="s">
        <v>2950</v>
      </c>
      <c r="B2819" t="s">
        <v>73</v>
      </c>
      <c r="C2819" t="str">
        <f>_xlfn.XLOOKUP(B2819,
[1]sales_teams!$A$2:$A$100,
[1]sales_teams!$B$2:$B$100)</f>
        <v>Cara Losch</v>
      </c>
      <c r="D2819" t="str">
        <f>_xlfn.XLOOKUP($B2819,sales_teams!$A$2:$A$36,sales_teams!C$2:C$36)</f>
        <v>East</v>
      </c>
      <c r="E2819" t="s">
        <v>18</v>
      </c>
      <c r="F2819" t="s">
        <v>179</v>
      </c>
      <c r="G2819" t="s">
        <v>46</v>
      </c>
      <c r="H2819" s="1">
        <v>42853</v>
      </c>
      <c r="I2819" s="1">
        <v>42896</v>
      </c>
      <c r="J2819">
        <v>0</v>
      </c>
    </row>
    <row r="2820" spans="1:10" x14ac:dyDescent="0.3">
      <c r="A2820" t="s">
        <v>2951</v>
      </c>
      <c r="B2820" t="s">
        <v>26</v>
      </c>
      <c r="C2820" t="str">
        <f>_xlfn.XLOOKUP(B2820,
[1]sales_teams!$A$2:$A$100,
[1]sales_teams!$B$2:$B$100)</f>
        <v>Dustin Brinkmann</v>
      </c>
      <c r="D2820" t="str">
        <f>_xlfn.XLOOKUP($B2820,sales_teams!$A$2:$A$36,sales_teams!C$2:C$36)</f>
        <v>Central</v>
      </c>
      <c r="E2820" t="s">
        <v>10</v>
      </c>
      <c r="F2820" t="s">
        <v>231</v>
      </c>
      <c r="G2820" t="s">
        <v>12</v>
      </c>
      <c r="H2820" s="1">
        <v>42854</v>
      </c>
      <c r="I2820" s="1">
        <v>42870</v>
      </c>
      <c r="J2820">
        <v>918</v>
      </c>
    </row>
    <row r="2821" spans="1:10" x14ac:dyDescent="0.3">
      <c r="A2821" t="s">
        <v>2952</v>
      </c>
      <c r="B2821" t="s">
        <v>118</v>
      </c>
      <c r="C2821" t="str">
        <f>_xlfn.XLOOKUP(B2821,
[1]sales_teams!$A$2:$A$100,
[1]sales_teams!$B$2:$B$100)</f>
        <v>Rocco Neubert</v>
      </c>
      <c r="D2821" t="str">
        <f>_xlfn.XLOOKUP($B2821,sales_teams!$A$2:$A$36,sales_teams!C$2:C$36)</f>
        <v>East</v>
      </c>
      <c r="E2821" t="s">
        <v>18</v>
      </c>
      <c r="G2821" t="s">
        <v>40</v>
      </c>
      <c r="H2821" s="1">
        <v>42854</v>
      </c>
    </row>
    <row r="2822" spans="1:10" x14ac:dyDescent="0.3">
      <c r="A2822" t="s">
        <v>2953</v>
      </c>
      <c r="B2822" t="s">
        <v>64</v>
      </c>
      <c r="C2822" t="str">
        <f>_xlfn.XLOOKUP(B2822,
[1]sales_teams!$A$2:$A$100,
[1]sales_teams!$B$2:$B$100)</f>
        <v>Rocco Neubert</v>
      </c>
      <c r="D2822" t="str">
        <f>_xlfn.XLOOKUP($B2822,sales_teams!$A$2:$A$36,sales_teams!C$2:C$36)</f>
        <v>East</v>
      </c>
      <c r="E2822" t="s">
        <v>18</v>
      </c>
      <c r="F2822" t="s">
        <v>192</v>
      </c>
      <c r="G2822" t="s">
        <v>12</v>
      </c>
      <c r="H2822" s="1">
        <v>42854</v>
      </c>
      <c r="I2822" s="1">
        <v>42859</v>
      </c>
      <c r="J2822">
        <v>60</v>
      </c>
    </row>
    <row r="2823" spans="1:10" x14ac:dyDescent="0.3">
      <c r="A2823" t="s">
        <v>2954</v>
      </c>
      <c r="B2823" t="s">
        <v>142</v>
      </c>
      <c r="C2823" t="str">
        <f>_xlfn.XLOOKUP(B2823,
[1]sales_teams!$A$2:$A$100,
[1]sales_teams!$B$2:$B$100)</f>
        <v>Rocco Neubert</v>
      </c>
      <c r="D2823" t="str">
        <f>_xlfn.XLOOKUP($B2823,sales_teams!$A$2:$A$36,sales_teams!C$2:C$36)</f>
        <v>East</v>
      </c>
      <c r="E2823" t="s">
        <v>15</v>
      </c>
      <c r="F2823" t="s">
        <v>177</v>
      </c>
      <c r="G2823" t="s">
        <v>46</v>
      </c>
      <c r="H2823" s="1">
        <v>42854</v>
      </c>
      <c r="I2823" s="1">
        <v>42865</v>
      </c>
      <c r="J2823">
        <v>0</v>
      </c>
    </row>
    <row r="2824" spans="1:10" x14ac:dyDescent="0.3">
      <c r="A2824" t="s">
        <v>2955</v>
      </c>
      <c r="B2824" t="s">
        <v>142</v>
      </c>
      <c r="C2824" t="str">
        <f>_xlfn.XLOOKUP(B2824,
[1]sales_teams!$A$2:$A$100,
[1]sales_teams!$B$2:$B$100)</f>
        <v>Rocco Neubert</v>
      </c>
      <c r="D2824" t="str">
        <f>_xlfn.XLOOKUP($B2824,sales_teams!$A$2:$A$36,sales_teams!C$2:C$36)</f>
        <v>East</v>
      </c>
      <c r="E2824" t="s">
        <v>20</v>
      </c>
      <c r="F2824" t="s">
        <v>237</v>
      </c>
      <c r="G2824" t="s">
        <v>12</v>
      </c>
      <c r="H2824" s="1">
        <v>42854</v>
      </c>
      <c r="I2824" s="1">
        <v>42861</v>
      </c>
      <c r="J2824">
        <v>519</v>
      </c>
    </row>
    <row r="2825" spans="1:10" x14ac:dyDescent="0.3">
      <c r="A2825" t="s">
        <v>2956</v>
      </c>
      <c r="B2825" t="s">
        <v>67</v>
      </c>
      <c r="C2825" t="str">
        <f>_xlfn.XLOOKUP(B2825,
[1]sales_teams!$A$2:$A$100,
[1]sales_teams!$B$2:$B$100)</f>
        <v>Celia Rouche</v>
      </c>
      <c r="D2825" t="str">
        <f>_xlfn.XLOOKUP($B2825,sales_teams!$A$2:$A$36,sales_teams!C$2:C$36)</f>
        <v>West</v>
      </c>
      <c r="E2825" t="s">
        <v>20</v>
      </c>
      <c r="G2825" t="s">
        <v>40</v>
      </c>
      <c r="H2825" s="1">
        <v>42854</v>
      </c>
    </row>
    <row r="2826" spans="1:10" x14ac:dyDescent="0.3">
      <c r="A2826" t="s">
        <v>2957</v>
      </c>
      <c r="B2826" t="s">
        <v>54</v>
      </c>
      <c r="C2826" t="str">
        <f>_xlfn.XLOOKUP(B2826,
[1]sales_teams!$A$2:$A$100,
[1]sales_teams!$B$2:$B$100)</f>
        <v>Celia Rouche</v>
      </c>
      <c r="D2826" t="str">
        <f>_xlfn.XLOOKUP($B2826,sales_teams!$A$2:$A$36,sales_teams!C$2:C$36)</f>
        <v>West</v>
      </c>
      <c r="E2826" t="s">
        <v>18</v>
      </c>
      <c r="F2826" t="s">
        <v>204</v>
      </c>
      <c r="G2826" t="s">
        <v>40</v>
      </c>
      <c r="H2826" s="1">
        <v>42854</v>
      </c>
    </row>
    <row r="2827" spans="1:10" x14ac:dyDescent="0.3">
      <c r="A2827" t="s">
        <v>2958</v>
      </c>
      <c r="B2827" t="s">
        <v>38</v>
      </c>
      <c r="C2827" t="str">
        <f>_xlfn.XLOOKUP(B2827,
[1]sales_teams!$A$2:$A$100,
[1]sales_teams!$B$2:$B$100)</f>
        <v>Summer Sewald</v>
      </c>
      <c r="D2827" t="str">
        <f>_xlfn.XLOOKUP($B2827,sales_teams!$A$2:$A$36,sales_teams!C$2:C$36)</f>
        <v>West</v>
      </c>
      <c r="E2827" t="s">
        <v>48</v>
      </c>
      <c r="F2827" t="s">
        <v>59</v>
      </c>
      <c r="G2827" t="s">
        <v>12</v>
      </c>
      <c r="H2827" s="1">
        <v>42854</v>
      </c>
      <c r="I2827" s="1">
        <v>42859</v>
      </c>
      <c r="J2827">
        <v>4956</v>
      </c>
    </row>
    <row r="2828" spans="1:10" x14ac:dyDescent="0.3">
      <c r="A2828" t="s">
        <v>2959</v>
      </c>
      <c r="B2828" t="s">
        <v>95</v>
      </c>
      <c r="C2828" t="str">
        <f>_xlfn.XLOOKUP(B2828,
[1]sales_teams!$A$2:$A$100,
[1]sales_teams!$B$2:$B$100)</f>
        <v>Summer Sewald</v>
      </c>
      <c r="D2828" t="str">
        <f>_xlfn.XLOOKUP($B2828,sales_teams!$A$2:$A$36,sales_teams!C$2:C$36)</f>
        <v>West</v>
      </c>
      <c r="E2828" t="s">
        <v>39</v>
      </c>
      <c r="F2828" t="s">
        <v>170</v>
      </c>
      <c r="G2828" t="s">
        <v>40</v>
      </c>
      <c r="H2828" s="1">
        <v>42854</v>
      </c>
    </row>
    <row r="2829" spans="1:10" x14ac:dyDescent="0.3">
      <c r="A2829" t="s">
        <v>2960</v>
      </c>
      <c r="B2829" t="s">
        <v>133</v>
      </c>
      <c r="C2829" t="str">
        <f>_xlfn.XLOOKUP(B2829,
[1]sales_teams!$A$2:$A$100,
[1]sales_teams!$B$2:$B$100)</f>
        <v>Dustin Brinkmann</v>
      </c>
      <c r="D2829" t="str">
        <f>_xlfn.XLOOKUP($B2829,sales_teams!$A$2:$A$36,sales_teams!C$2:C$36)</f>
        <v>Central</v>
      </c>
      <c r="E2829" t="s">
        <v>20</v>
      </c>
      <c r="F2829" t="s">
        <v>62</v>
      </c>
      <c r="G2829" t="s">
        <v>46</v>
      </c>
      <c r="H2829" s="1">
        <v>42854</v>
      </c>
      <c r="I2829" s="1">
        <v>42872</v>
      </c>
      <c r="J2829">
        <v>0</v>
      </c>
    </row>
    <row r="2830" spans="1:10" x14ac:dyDescent="0.3">
      <c r="A2830" t="s">
        <v>2961</v>
      </c>
      <c r="B2830" t="s">
        <v>133</v>
      </c>
      <c r="C2830" t="str">
        <f>_xlfn.XLOOKUP(B2830,
[1]sales_teams!$A$2:$A$100,
[1]sales_teams!$B$2:$B$100)</f>
        <v>Dustin Brinkmann</v>
      </c>
      <c r="D2830" t="str">
        <f>_xlfn.XLOOKUP($B2830,sales_teams!$A$2:$A$36,sales_teams!C$2:C$36)</f>
        <v>Central</v>
      </c>
      <c r="E2830" t="s">
        <v>48</v>
      </c>
      <c r="F2830" t="s">
        <v>151</v>
      </c>
      <c r="G2830" t="s">
        <v>12</v>
      </c>
      <c r="H2830" s="1">
        <v>42854</v>
      </c>
      <c r="I2830" s="1">
        <v>42955</v>
      </c>
      <c r="J2830">
        <v>5913</v>
      </c>
    </row>
    <row r="2831" spans="1:10" x14ac:dyDescent="0.3">
      <c r="A2831" t="s">
        <v>2962</v>
      </c>
      <c r="B2831" t="s">
        <v>51</v>
      </c>
      <c r="C2831" t="str">
        <f>_xlfn.XLOOKUP(B2831,
[1]sales_teams!$A$2:$A$100,
[1]sales_teams!$B$2:$B$100)</f>
        <v>Summer Sewald</v>
      </c>
      <c r="D2831" t="str">
        <f>_xlfn.XLOOKUP($B2831,sales_teams!$A$2:$A$36,sales_teams!C$2:C$36)</f>
        <v>West</v>
      </c>
      <c r="E2831" t="s">
        <v>15</v>
      </c>
      <c r="F2831" t="s">
        <v>222</v>
      </c>
      <c r="G2831" t="s">
        <v>40</v>
      </c>
      <c r="H2831" s="1">
        <v>42854</v>
      </c>
    </row>
    <row r="2832" spans="1:10" x14ac:dyDescent="0.3">
      <c r="A2832" t="s">
        <v>2963</v>
      </c>
      <c r="B2832" t="s">
        <v>9</v>
      </c>
      <c r="C2832" t="str">
        <f>_xlfn.XLOOKUP(B2832,
[1]sales_teams!$A$2:$A$100,
[1]sales_teams!$B$2:$B$100)</f>
        <v>Dustin Brinkmann</v>
      </c>
      <c r="D2832" t="str">
        <f>_xlfn.XLOOKUP($B2832,sales_teams!$A$2:$A$36,sales_teams!C$2:C$36)</f>
        <v>Central</v>
      </c>
      <c r="E2832" t="s">
        <v>20</v>
      </c>
      <c r="F2832" t="s">
        <v>42</v>
      </c>
      <c r="G2832" t="s">
        <v>46</v>
      </c>
      <c r="H2832" s="1">
        <v>42854</v>
      </c>
      <c r="I2832" s="1">
        <v>42886</v>
      </c>
      <c r="J2832">
        <v>0</v>
      </c>
    </row>
    <row r="2833" spans="1:10" x14ac:dyDescent="0.3">
      <c r="A2833" t="s">
        <v>2964</v>
      </c>
      <c r="B2833" t="s">
        <v>57</v>
      </c>
      <c r="C2833" t="str">
        <f>_xlfn.XLOOKUP(B2833,
[1]sales_teams!$A$2:$A$100,
[1]sales_teams!$B$2:$B$100)</f>
        <v>Celia Rouche</v>
      </c>
      <c r="D2833" t="str">
        <f>_xlfn.XLOOKUP($B2833,sales_teams!$A$2:$A$36,sales_teams!C$2:C$36)</f>
        <v>West</v>
      </c>
      <c r="E2833" t="s">
        <v>10</v>
      </c>
      <c r="F2833" t="s">
        <v>398</v>
      </c>
      <c r="G2833" t="s">
        <v>12</v>
      </c>
      <c r="H2833" s="1">
        <v>42854</v>
      </c>
      <c r="I2833" s="1">
        <v>42968</v>
      </c>
      <c r="J2833">
        <v>1210</v>
      </c>
    </row>
    <row r="2834" spans="1:10" x14ac:dyDescent="0.3">
      <c r="A2834" t="s">
        <v>2965</v>
      </c>
      <c r="B2834" t="s">
        <v>29</v>
      </c>
      <c r="C2834" t="str">
        <f>_xlfn.XLOOKUP(B2834,
[1]sales_teams!$A$2:$A$100,
[1]sales_teams!$B$2:$B$100)</f>
        <v>Celia Rouche</v>
      </c>
      <c r="D2834" t="str">
        <f>_xlfn.XLOOKUP($B2834,sales_teams!$A$2:$A$36,sales_teams!C$2:C$36)</f>
        <v>West</v>
      </c>
      <c r="E2834" t="s">
        <v>39</v>
      </c>
      <c r="F2834" t="s">
        <v>86</v>
      </c>
      <c r="G2834" t="s">
        <v>46</v>
      </c>
      <c r="H2834" s="1">
        <v>42854</v>
      </c>
      <c r="I2834" s="1">
        <v>42855</v>
      </c>
      <c r="J2834">
        <v>0</v>
      </c>
    </row>
    <row r="2835" spans="1:10" x14ac:dyDescent="0.3">
      <c r="A2835" t="s">
        <v>2966</v>
      </c>
      <c r="B2835" t="s">
        <v>73</v>
      </c>
      <c r="C2835" t="str">
        <f>_xlfn.XLOOKUP(B2835,
[1]sales_teams!$A$2:$A$100,
[1]sales_teams!$B$2:$B$100)</f>
        <v>Cara Losch</v>
      </c>
      <c r="D2835" t="str">
        <f>_xlfn.XLOOKUP($B2835,sales_teams!$A$2:$A$36,sales_teams!C$2:C$36)</f>
        <v>East</v>
      </c>
      <c r="E2835" t="s">
        <v>10</v>
      </c>
      <c r="G2835" t="s">
        <v>40</v>
      </c>
      <c r="H2835" s="1">
        <v>42854</v>
      </c>
    </row>
    <row r="2836" spans="1:10" x14ac:dyDescent="0.3">
      <c r="A2836" t="s">
        <v>2967</v>
      </c>
      <c r="B2836" t="s">
        <v>202</v>
      </c>
      <c r="C2836" t="str">
        <f>_xlfn.XLOOKUP(B2836,
[1]sales_teams!$A$2:$A$100,
[1]sales_teams!$B$2:$B$100)</f>
        <v>Dustin Brinkmann</v>
      </c>
      <c r="D2836" t="str">
        <f>_xlfn.XLOOKUP($B2836,sales_teams!$A$2:$A$36,sales_teams!C$2:C$36)</f>
        <v>Central</v>
      </c>
      <c r="E2836" t="s">
        <v>39</v>
      </c>
      <c r="F2836" t="s">
        <v>45</v>
      </c>
      <c r="G2836" t="s">
        <v>12</v>
      </c>
      <c r="H2836" s="1">
        <v>42855</v>
      </c>
      <c r="I2836" s="1">
        <v>42957</v>
      </c>
      <c r="J2836">
        <v>3139</v>
      </c>
    </row>
    <row r="2837" spans="1:10" x14ac:dyDescent="0.3">
      <c r="A2837" t="s">
        <v>2968</v>
      </c>
      <c r="B2837" t="s">
        <v>164</v>
      </c>
      <c r="C2837" t="str">
        <f>_xlfn.XLOOKUP(B2837,
[1]sales_teams!$A$2:$A$100,
[1]sales_teams!$B$2:$B$100)</f>
        <v>Cara Losch</v>
      </c>
      <c r="D2837" t="str">
        <f>_xlfn.XLOOKUP($B2837,sales_teams!$A$2:$A$36,sales_teams!C$2:C$36)</f>
        <v>East</v>
      </c>
      <c r="E2837" t="s">
        <v>20</v>
      </c>
      <c r="F2837" t="s">
        <v>240</v>
      </c>
      <c r="G2837" t="s">
        <v>12</v>
      </c>
      <c r="H2837" s="1">
        <v>42855</v>
      </c>
      <c r="I2837" s="1">
        <v>42958</v>
      </c>
      <c r="J2837">
        <v>527</v>
      </c>
    </row>
    <row r="2838" spans="1:10" x14ac:dyDescent="0.3">
      <c r="A2838" t="s">
        <v>2969</v>
      </c>
      <c r="B2838" t="s">
        <v>64</v>
      </c>
      <c r="C2838" t="str">
        <f>_xlfn.XLOOKUP(B2838,
[1]sales_teams!$A$2:$A$100,
[1]sales_teams!$B$2:$B$100)</f>
        <v>Rocco Neubert</v>
      </c>
      <c r="D2838" t="str">
        <f>_xlfn.XLOOKUP($B2838,sales_teams!$A$2:$A$36,sales_teams!C$2:C$36)</f>
        <v>East</v>
      </c>
      <c r="E2838" t="s">
        <v>48</v>
      </c>
      <c r="G2838" t="s">
        <v>40</v>
      </c>
      <c r="H2838" s="1">
        <v>42855</v>
      </c>
    </row>
    <row r="2839" spans="1:10" x14ac:dyDescent="0.3">
      <c r="A2839" t="s">
        <v>2970</v>
      </c>
      <c r="B2839" t="s">
        <v>14</v>
      </c>
      <c r="C2839" t="str">
        <f>_xlfn.XLOOKUP(B2839,
[1]sales_teams!$A$2:$A$100,
[1]sales_teams!$B$2:$B$100)</f>
        <v>Melvin Marxen</v>
      </c>
      <c r="D2839" t="str">
        <f>_xlfn.XLOOKUP($B2839,sales_teams!$A$2:$A$36,sales_teams!C$2:C$36)</f>
        <v>Central</v>
      </c>
      <c r="E2839" t="s">
        <v>20</v>
      </c>
      <c r="F2839" t="s">
        <v>197</v>
      </c>
      <c r="G2839" t="s">
        <v>46</v>
      </c>
      <c r="H2839" s="1">
        <v>42855</v>
      </c>
      <c r="I2839" s="1">
        <v>42859</v>
      </c>
      <c r="J2839">
        <v>0</v>
      </c>
    </row>
    <row r="2840" spans="1:10" x14ac:dyDescent="0.3">
      <c r="A2840" t="s">
        <v>2971</v>
      </c>
      <c r="B2840" t="s">
        <v>54</v>
      </c>
      <c r="C2840" t="str">
        <f>_xlfn.XLOOKUP(B2840,
[1]sales_teams!$A$2:$A$100,
[1]sales_teams!$B$2:$B$100)</f>
        <v>Celia Rouche</v>
      </c>
      <c r="D2840" t="str">
        <f>_xlfn.XLOOKUP($B2840,sales_teams!$A$2:$A$36,sales_teams!C$2:C$36)</f>
        <v>West</v>
      </c>
      <c r="E2840" t="s">
        <v>48</v>
      </c>
      <c r="F2840" t="s">
        <v>86</v>
      </c>
      <c r="G2840" t="s">
        <v>12</v>
      </c>
      <c r="H2840" s="1">
        <v>42855</v>
      </c>
      <c r="I2840" s="1">
        <v>42959</v>
      </c>
      <c r="J2840">
        <v>5408</v>
      </c>
    </row>
    <row r="2841" spans="1:10" x14ac:dyDescent="0.3">
      <c r="A2841" t="s">
        <v>2972</v>
      </c>
      <c r="B2841" t="s">
        <v>54</v>
      </c>
      <c r="C2841" t="str">
        <f>_xlfn.XLOOKUP(B2841,
[1]sales_teams!$A$2:$A$100,
[1]sales_teams!$B$2:$B$100)</f>
        <v>Celia Rouche</v>
      </c>
      <c r="D2841" t="str">
        <f>_xlfn.XLOOKUP($B2841,sales_teams!$A$2:$A$36,sales_teams!C$2:C$36)</f>
        <v>West</v>
      </c>
      <c r="E2841" t="s">
        <v>18</v>
      </c>
      <c r="F2841" t="s">
        <v>398</v>
      </c>
      <c r="G2841" t="s">
        <v>12</v>
      </c>
      <c r="H2841" s="1">
        <v>42855</v>
      </c>
      <c r="I2841" s="1">
        <v>42959</v>
      </c>
      <c r="J2841">
        <v>62</v>
      </c>
    </row>
    <row r="2842" spans="1:10" x14ac:dyDescent="0.3">
      <c r="A2842" t="s">
        <v>2973</v>
      </c>
      <c r="B2842" t="s">
        <v>252</v>
      </c>
      <c r="C2842" t="str">
        <f>_xlfn.XLOOKUP(B2842,
[1]sales_teams!$A$2:$A$100,
[1]sales_teams!$B$2:$B$100)</f>
        <v>Melvin Marxen</v>
      </c>
      <c r="D2842" t="str">
        <f>_xlfn.XLOOKUP($B2842,sales_teams!$A$2:$A$36,sales_teams!C$2:C$36)</f>
        <v>Central</v>
      </c>
      <c r="E2842" t="s">
        <v>20</v>
      </c>
      <c r="F2842" t="s">
        <v>207</v>
      </c>
      <c r="G2842" t="s">
        <v>12</v>
      </c>
      <c r="H2842" s="1">
        <v>42855</v>
      </c>
      <c r="I2842" s="1">
        <v>42868</v>
      </c>
      <c r="J2842">
        <v>586</v>
      </c>
    </row>
    <row r="2843" spans="1:10" x14ac:dyDescent="0.3">
      <c r="A2843" t="s">
        <v>2974</v>
      </c>
      <c r="B2843" t="s">
        <v>78</v>
      </c>
      <c r="C2843" t="str">
        <f>_xlfn.XLOOKUP(B2843,
[1]sales_teams!$A$2:$A$100,
[1]sales_teams!$B$2:$B$100)</f>
        <v>Summer Sewald</v>
      </c>
      <c r="D2843" t="str">
        <f>_xlfn.XLOOKUP($B2843,sales_teams!$A$2:$A$36,sales_teams!C$2:C$36)</f>
        <v>West</v>
      </c>
      <c r="E2843" t="s">
        <v>15</v>
      </c>
      <c r="F2843" t="s">
        <v>157</v>
      </c>
      <c r="G2843" t="s">
        <v>46</v>
      </c>
      <c r="H2843" s="1">
        <v>42855</v>
      </c>
      <c r="I2843" s="1">
        <v>42856</v>
      </c>
      <c r="J2843">
        <v>0</v>
      </c>
    </row>
    <row r="2844" spans="1:10" x14ac:dyDescent="0.3">
      <c r="A2844" t="s">
        <v>2975</v>
      </c>
      <c r="B2844" t="s">
        <v>95</v>
      </c>
      <c r="C2844" t="str">
        <f>_xlfn.XLOOKUP(B2844,
[1]sales_teams!$A$2:$A$100,
[1]sales_teams!$B$2:$B$100)</f>
        <v>Summer Sewald</v>
      </c>
      <c r="D2844" t="str">
        <f>_xlfn.XLOOKUP($B2844,sales_teams!$A$2:$A$36,sales_teams!C$2:C$36)</f>
        <v>West</v>
      </c>
      <c r="E2844" t="s">
        <v>20</v>
      </c>
      <c r="F2844" t="s">
        <v>184</v>
      </c>
      <c r="G2844" t="s">
        <v>12</v>
      </c>
      <c r="H2844" s="1">
        <v>42855</v>
      </c>
      <c r="I2844" s="1">
        <v>42953</v>
      </c>
      <c r="J2844">
        <v>532</v>
      </c>
    </row>
    <row r="2845" spans="1:10" x14ac:dyDescent="0.3">
      <c r="A2845" t="s">
        <v>2976</v>
      </c>
      <c r="B2845" t="s">
        <v>95</v>
      </c>
      <c r="C2845" t="str">
        <f>_xlfn.XLOOKUP(B2845,
[1]sales_teams!$A$2:$A$100,
[1]sales_teams!$B$2:$B$100)</f>
        <v>Summer Sewald</v>
      </c>
      <c r="D2845" t="str">
        <f>_xlfn.XLOOKUP($B2845,sales_teams!$A$2:$A$36,sales_teams!C$2:C$36)</f>
        <v>West</v>
      </c>
      <c r="E2845" t="s">
        <v>20</v>
      </c>
      <c r="F2845" t="s">
        <v>555</v>
      </c>
      <c r="G2845" t="s">
        <v>12</v>
      </c>
      <c r="H2845" s="1">
        <v>42855</v>
      </c>
      <c r="I2845" s="1">
        <v>42960</v>
      </c>
      <c r="J2845">
        <v>585</v>
      </c>
    </row>
    <row r="2846" spans="1:10" x14ac:dyDescent="0.3">
      <c r="A2846" t="s">
        <v>2977</v>
      </c>
      <c r="B2846" t="s">
        <v>133</v>
      </c>
      <c r="C2846" t="str">
        <f>_xlfn.XLOOKUP(B2846,
[1]sales_teams!$A$2:$A$100,
[1]sales_teams!$B$2:$B$100)</f>
        <v>Dustin Brinkmann</v>
      </c>
      <c r="D2846" t="str">
        <f>_xlfn.XLOOKUP($B2846,sales_teams!$A$2:$A$36,sales_teams!C$2:C$36)</f>
        <v>Central</v>
      </c>
      <c r="E2846" t="s">
        <v>20</v>
      </c>
      <c r="F2846" t="s">
        <v>27</v>
      </c>
      <c r="G2846" t="s">
        <v>12</v>
      </c>
      <c r="H2846" s="1">
        <v>42855</v>
      </c>
      <c r="I2846" s="1">
        <v>42958</v>
      </c>
      <c r="J2846">
        <v>583</v>
      </c>
    </row>
    <row r="2847" spans="1:10" x14ac:dyDescent="0.3">
      <c r="A2847" t="s">
        <v>2978</v>
      </c>
      <c r="B2847" t="s">
        <v>116</v>
      </c>
      <c r="C2847" t="str">
        <f>_xlfn.XLOOKUP(B2847,
[1]sales_teams!$A$2:$A$100,
[1]sales_teams!$B$2:$B$100)</f>
        <v>Melvin Marxen</v>
      </c>
      <c r="D2847" t="str">
        <f>_xlfn.XLOOKUP($B2847,sales_teams!$A$2:$A$36,sales_teams!C$2:C$36)</f>
        <v>Central</v>
      </c>
      <c r="E2847" t="s">
        <v>20</v>
      </c>
      <c r="F2847" t="s">
        <v>151</v>
      </c>
      <c r="G2847" t="s">
        <v>12</v>
      </c>
      <c r="H2847" s="1">
        <v>42855</v>
      </c>
      <c r="I2847" s="1">
        <v>42980</v>
      </c>
      <c r="J2847">
        <v>433</v>
      </c>
    </row>
    <row r="2848" spans="1:10" x14ac:dyDescent="0.3">
      <c r="A2848" t="s">
        <v>2979</v>
      </c>
      <c r="B2848" t="s">
        <v>35</v>
      </c>
      <c r="C2848" t="str">
        <f>_xlfn.XLOOKUP(B2848,
[1]sales_teams!$A$2:$A$100,
[1]sales_teams!$B$2:$B$100)</f>
        <v>Melvin Marxen</v>
      </c>
      <c r="D2848" t="str">
        <f>_xlfn.XLOOKUP($B2848,sales_teams!$A$2:$A$36,sales_teams!C$2:C$36)</f>
        <v>Central</v>
      </c>
      <c r="E2848" t="s">
        <v>20</v>
      </c>
      <c r="F2848" t="s">
        <v>218</v>
      </c>
      <c r="G2848" t="s">
        <v>12</v>
      </c>
      <c r="H2848" s="1">
        <v>42855</v>
      </c>
      <c r="I2848" s="1">
        <v>42861</v>
      </c>
      <c r="J2848">
        <v>557</v>
      </c>
    </row>
    <row r="2849" spans="1:10" x14ac:dyDescent="0.3">
      <c r="A2849" t="s">
        <v>2980</v>
      </c>
      <c r="B2849" t="s">
        <v>97</v>
      </c>
      <c r="C2849" t="str">
        <f>_xlfn.XLOOKUP(B2849,
[1]sales_teams!$A$2:$A$100,
[1]sales_teams!$B$2:$B$100)</f>
        <v>Rocco Neubert</v>
      </c>
      <c r="D2849" t="str">
        <f>_xlfn.XLOOKUP($B2849,sales_teams!$A$2:$A$36,sales_teams!C$2:C$36)</f>
        <v>East</v>
      </c>
      <c r="E2849" t="s">
        <v>15</v>
      </c>
      <c r="F2849" t="s">
        <v>140</v>
      </c>
      <c r="G2849" t="s">
        <v>12</v>
      </c>
      <c r="H2849" s="1">
        <v>42855</v>
      </c>
      <c r="I2849" s="1">
        <v>42864</v>
      </c>
      <c r="J2849">
        <v>4704</v>
      </c>
    </row>
    <row r="2850" spans="1:10" x14ac:dyDescent="0.3">
      <c r="A2850" t="s">
        <v>2981</v>
      </c>
      <c r="B2850" t="s">
        <v>57</v>
      </c>
      <c r="C2850" t="str">
        <f>_xlfn.XLOOKUP(B2850,
[1]sales_teams!$A$2:$A$100,
[1]sales_teams!$B$2:$B$100)</f>
        <v>Celia Rouche</v>
      </c>
      <c r="D2850" t="str">
        <f>_xlfn.XLOOKUP($B2850,sales_teams!$A$2:$A$36,sales_teams!C$2:C$36)</f>
        <v>West</v>
      </c>
      <c r="E2850" t="s">
        <v>20</v>
      </c>
      <c r="G2850" t="s">
        <v>40</v>
      </c>
      <c r="H2850" s="1">
        <v>42855</v>
      </c>
    </row>
    <row r="2851" spans="1:10" x14ac:dyDescent="0.3">
      <c r="A2851" t="s">
        <v>2982</v>
      </c>
      <c r="B2851" t="s">
        <v>88</v>
      </c>
      <c r="C2851" t="str">
        <f>_xlfn.XLOOKUP(B2851,
[1]sales_teams!$A$2:$A$100,
[1]sales_teams!$B$2:$B$100)</f>
        <v>Cara Losch</v>
      </c>
      <c r="D2851" t="str">
        <f>_xlfn.XLOOKUP($B2851,sales_teams!$A$2:$A$36,sales_teams!C$2:C$36)</f>
        <v>East</v>
      </c>
      <c r="E2851" t="s">
        <v>15</v>
      </c>
      <c r="F2851" t="s">
        <v>215</v>
      </c>
      <c r="G2851" t="s">
        <v>12</v>
      </c>
      <c r="H2851" s="1">
        <v>42855</v>
      </c>
      <c r="I2851" s="1">
        <v>42959</v>
      </c>
      <c r="J2851">
        <v>5182</v>
      </c>
    </row>
    <row r="2852" spans="1:10" x14ac:dyDescent="0.3">
      <c r="A2852" t="s">
        <v>2983</v>
      </c>
      <c r="B2852" t="s">
        <v>23</v>
      </c>
      <c r="C2852" t="str">
        <f>_xlfn.XLOOKUP(B2852,
[1]sales_teams!$A$2:$A$100,
[1]sales_teams!$B$2:$B$100)</f>
        <v>Summer Sewald</v>
      </c>
      <c r="D2852" t="str">
        <f>_xlfn.XLOOKUP($B2852,sales_teams!$A$2:$A$36,sales_teams!C$2:C$36)</f>
        <v>West</v>
      </c>
      <c r="E2852" t="s">
        <v>15</v>
      </c>
      <c r="F2852" t="s">
        <v>184</v>
      </c>
      <c r="G2852" t="s">
        <v>12</v>
      </c>
      <c r="H2852" s="1">
        <v>42855</v>
      </c>
      <c r="I2852" s="1">
        <v>42868</v>
      </c>
      <c r="J2852">
        <v>5311</v>
      </c>
    </row>
    <row r="2853" spans="1:10" x14ac:dyDescent="0.3">
      <c r="A2853" t="s">
        <v>2984</v>
      </c>
      <c r="B2853" t="s">
        <v>26</v>
      </c>
      <c r="C2853" t="str">
        <f>_xlfn.XLOOKUP(B2853,
[1]sales_teams!$A$2:$A$100,
[1]sales_teams!$B$2:$B$100)</f>
        <v>Dustin Brinkmann</v>
      </c>
      <c r="D2853" t="str">
        <f>_xlfn.XLOOKUP($B2853,sales_teams!$A$2:$A$36,sales_teams!C$2:C$36)</f>
        <v>Central</v>
      </c>
      <c r="E2853" t="s">
        <v>48</v>
      </c>
      <c r="F2853" t="s">
        <v>218</v>
      </c>
      <c r="G2853" t="s">
        <v>46</v>
      </c>
      <c r="H2853" s="1">
        <v>42856</v>
      </c>
      <c r="I2853" s="1">
        <v>42873</v>
      </c>
      <c r="J2853">
        <v>0</v>
      </c>
    </row>
    <row r="2854" spans="1:10" x14ac:dyDescent="0.3">
      <c r="A2854" t="s">
        <v>2985</v>
      </c>
      <c r="B2854" t="s">
        <v>26</v>
      </c>
      <c r="C2854" t="str">
        <f>_xlfn.XLOOKUP(B2854,
[1]sales_teams!$A$2:$A$100,
[1]sales_teams!$B$2:$B$100)</f>
        <v>Dustin Brinkmann</v>
      </c>
      <c r="D2854" t="str">
        <f>_xlfn.XLOOKUP($B2854,sales_teams!$A$2:$A$36,sales_teams!C$2:C$36)</f>
        <v>Central</v>
      </c>
      <c r="E2854" t="s">
        <v>18</v>
      </c>
      <c r="F2854" t="s">
        <v>213</v>
      </c>
      <c r="G2854" t="s">
        <v>12</v>
      </c>
      <c r="H2854" s="1">
        <v>42856</v>
      </c>
      <c r="I2854" s="1">
        <v>42975</v>
      </c>
      <c r="J2854">
        <v>64</v>
      </c>
    </row>
    <row r="2855" spans="1:10" x14ac:dyDescent="0.3">
      <c r="A2855" t="s">
        <v>2986</v>
      </c>
      <c r="B2855" t="s">
        <v>139</v>
      </c>
      <c r="C2855" t="str">
        <f>_xlfn.XLOOKUP(B2855,
[1]sales_teams!$A$2:$A$100,
[1]sales_teams!$B$2:$B$100)</f>
        <v>Rocco Neubert</v>
      </c>
      <c r="D2855" t="str">
        <f>_xlfn.XLOOKUP($B2855,sales_teams!$A$2:$A$36,sales_teams!C$2:C$36)</f>
        <v>East</v>
      </c>
      <c r="E2855" t="s">
        <v>48</v>
      </c>
      <c r="G2855" t="s">
        <v>40</v>
      </c>
      <c r="H2855" s="1">
        <v>42856</v>
      </c>
    </row>
    <row r="2856" spans="1:10" x14ac:dyDescent="0.3">
      <c r="A2856" t="s">
        <v>2987</v>
      </c>
      <c r="B2856" t="s">
        <v>164</v>
      </c>
      <c r="C2856" t="str">
        <f>_xlfn.XLOOKUP(B2856,
[1]sales_teams!$A$2:$A$100,
[1]sales_teams!$B$2:$B$100)</f>
        <v>Cara Losch</v>
      </c>
      <c r="D2856" t="str">
        <f>_xlfn.XLOOKUP($B2856,sales_teams!$A$2:$A$36,sales_teams!C$2:C$36)</f>
        <v>East</v>
      </c>
      <c r="E2856" t="s">
        <v>20</v>
      </c>
      <c r="F2856" t="s">
        <v>373</v>
      </c>
      <c r="G2856" t="s">
        <v>40</v>
      </c>
      <c r="H2856" s="1">
        <v>42856</v>
      </c>
    </row>
    <row r="2857" spans="1:10" x14ac:dyDescent="0.3">
      <c r="A2857" t="s">
        <v>2988</v>
      </c>
      <c r="B2857" t="s">
        <v>14</v>
      </c>
      <c r="C2857" t="str">
        <f>_xlfn.XLOOKUP(B2857,
[1]sales_teams!$A$2:$A$100,
[1]sales_teams!$B$2:$B$100)</f>
        <v>Melvin Marxen</v>
      </c>
      <c r="D2857" t="str">
        <f>_xlfn.XLOOKUP($B2857,sales_teams!$A$2:$A$36,sales_teams!C$2:C$36)</f>
        <v>Central</v>
      </c>
      <c r="E2857" t="s">
        <v>10</v>
      </c>
      <c r="F2857" t="s">
        <v>76</v>
      </c>
      <c r="G2857" t="s">
        <v>12</v>
      </c>
      <c r="H2857" s="1">
        <v>42856</v>
      </c>
      <c r="I2857" s="1">
        <v>42970</v>
      </c>
      <c r="J2857">
        <v>878</v>
      </c>
    </row>
    <row r="2858" spans="1:10" x14ac:dyDescent="0.3">
      <c r="A2858" t="s">
        <v>2989</v>
      </c>
      <c r="B2858" t="s">
        <v>14</v>
      </c>
      <c r="C2858" t="str">
        <f>_xlfn.XLOOKUP(B2858,
[1]sales_teams!$A$2:$A$100,
[1]sales_teams!$B$2:$B$100)</f>
        <v>Melvin Marxen</v>
      </c>
      <c r="D2858" t="str">
        <f>_xlfn.XLOOKUP($B2858,sales_teams!$A$2:$A$36,sales_teams!C$2:C$36)</f>
        <v>Central</v>
      </c>
      <c r="E2858" t="s">
        <v>18</v>
      </c>
      <c r="F2858" t="s">
        <v>45</v>
      </c>
      <c r="G2858" t="s">
        <v>12</v>
      </c>
      <c r="H2858" s="1">
        <v>42856</v>
      </c>
      <c r="I2858" s="1">
        <v>42857</v>
      </c>
      <c r="J2858">
        <v>59</v>
      </c>
    </row>
    <row r="2859" spans="1:10" x14ac:dyDescent="0.3">
      <c r="A2859" t="s">
        <v>2990</v>
      </c>
      <c r="B2859" t="s">
        <v>142</v>
      </c>
      <c r="C2859" t="str">
        <f>_xlfn.XLOOKUP(B2859,
[1]sales_teams!$A$2:$A$100,
[1]sales_teams!$B$2:$B$100)</f>
        <v>Rocco Neubert</v>
      </c>
      <c r="D2859" t="str">
        <f>_xlfn.XLOOKUP($B2859,sales_teams!$A$2:$A$36,sales_teams!C$2:C$36)</f>
        <v>East</v>
      </c>
      <c r="E2859" t="s">
        <v>20</v>
      </c>
      <c r="F2859" t="s">
        <v>89</v>
      </c>
      <c r="G2859" t="s">
        <v>46</v>
      </c>
      <c r="H2859" s="1">
        <v>42856</v>
      </c>
      <c r="I2859" s="1">
        <v>42875</v>
      </c>
      <c r="J2859">
        <v>0</v>
      </c>
    </row>
    <row r="2860" spans="1:10" x14ac:dyDescent="0.3">
      <c r="A2860" t="s">
        <v>2991</v>
      </c>
      <c r="B2860" t="s">
        <v>44</v>
      </c>
      <c r="C2860" t="str">
        <f>_xlfn.XLOOKUP(B2860,
[1]sales_teams!$A$2:$A$100,
[1]sales_teams!$B$2:$B$100)</f>
        <v>Melvin Marxen</v>
      </c>
      <c r="D2860" t="str">
        <f>_xlfn.XLOOKUP($B2860,sales_teams!$A$2:$A$36,sales_teams!C$2:C$36)</f>
        <v>Central</v>
      </c>
      <c r="E2860" t="s">
        <v>15</v>
      </c>
      <c r="F2860" t="s">
        <v>492</v>
      </c>
      <c r="G2860" t="s">
        <v>46</v>
      </c>
      <c r="H2860" s="1">
        <v>42856</v>
      </c>
      <c r="I2860" s="1">
        <v>42954</v>
      </c>
      <c r="J2860">
        <v>0</v>
      </c>
    </row>
    <row r="2861" spans="1:10" x14ac:dyDescent="0.3">
      <c r="A2861" t="s">
        <v>2992</v>
      </c>
      <c r="B2861" t="s">
        <v>38</v>
      </c>
      <c r="C2861" t="str">
        <f>_xlfn.XLOOKUP(B2861,
[1]sales_teams!$A$2:$A$100,
[1]sales_teams!$B$2:$B$100)</f>
        <v>Summer Sewald</v>
      </c>
      <c r="D2861" t="str">
        <f>_xlfn.XLOOKUP($B2861,sales_teams!$A$2:$A$36,sales_teams!C$2:C$36)</f>
        <v>West</v>
      </c>
      <c r="E2861" t="s">
        <v>48</v>
      </c>
      <c r="F2861" t="s">
        <v>187</v>
      </c>
      <c r="G2861" t="s">
        <v>40</v>
      </c>
      <c r="H2861" s="1">
        <v>42856</v>
      </c>
    </row>
    <row r="2862" spans="1:10" x14ac:dyDescent="0.3">
      <c r="A2862" t="s">
        <v>2993</v>
      </c>
      <c r="B2862" t="s">
        <v>38</v>
      </c>
      <c r="C2862" t="str">
        <f>_xlfn.XLOOKUP(B2862,
[1]sales_teams!$A$2:$A$100,
[1]sales_teams!$B$2:$B$100)</f>
        <v>Summer Sewald</v>
      </c>
      <c r="D2862" t="str">
        <f>_xlfn.XLOOKUP($B2862,sales_teams!$A$2:$A$36,sales_teams!C$2:C$36)</f>
        <v>West</v>
      </c>
      <c r="E2862" t="s">
        <v>18</v>
      </c>
      <c r="F2862" t="s">
        <v>273</v>
      </c>
      <c r="G2862" t="s">
        <v>12</v>
      </c>
      <c r="H2862" s="1">
        <v>42856</v>
      </c>
      <c r="I2862" s="1">
        <v>42967</v>
      </c>
      <c r="J2862">
        <v>65</v>
      </c>
    </row>
    <row r="2863" spans="1:10" x14ac:dyDescent="0.3">
      <c r="A2863" t="s">
        <v>2994</v>
      </c>
      <c r="B2863" t="s">
        <v>252</v>
      </c>
      <c r="C2863" t="str">
        <f>_xlfn.XLOOKUP(B2863,
[1]sales_teams!$A$2:$A$100,
[1]sales_teams!$B$2:$B$100)</f>
        <v>Melvin Marxen</v>
      </c>
      <c r="D2863" t="str">
        <f>_xlfn.XLOOKUP($B2863,sales_teams!$A$2:$A$36,sales_teams!C$2:C$36)</f>
        <v>Central</v>
      </c>
      <c r="E2863" t="s">
        <v>20</v>
      </c>
      <c r="F2863" t="s">
        <v>315</v>
      </c>
      <c r="G2863" t="s">
        <v>12</v>
      </c>
      <c r="H2863" s="1">
        <v>42856</v>
      </c>
      <c r="I2863" s="1">
        <v>42958</v>
      </c>
      <c r="J2863">
        <v>543</v>
      </c>
    </row>
    <row r="2864" spans="1:10" x14ac:dyDescent="0.3">
      <c r="A2864" t="s">
        <v>2995</v>
      </c>
      <c r="B2864" t="s">
        <v>78</v>
      </c>
      <c r="C2864" t="str">
        <f>_xlfn.XLOOKUP(B2864,
[1]sales_teams!$A$2:$A$100,
[1]sales_teams!$B$2:$B$100)</f>
        <v>Summer Sewald</v>
      </c>
      <c r="D2864" t="str">
        <f>_xlfn.XLOOKUP($B2864,sales_teams!$A$2:$A$36,sales_teams!C$2:C$36)</f>
        <v>West</v>
      </c>
      <c r="E2864" t="s">
        <v>20</v>
      </c>
      <c r="F2864" t="s">
        <v>745</v>
      </c>
      <c r="G2864" t="s">
        <v>40</v>
      </c>
      <c r="H2864" s="1">
        <v>42856</v>
      </c>
    </row>
    <row r="2865" spans="1:10" x14ac:dyDescent="0.3">
      <c r="A2865" t="s">
        <v>2996</v>
      </c>
      <c r="B2865" t="s">
        <v>95</v>
      </c>
      <c r="C2865" t="str">
        <f>_xlfn.XLOOKUP(B2865,
[1]sales_teams!$A$2:$A$100,
[1]sales_teams!$B$2:$B$100)</f>
        <v>Summer Sewald</v>
      </c>
      <c r="D2865" t="str">
        <f>_xlfn.XLOOKUP($B2865,sales_teams!$A$2:$A$36,sales_teams!C$2:C$36)</f>
        <v>West</v>
      </c>
      <c r="E2865" t="s">
        <v>15</v>
      </c>
      <c r="G2865" t="s">
        <v>40</v>
      </c>
      <c r="H2865" s="1">
        <v>42856</v>
      </c>
    </row>
    <row r="2866" spans="1:10" x14ac:dyDescent="0.3">
      <c r="A2866" t="s">
        <v>2997</v>
      </c>
      <c r="B2866" t="s">
        <v>95</v>
      </c>
      <c r="C2866" t="str">
        <f>_xlfn.XLOOKUP(B2866,
[1]sales_teams!$A$2:$A$100,
[1]sales_teams!$B$2:$B$100)</f>
        <v>Summer Sewald</v>
      </c>
      <c r="D2866" t="str">
        <f>_xlfn.XLOOKUP($B2866,sales_teams!$A$2:$A$36,sales_teams!C$2:C$36)</f>
        <v>West</v>
      </c>
      <c r="E2866" t="s">
        <v>20</v>
      </c>
      <c r="F2866" t="s">
        <v>59</v>
      </c>
      <c r="G2866" t="s">
        <v>46</v>
      </c>
      <c r="H2866" s="1">
        <v>42856</v>
      </c>
      <c r="I2866" s="1">
        <v>42898</v>
      </c>
      <c r="J2866">
        <v>0</v>
      </c>
    </row>
    <row r="2867" spans="1:10" x14ac:dyDescent="0.3">
      <c r="A2867" t="s">
        <v>2998</v>
      </c>
      <c r="B2867" t="s">
        <v>32</v>
      </c>
      <c r="C2867" t="str">
        <f>_xlfn.XLOOKUP(B2867,
[1]sales_teams!$A$2:$A$100,
[1]sales_teams!$B$2:$B$100)</f>
        <v>Celia Rouche</v>
      </c>
      <c r="D2867" t="str">
        <f>_xlfn.XLOOKUP($B2867,sales_teams!$A$2:$A$36,sales_teams!C$2:C$36)</f>
        <v>West</v>
      </c>
      <c r="E2867" t="s">
        <v>39</v>
      </c>
      <c r="F2867" t="s">
        <v>207</v>
      </c>
      <c r="G2867" t="s">
        <v>40</v>
      </c>
      <c r="H2867" s="1">
        <v>42856</v>
      </c>
    </row>
    <row r="2868" spans="1:10" x14ac:dyDescent="0.3">
      <c r="A2868" t="s">
        <v>2999</v>
      </c>
      <c r="B2868" t="s">
        <v>51</v>
      </c>
      <c r="C2868" t="str">
        <f>_xlfn.XLOOKUP(B2868,
[1]sales_teams!$A$2:$A$100,
[1]sales_teams!$B$2:$B$100)</f>
        <v>Summer Sewald</v>
      </c>
      <c r="D2868" t="str">
        <f>_xlfn.XLOOKUP($B2868,sales_teams!$A$2:$A$36,sales_teams!C$2:C$36)</f>
        <v>West</v>
      </c>
      <c r="E2868" t="s">
        <v>48</v>
      </c>
      <c r="G2868" t="s">
        <v>40</v>
      </c>
      <c r="H2868" s="1">
        <v>42856</v>
      </c>
    </row>
    <row r="2869" spans="1:10" x14ac:dyDescent="0.3">
      <c r="A2869" t="s">
        <v>3000</v>
      </c>
      <c r="B2869" t="s">
        <v>9</v>
      </c>
      <c r="C2869" t="str">
        <f>_xlfn.XLOOKUP(B2869,
[1]sales_teams!$A$2:$A$100,
[1]sales_teams!$B$2:$B$100)</f>
        <v>Dustin Brinkmann</v>
      </c>
      <c r="D2869" t="str">
        <f>_xlfn.XLOOKUP($B2869,sales_teams!$A$2:$A$36,sales_teams!C$2:C$36)</f>
        <v>Central</v>
      </c>
      <c r="E2869" t="s">
        <v>48</v>
      </c>
      <c r="F2869" t="s">
        <v>218</v>
      </c>
      <c r="G2869" t="s">
        <v>46</v>
      </c>
      <c r="H2869" s="1">
        <v>42856</v>
      </c>
      <c r="I2869" s="1">
        <v>42865</v>
      </c>
      <c r="J2869">
        <v>0</v>
      </c>
    </row>
    <row r="2870" spans="1:10" x14ac:dyDescent="0.3">
      <c r="A2870" t="s">
        <v>3001</v>
      </c>
      <c r="B2870" t="s">
        <v>9</v>
      </c>
      <c r="C2870" t="str">
        <f>_xlfn.XLOOKUP(B2870,
[1]sales_teams!$A$2:$A$100,
[1]sales_teams!$B$2:$B$100)</f>
        <v>Dustin Brinkmann</v>
      </c>
      <c r="D2870" t="str">
        <f>_xlfn.XLOOKUP($B2870,sales_teams!$A$2:$A$36,sales_teams!C$2:C$36)</f>
        <v>Central</v>
      </c>
      <c r="E2870" t="s">
        <v>48</v>
      </c>
      <c r="F2870" t="s">
        <v>76</v>
      </c>
      <c r="G2870" t="s">
        <v>46</v>
      </c>
      <c r="H2870" s="1">
        <v>42856</v>
      </c>
      <c r="I2870" s="1">
        <v>42862</v>
      </c>
      <c r="J2870">
        <v>0</v>
      </c>
    </row>
    <row r="2871" spans="1:10" x14ac:dyDescent="0.3">
      <c r="A2871" t="s">
        <v>3002</v>
      </c>
      <c r="B2871" t="s">
        <v>9</v>
      </c>
      <c r="C2871" t="str">
        <f>_xlfn.XLOOKUP(B2871,
[1]sales_teams!$A$2:$A$100,
[1]sales_teams!$B$2:$B$100)</f>
        <v>Dustin Brinkmann</v>
      </c>
      <c r="D2871" t="str">
        <f>_xlfn.XLOOKUP($B2871,sales_teams!$A$2:$A$36,sales_teams!C$2:C$36)</f>
        <v>Central</v>
      </c>
      <c r="E2871" t="s">
        <v>39</v>
      </c>
      <c r="F2871" t="s">
        <v>27</v>
      </c>
      <c r="G2871" t="s">
        <v>12</v>
      </c>
      <c r="H2871" s="1">
        <v>42856</v>
      </c>
      <c r="I2871" s="1">
        <v>42863</v>
      </c>
      <c r="J2871">
        <v>3971</v>
      </c>
    </row>
    <row r="2872" spans="1:10" x14ac:dyDescent="0.3">
      <c r="A2872" t="s">
        <v>3003</v>
      </c>
      <c r="B2872" t="s">
        <v>35</v>
      </c>
      <c r="C2872" t="str">
        <f>_xlfn.XLOOKUP(B2872,
[1]sales_teams!$A$2:$A$100,
[1]sales_teams!$B$2:$B$100)</f>
        <v>Melvin Marxen</v>
      </c>
      <c r="D2872" t="str">
        <f>_xlfn.XLOOKUP($B2872,sales_teams!$A$2:$A$36,sales_teams!C$2:C$36)</f>
        <v>Central</v>
      </c>
      <c r="E2872" t="s">
        <v>20</v>
      </c>
      <c r="F2872" t="s">
        <v>231</v>
      </c>
      <c r="G2872" t="s">
        <v>12</v>
      </c>
      <c r="H2872" s="1">
        <v>42856</v>
      </c>
      <c r="I2872" s="1">
        <v>42871</v>
      </c>
      <c r="J2872">
        <v>554</v>
      </c>
    </row>
    <row r="2873" spans="1:10" x14ac:dyDescent="0.3">
      <c r="A2873" t="s">
        <v>3004</v>
      </c>
      <c r="B2873" t="s">
        <v>29</v>
      </c>
      <c r="C2873" t="str">
        <f>_xlfn.XLOOKUP(B2873,
[1]sales_teams!$A$2:$A$100,
[1]sales_teams!$B$2:$B$100)</f>
        <v>Celia Rouche</v>
      </c>
      <c r="D2873" t="str">
        <f>_xlfn.XLOOKUP($B2873,sales_teams!$A$2:$A$36,sales_teams!C$2:C$36)</f>
        <v>West</v>
      </c>
      <c r="E2873" t="s">
        <v>48</v>
      </c>
      <c r="G2873" t="s">
        <v>40</v>
      </c>
      <c r="H2873" s="1">
        <v>42856</v>
      </c>
    </row>
    <row r="2874" spans="1:10" x14ac:dyDescent="0.3">
      <c r="A2874" t="s">
        <v>3005</v>
      </c>
      <c r="B2874" t="s">
        <v>29</v>
      </c>
      <c r="C2874" t="str">
        <f>_xlfn.XLOOKUP(B2874,
[1]sales_teams!$A$2:$A$100,
[1]sales_teams!$B$2:$B$100)</f>
        <v>Celia Rouche</v>
      </c>
      <c r="D2874" t="str">
        <f>_xlfn.XLOOKUP($B2874,sales_teams!$A$2:$A$36,sales_teams!C$2:C$36)</f>
        <v>West</v>
      </c>
      <c r="E2874" t="s">
        <v>39</v>
      </c>
      <c r="F2874" t="s">
        <v>33</v>
      </c>
      <c r="G2874" t="s">
        <v>46</v>
      </c>
      <c r="H2874" s="1">
        <v>42856</v>
      </c>
      <c r="I2874" s="1">
        <v>42912</v>
      </c>
      <c r="J2874">
        <v>0</v>
      </c>
    </row>
    <row r="2875" spans="1:10" x14ac:dyDescent="0.3">
      <c r="A2875" t="s">
        <v>3006</v>
      </c>
      <c r="B2875" t="s">
        <v>29</v>
      </c>
      <c r="C2875" t="str">
        <f>_xlfn.XLOOKUP(B2875,
[1]sales_teams!$A$2:$A$100,
[1]sales_teams!$B$2:$B$100)</f>
        <v>Celia Rouche</v>
      </c>
      <c r="D2875" t="str">
        <f>_xlfn.XLOOKUP($B2875,sales_teams!$A$2:$A$36,sales_teams!C$2:C$36)</f>
        <v>West</v>
      </c>
      <c r="E2875" t="s">
        <v>10</v>
      </c>
      <c r="F2875" t="s">
        <v>70</v>
      </c>
      <c r="G2875" t="s">
        <v>12</v>
      </c>
      <c r="H2875" s="1">
        <v>42856</v>
      </c>
      <c r="I2875" s="1">
        <v>42902</v>
      </c>
      <c r="J2875">
        <v>1273</v>
      </c>
    </row>
    <row r="2876" spans="1:10" x14ac:dyDescent="0.3">
      <c r="A2876" t="s">
        <v>3007</v>
      </c>
      <c r="B2876" t="s">
        <v>23</v>
      </c>
      <c r="C2876" t="str">
        <f>_xlfn.XLOOKUP(B2876,
[1]sales_teams!$A$2:$A$100,
[1]sales_teams!$B$2:$B$100)</f>
        <v>Summer Sewald</v>
      </c>
      <c r="D2876" t="str">
        <f>_xlfn.XLOOKUP($B2876,sales_teams!$A$2:$A$36,sales_teams!C$2:C$36)</f>
        <v>West</v>
      </c>
      <c r="E2876" t="s">
        <v>39</v>
      </c>
      <c r="F2876" t="s">
        <v>189</v>
      </c>
      <c r="G2876" t="s">
        <v>40</v>
      </c>
      <c r="H2876" s="1">
        <v>42856</v>
      </c>
    </row>
    <row r="2877" spans="1:10" x14ac:dyDescent="0.3">
      <c r="A2877" t="s">
        <v>3008</v>
      </c>
      <c r="B2877" t="s">
        <v>26</v>
      </c>
      <c r="C2877" t="str">
        <f>_xlfn.XLOOKUP(B2877,
[1]sales_teams!$A$2:$A$100,
[1]sales_teams!$B$2:$B$100)</f>
        <v>Dustin Brinkmann</v>
      </c>
      <c r="D2877" t="str">
        <f>_xlfn.XLOOKUP($B2877,sales_teams!$A$2:$A$36,sales_teams!C$2:C$36)</f>
        <v>Central</v>
      </c>
      <c r="E2877" t="s">
        <v>10</v>
      </c>
      <c r="F2877" t="s">
        <v>120</v>
      </c>
      <c r="G2877" t="s">
        <v>12</v>
      </c>
      <c r="H2877" s="1">
        <v>42857</v>
      </c>
      <c r="I2877" s="1">
        <v>42866</v>
      </c>
      <c r="J2877">
        <v>1300</v>
      </c>
    </row>
    <row r="2878" spans="1:10" x14ac:dyDescent="0.3">
      <c r="A2878" t="s">
        <v>3009</v>
      </c>
      <c r="B2878" t="s">
        <v>139</v>
      </c>
      <c r="C2878" t="str">
        <f>_xlfn.XLOOKUP(B2878,
[1]sales_teams!$A$2:$A$100,
[1]sales_teams!$B$2:$B$100)</f>
        <v>Rocco Neubert</v>
      </c>
      <c r="D2878" t="str">
        <f>_xlfn.XLOOKUP($B2878,sales_teams!$A$2:$A$36,sales_teams!C$2:C$36)</f>
        <v>East</v>
      </c>
      <c r="E2878" t="s">
        <v>10</v>
      </c>
      <c r="G2878" t="s">
        <v>40</v>
      </c>
      <c r="H2878" s="1">
        <v>42857</v>
      </c>
    </row>
    <row r="2879" spans="1:10" x14ac:dyDescent="0.3">
      <c r="A2879" t="s">
        <v>3010</v>
      </c>
      <c r="B2879" t="s">
        <v>139</v>
      </c>
      <c r="C2879" t="str">
        <f>_xlfn.XLOOKUP(B2879,
[1]sales_teams!$A$2:$A$100,
[1]sales_teams!$B$2:$B$100)</f>
        <v>Rocco Neubert</v>
      </c>
      <c r="D2879" t="str">
        <f>_xlfn.XLOOKUP($B2879,sales_teams!$A$2:$A$36,sales_teams!C$2:C$36)</f>
        <v>East</v>
      </c>
      <c r="E2879" t="s">
        <v>10</v>
      </c>
      <c r="G2879" t="s">
        <v>40</v>
      </c>
      <c r="H2879" s="1">
        <v>42857</v>
      </c>
    </row>
    <row r="2880" spans="1:10" x14ac:dyDescent="0.3">
      <c r="A2880" t="s">
        <v>3011</v>
      </c>
      <c r="B2880" t="s">
        <v>139</v>
      </c>
      <c r="C2880" t="str">
        <f>_xlfn.XLOOKUP(B2880,
[1]sales_teams!$A$2:$A$100,
[1]sales_teams!$B$2:$B$100)</f>
        <v>Rocco Neubert</v>
      </c>
      <c r="D2880" t="str">
        <f>_xlfn.XLOOKUP($B2880,sales_teams!$A$2:$A$36,sales_teams!C$2:C$36)</f>
        <v>East</v>
      </c>
      <c r="E2880" t="s">
        <v>48</v>
      </c>
      <c r="F2880" t="s">
        <v>106</v>
      </c>
      <c r="G2880" t="s">
        <v>46</v>
      </c>
      <c r="H2880" s="1">
        <v>42857</v>
      </c>
      <c r="I2880" s="1">
        <v>42876</v>
      </c>
      <c r="J2880">
        <v>0</v>
      </c>
    </row>
    <row r="2881" spans="1:10" x14ac:dyDescent="0.3">
      <c r="A2881" t="s">
        <v>3012</v>
      </c>
      <c r="B2881" t="s">
        <v>67</v>
      </c>
      <c r="C2881" t="str">
        <f>_xlfn.XLOOKUP(B2881,
[1]sales_teams!$A$2:$A$100,
[1]sales_teams!$B$2:$B$100)</f>
        <v>Celia Rouche</v>
      </c>
      <c r="D2881" t="str">
        <f>_xlfn.XLOOKUP($B2881,sales_teams!$A$2:$A$36,sales_teams!C$2:C$36)</f>
        <v>West</v>
      </c>
      <c r="E2881" t="s">
        <v>18</v>
      </c>
      <c r="F2881" t="s">
        <v>218</v>
      </c>
      <c r="G2881" t="s">
        <v>46</v>
      </c>
      <c r="H2881" s="1">
        <v>42857</v>
      </c>
      <c r="I2881" s="1">
        <v>42961</v>
      </c>
      <c r="J2881">
        <v>0</v>
      </c>
    </row>
    <row r="2882" spans="1:10" x14ac:dyDescent="0.3">
      <c r="A2882" t="s">
        <v>3013</v>
      </c>
      <c r="B2882" t="s">
        <v>54</v>
      </c>
      <c r="C2882" t="str">
        <f>_xlfn.XLOOKUP(B2882,
[1]sales_teams!$A$2:$A$100,
[1]sales_teams!$B$2:$B$100)</f>
        <v>Celia Rouche</v>
      </c>
      <c r="D2882" t="str">
        <f>_xlfn.XLOOKUP($B2882,sales_teams!$A$2:$A$36,sales_teams!C$2:C$36)</f>
        <v>West</v>
      </c>
      <c r="E2882" t="s">
        <v>39</v>
      </c>
      <c r="F2882" t="s">
        <v>52</v>
      </c>
      <c r="G2882" t="s">
        <v>12</v>
      </c>
      <c r="H2882" s="1">
        <v>42857</v>
      </c>
      <c r="I2882" s="1">
        <v>42865</v>
      </c>
      <c r="J2882">
        <v>3527</v>
      </c>
    </row>
    <row r="2883" spans="1:10" x14ac:dyDescent="0.3">
      <c r="A2883" t="s">
        <v>3014</v>
      </c>
      <c r="B2883" t="s">
        <v>252</v>
      </c>
      <c r="C2883" t="str">
        <f>_xlfn.XLOOKUP(B2883,
[1]sales_teams!$A$2:$A$100,
[1]sales_teams!$B$2:$B$100)</f>
        <v>Melvin Marxen</v>
      </c>
      <c r="D2883" t="str">
        <f>_xlfn.XLOOKUP($B2883,sales_teams!$A$2:$A$36,sales_teams!C$2:C$36)</f>
        <v>Central</v>
      </c>
      <c r="E2883" t="s">
        <v>20</v>
      </c>
      <c r="F2883" t="s">
        <v>126</v>
      </c>
      <c r="G2883" t="s">
        <v>12</v>
      </c>
      <c r="H2883" s="1">
        <v>42857</v>
      </c>
      <c r="I2883" s="1">
        <v>42861</v>
      </c>
      <c r="J2883">
        <v>526</v>
      </c>
    </row>
    <row r="2884" spans="1:10" x14ac:dyDescent="0.3">
      <c r="A2884" t="s">
        <v>3015</v>
      </c>
      <c r="B2884" t="s">
        <v>78</v>
      </c>
      <c r="C2884" t="str">
        <f>_xlfn.XLOOKUP(B2884,
[1]sales_teams!$A$2:$A$100,
[1]sales_teams!$B$2:$B$100)</f>
        <v>Summer Sewald</v>
      </c>
      <c r="D2884" t="str">
        <f>_xlfn.XLOOKUP($B2884,sales_teams!$A$2:$A$36,sales_teams!C$2:C$36)</f>
        <v>West</v>
      </c>
      <c r="E2884" t="s">
        <v>18</v>
      </c>
      <c r="F2884" t="s">
        <v>218</v>
      </c>
      <c r="G2884" t="s">
        <v>46</v>
      </c>
      <c r="H2884" s="1">
        <v>42857</v>
      </c>
      <c r="I2884" s="1">
        <v>42896</v>
      </c>
      <c r="J2884">
        <v>0</v>
      </c>
    </row>
    <row r="2885" spans="1:10" x14ac:dyDescent="0.3">
      <c r="A2885" t="s">
        <v>3016</v>
      </c>
      <c r="B2885" t="s">
        <v>133</v>
      </c>
      <c r="C2885" t="str">
        <f>_xlfn.XLOOKUP(B2885,
[1]sales_teams!$A$2:$A$100,
[1]sales_teams!$B$2:$B$100)</f>
        <v>Dustin Brinkmann</v>
      </c>
      <c r="D2885" t="str">
        <f>_xlfn.XLOOKUP($B2885,sales_teams!$A$2:$A$36,sales_teams!C$2:C$36)</f>
        <v>Central</v>
      </c>
      <c r="E2885" t="s">
        <v>20</v>
      </c>
      <c r="F2885" t="s">
        <v>16</v>
      </c>
      <c r="G2885" t="s">
        <v>46</v>
      </c>
      <c r="H2885" s="1">
        <v>42857</v>
      </c>
      <c r="I2885" s="1">
        <v>42954</v>
      </c>
      <c r="J2885">
        <v>0</v>
      </c>
    </row>
    <row r="2886" spans="1:10" x14ac:dyDescent="0.3">
      <c r="A2886" t="s">
        <v>3017</v>
      </c>
      <c r="B2886" t="s">
        <v>32</v>
      </c>
      <c r="C2886" t="str">
        <f>_xlfn.XLOOKUP(B2886,
[1]sales_teams!$A$2:$A$100,
[1]sales_teams!$B$2:$B$100)</f>
        <v>Celia Rouche</v>
      </c>
      <c r="D2886" t="str">
        <f>_xlfn.XLOOKUP($B2886,sales_teams!$A$2:$A$36,sales_teams!C$2:C$36)</f>
        <v>West</v>
      </c>
      <c r="E2886" t="s">
        <v>20</v>
      </c>
      <c r="F2886" t="s">
        <v>315</v>
      </c>
      <c r="G2886" t="s">
        <v>12</v>
      </c>
      <c r="H2886" s="1">
        <v>42857</v>
      </c>
      <c r="I2886" s="1">
        <v>42908</v>
      </c>
      <c r="J2886">
        <v>569</v>
      </c>
    </row>
    <row r="2887" spans="1:10" x14ac:dyDescent="0.3">
      <c r="A2887" t="s">
        <v>3018</v>
      </c>
      <c r="B2887" t="s">
        <v>51</v>
      </c>
      <c r="C2887" t="str">
        <f>_xlfn.XLOOKUP(B2887,
[1]sales_teams!$A$2:$A$100,
[1]sales_teams!$B$2:$B$100)</f>
        <v>Summer Sewald</v>
      </c>
      <c r="D2887" t="str">
        <f>_xlfn.XLOOKUP($B2887,sales_teams!$A$2:$A$36,sales_teams!C$2:C$36)</f>
        <v>West</v>
      </c>
      <c r="E2887" t="s">
        <v>48</v>
      </c>
      <c r="F2887" t="s">
        <v>59</v>
      </c>
      <c r="G2887" t="s">
        <v>12</v>
      </c>
      <c r="H2887" s="1">
        <v>42857</v>
      </c>
      <c r="I2887" s="1">
        <v>42869</v>
      </c>
      <c r="J2887">
        <v>6310</v>
      </c>
    </row>
    <row r="2888" spans="1:10" x14ac:dyDescent="0.3">
      <c r="A2888" t="s">
        <v>3019</v>
      </c>
      <c r="B2888" t="s">
        <v>9</v>
      </c>
      <c r="C2888" t="str">
        <f>_xlfn.XLOOKUP(B2888,
[1]sales_teams!$A$2:$A$100,
[1]sales_teams!$B$2:$B$100)</f>
        <v>Dustin Brinkmann</v>
      </c>
      <c r="D2888" t="str">
        <f>_xlfn.XLOOKUP($B2888,sales_teams!$A$2:$A$36,sales_teams!C$2:C$36)</f>
        <v>Central</v>
      </c>
      <c r="E2888" t="s">
        <v>39</v>
      </c>
      <c r="F2888" t="s">
        <v>213</v>
      </c>
      <c r="G2888" t="s">
        <v>46</v>
      </c>
      <c r="H2888" s="1">
        <v>42857</v>
      </c>
      <c r="I2888" s="1">
        <v>42865</v>
      </c>
      <c r="J2888">
        <v>0</v>
      </c>
    </row>
    <row r="2889" spans="1:10" x14ac:dyDescent="0.3">
      <c r="A2889" t="s">
        <v>3020</v>
      </c>
      <c r="B2889" t="s">
        <v>97</v>
      </c>
      <c r="C2889" t="str">
        <f>_xlfn.XLOOKUP(B2889,
[1]sales_teams!$A$2:$A$100,
[1]sales_teams!$B$2:$B$100)</f>
        <v>Rocco Neubert</v>
      </c>
      <c r="D2889" t="str">
        <f>_xlfn.XLOOKUP($B2889,sales_teams!$A$2:$A$36,sales_teams!C$2:C$36)</f>
        <v>East</v>
      </c>
      <c r="E2889" t="s">
        <v>10</v>
      </c>
      <c r="F2889" t="s">
        <v>199</v>
      </c>
      <c r="G2889" t="s">
        <v>12</v>
      </c>
      <c r="H2889" s="1">
        <v>42857</v>
      </c>
      <c r="I2889" s="1">
        <v>42872</v>
      </c>
      <c r="J2889">
        <v>1135</v>
      </c>
    </row>
    <row r="2890" spans="1:10" x14ac:dyDescent="0.3">
      <c r="A2890" t="s">
        <v>3021</v>
      </c>
      <c r="B2890" t="s">
        <v>57</v>
      </c>
      <c r="C2890" t="str">
        <f>_xlfn.XLOOKUP(B2890,
[1]sales_teams!$A$2:$A$100,
[1]sales_teams!$B$2:$B$100)</f>
        <v>Celia Rouche</v>
      </c>
      <c r="D2890" t="str">
        <f>_xlfn.XLOOKUP($B2890,sales_teams!$A$2:$A$36,sales_teams!C$2:C$36)</f>
        <v>West</v>
      </c>
      <c r="E2890" t="s">
        <v>18</v>
      </c>
      <c r="G2890" t="s">
        <v>40</v>
      </c>
      <c r="H2890" s="1">
        <v>42857</v>
      </c>
    </row>
    <row r="2891" spans="1:10" x14ac:dyDescent="0.3">
      <c r="A2891" t="s">
        <v>3022</v>
      </c>
      <c r="B2891" t="s">
        <v>61</v>
      </c>
      <c r="C2891" t="str">
        <f>_xlfn.XLOOKUP(B2891,
[1]sales_teams!$A$2:$A$100,
[1]sales_teams!$B$2:$B$100)</f>
        <v>Dustin Brinkmann</v>
      </c>
      <c r="D2891" t="str">
        <f>_xlfn.XLOOKUP($B2891,sales_teams!$A$2:$A$36,sales_teams!C$2:C$36)</f>
        <v>Central</v>
      </c>
      <c r="E2891" t="s">
        <v>48</v>
      </c>
      <c r="F2891" t="s">
        <v>91</v>
      </c>
      <c r="G2891" t="s">
        <v>12</v>
      </c>
      <c r="H2891" s="1">
        <v>42857</v>
      </c>
      <c r="I2891" s="1">
        <v>42966</v>
      </c>
      <c r="J2891">
        <v>5145</v>
      </c>
    </row>
    <row r="2892" spans="1:10" x14ac:dyDescent="0.3">
      <c r="A2892" t="s">
        <v>3023</v>
      </c>
      <c r="B2892" t="s">
        <v>61</v>
      </c>
      <c r="C2892" t="str">
        <f>_xlfn.XLOOKUP(B2892,
[1]sales_teams!$A$2:$A$100,
[1]sales_teams!$B$2:$B$100)</f>
        <v>Dustin Brinkmann</v>
      </c>
      <c r="D2892" t="str">
        <f>_xlfn.XLOOKUP($B2892,sales_teams!$A$2:$A$36,sales_teams!C$2:C$36)</f>
        <v>Central</v>
      </c>
      <c r="E2892" t="s">
        <v>18</v>
      </c>
      <c r="F2892" t="s">
        <v>11</v>
      </c>
      <c r="G2892" t="s">
        <v>12</v>
      </c>
      <c r="H2892" s="1">
        <v>42857</v>
      </c>
      <c r="I2892" s="1">
        <v>42956</v>
      </c>
      <c r="J2892">
        <v>54</v>
      </c>
    </row>
    <row r="2893" spans="1:10" x14ac:dyDescent="0.3">
      <c r="A2893" t="s">
        <v>3024</v>
      </c>
      <c r="B2893" t="s">
        <v>29</v>
      </c>
      <c r="C2893" t="str">
        <f>_xlfn.XLOOKUP(B2893,
[1]sales_teams!$A$2:$A$100,
[1]sales_teams!$B$2:$B$100)</f>
        <v>Celia Rouche</v>
      </c>
      <c r="D2893" t="str">
        <f>_xlfn.XLOOKUP($B2893,sales_teams!$A$2:$A$36,sales_teams!C$2:C$36)</f>
        <v>West</v>
      </c>
      <c r="E2893" t="s">
        <v>15</v>
      </c>
      <c r="F2893" t="s">
        <v>59</v>
      </c>
      <c r="G2893" t="s">
        <v>46</v>
      </c>
      <c r="H2893" s="1">
        <v>42857</v>
      </c>
      <c r="I2893" s="1">
        <v>42872</v>
      </c>
      <c r="J2893">
        <v>0</v>
      </c>
    </row>
    <row r="2894" spans="1:10" x14ac:dyDescent="0.3">
      <c r="A2894" t="s">
        <v>3025</v>
      </c>
      <c r="B2894" t="s">
        <v>23</v>
      </c>
      <c r="C2894" t="str">
        <f>_xlfn.XLOOKUP(B2894,
[1]sales_teams!$A$2:$A$100,
[1]sales_teams!$B$2:$B$100)</f>
        <v>Summer Sewald</v>
      </c>
      <c r="D2894" t="str">
        <f>_xlfn.XLOOKUP($B2894,sales_teams!$A$2:$A$36,sales_teams!C$2:C$36)</f>
        <v>West</v>
      </c>
      <c r="E2894" t="s">
        <v>48</v>
      </c>
      <c r="G2894" t="s">
        <v>40</v>
      </c>
      <c r="H2894" s="1">
        <v>42857</v>
      </c>
    </row>
    <row r="2895" spans="1:10" x14ac:dyDescent="0.3">
      <c r="A2895" t="s">
        <v>3026</v>
      </c>
      <c r="B2895" t="s">
        <v>26</v>
      </c>
      <c r="C2895" t="str">
        <f>_xlfn.XLOOKUP(B2895,
[1]sales_teams!$A$2:$A$100,
[1]sales_teams!$B$2:$B$100)</f>
        <v>Dustin Brinkmann</v>
      </c>
      <c r="D2895" t="str">
        <f>_xlfn.XLOOKUP($B2895,sales_teams!$A$2:$A$36,sales_teams!C$2:C$36)</f>
        <v>Central</v>
      </c>
      <c r="E2895" t="s">
        <v>18</v>
      </c>
      <c r="F2895" t="s">
        <v>21</v>
      </c>
      <c r="G2895" t="s">
        <v>12</v>
      </c>
      <c r="H2895" s="1">
        <v>42858</v>
      </c>
      <c r="I2895" s="1">
        <v>42948</v>
      </c>
      <c r="J2895">
        <v>53</v>
      </c>
    </row>
    <row r="2896" spans="1:10" x14ac:dyDescent="0.3">
      <c r="A2896" t="s">
        <v>3027</v>
      </c>
      <c r="B2896" t="s">
        <v>139</v>
      </c>
      <c r="C2896" t="str">
        <f>_xlfn.XLOOKUP(B2896,
[1]sales_teams!$A$2:$A$100,
[1]sales_teams!$B$2:$B$100)</f>
        <v>Rocco Neubert</v>
      </c>
      <c r="D2896" t="str">
        <f>_xlfn.XLOOKUP($B2896,sales_teams!$A$2:$A$36,sales_teams!C$2:C$36)</f>
        <v>East</v>
      </c>
      <c r="E2896" t="s">
        <v>20</v>
      </c>
      <c r="F2896" t="s">
        <v>189</v>
      </c>
      <c r="G2896" t="s">
        <v>12</v>
      </c>
      <c r="H2896" s="1">
        <v>42858</v>
      </c>
      <c r="I2896" s="1">
        <v>42868</v>
      </c>
      <c r="J2896">
        <v>511</v>
      </c>
    </row>
    <row r="2897" spans="1:10" x14ac:dyDescent="0.3">
      <c r="A2897" t="s">
        <v>3028</v>
      </c>
      <c r="B2897" t="s">
        <v>139</v>
      </c>
      <c r="C2897" t="str">
        <f>_xlfn.XLOOKUP(B2897,
[1]sales_teams!$A$2:$A$100,
[1]sales_teams!$B$2:$B$100)</f>
        <v>Rocco Neubert</v>
      </c>
      <c r="D2897" t="str">
        <f>_xlfn.XLOOKUP($B2897,sales_teams!$A$2:$A$36,sales_teams!C$2:C$36)</f>
        <v>East</v>
      </c>
      <c r="E2897" t="s">
        <v>48</v>
      </c>
      <c r="F2897" t="s">
        <v>199</v>
      </c>
      <c r="G2897" t="s">
        <v>12</v>
      </c>
      <c r="H2897" s="1">
        <v>42858</v>
      </c>
      <c r="I2897" s="1">
        <v>42972</v>
      </c>
      <c r="J2897">
        <v>5747</v>
      </c>
    </row>
    <row r="2898" spans="1:10" x14ac:dyDescent="0.3">
      <c r="A2898" t="s">
        <v>3029</v>
      </c>
      <c r="B2898" t="s">
        <v>118</v>
      </c>
      <c r="C2898" t="str">
        <f>_xlfn.XLOOKUP(B2898,
[1]sales_teams!$A$2:$A$100,
[1]sales_teams!$B$2:$B$100)</f>
        <v>Rocco Neubert</v>
      </c>
      <c r="D2898" t="str">
        <f>_xlfn.XLOOKUP($B2898,sales_teams!$A$2:$A$36,sales_teams!C$2:C$36)</f>
        <v>East</v>
      </c>
      <c r="E2898" t="s">
        <v>15</v>
      </c>
      <c r="F2898" t="s">
        <v>318</v>
      </c>
      <c r="G2898" t="s">
        <v>40</v>
      </c>
      <c r="H2898" s="1">
        <v>42858</v>
      </c>
    </row>
    <row r="2899" spans="1:10" x14ac:dyDescent="0.3">
      <c r="A2899" t="s">
        <v>3030</v>
      </c>
      <c r="B2899" t="s">
        <v>118</v>
      </c>
      <c r="C2899" t="str">
        <f>_xlfn.XLOOKUP(B2899,
[1]sales_teams!$A$2:$A$100,
[1]sales_teams!$B$2:$B$100)</f>
        <v>Rocco Neubert</v>
      </c>
      <c r="D2899" t="str">
        <f>_xlfn.XLOOKUP($B2899,sales_teams!$A$2:$A$36,sales_teams!C$2:C$36)</f>
        <v>East</v>
      </c>
      <c r="E2899" t="s">
        <v>20</v>
      </c>
      <c r="F2899" t="s">
        <v>98</v>
      </c>
      <c r="G2899" t="s">
        <v>46</v>
      </c>
      <c r="H2899" s="1">
        <v>42858</v>
      </c>
      <c r="I2899" s="1">
        <v>42948</v>
      </c>
      <c r="J2899">
        <v>0</v>
      </c>
    </row>
    <row r="2900" spans="1:10" x14ac:dyDescent="0.3">
      <c r="A2900" t="s">
        <v>3031</v>
      </c>
      <c r="B2900" t="s">
        <v>14</v>
      </c>
      <c r="C2900" t="str">
        <f>_xlfn.XLOOKUP(B2900,
[1]sales_teams!$A$2:$A$100,
[1]sales_teams!$B$2:$B$100)</f>
        <v>Melvin Marxen</v>
      </c>
      <c r="D2900" t="str">
        <f>_xlfn.XLOOKUP($B2900,sales_teams!$A$2:$A$36,sales_teams!C$2:C$36)</f>
        <v>Central</v>
      </c>
      <c r="E2900" t="s">
        <v>15</v>
      </c>
      <c r="F2900" t="s">
        <v>21</v>
      </c>
      <c r="G2900" t="s">
        <v>46</v>
      </c>
      <c r="H2900" s="1">
        <v>42858</v>
      </c>
      <c r="I2900" s="1">
        <v>42955</v>
      </c>
      <c r="J2900">
        <v>0</v>
      </c>
    </row>
    <row r="2901" spans="1:10" x14ac:dyDescent="0.3">
      <c r="A2901" t="s">
        <v>3032</v>
      </c>
      <c r="B2901" t="s">
        <v>14</v>
      </c>
      <c r="C2901" t="str">
        <f>_xlfn.XLOOKUP(B2901,
[1]sales_teams!$A$2:$A$100,
[1]sales_teams!$B$2:$B$100)</f>
        <v>Melvin Marxen</v>
      </c>
      <c r="D2901" t="str">
        <f>_xlfn.XLOOKUP($B2901,sales_teams!$A$2:$A$36,sales_teams!C$2:C$36)</f>
        <v>Central</v>
      </c>
      <c r="E2901" t="s">
        <v>20</v>
      </c>
      <c r="F2901" t="s">
        <v>318</v>
      </c>
      <c r="G2901" t="s">
        <v>12</v>
      </c>
      <c r="H2901" s="1">
        <v>42858</v>
      </c>
      <c r="I2901" s="1">
        <v>42958</v>
      </c>
      <c r="J2901">
        <v>596</v>
      </c>
    </row>
    <row r="2902" spans="1:10" x14ac:dyDescent="0.3">
      <c r="A2902" t="s">
        <v>3033</v>
      </c>
      <c r="B2902" t="s">
        <v>252</v>
      </c>
      <c r="C2902" t="str">
        <f>_xlfn.XLOOKUP(B2902,
[1]sales_teams!$A$2:$A$100,
[1]sales_teams!$B$2:$B$100)</f>
        <v>Melvin Marxen</v>
      </c>
      <c r="D2902" t="str">
        <f>_xlfn.XLOOKUP($B2902,sales_teams!$A$2:$A$36,sales_teams!C$2:C$36)</f>
        <v>Central</v>
      </c>
      <c r="E2902" t="s">
        <v>18</v>
      </c>
      <c r="F2902" t="s">
        <v>120</v>
      </c>
      <c r="G2902" t="s">
        <v>12</v>
      </c>
      <c r="H2902" s="1">
        <v>42858</v>
      </c>
      <c r="I2902" s="1">
        <v>42869</v>
      </c>
      <c r="J2902">
        <v>60</v>
      </c>
    </row>
    <row r="2903" spans="1:10" x14ac:dyDescent="0.3">
      <c r="A2903" t="s">
        <v>3034</v>
      </c>
      <c r="B2903" t="s">
        <v>78</v>
      </c>
      <c r="C2903" t="str">
        <f>_xlfn.XLOOKUP(B2903,
[1]sales_teams!$A$2:$A$100,
[1]sales_teams!$B$2:$B$100)</f>
        <v>Summer Sewald</v>
      </c>
      <c r="D2903" t="str">
        <f>_xlfn.XLOOKUP($B2903,sales_teams!$A$2:$A$36,sales_teams!C$2:C$36)</f>
        <v>West</v>
      </c>
      <c r="E2903" t="s">
        <v>15</v>
      </c>
      <c r="F2903" t="s">
        <v>55</v>
      </c>
      <c r="G2903" t="s">
        <v>12</v>
      </c>
      <c r="H2903" s="1">
        <v>42858</v>
      </c>
      <c r="I2903" s="1">
        <v>42859</v>
      </c>
      <c r="J2903">
        <v>4372</v>
      </c>
    </row>
    <row r="2904" spans="1:10" x14ac:dyDescent="0.3">
      <c r="A2904" t="s">
        <v>3035</v>
      </c>
      <c r="B2904" t="s">
        <v>95</v>
      </c>
      <c r="C2904" t="str">
        <f>_xlfn.XLOOKUP(B2904,
[1]sales_teams!$A$2:$A$100,
[1]sales_teams!$B$2:$B$100)</f>
        <v>Summer Sewald</v>
      </c>
      <c r="D2904" t="str">
        <f>_xlfn.XLOOKUP($B2904,sales_teams!$A$2:$A$36,sales_teams!C$2:C$36)</f>
        <v>West</v>
      </c>
      <c r="E2904" t="s">
        <v>15</v>
      </c>
      <c r="F2904" t="s">
        <v>93</v>
      </c>
      <c r="G2904" t="s">
        <v>12</v>
      </c>
      <c r="H2904" s="1">
        <v>42858</v>
      </c>
      <c r="I2904" s="1">
        <v>42863</v>
      </c>
      <c r="J2904">
        <v>4604</v>
      </c>
    </row>
    <row r="2905" spans="1:10" x14ac:dyDescent="0.3">
      <c r="A2905" t="s">
        <v>3036</v>
      </c>
      <c r="B2905" t="s">
        <v>32</v>
      </c>
      <c r="C2905" t="str">
        <f>_xlfn.XLOOKUP(B2905,
[1]sales_teams!$A$2:$A$100,
[1]sales_teams!$B$2:$B$100)</f>
        <v>Celia Rouche</v>
      </c>
      <c r="D2905" t="str">
        <f>_xlfn.XLOOKUP($B2905,sales_teams!$A$2:$A$36,sales_teams!C$2:C$36)</f>
        <v>West</v>
      </c>
      <c r="E2905" t="s">
        <v>48</v>
      </c>
      <c r="G2905" t="s">
        <v>40</v>
      </c>
      <c r="H2905" s="1">
        <v>42858</v>
      </c>
    </row>
    <row r="2906" spans="1:10" x14ac:dyDescent="0.3">
      <c r="A2906" t="s">
        <v>3037</v>
      </c>
      <c r="B2906" t="s">
        <v>32</v>
      </c>
      <c r="C2906" t="str">
        <f>_xlfn.XLOOKUP(B2906,
[1]sales_teams!$A$2:$A$100,
[1]sales_teams!$B$2:$B$100)</f>
        <v>Celia Rouche</v>
      </c>
      <c r="D2906" t="str">
        <f>_xlfn.XLOOKUP($B2906,sales_teams!$A$2:$A$36,sales_teams!C$2:C$36)</f>
        <v>West</v>
      </c>
      <c r="E2906" t="s">
        <v>39</v>
      </c>
      <c r="F2906" t="s">
        <v>148</v>
      </c>
      <c r="G2906" t="s">
        <v>46</v>
      </c>
      <c r="H2906" s="1">
        <v>42858</v>
      </c>
      <c r="I2906" s="1">
        <v>42868</v>
      </c>
      <c r="J2906">
        <v>0</v>
      </c>
    </row>
    <row r="2907" spans="1:10" x14ac:dyDescent="0.3">
      <c r="A2907" t="s">
        <v>3038</v>
      </c>
      <c r="B2907" t="s">
        <v>97</v>
      </c>
      <c r="C2907" t="str">
        <f>_xlfn.XLOOKUP(B2907,
[1]sales_teams!$A$2:$A$100,
[1]sales_teams!$B$2:$B$100)</f>
        <v>Rocco Neubert</v>
      </c>
      <c r="D2907" t="str">
        <f>_xlfn.XLOOKUP($B2907,sales_teams!$A$2:$A$36,sales_teams!C$2:C$36)</f>
        <v>East</v>
      </c>
      <c r="E2907" t="s">
        <v>15</v>
      </c>
      <c r="F2907" t="s">
        <v>204</v>
      </c>
      <c r="G2907" t="s">
        <v>12</v>
      </c>
      <c r="H2907" s="1">
        <v>42858</v>
      </c>
      <c r="I2907" s="1">
        <v>42863</v>
      </c>
      <c r="J2907">
        <v>4859</v>
      </c>
    </row>
    <row r="2908" spans="1:10" x14ac:dyDescent="0.3">
      <c r="A2908" t="s">
        <v>3039</v>
      </c>
      <c r="B2908" t="s">
        <v>29</v>
      </c>
      <c r="C2908" t="str">
        <f>_xlfn.XLOOKUP(B2908,
[1]sales_teams!$A$2:$A$100,
[1]sales_teams!$B$2:$B$100)</f>
        <v>Celia Rouche</v>
      </c>
      <c r="D2908" t="str">
        <f>_xlfn.XLOOKUP($B2908,sales_teams!$A$2:$A$36,sales_teams!C$2:C$36)</f>
        <v>West</v>
      </c>
      <c r="E2908" t="s">
        <v>39</v>
      </c>
      <c r="F2908" t="s">
        <v>79</v>
      </c>
      <c r="G2908" t="s">
        <v>12</v>
      </c>
      <c r="H2908" s="1">
        <v>42858</v>
      </c>
      <c r="I2908" s="1">
        <v>42950</v>
      </c>
      <c r="J2908">
        <v>3718</v>
      </c>
    </row>
    <row r="2909" spans="1:10" x14ac:dyDescent="0.3">
      <c r="A2909" t="s">
        <v>3040</v>
      </c>
      <c r="B2909" t="s">
        <v>73</v>
      </c>
      <c r="C2909" t="str">
        <f>_xlfn.XLOOKUP(B2909,
[1]sales_teams!$A$2:$A$100,
[1]sales_teams!$B$2:$B$100)</f>
        <v>Cara Losch</v>
      </c>
      <c r="D2909" t="str">
        <f>_xlfn.XLOOKUP($B2909,sales_teams!$A$2:$A$36,sales_teams!C$2:C$36)</f>
        <v>East</v>
      </c>
      <c r="E2909" t="s">
        <v>18</v>
      </c>
      <c r="F2909" t="s">
        <v>398</v>
      </c>
      <c r="G2909" t="s">
        <v>40</v>
      </c>
      <c r="H2909" s="1">
        <v>42858</v>
      </c>
    </row>
    <row r="2910" spans="1:10" x14ac:dyDescent="0.3">
      <c r="A2910" t="s">
        <v>3041</v>
      </c>
      <c r="B2910" t="s">
        <v>73</v>
      </c>
      <c r="C2910" t="str">
        <f>_xlfn.XLOOKUP(B2910,
[1]sales_teams!$A$2:$A$100,
[1]sales_teams!$B$2:$B$100)</f>
        <v>Cara Losch</v>
      </c>
      <c r="D2910" t="str">
        <f>_xlfn.XLOOKUP($B2910,sales_teams!$A$2:$A$36,sales_teams!C$2:C$36)</f>
        <v>East</v>
      </c>
      <c r="E2910" t="s">
        <v>39</v>
      </c>
      <c r="F2910" t="s">
        <v>329</v>
      </c>
      <c r="G2910" t="s">
        <v>46</v>
      </c>
      <c r="H2910" s="1">
        <v>42858</v>
      </c>
      <c r="I2910" s="1">
        <v>42874</v>
      </c>
      <c r="J2910">
        <v>0</v>
      </c>
    </row>
    <row r="2911" spans="1:10" x14ac:dyDescent="0.3">
      <c r="A2911" t="s">
        <v>3042</v>
      </c>
      <c r="B2911" t="s">
        <v>23</v>
      </c>
      <c r="C2911" t="str">
        <f>_xlfn.XLOOKUP(B2911,
[1]sales_teams!$A$2:$A$100,
[1]sales_teams!$B$2:$B$100)</f>
        <v>Summer Sewald</v>
      </c>
      <c r="D2911" t="str">
        <f>_xlfn.XLOOKUP($B2911,sales_teams!$A$2:$A$36,sales_teams!C$2:C$36)</f>
        <v>West</v>
      </c>
      <c r="E2911" t="s">
        <v>20</v>
      </c>
      <c r="F2911" t="s">
        <v>315</v>
      </c>
      <c r="G2911" t="s">
        <v>12</v>
      </c>
      <c r="H2911" s="1">
        <v>42858</v>
      </c>
      <c r="I2911" s="1">
        <v>42885</v>
      </c>
      <c r="J2911">
        <v>493</v>
      </c>
    </row>
    <row r="2912" spans="1:10" x14ac:dyDescent="0.3">
      <c r="A2912" t="s">
        <v>3043</v>
      </c>
      <c r="B2912" t="s">
        <v>26</v>
      </c>
      <c r="C2912" t="str">
        <f>_xlfn.XLOOKUP(B2912,
[1]sales_teams!$A$2:$A$100,
[1]sales_teams!$B$2:$B$100)</f>
        <v>Dustin Brinkmann</v>
      </c>
      <c r="D2912" t="str">
        <f>_xlfn.XLOOKUP($B2912,sales_teams!$A$2:$A$36,sales_teams!C$2:C$36)</f>
        <v>Central</v>
      </c>
      <c r="E2912" t="s">
        <v>18</v>
      </c>
      <c r="F2912" t="s">
        <v>207</v>
      </c>
      <c r="G2912" t="s">
        <v>12</v>
      </c>
      <c r="H2912" s="1">
        <v>42859</v>
      </c>
      <c r="I2912" s="1">
        <v>42890</v>
      </c>
      <c r="J2912">
        <v>54</v>
      </c>
    </row>
    <row r="2913" spans="1:10" x14ac:dyDescent="0.3">
      <c r="A2913" t="s">
        <v>3044</v>
      </c>
      <c r="B2913" t="s">
        <v>26</v>
      </c>
      <c r="C2913" t="str">
        <f>_xlfn.XLOOKUP(B2913,
[1]sales_teams!$A$2:$A$100,
[1]sales_teams!$B$2:$B$100)</f>
        <v>Dustin Brinkmann</v>
      </c>
      <c r="D2913" t="str">
        <f>_xlfn.XLOOKUP($B2913,sales_teams!$A$2:$A$36,sales_teams!C$2:C$36)</f>
        <v>Central</v>
      </c>
      <c r="E2913" t="s">
        <v>18</v>
      </c>
      <c r="F2913" t="s">
        <v>113</v>
      </c>
      <c r="G2913" t="s">
        <v>12</v>
      </c>
      <c r="H2913" s="1">
        <v>42859</v>
      </c>
      <c r="I2913" s="1">
        <v>42895</v>
      </c>
      <c r="J2913">
        <v>52</v>
      </c>
    </row>
    <row r="2914" spans="1:10" x14ac:dyDescent="0.3">
      <c r="A2914" t="s">
        <v>3045</v>
      </c>
      <c r="B2914" t="s">
        <v>26</v>
      </c>
      <c r="C2914" t="str">
        <f>_xlfn.XLOOKUP(B2914,
[1]sales_teams!$A$2:$A$100,
[1]sales_teams!$B$2:$B$100)</f>
        <v>Dustin Brinkmann</v>
      </c>
      <c r="D2914" t="str">
        <f>_xlfn.XLOOKUP($B2914,sales_teams!$A$2:$A$36,sales_teams!C$2:C$36)</f>
        <v>Central</v>
      </c>
      <c r="E2914" t="s">
        <v>39</v>
      </c>
      <c r="F2914" t="s">
        <v>151</v>
      </c>
      <c r="G2914" t="s">
        <v>12</v>
      </c>
      <c r="H2914" s="1">
        <v>42859</v>
      </c>
      <c r="I2914" s="1">
        <v>42909</v>
      </c>
      <c r="J2914">
        <v>3813</v>
      </c>
    </row>
    <row r="2915" spans="1:10" x14ac:dyDescent="0.3">
      <c r="A2915" t="s">
        <v>3046</v>
      </c>
      <c r="B2915" t="s">
        <v>64</v>
      </c>
      <c r="C2915" t="str">
        <f>_xlfn.XLOOKUP(B2915,
[1]sales_teams!$A$2:$A$100,
[1]sales_teams!$B$2:$B$100)</f>
        <v>Rocco Neubert</v>
      </c>
      <c r="D2915" t="str">
        <f>_xlfn.XLOOKUP($B2915,sales_teams!$A$2:$A$36,sales_teams!C$2:C$36)</f>
        <v>East</v>
      </c>
      <c r="E2915" t="s">
        <v>15</v>
      </c>
      <c r="F2915" t="s">
        <v>74</v>
      </c>
      <c r="G2915" t="s">
        <v>46</v>
      </c>
      <c r="H2915" s="1">
        <v>42859</v>
      </c>
      <c r="I2915" s="1">
        <v>42951</v>
      </c>
      <c r="J2915">
        <v>0</v>
      </c>
    </row>
    <row r="2916" spans="1:10" x14ac:dyDescent="0.3">
      <c r="A2916" t="s">
        <v>3047</v>
      </c>
      <c r="B2916" t="s">
        <v>14</v>
      </c>
      <c r="C2916" t="str">
        <f>_xlfn.XLOOKUP(B2916,
[1]sales_teams!$A$2:$A$100,
[1]sales_teams!$B$2:$B$100)</f>
        <v>Melvin Marxen</v>
      </c>
      <c r="D2916" t="str">
        <f>_xlfn.XLOOKUP($B2916,sales_teams!$A$2:$A$36,sales_teams!C$2:C$36)</f>
        <v>Central</v>
      </c>
      <c r="E2916" t="s">
        <v>15</v>
      </c>
      <c r="F2916" t="s">
        <v>197</v>
      </c>
      <c r="G2916" t="s">
        <v>12</v>
      </c>
      <c r="H2916" s="1">
        <v>42859</v>
      </c>
      <c r="I2916" s="1">
        <v>42959</v>
      </c>
      <c r="J2916">
        <v>4935</v>
      </c>
    </row>
    <row r="2917" spans="1:10" x14ac:dyDescent="0.3">
      <c r="A2917" t="s">
        <v>3048</v>
      </c>
      <c r="B2917" t="s">
        <v>14</v>
      </c>
      <c r="C2917" t="str">
        <f>_xlfn.XLOOKUP(B2917,
[1]sales_teams!$A$2:$A$100,
[1]sales_teams!$B$2:$B$100)</f>
        <v>Melvin Marxen</v>
      </c>
      <c r="D2917" t="str">
        <f>_xlfn.XLOOKUP($B2917,sales_teams!$A$2:$A$36,sales_teams!C$2:C$36)</f>
        <v>Central</v>
      </c>
      <c r="E2917" t="s">
        <v>39</v>
      </c>
      <c r="F2917" t="s">
        <v>21</v>
      </c>
      <c r="G2917" t="s">
        <v>12</v>
      </c>
      <c r="H2917" s="1">
        <v>42859</v>
      </c>
      <c r="I2917" s="1">
        <v>42964</v>
      </c>
      <c r="J2917">
        <v>3560</v>
      </c>
    </row>
    <row r="2918" spans="1:10" x14ac:dyDescent="0.3">
      <c r="A2918" t="s">
        <v>3049</v>
      </c>
      <c r="B2918" t="s">
        <v>252</v>
      </c>
      <c r="C2918" t="str">
        <f>_xlfn.XLOOKUP(B2918,
[1]sales_teams!$A$2:$A$100,
[1]sales_teams!$B$2:$B$100)</f>
        <v>Melvin Marxen</v>
      </c>
      <c r="D2918" t="str">
        <f>_xlfn.XLOOKUP($B2918,sales_teams!$A$2:$A$36,sales_teams!C$2:C$36)</f>
        <v>Central</v>
      </c>
      <c r="E2918" t="s">
        <v>15</v>
      </c>
      <c r="F2918" t="s">
        <v>303</v>
      </c>
      <c r="G2918" t="s">
        <v>46</v>
      </c>
      <c r="H2918" s="1">
        <v>42859</v>
      </c>
      <c r="I2918" s="1">
        <v>42875</v>
      </c>
      <c r="J2918">
        <v>0</v>
      </c>
    </row>
    <row r="2919" spans="1:10" x14ac:dyDescent="0.3">
      <c r="A2919" t="s">
        <v>3050</v>
      </c>
      <c r="B2919" t="s">
        <v>252</v>
      </c>
      <c r="C2919" t="str">
        <f>_xlfn.XLOOKUP(B2919,
[1]sales_teams!$A$2:$A$100,
[1]sales_teams!$B$2:$B$100)</f>
        <v>Melvin Marxen</v>
      </c>
      <c r="D2919" t="str">
        <f>_xlfn.XLOOKUP($B2919,sales_teams!$A$2:$A$36,sales_teams!C$2:C$36)</f>
        <v>Central</v>
      </c>
      <c r="E2919" t="s">
        <v>15</v>
      </c>
      <c r="F2919" t="s">
        <v>187</v>
      </c>
      <c r="G2919" t="s">
        <v>46</v>
      </c>
      <c r="H2919" s="1">
        <v>42859</v>
      </c>
      <c r="I2919" s="1">
        <v>42972</v>
      </c>
      <c r="J2919">
        <v>0</v>
      </c>
    </row>
    <row r="2920" spans="1:10" x14ac:dyDescent="0.3">
      <c r="A2920" t="s">
        <v>3051</v>
      </c>
      <c r="B2920" t="s">
        <v>133</v>
      </c>
      <c r="C2920" t="str">
        <f>_xlfn.XLOOKUP(B2920,
[1]sales_teams!$A$2:$A$100,
[1]sales_teams!$B$2:$B$100)</f>
        <v>Dustin Brinkmann</v>
      </c>
      <c r="D2920" t="str">
        <f>_xlfn.XLOOKUP($B2920,sales_teams!$A$2:$A$36,sales_teams!C$2:C$36)</f>
        <v>Central</v>
      </c>
      <c r="E2920" t="s">
        <v>20</v>
      </c>
      <c r="F2920" t="s">
        <v>27</v>
      </c>
      <c r="G2920" t="s">
        <v>46</v>
      </c>
      <c r="H2920" s="1">
        <v>42859</v>
      </c>
      <c r="I2920" s="1">
        <v>42865</v>
      </c>
      <c r="J2920">
        <v>0</v>
      </c>
    </row>
    <row r="2921" spans="1:10" x14ac:dyDescent="0.3">
      <c r="A2921" t="s">
        <v>3052</v>
      </c>
      <c r="B2921" t="s">
        <v>133</v>
      </c>
      <c r="C2921" t="str">
        <f>_xlfn.XLOOKUP(B2921,
[1]sales_teams!$A$2:$A$100,
[1]sales_teams!$B$2:$B$100)</f>
        <v>Dustin Brinkmann</v>
      </c>
      <c r="D2921" t="str">
        <f>_xlfn.XLOOKUP($B2921,sales_teams!$A$2:$A$36,sales_teams!C$2:C$36)</f>
        <v>Central</v>
      </c>
      <c r="E2921" t="s">
        <v>10</v>
      </c>
      <c r="F2921" t="s">
        <v>303</v>
      </c>
      <c r="G2921" t="s">
        <v>46</v>
      </c>
      <c r="H2921" s="1">
        <v>42859</v>
      </c>
      <c r="I2921" s="1">
        <v>42967</v>
      </c>
      <c r="J2921">
        <v>0</v>
      </c>
    </row>
    <row r="2922" spans="1:10" x14ac:dyDescent="0.3">
      <c r="A2922" t="s">
        <v>3053</v>
      </c>
      <c r="B2922" t="s">
        <v>133</v>
      </c>
      <c r="C2922" t="str">
        <f>_xlfn.XLOOKUP(B2922,
[1]sales_teams!$A$2:$A$100,
[1]sales_teams!$B$2:$B$100)</f>
        <v>Dustin Brinkmann</v>
      </c>
      <c r="D2922" t="str">
        <f>_xlfn.XLOOKUP($B2922,sales_teams!$A$2:$A$36,sales_teams!C$2:C$36)</f>
        <v>Central</v>
      </c>
      <c r="E2922" t="s">
        <v>39</v>
      </c>
      <c r="F2922" t="s">
        <v>36</v>
      </c>
      <c r="G2922" t="s">
        <v>46</v>
      </c>
      <c r="H2922" s="1">
        <v>42859</v>
      </c>
      <c r="I2922" s="1">
        <v>42974</v>
      </c>
      <c r="J2922">
        <v>0</v>
      </c>
    </row>
    <row r="2923" spans="1:10" x14ac:dyDescent="0.3">
      <c r="A2923" t="s">
        <v>3054</v>
      </c>
      <c r="B2923" t="s">
        <v>35</v>
      </c>
      <c r="C2923" t="str">
        <f>_xlfn.XLOOKUP(B2923,
[1]sales_teams!$A$2:$A$100,
[1]sales_teams!$B$2:$B$100)</f>
        <v>Melvin Marxen</v>
      </c>
      <c r="D2923" t="str">
        <f>_xlfn.XLOOKUP($B2923,sales_teams!$A$2:$A$36,sales_teams!C$2:C$36)</f>
        <v>Central</v>
      </c>
      <c r="E2923" t="s">
        <v>10</v>
      </c>
      <c r="F2923" t="s">
        <v>111</v>
      </c>
      <c r="G2923" t="s">
        <v>46</v>
      </c>
      <c r="H2923" s="1">
        <v>42859</v>
      </c>
      <c r="I2923" s="1">
        <v>42972</v>
      </c>
      <c r="J2923">
        <v>0</v>
      </c>
    </row>
    <row r="2924" spans="1:10" x14ac:dyDescent="0.3">
      <c r="A2924" t="s">
        <v>3055</v>
      </c>
      <c r="B2924" t="s">
        <v>35</v>
      </c>
      <c r="C2924" t="str">
        <f>_xlfn.XLOOKUP(B2924,
[1]sales_teams!$A$2:$A$100,
[1]sales_teams!$B$2:$B$100)</f>
        <v>Melvin Marxen</v>
      </c>
      <c r="D2924" t="str">
        <f>_xlfn.XLOOKUP($B2924,sales_teams!$A$2:$A$36,sales_teams!C$2:C$36)</f>
        <v>Central</v>
      </c>
      <c r="E2924" t="s">
        <v>20</v>
      </c>
      <c r="F2924" t="s">
        <v>45</v>
      </c>
      <c r="G2924" t="s">
        <v>12</v>
      </c>
      <c r="H2924" s="1">
        <v>42859</v>
      </c>
      <c r="I2924" s="1">
        <v>42952</v>
      </c>
      <c r="J2924">
        <v>528</v>
      </c>
    </row>
    <row r="2925" spans="1:10" x14ac:dyDescent="0.3">
      <c r="A2925" t="s">
        <v>3056</v>
      </c>
      <c r="B2925" t="s">
        <v>35</v>
      </c>
      <c r="C2925" t="str">
        <f>_xlfn.XLOOKUP(B2925,
[1]sales_teams!$A$2:$A$100,
[1]sales_teams!$B$2:$B$100)</f>
        <v>Melvin Marxen</v>
      </c>
      <c r="D2925" t="str">
        <f>_xlfn.XLOOKUP($B2925,sales_teams!$A$2:$A$36,sales_teams!C$2:C$36)</f>
        <v>Central</v>
      </c>
      <c r="E2925" t="s">
        <v>10</v>
      </c>
      <c r="F2925" t="s">
        <v>111</v>
      </c>
      <c r="G2925" t="s">
        <v>12</v>
      </c>
      <c r="H2925" s="1">
        <v>42859</v>
      </c>
      <c r="I2925" s="1">
        <v>42906</v>
      </c>
      <c r="J2925">
        <v>1188</v>
      </c>
    </row>
    <row r="2926" spans="1:10" x14ac:dyDescent="0.3">
      <c r="A2926" t="s">
        <v>3057</v>
      </c>
      <c r="B2926" t="s">
        <v>97</v>
      </c>
      <c r="C2926" t="str">
        <f>_xlfn.XLOOKUP(B2926,
[1]sales_teams!$A$2:$A$100,
[1]sales_teams!$B$2:$B$100)</f>
        <v>Rocco Neubert</v>
      </c>
      <c r="D2926" t="str">
        <f>_xlfn.XLOOKUP($B2926,sales_teams!$A$2:$A$36,sales_teams!C$2:C$36)</f>
        <v>East</v>
      </c>
      <c r="E2926" t="s">
        <v>48</v>
      </c>
      <c r="F2926" t="s">
        <v>65</v>
      </c>
      <c r="G2926" t="s">
        <v>46</v>
      </c>
      <c r="H2926" s="1">
        <v>42859</v>
      </c>
      <c r="I2926" s="1">
        <v>42993</v>
      </c>
      <c r="J2926">
        <v>0</v>
      </c>
    </row>
    <row r="2927" spans="1:10" x14ac:dyDescent="0.3">
      <c r="A2927" t="s">
        <v>3058</v>
      </c>
      <c r="B2927" t="s">
        <v>61</v>
      </c>
      <c r="C2927" t="str">
        <f>_xlfn.XLOOKUP(B2927,
[1]sales_teams!$A$2:$A$100,
[1]sales_teams!$B$2:$B$100)</f>
        <v>Dustin Brinkmann</v>
      </c>
      <c r="D2927" t="str">
        <f>_xlfn.XLOOKUP($B2927,sales_teams!$A$2:$A$36,sales_teams!C$2:C$36)</f>
        <v>Central</v>
      </c>
      <c r="E2927" t="s">
        <v>39</v>
      </c>
      <c r="F2927" t="s">
        <v>197</v>
      </c>
      <c r="G2927" t="s">
        <v>46</v>
      </c>
      <c r="H2927" s="1">
        <v>42859</v>
      </c>
      <c r="I2927" s="1">
        <v>42865</v>
      </c>
      <c r="J2927">
        <v>0</v>
      </c>
    </row>
    <row r="2928" spans="1:10" x14ac:dyDescent="0.3">
      <c r="A2928" t="s">
        <v>3059</v>
      </c>
      <c r="B2928" t="s">
        <v>61</v>
      </c>
      <c r="C2928" t="str">
        <f>_xlfn.XLOOKUP(B2928,
[1]sales_teams!$A$2:$A$100,
[1]sales_teams!$B$2:$B$100)</f>
        <v>Dustin Brinkmann</v>
      </c>
      <c r="D2928" t="str">
        <f>_xlfn.XLOOKUP($B2928,sales_teams!$A$2:$A$36,sales_teams!C$2:C$36)</f>
        <v>Central</v>
      </c>
      <c r="E2928" t="s">
        <v>20</v>
      </c>
      <c r="F2928" t="s">
        <v>303</v>
      </c>
      <c r="G2928" t="s">
        <v>12</v>
      </c>
      <c r="H2928" s="1">
        <v>42859</v>
      </c>
      <c r="I2928" s="1">
        <v>42956</v>
      </c>
      <c r="J2928">
        <v>590</v>
      </c>
    </row>
    <row r="2929" spans="1:10" x14ac:dyDescent="0.3">
      <c r="A2929" t="s">
        <v>3060</v>
      </c>
      <c r="B2929" t="s">
        <v>29</v>
      </c>
      <c r="C2929" t="str">
        <f>_xlfn.XLOOKUP(B2929,
[1]sales_teams!$A$2:$A$100,
[1]sales_teams!$B$2:$B$100)</f>
        <v>Celia Rouche</v>
      </c>
      <c r="D2929" t="str">
        <f>_xlfn.XLOOKUP($B2929,sales_teams!$A$2:$A$36,sales_teams!C$2:C$36)</f>
        <v>West</v>
      </c>
      <c r="E2929" t="s">
        <v>20</v>
      </c>
      <c r="F2929" t="s">
        <v>159</v>
      </c>
      <c r="G2929" t="s">
        <v>12</v>
      </c>
      <c r="H2929" s="1">
        <v>42859</v>
      </c>
      <c r="I2929" s="1">
        <v>42961</v>
      </c>
      <c r="J2929">
        <v>578</v>
      </c>
    </row>
    <row r="2930" spans="1:10" x14ac:dyDescent="0.3">
      <c r="A2930" t="s">
        <v>3061</v>
      </c>
      <c r="B2930" t="s">
        <v>73</v>
      </c>
      <c r="C2930" t="str">
        <f>_xlfn.XLOOKUP(B2930,
[1]sales_teams!$A$2:$A$100,
[1]sales_teams!$B$2:$B$100)</f>
        <v>Cara Losch</v>
      </c>
      <c r="D2930" t="str">
        <f>_xlfn.XLOOKUP($B2930,sales_teams!$A$2:$A$36,sales_teams!C$2:C$36)</f>
        <v>East</v>
      </c>
      <c r="E2930" t="s">
        <v>15</v>
      </c>
      <c r="F2930" t="s">
        <v>237</v>
      </c>
      <c r="G2930" t="s">
        <v>46</v>
      </c>
      <c r="H2930" s="1">
        <v>42859</v>
      </c>
      <c r="I2930" s="1">
        <v>42953</v>
      </c>
      <c r="J2930">
        <v>0</v>
      </c>
    </row>
    <row r="2931" spans="1:10" x14ac:dyDescent="0.3">
      <c r="A2931" t="s">
        <v>3062</v>
      </c>
      <c r="B2931" t="s">
        <v>102</v>
      </c>
      <c r="C2931" t="str">
        <f>_xlfn.XLOOKUP(B2931,
[1]sales_teams!$A$2:$A$100,
[1]sales_teams!$B$2:$B$100)</f>
        <v>Cara Losch</v>
      </c>
      <c r="D2931" t="str">
        <f>_xlfn.XLOOKUP($B2931,sales_teams!$A$2:$A$36,sales_teams!C$2:C$36)</f>
        <v>East</v>
      </c>
      <c r="E2931" t="s">
        <v>39</v>
      </c>
      <c r="G2931" t="s">
        <v>40</v>
      </c>
      <c r="H2931" s="1">
        <v>42859</v>
      </c>
    </row>
    <row r="2932" spans="1:10" x14ac:dyDescent="0.3">
      <c r="A2932" t="s">
        <v>3063</v>
      </c>
      <c r="B2932" t="s">
        <v>23</v>
      </c>
      <c r="C2932" t="str">
        <f>_xlfn.XLOOKUP(B2932,
[1]sales_teams!$A$2:$A$100,
[1]sales_teams!$B$2:$B$100)</f>
        <v>Summer Sewald</v>
      </c>
      <c r="D2932" t="str">
        <f>_xlfn.XLOOKUP($B2932,sales_teams!$A$2:$A$36,sales_teams!C$2:C$36)</f>
        <v>West</v>
      </c>
      <c r="E2932" t="s">
        <v>20</v>
      </c>
      <c r="F2932" t="s">
        <v>184</v>
      </c>
      <c r="G2932" t="s">
        <v>46</v>
      </c>
      <c r="H2932" s="1">
        <v>42859</v>
      </c>
      <c r="I2932" s="1">
        <v>42864</v>
      </c>
      <c r="J2932">
        <v>0</v>
      </c>
    </row>
    <row r="2933" spans="1:10" x14ac:dyDescent="0.3">
      <c r="A2933" t="s">
        <v>3064</v>
      </c>
      <c r="B2933" t="s">
        <v>26</v>
      </c>
      <c r="C2933" t="str">
        <f>_xlfn.XLOOKUP(B2933,
[1]sales_teams!$A$2:$A$100,
[1]sales_teams!$B$2:$B$100)</f>
        <v>Dustin Brinkmann</v>
      </c>
      <c r="D2933" t="str">
        <f>_xlfn.XLOOKUP($B2933,sales_teams!$A$2:$A$36,sales_teams!C$2:C$36)</f>
        <v>Central</v>
      </c>
      <c r="E2933" t="s">
        <v>39</v>
      </c>
      <c r="F2933" t="s">
        <v>42</v>
      </c>
      <c r="G2933" t="s">
        <v>46</v>
      </c>
      <c r="H2933" s="1">
        <v>42860</v>
      </c>
      <c r="I2933" s="1">
        <v>42962</v>
      </c>
      <c r="J2933">
        <v>0</v>
      </c>
    </row>
    <row r="2934" spans="1:10" x14ac:dyDescent="0.3">
      <c r="A2934" t="s">
        <v>3065</v>
      </c>
      <c r="B2934" t="s">
        <v>118</v>
      </c>
      <c r="C2934" t="str">
        <f>_xlfn.XLOOKUP(B2934,
[1]sales_teams!$A$2:$A$100,
[1]sales_teams!$B$2:$B$100)</f>
        <v>Rocco Neubert</v>
      </c>
      <c r="D2934" t="str">
        <f>_xlfn.XLOOKUP($B2934,sales_teams!$A$2:$A$36,sales_teams!C$2:C$36)</f>
        <v>East</v>
      </c>
      <c r="E2934" t="s">
        <v>10</v>
      </c>
      <c r="F2934" t="s">
        <v>93</v>
      </c>
      <c r="G2934" t="s">
        <v>40</v>
      </c>
      <c r="H2934" s="1">
        <v>42860</v>
      </c>
    </row>
    <row r="2935" spans="1:10" x14ac:dyDescent="0.3">
      <c r="A2935" t="s">
        <v>3066</v>
      </c>
      <c r="B2935" t="s">
        <v>118</v>
      </c>
      <c r="C2935" t="str">
        <f>_xlfn.XLOOKUP(B2935,
[1]sales_teams!$A$2:$A$100,
[1]sales_teams!$B$2:$B$100)</f>
        <v>Rocco Neubert</v>
      </c>
      <c r="D2935" t="str">
        <f>_xlfn.XLOOKUP($B2935,sales_teams!$A$2:$A$36,sales_teams!C$2:C$36)</f>
        <v>East</v>
      </c>
      <c r="E2935" t="s">
        <v>15</v>
      </c>
      <c r="F2935" t="s">
        <v>209</v>
      </c>
      <c r="G2935" t="s">
        <v>12</v>
      </c>
      <c r="H2935" s="1">
        <v>42860</v>
      </c>
      <c r="I2935" s="1">
        <v>42952</v>
      </c>
      <c r="J2935">
        <v>4697</v>
      </c>
    </row>
    <row r="2936" spans="1:10" x14ac:dyDescent="0.3">
      <c r="A2936" t="s">
        <v>3067</v>
      </c>
      <c r="B2936" t="s">
        <v>142</v>
      </c>
      <c r="C2936" t="str">
        <f>_xlfn.XLOOKUP(B2936,
[1]sales_teams!$A$2:$A$100,
[1]sales_teams!$B$2:$B$100)</f>
        <v>Rocco Neubert</v>
      </c>
      <c r="D2936" t="str">
        <f>_xlfn.XLOOKUP($B2936,sales_teams!$A$2:$A$36,sales_teams!C$2:C$36)</f>
        <v>East</v>
      </c>
      <c r="E2936" t="s">
        <v>15</v>
      </c>
      <c r="F2936" t="s">
        <v>177</v>
      </c>
      <c r="G2936" t="s">
        <v>46</v>
      </c>
      <c r="H2936" s="1">
        <v>42860</v>
      </c>
      <c r="I2936" s="1">
        <v>42960</v>
      </c>
      <c r="J2936">
        <v>0</v>
      </c>
    </row>
    <row r="2937" spans="1:10" x14ac:dyDescent="0.3">
      <c r="A2937" t="s">
        <v>3068</v>
      </c>
      <c r="B2937" t="s">
        <v>142</v>
      </c>
      <c r="C2937" t="str">
        <f>_xlfn.XLOOKUP(B2937,
[1]sales_teams!$A$2:$A$100,
[1]sales_teams!$B$2:$B$100)</f>
        <v>Rocco Neubert</v>
      </c>
      <c r="D2937" t="str">
        <f>_xlfn.XLOOKUP($B2937,sales_teams!$A$2:$A$36,sales_teams!C$2:C$36)</f>
        <v>East</v>
      </c>
      <c r="E2937" t="s">
        <v>15</v>
      </c>
      <c r="F2937" t="s">
        <v>177</v>
      </c>
      <c r="G2937" t="s">
        <v>46</v>
      </c>
      <c r="H2937" s="1">
        <v>42860</v>
      </c>
      <c r="I2937" s="1">
        <v>42885</v>
      </c>
      <c r="J2937">
        <v>0</v>
      </c>
    </row>
    <row r="2938" spans="1:10" x14ac:dyDescent="0.3">
      <c r="A2938" t="s">
        <v>3069</v>
      </c>
      <c r="B2938" t="s">
        <v>142</v>
      </c>
      <c r="C2938" t="str">
        <f>_xlfn.XLOOKUP(B2938,
[1]sales_teams!$A$2:$A$100,
[1]sales_teams!$B$2:$B$100)</f>
        <v>Rocco Neubert</v>
      </c>
      <c r="D2938" t="str">
        <f>_xlfn.XLOOKUP($B2938,sales_teams!$A$2:$A$36,sales_teams!C$2:C$36)</f>
        <v>East</v>
      </c>
      <c r="E2938" t="s">
        <v>10</v>
      </c>
      <c r="F2938" t="s">
        <v>179</v>
      </c>
      <c r="G2938" t="s">
        <v>12</v>
      </c>
      <c r="H2938" s="1">
        <v>42860</v>
      </c>
      <c r="I2938" s="1">
        <v>42973</v>
      </c>
      <c r="J2938">
        <v>1161</v>
      </c>
    </row>
    <row r="2939" spans="1:10" x14ac:dyDescent="0.3">
      <c r="A2939" t="s">
        <v>3070</v>
      </c>
      <c r="B2939" t="s">
        <v>142</v>
      </c>
      <c r="C2939" t="str">
        <f>_xlfn.XLOOKUP(B2939,
[1]sales_teams!$A$2:$A$100,
[1]sales_teams!$B$2:$B$100)</f>
        <v>Rocco Neubert</v>
      </c>
      <c r="D2939" t="str">
        <f>_xlfn.XLOOKUP($B2939,sales_teams!$A$2:$A$36,sales_teams!C$2:C$36)</f>
        <v>East</v>
      </c>
      <c r="E2939" t="s">
        <v>10</v>
      </c>
      <c r="F2939" t="s">
        <v>74</v>
      </c>
      <c r="G2939" t="s">
        <v>12</v>
      </c>
      <c r="H2939" s="1">
        <v>42860</v>
      </c>
      <c r="I2939" s="1">
        <v>42861</v>
      </c>
      <c r="J2939">
        <v>1101</v>
      </c>
    </row>
    <row r="2940" spans="1:10" x14ac:dyDescent="0.3">
      <c r="A2940" t="s">
        <v>3071</v>
      </c>
      <c r="B2940" t="s">
        <v>252</v>
      </c>
      <c r="C2940" t="str">
        <f>_xlfn.XLOOKUP(B2940,
[1]sales_teams!$A$2:$A$100,
[1]sales_teams!$B$2:$B$100)</f>
        <v>Melvin Marxen</v>
      </c>
      <c r="D2940" t="str">
        <f>_xlfn.XLOOKUP($B2940,sales_teams!$A$2:$A$36,sales_teams!C$2:C$36)</f>
        <v>Central</v>
      </c>
      <c r="E2940" t="s">
        <v>20</v>
      </c>
      <c r="F2940" t="s">
        <v>318</v>
      </c>
      <c r="G2940" t="s">
        <v>12</v>
      </c>
      <c r="H2940" s="1">
        <v>42860</v>
      </c>
      <c r="I2940" s="1">
        <v>42959</v>
      </c>
      <c r="J2940">
        <v>511</v>
      </c>
    </row>
    <row r="2941" spans="1:10" x14ac:dyDescent="0.3">
      <c r="A2941" t="s">
        <v>3072</v>
      </c>
      <c r="B2941" t="s">
        <v>252</v>
      </c>
      <c r="C2941" t="str">
        <f>_xlfn.XLOOKUP(B2941,
[1]sales_teams!$A$2:$A$100,
[1]sales_teams!$B$2:$B$100)</f>
        <v>Melvin Marxen</v>
      </c>
      <c r="D2941" t="str">
        <f>_xlfn.XLOOKUP($B2941,sales_teams!$A$2:$A$36,sales_teams!C$2:C$36)</f>
        <v>Central</v>
      </c>
      <c r="E2941" t="s">
        <v>18</v>
      </c>
      <c r="F2941" t="s">
        <v>218</v>
      </c>
      <c r="G2941" t="s">
        <v>12</v>
      </c>
      <c r="H2941" s="1">
        <v>42860</v>
      </c>
      <c r="I2941" s="1">
        <v>42948</v>
      </c>
      <c r="J2941">
        <v>57</v>
      </c>
    </row>
    <row r="2942" spans="1:10" x14ac:dyDescent="0.3">
      <c r="A2942" t="s">
        <v>3073</v>
      </c>
      <c r="B2942" t="s">
        <v>78</v>
      </c>
      <c r="C2942" t="str">
        <f>_xlfn.XLOOKUP(B2942,
[1]sales_teams!$A$2:$A$100,
[1]sales_teams!$B$2:$B$100)</f>
        <v>Summer Sewald</v>
      </c>
      <c r="D2942" t="str">
        <f>_xlfn.XLOOKUP($B2942,sales_teams!$A$2:$A$36,sales_teams!C$2:C$36)</f>
        <v>West</v>
      </c>
      <c r="E2942" t="s">
        <v>18</v>
      </c>
      <c r="F2942" t="s">
        <v>93</v>
      </c>
      <c r="G2942" t="s">
        <v>46</v>
      </c>
      <c r="H2942" s="1">
        <v>42860</v>
      </c>
      <c r="I2942" s="1">
        <v>42867</v>
      </c>
      <c r="J2942">
        <v>0</v>
      </c>
    </row>
    <row r="2943" spans="1:10" x14ac:dyDescent="0.3">
      <c r="A2943" t="s">
        <v>3074</v>
      </c>
      <c r="B2943" t="s">
        <v>78</v>
      </c>
      <c r="C2943" t="str">
        <f>_xlfn.XLOOKUP(B2943,
[1]sales_teams!$A$2:$A$100,
[1]sales_teams!$B$2:$B$100)</f>
        <v>Summer Sewald</v>
      </c>
      <c r="D2943" t="str">
        <f>_xlfn.XLOOKUP($B2943,sales_teams!$A$2:$A$36,sales_teams!C$2:C$36)</f>
        <v>West</v>
      </c>
      <c r="E2943" t="s">
        <v>20</v>
      </c>
      <c r="F2943" t="s">
        <v>273</v>
      </c>
      <c r="G2943" t="s">
        <v>12</v>
      </c>
      <c r="H2943" s="1">
        <v>42860</v>
      </c>
      <c r="I2943" s="1">
        <v>42876</v>
      </c>
      <c r="J2943">
        <v>635</v>
      </c>
    </row>
    <row r="2944" spans="1:10" x14ac:dyDescent="0.3">
      <c r="A2944" t="s">
        <v>3075</v>
      </c>
      <c r="B2944" t="s">
        <v>78</v>
      </c>
      <c r="C2944" t="str">
        <f>_xlfn.XLOOKUP(B2944,
[1]sales_teams!$A$2:$A$100,
[1]sales_teams!$B$2:$B$100)</f>
        <v>Summer Sewald</v>
      </c>
      <c r="D2944" t="str">
        <f>_xlfn.XLOOKUP($B2944,sales_teams!$A$2:$A$36,sales_teams!C$2:C$36)</f>
        <v>West</v>
      </c>
      <c r="E2944" t="s">
        <v>15</v>
      </c>
      <c r="F2944" t="s">
        <v>157</v>
      </c>
      <c r="G2944" t="s">
        <v>12</v>
      </c>
      <c r="H2944" s="1">
        <v>42860</v>
      </c>
      <c r="I2944" s="1">
        <v>42963</v>
      </c>
      <c r="J2944">
        <v>4352</v>
      </c>
    </row>
    <row r="2945" spans="1:10" x14ac:dyDescent="0.3">
      <c r="A2945" t="s">
        <v>3076</v>
      </c>
      <c r="B2945" t="s">
        <v>95</v>
      </c>
      <c r="C2945" t="str">
        <f>_xlfn.XLOOKUP(B2945,
[1]sales_teams!$A$2:$A$100,
[1]sales_teams!$B$2:$B$100)</f>
        <v>Summer Sewald</v>
      </c>
      <c r="D2945" t="str">
        <f>_xlfn.XLOOKUP($B2945,sales_teams!$A$2:$A$36,sales_teams!C$2:C$36)</f>
        <v>West</v>
      </c>
      <c r="E2945" t="s">
        <v>10</v>
      </c>
      <c r="F2945" t="s">
        <v>74</v>
      </c>
      <c r="G2945" t="s">
        <v>40</v>
      </c>
      <c r="H2945" s="1">
        <v>42860</v>
      </c>
    </row>
    <row r="2946" spans="1:10" x14ac:dyDescent="0.3">
      <c r="A2946" t="s">
        <v>3077</v>
      </c>
      <c r="B2946" t="s">
        <v>95</v>
      </c>
      <c r="C2946" t="str">
        <f>_xlfn.XLOOKUP(B2946,
[1]sales_teams!$A$2:$A$100,
[1]sales_teams!$B$2:$B$100)</f>
        <v>Summer Sewald</v>
      </c>
      <c r="D2946" t="str">
        <f>_xlfn.XLOOKUP($B2946,sales_teams!$A$2:$A$36,sales_teams!C$2:C$36)</f>
        <v>West</v>
      </c>
      <c r="E2946" t="s">
        <v>18</v>
      </c>
      <c r="F2946" t="s">
        <v>159</v>
      </c>
      <c r="G2946" t="s">
        <v>46</v>
      </c>
      <c r="H2946" s="1">
        <v>42860</v>
      </c>
      <c r="I2946" s="1">
        <v>42871</v>
      </c>
      <c r="J2946">
        <v>0</v>
      </c>
    </row>
    <row r="2947" spans="1:10" x14ac:dyDescent="0.3">
      <c r="A2947" t="s">
        <v>3078</v>
      </c>
      <c r="B2947" t="s">
        <v>133</v>
      </c>
      <c r="C2947" t="str">
        <f>_xlfn.XLOOKUP(B2947,
[1]sales_teams!$A$2:$A$100,
[1]sales_teams!$B$2:$B$100)</f>
        <v>Dustin Brinkmann</v>
      </c>
      <c r="D2947" t="str">
        <f>_xlfn.XLOOKUP($B2947,sales_teams!$A$2:$A$36,sales_teams!C$2:C$36)</f>
        <v>Central</v>
      </c>
      <c r="E2947" t="s">
        <v>48</v>
      </c>
      <c r="F2947" t="s">
        <v>151</v>
      </c>
      <c r="G2947" t="s">
        <v>46</v>
      </c>
      <c r="H2947" s="1">
        <v>42860</v>
      </c>
      <c r="I2947" s="1">
        <v>42865</v>
      </c>
      <c r="J2947">
        <v>0</v>
      </c>
    </row>
    <row r="2948" spans="1:10" x14ac:dyDescent="0.3">
      <c r="A2948" t="s">
        <v>3079</v>
      </c>
      <c r="B2948" t="s">
        <v>133</v>
      </c>
      <c r="C2948" t="str">
        <f>_xlfn.XLOOKUP(B2948,
[1]sales_teams!$A$2:$A$100,
[1]sales_teams!$B$2:$B$100)</f>
        <v>Dustin Brinkmann</v>
      </c>
      <c r="D2948" t="str">
        <f>_xlfn.XLOOKUP($B2948,sales_teams!$A$2:$A$36,sales_teams!C$2:C$36)</f>
        <v>Central</v>
      </c>
      <c r="E2948" t="s">
        <v>39</v>
      </c>
      <c r="F2948" t="s">
        <v>207</v>
      </c>
      <c r="G2948" t="s">
        <v>12</v>
      </c>
      <c r="H2948" s="1">
        <v>42860</v>
      </c>
      <c r="I2948" s="1">
        <v>42863</v>
      </c>
      <c r="J2948">
        <v>3952</v>
      </c>
    </row>
    <row r="2949" spans="1:10" x14ac:dyDescent="0.3">
      <c r="A2949" t="s">
        <v>3080</v>
      </c>
      <c r="B2949" t="s">
        <v>32</v>
      </c>
      <c r="C2949" t="str">
        <f>_xlfn.XLOOKUP(B2949,
[1]sales_teams!$A$2:$A$100,
[1]sales_teams!$B$2:$B$100)</f>
        <v>Celia Rouche</v>
      </c>
      <c r="D2949" t="str">
        <f>_xlfn.XLOOKUP($B2949,sales_teams!$A$2:$A$36,sales_teams!C$2:C$36)</f>
        <v>West</v>
      </c>
      <c r="E2949" t="s">
        <v>20</v>
      </c>
      <c r="F2949" t="s">
        <v>103</v>
      </c>
      <c r="G2949" t="s">
        <v>40</v>
      </c>
      <c r="H2949" s="1">
        <v>42860</v>
      </c>
    </row>
    <row r="2950" spans="1:10" x14ac:dyDescent="0.3">
      <c r="A2950" t="s">
        <v>3081</v>
      </c>
      <c r="B2950" t="s">
        <v>32</v>
      </c>
      <c r="C2950" t="str">
        <f>_xlfn.XLOOKUP(B2950,
[1]sales_teams!$A$2:$A$100,
[1]sales_teams!$B$2:$B$100)</f>
        <v>Celia Rouche</v>
      </c>
      <c r="D2950" t="str">
        <f>_xlfn.XLOOKUP($B2950,sales_teams!$A$2:$A$36,sales_teams!C$2:C$36)</f>
        <v>West</v>
      </c>
      <c r="E2950" t="s">
        <v>20</v>
      </c>
      <c r="G2950" t="s">
        <v>40</v>
      </c>
      <c r="H2950" s="1">
        <v>42860</v>
      </c>
    </row>
    <row r="2951" spans="1:10" x14ac:dyDescent="0.3">
      <c r="A2951" t="s">
        <v>3082</v>
      </c>
      <c r="B2951" t="s">
        <v>32</v>
      </c>
      <c r="C2951" t="str">
        <f>_xlfn.XLOOKUP(B2951,
[1]sales_teams!$A$2:$A$100,
[1]sales_teams!$B$2:$B$100)</f>
        <v>Celia Rouche</v>
      </c>
      <c r="D2951" t="str">
        <f>_xlfn.XLOOKUP($B2951,sales_teams!$A$2:$A$36,sales_teams!C$2:C$36)</f>
        <v>West</v>
      </c>
      <c r="E2951" t="s">
        <v>20</v>
      </c>
      <c r="F2951" t="s">
        <v>155</v>
      </c>
      <c r="G2951" t="s">
        <v>12</v>
      </c>
      <c r="H2951" s="1">
        <v>42860</v>
      </c>
      <c r="I2951" s="1">
        <v>42861</v>
      </c>
      <c r="J2951">
        <v>560</v>
      </c>
    </row>
    <row r="2952" spans="1:10" x14ac:dyDescent="0.3">
      <c r="A2952" t="s">
        <v>3083</v>
      </c>
      <c r="B2952" t="s">
        <v>116</v>
      </c>
      <c r="C2952" t="str">
        <f>_xlfn.XLOOKUP(B2952,
[1]sales_teams!$A$2:$A$100,
[1]sales_teams!$B$2:$B$100)</f>
        <v>Melvin Marxen</v>
      </c>
      <c r="D2952" t="str">
        <f>_xlfn.XLOOKUP($B2952,sales_teams!$A$2:$A$36,sales_teams!C$2:C$36)</f>
        <v>Central</v>
      </c>
      <c r="E2952" t="s">
        <v>10</v>
      </c>
      <c r="F2952" t="s">
        <v>42</v>
      </c>
      <c r="G2952" t="s">
        <v>46</v>
      </c>
      <c r="H2952" s="1">
        <v>42860</v>
      </c>
      <c r="I2952" s="1">
        <v>42863</v>
      </c>
      <c r="J2952">
        <v>0</v>
      </c>
    </row>
    <row r="2953" spans="1:10" x14ac:dyDescent="0.3">
      <c r="A2953" t="s">
        <v>3084</v>
      </c>
      <c r="B2953" t="s">
        <v>35</v>
      </c>
      <c r="C2953" t="str">
        <f>_xlfn.XLOOKUP(B2953,
[1]sales_teams!$A$2:$A$100,
[1]sales_teams!$B$2:$B$100)</f>
        <v>Melvin Marxen</v>
      </c>
      <c r="D2953" t="str">
        <f>_xlfn.XLOOKUP($B2953,sales_teams!$A$2:$A$36,sales_teams!C$2:C$36)</f>
        <v>Central</v>
      </c>
      <c r="E2953" t="s">
        <v>10</v>
      </c>
      <c r="F2953" t="s">
        <v>135</v>
      </c>
      <c r="G2953" t="s">
        <v>12</v>
      </c>
      <c r="H2953" s="1">
        <v>42860</v>
      </c>
      <c r="I2953" s="1">
        <v>42996</v>
      </c>
      <c r="J2953">
        <v>984</v>
      </c>
    </row>
    <row r="2954" spans="1:10" x14ac:dyDescent="0.3">
      <c r="A2954" t="s">
        <v>3085</v>
      </c>
      <c r="B2954" t="s">
        <v>97</v>
      </c>
      <c r="C2954" t="str">
        <f>_xlfn.XLOOKUP(B2954,
[1]sales_teams!$A$2:$A$100,
[1]sales_teams!$B$2:$B$100)</f>
        <v>Rocco Neubert</v>
      </c>
      <c r="D2954" t="str">
        <f>_xlfn.XLOOKUP($B2954,sales_teams!$A$2:$A$36,sales_teams!C$2:C$36)</f>
        <v>East</v>
      </c>
      <c r="E2954" t="s">
        <v>39</v>
      </c>
      <c r="F2954" t="s">
        <v>74</v>
      </c>
      <c r="G2954" t="s">
        <v>46</v>
      </c>
      <c r="H2954" s="1">
        <v>42860</v>
      </c>
      <c r="I2954" s="1">
        <v>42866</v>
      </c>
      <c r="J2954">
        <v>0</v>
      </c>
    </row>
    <row r="2955" spans="1:10" x14ac:dyDescent="0.3">
      <c r="A2955" t="s">
        <v>3086</v>
      </c>
      <c r="B2955" t="s">
        <v>29</v>
      </c>
      <c r="C2955" t="str">
        <f>_xlfn.XLOOKUP(B2955,
[1]sales_teams!$A$2:$A$100,
[1]sales_teams!$B$2:$B$100)</f>
        <v>Celia Rouche</v>
      </c>
      <c r="D2955" t="str">
        <f>_xlfn.XLOOKUP($B2955,sales_teams!$A$2:$A$36,sales_teams!C$2:C$36)</f>
        <v>West</v>
      </c>
      <c r="E2955" t="s">
        <v>20</v>
      </c>
      <c r="F2955" t="s">
        <v>52</v>
      </c>
      <c r="G2955" t="s">
        <v>12</v>
      </c>
      <c r="H2955" s="1">
        <v>42860</v>
      </c>
      <c r="I2955" s="1">
        <v>42869</v>
      </c>
      <c r="J2955">
        <v>579</v>
      </c>
    </row>
    <row r="2956" spans="1:10" x14ac:dyDescent="0.3">
      <c r="A2956" t="s">
        <v>3087</v>
      </c>
      <c r="B2956" t="s">
        <v>29</v>
      </c>
      <c r="C2956" t="str">
        <f>_xlfn.XLOOKUP(B2956,
[1]sales_teams!$A$2:$A$100,
[1]sales_teams!$B$2:$B$100)</f>
        <v>Celia Rouche</v>
      </c>
      <c r="D2956" t="str">
        <f>_xlfn.XLOOKUP($B2956,sales_teams!$A$2:$A$36,sales_teams!C$2:C$36)</f>
        <v>West</v>
      </c>
      <c r="E2956" t="s">
        <v>10</v>
      </c>
      <c r="F2956" t="s">
        <v>398</v>
      </c>
      <c r="G2956" t="s">
        <v>12</v>
      </c>
      <c r="H2956" s="1">
        <v>42860</v>
      </c>
      <c r="I2956" s="1">
        <v>42957</v>
      </c>
      <c r="J2956">
        <v>1151</v>
      </c>
    </row>
    <row r="2957" spans="1:10" x14ac:dyDescent="0.3">
      <c r="A2957" t="s">
        <v>3088</v>
      </c>
      <c r="B2957" t="s">
        <v>73</v>
      </c>
      <c r="C2957" t="str">
        <f>_xlfn.XLOOKUP(B2957,
[1]sales_teams!$A$2:$A$100,
[1]sales_teams!$B$2:$B$100)</f>
        <v>Cara Losch</v>
      </c>
      <c r="D2957" t="str">
        <f>_xlfn.XLOOKUP($B2957,sales_teams!$A$2:$A$36,sales_teams!C$2:C$36)</f>
        <v>East</v>
      </c>
      <c r="E2957" t="s">
        <v>10</v>
      </c>
      <c r="F2957" t="s">
        <v>410</v>
      </c>
      <c r="G2957" t="s">
        <v>12</v>
      </c>
      <c r="H2957" s="1">
        <v>42860</v>
      </c>
      <c r="I2957" s="1">
        <v>42972</v>
      </c>
      <c r="J2957">
        <v>881</v>
      </c>
    </row>
    <row r="2958" spans="1:10" x14ac:dyDescent="0.3">
      <c r="A2958" t="s">
        <v>3089</v>
      </c>
      <c r="B2958" t="s">
        <v>73</v>
      </c>
      <c r="C2958" t="str">
        <f>_xlfn.XLOOKUP(B2958,
[1]sales_teams!$A$2:$A$100,
[1]sales_teams!$B$2:$B$100)</f>
        <v>Cara Losch</v>
      </c>
      <c r="D2958" t="str">
        <f>_xlfn.XLOOKUP($B2958,sales_teams!$A$2:$A$36,sales_teams!C$2:C$36)</f>
        <v>East</v>
      </c>
      <c r="E2958" t="s">
        <v>18</v>
      </c>
      <c r="F2958" t="s">
        <v>189</v>
      </c>
      <c r="G2958" t="s">
        <v>12</v>
      </c>
      <c r="H2958" s="1">
        <v>42860</v>
      </c>
      <c r="I2958" s="1">
        <v>42964</v>
      </c>
      <c r="J2958">
        <v>59</v>
      </c>
    </row>
    <row r="2959" spans="1:10" x14ac:dyDescent="0.3">
      <c r="A2959" t="s">
        <v>3090</v>
      </c>
      <c r="B2959" t="s">
        <v>23</v>
      </c>
      <c r="C2959" t="str">
        <f>_xlfn.XLOOKUP(B2959,
[1]sales_teams!$A$2:$A$100,
[1]sales_teams!$B$2:$B$100)</f>
        <v>Summer Sewald</v>
      </c>
      <c r="D2959" t="str">
        <f>_xlfn.XLOOKUP($B2959,sales_teams!$A$2:$A$36,sales_teams!C$2:C$36)</f>
        <v>West</v>
      </c>
      <c r="E2959" t="s">
        <v>20</v>
      </c>
      <c r="F2959" t="s">
        <v>124</v>
      </c>
      <c r="G2959" t="s">
        <v>12</v>
      </c>
      <c r="H2959" s="1">
        <v>42860</v>
      </c>
      <c r="I2959" s="1">
        <v>42867</v>
      </c>
      <c r="J2959">
        <v>608</v>
      </c>
    </row>
    <row r="2960" spans="1:10" x14ac:dyDescent="0.3">
      <c r="A2960" t="s">
        <v>3091</v>
      </c>
      <c r="B2960" t="s">
        <v>26</v>
      </c>
      <c r="C2960" t="str">
        <f>_xlfn.XLOOKUP(B2960,
[1]sales_teams!$A$2:$A$100,
[1]sales_teams!$B$2:$B$100)</f>
        <v>Dustin Brinkmann</v>
      </c>
      <c r="D2960" t="str">
        <f>_xlfn.XLOOKUP($B2960,sales_teams!$A$2:$A$36,sales_teams!C$2:C$36)</f>
        <v>Central</v>
      </c>
      <c r="E2960" t="s">
        <v>48</v>
      </c>
      <c r="F2960" t="s">
        <v>197</v>
      </c>
      <c r="G2960" t="s">
        <v>12</v>
      </c>
      <c r="H2960" s="1">
        <v>42861</v>
      </c>
      <c r="I2960" s="1">
        <v>42864</v>
      </c>
      <c r="J2960">
        <v>4784</v>
      </c>
    </row>
    <row r="2961" spans="1:10" x14ac:dyDescent="0.3">
      <c r="A2961" t="s">
        <v>3092</v>
      </c>
      <c r="B2961" t="s">
        <v>139</v>
      </c>
      <c r="C2961" t="str">
        <f>_xlfn.XLOOKUP(B2961,
[1]sales_teams!$A$2:$A$100,
[1]sales_teams!$B$2:$B$100)</f>
        <v>Rocco Neubert</v>
      </c>
      <c r="D2961" t="str">
        <f>_xlfn.XLOOKUP($B2961,sales_teams!$A$2:$A$36,sales_teams!C$2:C$36)</f>
        <v>East</v>
      </c>
      <c r="E2961" t="s">
        <v>39</v>
      </c>
      <c r="F2961" t="s">
        <v>98</v>
      </c>
      <c r="G2961" t="s">
        <v>12</v>
      </c>
      <c r="H2961" s="1">
        <v>42861</v>
      </c>
      <c r="I2961" s="1">
        <v>42877</v>
      </c>
      <c r="J2961">
        <v>3370</v>
      </c>
    </row>
    <row r="2962" spans="1:10" x14ac:dyDescent="0.3">
      <c r="A2962" t="s">
        <v>3093</v>
      </c>
      <c r="B2962" t="s">
        <v>118</v>
      </c>
      <c r="C2962" t="str">
        <f>_xlfn.XLOOKUP(B2962,
[1]sales_teams!$A$2:$A$100,
[1]sales_teams!$B$2:$B$100)</f>
        <v>Rocco Neubert</v>
      </c>
      <c r="D2962" t="str">
        <f>_xlfn.XLOOKUP($B2962,sales_teams!$A$2:$A$36,sales_teams!C$2:C$36)</f>
        <v>East</v>
      </c>
      <c r="E2962" t="s">
        <v>18</v>
      </c>
      <c r="F2962" t="s">
        <v>204</v>
      </c>
      <c r="G2962" t="s">
        <v>46</v>
      </c>
      <c r="H2962" s="1">
        <v>42861</v>
      </c>
      <c r="I2962" s="1">
        <v>42879</v>
      </c>
      <c r="J2962">
        <v>0</v>
      </c>
    </row>
    <row r="2963" spans="1:10" x14ac:dyDescent="0.3">
      <c r="A2963" t="s">
        <v>3094</v>
      </c>
      <c r="B2963" t="s">
        <v>164</v>
      </c>
      <c r="C2963" t="str">
        <f>_xlfn.XLOOKUP(B2963,
[1]sales_teams!$A$2:$A$100,
[1]sales_teams!$B$2:$B$100)</f>
        <v>Cara Losch</v>
      </c>
      <c r="D2963" t="str">
        <f>_xlfn.XLOOKUP($B2963,sales_teams!$A$2:$A$36,sales_teams!C$2:C$36)</f>
        <v>East</v>
      </c>
      <c r="E2963" t="s">
        <v>48</v>
      </c>
      <c r="F2963" t="s">
        <v>81</v>
      </c>
      <c r="G2963" t="s">
        <v>40</v>
      </c>
      <c r="H2963" s="1">
        <v>42861</v>
      </c>
    </row>
    <row r="2964" spans="1:10" x14ac:dyDescent="0.3">
      <c r="A2964" t="s">
        <v>3095</v>
      </c>
      <c r="B2964" t="s">
        <v>14</v>
      </c>
      <c r="C2964" t="str">
        <f>_xlfn.XLOOKUP(B2964,
[1]sales_teams!$A$2:$A$100,
[1]sales_teams!$B$2:$B$100)</f>
        <v>Melvin Marxen</v>
      </c>
      <c r="D2964" t="str">
        <f>_xlfn.XLOOKUP($B2964,sales_teams!$A$2:$A$36,sales_teams!C$2:C$36)</f>
        <v>Central</v>
      </c>
      <c r="E2964" t="s">
        <v>10</v>
      </c>
      <c r="F2964" t="s">
        <v>135</v>
      </c>
      <c r="G2964" t="s">
        <v>46</v>
      </c>
      <c r="H2964" s="1">
        <v>42861</v>
      </c>
      <c r="I2964" s="1">
        <v>42988</v>
      </c>
      <c r="J2964">
        <v>0</v>
      </c>
    </row>
    <row r="2965" spans="1:10" x14ac:dyDescent="0.3">
      <c r="A2965" t="s">
        <v>3096</v>
      </c>
      <c r="B2965" t="s">
        <v>14</v>
      </c>
      <c r="C2965" t="str">
        <f>_xlfn.XLOOKUP(B2965,
[1]sales_teams!$A$2:$A$100,
[1]sales_teams!$B$2:$B$100)</f>
        <v>Melvin Marxen</v>
      </c>
      <c r="D2965" t="str">
        <f>_xlfn.XLOOKUP($B2965,sales_teams!$A$2:$A$36,sales_teams!C$2:C$36)</f>
        <v>Central</v>
      </c>
      <c r="E2965" t="s">
        <v>20</v>
      </c>
      <c r="F2965" t="s">
        <v>135</v>
      </c>
      <c r="G2965" t="s">
        <v>12</v>
      </c>
      <c r="H2965" s="1">
        <v>42861</v>
      </c>
      <c r="I2965" s="1">
        <v>42964</v>
      </c>
      <c r="J2965">
        <v>526</v>
      </c>
    </row>
    <row r="2966" spans="1:10" x14ac:dyDescent="0.3">
      <c r="A2966" t="s">
        <v>3097</v>
      </c>
      <c r="B2966" t="s">
        <v>142</v>
      </c>
      <c r="C2966" t="str">
        <f>_xlfn.XLOOKUP(B2966,
[1]sales_teams!$A$2:$A$100,
[1]sales_teams!$B$2:$B$100)</f>
        <v>Rocco Neubert</v>
      </c>
      <c r="D2966" t="str">
        <f>_xlfn.XLOOKUP($B2966,sales_teams!$A$2:$A$36,sales_teams!C$2:C$36)</f>
        <v>East</v>
      </c>
      <c r="E2966" t="s">
        <v>10</v>
      </c>
      <c r="F2966" t="s">
        <v>106</v>
      </c>
      <c r="G2966" t="s">
        <v>46</v>
      </c>
      <c r="H2966" s="1">
        <v>42861</v>
      </c>
      <c r="I2966" s="1">
        <v>42867</v>
      </c>
      <c r="J2966">
        <v>0</v>
      </c>
    </row>
    <row r="2967" spans="1:10" x14ac:dyDescent="0.3">
      <c r="A2967" t="s">
        <v>3098</v>
      </c>
      <c r="B2967" t="s">
        <v>44</v>
      </c>
      <c r="C2967" t="str">
        <f>_xlfn.XLOOKUP(B2967,
[1]sales_teams!$A$2:$A$100,
[1]sales_teams!$B$2:$B$100)</f>
        <v>Melvin Marxen</v>
      </c>
      <c r="D2967" t="str">
        <f>_xlfn.XLOOKUP($B2967,sales_teams!$A$2:$A$36,sales_teams!C$2:C$36)</f>
        <v>Central</v>
      </c>
      <c r="E2967" t="s">
        <v>15</v>
      </c>
      <c r="F2967" t="s">
        <v>315</v>
      </c>
      <c r="G2967" t="s">
        <v>12</v>
      </c>
      <c r="H2967" s="1">
        <v>42861</v>
      </c>
      <c r="I2967" s="1">
        <v>42915</v>
      </c>
      <c r="J2967">
        <v>5028</v>
      </c>
    </row>
    <row r="2968" spans="1:10" x14ac:dyDescent="0.3">
      <c r="A2968" t="s">
        <v>3099</v>
      </c>
      <c r="B2968" t="s">
        <v>252</v>
      </c>
      <c r="C2968" t="str">
        <f>_xlfn.XLOOKUP(B2968,
[1]sales_teams!$A$2:$A$100,
[1]sales_teams!$B$2:$B$100)</f>
        <v>Melvin Marxen</v>
      </c>
      <c r="D2968" t="str">
        <f>_xlfn.XLOOKUP($B2968,sales_teams!$A$2:$A$36,sales_teams!C$2:C$36)</f>
        <v>Central</v>
      </c>
      <c r="E2968" t="s">
        <v>20</v>
      </c>
      <c r="F2968" t="s">
        <v>218</v>
      </c>
      <c r="G2968" t="s">
        <v>46</v>
      </c>
      <c r="H2968" s="1">
        <v>42861</v>
      </c>
      <c r="I2968" s="1">
        <v>42878</v>
      </c>
      <c r="J2968">
        <v>0</v>
      </c>
    </row>
    <row r="2969" spans="1:10" x14ac:dyDescent="0.3">
      <c r="A2969" t="s">
        <v>3100</v>
      </c>
      <c r="B2969" t="s">
        <v>252</v>
      </c>
      <c r="C2969" t="str">
        <f>_xlfn.XLOOKUP(B2969,
[1]sales_teams!$A$2:$A$100,
[1]sales_teams!$B$2:$B$100)</f>
        <v>Melvin Marxen</v>
      </c>
      <c r="D2969" t="str">
        <f>_xlfn.XLOOKUP($B2969,sales_teams!$A$2:$A$36,sales_teams!C$2:C$36)</f>
        <v>Central</v>
      </c>
      <c r="E2969" t="s">
        <v>15</v>
      </c>
      <c r="F2969" t="s">
        <v>16</v>
      </c>
      <c r="G2969" t="s">
        <v>46</v>
      </c>
      <c r="H2969" s="1">
        <v>42861</v>
      </c>
      <c r="I2969" s="1">
        <v>42873</v>
      </c>
      <c r="J2969">
        <v>0</v>
      </c>
    </row>
    <row r="2970" spans="1:10" x14ac:dyDescent="0.3">
      <c r="A2970" t="s">
        <v>3101</v>
      </c>
      <c r="B2970" t="s">
        <v>95</v>
      </c>
      <c r="C2970" t="str">
        <f>_xlfn.XLOOKUP(B2970,
[1]sales_teams!$A$2:$A$100,
[1]sales_teams!$B$2:$B$100)</f>
        <v>Summer Sewald</v>
      </c>
      <c r="D2970" t="str">
        <f>_xlfn.XLOOKUP($B2970,sales_teams!$A$2:$A$36,sales_teams!C$2:C$36)</f>
        <v>West</v>
      </c>
      <c r="E2970" t="s">
        <v>20</v>
      </c>
      <c r="F2970" t="s">
        <v>240</v>
      </c>
      <c r="G2970" t="s">
        <v>40</v>
      </c>
      <c r="H2970" s="1">
        <v>42861</v>
      </c>
    </row>
    <row r="2971" spans="1:10" x14ac:dyDescent="0.3">
      <c r="A2971" t="s">
        <v>3102</v>
      </c>
      <c r="B2971" t="s">
        <v>133</v>
      </c>
      <c r="C2971" t="str">
        <f>_xlfn.XLOOKUP(B2971,
[1]sales_teams!$A$2:$A$100,
[1]sales_teams!$B$2:$B$100)</f>
        <v>Dustin Brinkmann</v>
      </c>
      <c r="D2971" t="str">
        <f>_xlfn.XLOOKUP($B2971,sales_teams!$A$2:$A$36,sales_teams!C$2:C$36)</f>
        <v>Central</v>
      </c>
      <c r="E2971" t="s">
        <v>20</v>
      </c>
      <c r="F2971" t="s">
        <v>21</v>
      </c>
      <c r="G2971" t="s">
        <v>46</v>
      </c>
      <c r="H2971" s="1">
        <v>42861</v>
      </c>
      <c r="I2971" s="1">
        <v>42873</v>
      </c>
      <c r="J2971">
        <v>0</v>
      </c>
    </row>
    <row r="2972" spans="1:10" x14ac:dyDescent="0.3">
      <c r="A2972" t="s">
        <v>3103</v>
      </c>
      <c r="B2972" t="s">
        <v>133</v>
      </c>
      <c r="C2972" t="str">
        <f>_xlfn.XLOOKUP(B2972,
[1]sales_teams!$A$2:$A$100,
[1]sales_teams!$B$2:$B$100)</f>
        <v>Dustin Brinkmann</v>
      </c>
      <c r="D2972" t="str">
        <f>_xlfn.XLOOKUP($B2972,sales_teams!$A$2:$A$36,sales_teams!C$2:C$36)</f>
        <v>Central</v>
      </c>
      <c r="E2972" t="s">
        <v>20</v>
      </c>
      <c r="F2972" t="s">
        <v>91</v>
      </c>
      <c r="G2972" t="s">
        <v>46</v>
      </c>
      <c r="H2972" s="1">
        <v>42861</v>
      </c>
      <c r="I2972" s="1">
        <v>42875</v>
      </c>
      <c r="J2972">
        <v>0</v>
      </c>
    </row>
    <row r="2973" spans="1:10" x14ac:dyDescent="0.3">
      <c r="A2973" t="s">
        <v>3104</v>
      </c>
      <c r="B2973" t="s">
        <v>133</v>
      </c>
      <c r="C2973" t="str">
        <f>_xlfn.XLOOKUP(B2973,
[1]sales_teams!$A$2:$A$100,
[1]sales_teams!$B$2:$B$100)</f>
        <v>Dustin Brinkmann</v>
      </c>
      <c r="D2973" t="str">
        <f>_xlfn.XLOOKUP($B2973,sales_teams!$A$2:$A$36,sales_teams!C$2:C$36)</f>
        <v>Central</v>
      </c>
      <c r="E2973" t="s">
        <v>39</v>
      </c>
      <c r="F2973" t="s">
        <v>492</v>
      </c>
      <c r="G2973" t="s">
        <v>46</v>
      </c>
      <c r="H2973" s="1">
        <v>42861</v>
      </c>
      <c r="I2973" s="1">
        <v>42878</v>
      </c>
      <c r="J2973">
        <v>0</v>
      </c>
    </row>
    <row r="2974" spans="1:10" x14ac:dyDescent="0.3">
      <c r="A2974" t="s">
        <v>3105</v>
      </c>
      <c r="B2974" t="s">
        <v>32</v>
      </c>
      <c r="C2974" t="str">
        <f>_xlfn.XLOOKUP(B2974,
[1]sales_teams!$A$2:$A$100,
[1]sales_teams!$B$2:$B$100)</f>
        <v>Celia Rouche</v>
      </c>
      <c r="D2974" t="str">
        <f>_xlfn.XLOOKUP($B2974,sales_teams!$A$2:$A$36,sales_teams!C$2:C$36)</f>
        <v>West</v>
      </c>
      <c r="E2974" t="s">
        <v>10</v>
      </c>
      <c r="G2974" t="s">
        <v>40</v>
      </c>
      <c r="H2974" s="1">
        <v>42861</v>
      </c>
    </row>
    <row r="2975" spans="1:10" x14ac:dyDescent="0.3">
      <c r="A2975" t="s">
        <v>3106</v>
      </c>
      <c r="B2975" t="s">
        <v>9</v>
      </c>
      <c r="C2975" t="str">
        <f>_xlfn.XLOOKUP(B2975,
[1]sales_teams!$A$2:$A$100,
[1]sales_teams!$B$2:$B$100)</f>
        <v>Dustin Brinkmann</v>
      </c>
      <c r="D2975" t="str">
        <f>_xlfn.XLOOKUP($B2975,sales_teams!$A$2:$A$36,sales_teams!C$2:C$36)</f>
        <v>Central</v>
      </c>
      <c r="E2975" t="s">
        <v>20</v>
      </c>
      <c r="F2975" t="s">
        <v>45</v>
      </c>
      <c r="G2975" t="s">
        <v>12</v>
      </c>
      <c r="H2975" s="1">
        <v>42861</v>
      </c>
      <c r="I2975" s="1">
        <v>42877</v>
      </c>
      <c r="J2975">
        <v>569</v>
      </c>
    </row>
    <row r="2976" spans="1:10" x14ac:dyDescent="0.3">
      <c r="A2976" t="s">
        <v>3107</v>
      </c>
      <c r="B2976" t="s">
        <v>35</v>
      </c>
      <c r="C2976" t="str">
        <f>_xlfn.XLOOKUP(B2976,
[1]sales_teams!$A$2:$A$100,
[1]sales_teams!$B$2:$B$100)</f>
        <v>Melvin Marxen</v>
      </c>
      <c r="D2976" t="str">
        <f>_xlfn.XLOOKUP($B2976,sales_teams!$A$2:$A$36,sales_teams!C$2:C$36)</f>
        <v>Central</v>
      </c>
      <c r="E2976" t="s">
        <v>18</v>
      </c>
      <c r="F2976" t="s">
        <v>21</v>
      </c>
      <c r="G2976" t="s">
        <v>46</v>
      </c>
      <c r="H2976" s="1">
        <v>42861</v>
      </c>
      <c r="I2976" s="1">
        <v>42881</v>
      </c>
      <c r="J2976">
        <v>0</v>
      </c>
    </row>
    <row r="2977" spans="1:10" x14ac:dyDescent="0.3">
      <c r="A2977" t="s">
        <v>3108</v>
      </c>
      <c r="B2977" t="s">
        <v>88</v>
      </c>
      <c r="C2977" t="str">
        <f>_xlfn.XLOOKUP(B2977,
[1]sales_teams!$A$2:$A$100,
[1]sales_teams!$B$2:$B$100)</f>
        <v>Cara Losch</v>
      </c>
      <c r="D2977" t="str">
        <f>_xlfn.XLOOKUP($B2977,sales_teams!$A$2:$A$36,sales_teams!C$2:C$36)</f>
        <v>East</v>
      </c>
      <c r="E2977" t="s">
        <v>48</v>
      </c>
      <c r="F2977" t="s">
        <v>237</v>
      </c>
      <c r="G2977" t="s">
        <v>46</v>
      </c>
      <c r="H2977" s="1">
        <v>42861</v>
      </c>
      <c r="I2977" s="1">
        <v>42949</v>
      </c>
      <c r="J2977">
        <v>0</v>
      </c>
    </row>
    <row r="2978" spans="1:10" x14ac:dyDescent="0.3">
      <c r="A2978" t="s">
        <v>3109</v>
      </c>
      <c r="B2978" t="s">
        <v>88</v>
      </c>
      <c r="C2978" t="str">
        <f>_xlfn.XLOOKUP(B2978,
[1]sales_teams!$A$2:$A$100,
[1]sales_teams!$B$2:$B$100)</f>
        <v>Cara Losch</v>
      </c>
      <c r="D2978" t="str">
        <f>_xlfn.XLOOKUP($B2978,sales_teams!$A$2:$A$36,sales_teams!C$2:C$36)</f>
        <v>East</v>
      </c>
      <c r="E2978" t="s">
        <v>18</v>
      </c>
      <c r="F2978" t="s">
        <v>155</v>
      </c>
      <c r="G2978" t="s">
        <v>12</v>
      </c>
      <c r="H2978" s="1">
        <v>42861</v>
      </c>
      <c r="I2978" s="1">
        <v>42956</v>
      </c>
      <c r="J2978">
        <v>51</v>
      </c>
    </row>
    <row r="2979" spans="1:10" x14ac:dyDescent="0.3">
      <c r="A2979" t="s">
        <v>3110</v>
      </c>
      <c r="B2979" t="s">
        <v>29</v>
      </c>
      <c r="C2979" t="str">
        <f>_xlfn.XLOOKUP(B2979,
[1]sales_teams!$A$2:$A$100,
[1]sales_teams!$B$2:$B$100)</f>
        <v>Celia Rouche</v>
      </c>
      <c r="D2979" t="str">
        <f>_xlfn.XLOOKUP($B2979,sales_teams!$A$2:$A$36,sales_teams!C$2:C$36)</f>
        <v>West</v>
      </c>
      <c r="E2979" t="s">
        <v>48</v>
      </c>
      <c r="F2979" t="s">
        <v>122</v>
      </c>
      <c r="G2979" t="s">
        <v>40</v>
      </c>
      <c r="H2979" s="1">
        <v>42861</v>
      </c>
    </row>
    <row r="2980" spans="1:10" x14ac:dyDescent="0.3">
      <c r="A2980" t="s">
        <v>3111</v>
      </c>
      <c r="B2980" t="s">
        <v>29</v>
      </c>
      <c r="C2980" t="str">
        <f>_xlfn.XLOOKUP(B2980,
[1]sales_teams!$A$2:$A$100,
[1]sales_teams!$B$2:$B$100)</f>
        <v>Celia Rouche</v>
      </c>
      <c r="D2980" t="str">
        <f>_xlfn.XLOOKUP($B2980,sales_teams!$A$2:$A$36,sales_teams!C$2:C$36)</f>
        <v>West</v>
      </c>
      <c r="E2980" t="s">
        <v>15</v>
      </c>
      <c r="G2980" t="s">
        <v>40</v>
      </c>
      <c r="H2980" s="1">
        <v>42861</v>
      </c>
    </row>
    <row r="2981" spans="1:10" x14ac:dyDescent="0.3">
      <c r="A2981" t="s">
        <v>3112</v>
      </c>
      <c r="B2981" t="s">
        <v>26</v>
      </c>
      <c r="C2981" t="str">
        <f>_xlfn.XLOOKUP(B2981,
[1]sales_teams!$A$2:$A$100,
[1]sales_teams!$B$2:$B$100)</f>
        <v>Dustin Brinkmann</v>
      </c>
      <c r="D2981" t="str">
        <f>_xlfn.XLOOKUP($B2981,sales_teams!$A$2:$A$36,sales_teams!C$2:C$36)</f>
        <v>Central</v>
      </c>
      <c r="E2981" t="s">
        <v>10</v>
      </c>
      <c r="F2981" t="s">
        <v>91</v>
      </c>
      <c r="G2981" t="s">
        <v>46</v>
      </c>
      <c r="H2981" s="1">
        <v>42862</v>
      </c>
      <c r="I2981" s="1">
        <v>42977</v>
      </c>
      <c r="J2981">
        <v>0</v>
      </c>
    </row>
    <row r="2982" spans="1:10" x14ac:dyDescent="0.3">
      <c r="A2982" t="s">
        <v>3113</v>
      </c>
      <c r="B2982" t="s">
        <v>118</v>
      </c>
      <c r="C2982" t="str">
        <f>_xlfn.XLOOKUP(B2982,
[1]sales_teams!$A$2:$A$100,
[1]sales_teams!$B$2:$B$100)</f>
        <v>Rocco Neubert</v>
      </c>
      <c r="D2982" t="str">
        <f>_xlfn.XLOOKUP($B2982,sales_teams!$A$2:$A$36,sales_teams!C$2:C$36)</f>
        <v>East</v>
      </c>
      <c r="E2982" t="s">
        <v>39</v>
      </c>
      <c r="F2982" t="s">
        <v>192</v>
      </c>
      <c r="G2982" t="s">
        <v>12</v>
      </c>
      <c r="H2982" s="1">
        <v>42862</v>
      </c>
      <c r="I2982" s="1">
        <v>42876</v>
      </c>
      <c r="J2982">
        <v>4287</v>
      </c>
    </row>
    <row r="2983" spans="1:10" x14ac:dyDescent="0.3">
      <c r="A2983" t="s">
        <v>3114</v>
      </c>
      <c r="B2983" t="s">
        <v>164</v>
      </c>
      <c r="C2983" t="str">
        <f>_xlfn.XLOOKUP(B2983,
[1]sales_teams!$A$2:$A$100,
[1]sales_teams!$B$2:$B$100)</f>
        <v>Cara Losch</v>
      </c>
      <c r="D2983" t="str">
        <f>_xlfn.XLOOKUP($B2983,sales_teams!$A$2:$A$36,sales_teams!C$2:C$36)</f>
        <v>East</v>
      </c>
      <c r="E2983" t="s">
        <v>10</v>
      </c>
      <c r="F2983" t="s">
        <v>215</v>
      </c>
      <c r="G2983" t="s">
        <v>40</v>
      </c>
      <c r="H2983" s="1">
        <v>42862</v>
      </c>
    </row>
    <row r="2984" spans="1:10" x14ac:dyDescent="0.3">
      <c r="A2984" t="s">
        <v>3115</v>
      </c>
      <c r="B2984" t="s">
        <v>164</v>
      </c>
      <c r="C2984" t="str">
        <f>_xlfn.XLOOKUP(B2984,
[1]sales_teams!$A$2:$A$100,
[1]sales_teams!$B$2:$B$100)</f>
        <v>Cara Losch</v>
      </c>
      <c r="D2984" t="str">
        <f>_xlfn.XLOOKUP($B2984,sales_teams!$A$2:$A$36,sales_teams!C$2:C$36)</f>
        <v>East</v>
      </c>
      <c r="E2984" t="s">
        <v>15</v>
      </c>
      <c r="G2984" t="s">
        <v>40</v>
      </c>
      <c r="H2984" s="1">
        <v>42862</v>
      </c>
    </row>
    <row r="2985" spans="1:10" x14ac:dyDescent="0.3">
      <c r="A2985" t="s">
        <v>3116</v>
      </c>
      <c r="B2985" t="s">
        <v>164</v>
      </c>
      <c r="C2985" t="str">
        <f>_xlfn.XLOOKUP(B2985,
[1]sales_teams!$A$2:$A$100,
[1]sales_teams!$B$2:$B$100)</f>
        <v>Cara Losch</v>
      </c>
      <c r="D2985" t="str">
        <f>_xlfn.XLOOKUP($B2985,sales_teams!$A$2:$A$36,sales_teams!C$2:C$36)</f>
        <v>East</v>
      </c>
      <c r="E2985" t="s">
        <v>15</v>
      </c>
      <c r="F2985" t="s">
        <v>177</v>
      </c>
      <c r="G2985" t="s">
        <v>12</v>
      </c>
      <c r="H2985" s="1">
        <v>42862</v>
      </c>
      <c r="I2985" s="1">
        <v>42870</v>
      </c>
      <c r="J2985">
        <v>3960</v>
      </c>
    </row>
    <row r="2986" spans="1:10" x14ac:dyDescent="0.3">
      <c r="A2986" t="s">
        <v>3117</v>
      </c>
      <c r="B2986" t="s">
        <v>142</v>
      </c>
      <c r="C2986" t="str">
        <f>_xlfn.XLOOKUP(B2986,
[1]sales_teams!$A$2:$A$100,
[1]sales_teams!$B$2:$B$100)</f>
        <v>Rocco Neubert</v>
      </c>
      <c r="D2986" t="str">
        <f>_xlfn.XLOOKUP($B2986,sales_teams!$A$2:$A$36,sales_teams!C$2:C$36)</f>
        <v>East</v>
      </c>
      <c r="E2986" t="s">
        <v>15</v>
      </c>
      <c r="F2986" t="s">
        <v>199</v>
      </c>
      <c r="G2986" t="s">
        <v>46</v>
      </c>
      <c r="H2986" s="1">
        <v>42862</v>
      </c>
      <c r="I2986" s="1">
        <v>42864</v>
      </c>
      <c r="J2986">
        <v>0</v>
      </c>
    </row>
    <row r="2987" spans="1:10" x14ac:dyDescent="0.3">
      <c r="A2987" t="s">
        <v>3118</v>
      </c>
      <c r="B2987" t="s">
        <v>252</v>
      </c>
      <c r="C2987" t="str">
        <f>_xlfn.XLOOKUP(B2987,
[1]sales_teams!$A$2:$A$100,
[1]sales_teams!$B$2:$B$100)</f>
        <v>Melvin Marxen</v>
      </c>
      <c r="D2987" t="str">
        <f>_xlfn.XLOOKUP($B2987,sales_teams!$A$2:$A$36,sales_teams!C$2:C$36)</f>
        <v>Central</v>
      </c>
      <c r="E2987" t="s">
        <v>10</v>
      </c>
      <c r="F2987" t="s">
        <v>21</v>
      </c>
      <c r="G2987" t="s">
        <v>12</v>
      </c>
      <c r="H2987" s="1">
        <v>42862</v>
      </c>
      <c r="I2987" s="1">
        <v>42980</v>
      </c>
      <c r="J2987">
        <v>1093</v>
      </c>
    </row>
    <row r="2988" spans="1:10" x14ac:dyDescent="0.3">
      <c r="A2988" t="s">
        <v>3119</v>
      </c>
      <c r="B2988" t="s">
        <v>252</v>
      </c>
      <c r="C2988" t="str">
        <f>_xlfn.XLOOKUP(B2988,
[1]sales_teams!$A$2:$A$100,
[1]sales_teams!$B$2:$B$100)</f>
        <v>Melvin Marxen</v>
      </c>
      <c r="D2988" t="str">
        <f>_xlfn.XLOOKUP($B2988,sales_teams!$A$2:$A$36,sales_teams!C$2:C$36)</f>
        <v>Central</v>
      </c>
      <c r="E2988" t="s">
        <v>10</v>
      </c>
      <c r="F2988" t="s">
        <v>76</v>
      </c>
      <c r="G2988" t="s">
        <v>12</v>
      </c>
      <c r="H2988" s="1">
        <v>42862</v>
      </c>
      <c r="I2988" s="1">
        <v>42957</v>
      </c>
      <c r="J2988">
        <v>1194</v>
      </c>
    </row>
    <row r="2989" spans="1:10" x14ac:dyDescent="0.3">
      <c r="A2989" t="s">
        <v>3120</v>
      </c>
      <c r="B2989" t="s">
        <v>252</v>
      </c>
      <c r="C2989" t="str">
        <f>_xlfn.XLOOKUP(B2989,
[1]sales_teams!$A$2:$A$100,
[1]sales_teams!$B$2:$B$100)</f>
        <v>Melvin Marxen</v>
      </c>
      <c r="D2989" t="str">
        <f>_xlfn.XLOOKUP($B2989,sales_teams!$A$2:$A$36,sales_teams!C$2:C$36)</f>
        <v>Central</v>
      </c>
      <c r="E2989" t="s">
        <v>15</v>
      </c>
      <c r="F2989" t="s">
        <v>151</v>
      </c>
      <c r="G2989" t="s">
        <v>12</v>
      </c>
      <c r="H2989" s="1">
        <v>42862</v>
      </c>
      <c r="I2989" s="1">
        <v>42961</v>
      </c>
      <c r="J2989">
        <v>5310</v>
      </c>
    </row>
    <row r="2990" spans="1:10" x14ac:dyDescent="0.3">
      <c r="A2990" t="s">
        <v>3121</v>
      </c>
      <c r="B2990" t="s">
        <v>78</v>
      </c>
      <c r="C2990" t="str">
        <f>_xlfn.XLOOKUP(B2990,
[1]sales_teams!$A$2:$A$100,
[1]sales_teams!$B$2:$B$100)</f>
        <v>Summer Sewald</v>
      </c>
      <c r="D2990" t="str">
        <f>_xlfn.XLOOKUP($B2990,sales_teams!$A$2:$A$36,sales_teams!C$2:C$36)</f>
        <v>West</v>
      </c>
      <c r="E2990" t="s">
        <v>10</v>
      </c>
      <c r="F2990" t="s">
        <v>313</v>
      </c>
      <c r="G2990" t="s">
        <v>46</v>
      </c>
      <c r="H2990" s="1">
        <v>42862</v>
      </c>
      <c r="I2990" s="1">
        <v>42951</v>
      </c>
      <c r="J2990">
        <v>0</v>
      </c>
    </row>
    <row r="2991" spans="1:10" x14ac:dyDescent="0.3">
      <c r="A2991" t="s">
        <v>3122</v>
      </c>
      <c r="B2991" t="s">
        <v>95</v>
      </c>
      <c r="C2991" t="str">
        <f>_xlfn.XLOOKUP(B2991,
[1]sales_teams!$A$2:$A$100,
[1]sales_teams!$B$2:$B$100)</f>
        <v>Summer Sewald</v>
      </c>
      <c r="D2991" t="str">
        <f>_xlfn.XLOOKUP($B2991,sales_teams!$A$2:$A$36,sales_teams!C$2:C$36)</f>
        <v>West</v>
      </c>
      <c r="E2991" t="s">
        <v>10</v>
      </c>
      <c r="F2991" t="s">
        <v>70</v>
      </c>
      <c r="G2991" t="s">
        <v>46</v>
      </c>
      <c r="H2991" s="1">
        <v>42862</v>
      </c>
      <c r="I2991" s="1">
        <v>42875</v>
      </c>
      <c r="J2991">
        <v>0</v>
      </c>
    </row>
    <row r="2992" spans="1:10" x14ac:dyDescent="0.3">
      <c r="A2992" t="s">
        <v>3123</v>
      </c>
      <c r="B2992" t="s">
        <v>133</v>
      </c>
      <c r="C2992" t="str">
        <f>_xlfn.XLOOKUP(B2992,
[1]sales_teams!$A$2:$A$100,
[1]sales_teams!$B$2:$B$100)</f>
        <v>Dustin Brinkmann</v>
      </c>
      <c r="D2992" t="str">
        <f>_xlfn.XLOOKUP($B2992,sales_teams!$A$2:$A$36,sales_teams!C$2:C$36)</f>
        <v>Central</v>
      </c>
      <c r="E2992" t="s">
        <v>20</v>
      </c>
      <c r="F2992" t="s">
        <v>315</v>
      </c>
      <c r="G2992" t="s">
        <v>46</v>
      </c>
      <c r="H2992" s="1">
        <v>42862</v>
      </c>
      <c r="I2992" s="1">
        <v>42950</v>
      </c>
      <c r="J2992">
        <v>0</v>
      </c>
    </row>
    <row r="2993" spans="1:10" x14ac:dyDescent="0.3">
      <c r="A2993" t="s">
        <v>3124</v>
      </c>
      <c r="B2993" t="s">
        <v>32</v>
      </c>
      <c r="C2993" t="str">
        <f>_xlfn.XLOOKUP(B2993,
[1]sales_teams!$A$2:$A$100,
[1]sales_teams!$B$2:$B$100)</f>
        <v>Celia Rouche</v>
      </c>
      <c r="D2993" t="str">
        <f>_xlfn.XLOOKUP($B2993,sales_teams!$A$2:$A$36,sales_teams!C$2:C$36)</f>
        <v>West</v>
      </c>
      <c r="E2993" t="s">
        <v>48</v>
      </c>
      <c r="G2993" t="s">
        <v>40</v>
      </c>
      <c r="H2993" s="1">
        <v>42862</v>
      </c>
    </row>
    <row r="2994" spans="1:10" x14ac:dyDescent="0.3">
      <c r="A2994" t="s">
        <v>3125</v>
      </c>
      <c r="B2994" t="s">
        <v>51</v>
      </c>
      <c r="C2994" t="str">
        <f>_xlfn.XLOOKUP(B2994,
[1]sales_teams!$A$2:$A$100,
[1]sales_teams!$B$2:$B$100)</f>
        <v>Summer Sewald</v>
      </c>
      <c r="D2994" t="str">
        <f>_xlfn.XLOOKUP($B2994,sales_teams!$A$2:$A$36,sales_teams!C$2:C$36)</f>
        <v>West</v>
      </c>
      <c r="E2994" t="s">
        <v>10</v>
      </c>
      <c r="F2994" t="s">
        <v>122</v>
      </c>
      <c r="G2994" t="s">
        <v>12</v>
      </c>
      <c r="H2994" s="1">
        <v>42862</v>
      </c>
      <c r="I2994" s="1">
        <v>42955</v>
      </c>
      <c r="J2994">
        <v>1222</v>
      </c>
    </row>
    <row r="2995" spans="1:10" x14ac:dyDescent="0.3">
      <c r="A2995" t="s">
        <v>3126</v>
      </c>
      <c r="B2995" t="s">
        <v>9</v>
      </c>
      <c r="C2995" t="str">
        <f>_xlfn.XLOOKUP(B2995,
[1]sales_teams!$A$2:$A$100,
[1]sales_teams!$B$2:$B$100)</f>
        <v>Dustin Brinkmann</v>
      </c>
      <c r="D2995" t="str">
        <f>_xlfn.XLOOKUP($B2995,sales_teams!$A$2:$A$36,sales_teams!C$2:C$36)</f>
        <v>Central</v>
      </c>
      <c r="E2995" t="s">
        <v>10</v>
      </c>
      <c r="F2995" t="s">
        <v>318</v>
      </c>
      <c r="G2995" t="s">
        <v>12</v>
      </c>
      <c r="H2995" s="1">
        <v>42862</v>
      </c>
      <c r="I2995" s="1">
        <v>42952</v>
      </c>
      <c r="J2995">
        <v>901</v>
      </c>
    </row>
    <row r="2996" spans="1:10" x14ac:dyDescent="0.3">
      <c r="A2996" t="s">
        <v>3127</v>
      </c>
      <c r="B2996" t="s">
        <v>97</v>
      </c>
      <c r="C2996" t="str">
        <f>_xlfn.XLOOKUP(B2996,
[1]sales_teams!$A$2:$A$100,
[1]sales_teams!$B$2:$B$100)</f>
        <v>Rocco Neubert</v>
      </c>
      <c r="D2996" t="str">
        <f>_xlfn.XLOOKUP($B2996,sales_teams!$A$2:$A$36,sales_teams!C$2:C$36)</f>
        <v>East</v>
      </c>
      <c r="E2996" t="s">
        <v>39</v>
      </c>
      <c r="F2996" t="s">
        <v>177</v>
      </c>
      <c r="G2996" t="s">
        <v>46</v>
      </c>
      <c r="H2996" s="1">
        <v>42862</v>
      </c>
      <c r="I2996" s="1">
        <v>42973</v>
      </c>
      <c r="J2996">
        <v>0</v>
      </c>
    </row>
    <row r="2997" spans="1:10" x14ac:dyDescent="0.3">
      <c r="A2997" t="s">
        <v>3128</v>
      </c>
      <c r="B2997" t="s">
        <v>97</v>
      </c>
      <c r="C2997" t="str">
        <f>_xlfn.XLOOKUP(B2997,
[1]sales_teams!$A$2:$A$100,
[1]sales_teams!$B$2:$B$100)</f>
        <v>Rocco Neubert</v>
      </c>
      <c r="D2997" t="str">
        <f>_xlfn.XLOOKUP($B2997,sales_teams!$A$2:$A$36,sales_teams!C$2:C$36)</f>
        <v>East</v>
      </c>
      <c r="E2997" t="s">
        <v>48</v>
      </c>
      <c r="F2997" t="s">
        <v>155</v>
      </c>
      <c r="G2997" t="s">
        <v>12</v>
      </c>
      <c r="H2997" s="1">
        <v>42862</v>
      </c>
      <c r="I2997" s="1">
        <v>42948</v>
      </c>
      <c r="J2997">
        <v>5601</v>
      </c>
    </row>
    <row r="2998" spans="1:10" x14ac:dyDescent="0.3">
      <c r="A2998" t="s">
        <v>3129</v>
      </c>
      <c r="B2998" t="s">
        <v>57</v>
      </c>
      <c r="C2998" t="str">
        <f>_xlfn.XLOOKUP(B2998,
[1]sales_teams!$A$2:$A$100,
[1]sales_teams!$B$2:$B$100)</f>
        <v>Celia Rouche</v>
      </c>
      <c r="D2998" t="str">
        <f>_xlfn.XLOOKUP($B2998,sales_teams!$A$2:$A$36,sales_teams!C$2:C$36)</f>
        <v>West</v>
      </c>
      <c r="E2998" t="s">
        <v>39</v>
      </c>
      <c r="G2998" t="s">
        <v>40</v>
      </c>
      <c r="H2998" s="1">
        <v>42862</v>
      </c>
    </row>
    <row r="2999" spans="1:10" x14ac:dyDescent="0.3">
      <c r="A2999" t="s">
        <v>3130</v>
      </c>
      <c r="B2999" t="s">
        <v>73</v>
      </c>
      <c r="C2999" t="str">
        <f>_xlfn.XLOOKUP(B2999,
[1]sales_teams!$A$2:$A$100,
[1]sales_teams!$B$2:$B$100)</f>
        <v>Cara Losch</v>
      </c>
      <c r="D2999" t="str">
        <f>_xlfn.XLOOKUP($B2999,sales_teams!$A$2:$A$36,sales_teams!C$2:C$36)</f>
        <v>East</v>
      </c>
      <c r="E2999" t="s">
        <v>39</v>
      </c>
      <c r="G2999" t="s">
        <v>40</v>
      </c>
      <c r="H2999" s="1">
        <v>42862</v>
      </c>
    </row>
    <row r="3000" spans="1:10" x14ac:dyDescent="0.3">
      <c r="A3000" t="s">
        <v>3131</v>
      </c>
      <c r="B3000" t="s">
        <v>102</v>
      </c>
      <c r="C3000" t="str">
        <f>_xlfn.XLOOKUP(B3000,
[1]sales_teams!$A$2:$A$100,
[1]sales_teams!$B$2:$B$100)</f>
        <v>Cara Losch</v>
      </c>
      <c r="D3000" t="str">
        <f>_xlfn.XLOOKUP($B3000,sales_teams!$A$2:$A$36,sales_teams!C$2:C$36)</f>
        <v>East</v>
      </c>
      <c r="E3000" t="s">
        <v>10</v>
      </c>
      <c r="F3000" t="s">
        <v>209</v>
      </c>
      <c r="G3000" t="s">
        <v>12</v>
      </c>
      <c r="H3000" s="1">
        <v>42862</v>
      </c>
      <c r="I3000" s="1">
        <v>42952</v>
      </c>
      <c r="J3000">
        <v>995</v>
      </c>
    </row>
    <row r="3001" spans="1:10" x14ac:dyDescent="0.3">
      <c r="A3001" t="s">
        <v>3132</v>
      </c>
      <c r="B3001" t="s">
        <v>102</v>
      </c>
      <c r="C3001" t="str">
        <f>_xlfn.XLOOKUP(B3001,
[1]sales_teams!$A$2:$A$100,
[1]sales_teams!$B$2:$B$100)</f>
        <v>Cara Losch</v>
      </c>
      <c r="D3001" t="str">
        <f>_xlfn.XLOOKUP($B3001,sales_teams!$A$2:$A$36,sales_teams!C$2:C$36)</f>
        <v>East</v>
      </c>
      <c r="E3001" t="s">
        <v>39</v>
      </c>
      <c r="F3001" t="s">
        <v>65</v>
      </c>
      <c r="G3001" t="s">
        <v>12</v>
      </c>
      <c r="H3001" s="1">
        <v>42862</v>
      </c>
      <c r="I3001" s="1">
        <v>42952</v>
      </c>
      <c r="J3001">
        <v>3666</v>
      </c>
    </row>
    <row r="3002" spans="1:10" x14ac:dyDescent="0.3">
      <c r="A3002" t="s">
        <v>3133</v>
      </c>
      <c r="B3002" t="s">
        <v>26</v>
      </c>
      <c r="C3002" t="str">
        <f>_xlfn.XLOOKUP(B3002,
[1]sales_teams!$A$2:$A$100,
[1]sales_teams!$B$2:$B$100)</f>
        <v>Dustin Brinkmann</v>
      </c>
      <c r="D3002" t="str">
        <f>_xlfn.XLOOKUP($B3002,sales_teams!$A$2:$A$36,sales_teams!C$2:C$36)</f>
        <v>Central</v>
      </c>
      <c r="E3002" t="s">
        <v>10</v>
      </c>
      <c r="F3002" t="s">
        <v>36</v>
      </c>
      <c r="G3002" t="s">
        <v>46</v>
      </c>
      <c r="H3002" s="1">
        <v>42863</v>
      </c>
      <c r="I3002" s="1">
        <v>42873</v>
      </c>
      <c r="J3002">
        <v>0</v>
      </c>
    </row>
    <row r="3003" spans="1:10" x14ac:dyDescent="0.3">
      <c r="A3003" t="s">
        <v>3134</v>
      </c>
      <c r="B3003" t="s">
        <v>26</v>
      </c>
      <c r="C3003" t="str">
        <f>_xlfn.XLOOKUP(B3003,
[1]sales_teams!$A$2:$A$100,
[1]sales_teams!$B$2:$B$100)</f>
        <v>Dustin Brinkmann</v>
      </c>
      <c r="D3003" t="str">
        <f>_xlfn.XLOOKUP($B3003,sales_teams!$A$2:$A$36,sales_teams!C$2:C$36)</f>
        <v>Central</v>
      </c>
      <c r="E3003" t="s">
        <v>18</v>
      </c>
      <c r="F3003" t="s">
        <v>231</v>
      </c>
      <c r="G3003" t="s">
        <v>12</v>
      </c>
      <c r="H3003" s="1">
        <v>42863</v>
      </c>
      <c r="I3003" s="1">
        <v>42874</v>
      </c>
      <c r="J3003">
        <v>56</v>
      </c>
    </row>
    <row r="3004" spans="1:10" x14ac:dyDescent="0.3">
      <c r="A3004" t="s">
        <v>3135</v>
      </c>
      <c r="B3004" t="s">
        <v>118</v>
      </c>
      <c r="C3004" t="str">
        <f>_xlfn.XLOOKUP(B3004,
[1]sales_teams!$A$2:$A$100,
[1]sales_teams!$B$2:$B$100)</f>
        <v>Rocco Neubert</v>
      </c>
      <c r="D3004" t="str">
        <f>_xlfn.XLOOKUP($B3004,sales_teams!$A$2:$A$36,sales_teams!C$2:C$36)</f>
        <v>East</v>
      </c>
      <c r="E3004" t="s">
        <v>10</v>
      </c>
      <c r="F3004" t="s">
        <v>240</v>
      </c>
      <c r="G3004" t="s">
        <v>12</v>
      </c>
      <c r="H3004" s="1">
        <v>42863</v>
      </c>
      <c r="I3004" s="1">
        <v>42872</v>
      </c>
      <c r="J3004">
        <v>1372</v>
      </c>
    </row>
    <row r="3005" spans="1:10" x14ac:dyDescent="0.3">
      <c r="A3005" t="s">
        <v>3136</v>
      </c>
      <c r="B3005" t="s">
        <v>64</v>
      </c>
      <c r="C3005" t="str">
        <f>_xlfn.XLOOKUP(B3005,
[1]sales_teams!$A$2:$A$100,
[1]sales_teams!$B$2:$B$100)</f>
        <v>Rocco Neubert</v>
      </c>
      <c r="D3005" t="str">
        <f>_xlfn.XLOOKUP($B3005,sales_teams!$A$2:$A$36,sales_teams!C$2:C$36)</f>
        <v>East</v>
      </c>
      <c r="E3005" t="s">
        <v>39</v>
      </c>
      <c r="F3005" t="s">
        <v>745</v>
      </c>
      <c r="G3005" t="s">
        <v>12</v>
      </c>
      <c r="H3005" s="1">
        <v>42863</v>
      </c>
      <c r="I3005" s="1">
        <v>42948</v>
      </c>
      <c r="J3005">
        <v>3282</v>
      </c>
    </row>
    <row r="3006" spans="1:10" x14ac:dyDescent="0.3">
      <c r="A3006" t="s">
        <v>3137</v>
      </c>
      <c r="B3006" t="s">
        <v>14</v>
      </c>
      <c r="C3006" t="str">
        <f>_xlfn.XLOOKUP(B3006,
[1]sales_teams!$A$2:$A$100,
[1]sales_teams!$B$2:$B$100)</f>
        <v>Melvin Marxen</v>
      </c>
      <c r="D3006" t="str">
        <f>_xlfn.XLOOKUP($B3006,sales_teams!$A$2:$A$36,sales_teams!C$2:C$36)</f>
        <v>Central</v>
      </c>
      <c r="E3006" t="s">
        <v>15</v>
      </c>
      <c r="F3006" t="s">
        <v>197</v>
      </c>
      <c r="G3006" t="s">
        <v>46</v>
      </c>
      <c r="H3006" s="1">
        <v>42863</v>
      </c>
      <c r="I3006" s="1">
        <v>42953</v>
      </c>
      <c r="J3006">
        <v>0</v>
      </c>
    </row>
    <row r="3007" spans="1:10" x14ac:dyDescent="0.3">
      <c r="A3007" t="s">
        <v>3138</v>
      </c>
      <c r="B3007" t="s">
        <v>67</v>
      </c>
      <c r="C3007" t="str">
        <f>_xlfn.XLOOKUP(B3007,
[1]sales_teams!$A$2:$A$100,
[1]sales_teams!$B$2:$B$100)</f>
        <v>Celia Rouche</v>
      </c>
      <c r="D3007" t="str">
        <f>_xlfn.XLOOKUP($B3007,sales_teams!$A$2:$A$36,sales_teams!C$2:C$36)</f>
        <v>West</v>
      </c>
      <c r="E3007" t="s">
        <v>18</v>
      </c>
      <c r="F3007" t="s">
        <v>174</v>
      </c>
      <c r="G3007" t="s">
        <v>12</v>
      </c>
      <c r="H3007" s="1">
        <v>42863</v>
      </c>
      <c r="I3007" s="1">
        <v>42965</v>
      </c>
      <c r="J3007">
        <v>43</v>
      </c>
    </row>
    <row r="3008" spans="1:10" x14ac:dyDescent="0.3">
      <c r="A3008" t="s">
        <v>3139</v>
      </c>
      <c r="B3008" t="s">
        <v>67</v>
      </c>
      <c r="C3008" t="str">
        <f>_xlfn.XLOOKUP(B3008,
[1]sales_teams!$A$2:$A$100,
[1]sales_teams!$B$2:$B$100)</f>
        <v>Celia Rouche</v>
      </c>
      <c r="D3008" t="str">
        <f>_xlfn.XLOOKUP($B3008,sales_teams!$A$2:$A$36,sales_teams!C$2:C$36)</f>
        <v>West</v>
      </c>
      <c r="E3008" t="s">
        <v>18</v>
      </c>
      <c r="F3008" t="s">
        <v>555</v>
      </c>
      <c r="G3008" t="s">
        <v>12</v>
      </c>
      <c r="H3008" s="1">
        <v>42863</v>
      </c>
      <c r="I3008" s="1">
        <v>42983</v>
      </c>
      <c r="J3008">
        <v>54</v>
      </c>
    </row>
    <row r="3009" spans="1:10" x14ac:dyDescent="0.3">
      <c r="A3009" t="s">
        <v>3140</v>
      </c>
      <c r="B3009" t="s">
        <v>252</v>
      </c>
      <c r="C3009" t="str">
        <f>_xlfn.XLOOKUP(B3009,
[1]sales_teams!$A$2:$A$100,
[1]sales_teams!$B$2:$B$100)</f>
        <v>Melvin Marxen</v>
      </c>
      <c r="D3009" t="str">
        <f>_xlfn.XLOOKUP($B3009,sales_teams!$A$2:$A$36,sales_teams!C$2:C$36)</f>
        <v>Central</v>
      </c>
      <c r="E3009" t="s">
        <v>20</v>
      </c>
      <c r="F3009" t="s">
        <v>111</v>
      </c>
      <c r="G3009" t="s">
        <v>46</v>
      </c>
      <c r="H3009" s="1">
        <v>42863</v>
      </c>
      <c r="I3009" s="1">
        <v>42968</v>
      </c>
      <c r="J3009">
        <v>0</v>
      </c>
    </row>
    <row r="3010" spans="1:10" x14ac:dyDescent="0.3">
      <c r="A3010" t="s">
        <v>3141</v>
      </c>
      <c r="B3010" t="s">
        <v>78</v>
      </c>
      <c r="C3010" t="str">
        <f>_xlfn.XLOOKUP(B3010,
[1]sales_teams!$A$2:$A$100,
[1]sales_teams!$B$2:$B$100)</f>
        <v>Summer Sewald</v>
      </c>
      <c r="D3010" t="str">
        <f>_xlfn.XLOOKUP($B3010,sales_teams!$A$2:$A$36,sales_teams!C$2:C$36)</f>
        <v>West</v>
      </c>
      <c r="E3010" t="s">
        <v>20</v>
      </c>
      <c r="F3010" t="s">
        <v>33</v>
      </c>
      <c r="G3010" t="s">
        <v>12</v>
      </c>
      <c r="H3010" s="1">
        <v>42863</v>
      </c>
      <c r="I3010" s="1">
        <v>42871</v>
      </c>
      <c r="J3010">
        <v>575</v>
      </c>
    </row>
    <row r="3011" spans="1:10" x14ac:dyDescent="0.3">
      <c r="A3011" t="s">
        <v>3142</v>
      </c>
      <c r="B3011" t="s">
        <v>78</v>
      </c>
      <c r="C3011" t="str">
        <f>_xlfn.XLOOKUP(B3011,
[1]sales_teams!$A$2:$A$100,
[1]sales_teams!$B$2:$B$100)</f>
        <v>Summer Sewald</v>
      </c>
      <c r="D3011" t="str">
        <f>_xlfn.XLOOKUP($B3011,sales_teams!$A$2:$A$36,sales_teams!C$2:C$36)</f>
        <v>West</v>
      </c>
      <c r="E3011" t="s">
        <v>10</v>
      </c>
      <c r="F3011" t="s">
        <v>315</v>
      </c>
      <c r="G3011" t="s">
        <v>12</v>
      </c>
      <c r="H3011" s="1">
        <v>42863</v>
      </c>
      <c r="I3011" s="1">
        <v>42957</v>
      </c>
      <c r="J3011">
        <v>768</v>
      </c>
    </row>
    <row r="3012" spans="1:10" x14ac:dyDescent="0.3">
      <c r="A3012" t="s">
        <v>3143</v>
      </c>
      <c r="B3012" t="s">
        <v>78</v>
      </c>
      <c r="C3012" t="str">
        <f>_xlfn.XLOOKUP(B3012,
[1]sales_teams!$A$2:$A$100,
[1]sales_teams!$B$2:$B$100)</f>
        <v>Summer Sewald</v>
      </c>
      <c r="D3012" t="str">
        <f>_xlfn.XLOOKUP($B3012,sales_teams!$A$2:$A$36,sales_teams!C$2:C$36)</f>
        <v>West</v>
      </c>
      <c r="E3012" t="s">
        <v>15</v>
      </c>
      <c r="F3012" t="s">
        <v>273</v>
      </c>
      <c r="G3012" t="s">
        <v>12</v>
      </c>
      <c r="H3012" s="1">
        <v>42863</v>
      </c>
      <c r="I3012" s="1">
        <v>42990</v>
      </c>
      <c r="J3012">
        <v>4426</v>
      </c>
    </row>
    <row r="3013" spans="1:10" x14ac:dyDescent="0.3">
      <c r="A3013" t="s">
        <v>3144</v>
      </c>
      <c r="B3013" t="s">
        <v>133</v>
      </c>
      <c r="C3013" t="str">
        <f>_xlfn.XLOOKUP(B3013,
[1]sales_teams!$A$2:$A$100,
[1]sales_teams!$B$2:$B$100)</f>
        <v>Dustin Brinkmann</v>
      </c>
      <c r="D3013" t="str">
        <f>_xlfn.XLOOKUP($B3013,sales_teams!$A$2:$A$36,sales_teams!C$2:C$36)</f>
        <v>Central</v>
      </c>
      <c r="E3013" t="s">
        <v>20</v>
      </c>
      <c r="F3013" t="s">
        <v>303</v>
      </c>
      <c r="G3013" t="s">
        <v>46</v>
      </c>
      <c r="H3013" s="1">
        <v>42863</v>
      </c>
      <c r="I3013" s="1">
        <v>42865</v>
      </c>
      <c r="J3013">
        <v>0</v>
      </c>
    </row>
    <row r="3014" spans="1:10" x14ac:dyDescent="0.3">
      <c r="A3014" t="s">
        <v>3145</v>
      </c>
      <c r="B3014" t="s">
        <v>133</v>
      </c>
      <c r="C3014" t="str">
        <f>_xlfn.XLOOKUP(B3014,
[1]sales_teams!$A$2:$A$100,
[1]sales_teams!$B$2:$B$100)</f>
        <v>Dustin Brinkmann</v>
      </c>
      <c r="D3014" t="str">
        <f>_xlfn.XLOOKUP($B3014,sales_teams!$A$2:$A$36,sales_teams!C$2:C$36)</f>
        <v>Central</v>
      </c>
      <c r="E3014" t="s">
        <v>20</v>
      </c>
      <c r="F3014" t="s">
        <v>113</v>
      </c>
      <c r="G3014" t="s">
        <v>12</v>
      </c>
      <c r="H3014" s="1">
        <v>42863</v>
      </c>
      <c r="I3014" s="1">
        <v>42967</v>
      </c>
      <c r="J3014">
        <v>553</v>
      </c>
    </row>
    <row r="3015" spans="1:10" x14ac:dyDescent="0.3">
      <c r="A3015" t="s">
        <v>3146</v>
      </c>
      <c r="B3015" t="s">
        <v>116</v>
      </c>
      <c r="C3015" t="str">
        <f>_xlfn.XLOOKUP(B3015,
[1]sales_teams!$A$2:$A$100,
[1]sales_teams!$B$2:$B$100)</f>
        <v>Melvin Marxen</v>
      </c>
      <c r="D3015" t="str">
        <f>_xlfn.XLOOKUP($B3015,sales_teams!$A$2:$A$36,sales_teams!C$2:C$36)</f>
        <v>Central</v>
      </c>
      <c r="E3015" t="s">
        <v>48</v>
      </c>
      <c r="F3015" t="s">
        <v>21</v>
      </c>
      <c r="G3015" t="s">
        <v>46</v>
      </c>
      <c r="H3015" s="1">
        <v>42863</v>
      </c>
      <c r="I3015" s="1">
        <v>42875</v>
      </c>
      <c r="J3015">
        <v>0</v>
      </c>
    </row>
    <row r="3016" spans="1:10" x14ac:dyDescent="0.3">
      <c r="A3016" t="s">
        <v>3147</v>
      </c>
      <c r="B3016" t="s">
        <v>51</v>
      </c>
      <c r="C3016" t="str">
        <f>_xlfn.XLOOKUP(B3016,
[1]sales_teams!$A$2:$A$100,
[1]sales_teams!$B$2:$B$100)</f>
        <v>Summer Sewald</v>
      </c>
      <c r="D3016" t="str">
        <f>_xlfn.XLOOKUP($B3016,sales_teams!$A$2:$A$36,sales_teams!C$2:C$36)</f>
        <v>West</v>
      </c>
      <c r="E3016" t="s">
        <v>10</v>
      </c>
      <c r="G3016" t="s">
        <v>40</v>
      </c>
      <c r="H3016" s="1">
        <v>42863</v>
      </c>
    </row>
    <row r="3017" spans="1:10" x14ac:dyDescent="0.3">
      <c r="A3017" t="s">
        <v>3148</v>
      </c>
      <c r="B3017" t="s">
        <v>51</v>
      </c>
      <c r="C3017" t="str">
        <f>_xlfn.XLOOKUP(B3017,
[1]sales_teams!$A$2:$A$100,
[1]sales_teams!$B$2:$B$100)</f>
        <v>Summer Sewald</v>
      </c>
      <c r="D3017" t="str">
        <f>_xlfn.XLOOKUP($B3017,sales_teams!$A$2:$A$36,sales_teams!C$2:C$36)</f>
        <v>West</v>
      </c>
      <c r="E3017" t="s">
        <v>10</v>
      </c>
      <c r="F3017" t="s">
        <v>100</v>
      </c>
      <c r="G3017" t="s">
        <v>46</v>
      </c>
      <c r="H3017" s="1">
        <v>42863</v>
      </c>
      <c r="I3017" s="1">
        <v>42952</v>
      </c>
      <c r="J3017">
        <v>0</v>
      </c>
    </row>
    <row r="3018" spans="1:10" x14ac:dyDescent="0.3">
      <c r="A3018" t="s">
        <v>3149</v>
      </c>
      <c r="B3018" t="s">
        <v>51</v>
      </c>
      <c r="C3018" t="str">
        <f>_xlfn.XLOOKUP(B3018,
[1]sales_teams!$A$2:$A$100,
[1]sales_teams!$B$2:$B$100)</f>
        <v>Summer Sewald</v>
      </c>
      <c r="D3018" t="str">
        <f>_xlfn.XLOOKUP($B3018,sales_teams!$A$2:$A$36,sales_teams!C$2:C$36)</f>
        <v>West</v>
      </c>
      <c r="E3018" t="s">
        <v>48</v>
      </c>
      <c r="F3018" t="s">
        <v>79</v>
      </c>
      <c r="G3018" t="s">
        <v>12</v>
      </c>
      <c r="H3018" s="1">
        <v>42863</v>
      </c>
      <c r="I3018" s="1">
        <v>42996</v>
      </c>
      <c r="J3018">
        <v>4786</v>
      </c>
    </row>
    <row r="3019" spans="1:10" x14ac:dyDescent="0.3">
      <c r="A3019" t="s">
        <v>3150</v>
      </c>
      <c r="B3019" t="s">
        <v>9</v>
      </c>
      <c r="C3019" t="str">
        <f>_xlfn.XLOOKUP(B3019,
[1]sales_teams!$A$2:$A$100,
[1]sales_teams!$B$2:$B$100)</f>
        <v>Dustin Brinkmann</v>
      </c>
      <c r="D3019" t="str">
        <f>_xlfn.XLOOKUP($B3019,sales_teams!$A$2:$A$36,sales_teams!C$2:C$36)</f>
        <v>Central</v>
      </c>
      <c r="E3019" t="s">
        <v>39</v>
      </c>
      <c r="F3019" t="s">
        <v>126</v>
      </c>
      <c r="G3019" t="s">
        <v>46</v>
      </c>
      <c r="H3019" s="1">
        <v>42863</v>
      </c>
      <c r="I3019" s="1">
        <v>42878</v>
      </c>
      <c r="J3019">
        <v>0</v>
      </c>
    </row>
    <row r="3020" spans="1:10" x14ac:dyDescent="0.3">
      <c r="A3020" t="s">
        <v>3151</v>
      </c>
      <c r="B3020" t="s">
        <v>97</v>
      </c>
      <c r="C3020" t="str">
        <f>_xlfn.XLOOKUP(B3020,
[1]sales_teams!$A$2:$A$100,
[1]sales_teams!$B$2:$B$100)</f>
        <v>Rocco Neubert</v>
      </c>
      <c r="D3020" t="str">
        <f>_xlfn.XLOOKUP($B3020,sales_teams!$A$2:$A$36,sales_teams!C$2:C$36)</f>
        <v>East</v>
      </c>
      <c r="E3020" t="s">
        <v>15</v>
      </c>
      <c r="F3020" t="s">
        <v>103</v>
      </c>
      <c r="G3020" t="s">
        <v>46</v>
      </c>
      <c r="H3020" s="1">
        <v>42863</v>
      </c>
      <c r="I3020" s="1">
        <v>42872</v>
      </c>
      <c r="J3020">
        <v>0</v>
      </c>
    </row>
    <row r="3021" spans="1:10" x14ac:dyDescent="0.3">
      <c r="A3021" t="s">
        <v>3152</v>
      </c>
      <c r="B3021" t="s">
        <v>61</v>
      </c>
      <c r="C3021" t="str">
        <f>_xlfn.XLOOKUP(B3021,
[1]sales_teams!$A$2:$A$100,
[1]sales_teams!$B$2:$B$100)</f>
        <v>Dustin Brinkmann</v>
      </c>
      <c r="D3021" t="str">
        <f>_xlfn.XLOOKUP($B3021,sales_teams!$A$2:$A$36,sales_teams!C$2:C$36)</f>
        <v>Central</v>
      </c>
      <c r="E3021" t="s">
        <v>48</v>
      </c>
      <c r="F3021" t="s">
        <v>318</v>
      </c>
      <c r="G3021" t="s">
        <v>46</v>
      </c>
      <c r="H3021" s="1">
        <v>42863</v>
      </c>
      <c r="I3021" s="1">
        <v>42949</v>
      </c>
      <c r="J3021">
        <v>0</v>
      </c>
    </row>
    <row r="3022" spans="1:10" x14ac:dyDescent="0.3">
      <c r="A3022" t="s">
        <v>3153</v>
      </c>
      <c r="B3022" t="s">
        <v>61</v>
      </c>
      <c r="C3022" t="str">
        <f>_xlfn.XLOOKUP(B3022,
[1]sales_teams!$A$2:$A$100,
[1]sales_teams!$B$2:$B$100)</f>
        <v>Dustin Brinkmann</v>
      </c>
      <c r="D3022" t="str">
        <f>_xlfn.XLOOKUP($B3022,sales_teams!$A$2:$A$36,sales_teams!C$2:C$36)</f>
        <v>Central</v>
      </c>
      <c r="E3022" t="s">
        <v>18</v>
      </c>
      <c r="F3022" t="s">
        <v>27</v>
      </c>
      <c r="G3022" t="s">
        <v>46</v>
      </c>
      <c r="H3022" s="1">
        <v>42863</v>
      </c>
      <c r="I3022" s="1">
        <v>42966</v>
      </c>
      <c r="J3022">
        <v>0</v>
      </c>
    </row>
    <row r="3023" spans="1:10" x14ac:dyDescent="0.3">
      <c r="A3023" t="s">
        <v>3154</v>
      </c>
      <c r="B3023" t="s">
        <v>61</v>
      </c>
      <c r="C3023" t="str">
        <f>_xlfn.XLOOKUP(B3023,
[1]sales_teams!$A$2:$A$100,
[1]sales_teams!$B$2:$B$100)</f>
        <v>Dustin Brinkmann</v>
      </c>
      <c r="D3023" t="str">
        <f>_xlfn.XLOOKUP($B3023,sales_teams!$A$2:$A$36,sales_teams!C$2:C$36)</f>
        <v>Central</v>
      </c>
      <c r="E3023" t="s">
        <v>48</v>
      </c>
      <c r="F3023" t="s">
        <v>91</v>
      </c>
      <c r="G3023" t="s">
        <v>12</v>
      </c>
      <c r="H3023" s="1">
        <v>42863</v>
      </c>
      <c r="I3023" s="1">
        <v>42871</v>
      </c>
      <c r="J3023">
        <v>5338</v>
      </c>
    </row>
    <row r="3024" spans="1:10" x14ac:dyDescent="0.3">
      <c r="A3024" t="s">
        <v>3155</v>
      </c>
      <c r="B3024" t="s">
        <v>23</v>
      </c>
      <c r="C3024" t="str">
        <f>_xlfn.XLOOKUP(B3024,
[1]sales_teams!$A$2:$A$100,
[1]sales_teams!$B$2:$B$100)</f>
        <v>Summer Sewald</v>
      </c>
      <c r="D3024" t="str">
        <f>_xlfn.XLOOKUP($B3024,sales_teams!$A$2:$A$36,sales_teams!C$2:C$36)</f>
        <v>West</v>
      </c>
      <c r="E3024" t="s">
        <v>15</v>
      </c>
      <c r="F3024" t="s">
        <v>24</v>
      </c>
      <c r="G3024" t="s">
        <v>40</v>
      </c>
      <c r="H3024" s="1">
        <v>42863</v>
      </c>
    </row>
    <row r="3025" spans="1:10" x14ac:dyDescent="0.3">
      <c r="A3025" t="s">
        <v>3156</v>
      </c>
      <c r="B3025" t="s">
        <v>23</v>
      </c>
      <c r="C3025" t="str">
        <f>_xlfn.XLOOKUP(B3025,
[1]sales_teams!$A$2:$A$100,
[1]sales_teams!$B$2:$B$100)</f>
        <v>Summer Sewald</v>
      </c>
      <c r="D3025" t="str">
        <f>_xlfn.XLOOKUP($B3025,sales_teams!$A$2:$A$36,sales_teams!C$2:C$36)</f>
        <v>West</v>
      </c>
      <c r="E3025" t="s">
        <v>20</v>
      </c>
      <c r="F3025" t="s">
        <v>59</v>
      </c>
      <c r="G3025" t="s">
        <v>46</v>
      </c>
      <c r="H3025" s="1">
        <v>42863</v>
      </c>
      <c r="I3025" s="1">
        <v>42870</v>
      </c>
      <c r="J3025">
        <v>0</v>
      </c>
    </row>
    <row r="3026" spans="1:10" x14ac:dyDescent="0.3">
      <c r="A3026" t="s">
        <v>3157</v>
      </c>
      <c r="B3026" t="s">
        <v>26</v>
      </c>
      <c r="C3026" t="str">
        <f>_xlfn.XLOOKUP(B3026,
[1]sales_teams!$A$2:$A$100,
[1]sales_teams!$B$2:$B$100)</f>
        <v>Dustin Brinkmann</v>
      </c>
      <c r="D3026" t="str">
        <f>_xlfn.XLOOKUP($B3026,sales_teams!$A$2:$A$36,sales_teams!C$2:C$36)</f>
        <v>Central</v>
      </c>
      <c r="E3026" t="s">
        <v>10</v>
      </c>
      <c r="F3026" t="s">
        <v>187</v>
      </c>
      <c r="G3026" t="s">
        <v>12</v>
      </c>
      <c r="H3026" s="1">
        <v>42864</v>
      </c>
      <c r="I3026" s="1">
        <v>42978</v>
      </c>
      <c r="J3026">
        <v>996</v>
      </c>
    </row>
    <row r="3027" spans="1:10" x14ac:dyDescent="0.3">
      <c r="A3027" t="s">
        <v>3158</v>
      </c>
      <c r="B3027" t="s">
        <v>139</v>
      </c>
      <c r="C3027" t="str">
        <f>_xlfn.XLOOKUP(B3027,
[1]sales_teams!$A$2:$A$100,
[1]sales_teams!$B$2:$B$100)</f>
        <v>Rocco Neubert</v>
      </c>
      <c r="D3027" t="str">
        <f>_xlfn.XLOOKUP($B3027,sales_teams!$A$2:$A$36,sales_teams!C$2:C$36)</f>
        <v>East</v>
      </c>
      <c r="E3027" t="s">
        <v>10</v>
      </c>
      <c r="G3027" t="s">
        <v>40</v>
      </c>
      <c r="H3027" s="1">
        <v>42864</v>
      </c>
    </row>
    <row r="3028" spans="1:10" x14ac:dyDescent="0.3">
      <c r="A3028" t="s">
        <v>3159</v>
      </c>
      <c r="B3028" t="s">
        <v>139</v>
      </c>
      <c r="C3028" t="str">
        <f>_xlfn.XLOOKUP(B3028,
[1]sales_teams!$A$2:$A$100,
[1]sales_teams!$B$2:$B$100)</f>
        <v>Rocco Neubert</v>
      </c>
      <c r="D3028" t="str">
        <f>_xlfn.XLOOKUP($B3028,sales_teams!$A$2:$A$36,sales_teams!C$2:C$36)</f>
        <v>East</v>
      </c>
      <c r="E3028" t="s">
        <v>39</v>
      </c>
      <c r="G3028" t="s">
        <v>40</v>
      </c>
      <c r="H3028" s="1">
        <v>42864</v>
      </c>
    </row>
    <row r="3029" spans="1:10" x14ac:dyDescent="0.3">
      <c r="A3029" t="s">
        <v>3160</v>
      </c>
      <c r="B3029" t="s">
        <v>118</v>
      </c>
      <c r="C3029" t="str">
        <f>_xlfn.XLOOKUP(B3029,
[1]sales_teams!$A$2:$A$100,
[1]sales_teams!$B$2:$B$100)</f>
        <v>Rocco Neubert</v>
      </c>
      <c r="D3029" t="str">
        <f>_xlfn.XLOOKUP($B3029,sales_teams!$A$2:$A$36,sales_teams!C$2:C$36)</f>
        <v>East</v>
      </c>
      <c r="E3029" t="s">
        <v>39</v>
      </c>
      <c r="F3029" t="s">
        <v>237</v>
      </c>
      <c r="G3029" t="s">
        <v>46</v>
      </c>
      <c r="H3029" s="1">
        <v>42864</v>
      </c>
      <c r="I3029" s="1">
        <v>42875</v>
      </c>
      <c r="J3029">
        <v>0</v>
      </c>
    </row>
    <row r="3030" spans="1:10" x14ac:dyDescent="0.3">
      <c r="A3030" t="s">
        <v>3161</v>
      </c>
      <c r="B3030" t="s">
        <v>202</v>
      </c>
      <c r="C3030" t="str">
        <f>_xlfn.XLOOKUP(B3030,
[1]sales_teams!$A$2:$A$100,
[1]sales_teams!$B$2:$B$100)</f>
        <v>Dustin Brinkmann</v>
      </c>
      <c r="D3030" t="str">
        <f>_xlfn.XLOOKUP($B3030,sales_teams!$A$2:$A$36,sales_teams!C$2:C$36)</f>
        <v>Central</v>
      </c>
      <c r="E3030" t="s">
        <v>18</v>
      </c>
      <c r="F3030" t="s">
        <v>197</v>
      </c>
      <c r="G3030" t="s">
        <v>12</v>
      </c>
      <c r="H3030" s="1">
        <v>42864</v>
      </c>
      <c r="I3030" s="1">
        <v>42956</v>
      </c>
      <c r="J3030">
        <v>63</v>
      </c>
    </row>
    <row r="3031" spans="1:10" x14ac:dyDescent="0.3">
      <c r="A3031" t="s">
        <v>3162</v>
      </c>
      <c r="B3031" t="s">
        <v>64</v>
      </c>
      <c r="C3031" t="str">
        <f>_xlfn.XLOOKUP(B3031,
[1]sales_teams!$A$2:$A$100,
[1]sales_teams!$B$2:$B$100)</f>
        <v>Rocco Neubert</v>
      </c>
      <c r="D3031" t="str">
        <f>_xlfn.XLOOKUP($B3031,sales_teams!$A$2:$A$36,sales_teams!C$2:C$36)</f>
        <v>East</v>
      </c>
      <c r="E3031" t="s">
        <v>10</v>
      </c>
      <c r="F3031" t="s">
        <v>140</v>
      </c>
      <c r="G3031" t="s">
        <v>46</v>
      </c>
      <c r="H3031" s="1">
        <v>42864</v>
      </c>
      <c r="I3031" s="1">
        <v>42964</v>
      </c>
      <c r="J3031">
        <v>0</v>
      </c>
    </row>
    <row r="3032" spans="1:10" x14ac:dyDescent="0.3">
      <c r="A3032" t="s">
        <v>3163</v>
      </c>
      <c r="B3032" t="s">
        <v>14</v>
      </c>
      <c r="C3032" t="str">
        <f>_xlfn.XLOOKUP(B3032,
[1]sales_teams!$A$2:$A$100,
[1]sales_teams!$B$2:$B$100)</f>
        <v>Melvin Marxen</v>
      </c>
      <c r="D3032" t="str">
        <f>_xlfn.XLOOKUP($B3032,sales_teams!$A$2:$A$36,sales_teams!C$2:C$36)</f>
        <v>Central</v>
      </c>
      <c r="E3032" t="s">
        <v>10</v>
      </c>
      <c r="F3032" t="s">
        <v>318</v>
      </c>
      <c r="G3032" t="s">
        <v>12</v>
      </c>
      <c r="H3032" s="1">
        <v>42864</v>
      </c>
      <c r="I3032" s="1">
        <v>42874</v>
      </c>
      <c r="J3032">
        <v>1075</v>
      </c>
    </row>
    <row r="3033" spans="1:10" x14ac:dyDescent="0.3">
      <c r="A3033" t="s">
        <v>3164</v>
      </c>
      <c r="B3033" t="s">
        <v>14</v>
      </c>
      <c r="C3033" t="str">
        <f>_xlfn.XLOOKUP(B3033,
[1]sales_teams!$A$2:$A$100,
[1]sales_teams!$B$2:$B$100)</f>
        <v>Melvin Marxen</v>
      </c>
      <c r="D3033" t="str">
        <f>_xlfn.XLOOKUP($B3033,sales_teams!$A$2:$A$36,sales_teams!C$2:C$36)</f>
        <v>Central</v>
      </c>
      <c r="E3033" t="s">
        <v>15</v>
      </c>
      <c r="F3033" t="s">
        <v>76</v>
      </c>
      <c r="G3033" t="s">
        <v>12</v>
      </c>
      <c r="H3033" s="1">
        <v>42864</v>
      </c>
      <c r="I3033" s="1">
        <v>42879</v>
      </c>
      <c r="J3033">
        <v>5033</v>
      </c>
    </row>
    <row r="3034" spans="1:10" x14ac:dyDescent="0.3">
      <c r="A3034" t="s">
        <v>3165</v>
      </c>
      <c r="B3034" t="s">
        <v>14</v>
      </c>
      <c r="C3034" t="str">
        <f>_xlfn.XLOOKUP(B3034,
[1]sales_teams!$A$2:$A$100,
[1]sales_teams!$B$2:$B$100)</f>
        <v>Melvin Marxen</v>
      </c>
      <c r="D3034" t="str">
        <f>_xlfn.XLOOKUP($B3034,sales_teams!$A$2:$A$36,sales_teams!C$2:C$36)</f>
        <v>Central</v>
      </c>
      <c r="E3034" t="s">
        <v>39</v>
      </c>
      <c r="F3034" t="s">
        <v>126</v>
      </c>
      <c r="G3034" t="s">
        <v>12</v>
      </c>
      <c r="H3034" s="1">
        <v>42864</v>
      </c>
      <c r="I3034" s="1">
        <v>42912</v>
      </c>
      <c r="J3034">
        <v>3249</v>
      </c>
    </row>
    <row r="3035" spans="1:10" x14ac:dyDescent="0.3">
      <c r="A3035" t="s">
        <v>3166</v>
      </c>
      <c r="B3035" t="s">
        <v>44</v>
      </c>
      <c r="C3035" t="str">
        <f>_xlfn.XLOOKUP(B3035,
[1]sales_teams!$A$2:$A$100,
[1]sales_teams!$B$2:$B$100)</f>
        <v>Melvin Marxen</v>
      </c>
      <c r="D3035" t="str">
        <f>_xlfn.XLOOKUP($B3035,sales_teams!$A$2:$A$36,sales_teams!C$2:C$36)</f>
        <v>Central</v>
      </c>
      <c r="E3035" t="s">
        <v>10</v>
      </c>
      <c r="F3035" t="s">
        <v>213</v>
      </c>
      <c r="G3035" t="s">
        <v>12</v>
      </c>
      <c r="H3035" s="1">
        <v>42864</v>
      </c>
      <c r="I3035" s="1">
        <v>42961</v>
      </c>
      <c r="J3035">
        <v>1015</v>
      </c>
    </row>
    <row r="3036" spans="1:10" x14ac:dyDescent="0.3">
      <c r="A3036" t="s">
        <v>3167</v>
      </c>
      <c r="B3036" t="s">
        <v>252</v>
      </c>
      <c r="C3036" t="str">
        <f>_xlfn.XLOOKUP(B3036,
[1]sales_teams!$A$2:$A$100,
[1]sales_teams!$B$2:$B$100)</f>
        <v>Melvin Marxen</v>
      </c>
      <c r="D3036" t="str">
        <f>_xlfn.XLOOKUP($B3036,sales_teams!$A$2:$A$36,sales_teams!C$2:C$36)</f>
        <v>Central</v>
      </c>
      <c r="E3036" t="s">
        <v>20</v>
      </c>
      <c r="F3036" t="s">
        <v>111</v>
      </c>
      <c r="G3036" t="s">
        <v>46</v>
      </c>
      <c r="H3036" s="1">
        <v>42864</v>
      </c>
      <c r="I3036" s="1">
        <v>42913</v>
      </c>
      <c r="J3036">
        <v>0</v>
      </c>
    </row>
    <row r="3037" spans="1:10" x14ac:dyDescent="0.3">
      <c r="A3037" t="s">
        <v>3168</v>
      </c>
      <c r="B3037" t="s">
        <v>252</v>
      </c>
      <c r="C3037" t="str">
        <f>_xlfn.XLOOKUP(B3037,
[1]sales_teams!$A$2:$A$100,
[1]sales_teams!$B$2:$B$100)</f>
        <v>Melvin Marxen</v>
      </c>
      <c r="D3037" t="str">
        <f>_xlfn.XLOOKUP($B3037,sales_teams!$A$2:$A$36,sales_teams!C$2:C$36)</f>
        <v>Central</v>
      </c>
      <c r="E3037" t="s">
        <v>10</v>
      </c>
      <c r="F3037" t="s">
        <v>109</v>
      </c>
      <c r="G3037" t="s">
        <v>12</v>
      </c>
      <c r="H3037" s="1">
        <v>42864</v>
      </c>
      <c r="I3037" s="1">
        <v>42871</v>
      </c>
      <c r="J3037">
        <v>1100</v>
      </c>
    </row>
    <row r="3038" spans="1:10" x14ac:dyDescent="0.3">
      <c r="A3038" t="s">
        <v>3169</v>
      </c>
      <c r="B3038" t="s">
        <v>78</v>
      </c>
      <c r="C3038" t="str">
        <f>_xlfn.XLOOKUP(B3038,
[1]sales_teams!$A$2:$A$100,
[1]sales_teams!$B$2:$B$100)</f>
        <v>Summer Sewald</v>
      </c>
      <c r="D3038" t="str">
        <f>_xlfn.XLOOKUP($B3038,sales_teams!$A$2:$A$36,sales_teams!C$2:C$36)</f>
        <v>West</v>
      </c>
      <c r="E3038" t="s">
        <v>48</v>
      </c>
      <c r="F3038" t="s">
        <v>313</v>
      </c>
      <c r="G3038" t="s">
        <v>12</v>
      </c>
      <c r="H3038" s="1">
        <v>42864</v>
      </c>
      <c r="I3038" s="1">
        <v>42991</v>
      </c>
      <c r="J3038">
        <v>4755</v>
      </c>
    </row>
    <row r="3039" spans="1:10" x14ac:dyDescent="0.3">
      <c r="A3039" t="s">
        <v>3170</v>
      </c>
      <c r="B3039" t="s">
        <v>95</v>
      </c>
      <c r="C3039" t="str">
        <f>_xlfn.XLOOKUP(B3039,
[1]sales_teams!$A$2:$A$100,
[1]sales_teams!$B$2:$B$100)</f>
        <v>Summer Sewald</v>
      </c>
      <c r="D3039" t="str">
        <f>_xlfn.XLOOKUP($B3039,sales_teams!$A$2:$A$36,sales_teams!C$2:C$36)</f>
        <v>West</v>
      </c>
      <c r="E3039" t="s">
        <v>20</v>
      </c>
      <c r="F3039" t="s">
        <v>155</v>
      </c>
      <c r="G3039" t="s">
        <v>46</v>
      </c>
      <c r="H3039" s="1">
        <v>42864</v>
      </c>
      <c r="I3039" s="1">
        <v>42955</v>
      </c>
      <c r="J3039">
        <v>0</v>
      </c>
    </row>
    <row r="3040" spans="1:10" x14ac:dyDescent="0.3">
      <c r="A3040" t="s">
        <v>3171</v>
      </c>
      <c r="B3040" t="s">
        <v>32</v>
      </c>
      <c r="C3040" t="str">
        <f>_xlfn.XLOOKUP(B3040,
[1]sales_teams!$A$2:$A$100,
[1]sales_teams!$B$2:$B$100)</f>
        <v>Celia Rouche</v>
      </c>
      <c r="D3040" t="str">
        <f>_xlfn.XLOOKUP($B3040,sales_teams!$A$2:$A$36,sales_teams!C$2:C$36)</f>
        <v>West</v>
      </c>
      <c r="E3040" t="s">
        <v>145</v>
      </c>
      <c r="G3040" t="s">
        <v>40</v>
      </c>
      <c r="H3040" s="1">
        <v>42864</v>
      </c>
    </row>
    <row r="3041" spans="1:10" x14ac:dyDescent="0.3">
      <c r="A3041" t="s">
        <v>3172</v>
      </c>
      <c r="B3041" t="s">
        <v>32</v>
      </c>
      <c r="C3041" t="str">
        <f>_xlfn.XLOOKUP(B3041,
[1]sales_teams!$A$2:$A$100,
[1]sales_teams!$B$2:$B$100)</f>
        <v>Celia Rouche</v>
      </c>
      <c r="D3041" t="str">
        <f>_xlfn.XLOOKUP($B3041,sales_teams!$A$2:$A$36,sales_teams!C$2:C$36)</f>
        <v>West</v>
      </c>
      <c r="E3041" t="s">
        <v>20</v>
      </c>
      <c r="F3041" t="s">
        <v>398</v>
      </c>
      <c r="G3041" t="s">
        <v>40</v>
      </c>
      <c r="H3041" s="1">
        <v>42864</v>
      </c>
    </row>
    <row r="3042" spans="1:10" x14ac:dyDescent="0.3">
      <c r="A3042" t="s">
        <v>3173</v>
      </c>
      <c r="B3042" t="s">
        <v>32</v>
      </c>
      <c r="C3042" t="str">
        <f>_xlfn.XLOOKUP(B3042,
[1]sales_teams!$A$2:$A$100,
[1]sales_teams!$B$2:$B$100)</f>
        <v>Celia Rouche</v>
      </c>
      <c r="D3042" t="str">
        <f>_xlfn.XLOOKUP($B3042,sales_teams!$A$2:$A$36,sales_teams!C$2:C$36)</f>
        <v>West</v>
      </c>
      <c r="E3042" t="s">
        <v>10</v>
      </c>
      <c r="F3042" t="s">
        <v>199</v>
      </c>
      <c r="G3042" t="s">
        <v>46</v>
      </c>
      <c r="H3042" s="1">
        <v>42864</v>
      </c>
      <c r="I3042" s="1">
        <v>42874</v>
      </c>
      <c r="J3042">
        <v>0</v>
      </c>
    </row>
    <row r="3043" spans="1:10" x14ac:dyDescent="0.3">
      <c r="A3043" t="s">
        <v>3174</v>
      </c>
      <c r="B3043" t="s">
        <v>32</v>
      </c>
      <c r="C3043" t="str">
        <f>_xlfn.XLOOKUP(B3043,
[1]sales_teams!$A$2:$A$100,
[1]sales_teams!$B$2:$B$100)</f>
        <v>Celia Rouche</v>
      </c>
      <c r="D3043" t="str">
        <f>_xlfn.XLOOKUP($B3043,sales_teams!$A$2:$A$36,sales_teams!C$2:C$36)</f>
        <v>West</v>
      </c>
      <c r="E3043" t="s">
        <v>15</v>
      </c>
      <c r="F3043" t="s">
        <v>122</v>
      </c>
      <c r="G3043" t="s">
        <v>46</v>
      </c>
      <c r="H3043" s="1">
        <v>42864</v>
      </c>
      <c r="I3043" s="1">
        <v>42916</v>
      </c>
      <c r="J3043">
        <v>0</v>
      </c>
    </row>
    <row r="3044" spans="1:10" x14ac:dyDescent="0.3">
      <c r="A3044" t="s">
        <v>3175</v>
      </c>
      <c r="B3044" t="s">
        <v>32</v>
      </c>
      <c r="C3044" t="str">
        <f>_xlfn.XLOOKUP(B3044,
[1]sales_teams!$A$2:$A$100,
[1]sales_teams!$B$2:$B$100)</f>
        <v>Celia Rouche</v>
      </c>
      <c r="D3044" t="str">
        <f>_xlfn.XLOOKUP($B3044,sales_teams!$A$2:$A$36,sales_teams!C$2:C$36)</f>
        <v>West</v>
      </c>
      <c r="E3044" t="s">
        <v>20</v>
      </c>
      <c r="F3044" t="s">
        <v>30</v>
      </c>
      <c r="G3044" t="s">
        <v>12</v>
      </c>
      <c r="H3044" s="1">
        <v>42864</v>
      </c>
      <c r="I3044" s="1">
        <v>42865</v>
      </c>
      <c r="J3044">
        <v>541</v>
      </c>
    </row>
    <row r="3045" spans="1:10" x14ac:dyDescent="0.3">
      <c r="A3045" t="s">
        <v>3176</v>
      </c>
      <c r="B3045" t="s">
        <v>32</v>
      </c>
      <c r="C3045" t="str">
        <f>_xlfn.XLOOKUP(B3045,
[1]sales_teams!$A$2:$A$100,
[1]sales_teams!$B$2:$B$100)</f>
        <v>Celia Rouche</v>
      </c>
      <c r="D3045" t="str">
        <f>_xlfn.XLOOKUP($B3045,sales_teams!$A$2:$A$36,sales_teams!C$2:C$36)</f>
        <v>West</v>
      </c>
      <c r="E3045" t="s">
        <v>15</v>
      </c>
      <c r="F3045" t="s">
        <v>24</v>
      </c>
      <c r="G3045" t="s">
        <v>12</v>
      </c>
      <c r="H3045" s="1">
        <v>42864</v>
      </c>
      <c r="I3045" s="1">
        <v>42888</v>
      </c>
      <c r="J3045">
        <v>4815</v>
      </c>
    </row>
    <row r="3046" spans="1:10" x14ac:dyDescent="0.3">
      <c r="A3046" t="s">
        <v>3177</v>
      </c>
      <c r="B3046" t="s">
        <v>51</v>
      </c>
      <c r="C3046" t="str">
        <f>_xlfn.XLOOKUP(B3046,
[1]sales_teams!$A$2:$A$100,
[1]sales_teams!$B$2:$B$100)</f>
        <v>Summer Sewald</v>
      </c>
      <c r="D3046" t="str">
        <f>_xlfn.XLOOKUP($B3046,sales_teams!$A$2:$A$36,sales_teams!C$2:C$36)</f>
        <v>West</v>
      </c>
      <c r="E3046" t="s">
        <v>10</v>
      </c>
      <c r="F3046" t="s">
        <v>209</v>
      </c>
      <c r="G3046" t="s">
        <v>40</v>
      </c>
      <c r="H3046" s="1">
        <v>42864</v>
      </c>
    </row>
    <row r="3047" spans="1:10" x14ac:dyDescent="0.3">
      <c r="A3047" t="s">
        <v>3178</v>
      </c>
      <c r="B3047" t="s">
        <v>51</v>
      </c>
      <c r="C3047" t="str">
        <f>_xlfn.XLOOKUP(B3047,
[1]sales_teams!$A$2:$A$100,
[1]sales_teams!$B$2:$B$100)</f>
        <v>Summer Sewald</v>
      </c>
      <c r="D3047" t="str">
        <f>_xlfn.XLOOKUP($B3047,sales_teams!$A$2:$A$36,sales_teams!C$2:C$36)</f>
        <v>West</v>
      </c>
      <c r="E3047" t="s">
        <v>18</v>
      </c>
      <c r="F3047" t="s">
        <v>199</v>
      </c>
      <c r="G3047" t="s">
        <v>12</v>
      </c>
      <c r="H3047" s="1">
        <v>42864</v>
      </c>
      <c r="I3047" s="1">
        <v>42867</v>
      </c>
      <c r="J3047">
        <v>57</v>
      </c>
    </row>
    <row r="3048" spans="1:10" x14ac:dyDescent="0.3">
      <c r="A3048" t="s">
        <v>3179</v>
      </c>
      <c r="B3048" t="s">
        <v>35</v>
      </c>
      <c r="C3048" t="str">
        <f>_xlfn.XLOOKUP(B3048,
[1]sales_teams!$A$2:$A$100,
[1]sales_teams!$B$2:$B$100)</f>
        <v>Melvin Marxen</v>
      </c>
      <c r="D3048" t="str">
        <f>_xlfn.XLOOKUP($B3048,sales_teams!$A$2:$A$36,sales_teams!C$2:C$36)</f>
        <v>Central</v>
      </c>
      <c r="E3048" t="s">
        <v>10</v>
      </c>
      <c r="F3048" t="s">
        <v>27</v>
      </c>
      <c r="G3048" t="s">
        <v>46</v>
      </c>
      <c r="H3048" s="1">
        <v>42864</v>
      </c>
      <c r="I3048" s="1">
        <v>42875</v>
      </c>
      <c r="J3048">
        <v>0</v>
      </c>
    </row>
    <row r="3049" spans="1:10" x14ac:dyDescent="0.3">
      <c r="A3049" t="s">
        <v>3180</v>
      </c>
      <c r="B3049" t="s">
        <v>35</v>
      </c>
      <c r="C3049" t="str">
        <f>_xlfn.XLOOKUP(B3049,
[1]sales_teams!$A$2:$A$100,
[1]sales_teams!$B$2:$B$100)</f>
        <v>Melvin Marxen</v>
      </c>
      <c r="D3049" t="str">
        <f>_xlfn.XLOOKUP($B3049,sales_teams!$A$2:$A$36,sales_teams!C$2:C$36)</f>
        <v>Central</v>
      </c>
      <c r="E3049" t="s">
        <v>18</v>
      </c>
      <c r="F3049" t="s">
        <v>27</v>
      </c>
      <c r="G3049" t="s">
        <v>46</v>
      </c>
      <c r="H3049" s="1">
        <v>42864</v>
      </c>
      <c r="I3049" s="1">
        <v>42969</v>
      </c>
      <c r="J3049">
        <v>0</v>
      </c>
    </row>
    <row r="3050" spans="1:10" x14ac:dyDescent="0.3">
      <c r="A3050" t="s">
        <v>3181</v>
      </c>
      <c r="B3050" t="s">
        <v>97</v>
      </c>
      <c r="C3050" t="str">
        <f>_xlfn.XLOOKUP(B3050,
[1]sales_teams!$A$2:$A$100,
[1]sales_teams!$B$2:$B$100)</f>
        <v>Rocco Neubert</v>
      </c>
      <c r="D3050" t="str">
        <f>_xlfn.XLOOKUP($B3050,sales_teams!$A$2:$A$36,sales_teams!C$2:C$36)</f>
        <v>East</v>
      </c>
      <c r="E3050" t="s">
        <v>48</v>
      </c>
      <c r="F3050" t="s">
        <v>140</v>
      </c>
      <c r="G3050" t="s">
        <v>12</v>
      </c>
      <c r="H3050" s="1">
        <v>42864</v>
      </c>
      <c r="I3050" s="1">
        <v>42872</v>
      </c>
      <c r="J3050">
        <v>5406</v>
      </c>
    </row>
    <row r="3051" spans="1:10" x14ac:dyDescent="0.3">
      <c r="A3051" t="s">
        <v>3182</v>
      </c>
      <c r="B3051" t="s">
        <v>88</v>
      </c>
      <c r="C3051" t="str">
        <f>_xlfn.XLOOKUP(B3051,
[1]sales_teams!$A$2:$A$100,
[1]sales_teams!$B$2:$B$100)</f>
        <v>Cara Losch</v>
      </c>
      <c r="D3051" t="str">
        <f>_xlfn.XLOOKUP($B3051,sales_teams!$A$2:$A$36,sales_teams!C$2:C$36)</f>
        <v>East</v>
      </c>
      <c r="E3051" t="s">
        <v>15</v>
      </c>
      <c r="G3051" t="s">
        <v>40</v>
      </c>
      <c r="H3051" s="1">
        <v>42864</v>
      </c>
    </row>
    <row r="3052" spans="1:10" x14ac:dyDescent="0.3">
      <c r="A3052" t="s">
        <v>3183</v>
      </c>
      <c r="B3052" t="s">
        <v>29</v>
      </c>
      <c r="C3052" t="str">
        <f>_xlfn.XLOOKUP(B3052,
[1]sales_teams!$A$2:$A$100,
[1]sales_teams!$B$2:$B$100)</f>
        <v>Celia Rouche</v>
      </c>
      <c r="D3052" t="str">
        <f>_xlfn.XLOOKUP($B3052,sales_teams!$A$2:$A$36,sales_teams!C$2:C$36)</f>
        <v>West</v>
      </c>
      <c r="E3052" t="s">
        <v>20</v>
      </c>
      <c r="F3052" t="s">
        <v>70</v>
      </c>
      <c r="G3052" t="s">
        <v>46</v>
      </c>
      <c r="H3052" s="1">
        <v>42864</v>
      </c>
      <c r="I3052" s="1">
        <v>42907</v>
      </c>
      <c r="J3052">
        <v>0</v>
      </c>
    </row>
    <row r="3053" spans="1:10" x14ac:dyDescent="0.3">
      <c r="A3053" t="s">
        <v>3184</v>
      </c>
      <c r="B3053" t="s">
        <v>29</v>
      </c>
      <c r="C3053" t="str">
        <f>_xlfn.XLOOKUP(B3053,
[1]sales_teams!$A$2:$A$100,
[1]sales_teams!$B$2:$B$100)</f>
        <v>Celia Rouche</v>
      </c>
      <c r="D3053" t="str">
        <f>_xlfn.XLOOKUP($B3053,sales_teams!$A$2:$A$36,sales_teams!C$2:C$36)</f>
        <v>West</v>
      </c>
      <c r="E3053" t="s">
        <v>39</v>
      </c>
      <c r="F3053" t="s">
        <v>93</v>
      </c>
      <c r="G3053" t="s">
        <v>46</v>
      </c>
      <c r="H3053" s="1">
        <v>42864</v>
      </c>
      <c r="I3053" s="1">
        <v>42951</v>
      </c>
      <c r="J3053">
        <v>0</v>
      </c>
    </row>
    <row r="3054" spans="1:10" x14ac:dyDescent="0.3">
      <c r="A3054" t="s">
        <v>3185</v>
      </c>
      <c r="B3054" t="s">
        <v>23</v>
      </c>
      <c r="C3054" t="str">
        <f>_xlfn.XLOOKUP(B3054,
[1]sales_teams!$A$2:$A$100,
[1]sales_teams!$B$2:$B$100)</f>
        <v>Summer Sewald</v>
      </c>
      <c r="D3054" t="str">
        <f>_xlfn.XLOOKUP($B3054,sales_teams!$A$2:$A$36,sales_teams!C$2:C$36)</f>
        <v>West</v>
      </c>
      <c r="E3054" t="s">
        <v>20</v>
      </c>
      <c r="F3054" t="s">
        <v>151</v>
      </c>
      <c r="G3054" t="s">
        <v>40</v>
      </c>
      <c r="H3054" s="1">
        <v>42864</v>
      </c>
    </row>
    <row r="3055" spans="1:10" x14ac:dyDescent="0.3">
      <c r="A3055" t="s">
        <v>3186</v>
      </c>
      <c r="B3055" t="s">
        <v>23</v>
      </c>
      <c r="C3055" t="str">
        <f>_xlfn.XLOOKUP(B3055,
[1]sales_teams!$A$2:$A$100,
[1]sales_teams!$B$2:$B$100)</f>
        <v>Summer Sewald</v>
      </c>
      <c r="D3055" t="str">
        <f>_xlfn.XLOOKUP($B3055,sales_teams!$A$2:$A$36,sales_teams!C$2:C$36)</f>
        <v>West</v>
      </c>
      <c r="E3055" t="s">
        <v>48</v>
      </c>
      <c r="F3055" t="s">
        <v>148</v>
      </c>
      <c r="G3055" t="s">
        <v>12</v>
      </c>
      <c r="H3055" s="1">
        <v>42864</v>
      </c>
      <c r="I3055" s="1">
        <v>42875</v>
      </c>
      <c r="J3055">
        <v>5042</v>
      </c>
    </row>
    <row r="3056" spans="1:10" x14ac:dyDescent="0.3">
      <c r="A3056" t="s">
        <v>3187</v>
      </c>
      <c r="B3056" t="s">
        <v>23</v>
      </c>
      <c r="C3056" t="str">
        <f>_xlfn.XLOOKUP(B3056,
[1]sales_teams!$A$2:$A$100,
[1]sales_teams!$B$2:$B$100)</f>
        <v>Summer Sewald</v>
      </c>
      <c r="D3056" t="str">
        <f>_xlfn.XLOOKUP($B3056,sales_teams!$A$2:$A$36,sales_teams!C$2:C$36)</f>
        <v>West</v>
      </c>
      <c r="E3056" t="s">
        <v>15</v>
      </c>
      <c r="F3056" t="s">
        <v>68</v>
      </c>
      <c r="G3056" t="s">
        <v>12</v>
      </c>
      <c r="H3056" s="1">
        <v>42864</v>
      </c>
      <c r="I3056" s="1">
        <v>42878</v>
      </c>
      <c r="J3056">
        <v>3969</v>
      </c>
    </row>
    <row r="3057" spans="1:10" x14ac:dyDescent="0.3">
      <c r="A3057" t="s">
        <v>3188</v>
      </c>
      <c r="B3057" t="s">
        <v>26</v>
      </c>
      <c r="C3057" t="str">
        <f>_xlfn.XLOOKUP(B3057,
[1]sales_teams!$A$2:$A$100,
[1]sales_teams!$B$2:$B$100)</f>
        <v>Dustin Brinkmann</v>
      </c>
      <c r="D3057" t="str">
        <f>_xlfn.XLOOKUP($B3057,sales_teams!$A$2:$A$36,sales_teams!C$2:C$36)</f>
        <v>Central</v>
      </c>
      <c r="E3057" t="s">
        <v>18</v>
      </c>
      <c r="F3057" t="s">
        <v>91</v>
      </c>
      <c r="G3057" t="s">
        <v>46</v>
      </c>
      <c r="H3057" s="1">
        <v>42865</v>
      </c>
      <c r="I3057" s="1">
        <v>42968</v>
      </c>
      <c r="J3057">
        <v>0</v>
      </c>
    </row>
    <row r="3058" spans="1:10" x14ac:dyDescent="0.3">
      <c r="A3058" t="s">
        <v>3189</v>
      </c>
      <c r="B3058" t="s">
        <v>26</v>
      </c>
      <c r="C3058" t="str">
        <f>_xlfn.XLOOKUP(B3058,
[1]sales_teams!$A$2:$A$100,
[1]sales_teams!$B$2:$B$100)</f>
        <v>Dustin Brinkmann</v>
      </c>
      <c r="D3058" t="str">
        <f>_xlfn.XLOOKUP($B3058,sales_teams!$A$2:$A$36,sales_teams!C$2:C$36)</f>
        <v>Central</v>
      </c>
      <c r="E3058" t="s">
        <v>18</v>
      </c>
      <c r="F3058" t="s">
        <v>16</v>
      </c>
      <c r="G3058" t="s">
        <v>12</v>
      </c>
      <c r="H3058" s="1">
        <v>42865</v>
      </c>
      <c r="I3058" s="1">
        <v>42951</v>
      </c>
      <c r="J3058">
        <v>59</v>
      </c>
    </row>
    <row r="3059" spans="1:10" x14ac:dyDescent="0.3">
      <c r="A3059" t="s">
        <v>3190</v>
      </c>
      <c r="B3059" t="s">
        <v>118</v>
      </c>
      <c r="C3059" t="str">
        <f>_xlfn.XLOOKUP(B3059,
[1]sales_teams!$A$2:$A$100,
[1]sales_teams!$B$2:$B$100)</f>
        <v>Rocco Neubert</v>
      </c>
      <c r="D3059" t="str">
        <f>_xlfn.XLOOKUP($B3059,sales_teams!$A$2:$A$36,sales_teams!C$2:C$36)</f>
        <v>East</v>
      </c>
      <c r="E3059" t="s">
        <v>20</v>
      </c>
      <c r="F3059" t="s">
        <v>329</v>
      </c>
      <c r="G3059" t="s">
        <v>12</v>
      </c>
      <c r="H3059" s="1">
        <v>42865</v>
      </c>
      <c r="I3059" s="1">
        <v>42871</v>
      </c>
      <c r="J3059">
        <v>629</v>
      </c>
    </row>
    <row r="3060" spans="1:10" x14ac:dyDescent="0.3">
      <c r="A3060" t="s">
        <v>3191</v>
      </c>
      <c r="B3060" t="s">
        <v>202</v>
      </c>
      <c r="C3060" t="str">
        <f>_xlfn.XLOOKUP(B3060,
[1]sales_teams!$A$2:$A$100,
[1]sales_teams!$B$2:$B$100)</f>
        <v>Dustin Brinkmann</v>
      </c>
      <c r="D3060" t="str">
        <f>_xlfn.XLOOKUP($B3060,sales_teams!$A$2:$A$36,sales_teams!C$2:C$36)</f>
        <v>Central</v>
      </c>
      <c r="E3060" t="s">
        <v>18</v>
      </c>
      <c r="F3060" t="s">
        <v>197</v>
      </c>
      <c r="G3060" t="s">
        <v>12</v>
      </c>
      <c r="H3060" s="1">
        <v>42865</v>
      </c>
      <c r="I3060" s="1">
        <v>42871</v>
      </c>
      <c r="J3060">
        <v>57</v>
      </c>
    </row>
    <row r="3061" spans="1:10" x14ac:dyDescent="0.3">
      <c r="A3061" t="s">
        <v>3192</v>
      </c>
      <c r="B3061" t="s">
        <v>164</v>
      </c>
      <c r="C3061" t="str">
        <f>_xlfn.XLOOKUP(B3061,
[1]sales_teams!$A$2:$A$100,
[1]sales_teams!$B$2:$B$100)</f>
        <v>Cara Losch</v>
      </c>
      <c r="D3061" t="str">
        <f>_xlfn.XLOOKUP($B3061,sales_teams!$A$2:$A$36,sales_teams!C$2:C$36)</f>
        <v>East</v>
      </c>
      <c r="E3061" t="s">
        <v>39</v>
      </c>
      <c r="F3061" t="s">
        <v>199</v>
      </c>
      <c r="G3061" t="s">
        <v>46</v>
      </c>
      <c r="H3061" s="1">
        <v>42865</v>
      </c>
      <c r="I3061" s="1">
        <v>42869</v>
      </c>
      <c r="J3061">
        <v>0</v>
      </c>
    </row>
    <row r="3062" spans="1:10" x14ac:dyDescent="0.3">
      <c r="A3062" t="s">
        <v>3193</v>
      </c>
      <c r="B3062" t="s">
        <v>164</v>
      </c>
      <c r="C3062" t="str">
        <f>_xlfn.XLOOKUP(B3062,
[1]sales_teams!$A$2:$A$100,
[1]sales_teams!$B$2:$B$100)</f>
        <v>Cara Losch</v>
      </c>
      <c r="D3062" t="str">
        <f>_xlfn.XLOOKUP($B3062,sales_teams!$A$2:$A$36,sales_teams!C$2:C$36)</f>
        <v>East</v>
      </c>
      <c r="E3062" t="s">
        <v>15</v>
      </c>
      <c r="F3062" t="s">
        <v>143</v>
      </c>
      <c r="G3062" t="s">
        <v>12</v>
      </c>
      <c r="H3062" s="1">
        <v>42865</v>
      </c>
      <c r="I3062" s="1">
        <v>42953</v>
      </c>
      <c r="J3062">
        <v>4861</v>
      </c>
    </row>
    <row r="3063" spans="1:10" x14ac:dyDescent="0.3">
      <c r="A3063" t="s">
        <v>3194</v>
      </c>
      <c r="B3063" t="s">
        <v>64</v>
      </c>
      <c r="C3063" t="str">
        <f>_xlfn.XLOOKUP(B3063,
[1]sales_teams!$A$2:$A$100,
[1]sales_teams!$B$2:$B$100)</f>
        <v>Rocco Neubert</v>
      </c>
      <c r="D3063" t="str">
        <f>_xlfn.XLOOKUP($B3063,sales_teams!$A$2:$A$36,sales_teams!C$2:C$36)</f>
        <v>East</v>
      </c>
      <c r="E3063" t="s">
        <v>39</v>
      </c>
      <c r="F3063" t="s">
        <v>215</v>
      </c>
      <c r="G3063" t="s">
        <v>46</v>
      </c>
      <c r="H3063" s="1">
        <v>42865</v>
      </c>
      <c r="I3063" s="1">
        <v>42981</v>
      </c>
      <c r="J3063">
        <v>0</v>
      </c>
    </row>
    <row r="3064" spans="1:10" x14ac:dyDescent="0.3">
      <c r="A3064" t="s">
        <v>3195</v>
      </c>
      <c r="B3064" t="s">
        <v>14</v>
      </c>
      <c r="C3064" t="str">
        <f>_xlfn.XLOOKUP(B3064,
[1]sales_teams!$A$2:$A$100,
[1]sales_teams!$B$2:$B$100)</f>
        <v>Melvin Marxen</v>
      </c>
      <c r="D3064" t="str">
        <f>_xlfn.XLOOKUP($B3064,sales_teams!$A$2:$A$36,sales_teams!C$2:C$36)</f>
        <v>Central</v>
      </c>
      <c r="E3064" t="s">
        <v>15</v>
      </c>
      <c r="F3064" t="s">
        <v>197</v>
      </c>
      <c r="G3064" t="s">
        <v>46</v>
      </c>
      <c r="H3064" s="1">
        <v>42865</v>
      </c>
      <c r="I3064" s="1">
        <v>42948</v>
      </c>
      <c r="J3064">
        <v>0</v>
      </c>
    </row>
    <row r="3065" spans="1:10" x14ac:dyDescent="0.3">
      <c r="A3065" t="s">
        <v>3196</v>
      </c>
      <c r="B3065" t="s">
        <v>14</v>
      </c>
      <c r="C3065" t="str">
        <f>_xlfn.XLOOKUP(B3065,
[1]sales_teams!$A$2:$A$100,
[1]sales_teams!$B$2:$B$100)</f>
        <v>Melvin Marxen</v>
      </c>
      <c r="D3065" t="str">
        <f>_xlfn.XLOOKUP($B3065,sales_teams!$A$2:$A$36,sales_teams!C$2:C$36)</f>
        <v>Central</v>
      </c>
      <c r="E3065" t="s">
        <v>10</v>
      </c>
      <c r="F3065" t="s">
        <v>36</v>
      </c>
      <c r="G3065" t="s">
        <v>12</v>
      </c>
      <c r="H3065" s="1">
        <v>42865</v>
      </c>
      <c r="I3065" s="1">
        <v>42885</v>
      </c>
      <c r="J3065">
        <v>980</v>
      </c>
    </row>
    <row r="3066" spans="1:10" x14ac:dyDescent="0.3">
      <c r="A3066" t="s">
        <v>3197</v>
      </c>
      <c r="B3066" t="s">
        <v>142</v>
      </c>
      <c r="C3066" t="str">
        <f>_xlfn.XLOOKUP(B3066,
[1]sales_teams!$A$2:$A$100,
[1]sales_teams!$B$2:$B$100)</f>
        <v>Rocco Neubert</v>
      </c>
      <c r="D3066" t="str">
        <f>_xlfn.XLOOKUP($B3066,sales_teams!$A$2:$A$36,sales_teams!C$2:C$36)</f>
        <v>East</v>
      </c>
      <c r="E3066" t="s">
        <v>48</v>
      </c>
      <c r="F3066" t="s">
        <v>189</v>
      </c>
      <c r="G3066" t="s">
        <v>46</v>
      </c>
      <c r="H3066" s="1">
        <v>42865</v>
      </c>
      <c r="I3066" s="1">
        <v>42872</v>
      </c>
      <c r="J3066">
        <v>0</v>
      </c>
    </row>
    <row r="3067" spans="1:10" x14ac:dyDescent="0.3">
      <c r="A3067" t="s">
        <v>3198</v>
      </c>
      <c r="B3067" t="s">
        <v>142</v>
      </c>
      <c r="C3067" t="str">
        <f>_xlfn.XLOOKUP(B3067,
[1]sales_teams!$A$2:$A$100,
[1]sales_teams!$B$2:$B$100)</f>
        <v>Rocco Neubert</v>
      </c>
      <c r="D3067" t="str">
        <f>_xlfn.XLOOKUP($B3067,sales_teams!$A$2:$A$36,sales_teams!C$2:C$36)</f>
        <v>East</v>
      </c>
      <c r="E3067" t="s">
        <v>39</v>
      </c>
      <c r="F3067" t="s">
        <v>89</v>
      </c>
      <c r="G3067" t="s">
        <v>46</v>
      </c>
      <c r="H3067" s="1">
        <v>42865</v>
      </c>
      <c r="I3067" s="1">
        <v>42877</v>
      </c>
      <c r="J3067">
        <v>0</v>
      </c>
    </row>
    <row r="3068" spans="1:10" x14ac:dyDescent="0.3">
      <c r="A3068" t="s">
        <v>3199</v>
      </c>
      <c r="B3068" t="s">
        <v>105</v>
      </c>
      <c r="C3068" t="str">
        <f>_xlfn.XLOOKUP(B3068,
[1]sales_teams!$A$2:$A$100,
[1]sales_teams!$B$2:$B$100)</f>
        <v>Cara Losch</v>
      </c>
      <c r="D3068" t="str">
        <f>_xlfn.XLOOKUP($B3068,sales_teams!$A$2:$A$36,sales_teams!C$2:C$36)</f>
        <v>East</v>
      </c>
      <c r="E3068" t="s">
        <v>15</v>
      </c>
      <c r="F3068" t="s">
        <v>155</v>
      </c>
      <c r="G3068" t="s">
        <v>46</v>
      </c>
      <c r="H3068" s="1">
        <v>42865</v>
      </c>
      <c r="I3068" s="1">
        <v>42971</v>
      </c>
      <c r="J3068">
        <v>0</v>
      </c>
    </row>
    <row r="3069" spans="1:10" x14ac:dyDescent="0.3">
      <c r="A3069" t="s">
        <v>3200</v>
      </c>
      <c r="B3069" t="s">
        <v>44</v>
      </c>
      <c r="C3069" t="str">
        <f>_xlfn.XLOOKUP(B3069,
[1]sales_teams!$A$2:$A$100,
[1]sales_teams!$B$2:$B$100)</f>
        <v>Melvin Marxen</v>
      </c>
      <c r="D3069" t="str">
        <f>_xlfn.XLOOKUP($B3069,sales_teams!$A$2:$A$36,sales_teams!C$2:C$36)</f>
        <v>Central</v>
      </c>
      <c r="E3069" t="s">
        <v>15</v>
      </c>
      <c r="F3069" t="s">
        <v>11</v>
      </c>
      <c r="G3069" t="s">
        <v>12</v>
      </c>
      <c r="H3069" s="1">
        <v>42865</v>
      </c>
      <c r="I3069" s="1">
        <v>42957</v>
      </c>
      <c r="J3069">
        <v>5361</v>
      </c>
    </row>
    <row r="3070" spans="1:10" x14ac:dyDescent="0.3">
      <c r="A3070" t="s">
        <v>3201</v>
      </c>
      <c r="B3070" t="s">
        <v>38</v>
      </c>
      <c r="C3070" t="str">
        <f>_xlfn.XLOOKUP(B3070,
[1]sales_teams!$A$2:$A$100,
[1]sales_teams!$B$2:$B$100)</f>
        <v>Summer Sewald</v>
      </c>
      <c r="D3070" t="str">
        <f>_xlfn.XLOOKUP($B3070,sales_teams!$A$2:$A$36,sales_teams!C$2:C$36)</f>
        <v>West</v>
      </c>
      <c r="E3070" t="s">
        <v>39</v>
      </c>
      <c r="F3070" t="s">
        <v>86</v>
      </c>
      <c r="G3070" t="s">
        <v>46</v>
      </c>
      <c r="H3070" s="1">
        <v>42865</v>
      </c>
      <c r="I3070" s="1">
        <v>42958</v>
      </c>
      <c r="J3070">
        <v>0</v>
      </c>
    </row>
    <row r="3071" spans="1:10" x14ac:dyDescent="0.3">
      <c r="A3071" t="s">
        <v>3202</v>
      </c>
      <c r="B3071" t="s">
        <v>78</v>
      </c>
      <c r="C3071" t="str">
        <f>_xlfn.XLOOKUP(B3071,
[1]sales_teams!$A$2:$A$100,
[1]sales_teams!$B$2:$B$100)</f>
        <v>Summer Sewald</v>
      </c>
      <c r="D3071" t="str">
        <f>_xlfn.XLOOKUP($B3071,sales_teams!$A$2:$A$36,sales_teams!C$2:C$36)</f>
        <v>West</v>
      </c>
      <c r="E3071" t="s">
        <v>20</v>
      </c>
      <c r="G3071" t="s">
        <v>40</v>
      </c>
      <c r="H3071" s="1">
        <v>42865</v>
      </c>
    </row>
    <row r="3072" spans="1:10" x14ac:dyDescent="0.3">
      <c r="A3072" t="s">
        <v>3203</v>
      </c>
      <c r="B3072" t="s">
        <v>78</v>
      </c>
      <c r="C3072" t="str">
        <f>_xlfn.XLOOKUP(B3072,
[1]sales_teams!$A$2:$A$100,
[1]sales_teams!$B$2:$B$100)</f>
        <v>Summer Sewald</v>
      </c>
      <c r="D3072" t="str">
        <f>_xlfn.XLOOKUP($B3072,sales_teams!$A$2:$A$36,sales_teams!C$2:C$36)</f>
        <v>West</v>
      </c>
      <c r="E3072" t="s">
        <v>20</v>
      </c>
      <c r="G3072" t="s">
        <v>40</v>
      </c>
      <c r="H3072" s="1">
        <v>42865</v>
      </c>
    </row>
    <row r="3073" spans="1:10" x14ac:dyDescent="0.3">
      <c r="A3073" t="s">
        <v>3204</v>
      </c>
      <c r="B3073" t="s">
        <v>78</v>
      </c>
      <c r="C3073" t="str">
        <f>_xlfn.XLOOKUP(B3073,
[1]sales_teams!$A$2:$A$100,
[1]sales_teams!$B$2:$B$100)</f>
        <v>Summer Sewald</v>
      </c>
      <c r="D3073" t="str">
        <f>_xlfn.XLOOKUP($B3073,sales_teams!$A$2:$A$36,sales_teams!C$2:C$36)</f>
        <v>West</v>
      </c>
      <c r="E3073" t="s">
        <v>20</v>
      </c>
      <c r="F3073" t="s">
        <v>148</v>
      </c>
      <c r="G3073" t="s">
        <v>46</v>
      </c>
      <c r="H3073" s="1">
        <v>42865</v>
      </c>
      <c r="I3073" s="1">
        <v>42972</v>
      </c>
      <c r="J3073">
        <v>0</v>
      </c>
    </row>
    <row r="3074" spans="1:10" x14ac:dyDescent="0.3">
      <c r="A3074" t="s">
        <v>3205</v>
      </c>
      <c r="B3074" t="s">
        <v>95</v>
      </c>
      <c r="C3074" t="str">
        <f>_xlfn.XLOOKUP(B3074,
[1]sales_teams!$A$2:$A$100,
[1]sales_teams!$B$2:$B$100)</f>
        <v>Summer Sewald</v>
      </c>
      <c r="D3074" t="str">
        <f>_xlfn.XLOOKUP($B3074,sales_teams!$A$2:$A$36,sales_teams!C$2:C$36)</f>
        <v>West</v>
      </c>
      <c r="E3074" t="s">
        <v>10</v>
      </c>
      <c r="F3074" t="s">
        <v>194</v>
      </c>
      <c r="G3074" t="s">
        <v>12</v>
      </c>
      <c r="H3074" s="1">
        <v>42865</v>
      </c>
      <c r="I3074" s="1">
        <v>42992</v>
      </c>
      <c r="J3074">
        <v>1220</v>
      </c>
    </row>
    <row r="3075" spans="1:10" x14ac:dyDescent="0.3">
      <c r="A3075" t="s">
        <v>3206</v>
      </c>
      <c r="B3075" t="s">
        <v>32</v>
      </c>
      <c r="C3075" t="str">
        <f>_xlfn.XLOOKUP(B3075,
[1]sales_teams!$A$2:$A$100,
[1]sales_teams!$B$2:$B$100)</f>
        <v>Celia Rouche</v>
      </c>
      <c r="D3075" t="str">
        <f>_xlfn.XLOOKUP($B3075,sales_teams!$A$2:$A$36,sales_teams!C$2:C$36)</f>
        <v>West</v>
      </c>
      <c r="E3075" t="s">
        <v>18</v>
      </c>
      <c r="F3075" t="s">
        <v>224</v>
      </c>
      <c r="G3075" t="s">
        <v>46</v>
      </c>
      <c r="H3075" s="1">
        <v>42865</v>
      </c>
      <c r="I3075" s="1">
        <v>42877</v>
      </c>
      <c r="J3075">
        <v>0</v>
      </c>
    </row>
    <row r="3076" spans="1:10" x14ac:dyDescent="0.3">
      <c r="A3076" t="s">
        <v>3207</v>
      </c>
      <c r="B3076" t="s">
        <v>32</v>
      </c>
      <c r="C3076" t="str">
        <f>_xlfn.XLOOKUP(B3076,
[1]sales_teams!$A$2:$A$100,
[1]sales_teams!$B$2:$B$100)</f>
        <v>Celia Rouche</v>
      </c>
      <c r="D3076" t="str">
        <f>_xlfn.XLOOKUP($B3076,sales_teams!$A$2:$A$36,sales_teams!C$2:C$36)</f>
        <v>West</v>
      </c>
      <c r="E3076" t="s">
        <v>39</v>
      </c>
      <c r="F3076" t="s">
        <v>273</v>
      </c>
      <c r="G3076" t="s">
        <v>46</v>
      </c>
      <c r="H3076" s="1">
        <v>42865</v>
      </c>
      <c r="I3076" s="1">
        <v>42871</v>
      </c>
      <c r="J3076">
        <v>0</v>
      </c>
    </row>
    <row r="3077" spans="1:10" x14ac:dyDescent="0.3">
      <c r="A3077" t="s">
        <v>3208</v>
      </c>
      <c r="B3077" t="s">
        <v>32</v>
      </c>
      <c r="C3077" t="str">
        <f>_xlfn.XLOOKUP(B3077,
[1]sales_teams!$A$2:$A$100,
[1]sales_teams!$B$2:$B$100)</f>
        <v>Celia Rouche</v>
      </c>
      <c r="D3077" t="str">
        <f>_xlfn.XLOOKUP($B3077,sales_teams!$A$2:$A$36,sales_teams!C$2:C$36)</f>
        <v>West</v>
      </c>
      <c r="E3077" t="s">
        <v>20</v>
      </c>
      <c r="F3077" t="s">
        <v>59</v>
      </c>
      <c r="G3077" t="s">
        <v>12</v>
      </c>
      <c r="H3077" s="1">
        <v>42865</v>
      </c>
      <c r="I3077" s="1">
        <v>42982</v>
      </c>
      <c r="J3077">
        <v>464</v>
      </c>
    </row>
    <row r="3078" spans="1:10" x14ac:dyDescent="0.3">
      <c r="A3078" t="s">
        <v>3209</v>
      </c>
      <c r="B3078" t="s">
        <v>116</v>
      </c>
      <c r="C3078" t="str">
        <f>_xlfn.XLOOKUP(B3078,
[1]sales_teams!$A$2:$A$100,
[1]sales_teams!$B$2:$B$100)</f>
        <v>Melvin Marxen</v>
      </c>
      <c r="D3078" t="str">
        <f>_xlfn.XLOOKUP($B3078,sales_teams!$A$2:$A$36,sales_teams!C$2:C$36)</f>
        <v>Central</v>
      </c>
      <c r="E3078" t="s">
        <v>39</v>
      </c>
      <c r="F3078" t="s">
        <v>45</v>
      </c>
      <c r="G3078" t="s">
        <v>12</v>
      </c>
      <c r="H3078" s="1">
        <v>42865</v>
      </c>
      <c r="I3078" s="1">
        <v>42879</v>
      </c>
      <c r="J3078">
        <v>3604</v>
      </c>
    </row>
    <row r="3079" spans="1:10" x14ac:dyDescent="0.3">
      <c r="A3079" t="s">
        <v>3210</v>
      </c>
      <c r="B3079" t="s">
        <v>9</v>
      </c>
      <c r="C3079" t="str">
        <f>_xlfn.XLOOKUP(B3079,
[1]sales_teams!$A$2:$A$100,
[1]sales_teams!$B$2:$B$100)</f>
        <v>Dustin Brinkmann</v>
      </c>
      <c r="D3079" t="str">
        <f>_xlfn.XLOOKUP($B3079,sales_teams!$A$2:$A$36,sales_teams!C$2:C$36)</f>
        <v>Central</v>
      </c>
      <c r="E3079" t="s">
        <v>20</v>
      </c>
      <c r="F3079" t="s">
        <v>129</v>
      </c>
      <c r="G3079" t="s">
        <v>12</v>
      </c>
      <c r="H3079" s="1">
        <v>42865</v>
      </c>
      <c r="I3079" s="1">
        <v>42968</v>
      </c>
      <c r="J3079">
        <v>529</v>
      </c>
    </row>
    <row r="3080" spans="1:10" x14ac:dyDescent="0.3">
      <c r="A3080" t="s">
        <v>3211</v>
      </c>
      <c r="B3080" t="s">
        <v>35</v>
      </c>
      <c r="C3080" t="str">
        <f>_xlfn.XLOOKUP(B3080,
[1]sales_teams!$A$2:$A$100,
[1]sales_teams!$B$2:$B$100)</f>
        <v>Melvin Marxen</v>
      </c>
      <c r="D3080" t="str">
        <f>_xlfn.XLOOKUP($B3080,sales_teams!$A$2:$A$36,sales_teams!C$2:C$36)</f>
        <v>Central</v>
      </c>
      <c r="E3080" t="s">
        <v>10</v>
      </c>
      <c r="F3080" t="s">
        <v>170</v>
      </c>
      <c r="G3080" t="s">
        <v>46</v>
      </c>
      <c r="H3080" s="1">
        <v>42865</v>
      </c>
      <c r="I3080" s="1">
        <v>42997</v>
      </c>
      <c r="J3080">
        <v>0</v>
      </c>
    </row>
    <row r="3081" spans="1:10" x14ac:dyDescent="0.3">
      <c r="A3081" t="s">
        <v>3212</v>
      </c>
      <c r="B3081" t="s">
        <v>57</v>
      </c>
      <c r="C3081" t="str">
        <f>_xlfn.XLOOKUP(B3081,
[1]sales_teams!$A$2:$A$100,
[1]sales_teams!$B$2:$B$100)</f>
        <v>Celia Rouche</v>
      </c>
      <c r="D3081" t="str">
        <f>_xlfn.XLOOKUP($B3081,sales_teams!$A$2:$A$36,sales_teams!C$2:C$36)</f>
        <v>West</v>
      </c>
      <c r="E3081" t="s">
        <v>39</v>
      </c>
      <c r="F3081" t="s">
        <v>100</v>
      </c>
      <c r="G3081" t="s">
        <v>46</v>
      </c>
      <c r="H3081" s="1">
        <v>42865</v>
      </c>
      <c r="I3081" s="1">
        <v>42873</v>
      </c>
      <c r="J3081">
        <v>0</v>
      </c>
    </row>
    <row r="3082" spans="1:10" x14ac:dyDescent="0.3">
      <c r="A3082" t="s">
        <v>3213</v>
      </c>
      <c r="B3082" t="s">
        <v>88</v>
      </c>
      <c r="C3082" t="str">
        <f>_xlfn.XLOOKUP(B3082,
[1]sales_teams!$A$2:$A$100,
[1]sales_teams!$B$2:$B$100)</f>
        <v>Cara Losch</v>
      </c>
      <c r="D3082" t="str">
        <f>_xlfn.XLOOKUP($B3082,sales_teams!$A$2:$A$36,sales_teams!C$2:C$36)</f>
        <v>East</v>
      </c>
      <c r="E3082" t="s">
        <v>18</v>
      </c>
      <c r="F3082" t="s">
        <v>192</v>
      </c>
      <c r="G3082" t="s">
        <v>12</v>
      </c>
      <c r="H3082" s="1">
        <v>42865</v>
      </c>
      <c r="I3082" s="1">
        <v>42867</v>
      </c>
      <c r="J3082">
        <v>54</v>
      </c>
    </row>
    <row r="3083" spans="1:10" x14ac:dyDescent="0.3">
      <c r="A3083" t="s">
        <v>3214</v>
      </c>
      <c r="B3083" t="s">
        <v>29</v>
      </c>
      <c r="C3083" t="str">
        <f>_xlfn.XLOOKUP(B3083,
[1]sales_teams!$A$2:$A$100,
[1]sales_teams!$B$2:$B$100)</f>
        <v>Celia Rouche</v>
      </c>
      <c r="D3083" t="str">
        <f>_xlfn.XLOOKUP($B3083,sales_teams!$A$2:$A$36,sales_teams!C$2:C$36)</f>
        <v>West</v>
      </c>
      <c r="E3083" t="s">
        <v>20</v>
      </c>
      <c r="F3083" t="s">
        <v>120</v>
      </c>
      <c r="G3083" t="s">
        <v>40</v>
      </c>
      <c r="H3083" s="1">
        <v>42865</v>
      </c>
    </row>
    <row r="3084" spans="1:10" x14ac:dyDescent="0.3">
      <c r="A3084" t="s">
        <v>3215</v>
      </c>
      <c r="B3084" t="s">
        <v>73</v>
      </c>
      <c r="C3084" t="str">
        <f>_xlfn.XLOOKUP(B3084,
[1]sales_teams!$A$2:$A$100,
[1]sales_teams!$B$2:$B$100)</f>
        <v>Cara Losch</v>
      </c>
      <c r="D3084" t="str">
        <f>_xlfn.XLOOKUP($B3084,sales_teams!$A$2:$A$36,sales_teams!C$2:C$36)</f>
        <v>East</v>
      </c>
      <c r="E3084" t="s">
        <v>10</v>
      </c>
      <c r="F3084" t="s">
        <v>98</v>
      </c>
      <c r="G3084" t="s">
        <v>12</v>
      </c>
      <c r="H3084" s="1">
        <v>42865</v>
      </c>
      <c r="I3084" s="1">
        <v>42883</v>
      </c>
      <c r="J3084">
        <v>1022</v>
      </c>
    </row>
    <row r="3085" spans="1:10" x14ac:dyDescent="0.3">
      <c r="A3085" t="s">
        <v>3216</v>
      </c>
      <c r="B3085" t="s">
        <v>26</v>
      </c>
      <c r="C3085" t="str">
        <f>_xlfn.XLOOKUP(B3085,
[1]sales_teams!$A$2:$A$100,
[1]sales_teams!$B$2:$B$100)</f>
        <v>Dustin Brinkmann</v>
      </c>
      <c r="D3085" t="str">
        <f>_xlfn.XLOOKUP($B3085,sales_teams!$A$2:$A$36,sales_teams!C$2:C$36)</f>
        <v>Central</v>
      </c>
      <c r="E3085" t="s">
        <v>10</v>
      </c>
      <c r="F3085" t="s">
        <v>27</v>
      </c>
      <c r="G3085" t="s">
        <v>46</v>
      </c>
      <c r="H3085" s="1">
        <v>42866</v>
      </c>
      <c r="I3085" s="1">
        <v>42950</v>
      </c>
      <c r="J3085">
        <v>0</v>
      </c>
    </row>
    <row r="3086" spans="1:10" x14ac:dyDescent="0.3">
      <c r="A3086" t="s">
        <v>3217</v>
      </c>
      <c r="B3086" t="s">
        <v>26</v>
      </c>
      <c r="C3086" t="str">
        <f>_xlfn.XLOOKUP(B3086,
[1]sales_teams!$A$2:$A$100,
[1]sales_teams!$B$2:$B$100)</f>
        <v>Dustin Brinkmann</v>
      </c>
      <c r="D3086" t="str">
        <f>_xlfn.XLOOKUP($B3086,sales_teams!$A$2:$A$36,sales_teams!C$2:C$36)</f>
        <v>Central</v>
      </c>
      <c r="E3086" t="s">
        <v>18</v>
      </c>
      <c r="F3086" t="s">
        <v>197</v>
      </c>
      <c r="G3086" t="s">
        <v>12</v>
      </c>
      <c r="H3086" s="1">
        <v>42866</v>
      </c>
      <c r="I3086" s="1">
        <v>42881</v>
      </c>
      <c r="J3086">
        <v>52</v>
      </c>
    </row>
    <row r="3087" spans="1:10" x14ac:dyDescent="0.3">
      <c r="A3087" t="s">
        <v>3218</v>
      </c>
      <c r="B3087" t="s">
        <v>139</v>
      </c>
      <c r="C3087" t="str">
        <f>_xlfn.XLOOKUP(B3087,
[1]sales_teams!$A$2:$A$100,
[1]sales_teams!$B$2:$B$100)</f>
        <v>Rocco Neubert</v>
      </c>
      <c r="D3087" t="str">
        <f>_xlfn.XLOOKUP($B3087,sales_teams!$A$2:$A$36,sales_teams!C$2:C$36)</f>
        <v>East</v>
      </c>
      <c r="E3087" t="s">
        <v>20</v>
      </c>
      <c r="F3087" t="s">
        <v>192</v>
      </c>
      <c r="G3087" t="s">
        <v>40</v>
      </c>
      <c r="H3087" s="1">
        <v>42866</v>
      </c>
    </row>
    <row r="3088" spans="1:10" x14ac:dyDescent="0.3">
      <c r="A3088" t="s">
        <v>3219</v>
      </c>
      <c r="B3088" t="s">
        <v>118</v>
      </c>
      <c r="C3088" t="str">
        <f>_xlfn.XLOOKUP(B3088,
[1]sales_teams!$A$2:$A$100,
[1]sales_teams!$B$2:$B$100)</f>
        <v>Rocco Neubert</v>
      </c>
      <c r="D3088" t="str">
        <f>_xlfn.XLOOKUP($B3088,sales_teams!$A$2:$A$36,sales_teams!C$2:C$36)</f>
        <v>East</v>
      </c>
      <c r="E3088" t="s">
        <v>20</v>
      </c>
      <c r="F3088" t="s">
        <v>373</v>
      </c>
      <c r="G3088" t="s">
        <v>40</v>
      </c>
      <c r="H3088" s="1">
        <v>42866</v>
      </c>
    </row>
    <row r="3089" spans="1:10" x14ac:dyDescent="0.3">
      <c r="A3089" t="s">
        <v>3220</v>
      </c>
      <c r="B3089" t="s">
        <v>164</v>
      </c>
      <c r="C3089" t="str">
        <f>_xlfn.XLOOKUP(B3089,
[1]sales_teams!$A$2:$A$100,
[1]sales_teams!$B$2:$B$100)</f>
        <v>Cara Losch</v>
      </c>
      <c r="D3089" t="str">
        <f>_xlfn.XLOOKUP($B3089,sales_teams!$A$2:$A$36,sales_teams!C$2:C$36)</f>
        <v>East</v>
      </c>
      <c r="E3089" t="s">
        <v>18</v>
      </c>
      <c r="G3089" t="s">
        <v>40</v>
      </c>
      <c r="H3089" s="1">
        <v>42866</v>
      </c>
    </row>
    <row r="3090" spans="1:10" x14ac:dyDescent="0.3">
      <c r="A3090" t="s">
        <v>3221</v>
      </c>
      <c r="B3090" t="s">
        <v>14</v>
      </c>
      <c r="C3090" t="str">
        <f>_xlfn.XLOOKUP(B3090,
[1]sales_teams!$A$2:$A$100,
[1]sales_teams!$B$2:$B$100)</f>
        <v>Melvin Marxen</v>
      </c>
      <c r="D3090" t="str">
        <f>_xlfn.XLOOKUP($B3090,sales_teams!$A$2:$A$36,sales_teams!C$2:C$36)</f>
        <v>Central</v>
      </c>
      <c r="E3090" t="s">
        <v>15</v>
      </c>
      <c r="F3090" t="s">
        <v>42</v>
      </c>
      <c r="G3090" t="s">
        <v>12</v>
      </c>
      <c r="H3090" s="1">
        <v>42866</v>
      </c>
      <c r="I3090" s="1">
        <v>42958</v>
      </c>
      <c r="J3090">
        <v>5037</v>
      </c>
    </row>
    <row r="3091" spans="1:10" x14ac:dyDescent="0.3">
      <c r="A3091" t="s">
        <v>3222</v>
      </c>
      <c r="B3091" t="s">
        <v>14</v>
      </c>
      <c r="C3091" t="str">
        <f>_xlfn.XLOOKUP(B3091,
[1]sales_teams!$A$2:$A$100,
[1]sales_teams!$B$2:$B$100)</f>
        <v>Melvin Marxen</v>
      </c>
      <c r="D3091" t="str">
        <f>_xlfn.XLOOKUP($B3091,sales_teams!$A$2:$A$36,sales_teams!C$2:C$36)</f>
        <v>Central</v>
      </c>
      <c r="E3091" t="s">
        <v>15</v>
      </c>
      <c r="F3091" t="s">
        <v>213</v>
      </c>
      <c r="G3091" t="s">
        <v>12</v>
      </c>
      <c r="H3091" s="1">
        <v>42866</v>
      </c>
      <c r="I3091" s="1">
        <v>42915</v>
      </c>
      <c r="J3091">
        <v>4709</v>
      </c>
    </row>
    <row r="3092" spans="1:10" x14ac:dyDescent="0.3">
      <c r="A3092" t="s">
        <v>3223</v>
      </c>
      <c r="B3092" t="s">
        <v>14</v>
      </c>
      <c r="C3092" t="str">
        <f>_xlfn.XLOOKUP(B3092,
[1]sales_teams!$A$2:$A$100,
[1]sales_teams!$B$2:$B$100)</f>
        <v>Melvin Marxen</v>
      </c>
      <c r="D3092" t="str">
        <f>_xlfn.XLOOKUP($B3092,sales_teams!$A$2:$A$36,sales_teams!C$2:C$36)</f>
        <v>Central</v>
      </c>
      <c r="E3092" t="s">
        <v>18</v>
      </c>
      <c r="F3092" t="s">
        <v>62</v>
      </c>
      <c r="G3092" t="s">
        <v>12</v>
      </c>
      <c r="H3092" s="1">
        <v>42866</v>
      </c>
      <c r="I3092" s="1">
        <v>42875</v>
      </c>
      <c r="J3092">
        <v>60</v>
      </c>
    </row>
    <row r="3093" spans="1:10" x14ac:dyDescent="0.3">
      <c r="A3093" t="s">
        <v>3224</v>
      </c>
      <c r="B3093" t="s">
        <v>14</v>
      </c>
      <c r="C3093" t="str">
        <f>_xlfn.XLOOKUP(B3093,
[1]sales_teams!$A$2:$A$100,
[1]sales_teams!$B$2:$B$100)</f>
        <v>Melvin Marxen</v>
      </c>
      <c r="D3093" t="str">
        <f>_xlfn.XLOOKUP($B3093,sales_teams!$A$2:$A$36,sales_teams!C$2:C$36)</f>
        <v>Central</v>
      </c>
      <c r="E3093" t="s">
        <v>39</v>
      </c>
      <c r="F3093" t="s">
        <v>111</v>
      </c>
      <c r="G3093" t="s">
        <v>12</v>
      </c>
      <c r="H3093" s="1">
        <v>42866</v>
      </c>
      <c r="I3093" s="1">
        <v>42971</v>
      </c>
      <c r="J3093">
        <v>3766</v>
      </c>
    </row>
    <row r="3094" spans="1:10" x14ac:dyDescent="0.3">
      <c r="A3094" t="s">
        <v>3225</v>
      </c>
      <c r="B3094" t="s">
        <v>105</v>
      </c>
      <c r="C3094" t="str">
        <f>_xlfn.XLOOKUP(B3094,
[1]sales_teams!$A$2:$A$100,
[1]sales_teams!$B$2:$B$100)</f>
        <v>Cara Losch</v>
      </c>
      <c r="D3094" t="str">
        <f>_xlfn.XLOOKUP($B3094,sales_teams!$A$2:$A$36,sales_teams!C$2:C$36)</f>
        <v>East</v>
      </c>
      <c r="E3094" t="s">
        <v>39</v>
      </c>
      <c r="F3094" t="s">
        <v>209</v>
      </c>
      <c r="G3094" t="s">
        <v>12</v>
      </c>
      <c r="H3094" s="1">
        <v>42866</v>
      </c>
      <c r="I3094" s="1">
        <v>42958</v>
      </c>
      <c r="J3094">
        <v>3552</v>
      </c>
    </row>
    <row r="3095" spans="1:10" x14ac:dyDescent="0.3">
      <c r="A3095" t="s">
        <v>3226</v>
      </c>
      <c r="B3095" t="s">
        <v>78</v>
      </c>
      <c r="C3095" t="str">
        <f>_xlfn.XLOOKUP(B3095,
[1]sales_teams!$A$2:$A$100,
[1]sales_teams!$B$2:$B$100)</f>
        <v>Summer Sewald</v>
      </c>
      <c r="D3095" t="str">
        <f>_xlfn.XLOOKUP($B3095,sales_teams!$A$2:$A$36,sales_teams!C$2:C$36)</f>
        <v>West</v>
      </c>
      <c r="E3095" t="s">
        <v>20</v>
      </c>
      <c r="G3095" t="s">
        <v>40</v>
      </c>
      <c r="H3095" s="1">
        <v>42866</v>
      </c>
    </row>
    <row r="3096" spans="1:10" x14ac:dyDescent="0.3">
      <c r="A3096" t="s">
        <v>3227</v>
      </c>
      <c r="B3096" t="s">
        <v>78</v>
      </c>
      <c r="C3096" t="str">
        <f>_xlfn.XLOOKUP(B3096,
[1]sales_teams!$A$2:$A$100,
[1]sales_teams!$B$2:$B$100)</f>
        <v>Summer Sewald</v>
      </c>
      <c r="D3096" t="str">
        <f>_xlfn.XLOOKUP($B3096,sales_teams!$A$2:$A$36,sales_teams!C$2:C$36)</f>
        <v>West</v>
      </c>
      <c r="E3096" t="s">
        <v>18</v>
      </c>
      <c r="F3096" t="s">
        <v>313</v>
      </c>
      <c r="G3096" t="s">
        <v>46</v>
      </c>
      <c r="H3096" s="1">
        <v>42866</v>
      </c>
      <c r="I3096" s="1">
        <v>42980</v>
      </c>
      <c r="J3096">
        <v>0</v>
      </c>
    </row>
    <row r="3097" spans="1:10" x14ac:dyDescent="0.3">
      <c r="A3097" t="s">
        <v>3228</v>
      </c>
      <c r="B3097" t="s">
        <v>78</v>
      </c>
      <c r="C3097" t="str">
        <f>_xlfn.XLOOKUP(B3097,
[1]sales_teams!$A$2:$A$100,
[1]sales_teams!$B$2:$B$100)</f>
        <v>Summer Sewald</v>
      </c>
      <c r="D3097" t="str">
        <f>_xlfn.XLOOKUP($B3097,sales_teams!$A$2:$A$36,sales_teams!C$2:C$36)</f>
        <v>West</v>
      </c>
      <c r="E3097" t="s">
        <v>39</v>
      </c>
      <c r="F3097" t="s">
        <v>398</v>
      </c>
      <c r="G3097" t="s">
        <v>46</v>
      </c>
      <c r="H3097" s="1">
        <v>42866</v>
      </c>
      <c r="I3097" s="1">
        <v>42950</v>
      </c>
      <c r="J3097">
        <v>0</v>
      </c>
    </row>
    <row r="3098" spans="1:10" x14ac:dyDescent="0.3">
      <c r="A3098" t="s">
        <v>3229</v>
      </c>
      <c r="B3098" t="s">
        <v>95</v>
      </c>
      <c r="C3098" t="str">
        <f>_xlfn.XLOOKUP(B3098,
[1]sales_teams!$A$2:$A$100,
[1]sales_teams!$B$2:$B$100)</f>
        <v>Summer Sewald</v>
      </c>
      <c r="D3098" t="str">
        <f>_xlfn.XLOOKUP($B3098,sales_teams!$A$2:$A$36,sales_teams!C$2:C$36)</f>
        <v>West</v>
      </c>
      <c r="E3098" t="s">
        <v>20</v>
      </c>
      <c r="F3098" t="s">
        <v>42</v>
      </c>
      <c r="G3098" t="s">
        <v>40</v>
      </c>
      <c r="H3098" s="1">
        <v>42866</v>
      </c>
    </row>
    <row r="3099" spans="1:10" x14ac:dyDescent="0.3">
      <c r="A3099" t="s">
        <v>3230</v>
      </c>
      <c r="B3099" t="s">
        <v>95</v>
      </c>
      <c r="C3099" t="str">
        <f>_xlfn.XLOOKUP(B3099,
[1]sales_teams!$A$2:$A$100,
[1]sales_teams!$B$2:$B$100)</f>
        <v>Summer Sewald</v>
      </c>
      <c r="D3099" t="str">
        <f>_xlfn.XLOOKUP($B3099,sales_teams!$A$2:$A$36,sales_teams!C$2:C$36)</f>
        <v>West</v>
      </c>
      <c r="E3099" t="s">
        <v>15</v>
      </c>
      <c r="F3099" t="s">
        <v>155</v>
      </c>
      <c r="G3099" t="s">
        <v>46</v>
      </c>
      <c r="H3099" s="1">
        <v>42866</v>
      </c>
      <c r="I3099" s="1">
        <v>42885</v>
      </c>
      <c r="J3099">
        <v>0</v>
      </c>
    </row>
    <row r="3100" spans="1:10" x14ac:dyDescent="0.3">
      <c r="A3100" t="s">
        <v>3231</v>
      </c>
      <c r="B3100" t="s">
        <v>32</v>
      </c>
      <c r="C3100" t="str">
        <f>_xlfn.XLOOKUP(B3100,
[1]sales_teams!$A$2:$A$100,
[1]sales_teams!$B$2:$B$100)</f>
        <v>Celia Rouche</v>
      </c>
      <c r="D3100" t="str">
        <f>_xlfn.XLOOKUP($B3100,sales_teams!$A$2:$A$36,sales_teams!C$2:C$36)</f>
        <v>West</v>
      </c>
      <c r="E3100" t="s">
        <v>39</v>
      </c>
      <c r="F3100" t="s">
        <v>70</v>
      </c>
      <c r="G3100" t="s">
        <v>46</v>
      </c>
      <c r="H3100" s="1">
        <v>42866</v>
      </c>
      <c r="I3100" s="1">
        <v>42950</v>
      </c>
      <c r="J3100">
        <v>0</v>
      </c>
    </row>
    <row r="3101" spans="1:10" x14ac:dyDescent="0.3">
      <c r="A3101" t="s">
        <v>3232</v>
      </c>
      <c r="B3101" t="s">
        <v>51</v>
      </c>
      <c r="C3101" t="str">
        <f>_xlfn.XLOOKUP(B3101,
[1]sales_teams!$A$2:$A$100,
[1]sales_teams!$B$2:$B$100)</f>
        <v>Summer Sewald</v>
      </c>
      <c r="D3101" t="str">
        <f>_xlfn.XLOOKUP($B3101,sales_teams!$A$2:$A$36,sales_teams!C$2:C$36)</f>
        <v>West</v>
      </c>
      <c r="E3101" t="s">
        <v>48</v>
      </c>
      <c r="F3101" t="s">
        <v>52</v>
      </c>
      <c r="G3101" t="s">
        <v>40</v>
      </c>
      <c r="H3101" s="1">
        <v>42866</v>
      </c>
    </row>
    <row r="3102" spans="1:10" x14ac:dyDescent="0.3">
      <c r="A3102" t="s">
        <v>3233</v>
      </c>
      <c r="B3102" t="s">
        <v>51</v>
      </c>
      <c r="C3102" t="str">
        <f>_xlfn.XLOOKUP(B3102,
[1]sales_teams!$A$2:$A$100,
[1]sales_teams!$B$2:$B$100)</f>
        <v>Summer Sewald</v>
      </c>
      <c r="D3102" t="str">
        <f>_xlfn.XLOOKUP($B3102,sales_teams!$A$2:$A$36,sales_teams!C$2:C$36)</f>
        <v>West</v>
      </c>
      <c r="E3102" t="s">
        <v>20</v>
      </c>
      <c r="F3102" t="s">
        <v>55</v>
      </c>
      <c r="G3102" t="s">
        <v>46</v>
      </c>
      <c r="H3102" s="1">
        <v>42866</v>
      </c>
      <c r="I3102" s="1">
        <v>42877</v>
      </c>
      <c r="J3102">
        <v>0</v>
      </c>
    </row>
    <row r="3103" spans="1:10" x14ac:dyDescent="0.3">
      <c r="A3103" t="s">
        <v>3234</v>
      </c>
      <c r="B3103" t="s">
        <v>9</v>
      </c>
      <c r="C3103" t="str">
        <f>_xlfn.XLOOKUP(B3103,
[1]sales_teams!$A$2:$A$100,
[1]sales_teams!$B$2:$B$100)</f>
        <v>Dustin Brinkmann</v>
      </c>
      <c r="D3103" t="str">
        <f>_xlfn.XLOOKUP($B3103,sales_teams!$A$2:$A$36,sales_teams!C$2:C$36)</f>
        <v>Central</v>
      </c>
      <c r="E3103" t="s">
        <v>20</v>
      </c>
      <c r="F3103" t="s">
        <v>62</v>
      </c>
      <c r="G3103" t="s">
        <v>12</v>
      </c>
      <c r="H3103" s="1">
        <v>42866</v>
      </c>
      <c r="I3103" s="1">
        <v>42880</v>
      </c>
      <c r="J3103">
        <v>472</v>
      </c>
    </row>
    <row r="3104" spans="1:10" x14ac:dyDescent="0.3">
      <c r="A3104" t="s">
        <v>3235</v>
      </c>
      <c r="B3104" t="s">
        <v>29</v>
      </c>
      <c r="C3104" t="str">
        <f>_xlfn.XLOOKUP(B3104,
[1]sales_teams!$A$2:$A$100,
[1]sales_teams!$B$2:$B$100)</f>
        <v>Celia Rouche</v>
      </c>
      <c r="D3104" t="str">
        <f>_xlfn.XLOOKUP($B3104,sales_teams!$A$2:$A$36,sales_teams!C$2:C$36)</f>
        <v>West</v>
      </c>
      <c r="E3104" t="s">
        <v>48</v>
      </c>
      <c r="G3104" t="s">
        <v>40</v>
      </c>
      <c r="H3104" s="1">
        <v>42866</v>
      </c>
    </row>
    <row r="3105" spans="1:10" x14ac:dyDescent="0.3">
      <c r="A3105" t="s">
        <v>3236</v>
      </c>
      <c r="B3105" t="s">
        <v>29</v>
      </c>
      <c r="C3105" t="str">
        <f>_xlfn.XLOOKUP(B3105,
[1]sales_teams!$A$2:$A$100,
[1]sales_teams!$B$2:$B$100)</f>
        <v>Celia Rouche</v>
      </c>
      <c r="D3105" t="str">
        <f>_xlfn.XLOOKUP($B3105,sales_teams!$A$2:$A$36,sales_teams!C$2:C$36)</f>
        <v>West</v>
      </c>
      <c r="E3105" t="s">
        <v>18</v>
      </c>
      <c r="F3105" t="s">
        <v>33</v>
      </c>
      <c r="G3105" t="s">
        <v>12</v>
      </c>
      <c r="H3105" s="1">
        <v>42866</v>
      </c>
      <c r="I3105" s="1">
        <v>42875</v>
      </c>
      <c r="J3105">
        <v>56</v>
      </c>
    </row>
    <row r="3106" spans="1:10" x14ac:dyDescent="0.3">
      <c r="A3106" t="s">
        <v>3237</v>
      </c>
      <c r="B3106" t="s">
        <v>73</v>
      </c>
      <c r="C3106" t="str">
        <f>_xlfn.XLOOKUP(B3106,
[1]sales_teams!$A$2:$A$100,
[1]sales_teams!$B$2:$B$100)</f>
        <v>Cara Losch</v>
      </c>
      <c r="D3106" t="str">
        <f>_xlfn.XLOOKUP($B3106,sales_teams!$A$2:$A$36,sales_teams!C$2:C$36)</f>
        <v>East</v>
      </c>
      <c r="E3106" t="s">
        <v>18</v>
      </c>
      <c r="F3106" t="s">
        <v>140</v>
      </c>
      <c r="G3106" t="s">
        <v>12</v>
      </c>
      <c r="H3106" s="1">
        <v>42866</v>
      </c>
      <c r="I3106" s="1">
        <v>42902</v>
      </c>
      <c r="J3106">
        <v>57</v>
      </c>
    </row>
    <row r="3107" spans="1:10" x14ac:dyDescent="0.3">
      <c r="A3107" t="s">
        <v>3238</v>
      </c>
      <c r="B3107" t="s">
        <v>102</v>
      </c>
      <c r="C3107" t="str">
        <f>_xlfn.XLOOKUP(B3107,
[1]sales_teams!$A$2:$A$100,
[1]sales_teams!$B$2:$B$100)</f>
        <v>Cara Losch</v>
      </c>
      <c r="D3107" t="str">
        <f>_xlfn.XLOOKUP($B3107,sales_teams!$A$2:$A$36,sales_teams!C$2:C$36)</f>
        <v>East</v>
      </c>
      <c r="E3107" t="s">
        <v>39</v>
      </c>
      <c r="F3107" t="s">
        <v>106</v>
      </c>
      <c r="G3107" t="s">
        <v>46</v>
      </c>
      <c r="H3107" s="1">
        <v>42866</v>
      </c>
      <c r="I3107" s="1">
        <v>42951</v>
      </c>
      <c r="J3107">
        <v>0</v>
      </c>
    </row>
    <row r="3108" spans="1:10" x14ac:dyDescent="0.3">
      <c r="A3108" t="s">
        <v>3239</v>
      </c>
      <c r="B3108" t="s">
        <v>23</v>
      </c>
      <c r="C3108" t="str">
        <f>_xlfn.XLOOKUP(B3108,
[1]sales_teams!$A$2:$A$100,
[1]sales_teams!$B$2:$B$100)</f>
        <v>Summer Sewald</v>
      </c>
      <c r="D3108" t="str">
        <f>_xlfn.XLOOKUP($B3108,sales_teams!$A$2:$A$36,sales_teams!C$2:C$36)</f>
        <v>West</v>
      </c>
      <c r="E3108" t="s">
        <v>10</v>
      </c>
      <c r="F3108" t="s">
        <v>555</v>
      </c>
      <c r="G3108" t="s">
        <v>12</v>
      </c>
      <c r="H3108" s="1">
        <v>42866</v>
      </c>
      <c r="I3108" s="1">
        <v>42964</v>
      </c>
      <c r="J3108">
        <v>776</v>
      </c>
    </row>
    <row r="3109" spans="1:10" x14ac:dyDescent="0.3">
      <c r="A3109" t="s">
        <v>3240</v>
      </c>
      <c r="B3109" t="s">
        <v>26</v>
      </c>
      <c r="C3109" t="str">
        <f>_xlfn.XLOOKUP(B3109,
[1]sales_teams!$A$2:$A$100,
[1]sales_teams!$B$2:$B$100)</f>
        <v>Dustin Brinkmann</v>
      </c>
      <c r="D3109" t="str">
        <f>_xlfn.XLOOKUP($B3109,sales_teams!$A$2:$A$36,sales_teams!C$2:C$36)</f>
        <v>Central</v>
      </c>
      <c r="E3109" t="s">
        <v>18</v>
      </c>
      <c r="F3109" t="s">
        <v>109</v>
      </c>
      <c r="G3109" t="s">
        <v>46</v>
      </c>
      <c r="H3109" s="1">
        <v>42867</v>
      </c>
      <c r="I3109" s="1">
        <v>42878</v>
      </c>
      <c r="J3109">
        <v>0</v>
      </c>
    </row>
    <row r="3110" spans="1:10" x14ac:dyDescent="0.3">
      <c r="A3110" t="s">
        <v>3241</v>
      </c>
      <c r="B3110" t="s">
        <v>202</v>
      </c>
      <c r="C3110" t="str">
        <f>_xlfn.XLOOKUP(B3110,
[1]sales_teams!$A$2:$A$100,
[1]sales_teams!$B$2:$B$100)</f>
        <v>Dustin Brinkmann</v>
      </c>
      <c r="D3110" t="str">
        <f>_xlfn.XLOOKUP($B3110,sales_teams!$A$2:$A$36,sales_teams!C$2:C$36)</f>
        <v>Central</v>
      </c>
      <c r="E3110" t="s">
        <v>18</v>
      </c>
      <c r="F3110" t="s">
        <v>21</v>
      </c>
      <c r="G3110" t="s">
        <v>12</v>
      </c>
      <c r="H3110" s="1">
        <v>42867</v>
      </c>
      <c r="I3110" s="1">
        <v>42896</v>
      </c>
      <c r="J3110">
        <v>61</v>
      </c>
    </row>
    <row r="3111" spans="1:10" x14ac:dyDescent="0.3">
      <c r="A3111" t="s">
        <v>3242</v>
      </c>
      <c r="B3111" t="s">
        <v>202</v>
      </c>
      <c r="C3111" t="str">
        <f>_xlfn.XLOOKUP(B3111,
[1]sales_teams!$A$2:$A$100,
[1]sales_teams!$B$2:$B$100)</f>
        <v>Dustin Brinkmann</v>
      </c>
      <c r="D3111" t="str">
        <f>_xlfn.XLOOKUP($B3111,sales_teams!$A$2:$A$36,sales_teams!C$2:C$36)</f>
        <v>Central</v>
      </c>
      <c r="E3111" t="s">
        <v>39</v>
      </c>
      <c r="F3111" t="s">
        <v>315</v>
      </c>
      <c r="G3111" t="s">
        <v>12</v>
      </c>
      <c r="H3111" s="1">
        <v>42867</v>
      </c>
      <c r="I3111" s="1">
        <v>42882</v>
      </c>
      <c r="J3111">
        <v>3831</v>
      </c>
    </row>
    <row r="3112" spans="1:10" x14ac:dyDescent="0.3">
      <c r="A3112" t="s">
        <v>3243</v>
      </c>
      <c r="B3112" t="s">
        <v>164</v>
      </c>
      <c r="C3112" t="str">
        <f>_xlfn.XLOOKUP(B3112,
[1]sales_teams!$A$2:$A$100,
[1]sales_teams!$B$2:$B$100)</f>
        <v>Cara Losch</v>
      </c>
      <c r="D3112" t="str">
        <f>_xlfn.XLOOKUP($B3112,sales_teams!$A$2:$A$36,sales_teams!C$2:C$36)</f>
        <v>East</v>
      </c>
      <c r="E3112" t="s">
        <v>39</v>
      </c>
      <c r="F3112" t="s">
        <v>329</v>
      </c>
      <c r="G3112" t="s">
        <v>46</v>
      </c>
      <c r="H3112" s="1">
        <v>42867</v>
      </c>
      <c r="I3112" s="1">
        <v>42971</v>
      </c>
      <c r="J3112">
        <v>0</v>
      </c>
    </row>
    <row r="3113" spans="1:10" x14ac:dyDescent="0.3">
      <c r="A3113" t="s">
        <v>3244</v>
      </c>
      <c r="B3113" t="s">
        <v>44</v>
      </c>
      <c r="C3113" t="str">
        <f>_xlfn.XLOOKUP(B3113,
[1]sales_teams!$A$2:$A$100,
[1]sales_teams!$B$2:$B$100)</f>
        <v>Melvin Marxen</v>
      </c>
      <c r="D3113" t="str">
        <f>_xlfn.XLOOKUP($B3113,sales_teams!$A$2:$A$36,sales_teams!C$2:C$36)</f>
        <v>Central</v>
      </c>
      <c r="E3113" t="s">
        <v>18</v>
      </c>
      <c r="F3113" t="s">
        <v>151</v>
      </c>
      <c r="G3113" t="s">
        <v>12</v>
      </c>
      <c r="H3113" s="1">
        <v>42867</v>
      </c>
      <c r="I3113" s="1">
        <v>42956</v>
      </c>
      <c r="J3113">
        <v>52</v>
      </c>
    </row>
    <row r="3114" spans="1:10" x14ac:dyDescent="0.3">
      <c r="A3114" t="s">
        <v>3245</v>
      </c>
      <c r="B3114" t="s">
        <v>38</v>
      </c>
      <c r="C3114" t="str">
        <f>_xlfn.XLOOKUP(B3114,
[1]sales_teams!$A$2:$A$100,
[1]sales_teams!$B$2:$B$100)</f>
        <v>Summer Sewald</v>
      </c>
      <c r="D3114" t="str">
        <f>_xlfn.XLOOKUP($B3114,sales_teams!$A$2:$A$36,sales_teams!C$2:C$36)</f>
        <v>West</v>
      </c>
      <c r="E3114" t="s">
        <v>15</v>
      </c>
      <c r="F3114" t="s">
        <v>122</v>
      </c>
      <c r="G3114" t="s">
        <v>46</v>
      </c>
      <c r="H3114" s="1">
        <v>42867</v>
      </c>
      <c r="I3114" s="1">
        <v>42948</v>
      </c>
      <c r="J3114">
        <v>0</v>
      </c>
    </row>
    <row r="3115" spans="1:10" x14ac:dyDescent="0.3">
      <c r="A3115" t="s">
        <v>3246</v>
      </c>
      <c r="B3115" t="s">
        <v>252</v>
      </c>
      <c r="C3115" t="str">
        <f>_xlfn.XLOOKUP(B3115,
[1]sales_teams!$A$2:$A$100,
[1]sales_teams!$B$2:$B$100)</f>
        <v>Melvin Marxen</v>
      </c>
      <c r="D3115" t="str">
        <f>_xlfn.XLOOKUP($B3115,sales_teams!$A$2:$A$36,sales_teams!C$2:C$36)</f>
        <v>Central</v>
      </c>
      <c r="E3115" t="s">
        <v>39</v>
      </c>
      <c r="F3115" t="s">
        <v>91</v>
      </c>
      <c r="G3115" t="s">
        <v>46</v>
      </c>
      <c r="H3115" s="1">
        <v>42867</v>
      </c>
      <c r="I3115" s="1">
        <v>42875</v>
      </c>
      <c r="J3115">
        <v>0</v>
      </c>
    </row>
    <row r="3116" spans="1:10" x14ac:dyDescent="0.3">
      <c r="A3116" t="s">
        <v>3247</v>
      </c>
      <c r="B3116" t="s">
        <v>78</v>
      </c>
      <c r="C3116" t="str">
        <f>_xlfn.XLOOKUP(B3116,
[1]sales_teams!$A$2:$A$100,
[1]sales_teams!$B$2:$B$100)</f>
        <v>Summer Sewald</v>
      </c>
      <c r="D3116" t="str">
        <f>_xlfn.XLOOKUP($B3116,sales_teams!$A$2:$A$36,sales_teams!C$2:C$36)</f>
        <v>West</v>
      </c>
      <c r="E3116" t="s">
        <v>15</v>
      </c>
      <c r="F3116" t="s">
        <v>184</v>
      </c>
      <c r="G3116" t="s">
        <v>46</v>
      </c>
      <c r="H3116" s="1">
        <v>42867</v>
      </c>
      <c r="I3116" s="1">
        <v>42875</v>
      </c>
      <c r="J3116">
        <v>0</v>
      </c>
    </row>
    <row r="3117" spans="1:10" x14ac:dyDescent="0.3">
      <c r="A3117" t="s">
        <v>3248</v>
      </c>
      <c r="B3117" t="s">
        <v>95</v>
      </c>
      <c r="C3117" t="str">
        <f>_xlfn.XLOOKUP(B3117,
[1]sales_teams!$A$2:$A$100,
[1]sales_teams!$B$2:$B$100)</f>
        <v>Summer Sewald</v>
      </c>
      <c r="D3117" t="str">
        <f>_xlfn.XLOOKUP($B3117,sales_teams!$A$2:$A$36,sales_teams!C$2:C$36)</f>
        <v>West</v>
      </c>
      <c r="E3117" t="s">
        <v>15</v>
      </c>
      <c r="F3117" t="s">
        <v>199</v>
      </c>
      <c r="G3117" t="s">
        <v>46</v>
      </c>
      <c r="H3117" s="1">
        <v>42867</v>
      </c>
      <c r="I3117" s="1">
        <v>42950</v>
      </c>
      <c r="J3117">
        <v>0</v>
      </c>
    </row>
    <row r="3118" spans="1:10" x14ac:dyDescent="0.3">
      <c r="A3118" t="s">
        <v>3249</v>
      </c>
      <c r="B3118" t="s">
        <v>95</v>
      </c>
      <c r="C3118" t="str">
        <f>_xlfn.XLOOKUP(B3118,
[1]sales_teams!$A$2:$A$100,
[1]sales_teams!$B$2:$B$100)</f>
        <v>Summer Sewald</v>
      </c>
      <c r="D3118" t="str">
        <f>_xlfn.XLOOKUP($B3118,sales_teams!$A$2:$A$36,sales_teams!C$2:C$36)</f>
        <v>West</v>
      </c>
      <c r="E3118" t="s">
        <v>48</v>
      </c>
      <c r="F3118" t="s">
        <v>59</v>
      </c>
      <c r="G3118" t="s">
        <v>12</v>
      </c>
      <c r="H3118" s="1">
        <v>42867</v>
      </c>
      <c r="I3118" s="1">
        <v>42908</v>
      </c>
      <c r="J3118">
        <v>5698</v>
      </c>
    </row>
    <row r="3119" spans="1:10" x14ac:dyDescent="0.3">
      <c r="A3119" t="s">
        <v>3250</v>
      </c>
      <c r="B3119" t="s">
        <v>133</v>
      </c>
      <c r="C3119" t="str">
        <f>_xlfn.XLOOKUP(B3119,
[1]sales_teams!$A$2:$A$100,
[1]sales_teams!$B$2:$B$100)</f>
        <v>Dustin Brinkmann</v>
      </c>
      <c r="D3119" t="str">
        <f>_xlfn.XLOOKUP($B3119,sales_teams!$A$2:$A$36,sales_teams!C$2:C$36)</f>
        <v>Central</v>
      </c>
      <c r="E3119" t="s">
        <v>20</v>
      </c>
      <c r="F3119" t="s">
        <v>27</v>
      </c>
      <c r="G3119" t="s">
        <v>12</v>
      </c>
      <c r="H3119" s="1">
        <v>42867</v>
      </c>
      <c r="I3119" s="1">
        <v>42877</v>
      </c>
      <c r="J3119">
        <v>595</v>
      </c>
    </row>
    <row r="3120" spans="1:10" x14ac:dyDescent="0.3">
      <c r="A3120" t="s">
        <v>3251</v>
      </c>
      <c r="B3120" t="s">
        <v>116</v>
      </c>
      <c r="C3120" t="str">
        <f>_xlfn.XLOOKUP(B3120,
[1]sales_teams!$A$2:$A$100,
[1]sales_teams!$B$2:$B$100)</f>
        <v>Melvin Marxen</v>
      </c>
      <c r="D3120" t="str">
        <f>_xlfn.XLOOKUP($B3120,sales_teams!$A$2:$A$36,sales_teams!C$2:C$36)</f>
        <v>Central</v>
      </c>
      <c r="E3120" t="s">
        <v>48</v>
      </c>
      <c r="F3120" t="s">
        <v>21</v>
      </c>
      <c r="G3120" t="s">
        <v>46</v>
      </c>
      <c r="H3120" s="1">
        <v>42867</v>
      </c>
      <c r="I3120" s="1">
        <v>42959</v>
      </c>
      <c r="J3120">
        <v>0</v>
      </c>
    </row>
    <row r="3121" spans="1:10" x14ac:dyDescent="0.3">
      <c r="A3121" t="s">
        <v>3252</v>
      </c>
      <c r="B3121" t="s">
        <v>51</v>
      </c>
      <c r="C3121" t="str">
        <f>_xlfn.XLOOKUP(B3121,
[1]sales_teams!$A$2:$A$100,
[1]sales_teams!$B$2:$B$100)</f>
        <v>Summer Sewald</v>
      </c>
      <c r="D3121" t="str">
        <f>_xlfn.XLOOKUP($B3121,sales_teams!$A$2:$A$36,sales_teams!C$2:C$36)</f>
        <v>West</v>
      </c>
      <c r="E3121" t="s">
        <v>10</v>
      </c>
      <c r="F3121" t="s">
        <v>555</v>
      </c>
      <c r="G3121" t="s">
        <v>12</v>
      </c>
      <c r="H3121" s="1">
        <v>42867</v>
      </c>
      <c r="I3121" s="1">
        <v>42970</v>
      </c>
      <c r="J3121">
        <v>1144</v>
      </c>
    </row>
    <row r="3122" spans="1:10" x14ac:dyDescent="0.3">
      <c r="A3122" t="s">
        <v>3253</v>
      </c>
      <c r="B3122" t="s">
        <v>9</v>
      </c>
      <c r="C3122" t="str">
        <f>_xlfn.XLOOKUP(B3122,
[1]sales_teams!$A$2:$A$100,
[1]sales_teams!$B$2:$B$100)</f>
        <v>Dustin Brinkmann</v>
      </c>
      <c r="D3122" t="str">
        <f>_xlfn.XLOOKUP($B3122,sales_teams!$A$2:$A$36,sales_teams!C$2:C$36)</f>
        <v>Central</v>
      </c>
      <c r="E3122" t="s">
        <v>18</v>
      </c>
      <c r="F3122" t="s">
        <v>129</v>
      </c>
      <c r="G3122" t="s">
        <v>12</v>
      </c>
      <c r="H3122" s="1">
        <v>42867</v>
      </c>
      <c r="I3122" s="1">
        <v>42993</v>
      </c>
      <c r="J3122">
        <v>61</v>
      </c>
    </row>
    <row r="3123" spans="1:10" x14ac:dyDescent="0.3">
      <c r="A3123" t="s">
        <v>3254</v>
      </c>
      <c r="B3123" t="s">
        <v>97</v>
      </c>
      <c r="C3123" t="str">
        <f>_xlfn.XLOOKUP(B3123,
[1]sales_teams!$A$2:$A$100,
[1]sales_teams!$B$2:$B$100)</f>
        <v>Rocco Neubert</v>
      </c>
      <c r="D3123" t="str">
        <f>_xlfn.XLOOKUP($B3123,sales_teams!$A$2:$A$36,sales_teams!C$2:C$36)</f>
        <v>East</v>
      </c>
      <c r="E3123" t="s">
        <v>15</v>
      </c>
      <c r="F3123" t="s">
        <v>98</v>
      </c>
      <c r="G3123" t="s">
        <v>46</v>
      </c>
      <c r="H3123" s="1">
        <v>42867</v>
      </c>
      <c r="I3123" s="1">
        <v>42879</v>
      </c>
      <c r="J3123">
        <v>0</v>
      </c>
    </row>
    <row r="3124" spans="1:10" x14ac:dyDescent="0.3">
      <c r="A3124" t="s">
        <v>3255</v>
      </c>
      <c r="B3124" t="s">
        <v>97</v>
      </c>
      <c r="C3124" t="str">
        <f>_xlfn.XLOOKUP(B3124,
[1]sales_teams!$A$2:$A$100,
[1]sales_teams!$B$2:$B$100)</f>
        <v>Rocco Neubert</v>
      </c>
      <c r="D3124" t="str">
        <f>_xlfn.XLOOKUP($B3124,sales_teams!$A$2:$A$36,sales_teams!C$2:C$36)</f>
        <v>East</v>
      </c>
      <c r="E3124" t="s">
        <v>39</v>
      </c>
      <c r="F3124" t="s">
        <v>199</v>
      </c>
      <c r="G3124" t="s">
        <v>46</v>
      </c>
      <c r="H3124" s="1">
        <v>42867</v>
      </c>
      <c r="I3124" s="1">
        <v>42960</v>
      </c>
      <c r="J3124">
        <v>0</v>
      </c>
    </row>
    <row r="3125" spans="1:10" x14ac:dyDescent="0.3">
      <c r="A3125" t="s">
        <v>3256</v>
      </c>
      <c r="B3125" t="s">
        <v>97</v>
      </c>
      <c r="C3125" t="str">
        <f>_xlfn.XLOOKUP(B3125,
[1]sales_teams!$A$2:$A$100,
[1]sales_teams!$B$2:$B$100)</f>
        <v>Rocco Neubert</v>
      </c>
      <c r="D3125" t="str">
        <f>_xlfn.XLOOKUP($B3125,sales_teams!$A$2:$A$36,sales_teams!C$2:C$36)</f>
        <v>East</v>
      </c>
      <c r="E3125" t="s">
        <v>39</v>
      </c>
      <c r="F3125" t="s">
        <v>215</v>
      </c>
      <c r="G3125" t="s">
        <v>12</v>
      </c>
      <c r="H3125" s="1">
        <v>42867</v>
      </c>
      <c r="I3125" s="1">
        <v>42870</v>
      </c>
      <c r="J3125">
        <v>3510</v>
      </c>
    </row>
    <row r="3126" spans="1:10" x14ac:dyDescent="0.3">
      <c r="A3126" t="s">
        <v>3257</v>
      </c>
      <c r="B3126" t="s">
        <v>88</v>
      </c>
      <c r="C3126" t="str">
        <f>_xlfn.XLOOKUP(B3126,
[1]sales_teams!$A$2:$A$100,
[1]sales_teams!$B$2:$B$100)</f>
        <v>Cara Losch</v>
      </c>
      <c r="D3126" t="str">
        <f>_xlfn.XLOOKUP($B3126,sales_teams!$A$2:$A$36,sales_teams!C$2:C$36)</f>
        <v>East</v>
      </c>
      <c r="E3126" t="s">
        <v>20</v>
      </c>
      <c r="F3126" t="s">
        <v>199</v>
      </c>
      <c r="G3126" t="s">
        <v>12</v>
      </c>
      <c r="H3126" s="1">
        <v>42867</v>
      </c>
      <c r="I3126" s="1">
        <v>42951</v>
      </c>
      <c r="J3126">
        <v>513</v>
      </c>
    </row>
    <row r="3127" spans="1:10" x14ac:dyDescent="0.3">
      <c r="A3127" t="s">
        <v>3258</v>
      </c>
      <c r="B3127" t="s">
        <v>61</v>
      </c>
      <c r="C3127" t="str">
        <f>_xlfn.XLOOKUP(B3127,
[1]sales_teams!$A$2:$A$100,
[1]sales_teams!$B$2:$B$100)</f>
        <v>Dustin Brinkmann</v>
      </c>
      <c r="D3127" t="str">
        <f>_xlfn.XLOOKUP($B3127,sales_teams!$A$2:$A$36,sales_teams!C$2:C$36)</f>
        <v>Central</v>
      </c>
      <c r="E3127" t="s">
        <v>39</v>
      </c>
      <c r="F3127" t="s">
        <v>170</v>
      </c>
      <c r="G3127" t="s">
        <v>46</v>
      </c>
      <c r="H3127" s="1">
        <v>42867</v>
      </c>
      <c r="I3127" s="1">
        <v>42961</v>
      </c>
      <c r="J3127">
        <v>0</v>
      </c>
    </row>
    <row r="3128" spans="1:10" x14ac:dyDescent="0.3">
      <c r="A3128" t="s">
        <v>3259</v>
      </c>
      <c r="B3128" t="s">
        <v>61</v>
      </c>
      <c r="C3128" t="str">
        <f>_xlfn.XLOOKUP(B3128,
[1]sales_teams!$A$2:$A$100,
[1]sales_teams!$B$2:$B$100)</f>
        <v>Dustin Brinkmann</v>
      </c>
      <c r="D3128" t="str">
        <f>_xlfn.XLOOKUP($B3128,sales_teams!$A$2:$A$36,sales_teams!C$2:C$36)</f>
        <v>Central</v>
      </c>
      <c r="E3128" t="s">
        <v>10</v>
      </c>
      <c r="F3128" t="s">
        <v>318</v>
      </c>
      <c r="G3128" t="s">
        <v>12</v>
      </c>
      <c r="H3128" s="1">
        <v>42867</v>
      </c>
      <c r="I3128" s="1">
        <v>42958</v>
      </c>
      <c r="J3128">
        <v>1083</v>
      </c>
    </row>
    <row r="3129" spans="1:10" x14ac:dyDescent="0.3">
      <c r="A3129" t="s">
        <v>3260</v>
      </c>
      <c r="B3129" t="s">
        <v>29</v>
      </c>
      <c r="C3129" t="str">
        <f>_xlfn.XLOOKUP(B3129,
[1]sales_teams!$A$2:$A$100,
[1]sales_teams!$B$2:$B$100)</f>
        <v>Celia Rouche</v>
      </c>
      <c r="D3129" t="str">
        <f>_xlfn.XLOOKUP($B3129,sales_teams!$A$2:$A$36,sales_teams!C$2:C$36)</f>
        <v>West</v>
      </c>
      <c r="E3129" t="s">
        <v>20</v>
      </c>
      <c r="F3129" t="s">
        <v>59</v>
      </c>
      <c r="G3129" t="s">
        <v>46</v>
      </c>
      <c r="H3129" s="1">
        <v>42867</v>
      </c>
      <c r="I3129" s="1">
        <v>42881</v>
      </c>
      <c r="J3129">
        <v>0</v>
      </c>
    </row>
    <row r="3130" spans="1:10" x14ac:dyDescent="0.3">
      <c r="A3130" t="s">
        <v>3261</v>
      </c>
      <c r="B3130" t="s">
        <v>29</v>
      </c>
      <c r="C3130" t="str">
        <f>_xlfn.XLOOKUP(B3130,
[1]sales_teams!$A$2:$A$100,
[1]sales_teams!$B$2:$B$100)</f>
        <v>Celia Rouche</v>
      </c>
      <c r="D3130" t="str">
        <f>_xlfn.XLOOKUP($B3130,sales_teams!$A$2:$A$36,sales_teams!C$2:C$36)</f>
        <v>West</v>
      </c>
      <c r="E3130" t="s">
        <v>48</v>
      </c>
      <c r="F3130" t="s">
        <v>218</v>
      </c>
      <c r="G3130" t="s">
        <v>12</v>
      </c>
      <c r="H3130" s="1">
        <v>42867</v>
      </c>
      <c r="I3130" s="1">
        <v>42970</v>
      </c>
      <c r="J3130">
        <v>5987</v>
      </c>
    </row>
    <row r="3131" spans="1:10" x14ac:dyDescent="0.3">
      <c r="A3131" t="s">
        <v>3262</v>
      </c>
      <c r="B3131" t="s">
        <v>26</v>
      </c>
      <c r="C3131" t="str">
        <f>_xlfn.XLOOKUP(B3131,
[1]sales_teams!$A$2:$A$100,
[1]sales_teams!$B$2:$B$100)</f>
        <v>Dustin Brinkmann</v>
      </c>
      <c r="D3131" t="str">
        <f>_xlfn.XLOOKUP($B3131,sales_teams!$A$2:$A$36,sales_teams!C$2:C$36)</f>
        <v>Central</v>
      </c>
      <c r="E3131" t="s">
        <v>10</v>
      </c>
      <c r="F3131" t="s">
        <v>91</v>
      </c>
      <c r="G3131" t="s">
        <v>12</v>
      </c>
      <c r="H3131" s="1">
        <v>42868</v>
      </c>
      <c r="I3131" s="1">
        <v>42914</v>
      </c>
      <c r="J3131">
        <v>1041</v>
      </c>
    </row>
    <row r="3132" spans="1:10" x14ac:dyDescent="0.3">
      <c r="A3132" t="s">
        <v>3263</v>
      </c>
      <c r="B3132" t="s">
        <v>26</v>
      </c>
      <c r="C3132" t="str">
        <f>_xlfn.XLOOKUP(B3132,
[1]sales_teams!$A$2:$A$100,
[1]sales_teams!$B$2:$B$100)</f>
        <v>Dustin Brinkmann</v>
      </c>
      <c r="D3132" t="str">
        <f>_xlfn.XLOOKUP($B3132,sales_teams!$A$2:$A$36,sales_teams!C$2:C$36)</f>
        <v>Central</v>
      </c>
      <c r="E3132" t="s">
        <v>18</v>
      </c>
      <c r="F3132" t="s">
        <v>135</v>
      </c>
      <c r="G3132" t="s">
        <v>12</v>
      </c>
      <c r="H3132" s="1">
        <v>42868</v>
      </c>
      <c r="I3132" s="1">
        <v>42951</v>
      </c>
      <c r="J3132">
        <v>54</v>
      </c>
    </row>
    <row r="3133" spans="1:10" x14ac:dyDescent="0.3">
      <c r="A3133" t="s">
        <v>3264</v>
      </c>
      <c r="B3133" t="s">
        <v>139</v>
      </c>
      <c r="C3133" t="str">
        <f>_xlfn.XLOOKUP(B3133,
[1]sales_teams!$A$2:$A$100,
[1]sales_teams!$B$2:$B$100)</f>
        <v>Rocco Neubert</v>
      </c>
      <c r="D3133" t="str">
        <f>_xlfn.XLOOKUP($B3133,sales_teams!$A$2:$A$36,sales_teams!C$2:C$36)</f>
        <v>East</v>
      </c>
      <c r="E3133" t="s">
        <v>39</v>
      </c>
      <c r="F3133" t="s">
        <v>222</v>
      </c>
      <c r="G3133" t="s">
        <v>12</v>
      </c>
      <c r="H3133" s="1">
        <v>42868</v>
      </c>
      <c r="I3133" s="1">
        <v>42887</v>
      </c>
      <c r="J3133">
        <v>2677</v>
      </c>
    </row>
    <row r="3134" spans="1:10" x14ac:dyDescent="0.3">
      <c r="A3134" t="s">
        <v>3265</v>
      </c>
      <c r="B3134" t="s">
        <v>202</v>
      </c>
      <c r="C3134" t="str">
        <f>_xlfn.XLOOKUP(B3134,
[1]sales_teams!$A$2:$A$100,
[1]sales_teams!$B$2:$B$100)</f>
        <v>Dustin Brinkmann</v>
      </c>
      <c r="D3134" t="str">
        <f>_xlfn.XLOOKUP($B3134,sales_teams!$A$2:$A$36,sales_teams!C$2:C$36)</f>
        <v>Central</v>
      </c>
      <c r="E3134" t="s">
        <v>39</v>
      </c>
      <c r="F3134" t="s">
        <v>126</v>
      </c>
      <c r="G3134" t="s">
        <v>12</v>
      </c>
      <c r="H3134" s="1">
        <v>42868</v>
      </c>
      <c r="I3134" s="1">
        <v>42882</v>
      </c>
      <c r="J3134">
        <v>3558</v>
      </c>
    </row>
    <row r="3135" spans="1:10" x14ac:dyDescent="0.3">
      <c r="A3135" t="s">
        <v>3266</v>
      </c>
      <c r="B3135" t="s">
        <v>164</v>
      </c>
      <c r="C3135" t="str">
        <f>_xlfn.XLOOKUP(B3135,
[1]sales_teams!$A$2:$A$100,
[1]sales_teams!$B$2:$B$100)</f>
        <v>Cara Losch</v>
      </c>
      <c r="D3135" t="str">
        <f>_xlfn.XLOOKUP($B3135,sales_teams!$A$2:$A$36,sales_teams!C$2:C$36)</f>
        <v>East</v>
      </c>
      <c r="E3135" t="s">
        <v>39</v>
      </c>
      <c r="G3135" t="s">
        <v>40</v>
      </c>
      <c r="H3135" s="1">
        <v>42868</v>
      </c>
    </row>
    <row r="3136" spans="1:10" x14ac:dyDescent="0.3">
      <c r="A3136" t="s">
        <v>3267</v>
      </c>
      <c r="B3136" t="s">
        <v>164</v>
      </c>
      <c r="C3136" t="str">
        <f>_xlfn.XLOOKUP(B3136,
[1]sales_teams!$A$2:$A$100,
[1]sales_teams!$B$2:$B$100)</f>
        <v>Cara Losch</v>
      </c>
      <c r="D3136" t="str">
        <f>_xlfn.XLOOKUP($B3136,sales_teams!$A$2:$A$36,sales_teams!C$2:C$36)</f>
        <v>East</v>
      </c>
      <c r="E3136" t="s">
        <v>20</v>
      </c>
      <c r="F3136" t="s">
        <v>329</v>
      </c>
      <c r="G3136" t="s">
        <v>46</v>
      </c>
      <c r="H3136" s="1">
        <v>42868</v>
      </c>
      <c r="I3136" s="1">
        <v>42955</v>
      </c>
      <c r="J3136">
        <v>0</v>
      </c>
    </row>
    <row r="3137" spans="1:10" x14ac:dyDescent="0.3">
      <c r="A3137" t="s">
        <v>3268</v>
      </c>
      <c r="B3137" t="s">
        <v>164</v>
      </c>
      <c r="C3137" t="str">
        <f>_xlfn.XLOOKUP(B3137,
[1]sales_teams!$A$2:$A$100,
[1]sales_teams!$B$2:$B$100)</f>
        <v>Cara Losch</v>
      </c>
      <c r="D3137" t="str">
        <f>_xlfn.XLOOKUP($B3137,sales_teams!$A$2:$A$36,sales_teams!C$2:C$36)</f>
        <v>East</v>
      </c>
      <c r="E3137" t="s">
        <v>10</v>
      </c>
      <c r="F3137" t="s">
        <v>215</v>
      </c>
      <c r="G3137" t="s">
        <v>12</v>
      </c>
      <c r="H3137" s="1">
        <v>42868</v>
      </c>
      <c r="I3137" s="1">
        <v>42967</v>
      </c>
      <c r="J3137">
        <v>866</v>
      </c>
    </row>
    <row r="3138" spans="1:10" x14ac:dyDescent="0.3">
      <c r="A3138" t="s">
        <v>3269</v>
      </c>
      <c r="B3138" t="s">
        <v>14</v>
      </c>
      <c r="C3138" t="str">
        <f>_xlfn.XLOOKUP(B3138,
[1]sales_teams!$A$2:$A$100,
[1]sales_teams!$B$2:$B$100)</f>
        <v>Melvin Marxen</v>
      </c>
      <c r="D3138" t="str">
        <f>_xlfn.XLOOKUP($B3138,sales_teams!$A$2:$A$36,sales_teams!C$2:C$36)</f>
        <v>Central</v>
      </c>
      <c r="E3138" t="s">
        <v>10</v>
      </c>
      <c r="F3138" t="s">
        <v>218</v>
      </c>
      <c r="G3138" t="s">
        <v>12</v>
      </c>
      <c r="H3138" s="1">
        <v>42868</v>
      </c>
      <c r="I3138" s="1">
        <v>42971</v>
      </c>
      <c r="J3138">
        <v>987</v>
      </c>
    </row>
    <row r="3139" spans="1:10" x14ac:dyDescent="0.3">
      <c r="A3139" t="s">
        <v>3270</v>
      </c>
      <c r="B3139" t="s">
        <v>14</v>
      </c>
      <c r="C3139" t="str">
        <f>_xlfn.XLOOKUP(B3139,
[1]sales_teams!$A$2:$A$100,
[1]sales_teams!$B$2:$B$100)</f>
        <v>Melvin Marxen</v>
      </c>
      <c r="D3139" t="str">
        <f>_xlfn.XLOOKUP($B3139,sales_teams!$A$2:$A$36,sales_teams!C$2:C$36)</f>
        <v>Central</v>
      </c>
      <c r="E3139" t="s">
        <v>39</v>
      </c>
      <c r="F3139" t="s">
        <v>197</v>
      </c>
      <c r="G3139" t="s">
        <v>12</v>
      </c>
      <c r="H3139" s="1">
        <v>42868</v>
      </c>
      <c r="I3139" s="1">
        <v>42962</v>
      </c>
      <c r="J3139">
        <v>3290</v>
      </c>
    </row>
    <row r="3140" spans="1:10" x14ac:dyDescent="0.3">
      <c r="A3140" t="s">
        <v>3271</v>
      </c>
      <c r="B3140" t="s">
        <v>142</v>
      </c>
      <c r="C3140" t="str">
        <f>_xlfn.XLOOKUP(B3140,
[1]sales_teams!$A$2:$A$100,
[1]sales_teams!$B$2:$B$100)</f>
        <v>Rocco Neubert</v>
      </c>
      <c r="D3140" t="str">
        <f>_xlfn.XLOOKUP($B3140,sales_teams!$A$2:$A$36,sales_teams!C$2:C$36)</f>
        <v>East</v>
      </c>
      <c r="E3140" t="s">
        <v>48</v>
      </c>
      <c r="F3140" t="s">
        <v>65</v>
      </c>
      <c r="G3140" t="s">
        <v>46</v>
      </c>
      <c r="H3140" s="1">
        <v>42868</v>
      </c>
      <c r="I3140" s="1">
        <v>42956</v>
      </c>
      <c r="J3140">
        <v>0</v>
      </c>
    </row>
    <row r="3141" spans="1:10" x14ac:dyDescent="0.3">
      <c r="A3141" t="s">
        <v>3272</v>
      </c>
      <c r="B3141" t="s">
        <v>142</v>
      </c>
      <c r="C3141" t="str">
        <f>_xlfn.XLOOKUP(B3141,
[1]sales_teams!$A$2:$A$100,
[1]sales_teams!$B$2:$B$100)</f>
        <v>Rocco Neubert</v>
      </c>
      <c r="D3141" t="str">
        <f>_xlfn.XLOOKUP($B3141,sales_teams!$A$2:$A$36,sales_teams!C$2:C$36)</f>
        <v>East</v>
      </c>
      <c r="E3141" t="s">
        <v>39</v>
      </c>
      <c r="F3141" t="s">
        <v>209</v>
      </c>
      <c r="G3141" t="s">
        <v>46</v>
      </c>
      <c r="H3141" s="1">
        <v>42868</v>
      </c>
      <c r="I3141" s="1">
        <v>42874</v>
      </c>
      <c r="J3141">
        <v>0</v>
      </c>
    </row>
    <row r="3142" spans="1:10" x14ac:dyDescent="0.3">
      <c r="A3142" t="s">
        <v>3273</v>
      </c>
      <c r="B3142" t="s">
        <v>142</v>
      </c>
      <c r="C3142" t="str">
        <f>_xlfn.XLOOKUP(B3142,
[1]sales_teams!$A$2:$A$100,
[1]sales_teams!$B$2:$B$100)</f>
        <v>Rocco Neubert</v>
      </c>
      <c r="D3142" t="str">
        <f>_xlfn.XLOOKUP($B3142,sales_teams!$A$2:$A$36,sales_teams!C$2:C$36)</f>
        <v>East</v>
      </c>
      <c r="E3142" t="s">
        <v>39</v>
      </c>
      <c r="F3142" t="s">
        <v>106</v>
      </c>
      <c r="G3142" t="s">
        <v>46</v>
      </c>
      <c r="H3142" s="1">
        <v>42868</v>
      </c>
      <c r="I3142" s="1">
        <v>42872</v>
      </c>
      <c r="J3142">
        <v>0</v>
      </c>
    </row>
    <row r="3143" spans="1:10" x14ac:dyDescent="0.3">
      <c r="A3143" t="s">
        <v>3274</v>
      </c>
      <c r="B3143" t="s">
        <v>67</v>
      </c>
      <c r="C3143" t="str">
        <f>_xlfn.XLOOKUP(B3143,
[1]sales_teams!$A$2:$A$100,
[1]sales_teams!$B$2:$B$100)</f>
        <v>Celia Rouche</v>
      </c>
      <c r="D3143" t="str">
        <f>_xlfn.XLOOKUP($B3143,sales_teams!$A$2:$A$36,sales_teams!C$2:C$36)</f>
        <v>West</v>
      </c>
      <c r="E3143" t="s">
        <v>18</v>
      </c>
      <c r="F3143" t="s">
        <v>194</v>
      </c>
      <c r="G3143" t="s">
        <v>12</v>
      </c>
      <c r="H3143" s="1">
        <v>42868</v>
      </c>
      <c r="I3143" s="1">
        <v>42991</v>
      </c>
      <c r="J3143">
        <v>54</v>
      </c>
    </row>
    <row r="3144" spans="1:10" x14ac:dyDescent="0.3">
      <c r="A3144" t="s">
        <v>3275</v>
      </c>
      <c r="B3144" t="s">
        <v>54</v>
      </c>
      <c r="C3144" t="str">
        <f>_xlfn.XLOOKUP(B3144,
[1]sales_teams!$A$2:$A$100,
[1]sales_teams!$B$2:$B$100)</f>
        <v>Celia Rouche</v>
      </c>
      <c r="D3144" t="str">
        <f>_xlfn.XLOOKUP($B3144,sales_teams!$A$2:$A$36,sales_teams!C$2:C$36)</f>
        <v>West</v>
      </c>
      <c r="E3144" t="s">
        <v>39</v>
      </c>
      <c r="F3144" t="s">
        <v>194</v>
      </c>
      <c r="G3144" t="s">
        <v>40</v>
      </c>
      <c r="H3144" s="1">
        <v>42868</v>
      </c>
    </row>
    <row r="3145" spans="1:10" x14ac:dyDescent="0.3">
      <c r="A3145" t="s">
        <v>3276</v>
      </c>
      <c r="B3145" t="s">
        <v>54</v>
      </c>
      <c r="C3145" t="str">
        <f>_xlfn.XLOOKUP(B3145,
[1]sales_teams!$A$2:$A$100,
[1]sales_teams!$B$2:$B$100)</f>
        <v>Celia Rouche</v>
      </c>
      <c r="D3145" t="str">
        <f>_xlfn.XLOOKUP($B3145,sales_teams!$A$2:$A$36,sales_teams!C$2:C$36)</f>
        <v>West</v>
      </c>
      <c r="E3145" t="s">
        <v>48</v>
      </c>
      <c r="F3145" t="s">
        <v>273</v>
      </c>
      <c r="G3145" t="s">
        <v>12</v>
      </c>
      <c r="H3145" s="1">
        <v>42868</v>
      </c>
      <c r="I3145" s="1">
        <v>42872</v>
      </c>
      <c r="J3145">
        <v>4627</v>
      </c>
    </row>
    <row r="3146" spans="1:10" x14ac:dyDescent="0.3">
      <c r="A3146" t="s">
        <v>3277</v>
      </c>
      <c r="B3146" t="s">
        <v>38</v>
      </c>
      <c r="C3146" t="str">
        <f>_xlfn.XLOOKUP(B3146,
[1]sales_teams!$A$2:$A$100,
[1]sales_teams!$B$2:$B$100)</f>
        <v>Summer Sewald</v>
      </c>
      <c r="D3146" t="str">
        <f>_xlfn.XLOOKUP($B3146,sales_teams!$A$2:$A$36,sales_teams!C$2:C$36)</f>
        <v>West</v>
      </c>
      <c r="E3146" t="s">
        <v>20</v>
      </c>
      <c r="F3146" t="s">
        <v>100</v>
      </c>
      <c r="G3146" t="s">
        <v>46</v>
      </c>
      <c r="H3146" s="1">
        <v>42868</v>
      </c>
      <c r="I3146" s="1">
        <v>42969</v>
      </c>
      <c r="J3146">
        <v>0</v>
      </c>
    </row>
    <row r="3147" spans="1:10" x14ac:dyDescent="0.3">
      <c r="A3147" t="s">
        <v>3278</v>
      </c>
      <c r="B3147" t="s">
        <v>252</v>
      </c>
      <c r="C3147" t="str">
        <f>_xlfn.XLOOKUP(B3147,
[1]sales_teams!$A$2:$A$100,
[1]sales_teams!$B$2:$B$100)</f>
        <v>Melvin Marxen</v>
      </c>
      <c r="D3147" t="str">
        <f>_xlfn.XLOOKUP($B3147,sales_teams!$A$2:$A$36,sales_teams!C$2:C$36)</f>
        <v>Central</v>
      </c>
      <c r="E3147" t="s">
        <v>15</v>
      </c>
      <c r="F3147" t="s">
        <v>21</v>
      </c>
      <c r="G3147" t="s">
        <v>12</v>
      </c>
      <c r="H3147" s="1">
        <v>42868</v>
      </c>
      <c r="I3147" s="1">
        <v>42984</v>
      </c>
      <c r="J3147">
        <v>5625</v>
      </c>
    </row>
    <row r="3148" spans="1:10" x14ac:dyDescent="0.3">
      <c r="A3148" t="s">
        <v>3279</v>
      </c>
      <c r="B3148" t="s">
        <v>133</v>
      </c>
      <c r="C3148" t="str">
        <f>_xlfn.XLOOKUP(B3148,
[1]sales_teams!$A$2:$A$100,
[1]sales_teams!$B$2:$B$100)</f>
        <v>Dustin Brinkmann</v>
      </c>
      <c r="D3148" t="str">
        <f>_xlfn.XLOOKUP($B3148,sales_teams!$A$2:$A$36,sales_teams!C$2:C$36)</f>
        <v>Central</v>
      </c>
      <c r="E3148" t="s">
        <v>20</v>
      </c>
      <c r="F3148" t="s">
        <v>45</v>
      </c>
      <c r="G3148" t="s">
        <v>46</v>
      </c>
      <c r="H3148" s="1">
        <v>42868</v>
      </c>
      <c r="I3148" s="1">
        <v>42870</v>
      </c>
      <c r="J3148">
        <v>0</v>
      </c>
    </row>
    <row r="3149" spans="1:10" x14ac:dyDescent="0.3">
      <c r="A3149" t="s">
        <v>3280</v>
      </c>
      <c r="B3149" t="s">
        <v>32</v>
      </c>
      <c r="C3149" t="str">
        <f>_xlfn.XLOOKUP(B3149,
[1]sales_teams!$A$2:$A$100,
[1]sales_teams!$B$2:$B$100)</f>
        <v>Celia Rouche</v>
      </c>
      <c r="D3149" t="str">
        <f>_xlfn.XLOOKUP($B3149,sales_teams!$A$2:$A$36,sales_teams!C$2:C$36)</f>
        <v>West</v>
      </c>
      <c r="E3149" t="s">
        <v>18</v>
      </c>
      <c r="F3149" t="s">
        <v>273</v>
      </c>
      <c r="G3149" t="s">
        <v>12</v>
      </c>
      <c r="H3149" s="1">
        <v>42868</v>
      </c>
      <c r="I3149" s="1">
        <v>42970</v>
      </c>
      <c r="J3149">
        <v>57</v>
      </c>
    </row>
    <row r="3150" spans="1:10" x14ac:dyDescent="0.3">
      <c r="A3150" t="s">
        <v>3281</v>
      </c>
      <c r="B3150" t="s">
        <v>35</v>
      </c>
      <c r="C3150" t="str">
        <f>_xlfn.XLOOKUP(B3150,
[1]sales_teams!$A$2:$A$100,
[1]sales_teams!$B$2:$B$100)</f>
        <v>Melvin Marxen</v>
      </c>
      <c r="D3150" t="str">
        <f>_xlfn.XLOOKUP($B3150,sales_teams!$A$2:$A$36,sales_teams!C$2:C$36)</f>
        <v>Central</v>
      </c>
      <c r="E3150" t="s">
        <v>10</v>
      </c>
      <c r="F3150" t="s">
        <v>197</v>
      </c>
      <c r="G3150" t="s">
        <v>46</v>
      </c>
      <c r="H3150" s="1">
        <v>42868</v>
      </c>
      <c r="I3150" s="1">
        <v>42971</v>
      </c>
      <c r="J3150">
        <v>0</v>
      </c>
    </row>
    <row r="3151" spans="1:10" x14ac:dyDescent="0.3">
      <c r="A3151" t="s">
        <v>3282</v>
      </c>
      <c r="B3151" t="s">
        <v>57</v>
      </c>
      <c r="C3151" t="str">
        <f>_xlfn.XLOOKUP(B3151,
[1]sales_teams!$A$2:$A$100,
[1]sales_teams!$B$2:$B$100)</f>
        <v>Celia Rouche</v>
      </c>
      <c r="D3151" t="str">
        <f>_xlfn.XLOOKUP($B3151,sales_teams!$A$2:$A$36,sales_teams!C$2:C$36)</f>
        <v>West</v>
      </c>
      <c r="E3151" t="s">
        <v>10</v>
      </c>
      <c r="F3151" t="s">
        <v>273</v>
      </c>
      <c r="G3151" t="s">
        <v>12</v>
      </c>
      <c r="H3151" s="1">
        <v>42868</v>
      </c>
      <c r="I3151" s="1">
        <v>42948</v>
      </c>
      <c r="J3151">
        <v>1032</v>
      </c>
    </row>
    <row r="3152" spans="1:10" x14ac:dyDescent="0.3">
      <c r="A3152" t="s">
        <v>3283</v>
      </c>
      <c r="B3152" t="s">
        <v>88</v>
      </c>
      <c r="C3152" t="str">
        <f>_xlfn.XLOOKUP(B3152,
[1]sales_teams!$A$2:$A$100,
[1]sales_teams!$B$2:$B$100)</f>
        <v>Cara Losch</v>
      </c>
      <c r="D3152" t="str">
        <f>_xlfn.XLOOKUP($B3152,sales_teams!$A$2:$A$36,sales_teams!C$2:C$36)</f>
        <v>East</v>
      </c>
      <c r="E3152" t="s">
        <v>20</v>
      </c>
      <c r="F3152" t="s">
        <v>140</v>
      </c>
      <c r="G3152" t="s">
        <v>12</v>
      </c>
      <c r="H3152" s="1">
        <v>42868</v>
      </c>
      <c r="I3152" s="1">
        <v>42872</v>
      </c>
      <c r="J3152">
        <v>567</v>
      </c>
    </row>
    <row r="3153" spans="1:10" x14ac:dyDescent="0.3">
      <c r="A3153" t="s">
        <v>3284</v>
      </c>
      <c r="B3153" t="s">
        <v>61</v>
      </c>
      <c r="C3153" t="str">
        <f>_xlfn.XLOOKUP(B3153,
[1]sales_teams!$A$2:$A$100,
[1]sales_teams!$B$2:$B$100)</f>
        <v>Dustin Brinkmann</v>
      </c>
      <c r="D3153" t="str">
        <f>_xlfn.XLOOKUP($B3153,sales_teams!$A$2:$A$36,sales_teams!C$2:C$36)</f>
        <v>Central</v>
      </c>
      <c r="E3153" t="s">
        <v>18</v>
      </c>
      <c r="F3153" t="s">
        <v>197</v>
      </c>
      <c r="G3153" t="s">
        <v>12</v>
      </c>
      <c r="H3153" s="1">
        <v>42868</v>
      </c>
      <c r="I3153" s="1">
        <v>42874</v>
      </c>
      <c r="J3153">
        <v>58</v>
      </c>
    </row>
    <row r="3154" spans="1:10" x14ac:dyDescent="0.3">
      <c r="A3154" t="s">
        <v>3285</v>
      </c>
      <c r="B3154" t="s">
        <v>26</v>
      </c>
      <c r="C3154" t="str">
        <f>_xlfn.XLOOKUP(B3154,
[1]sales_teams!$A$2:$A$100,
[1]sales_teams!$B$2:$B$100)</f>
        <v>Dustin Brinkmann</v>
      </c>
      <c r="D3154" t="str">
        <f>_xlfn.XLOOKUP($B3154,sales_teams!$A$2:$A$36,sales_teams!C$2:C$36)</f>
        <v>Central</v>
      </c>
      <c r="E3154" t="s">
        <v>48</v>
      </c>
      <c r="F3154" t="s">
        <v>109</v>
      </c>
      <c r="G3154" t="s">
        <v>46</v>
      </c>
      <c r="H3154" s="1">
        <v>42869</v>
      </c>
      <c r="I3154" s="1">
        <v>42972</v>
      </c>
      <c r="J3154">
        <v>0</v>
      </c>
    </row>
    <row r="3155" spans="1:10" x14ac:dyDescent="0.3">
      <c r="A3155" t="s">
        <v>3286</v>
      </c>
      <c r="B3155" t="s">
        <v>26</v>
      </c>
      <c r="C3155" t="str">
        <f>_xlfn.XLOOKUP(B3155,
[1]sales_teams!$A$2:$A$100,
[1]sales_teams!$B$2:$B$100)</f>
        <v>Dustin Brinkmann</v>
      </c>
      <c r="D3155" t="str">
        <f>_xlfn.XLOOKUP($B3155,sales_teams!$A$2:$A$36,sales_teams!C$2:C$36)</f>
        <v>Central</v>
      </c>
      <c r="E3155" t="s">
        <v>18</v>
      </c>
      <c r="F3155" t="s">
        <v>126</v>
      </c>
      <c r="G3155" t="s">
        <v>12</v>
      </c>
      <c r="H3155" s="1">
        <v>42869</v>
      </c>
      <c r="I3155" s="1">
        <v>42877</v>
      </c>
      <c r="J3155">
        <v>50</v>
      </c>
    </row>
    <row r="3156" spans="1:10" x14ac:dyDescent="0.3">
      <c r="A3156" t="s">
        <v>3287</v>
      </c>
      <c r="B3156" t="s">
        <v>139</v>
      </c>
      <c r="C3156" t="str">
        <f>_xlfn.XLOOKUP(B3156,
[1]sales_teams!$A$2:$A$100,
[1]sales_teams!$B$2:$B$100)</f>
        <v>Rocco Neubert</v>
      </c>
      <c r="D3156" t="str">
        <f>_xlfn.XLOOKUP($B3156,sales_teams!$A$2:$A$36,sales_teams!C$2:C$36)</f>
        <v>East</v>
      </c>
      <c r="E3156" t="s">
        <v>39</v>
      </c>
      <c r="F3156" t="s">
        <v>170</v>
      </c>
      <c r="G3156" t="s">
        <v>40</v>
      </c>
      <c r="H3156" s="1">
        <v>42869</v>
      </c>
    </row>
    <row r="3157" spans="1:10" x14ac:dyDescent="0.3">
      <c r="A3157" t="s">
        <v>3288</v>
      </c>
      <c r="B3157" t="s">
        <v>118</v>
      </c>
      <c r="C3157" t="str">
        <f>_xlfn.XLOOKUP(B3157,
[1]sales_teams!$A$2:$A$100,
[1]sales_teams!$B$2:$B$100)</f>
        <v>Rocco Neubert</v>
      </c>
      <c r="D3157" t="str">
        <f>_xlfn.XLOOKUP($B3157,sales_teams!$A$2:$A$36,sales_teams!C$2:C$36)</f>
        <v>East</v>
      </c>
      <c r="E3157" t="s">
        <v>10</v>
      </c>
      <c r="G3157" t="s">
        <v>40</v>
      </c>
      <c r="H3157" s="1">
        <v>42869</v>
      </c>
    </row>
    <row r="3158" spans="1:10" x14ac:dyDescent="0.3">
      <c r="A3158" t="s">
        <v>3289</v>
      </c>
      <c r="B3158" t="s">
        <v>118</v>
      </c>
      <c r="C3158" t="str">
        <f>_xlfn.XLOOKUP(B3158,
[1]sales_teams!$A$2:$A$100,
[1]sales_teams!$B$2:$B$100)</f>
        <v>Rocco Neubert</v>
      </c>
      <c r="D3158" t="str">
        <f>_xlfn.XLOOKUP($B3158,sales_teams!$A$2:$A$36,sales_teams!C$2:C$36)</f>
        <v>East</v>
      </c>
      <c r="E3158" t="s">
        <v>20</v>
      </c>
      <c r="F3158" t="s">
        <v>106</v>
      </c>
      <c r="G3158" t="s">
        <v>46</v>
      </c>
      <c r="H3158" s="1">
        <v>42869</v>
      </c>
      <c r="I3158" s="1">
        <v>42949</v>
      </c>
      <c r="J3158">
        <v>0</v>
      </c>
    </row>
    <row r="3159" spans="1:10" x14ac:dyDescent="0.3">
      <c r="A3159" t="s">
        <v>3290</v>
      </c>
      <c r="B3159" t="s">
        <v>64</v>
      </c>
      <c r="C3159" t="str">
        <f>_xlfn.XLOOKUP(B3159,
[1]sales_teams!$A$2:$A$100,
[1]sales_teams!$B$2:$B$100)</f>
        <v>Rocco Neubert</v>
      </c>
      <c r="D3159" t="str">
        <f>_xlfn.XLOOKUP($B3159,sales_teams!$A$2:$A$36,sales_teams!C$2:C$36)</f>
        <v>East</v>
      </c>
      <c r="E3159" t="s">
        <v>20</v>
      </c>
      <c r="F3159" t="s">
        <v>192</v>
      </c>
      <c r="G3159" t="s">
        <v>46</v>
      </c>
      <c r="H3159" s="1">
        <v>42869</v>
      </c>
      <c r="I3159" s="1">
        <v>42887</v>
      </c>
      <c r="J3159">
        <v>0</v>
      </c>
    </row>
    <row r="3160" spans="1:10" x14ac:dyDescent="0.3">
      <c r="A3160" t="s">
        <v>3291</v>
      </c>
      <c r="B3160" t="s">
        <v>14</v>
      </c>
      <c r="C3160" t="str">
        <f>_xlfn.XLOOKUP(B3160,
[1]sales_teams!$A$2:$A$100,
[1]sales_teams!$B$2:$B$100)</f>
        <v>Melvin Marxen</v>
      </c>
      <c r="D3160" t="str">
        <f>_xlfn.XLOOKUP($B3160,sales_teams!$A$2:$A$36,sales_teams!C$2:C$36)</f>
        <v>Central</v>
      </c>
      <c r="E3160" t="s">
        <v>18</v>
      </c>
      <c r="F3160" t="s">
        <v>109</v>
      </c>
      <c r="G3160" t="s">
        <v>12</v>
      </c>
      <c r="H3160" s="1">
        <v>42869</v>
      </c>
      <c r="I3160" s="1">
        <v>42910</v>
      </c>
      <c r="J3160">
        <v>59</v>
      </c>
    </row>
    <row r="3161" spans="1:10" x14ac:dyDescent="0.3">
      <c r="A3161" t="s">
        <v>3292</v>
      </c>
      <c r="B3161" t="s">
        <v>142</v>
      </c>
      <c r="C3161" t="str">
        <f>_xlfn.XLOOKUP(B3161,
[1]sales_teams!$A$2:$A$100,
[1]sales_teams!$B$2:$B$100)</f>
        <v>Rocco Neubert</v>
      </c>
      <c r="D3161" t="str">
        <f>_xlfn.XLOOKUP($B3161,sales_teams!$A$2:$A$36,sales_teams!C$2:C$36)</f>
        <v>East</v>
      </c>
      <c r="E3161" t="s">
        <v>48</v>
      </c>
      <c r="F3161" t="s">
        <v>189</v>
      </c>
      <c r="G3161" t="s">
        <v>46</v>
      </c>
      <c r="H3161" s="1">
        <v>42869</v>
      </c>
      <c r="I3161" s="1">
        <v>42961</v>
      </c>
      <c r="J3161">
        <v>0</v>
      </c>
    </row>
    <row r="3162" spans="1:10" x14ac:dyDescent="0.3">
      <c r="A3162" t="s">
        <v>3293</v>
      </c>
      <c r="B3162" t="s">
        <v>142</v>
      </c>
      <c r="C3162" t="str">
        <f>_xlfn.XLOOKUP(B3162,
[1]sales_teams!$A$2:$A$100,
[1]sales_teams!$B$2:$B$100)</f>
        <v>Rocco Neubert</v>
      </c>
      <c r="D3162" t="str">
        <f>_xlfn.XLOOKUP($B3162,sales_teams!$A$2:$A$36,sales_teams!C$2:C$36)</f>
        <v>East</v>
      </c>
      <c r="E3162" t="s">
        <v>20</v>
      </c>
      <c r="F3162" t="s">
        <v>745</v>
      </c>
      <c r="G3162" t="s">
        <v>12</v>
      </c>
      <c r="H3162" s="1">
        <v>42869</v>
      </c>
      <c r="I3162" s="1">
        <v>42953</v>
      </c>
      <c r="J3162">
        <v>525</v>
      </c>
    </row>
    <row r="3163" spans="1:10" x14ac:dyDescent="0.3">
      <c r="A3163" t="s">
        <v>3294</v>
      </c>
      <c r="B3163" t="s">
        <v>38</v>
      </c>
      <c r="C3163" t="str">
        <f>_xlfn.XLOOKUP(B3163,
[1]sales_teams!$A$2:$A$100,
[1]sales_teams!$B$2:$B$100)</f>
        <v>Summer Sewald</v>
      </c>
      <c r="D3163" t="str">
        <f>_xlfn.XLOOKUP($B3163,sales_teams!$A$2:$A$36,sales_teams!C$2:C$36)</f>
        <v>West</v>
      </c>
      <c r="E3163" t="s">
        <v>48</v>
      </c>
      <c r="F3163" t="s">
        <v>179</v>
      </c>
      <c r="G3163" t="s">
        <v>40</v>
      </c>
      <c r="H3163" s="1">
        <v>42869</v>
      </c>
    </row>
    <row r="3164" spans="1:10" x14ac:dyDescent="0.3">
      <c r="A3164" t="s">
        <v>3295</v>
      </c>
      <c r="B3164" t="s">
        <v>38</v>
      </c>
      <c r="C3164" t="str">
        <f>_xlfn.XLOOKUP(B3164,
[1]sales_teams!$A$2:$A$100,
[1]sales_teams!$B$2:$B$100)</f>
        <v>Summer Sewald</v>
      </c>
      <c r="D3164" t="str">
        <f>_xlfn.XLOOKUP($B3164,sales_teams!$A$2:$A$36,sales_teams!C$2:C$36)</f>
        <v>West</v>
      </c>
      <c r="E3164" t="s">
        <v>48</v>
      </c>
      <c r="F3164" t="s">
        <v>273</v>
      </c>
      <c r="G3164" t="s">
        <v>12</v>
      </c>
      <c r="H3164" s="1">
        <v>42869</v>
      </c>
      <c r="I3164" s="1">
        <v>42949</v>
      </c>
      <c r="J3164">
        <v>5525</v>
      </c>
    </row>
    <row r="3165" spans="1:10" x14ac:dyDescent="0.3">
      <c r="A3165" t="s">
        <v>3296</v>
      </c>
      <c r="B3165" t="s">
        <v>51</v>
      </c>
      <c r="C3165" t="str">
        <f>_xlfn.XLOOKUP(B3165,
[1]sales_teams!$A$2:$A$100,
[1]sales_teams!$B$2:$B$100)</f>
        <v>Summer Sewald</v>
      </c>
      <c r="D3165" t="str">
        <f>_xlfn.XLOOKUP($B3165,sales_teams!$A$2:$A$36,sales_teams!C$2:C$36)</f>
        <v>West</v>
      </c>
      <c r="E3165" t="s">
        <v>20</v>
      </c>
      <c r="G3165" t="s">
        <v>40</v>
      </c>
      <c r="H3165" s="1">
        <v>42869</v>
      </c>
    </row>
    <row r="3166" spans="1:10" x14ac:dyDescent="0.3">
      <c r="A3166" t="s">
        <v>3297</v>
      </c>
      <c r="B3166" t="s">
        <v>51</v>
      </c>
      <c r="C3166" t="str">
        <f>_xlfn.XLOOKUP(B3166,
[1]sales_teams!$A$2:$A$100,
[1]sales_teams!$B$2:$B$100)</f>
        <v>Summer Sewald</v>
      </c>
      <c r="D3166" t="str">
        <f>_xlfn.XLOOKUP($B3166,sales_teams!$A$2:$A$36,sales_teams!C$2:C$36)</f>
        <v>West</v>
      </c>
      <c r="E3166" t="s">
        <v>10</v>
      </c>
      <c r="F3166" t="s">
        <v>140</v>
      </c>
      <c r="G3166" t="s">
        <v>40</v>
      </c>
      <c r="H3166" s="1">
        <v>42869</v>
      </c>
    </row>
    <row r="3167" spans="1:10" x14ac:dyDescent="0.3">
      <c r="A3167" t="s">
        <v>3298</v>
      </c>
      <c r="B3167" t="s">
        <v>51</v>
      </c>
      <c r="C3167" t="str">
        <f>_xlfn.XLOOKUP(B3167,
[1]sales_teams!$A$2:$A$100,
[1]sales_teams!$B$2:$B$100)</f>
        <v>Summer Sewald</v>
      </c>
      <c r="D3167" t="str">
        <f>_xlfn.XLOOKUP($B3167,sales_teams!$A$2:$A$36,sales_teams!C$2:C$36)</f>
        <v>West</v>
      </c>
      <c r="E3167" t="s">
        <v>20</v>
      </c>
      <c r="F3167" t="s">
        <v>79</v>
      </c>
      <c r="G3167" t="s">
        <v>12</v>
      </c>
      <c r="H3167" s="1">
        <v>42869</v>
      </c>
      <c r="I3167" s="1">
        <v>42883</v>
      </c>
      <c r="J3167">
        <v>628</v>
      </c>
    </row>
    <row r="3168" spans="1:10" x14ac:dyDescent="0.3">
      <c r="A3168" t="s">
        <v>3299</v>
      </c>
      <c r="B3168" t="s">
        <v>51</v>
      </c>
      <c r="C3168" t="str">
        <f>_xlfn.XLOOKUP(B3168,
[1]sales_teams!$A$2:$A$100,
[1]sales_teams!$B$2:$B$100)</f>
        <v>Summer Sewald</v>
      </c>
      <c r="D3168" t="str">
        <f>_xlfn.XLOOKUP($B3168,sales_teams!$A$2:$A$36,sales_teams!C$2:C$36)</f>
        <v>West</v>
      </c>
      <c r="E3168" t="s">
        <v>10</v>
      </c>
      <c r="F3168" t="s">
        <v>315</v>
      </c>
      <c r="G3168" t="s">
        <v>12</v>
      </c>
      <c r="H3168" s="1">
        <v>42869</v>
      </c>
      <c r="I3168" s="1">
        <v>42877</v>
      </c>
      <c r="J3168">
        <v>902</v>
      </c>
    </row>
    <row r="3169" spans="1:10" x14ac:dyDescent="0.3">
      <c r="A3169" t="s">
        <v>3300</v>
      </c>
      <c r="B3169" t="s">
        <v>35</v>
      </c>
      <c r="C3169" t="str">
        <f>_xlfn.XLOOKUP(B3169,
[1]sales_teams!$A$2:$A$100,
[1]sales_teams!$B$2:$B$100)</f>
        <v>Melvin Marxen</v>
      </c>
      <c r="D3169" t="str">
        <f>_xlfn.XLOOKUP($B3169,sales_teams!$A$2:$A$36,sales_teams!C$2:C$36)</f>
        <v>Central</v>
      </c>
      <c r="E3169" t="s">
        <v>10</v>
      </c>
      <c r="F3169" t="s">
        <v>111</v>
      </c>
      <c r="G3169" t="s">
        <v>12</v>
      </c>
      <c r="H3169" s="1">
        <v>42869</v>
      </c>
      <c r="I3169" s="1">
        <v>42893</v>
      </c>
      <c r="J3169">
        <v>1064</v>
      </c>
    </row>
    <row r="3170" spans="1:10" x14ac:dyDescent="0.3">
      <c r="A3170" t="s">
        <v>3301</v>
      </c>
      <c r="B3170" t="s">
        <v>97</v>
      </c>
      <c r="C3170" t="str">
        <f>_xlfn.XLOOKUP(B3170,
[1]sales_teams!$A$2:$A$100,
[1]sales_teams!$B$2:$B$100)</f>
        <v>Rocco Neubert</v>
      </c>
      <c r="D3170" t="str">
        <f>_xlfn.XLOOKUP($B3170,sales_teams!$A$2:$A$36,sales_teams!C$2:C$36)</f>
        <v>East</v>
      </c>
      <c r="E3170" t="s">
        <v>48</v>
      </c>
      <c r="F3170" t="s">
        <v>89</v>
      </c>
      <c r="G3170" t="s">
        <v>12</v>
      </c>
      <c r="H3170" s="1">
        <v>42869</v>
      </c>
      <c r="I3170" s="1">
        <v>42967</v>
      </c>
      <c r="J3170">
        <v>6346</v>
      </c>
    </row>
    <row r="3171" spans="1:10" x14ac:dyDescent="0.3">
      <c r="A3171" t="s">
        <v>3302</v>
      </c>
      <c r="B3171" t="s">
        <v>97</v>
      </c>
      <c r="C3171" t="str">
        <f>_xlfn.XLOOKUP(B3171,
[1]sales_teams!$A$2:$A$100,
[1]sales_teams!$B$2:$B$100)</f>
        <v>Rocco Neubert</v>
      </c>
      <c r="D3171" t="str">
        <f>_xlfn.XLOOKUP($B3171,sales_teams!$A$2:$A$36,sales_teams!C$2:C$36)</f>
        <v>East</v>
      </c>
      <c r="E3171" t="s">
        <v>39</v>
      </c>
      <c r="F3171" t="s">
        <v>65</v>
      </c>
      <c r="G3171" t="s">
        <v>12</v>
      </c>
      <c r="H3171" s="1">
        <v>42869</v>
      </c>
      <c r="I3171" s="1">
        <v>42879</v>
      </c>
      <c r="J3171">
        <v>3089</v>
      </c>
    </row>
    <row r="3172" spans="1:10" x14ac:dyDescent="0.3">
      <c r="A3172" t="s">
        <v>3303</v>
      </c>
      <c r="B3172" t="s">
        <v>57</v>
      </c>
      <c r="C3172" t="str">
        <f>_xlfn.XLOOKUP(B3172,
[1]sales_teams!$A$2:$A$100,
[1]sales_teams!$B$2:$B$100)</f>
        <v>Celia Rouche</v>
      </c>
      <c r="D3172" t="str">
        <f>_xlfn.XLOOKUP($B3172,sales_teams!$A$2:$A$36,sales_teams!C$2:C$36)</f>
        <v>West</v>
      </c>
      <c r="E3172" t="s">
        <v>39</v>
      </c>
      <c r="F3172" t="s">
        <v>52</v>
      </c>
      <c r="G3172" t="s">
        <v>12</v>
      </c>
      <c r="H3172" s="1">
        <v>42869</v>
      </c>
      <c r="I3172" s="1">
        <v>42873</v>
      </c>
      <c r="J3172">
        <v>3484</v>
      </c>
    </row>
    <row r="3173" spans="1:10" x14ac:dyDescent="0.3">
      <c r="A3173" t="s">
        <v>3304</v>
      </c>
      <c r="B3173" t="s">
        <v>61</v>
      </c>
      <c r="C3173" t="str">
        <f>_xlfn.XLOOKUP(B3173,
[1]sales_teams!$A$2:$A$100,
[1]sales_teams!$B$2:$B$100)</f>
        <v>Dustin Brinkmann</v>
      </c>
      <c r="D3173" t="str">
        <f>_xlfn.XLOOKUP($B3173,sales_teams!$A$2:$A$36,sales_teams!C$2:C$36)</f>
        <v>Central</v>
      </c>
      <c r="E3173" t="s">
        <v>18</v>
      </c>
      <c r="F3173" t="s">
        <v>16</v>
      </c>
      <c r="G3173" t="s">
        <v>46</v>
      </c>
      <c r="H3173" s="1">
        <v>42869</v>
      </c>
      <c r="I3173" s="1">
        <v>42971</v>
      </c>
      <c r="J3173">
        <v>0</v>
      </c>
    </row>
    <row r="3174" spans="1:10" x14ac:dyDescent="0.3">
      <c r="A3174" t="s">
        <v>3305</v>
      </c>
      <c r="B3174" t="s">
        <v>61</v>
      </c>
      <c r="C3174" t="str">
        <f>_xlfn.XLOOKUP(B3174,
[1]sales_teams!$A$2:$A$100,
[1]sales_teams!$B$2:$B$100)</f>
        <v>Dustin Brinkmann</v>
      </c>
      <c r="D3174" t="str">
        <f>_xlfn.XLOOKUP($B3174,sales_teams!$A$2:$A$36,sales_teams!C$2:C$36)</f>
        <v>Central</v>
      </c>
      <c r="E3174" t="s">
        <v>18</v>
      </c>
      <c r="F3174" t="s">
        <v>126</v>
      </c>
      <c r="G3174" t="s">
        <v>46</v>
      </c>
      <c r="H3174" s="1">
        <v>42869</v>
      </c>
      <c r="I3174" s="1">
        <v>42953</v>
      </c>
      <c r="J3174">
        <v>0</v>
      </c>
    </row>
    <row r="3175" spans="1:10" x14ac:dyDescent="0.3">
      <c r="A3175" t="s">
        <v>3306</v>
      </c>
      <c r="B3175" t="s">
        <v>61</v>
      </c>
      <c r="C3175" t="str">
        <f>_xlfn.XLOOKUP(B3175,
[1]sales_teams!$A$2:$A$100,
[1]sales_teams!$B$2:$B$100)</f>
        <v>Dustin Brinkmann</v>
      </c>
      <c r="D3175" t="str">
        <f>_xlfn.XLOOKUP($B3175,sales_teams!$A$2:$A$36,sales_teams!C$2:C$36)</f>
        <v>Central</v>
      </c>
      <c r="E3175" t="s">
        <v>18</v>
      </c>
      <c r="F3175" t="s">
        <v>303</v>
      </c>
      <c r="G3175" t="s">
        <v>12</v>
      </c>
      <c r="H3175" s="1">
        <v>42869</v>
      </c>
      <c r="I3175" s="1">
        <v>42871</v>
      </c>
      <c r="J3175">
        <v>68</v>
      </c>
    </row>
    <row r="3176" spans="1:10" x14ac:dyDescent="0.3">
      <c r="A3176" t="s">
        <v>3307</v>
      </c>
      <c r="B3176" t="s">
        <v>29</v>
      </c>
      <c r="C3176" t="str">
        <f>_xlfn.XLOOKUP(B3176,
[1]sales_teams!$A$2:$A$100,
[1]sales_teams!$B$2:$B$100)</f>
        <v>Celia Rouche</v>
      </c>
      <c r="D3176" t="str">
        <f>_xlfn.XLOOKUP($B3176,sales_teams!$A$2:$A$36,sales_teams!C$2:C$36)</f>
        <v>West</v>
      </c>
      <c r="E3176" t="s">
        <v>20</v>
      </c>
      <c r="G3176" t="s">
        <v>40</v>
      </c>
      <c r="H3176" s="1">
        <v>42869</v>
      </c>
    </row>
    <row r="3177" spans="1:10" x14ac:dyDescent="0.3">
      <c r="A3177" t="s">
        <v>3308</v>
      </c>
      <c r="B3177" t="s">
        <v>29</v>
      </c>
      <c r="C3177" t="str">
        <f>_xlfn.XLOOKUP(B3177,
[1]sales_teams!$A$2:$A$100,
[1]sales_teams!$B$2:$B$100)</f>
        <v>Celia Rouche</v>
      </c>
      <c r="D3177" t="str">
        <f>_xlfn.XLOOKUP($B3177,sales_teams!$A$2:$A$36,sales_teams!C$2:C$36)</f>
        <v>West</v>
      </c>
      <c r="E3177" t="s">
        <v>20</v>
      </c>
      <c r="F3177" t="s">
        <v>70</v>
      </c>
      <c r="G3177" t="s">
        <v>12</v>
      </c>
      <c r="H3177" s="1">
        <v>42869</v>
      </c>
      <c r="I3177" s="1">
        <v>42963</v>
      </c>
      <c r="J3177">
        <v>575</v>
      </c>
    </row>
    <row r="3178" spans="1:10" x14ac:dyDescent="0.3">
      <c r="A3178" t="s">
        <v>3309</v>
      </c>
      <c r="B3178" t="s">
        <v>73</v>
      </c>
      <c r="C3178" t="str">
        <f>_xlfn.XLOOKUP(B3178,
[1]sales_teams!$A$2:$A$100,
[1]sales_teams!$B$2:$B$100)</f>
        <v>Cara Losch</v>
      </c>
      <c r="D3178" t="str">
        <f>_xlfn.XLOOKUP($B3178,sales_teams!$A$2:$A$36,sales_teams!C$2:C$36)</f>
        <v>East</v>
      </c>
      <c r="E3178" t="s">
        <v>39</v>
      </c>
      <c r="F3178" t="s">
        <v>65</v>
      </c>
      <c r="G3178" t="s">
        <v>12</v>
      </c>
      <c r="H3178" s="1">
        <v>42869</v>
      </c>
      <c r="I3178" s="1">
        <v>42872</v>
      </c>
      <c r="J3178">
        <v>3720</v>
      </c>
    </row>
    <row r="3179" spans="1:10" x14ac:dyDescent="0.3">
      <c r="A3179" t="s">
        <v>3310</v>
      </c>
      <c r="B3179" t="s">
        <v>102</v>
      </c>
      <c r="C3179" t="str">
        <f>_xlfn.XLOOKUP(B3179,
[1]sales_teams!$A$2:$A$100,
[1]sales_teams!$B$2:$B$100)</f>
        <v>Cara Losch</v>
      </c>
      <c r="D3179" t="str">
        <f>_xlfn.XLOOKUP($B3179,sales_teams!$A$2:$A$36,sales_teams!C$2:C$36)</f>
        <v>East</v>
      </c>
      <c r="E3179" t="s">
        <v>15</v>
      </c>
      <c r="G3179" t="s">
        <v>40</v>
      </c>
      <c r="H3179" s="1">
        <v>42869</v>
      </c>
    </row>
    <row r="3180" spans="1:10" x14ac:dyDescent="0.3">
      <c r="A3180" t="s">
        <v>3311</v>
      </c>
      <c r="B3180" t="s">
        <v>23</v>
      </c>
      <c r="C3180" t="str">
        <f>_xlfn.XLOOKUP(B3180,
[1]sales_teams!$A$2:$A$100,
[1]sales_teams!$B$2:$B$100)</f>
        <v>Summer Sewald</v>
      </c>
      <c r="D3180" t="str">
        <f>_xlfn.XLOOKUP($B3180,sales_teams!$A$2:$A$36,sales_teams!C$2:C$36)</f>
        <v>West</v>
      </c>
      <c r="E3180" t="s">
        <v>48</v>
      </c>
      <c r="F3180" t="s">
        <v>315</v>
      </c>
      <c r="G3180" t="s">
        <v>46</v>
      </c>
      <c r="H3180" s="1">
        <v>42869</v>
      </c>
      <c r="I3180" s="1">
        <v>42882</v>
      </c>
      <c r="J3180">
        <v>0</v>
      </c>
    </row>
    <row r="3181" spans="1:10" x14ac:dyDescent="0.3">
      <c r="A3181" t="s">
        <v>3312</v>
      </c>
      <c r="B3181" t="s">
        <v>118</v>
      </c>
      <c r="C3181" t="str">
        <f>_xlfn.XLOOKUP(B3181,
[1]sales_teams!$A$2:$A$100,
[1]sales_teams!$B$2:$B$100)</f>
        <v>Rocco Neubert</v>
      </c>
      <c r="D3181" t="str">
        <f>_xlfn.XLOOKUP($B3181,sales_teams!$A$2:$A$36,sales_teams!C$2:C$36)</f>
        <v>East</v>
      </c>
      <c r="E3181" t="s">
        <v>39</v>
      </c>
      <c r="F3181" t="s">
        <v>218</v>
      </c>
      <c r="G3181" t="s">
        <v>40</v>
      </c>
      <c r="H3181" s="1">
        <v>42870</v>
      </c>
    </row>
    <row r="3182" spans="1:10" x14ac:dyDescent="0.3">
      <c r="A3182" t="s">
        <v>3313</v>
      </c>
      <c r="B3182" t="s">
        <v>118</v>
      </c>
      <c r="C3182" t="str">
        <f>_xlfn.XLOOKUP(B3182,
[1]sales_teams!$A$2:$A$100,
[1]sales_teams!$B$2:$B$100)</f>
        <v>Rocco Neubert</v>
      </c>
      <c r="D3182" t="str">
        <f>_xlfn.XLOOKUP($B3182,sales_teams!$A$2:$A$36,sales_teams!C$2:C$36)</f>
        <v>East</v>
      </c>
      <c r="E3182" t="s">
        <v>10</v>
      </c>
      <c r="F3182" t="s">
        <v>745</v>
      </c>
      <c r="G3182" t="s">
        <v>12</v>
      </c>
      <c r="H3182" s="1">
        <v>42870</v>
      </c>
      <c r="I3182" s="1">
        <v>42913</v>
      </c>
      <c r="J3182">
        <v>1078</v>
      </c>
    </row>
    <row r="3183" spans="1:10" x14ac:dyDescent="0.3">
      <c r="A3183" t="s">
        <v>3314</v>
      </c>
      <c r="B3183" t="s">
        <v>118</v>
      </c>
      <c r="C3183" t="str">
        <f>_xlfn.XLOOKUP(B3183,
[1]sales_teams!$A$2:$A$100,
[1]sales_teams!$B$2:$B$100)</f>
        <v>Rocco Neubert</v>
      </c>
      <c r="D3183" t="str">
        <f>_xlfn.XLOOKUP($B3183,sales_teams!$A$2:$A$36,sales_teams!C$2:C$36)</f>
        <v>East</v>
      </c>
      <c r="E3183" t="s">
        <v>15</v>
      </c>
      <c r="F3183" t="s">
        <v>329</v>
      </c>
      <c r="G3183" t="s">
        <v>12</v>
      </c>
      <c r="H3183" s="1">
        <v>42870</v>
      </c>
      <c r="I3183" s="1">
        <v>42878</v>
      </c>
      <c r="J3183">
        <v>3717</v>
      </c>
    </row>
    <row r="3184" spans="1:10" x14ac:dyDescent="0.3">
      <c r="A3184" t="s">
        <v>3315</v>
      </c>
      <c r="B3184" t="s">
        <v>202</v>
      </c>
      <c r="C3184" t="str">
        <f>_xlfn.XLOOKUP(B3184,
[1]sales_teams!$A$2:$A$100,
[1]sales_teams!$B$2:$B$100)</f>
        <v>Dustin Brinkmann</v>
      </c>
      <c r="D3184" t="str">
        <f>_xlfn.XLOOKUP($B3184,sales_teams!$A$2:$A$36,sales_teams!C$2:C$36)</f>
        <v>Central</v>
      </c>
      <c r="E3184" t="s">
        <v>10</v>
      </c>
      <c r="F3184" t="s">
        <v>315</v>
      </c>
      <c r="G3184" t="s">
        <v>12</v>
      </c>
      <c r="H3184" s="1">
        <v>42870</v>
      </c>
      <c r="I3184" s="1">
        <v>42885</v>
      </c>
      <c r="J3184">
        <v>1129</v>
      </c>
    </row>
    <row r="3185" spans="1:10" x14ac:dyDescent="0.3">
      <c r="A3185" t="s">
        <v>3316</v>
      </c>
      <c r="B3185" t="s">
        <v>64</v>
      </c>
      <c r="C3185" t="str">
        <f>_xlfn.XLOOKUP(B3185,
[1]sales_teams!$A$2:$A$100,
[1]sales_teams!$B$2:$B$100)</f>
        <v>Rocco Neubert</v>
      </c>
      <c r="D3185" t="str">
        <f>_xlfn.XLOOKUP($B3185,sales_teams!$A$2:$A$36,sales_teams!C$2:C$36)</f>
        <v>East</v>
      </c>
      <c r="E3185" t="s">
        <v>48</v>
      </c>
      <c r="F3185" t="s">
        <v>86</v>
      </c>
      <c r="G3185" t="s">
        <v>40</v>
      </c>
      <c r="H3185" s="1">
        <v>42870</v>
      </c>
    </row>
    <row r="3186" spans="1:10" x14ac:dyDescent="0.3">
      <c r="A3186" t="s">
        <v>3317</v>
      </c>
      <c r="B3186" t="s">
        <v>64</v>
      </c>
      <c r="C3186" t="str">
        <f>_xlfn.XLOOKUP(B3186,
[1]sales_teams!$A$2:$A$100,
[1]sales_teams!$B$2:$B$100)</f>
        <v>Rocco Neubert</v>
      </c>
      <c r="D3186" t="str">
        <f>_xlfn.XLOOKUP($B3186,sales_teams!$A$2:$A$36,sales_teams!C$2:C$36)</f>
        <v>East</v>
      </c>
      <c r="E3186" t="s">
        <v>20</v>
      </c>
      <c r="F3186" t="s">
        <v>189</v>
      </c>
      <c r="G3186" t="s">
        <v>12</v>
      </c>
      <c r="H3186" s="1">
        <v>42870</v>
      </c>
      <c r="I3186" s="1">
        <v>42993</v>
      </c>
      <c r="J3186">
        <v>536</v>
      </c>
    </row>
    <row r="3187" spans="1:10" x14ac:dyDescent="0.3">
      <c r="A3187" t="s">
        <v>3318</v>
      </c>
      <c r="B3187" t="s">
        <v>64</v>
      </c>
      <c r="C3187" t="str">
        <f>_xlfn.XLOOKUP(B3187,
[1]sales_teams!$A$2:$A$100,
[1]sales_teams!$B$2:$B$100)</f>
        <v>Rocco Neubert</v>
      </c>
      <c r="D3187" t="str">
        <f>_xlfn.XLOOKUP($B3187,sales_teams!$A$2:$A$36,sales_teams!C$2:C$36)</f>
        <v>East</v>
      </c>
      <c r="E3187" t="s">
        <v>15</v>
      </c>
      <c r="F3187" t="s">
        <v>98</v>
      </c>
      <c r="G3187" t="s">
        <v>12</v>
      </c>
      <c r="H3187" s="1">
        <v>42870</v>
      </c>
      <c r="I3187" s="1">
        <v>42911</v>
      </c>
      <c r="J3187">
        <v>5857</v>
      </c>
    </row>
    <row r="3188" spans="1:10" x14ac:dyDescent="0.3">
      <c r="A3188" t="s">
        <v>3319</v>
      </c>
      <c r="B3188" t="s">
        <v>67</v>
      </c>
      <c r="C3188" t="str">
        <f>_xlfn.XLOOKUP(B3188,
[1]sales_teams!$A$2:$A$100,
[1]sales_teams!$B$2:$B$100)</f>
        <v>Celia Rouche</v>
      </c>
      <c r="D3188" t="str">
        <f>_xlfn.XLOOKUP($B3188,sales_teams!$A$2:$A$36,sales_teams!C$2:C$36)</f>
        <v>West</v>
      </c>
      <c r="E3188" t="s">
        <v>18</v>
      </c>
      <c r="G3188" t="s">
        <v>40</v>
      </c>
      <c r="H3188" s="1">
        <v>42870</v>
      </c>
    </row>
    <row r="3189" spans="1:10" x14ac:dyDescent="0.3">
      <c r="A3189" t="s">
        <v>3320</v>
      </c>
      <c r="B3189" t="s">
        <v>54</v>
      </c>
      <c r="C3189" t="str">
        <f>_xlfn.XLOOKUP(B3189,
[1]sales_teams!$A$2:$A$100,
[1]sales_teams!$B$2:$B$100)</f>
        <v>Celia Rouche</v>
      </c>
      <c r="D3189" t="str">
        <f>_xlfn.XLOOKUP($B3189,sales_teams!$A$2:$A$36,sales_teams!C$2:C$36)</f>
        <v>West</v>
      </c>
      <c r="E3189" t="s">
        <v>18</v>
      </c>
      <c r="F3189" t="s">
        <v>313</v>
      </c>
      <c r="G3189" t="s">
        <v>46</v>
      </c>
      <c r="H3189" s="1">
        <v>42870</v>
      </c>
      <c r="I3189" s="1">
        <v>42986</v>
      </c>
      <c r="J3189">
        <v>0</v>
      </c>
    </row>
    <row r="3190" spans="1:10" x14ac:dyDescent="0.3">
      <c r="A3190" t="s">
        <v>3321</v>
      </c>
      <c r="B3190" t="s">
        <v>95</v>
      </c>
      <c r="C3190" t="str">
        <f>_xlfn.XLOOKUP(B3190,
[1]sales_teams!$A$2:$A$100,
[1]sales_teams!$B$2:$B$100)</f>
        <v>Summer Sewald</v>
      </c>
      <c r="D3190" t="str">
        <f>_xlfn.XLOOKUP($B3190,sales_teams!$A$2:$A$36,sales_teams!C$2:C$36)</f>
        <v>West</v>
      </c>
      <c r="E3190" t="s">
        <v>20</v>
      </c>
      <c r="G3190" t="s">
        <v>40</v>
      </c>
      <c r="H3190" s="1">
        <v>42870</v>
      </c>
    </row>
    <row r="3191" spans="1:10" x14ac:dyDescent="0.3">
      <c r="A3191" t="s">
        <v>3322</v>
      </c>
      <c r="B3191" t="s">
        <v>95</v>
      </c>
      <c r="C3191" t="str">
        <f>_xlfn.XLOOKUP(B3191,
[1]sales_teams!$A$2:$A$100,
[1]sales_teams!$B$2:$B$100)</f>
        <v>Summer Sewald</v>
      </c>
      <c r="D3191" t="str">
        <f>_xlfn.XLOOKUP($B3191,sales_teams!$A$2:$A$36,sales_teams!C$2:C$36)</f>
        <v>West</v>
      </c>
      <c r="E3191" t="s">
        <v>20</v>
      </c>
      <c r="F3191" t="s">
        <v>159</v>
      </c>
      <c r="G3191" t="s">
        <v>12</v>
      </c>
      <c r="H3191" s="1">
        <v>42870</v>
      </c>
      <c r="I3191" s="1">
        <v>42880</v>
      </c>
      <c r="J3191">
        <v>549</v>
      </c>
    </row>
    <row r="3192" spans="1:10" x14ac:dyDescent="0.3">
      <c r="A3192" t="s">
        <v>3323</v>
      </c>
      <c r="B3192" t="s">
        <v>133</v>
      </c>
      <c r="C3192" t="str">
        <f>_xlfn.XLOOKUP(B3192,
[1]sales_teams!$A$2:$A$100,
[1]sales_teams!$B$2:$B$100)</f>
        <v>Dustin Brinkmann</v>
      </c>
      <c r="D3192" t="str">
        <f>_xlfn.XLOOKUP($B3192,sales_teams!$A$2:$A$36,sales_teams!C$2:C$36)</f>
        <v>Central</v>
      </c>
      <c r="E3192" t="s">
        <v>18</v>
      </c>
      <c r="F3192" t="s">
        <v>492</v>
      </c>
      <c r="G3192" t="s">
        <v>12</v>
      </c>
      <c r="H3192" s="1">
        <v>42870</v>
      </c>
      <c r="I3192" s="1">
        <v>42985</v>
      </c>
      <c r="J3192">
        <v>61</v>
      </c>
    </row>
    <row r="3193" spans="1:10" x14ac:dyDescent="0.3">
      <c r="A3193" t="s">
        <v>3324</v>
      </c>
      <c r="B3193" t="s">
        <v>32</v>
      </c>
      <c r="C3193" t="str">
        <f>_xlfn.XLOOKUP(B3193,
[1]sales_teams!$A$2:$A$100,
[1]sales_teams!$B$2:$B$100)</f>
        <v>Celia Rouche</v>
      </c>
      <c r="D3193" t="str">
        <f>_xlfn.XLOOKUP($B3193,sales_teams!$A$2:$A$36,sales_teams!C$2:C$36)</f>
        <v>West</v>
      </c>
      <c r="E3193" t="s">
        <v>48</v>
      </c>
      <c r="F3193" t="s">
        <v>59</v>
      </c>
      <c r="G3193" t="s">
        <v>46</v>
      </c>
      <c r="H3193" s="1">
        <v>42870</v>
      </c>
      <c r="I3193" s="1">
        <v>42954</v>
      </c>
      <c r="J3193">
        <v>0</v>
      </c>
    </row>
    <row r="3194" spans="1:10" x14ac:dyDescent="0.3">
      <c r="A3194" t="s">
        <v>3325</v>
      </c>
      <c r="B3194" t="s">
        <v>116</v>
      </c>
      <c r="C3194" t="str">
        <f>_xlfn.XLOOKUP(B3194,
[1]sales_teams!$A$2:$A$100,
[1]sales_teams!$B$2:$B$100)</f>
        <v>Melvin Marxen</v>
      </c>
      <c r="D3194" t="str">
        <f>_xlfn.XLOOKUP($B3194,sales_teams!$A$2:$A$36,sales_teams!C$2:C$36)</f>
        <v>Central</v>
      </c>
      <c r="E3194" t="s">
        <v>18</v>
      </c>
      <c r="F3194" t="s">
        <v>170</v>
      </c>
      <c r="G3194" t="s">
        <v>46</v>
      </c>
      <c r="H3194" s="1">
        <v>42870</v>
      </c>
      <c r="I3194" s="1">
        <v>42957</v>
      </c>
      <c r="J3194">
        <v>0</v>
      </c>
    </row>
    <row r="3195" spans="1:10" x14ac:dyDescent="0.3">
      <c r="A3195" t="s">
        <v>3326</v>
      </c>
      <c r="B3195" t="s">
        <v>116</v>
      </c>
      <c r="C3195" t="str">
        <f>_xlfn.XLOOKUP(B3195,
[1]sales_teams!$A$2:$A$100,
[1]sales_teams!$B$2:$B$100)</f>
        <v>Melvin Marxen</v>
      </c>
      <c r="D3195" t="str">
        <f>_xlfn.XLOOKUP($B3195,sales_teams!$A$2:$A$36,sales_teams!C$2:C$36)</f>
        <v>Central</v>
      </c>
      <c r="E3195" t="s">
        <v>39</v>
      </c>
      <c r="F3195" t="s">
        <v>11</v>
      </c>
      <c r="G3195" t="s">
        <v>46</v>
      </c>
      <c r="H3195" s="1">
        <v>42870</v>
      </c>
      <c r="I3195" s="1">
        <v>42968</v>
      </c>
      <c r="J3195">
        <v>0</v>
      </c>
    </row>
    <row r="3196" spans="1:10" x14ac:dyDescent="0.3">
      <c r="A3196" t="s">
        <v>3327</v>
      </c>
      <c r="B3196" t="s">
        <v>51</v>
      </c>
      <c r="C3196" t="str">
        <f>_xlfn.XLOOKUP(B3196,
[1]sales_teams!$A$2:$A$100,
[1]sales_teams!$B$2:$B$100)</f>
        <v>Summer Sewald</v>
      </c>
      <c r="D3196" t="str">
        <f>_xlfn.XLOOKUP($B3196,sales_teams!$A$2:$A$36,sales_teams!C$2:C$36)</f>
        <v>West</v>
      </c>
      <c r="E3196" t="s">
        <v>20</v>
      </c>
      <c r="F3196" t="s">
        <v>70</v>
      </c>
      <c r="G3196" t="s">
        <v>46</v>
      </c>
      <c r="H3196" s="1">
        <v>42870</v>
      </c>
      <c r="I3196" s="1">
        <v>42960</v>
      </c>
      <c r="J3196">
        <v>0</v>
      </c>
    </row>
    <row r="3197" spans="1:10" x14ac:dyDescent="0.3">
      <c r="A3197" t="s">
        <v>3328</v>
      </c>
      <c r="B3197" t="s">
        <v>51</v>
      </c>
      <c r="C3197" t="str">
        <f>_xlfn.XLOOKUP(B3197,
[1]sales_teams!$A$2:$A$100,
[1]sales_teams!$B$2:$B$100)</f>
        <v>Summer Sewald</v>
      </c>
      <c r="D3197" t="str">
        <f>_xlfn.XLOOKUP($B3197,sales_teams!$A$2:$A$36,sales_teams!C$2:C$36)</f>
        <v>West</v>
      </c>
      <c r="E3197" t="s">
        <v>10</v>
      </c>
      <c r="F3197" t="s">
        <v>313</v>
      </c>
      <c r="G3197" t="s">
        <v>12</v>
      </c>
      <c r="H3197" s="1">
        <v>42870</v>
      </c>
      <c r="I3197" s="1">
        <v>42988</v>
      </c>
      <c r="J3197">
        <v>1101</v>
      </c>
    </row>
    <row r="3198" spans="1:10" x14ac:dyDescent="0.3">
      <c r="A3198" t="s">
        <v>3329</v>
      </c>
      <c r="B3198" t="s">
        <v>35</v>
      </c>
      <c r="C3198" t="str">
        <f>_xlfn.XLOOKUP(B3198,
[1]sales_teams!$A$2:$A$100,
[1]sales_teams!$B$2:$B$100)</f>
        <v>Melvin Marxen</v>
      </c>
      <c r="D3198" t="str">
        <f>_xlfn.XLOOKUP($B3198,sales_teams!$A$2:$A$36,sales_teams!C$2:C$36)</f>
        <v>Central</v>
      </c>
      <c r="E3198" t="s">
        <v>20</v>
      </c>
      <c r="F3198" t="s">
        <v>318</v>
      </c>
      <c r="G3198" t="s">
        <v>46</v>
      </c>
      <c r="H3198" s="1">
        <v>42870</v>
      </c>
      <c r="I3198" s="1">
        <v>42958</v>
      </c>
      <c r="J3198">
        <v>0</v>
      </c>
    </row>
    <row r="3199" spans="1:10" x14ac:dyDescent="0.3">
      <c r="A3199" t="s">
        <v>3330</v>
      </c>
      <c r="B3199" t="s">
        <v>35</v>
      </c>
      <c r="C3199" t="str">
        <f>_xlfn.XLOOKUP(B3199,
[1]sales_teams!$A$2:$A$100,
[1]sales_teams!$B$2:$B$100)</f>
        <v>Melvin Marxen</v>
      </c>
      <c r="D3199" t="str">
        <f>_xlfn.XLOOKUP($B3199,sales_teams!$A$2:$A$36,sales_teams!C$2:C$36)</f>
        <v>Central</v>
      </c>
      <c r="E3199" t="s">
        <v>20</v>
      </c>
      <c r="F3199" t="s">
        <v>197</v>
      </c>
      <c r="G3199" t="s">
        <v>12</v>
      </c>
      <c r="H3199" s="1">
        <v>42870</v>
      </c>
      <c r="I3199" s="1">
        <v>42913</v>
      </c>
      <c r="J3199">
        <v>603</v>
      </c>
    </row>
    <row r="3200" spans="1:10" x14ac:dyDescent="0.3">
      <c r="A3200" t="s">
        <v>3331</v>
      </c>
      <c r="B3200" t="s">
        <v>35</v>
      </c>
      <c r="C3200" t="str">
        <f>_xlfn.XLOOKUP(B3200,
[1]sales_teams!$A$2:$A$100,
[1]sales_teams!$B$2:$B$100)</f>
        <v>Melvin Marxen</v>
      </c>
      <c r="D3200" t="str">
        <f>_xlfn.XLOOKUP($B3200,sales_teams!$A$2:$A$36,sales_teams!C$2:C$36)</f>
        <v>Central</v>
      </c>
      <c r="E3200" t="s">
        <v>20</v>
      </c>
      <c r="F3200" t="s">
        <v>318</v>
      </c>
      <c r="G3200" t="s">
        <v>12</v>
      </c>
      <c r="H3200" s="1">
        <v>42870</v>
      </c>
      <c r="I3200" s="1">
        <v>42983</v>
      </c>
      <c r="J3200">
        <v>545</v>
      </c>
    </row>
    <row r="3201" spans="1:10" x14ac:dyDescent="0.3">
      <c r="A3201" t="s">
        <v>3332</v>
      </c>
      <c r="B3201" t="s">
        <v>97</v>
      </c>
      <c r="C3201" t="str">
        <f>_xlfn.XLOOKUP(B3201,
[1]sales_teams!$A$2:$A$100,
[1]sales_teams!$B$2:$B$100)</f>
        <v>Rocco Neubert</v>
      </c>
      <c r="D3201" t="str">
        <f>_xlfn.XLOOKUP($B3201,sales_teams!$A$2:$A$36,sales_teams!C$2:C$36)</f>
        <v>East</v>
      </c>
      <c r="E3201" t="s">
        <v>39</v>
      </c>
      <c r="F3201" t="s">
        <v>74</v>
      </c>
      <c r="G3201" t="s">
        <v>46</v>
      </c>
      <c r="H3201" s="1">
        <v>42870</v>
      </c>
      <c r="I3201" s="1">
        <v>42885</v>
      </c>
      <c r="J3201">
        <v>0</v>
      </c>
    </row>
    <row r="3202" spans="1:10" x14ac:dyDescent="0.3">
      <c r="A3202" t="s">
        <v>3333</v>
      </c>
      <c r="B3202" t="s">
        <v>57</v>
      </c>
      <c r="C3202" t="str">
        <f>_xlfn.XLOOKUP(B3202,
[1]sales_teams!$A$2:$A$100,
[1]sales_teams!$B$2:$B$100)</f>
        <v>Celia Rouche</v>
      </c>
      <c r="D3202" t="str">
        <f>_xlfn.XLOOKUP($B3202,sales_teams!$A$2:$A$36,sales_teams!C$2:C$36)</f>
        <v>West</v>
      </c>
      <c r="E3202" t="s">
        <v>39</v>
      </c>
      <c r="G3202" t="s">
        <v>40</v>
      </c>
      <c r="H3202" s="1">
        <v>42870</v>
      </c>
    </row>
    <row r="3203" spans="1:10" x14ac:dyDescent="0.3">
      <c r="A3203" t="s">
        <v>3334</v>
      </c>
      <c r="B3203" t="s">
        <v>88</v>
      </c>
      <c r="C3203" t="str">
        <f>_xlfn.XLOOKUP(B3203,
[1]sales_teams!$A$2:$A$100,
[1]sales_teams!$B$2:$B$100)</f>
        <v>Cara Losch</v>
      </c>
      <c r="D3203" t="str">
        <f>_xlfn.XLOOKUP($B3203,sales_teams!$A$2:$A$36,sales_teams!C$2:C$36)</f>
        <v>East</v>
      </c>
      <c r="E3203" t="s">
        <v>48</v>
      </c>
      <c r="F3203" t="s">
        <v>278</v>
      </c>
      <c r="G3203" t="s">
        <v>46</v>
      </c>
      <c r="H3203" s="1">
        <v>42870</v>
      </c>
      <c r="I3203" s="1">
        <v>42881</v>
      </c>
      <c r="J3203">
        <v>0</v>
      </c>
    </row>
    <row r="3204" spans="1:10" x14ac:dyDescent="0.3">
      <c r="A3204" t="s">
        <v>3335</v>
      </c>
      <c r="B3204" t="s">
        <v>29</v>
      </c>
      <c r="C3204" t="str">
        <f>_xlfn.XLOOKUP(B3204,
[1]sales_teams!$A$2:$A$100,
[1]sales_teams!$B$2:$B$100)</f>
        <v>Celia Rouche</v>
      </c>
      <c r="D3204" t="str">
        <f>_xlfn.XLOOKUP($B3204,sales_teams!$A$2:$A$36,sales_teams!C$2:C$36)</f>
        <v>West</v>
      </c>
      <c r="E3204" t="s">
        <v>10</v>
      </c>
      <c r="F3204" t="s">
        <v>70</v>
      </c>
      <c r="G3204" t="s">
        <v>12</v>
      </c>
      <c r="H3204" s="1">
        <v>42870</v>
      </c>
      <c r="I3204" s="1">
        <v>42972</v>
      </c>
      <c r="J3204">
        <v>959</v>
      </c>
    </row>
    <row r="3205" spans="1:10" x14ac:dyDescent="0.3">
      <c r="A3205" t="s">
        <v>3336</v>
      </c>
      <c r="B3205" t="s">
        <v>29</v>
      </c>
      <c r="C3205" t="str">
        <f>_xlfn.XLOOKUP(B3205,
[1]sales_teams!$A$2:$A$100,
[1]sales_teams!$B$2:$B$100)</f>
        <v>Celia Rouche</v>
      </c>
      <c r="D3205" t="str">
        <f>_xlfn.XLOOKUP($B3205,sales_teams!$A$2:$A$36,sales_teams!C$2:C$36)</f>
        <v>West</v>
      </c>
      <c r="E3205" t="s">
        <v>10</v>
      </c>
      <c r="F3205" t="s">
        <v>199</v>
      </c>
      <c r="G3205" t="s">
        <v>12</v>
      </c>
      <c r="H3205" s="1">
        <v>42870</v>
      </c>
      <c r="I3205" s="1">
        <v>42889</v>
      </c>
      <c r="J3205">
        <v>1208</v>
      </c>
    </row>
    <row r="3206" spans="1:10" x14ac:dyDescent="0.3">
      <c r="A3206" t="s">
        <v>3337</v>
      </c>
      <c r="B3206" t="s">
        <v>29</v>
      </c>
      <c r="C3206" t="str">
        <f>_xlfn.XLOOKUP(B3206,
[1]sales_teams!$A$2:$A$100,
[1]sales_teams!$B$2:$B$100)</f>
        <v>Celia Rouche</v>
      </c>
      <c r="D3206" t="str">
        <f>_xlfn.XLOOKUP($B3206,sales_teams!$A$2:$A$36,sales_teams!C$2:C$36)</f>
        <v>West</v>
      </c>
      <c r="E3206" t="s">
        <v>15</v>
      </c>
      <c r="F3206" t="s">
        <v>148</v>
      </c>
      <c r="G3206" t="s">
        <v>12</v>
      </c>
      <c r="H3206" s="1">
        <v>42870</v>
      </c>
      <c r="I3206" s="1">
        <v>42966</v>
      </c>
      <c r="J3206">
        <v>4246</v>
      </c>
    </row>
    <row r="3207" spans="1:10" x14ac:dyDescent="0.3">
      <c r="A3207" t="s">
        <v>3338</v>
      </c>
      <c r="B3207" t="s">
        <v>73</v>
      </c>
      <c r="C3207" t="str">
        <f>_xlfn.XLOOKUP(B3207,
[1]sales_teams!$A$2:$A$100,
[1]sales_teams!$B$2:$B$100)</f>
        <v>Cara Losch</v>
      </c>
      <c r="D3207" t="str">
        <f>_xlfn.XLOOKUP($B3207,sales_teams!$A$2:$A$36,sales_teams!C$2:C$36)</f>
        <v>East</v>
      </c>
      <c r="E3207" t="s">
        <v>39</v>
      </c>
      <c r="F3207" t="s">
        <v>89</v>
      </c>
      <c r="G3207" t="s">
        <v>12</v>
      </c>
      <c r="H3207" s="1">
        <v>42870</v>
      </c>
      <c r="I3207" s="1">
        <v>43004</v>
      </c>
      <c r="J3207">
        <v>3061</v>
      </c>
    </row>
    <row r="3208" spans="1:10" x14ac:dyDescent="0.3">
      <c r="A3208" t="s">
        <v>3339</v>
      </c>
      <c r="B3208" t="s">
        <v>23</v>
      </c>
      <c r="C3208" t="str">
        <f>_xlfn.XLOOKUP(B3208,
[1]sales_teams!$A$2:$A$100,
[1]sales_teams!$B$2:$B$100)</f>
        <v>Summer Sewald</v>
      </c>
      <c r="D3208" t="str">
        <f>_xlfn.XLOOKUP($B3208,sales_teams!$A$2:$A$36,sales_teams!C$2:C$36)</f>
        <v>West</v>
      </c>
      <c r="E3208" t="s">
        <v>15</v>
      </c>
      <c r="F3208" t="s">
        <v>68</v>
      </c>
      <c r="G3208" t="s">
        <v>46</v>
      </c>
      <c r="H3208" s="1">
        <v>42870</v>
      </c>
      <c r="I3208" s="1">
        <v>42907</v>
      </c>
      <c r="J3208">
        <v>0</v>
      </c>
    </row>
    <row r="3209" spans="1:10" x14ac:dyDescent="0.3">
      <c r="A3209" t="s">
        <v>3340</v>
      </c>
      <c r="B3209" t="s">
        <v>118</v>
      </c>
      <c r="C3209" t="str">
        <f>_xlfn.XLOOKUP(B3209,
[1]sales_teams!$A$2:$A$100,
[1]sales_teams!$B$2:$B$100)</f>
        <v>Rocco Neubert</v>
      </c>
      <c r="D3209" t="str">
        <f>_xlfn.XLOOKUP($B3209,sales_teams!$A$2:$A$36,sales_teams!C$2:C$36)</f>
        <v>East</v>
      </c>
      <c r="E3209" t="s">
        <v>15</v>
      </c>
      <c r="F3209" t="s">
        <v>218</v>
      </c>
      <c r="G3209" t="s">
        <v>46</v>
      </c>
      <c r="H3209" s="1">
        <v>42871</v>
      </c>
      <c r="I3209" s="1">
        <v>42960</v>
      </c>
      <c r="J3209">
        <v>0</v>
      </c>
    </row>
    <row r="3210" spans="1:10" x14ac:dyDescent="0.3">
      <c r="A3210" t="s">
        <v>3341</v>
      </c>
      <c r="B3210" t="s">
        <v>164</v>
      </c>
      <c r="C3210" t="str">
        <f>_xlfn.XLOOKUP(B3210,
[1]sales_teams!$A$2:$A$100,
[1]sales_teams!$B$2:$B$100)</f>
        <v>Cara Losch</v>
      </c>
      <c r="D3210" t="str">
        <f>_xlfn.XLOOKUP($B3210,sales_teams!$A$2:$A$36,sales_teams!C$2:C$36)</f>
        <v>East</v>
      </c>
      <c r="E3210" t="s">
        <v>39</v>
      </c>
      <c r="G3210" t="s">
        <v>40</v>
      </c>
      <c r="H3210" s="1">
        <v>42871</v>
      </c>
    </row>
    <row r="3211" spans="1:10" x14ac:dyDescent="0.3">
      <c r="A3211" t="s">
        <v>3342</v>
      </c>
      <c r="B3211" t="s">
        <v>142</v>
      </c>
      <c r="C3211" t="str">
        <f>_xlfn.XLOOKUP(B3211,
[1]sales_teams!$A$2:$A$100,
[1]sales_teams!$B$2:$B$100)</f>
        <v>Rocco Neubert</v>
      </c>
      <c r="D3211" t="str">
        <f>_xlfn.XLOOKUP($B3211,sales_teams!$A$2:$A$36,sales_teams!C$2:C$36)</f>
        <v>East</v>
      </c>
      <c r="E3211" t="s">
        <v>39</v>
      </c>
      <c r="F3211" t="s">
        <v>222</v>
      </c>
      <c r="G3211" t="s">
        <v>12</v>
      </c>
      <c r="H3211" s="1">
        <v>42871</v>
      </c>
      <c r="I3211" s="1">
        <v>42960</v>
      </c>
      <c r="J3211">
        <v>3351</v>
      </c>
    </row>
    <row r="3212" spans="1:10" x14ac:dyDescent="0.3">
      <c r="A3212" t="s">
        <v>3343</v>
      </c>
      <c r="B3212" t="s">
        <v>67</v>
      </c>
      <c r="C3212" t="str">
        <f>_xlfn.XLOOKUP(B3212,
[1]sales_teams!$A$2:$A$100,
[1]sales_teams!$B$2:$B$100)</f>
        <v>Celia Rouche</v>
      </c>
      <c r="D3212" t="str">
        <f>_xlfn.XLOOKUP($B3212,sales_teams!$A$2:$A$36,sales_teams!C$2:C$36)</f>
        <v>West</v>
      </c>
      <c r="E3212" t="s">
        <v>20</v>
      </c>
      <c r="G3212" t="s">
        <v>40</v>
      </c>
      <c r="H3212" s="1">
        <v>42871</v>
      </c>
    </row>
    <row r="3213" spans="1:10" x14ac:dyDescent="0.3">
      <c r="A3213" t="s">
        <v>3344</v>
      </c>
      <c r="B3213" t="s">
        <v>54</v>
      </c>
      <c r="C3213" t="str">
        <f>_xlfn.XLOOKUP(B3213,
[1]sales_teams!$A$2:$A$100,
[1]sales_teams!$B$2:$B$100)</f>
        <v>Celia Rouche</v>
      </c>
      <c r="D3213" t="str">
        <f>_xlfn.XLOOKUP($B3213,sales_teams!$A$2:$A$36,sales_teams!C$2:C$36)</f>
        <v>West</v>
      </c>
      <c r="E3213" t="s">
        <v>39</v>
      </c>
      <c r="F3213" t="s">
        <v>315</v>
      </c>
      <c r="G3213" t="s">
        <v>12</v>
      </c>
      <c r="H3213" s="1">
        <v>42871</v>
      </c>
      <c r="I3213" s="1">
        <v>42885</v>
      </c>
      <c r="J3213">
        <v>3153</v>
      </c>
    </row>
    <row r="3214" spans="1:10" x14ac:dyDescent="0.3">
      <c r="A3214" t="s">
        <v>3345</v>
      </c>
      <c r="B3214" t="s">
        <v>38</v>
      </c>
      <c r="C3214" t="str">
        <f>_xlfn.XLOOKUP(B3214,
[1]sales_teams!$A$2:$A$100,
[1]sales_teams!$B$2:$B$100)</f>
        <v>Summer Sewald</v>
      </c>
      <c r="D3214" t="str">
        <f>_xlfn.XLOOKUP($B3214,sales_teams!$A$2:$A$36,sales_teams!C$2:C$36)</f>
        <v>West</v>
      </c>
      <c r="E3214" t="s">
        <v>10</v>
      </c>
      <c r="F3214" t="s">
        <v>199</v>
      </c>
      <c r="G3214" t="s">
        <v>46</v>
      </c>
      <c r="H3214" s="1">
        <v>42871</v>
      </c>
      <c r="I3214" s="1">
        <v>42875</v>
      </c>
      <c r="J3214">
        <v>0</v>
      </c>
    </row>
    <row r="3215" spans="1:10" x14ac:dyDescent="0.3">
      <c r="A3215" t="s">
        <v>3346</v>
      </c>
      <c r="B3215" t="s">
        <v>38</v>
      </c>
      <c r="C3215" t="str">
        <f>_xlfn.XLOOKUP(B3215,
[1]sales_teams!$A$2:$A$100,
[1]sales_teams!$B$2:$B$100)</f>
        <v>Summer Sewald</v>
      </c>
      <c r="D3215" t="str">
        <f>_xlfn.XLOOKUP($B3215,sales_teams!$A$2:$A$36,sales_teams!C$2:C$36)</f>
        <v>West</v>
      </c>
      <c r="E3215" t="s">
        <v>48</v>
      </c>
      <c r="F3215" t="s">
        <v>30</v>
      </c>
      <c r="G3215" t="s">
        <v>46</v>
      </c>
      <c r="H3215" s="1">
        <v>42871</v>
      </c>
      <c r="I3215" s="1">
        <v>42882</v>
      </c>
      <c r="J3215">
        <v>0</v>
      </c>
    </row>
    <row r="3216" spans="1:10" x14ac:dyDescent="0.3">
      <c r="A3216" t="s">
        <v>3347</v>
      </c>
      <c r="B3216" t="s">
        <v>78</v>
      </c>
      <c r="C3216" t="str">
        <f>_xlfn.XLOOKUP(B3216,
[1]sales_teams!$A$2:$A$100,
[1]sales_teams!$B$2:$B$100)</f>
        <v>Summer Sewald</v>
      </c>
      <c r="D3216" t="str">
        <f>_xlfn.XLOOKUP($B3216,sales_teams!$A$2:$A$36,sales_teams!C$2:C$36)</f>
        <v>West</v>
      </c>
      <c r="E3216" t="s">
        <v>20</v>
      </c>
      <c r="F3216" t="s">
        <v>315</v>
      </c>
      <c r="G3216" t="s">
        <v>46</v>
      </c>
      <c r="H3216" s="1">
        <v>42871</v>
      </c>
      <c r="I3216" s="1">
        <v>42969</v>
      </c>
      <c r="J3216">
        <v>0</v>
      </c>
    </row>
    <row r="3217" spans="1:10" x14ac:dyDescent="0.3">
      <c r="A3217" t="s">
        <v>3348</v>
      </c>
      <c r="B3217" t="s">
        <v>78</v>
      </c>
      <c r="C3217" t="str">
        <f>_xlfn.XLOOKUP(B3217,
[1]sales_teams!$A$2:$A$100,
[1]sales_teams!$B$2:$B$100)</f>
        <v>Summer Sewald</v>
      </c>
      <c r="D3217" t="str">
        <f>_xlfn.XLOOKUP($B3217,sales_teams!$A$2:$A$36,sales_teams!C$2:C$36)</f>
        <v>West</v>
      </c>
      <c r="E3217" t="s">
        <v>20</v>
      </c>
      <c r="F3217" t="s">
        <v>315</v>
      </c>
      <c r="G3217" t="s">
        <v>12</v>
      </c>
      <c r="H3217" s="1">
        <v>42871</v>
      </c>
      <c r="I3217" s="1">
        <v>42892</v>
      </c>
      <c r="J3217">
        <v>533</v>
      </c>
    </row>
    <row r="3218" spans="1:10" x14ac:dyDescent="0.3">
      <c r="A3218" t="s">
        <v>3349</v>
      </c>
      <c r="B3218" t="s">
        <v>133</v>
      </c>
      <c r="C3218" t="str">
        <f>_xlfn.XLOOKUP(B3218,
[1]sales_teams!$A$2:$A$100,
[1]sales_teams!$B$2:$B$100)</f>
        <v>Dustin Brinkmann</v>
      </c>
      <c r="D3218" t="str">
        <f>_xlfn.XLOOKUP($B3218,sales_teams!$A$2:$A$36,sales_teams!C$2:C$36)</f>
        <v>Central</v>
      </c>
      <c r="E3218" t="s">
        <v>20</v>
      </c>
      <c r="F3218" t="s">
        <v>42</v>
      </c>
      <c r="G3218" t="s">
        <v>46</v>
      </c>
      <c r="H3218" s="1">
        <v>42871</v>
      </c>
      <c r="I3218" s="1">
        <v>42971</v>
      </c>
      <c r="J3218">
        <v>0</v>
      </c>
    </row>
    <row r="3219" spans="1:10" x14ac:dyDescent="0.3">
      <c r="A3219" t="s">
        <v>3350</v>
      </c>
      <c r="B3219" t="s">
        <v>133</v>
      </c>
      <c r="C3219" t="str">
        <f>_xlfn.XLOOKUP(B3219,
[1]sales_teams!$A$2:$A$100,
[1]sales_teams!$B$2:$B$100)</f>
        <v>Dustin Brinkmann</v>
      </c>
      <c r="D3219" t="str">
        <f>_xlfn.XLOOKUP($B3219,sales_teams!$A$2:$A$36,sales_teams!C$2:C$36)</f>
        <v>Central</v>
      </c>
      <c r="E3219" t="s">
        <v>18</v>
      </c>
      <c r="F3219" t="s">
        <v>45</v>
      </c>
      <c r="G3219" t="s">
        <v>12</v>
      </c>
      <c r="H3219" s="1">
        <v>42871</v>
      </c>
      <c r="I3219" s="1">
        <v>42887</v>
      </c>
      <c r="J3219">
        <v>56</v>
      </c>
    </row>
    <row r="3220" spans="1:10" x14ac:dyDescent="0.3">
      <c r="A3220" t="s">
        <v>3351</v>
      </c>
      <c r="B3220" t="s">
        <v>116</v>
      </c>
      <c r="C3220" t="str">
        <f>_xlfn.XLOOKUP(B3220,
[1]sales_teams!$A$2:$A$100,
[1]sales_teams!$B$2:$B$100)</f>
        <v>Melvin Marxen</v>
      </c>
      <c r="D3220" t="str">
        <f>_xlfn.XLOOKUP($B3220,sales_teams!$A$2:$A$36,sales_teams!C$2:C$36)</f>
        <v>Central</v>
      </c>
      <c r="E3220" t="s">
        <v>10</v>
      </c>
      <c r="F3220" t="s">
        <v>187</v>
      </c>
      <c r="G3220" t="s">
        <v>46</v>
      </c>
      <c r="H3220" s="1">
        <v>42871</v>
      </c>
      <c r="I3220" s="1">
        <v>42879</v>
      </c>
      <c r="J3220">
        <v>0</v>
      </c>
    </row>
    <row r="3221" spans="1:10" x14ac:dyDescent="0.3">
      <c r="A3221" t="s">
        <v>3352</v>
      </c>
      <c r="B3221" t="s">
        <v>51</v>
      </c>
      <c r="C3221" t="str">
        <f>_xlfn.XLOOKUP(B3221,
[1]sales_teams!$A$2:$A$100,
[1]sales_teams!$B$2:$B$100)</f>
        <v>Summer Sewald</v>
      </c>
      <c r="D3221" t="str">
        <f>_xlfn.XLOOKUP($B3221,sales_teams!$A$2:$A$36,sales_teams!C$2:C$36)</f>
        <v>West</v>
      </c>
      <c r="E3221" t="s">
        <v>20</v>
      </c>
      <c r="F3221" t="s">
        <v>55</v>
      </c>
      <c r="G3221" t="s">
        <v>12</v>
      </c>
      <c r="H3221" s="1">
        <v>42871</v>
      </c>
      <c r="I3221" s="1">
        <v>42951</v>
      </c>
      <c r="J3221">
        <v>522</v>
      </c>
    </row>
    <row r="3222" spans="1:10" x14ac:dyDescent="0.3">
      <c r="A3222" t="s">
        <v>3353</v>
      </c>
      <c r="B3222" t="s">
        <v>57</v>
      </c>
      <c r="C3222" t="str">
        <f>_xlfn.XLOOKUP(B3222,
[1]sales_teams!$A$2:$A$100,
[1]sales_teams!$B$2:$B$100)</f>
        <v>Celia Rouche</v>
      </c>
      <c r="D3222" t="str">
        <f>_xlfn.XLOOKUP($B3222,sales_teams!$A$2:$A$36,sales_teams!C$2:C$36)</f>
        <v>West</v>
      </c>
      <c r="E3222" t="s">
        <v>10</v>
      </c>
      <c r="G3222" t="s">
        <v>40</v>
      </c>
      <c r="H3222" s="1">
        <v>42871</v>
      </c>
    </row>
    <row r="3223" spans="1:10" x14ac:dyDescent="0.3">
      <c r="A3223" t="s">
        <v>3354</v>
      </c>
      <c r="B3223" t="s">
        <v>57</v>
      </c>
      <c r="C3223" t="str">
        <f>_xlfn.XLOOKUP(B3223,
[1]sales_teams!$A$2:$A$100,
[1]sales_teams!$B$2:$B$100)</f>
        <v>Celia Rouche</v>
      </c>
      <c r="D3223" t="str">
        <f>_xlfn.XLOOKUP($B3223,sales_teams!$A$2:$A$36,sales_teams!C$2:C$36)</f>
        <v>West</v>
      </c>
      <c r="E3223" t="s">
        <v>18</v>
      </c>
      <c r="F3223" t="s">
        <v>148</v>
      </c>
      <c r="G3223" t="s">
        <v>12</v>
      </c>
      <c r="H3223" s="1">
        <v>42871</v>
      </c>
      <c r="I3223" s="1">
        <v>42967</v>
      </c>
      <c r="J3223">
        <v>54</v>
      </c>
    </row>
    <row r="3224" spans="1:10" x14ac:dyDescent="0.3">
      <c r="A3224" t="s">
        <v>3355</v>
      </c>
      <c r="B3224" t="s">
        <v>88</v>
      </c>
      <c r="C3224" t="str">
        <f>_xlfn.XLOOKUP(B3224,
[1]sales_teams!$A$2:$A$100,
[1]sales_teams!$B$2:$B$100)</f>
        <v>Cara Losch</v>
      </c>
      <c r="D3224" t="str">
        <f>_xlfn.XLOOKUP($B3224,sales_teams!$A$2:$A$36,sales_teams!C$2:C$36)</f>
        <v>East</v>
      </c>
      <c r="E3224" t="s">
        <v>20</v>
      </c>
      <c r="G3224" t="s">
        <v>40</v>
      </c>
      <c r="H3224" s="1">
        <v>42871</v>
      </c>
    </row>
    <row r="3225" spans="1:10" x14ac:dyDescent="0.3">
      <c r="A3225" t="s">
        <v>3356</v>
      </c>
      <c r="B3225" t="s">
        <v>29</v>
      </c>
      <c r="C3225" t="str">
        <f>_xlfn.XLOOKUP(B3225,
[1]sales_teams!$A$2:$A$100,
[1]sales_teams!$B$2:$B$100)</f>
        <v>Celia Rouche</v>
      </c>
      <c r="D3225" t="str">
        <f>_xlfn.XLOOKUP($B3225,sales_teams!$A$2:$A$36,sales_teams!C$2:C$36)</f>
        <v>West</v>
      </c>
      <c r="E3225" t="s">
        <v>39</v>
      </c>
      <c r="F3225" t="s">
        <v>24</v>
      </c>
      <c r="G3225" t="s">
        <v>46</v>
      </c>
      <c r="H3225" s="1">
        <v>42871</v>
      </c>
      <c r="I3225" s="1">
        <v>42882</v>
      </c>
      <c r="J3225">
        <v>0</v>
      </c>
    </row>
    <row r="3226" spans="1:10" x14ac:dyDescent="0.3">
      <c r="A3226" t="s">
        <v>3357</v>
      </c>
      <c r="B3226" t="s">
        <v>29</v>
      </c>
      <c r="C3226" t="str">
        <f>_xlfn.XLOOKUP(B3226,
[1]sales_teams!$A$2:$A$100,
[1]sales_teams!$B$2:$B$100)</f>
        <v>Celia Rouche</v>
      </c>
      <c r="D3226" t="str">
        <f>_xlfn.XLOOKUP($B3226,sales_teams!$A$2:$A$36,sales_teams!C$2:C$36)</f>
        <v>West</v>
      </c>
      <c r="E3226" t="s">
        <v>15</v>
      </c>
      <c r="F3226" t="s">
        <v>68</v>
      </c>
      <c r="G3226" t="s">
        <v>12</v>
      </c>
      <c r="H3226" s="1">
        <v>42871</v>
      </c>
      <c r="I3226" s="1">
        <v>42985</v>
      </c>
      <c r="J3226">
        <v>5154</v>
      </c>
    </row>
    <row r="3227" spans="1:10" x14ac:dyDescent="0.3">
      <c r="A3227" t="s">
        <v>3358</v>
      </c>
      <c r="B3227" t="s">
        <v>73</v>
      </c>
      <c r="C3227" t="str">
        <f>_xlfn.XLOOKUP(B3227,
[1]sales_teams!$A$2:$A$100,
[1]sales_teams!$B$2:$B$100)</f>
        <v>Cara Losch</v>
      </c>
      <c r="D3227" t="str">
        <f>_xlfn.XLOOKUP($B3227,sales_teams!$A$2:$A$36,sales_teams!C$2:C$36)</f>
        <v>East</v>
      </c>
      <c r="E3227" t="s">
        <v>18</v>
      </c>
      <c r="F3227" t="s">
        <v>98</v>
      </c>
      <c r="G3227" t="s">
        <v>46</v>
      </c>
      <c r="H3227" s="1">
        <v>42871</v>
      </c>
      <c r="I3227" s="1">
        <v>42963</v>
      </c>
      <c r="J3227">
        <v>0</v>
      </c>
    </row>
    <row r="3228" spans="1:10" x14ac:dyDescent="0.3">
      <c r="A3228" t="s">
        <v>3359</v>
      </c>
      <c r="B3228" t="s">
        <v>102</v>
      </c>
      <c r="C3228" t="str">
        <f>_xlfn.XLOOKUP(B3228,
[1]sales_teams!$A$2:$A$100,
[1]sales_teams!$B$2:$B$100)</f>
        <v>Cara Losch</v>
      </c>
      <c r="D3228" t="str">
        <f>_xlfn.XLOOKUP($B3228,sales_teams!$A$2:$A$36,sales_teams!C$2:C$36)</f>
        <v>East</v>
      </c>
      <c r="E3228" t="s">
        <v>39</v>
      </c>
      <c r="F3228" t="s">
        <v>237</v>
      </c>
      <c r="G3228" t="s">
        <v>12</v>
      </c>
      <c r="H3228" s="1">
        <v>42871</v>
      </c>
      <c r="I3228" s="1">
        <v>42994</v>
      </c>
      <c r="J3228">
        <v>3483</v>
      </c>
    </row>
    <row r="3229" spans="1:10" x14ac:dyDescent="0.3">
      <c r="A3229" t="s">
        <v>3360</v>
      </c>
      <c r="B3229" t="s">
        <v>118</v>
      </c>
      <c r="C3229" t="str">
        <f>_xlfn.XLOOKUP(B3229,
[1]sales_teams!$A$2:$A$100,
[1]sales_teams!$B$2:$B$100)</f>
        <v>Rocco Neubert</v>
      </c>
      <c r="D3229" t="str">
        <f>_xlfn.XLOOKUP($B3229,sales_teams!$A$2:$A$36,sales_teams!C$2:C$36)</f>
        <v>East</v>
      </c>
      <c r="E3229" t="s">
        <v>10</v>
      </c>
      <c r="G3229" t="s">
        <v>40</v>
      </c>
      <c r="H3229" s="1">
        <v>42872</v>
      </c>
    </row>
    <row r="3230" spans="1:10" x14ac:dyDescent="0.3">
      <c r="A3230" t="s">
        <v>3361</v>
      </c>
      <c r="B3230" t="s">
        <v>118</v>
      </c>
      <c r="C3230" t="str">
        <f>_xlfn.XLOOKUP(B3230,
[1]sales_teams!$A$2:$A$100,
[1]sales_teams!$B$2:$B$100)</f>
        <v>Rocco Neubert</v>
      </c>
      <c r="D3230" t="str">
        <f>_xlfn.XLOOKUP($B3230,sales_teams!$A$2:$A$36,sales_teams!C$2:C$36)</f>
        <v>East</v>
      </c>
      <c r="E3230" t="s">
        <v>18</v>
      </c>
      <c r="F3230" t="s">
        <v>192</v>
      </c>
      <c r="G3230" t="s">
        <v>46</v>
      </c>
      <c r="H3230" s="1">
        <v>42872</v>
      </c>
      <c r="I3230" s="1">
        <v>42880</v>
      </c>
      <c r="J3230">
        <v>0</v>
      </c>
    </row>
    <row r="3231" spans="1:10" x14ac:dyDescent="0.3">
      <c r="A3231" t="s">
        <v>3362</v>
      </c>
      <c r="B3231" t="s">
        <v>14</v>
      </c>
      <c r="C3231" t="str">
        <f>_xlfn.XLOOKUP(B3231,
[1]sales_teams!$A$2:$A$100,
[1]sales_teams!$B$2:$B$100)</f>
        <v>Melvin Marxen</v>
      </c>
      <c r="D3231" t="str">
        <f>_xlfn.XLOOKUP($B3231,sales_teams!$A$2:$A$36,sales_teams!C$2:C$36)</f>
        <v>Central</v>
      </c>
      <c r="E3231" t="s">
        <v>10</v>
      </c>
      <c r="F3231" t="s">
        <v>129</v>
      </c>
      <c r="G3231" t="s">
        <v>12</v>
      </c>
      <c r="H3231" s="1">
        <v>42872</v>
      </c>
      <c r="I3231" s="1">
        <v>42958</v>
      </c>
      <c r="J3231">
        <v>1110</v>
      </c>
    </row>
    <row r="3232" spans="1:10" x14ac:dyDescent="0.3">
      <c r="A3232" t="s">
        <v>3363</v>
      </c>
      <c r="B3232" t="s">
        <v>142</v>
      </c>
      <c r="C3232" t="str">
        <f>_xlfn.XLOOKUP(B3232,
[1]sales_teams!$A$2:$A$100,
[1]sales_teams!$B$2:$B$100)</f>
        <v>Rocco Neubert</v>
      </c>
      <c r="D3232" t="str">
        <f>_xlfn.XLOOKUP($B3232,sales_teams!$A$2:$A$36,sales_teams!C$2:C$36)</f>
        <v>East</v>
      </c>
      <c r="E3232" t="s">
        <v>20</v>
      </c>
      <c r="F3232" t="s">
        <v>189</v>
      </c>
      <c r="G3232" t="s">
        <v>12</v>
      </c>
      <c r="H3232" s="1">
        <v>42872</v>
      </c>
      <c r="I3232" s="1">
        <v>42882</v>
      </c>
      <c r="J3232">
        <v>441</v>
      </c>
    </row>
    <row r="3233" spans="1:10" x14ac:dyDescent="0.3">
      <c r="A3233" t="s">
        <v>3364</v>
      </c>
      <c r="B3233" t="s">
        <v>67</v>
      </c>
      <c r="C3233" t="str">
        <f>_xlfn.XLOOKUP(B3233,
[1]sales_teams!$A$2:$A$100,
[1]sales_teams!$B$2:$B$100)</f>
        <v>Celia Rouche</v>
      </c>
      <c r="D3233" t="str">
        <f>_xlfn.XLOOKUP($B3233,sales_teams!$A$2:$A$36,sales_teams!C$2:C$36)</f>
        <v>West</v>
      </c>
      <c r="E3233" t="s">
        <v>48</v>
      </c>
      <c r="G3233" t="s">
        <v>40</v>
      </c>
      <c r="H3233" s="1">
        <v>42872</v>
      </c>
    </row>
    <row r="3234" spans="1:10" x14ac:dyDescent="0.3">
      <c r="A3234" t="s">
        <v>3365</v>
      </c>
      <c r="B3234" t="s">
        <v>67</v>
      </c>
      <c r="C3234" t="str">
        <f>_xlfn.XLOOKUP(B3234,
[1]sales_teams!$A$2:$A$100,
[1]sales_teams!$B$2:$B$100)</f>
        <v>Celia Rouche</v>
      </c>
      <c r="D3234" t="str">
        <f>_xlfn.XLOOKUP($B3234,sales_teams!$A$2:$A$36,sales_teams!C$2:C$36)</f>
        <v>West</v>
      </c>
      <c r="E3234" t="s">
        <v>20</v>
      </c>
      <c r="F3234" t="s">
        <v>315</v>
      </c>
      <c r="G3234" t="s">
        <v>12</v>
      </c>
      <c r="H3234" s="1">
        <v>42872</v>
      </c>
      <c r="I3234" s="1">
        <v>42955</v>
      </c>
      <c r="J3234">
        <v>553</v>
      </c>
    </row>
    <row r="3235" spans="1:10" x14ac:dyDescent="0.3">
      <c r="A3235" t="s">
        <v>3366</v>
      </c>
      <c r="B3235" t="s">
        <v>54</v>
      </c>
      <c r="C3235" t="str">
        <f>_xlfn.XLOOKUP(B3235,
[1]sales_teams!$A$2:$A$100,
[1]sales_teams!$B$2:$B$100)</f>
        <v>Celia Rouche</v>
      </c>
      <c r="D3235" t="str">
        <f>_xlfn.XLOOKUP($B3235,sales_teams!$A$2:$A$36,sales_teams!C$2:C$36)</f>
        <v>West</v>
      </c>
      <c r="E3235" t="s">
        <v>39</v>
      </c>
      <c r="F3235" t="s">
        <v>59</v>
      </c>
      <c r="G3235" t="s">
        <v>12</v>
      </c>
      <c r="H3235" s="1">
        <v>42872</v>
      </c>
      <c r="I3235" s="1">
        <v>42890</v>
      </c>
      <c r="J3235">
        <v>3624</v>
      </c>
    </row>
    <row r="3236" spans="1:10" x14ac:dyDescent="0.3">
      <c r="A3236" t="s">
        <v>3367</v>
      </c>
      <c r="B3236" t="s">
        <v>252</v>
      </c>
      <c r="C3236" t="str">
        <f>_xlfn.XLOOKUP(B3236,
[1]sales_teams!$A$2:$A$100,
[1]sales_teams!$B$2:$B$100)</f>
        <v>Melvin Marxen</v>
      </c>
      <c r="D3236" t="str">
        <f>_xlfn.XLOOKUP($B3236,sales_teams!$A$2:$A$36,sales_teams!C$2:C$36)</f>
        <v>Central</v>
      </c>
      <c r="E3236" t="s">
        <v>20</v>
      </c>
      <c r="F3236" t="s">
        <v>45</v>
      </c>
      <c r="G3236" t="s">
        <v>46</v>
      </c>
      <c r="H3236" s="1">
        <v>42872</v>
      </c>
      <c r="I3236" s="1">
        <v>42886</v>
      </c>
      <c r="J3236">
        <v>0</v>
      </c>
    </row>
    <row r="3237" spans="1:10" x14ac:dyDescent="0.3">
      <c r="A3237" t="s">
        <v>3368</v>
      </c>
      <c r="B3237" t="s">
        <v>78</v>
      </c>
      <c r="C3237" t="str">
        <f>_xlfn.XLOOKUP(B3237,
[1]sales_teams!$A$2:$A$100,
[1]sales_teams!$B$2:$B$100)</f>
        <v>Summer Sewald</v>
      </c>
      <c r="D3237" t="str">
        <f>_xlfn.XLOOKUP($B3237,sales_teams!$A$2:$A$36,sales_teams!C$2:C$36)</f>
        <v>West</v>
      </c>
      <c r="E3237" t="s">
        <v>15</v>
      </c>
      <c r="F3237" t="s">
        <v>194</v>
      </c>
      <c r="G3237" t="s">
        <v>46</v>
      </c>
      <c r="H3237" s="1">
        <v>42872</v>
      </c>
      <c r="I3237" s="1">
        <v>42969</v>
      </c>
      <c r="J3237">
        <v>0</v>
      </c>
    </row>
    <row r="3238" spans="1:10" x14ac:dyDescent="0.3">
      <c r="A3238" t="s">
        <v>3369</v>
      </c>
      <c r="B3238" t="s">
        <v>95</v>
      </c>
      <c r="C3238" t="str">
        <f>_xlfn.XLOOKUP(B3238,
[1]sales_teams!$A$2:$A$100,
[1]sales_teams!$B$2:$B$100)</f>
        <v>Summer Sewald</v>
      </c>
      <c r="D3238" t="str">
        <f>_xlfn.XLOOKUP($B3238,sales_teams!$A$2:$A$36,sales_teams!C$2:C$36)</f>
        <v>West</v>
      </c>
      <c r="E3238" t="s">
        <v>39</v>
      </c>
      <c r="F3238" t="s">
        <v>93</v>
      </c>
      <c r="G3238" t="s">
        <v>40</v>
      </c>
      <c r="H3238" s="1">
        <v>42872</v>
      </c>
    </row>
    <row r="3239" spans="1:10" x14ac:dyDescent="0.3">
      <c r="A3239" t="s">
        <v>3370</v>
      </c>
      <c r="B3239" t="s">
        <v>133</v>
      </c>
      <c r="C3239" t="str">
        <f>_xlfn.XLOOKUP(B3239,
[1]sales_teams!$A$2:$A$100,
[1]sales_teams!$B$2:$B$100)</f>
        <v>Dustin Brinkmann</v>
      </c>
      <c r="D3239" t="str">
        <f>_xlfn.XLOOKUP($B3239,sales_teams!$A$2:$A$36,sales_teams!C$2:C$36)</f>
        <v>Central</v>
      </c>
      <c r="E3239" t="s">
        <v>18</v>
      </c>
      <c r="F3239" t="s">
        <v>91</v>
      </c>
      <c r="G3239" t="s">
        <v>46</v>
      </c>
      <c r="H3239" s="1">
        <v>42872</v>
      </c>
      <c r="I3239" s="1">
        <v>42955</v>
      </c>
      <c r="J3239">
        <v>0</v>
      </c>
    </row>
    <row r="3240" spans="1:10" x14ac:dyDescent="0.3">
      <c r="A3240" t="s">
        <v>3371</v>
      </c>
      <c r="B3240" t="s">
        <v>32</v>
      </c>
      <c r="C3240" t="str">
        <f>_xlfn.XLOOKUP(B3240,
[1]sales_teams!$A$2:$A$100,
[1]sales_teams!$B$2:$B$100)</f>
        <v>Celia Rouche</v>
      </c>
      <c r="D3240" t="str">
        <f>_xlfn.XLOOKUP($B3240,sales_teams!$A$2:$A$36,sales_teams!C$2:C$36)</f>
        <v>West</v>
      </c>
      <c r="E3240" t="s">
        <v>15</v>
      </c>
      <c r="F3240" t="s">
        <v>86</v>
      </c>
      <c r="G3240" t="s">
        <v>40</v>
      </c>
      <c r="H3240" s="1">
        <v>42872</v>
      </c>
    </row>
    <row r="3241" spans="1:10" x14ac:dyDescent="0.3">
      <c r="A3241" t="s">
        <v>3372</v>
      </c>
      <c r="B3241" t="s">
        <v>32</v>
      </c>
      <c r="C3241" t="str">
        <f>_xlfn.XLOOKUP(B3241,
[1]sales_teams!$A$2:$A$100,
[1]sales_teams!$B$2:$B$100)</f>
        <v>Celia Rouche</v>
      </c>
      <c r="D3241" t="str">
        <f>_xlfn.XLOOKUP($B3241,sales_teams!$A$2:$A$36,sales_teams!C$2:C$36)</f>
        <v>West</v>
      </c>
      <c r="E3241" t="s">
        <v>15</v>
      </c>
      <c r="F3241" t="s">
        <v>199</v>
      </c>
      <c r="G3241" t="s">
        <v>46</v>
      </c>
      <c r="H3241" s="1">
        <v>42872</v>
      </c>
      <c r="I3241" s="1">
        <v>42959</v>
      </c>
      <c r="J3241">
        <v>0</v>
      </c>
    </row>
    <row r="3242" spans="1:10" x14ac:dyDescent="0.3">
      <c r="A3242" t="s">
        <v>3373</v>
      </c>
      <c r="B3242" t="s">
        <v>32</v>
      </c>
      <c r="C3242" t="str">
        <f>_xlfn.XLOOKUP(B3242,
[1]sales_teams!$A$2:$A$100,
[1]sales_teams!$B$2:$B$100)</f>
        <v>Celia Rouche</v>
      </c>
      <c r="D3242" t="str">
        <f>_xlfn.XLOOKUP($B3242,sales_teams!$A$2:$A$36,sales_teams!C$2:C$36)</f>
        <v>West</v>
      </c>
      <c r="E3242" t="s">
        <v>18</v>
      </c>
      <c r="F3242" t="s">
        <v>30</v>
      </c>
      <c r="G3242" t="s">
        <v>46</v>
      </c>
      <c r="H3242" s="1">
        <v>42872</v>
      </c>
      <c r="I3242" s="1">
        <v>42965</v>
      </c>
      <c r="J3242">
        <v>0</v>
      </c>
    </row>
    <row r="3243" spans="1:10" x14ac:dyDescent="0.3">
      <c r="A3243" t="s">
        <v>3374</v>
      </c>
      <c r="B3243" t="s">
        <v>32</v>
      </c>
      <c r="C3243" t="str">
        <f>_xlfn.XLOOKUP(B3243,
[1]sales_teams!$A$2:$A$100,
[1]sales_teams!$B$2:$B$100)</f>
        <v>Celia Rouche</v>
      </c>
      <c r="D3243" t="str">
        <f>_xlfn.XLOOKUP($B3243,sales_teams!$A$2:$A$36,sales_teams!C$2:C$36)</f>
        <v>West</v>
      </c>
      <c r="E3243" t="s">
        <v>15</v>
      </c>
      <c r="F3243" t="s">
        <v>124</v>
      </c>
      <c r="G3243" t="s">
        <v>12</v>
      </c>
      <c r="H3243" s="1">
        <v>42872</v>
      </c>
      <c r="I3243" s="1">
        <v>42965</v>
      </c>
      <c r="J3243">
        <v>4644</v>
      </c>
    </row>
    <row r="3244" spans="1:10" x14ac:dyDescent="0.3">
      <c r="A3244" t="s">
        <v>3375</v>
      </c>
      <c r="B3244" t="s">
        <v>88</v>
      </c>
      <c r="C3244" t="str">
        <f>_xlfn.XLOOKUP(B3244,
[1]sales_teams!$A$2:$A$100,
[1]sales_teams!$B$2:$B$100)</f>
        <v>Cara Losch</v>
      </c>
      <c r="D3244" t="str">
        <f>_xlfn.XLOOKUP($B3244,sales_teams!$A$2:$A$36,sales_teams!C$2:C$36)</f>
        <v>East</v>
      </c>
      <c r="E3244" t="s">
        <v>18</v>
      </c>
      <c r="F3244" t="s">
        <v>189</v>
      </c>
      <c r="G3244" t="s">
        <v>46</v>
      </c>
      <c r="H3244" s="1">
        <v>42872</v>
      </c>
      <c r="I3244" s="1">
        <v>42884</v>
      </c>
      <c r="J3244">
        <v>0</v>
      </c>
    </row>
    <row r="3245" spans="1:10" x14ac:dyDescent="0.3">
      <c r="A3245" t="s">
        <v>3376</v>
      </c>
      <c r="B3245" t="s">
        <v>61</v>
      </c>
      <c r="C3245" t="str">
        <f>_xlfn.XLOOKUP(B3245,
[1]sales_teams!$A$2:$A$100,
[1]sales_teams!$B$2:$B$100)</f>
        <v>Dustin Brinkmann</v>
      </c>
      <c r="D3245" t="str">
        <f>_xlfn.XLOOKUP($B3245,sales_teams!$A$2:$A$36,sales_teams!C$2:C$36)</f>
        <v>Central</v>
      </c>
      <c r="E3245" t="s">
        <v>18</v>
      </c>
      <c r="F3245" t="s">
        <v>21</v>
      </c>
      <c r="G3245" t="s">
        <v>12</v>
      </c>
      <c r="H3245" s="1">
        <v>42872</v>
      </c>
      <c r="I3245" s="1">
        <v>42998</v>
      </c>
      <c r="J3245">
        <v>51</v>
      </c>
    </row>
    <row r="3246" spans="1:10" x14ac:dyDescent="0.3">
      <c r="A3246" t="s">
        <v>3377</v>
      </c>
      <c r="B3246" t="s">
        <v>29</v>
      </c>
      <c r="C3246" t="str">
        <f>_xlfn.XLOOKUP(B3246,
[1]sales_teams!$A$2:$A$100,
[1]sales_teams!$B$2:$B$100)</f>
        <v>Celia Rouche</v>
      </c>
      <c r="D3246" t="str">
        <f>_xlfn.XLOOKUP($B3246,sales_teams!$A$2:$A$36,sales_teams!C$2:C$36)</f>
        <v>West</v>
      </c>
      <c r="E3246" t="s">
        <v>15</v>
      </c>
      <c r="F3246" t="s">
        <v>122</v>
      </c>
      <c r="G3246" t="s">
        <v>12</v>
      </c>
      <c r="H3246" s="1">
        <v>42872</v>
      </c>
      <c r="I3246" s="1">
        <v>42986</v>
      </c>
      <c r="J3246">
        <v>4573</v>
      </c>
    </row>
    <row r="3247" spans="1:10" x14ac:dyDescent="0.3">
      <c r="A3247" t="s">
        <v>3378</v>
      </c>
      <c r="B3247" t="s">
        <v>73</v>
      </c>
      <c r="C3247" t="str">
        <f>_xlfn.XLOOKUP(B3247,
[1]sales_teams!$A$2:$A$100,
[1]sales_teams!$B$2:$B$100)</f>
        <v>Cara Losch</v>
      </c>
      <c r="D3247" t="str">
        <f>_xlfn.XLOOKUP($B3247,sales_teams!$A$2:$A$36,sales_teams!C$2:C$36)</f>
        <v>East</v>
      </c>
      <c r="E3247" t="s">
        <v>39</v>
      </c>
      <c r="F3247" t="s">
        <v>143</v>
      </c>
      <c r="G3247" t="s">
        <v>12</v>
      </c>
      <c r="H3247" s="1">
        <v>42872</v>
      </c>
      <c r="I3247" s="1">
        <v>42948</v>
      </c>
      <c r="J3247">
        <v>3033</v>
      </c>
    </row>
    <row r="3248" spans="1:10" x14ac:dyDescent="0.3">
      <c r="A3248" t="s">
        <v>3379</v>
      </c>
      <c r="B3248" t="s">
        <v>23</v>
      </c>
      <c r="C3248" t="str">
        <f>_xlfn.XLOOKUP(B3248,
[1]sales_teams!$A$2:$A$100,
[1]sales_teams!$B$2:$B$100)</f>
        <v>Summer Sewald</v>
      </c>
      <c r="D3248" t="str">
        <f>_xlfn.XLOOKUP($B3248,sales_teams!$A$2:$A$36,sales_teams!C$2:C$36)</f>
        <v>West</v>
      </c>
      <c r="E3248" t="s">
        <v>18</v>
      </c>
      <c r="F3248" t="s">
        <v>24</v>
      </c>
      <c r="G3248" t="s">
        <v>46</v>
      </c>
      <c r="H3248" s="1">
        <v>42872</v>
      </c>
      <c r="I3248" s="1">
        <v>42881</v>
      </c>
      <c r="J3248">
        <v>0</v>
      </c>
    </row>
    <row r="3249" spans="1:10" x14ac:dyDescent="0.3">
      <c r="A3249" t="s">
        <v>3380</v>
      </c>
      <c r="B3249" t="s">
        <v>26</v>
      </c>
      <c r="C3249" t="str">
        <f>_xlfn.XLOOKUP(B3249,
[1]sales_teams!$A$2:$A$100,
[1]sales_teams!$B$2:$B$100)</f>
        <v>Dustin Brinkmann</v>
      </c>
      <c r="D3249" t="str">
        <f>_xlfn.XLOOKUP($B3249,sales_teams!$A$2:$A$36,sales_teams!C$2:C$36)</f>
        <v>Central</v>
      </c>
      <c r="E3249" t="s">
        <v>18</v>
      </c>
      <c r="F3249" t="s">
        <v>76</v>
      </c>
      <c r="G3249" t="s">
        <v>46</v>
      </c>
      <c r="H3249" s="1">
        <v>42873</v>
      </c>
      <c r="I3249" s="1">
        <v>42879</v>
      </c>
      <c r="J3249">
        <v>0</v>
      </c>
    </row>
    <row r="3250" spans="1:10" x14ac:dyDescent="0.3">
      <c r="A3250" t="s">
        <v>3381</v>
      </c>
      <c r="B3250" t="s">
        <v>26</v>
      </c>
      <c r="C3250" t="str">
        <f>_xlfn.XLOOKUP(B3250,
[1]sales_teams!$A$2:$A$100,
[1]sales_teams!$B$2:$B$100)</f>
        <v>Dustin Brinkmann</v>
      </c>
      <c r="D3250" t="str">
        <f>_xlfn.XLOOKUP($B3250,sales_teams!$A$2:$A$36,sales_teams!C$2:C$36)</f>
        <v>Central</v>
      </c>
      <c r="E3250" t="s">
        <v>18</v>
      </c>
      <c r="F3250" t="s">
        <v>27</v>
      </c>
      <c r="G3250" t="s">
        <v>12</v>
      </c>
      <c r="H3250" s="1">
        <v>42873</v>
      </c>
      <c r="I3250" s="1">
        <v>42888</v>
      </c>
      <c r="J3250">
        <v>58</v>
      </c>
    </row>
    <row r="3251" spans="1:10" x14ac:dyDescent="0.3">
      <c r="A3251" t="s">
        <v>3382</v>
      </c>
      <c r="B3251" t="s">
        <v>26</v>
      </c>
      <c r="C3251" t="str">
        <f>_xlfn.XLOOKUP(B3251,
[1]sales_teams!$A$2:$A$100,
[1]sales_teams!$B$2:$B$100)</f>
        <v>Dustin Brinkmann</v>
      </c>
      <c r="D3251" t="str">
        <f>_xlfn.XLOOKUP($B3251,sales_teams!$A$2:$A$36,sales_teams!C$2:C$36)</f>
        <v>Central</v>
      </c>
      <c r="E3251" t="s">
        <v>18</v>
      </c>
      <c r="F3251" t="s">
        <v>492</v>
      </c>
      <c r="G3251" t="s">
        <v>12</v>
      </c>
      <c r="H3251" s="1">
        <v>42873</v>
      </c>
      <c r="I3251" s="1">
        <v>42993</v>
      </c>
      <c r="J3251">
        <v>51</v>
      </c>
    </row>
    <row r="3252" spans="1:10" x14ac:dyDescent="0.3">
      <c r="A3252" t="s">
        <v>3383</v>
      </c>
      <c r="B3252" t="s">
        <v>118</v>
      </c>
      <c r="C3252" t="str">
        <f>_xlfn.XLOOKUP(B3252,
[1]sales_teams!$A$2:$A$100,
[1]sales_teams!$B$2:$B$100)</f>
        <v>Rocco Neubert</v>
      </c>
      <c r="D3252" t="str">
        <f>_xlfn.XLOOKUP($B3252,sales_teams!$A$2:$A$36,sales_teams!C$2:C$36)</f>
        <v>East</v>
      </c>
      <c r="E3252" t="s">
        <v>15</v>
      </c>
      <c r="F3252" t="s">
        <v>222</v>
      </c>
      <c r="G3252" t="s">
        <v>12</v>
      </c>
      <c r="H3252" s="1">
        <v>42873</v>
      </c>
      <c r="I3252" s="1">
        <v>42949</v>
      </c>
      <c r="J3252">
        <v>4873</v>
      </c>
    </row>
    <row r="3253" spans="1:10" x14ac:dyDescent="0.3">
      <c r="A3253" t="s">
        <v>3384</v>
      </c>
      <c r="B3253" t="s">
        <v>164</v>
      </c>
      <c r="C3253" t="str">
        <f>_xlfn.XLOOKUP(B3253,
[1]sales_teams!$A$2:$A$100,
[1]sales_teams!$B$2:$B$100)</f>
        <v>Cara Losch</v>
      </c>
      <c r="D3253" t="str">
        <f>_xlfn.XLOOKUP($B3253,sales_teams!$A$2:$A$36,sales_teams!C$2:C$36)</f>
        <v>East</v>
      </c>
      <c r="E3253" t="s">
        <v>20</v>
      </c>
      <c r="F3253" t="s">
        <v>209</v>
      </c>
      <c r="G3253" t="s">
        <v>40</v>
      </c>
      <c r="H3253" s="1">
        <v>42873</v>
      </c>
    </row>
    <row r="3254" spans="1:10" x14ac:dyDescent="0.3">
      <c r="A3254" t="s">
        <v>3385</v>
      </c>
      <c r="B3254" t="s">
        <v>14</v>
      </c>
      <c r="C3254" t="str">
        <f>_xlfn.XLOOKUP(B3254,
[1]sales_teams!$A$2:$A$100,
[1]sales_teams!$B$2:$B$100)</f>
        <v>Melvin Marxen</v>
      </c>
      <c r="D3254" t="str">
        <f>_xlfn.XLOOKUP($B3254,sales_teams!$A$2:$A$36,sales_teams!C$2:C$36)</f>
        <v>Central</v>
      </c>
      <c r="E3254" t="s">
        <v>15</v>
      </c>
      <c r="F3254" t="s">
        <v>16</v>
      </c>
      <c r="G3254" t="s">
        <v>12</v>
      </c>
      <c r="H3254" s="1">
        <v>42873</v>
      </c>
      <c r="I3254" s="1">
        <v>42893</v>
      </c>
      <c r="J3254">
        <v>4606</v>
      </c>
    </row>
    <row r="3255" spans="1:10" x14ac:dyDescent="0.3">
      <c r="A3255" t="s">
        <v>3386</v>
      </c>
      <c r="B3255" t="s">
        <v>142</v>
      </c>
      <c r="C3255" t="str">
        <f>_xlfn.XLOOKUP(B3255,
[1]sales_teams!$A$2:$A$100,
[1]sales_teams!$B$2:$B$100)</f>
        <v>Rocco Neubert</v>
      </c>
      <c r="D3255" t="str">
        <f>_xlfn.XLOOKUP($B3255,sales_teams!$A$2:$A$36,sales_teams!C$2:C$36)</f>
        <v>East</v>
      </c>
      <c r="E3255" t="s">
        <v>10</v>
      </c>
      <c r="F3255" t="s">
        <v>518</v>
      </c>
      <c r="G3255" t="s">
        <v>12</v>
      </c>
      <c r="H3255" s="1">
        <v>42873</v>
      </c>
      <c r="I3255" s="1">
        <v>42983</v>
      </c>
      <c r="J3255">
        <v>995</v>
      </c>
    </row>
    <row r="3256" spans="1:10" x14ac:dyDescent="0.3">
      <c r="A3256" t="s">
        <v>3387</v>
      </c>
      <c r="B3256" t="s">
        <v>142</v>
      </c>
      <c r="C3256" t="str">
        <f>_xlfn.XLOOKUP(B3256,
[1]sales_teams!$A$2:$A$100,
[1]sales_teams!$B$2:$B$100)</f>
        <v>Rocco Neubert</v>
      </c>
      <c r="D3256" t="str">
        <f>_xlfn.XLOOKUP($B3256,sales_teams!$A$2:$A$36,sales_teams!C$2:C$36)</f>
        <v>East</v>
      </c>
      <c r="E3256" t="s">
        <v>15</v>
      </c>
      <c r="F3256" t="s">
        <v>189</v>
      </c>
      <c r="G3256" t="s">
        <v>12</v>
      </c>
      <c r="H3256" s="1">
        <v>42873</v>
      </c>
      <c r="I3256" s="1">
        <v>42957</v>
      </c>
      <c r="J3256">
        <v>4581</v>
      </c>
    </row>
    <row r="3257" spans="1:10" x14ac:dyDescent="0.3">
      <c r="A3257" t="s">
        <v>3388</v>
      </c>
      <c r="B3257" t="s">
        <v>105</v>
      </c>
      <c r="C3257" t="str">
        <f>_xlfn.XLOOKUP(B3257,
[1]sales_teams!$A$2:$A$100,
[1]sales_teams!$B$2:$B$100)</f>
        <v>Cara Losch</v>
      </c>
      <c r="D3257" t="str">
        <f>_xlfn.XLOOKUP($B3257,sales_teams!$A$2:$A$36,sales_teams!C$2:C$36)</f>
        <v>East</v>
      </c>
      <c r="E3257" t="s">
        <v>15</v>
      </c>
      <c r="F3257" t="s">
        <v>222</v>
      </c>
      <c r="G3257" t="s">
        <v>12</v>
      </c>
      <c r="H3257" s="1">
        <v>42873</v>
      </c>
      <c r="I3257" s="1">
        <v>42961</v>
      </c>
      <c r="J3257">
        <v>4671</v>
      </c>
    </row>
    <row r="3258" spans="1:10" x14ac:dyDescent="0.3">
      <c r="A3258" t="s">
        <v>3389</v>
      </c>
      <c r="B3258" t="s">
        <v>54</v>
      </c>
      <c r="C3258" t="str">
        <f>_xlfn.XLOOKUP(B3258,
[1]sales_teams!$A$2:$A$100,
[1]sales_teams!$B$2:$B$100)</f>
        <v>Celia Rouche</v>
      </c>
      <c r="D3258" t="str">
        <f>_xlfn.XLOOKUP($B3258,sales_teams!$A$2:$A$36,sales_teams!C$2:C$36)</f>
        <v>West</v>
      </c>
      <c r="E3258" t="s">
        <v>48</v>
      </c>
      <c r="F3258" t="s">
        <v>135</v>
      </c>
      <c r="G3258" t="s">
        <v>40</v>
      </c>
      <c r="H3258" s="1">
        <v>42873</v>
      </c>
    </row>
    <row r="3259" spans="1:10" x14ac:dyDescent="0.3">
      <c r="A3259" t="s">
        <v>3390</v>
      </c>
      <c r="B3259" t="s">
        <v>54</v>
      </c>
      <c r="C3259" t="str">
        <f>_xlfn.XLOOKUP(B3259,
[1]sales_teams!$A$2:$A$100,
[1]sales_teams!$B$2:$B$100)</f>
        <v>Celia Rouche</v>
      </c>
      <c r="D3259" t="str">
        <f>_xlfn.XLOOKUP($B3259,sales_teams!$A$2:$A$36,sales_teams!C$2:C$36)</f>
        <v>West</v>
      </c>
      <c r="E3259" t="s">
        <v>39</v>
      </c>
      <c r="G3259" t="s">
        <v>40</v>
      </c>
      <c r="H3259" s="1">
        <v>42873</v>
      </c>
    </row>
    <row r="3260" spans="1:10" x14ac:dyDescent="0.3">
      <c r="A3260" t="s">
        <v>3391</v>
      </c>
      <c r="B3260" t="s">
        <v>38</v>
      </c>
      <c r="C3260" t="str">
        <f>_xlfn.XLOOKUP(B3260,
[1]sales_teams!$A$2:$A$100,
[1]sales_teams!$B$2:$B$100)</f>
        <v>Summer Sewald</v>
      </c>
      <c r="D3260" t="str">
        <f>_xlfn.XLOOKUP($B3260,sales_teams!$A$2:$A$36,sales_teams!C$2:C$36)</f>
        <v>West</v>
      </c>
      <c r="E3260" t="s">
        <v>48</v>
      </c>
      <c r="F3260" t="s">
        <v>209</v>
      </c>
      <c r="G3260" t="s">
        <v>40</v>
      </c>
      <c r="H3260" s="1">
        <v>42873</v>
      </c>
    </row>
    <row r="3261" spans="1:10" x14ac:dyDescent="0.3">
      <c r="A3261" t="s">
        <v>3392</v>
      </c>
      <c r="B3261" t="s">
        <v>38</v>
      </c>
      <c r="C3261" t="str">
        <f>_xlfn.XLOOKUP(B3261,
[1]sales_teams!$A$2:$A$100,
[1]sales_teams!$B$2:$B$100)</f>
        <v>Summer Sewald</v>
      </c>
      <c r="D3261" t="str">
        <f>_xlfn.XLOOKUP($B3261,sales_teams!$A$2:$A$36,sales_teams!C$2:C$36)</f>
        <v>West</v>
      </c>
      <c r="E3261" t="s">
        <v>48</v>
      </c>
      <c r="G3261" t="s">
        <v>40</v>
      </c>
      <c r="H3261" s="1">
        <v>42873</v>
      </c>
    </row>
    <row r="3262" spans="1:10" x14ac:dyDescent="0.3">
      <c r="A3262" t="s">
        <v>3393</v>
      </c>
      <c r="B3262" t="s">
        <v>95</v>
      </c>
      <c r="C3262" t="str">
        <f>_xlfn.XLOOKUP(B3262,
[1]sales_teams!$A$2:$A$100,
[1]sales_teams!$B$2:$B$100)</f>
        <v>Summer Sewald</v>
      </c>
      <c r="D3262" t="str">
        <f>_xlfn.XLOOKUP($B3262,sales_teams!$A$2:$A$36,sales_teams!C$2:C$36)</f>
        <v>West</v>
      </c>
      <c r="E3262" t="s">
        <v>10</v>
      </c>
      <c r="F3262" t="s">
        <v>398</v>
      </c>
      <c r="G3262" t="s">
        <v>40</v>
      </c>
      <c r="H3262" s="1">
        <v>42873</v>
      </c>
    </row>
    <row r="3263" spans="1:10" x14ac:dyDescent="0.3">
      <c r="A3263" t="s">
        <v>3394</v>
      </c>
      <c r="B3263" t="s">
        <v>32</v>
      </c>
      <c r="C3263" t="str">
        <f>_xlfn.XLOOKUP(B3263,
[1]sales_teams!$A$2:$A$100,
[1]sales_teams!$B$2:$B$100)</f>
        <v>Celia Rouche</v>
      </c>
      <c r="D3263" t="str">
        <f>_xlfn.XLOOKUP($B3263,sales_teams!$A$2:$A$36,sales_teams!C$2:C$36)</f>
        <v>West</v>
      </c>
      <c r="E3263" t="s">
        <v>145</v>
      </c>
      <c r="G3263" t="s">
        <v>40</v>
      </c>
      <c r="H3263" s="1">
        <v>42873</v>
      </c>
    </row>
    <row r="3264" spans="1:10" x14ac:dyDescent="0.3">
      <c r="A3264" t="s">
        <v>3395</v>
      </c>
      <c r="B3264" t="s">
        <v>116</v>
      </c>
      <c r="C3264" t="str">
        <f>_xlfn.XLOOKUP(B3264,
[1]sales_teams!$A$2:$A$100,
[1]sales_teams!$B$2:$B$100)</f>
        <v>Melvin Marxen</v>
      </c>
      <c r="D3264" t="str">
        <f>_xlfn.XLOOKUP($B3264,sales_teams!$A$2:$A$36,sales_teams!C$2:C$36)</f>
        <v>Central</v>
      </c>
      <c r="E3264" t="s">
        <v>18</v>
      </c>
      <c r="F3264" t="s">
        <v>42</v>
      </c>
      <c r="G3264" t="s">
        <v>46</v>
      </c>
      <c r="H3264" s="1">
        <v>42873</v>
      </c>
      <c r="I3264" s="1">
        <v>42988</v>
      </c>
      <c r="J3264">
        <v>0</v>
      </c>
    </row>
    <row r="3265" spans="1:10" x14ac:dyDescent="0.3">
      <c r="A3265" t="s">
        <v>3396</v>
      </c>
      <c r="B3265" t="s">
        <v>116</v>
      </c>
      <c r="C3265" t="str">
        <f>_xlfn.XLOOKUP(B3265,
[1]sales_teams!$A$2:$A$100,
[1]sales_teams!$B$2:$B$100)</f>
        <v>Melvin Marxen</v>
      </c>
      <c r="D3265" t="str">
        <f>_xlfn.XLOOKUP($B3265,sales_teams!$A$2:$A$36,sales_teams!C$2:C$36)</f>
        <v>Central</v>
      </c>
      <c r="E3265" t="s">
        <v>48</v>
      </c>
      <c r="F3265" t="s">
        <v>207</v>
      </c>
      <c r="G3265" t="s">
        <v>12</v>
      </c>
      <c r="H3265" s="1">
        <v>42873</v>
      </c>
      <c r="I3265" s="1">
        <v>42897</v>
      </c>
      <c r="J3265">
        <v>5241</v>
      </c>
    </row>
    <row r="3266" spans="1:10" x14ac:dyDescent="0.3">
      <c r="A3266" t="s">
        <v>3397</v>
      </c>
      <c r="B3266" t="s">
        <v>51</v>
      </c>
      <c r="C3266" t="str">
        <f>_xlfn.XLOOKUP(B3266,
[1]sales_teams!$A$2:$A$100,
[1]sales_teams!$B$2:$B$100)</f>
        <v>Summer Sewald</v>
      </c>
      <c r="D3266" t="str">
        <f>_xlfn.XLOOKUP($B3266,sales_teams!$A$2:$A$36,sales_teams!C$2:C$36)</f>
        <v>West</v>
      </c>
      <c r="E3266" t="s">
        <v>10</v>
      </c>
      <c r="F3266" t="s">
        <v>157</v>
      </c>
      <c r="G3266" t="s">
        <v>12</v>
      </c>
      <c r="H3266" s="1">
        <v>42873</v>
      </c>
      <c r="I3266" s="1">
        <v>42877</v>
      </c>
      <c r="J3266">
        <v>1082</v>
      </c>
    </row>
    <row r="3267" spans="1:10" x14ac:dyDescent="0.3">
      <c r="A3267" t="s">
        <v>3398</v>
      </c>
      <c r="B3267" t="s">
        <v>35</v>
      </c>
      <c r="C3267" t="str">
        <f>_xlfn.XLOOKUP(B3267,
[1]sales_teams!$A$2:$A$100,
[1]sales_teams!$B$2:$B$100)</f>
        <v>Melvin Marxen</v>
      </c>
      <c r="D3267" t="str">
        <f>_xlfn.XLOOKUP($B3267,sales_teams!$A$2:$A$36,sales_teams!C$2:C$36)</f>
        <v>Central</v>
      </c>
      <c r="E3267" t="s">
        <v>20</v>
      </c>
      <c r="F3267" t="s">
        <v>126</v>
      </c>
      <c r="G3267" t="s">
        <v>12</v>
      </c>
      <c r="H3267" s="1">
        <v>42873</v>
      </c>
      <c r="I3267" s="1">
        <v>42891</v>
      </c>
      <c r="J3267">
        <v>616</v>
      </c>
    </row>
    <row r="3268" spans="1:10" x14ac:dyDescent="0.3">
      <c r="A3268" t="s">
        <v>3399</v>
      </c>
      <c r="B3268" t="s">
        <v>57</v>
      </c>
      <c r="C3268" t="str">
        <f>_xlfn.XLOOKUP(B3268,
[1]sales_teams!$A$2:$A$100,
[1]sales_teams!$B$2:$B$100)</f>
        <v>Celia Rouche</v>
      </c>
      <c r="D3268" t="str">
        <f>_xlfn.XLOOKUP($B3268,sales_teams!$A$2:$A$36,sales_teams!C$2:C$36)</f>
        <v>West</v>
      </c>
      <c r="E3268" t="s">
        <v>18</v>
      </c>
      <c r="G3268" t="s">
        <v>40</v>
      </c>
      <c r="H3268" s="1">
        <v>42873</v>
      </c>
    </row>
    <row r="3269" spans="1:10" x14ac:dyDescent="0.3">
      <c r="A3269" t="s">
        <v>3400</v>
      </c>
      <c r="B3269" t="s">
        <v>88</v>
      </c>
      <c r="C3269" t="str">
        <f>_xlfn.XLOOKUP(B3269,
[1]sales_teams!$A$2:$A$100,
[1]sales_teams!$B$2:$B$100)</f>
        <v>Cara Losch</v>
      </c>
      <c r="D3269" t="str">
        <f>_xlfn.XLOOKUP($B3269,sales_teams!$A$2:$A$36,sales_teams!C$2:C$36)</f>
        <v>East</v>
      </c>
      <c r="E3269" t="s">
        <v>18</v>
      </c>
      <c r="F3269" t="s">
        <v>373</v>
      </c>
      <c r="G3269" t="s">
        <v>46</v>
      </c>
      <c r="H3269" s="1">
        <v>42873</v>
      </c>
      <c r="I3269" s="1">
        <v>42961</v>
      </c>
      <c r="J3269">
        <v>0</v>
      </c>
    </row>
    <row r="3270" spans="1:10" x14ac:dyDescent="0.3">
      <c r="A3270" t="s">
        <v>3401</v>
      </c>
      <c r="B3270" t="s">
        <v>61</v>
      </c>
      <c r="C3270" t="str">
        <f>_xlfn.XLOOKUP(B3270,
[1]sales_teams!$A$2:$A$100,
[1]sales_teams!$B$2:$B$100)</f>
        <v>Dustin Brinkmann</v>
      </c>
      <c r="D3270" t="str">
        <f>_xlfn.XLOOKUP($B3270,sales_teams!$A$2:$A$36,sales_teams!C$2:C$36)</f>
        <v>Central</v>
      </c>
      <c r="E3270" t="s">
        <v>18</v>
      </c>
      <c r="F3270" t="s">
        <v>129</v>
      </c>
      <c r="G3270" t="s">
        <v>46</v>
      </c>
      <c r="H3270" s="1">
        <v>42873</v>
      </c>
      <c r="I3270" s="1">
        <v>42879</v>
      </c>
      <c r="J3270">
        <v>0</v>
      </c>
    </row>
    <row r="3271" spans="1:10" x14ac:dyDescent="0.3">
      <c r="A3271" t="s">
        <v>3402</v>
      </c>
      <c r="B3271" t="s">
        <v>102</v>
      </c>
      <c r="C3271" t="str">
        <f>_xlfn.XLOOKUP(B3271,
[1]sales_teams!$A$2:$A$100,
[1]sales_teams!$B$2:$B$100)</f>
        <v>Cara Losch</v>
      </c>
      <c r="D3271" t="str">
        <f>_xlfn.XLOOKUP($B3271,sales_teams!$A$2:$A$36,sales_teams!C$2:C$36)</f>
        <v>East</v>
      </c>
      <c r="E3271" t="s">
        <v>18</v>
      </c>
      <c r="G3271" t="s">
        <v>40</v>
      </c>
      <c r="H3271" s="1">
        <v>42873</v>
      </c>
    </row>
    <row r="3272" spans="1:10" x14ac:dyDescent="0.3">
      <c r="A3272" t="s">
        <v>3403</v>
      </c>
      <c r="B3272" t="s">
        <v>23</v>
      </c>
      <c r="C3272" t="str">
        <f>_xlfn.XLOOKUP(B3272,
[1]sales_teams!$A$2:$A$100,
[1]sales_teams!$B$2:$B$100)</f>
        <v>Summer Sewald</v>
      </c>
      <c r="D3272" t="str">
        <f>_xlfn.XLOOKUP($B3272,sales_teams!$A$2:$A$36,sales_teams!C$2:C$36)</f>
        <v>West</v>
      </c>
      <c r="E3272" t="s">
        <v>20</v>
      </c>
      <c r="G3272" t="s">
        <v>40</v>
      </c>
      <c r="H3272" s="1">
        <v>42873</v>
      </c>
    </row>
    <row r="3273" spans="1:10" x14ac:dyDescent="0.3">
      <c r="A3273" t="s">
        <v>3404</v>
      </c>
      <c r="B3273" t="s">
        <v>23</v>
      </c>
      <c r="C3273" t="str">
        <f>_xlfn.XLOOKUP(B3273,
[1]sales_teams!$A$2:$A$100,
[1]sales_teams!$B$2:$B$100)</f>
        <v>Summer Sewald</v>
      </c>
      <c r="D3273" t="str">
        <f>_xlfn.XLOOKUP($B3273,sales_teams!$A$2:$A$36,sales_teams!C$2:C$36)</f>
        <v>West</v>
      </c>
      <c r="E3273" t="s">
        <v>20</v>
      </c>
      <c r="F3273" t="s">
        <v>159</v>
      </c>
      <c r="G3273" t="s">
        <v>46</v>
      </c>
      <c r="H3273" s="1">
        <v>42873</v>
      </c>
      <c r="I3273" s="1">
        <v>42911</v>
      </c>
      <c r="J3273">
        <v>0</v>
      </c>
    </row>
    <row r="3274" spans="1:10" x14ac:dyDescent="0.3">
      <c r="A3274" t="s">
        <v>3405</v>
      </c>
      <c r="B3274" t="s">
        <v>23</v>
      </c>
      <c r="C3274" t="str">
        <f>_xlfn.XLOOKUP(B3274,
[1]sales_teams!$A$2:$A$100,
[1]sales_teams!$B$2:$B$100)</f>
        <v>Summer Sewald</v>
      </c>
      <c r="D3274" t="str">
        <f>_xlfn.XLOOKUP($B3274,sales_teams!$A$2:$A$36,sales_teams!C$2:C$36)</f>
        <v>West</v>
      </c>
      <c r="E3274" t="s">
        <v>18</v>
      </c>
      <c r="F3274" t="s">
        <v>184</v>
      </c>
      <c r="G3274" t="s">
        <v>46</v>
      </c>
      <c r="H3274" s="1">
        <v>42873</v>
      </c>
      <c r="I3274" s="1">
        <v>42878</v>
      </c>
      <c r="J3274">
        <v>0</v>
      </c>
    </row>
    <row r="3275" spans="1:10" x14ac:dyDescent="0.3">
      <c r="A3275" t="s">
        <v>3406</v>
      </c>
      <c r="B3275" t="s">
        <v>23</v>
      </c>
      <c r="C3275" t="str">
        <f>_xlfn.XLOOKUP(B3275,
[1]sales_teams!$A$2:$A$100,
[1]sales_teams!$B$2:$B$100)</f>
        <v>Summer Sewald</v>
      </c>
      <c r="D3275" t="str">
        <f>_xlfn.XLOOKUP($B3275,sales_teams!$A$2:$A$36,sales_teams!C$2:C$36)</f>
        <v>West</v>
      </c>
      <c r="E3275" t="s">
        <v>15</v>
      </c>
      <c r="F3275" t="s">
        <v>218</v>
      </c>
      <c r="G3275" t="s">
        <v>12</v>
      </c>
      <c r="H3275" s="1">
        <v>42873</v>
      </c>
      <c r="I3275" s="1">
        <v>42889</v>
      </c>
      <c r="J3275">
        <v>4642</v>
      </c>
    </row>
    <row r="3276" spans="1:10" x14ac:dyDescent="0.3">
      <c r="A3276" t="s">
        <v>3407</v>
      </c>
      <c r="B3276" t="s">
        <v>26</v>
      </c>
      <c r="C3276" t="str">
        <f>_xlfn.XLOOKUP(B3276,
[1]sales_teams!$A$2:$A$100,
[1]sales_teams!$B$2:$B$100)</f>
        <v>Dustin Brinkmann</v>
      </c>
      <c r="D3276" t="str">
        <f>_xlfn.XLOOKUP($B3276,sales_teams!$A$2:$A$36,sales_teams!C$2:C$36)</f>
        <v>Central</v>
      </c>
      <c r="E3276" t="s">
        <v>18</v>
      </c>
      <c r="F3276" t="s">
        <v>42</v>
      </c>
      <c r="G3276" t="s">
        <v>12</v>
      </c>
      <c r="H3276" s="1">
        <v>42874</v>
      </c>
      <c r="I3276" s="1">
        <v>42913</v>
      </c>
      <c r="J3276">
        <v>63</v>
      </c>
    </row>
    <row r="3277" spans="1:10" x14ac:dyDescent="0.3">
      <c r="A3277" t="s">
        <v>3408</v>
      </c>
      <c r="B3277" t="s">
        <v>139</v>
      </c>
      <c r="C3277" t="str">
        <f>_xlfn.XLOOKUP(B3277,
[1]sales_teams!$A$2:$A$100,
[1]sales_teams!$B$2:$B$100)</f>
        <v>Rocco Neubert</v>
      </c>
      <c r="D3277" t="str">
        <f>_xlfn.XLOOKUP($B3277,sales_teams!$A$2:$A$36,sales_teams!C$2:C$36)</f>
        <v>East</v>
      </c>
      <c r="E3277" t="s">
        <v>39</v>
      </c>
      <c r="F3277" t="s">
        <v>199</v>
      </c>
      <c r="G3277" t="s">
        <v>46</v>
      </c>
      <c r="H3277" s="1">
        <v>42874</v>
      </c>
      <c r="I3277" s="1">
        <v>42875</v>
      </c>
      <c r="J3277">
        <v>0</v>
      </c>
    </row>
    <row r="3278" spans="1:10" x14ac:dyDescent="0.3">
      <c r="A3278" t="s">
        <v>3409</v>
      </c>
      <c r="B3278" t="s">
        <v>118</v>
      </c>
      <c r="C3278" t="str">
        <f>_xlfn.XLOOKUP(B3278,
[1]sales_teams!$A$2:$A$100,
[1]sales_teams!$B$2:$B$100)</f>
        <v>Rocco Neubert</v>
      </c>
      <c r="D3278" t="str">
        <f>_xlfn.XLOOKUP($B3278,sales_teams!$A$2:$A$36,sales_teams!C$2:C$36)</f>
        <v>East</v>
      </c>
      <c r="E3278" t="s">
        <v>10</v>
      </c>
      <c r="F3278" t="s">
        <v>373</v>
      </c>
      <c r="G3278" t="s">
        <v>46</v>
      </c>
      <c r="H3278" s="1">
        <v>42874</v>
      </c>
      <c r="I3278" s="1">
        <v>42887</v>
      </c>
      <c r="J3278">
        <v>0</v>
      </c>
    </row>
    <row r="3279" spans="1:10" x14ac:dyDescent="0.3">
      <c r="A3279" t="s">
        <v>3410</v>
      </c>
      <c r="B3279" t="s">
        <v>118</v>
      </c>
      <c r="C3279" t="str">
        <f>_xlfn.XLOOKUP(B3279,
[1]sales_teams!$A$2:$A$100,
[1]sales_teams!$B$2:$B$100)</f>
        <v>Rocco Neubert</v>
      </c>
      <c r="D3279" t="str">
        <f>_xlfn.XLOOKUP($B3279,sales_teams!$A$2:$A$36,sales_teams!C$2:C$36)</f>
        <v>East</v>
      </c>
      <c r="E3279" t="s">
        <v>10</v>
      </c>
      <c r="F3279" t="s">
        <v>204</v>
      </c>
      <c r="G3279" t="s">
        <v>12</v>
      </c>
      <c r="H3279" s="1">
        <v>42874</v>
      </c>
      <c r="I3279" s="1">
        <v>42966</v>
      </c>
      <c r="J3279">
        <v>1131</v>
      </c>
    </row>
    <row r="3280" spans="1:10" x14ac:dyDescent="0.3">
      <c r="A3280" t="s">
        <v>3411</v>
      </c>
      <c r="B3280" t="s">
        <v>164</v>
      </c>
      <c r="C3280" t="str">
        <f>_xlfn.XLOOKUP(B3280,
[1]sales_teams!$A$2:$A$100,
[1]sales_teams!$B$2:$B$100)</f>
        <v>Cara Losch</v>
      </c>
      <c r="D3280" t="str">
        <f>_xlfn.XLOOKUP($B3280,sales_teams!$A$2:$A$36,sales_teams!C$2:C$36)</f>
        <v>East</v>
      </c>
      <c r="E3280" t="s">
        <v>20</v>
      </c>
      <c r="F3280" t="s">
        <v>81</v>
      </c>
      <c r="G3280" t="s">
        <v>12</v>
      </c>
      <c r="H3280" s="1">
        <v>42874</v>
      </c>
      <c r="I3280" s="1">
        <v>42982</v>
      </c>
      <c r="J3280">
        <v>503</v>
      </c>
    </row>
    <row r="3281" spans="1:10" x14ac:dyDescent="0.3">
      <c r="A3281" t="s">
        <v>3412</v>
      </c>
      <c r="B3281" t="s">
        <v>164</v>
      </c>
      <c r="C3281" t="str">
        <f>_xlfn.XLOOKUP(B3281,
[1]sales_teams!$A$2:$A$100,
[1]sales_teams!$B$2:$B$100)</f>
        <v>Cara Losch</v>
      </c>
      <c r="D3281" t="str">
        <f>_xlfn.XLOOKUP($B3281,sales_teams!$A$2:$A$36,sales_teams!C$2:C$36)</f>
        <v>East</v>
      </c>
      <c r="E3281" t="s">
        <v>20</v>
      </c>
      <c r="F3281" t="s">
        <v>222</v>
      </c>
      <c r="G3281" t="s">
        <v>12</v>
      </c>
      <c r="H3281" s="1">
        <v>42874</v>
      </c>
      <c r="I3281" s="1">
        <v>42950</v>
      </c>
      <c r="J3281">
        <v>516</v>
      </c>
    </row>
    <row r="3282" spans="1:10" x14ac:dyDescent="0.3">
      <c r="A3282" t="s">
        <v>3413</v>
      </c>
      <c r="B3282" t="s">
        <v>64</v>
      </c>
      <c r="C3282" t="str">
        <f>_xlfn.XLOOKUP(B3282,
[1]sales_teams!$A$2:$A$100,
[1]sales_teams!$B$2:$B$100)</f>
        <v>Rocco Neubert</v>
      </c>
      <c r="D3282" t="str">
        <f>_xlfn.XLOOKUP($B3282,sales_teams!$A$2:$A$36,sales_teams!C$2:C$36)</f>
        <v>East</v>
      </c>
      <c r="E3282" t="s">
        <v>20</v>
      </c>
      <c r="F3282" t="s">
        <v>106</v>
      </c>
      <c r="G3282" t="s">
        <v>12</v>
      </c>
      <c r="H3282" s="1">
        <v>42874</v>
      </c>
      <c r="I3282" s="1">
        <v>42979</v>
      </c>
      <c r="J3282">
        <v>592</v>
      </c>
    </row>
    <row r="3283" spans="1:10" x14ac:dyDescent="0.3">
      <c r="A3283" t="s">
        <v>3414</v>
      </c>
      <c r="B3283" t="s">
        <v>14</v>
      </c>
      <c r="C3283" t="str">
        <f>_xlfn.XLOOKUP(B3283,
[1]sales_teams!$A$2:$A$100,
[1]sales_teams!$B$2:$B$100)</f>
        <v>Melvin Marxen</v>
      </c>
      <c r="D3283" t="str">
        <f>_xlfn.XLOOKUP($B3283,sales_teams!$A$2:$A$36,sales_teams!C$2:C$36)</f>
        <v>Central</v>
      </c>
      <c r="E3283" t="s">
        <v>15</v>
      </c>
      <c r="F3283" t="s">
        <v>170</v>
      </c>
      <c r="G3283" t="s">
        <v>46</v>
      </c>
      <c r="H3283" s="1">
        <v>42874</v>
      </c>
      <c r="I3283" s="1">
        <v>42974</v>
      </c>
      <c r="J3283">
        <v>0</v>
      </c>
    </row>
    <row r="3284" spans="1:10" x14ac:dyDescent="0.3">
      <c r="A3284" t="s">
        <v>3415</v>
      </c>
      <c r="B3284" t="s">
        <v>14</v>
      </c>
      <c r="C3284" t="str">
        <f>_xlfn.XLOOKUP(B3284,
[1]sales_teams!$A$2:$A$100,
[1]sales_teams!$B$2:$B$100)</f>
        <v>Melvin Marxen</v>
      </c>
      <c r="D3284" t="str">
        <f>_xlfn.XLOOKUP($B3284,sales_teams!$A$2:$A$36,sales_teams!C$2:C$36)</f>
        <v>Central</v>
      </c>
      <c r="E3284" t="s">
        <v>15</v>
      </c>
      <c r="F3284" t="s">
        <v>76</v>
      </c>
      <c r="G3284" t="s">
        <v>12</v>
      </c>
      <c r="H3284" s="1">
        <v>42874</v>
      </c>
      <c r="I3284" s="1">
        <v>42989</v>
      </c>
      <c r="J3284">
        <v>4914</v>
      </c>
    </row>
    <row r="3285" spans="1:10" x14ac:dyDescent="0.3">
      <c r="A3285" t="s">
        <v>3416</v>
      </c>
      <c r="B3285" t="s">
        <v>142</v>
      </c>
      <c r="C3285" t="str">
        <f>_xlfn.XLOOKUP(B3285,
[1]sales_teams!$A$2:$A$100,
[1]sales_teams!$B$2:$B$100)</f>
        <v>Rocco Neubert</v>
      </c>
      <c r="D3285" t="str">
        <f>_xlfn.XLOOKUP($B3285,sales_teams!$A$2:$A$36,sales_teams!C$2:C$36)</f>
        <v>East</v>
      </c>
      <c r="E3285" t="s">
        <v>20</v>
      </c>
      <c r="F3285" t="s">
        <v>218</v>
      </c>
      <c r="G3285" t="s">
        <v>12</v>
      </c>
      <c r="H3285" s="1">
        <v>42874</v>
      </c>
      <c r="I3285" s="1">
        <v>42887</v>
      </c>
      <c r="J3285">
        <v>564</v>
      </c>
    </row>
    <row r="3286" spans="1:10" x14ac:dyDescent="0.3">
      <c r="A3286" t="s">
        <v>3417</v>
      </c>
      <c r="B3286" t="s">
        <v>67</v>
      </c>
      <c r="C3286" t="str">
        <f>_xlfn.XLOOKUP(B3286,
[1]sales_teams!$A$2:$A$100,
[1]sales_teams!$B$2:$B$100)</f>
        <v>Celia Rouche</v>
      </c>
      <c r="D3286" t="str">
        <f>_xlfn.XLOOKUP($B3286,sales_teams!$A$2:$A$36,sales_teams!C$2:C$36)</f>
        <v>West</v>
      </c>
      <c r="E3286" t="s">
        <v>18</v>
      </c>
      <c r="F3286" t="s">
        <v>155</v>
      </c>
      <c r="G3286" t="s">
        <v>46</v>
      </c>
      <c r="H3286" s="1">
        <v>42874</v>
      </c>
      <c r="I3286" s="1">
        <v>42882</v>
      </c>
      <c r="J3286">
        <v>0</v>
      </c>
    </row>
    <row r="3287" spans="1:10" x14ac:dyDescent="0.3">
      <c r="A3287" t="s">
        <v>3418</v>
      </c>
      <c r="B3287" t="s">
        <v>54</v>
      </c>
      <c r="C3287" t="str">
        <f>_xlfn.XLOOKUP(B3287,
[1]sales_teams!$A$2:$A$100,
[1]sales_teams!$B$2:$B$100)</f>
        <v>Celia Rouche</v>
      </c>
      <c r="D3287" t="str">
        <f>_xlfn.XLOOKUP($B3287,sales_teams!$A$2:$A$36,sales_teams!C$2:C$36)</f>
        <v>West</v>
      </c>
      <c r="E3287" t="s">
        <v>10</v>
      </c>
      <c r="F3287" t="s">
        <v>122</v>
      </c>
      <c r="G3287" t="s">
        <v>12</v>
      </c>
      <c r="H3287" s="1">
        <v>42874</v>
      </c>
      <c r="I3287" s="1">
        <v>42887</v>
      </c>
      <c r="J3287">
        <v>964</v>
      </c>
    </row>
    <row r="3288" spans="1:10" x14ac:dyDescent="0.3">
      <c r="A3288" t="s">
        <v>3419</v>
      </c>
      <c r="B3288" t="s">
        <v>252</v>
      </c>
      <c r="C3288" t="str">
        <f>_xlfn.XLOOKUP(B3288,
[1]sales_teams!$A$2:$A$100,
[1]sales_teams!$B$2:$B$100)</f>
        <v>Melvin Marxen</v>
      </c>
      <c r="D3288" t="str">
        <f>_xlfn.XLOOKUP($B3288,sales_teams!$A$2:$A$36,sales_teams!C$2:C$36)</f>
        <v>Central</v>
      </c>
      <c r="E3288" t="s">
        <v>15</v>
      </c>
      <c r="F3288" t="s">
        <v>126</v>
      </c>
      <c r="G3288" t="s">
        <v>46</v>
      </c>
      <c r="H3288" s="1">
        <v>42874</v>
      </c>
      <c r="I3288" s="1">
        <v>42987</v>
      </c>
      <c r="J3288">
        <v>0</v>
      </c>
    </row>
    <row r="3289" spans="1:10" x14ac:dyDescent="0.3">
      <c r="A3289" t="s">
        <v>3420</v>
      </c>
      <c r="B3289" t="s">
        <v>252</v>
      </c>
      <c r="C3289" t="str">
        <f>_xlfn.XLOOKUP(B3289,
[1]sales_teams!$A$2:$A$100,
[1]sales_teams!$B$2:$B$100)</f>
        <v>Melvin Marxen</v>
      </c>
      <c r="D3289" t="str">
        <f>_xlfn.XLOOKUP($B3289,sales_teams!$A$2:$A$36,sales_teams!C$2:C$36)</f>
        <v>Central</v>
      </c>
      <c r="E3289" t="s">
        <v>20</v>
      </c>
      <c r="F3289" t="s">
        <v>135</v>
      </c>
      <c r="G3289" t="s">
        <v>12</v>
      </c>
      <c r="H3289" s="1">
        <v>42874</v>
      </c>
      <c r="I3289" s="1">
        <v>42888</v>
      </c>
      <c r="J3289">
        <v>583</v>
      </c>
    </row>
    <row r="3290" spans="1:10" x14ac:dyDescent="0.3">
      <c r="A3290" t="s">
        <v>3421</v>
      </c>
      <c r="B3290" t="s">
        <v>78</v>
      </c>
      <c r="C3290" t="str">
        <f>_xlfn.XLOOKUP(B3290,
[1]sales_teams!$A$2:$A$100,
[1]sales_teams!$B$2:$B$100)</f>
        <v>Summer Sewald</v>
      </c>
      <c r="D3290" t="str">
        <f>_xlfn.XLOOKUP($B3290,sales_teams!$A$2:$A$36,sales_teams!C$2:C$36)</f>
        <v>West</v>
      </c>
      <c r="E3290" t="s">
        <v>20</v>
      </c>
      <c r="F3290" t="s">
        <v>213</v>
      </c>
      <c r="G3290" t="s">
        <v>40</v>
      </c>
      <c r="H3290" s="1">
        <v>42874</v>
      </c>
    </row>
    <row r="3291" spans="1:10" x14ac:dyDescent="0.3">
      <c r="A3291" t="s">
        <v>3422</v>
      </c>
      <c r="B3291" t="s">
        <v>95</v>
      </c>
      <c r="C3291" t="str">
        <f>_xlfn.XLOOKUP(B3291,
[1]sales_teams!$A$2:$A$100,
[1]sales_teams!$B$2:$B$100)</f>
        <v>Summer Sewald</v>
      </c>
      <c r="D3291" t="str">
        <f>_xlfn.XLOOKUP($B3291,sales_teams!$A$2:$A$36,sales_teams!C$2:C$36)</f>
        <v>West</v>
      </c>
      <c r="E3291" t="s">
        <v>10</v>
      </c>
      <c r="G3291" t="s">
        <v>40</v>
      </c>
      <c r="H3291" s="1">
        <v>42874</v>
      </c>
    </row>
    <row r="3292" spans="1:10" x14ac:dyDescent="0.3">
      <c r="A3292" t="s">
        <v>3423</v>
      </c>
      <c r="B3292" t="s">
        <v>133</v>
      </c>
      <c r="C3292" t="str">
        <f>_xlfn.XLOOKUP(B3292,
[1]sales_teams!$A$2:$A$100,
[1]sales_teams!$B$2:$B$100)</f>
        <v>Dustin Brinkmann</v>
      </c>
      <c r="D3292" t="str">
        <f>_xlfn.XLOOKUP($B3292,sales_teams!$A$2:$A$36,sales_teams!C$2:C$36)</f>
        <v>Central</v>
      </c>
      <c r="E3292" t="s">
        <v>20</v>
      </c>
      <c r="F3292" t="s">
        <v>27</v>
      </c>
      <c r="G3292" t="s">
        <v>12</v>
      </c>
      <c r="H3292" s="1">
        <v>42874</v>
      </c>
      <c r="I3292" s="1">
        <v>42962</v>
      </c>
      <c r="J3292">
        <v>440</v>
      </c>
    </row>
    <row r="3293" spans="1:10" x14ac:dyDescent="0.3">
      <c r="A3293" t="s">
        <v>3424</v>
      </c>
      <c r="B3293" t="s">
        <v>9</v>
      </c>
      <c r="C3293" t="str">
        <f>_xlfn.XLOOKUP(B3293,
[1]sales_teams!$A$2:$A$100,
[1]sales_teams!$B$2:$B$100)</f>
        <v>Dustin Brinkmann</v>
      </c>
      <c r="D3293" t="str">
        <f>_xlfn.XLOOKUP($B3293,sales_teams!$A$2:$A$36,sales_teams!C$2:C$36)</f>
        <v>Central</v>
      </c>
      <c r="E3293" t="s">
        <v>18</v>
      </c>
      <c r="F3293" t="s">
        <v>318</v>
      </c>
      <c r="G3293" t="s">
        <v>12</v>
      </c>
      <c r="H3293" s="1">
        <v>42874</v>
      </c>
      <c r="I3293" s="1">
        <v>42978</v>
      </c>
      <c r="J3293">
        <v>58</v>
      </c>
    </row>
    <row r="3294" spans="1:10" x14ac:dyDescent="0.3">
      <c r="A3294" t="s">
        <v>3425</v>
      </c>
      <c r="B3294" t="s">
        <v>97</v>
      </c>
      <c r="C3294" t="str">
        <f>_xlfn.XLOOKUP(B3294,
[1]sales_teams!$A$2:$A$100,
[1]sales_teams!$B$2:$B$100)</f>
        <v>Rocco Neubert</v>
      </c>
      <c r="D3294" t="str">
        <f>_xlfn.XLOOKUP($B3294,sales_teams!$A$2:$A$36,sales_teams!C$2:C$36)</f>
        <v>East</v>
      </c>
      <c r="E3294" t="s">
        <v>10</v>
      </c>
      <c r="F3294" t="s">
        <v>240</v>
      </c>
      <c r="G3294" t="s">
        <v>12</v>
      </c>
      <c r="H3294" s="1">
        <v>42874</v>
      </c>
      <c r="I3294" s="1">
        <v>42881</v>
      </c>
      <c r="J3294">
        <v>1093</v>
      </c>
    </row>
    <row r="3295" spans="1:10" x14ac:dyDescent="0.3">
      <c r="A3295" t="s">
        <v>3426</v>
      </c>
      <c r="B3295" t="s">
        <v>73</v>
      </c>
      <c r="C3295" t="str">
        <f>_xlfn.XLOOKUP(B3295,
[1]sales_teams!$A$2:$A$100,
[1]sales_teams!$B$2:$B$100)</f>
        <v>Cara Losch</v>
      </c>
      <c r="D3295" t="str">
        <f>_xlfn.XLOOKUP($B3295,sales_teams!$A$2:$A$36,sales_teams!C$2:C$36)</f>
        <v>East</v>
      </c>
      <c r="E3295" t="s">
        <v>39</v>
      </c>
      <c r="G3295" t="s">
        <v>40</v>
      </c>
      <c r="H3295" s="1">
        <v>42874</v>
      </c>
    </row>
    <row r="3296" spans="1:10" x14ac:dyDescent="0.3">
      <c r="A3296" t="s">
        <v>3427</v>
      </c>
      <c r="B3296" t="s">
        <v>73</v>
      </c>
      <c r="C3296" t="str">
        <f>_xlfn.XLOOKUP(B3296,
[1]sales_teams!$A$2:$A$100,
[1]sales_teams!$B$2:$B$100)</f>
        <v>Cara Losch</v>
      </c>
      <c r="D3296" t="str">
        <f>_xlfn.XLOOKUP($B3296,sales_teams!$A$2:$A$36,sales_teams!C$2:C$36)</f>
        <v>East</v>
      </c>
      <c r="E3296" t="s">
        <v>10</v>
      </c>
      <c r="F3296" t="s">
        <v>209</v>
      </c>
      <c r="G3296" t="s">
        <v>46</v>
      </c>
      <c r="H3296" s="1">
        <v>42874</v>
      </c>
      <c r="I3296" s="1">
        <v>42959</v>
      </c>
      <c r="J3296">
        <v>0</v>
      </c>
    </row>
    <row r="3297" spans="1:10" x14ac:dyDescent="0.3">
      <c r="A3297" t="s">
        <v>3428</v>
      </c>
      <c r="B3297" t="s">
        <v>26</v>
      </c>
      <c r="C3297" t="str">
        <f>_xlfn.XLOOKUP(B3297,
[1]sales_teams!$A$2:$A$100,
[1]sales_teams!$B$2:$B$100)</f>
        <v>Dustin Brinkmann</v>
      </c>
      <c r="D3297" t="str">
        <f>_xlfn.XLOOKUP($B3297,sales_teams!$A$2:$A$36,sales_teams!C$2:C$36)</f>
        <v>Central</v>
      </c>
      <c r="E3297" t="s">
        <v>39</v>
      </c>
      <c r="F3297" t="s">
        <v>151</v>
      </c>
      <c r="G3297" t="s">
        <v>46</v>
      </c>
      <c r="H3297" s="1">
        <v>42875</v>
      </c>
      <c r="I3297" s="1">
        <v>42948</v>
      </c>
      <c r="J3297">
        <v>0</v>
      </c>
    </row>
    <row r="3298" spans="1:10" x14ac:dyDescent="0.3">
      <c r="A3298" t="s">
        <v>3429</v>
      </c>
      <c r="B3298" t="s">
        <v>139</v>
      </c>
      <c r="C3298" t="str">
        <f>_xlfn.XLOOKUP(B3298,
[1]sales_teams!$A$2:$A$100,
[1]sales_teams!$B$2:$B$100)</f>
        <v>Rocco Neubert</v>
      </c>
      <c r="D3298" t="str">
        <f>_xlfn.XLOOKUP($B3298,sales_teams!$A$2:$A$36,sales_teams!C$2:C$36)</f>
        <v>East</v>
      </c>
      <c r="E3298" t="s">
        <v>48</v>
      </c>
      <c r="G3298" t="s">
        <v>40</v>
      </c>
      <c r="H3298" s="1">
        <v>42875</v>
      </c>
    </row>
    <row r="3299" spans="1:10" x14ac:dyDescent="0.3">
      <c r="A3299" t="s">
        <v>3430</v>
      </c>
      <c r="B3299" t="s">
        <v>139</v>
      </c>
      <c r="C3299" t="str">
        <f>_xlfn.XLOOKUP(B3299,
[1]sales_teams!$A$2:$A$100,
[1]sales_teams!$B$2:$B$100)</f>
        <v>Rocco Neubert</v>
      </c>
      <c r="D3299" t="str">
        <f>_xlfn.XLOOKUP($B3299,sales_teams!$A$2:$A$36,sales_teams!C$2:C$36)</f>
        <v>East</v>
      </c>
      <c r="E3299" t="s">
        <v>20</v>
      </c>
      <c r="F3299" t="s">
        <v>373</v>
      </c>
      <c r="G3299" t="s">
        <v>12</v>
      </c>
      <c r="H3299" s="1">
        <v>42875</v>
      </c>
      <c r="I3299" s="1">
        <v>42882</v>
      </c>
      <c r="J3299">
        <v>529</v>
      </c>
    </row>
    <row r="3300" spans="1:10" x14ac:dyDescent="0.3">
      <c r="A3300" t="s">
        <v>3431</v>
      </c>
      <c r="B3300" t="s">
        <v>118</v>
      </c>
      <c r="C3300" t="str">
        <f>_xlfn.XLOOKUP(B3300,
[1]sales_teams!$A$2:$A$100,
[1]sales_teams!$B$2:$B$100)</f>
        <v>Rocco Neubert</v>
      </c>
      <c r="D3300" t="str">
        <f>_xlfn.XLOOKUP($B3300,sales_teams!$A$2:$A$36,sales_teams!C$2:C$36)</f>
        <v>East</v>
      </c>
      <c r="E3300" t="s">
        <v>15</v>
      </c>
      <c r="F3300" t="s">
        <v>329</v>
      </c>
      <c r="G3300" t="s">
        <v>12</v>
      </c>
      <c r="H3300" s="1">
        <v>42875</v>
      </c>
      <c r="I3300" s="1">
        <v>42879</v>
      </c>
      <c r="J3300">
        <v>4839</v>
      </c>
    </row>
    <row r="3301" spans="1:10" x14ac:dyDescent="0.3">
      <c r="A3301" t="s">
        <v>3432</v>
      </c>
      <c r="B3301" t="s">
        <v>164</v>
      </c>
      <c r="C3301" t="str">
        <f>_xlfn.XLOOKUP(B3301,
[1]sales_teams!$A$2:$A$100,
[1]sales_teams!$B$2:$B$100)</f>
        <v>Cara Losch</v>
      </c>
      <c r="D3301" t="str">
        <f>_xlfn.XLOOKUP($B3301,sales_teams!$A$2:$A$36,sales_teams!C$2:C$36)</f>
        <v>East</v>
      </c>
      <c r="E3301" t="s">
        <v>15</v>
      </c>
      <c r="G3301" t="s">
        <v>40</v>
      </c>
      <c r="H3301" s="1">
        <v>42875</v>
      </c>
    </row>
    <row r="3302" spans="1:10" x14ac:dyDescent="0.3">
      <c r="A3302" t="s">
        <v>3433</v>
      </c>
      <c r="B3302" t="s">
        <v>14</v>
      </c>
      <c r="C3302" t="str">
        <f>_xlfn.XLOOKUP(B3302,
[1]sales_teams!$A$2:$A$100,
[1]sales_teams!$B$2:$B$100)</f>
        <v>Melvin Marxen</v>
      </c>
      <c r="D3302" t="str">
        <f>_xlfn.XLOOKUP($B3302,sales_teams!$A$2:$A$36,sales_teams!C$2:C$36)</f>
        <v>Central</v>
      </c>
      <c r="E3302" t="s">
        <v>15</v>
      </c>
      <c r="F3302" t="s">
        <v>11</v>
      </c>
      <c r="G3302" t="s">
        <v>12</v>
      </c>
      <c r="H3302" s="1">
        <v>42875</v>
      </c>
      <c r="I3302" s="1">
        <v>43005</v>
      </c>
      <c r="J3302">
        <v>5961</v>
      </c>
    </row>
    <row r="3303" spans="1:10" x14ac:dyDescent="0.3">
      <c r="A3303" t="s">
        <v>3434</v>
      </c>
      <c r="B3303" t="s">
        <v>14</v>
      </c>
      <c r="C3303" t="str">
        <f>_xlfn.XLOOKUP(B3303,
[1]sales_teams!$A$2:$A$100,
[1]sales_teams!$B$2:$B$100)</f>
        <v>Melvin Marxen</v>
      </c>
      <c r="D3303" t="str">
        <f>_xlfn.XLOOKUP($B3303,sales_teams!$A$2:$A$36,sales_teams!C$2:C$36)</f>
        <v>Central</v>
      </c>
      <c r="E3303" t="s">
        <v>15</v>
      </c>
      <c r="F3303" t="s">
        <v>109</v>
      </c>
      <c r="G3303" t="s">
        <v>12</v>
      </c>
      <c r="H3303" s="1">
        <v>42875</v>
      </c>
      <c r="I3303" s="1">
        <v>42956</v>
      </c>
      <c r="J3303">
        <v>5647</v>
      </c>
    </row>
    <row r="3304" spans="1:10" x14ac:dyDescent="0.3">
      <c r="A3304" t="s">
        <v>3435</v>
      </c>
      <c r="B3304" t="s">
        <v>14</v>
      </c>
      <c r="C3304" t="str">
        <f>_xlfn.XLOOKUP(B3304,
[1]sales_teams!$A$2:$A$100,
[1]sales_teams!$B$2:$B$100)</f>
        <v>Melvin Marxen</v>
      </c>
      <c r="D3304" t="str">
        <f>_xlfn.XLOOKUP($B3304,sales_teams!$A$2:$A$36,sales_teams!C$2:C$36)</f>
        <v>Central</v>
      </c>
      <c r="E3304" t="s">
        <v>18</v>
      </c>
      <c r="F3304" t="s">
        <v>170</v>
      </c>
      <c r="G3304" t="s">
        <v>12</v>
      </c>
      <c r="H3304" s="1">
        <v>42875</v>
      </c>
      <c r="I3304" s="1">
        <v>42965</v>
      </c>
      <c r="J3304">
        <v>56</v>
      </c>
    </row>
    <row r="3305" spans="1:10" x14ac:dyDescent="0.3">
      <c r="A3305" t="s">
        <v>3436</v>
      </c>
      <c r="B3305" t="s">
        <v>142</v>
      </c>
      <c r="C3305" t="str">
        <f>_xlfn.XLOOKUP(B3305,
[1]sales_teams!$A$2:$A$100,
[1]sales_teams!$B$2:$B$100)</f>
        <v>Rocco Neubert</v>
      </c>
      <c r="D3305" t="str">
        <f>_xlfn.XLOOKUP($B3305,sales_teams!$A$2:$A$36,sales_teams!C$2:C$36)</f>
        <v>East</v>
      </c>
      <c r="E3305" t="s">
        <v>20</v>
      </c>
      <c r="F3305" t="s">
        <v>373</v>
      </c>
      <c r="G3305" t="s">
        <v>46</v>
      </c>
      <c r="H3305" s="1">
        <v>42875</v>
      </c>
      <c r="I3305" s="1">
        <v>42952</v>
      </c>
      <c r="J3305">
        <v>0</v>
      </c>
    </row>
    <row r="3306" spans="1:10" x14ac:dyDescent="0.3">
      <c r="A3306" t="s">
        <v>3437</v>
      </c>
      <c r="B3306" t="s">
        <v>142</v>
      </c>
      <c r="C3306" t="str">
        <f>_xlfn.XLOOKUP(B3306,
[1]sales_teams!$A$2:$A$100,
[1]sales_teams!$B$2:$B$100)</f>
        <v>Rocco Neubert</v>
      </c>
      <c r="D3306" t="str">
        <f>_xlfn.XLOOKUP($B3306,sales_teams!$A$2:$A$36,sales_teams!C$2:C$36)</f>
        <v>East</v>
      </c>
      <c r="E3306" t="s">
        <v>15</v>
      </c>
      <c r="F3306" t="s">
        <v>155</v>
      </c>
      <c r="G3306" t="s">
        <v>46</v>
      </c>
      <c r="H3306" s="1">
        <v>42875</v>
      </c>
      <c r="I3306" s="1">
        <v>42953</v>
      </c>
      <c r="J3306">
        <v>0</v>
      </c>
    </row>
    <row r="3307" spans="1:10" x14ac:dyDescent="0.3">
      <c r="A3307" t="s">
        <v>3438</v>
      </c>
      <c r="B3307" t="s">
        <v>105</v>
      </c>
      <c r="C3307" t="str">
        <f>_xlfn.XLOOKUP(B3307,
[1]sales_teams!$A$2:$A$100,
[1]sales_teams!$B$2:$B$100)</f>
        <v>Cara Losch</v>
      </c>
      <c r="D3307" t="str">
        <f>_xlfn.XLOOKUP($B3307,sales_teams!$A$2:$A$36,sales_teams!C$2:C$36)</f>
        <v>East</v>
      </c>
      <c r="E3307" t="s">
        <v>20</v>
      </c>
      <c r="F3307" t="s">
        <v>155</v>
      </c>
      <c r="G3307" t="s">
        <v>12</v>
      </c>
      <c r="H3307" s="1">
        <v>42875</v>
      </c>
      <c r="I3307" s="1">
        <v>42965</v>
      </c>
      <c r="J3307">
        <v>492</v>
      </c>
    </row>
    <row r="3308" spans="1:10" x14ac:dyDescent="0.3">
      <c r="A3308" t="s">
        <v>3439</v>
      </c>
      <c r="B3308" t="s">
        <v>44</v>
      </c>
      <c r="C3308" t="str">
        <f>_xlfn.XLOOKUP(B3308,
[1]sales_teams!$A$2:$A$100,
[1]sales_teams!$B$2:$B$100)</f>
        <v>Melvin Marxen</v>
      </c>
      <c r="D3308" t="str">
        <f>_xlfn.XLOOKUP($B3308,sales_teams!$A$2:$A$36,sales_teams!C$2:C$36)</f>
        <v>Central</v>
      </c>
      <c r="E3308" t="s">
        <v>18</v>
      </c>
      <c r="F3308" t="s">
        <v>187</v>
      </c>
      <c r="G3308" t="s">
        <v>12</v>
      </c>
      <c r="H3308" s="1">
        <v>42875</v>
      </c>
      <c r="I3308" s="1">
        <v>42978</v>
      </c>
      <c r="J3308">
        <v>68</v>
      </c>
    </row>
    <row r="3309" spans="1:10" x14ac:dyDescent="0.3">
      <c r="A3309" t="s">
        <v>3440</v>
      </c>
      <c r="B3309" t="s">
        <v>54</v>
      </c>
      <c r="C3309" t="str">
        <f>_xlfn.XLOOKUP(B3309,
[1]sales_teams!$A$2:$A$100,
[1]sales_teams!$B$2:$B$100)</f>
        <v>Celia Rouche</v>
      </c>
      <c r="D3309" t="str">
        <f>_xlfn.XLOOKUP($B3309,sales_teams!$A$2:$A$36,sales_teams!C$2:C$36)</f>
        <v>West</v>
      </c>
      <c r="E3309" t="s">
        <v>39</v>
      </c>
      <c r="F3309" t="s">
        <v>398</v>
      </c>
      <c r="G3309" t="s">
        <v>12</v>
      </c>
      <c r="H3309" s="1">
        <v>42875</v>
      </c>
      <c r="I3309" s="1">
        <v>42992</v>
      </c>
      <c r="J3309">
        <v>3728</v>
      </c>
    </row>
    <row r="3310" spans="1:10" x14ac:dyDescent="0.3">
      <c r="A3310" t="s">
        <v>3441</v>
      </c>
      <c r="B3310" t="s">
        <v>78</v>
      </c>
      <c r="C3310" t="str">
        <f>_xlfn.XLOOKUP(B3310,
[1]sales_teams!$A$2:$A$100,
[1]sales_teams!$B$2:$B$100)</f>
        <v>Summer Sewald</v>
      </c>
      <c r="D3310" t="str">
        <f>_xlfn.XLOOKUP($B3310,sales_teams!$A$2:$A$36,sales_teams!C$2:C$36)</f>
        <v>West</v>
      </c>
      <c r="E3310" t="s">
        <v>10</v>
      </c>
      <c r="F3310" t="s">
        <v>168</v>
      </c>
      <c r="G3310" t="s">
        <v>12</v>
      </c>
      <c r="H3310" s="1">
        <v>42875</v>
      </c>
      <c r="I3310" s="1">
        <v>42991</v>
      </c>
      <c r="J3310">
        <v>1082</v>
      </c>
    </row>
    <row r="3311" spans="1:10" x14ac:dyDescent="0.3">
      <c r="A3311" t="s">
        <v>3442</v>
      </c>
      <c r="B3311" t="s">
        <v>95</v>
      </c>
      <c r="C3311" t="str">
        <f>_xlfn.XLOOKUP(B3311,
[1]sales_teams!$A$2:$A$100,
[1]sales_teams!$B$2:$B$100)</f>
        <v>Summer Sewald</v>
      </c>
      <c r="D3311" t="str">
        <f>_xlfn.XLOOKUP($B3311,sales_teams!$A$2:$A$36,sales_teams!C$2:C$36)</f>
        <v>West</v>
      </c>
      <c r="E3311" t="s">
        <v>10</v>
      </c>
      <c r="F3311" t="s">
        <v>24</v>
      </c>
      <c r="G3311" t="s">
        <v>46</v>
      </c>
      <c r="H3311" s="1">
        <v>42875</v>
      </c>
      <c r="I3311" s="1">
        <v>42968</v>
      </c>
      <c r="J3311">
        <v>0</v>
      </c>
    </row>
    <row r="3312" spans="1:10" x14ac:dyDescent="0.3">
      <c r="A3312" t="s">
        <v>3443</v>
      </c>
      <c r="B3312" t="s">
        <v>133</v>
      </c>
      <c r="C3312" t="str">
        <f>_xlfn.XLOOKUP(B3312,
[1]sales_teams!$A$2:$A$100,
[1]sales_teams!$B$2:$B$100)</f>
        <v>Dustin Brinkmann</v>
      </c>
      <c r="D3312" t="str">
        <f>_xlfn.XLOOKUP($B3312,sales_teams!$A$2:$A$36,sales_teams!C$2:C$36)</f>
        <v>Central</v>
      </c>
      <c r="E3312" t="s">
        <v>20</v>
      </c>
      <c r="F3312" t="s">
        <v>135</v>
      </c>
      <c r="G3312" t="s">
        <v>12</v>
      </c>
      <c r="H3312" s="1">
        <v>42875</v>
      </c>
      <c r="I3312" s="1">
        <v>42952</v>
      </c>
      <c r="J3312">
        <v>557</v>
      </c>
    </row>
    <row r="3313" spans="1:10" x14ac:dyDescent="0.3">
      <c r="A3313" t="s">
        <v>3444</v>
      </c>
      <c r="B3313" t="s">
        <v>35</v>
      </c>
      <c r="C3313" t="str">
        <f>_xlfn.XLOOKUP(B3313,
[1]sales_teams!$A$2:$A$100,
[1]sales_teams!$B$2:$B$100)</f>
        <v>Melvin Marxen</v>
      </c>
      <c r="D3313" t="str">
        <f>_xlfn.XLOOKUP($B3313,sales_teams!$A$2:$A$36,sales_teams!C$2:C$36)</f>
        <v>Central</v>
      </c>
      <c r="E3313" t="s">
        <v>18</v>
      </c>
      <c r="F3313" t="s">
        <v>197</v>
      </c>
      <c r="G3313" t="s">
        <v>12</v>
      </c>
      <c r="H3313" s="1">
        <v>42875</v>
      </c>
      <c r="I3313" s="1">
        <v>42956</v>
      </c>
      <c r="J3313">
        <v>60</v>
      </c>
    </row>
    <row r="3314" spans="1:10" x14ac:dyDescent="0.3">
      <c r="A3314" t="s">
        <v>3445</v>
      </c>
      <c r="B3314" t="s">
        <v>61</v>
      </c>
      <c r="C3314" t="str">
        <f>_xlfn.XLOOKUP(B3314,
[1]sales_teams!$A$2:$A$100,
[1]sales_teams!$B$2:$B$100)</f>
        <v>Dustin Brinkmann</v>
      </c>
      <c r="D3314" t="str">
        <f>_xlfn.XLOOKUP($B3314,sales_teams!$A$2:$A$36,sales_teams!C$2:C$36)</f>
        <v>Central</v>
      </c>
      <c r="E3314" t="s">
        <v>48</v>
      </c>
      <c r="F3314" t="s">
        <v>231</v>
      </c>
      <c r="G3314" t="s">
        <v>12</v>
      </c>
      <c r="H3314" s="1">
        <v>42875</v>
      </c>
      <c r="I3314" s="1">
        <v>42880</v>
      </c>
      <c r="J3314">
        <v>5046</v>
      </c>
    </row>
    <row r="3315" spans="1:10" x14ac:dyDescent="0.3">
      <c r="A3315" t="s">
        <v>3446</v>
      </c>
      <c r="B3315" t="s">
        <v>61</v>
      </c>
      <c r="C3315" t="str">
        <f>_xlfn.XLOOKUP(B3315,
[1]sales_teams!$A$2:$A$100,
[1]sales_teams!$B$2:$B$100)</f>
        <v>Dustin Brinkmann</v>
      </c>
      <c r="D3315" t="str">
        <f>_xlfn.XLOOKUP($B3315,sales_teams!$A$2:$A$36,sales_teams!C$2:C$36)</f>
        <v>Central</v>
      </c>
      <c r="E3315" t="s">
        <v>18</v>
      </c>
      <c r="F3315" t="s">
        <v>109</v>
      </c>
      <c r="G3315" t="s">
        <v>12</v>
      </c>
      <c r="H3315" s="1">
        <v>42875</v>
      </c>
      <c r="I3315" s="1">
        <v>42951</v>
      </c>
      <c r="J3315">
        <v>53</v>
      </c>
    </row>
    <row r="3316" spans="1:10" x14ac:dyDescent="0.3">
      <c r="A3316" t="s">
        <v>3447</v>
      </c>
      <c r="B3316" t="s">
        <v>61</v>
      </c>
      <c r="C3316" t="str">
        <f>_xlfn.XLOOKUP(B3316,
[1]sales_teams!$A$2:$A$100,
[1]sales_teams!$B$2:$B$100)</f>
        <v>Dustin Brinkmann</v>
      </c>
      <c r="D3316" t="str">
        <f>_xlfn.XLOOKUP($B3316,sales_teams!$A$2:$A$36,sales_teams!C$2:C$36)</f>
        <v>Central</v>
      </c>
      <c r="E3316" t="s">
        <v>39</v>
      </c>
      <c r="F3316" t="s">
        <v>111</v>
      </c>
      <c r="G3316" t="s">
        <v>12</v>
      </c>
      <c r="H3316" s="1">
        <v>42875</v>
      </c>
      <c r="I3316" s="1">
        <v>42896</v>
      </c>
      <c r="J3316">
        <v>2807</v>
      </c>
    </row>
    <row r="3317" spans="1:10" x14ac:dyDescent="0.3">
      <c r="A3317" t="s">
        <v>3448</v>
      </c>
      <c r="B3317" t="s">
        <v>29</v>
      </c>
      <c r="C3317" t="str">
        <f>_xlfn.XLOOKUP(B3317,
[1]sales_teams!$A$2:$A$100,
[1]sales_teams!$B$2:$B$100)</f>
        <v>Celia Rouche</v>
      </c>
      <c r="D3317" t="str">
        <f>_xlfn.XLOOKUP($B3317,sales_teams!$A$2:$A$36,sales_teams!C$2:C$36)</f>
        <v>West</v>
      </c>
      <c r="E3317" t="s">
        <v>15</v>
      </c>
      <c r="F3317" t="s">
        <v>124</v>
      </c>
      <c r="G3317" t="s">
        <v>46</v>
      </c>
      <c r="H3317" s="1">
        <v>42875</v>
      </c>
      <c r="I3317" s="1">
        <v>42970</v>
      </c>
      <c r="J3317">
        <v>0</v>
      </c>
    </row>
    <row r="3318" spans="1:10" x14ac:dyDescent="0.3">
      <c r="A3318" t="s">
        <v>3449</v>
      </c>
      <c r="B3318" t="s">
        <v>23</v>
      </c>
      <c r="C3318" t="str">
        <f>_xlfn.XLOOKUP(B3318,
[1]sales_teams!$A$2:$A$100,
[1]sales_teams!$B$2:$B$100)</f>
        <v>Summer Sewald</v>
      </c>
      <c r="D3318" t="str">
        <f>_xlfn.XLOOKUP($B3318,sales_teams!$A$2:$A$36,sales_teams!C$2:C$36)</f>
        <v>West</v>
      </c>
      <c r="E3318" t="s">
        <v>15</v>
      </c>
      <c r="F3318" t="s">
        <v>168</v>
      </c>
      <c r="G3318" t="s">
        <v>46</v>
      </c>
      <c r="H3318" s="1">
        <v>42875</v>
      </c>
      <c r="I3318" s="1">
        <v>42885</v>
      </c>
      <c r="J3318">
        <v>0</v>
      </c>
    </row>
    <row r="3319" spans="1:10" x14ac:dyDescent="0.3">
      <c r="A3319" t="s">
        <v>3450</v>
      </c>
      <c r="B3319" t="s">
        <v>26</v>
      </c>
      <c r="C3319" t="str">
        <f>_xlfn.XLOOKUP(B3319,
[1]sales_teams!$A$2:$A$100,
[1]sales_teams!$B$2:$B$100)</f>
        <v>Dustin Brinkmann</v>
      </c>
      <c r="D3319" t="str">
        <f>_xlfn.XLOOKUP($B3319,sales_teams!$A$2:$A$36,sales_teams!C$2:C$36)</f>
        <v>Central</v>
      </c>
      <c r="E3319" t="s">
        <v>20</v>
      </c>
      <c r="F3319" t="s">
        <v>42</v>
      </c>
      <c r="G3319" t="s">
        <v>12</v>
      </c>
      <c r="H3319" s="1">
        <v>42876</v>
      </c>
      <c r="I3319" s="1">
        <v>42958</v>
      </c>
      <c r="J3319">
        <v>475</v>
      </c>
    </row>
    <row r="3320" spans="1:10" x14ac:dyDescent="0.3">
      <c r="A3320" t="s">
        <v>3451</v>
      </c>
      <c r="B3320" t="s">
        <v>26</v>
      </c>
      <c r="C3320" t="str">
        <f>_xlfn.XLOOKUP(B3320,
[1]sales_teams!$A$2:$A$100,
[1]sales_teams!$B$2:$B$100)</f>
        <v>Dustin Brinkmann</v>
      </c>
      <c r="D3320" t="str">
        <f>_xlfn.XLOOKUP($B3320,sales_teams!$A$2:$A$36,sales_teams!C$2:C$36)</f>
        <v>Central</v>
      </c>
      <c r="E3320" t="s">
        <v>39</v>
      </c>
      <c r="F3320" t="s">
        <v>27</v>
      </c>
      <c r="G3320" t="s">
        <v>12</v>
      </c>
      <c r="H3320" s="1">
        <v>42876</v>
      </c>
      <c r="I3320" s="1">
        <v>42950</v>
      </c>
      <c r="J3320">
        <v>3031</v>
      </c>
    </row>
    <row r="3321" spans="1:10" x14ac:dyDescent="0.3">
      <c r="A3321" t="s">
        <v>3452</v>
      </c>
      <c r="B3321" t="s">
        <v>139</v>
      </c>
      <c r="C3321" t="str">
        <f>_xlfn.XLOOKUP(B3321,
[1]sales_teams!$A$2:$A$100,
[1]sales_teams!$B$2:$B$100)</f>
        <v>Rocco Neubert</v>
      </c>
      <c r="D3321" t="str">
        <f>_xlfn.XLOOKUP($B3321,sales_teams!$A$2:$A$36,sales_teams!C$2:C$36)</f>
        <v>East</v>
      </c>
      <c r="E3321" t="s">
        <v>18</v>
      </c>
      <c r="F3321" t="s">
        <v>177</v>
      </c>
      <c r="G3321" t="s">
        <v>12</v>
      </c>
      <c r="H3321" s="1">
        <v>42876</v>
      </c>
      <c r="I3321" s="1">
        <v>42956</v>
      </c>
      <c r="J3321">
        <v>53</v>
      </c>
    </row>
    <row r="3322" spans="1:10" x14ac:dyDescent="0.3">
      <c r="A3322" t="s">
        <v>3453</v>
      </c>
      <c r="B3322" t="s">
        <v>118</v>
      </c>
      <c r="C3322" t="str">
        <f>_xlfn.XLOOKUP(B3322,
[1]sales_teams!$A$2:$A$100,
[1]sales_teams!$B$2:$B$100)</f>
        <v>Rocco Neubert</v>
      </c>
      <c r="D3322" t="str">
        <f>_xlfn.XLOOKUP($B3322,sales_teams!$A$2:$A$36,sales_teams!C$2:C$36)</f>
        <v>East</v>
      </c>
      <c r="E3322" t="s">
        <v>10</v>
      </c>
      <c r="F3322" t="s">
        <v>65</v>
      </c>
      <c r="G3322" t="s">
        <v>12</v>
      </c>
      <c r="H3322" s="1">
        <v>42876</v>
      </c>
      <c r="I3322" s="1">
        <v>42890</v>
      </c>
      <c r="J3322">
        <v>1112</v>
      </c>
    </row>
    <row r="3323" spans="1:10" x14ac:dyDescent="0.3">
      <c r="A3323" t="s">
        <v>3454</v>
      </c>
      <c r="B3323" t="s">
        <v>164</v>
      </c>
      <c r="C3323" t="str">
        <f>_xlfn.XLOOKUP(B3323,
[1]sales_teams!$A$2:$A$100,
[1]sales_teams!$B$2:$B$100)</f>
        <v>Cara Losch</v>
      </c>
      <c r="D3323" t="str">
        <f>_xlfn.XLOOKUP($B3323,sales_teams!$A$2:$A$36,sales_teams!C$2:C$36)</f>
        <v>East</v>
      </c>
      <c r="E3323" t="s">
        <v>20</v>
      </c>
      <c r="F3323" t="s">
        <v>62</v>
      </c>
      <c r="G3323" t="s">
        <v>40</v>
      </c>
      <c r="H3323" s="1">
        <v>42876</v>
      </c>
    </row>
    <row r="3324" spans="1:10" x14ac:dyDescent="0.3">
      <c r="A3324" t="s">
        <v>3455</v>
      </c>
      <c r="B3324" t="s">
        <v>64</v>
      </c>
      <c r="C3324" t="str">
        <f>_xlfn.XLOOKUP(B3324,
[1]sales_teams!$A$2:$A$100,
[1]sales_teams!$B$2:$B$100)</f>
        <v>Rocco Neubert</v>
      </c>
      <c r="D3324" t="str">
        <f>_xlfn.XLOOKUP($B3324,sales_teams!$A$2:$A$36,sales_teams!C$2:C$36)</f>
        <v>East</v>
      </c>
      <c r="E3324" t="s">
        <v>15</v>
      </c>
      <c r="F3324" t="s">
        <v>278</v>
      </c>
      <c r="G3324" t="s">
        <v>12</v>
      </c>
      <c r="H3324" s="1">
        <v>42876</v>
      </c>
      <c r="I3324" s="1">
        <v>42989</v>
      </c>
      <c r="J3324">
        <v>4491</v>
      </c>
    </row>
    <row r="3325" spans="1:10" x14ac:dyDescent="0.3">
      <c r="A3325" t="s">
        <v>3456</v>
      </c>
      <c r="B3325" t="s">
        <v>67</v>
      </c>
      <c r="C3325" t="str">
        <f>_xlfn.XLOOKUP(B3325,
[1]sales_teams!$A$2:$A$100,
[1]sales_teams!$B$2:$B$100)</f>
        <v>Celia Rouche</v>
      </c>
      <c r="D3325" t="str">
        <f>_xlfn.XLOOKUP($B3325,sales_teams!$A$2:$A$36,sales_teams!C$2:C$36)</f>
        <v>West</v>
      </c>
      <c r="E3325" t="s">
        <v>20</v>
      </c>
      <c r="F3325" t="s">
        <v>313</v>
      </c>
      <c r="G3325" t="s">
        <v>12</v>
      </c>
      <c r="H3325" s="1">
        <v>42876</v>
      </c>
      <c r="I3325" s="1">
        <v>42892</v>
      </c>
      <c r="J3325">
        <v>562</v>
      </c>
    </row>
    <row r="3326" spans="1:10" x14ac:dyDescent="0.3">
      <c r="A3326" t="s">
        <v>3457</v>
      </c>
      <c r="B3326" t="s">
        <v>38</v>
      </c>
      <c r="C3326" t="str">
        <f>_xlfn.XLOOKUP(B3326,
[1]sales_teams!$A$2:$A$100,
[1]sales_teams!$B$2:$B$100)</f>
        <v>Summer Sewald</v>
      </c>
      <c r="D3326" t="str">
        <f>_xlfn.XLOOKUP($B3326,sales_teams!$A$2:$A$36,sales_teams!C$2:C$36)</f>
        <v>West</v>
      </c>
      <c r="E3326" t="s">
        <v>20</v>
      </c>
      <c r="F3326" t="s">
        <v>68</v>
      </c>
      <c r="G3326" t="s">
        <v>12</v>
      </c>
      <c r="H3326" s="1">
        <v>42876</v>
      </c>
      <c r="I3326" s="1">
        <v>42890</v>
      </c>
      <c r="J3326">
        <v>593</v>
      </c>
    </row>
    <row r="3327" spans="1:10" x14ac:dyDescent="0.3">
      <c r="A3327" t="s">
        <v>3458</v>
      </c>
      <c r="B3327" t="s">
        <v>252</v>
      </c>
      <c r="C3327" t="str">
        <f>_xlfn.XLOOKUP(B3327,
[1]sales_teams!$A$2:$A$100,
[1]sales_teams!$B$2:$B$100)</f>
        <v>Melvin Marxen</v>
      </c>
      <c r="D3327" t="str">
        <f>_xlfn.XLOOKUP($B3327,sales_teams!$A$2:$A$36,sales_teams!C$2:C$36)</f>
        <v>Central</v>
      </c>
      <c r="E3327" t="s">
        <v>15</v>
      </c>
      <c r="F3327" t="s">
        <v>315</v>
      </c>
      <c r="G3327" t="s">
        <v>12</v>
      </c>
      <c r="H3327" s="1">
        <v>42876</v>
      </c>
      <c r="I3327" s="1">
        <v>42977</v>
      </c>
      <c r="J3327">
        <v>4606</v>
      </c>
    </row>
    <row r="3328" spans="1:10" x14ac:dyDescent="0.3">
      <c r="A3328" t="s">
        <v>3459</v>
      </c>
      <c r="B3328" t="s">
        <v>78</v>
      </c>
      <c r="C3328" t="str">
        <f>_xlfn.XLOOKUP(B3328,
[1]sales_teams!$A$2:$A$100,
[1]sales_teams!$B$2:$B$100)</f>
        <v>Summer Sewald</v>
      </c>
      <c r="D3328" t="str">
        <f>_xlfn.XLOOKUP($B3328,sales_teams!$A$2:$A$36,sales_teams!C$2:C$36)</f>
        <v>West</v>
      </c>
      <c r="E3328" t="s">
        <v>10</v>
      </c>
      <c r="F3328" t="s">
        <v>194</v>
      </c>
      <c r="G3328" t="s">
        <v>12</v>
      </c>
      <c r="H3328" s="1">
        <v>42876</v>
      </c>
      <c r="I3328" s="1">
        <v>42958</v>
      </c>
      <c r="J3328">
        <v>1100</v>
      </c>
    </row>
    <row r="3329" spans="1:10" x14ac:dyDescent="0.3">
      <c r="A3329" t="s">
        <v>3460</v>
      </c>
      <c r="B3329" t="s">
        <v>78</v>
      </c>
      <c r="C3329" t="str">
        <f>_xlfn.XLOOKUP(B3329,
[1]sales_teams!$A$2:$A$100,
[1]sales_teams!$B$2:$B$100)</f>
        <v>Summer Sewald</v>
      </c>
      <c r="D3329" t="str">
        <f>_xlfn.XLOOKUP($B3329,sales_teams!$A$2:$A$36,sales_teams!C$2:C$36)</f>
        <v>West</v>
      </c>
      <c r="E3329" t="s">
        <v>10</v>
      </c>
      <c r="F3329" t="s">
        <v>59</v>
      </c>
      <c r="G3329" t="s">
        <v>12</v>
      </c>
      <c r="H3329" s="1">
        <v>42876</v>
      </c>
      <c r="I3329" s="1">
        <v>42965</v>
      </c>
      <c r="J3329">
        <v>1198</v>
      </c>
    </row>
    <row r="3330" spans="1:10" x14ac:dyDescent="0.3">
      <c r="A3330" t="s">
        <v>3461</v>
      </c>
      <c r="B3330" t="s">
        <v>95</v>
      </c>
      <c r="C3330" t="str">
        <f>_xlfn.XLOOKUP(B3330,
[1]sales_teams!$A$2:$A$100,
[1]sales_teams!$B$2:$B$100)</f>
        <v>Summer Sewald</v>
      </c>
      <c r="D3330" t="str">
        <f>_xlfn.XLOOKUP($B3330,sales_teams!$A$2:$A$36,sales_teams!C$2:C$36)</f>
        <v>West</v>
      </c>
      <c r="E3330" t="s">
        <v>20</v>
      </c>
      <c r="G3330" t="s">
        <v>40</v>
      </c>
      <c r="H3330" s="1">
        <v>42876</v>
      </c>
    </row>
    <row r="3331" spans="1:10" x14ac:dyDescent="0.3">
      <c r="A3331" t="s">
        <v>3462</v>
      </c>
      <c r="B3331" t="s">
        <v>95</v>
      </c>
      <c r="C3331" t="str">
        <f>_xlfn.XLOOKUP(B3331,
[1]sales_teams!$A$2:$A$100,
[1]sales_teams!$B$2:$B$100)</f>
        <v>Summer Sewald</v>
      </c>
      <c r="D3331" t="str">
        <f>_xlfn.XLOOKUP($B3331,sales_teams!$A$2:$A$36,sales_teams!C$2:C$36)</f>
        <v>West</v>
      </c>
      <c r="E3331" t="s">
        <v>48</v>
      </c>
      <c r="G3331" t="s">
        <v>40</v>
      </c>
      <c r="H3331" s="1">
        <v>42876</v>
      </c>
    </row>
    <row r="3332" spans="1:10" x14ac:dyDescent="0.3">
      <c r="A3332" t="s">
        <v>3463</v>
      </c>
      <c r="B3332" t="s">
        <v>133</v>
      </c>
      <c r="C3332" t="str">
        <f>_xlfn.XLOOKUP(B3332,
[1]sales_teams!$A$2:$A$100,
[1]sales_teams!$B$2:$B$100)</f>
        <v>Dustin Brinkmann</v>
      </c>
      <c r="D3332" t="str">
        <f>_xlfn.XLOOKUP($B3332,sales_teams!$A$2:$A$36,sales_teams!C$2:C$36)</f>
        <v>Central</v>
      </c>
      <c r="E3332" t="s">
        <v>39</v>
      </c>
      <c r="F3332" t="s">
        <v>197</v>
      </c>
      <c r="G3332" t="s">
        <v>12</v>
      </c>
      <c r="H3332" s="1">
        <v>42876</v>
      </c>
      <c r="I3332" s="1">
        <v>42967</v>
      </c>
      <c r="J3332">
        <v>3250</v>
      </c>
    </row>
    <row r="3333" spans="1:10" x14ac:dyDescent="0.3">
      <c r="A3333" t="s">
        <v>3464</v>
      </c>
      <c r="B3333" t="s">
        <v>116</v>
      </c>
      <c r="C3333" t="str">
        <f>_xlfn.XLOOKUP(B3333,
[1]sales_teams!$A$2:$A$100,
[1]sales_teams!$B$2:$B$100)</f>
        <v>Melvin Marxen</v>
      </c>
      <c r="D3333" t="str">
        <f>_xlfn.XLOOKUP($B3333,sales_teams!$A$2:$A$36,sales_teams!C$2:C$36)</f>
        <v>Central</v>
      </c>
      <c r="E3333" t="s">
        <v>39</v>
      </c>
      <c r="F3333" t="s">
        <v>62</v>
      </c>
      <c r="G3333" t="s">
        <v>12</v>
      </c>
      <c r="H3333" s="1">
        <v>42876</v>
      </c>
      <c r="I3333" s="1">
        <v>42983</v>
      </c>
      <c r="J3333">
        <v>2785</v>
      </c>
    </row>
    <row r="3334" spans="1:10" x14ac:dyDescent="0.3">
      <c r="A3334" t="s">
        <v>3465</v>
      </c>
      <c r="B3334" t="s">
        <v>51</v>
      </c>
      <c r="C3334" t="str">
        <f>_xlfn.XLOOKUP(B3334,
[1]sales_teams!$A$2:$A$100,
[1]sales_teams!$B$2:$B$100)</f>
        <v>Summer Sewald</v>
      </c>
      <c r="D3334" t="str">
        <f>_xlfn.XLOOKUP($B3334,sales_teams!$A$2:$A$36,sales_teams!C$2:C$36)</f>
        <v>West</v>
      </c>
      <c r="E3334" t="s">
        <v>18</v>
      </c>
      <c r="F3334" t="s">
        <v>59</v>
      </c>
      <c r="G3334" t="s">
        <v>12</v>
      </c>
      <c r="H3334" s="1">
        <v>42876</v>
      </c>
      <c r="I3334" s="1">
        <v>42958</v>
      </c>
      <c r="J3334">
        <v>49</v>
      </c>
    </row>
    <row r="3335" spans="1:10" x14ac:dyDescent="0.3">
      <c r="A3335" t="s">
        <v>3466</v>
      </c>
      <c r="B3335" t="s">
        <v>9</v>
      </c>
      <c r="C3335" t="str">
        <f>_xlfn.XLOOKUP(B3335,
[1]sales_teams!$A$2:$A$100,
[1]sales_teams!$B$2:$B$100)</f>
        <v>Dustin Brinkmann</v>
      </c>
      <c r="D3335" t="str">
        <f>_xlfn.XLOOKUP($B3335,sales_teams!$A$2:$A$36,sales_teams!C$2:C$36)</f>
        <v>Central</v>
      </c>
      <c r="E3335" t="s">
        <v>39</v>
      </c>
      <c r="F3335" t="s">
        <v>318</v>
      </c>
      <c r="G3335" t="s">
        <v>46</v>
      </c>
      <c r="H3335" s="1">
        <v>42876</v>
      </c>
      <c r="I3335" s="1">
        <v>42880</v>
      </c>
      <c r="J3335">
        <v>0</v>
      </c>
    </row>
    <row r="3336" spans="1:10" x14ac:dyDescent="0.3">
      <c r="A3336" t="s">
        <v>3467</v>
      </c>
      <c r="B3336" t="s">
        <v>9</v>
      </c>
      <c r="C3336" t="str">
        <f>_xlfn.XLOOKUP(B3336,
[1]sales_teams!$A$2:$A$100,
[1]sales_teams!$B$2:$B$100)</f>
        <v>Dustin Brinkmann</v>
      </c>
      <c r="D3336" t="str">
        <f>_xlfn.XLOOKUP($B3336,sales_teams!$A$2:$A$36,sales_teams!C$2:C$36)</f>
        <v>Central</v>
      </c>
      <c r="E3336" t="s">
        <v>20</v>
      </c>
      <c r="F3336" t="s">
        <v>42</v>
      </c>
      <c r="G3336" t="s">
        <v>12</v>
      </c>
      <c r="H3336" s="1">
        <v>42876</v>
      </c>
      <c r="I3336" s="1">
        <v>42993</v>
      </c>
      <c r="J3336">
        <v>547</v>
      </c>
    </row>
    <row r="3337" spans="1:10" x14ac:dyDescent="0.3">
      <c r="A3337" t="s">
        <v>3468</v>
      </c>
      <c r="B3337" t="s">
        <v>35</v>
      </c>
      <c r="C3337" t="str">
        <f>_xlfn.XLOOKUP(B3337,
[1]sales_teams!$A$2:$A$100,
[1]sales_teams!$B$2:$B$100)</f>
        <v>Melvin Marxen</v>
      </c>
      <c r="D3337" t="str">
        <f>_xlfn.XLOOKUP($B3337,sales_teams!$A$2:$A$36,sales_teams!C$2:C$36)</f>
        <v>Central</v>
      </c>
      <c r="E3337" t="s">
        <v>18</v>
      </c>
      <c r="F3337" t="s">
        <v>42</v>
      </c>
      <c r="G3337" t="s">
        <v>12</v>
      </c>
      <c r="H3337" s="1">
        <v>42876</v>
      </c>
      <c r="I3337" s="1">
        <v>42948</v>
      </c>
      <c r="J3337">
        <v>57</v>
      </c>
    </row>
    <row r="3338" spans="1:10" x14ac:dyDescent="0.3">
      <c r="A3338" t="s">
        <v>3469</v>
      </c>
      <c r="B3338" t="s">
        <v>57</v>
      </c>
      <c r="C3338" t="str">
        <f>_xlfn.XLOOKUP(B3338,
[1]sales_teams!$A$2:$A$100,
[1]sales_teams!$B$2:$B$100)</f>
        <v>Celia Rouche</v>
      </c>
      <c r="D3338" t="str">
        <f>_xlfn.XLOOKUP($B3338,sales_teams!$A$2:$A$36,sales_teams!C$2:C$36)</f>
        <v>West</v>
      </c>
      <c r="E3338" t="s">
        <v>18</v>
      </c>
      <c r="F3338" t="s">
        <v>70</v>
      </c>
      <c r="G3338" t="s">
        <v>46</v>
      </c>
      <c r="H3338" s="1">
        <v>42876</v>
      </c>
      <c r="I3338" s="1">
        <v>42955</v>
      </c>
      <c r="J3338">
        <v>0</v>
      </c>
    </row>
    <row r="3339" spans="1:10" x14ac:dyDescent="0.3">
      <c r="A3339" t="s">
        <v>3470</v>
      </c>
      <c r="B3339" t="s">
        <v>57</v>
      </c>
      <c r="C3339" t="str">
        <f>_xlfn.XLOOKUP(B3339,
[1]sales_teams!$A$2:$A$100,
[1]sales_teams!$B$2:$B$100)</f>
        <v>Celia Rouche</v>
      </c>
      <c r="D3339" t="str">
        <f>_xlfn.XLOOKUP($B3339,sales_teams!$A$2:$A$36,sales_teams!C$2:C$36)</f>
        <v>West</v>
      </c>
      <c r="E3339" t="s">
        <v>18</v>
      </c>
      <c r="F3339" t="s">
        <v>159</v>
      </c>
      <c r="G3339" t="s">
        <v>46</v>
      </c>
      <c r="H3339" s="1">
        <v>42876</v>
      </c>
      <c r="I3339" s="1">
        <v>42953</v>
      </c>
      <c r="J3339">
        <v>0</v>
      </c>
    </row>
    <row r="3340" spans="1:10" x14ac:dyDescent="0.3">
      <c r="A3340" t="s">
        <v>3471</v>
      </c>
      <c r="B3340" t="s">
        <v>29</v>
      </c>
      <c r="C3340" t="str">
        <f>_xlfn.XLOOKUP(B3340,
[1]sales_teams!$A$2:$A$100,
[1]sales_teams!$B$2:$B$100)</f>
        <v>Celia Rouche</v>
      </c>
      <c r="D3340" t="str">
        <f>_xlfn.XLOOKUP($B3340,sales_teams!$A$2:$A$36,sales_teams!C$2:C$36)</f>
        <v>West</v>
      </c>
      <c r="E3340" t="s">
        <v>39</v>
      </c>
      <c r="F3340" t="s">
        <v>52</v>
      </c>
      <c r="G3340" t="s">
        <v>46</v>
      </c>
      <c r="H3340" s="1">
        <v>42876</v>
      </c>
      <c r="I3340" s="1">
        <v>42878</v>
      </c>
      <c r="J3340">
        <v>0</v>
      </c>
    </row>
    <row r="3341" spans="1:10" x14ac:dyDescent="0.3">
      <c r="A3341" t="s">
        <v>3472</v>
      </c>
      <c r="B3341" t="s">
        <v>29</v>
      </c>
      <c r="C3341" t="str">
        <f>_xlfn.XLOOKUP(B3341,
[1]sales_teams!$A$2:$A$100,
[1]sales_teams!$B$2:$B$100)</f>
        <v>Celia Rouche</v>
      </c>
      <c r="D3341" t="str">
        <f>_xlfn.XLOOKUP($B3341,sales_teams!$A$2:$A$36,sales_teams!C$2:C$36)</f>
        <v>West</v>
      </c>
      <c r="E3341" t="s">
        <v>20</v>
      </c>
      <c r="F3341" t="s">
        <v>33</v>
      </c>
      <c r="G3341" t="s">
        <v>12</v>
      </c>
      <c r="H3341" s="1">
        <v>42876</v>
      </c>
      <c r="I3341" s="1">
        <v>42952</v>
      </c>
      <c r="J3341">
        <v>572</v>
      </c>
    </row>
    <row r="3342" spans="1:10" x14ac:dyDescent="0.3">
      <c r="A3342" t="s">
        <v>3473</v>
      </c>
      <c r="B3342" t="s">
        <v>73</v>
      </c>
      <c r="C3342" t="str">
        <f>_xlfn.XLOOKUP(B3342,
[1]sales_teams!$A$2:$A$100,
[1]sales_teams!$B$2:$B$100)</f>
        <v>Cara Losch</v>
      </c>
      <c r="D3342" t="str">
        <f>_xlfn.XLOOKUP($B3342,sales_teams!$A$2:$A$36,sales_teams!C$2:C$36)</f>
        <v>East</v>
      </c>
      <c r="E3342" t="s">
        <v>18</v>
      </c>
      <c r="F3342" t="s">
        <v>177</v>
      </c>
      <c r="G3342" t="s">
        <v>12</v>
      </c>
      <c r="H3342" s="1">
        <v>42876</v>
      </c>
      <c r="I3342" s="1">
        <v>42896</v>
      </c>
      <c r="J3342">
        <v>48</v>
      </c>
    </row>
    <row r="3343" spans="1:10" x14ac:dyDescent="0.3">
      <c r="A3343" t="s">
        <v>3474</v>
      </c>
      <c r="B3343" t="s">
        <v>26</v>
      </c>
      <c r="C3343" t="str">
        <f>_xlfn.XLOOKUP(B3343,
[1]sales_teams!$A$2:$A$100,
[1]sales_teams!$B$2:$B$100)</f>
        <v>Dustin Brinkmann</v>
      </c>
      <c r="D3343" t="str">
        <f>_xlfn.XLOOKUP($B3343,sales_teams!$A$2:$A$36,sales_teams!C$2:C$36)</f>
        <v>Central</v>
      </c>
      <c r="E3343" t="s">
        <v>48</v>
      </c>
      <c r="F3343" t="s">
        <v>16</v>
      </c>
      <c r="G3343" t="s">
        <v>46</v>
      </c>
      <c r="H3343" s="1">
        <v>42877</v>
      </c>
      <c r="I3343" s="1">
        <v>42886</v>
      </c>
      <c r="J3343">
        <v>0</v>
      </c>
    </row>
    <row r="3344" spans="1:10" x14ac:dyDescent="0.3">
      <c r="A3344" t="s">
        <v>3475</v>
      </c>
      <c r="B3344" t="s">
        <v>164</v>
      </c>
      <c r="C3344" t="str">
        <f>_xlfn.XLOOKUP(B3344,
[1]sales_teams!$A$2:$A$100,
[1]sales_teams!$B$2:$B$100)</f>
        <v>Cara Losch</v>
      </c>
      <c r="D3344" t="str">
        <f>_xlfn.XLOOKUP($B3344,sales_teams!$A$2:$A$36,sales_teams!C$2:C$36)</f>
        <v>East</v>
      </c>
      <c r="E3344" t="s">
        <v>10</v>
      </c>
      <c r="F3344" t="s">
        <v>398</v>
      </c>
      <c r="G3344" t="s">
        <v>40</v>
      </c>
      <c r="H3344" s="1">
        <v>42877</v>
      </c>
    </row>
    <row r="3345" spans="1:10" x14ac:dyDescent="0.3">
      <c r="A3345" t="s">
        <v>3476</v>
      </c>
      <c r="B3345" t="s">
        <v>64</v>
      </c>
      <c r="C3345" t="str">
        <f>_xlfn.XLOOKUP(B3345,
[1]sales_teams!$A$2:$A$100,
[1]sales_teams!$B$2:$B$100)</f>
        <v>Rocco Neubert</v>
      </c>
      <c r="D3345" t="str">
        <f>_xlfn.XLOOKUP($B3345,sales_teams!$A$2:$A$36,sales_teams!C$2:C$36)</f>
        <v>East</v>
      </c>
      <c r="E3345" t="s">
        <v>39</v>
      </c>
      <c r="G3345" t="s">
        <v>40</v>
      </c>
      <c r="H3345" s="1">
        <v>42877</v>
      </c>
    </row>
    <row r="3346" spans="1:10" x14ac:dyDescent="0.3">
      <c r="A3346" t="s">
        <v>3477</v>
      </c>
      <c r="B3346" t="s">
        <v>14</v>
      </c>
      <c r="C3346" t="str">
        <f>_xlfn.XLOOKUP(B3346,
[1]sales_teams!$A$2:$A$100,
[1]sales_teams!$B$2:$B$100)</f>
        <v>Melvin Marxen</v>
      </c>
      <c r="D3346" t="str">
        <f>_xlfn.XLOOKUP($B3346,sales_teams!$A$2:$A$36,sales_teams!C$2:C$36)</f>
        <v>Central</v>
      </c>
      <c r="E3346" t="s">
        <v>39</v>
      </c>
      <c r="F3346" t="s">
        <v>120</v>
      </c>
      <c r="G3346" t="s">
        <v>46</v>
      </c>
      <c r="H3346" s="1">
        <v>42877</v>
      </c>
      <c r="I3346" s="1">
        <v>42986</v>
      </c>
      <c r="J3346">
        <v>0</v>
      </c>
    </row>
    <row r="3347" spans="1:10" x14ac:dyDescent="0.3">
      <c r="A3347" t="s">
        <v>3478</v>
      </c>
      <c r="B3347" t="s">
        <v>105</v>
      </c>
      <c r="C3347" t="str">
        <f>_xlfn.XLOOKUP(B3347,
[1]sales_teams!$A$2:$A$100,
[1]sales_teams!$B$2:$B$100)</f>
        <v>Cara Losch</v>
      </c>
      <c r="D3347" t="str">
        <f>_xlfn.XLOOKUP($B3347,sales_teams!$A$2:$A$36,sales_teams!C$2:C$36)</f>
        <v>East</v>
      </c>
      <c r="E3347" t="s">
        <v>20</v>
      </c>
      <c r="F3347" t="s">
        <v>155</v>
      </c>
      <c r="G3347" t="s">
        <v>12</v>
      </c>
      <c r="H3347" s="1">
        <v>42877</v>
      </c>
      <c r="I3347" s="1">
        <v>42892</v>
      </c>
      <c r="J3347">
        <v>555</v>
      </c>
    </row>
    <row r="3348" spans="1:10" x14ac:dyDescent="0.3">
      <c r="A3348" t="s">
        <v>3479</v>
      </c>
      <c r="B3348" t="s">
        <v>105</v>
      </c>
      <c r="C3348" t="str">
        <f>_xlfn.XLOOKUP(B3348,
[1]sales_teams!$A$2:$A$100,
[1]sales_teams!$B$2:$B$100)</f>
        <v>Cara Losch</v>
      </c>
      <c r="D3348" t="str">
        <f>_xlfn.XLOOKUP($B3348,sales_teams!$A$2:$A$36,sales_teams!C$2:C$36)</f>
        <v>East</v>
      </c>
      <c r="E3348" t="s">
        <v>20</v>
      </c>
      <c r="F3348" t="s">
        <v>199</v>
      </c>
      <c r="G3348" t="s">
        <v>12</v>
      </c>
      <c r="H3348" s="1">
        <v>42877</v>
      </c>
      <c r="I3348" s="1">
        <v>42980</v>
      </c>
      <c r="J3348">
        <v>476</v>
      </c>
    </row>
    <row r="3349" spans="1:10" x14ac:dyDescent="0.3">
      <c r="A3349" t="s">
        <v>3480</v>
      </c>
      <c r="B3349" t="s">
        <v>54</v>
      </c>
      <c r="C3349" t="str">
        <f>_xlfn.XLOOKUP(B3349,
[1]sales_teams!$A$2:$A$100,
[1]sales_teams!$B$2:$B$100)</f>
        <v>Celia Rouche</v>
      </c>
      <c r="D3349" t="str">
        <f>_xlfn.XLOOKUP($B3349,sales_teams!$A$2:$A$36,sales_teams!C$2:C$36)</f>
        <v>West</v>
      </c>
      <c r="E3349" t="s">
        <v>39</v>
      </c>
      <c r="G3349" t="s">
        <v>40</v>
      </c>
      <c r="H3349" s="1">
        <v>42877</v>
      </c>
    </row>
    <row r="3350" spans="1:10" x14ac:dyDescent="0.3">
      <c r="A3350" t="s">
        <v>3481</v>
      </c>
      <c r="B3350" t="s">
        <v>38</v>
      </c>
      <c r="C3350" t="str">
        <f>_xlfn.XLOOKUP(B3350,
[1]sales_teams!$A$2:$A$100,
[1]sales_teams!$B$2:$B$100)</f>
        <v>Summer Sewald</v>
      </c>
      <c r="D3350" t="str">
        <f>_xlfn.XLOOKUP($B3350,sales_teams!$A$2:$A$36,sales_teams!C$2:C$36)</f>
        <v>West</v>
      </c>
      <c r="E3350" t="s">
        <v>10</v>
      </c>
      <c r="F3350" t="s">
        <v>86</v>
      </c>
      <c r="G3350" t="s">
        <v>12</v>
      </c>
      <c r="H3350" s="1">
        <v>42877</v>
      </c>
      <c r="I3350" s="1">
        <v>42900</v>
      </c>
      <c r="J3350">
        <v>1090</v>
      </c>
    </row>
    <row r="3351" spans="1:10" x14ac:dyDescent="0.3">
      <c r="A3351" t="s">
        <v>3482</v>
      </c>
      <c r="B3351" t="s">
        <v>95</v>
      </c>
      <c r="C3351" t="str">
        <f>_xlfn.XLOOKUP(B3351,
[1]sales_teams!$A$2:$A$100,
[1]sales_teams!$B$2:$B$100)</f>
        <v>Summer Sewald</v>
      </c>
      <c r="D3351" t="str">
        <f>_xlfn.XLOOKUP($B3351,sales_teams!$A$2:$A$36,sales_teams!C$2:C$36)</f>
        <v>West</v>
      </c>
      <c r="E3351" t="s">
        <v>18</v>
      </c>
      <c r="F3351" t="s">
        <v>140</v>
      </c>
      <c r="G3351" t="s">
        <v>40</v>
      </c>
      <c r="H3351" s="1">
        <v>42877</v>
      </c>
    </row>
    <row r="3352" spans="1:10" x14ac:dyDescent="0.3">
      <c r="A3352" t="s">
        <v>3483</v>
      </c>
      <c r="B3352" t="s">
        <v>95</v>
      </c>
      <c r="C3352" t="str">
        <f>_xlfn.XLOOKUP(B3352,
[1]sales_teams!$A$2:$A$100,
[1]sales_teams!$B$2:$B$100)</f>
        <v>Summer Sewald</v>
      </c>
      <c r="D3352" t="str">
        <f>_xlfn.XLOOKUP($B3352,sales_teams!$A$2:$A$36,sales_teams!C$2:C$36)</f>
        <v>West</v>
      </c>
      <c r="E3352" t="s">
        <v>20</v>
      </c>
      <c r="F3352" t="s">
        <v>218</v>
      </c>
      <c r="G3352" t="s">
        <v>12</v>
      </c>
      <c r="H3352" s="1">
        <v>42877</v>
      </c>
      <c r="I3352" s="1">
        <v>43003</v>
      </c>
      <c r="J3352">
        <v>584</v>
      </c>
    </row>
    <row r="3353" spans="1:10" x14ac:dyDescent="0.3">
      <c r="A3353" t="s">
        <v>3484</v>
      </c>
      <c r="B3353" t="s">
        <v>32</v>
      </c>
      <c r="C3353" t="str">
        <f>_xlfn.XLOOKUP(B3353,
[1]sales_teams!$A$2:$A$100,
[1]sales_teams!$B$2:$B$100)</f>
        <v>Celia Rouche</v>
      </c>
      <c r="D3353" t="str">
        <f>_xlfn.XLOOKUP($B3353,sales_teams!$A$2:$A$36,sales_teams!C$2:C$36)</f>
        <v>West</v>
      </c>
      <c r="E3353" t="s">
        <v>48</v>
      </c>
      <c r="G3353" t="s">
        <v>40</v>
      </c>
      <c r="H3353" s="1">
        <v>42877</v>
      </c>
    </row>
    <row r="3354" spans="1:10" x14ac:dyDescent="0.3">
      <c r="A3354" t="s">
        <v>3485</v>
      </c>
      <c r="B3354" t="s">
        <v>32</v>
      </c>
      <c r="C3354" t="str">
        <f>_xlfn.XLOOKUP(B3354,
[1]sales_teams!$A$2:$A$100,
[1]sales_teams!$B$2:$B$100)</f>
        <v>Celia Rouche</v>
      </c>
      <c r="D3354" t="str">
        <f>_xlfn.XLOOKUP($B3354,sales_teams!$A$2:$A$36,sales_teams!C$2:C$36)</f>
        <v>West</v>
      </c>
      <c r="E3354" t="s">
        <v>145</v>
      </c>
      <c r="F3354" t="s">
        <v>55</v>
      </c>
      <c r="G3354" t="s">
        <v>12</v>
      </c>
      <c r="H3354" s="1">
        <v>42877</v>
      </c>
      <c r="I3354" s="1">
        <v>42961</v>
      </c>
      <c r="J3354">
        <v>24745</v>
      </c>
    </row>
    <row r="3355" spans="1:10" x14ac:dyDescent="0.3">
      <c r="A3355" t="s">
        <v>3486</v>
      </c>
      <c r="B3355" t="s">
        <v>51</v>
      </c>
      <c r="C3355" t="str">
        <f>_xlfn.XLOOKUP(B3355,
[1]sales_teams!$A$2:$A$100,
[1]sales_teams!$B$2:$B$100)</f>
        <v>Summer Sewald</v>
      </c>
      <c r="D3355" t="str">
        <f>_xlfn.XLOOKUP($B3355,sales_teams!$A$2:$A$36,sales_teams!C$2:C$36)</f>
        <v>West</v>
      </c>
      <c r="E3355" t="s">
        <v>10</v>
      </c>
      <c r="G3355" t="s">
        <v>40</v>
      </c>
      <c r="H3355" s="1">
        <v>42877</v>
      </c>
    </row>
    <row r="3356" spans="1:10" x14ac:dyDescent="0.3">
      <c r="A3356" t="s">
        <v>3487</v>
      </c>
      <c r="B3356" t="s">
        <v>97</v>
      </c>
      <c r="C3356" t="str">
        <f>_xlfn.XLOOKUP(B3356,
[1]sales_teams!$A$2:$A$100,
[1]sales_teams!$B$2:$B$100)</f>
        <v>Rocco Neubert</v>
      </c>
      <c r="D3356" t="str">
        <f>_xlfn.XLOOKUP($B3356,sales_teams!$A$2:$A$36,sales_teams!C$2:C$36)</f>
        <v>East</v>
      </c>
      <c r="E3356" t="s">
        <v>15</v>
      </c>
      <c r="F3356" t="s">
        <v>218</v>
      </c>
      <c r="G3356" t="s">
        <v>46</v>
      </c>
      <c r="H3356" s="1">
        <v>42877</v>
      </c>
      <c r="I3356" s="1">
        <v>42880</v>
      </c>
      <c r="J3356">
        <v>0</v>
      </c>
    </row>
    <row r="3357" spans="1:10" x14ac:dyDescent="0.3">
      <c r="A3357" t="s">
        <v>3488</v>
      </c>
      <c r="B3357" t="s">
        <v>97</v>
      </c>
      <c r="C3357" t="str">
        <f>_xlfn.XLOOKUP(B3357,
[1]sales_teams!$A$2:$A$100,
[1]sales_teams!$B$2:$B$100)</f>
        <v>Rocco Neubert</v>
      </c>
      <c r="D3357" t="str">
        <f>_xlfn.XLOOKUP($B3357,sales_teams!$A$2:$A$36,sales_teams!C$2:C$36)</f>
        <v>East</v>
      </c>
      <c r="E3357" t="s">
        <v>20</v>
      </c>
      <c r="F3357" t="s">
        <v>89</v>
      </c>
      <c r="G3357" t="s">
        <v>12</v>
      </c>
      <c r="H3357" s="1">
        <v>42877</v>
      </c>
      <c r="I3357" s="1">
        <v>42882</v>
      </c>
      <c r="J3357">
        <v>512</v>
      </c>
    </row>
    <row r="3358" spans="1:10" x14ac:dyDescent="0.3">
      <c r="A3358" t="s">
        <v>3489</v>
      </c>
      <c r="B3358" t="s">
        <v>88</v>
      </c>
      <c r="C3358" t="str">
        <f>_xlfn.XLOOKUP(B3358,
[1]sales_teams!$A$2:$A$100,
[1]sales_teams!$B$2:$B$100)</f>
        <v>Cara Losch</v>
      </c>
      <c r="D3358" t="str">
        <f>_xlfn.XLOOKUP($B3358,sales_teams!$A$2:$A$36,sales_teams!C$2:C$36)</f>
        <v>East</v>
      </c>
      <c r="E3358" t="s">
        <v>15</v>
      </c>
      <c r="G3358" t="s">
        <v>40</v>
      </c>
      <c r="H3358" s="1">
        <v>42877</v>
      </c>
    </row>
    <row r="3359" spans="1:10" x14ac:dyDescent="0.3">
      <c r="A3359" t="s">
        <v>3490</v>
      </c>
      <c r="B3359" t="s">
        <v>29</v>
      </c>
      <c r="C3359" t="str">
        <f>_xlfn.XLOOKUP(B3359,
[1]sales_teams!$A$2:$A$100,
[1]sales_teams!$B$2:$B$100)</f>
        <v>Celia Rouche</v>
      </c>
      <c r="D3359" t="str">
        <f>_xlfn.XLOOKUP($B3359,sales_teams!$A$2:$A$36,sales_teams!C$2:C$36)</f>
        <v>West</v>
      </c>
      <c r="E3359" t="s">
        <v>18</v>
      </c>
      <c r="F3359" t="s">
        <v>79</v>
      </c>
      <c r="G3359" t="s">
        <v>12</v>
      </c>
      <c r="H3359" s="1">
        <v>42877</v>
      </c>
      <c r="I3359" s="1">
        <v>42893</v>
      </c>
      <c r="J3359">
        <v>60</v>
      </c>
    </row>
    <row r="3360" spans="1:10" x14ac:dyDescent="0.3">
      <c r="A3360" t="s">
        <v>3491</v>
      </c>
      <c r="B3360" t="s">
        <v>23</v>
      </c>
      <c r="C3360" t="str">
        <f>_xlfn.XLOOKUP(B3360,
[1]sales_teams!$A$2:$A$100,
[1]sales_teams!$B$2:$B$100)</f>
        <v>Summer Sewald</v>
      </c>
      <c r="D3360" t="str">
        <f>_xlfn.XLOOKUP($B3360,sales_teams!$A$2:$A$36,sales_teams!C$2:C$36)</f>
        <v>West</v>
      </c>
      <c r="E3360" t="s">
        <v>15</v>
      </c>
      <c r="F3360" t="s">
        <v>315</v>
      </c>
      <c r="G3360" t="s">
        <v>46</v>
      </c>
      <c r="H3360" s="1">
        <v>42877</v>
      </c>
      <c r="I3360" s="1">
        <v>42985</v>
      </c>
      <c r="J3360">
        <v>0</v>
      </c>
    </row>
    <row r="3361" spans="1:10" x14ac:dyDescent="0.3">
      <c r="A3361" t="s">
        <v>3492</v>
      </c>
      <c r="B3361" t="s">
        <v>23</v>
      </c>
      <c r="C3361" t="str">
        <f>_xlfn.XLOOKUP(B3361,
[1]sales_teams!$A$2:$A$100,
[1]sales_teams!$B$2:$B$100)</f>
        <v>Summer Sewald</v>
      </c>
      <c r="D3361" t="str">
        <f>_xlfn.XLOOKUP($B3361,sales_teams!$A$2:$A$36,sales_teams!C$2:C$36)</f>
        <v>West</v>
      </c>
      <c r="E3361" t="s">
        <v>10</v>
      </c>
      <c r="F3361" t="s">
        <v>174</v>
      </c>
      <c r="G3361" t="s">
        <v>12</v>
      </c>
      <c r="H3361" s="1">
        <v>42877</v>
      </c>
      <c r="I3361" s="1">
        <v>42955</v>
      </c>
      <c r="J3361">
        <v>1088</v>
      </c>
    </row>
    <row r="3362" spans="1:10" x14ac:dyDescent="0.3">
      <c r="A3362" t="s">
        <v>3493</v>
      </c>
      <c r="B3362" t="s">
        <v>139</v>
      </c>
      <c r="C3362" t="str">
        <f>_xlfn.XLOOKUP(B3362,
[1]sales_teams!$A$2:$A$100,
[1]sales_teams!$B$2:$B$100)</f>
        <v>Rocco Neubert</v>
      </c>
      <c r="D3362" t="str">
        <f>_xlfn.XLOOKUP($B3362,sales_teams!$A$2:$A$36,sales_teams!C$2:C$36)</f>
        <v>East</v>
      </c>
      <c r="E3362" t="s">
        <v>10</v>
      </c>
      <c r="G3362" t="s">
        <v>40</v>
      </c>
      <c r="H3362" s="1">
        <v>42878</v>
      </c>
    </row>
    <row r="3363" spans="1:10" x14ac:dyDescent="0.3">
      <c r="A3363" t="s">
        <v>3494</v>
      </c>
      <c r="B3363" t="s">
        <v>139</v>
      </c>
      <c r="C3363" t="str">
        <f>_xlfn.XLOOKUP(B3363,
[1]sales_teams!$A$2:$A$100,
[1]sales_teams!$B$2:$B$100)</f>
        <v>Rocco Neubert</v>
      </c>
      <c r="D3363" t="str">
        <f>_xlfn.XLOOKUP($B3363,sales_teams!$A$2:$A$36,sales_teams!C$2:C$36)</f>
        <v>East</v>
      </c>
      <c r="E3363" t="s">
        <v>48</v>
      </c>
      <c r="G3363" t="s">
        <v>40</v>
      </c>
      <c r="H3363" s="1">
        <v>42878</v>
      </c>
    </row>
    <row r="3364" spans="1:10" x14ac:dyDescent="0.3">
      <c r="A3364" t="s">
        <v>3495</v>
      </c>
      <c r="B3364" t="s">
        <v>118</v>
      </c>
      <c r="C3364" t="str">
        <f>_xlfn.XLOOKUP(B3364,
[1]sales_teams!$A$2:$A$100,
[1]sales_teams!$B$2:$B$100)</f>
        <v>Rocco Neubert</v>
      </c>
      <c r="D3364" t="str">
        <f>_xlfn.XLOOKUP($B3364,sales_teams!$A$2:$A$36,sales_teams!C$2:C$36)</f>
        <v>East</v>
      </c>
      <c r="E3364" t="s">
        <v>18</v>
      </c>
      <c r="G3364" t="s">
        <v>40</v>
      </c>
      <c r="H3364" s="1">
        <v>42878</v>
      </c>
    </row>
    <row r="3365" spans="1:10" x14ac:dyDescent="0.3">
      <c r="A3365" t="s">
        <v>3496</v>
      </c>
      <c r="B3365" t="s">
        <v>164</v>
      </c>
      <c r="C3365" t="str">
        <f>_xlfn.XLOOKUP(B3365,
[1]sales_teams!$A$2:$A$100,
[1]sales_teams!$B$2:$B$100)</f>
        <v>Cara Losch</v>
      </c>
      <c r="D3365" t="str">
        <f>_xlfn.XLOOKUP($B3365,sales_teams!$A$2:$A$36,sales_teams!C$2:C$36)</f>
        <v>East</v>
      </c>
      <c r="E3365" t="s">
        <v>20</v>
      </c>
      <c r="F3365" t="s">
        <v>103</v>
      </c>
      <c r="G3365" t="s">
        <v>12</v>
      </c>
      <c r="H3365" s="1">
        <v>42878</v>
      </c>
      <c r="I3365" s="1">
        <v>42881</v>
      </c>
      <c r="J3365">
        <v>463</v>
      </c>
    </row>
    <row r="3366" spans="1:10" x14ac:dyDescent="0.3">
      <c r="A3366" t="s">
        <v>3497</v>
      </c>
      <c r="B3366" t="s">
        <v>142</v>
      </c>
      <c r="C3366" t="str">
        <f>_xlfn.XLOOKUP(B3366,
[1]sales_teams!$A$2:$A$100,
[1]sales_teams!$B$2:$B$100)</f>
        <v>Rocco Neubert</v>
      </c>
      <c r="D3366" t="str">
        <f>_xlfn.XLOOKUP($B3366,sales_teams!$A$2:$A$36,sales_teams!C$2:C$36)</f>
        <v>East</v>
      </c>
      <c r="E3366" t="s">
        <v>10</v>
      </c>
      <c r="F3366" t="s">
        <v>237</v>
      </c>
      <c r="G3366" t="s">
        <v>12</v>
      </c>
      <c r="H3366" s="1">
        <v>42878</v>
      </c>
      <c r="I3366" s="1">
        <v>42971</v>
      </c>
      <c r="J3366">
        <v>877</v>
      </c>
    </row>
    <row r="3367" spans="1:10" x14ac:dyDescent="0.3">
      <c r="A3367" t="s">
        <v>3498</v>
      </c>
      <c r="B3367" t="s">
        <v>44</v>
      </c>
      <c r="C3367" t="str">
        <f>_xlfn.XLOOKUP(B3367,
[1]sales_teams!$A$2:$A$100,
[1]sales_teams!$B$2:$B$100)</f>
        <v>Melvin Marxen</v>
      </c>
      <c r="D3367" t="str">
        <f>_xlfn.XLOOKUP($B3367,sales_teams!$A$2:$A$36,sales_teams!C$2:C$36)</f>
        <v>Central</v>
      </c>
      <c r="E3367" t="s">
        <v>39</v>
      </c>
      <c r="F3367" t="s">
        <v>315</v>
      </c>
      <c r="G3367" t="s">
        <v>12</v>
      </c>
      <c r="H3367" s="1">
        <v>42878</v>
      </c>
      <c r="I3367" s="1">
        <v>42971</v>
      </c>
      <c r="J3367">
        <v>3339</v>
      </c>
    </row>
    <row r="3368" spans="1:10" x14ac:dyDescent="0.3">
      <c r="A3368" t="s">
        <v>3499</v>
      </c>
      <c r="B3368" t="s">
        <v>38</v>
      </c>
      <c r="C3368" t="str">
        <f>_xlfn.XLOOKUP(B3368,
[1]sales_teams!$A$2:$A$100,
[1]sales_teams!$B$2:$B$100)</f>
        <v>Summer Sewald</v>
      </c>
      <c r="D3368" t="str">
        <f>_xlfn.XLOOKUP($B3368,sales_teams!$A$2:$A$36,sales_teams!C$2:C$36)</f>
        <v>West</v>
      </c>
      <c r="E3368" t="s">
        <v>10</v>
      </c>
      <c r="F3368" t="s">
        <v>218</v>
      </c>
      <c r="G3368" t="s">
        <v>40</v>
      </c>
      <c r="H3368" s="1">
        <v>42878</v>
      </c>
    </row>
    <row r="3369" spans="1:10" x14ac:dyDescent="0.3">
      <c r="A3369" t="s">
        <v>3500</v>
      </c>
      <c r="B3369" t="s">
        <v>252</v>
      </c>
      <c r="C3369" t="str">
        <f>_xlfn.XLOOKUP(B3369,
[1]sales_teams!$A$2:$A$100,
[1]sales_teams!$B$2:$B$100)</f>
        <v>Melvin Marxen</v>
      </c>
      <c r="D3369" t="str">
        <f>_xlfn.XLOOKUP($B3369,sales_teams!$A$2:$A$36,sales_teams!C$2:C$36)</f>
        <v>Central</v>
      </c>
      <c r="E3369" t="s">
        <v>18</v>
      </c>
      <c r="F3369" t="s">
        <v>129</v>
      </c>
      <c r="G3369" t="s">
        <v>46</v>
      </c>
      <c r="H3369" s="1">
        <v>42878</v>
      </c>
      <c r="I3369" s="1">
        <v>42883</v>
      </c>
      <c r="J3369">
        <v>0</v>
      </c>
    </row>
    <row r="3370" spans="1:10" x14ac:dyDescent="0.3">
      <c r="A3370" t="s">
        <v>3501</v>
      </c>
      <c r="B3370" t="s">
        <v>252</v>
      </c>
      <c r="C3370" t="str">
        <f>_xlfn.XLOOKUP(B3370,
[1]sales_teams!$A$2:$A$100,
[1]sales_teams!$B$2:$B$100)</f>
        <v>Melvin Marxen</v>
      </c>
      <c r="D3370" t="str">
        <f>_xlfn.XLOOKUP($B3370,sales_teams!$A$2:$A$36,sales_teams!C$2:C$36)</f>
        <v>Central</v>
      </c>
      <c r="E3370" t="s">
        <v>15</v>
      </c>
      <c r="F3370" t="s">
        <v>135</v>
      </c>
      <c r="G3370" t="s">
        <v>12</v>
      </c>
      <c r="H3370" s="1">
        <v>42878</v>
      </c>
      <c r="I3370" s="1">
        <v>42967</v>
      </c>
      <c r="J3370">
        <v>4180</v>
      </c>
    </row>
    <row r="3371" spans="1:10" x14ac:dyDescent="0.3">
      <c r="A3371" t="s">
        <v>3502</v>
      </c>
      <c r="B3371" t="s">
        <v>95</v>
      </c>
      <c r="C3371" t="str">
        <f>_xlfn.XLOOKUP(B3371,
[1]sales_teams!$A$2:$A$100,
[1]sales_teams!$B$2:$B$100)</f>
        <v>Summer Sewald</v>
      </c>
      <c r="D3371" t="str">
        <f>_xlfn.XLOOKUP($B3371,sales_teams!$A$2:$A$36,sales_teams!C$2:C$36)</f>
        <v>West</v>
      </c>
      <c r="E3371" t="s">
        <v>10</v>
      </c>
      <c r="F3371" t="s">
        <v>86</v>
      </c>
      <c r="G3371" t="s">
        <v>46</v>
      </c>
      <c r="H3371" s="1">
        <v>42878</v>
      </c>
      <c r="I3371" s="1">
        <v>42949</v>
      </c>
      <c r="J3371">
        <v>0</v>
      </c>
    </row>
    <row r="3372" spans="1:10" x14ac:dyDescent="0.3">
      <c r="A3372" t="s">
        <v>3503</v>
      </c>
      <c r="B3372" t="s">
        <v>32</v>
      </c>
      <c r="C3372" t="str">
        <f>_xlfn.XLOOKUP(B3372,
[1]sales_teams!$A$2:$A$100,
[1]sales_teams!$B$2:$B$100)</f>
        <v>Celia Rouche</v>
      </c>
      <c r="D3372" t="str">
        <f>_xlfn.XLOOKUP($B3372,sales_teams!$A$2:$A$36,sales_teams!C$2:C$36)</f>
        <v>West</v>
      </c>
      <c r="E3372" t="s">
        <v>20</v>
      </c>
      <c r="F3372" t="s">
        <v>24</v>
      </c>
      <c r="G3372" t="s">
        <v>46</v>
      </c>
      <c r="H3372" s="1">
        <v>42878</v>
      </c>
      <c r="I3372" s="1">
        <v>42881</v>
      </c>
      <c r="J3372">
        <v>0</v>
      </c>
    </row>
    <row r="3373" spans="1:10" x14ac:dyDescent="0.3">
      <c r="A3373" t="s">
        <v>3504</v>
      </c>
      <c r="B3373" t="s">
        <v>32</v>
      </c>
      <c r="C3373" t="str">
        <f>_xlfn.XLOOKUP(B3373,
[1]sales_teams!$A$2:$A$100,
[1]sales_teams!$B$2:$B$100)</f>
        <v>Celia Rouche</v>
      </c>
      <c r="D3373" t="str">
        <f>_xlfn.XLOOKUP($B3373,sales_teams!$A$2:$A$36,sales_teams!C$2:C$36)</f>
        <v>West</v>
      </c>
      <c r="E3373" t="s">
        <v>48</v>
      </c>
      <c r="F3373" t="s">
        <v>24</v>
      </c>
      <c r="G3373" t="s">
        <v>12</v>
      </c>
      <c r="H3373" s="1">
        <v>42878</v>
      </c>
      <c r="I3373" s="1">
        <v>42961</v>
      </c>
      <c r="J3373">
        <v>4642</v>
      </c>
    </row>
    <row r="3374" spans="1:10" x14ac:dyDescent="0.3">
      <c r="A3374" t="s">
        <v>3505</v>
      </c>
      <c r="B3374" t="s">
        <v>116</v>
      </c>
      <c r="C3374" t="str">
        <f>_xlfn.XLOOKUP(B3374,
[1]sales_teams!$A$2:$A$100,
[1]sales_teams!$B$2:$B$100)</f>
        <v>Melvin Marxen</v>
      </c>
      <c r="D3374" t="str">
        <f>_xlfn.XLOOKUP($B3374,sales_teams!$A$2:$A$36,sales_teams!C$2:C$36)</f>
        <v>Central</v>
      </c>
      <c r="E3374" t="s">
        <v>39</v>
      </c>
      <c r="F3374" t="s">
        <v>76</v>
      </c>
      <c r="G3374" t="s">
        <v>46</v>
      </c>
      <c r="H3374" s="1">
        <v>42878</v>
      </c>
      <c r="I3374" s="1">
        <v>42991</v>
      </c>
      <c r="J3374">
        <v>0</v>
      </c>
    </row>
    <row r="3375" spans="1:10" x14ac:dyDescent="0.3">
      <c r="A3375" t="s">
        <v>3506</v>
      </c>
      <c r="B3375" t="s">
        <v>35</v>
      </c>
      <c r="C3375" t="str">
        <f>_xlfn.XLOOKUP(B3375,
[1]sales_teams!$A$2:$A$100,
[1]sales_teams!$B$2:$B$100)</f>
        <v>Melvin Marxen</v>
      </c>
      <c r="D3375" t="str">
        <f>_xlfn.XLOOKUP($B3375,sales_teams!$A$2:$A$36,sales_teams!C$2:C$36)</f>
        <v>Central</v>
      </c>
      <c r="E3375" t="s">
        <v>20</v>
      </c>
      <c r="F3375" t="s">
        <v>213</v>
      </c>
      <c r="G3375" t="s">
        <v>12</v>
      </c>
      <c r="H3375" s="1">
        <v>42878</v>
      </c>
      <c r="I3375" s="1">
        <v>42986</v>
      </c>
      <c r="J3375">
        <v>578</v>
      </c>
    </row>
    <row r="3376" spans="1:10" x14ac:dyDescent="0.3">
      <c r="A3376" t="s">
        <v>3507</v>
      </c>
      <c r="B3376" t="s">
        <v>61</v>
      </c>
      <c r="C3376" t="str">
        <f>_xlfn.XLOOKUP(B3376,
[1]sales_teams!$A$2:$A$100,
[1]sales_teams!$B$2:$B$100)</f>
        <v>Dustin Brinkmann</v>
      </c>
      <c r="D3376" t="str">
        <f>_xlfn.XLOOKUP($B3376,sales_teams!$A$2:$A$36,sales_teams!C$2:C$36)</f>
        <v>Central</v>
      </c>
      <c r="E3376" t="s">
        <v>39</v>
      </c>
      <c r="F3376" t="s">
        <v>109</v>
      </c>
      <c r="G3376" t="s">
        <v>12</v>
      </c>
      <c r="H3376" s="1">
        <v>42878</v>
      </c>
      <c r="I3376" s="1">
        <v>42958</v>
      </c>
      <c r="J3376">
        <v>3285</v>
      </c>
    </row>
    <row r="3377" spans="1:10" x14ac:dyDescent="0.3">
      <c r="A3377" t="s">
        <v>3508</v>
      </c>
      <c r="B3377" t="s">
        <v>29</v>
      </c>
      <c r="C3377" t="str">
        <f>_xlfn.XLOOKUP(B3377,
[1]sales_teams!$A$2:$A$100,
[1]sales_teams!$B$2:$B$100)</f>
        <v>Celia Rouche</v>
      </c>
      <c r="D3377" t="str">
        <f>_xlfn.XLOOKUP($B3377,sales_teams!$A$2:$A$36,sales_teams!C$2:C$36)</f>
        <v>West</v>
      </c>
      <c r="E3377" t="s">
        <v>18</v>
      </c>
      <c r="F3377" t="s">
        <v>124</v>
      </c>
      <c r="G3377" t="s">
        <v>46</v>
      </c>
      <c r="H3377" s="1">
        <v>42878</v>
      </c>
      <c r="I3377" s="1">
        <v>42959</v>
      </c>
      <c r="J3377">
        <v>0</v>
      </c>
    </row>
    <row r="3378" spans="1:10" x14ac:dyDescent="0.3">
      <c r="A3378" t="s">
        <v>3509</v>
      </c>
      <c r="B3378" t="s">
        <v>73</v>
      </c>
      <c r="C3378" t="str">
        <f>_xlfn.XLOOKUP(B3378,
[1]sales_teams!$A$2:$A$100,
[1]sales_teams!$B$2:$B$100)</f>
        <v>Cara Losch</v>
      </c>
      <c r="D3378" t="str">
        <f>_xlfn.XLOOKUP($B3378,sales_teams!$A$2:$A$36,sales_teams!C$2:C$36)</f>
        <v>East</v>
      </c>
      <c r="E3378" t="s">
        <v>10</v>
      </c>
      <c r="F3378" t="s">
        <v>65</v>
      </c>
      <c r="G3378" t="s">
        <v>46</v>
      </c>
      <c r="H3378" s="1">
        <v>42878</v>
      </c>
      <c r="I3378" s="1">
        <v>42976</v>
      </c>
      <c r="J3378">
        <v>0</v>
      </c>
    </row>
    <row r="3379" spans="1:10" x14ac:dyDescent="0.3">
      <c r="A3379" t="s">
        <v>3510</v>
      </c>
      <c r="B3379" t="s">
        <v>23</v>
      </c>
      <c r="C3379" t="str">
        <f>_xlfn.XLOOKUP(B3379,
[1]sales_teams!$A$2:$A$100,
[1]sales_teams!$B$2:$B$100)</f>
        <v>Summer Sewald</v>
      </c>
      <c r="D3379" t="str">
        <f>_xlfn.XLOOKUP($B3379,sales_teams!$A$2:$A$36,sales_teams!C$2:C$36)</f>
        <v>West</v>
      </c>
      <c r="E3379" t="s">
        <v>15</v>
      </c>
      <c r="F3379" t="s">
        <v>33</v>
      </c>
      <c r="G3379" t="s">
        <v>12</v>
      </c>
      <c r="H3379" s="1">
        <v>42878</v>
      </c>
      <c r="I3379" s="1">
        <v>42886</v>
      </c>
      <c r="J3379">
        <v>5212</v>
      </c>
    </row>
    <row r="3380" spans="1:10" x14ac:dyDescent="0.3">
      <c r="A3380" t="s">
        <v>3511</v>
      </c>
      <c r="B3380" t="s">
        <v>118</v>
      </c>
      <c r="C3380" t="str">
        <f>_xlfn.XLOOKUP(B3380,
[1]sales_teams!$A$2:$A$100,
[1]sales_teams!$B$2:$B$100)</f>
        <v>Rocco Neubert</v>
      </c>
      <c r="D3380" t="str">
        <f>_xlfn.XLOOKUP($B3380,sales_teams!$A$2:$A$36,sales_teams!C$2:C$36)</f>
        <v>East</v>
      </c>
      <c r="E3380" t="s">
        <v>20</v>
      </c>
      <c r="F3380" t="s">
        <v>410</v>
      </c>
      <c r="G3380" t="s">
        <v>12</v>
      </c>
      <c r="H3380" s="1">
        <v>42879</v>
      </c>
      <c r="I3380" s="1">
        <v>43002</v>
      </c>
      <c r="J3380">
        <v>614</v>
      </c>
    </row>
    <row r="3381" spans="1:10" x14ac:dyDescent="0.3">
      <c r="A3381" t="s">
        <v>3512</v>
      </c>
      <c r="B3381" t="s">
        <v>118</v>
      </c>
      <c r="C3381" t="str">
        <f>_xlfn.XLOOKUP(B3381,
[1]sales_teams!$A$2:$A$100,
[1]sales_teams!$B$2:$B$100)</f>
        <v>Rocco Neubert</v>
      </c>
      <c r="D3381" t="str">
        <f>_xlfn.XLOOKUP($B3381,sales_teams!$A$2:$A$36,sales_teams!C$2:C$36)</f>
        <v>East</v>
      </c>
      <c r="E3381" t="s">
        <v>48</v>
      </c>
      <c r="F3381" t="s">
        <v>192</v>
      </c>
      <c r="G3381" t="s">
        <v>12</v>
      </c>
      <c r="H3381" s="1">
        <v>42879</v>
      </c>
      <c r="I3381" s="1">
        <v>42991</v>
      </c>
      <c r="J3381">
        <v>5778</v>
      </c>
    </row>
    <row r="3382" spans="1:10" x14ac:dyDescent="0.3">
      <c r="A3382" t="s">
        <v>3513</v>
      </c>
      <c r="B3382" t="s">
        <v>164</v>
      </c>
      <c r="C3382" t="str">
        <f>_xlfn.XLOOKUP(B3382,
[1]sales_teams!$A$2:$A$100,
[1]sales_teams!$B$2:$B$100)</f>
        <v>Cara Losch</v>
      </c>
      <c r="D3382" t="str">
        <f>_xlfn.XLOOKUP($B3382,sales_teams!$A$2:$A$36,sales_teams!C$2:C$36)</f>
        <v>East</v>
      </c>
      <c r="E3382" t="s">
        <v>20</v>
      </c>
      <c r="F3382" t="s">
        <v>86</v>
      </c>
      <c r="G3382" t="s">
        <v>40</v>
      </c>
      <c r="H3382" s="1">
        <v>42879</v>
      </c>
    </row>
    <row r="3383" spans="1:10" x14ac:dyDescent="0.3">
      <c r="A3383" t="s">
        <v>3514</v>
      </c>
      <c r="B3383" t="s">
        <v>142</v>
      </c>
      <c r="C3383" t="str">
        <f>_xlfn.XLOOKUP(B3383,
[1]sales_teams!$A$2:$A$100,
[1]sales_teams!$B$2:$B$100)</f>
        <v>Rocco Neubert</v>
      </c>
      <c r="D3383" t="str">
        <f>_xlfn.XLOOKUP($B3383,sales_teams!$A$2:$A$36,sales_teams!C$2:C$36)</f>
        <v>East</v>
      </c>
      <c r="E3383" t="s">
        <v>39</v>
      </c>
      <c r="F3383" t="s">
        <v>192</v>
      </c>
      <c r="G3383" t="s">
        <v>12</v>
      </c>
      <c r="H3383" s="1">
        <v>42879</v>
      </c>
      <c r="I3383" s="1">
        <v>42988</v>
      </c>
      <c r="J3383">
        <v>3521</v>
      </c>
    </row>
    <row r="3384" spans="1:10" x14ac:dyDescent="0.3">
      <c r="A3384" t="s">
        <v>3515</v>
      </c>
      <c r="B3384" t="s">
        <v>67</v>
      </c>
      <c r="C3384" t="str">
        <f>_xlfn.XLOOKUP(B3384,
[1]sales_teams!$A$2:$A$100,
[1]sales_teams!$B$2:$B$100)</f>
        <v>Celia Rouche</v>
      </c>
      <c r="D3384" t="str">
        <f>_xlfn.XLOOKUP($B3384,sales_teams!$A$2:$A$36,sales_teams!C$2:C$36)</f>
        <v>West</v>
      </c>
      <c r="E3384" t="s">
        <v>15</v>
      </c>
      <c r="G3384" t="s">
        <v>40</v>
      </c>
      <c r="H3384" s="1">
        <v>42879</v>
      </c>
    </row>
    <row r="3385" spans="1:10" x14ac:dyDescent="0.3">
      <c r="A3385" t="s">
        <v>3516</v>
      </c>
      <c r="B3385" t="s">
        <v>105</v>
      </c>
      <c r="C3385" t="str">
        <f>_xlfn.XLOOKUP(B3385,
[1]sales_teams!$A$2:$A$100,
[1]sales_teams!$B$2:$B$100)</f>
        <v>Cara Losch</v>
      </c>
      <c r="D3385" t="str">
        <f>_xlfn.XLOOKUP($B3385,sales_teams!$A$2:$A$36,sales_teams!C$2:C$36)</f>
        <v>East</v>
      </c>
      <c r="E3385" t="s">
        <v>48</v>
      </c>
      <c r="F3385" t="s">
        <v>179</v>
      </c>
      <c r="G3385" t="s">
        <v>46</v>
      </c>
      <c r="H3385" s="1">
        <v>42879</v>
      </c>
      <c r="I3385" s="1">
        <v>42999</v>
      </c>
      <c r="J3385">
        <v>0</v>
      </c>
    </row>
    <row r="3386" spans="1:10" x14ac:dyDescent="0.3">
      <c r="A3386" t="s">
        <v>3517</v>
      </c>
      <c r="B3386" t="s">
        <v>44</v>
      </c>
      <c r="C3386" t="str">
        <f>_xlfn.XLOOKUP(B3386,
[1]sales_teams!$A$2:$A$100,
[1]sales_teams!$B$2:$B$100)</f>
        <v>Melvin Marxen</v>
      </c>
      <c r="D3386" t="str">
        <f>_xlfn.XLOOKUP($B3386,sales_teams!$A$2:$A$36,sales_teams!C$2:C$36)</f>
        <v>Central</v>
      </c>
      <c r="E3386" t="s">
        <v>15</v>
      </c>
      <c r="F3386" t="s">
        <v>126</v>
      </c>
      <c r="G3386" t="s">
        <v>12</v>
      </c>
      <c r="H3386" s="1">
        <v>42879</v>
      </c>
      <c r="I3386" s="1">
        <v>42953</v>
      </c>
      <c r="J3386">
        <v>5109</v>
      </c>
    </row>
    <row r="3387" spans="1:10" x14ac:dyDescent="0.3">
      <c r="A3387" t="s">
        <v>3518</v>
      </c>
      <c r="B3387" t="s">
        <v>38</v>
      </c>
      <c r="C3387" t="str">
        <f>_xlfn.XLOOKUP(B3387,
[1]sales_teams!$A$2:$A$100,
[1]sales_teams!$B$2:$B$100)</f>
        <v>Summer Sewald</v>
      </c>
      <c r="D3387" t="str">
        <f>_xlfn.XLOOKUP($B3387,sales_teams!$A$2:$A$36,sales_teams!C$2:C$36)</f>
        <v>West</v>
      </c>
      <c r="E3387" t="s">
        <v>48</v>
      </c>
      <c r="G3387" t="s">
        <v>40</v>
      </c>
      <c r="H3387" s="1">
        <v>42879</v>
      </c>
    </row>
    <row r="3388" spans="1:10" x14ac:dyDescent="0.3">
      <c r="A3388" t="s">
        <v>3519</v>
      </c>
      <c r="B3388" t="s">
        <v>38</v>
      </c>
      <c r="C3388" t="str">
        <f>_xlfn.XLOOKUP(B3388,
[1]sales_teams!$A$2:$A$100,
[1]sales_teams!$B$2:$B$100)</f>
        <v>Summer Sewald</v>
      </c>
      <c r="D3388" t="str">
        <f>_xlfn.XLOOKUP($B3388,sales_teams!$A$2:$A$36,sales_teams!C$2:C$36)</f>
        <v>West</v>
      </c>
      <c r="E3388" t="s">
        <v>20</v>
      </c>
      <c r="F3388" t="s">
        <v>224</v>
      </c>
      <c r="G3388" t="s">
        <v>46</v>
      </c>
      <c r="H3388" s="1">
        <v>42879</v>
      </c>
      <c r="I3388" s="1">
        <v>42906</v>
      </c>
      <c r="J3388">
        <v>0</v>
      </c>
    </row>
    <row r="3389" spans="1:10" x14ac:dyDescent="0.3">
      <c r="A3389" t="s">
        <v>3520</v>
      </c>
      <c r="B3389" t="s">
        <v>38</v>
      </c>
      <c r="C3389" t="str">
        <f>_xlfn.XLOOKUP(B3389,
[1]sales_teams!$A$2:$A$100,
[1]sales_teams!$B$2:$B$100)</f>
        <v>Summer Sewald</v>
      </c>
      <c r="D3389" t="str">
        <f>_xlfn.XLOOKUP($B3389,sales_teams!$A$2:$A$36,sales_teams!C$2:C$36)</f>
        <v>West</v>
      </c>
      <c r="E3389" t="s">
        <v>48</v>
      </c>
      <c r="F3389" t="s">
        <v>184</v>
      </c>
      <c r="G3389" t="s">
        <v>12</v>
      </c>
      <c r="H3389" s="1">
        <v>42879</v>
      </c>
      <c r="I3389" s="1">
        <v>42996</v>
      </c>
      <c r="J3389">
        <v>5190</v>
      </c>
    </row>
    <row r="3390" spans="1:10" x14ac:dyDescent="0.3">
      <c r="A3390" t="s">
        <v>3521</v>
      </c>
      <c r="B3390" t="s">
        <v>95</v>
      </c>
      <c r="C3390" t="str">
        <f>_xlfn.XLOOKUP(B3390,
[1]sales_teams!$A$2:$A$100,
[1]sales_teams!$B$2:$B$100)</f>
        <v>Summer Sewald</v>
      </c>
      <c r="D3390" t="str">
        <f>_xlfn.XLOOKUP($B3390,sales_teams!$A$2:$A$36,sales_teams!C$2:C$36)</f>
        <v>West</v>
      </c>
      <c r="E3390" t="s">
        <v>20</v>
      </c>
      <c r="F3390" t="s">
        <v>59</v>
      </c>
      <c r="G3390" t="s">
        <v>46</v>
      </c>
      <c r="H3390" s="1">
        <v>42879</v>
      </c>
      <c r="I3390" s="1">
        <v>42969</v>
      </c>
      <c r="J3390">
        <v>0</v>
      </c>
    </row>
    <row r="3391" spans="1:10" x14ac:dyDescent="0.3">
      <c r="A3391" t="s">
        <v>3522</v>
      </c>
      <c r="B3391" t="s">
        <v>95</v>
      </c>
      <c r="C3391" t="str">
        <f>_xlfn.XLOOKUP(B3391,
[1]sales_teams!$A$2:$A$100,
[1]sales_teams!$B$2:$B$100)</f>
        <v>Summer Sewald</v>
      </c>
      <c r="D3391" t="str">
        <f>_xlfn.XLOOKUP($B3391,sales_teams!$A$2:$A$36,sales_teams!C$2:C$36)</f>
        <v>West</v>
      </c>
      <c r="E3391" t="s">
        <v>15</v>
      </c>
      <c r="F3391" t="s">
        <v>79</v>
      </c>
      <c r="G3391" t="s">
        <v>46</v>
      </c>
      <c r="H3391" s="1">
        <v>42879</v>
      </c>
      <c r="I3391" s="1">
        <v>42960</v>
      </c>
      <c r="J3391">
        <v>0</v>
      </c>
    </row>
    <row r="3392" spans="1:10" x14ac:dyDescent="0.3">
      <c r="A3392" t="s">
        <v>3523</v>
      </c>
      <c r="B3392" t="s">
        <v>133</v>
      </c>
      <c r="C3392" t="str">
        <f>_xlfn.XLOOKUP(B3392,
[1]sales_teams!$A$2:$A$100,
[1]sales_teams!$B$2:$B$100)</f>
        <v>Dustin Brinkmann</v>
      </c>
      <c r="D3392" t="str">
        <f>_xlfn.XLOOKUP($B3392,sales_teams!$A$2:$A$36,sales_teams!C$2:C$36)</f>
        <v>Central</v>
      </c>
      <c r="E3392" t="s">
        <v>39</v>
      </c>
      <c r="F3392" t="s">
        <v>197</v>
      </c>
      <c r="G3392" t="s">
        <v>46</v>
      </c>
      <c r="H3392" s="1">
        <v>42879</v>
      </c>
      <c r="I3392" s="1">
        <v>42961</v>
      </c>
      <c r="J3392">
        <v>0</v>
      </c>
    </row>
    <row r="3393" spans="1:10" x14ac:dyDescent="0.3">
      <c r="A3393" t="s">
        <v>3524</v>
      </c>
      <c r="B3393" t="s">
        <v>32</v>
      </c>
      <c r="C3393" t="str">
        <f>_xlfn.XLOOKUP(B3393,
[1]sales_teams!$A$2:$A$100,
[1]sales_teams!$B$2:$B$100)</f>
        <v>Celia Rouche</v>
      </c>
      <c r="D3393" t="str">
        <f>_xlfn.XLOOKUP($B3393,sales_teams!$A$2:$A$36,sales_teams!C$2:C$36)</f>
        <v>West</v>
      </c>
      <c r="E3393" t="s">
        <v>39</v>
      </c>
      <c r="F3393" t="s">
        <v>159</v>
      </c>
      <c r="G3393" t="s">
        <v>40</v>
      </c>
      <c r="H3393" s="1">
        <v>42879</v>
      </c>
    </row>
    <row r="3394" spans="1:10" x14ac:dyDescent="0.3">
      <c r="A3394" t="s">
        <v>3525</v>
      </c>
      <c r="B3394" t="s">
        <v>51</v>
      </c>
      <c r="C3394" t="str">
        <f>_xlfn.XLOOKUP(B3394,
[1]sales_teams!$A$2:$A$100,
[1]sales_teams!$B$2:$B$100)</f>
        <v>Summer Sewald</v>
      </c>
      <c r="D3394" t="str">
        <f>_xlfn.XLOOKUP($B3394,sales_teams!$A$2:$A$36,sales_teams!C$2:C$36)</f>
        <v>West</v>
      </c>
      <c r="E3394" t="s">
        <v>18</v>
      </c>
      <c r="G3394" t="s">
        <v>40</v>
      </c>
      <c r="H3394" s="1">
        <v>42879</v>
      </c>
    </row>
    <row r="3395" spans="1:10" x14ac:dyDescent="0.3">
      <c r="A3395" t="s">
        <v>3526</v>
      </c>
      <c r="B3395" t="s">
        <v>51</v>
      </c>
      <c r="C3395" t="str">
        <f>_xlfn.XLOOKUP(B3395,
[1]sales_teams!$A$2:$A$100,
[1]sales_teams!$B$2:$B$100)</f>
        <v>Summer Sewald</v>
      </c>
      <c r="D3395" t="str">
        <f>_xlfn.XLOOKUP($B3395,sales_teams!$A$2:$A$36,sales_teams!C$2:C$36)</f>
        <v>West</v>
      </c>
      <c r="E3395" t="s">
        <v>10</v>
      </c>
      <c r="F3395" t="s">
        <v>148</v>
      </c>
      <c r="G3395" t="s">
        <v>12</v>
      </c>
      <c r="H3395" s="1">
        <v>42879</v>
      </c>
      <c r="I3395" s="1">
        <v>43005</v>
      </c>
      <c r="J3395">
        <v>940</v>
      </c>
    </row>
    <row r="3396" spans="1:10" x14ac:dyDescent="0.3">
      <c r="A3396" t="s">
        <v>3527</v>
      </c>
      <c r="B3396" t="s">
        <v>35</v>
      </c>
      <c r="C3396" t="str">
        <f>_xlfn.XLOOKUP(B3396,
[1]sales_teams!$A$2:$A$100,
[1]sales_teams!$B$2:$B$100)</f>
        <v>Melvin Marxen</v>
      </c>
      <c r="D3396" t="str">
        <f>_xlfn.XLOOKUP($B3396,sales_teams!$A$2:$A$36,sales_teams!C$2:C$36)</f>
        <v>Central</v>
      </c>
      <c r="E3396" t="s">
        <v>15</v>
      </c>
      <c r="F3396" t="s">
        <v>91</v>
      </c>
      <c r="G3396" t="s">
        <v>46</v>
      </c>
      <c r="H3396" s="1">
        <v>42879</v>
      </c>
      <c r="I3396" s="1">
        <v>42973</v>
      </c>
      <c r="J3396">
        <v>0</v>
      </c>
    </row>
    <row r="3397" spans="1:10" x14ac:dyDescent="0.3">
      <c r="A3397" t="s">
        <v>3528</v>
      </c>
      <c r="B3397" t="s">
        <v>57</v>
      </c>
      <c r="C3397" t="str">
        <f>_xlfn.XLOOKUP(B3397,
[1]sales_teams!$A$2:$A$100,
[1]sales_teams!$B$2:$B$100)</f>
        <v>Celia Rouche</v>
      </c>
      <c r="D3397" t="str">
        <f>_xlfn.XLOOKUP($B3397,sales_teams!$A$2:$A$36,sales_teams!C$2:C$36)</f>
        <v>West</v>
      </c>
      <c r="E3397" t="s">
        <v>20</v>
      </c>
      <c r="F3397" t="s">
        <v>148</v>
      </c>
      <c r="G3397" t="s">
        <v>12</v>
      </c>
      <c r="H3397" s="1">
        <v>42879</v>
      </c>
      <c r="I3397" s="1">
        <v>42953</v>
      </c>
      <c r="J3397">
        <v>647</v>
      </c>
    </row>
    <row r="3398" spans="1:10" x14ac:dyDescent="0.3">
      <c r="A3398" t="s">
        <v>3529</v>
      </c>
      <c r="B3398" t="s">
        <v>29</v>
      </c>
      <c r="C3398" t="str">
        <f>_xlfn.XLOOKUP(B3398,
[1]sales_teams!$A$2:$A$100,
[1]sales_teams!$B$2:$B$100)</f>
        <v>Celia Rouche</v>
      </c>
      <c r="D3398" t="str">
        <f>_xlfn.XLOOKUP($B3398,sales_teams!$A$2:$A$36,sales_teams!C$2:C$36)</f>
        <v>West</v>
      </c>
      <c r="E3398" t="s">
        <v>48</v>
      </c>
      <c r="F3398" t="s">
        <v>218</v>
      </c>
      <c r="G3398" t="s">
        <v>12</v>
      </c>
      <c r="H3398" s="1">
        <v>42879</v>
      </c>
      <c r="I3398" s="1">
        <v>42964</v>
      </c>
      <c r="J3398">
        <v>6206</v>
      </c>
    </row>
    <row r="3399" spans="1:10" x14ac:dyDescent="0.3">
      <c r="A3399" t="s">
        <v>3530</v>
      </c>
      <c r="B3399" t="s">
        <v>73</v>
      </c>
      <c r="C3399" t="str">
        <f>_xlfn.XLOOKUP(B3399,
[1]sales_teams!$A$2:$A$100,
[1]sales_teams!$B$2:$B$100)</f>
        <v>Cara Losch</v>
      </c>
      <c r="D3399" t="str">
        <f>_xlfn.XLOOKUP($B3399,sales_teams!$A$2:$A$36,sales_teams!C$2:C$36)</f>
        <v>East</v>
      </c>
      <c r="E3399" t="s">
        <v>39</v>
      </c>
      <c r="F3399" t="s">
        <v>222</v>
      </c>
      <c r="G3399" t="s">
        <v>12</v>
      </c>
      <c r="H3399" s="1">
        <v>42879</v>
      </c>
      <c r="I3399" s="1">
        <v>42988</v>
      </c>
      <c r="J3399">
        <v>3158</v>
      </c>
    </row>
    <row r="3400" spans="1:10" x14ac:dyDescent="0.3">
      <c r="A3400" t="s">
        <v>3531</v>
      </c>
      <c r="B3400" t="s">
        <v>102</v>
      </c>
      <c r="C3400" t="str">
        <f>_xlfn.XLOOKUP(B3400,
[1]sales_teams!$A$2:$A$100,
[1]sales_teams!$B$2:$B$100)</f>
        <v>Cara Losch</v>
      </c>
      <c r="D3400" t="str">
        <f>_xlfn.XLOOKUP($B3400,sales_teams!$A$2:$A$36,sales_teams!C$2:C$36)</f>
        <v>East</v>
      </c>
      <c r="E3400" t="s">
        <v>39</v>
      </c>
      <c r="F3400" t="s">
        <v>410</v>
      </c>
      <c r="G3400" t="s">
        <v>12</v>
      </c>
      <c r="H3400" s="1">
        <v>42879</v>
      </c>
      <c r="I3400" s="1">
        <v>42966</v>
      </c>
      <c r="J3400">
        <v>2699</v>
      </c>
    </row>
    <row r="3401" spans="1:10" x14ac:dyDescent="0.3">
      <c r="A3401" t="s">
        <v>3532</v>
      </c>
      <c r="B3401" t="s">
        <v>26</v>
      </c>
      <c r="C3401" t="str">
        <f>_xlfn.XLOOKUP(B3401,
[1]sales_teams!$A$2:$A$100,
[1]sales_teams!$B$2:$B$100)</f>
        <v>Dustin Brinkmann</v>
      </c>
      <c r="D3401" t="str">
        <f>_xlfn.XLOOKUP($B3401,sales_teams!$A$2:$A$36,sales_teams!C$2:C$36)</f>
        <v>Central</v>
      </c>
      <c r="E3401" t="s">
        <v>18</v>
      </c>
      <c r="F3401" t="s">
        <v>207</v>
      </c>
      <c r="G3401" t="s">
        <v>46</v>
      </c>
      <c r="H3401" s="1">
        <v>42880</v>
      </c>
      <c r="I3401" s="1">
        <v>42960</v>
      </c>
      <c r="J3401">
        <v>0</v>
      </c>
    </row>
    <row r="3402" spans="1:10" x14ac:dyDescent="0.3">
      <c r="A3402" t="s">
        <v>3533</v>
      </c>
      <c r="B3402" t="s">
        <v>139</v>
      </c>
      <c r="C3402" t="str">
        <f>_xlfn.XLOOKUP(B3402,
[1]sales_teams!$A$2:$A$100,
[1]sales_teams!$B$2:$B$100)</f>
        <v>Rocco Neubert</v>
      </c>
      <c r="D3402" t="str">
        <f>_xlfn.XLOOKUP($B3402,sales_teams!$A$2:$A$36,sales_teams!C$2:C$36)</f>
        <v>East</v>
      </c>
      <c r="E3402" t="s">
        <v>10</v>
      </c>
      <c r="F3402" t="s">
        <v>215</v>
      </c>
      <c r="G3402" t="s">
        <v>12</v>
      </c>
      <c r="H3402" s="1">
        <v>42880</v>
      </c>
      <c r="I3402" s="1">
        <v>42951</v>
      </c>
      <c r="J3402">
        <v>1302</v>
      </c>
    </row>
    <row r="3403" spans="1:10" x14ac:dyDescent="0.3">
      <c r="A3403" t="s">
        <v>3534</v>
      </c>
      <c r="B3403" t="s">
        <v>118</v>
      </c>
      <c r="C3403" t="str">
        <f>_xlfn.XLOOKUP(B3403,
[1]sales_teams!$A$2:$A$100,
[1]sales_teams!$B$2:$B$100)</f>
        <v>Rocco Neubert</v>
      </c>
      <c r="D3403" t="str">
        <f>_xlfn.XLOOKUP($B3403,sales_teams!$A$2:$A$36,sales_teams!C$2:C$36)</f>
        <v>East</v>
      </c>
      <c r="E3403" t="s">
        <v>39</v>
      </c>
      <c r="F3403" t="s">
        <v>165</v>
      </c>
      <c r="G3403" t="s">
        <v>12</v>
      </c>
      <c r="H3403" s="1">
        <v>42880</v>
      </c>
      <c r="I3403" s="1">
        <v>42913</v>
      </c>
      <c r="J3403">
        <v>2993</v>
      </c>
    </row>
    <row r="3404" spans="1:10" x14ac:dyDescent="0.3">
      <c r="A3404" t="s">
        <v>3535</v>
      </c>
      <c r="B3404" t="s">
        <v>202</v>
      </c>
      <c r="C3404" t="str">
        <f>_xlfn.XLOOKUP(B3404,
[1]sales_teams!$A$2:$A$100,
[1]sales_teams!$B$2:$B$100)</f>
        <v>Dustin Brinkmann</v>
      </c>
      <c r="D3404" t="str">
        <f>_xlfn.XLOOKUP($B3404,sales_teams!$A$2:$A$36,sales_teams!C$2:C$36)</f>
        <v>Central</v>
      </c>
      <c r="E3404" t="s">
        <v>20</v>
      </c>
      <c r="F3404" t="s">
        <v>303</v>
      </c>
      <c r="G3404" t="s">
        <v>12</v>
      </c>
      <c r="H3404" s="1">
        <v>42880</v>
      </c>
      <c r="I3404" s="1">
        <v>42891</v>
      </c>
      <c r="J3404">
        <v>460</v>
      </c>
    </row>
    <row r="3405" spans="1:10" x14ac:dyDescent="0.3">
      <c r="A3405" t="s">
        <v>3536</v>
      </c>
      <c r="B3405" t="s">
        <v>164</v>
      </c>
      <c r="C3405" t="str">
        <f>_xlfn.XLOOKUP(B3405,
[1]sales_teams!$A$2:$A$100,
[1]sales_teams!$B$2:$B$100)</f>
        <v>Cara Losch</v>
      </c>
      <c r="D3405" t="str">
        <f>_xlfn.XLOOKUP($B3405,sales_teams!$A$2:$A$36,sales_teams!C$2:C$36)</f>
        <v>East</v>
      </c>
      <c r="E3405" t="s">
        <v>48</v>
      </c>
      <c r="F3405" t="s">
        <v>318</v>
      </c>
      <c r="G3405" t="s">
        <v>40</v>
      </c>
      <c r="H3405" s="1">
        <v>42880</v>
      </c>
    </row>
    <row r="3406" spans="1:10" x14ac:dyDescent="0.3">
      <c r="A3406" t="s">
        <v>3537</v>
      </c>
      <c r="B3406" t="s">
        <v>164</v>
      </c>
      <c r="C3406" t="str">
        <f>_xlfn.XLOOKUP(B3406,
[1]sales_teams!$A$2:$A$100,
[1]sales_teams!$B$2:$B$100)</f>
        <v>Cara Losch</v>
      </c>
      <c r="D3406" t="str">
        <f>_xlfn.XLOOKUP($B3406,sales_teams!$A$2:$A$36,sales_teams!C$2:C$36)</f>
        <v>East</v>
      </c>
      <c r="E3406" t="s">
        <v>20</v>
      </c>
      <c r="F3406" t="s">
        <v>199</v>
      </c>
      <c r="G3406" t="s">
        <v>12</v>
      </c>
      <c r="H3406" s="1">
        <v>42880</v>
      </c>
      <c r="I3406" s="1">
        <v>43003</v>
      </c>
      <c r="J3406">
        <v>616</v>
      </c>
    </row>
    <row r="3407" spans="1:10" x14ac:dyDescent="0.3">
      <c r="A3407" t="s">
        <v>3538</v>
      </c>
      <c r="B3407" t="s">
        <v>14</v>
      </c>
      <c r="C3407" t="str">
        <f>_xlfn.XLOOKUP(B3407,
[1]sales_teams!$A$2:$A$100,
[1]sales_teams!$B$2:$B$100)</f>
        <v>Melvin Marxen</v>
      </c>
      <c r="D3407" t="str">
        <f>_xlfn.XLOOKUP($B3407,sales_teams!$A$2:$A$36,sales_teams!C$2:C$36)</f>
        <v>Central</v>
      </c>
      <c r="E3407" t="s">
        <v>39</v>
      </c>
      <c r="F3407" t="s">
        <v>231</v>
      </c>
      <c r="G3407" t="s">
        <v>46</v>
      </c>
      <c r="H3407" s="1">
        <v>42880</v>
      </c>
      <c r="I3407" s="1">
        <v>42954</v>
      </c>
      <c r="J3407">
        <v>0</v>
      </c>
    </row>
    <row r="3408" spans="1:10" x14ac:dyDescent="0.3">
      <c r="A3408" t="s">
        <v>3539</v>
      </c>
      <c r="B3408" t="s">
        <v>14</v>
      </c>
      <c r="C3408" t="str">
        <f>_xlfn.XLOOKUP(B3408,
[1]sales_teams!$A$2:$A$100,
[1]sales_teams!$B$2:$B$100)</f>
        <v>Melvin Marxen</v>
      </c>
      <c r="D3408" t="str">
        <f>_xlfn.XLOOKUP($B3408,sales_teams!$A$2:$A$36,sales_teams!C$2:C$36)</f>
        <v>Central</v>
      </c>
      <c r="E3408" t="s">
        <v>15</v>
      </c>
      <c r="F3408" t="s">
        <v>213</v>
      </c>
      <c r="G3408" t="s">
        <v>12</v>
      </c>
      <c r="H3408" s="1">
        <v>42880</v>
      </c>
      <c r="I3408" s="1">
        <v>42961</v>
      </c>
      <c r="J3408">
        <v>4270</v>
      </c>
    </row>
    <row r="3409" spans="1:10" x14ac:dyDescent="0.3">
      <c r="A3409" t="s">
        <v>3540</v>
      </c>
      <c r="B3409" t="s">
        <v>142</v>
      </c>
      <c r="C3409" t="str">
        <f>_xlfn.XLOOKUP(B3409,
[1]sales_teams!$A$2:$A$100,
[1]sales_teams!$B$2:$B$100)</f>
        <v>Rocco Neubert</v>
      </c>
      <c r="D3409" t="str">
        <f>_xlfn.XLOOKUP($B3409,sales_teams!$A$2:$A$36,sales_teams!C$2:C$36)</f>
        <v>East</v>
      </c>
      <c r="E3409" t="s">
        <v>15</v>
      </c>
      <c r="F3409" t="s">
        <v>177</v>
      </c>
      <c r="G3409" t="s">
        <v>46</v>
      </c>
      <c r="H3409" s="1">
        <v>42880</v>
      </c>
      <c r="I3409" s="1">
        <v>42968</v>
      </c>
      <c r="J3409">
        <v>0</v>
      </c>
    </row>
    <row r="3410" spans="1:10" x14ac:dyDescent="0.3">
      <c r="A3410" t="s">
        <v>3541</v>
      </c>
      <c r="B3410" t="s">
        <v>44</v>
      </c>
      <c r="C3410" t="str">
        <f>_xlfn.XLOOKUP(B3410,
[1]sales_teams!$A$2:$A$100,
[1]sales_teams!$B$2:$B$100)</f>
        <v>Melvin Marxen</v>
      </c>
      <c r="D3410" t="str">
        <f>_xlfn.XLOOKUP($B3410,sales_teams!$A$2:$A$36,sales_teams!C$2:C$36)</f>
        <v>Central</v>
      </c>
      <c r="E3410" t="s">
        <v>15</v>
      </c>
      <c r="F3410" t="s">
        <v>62</v>
      </c>
      <c r="G3410" t="s">
        <v>12</v>
      </c>
      <c r="H3410" s="1">
        <v>42880</v>
      </c>
      <c r="I3410" s="1">
        <v>42969</v>
      </c>
      <c r="J3410">
        <v>4787</v>
      </c>
    </row>
    <row r="3411" spans="1:10" x14ac:dyDescent="0.3">
      <c r="A3411" t="s">
        <v>3542</v>
      </c>
      <c r="B3411" t="s">
        <v>54</v>
      </c>
      <c r="C3411" t="str">
        <f>_xlfn.XLOOKUP(B3411,
[1]sales_teams!$A$2:$A$100,
[1]sales_teams!$B$2:$B$100)</f>
        <v>Celia Rouche</v>
      </c>
      <c r="D3411" t="str">
        <f>_xlfn.XLOOKUP($B3411,sales_teams!$A$2:$A$36,sales_teams!C$2:C$36)</f>
        <v>West</v>
      </c>
      <c r="E3411" t="s">
        <v>39</v>
      </c>
      <c r="G3411" t="s">
        <v>40</v>
      </c>
      <c r="H3411" s="1">
        <v>42880</v>
      </c>
    </row>
    <row r="3412" spans="1:10" x14ac:dyDescent="0.3">
      <c r="A3412" t="s">
        <v>3543</v>
      </c>
      <c r="B3412" t="s">
        <v>252</v>
      </c>
      <c r="C3412" t="str">
        <f>_xlfn.XLOOKUP(B3412,
[1]sales_teams!$A$2:$A$100,
[1]sales_teams!$B$2:$B$100)</f>
        <v>Melvin Marxen</v>
      </c>
      <c r="D3412" t="str">
        <f>_xlfn.XLOOKUP($B3412,sales_teams!$A$2:$A$36,sales_teams!C$2:C$36)</f>
        <v>Central</v>
      </c>
      <c r="E3412" t="s">
        <v>20</v>
      </c>
      <c r="F3412" t="s">
        <v>187</v>
      </c>
      <c r="G3412" t="s">
        <v>46</v>
      </c>
      <c r="H3412" s="1">
        <v>42880</v>
      </c>
      <c r="I3412" s="1">
        <v>42975</v>
      </c>
      <c r="J3412">
        <v>0</v>
      </c>
    </row>
    <row r="3413" spans="1:10" x14ac:dyDescent="0.3">
      <c r="A3413" t="s">
        <v>3544</v>
      </c>
      <c r="B3413" t="s">
        <v>252</v>
      </c>
      <c r="C3413" t="str">
        <f>_xlfn.XLOOKUP(B3413,
[1]sales_teams!$A$2:$A$100,
[1]sales_teams!$B$2:$B$100)</f>
        <v>Melvin Marxen</v>
      </c>
      <c r="D3413" t="str">
        <f>_xlfn.XLOOKUP($B3413,sales_teams!$A$2:$A$36,sales_teams!C$2:C$36)</f>
        <v>Central</v>
      </c>
      <c r="E3413" t="s">
        <v>18</v>
      </c>
      <c r="F3413" t="s">
        <v>315</v>
      </c>
      <c r="G3413" t="s">
        <v>12</v>
      </c>
      <c r="H3413" s="1">
        <v>42880</v>
      </c>
      <c r="I3413" s="1">
        <v>42886</v>
      </c>
      <c r="J3413">
        <v>55</v>
      </c>
    </row>
    <row r="3414" spans="1:10" x14ac:dyDescent="0.3">
      <c r="A3414" t="s">
        <v>3545</v>
      </c>
      <c r="B3414" t="s">
        <v>252</v>
      </c>
      <c r="C3414" t="str">
        <f>_xlfn.XLOOKUP(B3414,
[1]sales_teams!$A$2:$A$100,
[1]sales_teams!$B$2:$B$100)</f>
        <v>Melvin Marxen</v>
      </c>
      <c r="D3414" t="str">
        <f>_xlfn.XLOOKUP($B3414,sales_teams!$A$2:$A$36,sales_teams!C$2:C$36)</f>
        <v>Central</v>
      </c>
      <c r="E3414" t="s">
        <v>39</v>
      </c>
      <c r="F3414" t="s">
        <v>135</v>
      </c>
      <c r="G3414" t="s">
        <v>12</v>
      </c>
      <c r="H3414" s="1">
        <v>42880</v>
      </c>
      <c r="I3414" s="1">
        <v>42956</v>
      </c>
      <c r="J3414">
        <v>3808</v>
      </c>
    </row>
    <row r="3415" spans="1:10" x14ac:dyDescent="0.3">
      <c r="A3415" t="s">
        <v>3546</v>
      </c>
      <c r="B3415" t="s">
        <v>95</v>
      </c>
      <c r="C3415" t="str">
        <f>_xlfn.XLOOKUP(B3415,
[1]sales_teams!$A$2:$A$100,
[1]sales_teams!$B$2:$B$100)</f>
        <v>Summer Sewald</v>
      </c>
      <c r="D3415" t="str">
        <f>_xlfn.XLOOKUP($B3415,sales_teams!$A$2:$A$36,sales_teams!C$2:C$36)</f>
        <v>West</v>
      </c>
      <c r="E3415" t="s">
        <v>15</v>
      </c>
      <c r="G3415" t="s">
        <v>40</v>
      </c>
      <c r="H3415" s="1">
        <v>42880</v>
      </c>
    </row>
    <row r="3416" spans="1:10" x14ac:dyDescent="0.3">
      <c r="A3416" t="s">
        <v>3547</v>
      </c>
      <c r="B3416" t="s">
        <v>133</v>
      </c>
      <c r="C3416" t="str">
        <f>_xlfn.XLOOKUP(B3416,
[1]sales_teams!$A$2:$A$100,
[1]sales_teams!$B$2:$B$100)</f>
        <v>Dustin Brinkmann</v>
      </c>
      <c r="D3416" t="str">
        <f>_xlfn.XLOOKUP($B3416,sales_teams!$A$2:$A$36,sales_teams!C$2:C$36)</f>
        <v>Central</v>
      </c>
      <c r="E3416" t="s">
        <v>20</v>
      </c>
      <c r="F3416" t="s">
        <v>126</v>
      </c>
      <c r="G3416" t="s">
        <v>12</v>
      </c>
      <c r="H3416" s="1">
        <v>42880</v>
      </c>
      <c r="I3416" s="1">
        <v>43001</v>
      </c>
      <c r="J3416">
        <v>483</v>
      </c>
    </row>
    <row r="3417" spans="1:10" x14ac:dyDescent="0.3">
      <c r="A3417" t="s">
        <v>3548</v>
      </c>
      <c r="B3417" t="s">
        <v>133</v>
      </c>
      <c r="C3417" t="str">
        <f>_xlfn.XLOOKUP(B3417,
[1]sales_teams!$A$2:$A$100,
[1]sales_teams!$B$2:$B$100)</f>
        <v>Dustin Brinkmann</v>
      </c>
      <c r="D3417" t="str">
        <f>_xlfn.XLOOKUP($B3417,sales_teams!$A$2:$A$36,sales_teams!C$2:C$36)</f>
        <v>Central</v>
      </c>
      <c r="E3417" t="s">
        <v>39</v>
      </c>
      <c r="F3417" t="s">
        <v>76</v>
      </c>
      <c r="G3417" t="s">
        <v>12</v>
      </c>
      <c r="H3417" s="1">
        <v>42880</v>
      </c>
      <c r="I3417" s="1">
        <v>42994</v>
      </c>
      <c r="J3417">
        <v>3727</v>
      </c>
    </row>
    <row r="3418" spans="1:10" x14ac:dyDescent="0.3">
      <c r="A3418" t="s">
        <v>3549</v>
      </c>
      <c r="B3418" t="s">
        <v>32</v>
      </c>
      <c r="C3418" t="str">
        <f>_xlfn.XLOOKUP(B3418,
[1]sales_teams!$A$2:$A$100,
[1]sales_teams!$B$2:$B$100)</f>
        <v>Celia Rouche</v>
      </c>
      <c r="D3418" t="str">
        <f>_xlfn.XLOOKUP($B3418,sales_teams!$A$2:$A$36,sales_teams!C$2:C$36)</f>
        <v>West</v>
      </c>
      <c r="E3418" t="s">
        <v>15</v>
      </c>
      <c r="F3418" t="s">
        <v>194</v>
      </c>
      <c r="G3418" t="s">
        <v>12</v>
      </c>
      <c r="H3418" s="1">
        <v>42880</v>
      </c>
      <c r="I3418" s="1">
        <v>42961</v>
      </c>
      <c r="J3418">
        <v>4738</v>
      </c>
    </row>
    <row r="3419" spans="1:10" x14ac:dyDescent="0.3">
      <c r="A3419" t="s">
        <v>3550</v>
      </c>
      <c r="B3419" t="s">
        <v>116</v>
      </c>
      <c r="C3419" t="str">
        <f>_xlfn.XLOOKUP(B3419,
[1]sales_teams!$A$2:$A$100,
[1]sales_teams!$B$2:$B$100)</f>
        <v>Melvin Marxen</v>
      </c>
      <c r="D3419" t="str">
        <f>_xlfn.XLOOKUP($B3419,sales_teams!$A$2:$A$36,sales_teams!C$2:C$36)</f>
        <v>Central</v>
      </c>
      <c r="E3419" t="s">
        <v>10</v>
      </c>
      <c r="F3419" t="s">
        <v>27</v>
      </c>
      <c r="G3419" t="s">
        <v>12</v>
      </c>
      <c r="H3419" s="1">
        <v>42880</v>
      </c>
      <c r="I3419" s="1">
        <v>42951</v>
      </c>
      <c r="J3419">
        <v>1275</v>
      </c>
    </row>
    <row r="3420" spans="1:10" x14ac:dyDescent="0.3">
      <c r="A3420" t="s">
        <v>3551</v>
      </c>
      <c r="B3420" t="s">
        <v>116</v>
      </c>
      <c r="C3420" t="str">
        <f>_xlfn.XLOOKUP(B3420,
[1]sales_teams!$A$2:$A$100,
[1]sales_teams!$B$2:$B$100)</f>
        <v>Melvin Marxen</v>
      </c>
      <c r="D3420" t="str">
        <f>_xlfn.XLOOKUP($B3420,sales_teams!$A$2:$A$36,sales_teams!C$2:C$36)</f>
        <v>Central</v>
      </c>
      <c r="E3420" t="s">
        <v>39</v>
      </c>
      <c r="F3420" t="s">
        <v>62</v>
      </c>
      <c r="G3420" t="s">
        <v>12</v>
      </c>
      <c r="H3420" s="1">
        <v>42880</v>
      </c>
      <c r="I3420" s="1">
        <v>42966</v>
      </c>
      <c r="J3420">
        <v>3428</v>
      </c>
    </row>
    <row r="3421" spans="1:10" x14ac:dyDescent="0.3">
      <c r="A3421" t="s">
        <v>3552</v>
      </c>
      <c r="B3421" t="s">
        <v>9</v>
      </c>
      <c r="C3421" t="str">
        <f>_xlfn.XLOOKUP(B3421,
[1]sales_teams!$A$2:$A$100,
[1]sales_teams!$B$2:$B$100)</f>
        <v>Dustin Brinkmann</v>
      </c>
      <c r="D3421" t="str">
        <f>_xlfn.XLOOKUP($B3421,sales_teams!$A$2:$A$36,sales_teams!C$2:C$36)</f>
        <v>Central</v>
      </c>
      <c r="E3421" t="s">
        <v>18</v>
      </c>
      <c r="F3421" t="s">
        <v>120</v>
      </c>
      <c r="G3421" t="s">
        <v>46</v>
      </c>
      <c r="H3421" s="1">
        <v>42880</v>
      </c>
      <c r="I3421" s="1">
        <v>42989</v>
      </c>
      <c r="J3421">
        <v>0</v>
      </c>
    </row>
    <row r="3422" spans="1:10" x14ac:dyDescent="0.3">
      <c r="A3422" t="s">
        <v>3553</v>
      </c>
      <c r="B3422" t="s">
        <v>97</v>
      </c>
      <c r="C3422" t="str">
        <f>_xlfn.XLOOKUP(B3422,
[1]sales_teams!$A$2:$A$100,
[1]sales_teams!$B$2:$B$100)</f>
        <v>Rocco Neubert</v>
      </c>
      <c r="D3422" t="str">
        <f>_xlfn.XLOOKUP($B3422,sales_teams!$A$2:$A$36,sales_teams!C$2:C$36)</f>
        <v>East</v>
      </c>
      <c r="E3422" t="s">
        <v>15</v>
      </c>
      <c r="F3422" t="s">
        <v>106</v>
      </c>
      <c r="G3422" t="s">
        <v>12</v>
      </c>
      <c r="H3422" s="1">
        <v>42880</v>
      </c>
      <c r="I3422" s="1">
        <v>42893</v>
      </c>
      <c r="J3422">
        <v>5420</v>
      </c>
    </row>
    <row r="3423" spans="1:10" x14ac:dyDescent="0.3">
      <c r="A3423" t="s">
        <v>3554</v>
      </c>
      <c r="B3423" t="s">
        <v>57</v>
      </c>
      <c r="C3423" t="str">
        <f>_xlfn.XLOOKUP(B3423,
[1]sales_teams!$A$2:$A$100,
[1]sales_teams!$B$2:$B$100)</f>
        <v>Celia Rouche</v>
      </c>
      <c r="D3423" t="str">
        <f>_xlfn.XLOOKUP($B3423,sales_teams!$A$2:$A$36,sales_teams!C$2:C$36)</f>
        <v>West</v>
      </c>
      <c r="E3423" t="s">
        <v>18</v>
      </c>
      <c r="F3423" t="s">
        <v>174</v>
      </c>
      <c r="G3423" t="s">
        <v>46</v>
      </c>
      <c r="H3423" s="1">
        <v>42880</v>
      </c>
      <c r="I3423" s="1">
        <v>42975</v>
      </c>
      <c r="J3423">
        <v>0</v>
      </c>
    </row>
    <row r="3424" spans="1:10" x14ac:dyDescent="0.3">
      <c r="A3424" t="s">
        <v>3555</v>
      </c>
      <c r="B3424" t="s">
        <v>61</v>
      </c>
      <c r="C3424" t="str">
        <f>_xlfn.XLOOKUP(B3424,
[1]sales_teams!$A$2:$A$100,
[1]sales_teams!$B$2:$B$100)</f>
        <v>Dustin Brinkmann</v>
      </c>
      <c r="D3424" t="str">
        <f>_xlfn.XLOOKUP($B3424,sales_teams!$A$2:$A$36,sales_teams!C$2:C$36)</f>
        <v>Central</v>
      </c>
      <c r="E3424" t="s">
        <v>18</v>
      </c>
      <c r="F3424" t="s">
        <v>197</v>
      </c>
      <c r="G3424" t="s">
        <v>12</v>
      </c>
      <c r="H3424" s="1">
        <v>42880</v>
      </c>
      <c r="I3424" s="1">
        <v>42897</v>
      </c>
      <c r="J3424">
        <v>59</v>
      </c>
    </row>
    <row r="3425" spans="1:10" x14ac:dyDescent="0.3">
      <c r="A3425" t="s">
        <v>3556</v>
      </c>
      <c r="B3425" t="s">
        <v>29</v>
      </c>
      <c r="C3425" t="str">
        <f>_xlfn.XLOOKUP(B3425,
[1]sales_teams!$A$2:$A$100,
[1]sales_teams!$B$2:$B$100)</f>
        <v>Celia Rouche</v>
      </c>
      <c r="D3425" t="str">
        <f>_xlfn.XLOOKUP($B3425,sales_teams!$A$2:$A$36,sales_teams!C$2:C$36)</f>
        <v>West</v>
      </c>
      <c r="E3425" t="s">
        <v>48</v>
      </c>
      <c r="F3425" t="s">
        <v>273</v>
      </c>
      <c r="G3425" t="s">
        <v>40</v>
      </c>
      <c r="H3425" s="1">
        <v>42880</v>
      </c>
    </row>
    <row r="3426" spans="1:10" x14ac:dyDescent="0.3">
      <c r="A3426" t="s">
        <v>3557</v>
      </c>
      <c r="B3426" t="s">
        <v>29</v>
      </c>
      <c r="C3426" t="str">
        <f>_xlfn.XLOOKUP(B3426,
[1]sales_teams!$A$2:$A$100,
[1]sales_teams!$B$2:$B$100)</f>
        <v>Celia Rouche</v>
      </c>
      <c r="D3426" t="str">
        <f>_xlfn.XLOOKUP($B3426,sales_teams!$A$2:$A$36,sales_teams!C$2:C$36)</f>
        <v>West</v>
      </c>
      <c r="E3426" t="s">
        <v>18</v>
      </c>
      <c r="F3426" t="s">
        <v>45</v>
      </c>
      <c r="G3426" t="s">
        <v>40</v>
      </c>
      <c r="H3426" s="1">
        <v>42880</v>
      </c>
    </row>
    <row r="3427" spans="1:10" x14ac:dyDescent="0.3">
      <c r="A3427" t="s">
        <v>3558</v>
      </c>
      <c r="B3427" t="s">
        <v>26</v>
      </c>
      <c r="C3427" t="str">
        <f>_xlfn.XLOOKUP(B3427,
[1]sales_teams!$A$2:$A$100,
[1]sales_teams!$B$2:$B$100)</f>
        <v>Dustin Brinkmann</v>
      </c>
      <c r="D3427" t="str">
        <f>_xlfn.XLOOKUP($B3427,sales_teams!$A$2:$A$36,sales_teams!C$2:C$36)</f>
        <v>Central</v>
      </c>
      <c r="E3427" t="s">
        <v>10</v>
      </c>
      <c r="F3427" t="s">
        <v>197</v>
      </c>
      <c r="G3427" t="s">
        <v>46</v>
      </c>
      <c r="H3427" s="1">
        <v>42881</v>
      </c>
      <c r="I3427" s="1">
        <v>42962</v>
      </c>
      <c r="J3427">
        <v>0</v>
      </c>
    </row>
    <row r="3428" spans="1:10" x14ac:dyDescent="0.3">
      <c r="A3428" t="s">
        <v>3559</v>
      </c>
      <c r="B3428" t="s">
        <v>26</v>
      </c>
      <c r="C3428" t="str">
        <f>_xlfn.XLOOKUP(B3428,
[1]sales_teams!$A$2:$A$100,
[1]sales_teams!$B$2:$B$100)</f>
        <v>Dustin Brinkmann</v>
      </c>
      <c r="D3428" t="str">
        <f>_xlfn.XLOOKUP($B3428,sales_teams!$A$2:$A$36,sales_teams!C$2:C$36)</f>
        <v>Central</v>
      </c>
      <c r="E3428" t="s">
        <v>39</v>
      </c>
      <c r="F3428" t="s">
        <v>151</v>
      </c>
      <c r="G3428" t="s">
        <v>46</v>
      </c>
      <c r="H3428" s="1">
        <v>42881</v>
      </c>
      <c r="I3428" s="1">
        <v>42966</v>
      </c>
      <c r="J3428">
        <v>0</v>
      </c>
    </row>
    <row r="3429" spans="1:10" x14ac:dyDescent="0.3">
      <c r="A3429" t="s">
        <v>3560</v>
      </c>
      <c r="B3429" t="s">
        <v>139</v>
      </c>
      <c r="C3429" t="str">
        <f>_xlfn.XLOOKUP(B3429,
[1]sales_teams!$A$2:$A$100,
[1]sales_teams!$B$2:$B$100)</f>
        <v>Rocco Neubert</v>
      </c>
      <c r="D3429" t="str">
        <f>_xlfn.XLOOKUP($B3429,sales_teams!$A$2:$A$36,sales_teams!C$2:C$36)</f>
        <v>East</v>
      </c>
      <c r="E3429" t="s">
        <v>39</v>
      </c>
      <c r="G3429" t="s">
        <v>40</v>
      </c>
      <c r="H3429" s="1">
        <v>42881</v>
      </c>
    </row>
    <row r="3430" spans="1:10" x14ac:dyDescent="0.3">
      <c r="A3430" t="s">
        <v>3561</v>
      </c>
      <c r="B3430" t="s">
        <v>139</v>
      </c>
      <c r="C3430" t="str">
        <f>_xlfn.XLOOKUP(B3430,
[1]sales_teams!$A$2:$A$100,
[1]sales_teams!$B$2:$B$100)</f>
        <v>Rocco Neubert</v>
      </c>
      <c r="D3430" t="str">
        <f>_xlfn.XLOOKUP($B3430,sales_teams!$A$2:$A$36,sales_teams!C$2:C$36)</f>
        <v>East</v>
      </c>
      <c r="E3430" t="s">
        <v>20</v>
      </c>
      <c r="F3430" t="s">
        <v>143</v>
      </c>
      <c r="G3430" t="s">
        <v>12</v>
      </c>
      <c r="H3430" s="1">
        <v>42881</v>
      </c>
      <c r="I3430" s="1">
        <v>42993</v>
      </c>
      <c r="J3430">
        <v>561</v>
      </c>
    </row>
    <row r="3431" spans="1:10" x14ac:dyDescent="0.3">
      <c r="A3431" t="s">
        <v>3562</v>
      </c>
      <c r="B3431" t="s">
        <v>139</v>
      </c>
      <c r="C3431" t="str">
        <f>_xlfn.XLOOKUP(B3431,
[1]sales_teams!$A$2:$A$100,
[1]sales_teams!$B$2:$B$100)</f>
        <v>Rocco Neubert</v>
      </c>
      <c r="D3431" t="str">
        <f>_xlfn.XLOOKUP($B3431,sales_teams!$A$2:$A$36,sales_teams!C$2:C$36)</f>
        <v>East</v>
      </c>
      <c r="E3431" t="s">
        <v>10</v>
      </c>
      <c r="F3431" t="s">
        <v>300</v>
      </c>
      <c r="G3431" t="s">
        <v>12</v>
      </c>
      <c r="H3431" s="1">
        <v>42881</v>
      </c>
      <c r="I3431" s="1">
        <v>42957</v>
      </c>
      <c r="J3431">
        <v>1354</v>
      </c>
    </row>
    <row r="3432" spans="1:10" x14ac:dyDescent="0.3">
      <c r="A3432" t="s">
        <v>3563</v>
      </c>
      <c r="B3432" t="s">
        <v>118</v>
      </c>
      <c r="C3432" t="str">
        <f>_xlfn.XLOOKUP(B3432,
[1]sales_teams!$A$2:$A$100,
[1]sales_teams!$B$2:$B$100)</f>
        <v>Rocco Neubert</v>
      </c>
      <c r="D3432" t="str">
        <f>_xlfn.XLOOKUP($B3432,sales_teams!$A$2:$A$36,sales_teams!C$2:C$36)</f>
        <v>East</v>
      </c>
      <c r="E3432" t="s">
        <v>18</v>
      </c>
      <c r="F3432" t="s">
        <v>103</v>
      </c>
      <c r="G3432" t="s">
        <v>12</v>
      </c>
      <c r="H3432" s="1">
        <v>42881</v>
      </c>
      <c r="I3432" s="1">
        <v>42996</v>
      </c>
      <c r="J3432">
        <v>44</v>
      </c>
    </row>
    <row r="3433" spans="1:10" x14ac:dyDescent="0.3">
      <c r="A3433" t="s">
        <v>3564</v>
      </c>
      <c r="B3433" t="s">
        <v>164</v>
      </c>
      <c r="C3433" t="str">
        <f>_xlfn.XLOOKUP(B3433,
[1]sales_teams!$A$2:$A$100,
[1]sales_teams!$B$2:$B$100)</f>
        <v>Cara Losch</v>
      </c>
      <c r="D3433" t="str">
        <f>_xlfn.XLOOKUP($B3433,sales_teams!$A$2:$A$36,sales_teams!C$2:C$36)</f>
        <v>East</v>
      </c>
      <c r="E3433" t="s">
        <v>20</v>
      </c>
      <c r="F3433" t="s">
        <v>106</v>
      </c>
      <c r="G3433" t="s">
        <v>12</v>
      </c>
      <c r="H3433" s="1">
        <v>42881</v>
      </c>
      <c r="I3433" s="1">
        <v>42996</v>
      </c>
      <c r="J3433">
        <v>560</v>
      </c>
    </row>
    <row r="3434" spans="1:10" x14ac:dyDescent="0.3">
      <c r="A3434" t="s">
        <v>3565</v>
      </c>
      <c r="B3434" t="s">
        <v>164</v>
      </c>
      <c r="C3434" t="str">
        <f>_xlfn.XLOOKUP(B3434,
[1]sales_teams!$A$2:$A$100,
[1]sales_teams!$B$2:$B$100)</f>
        <v>Cara Losch</v>
      </c>
      <c r="D3434" t="str">
        <f>_xlfn.XLOOKUP($B3434,sales_teams!$A$2:$A$36,sales_teams!C$2:C$36)</f>
        <v>East</v>
      </c>
      <c r="E3434" t="s">
        <v>15</v>
      </c>
      <c r="F3434" t="s">
        <v>209</v>
      </c>
      <c r="G3434" t="s">
        <v>12</v>
      </c>
      <c r="H3434" s="1">
        <v>42881</v>
      </c>
      <c r="I3434" s="1">
        <v>42895</v>
      </c>
      <c r="J3434">
        <v>5324</v>
      </c>
    </row>
    <row r="3435" spans="1:10" x14ac:dyDescent="0.3">
      <c r="A3435" t="s">
        <v>3566</v>
      </c>
      <c r="B3435" t="s">
        <v>54</v>
      </c>
      <c r="C3435" t="str">
        <f>_xlfn.XLOOKUP(B3435,
[1]sales_teams!$A$2:$A$100,
[1]sales_teams!$B$2:$B$100)</f>
        <v>Celia Rouche</v>
      </c>
      <c r="D3435" t="str">
        <f>_xlfn.XLOOKUP($B3435,sales_teams!$A$2:$A$36,sales_teams!C$2:C$36)</f>
        <v>West</v>
      </c>
      <c r="E3435" t="s">
        <v>39</v>
      </c>
      <c r="G3435" t="s">
        <v>40</v>
      </c>
      <c r="H3435" s="1">
        <v>42881</v>
      </c>
    </row>
    <row r="3436" spans="1:10" x14ac:dyDescent="0.3">
      <c r="A3436" t="s">
        <v>3567</v>
      </c>
      <c r="B3436" t="s">
        <v>54</v>
      </c>
      <c r="C3436" t="str">
        <f>_xlfn.XLOOKUP(B3436,
[1]sales_teams!$A$2:$A$100,
[1]sales_teams!$B$2:$B$100)</f>
        <v>Celia Rouche</v>
      </c>
      <c r="D3436" t="str">
        <f>_xlfn.XLOOKUP($B3436,sales_teams!$A$2:$A$36,sales_teams!C$2:C$36)</f>
        <v>West</v>
      </c>
      <c r="E3436" t="s">
        <v>39</v>
      </c>
      <c r="G3436" t="s">
        <v>40</v>
      </c>
      <c r="H3436" s="1">
        <v>42881</v>
      </c>
    </row>
    <row r="3437" spans="1:10" x14ac:dyDescent="0.3">
      <c r="A3437" t="s">
        <v>3568</v>
      </c>
      <c r="B3437" t="s">
        <v>38</v>
      </c>
      <c r="C3437" t="str">
        <f>_xlfn.XLOOKUP(B3437,
[1]sales_teams!$A$2:$A$100,
[1]sales_teams!$B$2:$B$100)</f>
        <v>Summer Sewald</v>
      </c>
      <c r="D3437" t="str">
        <f>_xlfn.XLOOKUP($B3437,sales_teams!$A$2:$A$36,sales_teams!C$2:C$36)</f>
        <v>West</v>
      </c>
      <c r="E3437" t="s">
        <v>10</v>
      </c>
      <c r="F3437" t="s">
        <v>79</v>
      </c>
      <c r="G3437" t="s">
        <v>40</v>
      </c>
      <c r="H3437" s="1">
        <v>42881</v>
      </c>
    </row>
    <row r="3438" spans="1:10" x14ac:dyDescent="0.3">
      <c r="A3438" t="s">
        <v>3569</v>
      </c>
      <c r="B3438" t="s">
        <v>78</v>
      </c>
      <c r="C3438" t="str">
        <f>_xlfn.XLOOKUP(B3438,
[1]sales_teams!$A$2:$A$100,
[1]sales_teams!$B$2:$B$100)</f>
        <v>Summer Sewald</v>
      </c>
      <c r="D3438" t="str">
        <f>_xlfn.XLOOKUP($B3438,sales_teams!$A$2:$A$36,sales_teams!C$2:C$36)</f>
        <v>West</v>
      </c>
      <c r="E3438" t="s">
        <v>15</v>
      </c>
      <c r="F3438" t="s">
        <v>120</v>
      </c>
      <c r="G3438" t="s">
        <v>40</v>
      </c>
      <c r="H3438" s="1">
        <v>42881</v>
      </c>
    </row>
    <row r="3439" spans="1:10" x14ac:dyDescent="0.3">
      <c r="A3439" t="s">
        <v>3570</v>
      </c>
      <c r="B3439" t="s">
        <v>78</v>
      </c>
      <c r="C3439" t="str">
        <f>_xlfn.XLOOKUP(B3439,
[1]sales_teams!$A$2:$A$100,
[1]sales_teams!$B$2:$B$100)</f>
        <v>Summer Sewald</v>
      </c>
      <c r="D3439" t="str">
        <f>_xlfn.XLOOKUP($B3439,sales_teams!$A$2:$A$36,sales_teams!C$2:C$36)</f>
        <v>West</v>
      </c>
      <c r="E3439" t="s">
        <v>15</v>
      </c>
      <c r="F3439" t="s">
        <v>194</v>
      </c>
      <c r="G3439" t="s">
        <v>12</v>
      </c>
      <c r="H3439" s="1">
        <v>42881</v>
      </c>
      <c r="I3439" s="1">
        <v>43001</v>
      </c>
      <c r="J3439">
        <v>4924</v>
      </c>
    </row>
    <row r="3440" spans="1:10" x14ac:dyDescent="0.3">
      <c r="A3440" t="s">
        <v>3571</v>
      </c>
      <c r="B3440" t="s">
        <v>95</v>
      </c>
      <c r="C3440" t="str">
        <f>_xlfn.XLOOKUP(B3440,
[1]sales_teams!$A$2:$A$100,
[1]sales_teams!$B$2:$B$100)</f>
        <v>Summer Sewald</v>
      </c>
      <c r="D3440" t="str">
        <f>_xlfn.XLOOKUP($B3440,sales_teams!$A$2:$A$36,sales_teams!C$2:C$36)</f>
        <v>West</v>
      </c>
      <c r="E3440" t="s">
        <v>20</v>
      </c>
      <c r="F3440" t="s">
        <v>122</v>
      </c>
      <c r="G3440" t="s">
        <v>12</v>
      </c>
      <c r="H3440" s="1">
        <v>42881</v>
      </c>
      <c r="I3440" s="1">
        <v>42954</v>
      </c>
      <c r="J3440">
        <v>571</v>
      </c>
    </row>
    <row r="3441" spans="1:10" x14ac:dyDescent="0.3">
      <c r="A3441" t="s">
        <v>3572</v>
      </c>
      <c r="B3441" t="s">
        <v>95</v>
      </c>
      <c r="C3441" t="str">
        <f>_xlfn.XLOOKUP(B3441,
[1]sales_teams!$A$2:$A$100,
[1]sales_teams!$B$2:$B$100)</f>
        <v>Summer Sewald</v>
      </c>
      <c r="D3441" t="str">
        <f>_xlfn.XLOOKUP($B3441,sales_teams!$A$2:$A$36,sales_teams!C$2:C$36)</f>
        <v>West</v>
      </c>
      <c r="E3441" t="s">
        <v>39</v>
      </c>
      <c r="F3441" t="s">
        <v>199</v>
      </c>
      <c r="G3441" t="s">
        <v>12</v>
      </c>
      <c r="H3441" s="1">
        <v>42881</v>
      </c>
      <c r="I3441" s="1">
        <v>42959</v>
      </c>
      <c r="J3441">
        <v>4022</v>
      </c>
    </row>
    <row r="3442" spans="1:10" x14ac:dyDescent="0.3">
      <c r="A3442" t="s">
        <v>3573</v>
      </c>
      <c r="B3442" t="s">
        <v>133</v>
      </c>
      <c r="C3442" t="str">
        <f>_xlfn.XLOOKUP(B3442,
[1]sales_teams!$A$2:$A$100,
[1]sales_teams!$B$2:$B$100)</f>
        <v>Dustin Brinkmann</v>
      </c>
      <c r="D3442" t="str">
        <f>_xlfn.XLOOKUP($B3442,sales_teams!$A$2:$A$36,sales_teams!C$2:C$36)</f>
        <v>Central</v>
      </c>
      <c r="E3442" t="s">
        <v>20</v>
      </c>
      <c r="F3442" t="s">
        <v>126</v>
      </c>
      <c r="G3442" t="s">
        <v>46</v>
      </c>
      <c r="H3442" s="1">
        <v>42881</v>
      </c>
      <c r="I3442" s="1">
        <v>42959</v>
      </c>
      <c r="J3442">
        <v>0</v>
      </c>
    </row>
    <row r="3443" spans="1:10" x14ac:dyDescent="0.3">
      <c r="A3443" t="s">
        <v>3574</v>
      </c>
      <c r="B3443" t="s">
        <v>51</v>
      </c>
      <c r="C3443" t="str">
        <f>_xlfn.XLOOKUP(B3443,
[1]sales_teams!$A$2:$A$100,
[1]sales_teams!$B$2:$B$100)</f>
        <v>Summer Sewald</v>
      </c>
      <c r="D3443" t="str">
        <f>_xlfn.XLOOKUP($B3443,sales_teams!$A$2:$A$36,sales_teams!C$2:C$36)</f>
        <v>West</v>
      </c>
      <c r="E3443" t="s">
        <v>18</v>
      </c>
      <c r="F3443" t="s">
        <v>398</v>
      </c>
      <c r="G3443" t="s">
        <v>46</v>
      </c>
      <c r="H3443" s="1">
        <v>42881</v>
      </c>
      <c r="I3443" s="1">
        <v>42969</v>
      </c>
      <c r="J3443">
        <v>0</v>
      </c>
    </row>
    <row r="3444" spans="1:10" x14ac:dyDescent="0.3">
      <c r="A3444" t="s">
        <v>3575</v>
      </c>
      <c r="B3444" t="s">
        <v>51</v>
      </c>
      <c r="C3444" t="str">
        <f>_xlfn.XLOOKUP(B3444,
[1]sales_teams!$A$2:$A$100,
[1]sales_teams!$B$2:$B$100)</f>
        <v>Summer Sewald</v>
      </c>
      <c r="D3444" t="str">
        <f>_xlfn.XLOOKUP($B3444,sales_teams!$A$2:$A$36,sales_teams!C$2:C$36)</f>
        <v>West</v>
      </c>
      <c r="E3444" t="s">
        <v>10</v>
      </c>
      <c r="F3444" t="s">
        <v>194</v>
      </c>
      <c r="G3444" t="s">
        <v>12</v>
      </c>
      <c r="H3444" s="1">
        <v>42881</v>
      </c>
      <c r="I3444" s="1">
        <v>42898</v>
      </c>
      <c r="J3444">
        <v>1030</v>
      </c>
    </row>
    <row r="3445" spans="1:10" x14ac:dyDescent="0.3">
      <c r="A3445" t="s">
        <v>3576</v>
      </c>
      <c r="B3445" t="s">
        <v>9</v>
      </c>
      <c r="C3445" t="str">
        <f>_xlfn.XLOOKUP(B3445,
[1]sales_teams!$A$2:$A$100,
[1]sales_teams!$B$2:$B$100)</f>
        <v>Dustin Brinkmann</v>
      </c>
      <c r="D3445" t="str">
        <f>_xlfn.XLOOKUP($B3445,sales_teams!$A$2:$A$36,sales_teams!C$2:C$36)</f>
        <v>Central</v>
      </c>
      <c r="E3445" t="s">
        <v>39</v>
      </c>
      <c r="F3445" t="s">
        <v>42</v>
      </c>
      <c r="G3445" t="s">
        <v>46</v>
      </c>
      <c r="H3445" s="1">
        <v>42881</v>
      </c>
      <c r="I3445" s="1">
        <v>42956</v>
      </c>
      <c r="J3445">
        <v>0</v>
      </c>
    </row>
    <row r="3446" spans="1:10" x14ac:dyDescent="0.3">
      <c r="A3446" t="s">
        <v>3577</v>
      </c>
      <c r="B3446" t="s">
        <v>35</v>
      </c>
      <c r="C3446" t="str">
        <f>_xlfn.XLOOKUP(B3446,
[1]sales_teams!$A$2:$A$100,
[1]sales_teams!$B$2:$B$100)</f>
        <v>Melvin Marxen</v>
      </c>
      <c r="D3446" t="str">
        <f>_xlfn.XLOOKUP($B3446,sales_teams!$A$2:$A$36,sales_teams!C$2:C$36)</f>
        <v>Central</v>
      </c>
      <c r="E3446" t="s">
        <v>18</v>
      </c>
      <c r="F3446" t="s">
        <v>492</v>
      </c>
      <c r="G3446" t="s">
        <v>46</v>
      </c>
      <c r="H3446" s="1">
        <v>42881</v>
      </c>
      <c r="I3446" s="1">
        <v>42886</v>
      </c>
      <c r="J3446">
        <v>0</v>
      </c>
    </row>
    <row r="3447" spans="1:10" x14ac:dyDescent="0.3">
      <c r="A3447" t="s">
        <v>3578</v>
      </c>
      <c r="B3447" t="s">
        <v>61</v>
      </c>
      <c r="C3447" t="str">
        <f>_xlfn.XLOOKUP(B3447,
[1]sales_teams!$A$2:$A$100,
[1]sales_teams!$B$2:$B$100)</f>
        <v>Dustin Brinkmann</v>
      </c>
      <c r="D3447" t="str">
        <f>_xlfn.XLOOKUP($B3447,sales_teams!$A$2:$A$36,sales_teams!C$2:C$36)</f>
        <v>Central</v>
      </c>
      <c r="E3447" t="s">
        <v>18</v>
      </c>
      <c r="F3447" t="s">
        <v>21</v>
      </c>
      <c r="G3447" t="s">
        <v>46</v>
      </c>
      <c r="H3447" s="1">
        <v>42881</v>
      </c>
      <c r="I3447" s="1">
        <v>42987</v>
      </c>
      <c r="J3447">
        <v>0</v>
      </c>
    </row>
    <row r="3448" spans="1:10" x14ac:dyDescent="0.3">
      <c r="A3448" t="s">
        <v>3579</v>
      </c>
      <c r="B3448" t="s">
        <v>29</v>
      </c>
      <c r="C3448" t="str">
        <f>_xlfn.XLOOKUP(B3448,
[1]sales_teams!$A$2:$A$100,
[1]sales_teams!$B$2:$B$100)</f>
        <v>Celia Rouche</v>
      </c>
      <c r="D3448" t="str">
        <f>_xlfn.XLOOKUP($B3448,sales_teams!$A$2:$A$36,sales_teams!C$2:C$36)</f>
        <v>West</v>
      </c>
      <c r="E3448" t="s">
        <v>20</v>
      </c>
      <c r="F3448" t="s">
        <v>24</v>
      </c>
      <c r="G3448" t="s">
        <v>46</v>
      </c>
      <c r="H3448" s="1">
        <v>42881</v>
      </c>
      <c r="I3448" s="1">
        <v>42950</v>
      </c>
      <c r="J3448">
        <v>0</v>
      </c>
    </row>
    <row r="3449" spans="1:10" x14ac:dyDescent="0.3">
      <c r="A3449" t="s">
        <v>3580</v>
      </c>
      <c r="B3449" t="s">
        <v>29</v>
      </c>
      <c r="C3449" t="str">
        <f>_xlfn.XLOOKUP(B3449,
[1]sales_teams!$A$2:$A$100,
[1]sales_teams!$B$2:$B$100)</f>
        <v>Celia Rouche</v>
      </c>
      <c r="D3449" t="str">
        <f>_xlfn.XLOOKUP($B3449,sales_teams!$A$2:$A$36,sales_teams!C$2:C$36)</f>
        <v>West</v>
      </c>
      <c r="E3449" t="s">
        <v>15</v>
      </c>
      <c r="F3449" t="s">
        <v>155</v>
      </c>
      <c r="G3449" t="s">
        <v>12</v>
      </c>
      <c r="H3449" s="1">
        <v>42881</v>
      </c>
      <c r="I3449" s="1">
        <v>42999</v>
      </c>
      <c r="J3449">
        <v>5074</v>
      </c>
    </row>
    <row r="3450" spans="1:10" x14ac:dyDescent="0.3">
      <c r="A3450" t="s">
        <v>3581</v>
      </c>
      <c r="B3450" t="s">
        <v>73</v>
      </c>
      <c r="C3450" t="str">
        <f>_xlfn.XLOOKUP(B3450,
[1]sales_teams!$A$2:$A$100,
[1]sales_teams!$B$2:$B$100)</f>
        <v>Cara Losch</v>
      </c>
      <c r="D3450" t="str">
        <f>_xlfn.XLOOKUP($B3450,sales_teams!$A$2:$A$36,sales_teams!C$2:C$36)</f>
        <v>East</v>
      </c>
      <c r="E3450" t="s">
        <v>18</v>
      </c>
      <c r="F3450" t="s">
        <v>79</v>
      </c>
      <c r="G3450" t="s">
        <v>40</v>
      </c>
      <c r="H3450" s="1">
        <v>42881</v>
      </c>
    </row>
    <row r="3451" spans="1:10" x14ac:dyDescent="0.3">
      <c r="A3451" t="s">
        <v>3582</v>
      </c>
      <c r="B3451" t="s">
        <v>102</v>
      </c>
      <c r="C3451" t="str">
        <f>_xlfn.XLOOKUP(B3451,
[1]sales_teams!$A$2:$A$100,
[1]sales_teams!$B$2:$B$100)</f>
        <v>Cara Losch</v>
      </c>
      <c r="D3451" t="str">
        <f>_xlfn.XLOOKUP($B3451,sales_teams!$A$2:$A$36,sales_teams!C$2:C$36)</f>
        <v>East</v>
      </c>
      <c r="E3451" t="s">
        <v>48</v>
      </c>
      <c r="F3451" t="s">
        <v>74</v>
      </c>
      <c r="G3451" t="s">
        <v>12</v>
      </c>
      <c r="H3451" s="1">
        <v>42881</v>
      </c>
      <c r="I3451" s="1">
        <v>43001</v>
      </c>
      <c r="J3451">
        <v>5198</v>
      </c>
    </row>
    <row r="3452" spans="1:10" x14ac:dyDescent="0.3">
      <c r="A3452" t="s">
        <v>3583</v>
      </c>
      <c r="B3452" t="s">
        <v>23</v>
      </c>
      <c r="C3452" t="str">
        <f>_xlfn.XLOOKUP(B3452,
[1]sales_teams!$A$2:$A$100,
[1]sales_teams!$B$2:$B$100)</f>
        <v>Summer Sewald</v>
      </c>
      <c r="D3452" t="str">
        <f>_xlfn.XLOOKUP($B3452,sales_teams!$A$2:$A$36,sales_teams!C$2:C$36)</f>
        <v>West</v>
      </c>
      <c r="E3452" t="s">
        <v>20</v>
      </c>
      <c r="G3452" t="s">
        <v>40</v>
      </c>
      <c r="H3452" s="1">
        <v>42881</v>
      </c>
    </row>
    <row r="3453" spans="1:10" x14ac:dyDescent="0.3">
      <c r="A3453" t="s">
        <v>3584</v>
      </c>
      <c r="B3453" t="s">
        <v>23</v>
      </c>
      <c r="C3453" t="str">
        <f>_xlfn.XLOOKUP(B3453,
[1]sales_teams!$A$2:$A$100,
[1]sales_teams!$B$2:$B$100)</f>
        <v>Summer Sewald</v>
      </c>
      <c r="D3453" t="str">
        <f>_xlfn.XLOOKUP($B3453,sales_teams!$A$2:$A$36,sales_teams!C$2:C$36)</f>
        <v>West</v>
      </c>
      <c r="E3453" t="s">
        <v>48</v>
      </c>
      <c r="F3453" t="s">
        <v>194</v>
      </c>
      <c r="G3453" t="s">
        <v>46</v>
      </c>
      <c r="H3453" s="1">
        <v>42881</v>
      </c>
      <c r="I3453" s="1">
        <v>42984</v>
      </c>
      <c r="J3453">
        <v>0</v>
      </c>
    </row>
    <row r="3454" spans="1:10" x14ac:dyDescent="0.3">
      <c r="A3454" t="s">
        <v>3585</v>
      </c>
      <c r="B3454" t="s">
        <v>26</v>
      </c>
      <c r="C3454" t="str">
        <f>_xlfn.XLOOKUP(B3454,
[1]sales_teams!$A$2:$A$100,
[1]sales_teams!$B$2:$B$100)</f>
        <v>Dustin Brinkmann</v>
      </c>
      <c r="D3454" t="str">
        <f>_xlfn.XLOOKUP($B3454,sales_teams!$A$2:$A$36,sales_teams!C$2:C$36)</f>
        <v>Central</v>
      </c>
      <c r="E3454" t="s">
        <v>18</v>
      </c>
      <c r="F3454" t="s">
        <v>303</v>
      </c>
      <c r="G3454" t="s">
        <v>46</v>
      </c>
      <c r="H3454" s="1">
        <v>42882</v>
      </c>
      <c r="I3454" s="1">
        <v>42971</v>
      </c>
      <c r="J3454">
        <v>0</v>
      </c>
    </row>
    <row r="3455" spans="1:10" x14ac:dyDescent="0.3">
      <c r="A3455" t="s">
        <v>3586</v>
      </c>
      <c r="B3455" t="s">
        <v>26</v>
      </c>
      <c r="C3455" t="str">
        <f>_xlfn.XLOOKUP(B3455,
[1]sales_teams!$A$2:$A$100,
[1]sales_teams!$B$2:$B$100)</f>
        <v>Dustin Brinkmann</v>
      </c>
      <c r="D3455" t="str">
        <f>_xlfn.XLOOKUP($B3455,sales_teams!$A$2:$A$36,sales_teams!C$2:C$36)</f>
        <v>Central</v>
      </c>
      <c r="E3455" t="s">
        <v>20</v>
      </c>
      <c r="F3455" t="s">
        <v>120</v>
      </c>
      <c r="G3455" t="s">
        <v>12</v>
      </c>
      <c r="H3455" s="1">
        <v>42882</v>
      </c>
      <c r="I3455" s="1">
        <v>42981</v>
      </c>
      <c r="J3455">
        <v>576</v>
      </c>
    </row>
    <row r="3456" spans="1:10" x14ac:dyDescent="0.3">
      <c r="A3456" t="s">
        <v>3587</v>
      </c>
      <c r="B3456" t="s">
        <v>26</v>
      </c>
      <c r="C3456" t="str">
        <f>_xlfn.XLOOKUP(B3456,
[1]sales_teams!$A$2:$A$100,
[1]sales_teams!$B$2:$B$100)</f>
        <v>Dustin Brinkmann</v>
      </c>
      <c r="D3456" t="str">
        <f>_xlfn.XLOOKUP($B3456,sales_teams!$A$2:$A$36,sales_teams!C$2:C$36)</f>
        <v>Central</v>
      </c>
      <c r="E3456" t="s">
        <v>18</v>
      </c>
      <c r="F3456" t="s">
        <v>111</v>
      </c>
      <c r="G3456" t="s">
        <v>12</v>
      </c>
      <c r="H3456" s="1">
        <v>42882</v>
      </c>
      <c r="I3456" s="1">
        <v>42968</v>
      </c>
      <c r="J3456">
        <v>57</v>
      </c>
    </row>
    <row r="3457" spans="1:10" x14ac:dyDescent="0.3">
      <c r="A3457" t="s">
        <v>3588</v>
      </c>
      <c r="B3457" t="s">
        <v>118</v>
      </c>
      <c r="C3457" t="str">
        <f>_xlfn.XLOOKUP(B3457,
[1]sales_teams!$A$2:$A$100,
[1]sales_teams!$B$2:$B$100)</f>
        <v>Rocco Neubert</v>
      </c>
      <c r="D3457" t="str">
        <f>_xlfn.XLOOKUP($B3457,sales_teams!$A$2:$A$36,sales_teams!C$2:C$36)</f>
        <v>East</v>
      </c>
      <c r="E3457" t="s">
        <v>15</v>
      </c>
      <c r="F3457" t="s">
        <v>199</v>
      </c>
      <c r="G3457" t="s">
        <v>46</v>
      </c>
      <c r="H3457" s="1">
        <v>42882</v>
      </c>
      <c r="I3457" s="1">
        <v>42961</v>
      </c>
      <c r="J3457">
        <v>0</v>
      </c>
    </row>
    <row r="3458" spans="1:10" x14ac:dyDescent="0.3">
      <c r="A3458" t="s">
        <v>3589</v>
      </c>
      <c r="B3458" t="s">
        <v>202</v>
      </c>
      <c r="C3458" t="str">
        <f>_xlfn.XLOOKUP(B3458,
[1]sales_teams!$A$2:$A$100,
[1]sales_teams!$B$2:$B$100)</f>
        <v>Dustin Brinkmann</v>
      </c>
      <c r="D3458" t="str">
        <f>_xlfn.XLOOKUP($B3458,sales_teams!$A$2:$A$36,sales_teams!C$2:C$36)</f>
        <v>Central</v>
      </c>
      <c r="E3458" t="s">
        <v>39</v>
      </c>
      <c r="F3458" t="s">
        <v>218</v>
      </c>
      <c r="G3458" t="s">
        <v>46</v>
      </c>
      <c r="H3458" s="1">
        <v>42882</v>
      </c>
      <c r="I3458" s="1">
        <v>42891</v>
      </c>
      <c r="J3458">
        <v>0</v>
      </c>
    </row>
    <row r="3459" spans="1:10" x14ac:dyDescent="0.3">
      <c r="A3459" t="s">
        <v>3590</v>
      </c>
      <c r="B3459" t="s">
        <v>64</v>
      </c>
      <c r="C3459" t="str">
        <f>_xlfn.XLOOKUP(B3459,
[1]sales_teams!$A$2:$A$100,
[1]sales_teams!$B$2:$B$100)</f>
        <v>Rocco Neubert</v>
      </c>
      <c r="D3459" t="str">
        <f>_xlfn.XLOOKUP($B3459,sales_teams!$A$2:$A$36,sales_teams!C$2:C$36)</f>
        <v>East</v>
      </c>
      <c r="E3459" t="s">
        <v>15</v>
      </c>
      <c r="F3459" t="s">
        <v>197</v>
      </c>
      <c r="G3459" t="s">
        <v>40</v>
      </c>
      <c r="H3459" s="1">
        <v>42882</v>
      </c>
    </row>
    <row r="3460" spans="1:10" x14ac:dyDescent="0.3">
      <c r="A3460" t="s">
        <v>3591</v>
      </c>
      <c r="B3460" t="s">
        <v>64</v>
      </c>
      <c r="C3460" t="str">
        <f>_xlfn.XLOOKUP(B3460,
[1]sales_teams!$A$2:$A$100,
[1]sales_teams!$B$2:$B$100)</f>
        <v>Rocco Neubert</v>
      </c>
      <c r="D3460" t="str">
        <f>_xlfn.XLOOKUP($B3460,sales_teams!$A$2:$A$36,sales_teams!C$2:C$36)</f>
        <v>East</v>
      </c>
      <c r="E3460" t="s">
        <v>15</v>
      </c>
      <c r="G3460" t="s">
        <v>40</v>
      </c>
      <c r="H3460" s="1">
        <v>42882</v>
      </c>
    </row>
    <row r="3461" spans="1:10" x14ac:dyDescent="0.3">
      <c r="A3461" t="s">
        <v>3592</v>
      </c>
      <c r="B3461" t="s">
        <v>14</v>
      </c>
      <c r="C3461" t="str">
        <f>_xlfn.XLOOKUP(B3461,
[1]sales_teams!$A$2:$A$100,
[1]sales_teams!$B$2:$B$100)</f>
        <v>Melvin Marxen</v>
      </c>
      <c r="D3461" t="str">
        <f>_xlfn.XLOOKUP($B3461,sales_teams!$A$2:$A$36,sales_teams!C$2:C$36)</f>
        <v>Central</v>
      </c>
      <c r="E3461" t="s">
        <v>15</v>
      </c>
      <c r="F3461" t="s">
        <v>21</v>
      </c>
      <c r="G3461" t="s">
        <v>46</v>
      </c>
      <c r="H3461" s="1">
        <v>42882</v>
      </c>
      <c r="I3461" s="1">
        <v>42965</v>
      </c>
      <c r="J3461">
        <v>0</v>
      </c>
    </row>
    <row r="3462" spans="1:10" x14ac:dyDescent="0.3">
      <c r="A3462" t="s">
        <v>3593</v>
      </c>
      <c r="B3462" t="s">
        <v>14</v>
      </c>
      <c r="C3462" t="str">
        <f>_xlfn.XLOOKUP(B3462,
[1]sales_teams!$A$2:$A$100,
[1]sales_teams!$B$2:$B$100)</f>
        <v>Melvin Marxen</v>
      </c>
      <c r="D3462" t="str">
        <f>_xlfn.XLOOKUP($B3462,sales_teams!$A$2:$A$36,sales_teams!C$2:C$36)</f>
        <v>Central</v>
      </c>
      <c r="E3462" t="s">
        <v>15</v>
      </c>
      <c r="F3462" t="s">
        <v>231</v>
      </c>
      <c r="G3462" t="s">
        <v>12</v>
      </c>
      <c r="H3462" s="1">
        <v>42882</v>
      </c>
      <c r="I3462" s="1">
        <v>42969</v>
      </c>
      <c r="J3462">
        <v>4432</v>
      </c>
    </row>
    <row r="3463" spans="1:10" x14ac:dyDescent="0.3">
      <c r="A3463" t="s">
        <v>3594</v>
      </c>
      <c r="B3463" t="s">
        <v>142</v>
      </c>
      <c r="C3463" t="str">
        <f>_xlfn.XLOOKUP(B3463,
[1]sales_teams!$A$2:$A$100,
[1]sales_teams!$B$2:$B$100)</f>
        <v>Rocco Neubert</v>
      </c>
      <c r="D3463" t="str">
        <f>_xlfn.XLOOKUP($B3463,sales_teams!$A$2:$A$36,sales_teams!C$2:C$36)</f>
        <v>East</v>
      </c>
      <c r="E3463" t="s">
        <v>20</v>
      </c>
      <c r="F3463" t="s">
        <v>179</v>
      </c>
      <c r="G3463" t="s">
        <v>12</v>
      </c>
      <c r="H3463" s="1">
        <v>42882</v>
      </c>
      <c r="I3463" s="1">
        <v>42980</v>
      </c>
      <c r="J3463">
        <v>481</v>
      </c>
    </row>
    <row r="3464" spans="1:10" x14ac:dyDescent="0.3">
      <c r="A3464" t="s">
        <v>3595</v>
      </c>
      <c r="B3464" t="s">
        <v>38</v>
      </c>
      <c r="C3464" t="str">
        <f>_xlfn.XLOOKUP(B3464,
[1]sales_teams!$A$2:$A$100,
[1]sales_teams!$B$2:$B$100)</f>
        <v>Summer Sewald</v>
      </c>
      <c r="D3464" t="str">
        <f>_xlfn.XLOOKUP($B3464,sales_teams!$A$2:$A$36,sales_teams!C$2:C$36)</f>
        <v>West</v>
      </c>
      <c r="E3464" t="s">
        <v>48</v>
      </c>
      <c r="F3464" t="s">
        <v>159</v>
      </c>
      <c r="G3464" t="s">
        <v>46</v>
      </c>
      <c r="H3464" s="1">
        <v>42882</v>
      </c>
      <c r="I3464" s="1">
        <v>42969</v>
      </c>
      <c r="J3464">
        <v>0</v>
      </c>
    </row>
    <row r="3465" spans="1:10" x14ac:dyDescent="0.3">
      <c r="A3465" t="s">
        <v>3596</v>
      </c>
      <c r="B3465" t="s">
        <v>38</v>
      </c>
      <c r="C3465" t="str">
        <f>_xlfn.XLOOKUP(B3465,
[1]sales_teams!$A$2:$A$100,
[1]sales_teams!$B$2:$B$100)</f>
        <v>Summer Sewald</v>
      </c>
      <c r="D3465" t="str">
        <f>_xlfn.XLOOKUP($B3465,sales_teams!$A$2:$A$36,sales_teams!C$2:C$36)</f>
        <v>West</v>
      </c>
      <c r="E3465" t="s">
        <v>15</v>
      </c>
      <c r="F3465" t="s">
        <v>555</v>
      </c>
      <c r="G3465" t="s">
        <v>12</v>
      </c>
      <c r="H3465" s="1">
        <v>42882</v>
      </c>
      <c r="I3465" s="1">
        <v>42975</v>
      </c>
      <c r="J3465">
        <v>5293</v>
      </c>
    </row>
    <row r="3466" spans="1:10" x14ac:dyDescent="0.3">
      <c r="A3466" t="s">
        <v>3597</v>
      </c>
      <c r="B3466" t="s">
        <v>252</v>
      </c>
      <c r="C3466" t="str">
        <f>_xlfn.XLOOKUP(B3466,
[1]sales_teams!$A$2:$A$100,
[1]sales_teams!$B$2:$B$100)</f>
        <v>Melvin Marxen</v>
      </c>
      <c r="D3466" t="str">
        <f>_xlfn.XLOOKUP($B3466,sales_teams!$A$2:$A$36,sales_teams!C$2:C$36)</f>
        <v>Central</v>
      </c>
      <c r="E3466" t="s">
        <v>15</v>
      </c>
      <c r="F3466" t="s">
        <v>21</v>
      </c>
      <c r="G3466" t="s">
        <v>46</v>
      </c>
      <c r="H3466" s="1">
        <v>42882</v>
      </c>
      <c r="I3466" s="1">
        <v>42953</v>
      </c>
      <c r="J3466">
        <v>0</v>
      </c>
    </row>
    <row r="3467" spans="1:10" x14ac:dyDescent="0.3">
      <c r="A3467" t="s">
        <v>3598</v>
      </c>
      <c r="B3467" t="s">
        <v>252</v>
      </c>
      <c r="C3467" t="str">
        <f>_xlfn.XLOOKUP(B3467,
[1]sales_teams!$A$2:$A$100,
[1]sales_teams!$B$2:$B$100)</f>
        <v>Melvin Marxen</v>
      </c>
      <c r="D3467" t="str">
        <f>_xlfn.XLOOKUP($B3467,sales_teams!$A$2:$A$36,sales_teams!C$2:C$36)</f>
        <v>Central</v>
      </c>
      <c r="E3467" t="s">
        <v>48</v>
      </c>
      <c r="F3467" t="s">
        <v>315</v>
      </c>
      <c r="G3467" t="s">
        <v>12</v>
      </c>
      <c r="H3467" s="1">
        <v>42882</v>
      </c>
      <c r="I3467" s="1">
        <v>42964</v>
      </c>
      <c r="J3467">
        <v>5769</v>
      </c>
    </row>
    <row r="3468" spans="1:10" x14ac:dyDescent="0.3">
      <c r="A3468" t="s">
        <v>3599</v>
      </c>
      <c r="B3468" t="s">
        <v>252</v>
      </c>
      <c r="C3468" t="str">
        <f>_xlfn.XLOOKUP(B3468,
[1]sales_teams!$A$2:$A$100,
[1]sales_teams!$B$2:$B$100)</f>
        <v>Melvin Marxen</v>
      </c>
      <c r="D3468" t="str">
        <f>_xlfn.XLOOKUP($B3468,sales_teams!$A$2:$A$36,sales_teams!C$2:C$36)</f>
        <v>Central</v>
      </c>
      <c r="E3468" t="s">
        <v>15</v>
      </c>
      <c r="F3468" t="s">
        <v>213</v>
      </c>
      <c r="G3468" t="s">
        <v>12</v>
      </c>
      <c r="H3468" s="1">
        <v>42882</v>
      </c>
      <c r="I3468" s="1">
        <v>42980</v>
      </c>
      <c r="J3468">
        <v>4929</v>
      </c>
    </row>
    <row r="3469" spans="1:10" x14ac:dyDescent="0.3">
      <c r="A3469" t="s">
        <v>3600</v>
      </c>
      <c r="B3469" t="s">
        <v>252</v>
      </c>
      <c r="C3469" t="str">
        <f>_xlfn.XLOOKUP(B3469,
[1]sales_teams!$A$2:$A$100,
[1]sales_teams!$B$2:$B$100)</f>
        <v>Melvin Marxen</v>
      </c>
      <c r="D3469" t="str">
        <f>_xlfn.XLOOKUP($B3469,sales_teams!$A$2:$A$36,sales_teams!C$2:C$36)</f>
        <v>Central</v>
      </c>
      <c r="E3469" t="s">
        <v>15</v>
      </c>
      <c r="F3469" t="s">
        <v>126</v>
      </c>
      <c r="G3469" t="s">
        <v>12</v>
      </c>
      <c r="H3469" s="1">
        <v>42882</v>
      </c>
      <c r="I3469" s="1">
        <v>42952</v>
      </c>
      <c r="J3469">
        <v>4924</v>
      </c>
    </row>
    <row r="3470" spans="1:10" x14ac:dyDescent="0.3">
      <c r="A3470" t="s">
        <v>3601</v>
      </c>
      <c r="B3470" t="s">
        <v>78</v>
      </c>
      <c r="C3470" t="str">
        <f>_xlfn.XLOOKUP(B3470,
[1]sales_teams!$A$2:$A$100,
[1]sales_teams!$B$2:$B$100)</f>
        <v>Summer Sewald</v>
      </c>
      <c r="D3470" t="str">
        <f>_xlfn.XLOOKUP($B3470,sales_teams!$A$2:$A$36,sales_teams!C$2:C$36)</f>
        <v>West</v>
      </c>
      <c r="E3470" t="s">
        <v>10</v>
      </c>
      <c r="F3470" t="s">
        <v>313</v>
      </c>
      <c r="G3470" t="s">
        <v>46</v>
      </c>
      <c r="H3470" s="1">
        <v>42882</v>
      </c>
      <c r="I3470" s="1">
        <v>42961</v>
      </c>
      <c r="J3470">
        <v>0</v>
      </c>
    </row>
    <row r="3471" spans="1:10" x14ac:dyDescent="0.3">
      <c r="A3471" t="s">
        <v>3602</v>
      </c>
      <c r="B3471" t="s">
        <v>95</v>
      </c>
      <c r="C3471" t="str">
        <f>_xlfn.XLOOKUP(B3471,
[1]sales_teams!$A$2:$A$100,
[1]sales_teams!$B$2:$B$100)</f>
        <v>Summer Sewald</v>
      </c>
      <c r="D3471" t="str">
        <f>_xlfn.XLOOKUP($B3471,sales_teams!$A$2:$A$36,sales_teams!C$2:C$36)</f>
        <v>West</v>
      </c>
      <c r="E3471" t="s">
        <v>48</v>
      </c>
      <c r="F3471" t="s">
        <v>194</v>
      </c>
      <c r="G3471" t="s">
        <v>12</v>
      </c>
      <c r="H3471" s="1">
        <v>42882</v>
      </c>
      <c r="I3471" s="1">
        <v>42951</v>
      </c>
      <c r="J3471">
        <v>5312</v>
      </c>
    </row>
    <row r="3472" spans="1:10" x14ac:dyDescent="0.3">
      <c r="A3472" t="s">
        <v>3603</v>
      </c>
      <c r="B3472" t="s">
        <v>95</v>
      </c>
      <c r="C3472" t="str">
        <f>_xlfn.XLOOKUP(B3472,
[1]sales_teams!$A$2:$A$100,
[1]sales_teams!$B$2:$B$100)</f>
        <v>Summer Sewald</v>
      </c>
      <c r="D3472" t="str">
        <f>_xlfn.XLOOKUP($B3472,sales_teams!$A$2:$A$36,sales_teams!C$2:C$36)</f>
        <v>West</v>
      </c>
      <c r="E3472" t="s">
        <v>18</v>
      </c>
      <c r="F3472" t="s">
        <v>157</v>
      </c>
      <c r="G3472" t="s">
        <v>12</v>
      </c>
      <c r="H3472" s="1">
        <v>42882</v>
      </c>
      <c r="I3472" s="1">
        <v>42893</v>
      </c>
      <c r="J3472">
        <v>66</v>
      </c>
    </row>
    <row r="3473" spans="1:10" x14ac:dyDescent="0.3">
      <c r="A3473" t="s">
        <v>3604</v>
      </c>
      <c r="B3473" t="s">
        <v>116</v>
      </c>
      <c r="C3473" t="str">
        <f>_xlfn.XLOOKUP(B3473,
[1]sales_teams!$A$2:$A$100,
[1]sales_teams!$B$2:$B$100)</f>
        <v>Melvin Marxen</v>
      </c>
      <c r="D3473" t="str">
        <f>_xlfn.XLOOKUP($B3473,sales_teams!$A$2:$A$36,sales_teams!C$2:C$36)</f>
        <v>Central</v>
      </c>
      <c r="E3473" t="s">
        <v>10</v>
      </c>
      <c r="F3473" t="s">
        <v>170</v>
      </c>
      <c r="G3473" t="s">
        <v>12</v>
      </c>
      <c r="H3473" s="1">
        <v>42882</v>
      </c>
      <c r="I3473" s="1">
        <v>42904</v>
      </c>
      <c r="J3473">
        <v>1115</v>
      </c>
    </row>
    <row r="3474" spans="1:10" x14ac:dyDescent="0.3">
      <c r="A3474" t="s">
        <v>3605</v>
      </c>
      <c r="B3474" t="s">
        <v>116</v>
      </c>
      <c r="C3474" t="str">
        <f>_xlfn.XLOOKUP(B3474,
[1]sales_teams!$A$2:$A$100,
[1]sales_teams!$B$2:$B$100)</f>
        <v>Melvin Marxen</v>
      </c>
      <c r="D3474" t="str">
        <f>_xlfn.XLOOKUP($B3474,sales_teams!$A$2:$A$36,sales_teams!C$2:C$36)</f>
        <v>Central</v>
      </c>
      <c r="E3474" t="s">
        <v>39</v>
      </c>
      <c r="F3474" t="s">
        <v>120</v>
      </c>
      <c r="G3474" t="s">
        <v>12</v>
      </c>
      <c r="H3474" s="1">
        <v>42882</v>
      </c>
      <c r="I3474" s="1">
        <v>42970</v>
      </c>
      <c r="J3474">
        <v>3407</v>
      </c>
    </row>
    <row r="3475" spans="1:10" x14ac:dyDescent="0.3">
      <c r="A3475" t="s">
        <v>3606</v>
      </c>
      <c r="B3475" t="s">
        <v>35</v>
      </c>
      <c r="C3475" t="str">
        <f>_xlfn.XLOOKUP(B3475,
[1]sales_teams!$A$2:$A$100,
[1]sales_teams!$B$2:$B$100)</f>
        <v>Melvin Marxen</v>
      </c>
      <c r="D3475" t="str">
        <f>_xlfn.XLOOKUP($B3475,sales_teams!$A$2:$A$36,sales_teams!C$2:C$36)</f>
        <v>Central</v>
      </c>
      <c r="E3475" t="s">
        <v>20</v>
      </c>
      <c r="F3475" t="s">
        <v>11</v>
      </c>
      <c r="G3475" t="s">
        <v>12</v>
      </c>
      <c r="H3475" s="1">
        <v>42882</v>
      </c>
      <c r="I3475" s="1">
        <v>42981</v>
      </c>
      <c r="J3475">
        <v>540</v>
      </c>
    </row>
    <row r="3476" spans="1:10" x14ac:dyDescent="0.3">
      <c r="A3476" t="s">
        <v>3607</v>
      </c>
      <c r="B3476" t="s">
        <v>97</v>
      </c>
      <c r="C3476" t="str">
        <f>_xlfn.XLOOKUP(B3476,
[1]sales_teams!$A$2:$A$100,
[1]sales_teams!$B$2:$B$100)</f>
        <v>Rocco Neubert</v>
      </c>
      <c r="D3476" t="str">
        <f>_xlfn.XLOOKUP($B3476,sales_teams!$A$2:$A$36,sales_teams!C$2:C$36)</f>
        <v>East</v>
      </c>
      <c r="E3476" t="s">
        <v>10</v>
      </c>
      <c r="F3476" t="s">
        <v>98</v>
      </c>
      <c r="G3476" t="s">
        <v>12</v>
      </c>
      <c r="H3476" s="1">
        <v>42882</v>
      </c>
      <c r="I3476" s="1">
        <v>42982</v>
      </c>
      <c r="J3476">
        <v>1095</v>
      </c>
    </row>
    <row r="3477" spans="1:10" x14ac:dyDescent="0.3">
      <c r="A3477" t="s">
        <v>3608</v>
      </c>
      <c r="B3477" t="s">
        <v>97</v>
      </c>
      <c r="C3477" t="str">
        <f>_xlfn.XLOOKUP(B3477,
[1]sales_teams!$A$2:$A$100,
[1]sales_teams!$B$2:$B$100)</f>
        <v>Rocco Neubert</v>
      </c>
      <c r="D3477" t="str">
        <f>_xlfn.XLOOKUP($B3477,sales_teams!$A$2:$A$36,sales_teams!C$2:C$36)</f>
        <v>East</v>
      </c>
      <c r="E3477" t="s">
        <v>10</v>
      </c>
      <c r="F3477" t="s">
        <v>143</v>
      </c>
      <c r="G3477" t="s">
        <v>12</v>
      </c>
      <c r="H3477" s="1">
        <v>42882</v>
      </c>
      <c r="I3477" s="1">
        <v>42970</v>
      </c>
      <c r="J3477">
        <v>1019</v>
      </c>
    </row>
    <row r="3478" spans="1:10" x14ac:dyDescent="0.3">
      <c r="A3478" t="s">
        <v>3609</v>
      </c>
      <c r="B3478" t="s">
        <v>29</v>
      </c>
      <c r="C3478" t="str">
        <f>_xlfn.XLOOKUP(B3478,
[1]sales_teams!$A$2:$A$100,
[1]sales_teams!$B$2:$B$100)</f>
        <v>Celia Rouche</v>
      </c>
      <c r="D3478" t="str">
        <f>_xlfn.XLOOKUP($B3478,sales_teams!$A$2:$A$36,sales_teams!C$2:C$36)</f>
        <v>West</v>
      </c>
      <c r="E3478" t="s">
        <v>10</v>
      </c>
      <c r="F3478" t="s">
        <v>100</v>
      </c>
      <c r="G3478" t="s">
        <v>46</v>
      </c>
      <c r="H3478" s="1">
        <v>42882</v>
      </c>
      <c r="I3478" s="1">
        <v>42885</v>
      </c>
      <c r="J3478">
        <v>0</v>
      </c>
    </row>
    <row r="3479" spans="1:10" x14ac:dyDescent="0.3">
      <c r="A3479" t="s">
        <v>3610</v>
      </c>
      <c r="B3479" t="s">
        <v>29</v>
      </c>
      <c r="C3479" t="str">
        <f>_xlfn.XLOOKUP(B3479,
[1]sales_teams!$A$2:$A$100,
[1]sales_teams!$B$2:$B$100)</f>
        <v>Celia Rouche</v>
      </c>
      <c r="D3479" t="str">
        <f>_xlfn.XLOOKUP($B3479,sales_teams!$A$2:$A$36,sales_teams!C$2:C$36)</f>
        <v>West</v>
      </c>
      <c r="E3479" t="s">
        <v>15</v>
      </c>
      <c r="F3479" t="s">
        <v>59</v>
      </c>
      <c r="G3479" t="s">
        <v>46</v>
      </c>
      <c r="H3479" s="1">
        <v>42882</v>
      </c>
      <c r="I3479" s="1">
        <v>42964</v>
      </c>
      <c r="J3479">
        <v>0</v>
      </c>
    </row>
    <row r="3480" spans="1:10" x14ac:dyDescent="0.3">
      <c r="A3480" t="s">
        <v>3611</v>
      </c>
      <c r="B3480" t="s">
        <v>29</v>
      </c>
      <c r="C3480" t="str">
        <f>_xlfn.XLOOKUP(B3480,
[1]sales_teams!$A$2:$A$100,
[1]sales_teams!$B$2:$B$100)</f>
        <v>Celia Rouche</v>
      </c>
      <c r="D3480" t="str">
        <f>_xlfn.XLOOKUP($B3480,sales_teams!$A$2:$A$36,sales_teams!C$2:C$36)</f>
        <v>West</v>
      </c>
      <c r="E3480" t="s">
        <v>15</v>
      </c>
      <c r="F3480" t="s">
        <v>100</v>
      </c>
      <c r="G3480" t="s">
        <v>12</v>
      </c>
      <c r="H3480" s="1">
        <v>42882</v>
      </c>
      <c r="I3480" s="1">
        <v>42992</v>
      </c>
      <c r="J3480">
        <v>4477</v>
      </c>
    </row>
    <row r="3481" spans="1:10" x14ac:dyDescent="0.3">
      <c r="A3481" t="s">
        <v>3612</v>
      </c>
      <c r="B3481" t="s">
        <v>29</v>
      </c>
      <c r="C3481" t="str">
        <f>_xlfn.XLOOKUP(B3481,
[1]sales_teams!$A$2:$A$100,
[1]sales_teams!$B$2:$B$100)</f>
        <v>Celia Rouche</v>
      </c>
      <c r="D3481" t="str">
        <f>_xlfn.XLOOKUP($B3481,sales_teams!$A$2:$A$36,sales_teams!C$2:C$36)</f>
        <v>West</v>
      </c>
      <c r="E3481" t="s">
        <v>15</v>
      </c>
      <c r="F3481" t="s">
        <v>24</v>
      </c>
      <c r="G3481" t="s">
        <v>12</v>
      </c>
      <c r="H3481" s="1">
        <v>42882</v>
      </c>
      <c r="I3481" s="1">
        <v>42888</v>
      </c>
      <c r="J3481">
        <v>4644</v>
      </c>
    </row>
    <row r="3482" spans="1:10" x14ac:dyDescent="0.3">
      <c r="A3482" t="s">
        <v>3613</v>
      </c>
      <c r="B3482" t="s">
        <v>26</v>
      </c>
      <c r="C3482" t="str">
        <f>_xlfn.XLOOKUP(B3482,
[1]sales_teams!$A$2:$A$100,
[1]sales_teams!$B$2:$B$100)</f>
        <v>Dustin Brinkmann</v>
      </c>
      <c r="D3482" t="str">
        <f>_xlfn.XLOOKUP($B3482,sales_teams!$A$2:$A$36,sales_teams!C$2:C$36)</f>
        <v>Central</v>
      </c>
      <c r="E3482" t="s">
        <v>20</v>
      </c>
      <c r="F3482" t="s">
        <v>129</v>
      </c>
      <c r="G3482" t="s">
        <v>46</v>
      </c>
      <c r="H3482" s="1">
        <v>42883</v>
      </c>
      <c r="I3482" s="1">
        <v>42967</v>
      </c>
      <c r="J3482">
        <v>0</v>
      </c>
    </row>
    <row r="3483" spans="1:10" x14ac:dyDescent="0.3">
      <c r="A3483" t="s">
        <v>3614</v>
      </c>
      <c r="B3483" t="s">
        <v>26</v>
      </c>
      <c r="C3483" t="str">
        <f>_xlfn.XLOOKUP(B3483,
[1]sales_teams!$A$2:$A$100,
[1]sales_teams!$B$2:$B$100)</f>
        <v>Dustin Brinkmann</v>
      </c>
      <c r="D3483" t="str">
        <f>_xlfn.XLOOKUP($B3483,sales_teams!$A$2:$A$36,sales_teams!C$2:C$36)</f>
        <v>Central</v>
      </c>
      <c r="E3483" t="s">
        <v>10</v>
      </c>
      <c r="F3483" t="s">
        <v>11</v>
      </c>
      <c r="G3483" t="s">
        <v>46</v>
      </c>
      <c r="H3483" s="1">
        <v>42883</v>
      </c>
      <c r="I3483" s="1">
        <v>42899</v>
      </c>
      <c r="J3483">
        <v>0</v>
      </c>
    </row>
    <row r="3484" spans="1:10" x14ac:dyDescent="0.3">
      <c r="A3484" t="s">
        <v>3615</v>
      </c>
      <c r="B3484" t="s">
        <v>139</v>
      </c>
      <c r="C3484" t="str">
        <f>_xlfn.XLOOKUP(B3484,
[1]sales_teams!$A$2:$A$100,
[1]sales_teams!$B$2:$B$100)</f>
        <v>Rocco Neubert</v>
      </c>
      <c r="D3484" t="str">
        <f>_xlfn.XLOOKUP($B3484,sales_teams!$A$2:$A$36,sales_teams!C$2:C$36)</f>
        <v>East</v>
      </c>
      <c r="E3484" t="s">
        <v>48</v>
      </c>
      <c r="G3484" t="s">
        <v>40</v>
      </c>
      <c r="H3484" s="1">
        <v>42883</v>
      </c>
    </row>
    <row r="3485" spans="1:10" x14ac:dyDescent="0.3">
      <c r="A3485" t="s">
        <v>3616</v>
      </c>
      <c r="B3485" t="s">
        <v>139</v>
      </c>
      <c r="C3485" t="str">
        <f>_xlfn.XLOOKUP(B3485,
[1]sales_teams!$A$2:$A$100,
[1]sales_teams!$B$2:$B$100)</f>
        <v>Rocco Neubert</v>
      </c>
      <c r="D3485" t="str">
        <f>_xlfn.XLOOKUP($B3485,sales_teams!$A$2:$A$36,sales_teams!C$2:C$36)</f>
        <v>East</v>
      </c>
      <c r="E3485" t="s">
        <v>10</v>
      </c>
      <c r="F3485" t="s">
        <v>89</v>
      </c>
      <c r="G3485" t="s">
        <v>12</v>
      </c>
      <c r="H3485" s="1">
        <v>42883</v>
      </c>
      <c r="I3485" s="1">
        <v>42894</v>
      </c>
      <c r="J3485">
        <v>940</v>
      </c>
    </row>
    <row r="3486" spans="1:10" x14ac:dyDescent="0.3">
      <c r="A3486" t="s">
        <v>3617</v>
      </c>
      <c r="B3486" t="s">
        <v>64</v>
      </c>
      <c r="C3486" t="str">
        <f>_xlfn.XLOOKUP(B3486,
[1]sales_teams!$A$2:$A$100,
[1]sales_teams!$B$2:$B$100)</f>
        <v>Rocco Neubert</v>
      </c>
      <c r="D3486" t="str">
        <f>_xlfn.XLOOKUP($B3486,sales_teams!$A$2:$A$36,sales_teams!C$2:C$36)</f>
        <v>East</v>
      </c>
      <c r="E3486" t="s">
        <v>15</v>
      </c>
      <c r="F3486" t="s">
        <v>98</v>
      </c>
      <c r="G3486" t="s">
        <v>12</v>
      </c>
      <c r="H3486" s="1">
        <v>42883</v>
      </c>
      <c r="I3486" s="1">
        <v>42893</v>
      </c>
      <c r="J3486">
        <v>5378</v>
      </c>
    </row>
    <row r="3487" spans="1:10" x14ac:dyDescent="0.3">
      <c r="A3487" t="s">
        <v>3618</v>
      </c>
      <c r="B3487" t="s">
        <v>64</v>
      </c>
      <c r="C3487" t="str">
        <f>_xlfn.XLOOKUP(B3487,
[1]sales_teams!$A$2:$A$100,
[1]sales_teams!$B$2:$B$100)</f>
        <v>Rocco Neubert</v>
      </c>
      <c r="D3487" t="str">
        <f>_xlfn.XLOOKUP($B3487,sales_teams!$A$2:$A$36,sales_teams!C$2:C$36)</f>
        <v>East</v>
      </c>
      <c r="E3487" t="s">
        <v>15</v>
      </c>
      <c r="F3487" t="s">
        <v>155</v>
      </c>
      <c r="G3487" t="s">
        <v>12</v>
      </c>
      <c r="H3487" s="1">
        <v>42883</v>
      </c>
      <c r="I3487" s="1">
        <v>42901</v>
      </c>
      <c r="J3487">
        <v>4712</v>
      </c>
    </row>
    <row r="3488" spans="1:10" x14ac:dyDescent="0.3">
      <c r="A3488" t="s">
        <v>3619</v>
      </c>
      <c r="B3488" t="s">
        <v>14</v>
      </c>
      <c r="C3488" t="str">
        <f>_xlfn.XLOOKUP(B3488,
[1]sales_teams!$A$2:$A$100,
[1]sales_teams!$B$2:$B$100)</f>
        <v>Melvin Marxen</v>
      </c>
      <c r="D3488" t="str">
        <f>_xlfn.XLOOKUP($B3488,sales_teams!$A$2:$A$36,sales_teams!C$2:C$36)</f>
        <v>Central</v>
      </c>
      <c r="E3488" t="s">
        <v>10</v>
      </c>
      <c r="F3488" t="s">
        <v>42</v>
      </c>
      <c r="G3488" t="s">
        <v>12</v>
      </c>
      <c r="H3488" s="1">
        <v>42883</v>
      </c>
      <c r="I3488" s="1">
        <v>42972</v>
      </c>
      <c r="J3488">
        <v>1118</v>
      </c>
    </row>
    <row r="3489" spans="1:10" x14ac:dyDescent="0.3">
      <c r="A3489" t="s">
        <v>3620</v>
      </c>
      <c r="B3489" t="s">
        <v>142</v>
      </c>
      <c r="C3489" t="str">
        <f>_xlfn.XLOOKUP(B3489,
[1]sales_teams!$A$2:$A$100,
[1]sales_teams!$B$2:$B$100)</f>
        <v>Rocco Neubert</v>
      </c>
      <c r="D3489" t="str">
        <f>_xlfn.XLOOKUP($B3489,sales_teams!$A$2:$A$36,sales_teams!C$2:C$36)</f>
        <v>East</v>
      </c>
      <c r="E3489" t="s">
        <v>48</v>
      </c>
      <c r="F3489" t="s">
        <v>81</v>
      </c>
      <c r="G3489" t="s">
        <v>12</v>
      </c>
      <c r="H3489" s="1">
        <v>42883</v>
      </c>
      <c r="I3489" s="1">
        <v>42958</v>
      </c>
      <c r="J3489">
        <v>5695</v>
      </c>
    </row>
    <row r="3490" spans="1:10" x14ac:dyDescent="0.3">
      <c r="A3490" t="s">
        <v>3621</v>
      </c>
      <c r="B3490" t="s">
        <v>142</v>
      </c>
      <c r="C3490" t="str">
        <f>_xlfn.XLOOKUP(B3490,
[1]sales_teams!$A$2:$A$100,
[1]sales_teams!$B$2:$B$100)</f>
        <v>Rocco Neubert</v>
      </c>
      <c r="D3490" t="str">
        <f>_xlfn.XLOOKUP($B3490,sales_teams!$A$2:$A$36,sales_teams!C$2:C$36)</f>
        <v>East</v>
      </c>
      <c r="E3490" t="s">
        <v>15</v>
      </c>
      <c r="F3490" t="s">
        <v>278</v>
      </c>
      <c r="G3490" t="s">
        <v>12</v>
      </c>
      <c r="H3490" s="1">
        <v>42883</v>
      </c>
      <c r="I3490" s="1">
        <v>42952</v>
      </c>
      <c r="J3490">
        <v>4462</v>
      </c>
    </row>
    <row r="3491" spans="1:10" x14ac:dyDescent="0.3">
      <c r="A3491" t="s">
        <v>3622</v>
      </c>
      <c r="B3491" t="s">
        <v>105</v>
      </c>
      <c r="C3491" t="str">
        <f>_xlfn.XLOOKUP(B3491,
[1]sales_teams!$A$2:$A$100,
[1]sales_teams!$B$2:$B$100)</f>
        <v>Cara Losch</v>
      </c>
      <c r="D3491" t="str">
        <f>_xlfn.XLOOKUP($B3491,sales_teams!$A$2:$A$36,sales_teams!C$2:C$36)</f>
        <v>East</v>
      </c>
      <c r="E3491" t="s">
        <v>15</v>
      </c>
      <c r="F3491" t="s">
        <v>215</v>
      </c>
      <c r="G3491" t="s">
        <v>46</v>
      </c>
      <c r="H3491" s="1">
        <v>42883</v>
      </c>
      <c r="I3491" s="1">
        <v>42977</v>
      </c>
      <c r="J3491">
        <v>0</v>
      </c>
    </row>
    <row r="3492" spans="1:10" x14ac:dyDescent="0.3">
      <c r="A3492" t="s">
        <v>3623</v>
      </c>
      <c r="B3492" t="s">
        <v>54</v>
      </c>
      <c r="C3492" t="str">
        <f>_xlfn.XLOOKUP(B3492,
[1]sales_teams!$A$2:$A$100,
[1]sales_teams!$B$2:$B$100)</f>
        <v>Celia Rouche</v>
      </c>
      <c r="D3492" t="str">
        <f>_xlfn.XLOOKUP($B3492,sales_teams!$A$2:$A$36,sales_teams!C$2:C$36)</f>
        <v>West</v>
      </c>
      <c r="E3492" t="s">
        <v>39</v>
      </c>
      <c r="F3492" t="s">
        <v>273</v>
      </c>
      <c r="G3492" t="s">
        <v>12</v>
      </c>
      <c r="H3492" s="1">
        <v>42883</v>
      </c>
      <c r="I3492" s="1">
        <v>42975</v>
      </c>
      <c r="J3492">
        <v>3701</v>
      </c>
    </row>
    <row r="3493" spans="1:10" x14ac:dyDescent="0.3">
      <c r="A3493" t="s">
        <v>3624</v>
      </c>
      <c r="B3493" t="s">
        <v>95</v>
      </c>
      <c r="C3493" t="str">
        <f>_xlfn.XLOOKUP(B3493,
[1]sales_teams!$A$2:$A$100,
[1]sales_teams!$B$2:$B$100)</f>
        <v>Summer Sewald</v>
      </c>
      <c r="D3493" t="str">
        <f>_xlfn.XLOOKUP($B3493,sales_teams!$A$2:$A$36,sales_teams!C$2:C$36)</f>
        <v>West</v>
      </c>
      <c r="E3493" t="s">
        <v>10</v>
      </c>
      <c r="F3493" t="s">
        <v>177</v>
      </c>
      <c r="G3493" t="s">
        <v>40</v>
      </c>
      <c r="H3493" s="1">
        <v>42883</v>
      </c>
    </row>
    <row r="3494" spans="1:10" x14ac:dyDescent="0.3">
      <c r="A3494" t="s">
        <v>3625</v>
      </c>
      <c r="B3494" t="s">
        <v>32</v>
      </c>
      <c r="C3494" t="str">
        <f>_xlfn.XLOOKUP(B3494,
[1]sales_teams!$A$2:$A$100,
[1]sales_teams!$B$2:$B$100)</f>
        <v>Celia Rouche</v>
      </c>
      <c r="D3494" t="str">
        <f>_xlfn.XLOOKUP($B3494,sales_teams!$A$2:$A$36,sales_teams!C$2:C$36)</f>
        <v>West</v>
      </c>
      <c r="E3494" t="s">
        <v>20</v>
      </c>
      <c r="G3494" t="s">
        <v>40</v>
      </c>
      <c r="H3494" s="1">
        <v>42883</v>
      </c>
    </row>
    <row r="3495" spans="1:10" x14ac:dyDescent="0.3">
      <c r="A3495" t="s">
        <v>3626</v>
      </c>
      <c r="B3495" t="s">
        <v>32</v>
      </c>
      <c r="C3495" t="str">
        <f>_xlfn.XLOOKUP(B3495,
[1]sales_teams!$A$2:$A$100,
[1]sales_teams!$B$2:$B$100)</f>
        <v>Celia Rouche</v>
      </c>
      <c r="D3495" t="str">
        <f>_xlfn.XLOOKUP($B3495,sales_teams!$A$2:$A$36,sales_teams!C$2:C$36)</f>
        <v>West</v>
      </c>
      <c r="E3495" t="s">
        <v>10</v>
      </c>
      <c r="F3495" t="s">
        <v>30</v>
      </c>
      <c r="G3495" t="s">
        <v>12</v>
      </c>
      <c r="H3495" s="1">
        <v>42883</v>
      </c>
      <c r="I3495" s="1">
        <v>42894</v>
      </c>
      <c r="J3495">
        <v>941</v>
      </c>
    </row>
    <row r="3496" spans="1:10" x14ac:dyDescent="0.3">
      <c r="A3496" t="s">
        <v>3627</v>
      </c>
      <c r="B3496" t="s">
        <v>51</v>
      </c>
      <c r="C3496" t="str">
        <f>_xlfn.XLOOKUP(B3496,
[1]sales_teams!$A$2:$A$100,
[1]sales_teams!$B$2:$B$100)</f>
        <v>Summer Sewald</v>
      </c>
      <c r="D3496" t="str">
        <f>_xlfn.XLOOKUP($B3496,sales_teams!$A$2:$A$36,sales_teams!C$2:C$36)</f>
        <v>West</v>
      </c>
      <c r="E3496" t="s">
        <v>10</v>
      </c>
      <c r="F3496" t="s">
        <v>24</v>
      </c>
      <c r="G3496" t="s">
        <v>12</v>
      </c>
      <c r="H3496" s="1">
        <v>42883</v>
      </c>
      <c r="I3496" s="1">
        <v>42891</v>
      </c>
      <c r="J3496">
        <v>1171</v>
      </c>
    </row>
    <row r="3497" spans="1:10" x14ac:dyDescent="0.3">
      <c r="A3497" t="s">
        <v>3628</v>
      </c>
      <c r="B3497" t="s">
        <v>57</v>
      </c>
      <c r="C3497" t="str">
        <f>_xlfn.XLOOKUP(B3497,
[1]sales_teams!$A$2:$A$100,
[1]sales_teams!$B$2:$B$100)</f>
        <v>Celia Rouche</v>
      </c>
      <c r="D3497" t="str">
        <f>_xlfn.XLOOKUP($B3497,sales_teams!$A$2:$A$36,sales_teams!C$2:C$36)</f>
        <v>West</v>
      </c>
      <c r="E3497" t="s">
        <v>145</v>
      </c>
      <c r="F3497" t="s">
        <v>68</v>
      </c>
      <c r="G3497" t="s">
        <v>12</v>
      </c>
      <c r="H3497" s="1">
        <v>42883</v>
      </c>
      <c r="I3497" s="1">
        <v>42975</v>
      </c>
      <c r="J3497">
        <v>24899</v>
      </c>
    </row>
    <row r="3498" spans="1:10" x14ac:dyDescent="0.3">
      <c r="A3498" t="s">
        <v>3629</v>
      </c>
      <c r="B3498" t="s">
        <v>57</v>
      </c>
      <c r="C3498" t="str">
        <f>_xlfn.XLOOKUP(B3498,
[1]sales_teams!$A$2:$A$100,
[1]sales_teams!$B$2:$B$100)</f>
        <v>Celia Rouche</v>
      </c>
      <c r="D3498" t="str">
        <f>_xlfn.XLOOKUP($B3498,sales_teams!$A$2:$A$36,sales_teams!C$2:C$36)</f>
        <v>West</v>
      </c>
      <c r="E3498" t="s">
        <v>39</v>
      </c>
      <c r="F3498" t="s">
        <v>68</v>
      </c>
      <c r="G3498" t="s">
        <v>12</v>
      </c>
      <c r="H3498" s="1">
        <v>42883</v>
      </c>
      <c r="I3498" s="1">
        <v>42999</v>
      </c>
      <c r="J3498">
        <v>3418</v>
      </c>
    </row>
    <row r="3499" spans="1:10" x14ac:dyDescent="0.3">
      <c r="A3499" t="s">
        <v>3630</v>
      </c>
      <c r="B3499" t="s">
        <v>29</v>
      </c>
      <c r="C3499" t="str">
        <f>_xlfn.XLOOKUP(B3499,
[1]sales_teams!$A$2:$A$100,
[1]sales_teams!$B$2:$B$100)</f>
        <v>Celia Rouche</v>
      </c>
      <c r="D3499" t="str">
        <f>_xlfn.XLOOKUP($B3499,sales_teams!$A$2:$A$36,sales_teams!C$2:C$36)</f>
        <v>West</v>
      </c>
      <c r="E3499" t="s">
        <v>20</v>
      </c>
      <c r="F3499" t="s">
        <v>315</v>
      </c>
      <c r="G3499" t="s">
        <v>12</v>
      </c>
      <c r="H3499" s="1">
        <v>42883</v>
      </c>
      <c r="I3499" s="1">
        <v>42894</v>
      </c>
      <c r="J3499">
        <v>537</v>
      </c>
    </row>
    <row r="3500" spans="1:10" x14ac:dyDescent="0.3">
      <c r="A3500" t="s">
        <v>3631</v>
      </c>
      <c r="B3500" t="s">
        <v>23</v>
      </c>
      <c r="C3500" t="str">
        <f>_xlfn.XLOOKUP(B3500,
[1]sales_teams!$A$2:$A$100,
[1]sales_teams!$B$2:$B$100)</f>
        <v>Summer Sewald</v>
      </c>
      <c r="D3500" t="str">
        <f>_xlfn.XLOOKUP($B3500,sales_teams!$A$2:$A$36,sales_teams!C$2:C$36)</f>
        <v>West</v>
      </c>
      <c r="E3500" t="s">
        <v>15</v>
      </c>
      <c r="G3500" t="s">
        <v>40</v>
      </c>
      <c r="H3500" s="1">
        <v>42883</v>
      </c>
    </row>
    <row r="3501" spans="1:10" x14ac:dyDescent="0.3">
      <c r="A3501" t="s">
        <v>3632</v>
      </c>
      <c r="B3501" t="s">
        <v>23</v>
      </c>
      <c r="C3501" t="str">
        <f>_xlfn.XLOOKUP(B3501,
[1]sales_teams!$A$2:$A$100,
[1]sales_teams!$B$2:$B$100)</f>
        <v>Summer Sewald</v>
      </c>
      <c r="D3501" t="str">
        <f>_xlfn.XLOOKUP($B3501,sales_teams!$A$2:$A$36,sales_teams!C$2:C$36)</f>
        <v>West</v>
      </c>
      <c r="E3501" t="s">
        <v>10</v>
      </c>
      <c r="F3501" t="s">
        <v>68</v>
      </c>
      <c r="G3501" t="s">
        <v>12</v>
      </c>
      <c r="H3501" s="1">
        <v>42883</v>
      </c>
      <c r="I3501" s="1">
        <v>42951</v>
      </c>
      <c r="J3501">
        <v>1053</v>
      </c>
    </row>
    <row r="3502" spans="1:10" x14ac:dyDescent="0.3">
      <c r="A3502" t="s">
        <v>3633</v>
      </c>
      <c r="B3502" t="s">
        <v>26</v>
      </c>
      <c r="C3502" t="str">
        <f>_xlfn.XLOOKUP(B3502,
[1]sales_teams!$A$2:$A$100,
[1]sales_teams!$B$2:$B$100)</f>
        <v>Dustin Brinkmann</v>
      </c>
      <c r="D3502" t="str">
        <f>_xlfn.XLOOKUP($B3502,sales_teams!$A$2:$A$36,sales_teams!C$2:C$36)</f>
        <v>Central</v>
      </c>
      <c r="E3502" t="s">
        <v>20</v>
      </c>
      <c r="F3502" t="s">
        <v>45</v>
      </c>
      <c r="G3502" t="s">
        <v>12</v>
      </c>
      <c r="H3502" s="1">
        <v>42884</v>
      </c>
      <c r="I3502" s="1">
        <v>42897</v>
      </c>
      <c r="J3502">
        <v>497</v>
      </c>
    </row>
    <row r="3503" spans="1:10" x14ac:dyDescent="0.3">
      <c r="A3503" t="s">
        <v>3634</v>
      </c>
      <c r="B3503" t="s">
        <v>139</v>
      </c>
      <c r="C3503" t="str">
        <f>_xlfn.XLOOKUP(B3503,
[1]sales_teams!$A$2:$A$100,
[1]sales_teams!$B$2:$B$100)</f>
        <v>Rocco Neubert</v>
      </c>
      <c r="D3503" t="str">
        <f>_xlfn.XLOOKUP($B3503,sales_teams!$A$2:$A$36,sales_teams!C$2:C$36)</f>
        <v>East</v>
      </c>
      <c r="E3503" t="s">
        <v>48</v>
      </c>
      <c r="F3503" t="s">
        <v>373</v>
      </c>
      <c r="G3503" t="s">
        <v>12</v>
      </c>
      <c r="H3503" s="1">
        <v>42884</v>
      </c>
      <c r="I3503" s="1">
        <v>42991</v>
      </c>
      <c r="J3503">
        <v>5714</v>
      </c>
    </row>
    <row r="3504" spans="1:10" x14ac:dyDescent="0.3">
      <c r="A3504" t="s">
        <v>3635</v>
      </c>
      <c r="B3504" t="s">
        <v>202</v>
      </c>
      <c r="C3504" t="str">
        <f>_xlfn.XLOOKUP(B3504,
[1]sales_teams!$A$2:$A$100,
[1]sales_teams!$B$2:$B$100)</f>
        <v>Dustin Brinkmann</v>
      </c>
      <c r="D3504" t="str">
        <f>_xlfn.XLOOKUP($B3504,sales_teams!$A$2:$A$36,sales_teams!C$2:C$36)</f>
        <v>Central</v>
      </c>
      <c r="E3504" t="s">
        <v>20</v>
      </c>
      <c r="F3504" t="s">
        <v>42</v>
      </c>
      <c r="G3504" t="s">
        <v>12</v>
      </c>
      <c r="H3504" s="1">
        <v>42884</v>
      </c>
      <c r="I3504" s="1">
        <v>42976</v>
      </c>
      <c r="J3504">
        <v>611</v>
      </c>
    </row>
    <row r="3505" spans="1:10" x14ac:dyDescent="0.3">
      <c r="A3505" t="s">
        <v>3636</v>
      </c>
      <c r="B3505" t="s">
        <v>164</v>
      </c>
      <c r="C3505" t="str">
        <f>_xlfn.XLOOKUP(B3505,
[1]sales_teams!$A$2:$A$100,
[1]sales_teams!$B$2:$B$100)</f>
        <v>Cara Losch</v>
      </c>
      <c r="D3505" t="str">
        <f>_xlfn.XLOOKUP($B3505,sales_teams!$A$2:$A$36,sales_teams!C$2:C$36)</f>
        <v>East</v>
      </c>
      <c r="E3505" t="s">
        <v>15</v>
      </c>
      <c r="F3505" t="s">
        <v>300</v>
      </c>
      <c r="G3505" t="s">
        <v>40</v>
      </c>
      <c r="H3505" s="1">
        <v>42884</v>
      </c>
    </row>
    <row r="3506" spans="1:10" x14ac:dyDescent="0.3">
      <c r="A3506" t="s">
        <v>3637</v>
      </c>
      <c r="B3506" t="s">
        <v>164</v>
      </c>
      <c r="C3506" t="str">
        <f>_xlfn.XLOOKUP(B3506,
[1]sales_teams!$A$2:$A$100,
[1]sales_teams!$B$2:$B$100)</f>
        <v>Cara Losch</v>
      </c>
      <c r="D3506" t="str">
        <f>_xlfn.XLOOKUP($B3506,sales_teams!$A$2:$A$36,sales_teams!C$2:C$36)</f>
        <v>East</v>
      </c>
      <c r="E3506" t="s">
        <v>15</v>
      </c>
      <c r="F3506" t="s">
        <v>140</v>
      </c>
      <c r="G3506" t="s">
        <v>12</v>
      </c>
      <c r="H3506" s="1">
        <v>42884</v>
      </c>
      <c r="I3506" s="1">
        <v>42897</v>
      </c>
      <c r="J3506">
        <v>5642</v>
      </c>
    </row>
    <row r="3507" spans="1:10" x14ac:dyDescent="0.3">
      <c r="A3507" t="s">
        <v>3638</v>
      </c>
      <c r="B3507" t="s">
        <v>164</v>
      </c>
      <c r="C3507" t="str">
        <f>_xlfn.XLOOKUP(B3507,
[1]sales_teams!$A$2:$A$100,
[1]sales_teams!$B$2:$B$100)</f>
        <v>Cara Losch</v>
      </c>
      <c r="D3507" t="str">
        <f>_xlfn.XLOOKUP($B3507,sales_teams!$A$2:$A$36,sales_teams!C$2:C$36)</f>
        <v>East</v>
      </c>
      <c r="E3507" t="s">
        <v>15</v>
      </c>
      <c r="F3507" t="s">
        <v>189</v>
      </c>
      <c r="G3507" t="s">
        <v>12</v>
      </c>
      <c r="H3507" s="1">
        <v>42884</v>
      </c>
      <c r="I3507" s="1">
        <v>42897</v>
      </c>
      <c r="J3507">
        <v>5081</v>
      </c>
    </row>
    <row r="3508" spans="1:10" x14ac:dyDescent="0.3">
      <c r="A3508" t="s">
        <v>3639</v>
      </c>
      <c r="B3508" t="s">
        <v>14</v>
      </c>
      <c r="C3508" t="str">
        <f>_xlfn.XLOOKUP(B3508,
[1]sales_teams!$A$2:$A$100,
[1]sales_teams!$B$2:$B$100)</f>
        <v>Melvin Marxen</v>
      </c>
      <c r="D3508" t="str">
        <f>_xlfn.XLOOKUP($B3508,sales_teams!$A$2:$A$36,sales_teams!C$2:C$36)</f>
        <v>Central</v>
      </c>
      <c r="E3508" t="s">
        <v>15</v>
      </c>
      <c r="F3508" t="s">
        <v>11</v>
      </c>
      <c r="G3508" t="s">
        <v>12</v>
      </c>
      <c r="H3508" s="1">
        <v>42884</v>
      </c>
      <c r="I3508" s="1">
        <v>42949</v>
      </c>
      <c r="J3508">
        <v>3985</v>
      </c>
    </row>
    <row r="3509" spans="1:10" x14ac:dyDescent="0.3">
      <c r="A3509" t="s">
        <v>3640</v>
      </c>
      <c r="B3509" t="s">
        <v>142</v>
      </c>
      <c r="C3509" t="str">
        <f>_xlfn.XLOOKUP(B3509,
[1]sales_teams!$A$2:$A$100,
[1]sales_teams!$B$2:$B$100)</f>
        <v>Rocco Neubert</v>
      </c>
      <c r="D3509" t="str">
        <f>_xlfn.XLOOKUP($B3509,sales_teams!$A$2:$A$36,sales_teams!C$2:C$36)</f>
        <v>East</v>
      </c>
      <c r="E3509" t="s">
        <v>39</v>
      </c>
      <c r="F3509" t="s">
        <v>745</v>
      </c>
      <c r="G3509" t="s">
        <v>12</v>
      </c>
      <c r="H3509" s="1">
        <v>42884</v>
      </c>
      <c r="I3509" s="1">
        <v>42897</v>
      </c>
      <c r="J3509">
        <v>3313</v>
      </c>
    </row>
    <row r="3510" spans="1:10" x14ac:dyDescent="0.3">
      <c r="A3510" t="s">
        <v>3641</v>
      </c>
      <c r="B3510" t="s">
        <v>67</v>
      </c>
      <c r="C3510" t="str">
        <f>_xlfn.XLOOKUP(B3510,
[1]sales_teams!$A$2:$A$100,
[1]sales_teams!$B$2:$B$100)</f>
        <v>Celia Rouche</v>
      </c>
      <c r="D3510" t="str">
        <f>_xlfn.XLOOKUP($B3510,sales_teams!$A$2:$A$36,sales_teams!C$2:C$36)</f>
        <v>West</v>
      </c>
      <c r="E3510" t="s">
        <v>39</v>
      </c>
      <c r="F3510" t="s">
        <v>124</v>
      </c>
      <c r="G3510" t="s">
        <v>12</v>
      </c>
      <c r="H3510" s="1">
        <v>42884</v>
      </c>
      <c r="I3510" s="1">
        <v>42897</v>
      </c>
      <c r="J3510">
        <v>3850</v>
      </c>
    </row>
    <row r="3511" spans="1:10" x14ac:dyDescent="0.3">
      <c r="A3511" t="s">
        <v>3642</v>
      </c>
      <c r="B3511" t="s">
        <v>44</v>
      </c>
      <c r="C3511" t="str">
        <f>_xlfn.XLOOKUP(B3511,
[1]sales_teams!$A$2:$A$100,
[1]sales_teams!$B$2:$B$100)</f>
        <v>Melvin Marxen</v>
      </c>
      <c r="D3511" t="str">
        <f>_xlfn.XLOOKUP($B3511,sales_teams!$A$2:$A$36,sales_teams!C$2:C$36)</f>
        <v>Central</v>
      </c>
      <c r="E3511" t="s">
        <v>10</v>
      </c>
      <c r="F3511" t="s">
        <v>231</v>
      </c>
      <c r="G3511" t="s">
        <v>12</v>
      </c>
      <c r="H3511" s="1">
        <v>42884</v>
      </c>
      <c r="I3511" s="1">
        <v>42953</v>
      </c>
      <c r="J3511">
        <v>917</v>
      </c>
    </row>
    <row r="3512" spans="1:10" x14ac:dyDescent="0.3">
      <c r="A3512" t="s">
        <v>3643</v>
      </c>
      <c r="B3512" t="s">
        <v>44</v>
      </c>
      <c r="C3512" t="str">
        <f>_xlfn.XLOOKUP(B3512,
[1]sales_teams!$A$2:$A$100,
[1]sales_teams!$B$2:$B$100)</f>
        <v>Melvin Marxen</v>
      </c>
      <c r="D3512" t="str">
        <f>_xlfn.XLOOKUP($B3512,sales_teams!$A$2:$A$36,sales_teams!C$2:C$36)</f>
        <v>Central</v>
      </c>
      <c r="E3512" t="s">
        <v>18</v>
      </c>
      <c r="F3512" t="s">
        <v>492</v>
      </c>
      <c r="G3512" t="s">
        <v>12</v>
      </c>
      <c r="H3512" s="1">
        <v>42884</v>
      </c>
      <c r="I3512" s="1">
        <v>42955</v>
      </c>
      <c r="J3512">
        <v>56</v>
      </c>
    </row>
    <row r="3513" spans="1:10" x14ac:dyDescent="0.3">
      <c r="A3513" t="s">
        <v>3644</v>
      </c>
      <c r="B3513" t="s">
        <v>38</v>
      </c>
      <c r="C3513" t="str">
        <f>_xlfn.XLOOKUP(B3513,
[1]sales_teams!$A$2:$A$100,
[1]sales_teams!$B$2:$B$100)</f>
        <v>Summer Sewald</v>
      </c>
      <c r="D3513" t="str">
        <f>_xlfn.XLOOKUP($B3513,sales_teams!$A$2:$A$36,sales_teams!C$2:C$36)</f>
        <v>West</v>
      </c>
      <c r="E3513" t="s">
        <v>20</v>
      </c>
      <c r="G3513" t="s">
        <v>40</v>
      </c>
      <c r="H3513" s="1">
        <v>42884</v>
      </c>
    </row>
    <row r="3514" spans="1:10" x14ac:dyDescent="0.3">
      <c r="A3514" t="s">
        <v>3645</v>
      </c>
      <c r="B3514" t="s">
        <v>38</v>
      </c>
      <c r="C3514" t="str">
        <f>_xlfn.XLOOKUP(B3514,
[1]sales_teams!$A$2:$A$100,
[1]sales_teams!$B$2:$B$100)</f>
        <v>Summer Sewald</v>
      </c>
      <c r="D3514" t="str">
        <f>_xlfn.XLOOKUP($B3514,sales_teams!$A$2:$A$36,sales_teams!C$2:C$36)</f>
        <v>West</v>
      </c>
      <c r="E3514" t="s">
        <v>39</v>
      </c>
      <c r="F3514" t="s">
        <v>184</v>
      </c>
      <c r="G3514" t="s">
        <v>46</v>
      </c>
      <c r="H3514" s="1">
        <v>42884</v>
      </c>
      <c r="I3514" s="1">
        <v>42965</v>
      </c>
      <c r="J3514">
        <v>0</v>
      </c>
    </row>
    <row r="3515" spans="1:10" x14ac:dyDescent="0.3">
      <c r="A3515" t="s">
        <v>3646</v>
      </c>
      <c r="B3515" t="s">
        <v>38</v>
      </c>
      <c r="C3515" t="str">
        <f>_xlfn.XLOOKUP(B3515,
[1]sales_teams!$A$2:$A$100,
[1]sales_teams!$B$2:$B$100)</f>
        <v>Summer Sewald</v>
      </c>
      <c r="D3515" t="str">
        <f>_xlfn.XLOOKUP($B3515,sales_teams!$A$2:$A$36,sales_teams!C$2:C$36)</f>
        <v>West</v>
      </c>
      <c r="E3515" t="s">
        <v>15</v>
      </c>
      <c r="F3515" t="s">
        <v>555</v>
      </c>
      <c r="G3515" t="s">
        <v>12</v>
      </c>
      <c r="H3515" s="1">
        <v>42884</v>
      </c>
      <c r="I3515" s="1">
        <v>42954</v>
      </c>
      <c r="J3515">
        <v>5194</v>
      </c>
    </row>
    <row r="3516" spans="1:10" x14ac:dyDescent="0.3">
      <c r="A3516" t="s">
        <v>3647</v>
      </c>
      <c r="B3516" t="s">
        <v>252</v>
      </c>
      <c r="C3516" t="str">
        <f>_xlfn.XLOOKUP(B3516,
[1]sales_teams!$A$2:$A$100,
[1]sales_teams!$B$2:$B$100)</f>
        <v>Melvin Marxen</v>
      </c>
      <c r="D3516" t="str">
        <f>_xlfn.XLOOKUP($B3516,sales_teams!$A$2:$A$36,sales_teams!C$2:C$36)</f>
        <v>Central</v>
      </c>
      <c r="E3516" t="s">
        <v>10</v>
      </c>
      <c r="F3516" t="s">
        <v>42</v>
      </c>
      <c r="G3516" t="s">
        <v>46</v>
      </c>
      <c r="H3516" s="1">
        <v>42884</v>
      </c>
      <c r="I3516" s="1">
        <v>42976</v>
      </c>
      <c r="J3516">
        <v>0</v>
      </c>
    </row>
    <row r="3517" spans="1:10" x14ac:dyDescent="0.3">
      <c r="A3517" t="s">
        <v>3648</v>
      </c>
      <c r="B3517" t="s">
        <v>78</v>
      </c>
      <c r="C3517" t="str">
        <f>_xlfn.XLOOKUP(B3517,
[1]sales_teams!$A$2:$A$100,
[1]sales_teams!$B$2:$B$100)</f>
        <v>Summer Sewald</v>
      </c>
      <c r="D3517" t="str">
        <f>_xlfn.XLOOKUP($B3517,sales_teams!$A$2:$A$36,sales_teams!C$2:C$36)</f>
        <v>West</v>
      </c>
      <c r="E3517" t="s">
        <v>10</v>
      </c>
      <c r="F3517" t="s">
        <v>197</v>
      </c>
      <c r="G3517" t="s">
        <v>40</v>
      </c>
      <c r="H3517" s="1">
        <v>42884</v>
      </c>
    </row>
    <row r="3518" spans="1:10" x14ac:dyDescent="0.3">
      <c r="A3518" t="s">
        <v>3649</v>
      </c>
      <c r="B3518" t="s">
        <v>95</v>
      </c>
      <c r="C3518" t="str">
        <f>_xlfn.XLOOKUP(B3518,
[1]sales_teams!$A$2:$A$100,
[1]sales_teams!$B$2:$B$100)</f>
        <v>Summer Sewald</v>
      </c>
      <c r="D3518" t="str">
        <f>_xlfn.XLOOKUP($B3518,sales_teams!$A$2:$A$36,sales_teams!C$2:C$36)</f>
        <v>West</v>
      </c>
      <c r="E3518" t="s">
        <v>15</v>
      </c>
      <c r="G3518" t="s">
        <v>40</v>
      </c>
      <c r="H3518" s="1">
        <v>42884</v>
      </c>
    </row>
    <row r="3519" spans="1:10" x14ac:dyDescent="0.3">
      <c r="A3519" t="s">
        <v>3650</v>
      </c>
      <c r="B3519" t="s">
        <v>95</v>
      </c>
      <c r="C3519" t="str">
        <f>_xlfn.XLOOKUP(B3519,
[1]sales_teams!$A$2:$A$100,
[1]sales_teams!$B$2:$B$100)</f>
        <v>Summer Sewald</v>
      </c>
      <c r="D3519" t="str">
        <f>_xlfn.XLOOKUP($B3519,sales_teams!$A$2:$A$36,sales_teams!C$2:C$36)</f>
        <v>West</v>
      </c>
      <c r="E3519" t="s">
        <v>10</v>
      </c>
      <c r="F3519" t="s">
        <v>122</v>
      </c>
      <c r="G3519" t="s">
        <v>12</v>
      </c>
      <c r="H3519" s="1">
        <v>42884</v>
      </c>
      <c r="I3519" s="1">
        <v>42964</v>
      </c>
      <c r="J3519">
        <v>1002</v>
      </c>
    </row>
    <row r="3520" spans="1:10" x14ac:dyDescent="0.3">
      <c r="A3520" t="s">
        <v>3651</v>
      </c>
      <c r="B3520" t="s">
        <v>95</v>
      </c>
      <c r="C3520" t="str">
        <f>_xlfn.XLOOKUP(B3520,
[1]sales_teams!$A$2:$A$100,
[1]sales_teams!$B$2:$B$100)</f>
        <v>Summer Sewald</v>
      </c>
      <c r="D3520" t="str">
        <f>_xlfn.XLOOKUP($B3520,sales_teams!$A$2:$A$36,sales_teams!C$2:C$36)</f>
        <v>West</v>
      </c>
      <c r="E3520" t="s">
        <v>48</v>
      </c>
      <c r="F3520" t="s">
        <v>315</v>
      </c>
      <c r="G3520" t="s">
        <v>12</v>
      </c>
      <c r="H3520" s="1">
        <v>42884</v>
      </c>
      <c r="I3520" s="1">
        <v>42964</v>
      </c>
      <c r="J3520">
        <v>6042</v>
      </c>
    </row>
    <row r="3521" spans="1:10" x14ac:dyDescent="0.3">
      <c r="A3521" t="s">
        <v>3652</v>
      </c>
      <c r="B3521" t="s">
        <v>32</v>
      </c>
      <c r="C3521" t="str">
        <f>_xlfn.XLOOKUP(B3521,
[1]sales_teams!$A$2:$A$100,
[1]sales_teams!$B$2:$B$100)</f>
        <v>Celia Rouche</v>
      </c>
      <c r="D3521" t="str">
        <f>_xlfn.XLOOKUP($B3521,sales_teams!$A$2:$A$36,sales_teams!C$2:C$36)</f>
        <v>West</v>
      </c>
      <c r="E3521" t="s">
        <v>48</v>
      </c>
      <c r="F3521" t="s">
        <v>52</v>
      </c>
      <c r="G3521" t="s">
        <v>12</v>
      </c>
      <c r="H3521" s="1">
        <v>42884</v>
      </c>
      <c r="I3521" s="1">
        <v>42901</v>
      </c>
      <c r="J3521">
        <v>4423</v>
      </c>
    </row>
    <row r="3522" spans="1:10" x14ac:dyDescent="0.3">
      <c r="A3522" t="s">
        <v>3653</v>
      </c>
      <c r="B3522" t="s">
        <v>32</v>
      </c>
      <c r="C3522" t="str">
        <f>_xlfn.XLOOKUP(B3522,
[1]sales_teams!$A$2:$A$100,
[1]sales_teams!$B$2:$B$100)</f>
        <v>Celia Rouche</v>
      </c>
      <c r="D3522" t="str">
        <f>_xlfn.XLOOKUP($B3522,sales_teams!$A$2:$A$36,sales_teams!C$2:C$36)</f>
        <v>West</v>
      </c>
      <c r="E3522" t="s">
        <v>18</v>
      </c>
      <c r="F3522" t="s">
        <v>398</v>
      </c>
      <c r="G3522" t="s">
        <v>12</v>
      </c>
      <c r="H3522" s="1">
        <v>42884</v>
      </c>
      <c r="I3522" s="1">
        <v>42965</v>
      </c>
      <c r="J3522">
        <v>45</v>
      </c>
    </row>
    <row r="3523" spans="1:10" x14ac:dyDescent="0.3">
      <c r="A3523" t="s">
        <v>3654</v>
      </c>
      <c r="B3523" t="s">
        <v>57</v>
      </c>
      <c r="C3523" t="str">
        <f>_xlfn.XLOOKUP(B3523,
[1]sales_teams!$A$2:$A$100,
[1]sales_teams!$B$2:$B$100)</f>
        <v>Celia Rouche</v>
      </c>
      <c r="D3523" t="str">
        <f>_xlfn.XLOOKUP($B3523,sales_teams!$A$2:$A$36,sales_teams!C$2:C$36)</f>
        <v>West</v>
      </c>
      <c r="E3523" t="s">
        <v>20</v>
      </c>
      <c r="G3523" t="s">
        <v>40</v>
      </c>
      <c r="H3523" s="1">
        <v>42884</v>
      </c>
    </row>
    <row r="3524" spans="1:10" x14ac:dyDescent="0.3">
      <c r="A3524" t="s">
        <v>3655</v>
      </c>
      <c r="B3524" t="s">
        <v>57</v>
      </c>
      <c r="C3524" t="str">
        <f>_xlfn.XLOOKUP(B3524,
[1]sales_teams!$A$2:$A$100,
[1]sales_teams!$B$2:$B$100)</f>
        <v>Celia Rouche</v>
      </c>
      <c r="D3524" t="str">
        <f>_xlfn.XLOOKUP($B3524,sales_teams!$A$2:$A$36,sales_teams!C$2:C$36)</f>
        <v>West</v>
      </c>
      <c r="E3524" t="s">
        <v>145</v>
      </c>
      <c r="F3524" t="s">
        <v>155</v>
      </c>
      <c r="G3524" t="s">
        <v>12</v>
      </c>
      <c r="H3524" s="1">
        <v>42884</v>
      </c>
      <c r="I3524" s="1">
        <v>42976</v>
      </c>
      <c r="J3524">
        <v>25791</v>
      </c>
    </row>
    <row r="3525" spans="1:10" x14ac:dyDescent="0.3">
      <c r="A3525" t="s">
        <v>3656</v>
      </c>
      <c r="B3525" t="s">
        <v>88</v>
      </c>
      <c r="C3525" t="str">
        <f>_xlfn.XLOOKUP(B3525,
[1]sales_teams!$A$2:$A$100,
[1]sales_teams!$B$2:$B$100)</f>
        <v>Cara Losch</v>
      </c>
      <c r="D3525" t="str">
        <f>_xlfn.XLOOKUP($B3525,sales_teams!$A$2:$A$36,sales_teams!C$2:C$36)</f>
        <v>East</v>
      </c>
      <c r="E3525" t="s">
        <v>39</v>
      </c>
      <c r="F3525" t="s">
        <v>106</v>
      </c>
      <c r="G3525" t="s">
        <v>12</v>
      </c>
      <c r="H3525" s="1">
        <v>42884</v>
      </c>
      <c r="I3525" s="1">
        <v>42903</v>
      </c>
      <c r="J3525">
        <v>2918</v>
      </c>
    </row>
    <row r="3526" spans="1:10" x14ac:dyDescent="0.3">
      <c r="A3526" t="s">
        <v>3657</v>
      </c>
      <c r="B3526" t="s">
        <v>61</v>
      </c>
      <c r="C3526" t="str">
        <f>_xlfn.XLOOKUP(B3526,
[1]sales_teams!$A$2:$A$100,
[1]sales_teams!$B$2:$B$100)</f>
        <v>Dustin Brinkmann</v>
      </c>
      <c r="D3526" t="str">
        <f>_xlfn.XLOOKUP($B3526,sales_teams!$A$2:$A$36,sales_teams!C$2:C$36)</f>
        <v>Central</v>
      </c>
      <c r="E3526" t="s">
        <v>10</v>
      </c>
      <c r="F3526" t="s">
        <v>492</v>
      </c>
      <c r="G3526" t="s">
        <v>12</v>
      </c>
      <c r="H3526" s="1">
        <v>42884</v>
      </c>
      <c r="I3526" s="1">
        <v>42997</v>
      </c>
      <c r="J3526">
        <v>959</v>
      </c>
    </row>
    <row r="3527" spans="1:10" x14ac:dyDescent="0.3">
      <c r="A3527" t="s">
        <v>3658</v>
      </c>
      <c r="B3527" t="s">
        <v>23</v>
      </c>
      <c r="C3527" t="str">
        <f>_xlfn.XLOOKUP(B3527,
[1]sales_teams!$A$2:$A$100,
[1]sales_teams!$B$2:$B$100)</f>
        <v>Summer Sewald</v>
      </c>
      <c r="D3527" t="str">
        <f>_xlfn.XLOOKUP($B3527,sales_teams!$A$2:$A$36,sales_teams!C$2:C$36)</f>
        <v>West</v>
      </c>
      <c r="E3527" t="s">
        <v>15</v>
      </c>
      <c r="G3527" t="s">
        <v>40</v>
      </c>
      <c r="H3527" s="1">
        <v>42884</v>
      </c>
    </row>
    <row r="3528" spans="1:10" x14ac:dyDescent="0.3">
      <c r="A3528" t="s">
        <v>3659</v>
      </c>
      <c r="B3528" t="s">
        <v>23</v>
      </c>
      <c r="C3528" t="str">
        <f>_xlfn.XLOOKUP(B3528,
[1]sales_teams!$A$2:$A$100,
[1]sales_teams!$B$2:$B$100)</f>
        <v>Summer Sewald</v>
      </c>
      <c r="D3528" t="str">
        <f>_xlfn.XLOOKUP($B3528,sales_teams!$A$2:$A$36,sales_teams!C$2:C$36)</f>
        <v>West</v>
      </c>
      <c r="E3528" t="s">
        <v>15</v>
      </c>
      <c r="F3528" t="s">
        <v>100</v>
      </c>
      <c r="G3528" t="s">
        <v>12</v>
      </c>
      <c r="H3528" s="1">
        <v>42884</v>
      </c>
      <c r="I3528" s="1">
        <v>42892</v>
      </c>
      <c r="J3528">
        <v>5532</v>
      </c>
    </row>
    <row r="3529" spans="1:10" x14ac:dyDescent="0.3">
      <c r="A3529" t="s">
        <v>3660</v>
      </c>
      <c r="B3529" t="s">
        <v>139</v>
      </c>
      <c r="C3529" t="str">
        <f>_xlfn.XLOOKUP(B3529,
[1]sales_teams!$A$2:$A$100,
[1]sales_teams!$B$2:$B$100)</f>
        <v>Rocco Neubert</v>
      </c>
      <c r="D3529" t="str">
        <f>_xlfn.XLOOKUP($B3529,sales_teams!$A$2:$A$36,sales_teams!C$2:C$36)</f>
        <v>East</v>
      </c>
      <c r="E3529" t="s">
        <v>10</v>
      </c>
      <c r="F3529" t="s">
        <v>177</v>
      </c>
      <c r="G3529" t="s">
        <v>46</v>
      </c>
      <c r="H3529" s="1">
        <v>42885</v>
      </c>
      <c r="I3529" s="1">
        <v>42954</v>
      </c>
      <c r="J3529">
        <v>0</v>
      </c>
    </row>
    <row r="3530" spans="1:10" x14ac:dyDescent="0.3">
      <c r="A3530" t="s">
        <v>3661</v>
      </c>
      <c r="B3530" t="s">
        <v>164</v>
      </c>
      <c r="C3530" t="str">
        <f>_xlfn.XLOOKUP(B3530,
[1]sales_teams!$A$2:$A$100,
[1]sales_teams!$B$2:$B$100)</f>
        <v>Cara Losch</v>
      </c>
      <c r="D3530" t="str">
        <f>_xlfn.XLOOKUP($B3530,sales_teams!$A$2:$A$36,sales_teams!C$2:C$36)</f>
        <v>East</v>
      </c>
      <c r="E3530" t="s">
        <v>15</v>
      </c>
      <c r="F3530" t="s">
        <v>65</v>
      </c>
      <c r="G3530" t="s">
        <v>12</v>
      </c>
      <c r="H3530" s="1">
        <v>42885</v>
      </c>
      <c r="I3530" s="1">
        <v>42892</v>
      </c>
      <c r="J3530">
        <v>4687</v>
      </c>
    </row>
    <row r="3531" spans="1:10" x14ac:dyDescent="0.3">
      <c r="A3531" t="s">
        <v>3662</v>
      </c>
      <c r="B3531" t="s">
        <v>14</v>
      </c>
      <c r="C3531" t="str">
        <f>_xlfn.XLOOKUP(B3531,
[1]sales_teams!$A$2:$A$100,
[1]sales_teams!$B$2:$B$100)</f>
        <v>Melvin Marxen</v>
      </c>
      <c r="D3531" t="str">
        <f>_xlfn.XLOOKUP($B3531,sales_teams!$A$2:$A$36,sales_teams!C$2:C$36)</f>
        <v>Central</v>
      </c>
      <c r="E3531" t="s">
        <v>20</v>
      </c>
      <c r="F3531" t="s">
        <v>91</v>
      </c>
      <c r="G3531" t="s">
        <v>12</v>
      </c>
      <c r="H3531" s="1">
        <v>42885</v>
      </c>
      <c r="I3531" s="1">
        <v>42907</v>
      </c>
      <c r="J3531">
        <v>602</v>
      </c>
    </row>
    <row r="3532" spans="1:10" x14ac:dyDescent="0.3">
      <c r="A3532" t="s">
        <v>3663</v>
      </c>
      <c r="B3532" t="s">
        <v>142</v>
      </c>
      <c r="C3532" t="str">
        <f>_xlfn.XLOOKUP(B3532,
[1]sales_teams!$A$2:$A$100,
[1]sales_teams!$B$2:$B$100)</f>
        <v>Rocco Neubert</v>
      </c>
      <c r="D3532" t="str">
        <f>_xlfn.XLOOKUP($B3532,sales_teams!$A$2:$A$36,sales_teams!C$2:C$36)</f>
        <v>East</v>
      </c>
      <c r="E3532" t="s">
        <v>20</v>
      </c>
      <c r="F3532" t="s">
        <v>218</v>
      </c>
      <c r="G3532" t="s">
        <v>12</v>
      </c>
      <c r="H3532" s="1">
        <v>42885</v>
      </c>
      <c r="I3532" s="1">
        <v>42957</v>
      </c>
      <c r="J3532">
        <v>595</v>
      </c>
    </row>
    <row r="3533" spans="1:10" x14ac:dyDescent="0.3">
      <c r="A3533" t="s">
        <v>3664</v>
      </c>
      <c r="B3533" t="s">
        <v>44</v>
      </c>
      <c r="C3533" t="str">
        <f>_xlfn.XLOOKUP(B3533,
[1]sales_teams!$A$2:$A$100,
[1]sales_teams!$B$2:$B$100)</f>
        <v>Melvin Marxen</v>
      </c>
      <c r="D3533" t="str">
        <f>_xlfn.XLOOKUP($B3533,sales_teams!$A$2:$A$36,sales_teams!C$2:C$36)</f>
        <v>Central</v>
      </c>
      <c r="E3533" t="s">
        <v>15</v>
      </c>
      <c r="F3533" t="s">
        <v>135</v>
      </c>
      <c r="G3533" t="s">
        <v>46</v>
      </c>
      <c r="H3533" s="1">
        <v>42885</v>
      </c>
      <c r="I3533" s="1">
        <v>42984</v>
      </c>
      <c r="J3533">
        <v>0</v>
      </c>
    </row>
    <row r="3534" spans="1:10" x14ac:dyDescent="0.3">
      <c r="A3534" t="s">
        <v>3665</v>
      </c>
      <c r="B3534" t="s">
        <v>78</v>
      </c>
      <c r="C3534" t="str">
        <f>_xlfn.XLOOKUP(B3534,
[1]sales_teams!$A$2:$A$100,
[1]sales_teams!$B$2:$B$100)</f>
        <v>Summer Sewald</v>
      </c>
      <c r="D3534" t="str">
        <f>_xlfn.XLOOKUP($B3534,sales_teams!$A$2:$A$36,sales_teams!C$2:C$36)</f>
        <v>West</v>
      </c>
      <c r="E3534" t="s">
        <v>20</v>
      </c>
      <c r="F3534" t="s">
        <v>79</v>
      </c>
      <c r="G3534" t="s">
        <v>46</v>
      </c>
      <c r="H3534" s="1">
        <v>42885</v>
      </c>
      <c r="I3534" s="1">
        <v>42952</v>
      </c>
      <c r="J3534">
        <v>0</v>
      </c>
    </row>
    <row r="3535" spans="1:10" x14ac:dyDescent="0.3">
      <c r="A3535" t="s">
        <v>3666</v>
      </c>
      <c r="B3535" t="s">
        <v>95</v>
      </c>
      <c r="C3535" t="str">
        <f>_xlfn.XLOOKUP(B3535,
[1]sales_teams!$A$2:$A$100,
[1]sales_teams!$B$2:$B$100)</f>
        <v>Summer Sewald</v>
      </c>
      <c r="D3535" t="str">
        <f>_xlfn.XLOOKUP($B3535,sales_teams!$A$2:$A$36,sales_teams!C$2:C$36)</f>
        <v>West</v>
      </c>
      <c r="E3535" t="s">
        <v>39</v>
      </c>
      <c r="F3535" t="s">
        <v>313</v>
      </c>
      <c r="G3535" t="s">
        <v>12</v>
      </c>
      <c r="H3535" s="1">
        <v>42885</v>
      </c>
      <c r="I3535" s="1">
        <v>42981</v>
      </c>
      <c r="J3535">
        <v>2868</v>
      </c>
    </row>
    <row r="3536" spans="1:10" x14ac:dyDescent="0.3">
      <c r="A3536" t="s">
        <v>3667</v>
      </c>
      <c r="B3536" t="s">
        <v>116</v>
      </c>
      <c r="C3536" t="str">
        <f>_xlfn.XLOOKUP(B3536,
[1]sales_teams!$A$2:$A$100,
[1]sales_teams!$B$2:$B$100)</f>
        <v>Melvin Marxen</v>
      </c>
      <c r="D3536" t="str">
        <f>_xlfn.XLOOKUP($B3536,sales_teams!$A$2:$A$36,sales_teams!C$2:C$36)</f>
        <v>Central</v>
      </c>
      <c r="E3536" t="s">
        <v>39</v>
      </c>
      <c r="F3536" t="s">
        <v>129</v>
      </c>
      <c r="G3536" t="s">
        <v>12</v>
      </c>
      <c r="H3536" s="1">
        <v>42885</v>
      </c>
      <c r="I3536" s="1">
        <v>42889</v>
      </c>
      <c r="J3536">
        <v>3236</v>
      </c>
    </row>
    <row r="3537" spans="1:10" x14ac:dyDescent="0.3">
      <c r="A3537" t="s">
        <v>3668</v>
      </c>
      <c r="B3537" t="s">
        <v>97</v>
      </c>
      <c r="C3537" t="str">
        <f>_xlfn.XLOOKUP(B3537,
[1]sales_teams!$A$2:$A$100,
[1]sales_teams!$B$2:$B$100)</f>
        <v>Rocco Neubert</v>
      </c>
      <c r="D3537" t="str">
        <f>_xlfn.XLOOKUP($B3537,sales_teams!$A$2:$A$36,sales_teams!C$2:C$36)</f>
        <v>East</v>
      </c>
      <c r="E3537" t="s">
        <v>15</v>
      </c>
      <c r="F3537" t="s">
        <v>81</v>
      </c>
      <c r="G3537" t="s">
        <v>46</v>
      </c>
      <c r="H3537" s="1">
        <v>42885</v>
      </c>
      <c r="I3537" s="1">
        <v>42886</v>
      </c>
      <c r="J3537">
        <v>0</v>
      </c>
    </row>
    <row r="3538" spans="1:10" x14ac:dyDescent="0.3">
      <c r="A3538" t="s">
        <v>3669</v>
      </c>
      <c r="B3538" t="s">
        <v>29</v>
      </c>
      <c r="C3538" t="str">
        <f>_xlfn.XLOOKUP(B3538,
[1]sales_teams!$A$2:$A$100,
[1]sales_teams!$B$2:$B$100)</f>
        <v>Celia Rouche</v>
      </c>
      <c r="D3538" t="str">
        <f>_xlfn.XLOOKUP($B3538,sales_teams!$A$2:$A$36,sales_teams!C$2:C$36)</f>
        <v>West</v>
      </c>
      <c r="E3538" t="s">
        <v>20</v>
      </c>
      <c r="F3538" t="s">
        <v>122</v>
      </c>
      <c r="G3538" t="s">
        <v>12</v>
      </c>
      <c r="H3538" s="1">
        <v>42885</v>
      </c>
      <c r="I3538" s="1">
        <v>42962</v>
      </c>
      <c r="J3538">
        <v>524</v>
      </c>
    </row>
    <row r="3539" spans="1:10" x14ac:dyDescent="0.3">
      <c r="A3539" t="s">
        <v>3670</v>
      </c>
      <c r="B3539" t="s">
        <v>29</v>
      </c>
      <c r="C3539" t="str">
        <f>_xlfn.XLOOKUP(B3539,
[1]sales_teams!$A$2:$A$100,
[1]sales_teams!$B$2:$B$100)</f>
        <v>Celia Rouche</v>
      </c>
      <c r="D3539" t="str">
        <f>_xlfn.XLOOKUP($B3539,sales_teams!$A$2:$A$36,sales_teams!C$2:C$36)</f>
        <v>West</v>
      </c>
      <c r="E3539" t="s">
        <v>48</v>
      </c>
      <c r="F3539" t="s">
        <v>122</v>
      </c>
      <c r="G3539" t="s">
        <v>12</v>
      </c>
      <c r="H3539" s="1">
        <v>42885</v>
      </c>
      <c r="I3539" s="1">
        <v>42962</v>
      </c>
      <c r="J3539">
        <v>5631</v>
      </c>
    </row>
    <row r="3540" spans="1:10" x14ac:dyDescent="0.3">
      <c r="A3540" t="s">
        <v>3671</v>
      </c>
      <c r="B3540" t="s">
        <v>102</v>
      </c>
      <c r="C3540" t="str">
        <f>_xlfn.XLOOKUP(B3540,
[1]sales_teams!$A$2:$A$100,
[1]sales_teams!$B$2:$B$100)</f>
        <v>Cara Losch</v>
      </c>
      <c r="D3540" t="str">
        <f>_xlfn.XLOOKUP($B3540,sales_teams!$A$2:$A$36,sales_teams!C$2:C$36)</f>
        <v>East</v>
      </c>
      <c r="E3540" t="s">
        <v>39</v>
      </c>
      <c r="G3540" t="s">
        <v>40</v>
      </c>
      <c r="H3540" s="1">
        <v>42885</v>
      </c>
    </row>
    <row r="3541" spans="1:10" x14ac:dyDescent="0.3">
      <c r="A3541" t="s">
        <v>3672</v>
      </c>
      <c r="B3541" t="s">
        <v>23</v>
      </c>
      <c r="C3541" t="str">
        <f>_xlfn.XLOOKUP(B3541,
[1]sales_teams!$A$2:$A$100,
[1]sales_teams!$B$2:$B$100)</f>
        <v>Summer Sewald</v>
      </c>
      <c r="D3541" t="str">
        <f>_xlfn.XLOOKUP($B3541,sales_teams!$A$2:$A$36,sales_teams!C$2:C$36)</f>
        <v>West</v>
      </c>
      <c r="E3541" t="s">
        <v>48</v>
      </c>
      <c r="F3541" t="s">
        <v>52</v>
      </c>
      <c r="G3541" t="s">
        <v>12</v>
      </c>
      <c r="H3541" s="1">
        <v>42885</v>
      </c>
      <c r="I3541" s="1">
        <v>42969</v>
      </c>
      <c r="J3541">
        <v>5572</v>
      </c>
    </row>
    <row r="3542" spans="1:10" x14ac:dyDescent="0.3">
      <c r="A3542" t="s">
        <v>3673</v>
      </c>
      <c r="B3542" t="s">
        <v>23</v>
      </c>
      <c r="C3542" t="str">
        <f>_xlfn.XLOOKUP(B3542,
[1]sales_teams!$A$2:$A$100,
[1]sales_teams!$B$2:$B$100)</f>
        <v>Summer Sewald</v>
      </c>
      <c r="D3542" t="str">
        <f>_xlfn.XLOOKUP($B3542,sales_teams!$A$2:$A$36,sales_teams!C$2:C$36)</f>
        <v>West</v>
      </c>
      <c r="E3542" t="s">
        <v>15</v>
      </c>
      <c r="F3542" t="s">
        <v>218</v>
      </c>
      <c r="G3542" t="s">
        <v>12</v>
      </c>
      <c r="H3542" s="1">
        <v>42885</v>
      </c>
      <c r="I3542" s="1">
        <v>42891</v>
      </c>
      <c r="J3542">
        <v>5644</v>
      </c>
    </row>
    <row r="3543" spans="1:10" x14ac:dyDescent="0.3">
      <c r="A3543" t="s">
        <v>3674</v>
      </c>
      <c r="B3543" t="s">
        <v>202</v>
      </c>
      <c r="C3543" t="str">
        <f>_xlfn.XLOOKUP(B3543,
[1]sales_teams!$A$2:$A$100,
[1]sales_teams!$B$2:$B$100)</f>
        <v>Dustin Brinkmann</v>
      </c>
      <c r="D3543" t="str">
        <f>_xlfn.XLOOKUP($B3543,sales_teams!$A$2:$A$36,sales_teams!C$2:C$36)</f>
        <v>Central</v>
      </c>
      <c r="E3543" t="s">
        <v>48</v>
      </c>
      <c r="F3543" t="s">
        <v>36</v>
      </c>
      <c r="G3543" t="s">
        <v>46</v>
      </c>
      <c r="H3543" s="1">
        <v>42886</v>
      </c>
      <c r="I3543" s="1">
        <v>42952</v>
      </c>
      <c r="J3543">
        <v>0</v>
      </c>
    </row>
    <row r="3544" spans="1:10" x14ac:dyDescent="0.3">
      <c r="A3544" t="s">
        <v>3675</v>
      </c>
      <c r="B3544" t="s">
        <v>64</v>
      </c>
      <c r="C3544" t="str">
        <f>_xlfn.XLOOKUP(B3544,
[1]sales_teams!$A$2:$A$100,
[1]sales_teams!$B$2:$B$100)</f>
        <v>Rocco Neubert</v>
      </c>
      <c r="D3544" t="str">
        <f>_xlfn.XLOOKUP($B3544,sales_teams!$A$2:$A$36,sales_teams!C$2:C$36)</f>
        <v>East</v>
      </c>
      <c r="E3544" t="s">
        <v>48</v>
      </c>
      <c r="F3544" t="s">
        <v>209</v>
      </c>
      <c r="G3544" t="s">
        <v>46</v>
      </c>
      <c r="H3544" s="1">
        <v>42886</v>
      </c>
      <c r="I3544" s="1">
        <v>42902</v>
      </c>
      <c r="J3544">
        <v>0</v>
      </c>
    </row>
    <row r="3545" spans="1:10" x14ac:dyDescent="0.3">
      <c r="A3545" t="s">
        <v>3676</v>
      </c>
      <c r="B3545" t="s">
        <v>14</v>
      </c>
      <c r="C3545" t="str">
        <f>_xlfn.XLOOKUP(B3545,
[1]sales_teams!$A$2:$A$100,
[1]sales_teams!$B$2:$B$100)</f>
        <v>Melvin Marxen</v>
      </c>
      <c r="D3545" t="str">
        <f>_xlfn.XLOOKUP($B3545,sales_teams!$A$2:$A$36,sales_teams!C$2:C$36)</f>
        <v>Central</v>
      </c>
      <c r="E3545" t="s">
        <v>15</v>
      </c>
      <c r="F3545" t="s">
        <v>318</v>
      </c>
      <c r="G3545" t="s">
        <v>12</v>
      </c>
      <c r="H3545" s="1">
        <v>42886</v>
      </c>
      <c r="I3545" s="1">
        <v>42890</v>
      </c>
      <c r="J3545">
        <v>4192</v>
      </c>
    </row>
    <row r="3546" spans="1:10" x14ac:dyDescent="0.3">
      <c r="A3546" t="s">
        <v>3677</v>
      </c>
      <c r="B3546" t="s">
        <v>67</v>
      </c>
      <c r="C3546" t="str">
        <f>_xlfn.XLOOKUP(B3546,
[1]sales_teams!$A$2:$A$100,
[1]sales_teams!$B$2:$B$100)</f>
        <v>Celia Rouche</v>
      </c>
      <c r="D3546" t="str">
        <f>_xlfn.XLOOKUP($B3546,sales_teams!$A$2:$A$36,sales_teams!C$2:C$36)</f>
        <v>West</v>
      </c>
      <c r="E3546" t="s">
        <v>18</v>
      </c>
      <c r="F3546" t="s">
        <v>70</v>
      </c>
      <c r="G3546" t="s">
        <v>46</v>
      </c>
      <c r="H3546" s="1">
        <v>42886</v>
      </c>
      <c r="I3546" s="1">
        <v>42983</v>
      </c>
      <c r="J3546">
        <v>0</v>
      </c>
    </row>
    <row r="3547" spans="1:10" x14ac:dyDescent="0.3">
      <c r="A3547" t="s">
        <v>3678</v>
      </c>
      <c r="B3547" t="s">
        <v>67</v>
      </c>
      <c r="C3547" t="str">
        <f>_xlfn.XLOOKUP(B3547,
[1]sales_teams!$A$2:$A$100,
[1]sales_teams!$B$2:$B$100)</f>
        <v>Celia Rouche</v>
      </c>
      <c r="D3547" t="str">
        <f>_xlfn.XLOOKUP($B3547,sales_teams!$A$2:$A$36,sales_teams!C$2:C$36)</f>
        <v>West</v>
      </c>
      <c r="E3547" t="s">
        <v>39</v>
      </c>
      <c r="F3547" t="s">
        <v>313</v>
      </c>
      <c r="G3547" t="s">
        <v>46</v>
      </c>
      <c r="H3547" s="1">
        <v>42886</v>
      </c>
      <c r="I3547" s="1">
        <v>42973</v>
      </c>
      <c r="J3547">
        <v>0</v>
      </c>
    </row>
    <row r="3548" spans="1:10" x14ac:dyDescent="0.3">
      <c r="A3548" t="s">
        <v>3679</v>
      </c>
      <c r="B3548" t="s">
        <v>67</v>
      </c>
      <c r="C3548" t="str">
        <f>_xlfn.XLOOKUP(B3548,
[1]sales_teams!$A$2:$A$100,
[1]sales_teams!$B$2:$B$100)</f>
        <v>Celia Rouche</v>
      </c>
      <c r="D3548" t="str">
        <f>_xlfn.XLOOKUP($B3548,sales_teams!$A$2:$A$36,sales_teams!C$2:C$36)</f>
        <v>West</v>
      </c>
      <c r="E3548" t="s">
        <v>18</v>
      </c>
      <c r="F3548" t="s">
        <v>52</v>
      </c>
      <c r="G3548" t="s">
        <v>12</v>
      </c>
      <c r="H3548" s="1">
        <v>42886</v>
      </c>
      <c r="I3548" s="1">
        <v>42896</v>
      </c>
      <c r="J3548">
        <v>56</v>
      </c>
    </row>
    <row r="3549" spans="1:10" x14ac:dyDescent="0.3">
      <c r="A3549" t="s">
        <v>3680</v>
      </c>
      <c r="B3549" t="s">
        <v>105</v>
      </c>
      <c r="C3549" t="str">
        <f>_xlfn.XLOOKUP(B3549,
[1]sales_teams!$A$2:$A$100,
[1]sales_teams!$B$2:$B$100)</f>
        <v>Cara Losch</v>
      </c>
      <c r="D3549" t="str">
        <f>_xlfn.XLOOKUP($B3549,sales_teams!$A$2:$A$36,sales_teams!C$2:C$36)</f>
        <v>East</v>
      </c>
      <c r="E3549" t="s">
        <v>20</v>
      </c>
      <c r="F3549" t="s">
        <v>237</v>
      </c>
      <c r="G3549" t="s">
        <v>12</v>
      </c>
      <c r="H3549" s="1">
        <v>42886</v>
      </c>
      <c r="I3549" s="1">
        <v>42952</v>
      </c>
      <c r="J3549">
        <v>607</v>
      </c>
    </row>
    <row r="3550" spans="1:10" x14ac:dyDescent="0.3">
      <c r="A3550" t="s">
        <v>3681</v>
      </c>
      <c r="B3550" t="s">
        <v>44</v>
      </c>
      <c r="C3550" t="str">
        <f>_xlfn.XLOOKUP(B3550,
[1]sales_teams!$A$2:$A$100,
[1]sales_teams!$B$2:$B$100)</f>
        <v>Melvin Marxen</v>
      </c>
      <c r="D3550" t="str">
        <f>_xlfn.XLOOKUP($B3550,sales_teams!$A$2:$A$36,sales_teams!C$2:C$36)</f>
        <v>Central</v>
      </c>
      <c r="E3550" t="s">
        <v>18</v>
      </c>
      <c r="F3550" t="s">
        <v>218</v>
      </c>
      <c r="G3550" t="s">
        <v>12</v>
      </c>
      <c r="H3550" s="1">
        <v>42886</v>
      </c>
      <c r="I3550" s="1">
        <v>42895</v>
      </c>
      <c r="J3550">
        <v>48</v>
      </c>
    </row>
    <row r="3551" spans="1:10" x14ac:dyDescent="0.3">
      <c r="A3551" t="s">
        <v>3682</v>
      </c>
      <c r="B3551" t="s">
        <v>54</v>
      </c>
      <c r="C3551" t="str">
        <f>_xlfn.XLOOKUP(B3551,
[1]sales_teams!$A$2:$A$100,
[1]sales_teams!$B$2:$B$100)</f>
        <v>Celia Rouche</v>
      </c>
      <c r="D3551" t="str">
        <f>_xlfn.XLOOKUP($B3551,sales_teams!$A$2:$A$36,sales_teams!C$2:C$36)</f>
        <v>West</v>
      </c>
      <c r="E3551" t="s">
        <v>10</v>
      </c>
      <c r="F3551" t="s">
        <v>157</v>
      </c>
      <c r="G3551" t="s">
        <v>40</v>
      </c>
      <c r="H3551" s="1">
        <v>42886</v>
      </c>
    </row>
    <row r="3552" spans="1:10" x14ac:dyDescent="0.3">
      <c r="A3552" t="s">
        <v>3683</v>
      </c>
      <c r="B3552" t="s">
        <v>38</v>
      </c>
      <c r="C3552" t="str">
        <f>_xlfn.XLOOKUP(B3552,
[1]sales_teams!$A$2:$A$100,
[1]sales_teams!$B$2:$B$100)</f>
        <v>Summer Sewald</v>
      </c>
      <c r="D3552" t="str">
        <f>_xlfn.XLOOKUP($B3552,sales_teams!$A$2:$A$36,sales_teams!C$2:C$36)</f>
        <v>West</v>
      </c>
      <c r="E3552" t="s">
        <v>20</v>
      </c>
      <c r="F3552" t="s">
        <v>273</v>
      </c>
      <c r="G3552" t="s">
        <v>46</v>
      </c>
      <c r="H3552" s="1">
        <v>42886</v>
      </c>
      <c r="I3552" s="1">
        <v>42965</v>
      </c>
      <c r="J3552">
        <v>0</v>
      </c>
    </row>
    <row r="3553" spans="1:10" x14ac:dyDescent="0.3">
      <c r="A3553" t="s">
        <v>3684</v>
      </c>
      <c r="B3553" t="s">
        <v>38</v>
      </c>
      <c r="C3553" t="str">
        <f>_xlfn.XLOOKUP(B3553,
[1]sales_teams!$A$2:$A$100,
[1]sales_teams!$B$2:$B$100)</f>
        <v>Summer Sewald</v>
      </c>
      <c r="D3553" t="str">
        <f>_xlfn.XLOOKUP($B3553,sales_teams!$A$2:$A$36,sales_teams!C$2:C$36)</f>
        <v>West</v>
      </c>
      <c r="E3553" t="s">
        <v>20</v>
      </c>
      <c r="F3553" t="s">
        <v>313</v>
      </c>
      <c r="G3553" t="s">
        <v>12</v>
      </c>
      <c r="H3553" s="1">
        <v>42886</v>
      </c>
      <c r="I3553" s="1">
        <v>42970</v>
      </c>
      <c r="J3553">
        <v>570</v>
      </c>
    </row>
    <row r="3554" spans="1:10" x14ac:dyDescent="0.3">
      <c r="A3554" t="s">
        <v>3685</v>
      </c>
      <c r="B3554" t="s">
        <v>38</v>
      </c>
      <c r="C3554" t="str">
        <f>_xlfn.XLOOKUP(B3554,
[1]sales_teams!$A$2:$A$100,
[1]sales_teams!$B$2:$B$100)</f>
        <v>Summer Sewald</v>
      </c>
      <c r="D3554" t="str">
        <f>_xlfn.XLOOKUP($B3554,sales_teams!$A$2:$A$36,sales_teams!C$2:C$36)</f>
        <v>West</v>
      </c>
      <c r="E3554" t="s">
        <v>10</v>
      </c>
      <c r="F3554" t="s">
        <v>273</v>
      </c>
      <c r="G3554" t="s">
        <v>12</v>
      </c>
      <c r="H3554" s="1">
        <v>42886</v>
      </c>
      <c r="I3554" s="1">
        <v>42890</v>
      </c>
      <c r="J3554">
        <v>1056</v>
      </c>
    </row>
    <row r="3555" spans="1:10" x14ac:dyDescent="0.3">
      <c r="A3555" t="s">
        <v>3686</v>
      </c>
      <c r="B3555" t="s">
        <v>78</v>
      </c>
      <c r="C3555" t="str">
        <f>_xlfn.XLOOKUP(B3555,
[1]sales_teams!$A$2:$A$100,
[1]sales_teams!$B$2:$B$100)</f>
        <v>Summer Sewald</v>
      </c>
      <c r="D3555" t="str">
        <f>_xlfn.XLOOKUP($B3555,sales_teams!$A$2:$A$36,sales_teams!C$2:C$36)</f>
        <v>West</v>
      </c>
      <c r="E3555" t="s">
        <v>20</v>
      </c>
      <c r="G3555" t="s">
        <v>40</v>
      </c>
      <c r="H3555" s="1">
        <v>42886</v>
      </c>
    </row>
    <row r="3556" spans="1:10" x14ac:dyDescent="0.3">
      <c r="A3556" t="s">
        <v>3687</v>
      </c>
      <c r="B3556" t="s">
        <v>78</v>
      </c>
      <c r="C3556" t="str">
        <f>_xlfn.XLOOKUP(B3556,
[1]sales_teams!$A$2:$A$100,
[1]sales_teams!$B$2:$B$100)</f>
        <v>Summer Sewald</v>
      </c>
      <c r="D3556" t="str">
        <f>_xlfn.XLOOKUP($B3556,sales_teams!$A$2:$A$36,sales_teams!C$2:C$36)</f>
        <v>West</v>
      </c>
      <c r="E3556" t="s">
        <v>20</v>
      </c>
      <c r="F3556" t="s">
        <v>184</v>
      </c>
      <c r="G3556" t="s">
        <v>12</v>
      </c>
      <c r="H3556" s="1">
        <v>42886</v>
      </c>
      <c r="I3556" s="1">
        <v>42981</v>
      </c>
      <c r="J3556">
        <v>560</v>
      </c>
    </row>
    <row r="3557" spans="1:10" x14ac:dyDescent="0.3">
      <c r="A3557" t="s">
        <v>3688</v>
      </c>
      <c r="B3557" t="s">
        <v>95</v>
      </c>
      <c r="C3557" t="str">
        <f>_xlfn.XLOOKUP(B3557,
[1]sales_teams!$A$2:$A$100,
[1]sales_teams!$B$2:$B$100)</f>
        <v>Summer Sewald</v>
      </c>
      <c r="D3557" t="str">
        <f>_xlfn.XLOOKUP($B3557,sales_teams!$A$2:$A$36,sales_teams!C$2:C$36)</f>
        <v>West</v>
      </c>
      <c r="E3557" t="s">
        <v>48</v>
      </c>
      <c r="F3557" t="s">
        <v>124</v>
      </c>
      <c r="G3557" t="s">
        <v>46</v>
      </c>
      <c r="H3557" s="1">
        <v>42886</v>
      </c>
      <c r="I3557" s="1">
        <v>42950</v>
      </c>
      <c r="J3557">
        <v>0</v>
      </c>
    </row>
    <row r="3558" spans="1:10" x14ac:dyDescent="0.3">
      <c r="A3558" t="s">
        <v>3689</v>
      </c>
      <c r="B3558" t="s">
        <v>95</v>
      </c>
      <c r="C3558" t="str">
        <f>_xlfn.XLOOKUP(B3558,
[1]sales_teams!$A$2:$A$100,
[1]sales_teams!$B$2:$B$100)</f>
        <v>Summer Sewald</v>
      </c>
      <c r="D3558" t="str">
        <f>_xlfn.XLOOKUP($B3558,sales_teams!$A$2:$A$36,sales_teams!C$2:C$36)</f>
        <v>West</v>
      </c>
      <c r="E3558" t="s">
        <v>20</v>
      </c>
      <c r="F3558" t="s">
        <v>398</v>
      </c>
      <c r="G3558" t="s">
        <v>12</v>
      </c>
      <c r="H3558" s="1">
        <v>42886</v>
      </c>
      <c r="I3558" s="1">
        <v>42907</v>
      </c>
      <c r="J3558">
        <v>588</v>
      </c>
    </row>
    <row r="3559" spans="1:10" x14ac:dyDescent="0.3">
      <c r="A3559" t="s">
        <v>3690</v>
      </c>
      <c r="B3559" t="s">
        <v>95</v>
      </c>
      <c r="C3559" t="str">
        <f>_xlfn.XLOOKUP(B3559,
[1]sales_teams!$A$2:$A$100,
[1]sales_teams!$B$2:$B$100)</f>
        <v>Summer Sewald</v>
      </c>
      <c r="D3559" t="str">
        <f>_xlfn.XLOOKUP($B3559,sales_teams!$A$2:$A$36,sales_teams!C$2:C$36)</f>
        <v>West</v>
      </c>
      <c r="E3559" t="s">
        <v>15</v>
      </c>
      <c r="F3559" t="s">
        <v>159</v>
      </c>
      <c r="G3559" t="s">
        <v>12</v>
      </c>
      <c r="H3559" s="1">
        <v>42886</v>
      </c>
      <c r="I3559" s="1">
        <v>42980</v>
      </c>
      <c r="J3559">
        <v>4356</v>
      </c>
    </row>
    <row r="3560" spans="1:10" x14ac:dyDescent="0.3">
      <c r="A3560" t="s">
        <v>3691</v>
      </c>
      <c r="B3560" t="s">
        <v>95</v>
      </c>
      <c r="C3560" t="str">
        <f>_xlfn.XLOOKUP(B3560,
[1]sales_teams!$A$2:$A$100,
[1]sales_teams!$B$2:$B$100)</f>
        <v>Summer Sewald</v>
      </c>
      <c r="D3560" t="str">
        <f>_xlfn.XLOOKUP($B3560,sales_teams!$A$2:$A$36,sales_teams!C$2:C$36)</f>
        <v>West</v>
      </c>
      <c r="E3560" t="s">
        <v>18</v>
      </c>
      <c r="F3560" t="s">
        <v>86</v>
      </c>
      <c r="G3560" t="s">
        <v>12</v>
      </c>
      <c r="H3560" s="1">
        <v>42886</v>
      </c>
      <c r="I3560" s="1">
        <v>42962</v>
      </c>
      <c r="J3560">
        <v>69</v>
      </c>
    </row>
    <row r="3561" spans="1:10" x14ac:dyDescent="0.3">
      <c r="A3561" t="s">
        <v>3692</v>
      </c>
      <c r="B3561" t="s">
        <v>133</v>
      </c>
      <c r="C3561" t="str">
        <f>_xlfn.XLOOKUP(B3561,
[1]sales_teams!$A$2:$A$100,
[1]sales_teams!$B$2:$B$100)</f>
        <v>Dustin Brinkmann</v>
      </c>
      <c r="D3561" t="str">
        <f>_xlfn.XLOOKUP($B3561,sales_teams!$A$2:$A$36,sales_teams!C$2:C$36)</f>
        <v>Central</v>
      </c>
      <c r="E3561" t="s">
        <v>20</v>
      </c>
      <c r="F3561" t="s">
        <v>151</v>
      </c>
      <c r="G3561" t="s">
        <v>12</v>
      </c>
      <c r="H3561" s="1">
        <v>42886</v>
      </c>
      <c r="I3561" s="1">
        <v>42949</v>
      </c>
      <c r="J3561">
        <v>505</v>
      </c>
    </row>
    <row r="3562" spans="1:10" x14ac:dyDescent="0.3">
      <c r="A3562" t="s">
        <v>3693</v>
      </c>
      <c r="B3562" t="s">
        <v>32</v>
      </c>
      <c r="C3562" t="str">
        <f>_xlfn.XLOOKUP(B3562,
[1]sales_teams!$A$2:$A$100,
[1]sales_teams!$B$2:$B$100)</f>
        <v>Celia Rouche</v>
      </c>
      <c r="D3562" t="str">
        <f>_xlfn.XLOOKUP($B3562,sales_teams!$A$2:$A$36,sales_teams!C$2:C$36)</f>
        <v>West</v>
      </c>
      <c r="E3562" t="s">
        <v>20</v>
      </c>
      <c r="F3562" t="s">
        <v>52</v>
      </c>
      <c r="G3562" t="s">
        <v>12</v>
      </c>
      <c r="H3562" s="1">
        <v>42886</v>
      </c>
      <c r="I3562" s="1">
        <v>43001</v>
      </c>
      <c r="J3562">
        <v>510</v>
      </c>
    </row>
    <row r="3563" spans="1:10" x14ac:dyDescent="0.3">
      <c r="A3563" t="s">
        <v>3694</v>
      </c>
      <c r="B3563" t="s">
        <v>32</v>
      </c>
      <c r="C3563" t="str">
        <f>_xlfn.XLOOKUP(B3563,
[1]sales_teams!$A$2:$A$100,
[1]sales_teams!$B$2:$B$100)</f>
        <v>Celia Rouche</v>
      </c>
      <c r="D3563" t="str">
        <f>_xlfn.XLOOKUP($B3563,sales_teams!$A$2:$A$36,sales_teams!C$2:C$36)</f>
        <v>West</v>
      </c>
      <c r="E3563" t="s">
        <v>39</v>
      </c>
      <c r="F3563" t="s">
        <v>79</v>
      </c>
      <c r="G3563" t="s">
        <v>12</v>
      </c>
      <c r="H3563" s="1">
        <v>42886</v>
      </c>
      <c r="I3563" s="1">
        <v>43001</v>
      </c>
      <c r="J3563">
        <v>3722</v>
      </c>
    </row>
    <row r="3564" spans="1:10" x14ac:dyDescent="0.3">
      <c r="A3564" t="s">
        <v>3695</v>
      </c>
      <c r="B3564" t="s">
        <v>51</v>
      </c>
      <c r="C3564" t="str">
        <f>_xlfn.XLOOKUP(B3564,
[1]sales_teams!$A$2:$A$100,
[1]sales_teams!$B$2:$B$100)</f>
        <v>Summer Sewald</v>
      </c>
      <c r="D3564" t="str">
        <f>_xlfn.XLOOKUP($B3564,sales_teams!$A$2:$A$36,sales_teams!C$2:C$36)</f>
        <v>West</v>
      </c>
      <c r="E3564" t="s">
        <v>18</v>
      </c>
      <c r="G3564" t="s">
        <v>40</v>
      </c>
      <c r="H3564" s="1">
        <v>42886</v>
      </c>
    </row>
    <row r="3565" spans="1:10" x14ac:dyDescent="0.3">
      <c r="A3565" t="s">
        <v>3696</v>
      </c>
      <c r="B3565" t="s">
        <v>51</v>
      </c>
      <c r="C3565" t="str">
        <f>_xlfn.XLOOKUP(B3565,
[1]sales_teams!$A$2:$A$100,
[1]sales_teams!$B$2:$B$100)</f>
        <v>Summer Sewald</v>
      </c>
      <c r="D3565" t="str">
        <f>_xlfn.XLOOKUP($B3565,sales_teams!$A$2:$A$36,sales_teams!C$2:C$36)</f>
        <v>West</v>
      </c>
      <c r="E3565" t="s">
        <v>10</v>
      </c>
      <c r="F3565" t="s">
        <v>55</v>
      </c>
      <c r="G3565" t="s">
        <v>12</v>
      </c>
      <c r="H3565" s="1">
        <v>42886</v>
      </c>
      <c r="I3565" s="1">
        <v>42949</v>
      </c>
      <c r="J3565">
        <v>1145</v>
      </c>
    </row>
    <row r="3566" spans="1:10" x14ac:dyDescent="0.3">
      <c r="A3566" t="s">
        <v>3697</v>
      </c>
      <c r="B3566" t="s">
        <v>9</v>
      </c>
      <c r="C3566" t="str">
        <f>_xlfn.XLOOKUP(B3566,
[1]sales_teams!$A$2:$A$100,
[1]sales_teams!$B$2:$B$100)</f>
        <v>Dustin Brinkmann</v>
      </c>
      <c r="D3566" t="str">
        <f>_xlfn.XLOOKUP($B3566,sales_teams!$A$2:$A$36,sales_teams!C$2:C$36)</f>
        <v>Central</v>
      </c>
      <c r="E3566" t="s">
        <v>18</v>
      </c>
      <c r="F3566" t="s">
        <v>492</v>
      </c>
      <c r="G3566" t="s">
        <v>12</v>
      </c>
      <c r="H3566" s="1">
        <v>42886</v>
      </c>
      <c r="I3566" s="1">
        <v>42974</v>
      </c>
      <c r="J3566">
        <v>53</v>
      </c>
    </row>
    <row r="3567" spans="1:10" x14ac:dyDescent="0.3">
      <c r="A3567" t="s">
        <v>3698</v>
      </c>
      <c r="B3567" t="s">
        <v>97</v>
      </c>
      <c r="C3567" t="str">
        <f>_xlfn.XLOOKUP(B3567,
[1]sales_teams!$A$2:$A$100,
[1]sales_teams!$B$2:$B$100)</f>
        <v>Rocco Neubert</v>
      </c>
      <c r="D3567" t="str">
        <f>_xlfn.XLOOKUP($B3567,sales_teams!$A$2:$A$36,sales_teams!C$2:C$36)</f>
        <v>East</v>
      </c>
      <c r="E3567" t="s">
        <v>10</v>
      </c>
      <c r="F3567" t="s">
        <v>155</v>
      </c>
      <c r="G3567" t="s">
        <v>12</v>
      </c>
      <c r="H3567" s="1">
        <v>42886</v>
      </c>
      <c r="I3567" s="1">
        <v>42901</v>
      </c>
      <c r="J3567">
        <v>1120</v>
      </c>
    </row>
    <row r="3568" spans="1:10" x14ac:dyDescent="0.3">
      <c r="A3568" t="s">
        <v>3699</v>
      </c>
      <c r="B3568" t="s">
        <v>97</v>
      </c>
      <c r="C3568" t="str">
        <f>_xlfn.XLOOKUP(B3568,
[1]sales_teams!$A$2:$A$100,
[1]sales_teams!$B$2:$B$100)</f>
        <v>Rocco Neubert</v>
      </c>
      <c r="D3568" t="str">
        <f>_xlfn.XLOOKUP($B3568,sales_teams!$A$2:$A$36,sales_teams!C$2:C$36)</f>
        <v>East</v>
      </c>
      <c r="E3568" t="s">
        <v>39</v>
      </c>
      <c r="F3568" t="s">
        <v>240</v>
      </c>
      <c r="G3568" t="s">
        <v>12</v>
      </c>
      <c r="H3568" s="1">
        <v>42886</v>
      </c>
      <c r="I3568" s="1">
        <v>43000</v>
      </c>
      <c r="J3568">
        <v>3404</v>
      </c>
    </row>
    <row r="3569" spans="1:10" x14ac:dyDescent="0.3">
      <c r="A3569" t="s">
        <v>3700</v>
      </c>
      <c r="B3569" t="s">
        <v>61</v>
      </c>
      <c r="C3569" t="str">
        <f>_xlfn.XLOOKUP(B3569,
[1]sales_teams!$A$2:$A$100,
[1]sales_teams!$B$2:$B$100)</f>
        <v>Dustin Brinkmann</v>
      </c>
      <c r="D3569" t="str">
        <f>_xlfn.XLOOKUP($B3569,sales_teams!$A$2:$A$36,sales_teams!C$2:C$36)</f>
        <v>Central</v>
      </c>
      <c r="E3569" t="s">
        <v>39</v>
      </c>
      <c r="F3569" t="s">
        <v>36</v>
      </c>
      <c r="G3569" t="s">
        <v>46</v>
      </c>
      <c r="H3569" s="1">
        <v>42886</v>
      </c>
      <c r="I3569" s="1">
        <v>42894</v>
      </c>
      <c r="J3569">
        <v>0</v>
      </c>
    </row>
    <row r="3570" spans="1:10" x14ac:dyDescent="0.3">
      <c r="A3570" t="s">
        <v>3701</v>
      </c>
      <c r="B3570" t="s">
        <v>61</v>
      </c>
      <c r="C3570" t="str">
        <f>_xlfn.XLOOKUP(B3570,
[1]sales_teams!$A$2:$A$100,
[1]sales_teams!$B$2:$B$100)</f>
        <v>Dustin Brinkmann</v>
      </c>
      <c r="D3570" t="str">
        <f>_xlfn.XLOOKUP($B3570,sales_teams!$A$2:$A$36,sales_teams!C$2:C$36)</f>
        <v>Central</v>
      </c>
      <c r="E3570" t="s">
        <v>18</v>
      </c>
      <c r="F3570" t="s">
        <v>27</v>
      </c>
      <c r="G3570" t="s">
        <v>12</v>
      </c>
      <c r="H3570" s="1">
        <v>42886</v>
      </c>
      <c r="I3570" s="1">
        <v>42899</v>
      </c>
      <c r="J3570">
        <v>46</v>
      </c>
    </row>
    <row r="3571" spans="1:10" x14ac:dyDescent="0.3">
      <c r="A3571" t="s">
        <v>3702</v>
      </c>
      <c r="B3571" t="s">
        <v>102</v>
      </c>
      <c r="C3571" t="str">
        <f>_xlfn.XLOOKUP(B3571,
[1]sales_teams!$A$2:$A$100,
[1]sales_teams!$B$2:$B$100)</f>
        <v>Cara Losch</v>
      </c>
      <c r="D3571" t="str">
        <f>_xlfn.XLOOKUP($B3571,sales_teams!$A$2:$A$36,sales_teams!C$2:C$36)</f>
        <v>East</v>
      </c>
      <c r="E3571" t="s">
        <v>18</v>
      </c>
      <c r="F3571" t="s">
        <v>103</v>
      </c>
      <c r="G3571" t="s">
        <v>12</v>
      </c>
      <c r="H3571" s="1">
        <v>42886</v>
      </c>
      <c r="I3571" s="1">
        <v>42900</v>
      </c>
      <c r="J3571">
        <v>53</v>
      </c>
    </row>
    <row r="3572" spans="1:10" x14ac:dyDescent="0.3">
      <c r="A3572" t="s">
        <v>3703</v>
      </c>
      <c r="B3572" t="s">
        <v>23</v>
      </c>
      <c r="C3572" t="str">
        <f>_xlfn.XLOOKUP(B3572,
[1]sales_teams!$A$2:$A$100,
[1]sales_teams!$B$2:$B$100)</f>
        <v>Summer Sewald</v>
      </c>
      <c r="D3572" t="str">
        <f>_xlfn.XLOOKUP($B3572,sales_teams!$A$2:$A$36,sales_teams!C$2:C$36)</f>
        <v>West</v>
      </c>
      <c r="E3572" t="s">
        <v>20</v>
      </c>
      <c r="F3572" t="s">
        <v>273</v>
      </c>
      <c r="G3572" t="s">
        <v>46</v>
      </c>
      <c r="H3572" s="1">
        <v>42886</v>
      </c>
      <c r="I3572" s="1">
        <v>42967</v>
      </c>
      <c r="J3572">
        <v>0</v>
      </c>
    </row>
    <row r="3573" spans="1:10" x14ac:dyDescent="0.3">
      <c r="A3573" t="s">
        <v>3704</v>
      </c>
      <c r="B3573" t="s">
        <v>23</v>
      </c>
      <c r="C3573" t="str">
        <f>_xlfn.XLOOKUP(B3573,
[1]sales_teams!$A$2:$A$100,
[1]sales_teams!$B$2:$B$100)</f>
        <v>Summer Sewald</v>
      </c>
      <c r="D3573" t="str">
        <f>_xlfn.XLOOKUP($B3573,sales_teams!$A$2:$A$36,sales_teams!C$2:C$36)</f>
        <v>West</v>
      </c>
      <c r="E3573" t="s">
        <v>15</v>
      </c>
      <c r="F3573" t="s">
        <v>218</v>
      </c>
      <c r="G3573" t="s">
        <v>12</v>
      </c>
      <c r="H3573" s="1">
        <v>42886</v>
      </c>
      <c r="I3573" s="1">
        <v>42891</v>
      </c>
      <c r="J3573">
        <v>4988</v>
      </c>
    </row>
    <row r="3574" spans="1:10" x14ac:dyDescent="0.3">
      <c r="A3574" t="s">
        <v>3705</v>
      </c>
      <c r="B3574" t="s">
        <v>23</v>
      </c>
      <c r="C3574" t="str">
        <f>_xlfn.XLOOKUP(B3574,
[1]sales_teams!$A$2:$A$100,
[1]sales_teams!$B$2:$B$100)</f>
        <v>Summer Sewald</v>
      </c>
      <c r="D3574" t="str">
        <f>_xlfn.XLOOKUP($B3574,sales_teams!$A$2:$A$36,sales_teams!C$2:C$36)</f>
        <v>West</v>
      </c>
      <c r="E3574" t="s">
        <v>18</v>
      </c>
      <c r="F3574" t="s">
        <v>68</v>
      </c>
      <c r="G3574" t="s">
        <v>12</v>
      </c>
      <c r="H3574" s="1">
        <v>42886</v>
      </c>
      <c r="I3574" s="1">
        <v>42959</v>
      </c>
      <c r="J3574">
        <v>53</v>
      </c>
    </row>
    <row r="3575" spans="1:10" x14ac:dyDescent="0.3">
      <c r="A3575" t="s">
        <v>3706</v>
      </c>
      <c r="B3575" t="s">
        <v>26</v>
      </c>
      <c r="C3575" t="str">
        <f>_xlfn.XLOOKUP(B3575,
[1]sales_teams!$A$2:$A$100,
[1]sales_teams!$B$2:$B$100)</f>
        <v>Dustin Brinkmann</v>
      </c>
      <c r="D3575" t="str">
        <f>_xlfn.XLOOKUP($B3575,sales_teams!$A$2:$A$36,sales_teams!C$2:C$36)</f>
        <v>Central</v>
      </c>
      <c r="E3575" t="s">
        <v>20</v>
      </c>
      <c r="F3575" t="s">
        <v>16</v>
      </c>
      <c r="G3575" t="s">
        <v>12</v>
      </c>
      <c r="H3575" s="1">
        <v>42887</v>
      </c>
      <c r="I3575" s="1">
        <v>42894</v>
      </c>
      <c r="J3575">
        <v>523</v>
      </c>
    </row>
    <row r="3576" spans="1:10" x14ac:dyDescent="0.3">
      <c r="A3576" t="s">
        <v>3707</v>
      </c>
      <c r="B3576" t="s">
        <v>26</v>
      </c>
      <c r="C3576" t="str">
        <f>_xlfn.XLOOKUP(B3576,
[1]sales_teams!$A$2:$A$100,
[1]sales_teams!$B$2:$B$100)</f>
        <v>Dustin Brinkmann</v>
      </c>
      <c r="D3576" t="str">
        <f>_xlfn.XLOOKUP($B3576,sales_teams!$A$2:$A$36,sales_teams!C$2:C$36)</f>
        <v>Central</v>
      </c>
      <c r="E3576" t="s">
        <v>18</v>
      </c>
      <c r="F3576" t="s">
        <v>315</v>
      </c>
      <c r="G3576" t="s">
        <v>12</v>
      </c>
      <c r="H3576" s="1">
        <v>42887</v>
      </c>
      <c r="I3576" s="1">
        <v>42897</v>
      </c>
      <c r="J3576">
        <v>63</v>
      </c>
    </row>
    <row r="3577" spans="1:10" x14ac:dyDescent="0.3">
      <c r="A3577" t="s">
        <v>3708</v>
      </c>
      <c r="B3577" t="s">
        <v>26</v>
      </c>
      <c r="C3577" t="str">
        <f>_xlfn.XLOOKUP(B3577,
[1]sales_teams!$A$2:$A$100,
[1]sales_teams!$B$2:$B$100)</f>
        <v>Dustin Brinkmann</v>
      </c>
      <c r="D3577" t="str">
        <f>_xlfn.XLOOKUP($B3577,sales_teams!$A$2:$A$36,sales_teams!C$2:C$36)</f>
        <v>Central</v>
      </c>
      <c r="E3577" t="s">
        <v>18</v>
      </c>
      <c r="F3577" t="s">
        <v>111</v>
      </c>
      <c r="G3577" t="s">
        <v>12</v>
      </c>
      <c r="H3577" s="1">
        <v>42887</v>
      </c>
      <c r="I3577" s="1">
        <v>42975</v>
      </c>
      <c r="J3577">
        <v>54</v>
      </c>
    </row>
    <row r="3578" spans="1:10" x14ac:dyDescent="0.3">
      <c r="A3578" t="s">
        <v>3709</v>
      </c>
      <c r="B3578" t="s">
        <v>139</v>
      </c>
      <c r="C3578" t="str">
        <f>_xlfn.XLOOKUP(B3578,
[1]sales_teams!$A$2:$A$100,
[1]sales_teams!$B$2:$B$100)</f>
        <v>Rocco Neubert</v>
      </c>
      <c r="D3578" t="str">
        <f>_xlfn.XLOOKUP($B3578,sales_teams!$A$2:$A$36,sales_teams!C$2:C$36)</f>
        <v>East</v>
      </c>
      <c r="E3578" t="s">
        <v>48</v>
      </c>
      <c r="F3578" t="s">
        <v>278</v>
      </c>
      <c r="G3578" t="s">
        <v>12</v>
      </c>
      <c r="H3578" s="1">
        <v>42887</v>
      </c>
      <c r="I3578" s="1">
        <v>42985</v>
      </c>
      <c r="J3578">
        <v>6117</v>
      </c>
    </row>
    <row r="3579" spans="1:10" x14ac:dyDescent="0.3">
      <c r="A3579" t="s">
        <v>3710</v>
      </c>
      <c r="B3579" t="s">
        <v>118</v>
      </c>
      <c r="C3579" t="str">
        <f>_xlfn.XLOOKUP(B3579,
[1]sales_teams!$A$2:$A$100,
[1]sales_teams!$B$2:$B$100)</f>
        <v>Rocco Neubert</v>
      </c>
      <c r="D3579" t="str">
        <f>_xlfn.XLOOKUP($B3579,sales_teams!$A$2:$A$36,sales_teams!C$2:C$36)</f>
        <v>East</v>
      </c>
      <c r="E3579" t="s">
        <v>48</v>
      </c>
      <c r="F3579" t="s">
        <v>177</v>
      </c>
      <c r="G3579" t="s">
        <v>12</v>
      </c>
      <c r="H3579" s="1">
        <v>42887</v>
      </c>
      <c r="I3579" s="1">
        <v>42895</v>
      </c>
      <c r="J3579">
        <v>5112</v>
      </c>
    </row>
    <row r="3580" spans="1:10" x14ac:dyDescent="0.3">
      <c r="A3580" t="s">
        <v>3711</v>
      </c>
      <c r="B3580" t="s">
        <v>164</v>
      </c>
      <c r="C3580" t="str">
        <f>_xlfn.XLOOKUP(B3580,
[1]sales_teams!$A$2:$A$100,
[1]sales_teams!$B$2:$B$100)</f>
        <v>Cara Losch</v>
      </c>
      <c r="D3580" t="str">
        <f>_xlfn.XLOOKUP($B3580,sales_teams!$A$2:$A$36,sales_teams!C$2:C$36)</f>
        <v>East</v>
      </c>
      <c r="E3580" t="s">
        <v>39</v>
      </c>
      <c r="F3580" t="s">
        <v>155</v>
      </c>
      <c r="G3580" t="s">
        <v>12</v>
      </c>
      <c r="H3580" s="1">
        <v>42887</v>
      </c>
      <c r="I3580" s="1">
        <v>42981</v>
      </c>
      <c r="J3580">
        <v>3527</v>
      </c>
    </row>
    <row r="3581" spans="1:10" x14ac:dyDescent="0.3">
      <c r="A3581" t="s">
        <v>3712</v>
      </c>
      <c r="B3581" t="s">
        <v>64</v>
      </c>
      <c r="C3581" t="str">
        <f>_xlfn.XLOOKUP(B3581,
[1]sales_teams!$A$2:$A$100,
[1]sales_teams!$B$2:$B$100)</f>
        <v>Rocco Neubert</v>
      </c>
      <c r="D3581" t="str">
        <f>_xlfn.XLOOKUP($B3581,sales_teams!$A$2:$A$36,sales_teams!C$2:C$36)</f>
        <v>East</v>
      </c>
      <c r="E3581" t="s">
        <v>15</v>
      </c>
      <c r="G3581" t="s">
        <v>40</v>
      </c>
      <c r="H3581" s="1">
        <v>42887</v>
      </c>
    </row>
    <row r="3582" spans="1:10" x14ac:dyDescent="0.3">
      <c r="A3582" t="s">
        <v>3713</v>
      </c>
      <c r="B3582" t="s">
        <v>14</v>
      </c>
      <c r="C3582" t="str">
        <f>_xlfn.XLOOKUP(B3582,
[1]sales_teams!$A$2:$A$100,
[1]sales_teams!$B$2:$B$100)</f>
        <v>Melvin Marxen</v>
      </c>
      <c r="D3582" t="str">
        <f>_xlfn.XLOOKUP($B3582,sales_teams!$A$2:$A$36,sales_teams!C$2:C$36)</f>
        <v>Central</v>
      </c>
      <c r="E3582" t="s">
        <v>48</v>
      </c>
      <c r="F3582" t="s">
        <v>113</v>
      </c>
      <c r="G3582" t="s">
        <v>46</v>
      </c>
      <c r="H3582" s="1">
        <v>42887</v>
      </c>
      <c r="I3582" s="1">
        <v>42897</v>
      </c>
      <c r="J3582">
        <v>0</v>
      </c>
    </row>
    <row r="3583" spans="1:10" x14ac:dyDescent="0.3">
      <c r="A3583" t="s">
        <v>3714</v>
      </c>
      <c r="B3583" t="s">
        <v>14</v>
      </c>
      <c r="C3583" t="str">
        <f>_xlfn.XLOOKUP(B3583,
[1]sales_teams!$A$2:$A$100,
[1]sales_teams!$B$2:$B$100)</f>
        <v>Melvin Marxen</v>
      </c>
      <c r="D3583" t="str">
        <f>_xlfn.XLOOKUP($B3583,sales_teams!$A$2:$A$36,sales_teams!C$2:C$36)</f>
        <v>Central</v>
      </c>
      <c r="E3583" t="s">
        <v>18</v>
      </c>
      <c r="F3583" t="s">
        <v>129</v>
      </c>
      <c r="G3583" t="s">
        <v>46</v>
      </c>
      <c r="H3583" s="1">
        <v>42887</v>
      </c>
      <c r="I3583" s="1">
        <v>42971</v>
      </c>
      <c r="J3583">
        <v>0</v>
      </c>
    </row>
    <row r="3584" spans="1:10" x14ac:dyDescent="0.3">
      <c r="A3584" t="s">
        <v>3715</v>
      </c>
      <c r="B3584" t="s">
        <v>14</v>
      </c>
      <c r="C3584" t="str">
        <f>_xlfn.XLOOKUP(B3584,
[1]sales_teams!$A$2:$A$100,
[1]sales_teams!$B$2:$B$100)</f>
        <v>Melvin Marxen</v>
      </c>
      <c r="D3584" t="str">
        <f>_xlfn.XLOOKUP($B3584,sales_teams!$A$2:$A$36,sales_teams!C$2:C$36)</f>
        <v>Central</v>
      </c>
      <c r="E3584" t="s">
        <v>39</v>
      </c>
      <c r="F3584" t="s">
        <v>76</v>
      </c>
      <c r="G3584" t="s">
        <v>46</v>
      </c>
      <c r="H3584" s="1">
        <v>42887</v>
      </c>
      <c r="I3584" s="1">
        <v>42954</v>
      </c>
      <c r="J3584">
        <v>0</v>
      </c>
    </row>
    <row r="3585" spans="1:10" x14ac:dyDescent="0.3">
      <c r="A3585" t="s">
        <v>3716</v>
      </c>
      <c r="B3585" t="s">
        <v>14</v>
      </c>
      <c r="C3585" t="str">
        <f>_xlfn.XLOOKUP(B3585,
[1]sales_teams!$A$2:$A$100,
[1]sales_teams!$B$2:$B$100)</f>
        <v>Melvin Marxen</v>
      </c>
      <c r="D3585" t="str">
        <f>_xlfn.XLOOKUP($B3585,sales_teams!$A$2:$A$36,sales_teams!C$2:C$36)</f>
        <v>Central</v>
      </c>
      <c r="E3585" t="s">
        <v>20</v>
      </c>
      <c r="F3585" t="s">
        <v>318</v>
      </c>
      <c r="G3585" t="s">
        <v>12</v>
      </c>
      <c r="H3585" s="1">
        <v>42887</v>
      </c>
      <c r="I3585" s="1">
        <v>42900</v>
      </c>
      <c r="J3585">
        <v>565</v>
      </c>
    </row>
    <row r="3586" spans="1:10" x14ac:dyDescent="0.3">
      <c r="A3586" t="s">
        <v>3717</v>
      </c>
      <c r="B3586" t="s">
        <v>14</v>
      </c>
      <c r="C3586" t="str">
        <f>_xlfn.XLOOKUP(B3586,
[1]sales_teams!$A$2:$A$100,
[1]sales_teams!$B$2:$B$100)</f>
        <v>Melvin Marxen</v>
      </c>
      <c r="D3586" t="str">
        <f>_xlfn.XLOOKUP($B3586,sales_teams!$A$2:$A$36,sales_teams!C$2:C$36)</f>
        <v>Central</v>
      </c>
      <c r="E3586" t="s">
        <v>39</v>
      </c>
      <c r="F3586" t="s">
        <v>27</v>
      </c>
      <c r="G3586" t="s">
        <v>12</v>
      </c>
      <c r="H3586" s="1">
        <v>42887</v>
      </c>
      <c r="I3586" s="1">
        <v>42895</v>
      </c>
      <c r="J3586">
        <v>3771</v>
      </c>
    </row>
    <row r="3587" spans="1:10" x14ac:dyDescent="0.3">
      <c r="A3587" t="s">
        <v>3718</v>
      </c>
      <c r="B3587" t="s">
        <v>67</v>
      </c>
      <c r="C3587" t="str">
        <f>_xlfn.XLOOKUP(B3587,
[1]sales_teams!$A$2:$A$100,
[1]sales_teams!$B$2:$B$100)</f>
        <v>Celia Rouche</v>
      </c>
      <c r="D3587" t="str">
        <f>_xlfn.XLOOKUP($B3587,sales_teams!$A$2:$A$36,sales_teams!C$2:C$36)</f>
        <v>West</v>
      </c>
      <c r="E3587" t="s">
        <v>39</v>
      </c>
      <c r="F3587" t="s">
        <v>70</v>
      </c>
      <c r="G3587" t="s">
        <v>46</v>
      </c>
      <c r="H3587" s="1">
        <v>42887</v>
      </c>
      <c r="I3587" s="1">
        <v>42956</v>
      </c>
      <c r="J3587">
        <v>0</v>
      </c>
    </row>
    <row r="3588" spans="1:10" x14ac:dyDescent="0.3">
      <c r="A3588" t="s">
        <v>3719</v>
      </c>
      <c r="B3588" t="s">
        <v>44</v>
      </c>
      <c r="C3588" t="str">
        <f>_xlfn.XLOOKUP(B3588,
[1]sales_teams!$A$2:$A$100,
[1]sales_teams!$B$2:$B$100)</f>
        <v>Melvin Marxen</v>
      </c>
      <c r="D3588" t="str">
        <f>_xlfn.XLOOKUP($B3588,sales_teams!$A$2:$A$36,sales_teams!C$2:C$36)</f>
        <v>Central</v>
      </c>
      <c r="E3588" t="s">
        <v>48</v>
      </c>
      <c r="F3588" t="s">
        <v>231</v>
      </c>
      <c r="G3588" t="s">
        <v>12</v>
      </c>
      <c r="H3588" s="1">
        <v>42887</v>
      </c>
      <c r="I3588" s="1">
        <v>42980</v>
      </c>
      <c r="J3588">
        <v>6274</v>
      </c>
    </row>
    <row r="3589" spans="1:10" x14ac:dyDescent="0.3">
      <c r="A3589" t="s">
        <v>3720</v>
      </c>
      <c r="B3589" t="s">
        <v>54</v>
      </c>
      <c r="C3589" t="str">
        <f>_xlfn.XLOOKUP(B3589,
[1]sales_teams!$A$2:$A$100,
[1]sales_teams!$B$2:$B$100)</f>
        <v>Celia Rouche</v>
      </c>
      <c r="D3589" t="str">
        <f>_xlfn.XLOOKUP($B3589,sales_teams!$A$2:$A$36,sales_teams!C$2:C$36)</f>
        <v>West</v>
      </c>
      <c r="E3589" t="s">
        <v>39</v>
      </c>
      <c r="F3589" t="s">
        <v>124</v>
      </c>
      <c r="G3589" t="s">
        <v>46</v>
      </c>
      <c r="H3589" s="1">
        <v>42887</v>
      </c>
      <c r="I3589" s="1">
        <v>42950</v>
      </c>
      <c r="J3589">
        <v>0</v>
      </c>
    </row>
    <row r="3590" spans="1:10" x14ac:dyDescent="0.3">
      <c r="A3590" t="s">
        <v>3721</v>
      </c>
      <c r="B3590" t="s">
        <v>54</v>
      </c>
      <c r="C3590" t="str">
        <f>_xlfn.XLOOKUP(B3590,
[1]sales_teams!$A$2:$A$100,
[1]sales_teams!$B$2:$B$100)</f>
        <v>Celia Rouche</v>
      </c>
      <c r="D3590" t="str">
        <f>_xlfn.XLOOKUP($B3590,sales_teams!$A$2:$A$36,sales_teams!C$2:C$36)</f>
        <v>West</v>
      </c>
      <c r="E3590" t="s">
        <v>39</v>
      </c>
      <c r="F3590" t="s">
        <v>49</v>
      </c>
      <c r="G3590" t="s">
        <v>12</v>
      </c>
      <c r="H3590" s="1">
        <v>42887</v>
      </c>
      <c r="I3590" s="1">
        <v>42964</v>
      </c>
      <c r="J3590">
        <v>3480</v>
      </c>
    </row>
    <row r="3591" spans="1:10" x14ac:dyDescent="0.3">
      <c r="A3591" t="s">
        <v>3722</v>
      </c>
      <c r="B3591" t="s">
        <v>38</v>
      </c>
      <c r="C3591" t="str">
        <f>_xlfn.XLOOKUP(B3591,
[1]sales_teams!$A$2:$A$100,
[1]sales_teams!$B$2:$B$100)</f>
        <v>Summer Sewald</v>
      </c>
      <c r="D3591" t="str">
        <f>_xlfn.XLOOKUP($B3591,sales_teams!$A$2:$A$36,sales_teams!C$2:C$36)</f>
        <v>West</v>
      </c>
      <c r="E3591" t="s">
        <v>48</v>
      </c>
      <c r="F3591" t="s">
        <v>70</v>
      </c>
      <c r="G3591" t="s">
        <v>12</v>
      </c>
      <c r="H3591" s="1">
        <v>42887</v>
      </c>
      <c r="I3591" s="1">
        <v>42963</v>
      </c>
      <c r="J3591">
        <v>5770</v>
      </c>
    </row>
    <row r="3592" spans="1:10" x14ac:dyDescent="0.3">
      <c r="A3592" t="s">
        <v>3723</v>
      </c>
      <c r="B3592" t="s">
        <v>95</v>
      </c>
      <c r="C3592" t="str">
        <f>_xlfn.XLOOKUP(B3592,
[1]sales_teams!$A$2:$A$100,
[1]sales_teams!$B$2:$B$100)</f>
        <v>Summer Sewald</v>
      </c>
      <c r="D3592" t="str">
        <f>_xlfn.XLOOKUP($B3592,sales_teams!$A$2:$A$36,sales_teams!C$2:C$36)</f>
        <v>West</v>
      </c>
      <c r="E3592" t="s">
        <v>39</v>
      </c>
      <c r="F3592" t="s">
        <v>315</v>
      </c>
      <c r="G3592" t="s">
        <v>46</v>
      </c>
      <c r="H3592" s="1">
        <v>42887</v>
      </c>
      <c r="I3592" s="1">
        <v>42990</v>
      </c>
      <c r="J3592">
        <v>0</v>
      </c>
    </row>
    <row r="3593" spans="1:10" x14ac:dyDescent="0.3">
      <c r="A3593" t="s">
        <v>3724</v>
      </c>
      <c r="B3593" t="s">
        <v>133</v>
      </c>
      <c r="C3593" t="str">
        <f>_xlfn.XLOOKUP(B3593,
[1]sales_teams!$A$2:$A$100,
[1]sales_teams!$B$2:$B$100)</f>
        <v>Dustin Brinkmann</v>
      </c>
      <c r="D3593" t="str">
        <f>_xlfn.XLOOKUP($B3593,sales_teams!$A$2:$A$36,sales_teams!C$2:C$36)</f>
        <v>Central</v>
      </c>
      <c r="E3593" t="s">
        <v>48</v>
      </c>
      <c r="F3593" t="s">
        <v>187</v>
      </c>
      <c r="G3593" t="s">
        <v>46</v>
      </c>
      <c r="H3593" s="1">
        <v>42887</v>
      </c>
      <c r="I3593" s="1">
        <v>42976</v>
      </c>
      <c r="J3593">
        <v>0</v>
      </c>
    </row>
    <row r="3594" spans="1:10" x14ac:dyDescent="0.3">
      <c r="A3594" t="s">
        <v>3725</v>
      </c>
      <c r="B3594" t="s">
        <v>9</v>
      </c>
      <c r="C3594" t="str">
        <f>_xlfn.XLOOKUP(B3594,
[1]sales_teams!$A$2:$A$100,
[1]sales_teams!$B$2:$B$100)</f>
        <v>Dustin Brinkmann</v>
      </c>
      <c r="D3594" t="str">
        <f>_xlfn.XLOOKUP($B3594,sales_teams!$A$2:$A$36,sales_teams!C$2:C$36)</f>
        <v>Central</v>
      </c>
      <c r="E3594" t="s">
        <v>20</v>
      </c>
      <c r="F3594" t="s">
        <v>151</v>
      </c>
      <c r="G3594" t="s">
        <v>46</v>
      </c>
      <c r="H3594" s="1">
        <v>42887</v>
      </c>
      <c r="I3594" s="1">
        <v>42948</v>
      </c>
      <c r="J3594">
        <v>0</v>
      </c>
    </row>
    <row r="3595" spans="1:10" x14ac:dyDescent="0.3">
      <c r="A3595" t="s">
        <v>3726</v>
      </c>
      <c r="B3595" t="s">
        <v>35</v>
      </c>
      <c r="C3595" t="str">
        <f>_xlfn.XLOOKUP(B3595,
[1]sales_teams!$A$2:$A$100,
[1]sales_teams!$B$2:$B$100)</f>
        <v>Melvin Marxen</v>
      </c>
      <c r="D3595" t="str">
        <f>_xlfn.XLOOKUP($B3595,sales_teams!$A$2:$A$36,sales_teams!C$2:C$36)</f>
        <v>Central</v>
      </c>
      <c r="E3595" t="s">
        <v>20</v>
      </c>
      <c r="F3595" t="s">
        <v>207</v>
      </c>
      <c r="G3595" t="s">
        <v>46</v>
      </c>
      <c r="H3595" s="1">
        <v>42887</v>
      </c>
      <c r="I3595" s="1">
        <v>42999</v>
      </c>
      <c r="J3595">
        <v>0</v>
      </c>
    </row>
    <row r="3596" spans="1:10" x14ac:dyDescent="0.3">
      <c r="A3596" t="s">
        <v>3727</v>
      </c>
      <c r="B3596" t="s">
        <v>35</v>
      </c>
      <c r="C3596" t="str">
        <f>_xlfn.XLOOKUP(B3596,
[1]sales_teams!$A$2:$A$100,
[1]sales_teams!$B$2:$B$100)</f>
        <v>Melvin Marxen</v>
      </c>
      <c r="D3596" t="str">
        <f>_xlfn.XLOOKUP($B3596,sales_teams!$A$2:$A$36,sales_teams!C$2:C$36)</f>
        <v>Central</v>
      </c>
      <c r="E3596" t="s">
        <v>20</v>
      </c>
      <c r="F3596" t="s">
        <v>27</v>
      </c>
      <c r="G3596" t="s">
        <v>46</v>
      </c>
      <c r="H3596" s="1">
        <v>42887</v>
      </c>
      <c r="I3596" s="1">
        <v>43003</v>
      </c>
      <c r="J3596">
        <v>0</v>
      </c>
    </row>
    <row r="3597" spans="1:10" x14ac:dyDescent="0.3">
      <c r="A3597" t="s">
        <v>3728</v>
      </c>
      <c r="B3597" t="s">
        <v>97</v>
      </c>
      <c r="C3597" t="str">
        <f>_xlfn.XLOOKUP(B3597,
[1]sales_teams!$A$2:$A$100,
[1]sales_teams!$B$2:$B$100)</f>
        <v>Rocco Neubert</v>
      </c>
      <c r="D3597" t="str">
        <f>_xlfn.XLOOKUP($B3597,sales_teams!$A$2:$A$36,sales_teams!C$2:C$36)</f>
        <v>East</v>
      </c>
      <c r="E3597" t="s">
        <v>20</v>
      </c>
      <c r="F3597" t="s">
        <v>199</v>
      </c>
      <c r="G3597" t="s">
        <v>12</v>
      </c>
      <c r="H3597" s="1">
        <v>42887</v>
      </c>
      <c r="I3597" s="1">
        <v>42898</v>
      </c>
      <c r="J3597">
        <v>562</v>
      </c>
    </row>
    <row r="3598" spans="1:10" x14ac:dyDescent="0.3">
      <c r="A3598" t="s">
        <v>3729</v>
      </c>
      <c r="B3598" t="s">
        <v>57</v>
      </c>
      <c r="C3598" t="str">
        <f>_xlfn.XLOOKUP(B3598,
[1]sales_teams!$A$2:$A$100,
[1]sales_teams!$B$2:$B$100)</f>
        <v>Celia Rouche</v>
      </c>
      <c r="D3598" t="str">
        <f>_xlfn.XLOOKUP($B3598,sales_teams!$A$2:$A$36,sales_teams!C$2:C$36)</f>
        <v>West</v>
      </c>
      <c r="E3598" t="s">
        <v>18</v>
      </c>
      <c r="G3598" t="s">
        <v>40</v>
      </c>
      <c r="H3598" s="1">
        <v>42887</v>
      </c>
    </row>
    <row r="3599" spans="1:10" x14ac:dyDescent="0.3">
      <c r="A3599" t="s">
        <v>3730</v>
      </c>
      <c r="B3599" t="s">
        <v>88</v>
      </c>
      <c r="C3599" t="str">
        <f>_xlfn.XLOOKUP(B3599,
[1]sales_teams!$A$2:$A$100,
[1]sales_teams!$B$2:$B$100)</f>
        <v>Cara Losch</v>
      </c>
      <c r="D3599" t="str">
        <f>_xlfn.XLOOKUP($B3599,sales_teams!$A$2:$A$36,sales_teams!C$2:C$36)</f>
        <v>East</v>
      </c>
      <c r="E3599" t="s">
        <v>15</v>
      </c>
      <c r="F3599" t="s">
        <v>106</v>
      </c>
      <c r="G3599" t="s">
        <v>12</v>
      </c>
      <c r="H3599" s="1">
        <v>42887</v>
      </c>
      <c r="I3599" s="1">
        <v>42950</v>
      </c>
      <c r="J3599">
        <v>4686</v>
      </c>
    </row>
    <row r="3600" spans="1:10" x14ac:dyDescent="0.3">
      <c r="A3600" t="s">
        <v>3731</v>
      </c>
      <c r="B3600" t="s">
        <v>29</v>
      </c>
      <c r="C3600" t="str">
        <f>_xlfn.XLOOKUP(B3600,
[1]sales_teams!$A$2:$A$100,
[1]sales_teams!$B$2:$B$100)</f>
        <v>Celia Rouche</v>
      </c>
      <c r="D3600" t="str">
        <f>_xlfn.XLOOKUP($B3600,sales_teams!$A$2:$A$36,sales_teams!C$2:C$36)</f>
        <v>West</v>
      </c>
      <c r="E3600" t="s">
        <v>39</v>
      </c>
      <c r="F3600" t="s">
        <v>555</v>
      </c>
      <c r="G3600" t="s">
        <v>46</v>
      </c>
      <c r="H3600" s="1">
        <v>42887</v>
      </c>
      <c r="I3600" s="1">
        <v>42969</v>
      </c>
      <c r="J3600">
        <v>0</v>
      </c>
    </row>
    <row r="3601" spans="1:10" x14ac:dyDescent="0.3">
      <c r="A3601" t="s">
        <v>3732</v>
      </c>
      <c r="B3601" t="s">
        <v>73</v>
      </c>
      <c r="C3601" t="str">
        <f>_xlfn.XLOOKUP(B3601,
[1]sales_teams!$A$2:$A$100,
[1]sales_teams!$B$2:$B$100)</f>
        <v>Cara Losch</v>
      </c>
      <c r="D3601" t="str">
        <f>_xlfn.XLOOKUP($B3601,sales_teams!$A$2:$A$36,sales_teams!C$2:C$36)</f>
        <v>East</v>
      </c>
      <c r="E3601" t="s">
        <v>18</v>
      </c>
      <c r="F3601" t="s">
        <v>140</v>
      </c>
      <c r="G3601" t="s">
        <v>12</v>
      </c>
      <c r="H3601" s="1">
        <v>42887</v>
      </c>
      <c r="I3601" s="1">
        <v>42980</v>
      </c>
      <c r="J3601">
        <v>38</v>
      </c>
    </row>
    <row r="3602" spans="1:10" x14ac:dyDescent="0.3">
      <c r="A3602" t="s">
        <v>3733</v>
      </c>
      <c r="B3602" t="s">
        <v>23</v>
      </c>
      <c r="C3602" t="str">
        <f>_xlfn.XLOOKUP(B3602,
[1]sales_teams!$A$2:$A$100,
[1]sales_teams!$B$2:$B$100)</f>
        <v>Summer Sewald</v>
      </c>
      <c r="D3602" t="str">
        <f>_xlfn.XLOOKUP($B3602,sales_teams!$A$2:$A$36,sales_teams!C$2:C$36)</f>
        <v>West</v>
      </c>
      <c r="E3602" t="s">
        <v>39</v>
      </c>
      <c r="F3602" t="s">
        <v>55</v>
      </c>
      <c r="G3602" t="s">
        <v>12</v>
      </c>
      <c r="H3602" s="1">
        <v>42887</v>
      </c>
      <c r="I3602" s="1">
        <v>42952</v>
      </c>
      <c r="J3602">
        <v>3184</v>
      </c>
    </row>
    <row r="3603" spans="1:10" x14ac:dyDescent="0.3">
      <c r="A3603" t="s">
        <v>3734</v>
      </c>
      <c r="B3603" t="s">
        <v>26</v>
      </c>
      <c r="C3603" t="str">
        <f>_xlfn.XLOOKUP(B3603,
[1]sales_teams!$A$2:$A$100,
[1]sales_teams!$B$2:$B$100)</f>
        <v>Dustin Brinkmann</v>
      </c>
      <c r="D3603" t="str">
        <f>_xlfn.XLOOKUP($B3603,sales_teams!$A$2:$A$36,sales_teams!C$2:C$36)</f>
        <v>Central</v>
      </c>
      <c r="E3603" t="s">
        <v>48</v>
      </c>
      <c r="F3603" t="s">
        <v>126</v>
      </c>
      <c r="G3603" t="s">
        <v>12</v>
      </c>
      <c r="H3603" s="1">
        <v>42888</v>
      </c>
      <c r="I3603" s="1">
        <v>42995</v>
      </c>
      <c r="J3603">
        <v>5373</v>
      </c>
    </row>
    <row r="3604" spans="1:10" x14ac:dyDescent="0.3">
      <c r="A3604" t="s">
        <v>3735</v>
      </c>
      <c r="B3604" t="s">
        <v>139</v>
      </c>
      <c r="C3604" t="str">
        <f>_xlfn.XLOOKUP(B3604,
[1]sales_teams!$A$2:$A$100,
[1]sales_teams!$B$2:$B$100)</f>
        <v>Rocco Neubert</v>
      </c>
      <c r="D3604" t="str">
        <f>_xlfn.XLOOKUP($B3604,sales_teams!$A$2:$A$36,sales_teams!C$2:C$36)</f>
        <v>East</v>
      </c>
      <c r="E3604" t="s">
        <v>10</v>
      </c>
      <c r="F3604" t="s">
        <v>745</v>
      </c>
      <c r="G3604" t="s">
        <v>12</v>
      </c>
      <c r="H3604" s="1">
        <v>42888</v>
      </c>
      <c r="I3604" s="1">
        <v>42983</v>
      </c>
      <c r="J3604">
        <v>1239</v>
      </c>
    </row>
    <row r="3605" spans="1:10" x14ac:dyDescent="0.3">
      <c r="A3605" t="s">
        <v>3736</v>
      </c>
      <c r="B3605" t="s">
        <v>118</v>
      </c>
      <c r="C3605" t="str">
        <f>_xlfn.XLOOKUP(B3605,
[1]sales_teams!$A$2:$A$100,
[1]sales_teams!$B$2:$B$100)</f>
        <v>Rocco Neubert</v>
      </c>
      <c r="D3605" t="str">
        <f>_xlfn.XLOOKUP($B3605,sales_teams!$A$2:$A$36,sales_teams!C$2:C$36)</f>
        <v>East</v>
      </c>
      <c r="E3605" t="s">
        <v>39</v>
      </c>
      <c r="G3605" t="s">
        <v>40</v>
      </c>
      <c r="H3605" s="1">
        <v>42888</v>
      </c>
    </row>
    <row r="3606" spans="1:10" x14ac:dyDescent="0.3">
      <c r="A3606" t="s">
        <v>3737</v>
      </c>
      <c r="B3606" t="s">
        <v>202</v>
      </c>
      <c r="C3606" t="str">
        <f>_xlfn.XLOOKUP(B3606,
[1]sales_teams!$A$2:$A$100,
[1]sales_teams!$B$2:$B$100)</f>
        <v>Dustin Brinkmann</v>
      </c>
      <c r="D3606" t="str">
        <f>_xlfn.XLOOKUP($B3606,sales_teams!$A$2:$A$36,sales_teams!C$2:C$36)</f>
        <v>Central</v>
      </c>
      <c r="E3606" t="s">
        <v>39</v>
      </c>
      <c r="F3606" t="s">
        <v>16</v>
      </c>
      <c r="G3606" t="s">
        <v>46</v>
      </c>
      <c r="H3606" s="1">
        <v>42888</v>
      </c>
      <c r="I3606" s="1">
        <v>42904</v>
      </c>
      <c r="J3606">
        <v>0</v>
      </c>
    </row>
    <row r="3607" spans="1:10" x14ac:dyDescent="0.3">
      <c r="A3607" t="s">
        <v>3738</v>
      </c>
      <c r="B3607" t="s">
        <v>202</v>
      </c>
      <c r="C3607" t="str">
        <f>_xlfn.XLOOKUP(B3607,
[1]sales_teams!$A$2:$A$100,
[1]sales_teams!$B$2:$B$100)</f>
        <v>Dustin Brinkmann</v>
      </c>
      <c r="D3607" t="str">
        <f>_xlfn.XLOOKUP($B3607,sales_teams!$A$2:$A$36,sales_teams!C$2:C$36)</f>
        <v>Central</v>
      </c>
      <c r="E3607" t="s">
        <v>18</v>
      </c>
      <c r="F3607" t="s">
        <v>492</v>
      </c>
      <c r="G3607" t="s">
        <v>12</v>
      </c>
      <c r="H3607" s="1">
        <v>42888</v>
      </c>
      <c r="I3607" s="1">
        <v>42898</v>
      </c>
      <c r="J3607">
        <v>52</v>
      </c>
    </row>
    <row r="3608" spans="1:10" x14ac:dyDescent="0.3">
      <c r="A3608" t="s">
        <v>3739</v>
      </c>
      <c r="B3608" t="s">
        <v>164</v>
      </c>
      <c r="C3608" t="str">
        <f>_xlfn.XLOOKUP(B3608,
[1]sales_teams!$A$2:$A$100,
[1]sales_teams!$B$2:$B$100)</f>
        <v>Cara Losch</v>
      </c>
      <c r="D3608" t="str">
        <f>_xlfn.XLOOKUP($B3608,sales_teams!$A$2:$A$36,sales_teams!C$2:C$36)</f>
        <v>East</v>
      </c>
      <c r="E3608" t="s">
        <v>20</v>
      </c>
      <c r="F3608" t="s">
        <v>81</v>
      </c>
      <c r="G3608" t="s">
        <v>12</v>
      </c>
      <c r="H3608" s="1">
        <v>42888</v>
      </c>
      <c r="I3608" s="1">
        <v>42997</v>
      </c>
      <c r="J3608">
        <v>651</v>
      </c>
    </row>
    <row r="3609" spans="1:10" x14ac:dyDescent="0.3">
      <c r="A3609" t="s">
        <v>3740</v>
      </c>
      <c r="B3609" t="s">
        <v>14</v>
      </c>
      <c r="C3609" t="str">
        <f>_xlfn.XLOOKUP(B3609,
[1]sales_teams!$A$2:$A$100,
[1]sales_teams!$B$2:$B$100)</f>
        <v>Melvin Marxen</v>
      </c>
      <c r="D3609" t="str">
        <f>_xlfn.XLOOKUP($B3609,sales_teams!$A$2:$A$36,sales_teams!C$2:C$36)</f>
        <v>Central</v>
      </c>
      <c r="E3609" t="s">
        <v>48</v>
      </c>
      <c r="F3609" t="s">
        <v>91</v>
      </c>
      <c r="G3609" t="s">
        <v>12</v>
      </c>
      <c r="H3609" s="1">
        <v>42888</v>
      </c>
      <c r="I3609" s="1">
        <v>42949</v>
      </c>
      <c r="J3609">
        <v>6026</v>
      </c>
    </row>
    <row r="3610" spans="1:10" x14ac:dyDescent="0.3">
      <c r="A3610" t="s">
        <v>3741</v>
      </c>
      <c r="B3610" t="s">
        <v>38</v>
      </c>
      <c r="C3610" t="str">
        <f>_xlfn.XLOOKUP(B3610,
[1]sales_teams!$A$2:$A$100,
[1]sales_teams!$B$2:$B$100)</f>
        <v>Summer Sewald</v>
      </c>
      <c r="D3610" t="str">
        <f>_xlfn.XLOOKUP($B3610,sales_teams!$A$2:$A$36,sales_teams!C$2:C$36)</f>
        <v>West</v>
      </c>
      <c r="E3610" t="s">
        <v>39</v>
      </c>
      <c r="G3610" t="s">
        <v>40</v>
      </c>
      <c r="H3610" s="1">
        <v>42888</v>
      </c>
    </row>
    <row r="3611" spans="1:10" x14ac:dyDescent="0.3">
      <c r="A3611" t="s">
        <v>3742</v>
      </c>
      <c r="B3611" t="s">
        <v>38</v>
      </c>
      <c r="C3611" t="str">
        <f>_xlfn.XLOOKUP(B3611,
[1]sales_teams!$A$2:$A$100,
[1]sales_teams!$B$2:$B$100)</f>
        <v>Summer Sewald</v>
      </c>
      <c r="D3611" t="str">
        <f>_xlfn.XLOOKUP($B3611,sales_teams!$A$2:$A$36,sales_teams!C$2:C$36)</f>
        <v>West</v>
      </c>
      <c r="E3611" t="s">
        <v>48</v>
      </c>
      <c r="F3611" t="s">
        <v>100</v>
      </c>
      <c r="G3611" t="s">
        <v>12</v>
      </c>
      <c r="H3611" s="1">
        <v>42888</v>
      </c>
      <c r="I3611" s="1">
        <v>42983</v>
      </c>
      <c r="J3611">
        <v>5569</v>
      </c>
    </row>
    <row r="3612" spans="1:10" x14ac:dyDescent="0.3">
      <c r="A3612" t="s">
        <v>3743</v>
      </c>
      <c r="B3612" t="s">
        <v>252</v>
      </c>
      <c r="C3612" t="str">
        <f>_xlfn.XLOOKUP(B3612,
[1]sales_teams!$A$2:$A$100,
[1]sales_teams!$B$2:$B$100)</f>
        <v>Melvin Marxen</v>
      </c>
      <c r="D3612" t="str">
        <f>_xlfn.XLOOKUP($B3612,sales_teams!$A$2:$A$36,sales_teams!C$2:C$36)</f>
        <v>Central</v>
      </c>
      <c r="E3612" t="s">
        <v>20</v>
      </c>
      <c r="F3612" t="s">
        <v>197</v>
      </c>
      <c r="G3612" t="s">
        <v>46</v>
      </c>
      <c r="H3612" s="1">
        <v>42888</v>
      </c>
      <c r="I3612" s="1">
        <v>42972</v>
      </c>
      <c r="J3612">
        <v>0</v>
      </c>
    </row>
    <row r="3613" spans="1:10" x14ac:dyDescent="0.3">
      <c r="A3613" t="s">
        <v>3744</v>
      </c>
      <c r="B3613" t="s">
        <v>252</v>
      </c>
      <c r="C3613" t="str">
        <f>_xlfn.XLOOKUP(B3613,
[1]sales_teams!$A$2:$A$100,
[1]sales_teams!$B$2:$B$100)</f>
        <v>Melvin Marxen</v>
      </c>
      <c r="D3613" t="str">
        <f>_xlfn.XLOOKUP($B3613,sales_teams!$A$2:$A$36,sales_teams!C$2:C$36)</f>
        <v>Central</v>
      </c>
      <c r="E3613" t="s">
        <v>20</v>
      </c>
      <c r="F3613" t="s">
        <v>315</v>
      </c>
      <c r="G3613" t="s">
        <v>12</v>
      </c>
      <c r="H3613" s="1">
        <v>42888</v>
      </c>
      <c r="I3613" s="1">
        <v>42982</v>
      </c>
      <c r="J3613">
        <v>519</v>
      </c>
    </row>
    <row r="3614" spans="1:10" x14ac:dyDescent="0.3">
      <c r="A3614" t="s">
        <v>3745</v>
      </c>
      <c r="B3614" t="s">
        <v>78</v>
      </c>
      <c r="C3614" t="str">
        <f>_xlfn.XLOOKUP(B3614,
[1]sales_teams!$A$2:$A$100,
[1]sales_teams!$B$2:$B$100)</f>
        <v>Summer Sewald</v>
      </c>
      <c r="D3614" t="str">
        <f>_xlfn.XLOOKUP($B3614,sales_teams!$A$2:$A$36,sales_teams!C$2:C$36)</f>
        <v>West</v>
      </c>
      <c r="E3614" t="s">
        <v>20</v>
      </c>
      <c r="F3614" t="s">
        <v>59</v>
      </c>
      <c r="G3614" t="s">
        <v>12</v>
      </c>
      <c r="H3614" s="1">
        <v>42888</v>
      </c>
      <c r="I3614" s="1">
        <v>42983</v>
      </c>
      <c r="J3614">
        <v>558</v>
      </c>
    </row>
    <row r="3615" spans="1:10" x14ac:dyDescent="0.3">
      <c r="A3615" t="s">
        <v>3746</v>
      </c>
      <c r="B3615" t="s">
        <v>95</v>
      </c>
      <c r="C3615" t="str">
        <f>_xlfn.XLOOKUP(B3615,
[1]sales_teams!$A$2:$A$100,
[1]sales_teams!$B$2:$B$100)</f>
        <v>Summer Sewald</v>
      </c>
      <c r="D3615" t="str">
        <f>_xlfn.XLOOKUP($B3615,sales_teams!$A$2:$A$36,sales_teams!C$2:C$36)</f>
        <v>West</v>
      </c>
      <c r="E3615" t="s">
        <v>20</v>
      </c>
      <c r="F3615" t="s">
        <v>52</v>
      </c>
      <c r="G3615" t="s">
        <v>12</v>
      </c>
      <c r="H3615" s="1">
        <v>42888</v>
      </c>
      <c r="I3615" s="1">
        <v>42983</v>
      </c>
      <c r="J3615">
        <v>523</v>
      </c>
    </row>
    <row r="3616" spans="1:10" x14ac:dyDescent="0.3">
      <c r="A3616" t="s">
        <v>3747</v>
      </c>
      <c r="B3616" t="s">
        <v>95</v>
      </c>
      <c r="C3616" t="str">
        <f>_xlfn.XLOOKUP(B3616,
[1]sales_teams!$A$2:$A$100,
[1]sales_teams!$B$2:$B$100)</f>
        <v>Summer Sewald</v>
      </c>
      <c r="D3616" t="str">
        <f>_xlfn.XLOOKUP($B3616,sales_teams!$A$2:$A$36,sales_teams!C$2:C$36)</f>
        <v>West</v>
      </c>
      <c r="E3616" t="s">
        <v>15</v>
      </c>
      <c r="F3616" t="s">
        <v>59</v>
      </c>
      <c r="G3616" t="s">
        <v>12</v>
      </c>
      <c r="H3616" s="1">
        <v>42888</v>
      </c>
      <c r="I3616" s="1">
        <v>42967</v>
      </c>
      <c r="J3616">
        <v>4869</v>
      </c>
    </row>
    <row r="3617" spans="1:10" x14ac:dyDescent="0.3">
      <c r="A3617" t="s">
        <v>3748</v>
      </c>
      <c r="B3617" t="s">
        <v>133</v>
      </c>
      <c r="C3617" t="str">
        <f>_xlfn.XLOOKUP(B3617,
[1]sales_teams!$A$2:$A$100,
[1]sales_teams!$B$2:$B$100)</f>
        <v>Dustin Brinkmann</v>
      </c>
      <c r="D3617" t="str">
        <f>_xlfn.XLOOKUP($B3617,sales_teams!$A$2:$A$36,sales_teams!C$2:C$36)</f>
        <v>Central</v>
      </c>
      <c r="E3617" t="s">
        <v>18</v>
      </c>
      <c r="F3617" t="s">
        <v>135</v>
      </c>
      <c r="G3617" t="s">
        <v>46</v>
      </c>
      <c r="H3617" s="1">
        <v>42888</v>
      </c>
      <c r="I3617" s="1">
        <v>42949</v>
      </c>
      <c r="J3617">
        <v>0</v>
      </c>
    </row>
    <row r="3618" spans="1:10" x14ac:dyDescent="0.3">
      <c r="A3618" t="s">
        <v>3749</v>
      </c>
      <c r="B3618" t="s">
        <v>133</v>
      </c>
      <c r="C3618" t="str">
        <f>_xlfn.XLOOKUP(B3618,
[1]sales_teams!$A$2:$A$100,
[1]sales_teams!$B$2:$B$100)</f>
        <v>Dustin Brinkmann</v>
      </c>
      <c r="D3618" t="str">
        <f>_xlfn.XLOOKUP($B3618,sales_teams!$A$2:$A$36,sales_teams!C$2:C$36)</f>
        <v>Central</v>
      </c>
      <c r="E3618" t="s">
        <v>20</v>
      </c>
      <c r="F3618" t="s">
        <v>111</v>
      </c>
      <c r="G3618" t="s">
        <v>12</v>
      </c>
      <c r="H3618" s="1">
        <v>42888</v>
      </c>
      <c r="I3618" s="1">
        <v>42956</v>
      </c>
      <c r="J3618">
        <v>588</v>
      </c>
    </row>
    <row r="3619" spans="1:10" x14ac:dyDescent="0.3">
      <c r="A3619" t="s">
        <v>3750</v>
      </c>
      <c r="B3619" t="s">
        <v>116</v>
      </c>
      <c r="C3619" t="str">
        <f>_xlfn.XLOOKUP(B3619,
[1]sales_teams!$A$2:$A$100,
[1]sales_teams!$B$2:$B$100)</f>
        <v>Melvin Marxen</v>
      </c>
      <c r="D3619" t="str">
        <f>_xlfn.XLOOKUP($B3619,sales_teams!$A$2:$A$36,sales_teams!C$2:C$36)</f>
        <v>Central</v>
      </c>
      <c r="E3619" t="s">
        <v>48</v>
      </c>
      <c r="F3619" t="s">
        <v>218</v>
      </c>
      <c r="G3619" t="s">
        <v>12</v>
      </c>
      <c r="H3619" s="1">
        <v>42888</v>
      </c>
      <c r="I3619" s="1">
        <v>42968</v>
      </c>
      <c r="J3619">
        <v>5712</v>
      </c>
    </row>
    <row r="3620" spans="1:10" x14ac:dyDescent="0.3">
      <c r="A3620" t="s">
        <v>3751</v>
      </c>
      <c r="B3620" t="s">
        <v>51</v>
      </c>
      <c r="C3620" t="str">
        <f>_xlfn.XLOOKUP(B3620,
[1]sales_teams!$A$2:$A$100,
[1]sales_teams!$B$2:$B$100)</f>
        <v>Summer Sewald</v>
      </c>
      <c r="D3620" t="str">
        <f>_xlfn.XLOOKUP($B3620,sales_teams!$A$2:$A$36,sales_teams!C$2:C$36)</f>
        <v>West</v>
      </c>
      <c r="E3620" t="s">
        <v>10</v>
      </c>
      <c r="F3620" t="s">
        <v>122</v>
      </c>
      <c r="G3620" t="s">
        <v>12</v>
      </c>
      <c r="H3620" s="1">
        <v>42888</v>
      </c>
      <c r="I3620" s="1">
        <v>42976</v>
      </c>
      <c r="J3620">
        <v>1046</v>
      </c>
    </row>
    <row r="3621" spans="1:10" x14ac:dyDescent="0.3">
      <c r="A3621" t="s">
        <v>3752</v>
      </c>
      <c r="B3621" t="s">
        <v>51</v>
      </c>
      <c r="C3621" t="str">
        <f>_xlfn.XLOOKUP(B3621,
[1]sales_teams!$A$2:$A$100,
[1]sales_teams!$B$2:$B$100)</f>
        <v>Summer Sewald</v>
      </c>
      <c r="D3621" t="str">
        <f>_xlfn.XLOOKUP($B3621,sales_teams!$A$2:$A$36,sales_teams!C$2:C$36)</f>
        <v>West</v>
      </c>
      <c r="E3621" t="s">
        <v>18</v>
      </c>
      <c r="F3621" t="s">
        <v>273</v>
      </c>
      <c r="G3621" t="s">
        <v>12</v>
      </c>
      <c r="H3621" s="1">
        <v>42888</v>
      </c>
      <c r="I3621" s="1">
        <v>42964</v>
      </c>
      <c r="J3621">
        <v>54</v>
      </c>
    </row>
    <row r="3622" spans="1:10" x14ac:dyDescent="0.3">
      <c r="A3622" t="s">
        <v>3753</v>
      </c>
      <c r="B3622" t="s">
        <v>97</v>
      </c>
      <c r="C3622" t="str">
        <f>_xlfn.XLOOKUP(B3622,
[1]sales_teams!$A$2:$A$100,
[1]sales_teams!$B$2:$B$100)</f>
        <v>Rocco Neubert</v>
      </c>
      <c r="D3622" t="str">
        <f>_xlfn.XLOOKUP($B3622,sales_teams!$A$2:$A$36,sales_teams!C$2:C$36)</f>
        <v>East</v>
      </c>
      <c r="E3622" t="s">
        <v>15</v>
      </c>
      <c r="F3622" t="s">
        <v>65</v>
      </c>
      <c r="G3622" t="s">
        <v>12</v>
      </c>
      <c r="H3622" s="1">
        <v>42888</v>
      </c>
      <c r="I3622" s="1">
        <v>42959</v>
      </c>
      <c r="J3622">
        <v>4933</v>
      </c>
    </row>
    <row r="3623" spans="1:10" x14ac:dyDescent="0.3">
      <c r="A3623" t="s">
        <v>3754</v>
      </c>
      <c r="B3623" t="s">
        <v>97</v>
      </c>
      <c r="C3623" t="str">
        <f>_xlfn.XLOOKUP(B3623,
[1]sales_teams!$A$2:$A$100,
[1]sales_teams!$B$2:$B$100)</f>
        <v>Rocco Neubert</v>
      </c>
      <c r="D3623" t="str">
        <f>_xlfn.XLOOKUP($B3623,sales_teams!$A$2:$A$36,sales_teams!C$2:C$36)</f>
        <v>East</v>
      </c>
      <c r="E3623" t="s">
        <v>18</v>
      </c>
      <c r="F3623" t="s">
        <v>189</v>
      </c>
      <c r="G3623" t="s">
        <v>12</v>
      </c>
      <c r="H3623" s="1">
        <v>42888</v>
      </c>
      <c r="I3623" s="1">
        <v>43004</v>
      </c>
      <c r="J3623">
        <v>60</v>
      </c>
    </row>
    <row r="3624" spans="1:10" x14ac:dyDescent="0.3">
      <c r="A3624" t="s">
        <v>3755</v>
      </c>
      <c r="B3624" t="s">
        <v>73</v>
      </c>
      <c r="C3624" t="str">
        <f>_xlfn.XLOOKUP(B3624,
[1]sales_teams!$A$2:$A$100,
[1]sales_teams!$B$2:$B$100)</f>
        <v>Cara Losch</v>
      </c>
      <c r="D3624" t="str">
        <f>_xlfn.XLOOKUP($B3624,sales_teams!$A$2:$A$36,sales_teams!C$2:C$36)</f>
        <v>East</v>
      </c>
      <c r="E3624" t="s">
        <v>15</v>
      </c>
      <c r="F3624" t="s">
        <v>300</v>
      </c>
      <c r="G3624" t="s">
        <v>40</v>
      </c>
      <c r="H3624" s="1">
        <v>42888</v>
      </c>
    </row>
    <row r="3625" spans="1:10" x14ac:dyDescent="0.3">
      <c r="A3625" t="s">
        <v>3756</v>
      </c>
      <c r="B3625" t="s">
        <v>73</v>
      </c>
      <c r="C3625" t="str">
        <f>_xlfn.XLOOKUP(B3625,
[1]sales_teams!$A$2:$A$100,
[1]sales_teams!$B$2:$B$100)</f>
        <v>Cara Losch</v>
      </c>
      <c r="D3625" t="str">
        <f>_xlfn.XLOOKUP($B3625,sales_teams!$A$2:$A$36,sales_teams!C$2:C$36)</f>
        <v>East</v>
      </c>
      <c r="E3625" t="s">
        <v>20</v>
      </c>
      <c r="F3625" t="s">
        <v>143</v>
      </c>
      <c r="G3625" t="s">
        <v>12</v>
      </c>
      <c r="H3625" s="1">
        <v>42888</v>
      </c>
      <c r="I3625" s="1">
        <v>42990</v>
      </c>
      <c r="J3625">
        <v>572</v>
      </c>
    </row>
    <row r="3626" spans="1:10" x14ac:dyDescent="0.3">
      <c r="A3626" t="s">
        <v>3757</v>
      </c>
      <c r="B3626" t="s">
        <v>73</v>
      </c>
      <c r="C3626" t="str">
        <f>_xlfn.XLOOKUP(B3626,
[1]sales_teams!$A$2:$A$100,
[1]sales_teams!$B$2:$B$100)</f>
        <v>Cara Losch</v>
      </c>
      <c r="D3626" t="str">
        <f>_xlfn.XLOOKUP($B3626,sales_teams!$A$2:$A$36,sales_teams!C$2:C$36)</f>
        <v>East</v>
      </c>
      <c r="E3626" t="s">
        <v>18</v>
      </c>
      <c r="F3626" t="s">
        <v>218</v>
      </c>
      <c r="G3626" t="s">
        <v>12</v>
      </c>
      <c r="H3626" s="1">
        <v>42888</v>
      </c>
      <c r="I3626" s="1">
        <v>42977</v>
      </c>
      <c r="J3626">
        <v>55</v>
      </c>
    </row>
    <row r="3627" spans="1:10" x14ac:dyDescent="0.3">
      <c r="A3627" t="s">
        <v>3758</v>
      </c>
      <c r="B3627" t="s">
        <v>73</v>
      </c>
      <c r="C3627" t="str">
        <f>_xlfn.XLOOKUP(B3627,
[1]sales_teams!$A$2:$A$100,
[1]sales_teams!$B$2:$B$100)</f>
        <v>Cara Losch</v>
      </c>
      <c r="D3627" t="str">
        <f>_xlfn.XLOOKUP($B3627,sales_teams!$A$2:$A$36,sales_teams!C$2:C$36)</f>
        <v>East</v>
      </c>
      <c r="E3627" t="s">
        <v>18</v>
      </c>
      <c r="F3627" t="s">
        <v>65</v>
      </c>
      <c r="G3627" t="s">
        <v>12</v>
      </c>
      <c r="H3627" s="1">
        <v>42888</v>
      </c>
      <c r="I3627" s="1">
        <v>42969</v>
      </c>
      <c r="J3627">
        <v>51</v>
      </c>
    </row>
    <row r="3628" spans="1:10" x14ac:dyDescent="0.3">
      <c r="A3628" t="s">
        <v>3759</v>
      </c>
      <c r="B3628" t="s">
        <v>118</v>
      </c>
      <c r="C3628" t="str">
        <f>_xlfn.XLOOKUP(B3628,
[1]sales_teams!$A$2:$A$100,
[1]sales_teams!$B$2:$B$100)</f>
        <v>Rocco Neubert</v>
      </c>
      <c r="D3628" t="str">
        <f>_xlfn.XLOOKUP($B3628,sales_teams!$A$2:$A$36,sales_teams!C$2:C$36)</f>
        <v>East</v>
      </c>
      <c r="E3628" t="s">
        <v>48</v>
      </c>
      <c r="F3628" t="s">
        <v>74</v>
      </c>
      <c r="G3628" t="s">
        <v>46</v>
      </c>
      <c r="H3628" s="1">
        <v>42889</v>
      </c>
      <c r="I3628" s="1">
        <v>42971</v>
      </c>
      <c r="J3628">
        <v>0</v>
      </c>
    </row>
    <row r="3629" spans="1:10" x14ac:dyDescent="0.3">
      <c r="A3629" t="s">
        <v>3760</v>
      </c>
      <c r="B3629" t="s">
        <v>118</v>
      </c>
      <c r="C3629" t="str">
        <f>_xlfn.XLOOKUP(B3629,
[1]sales_teams!$A$2:$A$100,
[1]sales_teams!$B$2:$B$100)</f>
        <v>Rocco Neubert</v>
      </c>
      <c r="D3629" t="str">
        <f>_xlfn.XLOOKUP($B3629,sales_teams!$A$2:$A$36,sales_teams!C$2:C$36)</f>
        <v>East</v>
      </c>
      <c r="E3629" t="s">
        <v>18</v>
      </c>
      <c r="F3629" t="s">
        <v>140</v>
      </c>
      <c r="G3629" t="s">
        <v>12</v>
      </c>
      <c r="H3629" s="1">
        <v>42889</v>
      </c>
      <c r="I3629" s="1">
        <v>42978</v>
      </c>
      <c r="J3629">
        <v>59</v>
      </c>
    </row>
    <row r="3630" spans="1:10" x14ac:dyDescent="0.3">
      <c r="A3630" t="s">
        <v>3761</v>
      </c>
      <c r="B3630" t="s">
        <v>64</v>
      </c>
      <c r="C3630" t="str">
        <f>_xlfn.XLOOKUP(B3630,
[1]sales_teams!$A$2:$A$100,
[1]sales_teams!$B$2:$B$100)</f>
        <v>Rocco Neubert</v>
      </c>
      <c r="D3630" t="str">
        <f>_xlfn.XLOOKUP($B3630,sales_teams!$A$2:$A$36,sales_teams!C$2:C$36)</f>
        <v>East</v>
      </c>
      <c r="E3630" t="s">
        <v>15</v>
      </c>
      <c r="F3630" t="s">
        <v>204</v>
      </c>
      <c r="G3630" t="s">
        <v>12</v>
      </c>
      <c r="H3630" s="1">
        <v>42889</v>
      </c>
      <c r="I3630" s="1">
        <v>42892</v>
      </c>
      <c r="J3630">
        <v>4492</v>
      </c>
    </row>
    <row r="3631" spans="1:10" x14ac:dyDescent="0.3">
      <c r="A3631" t="s">
        <v>3762</v>
      </c>
      <c r="B3631" t="s">
        <v>14</v>
      </c>
      <c r="C3631" t="str">
        <f>_xlfn.XLOOKUP(B3631,
[1]sales_teams!$A$2:$A$100,
[1]sales_teams!$B$2:$B$100)</f>
        <v>Melvin Marxen</v>
      </c>
      <c r="D3631" t="str">
        <f>_xlfn.XLOOKUP($B3631,sales_teams!$A$2:$A$36,sales_teams!C$2:C$36)</f>
        <v>Central</v>
      </c>
      <c r="E3631" t="s">
        <v>20</v>
      </c>
      <c r="F3631" t="s">
        <v>62</v>
      </c>
      <c r="G3631" t="s">
        <v>46</v>
      </c>
      <c r="H3631" s="1">
        <v>42889</v>
      </c>
      <c r="I3631" s="1">
        <v>42950</v>
      </c>
      <c r="J3631">
        <v>0</v>
      </c>
    </row>
    <row r="3632" spans="1:10" x14ac:dyDescent="0.3">
      <c r="A3632" t="s">
        <v>3763</v>
      </c>
      <c r="B3632" t="s">
        <v>14</v>
      </c>
      <c r="C3632" t="str">
        <f>_xlfn.XLOOKUP(B3632,
[1]sales_teams!$A$2:$A$100,
[1]sales_teams!$B$2:$B$100)</f>
        <v>Melvin Marxen</v>
      </c>
      <c r="D3632" t="str">
        <f>_xlfn.XLOOKUP($B3632,sales_teams!$A$2:$A$36,sales_teams!C$2:C$36)</f>
        <v>Central</v>
      </c>
      <c r="E3632" t="s">
        <v>15</v>
      </c>
      <c r="F3632" t="s">
        <v>21</v>
      </c>
      <c r="G3632" t="s">
        <v>46</v>
      </c>
      <c r="H3632" s="1">
        <v>42889</v>
      </c>
      <c r="I3632" s="1">
        <v>42976</v>
      </c>
      <c r="J3632">
        <v>0</v>
      </c>
    </row>
    <row r="3633" spans="1:10" x14ac:dyDescent="0.3">
      <c r="A3633" t="s">
        <v>3764</v>
      </c>
      <c r="B3633" t="s">
        <v>142</v>
      </c>
      <c r="C3633" t="str">
        <f>_xlfn.XLOOKUP(B3633,
[1]sales_teams!$A$2:$A$100,
[1]sales_teams!$B$2:$B$100)</f>
        <v>Rocco Neubert</v>
      </c>
      <c r="D3633" t="str">
        <f>_xlfn.XLOOKUP($B3633,sales_teams!$A$2:$A$36,sales_teams!C$2:C$36)</f>
        <v>East</v>
      </c>
      <c r="E3633" t="s">
        <v>39</v>
      </c>
      <c r="F3633" t="s">
        <v>300</v>
      </c>
      <c r="G3633" t="s">
        <v>46</v>
      </c>
      <c r="H3633" s="1">
        <v>42889</v>
      </c>
      <c r="I3633" s="1">
        <v>42974</v>
      </c>
      <c r="J3633">
        <v>0</v>
      </c>
    </row>
    <row r="3634" spans="1:10" x14ac:dyDescent="0.3">
      <c r="A3634" t="s">
        <v>3765</v>
      </c>
      <c r="B3634" t="s">
        <v>38</v>
      </c>
      <c r="C3634" t="str">
        <f>_xlfn.XLOOKUP(B3634,
[1]sales_teams!$A$2:$A$100,
[1]sales_teams!$B$2:$B$100)</f>
        <v>Summer Sewald</v>
      </c>
      <c r="D3634" t="str">
        <f>_xlfn.XLOOKUP($B3634,sales_teams!$A$2:$A$36,sales_teams!C$2:C$36)</f>
        <v>West</v>
      </c>
      <c r="E3634" t="s">
        <v>20</v>
      </c>
      <c r="F3634" t="s">
        <v>124</v>
      </c>
      <c r="G3634" t="s">
        <v>46</v>
      </c>
      <c r="H3634" s="1">
        <v>42889</v>
      </c>
      <c r="I3634" s="1">
        <v>42959</v>
      </c>
      <c r="J3634">
        <v>0</v>
      </c>
    </row>
    <row r="3635" spans="1:10" x14ac:dyDescent="0.3">
      <c r="A3635" t="s">
        <v>3766</v>
      </c>
      <c r="B3635" t="s">
        <v>38</v>
      </c>
      <c r="C3635" t="str">
        <f>_xlfn.XLOOKUP(B3635,
[1]sales_teams!$A$2:$A$100,
[1]sales_teams!$B$2:$B$100)</f>
        <v>Summer Sewald</v>
      </c>
      <c r="D3635" t="str">
        <f>_xlfn.XLOOKUP($B3635,sales_teams!$A$2:$A$36,sales_teams!C$2:C$36)</f>
        <v>West</v>
      </c>
      <c r="E3635" t="s">
        <v>15</v>
      </c>
      <c r="F3635" t="s">
        <v>70</v>
      </c>
      <c r="G3635" t="s">
        <v>46</v>
      </c>
      <c r="H3635" s="1">
        <v>42889</v>
      </c>
      <c r="I3635" s="1">
        <v>42953</v>
      </c>
      <c r="J3635">
        <v>0</v>
      </c>
    </row>
    <row r="3636" spans="1:10" x14ac:dyDescent="0.3">
      <c r="A3636" t="s">
        <v>3767</v>
      </c>
      <c r="B3636" t="s">
        <v>252</v>
      </c>
      <c r="C3636" t="str">
        <f>_xlfn.XLOOKUP(B3636,
[1]sales_teams!$A$2:$A$100,
[1]sales_teams!$B$2:$B$100)</f>
        <v>Melvin Marxen</v>
      </c>
      <c r="D3636" t="str">
        <f>_xlfn.XLOOKUP($B3636,sales_teams!$A$2:$A$36,sales_teams!C$2:C$36)</f>
        <v>Central</v>
      </c>
      <c r="E3636" t="s">
        <v>20</v>
      </c>
      <c r="F3636" t="s">
        <v>62</v>
      </c>
      <c r="G3636" t="s">
        <v>12</v>
      </c>
      <c r="H3636" s="1">
        <v>42889</v>
      </c>
      <c r="I3636" s="1">
        <v>42908</v>
      </c>
      <c r="J3636">
        <v>639</v>
      </c>
    </row>
    <row r="3637" spans="1:10" x14ac:dyDescent="0.3">
      <c r="A3637" t="s">
        <v>3768</v>
      </c>
      <c r="B3637" t="s">
        <v>252</v>
      </c>
      <c r="C3637" t="str">
        <f>_xlfn.XLOOKUP(B3637,
[1]sales_teams!$A$2:$A$100,
[1]sales_teams!$B$2:$B$100)</f>
        <v>Melvin Marxen</v>
      </c>
      <c r="D3637" t="str">
        <f>_xlfn.XLOOKUP($B3637,sales_teams!$A$2:$A$36,sales_teams!C$2:C$36)</f>
        <v>Central</v>
      </c>
      <c r="E3637" t="s">
        <v>10</v>
      </c>
      <c r="F3637" t="s">
        <v>213</v>
      </c>
      <c r="G3637" t="s">
        <v>12</v>
      </c>
      <c r="H3637" s="1">
        <v>42889</v>
      </c>
      <c r="I3637" s="1">
        <v>42907</v>
      </c>
      <c r="J3637">
        <v>1040</v>
      </c>
    </row>
    <row r="3638" spans="1:10" x14ac:dyDescent="0.3">
      <c r="A3638" t="s">
        <v>3769</v>
      </c>
      <c r="B3638" t="s">
        <v>252</v>
      </c>
      <c r="C3638" t="str">
        <f>_xlfn.XLOOKUP(B3638,
[1]sales_teams!$A$2:$A$100,
[1]sales_teams!$B$2:$B$100)</f>
        <v>Melvin Marxen</v>
      </c>
      <c r="D3638" t="str">
        <f>_xlfn.XLOOKUP($B3638,sales_teams!$A$2:$A$36,sales_teams!C$2:C$36)</f>
        <v>Central</v>
      </c>
      <c r="E3638" t="s">
        <v>15</v>
      </c>
      <c r="F3638" t="s">
        <v>129</v>
      </c>
      <c r="G3638" t="s">
        <v>12</v>
      </c>
      <c r="H3638" s="1">
        <v>42889</v>
      </c>
      <c r="I3638" s="1">
        <v>42990</v>
      </c>
      <c r="J3638">
        <v>4138</v>
      </c>
    </row>
    <row r="3639" spans="1:10" x14ac:dyDescent="0.3">
      <c r="A3639" t="s">
        <v>3770</v>
      </c>
      <c r="B3639" t="s">
        <v>78</v>
      </c>
      <c r="C3639" t="str">
        <f>_xlfn.XLOOKUP(B3639,
[1]sales_teams!$A$2:$A$100,
[1]sales_teams!$B$2:$B$100)</f>
        <v>Summer Sewald</v>
      </c>
      <c r="D3639" t="str">
        <f>_xlfn.XLOOKUP($B3639,sales_teams!$A$2:$A$36,sales_teams!C$2:C$36)</f>
        <v>West</v>
      </c>
      <c r="E3639" t="s">
        <v>15</v>
      </c>
      <c r="F3639" t="s">
        <v>194</v>
      </c>
      <c r="G3639" t="s">
        <v>40</v>
      </c>
      <c r="H3639" s="1">
        <v>42889</v>
      </c>
    </row>
    <row r="3640" spans="1:10" x14ac:dyDescent="0.3">
      <c r="A3640" t="s">
        <v>3771</v>
      </c>
      <c r="B3640" t="s">
        <v>78</v>
      </c>
      <c r="C3640" t="str">
        <f>_xlfn.XLOOKUP(B3640,
[1]sales_teams!$A$2:$A$100,
[1]sales_teams!$B$2:$B$100)</f>
        <v>Summer Sewald</v>
      </c>
      <c r="D3640" t="str">
        <f>_xlfn.XLOOKUP($B3640,sales_teams!$A$2:$A$36,sales_teams!C$2:C$36)</f>
        <v>West</v>
      </c>
      <c r="E3640" t="s">
        <v>10</v>
      </c>
      <c r="F3640" t="s">
        <v>124</v>
      </c>
      <c r="G3640" t="s">
        <v>46</v>
      </c>
      <c r="H3640" s="1">
        <v>42889</v>
      </c>
      <c r="I3640" s="1">
        <v>42954</v>
      </c>
      <c r="J3640">
        <v>0</v>
      </c>
    </row>
    <row r="3641" spans="1:10" x14ac:dyDescent="0.3">
      <c r="A3641" t="s">
        <v>3772</v>
      </c>
      <c r="B3641" t="s">
        <v>133</v>
      </c>
      <c r="C3641" t="str">
        <f>_xlfn.XLOOKUP(B3641,
[1]sales_teams!$A$2:$A$100,
[1]sales_teams!$B$2:$B$100)</f>
        <v>Dustin Brinkmann</v>
      </c>
      <c r="D3641" t="str">
        <f>_xlfn.XLOOKUP($B3641,sales_teams!$A$2:$A$36,sales_teams!C$2:C$36)</f>
        <v>Central</v>
      </c>
      <c r="E3641" t="s">
        <v>18</v>
      </c>
      <c r="F3641" t="s">
        <v>135</v>
      </c>
      <c r="G3641" t="s">
        <v>12</v>
      </c>
      <c r="H3641" s="1">
        <v>42889</v>
      </c>
      <c r="I3641" s="1">
        <v>43001</v>
      </c>
      <c r="J3641">
        <v>54</v>
      </c>
    </row>
    <row r="3642" spans="1:10" x14ac:dyDescent="0.3">
      <c r="A3642" t="s">
        <v>3773</v>
      </c>
      <c r="B3642" t="s">
        <v>133</v>
      </c>
      <c r="C3642" t="str">
        <f>_xlfn.XLOOKUP(B3642,
[1]sales_teams!$A$2:$A$100,
[1]sales_teams!$B$2:$B$100)</f>
        <v>Dustin Brinkmann</v>
      </c>
      <c r="D3642" t="str">
        <f>_xlfn.XLOOKUP($B3642,sales_teams!$A$2:$A$36,sales_teams!C$2:C$36)</f>
        <v>Central</v>
      </c>
      <c r="E3642" t="s">
        <v>39</v>
      </c>
      <c r="F3642" t="s">
        <v>318</v>
      </c>
      <c r="G3642" t="s">
        <v>12</v>
      </c>
      <c r="H3642" s="1">
        <v>42889</v>
      </c>
      <c r="I3642" s="1">
        <v>42992</v>
      </c>
      <c r="J3642">
        <v>3438</v>
      </c>
    </row>
    <row r="3643" spans="1:10" x14ac:dyDescent="0.3">
      <c r="A3643" t="s">
        <v>3774</v>
      </c>
      <c r="B3643" t="s">
        <v>32</v>
      </c>
      <c r="C3643" t="str">
        <f>_xlfn.XLOOKUP(B3643,
[1]sales_teams!$A$2:$A$100,
[1]sales_teams!$B$2:$B$100)</f>
        <v>Celia Rouche</v>
      </c>
      <c r="D3643" t="str">
        <f>_xlfn.XLOOKUP($B3643,sales_teams!$A$2:$A$36,sales_teams!C$2:C$36)</f>
        <v>West</v>
      </c>
      <c r="E3643" t="s">
        <v>15</v>
      </c>
      <c r="F3643" t="s">
        <v>55</v>
      </c>
      <c r="G3643" t="s">
        <v>46</v>
      </c>
      <c r="H3643" s="1">
        <v>42889</v>
      </c>
      <c r="I3643" s="1">
        <v>42952</v>
      </c>
      <c r="J3643">
        <v>0</v>
      </c>
    </row>
    <row r="3644" spans="1:10" x14ac:dyDescent="0.3">
      <c r="A3644" t="s">
        <v>3775</v>
      </c>
      <c r="B3644" t="s">
        <v>116</v>
      </c>
      <c r="C3644" t="str">
        <f>_xlfn.XLOOKUP(B3644,
[1]sales_teams!$A$2:$A$100,
[1]sales_teams!$B$2:$B$100)</f>
        <v>Melvin Marxen</v>
      </c>
      <c r="D3644" t="str">
        <f>_xlfn.XLOOKUP($B3644,sales_teams!$A$2:$A$36,sales_teams!C$2:C$36)</f>
        <v>Central</v>
      </c>
      <c r="E3644" t="s">
        <v>10</v>
      </c>
      <c r="F3644" t="s">
        <v>16</v>
      </c>
      <c r="G3644" t="s">
        <v>12</v>
      </c>
      <c r="H3644" s="1">
        <v>42889</v>
      </c>
      <c r="I3644" s="1">
        <v>42952</v>
      </c>
      <c r="J3644">
        <v>1017</v>
      </c>
    </row>
    <row r="3645" spans="1:10" x14ac:dyDescent="0.3">
      <c r="A3645" t="s">
        <v>3776</v>
      </c>
      <c r="B3645" t="s">
        <v>57</v>
      </c>
      <c r="C3645" t="str">
        <f>_xlfn.XLOOKUP(B3645,
[1]sales_teams!$A$2:$A$100,
[1]sales_teams!$B$2:$B$100)</f>
        <v>Celia Rouche</v>
      </c>
      <c r="D3645" t="str">
        <f>_xlfn.XLOOKUP($B3645,sales_teams!$A$2:$A$36,sales_teams!C$2:C$36)</f>
        <v>West</v>
      </c>
      <c r="E3645" t="s">
        <v>18</v>
      </c>
      <c r="F3645" t="s">
        <v>174</v>
      </c>
      <c r="G3645" t="s">
        <v>40</v>
      </c>
      <c r="H3645" s="1">
        <v>42889</v>
      </c>
    </row>
    <row r="3646" spans="1:10" x14ac:dyDescent="0.3">
      <c r="A3646" t="s">
        <v>3777</v>
      </c>
      <c r="B3646" t="s">
        <v>57</v>
      </c>
      <c r="C3646" t="str">
        <f>_xlfn.XLOOKUP(B3646,
[1]sales_teams!$A$2:$A$100,
[1]sales_teams!$B$2:$B$100)</f>
        <v>Celia Rouche</v>
      </c>
      <c r="D3646" t="str">
        <f>_xlfn.XLOOKUP($B3646,sales_teams!$A$2:$A$36,sales_teams!C$2:C$36)</f>
        <v>West</v>
      </c>
      <c r="E3646" t="s">
        <v>39</v>
      </c>
      <c r="F3646" t="s">
        <v>273</v>
      </c>
      <c r="G3646" t="s">
        <v>12</v>
      </c>
      <c r="H3646" s="1">
        <v>42889</v>
      </c>
      <c r="I3646" s="1">
        <v>42997</v>
      </c>
      <c r="J3646">
        <v>3314</v>
      </c>
    </row>
    <row r="3647" spans="1:10" x14ac:dyDescent="0.3">
      <c r="A3647" t="s">
        <v>3778</v>
      </c>
      <c r="B3647" t="s">
        <v>61</v>
      </c>
      <c r="C3647" t="str">
        <f>_xlfn.XLOOKUP(B3647,
[1]sales_teams!$A$2:$A$100,
[1]sales_teams!$B$2:$B$100)</f>
        <v>Dustin Brinkmann</v>
      </c>
      <c r="D3647" t="str">
        <f>_xlfn.XLOOKUP($B3647,sales_teams!$A$2:$A$36,sales_teams!C$2:C$36)</f>
        <v>Central</v>
      </c>
      <c r="E3647" t="s">
        <v>18</v>
      </c>
      <c r="F3647" t="s">
        <v>11</v>
      </c>
      <c r="G3647" t="s">
        <v>46</v>
      </c>
      <c r="H3647" s="1">
        <v>42889</v>
      </c>
      <c r="I3647" s="1">
        <v>42959</v>
      </c>
      <c r="J3647">
        <v>0</v>
      </c>
    </row>
    <row r="3648" spans="1:10" x14ac:dyDescent="0.3">
      <c r="A3648" t="s">
        <v>3779</v>
      </c>
      <c r="B3648" t="s">
        <v>61</v>
      </c>
      <c r="C3648" t="str">
        <f>_xlfn.XLOOKUP(B3648,
[1]sales_teams!$A$2:$A$100,
[1]sales_teams!$B$2:$B$100)</f>
        <v>Dustin Brinkmann</v>
      </c>
      <c r="D3648" t="str">
        <f>_xlfn.XLOOKUP($B3648,sales_teams!$A$2:$A$36,sales_teams!C$2:C$36)</f>
        <v>Central</v>
      </c>
      <c r="E3648" t="s">
        <v>18</v>
      </c>
      <c r="F3648" t="s">
        <v>151</v>
      </c>
      <c r="G3648" t="s">
        <v>12</v>
      </c>
      <c r="H3648" s="1">
        <v>42889</v>
      </c>
      <c r="I3648" s="1">
        <v>42971</v>
      </c>
      <c r="J3648">
        <v>51</v>
      </c>
    </row>
    <row r="3649" spans="1:10" x14ac:dyDescent="0.3">
      <c r="A3649" t="s">
        <v>3780</v>
      </c>
      <c r="B3649" t="s">
        <v>29</v>
      </c>
      <c r="C3649" t="str">
        <f>_xlfn.XLOOKUP(B3649,
[1]sales_teams!$A$2:$A$100,
[1]sales_teams!$B$2:$B$100)</f>
        <v>Celia Rouche</v>
      </c>
      <c r="D3649" t="str">
        <f>_xlfn.XLOOKUP($B3649,sales_teams!$A$2:$A$36,sales_teams!C$2:C$36)</f>
        <v>West</v>
      </c>
      <c r="E3649" t="s">
        <v>18</v>
      </c>
      <c r="F3649" t="s">
        <v>155</v>
      </c>
      <c r="G3649" t="s">
        <v>12</v>
      </c>
      <c r="H3649" s="1">
        <v>42889</v>
      </c>
      <c r="I3649" s="1">
        <v>42988</v>
      </c>
      <c r="J3649">
        <v>50</v>
      </c>
    </row>
    <row r="3650" spans="1:10" x14ac:dyDescent="0.3">
      <c r="A3650" t="s">
        <v>3781</v>
      </c>
      <c r="B3650" t="s">
        <v>73</v>
      </c>
      <c r="C3650" t="str">
        <f>_xlfn.XLOOKUP(B3650,
[1]sales_teams!$A$2:$A$100,
[1]sales_teams!$B$2:$B$100)</f>
        <v>Cara Losch</v>
      </c>
      <c r="D3650" t="str">
        <f>_xlfn.XLOOKUP($B3650,sales_teams!$A$2:$A$36,sales_teams!C$2:C$36)</f>
        <v>East</v>
      </c>
      <c r="E3650" t="s">
        <v>18</v>
      </c>
      <c r="F3650" t="s">
        <v>300</v>
      </c>
      <c r="G3650" t="s">
        <v>12</v>
      </c>
      <c r="H3650" s="1">
        <v>42889</v>
      </c>
      <c r="I3650" s="1">
        <v>42895</v>
      </c>
      <c r="J3650">
        <v>54</v>
      </c>
    </row>
    <row r="3651" spans="1:10" x14ac:dyDescent="0.3">
      <c r="A3651" t="s">
        <v>3782</v>
      </c>
      <c r="B3651" t="s">
        <v>26</v>
      </c>
      <c r="C3651" t="str">
        <f>_xlfn.XLOOKUP(B3651,
[1]sales_teams!$A$2:$A$100,
[1]sales_teams!$B$2:$B$100)</f>
        <v>Dustin Brinkmann</v>
      </c>
      <c r="D3651" t="str">
        <f>_xlfn.XLOOKUP($B3651,sales_teams!$A$2:$A$36,sales_teams!C$2:C$36)</f>
        <v>Central</v>
      </c>
      <c r="E3651" t="s">
        <v>48</v>
      </c>
      <c r="F3651" t="s">
        <v>231</v>
      </c>
      <c r="G3651" t="s">
        <v>46</v>
      </c>
      <c r="H3651" s="1">
        <v>42890</v>
      </c>
      <c r="I3651" s="1">
        <v>42965</v>
      </c>
      <c r="J3651">
        <v>0</v>
      </c>
    </row>
    <row r="3652" spans="1:10" x14ac:dyDescent="0.3">
      <c r="A3652" t="s">
        <v>3783</v>
      </c>
      <c r="B3652" t="s">
        <v>26</v>
      </c>
      <c r="C3652" t="str">
        <f>_xlfn.XLOOKUP(B3652,
[1]sales_teams!$A$2:$A$100,
[1]sales_teams!$B$2:$B$100)</f>
        <v>Dustin Brinkmann</v>
      </c>
      <c r="D3652" t="str">
        <f>_xlfn.XLOOKUP($B3652,sales_teams!$A$2:$A$36,sales_teams!C$2:C$36)</f>
        <v>Central</v>
      </c>
      <c r="E3652" t="s">
        <v>39</v>
      </c>
      <c r="F3652" t="s">
        <v>151</v>
      </c>
      <c r="G3652" t="s">
        <v>46</v>
      </c>
      <c r="H3652" s="1">
        <v>42890</v>
      </c>
      <c r="I3652" s="1">
        <v>42994</v>
      </c>
      <c r="J3652">
        <v>0</v>
      </c>
    </row>
    <row r="3653" spans="1:10" x14ac:dyDescent="0.3">
      <c r="A3653" t="s">
        <v>3784</v>
      </c>
      <c r="B3653" t="s">
        <v>139</v>
      </c>
      <c r="C3653" t="str">
        <f>_xlfn.XLOOKUP(B3653,
[1]sales_teams!$A$2:$A$100,
[1]sales_teams!$B$2:$B$100)</f>
        <v>Rocco Neubert</v>
      </c>
      <c r="D3653" t="str">
        <f>_xlfn.XLOOKUP($B3653,sales_teams!$A$2:$A$36,sales_teams!C$2:C$36)</f>
        <v>East</v>
      </c>
      <c r="E3653" t="s">
        <v>15</v>
      </c>
      <c r="F3653" t="s">
        <v>218</v>
      </c>
      <c r="G3653" t="s">
        <v>46</v>
      </c>
      <c r="H3653" s="1">
        <v>42890</v>
      </c>
      <c r="I3653" s="1">
        <v>42983</v>
      </c>
      <c r="J3653">
        <v>0</v>
      </c>
    </row>
    <row r="3654" spans="1:10" x14ac:dyDescent="0.3">
      <c r="A3654" t="s">
        <v>3785</v>
      </c>
      <c r="B3654" t="s">
        <v>202</v>
      </c>
      <c r="C3654" t="str">
        <f>_xlfn.XLOOKUP(B3654,
[1]sales_teams!$A$2:$A$100,
[1]sales_teams!$B$2:$B$100)</f>
        <v>Dustin Brinkmann</v>
      </c>
      <c r="D3654" t="str">
        <f>_xlfn.XLOOKUP($B3654,sales_teams!$A$2:$A$36,sales_teams!C$2:C$36)</f>
        <v>Central</v>
      </c>
      <c r="E3654" t="s">
        <v>10</v>
      </c>
      <c r="F3654" t="s">
        <v>315</v>
      </c>
      <c r="G3654" t="s">
        <v>46</v>
      </c>
      <c r="H3654" s="1">
        <v>42890</v>
      </c>
      <c r="I3654" s="1">
        <v>42963</v>
      </c>
      <c r="J3654">
        <v>0</v>
      </c>
    </row>
    <row r="3655" spans="1:10" x14ac:dyDescent="0.3">
      <c r="A3655" t="s">
        <v>3786</v>
      </c>
      <c r="B3655" t="s">
        <v>64</v>
      </c>
      <c r="C3655" t="str">
        <f>_xlfn.XLOOKUP(B3655,
[1]sales_teams!$A$2:$A$100,
[1]sales_teams!$B$2:$B$100)</f>
        <v>Rocco Neubert</v>
      </c>
      <c r="D3655" t="str">
        <f>_xlfn.XLOOKUP($B3655,sales_teams!$A$2:$A$36,sales_teams!C$2:C$36)</f>
        <v>East</v>
      </c>
      <c r="E3655" t="s">
        <v>15</v>
      </c>
      <c r="F3655" t="s">
        <v>177</v>
      </c>
      <c r="G3655" t="s">
        <v>12</v>
      </c>
      <c r="H3655" s="1">
        <v>42890</v>
      </c>
      <c r="I3655" s="1">
        <v>42903</v>
      </c>
      <c r="J3655">
        <v>4942</v>
      </c>
    </row>
    <row r="3656" spans="1:10" x14ac:dyDescent="0.3">
      <c r="A3656" t="s">
        <v>3787</v>
      </c>
      <c r="B3656" t="s">
        <v>142</v>
      </c>
      <c r="C3656" t="str">
        <f>_xlfn.XLOOKUP(B3656,
[1]sales_teams!$A$2:$A$100,
[1]sales_teams!$B$2:$B$100)</f>
        <v>Rocco Neubert</v>
      </c>
      <c r="D3656" t="str">
        <f>_xlfn.XLOOKUP($B3656,sales_teams!$A$2:$A$36,sales_teams!C$2:C$36)</f>
        <v>East</v>
      </c>
      <c r="E3656" t="s">
        <v>18</v>
      </c>
      <c r="F3656" t="s">
        <v>240</v>
      </c>
      <c r="G3656" t="s">
        <v>46</v>
      </c>
      <c r="H3656" s="1">
        <v>42890</v>
      </c>
      <c r="I3656" s="1">
        <v>42953</v>
      </c>
      <c r="J3656">
        <v>0</v>
      </c>
    </row>
    <row r="3657" spans="1:10" x14ac:dyDescent="0.3">
      <c r="A3657" t="s">
        <v>3788</v>
      </c>
      <c r="B3657" t="s">
        <v>142</v>
      </c>
      <c r="C3657" t="str">
        <f>_xlfn.XLOOKUP(B3657,
[1]sales_teams!$A$2:$A$100,
[1]sales_teams!$B$2:$B$100)</f>
        <v>Rocco Neubert</v>
      </c>
      <c r="D3657" t="str">
        <f>_xlfn.XLOOKUP($B3657,sales_teams!$A$2:$A$36,sales_teams!C$2:C$36)</f>
        <v>East</v>
      </c>
      <c r="E3657" t="s">
        <v>15</v>
      </c>
      <c r="F3657" t="s">
        <v>155</v>
      </c>
      <c r="G3657" t="s">
        <v>12</v>
      </c>
      <c r="H3657" s="1">
        <v>42890</v>
      </c>
      <c r="I3657" s="1">
        <v>42900</v>
      </c>
      <c r="J3657">
        <v>4612</v>
      </c>
    </row>
    <row r="3658" spans="1:10" x14ac:dyDescent="0.3">
      <c r="A3658" t="s">
        <v>3789</v>
      </c>
      <c r="B3658" t="s">
        <v>142</v>
      </c>
      <c r="C3658" t="str">
        <f>_xlfn.XLOOKUP(B3658,
[1]sales_teams!$A$2:$A$100,
[1]sales_teams!$B$2:$B$100)</f>
        <v>Rocco Neubert</v>
      </c>
      <c r="D3658" t="str">
        <f>_xlfn.XLOOKUP($B3658,sales_teams!$A$2:$A$36,sales_teams!C$2:C$36)</f>
        <v>East</v>
      </c>
      <c r="E3658" t="s">
        <v>15</v>
      </c>
      <c r="F3658" t="s">
        <v>89</v>
      </c>
      <c r="G3658" t="s">
        <v>12</v>
      </c>
      <c r="H3658" s="1">
        <v>42890</v>
      </c>
      <c r="I3658" s="1">
        <v>42906</v>
      </c>
      <c r="J3658">
        <v>4308</v>
      </c>
    </row>
    <row r="3659" spans="1:10" x14ac:dyDescent="0.3">
      <c r="A3659" t="s">
        <v>3790</v>
      </c>
      <c r="B3659" t="s">
        <v>142</v>
      </c>
      <c r="C3659" t="str">
        <f>_xlfn.XLOOKUP(B3659,
[1]sales_teams!$A$2:$A$100,
[1]sales_teams!$B$2:$B$100)</f>
        <v>Rocco Neubert</v>
      </c>
      <c r="D3659" t="str">
        <f>_xlfn.XLOOKUP($B3659,sales_teams!$A$2:$A$36,sales_teams!C$2:C$36)</f>
        <v>East</v>
      </c>
      <c r="E3659" t="s">
        <v>39</v>
      </c>
      <c r="F3659" t="s">
        <v>222</v>
      </c>
      <c r="G3659" t="s">
        <v>12</v>
      </c>
      <c r="H3659" s="1">
        <v>42890</v>
      </c>
      <c r="I3659" s="1">
        <v>42982</v>
      </c>
      <c r="J3659">
        <v>2876</v>
      </c>
    </row>
    <row r="3660" spans="1:10" x14ac:dyDescent="0.3">
      <c r="A3660" t="s">
        <v>3791</v>
      </c>
      <c r="B3660" t="s">
        <v>44</v>
      </c>
      <c r="C3660" t="str">
        <f>_xlfn.XLOOKUP(B3660,
[1]sales_teams!$A$2:$A$100,
[1]sales_teams!$B$2:$B$100)</f>
        <v>Melvin Marxen</v>
      </c>
      <c r="D3660" t="str">
        <f>_xlfn.XLOOKUP($B3660,sales_teams!$A$2:$A$36,sales_teams!C$2:C$36)</f>
        <v>Central</v>
      </c>
      <c r="E3660" t="s">
        <v>48</v>
      </c>
      <c r="F3660" t="s">
        <v>76</v>
      </c>
      <c r="G3660" t="s">
        <v>12</v>
      </c>
      <c r="H3660" s="1">
        <v>42890</v>
      </c>
      <c r="I3660" s="1">
        <v>42977</v>
      </c>
      <c r="J3660">
        <v>4990</v>
      </c>
    </row>
    <row r="3661" spans="1:10" x14ac:dyDescent="0.3">
      <c r="A3661" t="s">
        <v>3792</v>
      </c>
      <c r="B3661" t="s">
        <v>54</v>
      </c>
      <c r="C3661" t="str">
        <f>_xlfn.XLOOKUP(B3661,
[1]sales_teams!$A$2:$A$100,
[1]sales_teams!$B$2:$B$100)</f>
        <v>Celia Rouche</v>
      </c>
      <c r="D3661" t="str">
        <f>_xlfn.XLOOKUP($B3661,sales_teams!$A$2:$A$36,sales_teams!C$2:C$36)</f>
        <v>West</v>
      </c>
      <c r="E3661" t="s">
        <v>10</v>
      </c>
      <c r="F3661" t="s">
        <v>59</v>
      </c>
      <c r="G3661" t="s">
        <v>46</v>
      </c>
      <c r="H3661" s="1">
        <v>42890</v>
      </c>
      <c r="I3661" s="1">
        <v>43007</v>
      </c>
      <c r="J3661">
        <v>0</v>
      </c>
    </row>
    <row r="3662" spans="1:10" x14ac:dyDescent="0.3">
      <c r="A3662" t="s">
        <v>3793</v>
      </c>
      <c r="B3662" t="s">
        <v>54</v>
      </c>
      <c r="C3662" t="str">
        <f>_xlfn.XLOOKUP(B3662,
[1]sales_teams!$A$2:$A$100,
[1]sales_teams!$B$2:$B$100)</f>
        <v>Celia Rouche</v>
      </c>
      <c r="D3662" t="str">
        <f>_xlfn.XLOOKUP($B3662,sales_teams!$A$2:$A$36,sales_teams!C$2:C$36)</f>
        <v>West</v>
      </c>
      <c r="E3662" t="s">
        <v>10</v>
      </c>
      <c r="F3662" t="s">
        <v>52</v>
      </c>
      <c r="G3662" t="s">
        <v>12</v>
      </c>
      <c r="H3662" s="1">
        <v>42890</v>
      </c>
      <c r="I3662" s="1">
        <v>42987</v>
      </c>
      <c r="J3662">
        <v>1024</v>
      </c>
    </row>
    <row r="3663" spans="1:10" x14ac:dyDescent="0.3">
      <c r="A3663" t="s">
        <v>3794</v>
      </c>
      <c r="B3663" t="s">
        <v>78</v>
      </c>
      <c r="C3663" t="str">
        <f>_xlfn.XLOOKUP(B3663,
[1]sales_teams!$A$2:$A$100,
[1]sales_teams!$B$2:$B$100)</f>
        <v>Summer Sewald</v>
      </c>
      <c r="D3663" t="str">
        <f>_xlfn.XLOOKUP($B3663,sales_teams!$A$2:$A$36,sales_teams!C$2:C$36)</f>
        <v>West</v>
      </c>
      <c r="E3663" t="s">
        <v>10</v>
      </c>
      <c r="G3663" t="s">
        <v>40</v>
      </c>
      <c r="H3663" s="1">
        <v>42890</v>
      </c>
    </row>
    <row r="3664" spans="1:10" x14ac:dyDescent="0.3">
      <c r="A3664" t="s">
        <v>3795</v>
      </c>
      <c r="B3664" t="s">
        <v>78</v>
      </c>
      <c r="C3664" t="str">
        <f>_xlfn.XLOOKUP(B3664,
[1]sales_teams!$A$2:$A$100,
[1]sales_teams!$B$2:$B$100)</f>
        <v>Summer Sewald</v>
      </c>
      <c r="D3664" t="str">
        <f>_xlfn.XLOOKUP($B3664,sales_teams!$A$2:$A$36,sales_teams!C$2:C$36)</f>
        <v>West</v>
      </c>
      <c r="E3664" t="s">
        <v>18</v>
      </c>
      <c r="F3664" t="s">
        <v>184</v>
      </c>
      <c r="G3664" t="s">
        <v>12</v>
      </c>
      <c r="H3664" s="1">
        <v>42890</v>
      </c>
      <c r="I3664" s="1">
        <v>42994</v>
      </c>
      <c r="J3664">
        <v>53</v>
      </c>
    </row>
    <row r="3665" spans="1:10" x14ac:dyDescent="0.3">
      <c r="A3665" t="s">
        <v>3796</v>
      </c>
      <c r="B3665" t="s">
        <v>95</v>
      </c>
      <c r="C3665" t="str">
        <f>_xlfn.XLOOKUP(B3665,
[1]sales_teams!$A$2:$A$100,
[1]sales_teams!$B$2:$B$100)</f>
        <v>Summer Sewald</v>
      </c>
      <c r="D3665" t="str">
        <f>_xlfn.XLOOKUP($B3665,sales_teams!$A$2:$A$36,sales_teams!C$2:C$36)</f>
        <v>West</v>
      </c>
      <c r="E3665" t="s">
        <v>20</v>
      </c>
      <c r="G3665" t="s">
        <v>40</v>
      </c>
      <c r="H3665" s="1">
        <v>42890</v>
      </c>
    </row>
    <row r="3666" spans="1:10" x14ac:dyDescent="0.3">
      <c r="A3666" t="s">
        <v>3797</v>
      </c>
      <c r="B3666" t="s">
        <v>95</v>
      </c>
      <c r="C3666" t="str">
        <f>_xlfn.XLOOKUP(B3666,
[1]sales_teams!$A$2:$A$100,
[1]sales_teams!$B$2:$B$100)</f>
        <v>Summer Sewald</v>
      </c>
      <c r="D3666" t="str">
        <f>_xlfn.XLOOKUP($B3666,sales_teams!$A$2:$A$36,sales_teams!C$2:C$36)</f>
        <v>West</v>
      </c>
      <c r="E3666" t="s">
        <v>15</v>
      </c>
      <c r="G3666" t="s">
        <v>40</v>
      </c>
      <c r="H3666" s="1">
        <v>42890</v>
      </c>
    </row>
    <row r="3667" spans="1:10" x14ac:dyDescent="0.3">
      <c r="A3667" t="s">
        <v>3798</v>
      </c>
      <c r="B3667" t="s">
        <v>95</v>
      </c>
      <c r="C3667" t="str">
        <f>_xlfn.XLOOKUP(B3667,
[1]sales_teams!$A$2:$A$100,
[1]sales_teams!$B$2:$B$100)</f>
        <v>Summer Sewald</v>
      </c>
      <c r="D3667" t="str">
        <f>_xlfn.XLOOKUP($B3667,sales_teams!$A$2:$A$36,sales_teams!C$2:C$36)</f>
        <v>West</v>
      </c>
      <c r="E3667" t="s">
        <v>18</v>
      </c>
      <c r="F3667" t="s">
        <v>373</v>
      </c>
      <c r="G3667" t="s">
        <v>40</v>
      </c>
      <c r="H3667" s="1">
        <v>42890</v>
      </c>
    </row>
    <row r="3668" spans="1:10" x14ac:dyDescent="0.3">
      <c r="A3668" t="s">
        <v>3799</v>
      </c>
      <c r="B3668" t="s">
        <v>95</v>
      </c>
      <c r="C3668" t="str">
        <f>_xlfn.XLOOKUP(B3668,
[1]sales_teams!$A$2:$A$100,
[1]sales_teams!$B$2:$B$100)</f>
        <v>Summer Sewald</v>
      </c>
      <c r="D3668" t="str">
        <f>_xlfn.XLOOKUP($B3668,sales_teams!$A$2:$A$36,sales_teams!C$2:C$36)</f>
        <v>West</v>
      </c>
      <c r="E3668" t="s">
        <v>10</v>
      </c>
      <c r="F3668" t="s">
        <v>273</v>
      </c>
      <c r="G3668" t="s">
        <v>46</v>
      </c>
      <c r="H3668" s="1">
        <v>42890</v>
      </c>
      <c r="I3668" s="1">
        <v>42995</v>
      </c>
      <c r="J3668">
        <v>0</v>
      </c>
    </row>
    <row r="3669" spans="1:10" x14ac:dyDescent="0.3">
      <c r="A3669" t="s">
        <v>3800</v>
      </c>
      <c r="B3669" t="s">
        <v>95</v>
      </c>
      <c r="C3669" t="str">
        <f>_xlfn.XLOOKUP(B3669,
[1]sales_teams!$A$2:$A$100,
[1]sales_teams!$B$2:$B$100)</f>
        <v>Summer Sewald</v>
      </c>
      <c r="D3669" t="str">
        <f>_xlfn.XLOOKUP($B3669,sales_teams!$A$2:$A$36,sales_teams!C$2:C$36)</f>
        <v>West</v>
      </c>
      <c r="E3669" t="s">
        <v>20</v>
      </c>
      <c r="F3669" t="s">
        <v>30</v>
      </c>
      <c r="G3669" t="s">
        <v>12</v>
      </c>
      <c r="H3669" s="1">
        <v>42890</v>
      </c>
      <c r="I3669" s="1">
        <v>42979</v>
      </c>
      <c r="J3669">
        <v>525</v>
      </c>
    </row>
    <row r="3670" spans="1:10" x14ac:dyDescent="0.3">
      <c r="A3670" t="s">
        <v>3801</v>
      </c>
      <c r="B3670" t="s">
        <v>95</v>
      </c>
      <c r="C3670" t="str">
        <f>_xlfn.XLOOKUP(B3670,
[1]sales_teams!$A$2:$A$100,
[1]sales_teams!$B$2:$B$100)</f>
        <v>Summer Sewald</v>
      </c>
      <c r="D3670" t="str">
        <f>_xlfn.XLOOKUP($B3670,sales_teams!$A$2:$A$36,sales_teams!C$2:C$36)</f>
        <v>West</v>
      </c>
      <c r="E3670" t="s">
        <v>18</v>
      </c>
      <c r="F3670" t="s">
        <v>157</v>
      </c>
      <c r="G3670" t="s">
        <v>12</v>
      </c>
      <c r="H3670" s="1">
        <v>42890</v>
      </c>
      <c r="I3670" s="1">
        <v>42974</v>
      </c>
      <c r="J3670">
        <v>60</v>
      </c>
    </row>
    <row r="3671" spans="1:10" x14ac:dyDescent="0.3">
      <c r="A3671" t="s">
        <v>3802</v>
      </c>
      <c r="B3671" t="s">
        <v>32</v>
      </c>
      <c r="C3671" t="str">
        <f>_xlfn.XLOOKUP(B3671,
[1]sales_teams!$A$2:$A$100,
[1]sales_teams!$B$2:$B$100)</f>
        <v>Celia Rouche</v>
      </c>
      <c r="D3671" t="str">
        <f>_xlfn.XLOOKUP($B3671,sales_teams!$A$2:$A$36,sales_teams!C$2:C$36)</f>
        <v>West</v>
      </c>
      <c r="E3671" t="s">
        <v>10</v>
      </c>
      <c r="F3671" t="s">
        <v>59</v>
      </c>
      <c r="G3671" t="s">
        <v>12</v>
      </c>
      <c r="H3671" s="1">
        <v>42890</v>
      </c>
      <c r="I3671" s="1">
        <v>42894</v>
      </c>
      <c r="J3671">
        <v>967</v>
      </c>
    </row>
    <row r="3672" spans="1:10" x14ac:dyDescent="0.3">
      <c r="A3672" t="s">
        <v>3803</v>
      </c>
      <c r="B3672" t="s">
        <v>51</v>
      </c>
      <c r="C3672" t="str">
        <f>_xlfn.XLOOKUP(B3672,
[1]sales_teams!$A$2:$A$100,
[1]sales_teams!$B$2:$B$100)</f>
        <v>Summer Sewald</v>
      </c>
      <c r="D3672" t="str">
        <f>_xlfn.XLOOKUP($B3672,sales_teams!$A$2:$A$36,sales_teams!C$2:C$36)</f>
        <v>West</v>
      </c>
      <c r="E3672" t="s">
        <v>20</v>
      </c>
      <c r="F3672" t="s">
        <v>68</v>
      </c>
      <c r="G3672" t="s">
        <v>46</v>
      </c>
      <c r="H3672" s="1">
        <v>42890</v>
      </c>
      <c r="I3672" s="1">
        <v>42961</v>
      </c>
      <c r="J3672">
        <v>0</v>
      </c>
    </row>
    <row r="3673" spans="1:10" x14ac:dyDescent="0.3">
      <c r="A3673" t="s">
        <v>3804</v>
      </c>
      <c r="B3673" t="s">
        <v>97</v>
      </c>
      <c r="C3673" t="str">
        <f>_xlfn.XLOOKUP(B3673,
[1]sales_teams!$A$2:$A$100,
[1]sales_teams!$B$2:$B$100)</f>
        <v>Rocco Neubert</v>
      </c>
      <c r="D3673" t="str">
        <f>_xlfn.XLOOKUP($B3673,sales_teams!$A$2:$A$36,sales_teams!C$2:C$36)</f>
        <v>East</v>
      </c>
      <c r="E3673" t="s">
        <v>20</v>
      </c>
      <c r="F3673" t="s">
        <v>240</v>
      </c>
      <c r="G3673" t="s">
        <v>12</v>
      </c>
      <c r="H3673" s="1">
        <v>42890</v>
      </c>
      <c r="I3673" s="1">
        <v>42900</v>
      </c>
      <c r="J3673">
        <v>524</v>
      </c>
    </row>
    <row r="3674" spans="1:10" x14ac:dyDescent="0.3">
      <c r="A3674" t="s">
        <v>3805</v>
      </c>
      <c r="B3674" t="s">
        <v>57</v>
      </c>
      <c r="C3674" t="str">
        <f>_xlfn.XLOOKUP(B3674,
[1]sales_teams!$A$2:$A$100,
[1]sales_teams!$B$2:$B$100)</f>
        <v>Celia Rouche</v>
      </c>
      <c r="D3674" t="str">
        <f>_xlfn.XLOOKUP($B3674,sales_teams!$A$2:$A$36,sales_teams!C$2:C$36)</f>
        <v>West</v>
      </c>
      <c r="E3674" t="s">
        <v>18</v>
      </c>
      <c r="F3674" t="s">
        <v>30</v>
      </c>
      <c r="G3674" t="s">
        <v>12</v>
      </c>
      <c r="H3674" s="1">
        <v>42890</v>
      </c>
      <c r="I3674" s="1">
        <v>42988</v>
      </c>
      <c r="J3674">
        <v>57</v>
      </c>
    </row>
    <row r="3675" spans="1:10" x14ac:dyDescent="0.3">
      <c r="A3675" t="s">
        <v>3806</v>
      </c>
      <c r="B3675" t="s">
        <v>88</v>
      </c>
      <c r="C3675" t="str">
        <f>_xlfn.XLOOKUP(B3675,
[1]sales_teams!$A$2:$A$100,
[1]sales_teams!$B$2:$B$100)</f>
        <v>Cara Losch</v>
      </c>
      <c r="D3675" t="str">
        <f>_xlfn.XLOOKUP($B3675,sales_teams!$A$2:$A$36,sales_teams!C$2:C$36)</f>
        <v>East</v>
      </c>
      <c r="E3675" t="s">
        <v>39</v>
      </c>
      <c r="F3675" t="s">
        <v>192</v>
      </c>
      <c r="G3675" t="s">
        <v>46</v>
      </c>
      <c r="H3675" s="1">
        <v>42890</v>
      </c>
      <c r="I3675" s="1">
        <v>42906</v>
      </c>
      <c r="J3675">
        <v>0</v>
      </c>
    </row>
    <row r="3676" spans="1:10" x14ac:dyDescent="0.3">
      <c r="A3676" t="s">
        <v>3807</v>
      </c>
      <c r="B3676" t="s">
        <v>61</v>
      </c>
      <c r="C3676" t="str">
        <f>_xlfn.XLOOKUP(B3676,
[1]sales_teams!$A$2:$A$100,
[1]sales_teams!$B$2:$B$100)</f>
        <v>Dustin Brinkmann</v>
      </c>
      <c r="D3676" t="str">
        <f>_xlfn.XLOOKUP($B3676,sales_teams!$A$2:$A$36,sales_teams!C$2:C$36)</f>
        <v>Central</v>
      </c>
      <c r="E3676" t="s">
        <v>48</v>
      </c>
      <c r="F3676" t="s">
        <v>76</v>
      </c>
      <c r="G3676" t="s">
        <v>12</v>
      </c>
      <c r="H3676" s="1">
        <v>42890</v>
      </c>
      <c r="I3676" s="1">
        <v>42899</v>
      </c>
      <c r="J3676">
        <v>5056</v>
      </c>
    </row>
    <row r="3677" spans="1:10" x14ac:dyDescent="0.3">
      <c r="A3677" t="s">
        <v>3808</v>
      </c>
      <c r="B3677" t="s">
        <v>29</v>
      </c>
      <c r="C3677" t="str">
        <f>_xlfn.XLOOKUP(B3677,
[1]sales_teams!$A$2:$A$100,
[1]sales_teams!$B$2:$B$100)</f>
        <v>Celia Rouche</v>
      </c>
      <c r="D3677" t="str">
        <f>_xlfn.XLOOKUP($B3677,sales_teams!$A$2:$A$36,sales_teams!C$2:C$36)</f>
        <v>West</v>
      </c>
      <c r="E3677" t="s">
        <v>20</v>
      </c>
      <c r="F3677" t="s">
        <v>199</v>
      </c>
      <c r="G3677" t="s">
        <v>12</v>
      </c>
      <c r="H3677" s="1">
        <v>42890</v>
      </c>
      <c r="I3677" s="1">
        <v>42894</v>
      </c>
      <c r="J3677">
        <v>600</v>
      </c>
    </row>
    <row r="3678" spans="1:10" x14ac:dyDescent="0.3">
      <c r="A3678" t="s">
        <v>3809</v>
      </c>
      <c r="B3678" t="s">
        <v>118</v>
      </c>
      <c r="C3678" t="str">
        <f>_xlfn.XLOOKUP(B3678,
[1]sales_teams!$A$2:$A$100,
[1]sales_teams!$B$2:$B$100)</f>
        <v>Rocco Neubert</v>
      </c>
      <c r="D3678" t="str">
        <f>_xlfn.XLOOKUP($B3678,sales_teams!$A$2:$A$36,sales_teams!C$2:C$36)</f>
        <v>East</v>
      </c>
      <c r="E3678" t="s">
        <v>20</v>
      </c>
      <c r="F3678" t="s">
        <v>410</v>
      </c>
      <c r="G3678" t="s">
        <v>12</v>
      </c>
      <c r="H3678" s="1">
        <v>42891</v>
      </c>
      <c r="I3678" s="1">
        <v>43004</v>
      </c>
      <c r="J3678">
        <v>633</v>
      </c>
    </row>
    <row r="3679" spans="1:10" x14ac:dyDescent="0.3">
      <c r="A3679" t="s">
        <v>3810</v>
      </c>
      <c r="B3679" t="s">
        <v>118</v>
      </c>
      <c r="C3679" t="str">
        <f>_xlfn.XLOOKUP(B3679,
[1]sales_teams!$A$2:$A$100,
[1]sales_teams!$B$2:$B$100)</f>
        <v>Rocco Neubert</v>
      </c>
      <c r="D3679" t="str">
        <f>_xlfn.XLOOKUP($B3679,sales_teams!$A$2:$A$36,sales_teams!C$2:C$36)</f>
        <v>East</v>
      </c>
      <c r="E3679" t="s">
        <v>15</v>
      </c>
      <c r="F3679" t="s">
        <v>74</v>
      </c>
      <c r="G3679" t="s">
        <v>12</v>
      </c>
      <c r="H3679" s="1">
        <v>42891</v>
      </c>
      <c r="I3679" s="1">
        <v>42974</v>
      </c>
      <c r="J3679">
        <v>4994</v>
      </c>
    </row>
    <row r="3680" spans="1:10" x14ac:dyDescent="0.3">
      <c r="A3680" t="s">
        <v>3811</v>
      </c>
      <c r="B3680" t="s">
        <v>164</v>
      </c>
      <c r="C3680" t="str">
        <f>_xlfn.XLOOKUP(B3680,
[1]sales_teams!$A$2:$A$100,
[1]sales_teams!$B$2:$B$100)</f>
        <v>Cara Losch</v>
      </c>
      <c r="D3680" t="str">
        <f>_xlfn.XLOOKUP($B3680,sales_teams!$A$2:$A$36,sales_teams!C$2:C$36)</f>
        <v>East</v>
      </c>
      <c r="E3680" t="s">
        <v>10</v>
      </c>
      <c r="F3680" t="s">
        <v>155</v>
      </c>
      <c r="G3680" t="s">
        <v>12</v>
      </c>
      <c r="H3680" s="1">
        <v>42891</v>
      </c>
      <c r="I3680" s="1">
        <v>42896</v>
      </c>
      <c r="J3680">
        <v>899</v>
      </c>
    </row>
    <row r="3681" spans="1:10" x14ac:dyDescent="0.3">
      <c r="A3681" t="s">
        <v>3812</v>
      </c>
      <c r="B3681" t="s">
        <v>14</v>
      </c>
      <c r="C3681" t="str">
        <f>_xlfn.XLOOKUP(B3681,
[1]sales_teams!$A$2:$A$100,
[1]sales_teams!$B$2:$B$100)</f>
        <v>Melvin Marxen</v>
      </c>
      <c r="D3681" t="str">
        <f>_xlfn.XLOOKUP($B3681,sales_teams!$A$2:$A$36,sales_teams!C$2:C$36)</f>
        <v>Central</v>
      </c>
      <c r="E3681" t="s">
        <v>15</v>
      </c>
      <c r="F3681" t="s">
        <v>231</v>
      </c>
      <c r="G3681" t="s">
        <v>46</v>
      </c>
      <c r="H3681" s="1">
        <v>42891</v>
      </c>
      <c r="I3681" s="1">
        <v>42953</v>
      </c>
      <c r="J3681">
        <v>0</v>
      </c>
    </row>
    <row r="3682" spans="1:10" x14ac:dyDescent="0.3">
      <c r="A3682" t="s">
        <v>3813</v>
      </c>
      <c r="B3682" t="s">
        <v>14</v>
      </c>
      <c r="C3682" t="str">
        <f>_xlfn.XLOOKUP(B3682,
[1]sales_teams!$A$2:$A$100,
[1]sales_teams!$B$2:$B$100)</f>
        <v>Melvin Marxen</v>
      </c>
      <c r="D3682" t="str">
        <f>_xlfn.XLOOKUP($B3682,sales_teams!$A$2:$A$36,sales_teams!C$2:C$36)</f>
        <v>Central</v>
      </c>
      <c r="E3682" t="s">
        <v>48</v>
      </c>
      <c r="F3682" t="s">
        <v>91</v>
      </c>
      <c r="G3682" t="s">
        <v>12</v>
      </c>
      <c r="H3682" s="1">
        <v>42891</v>
      </c>
      <c r="I3682" s="1">
        <v>42972</v>
      </c>
      <c r="J3682">
        <v>5421</v>
      </c>
    </row>
    <row r="3683" spans="1:10" x14ac:dyDescent="0.3">
      <c r="A3683" t="s">
        <v>3814</v>
      </c>
      <c r="B3683" t="s">
        <v>14</v>
      </c>
      <c r="C3683" t="str">
        <f>_xlfn.XLOOKUP(B3683,
[1]sales_teams!$A$2:$A$100,
[1]sales_teams!$B$2:$B$100)</f>
        <v>Melvin Marxen</v>
      </c>
      <c r="D3683" t="str">
        <f>_xlfn.XLOOKUP($B3683,sales_teams!$A$2:$A$36,sales_teams!C$2:C$36)</f>
        <v>Central</v>
      </c>
      <c r="E3683" t="s">
        <v>15</v>
      </c>
      <c r="F3683" t="s">
        <v>45</v>
      </c>
      <c r="G3683" t="s">
        <v>12</v>
      </c>
      <c r="H3683" s="1">
        <v>42891</v>
      </c>
      <c r="I3683" s="1">
        <v>42970</v>
      </c>
      <c r="J3683">
        <v>5223</v>
      </c>
    </row>
    <row r="3684" spans="1:10" x14ac:dyDescent="0.3">
      <c r="A3684" t="s">
        <v>3815</v>
      </c>
      <c r="B3684" t="s">
        <v>14</v>
      </c>
      <c r="C3684" t="str">
        <f>_xlfn.XLOOKUP(B3684,
[1]sales_teams!$A$2:$A$100,
[1]sales_teams!$B$2:$B$100)</f>
        <v>Melvin Marxen</v>
      </c>
      <c r="D3684" t="str">
        <f>_xlfn.XLOOKUP($B3684,sales_teams!$A$2:$A$36,sales_teams!C$2:C$36)</f>
        <v>Central</v>
      </c>
      <c r="E3684" t="s">
        <v>15</v>
      </c>
      <c r="F3684" t="s">
        <v>126</v>
      </c>
      <c r="G3684" t="s">
        <v>12</v>
      </c>
      <c r="H3684" s="1">
        <v>42891</v>
      </c>
      <c r="I3684" s="1">
        <v>42904</v>
      </c>
      <c r="J3684">
        <v>4794</v>
      </c>
    </row>
    <row r="3685" spans="1:10" x14ac:dyDescent="0.3">
      <c r="A3685" t="s">
        <v>3816</v>
      </c>
      <c r="B3685" t="s">
        <v>14</v>
      </c>
      <c r="C3685" t="str">
        <f>_xlfn.XLOOKUP(B3685,
[1]sales_teams!$A$2:$A$100,
[1]sales_teams!$B$2:$B$100)</f>
        <v>Melvin Marxen</v>
      </c>
      <c r="D3685" t="str">
        <f>_xlfn.XLOOKUP($B3685,sales_teams!$A$2:$A$36,sales_teams!C$2:C$36)</f>
        <v>Central</v>
      </c>
      <c r="E3685" t="s">
        <v>15</v>
      </c>
      <c r="F3685" t="s">
        <v>170</v>
      </c>
      <c r="G3685" t="s">
        <v>12</v>
      </c>
      <c r="H3685" s="1">
        <v>42891</v>
      </c>
      <c r="I3685" s="1">
        <v>42984</v>
      </c>
      <c r="J3685">
        <v>4903</v>
      </c>
    </row>
    <row r="3686" spans="1:10" x14ac:dyDescent="0.3">
      <c r="A3686" t="s">
        <v>3817</v>
      </c>
      <c r="B3686" t="s">
        <v>14</v>
      </c>
      <c r="C3686" t="str">
        <f>_xlfn.XLOOKUP(B3686,
[1]sales_teams!$A$2:$A$100,
[1]sales_teams!$B$2:$B$100)</f>
        <v>Melvin Marxen</v>
      </c>
      <c r="D3686" t="str">
        <f>_xlfn.XLOOKUP($B3686,sales_teams!$A$2:$A$36,sales_teams!C$2:C$36)</f>
        <v>Central</v>
      </c>
      <c r="E3686" t="s">
        <v>39</v>
      </c>
      <c r="F3686" t="s">
        <v>197</v>
      </c>
      <c r="G3686" t="s">
        <v>12</v>
      </c>
      <c r="H3686" s="1">
        <v>42891</v>
      </c>
      <c r="I3686" s="1">
        <v>42960</v>
      </c>
      <c r="J3686">
        <v>3625</v>
      </c>
    </row>
    <row r="3687" spans="1:10" x14ac:dyDescent="0.3">
      <c r="A3687" t="s">
        <v>3818</v>
      </c>
      <c r="B3687" t="s">
        <v>44</v>
      </c>
      <c r="C3687" t="str">
        <f>_xlfn.XLOOKUP(B3687,
[1]sales_teams!$A$2:$A$100,
[1]sales_teams!$B$2:$B$100)</f>
        <v>Melvin Marxen</v>
      </c>
      <c r="D3687" t="str">
        <f>_xlfn.XLOOKUP($B3687,sales_teams!$A$2:$A$36,sales_teams!C$2:C$36)</f>
        <v>Central</v>
      </c>
      <c r="E3687" t="s">
        <v>20</v>
      </c>
      <c r="F3687" t="s">
        <v>213</v>
      </c>
      <c r="G3687" t="s">
        <v>46</v>
      </c>
      <c r="H3687" s="1">
        <v>42891</v>
      </c>
      <c r="I3687" s="1">
        <v>42975</v>
      </c>
      <c r="J3687">
        <v>0</v>
      </c>
    </row>
    <row r="3688" spans="1:10" x14ac:dyDescent="0.3">
      <c r="A3688" t="s">
        <v>3819</v>
      </c>
      <c r="B3688" t="s">
        <v>252</v>
      </c>
      <c r="C3688" t="str">
        <f>_xlfn.XLOOKUP(B3688,
[1]sales_teams!$A$2:$A$100,
[1]sales_teams!$B$2:$B$100)</f>
        <v>Melvin Marxen</v>
      </c>
      <c r="D3688" t="str">
        <f>_xlfn.XLOOKUP($B3688,sales_teams!$A$2:$A$36,sales_teams!C$2:C$36)</f>
        <v>Central</v>
      </c>
      <c r="E3688" t="s">
        <v>20</v>
      </c>
      <c r="F3688" t="s">
        <v>126</v>
      </c>
      <c r="G3688" t="s">
        <v>12</v>
      </c>
      <c r="H3688" s="1">
        <v>42891</v>
      </c>
      <c r="I3688" s="1">
        <v>42950</v>
      </c>
      <c r="J3688">
        <v>554</v>
      </c>
    </row>
    <row r="3689" spans="1:10" x14ac:dyDescent="0.3">
      <c r="A3689" t="s">
        <v>3820</v>
      </c>
      <c r="B3689" t="s">
        <v>78</v>
      </c>
      <c r="C3689" t="str">
        <f>_xlfn.XLOOKUP(B3689,
[1]sales_teams!$A$2:$A$100,
[1]sales_teams!$B$2:$B$100)</f>
        <v>Summer Sewald</v>
      </c>
      <c r="D3689" t="str">
        <f>_xlfn.XLOOKUP($B3689,sales_teams!$A$2:$A$36,sales_teams!C$2:C$36)</f>
        <v>West</v>
      </c>
      <c r="E3689" t="s">
        <v>20</v>
      </c>
      <c r="F3689" t="s">
        <v>273</v>
      </c>
      <c r="G3689" t="s">
        <v>46</v>
      </c>
      <c r="H3689" s="1">
        <v>42891</v>
      </c>
      <c r="I3689" s="1">
        <v>42981</v>
      </c>
      <c r="J3689">
        <v>0</v>
      </c>
    </row>
    <row r="3690" spans="1:10" x14ac:dyDescent="0.3">
      <c r="A3690" t="s">
        <v>3821</v>
      </c>
      <c r="B3690" t="s">
        <v>78</v>
      </c>
      <c r="C3690" t="str">
        <f>_xlfn.XLOOKUP(B3690,
[1]sales_teams!$A$2:$A$100,
[1]sales_teams!$B$2:$B$100)</f>
        <v>Summer Sewald</v>
      </c>
      <c r="D3690" t="str">
        <f>_xlfn.XLOOKUP($B3690,sales_teams!$A$2:$A$36,sales_teams!C$2:C$36)</f>
        <v>West</v>
      </c>
      <c r="E3690" t="s">
        <v>20</v>
      </c>
      <c r="F3690" t="s">
        <v>49</v>
      </c>
      <c r="G3690" t="s">
        <v>46</v>
      </c>
      <c r="H3690" s="1">
        <v>42891</v>
      </c>
      <c r="I3690" s="1">
        <v>42897</v>
      </c>
      <c r="J3690">
        <v>0</v>
      </c>
    </row>
    <row r="3691" spans="1:10" x14ac:dyDescent="0.3">
      <c r="A3691" t="s">
        <v>3822</v>
      </c>
      <c r="B3691" t="s">
        <v>95</v>
      </c>
      <c r="C3691" t="str">
        <f>_xlfn.XLOOKUP(B3691,
[1]sales_teams!$A$2:$A$100,
[1]sales_teams!$B$2:$B$100)</f>
        <v>Summer Sewald</v>
      </c>
      <c r="D3691" t="str">
        <f>_xlfn.XLOOKUP($B3691,sales_teams!$A$2:$A$36,sales_teams!C$2:C$36)</f>
        <v>West</v>
      </c>
      <c r="E3691" t="s">
        <v>20</v>
      </c>
      <c r="G3691" t="s">
        <v>40</v>
      </c>
      <c r="H3691" s="1">
        <v>42891</v>
      </c>
    </row>
    <row r="3692" spans="1:10" x14ac:dyDescent="0.3">
      <c r="A3692" t="s">
        <v>3823</v>
      </c>
      <c r="B3692" t="s">
        <v>95</v>
      </c>
      <c r="C3692" t="str">
        <f>_xlfn.XLOOKUP(B3692,
[1]sales_teams!$A$2:$A$100,
[1]sales_teams!$B$2:$B$100)</f>
        <v>Summer Sewald</v>
      </c>
      <c r="D3692" t="str">
        <f>_xlfn.XLOOKUP($B3692,sales_teams!$A$2:$A$36,sales_teams!C$2:C$36)</f>
        <v>West</v>
      </c>
      <c r="E3692" t="s">
        <v>15</v>
      </c>
      <c r="F3692" t="s">
        <v>24</v>
      </c>
      <c r="G3692" t="s">
        <v>12</v>
      </c>
      <c r="H3692" s="1">
        <v>42891</v>
      </c>
      <c r="I3692" s="1">
        <v>42983</v>
      </c>
      <c r="J3692">
        <v>5039</v>
      </c>
    </row>
    <row r="3693" spans="1:10" x14ac:dyDescent="0.3">
      <c r="A3693" t="s">
        <v>3824</v>
      </c>
      <c r="B3693" t="s">
        <v>32</v>
      </c>
      <c r="C3693" t="str">
        <f>_xlfn.XLOOKUP(B3693,
[1]sales_teams!$A$2:$A$100,
[1]sales_teams!$B$2:$B$100)</f>
        <v>Celia Rouche</v>
      </c>
      <c r="D3693" t="str">
        <f>_xlfn.XLOOKUP($B3693,sales_teams!$A$2:$A$36,sales_teams!C$2:C$36)</f>
        <v>West</v>
      </c>
      <c r="E3693" t="s">
        <v>10</v>
      </c>
      <c r="F3693" t="s">
        <v>194</v>
      </c>
      <c r="G3693" t="s">
        <v>12</v>
      </c>
      <c r="H3693" s="1">
        <v>42891</v>
      </c>
      <c r="I3693" s="1">
        <v>42977</v>
      </c>
      <c r="J3693">
        <v>1169</v>
      </c>
    </row>
    <row r="3694" spans="1:10" x14ac:dyDescent="0.3">
      <c r="A3694" t="s">
        <v>3825</v>
      </c>
      <c r="B3694" t="s">
        <v>116</v>
      </c>
      <c r="C3694" t="str">
        <f>_xlfn.XLOOKUP(B3694,
[1]sales_teams!$A$2:$A$100,
[1]sales_teams!$B$2:$B$100)</f>
        <v>Melvin Marxen</v>
      </c>
      <c r="D3694" t="str">
        <f>_xlfn.XLOOKUP($B3694,sales_teams!$A$2:$A$36,sales_teams!C$2:C$36)</f>
        <v>Central</v>
      </c>
      <c r="E3694" t="s">
        <v>15</v>
      </c>
      <c r="F3694" t="s">
        <v>170</v>
      </c>
      <c r="G3694" t="s">
        <v>12</v>
      </c>
      <c r="H3694" s="1">
        <v>42891</v>
      </c>
      <c r="I3694" s="1">
        <v>42997</v>
      </c>
      <c r="J3694">
        <v>5055</v>
      </c>
    </row>
    <row r="3695" spans="1:10" x14ac:dyDescent="0.3">
      <c r="A3695" t="s">
        <v>3826</v>
      </c>
      <c r="B3695" t="s">
        <v>116</v>
      </c>
      <c r="C3695" t="str">
        <f>_xlfn.XLOOKUP(B3695,
[1]sales_teams!$A$2:$A$100,
[1]sales_teams!$B$2:$B$100)</f>
        <v>Melvin Marxen</v>
      </c>
      <c r="D3695" t="str">
        <f>_xlfn.XLOOKUP($B3695,sales_teams!$A$2:$A$36,sales_teams!C$2:C$36)</f>
        <v>Central</v>
      </c>
      <c r="E3695" t="s">
        <v>18</v>
      </c>
      <c r="F3695" t="s">
        <v>231</v>
      </c>
      <c r="G3695" t="s">
        <v>12</v>
      </c>
      <c r="H3695" s="1">
        <v>42891</v>
      </c>
      <c r="I3695" s="1">
        <v>42908</v>
      </c>
      <c r="J3695">
        <v>60</v>
      </c>
    </row>
    <row r="3696" spans="1:10" x14ac:dyDescent="0.3">
      <c r="A3696" t="s">
        <v>3827</v>
      </c>
      <c r="B3696" t="s">
        <v>51</v>
      </c>
      <c r="C3696" t="str">
        <f>_xlfn.XLOOKUP(B3696,
[1]sales_teams!$A$2:$A$100,
[1]sales_teams!$B$2:$B$100)</f>
        <v>Summer Sewald</v>
      </c>
      <c r="D3696" t="str">
        <f>_xlfn.XLOOKUP($B3696,sales_teams!$A$2:$A$36,sales_teams!C$2:C$36)</f>
        <v>West</v>
      </c>
      <c r="E3696" t="s">
        <v>10</v>
      </c>
      <c r="F3696" t="s">
        <v>218</v>
      </c>
      <c r="G3696" t="s">
        <v>46</v>
      </c>
      <c r="H3696" s="1">
        <v>42891</v>
      </c>
      <c r="I3696" s="1">
        <v>42974</v>
      </c>
      <c r="J3696">
        <v>0</v>
      </c>
    </row>
    <row r="3697" spans="1:10" x14ac:dyDescent="0.3">
      <c r="A3697" t="s">
        <v>3828</v>
      </c>
      <c r="B3697" t="s">
        <v>51</v>
      </c>
      <c r="C3697" t="str">
        <f>_xlfn.XLOOKUP(B3697,
[1]sales_teams!$A$2:$A$100,
[1]sales_teams!$B$2:$B$100)</f>
        <v>Summer Sewald</v>
      </c>
      <c r="D3697" t="str">
        <f>_xlfn.XLOOKUP($B3697,sales_teams!$A$2:$A$36,sales_teams!C$2:C$36)</f>
        <v>West</v>
      </c>
      <c r="E3697" t="s">
        <v>20</v>
      </c>
      <c r="F3697" t="s">
        <v>122</v>
      </c>
      <c r="G3697" t="s">
        <v>12</v>
      </c>
      <c r="H3697" s="1">
        <v>42891</v>
      </c>
      <c r="I3697" s="1">
        <v>42986</v>
      </c>
      <c r="J3697">
        <v>595</v>
      </c>
    </row>
    <row r="3698" spans="1:10" x14ac:dyDescent="0.3">
      <c r="A3698" t="s">
        <v>3829</v>
      </c>
      <c r="B3698" t="s">
        <v>51</v>
      </c>
      <c r="C3698" t="str">
        <f>_xlfn.XLOOKUP(B3698,
[1]sales_teams!$A$2:$A$100,
[1]sales_teams!$B$2:$B$100)</f>
        <v>Summer Sewald</v>
      </c>
      <c r="D3698" t="str">
        <f>_xlfn.XLOOKUP($B3698,sales_teams!$A$2:$A$36,sales_teams!C$2:C$36)</f>
        <v>West</v>
      </c>
      <c r="E3698" t="s">
        <v>39</v>
      </c>
      <c r="F3698" t="s">
        <v>124</v>
      </c>
      <c r="G3698" t="s">
        <v>12</v>
      </c>
      <c r="H3698" s="1">
        <v>42891</v>
      </c>
      <c r="I3698" s="1">
        <v>42907</v>
      </c>
      <c r="J3698">
        <v>3227</v>
      </c>
    </row>
    <row r="3699" spans="1:10" x14ac:dyDescent="0.3">
      <c r="A3699" t="s">
        <v>3830</v>
      </c>
      <c r="B3699" t="s">
        <v>9</v>
      </c>
      <c r="C3699" t="str">
        <f>_xlfn.XLOOKUP(B3699,
[1]sales_teams!$A$2:$A$100,
[1]sales_teams!$B$2:$B$100)</f>
        <v>Dustin Brinkmann</v>
      </c>
      <c r="D3699" t="str">
        <f>_xlfn.XLOOKUP($B3699,sales_teams!$A$2:$A$36,sales_teams!C$2:C$36)</f>
        <v>Central</v>
      </c>
      <c r="E3699" t="s">
        <v>10</v>
      </c>
      <c r="F3699" t="s">
        <v>113</v>
      </c>
      <c r="G3699" t="s">
        <v>46</v>
      </c>
      <c r="H3699" s="1">
        <v>42891</v>
      </c>
      <c r="I3699" s="1">
        <v>42897</v>
      </c>
      <c r="J3699">
        <v>0</v>
      </c>
    </row>
    <row r="3700" spans="1:10" x14ac:dyDescent="0.3">
      <c r="A3700" t="s">
        <v>3831</v>
      </c>
      <c r="B3700" t="s">
        <v>9</v>
      </c>
      <c r="C3700" t="str">
        <f>_xlfn.XLOOKUP(B3700,
[1]sales_teams!$A$2:$A$100,
[1]sales_teams!$B$2:$B$100)</f>
        <v>Dustin Brinkmann</v>
      </c>
      <c r="D3700" t="str">
        <f>_xlfn.XLOOKUP($B3700,sales_teams!$A$2:$A$36,sales_teams!C$2:C$36)</f>
        <v>Central</v>
      </c>
      <c r="E3700" t="s">
        <v>10</v>
      </c>
      <c r="F3700" t="s">
        <v>27</v>
      </c>
      <c r="G3700" t="s">
        <v>46</v>
      </c>
      <c r="H3700" s="1">
        <v>42891</v>
      </c>
      <c r="I3700" s="1">
        <v>42961</v>
      </c>
      <c r="J3700">
        <v>0</v>
      </c>
    </row>
    <row r="3701" spans="1:10" x14ac:dyDescent="0.3">
      <c r="A3701" t="s">
        <v>3832</v>
      </c>
      <c r="B3701" t="s">
        <v>9</v>
      </c>
      <c r="C3701" t="str">
        <f>_xlfn.XLOOKUP(B3701,
[1]sales_teams!$A$2:$A$100,
[1]sales_teams!$B$2:$B$100)</f>
        <v>Dustin Brinkmann</v>
      </c>
      <c r="D3701" t="str">
        <f>_xlfn.XLOOKUP($B3701,sales_teams!$A$2:$A$36,sales_teams!C$2:C$36)</f>
        <v>Central</v>
      </c>
      <c r="E3701" t="s">
        <v>18</v>
      </c>
      <c r="F3701" t="s">
        <v>315</v>
      </c>
      <c r="G3701" t="s">
        <v>12</v>
      </c>
      <c r="H3701" s="1">
        <v>42891</v>
      </c>
      <c r="I3701" s="1">
        <v>42998</v>
      </c>
      <c r="J3701">
        <v>59</v>
      </c>
    </row>
    <row r="3702" spans="1:10" x14ac:dyDescent="0.3">
      <c r="A3702" t="s">
        <v>3833</v>
      </c>
      <c r="B3702" t="s">
        <v>35</v>
      </c>
      <c r="C3702" t="str">
        <f>_xlfn.XLOOKUP(B3702,
[1]sales_teams!$A$2:$A$100,
[1]sales_teams!$B$2:$B$100)</f>
        <v>Melvin Marxen</v>
      </c>
      <c r="D3702" t="str">
        <f>_xlfn.XLOOKUP($B3702,sales_teams!$A$2:$A$36,sales_teams!C$2:C$36)</f>
        <v>Central</v>
      </c>
      <c r="E3702" t="s">
        <v>20</v>
      </c>
      <c r="F3702" t="s">
        <v>318</v>
      </c>
      <c r="G3702" t="s">
        <v>12</v>
      </c>
      <c r="H3702" s="1">
        <v>42891</v>
      </c>
      <c r="I3702" s="1">
        <v>43004</v>
      </c>
      <c r="J3702">
        <v>479</v>
      </c>
    </row>
    <row r="3703" spans="1:10" x14ac:dyDescent="0.3">
      <c r="A3703" t="s">
        <v>3834</v>
      </c>
      <c r="B3703" t="s">
        <v>35</v>
      </c>
      <c r="C3703" t="str">
        <f>_xlfn.XLOOKUP(B3703,
[1]sales_teams!$A$2:$A$100,
[1]sales_teams!$B$2:$B$100)</f>
        <v>Melvin Marxen</v>
      </c>
      <c r="D3703" t="str">
        <f>_xlfn.XLOOKUP($B3703,sales_teams!$A$2:$A$36,sales_teams!C$2:C$36)</f>
        <v>Central</v>
      </c>
      <c r="E3703" t="s">
        <v>39</v>
      </c>
      <c r="F3703" t="s">
        <v>213</v>
      </c>
      <c r="G3703" t="s">
        <v>12</v>
      </c>
      <c r="H3703" s="1">
        <v>42891</v>
      </c>
      <c r="I3703" s="1">
        <v>42992</v>
      </c>
      <c r="J3703">
        <v>3449</v>
      </c>
    </row>
    <row r="3704" spans="1:10" x14ac:dyDescent="0.3">
      <c r="A3704" t="s">
        <v>3835</v>
      </c>
      <c r="B3704" t="s">
        <v>97</v>
      </c>
      <c r="C3704" t="str">
        <f>_xlfn.XLOOKUP(B3704,
[1]sales_teams!$A$2:$A$100,
[1]sales_teams!$B$2:$B$100)</f>
        <v>Rocco Neubert</v>
      </c>
      <c r="D3704" t="str">
        <f>_xlfn.XLOOKUP($B3704,sales_teams!$A$2:$A$36,sales_teams!C$2:C$36)</f>
        <v>East</v>
      </c>
      <c r="E3704" t="s">
        <v>18</v>
      </c>
      <c r="F3704" t="s">
        <v>222</v>
      </c>
      <c r="G3704" t="s">
        <v>12</v>
      </c>
      <c r="H3704" s="1">
        <v>42891</v>
      </c>
      <c r="I3704" s="1">
        <v>43002</v>
      </c>
      <c r="J3704">
        <v>54</v>
      </c>
    </row>
    <row r="3705" spans="1:10" x14ac:dyDescent="0.3">
      <c r="A3705" t="s">
        <v>3836</v>
      </c>
      <c r="B3705" t="s">
        <v>29</v>
      </c>
      <c r="C3705" t="str">
        <f>_xlfn.XLOOKUP(B3705,
[1]sales_teams!$A$2:$A$100,
[1]sales_teams!$B$2:$B$100)</f>
        <v>Celia Rouche</v>
      </c>
      <c r="D3705" t="str">
        <f>_xlfn.XLOOKUP($B3705,sales_teams!$A$2:$A$36,sales_teams!C$2:C$36)</f>
        <v>West</v>
      </c>
      <c r="E3705" t="s">
        <v>39</v>
      </c>
      <c r="F3705" t="s">
        <v>24</v>
      </c>
      <c r="G3705" t="s">
        <v>46</v>
      </c>
      <c r="H3705" s="1">
        <v>42891</v>
      </c>
      <c r="I3705" s="1">
        <v>42961</v>
      </c>
      <c r="J3705">
        <v>0</v>
      </c>
    </row>
    <row r="3706" spans="1:10" x14ac:dyDescent="0.3">
      <c r="A3706" t="s">
        <v>3837</v>
      </c>
      <c r="B3706" t="s">
        <v>29</v>
      </c>
      <c r="C3706" t="str">
        <f>_xlfn.XLOOKUP(B3706,
[1]sales_teams!$A$2:$A$100,
[1]sales_teams!$B$2:$B$100)</f>
        <v>Celia Rouche</v>
      </c>
      <c r="D3706" t="str">
        <f>_xlfn.XLOOKUP($B3706,sales_teams!$A$2:$A$36,sales_teams!C$2:C$36)</f>
        <v>West</v>
      </c>
      <c r="E3706" t="s">
        <v>18</v>
      </c>
      <c r="F3706" t="s">
        <v>224</v>
      </c>
      <c r="G3706" t="s">
        <v>12</v>
      </c>
      <c r="H3706" s="1">
        <v>42891</v>
      </c>
      <c r="I3706" s="1">
        <v>42979</v>
      </c>
      <c r="J3706">
        <v>59</v>
      </c>
    </row>
    <row r="3707" spans="1:10" x14ac:dyDescent="0.3">
      <c r="A3707" t="s">
        <v>3838</v>
      </c>
      <c r="B3707" t="s">
        <v>73</v>
      </c>
      <c r="C3707" t="str">
        <f>_xlfn.XLOOKUP(B3707,
[1]sales_teams!$A$2:$A$100,
[1]sales_teams!$B$2:$B$100)</f>
        <v>Cara Losch</v>
      </c>
      <c r="D3707" t="str">
        <f>_xlfn.XLOOKUP($B3707,sales_teams!$A$2:$A$36,sales_teams!C$2:C$36)</f>
        <v>East</v>
      </c>
      <c r="E3707" t="s">
        <v>18</v>
      </c>
      <c r="F3707" t="s">
        <v>98</v>
      </c>
      <c r="G3707" t="s">
        <v>46</v>
      </c>
      <c r="H3707" s="1">
        <v>42891</v>
      </c>
      <c r="I3707" s="1">
        <v>42948</v>
      </c>
      <c r="J3707">
        <v>0</v>
      </c>
    </row>
    <row r="3708" spans="1:10" x14ac:dyDescent="0.3">
      <c r="A3708" t="s">
        <v>3839</v>
      </c>
      <c r="B3708" t="s">
        <v>23</v>
      </c>
      <c r="C3708" t="str">
        <f>_xlfn.XLOOKUP(B3708,
[1]sales_teams!$A$2:$A$100,
[1]sales_teams!$B$2:$B$100)</f>
        <v>Summer Sewald</v>
      </c>
      <c r="D3708" t="str">
        <f>_xlfn.XLOOKUP($B3708,sales_teams!$A$2:$A$36,sales_teams!C$2:C$36)</f>
        <v>West</v>
      </c>
      <c r="E3708" t="s">
        <v>18</v>
      </c>
      <c r="G3708" t="s">
        <v>40</v>
      </c>
      <c r="H3708" s="1">
        <v>42891</v>
      </c>
    </row>
    <row r="3709" spans="1:10" x14ac:dyDescent="0.3">
      <c r="A3709" t="s">
        <v>3840</v>
      </c>
      <c r="B3709" t="s">
        <v>23</v>
      </c>
      <c r="C3709" t="str">
        <f>_xlfn.XLOOKUP(B3709,
[1]sales_teams!$A$2:$A$100,
[1]sales_teams!$B$2:$B$100)</f>
        <v>Summer Sewald</v>
      </c>
      <c r="D3709" t="str">
        <f>_xlfn.XLOOKUP($B3709,sales_teams!$A$2:$A$36,sales_teams!C$2:C$36)</f>
        <v>West</v>
      </c>
      <c r="E3709" t="s">
        <v>20</v>
      </c>
      <c r="F3709" t="s">
        <v>55</v>
      </c>
      <c r="G3709" t="s">
        <v>46</v>
      </c>
      <c r="H3709" s="1">
        <v>42891</v>
      </c>
      <c r="I3709" s="1">
        <v>43005</v>
      </c>
      <c r="J3709">
        <v>0</v>
      </c>
    </row>
    <row r="3710" spans="1:10" x14ac:dyDescent="0.3">
      <c r="A3710" t="s">
        <v>3841</v>
      </c>
      <c r="B3710" t="s">
        <v>26</v>
      </c>
      <c r="C3710" t="str">
        <f>_xlfn.XLOOKUP(B3710,
[1]sales_teams!$A$2:$A$100,
[1]sales_teams!$B$2:$B$100)</f>
        <v>Dustin Brinkmann</v>
      </c>
      <c r="D3710" t="str">
        <f>_xlfn.XLOOKUP($B3710,sales_teams!$A$2:$A$36,sales_teams!C$2:C$36)</f>
        <v>Central</v>
      </c>
      <c r="E3710" t="s">
        <v>18</v>
      </c>
      <c r="F3710" t="s">
        <v>492</v>
      </c>
      <c r="G3710" t="s">
        <v>12</v>
      </c>
      <c r="H3710" s="1">
        <v>42892</v>
      </c>
      <c r="I3710" s="1">
        <v>43005</v>
      </c>
      <c r="J3710">
        <v>55</v>
      </c>
    </row>
    <row r="3711" spans="1:10" x14ac:dyDescent="0.3">
      <c r="A3711" t="s">
        <v>3842</v>
      </c>
      <c r="B3711" t="s">
        <v>118</v>
      </c>
      <c r="C3711" t="str">
        <f>_xlfn.XLOOKUP(B3711,
[1]sales_teams!$A$2:$A$100,
[1]sales_teams!$B$2:$B$100)</f>
        <v>Rocco Neubert</v>
      </c>
      <c r="D3711" t="str">
        <f>_xlfn.XLOOKUP($B3711,sales_teams!$A$2:$A$36,sales_teams!C$2:C$36)</f>
        <v>East</v>
      </c>
      <c r="E3711" t="s">
        <v>39</v>
      </c>
      <c r="F3711" t="s">
        <v>240</v>
      </c>
      <c r="G3711" t="s">
        <v>12</v>
      </c>
      <c r="H3711" s="1">
        <v>42892</v>
      </c>
      <c r="I3711" s="1">
        <v>42956</v>
      </c>
      <c r="J3711">
        <v>3042</v>
      </c>
    </row>
    <row r="3712" spans="1:10" x14ac:dyDescent="0.3">
      <c r="A3712" t="s">
        <v>3843</v>
      </c>
      <c r="B3712" t="s">
        <v>164</v>
      </c>
      <c r="C3712" t="str">
        <f>_xlfn.XLOOKUP(B3712,
[1]sales_teams!$A$2:$A$100,
[1]sales_teams!$B$2:$B$100)</f>
        <v>Cara Losch</v>
      </c>
      <c r="D3712" t="str">
        <f>_xlfn.XLOOKUP($B3712,sales_teams!$A$2:$A$36,sales_teams!C$2:C$36)</f>
        <v>East</v>
      </c>
      <c r="E3712" t="s">
        <v>15</v>
      </c>
      <c r="F3712" t="s">
        <v>81</v>
      </c>
      <c r="G3712" t="s">
        <v>12</v>
      </c>
      <c r="H3712" s="1">
        <v>42892</v>
      </c>
      <c r="I3712" s="1">
        <v>42958</v>
      </c>
      <c r="J3712">
        <v>4230</v>
      </c>
    </row>
    <row r="3713" spans="1:10" x14ac:dyDescent="0.3">
      <c r="A3713" t="s">
        <v>3844</v>
      </c>
      <c r="B3713" t="s">
        <v>64</v>
      </c>
      <c r="C3713" t="str">
        <f>_xlfn.XLOOKUP(B3713,
[1]sales_teams!$A$2:$A$100,
[1]sales_teams!$B$2:$B$100)</f>
        <v>Rocco Neubert</v>
      </c>
      <c r="D3713" t="str">
        <f>_xlfn.XLOOKUP($B3713,sales_teams!$A$2:$A$36,sales_teams!C$2:C$36)</f>
        <v>East</v>
      </c>
      <c r="E3713" t="s">
        <v>10</v>
      </c>
      <c r="F3713" t="s">
        <v>240</v>
      </c>
      <c r="G3713" t="s">
        <v>12</v>
      </c>
      <c r="H3713" s="1">
        <v>42892</v>
      </c>
      <c r="I3713" s="1">
        <v>42962</v>
      </c>
      <c r="J3713">
        <v>979</v>
      </c>
    </row>
    <row r="3714" spans="1:10" x14ac:dyDescent="0.3">
      <c r="A3714" t="s">
        <v>3845</v>
      </c>
      <c r="B3714" t="s">
        <v>64</v>
      </c>
      <c r="C3714" t="str">
        <f>_xlfn.XLOOKUP(B3714,
[1]sales_teams!$A$2:$A$100,
[1]sales_teams!$B$2:$B$100)</f>
        <v>Rocco Neubert</v>
      </c>
      <c r="D3714" t="str">
        <f>_xlfn.XLOOKUP($B3714,sales_teams!$A$2:$A$36,sales_teams!C$2:C$36)</f>
        <v>East</v>
      </c>
      <c r="E3714" t="s">
        <v>10</v>
      </c>
      <c r="F3714" t="s">
        <v>89</v>
      </c>
      <c r="G3714" t="s">
        <v>12</v>
      </c>
      <c r="H3714" s="1">
        <v>42892</v>
      </c>
      <c r="I3714" s="1">
        <v>42903</v>
      </c>
      <c r="J3714">
        <v>1064</v>
      </c>
    </row>
    <row r="3715" spans="1:10" x14ac:dyDescent="0.3">
      <c r="A3715" t="s">
        <v>3846</v>
      </c>
      <c r="B3715" t="s">
        <v>64</v>
      </c>
      <c r="C3715" t="str">
        <f>_xlfn.XLOOKUP(B3715,
[1]sales_teams!$A$2:$A$100,
[1]sales_teams!$B$2:$B$100)</f>
        <v>Rocco Neubert</v>
      </c>
      <c r="D3715" t="str">
        <f>_xlfn.XLOOKUP($B3715,sales_teams!$A$2:$A$36,sales_teams!C$2:C$36)</f>
        <v>East</v>
      </c>
      <c r="E3715" t="s">
        <v>15</v>
      </c>
      <c r="F3715" t="s">
        <v>65</v>
      </c>
      <c r="G3715" t="s">
        <v>12</v>
      </c>
      <c r="H3715" s="1">
        <v>42892</v>
      </c>
      <c r="I3715" s="1">
        <v>42967</v>
      </c>
      <c r="J3715">
        <v>5166</v>
      </c>
    </row>
    <row r="3716" spans="1:10" x14ac:dyDescent="0.3">
      <c r="A3716" t="s">
        <v>3847</v>
      </c>
      <c r="B3716" t="s">
        <v>142</v>
      </c>
      <c r="C3716" t="str">
        <f>_xlfn.XLOOKUP(B3716,
[1]sales_teams!$A$2:$A$100,
[1]sales_teams!$B$2:$B$100)</f>
        <v>Rocco Neubert</v>
      </c>
      <c r="D3716" t="str">
        <f>_xlfn.XLOOKUP($B3716,sales_teams!$A$2:$A$36,sales_teams!C$2:C$36)</f>
        <v>East</v>
      </c>
      <c r="E3716" t="s">
        <v>10</v>
      </c>
      <c r="F3716" t="s">
        <v>165</v>
      </c>
      <c r="G3716" t="s">
        <v>12</v>
      </c>
      <c r="H3716" s="1">
        <v>42892</v>
      </c>
      <c r="I3716" s="1">
        <v>42970</v>
      </c>
      <c r="J3716">
        <v>1036</v>
      </c>
    </row>
    <row r="3717" spans="1:10" x14ac:dyDescent="0.3">
      <c r="A3717" t="s">
        <v>3848</v>
      </c>
      <c r="B3717" t="s">
        <v>67</v>
      </c>
      <c r="C3717" t="str">
        <f>_xlfn.XLOOKUP(B3717,
[1]sales_teams!$A$2:$A$100,
[1]sales_teams!$B$2:$B$100)</f>
        <v>Celia Rouche</v>
      </c>
      <c r="D3717" t="str">
        <f>_xlfn.XLOOKUP($B3717,sales_teams!$A$2:$A$36,sales_teams!C$2:C$36)</f>
        <v>West</v>
      </c>
      <c r="E3717" t="s">
        <v>15</v>
      </c>
      <c r="F3717" t="s">
        <v>315</v>
      </c>
      <c r="G3717" t="s">
        <v>12</v>
      </c>
      <c r="H3717" s="1">
        <v>42892</v>
      </c>
      <c r="I3717" s="1">
        <v>42953</v>
      </c>
      <c r="J3717">
        <v>4330</v>
      </c>
    </row>
    <row r="3718" spans="1:10" x14ac:dyDescent="0.3">
      <c r="A3718" t="s">
        <v>3849</v>
      </c>
      <c r="B3718" t="s">
        <v>44</v>
      </c>
      <c r="C3718" t="str">
        <f>_xlfn.XLOOKUP(B3718,
[1]sales_teams!$A$2:$A$100,
[1]sales_teams!$B$2:$B$100)</f>
        <v>Melvin Marxen</v>
      </c>
      <c r="D3718" t="str">
        <f>_xlfn.XLOOKUP($B3718,sales_teams!$A$2:$A$36,sales_teams!C$2:C$36)</f>
        <v>Central</v>
      </c>
      <c r="E3718" t="s">
        <v>39</v>
      </c>
      <c r="F3718" t="s">
        <v>315</v>
      </c>
      <c r="G3718" t="s">
        <v>12</v>
      </c>
      <c r="H3718" s="1">
        <v>42892</v>
      </c>
      <c r="I3718" s="1">
        <v>42991</v>
      </c>
      <c r="J3718">
        <v>3598</v>
      </c>
    </row>
    <row r="3719" spans="1:10" x14ac:dyDescent="0.3">
      <c r="A3719" t="s">
        <v>3850</v>
      </c>
      <c r="B3719" t="s">
        <v>38</v>
      </c>
      <c r="C3719" t="str">
        <f>_xlfn.XLOOKUP(B3719,
[1]sales_teams!$A$2:$A$100,
[1]sales_teams!$B$2:$B$100)</f>
        <v>Summer Sewald</v>
      </c>
      <c r="D3719" t="str">
        <f>_xlfn.XLOOKUP($B3719,sales_teams!$A$2:$A$36,sales_teams!C$2:C$36)</f>
        <v>West</v>
      </c>
      <c r="E3719" t="s">
        <v>20</v>
      </c>
      <c r="F3719" t="s">
        <v>148</v>
      </c>
      <c r="G3719" t="s">
        <v>12</v>
      </c>
      <c r="H3719" s="1">
        <v>42892</v>
      </c>
      <c r="I3719" s="1">
        <v>42963</v>
      </c>
      <c r="J3719">
        <v>431</v>
      </c>
    </row>
    <row r="3720" spans="1:10" x14ac:dyDescent="0.3">
      <c r="A3720" t="s">
        <v>3851</v>
      </c>
      <c r="B3720" t="s">
        <v>252</v>
      </c>
      <c r="C3720" t="str">
        <f>_xlfn.XLOOKUP(B3720,
[1]sales_teams!$A$2:$A$100,
[1]sales_teams!$B$2:$B$100)</f>
        <v>Melvin Marxen</v>
      </c>
      <c r="D3720" t="str">
        <f>_xlfn.XLOOKUP($B3720,sales_teams!$A$2:$A$36,sales_teams!C$2:C$36)</f>
        <v>Central</v>
      </c>
      <c r="E3720" t="s">
        <v>10</v>
      </c>
      <c r="F3720" t="s">
        <v>135</v>
      </c>
      <c r="G3720" t="s">
        <v>46</v>
      </c>
      <c r="H3720" s="1">
        <v>42892</v>
      </c>
      <c r="I3720" s="1">
        <v>42975</v>
      </c>
      <c r="J3720">
        <v>0</v>
      </c>
    </row>
    <row r="3721" spans="1:10" x14ac:dyDescent="0.3">
      <c r="A3721" t="s">
        <v>3852</v>
      </c>
      <c r="B3721" t="s">
        <v>252</v>
      </c>
      <c r="C3721" t="str">
        <f>_xlfn.XLOOKUP(B3721,
[1]sales_teams!$A$2:$A$100,
[1]sales_teams!$B$2:$B$100)</f>
        <v>Melvin Marxen</v>
      </c>
      <c r="D3721" t="str">
        <f>_xlfn.XLOOKUP($B3721,sales_teams!$A$2:$A$36,sales_teams!C$2:C$36)</f>
        <v>Central</v>
      </c>
      <c r="E3721" t="s">
        <v>20</v>
      </c>
      <c r="F3721" t="s">
        <v>135</v>
      </c>
      <c r="G3721" t="s">
        <v>12</v>
      </c>
      <c r="H3721" s="1">
        <v>42892</v>
      </c>
      <c r="I3721" s="1">
        <v>42903</v>
      </c>
      <c r="J3721">
        <v>624</v>
      </c>
    </row>
    <row r="3722" spans="1:10" x14ac:dyDescent="0.3">
      <c r="A3722" t="s">
        <v>3853</v>
      </c>
      <c r="B3722" t="s">
        <v>252</v>
      </c>
      <c r="C3722" t="str">
        <f>_xlfn.XLOOKUP(B3722,
[1]sales_teams!$A$2:$A$100,
[1]sales_teams!$B$2:$B$100)</f>
        <v>Melvin Marxen</v>
      </c>
      <c r="D3722" t="str">
        <f>_xlfn.XLOOKUP($B3722,sales_teams!$A$2:$A$36,sales_teams!C$2:C$36)</f>
        <v>Central</v>
      </c>
      <c r="E3722" t="s">
        <v>10</v>
      </c>
      <c r="F3722" t="s">
        <v>129</v>
      </c>
      <c r="G3722" t="s">
        <v>12</v>
      </c>
      <c r="H3722" s="1">
        <v>42892</v>
      </c>
      <c r="I3722" s="1">
        <v>42897</v>
      </c>
      <c r="J3722">
        <v>1140</v>
      </c>
    </row>
    <row r="3723" spans="1:10" x14ac:dyDescent="0.3">
      <c r="A3723" t="s">
        <v>3854</v>
      </c>
      <c r="B3723" t="s">
        <v>78</v>
      </c>
      <c r="C3723" t="str">
        <f>_xlfn.XLOOKUP(B3723,
[1]sales_teams!$A$2:$A$100,
[1]sales_teams!$B$2:$B$100)</f>
        <v>Summer Sewald</v>
      </c>
      <c r="D3723" t="str">
        <f>_xlfn.XLOOKUP($B3723,sales_teams!$A$2:$A$36,sales_teams!C$2:C$36)</f>
        <v>West</v>
      </c>
      <c r="E3723" t="s">
        <v>18</v>
      </c>
      <c r="F3723" t="s">
        <v>218</v>
      </c>
      <c r="G3723" t="s">
        <v>12</v>
      </c>
      <c r="H3723" s="1">
        <v>42892</v>
      </c>
      <c r="I3723" s="1">
        <v>42995</v>
      </c>
      <c r="J3723">
        <v>62</v>
      </c>
    </row>
    <row r="3724" spans="1:10" x14ac:dyDescent="0.3">
      <c r="A3724" t="s">
        <v>3855</v>
      </c>
      <c r="B3724" t="s">
        <v>95</v>
      </c>
      <c r="C3724" t="str">
        <f>_xlfn.XLOOKUP(B3724,
[1]sales_teams!$A$2:$A$100,
[1]sales_teams!$B$2:$B$100)</f>
        <v>Summer Sewald</v>
      </c>
      <c r="D3724" t="str">
        <f>_xlfn.XLOOKUP($B3724,sales_teams!$A$2:$A$36,sales_teams!C$2:C$36)</f>
        <v>West</v>
      </c>
      <c r="E3724" t="s">
        <v>20</v>
      </c>
      <c r="F3724" t="s">
        <v>70</v>
      </c>
      <c r="G3724" t="s">
        <v>46</v>
      </c>
      <c r="H3724" s="1">
        <v>42892</v>
      </c>
      <c r="I3724" s="1">
        <v>42948</v>
      </c>
      <c r="J3724">
        <v>0</v>
      </c>
    </row>
    <row r="3725" spans="1:10" x14ac:dyDescent="0.3">
      <c r="A3725" t="s">
        <v>3856</v>
      </c>
      <c r="B3725" t="s">
        <v>133</v>
      </c>
      <c r="C3725" t="str">
        <f>_xlfn.XLOOKUP(B3725,
[1]sales_teams!$A$2:$A$100,
[1]sales_teams!$B$2:$B$100)</f>
        <v>Dustin Brinkmann</v>
      </c>
      <c r="D3725" t="str">
        <f>_xlfn.XLOOKUP($B3725,sales_teams!$A$2:$A$36,sales_teams!C$2:C$36)</f>
        <v>Central</v>
      </c>
      <c r="E3725" t="s">
        <v>20</v>
      </c>
      <c r="F3725" t="s">
        <v>492</v>
      </c>
      <c r="G3725" t="s">
        <v>12</v>
      </c>
      <c r="H3725" s="1">
        <v>42892</v>
      </c>
      <c r="I3725" s="1">
        <v>42993</v>
      </c>
      <c r="J3725">
        <v>584</v>
      </c>
    </row>
    <row r="3726" spans="1:10" x14ac:dyDescent="0.3">
      <c r="A3726" t="s">
        <v>3857</v>
      </c>
      <c r="B3726" t="s">
        <v>32</v>
      </c>
      <c r="C3726" t="str">
        <f>_xlfn.XLOOKUP(B3726,
[1]sales_teams!$A$2:$A$100,
[1]sales_teams!$B$2:$B$100)</f>
        <v>Celia Rouche</v>
      </c>
      <c r="D3726" t="str">
        <f>_xlfn.XLOOKUP($B3726,sales_teams!$A$2:$A$36,sales_teams!C$2:C$36)</f>
        <v>West</v>
      </c>
      <c r="E3726" t="s">
        <v>18</v>
      </c>
      <c r="F3726" t="s">
        <v>184</v>
      </c>
      <c r="G3726" t="s">
        <v>46</v>
      </c>
      <c r="H3726" s="1">
        <v>42892</v>
      </c>
      <c r="I3726" s="1">
        <v>42987</v>
      </c>
      <c r="J3726">
        <v>0</v>
      </c>
    </row>
    <row r="3727" spans="1:10" x14ac:dyDescent="0.3">
      <c r="A3727" t="s">
        <v>3858</v>
      </c>
      <c r="B3727" t="s">
        <v>32</v>
      </c>
      <c r="C3727" t="str">
        <f>_xlfn.XLOOKUP(B3727,
[1]sales_teams!$A$2:$A$100,
[1]sales_teams!$B$2:$B$100)</f>
        <v>Celia Rouche</v>
      </c>
      <c r="D3727" t="str">
        <f>_xlfn.XLOOKUP($B3727,sales_teams!$A$2:$A$36,sales_teams!C$2:C$36)</f>
        <v>West</v>
      </c>
      <c r="E3727" t="s">
        <v>18</v>
      </c>
      <c r="F3727" t="s">
        <v>148</v>
      </c>
      <c r="G3727" t="s">
        <v>12</v>
      </c>
      <c r="H3727" s="1">
        <v>42892</v>
      </c>
      <c r="I3727" s="1">
        <v>42966</v>
      </c>
      <c r="J3727">
        <v>57</v>
      </c>
    </row>
    <row r="3728" spans="1:10" x14ac:dyDescent="0.3">
      <c r="A3728" t="s">
        <v>3859</v>
      </c>
      <c r="B3728" t="s">
        <v>35</v>
      </c>
      <c r="C3728" t="str">
        <f>_xlfn.XLOOKUP(B3728,
[1]sales_teams!$A$2:$A$100,
[1]sales_teams!$B$2:$B$100)</f>
        <v>Melvin Marxen</v>
      </c>
      <c r="D3728" t="str">
        <f>_xlfn.XLOOKUP($B3728,sales_teams!$A$2:$A$36,sales_teams!C$2:C$36)</f>
        <v>Central</v>
      </c>
      <c r="E3728" t="s">
        <v>10</v>
      </c>
      <c r="F3728" t="s">
        <v>187</v>
      </c>
      <c r="G3728" t="s">
        <v>12</v>
      </c>
      <c r="H3728" s="1">
        <v>42892</v>
      </c>
      <c r="I3728" s="1">
        <v>42952</v>
      </c>
      <c r="J3728">
        <v>1267</v>
      </c>
    </row>
    <row r="3729" spans="1:10" x14ac:dyDescent="0.3">
      <c r="A3729" t="s">
        <v>3860</v>
      </c>
      <c r="B3729" t="s">
        <v>97</v>
      </c>
      <c r="C3729" t="str">
        <f>_xlfn.XLOOKUP(B3729,
[1]sales_teams!$A$2:$A$100,
[1]sales_teams!$B$2:$B$100)</f>
        <v>Rocco Neubert</v>
      </c>
      <c r="D3729" t="str">
        <f>_xlfn.XLOOKUP($B3729,sales_teams!$A$2:$A$36,sales_teams!C$2:C$36)</f>
        <v>East</v>
      </c>
      <c r="E3729" t="s">
        <v>15</v>
      </c>
      <c r="F3729" t="s">
        <v>189</v>
      </c>
      <c r="G3729" t="s">
        <v>46</v>
      </c>
      <c r="H3729" s="1">
        <v>42892</v>
      </c>
      <c r="I3729" s="1">
        <v>42897</v>
      </c>
      <c r="J3729">
        <v>0</v>
      </c>
    </row>
    <row r="3730" spans="1:10" x14ac:dyDescent="0.3">
      <c r="A3730" t="s">
        <v>3861</v>
      </c>
      <c r="B3730" t="s">
        <v>88</v>
      </c>
      <c r="C3730" t="str">
        <f>_xlfn.XLOOKUP(B3730,
[1]sales_teams!$A$2:$A$100,
[1]sales_teams!$B$2:$B$100)</f>
        <v>Cara Losch</v>
      </c>
      <c r="D3730" t="str">
        <f>_xlfn.XLOOKUP($B3730,sales_teams!$A$2:$A$36,sales_teams!C$2:C$36)</f>
        <v>East</v>
      </c>
      <c r="E3730" t="s">
        <v>18</v>
      </c>
      <c r="G3730" t="s">
        <v>40</v>
      </c>
      <c r="H3730" s="1">
        <v>42892</v>
      </c>
    </row>
    <row r="3731" spans="1:10" x14ac:dyDescent="0.3">
      <c r="A3731" t="s">
        <v>3862</v>
      </c>
      <c r="B3731" t="s">
        <v>29</v>
      </c>
      <c r="C3731" t="str">
        <f>_xlfn.XLOOKUP(B3731,
[1]sales_teams!$A$2:$A$100,
[1]sales_teams!$B$2:$B$100)</f>
        <v>Celia Rouche</v>
      </c>
      <c r="D3731" t="str">
        <f>_xlfn.XLOOKUP($B3731,sales_teams!$A$2:$A$36,sales_teams!C$2:C$36)</f>
        <v>West</v>
      </c>
      <c r="E3731" t="s">
        <v>18</v>
      </c>
      <c r="F3731" t="s">
        <v>168</v>
      </c>
      <c r="G3731" t="s">
        <v>12</v>
      </c>
      <c r="H3731" s="1">
        <v>42892</v>
      </c>
      <c r="I3731" s="1">
        <v>42994</v>
      </c>
      <c r="J3731">
        <v>55</v>
      </c>
    </row>
    <row r="3732" spans="1:10" x14ac:dyDescent="0.3">
      <c r="A3732" t="s">
        <v>3863</v>
      </c>
      <c r="B3732" t="s">
        <v>73</v>
      </c>
      <c r="C3732" t="str">
        <f>_xlfn.XLOOKUP(B3732,
[1]sales_teams!$A$2:$A$100,
[1]sales_teams!$B$2:$B$100)</f>
        <v>Cara Losch</v>
      </c>
      <c r="D3732" t="str">
        <f>_xlfn.XLOOKUP($B3732,sales_teams!$A$2:$A$36,sales_teams!C$2:C$36)</f>
        <v>East</v>
      </c>
      <c r="E3732" t="s">
        <v>39</v>
      </c>
      <c r="G3732" t="s">
        <v>40</v>
      </c>
      <c r="H3732" s="1">
        <v>42892</v>
      </c>
    </row>
    <row r="3733" spans="1:10" x14ac:dyDescent="0.3">
      <c r="A3733" t="s">
        <v>3864</v>
      </c>
      <c r="B3733" t="s">
        <v>73</v>
      </c>
      <c r="C3733" t="str">
        <f>_xlfn.XLOOKUP(B3733,
[1]sales_teams!$A$2:$A$100,
[1]sales_teams!$B$2:$B$100)</f>
        <v>Cara Losch</v>
      </c>
      <c r="D3733" t="str">
        <f>_xlfn.XLOOKUP($B3733,sales_teams!$A$2:$A$36,sales_teams!C$2:C$36)</f>
        <v>East</v>
      </c>
      <c r="E3733" t="s">
        <v>18</v>
      </c>
      <c r="F3733" t="s">
        <v>140</v>
      </c>
      <c r="G3733" t="s">
        <v>12</v>
      </c>
      <c r="H3733" s="1">
        <v>42892</v>
      </c>
      <c r="I3733" s="1">
        <v>42988</v>
      </c>
      <c r="J3733">
        <v>63</v>
      </c>
    </row>
    <row r="3734" spans="1:10" x14ac:dyDescent="0.3">
      <c r="A3734" t="s">
        <v>3865</v>
      </c>
      <c r="B3734" t="s">
        <v>102</v>
      </c>
      <c r="C3734" t="str">
        <f>_xlfn.XLOOKUP(B3734,
[1]sales_teams!$A$2:$A$100,
[1]sales_teams!$B$2:$B$100)</f>
        <v>Cara Losch</v>
      </c>
      <c r="D3734" t="str">
        <f>_xlfn.XLOOKUP($B3734,sales_teams!$A$2:$A$36,sales_teams!C$2:C$36)</f>
        <v>East</v>
      </c>
      <c r="E3734" t="s">
        <v>15</v>
      </c>
      <c r="F3734" t="s">
        <v>209</v>
      </c>
      <c r="G3734" t="s">
        <v>12</v>
      </c>
      <c r="H3734" s="1">
        <v>42892</v>
      </c>
      <c r="I3734" s="1">
        <v>42983</v>
      </c>
      <c r="J3734">
        <v>3961</v>
      </c>
    </row>
    <row r="3735" spans="1:10" x14ac:dyDescent="0.3">
      <c r="A3735" t="s">
        <v>3866</v>
      </c>
      <c r="B3735" t="s">
        <v>102</v>
      </c>
      <c r="C3735" t="str">
        <f>_xlfn.XLOOKUP(B3735,
[1]sales_teams!$A$2:$A$100,
[1]sales_teams!$B$2:$B$100)</f>
        <v>Cara Losch</v>
      </c>
      <c r="D3735" t="str">
        <f>_xlfn.XLOOKUP($B3735,sales_teams!$A$2:$A$36,sales_teams!C$2:C$36)</f>
        <v>East</v>
      </c>
      <c r="E3735" t="s">
        <v>18</v>
      </c>
      <c r="F3735" t="s">
        <v>300</v>
      </c>
      <c r="G3735" t="s">
        <v>12</v>
      </c>
      <c r="H3735" s="1">
        <v>42892</v>
      </c>
      <c r="I3735" s="1">
        <v>42973</v>
      </c>
      <c r="J3735">
        <v>45</v>
      </c>
    </row>
    <row r="3736" spans="1:10" x14ac:dyDescent="0.3">
      <c r="A3736" t="s">
        <v>3867</v>
      </c>
      <c r="B3736" t="s">
        <v>26</v>
      </c>
      <c r="C3736" t="str">
        <f>_xlfn.XLOOKUP(B3736,
[1]sales_teams!$A$2:$A$100,
[1]sales_teams!$B$2:$B$100)</f>
        <v>Dustin Brinkmann</v>
      </c>
      <c r="D3736" t="str">
        <f>_xlfn.XLOOKUP($B3736,sales_teams!$A$2:$A$36,sales_teams!C$2:C$36)</f>
        <v>Central</v>
      </c>
      <c r="E3736" t="s">
        <v>18</v>
      </c>
      <c r="F3736" t="s">
        <v>76</v>
      </c>
      <c r="G3736" t="s">
        <v>12</v>
      </c>
      <c r="H3736" s="1">
        <v>42893</v>
      </c>
      <c r="I3736" s="1">
        <v>42967</v>
      </c>
      <c r="J3736">
        <v>61</v>
      </c>
    </row>
    <row r="3737" spans="1:10" x14ac:dyDescent="0.3">
      <c r="A3737" t="s">
        <v>3868</v>
      </c>
      <c r="B3737" t="s">
        <v>118</v>
      </c>
      <c r="C3737" t="str">
        <f>_xlfn.XLOOKUP(B3737,
[1]sales_teams!$A$2:$A$100,
[1]sales_teams!$B$2:$B$100)</f>
        <v>Rocco Neubert</v>
      </c>
      <c r="D3737" t="str">
        <f>_xlfn.XLOOKUP($B3737,sales_teams!$A$2:$A$36,sales_teams!C$2:C$36)</f>
        <v>East</v>
      </c>
      <c r="E3737" t="s">
        <v>39</v>
      </c>
      <c r="F3737" t="s">
        <v>192</v>
      </c>
      <c r="G3737" t="s">
        <v>46</v>
      </c>
      <c r="H3737" s="1">
        <v>42893</v>
      </c>
      <c r="I3737" s="1">
        <v>42986</v>
      </c>
      <c r="J3737">
        <v>0</v>
      </c>
    </row>
    <row r="3738" spans="1:10" x14ac:dyDescent="0.3">
      <c r="A3738" t="s">
        <v>3869</v>
      </c>
      <c r="B3738" t="s">
        <v>14</v>
      </c>
      <c r="C3738" t="str">
        <f>_xlfn.XLOOKUP(B3738,
[1]sales_teams!$A$2:$A$100,
[1]sales_teams!$B$2:$B$100)</f>
        <v>Melvin Marxen</v>
      </c>
      <c r="D3738" t="str">
        <f>_xlfn.XLOOKUP($B3738,sales_teams!$A$2:$A$36,sales_teams!C$2:C$36)</f>
        <v>Central</v>
      </c>
      <c r="E3738" t="s">
        <v>10</v>
      </c>
      <c r="F3738" t="s">
        <v>16</v>
      </c>
      <c r="G3738" t="s">
        <v>12</v>
      </c>
      <c r="H3738" s="1">
        <v>42893</v>
      </c>
      <c r="I3738" s="1">
        <v>42978</v>
      </c>
      <c r="J3738">
        <v>1114</v>
      </c>
    </row>
    <row r="3739" spans="1:10" x14ac:dyDescent="0.3">
      <c r="A3739" t="s">
        <v>3870</v>
      </c>
      <c r="B3739" t="s">
        <v>67</v>
      </c>
      <c r="C3739" t="str">
        <f>_xlfn.XLOOKUP(B3739,
[1]sales_teams!$A$2:$A$100,
[1]sales_teams!$B$2:$B$100)</f>
        <v>Celia Rouche</v>
      </c>
      <c r="D3739" t="str">
        <f>_xlfn.XLOOKUP($B3739,sales_teams!$A$2:$A$36,sales_teams!C$2:C$36)</f>
        <v>West</v>
      </c>
      <c r="E3739" t="s">
        <v>39</v>
      </c>
      <c r="F3739" t="s">
        <v>300</v>
      </c>
      <c r="G3739" t="s">
        <v>40</v>
      </c>
      <c r="H3739" s="1">
        <v>42893</v>
      </c>
    </row>
    <row r="3740" spans="1:10" x14ac:dyDescent="0.3">
      <c r="A3740" t="s">
        <v>3871</v>
      </c>
      <c r="B3740" t="s">
        <v>105</v>
      </c>
      <c r="C3740" t="str">
        <f>_xlfn.XLOOKUP(B3740,
[1]sales_teams!$A$2:$A$100,
[1]sales_teams!$B$2:$B$100)</f>
        <v>Cara Losch</v>
      </c>
      <c r="D3740" t="str">
        <f>_xlfn.XLOOKUP($B3740,sales_teams!$A$2:$A$36,sales_teams!C$2:C$36)</f>
        <v>East</v>
      </c>
      <c r="E3740" t="s">
        <v>20</v>
      </c>
      <c r="F3740" t="s">
        <v>155</v>
      </c>
      <c r="G3740" t="s">
        <v>12</v>
      </c>
      <c r="H3740" s="1">
        <v>42893</v>
      </c>
      <c r="I3740" s="1">
        <v>42952</v>
      </c>
      <c r="J3740">
        <v>566</v>
      </c>
    </row>
    <row r="3741" spans="1:10" x14ac:dyDescent="0.3">
      <c r="A3741" t="s">
        <v>3872</v>
      </c>
      <c r="B3741" t="s">
        <v>44</v>
      </c>
      <c r="C3741" t="str">
        <f>_xlfn.XLOOKUP(B3741,
[1]sales_teams!$A$2:$A$100,
[1]sales_teams!$B$2:$B$100)</f>
        <v>Melvin Marxen</v>
      </c>
      <c r="D3741" t="str">
        <f>_xlfn.XLOOKUP($B3741,sales_teams!$A$2:$A$36,sales_teams!C$2:C$36)</f>
        <v>Central</v>
      </c>
      <c r="E3741" t="s">
        <v>39</v>
      </c>
      <c r="F3741" t="s">
        <v>91</v>
      </c>
      <c r="G3741" t="s">
        <v>46</v>
      </c>
      <c r="H3741" s="1">
        <v>42893</v>
      </c>
      <c r="I3741" s="1">
        <v>42967</v>
      </c>
      <c r="J3741">
        <v>0</v>
      </c>
    </row>
    <row r="3742" spans="1:10" x14ac:dyDescent="0.3">
      <c r="A3742" t="s">
        <v>3873</v>
      </c>
      <c r="B3742" t="s">
        <v>54</v>
      </c>
      <c r="C3742" t="str">
        <f>_xlfn.XLOOKUP(B3742,
[1]sales_teams!$A$2:$A$100,
[1]sales_teams!$B$2:$B$100)</f>
        <v>Celia Rouche</v>
      </c>
      <c r="D3742" t="str">
        <f>_xlfn.XLOOKUP($B3742,sales_teams!$A$2:$A$36,sales_teams!C$2:C$36)</f>
        <v>West</v>
      </c>
      <c r="E3742" t="s">
        <v>18</v>
      </c>
      <c r="F3742" t="s">
        <v>100</v>
      </c>
      <c r="G3742" t="s">
        <v>12</v>
      </c>
      <c r="H3742" s="1">
        <v>42893</v>
      </c>
      <c r="I3742" s="1">
        <v>42907</v>
      </c>
      <c r="J3742">
        <v>56</v>
      </c>
    </row>
    <row r="3743" spans="1:10" x14ac:dyDescent="0.3">
      <c r="A3743" t="s">
        <v>3874</v>
      </c>
      <c r="B3743" t="s">
        <v>252</v>
      </c>
      <c r="C3743" t="str">
        <f>_xlfn.XLOOKUP(B3743,
[1]sales_teams!$A$2:$A$100,
[1]sales_teams!$B$2:$B$100)</f>
        <v>Melvin Marxen</v>
      </c>
      <c r="D3743" t="str">
        <f>_xlfn.XLOOKUP($B3743,sales_teams!$A$2:$A$36,sales_teams!C$2:C$36)</f>
        <v>Central</v>
      </c>
      <c r="E3743" t="s">
        <v>20</v>
      </c>
      <c r="F3743" t="s">
        <v>27</v>
      </c>
      <c r="G3743" t="s">
        <v>12</v>
      </c>
      <c r="H3743" s="1">
        <v>42893</v>
      </c>
      <c r="I3743" s="1">
        <v>42904</v>
      </c>
      <c r="J3743">
        <v>627</v>
      </c>
    </row>
    <row r="3744" spans="1:10" x14ac:dyDescent="0.3">
      <c r="A3744" t="s">
        <v>3875</v>
      </c>
      <c r="B3744" t="s">
        <v>32</v>
      </c>
      <c r="C3744" t="str">
        <f>_xlfn.XLOOKUP(B3744,
[1]sales_teams!$A$2:$A$100,
[1]sales_teams!$B$2:$B$100)</f>
        <v>Celia Rouche</v>
      </c>
      <c r="D3744" t="str">
        <f>_xlfn.XLOOKUP($B3744,sales_teams!$A$2:$A$36,sales_teams!C$2:C$36)</f>
        <v>West</v>
      </c>
      <c r="E3744" t="s">
        <v>18</v>
      </c>
      <c r="G3744" t="s">
        <v>40</v>
      </c>
      <c r="H3744" s="1">
        <v>42893</v>
      </c>
    </row>
    <row r="3745" spans="1:10" x14ac:dyDescent="0.3">
      <c r="A3745" t="s">
        <v>3876</v>
      </c>
      <c r="B3745" t="s">
        <v>32</v>
      </c>
      <c r="C3745" t="str">
        <f>_xlfn.XLOOKUP(B3745,
[1]sales_teams!$A$2:$A$100,
[1]sales_teams!$B$2:$B$100)</f>
        <v>Celia Rouche</v>
      </c>
      <c r="D3745" t="str">
        <f>_xlfn.XLOOKUP($B3745,sales_teams!$A$2:$A$36,sales_teams!C$2:C$36)</f>
        <v>West</v>
      </c>
      <c r="E3745" t="s">
        <v>10</v>
      </c>
      <c r="F3745" t="s">
        <v>174</v>
      </c>
      <c r="G3745" t="s">
        <v>12</v>
      </c>
      <c r="H3745" s="1">
        <v>42893</v>
      </c>
      <c r="I3745" s="1">
        <v>42963</v>
      </c>
      <c r="J3745">
        <v>1101</v>
      </c>
    </row>
    <row r="3746" spans="1:10" x14ac:dyDescent="0.3">
      <c r="A3746" t="s">
        <v>3877</v>
      </c>
      <c r="B3746" t="s">
        <v>32</v>
      </c>
      <c r="C3746" t="str">
        <f>_xlfn.XLOOKUP(B3746,
[1]sales_teams!$A$2:$A$100,
[1]sales_teams!$B$2:$B$100)</f>
        <v>Celia Rouche</v>
      </c>
      <c r="D3746" t="str">
        <f>_xlfn.XLOOKUP($B3746,sales_teams!$A$2:$A$36,sales_teams!C$2:C$36)</f>
        <v>West</v>
      </c>
      <c r="E3746" t="s">
        <v>39</v>
      </c>
      <c r="F3746" t="s">
        <v>315</v>
      </c>
      <c r="G3746" t="s">
        <v>12</v>
      </c>
      <c r="H3746" s="1">
        <v>42893</v>
      </c>
      <c r="I3746" s="1">
        <v>42995</v>
      </c>
      <c r="J3746">
        <v>2979</v>
      </c>
    </row>
    <row r="3747" spans="1:10" x14ac:dyDescent="0.3">
      <c r="A3747" t="s">
        <v>3878</v>
      </c>
      <c r="B3747" t="s">
        <v>116</v>
      </c>
      <c r="C3747" t="str">
        <f>_xlfn.XLOOKUP(B3747,
[1]sales_teams!$A$2:$A$100,
[1]sales_teams!$B$2:$B$100)</f>
        <v>Melvin Marxen</v>
      </c>
      <c r="D3747" t="str">
        <f>_xlfn.XLOOKUP($B3747,sales_teams!$A$2:$A$36,sales_teams!C$2:C$36)</f>
        <v>Central</v>
      </c>
      <c r="E3747" t="s">
        <v>39</v>
      </c>
      <c r="F3747" t="s">
        <v>16</v>
      </c>
      <c r="G3747" t="s">
        <v>46</v>
      </c>
      <c r="H3747" s="1">
        <v>42893</v>
      </c>
      <c r="I3747" s="1">
        <v>42982</v>
      </c>
      <c r="J3747">
        <v>0</v>
      </c>
    </row>
    <row r="3748" spans="1:10" x14ac:dyDescent="0.3">
      <c r="A3748" t="s">
        <v>3879</v>
      </c>
      <c r="B3748" t="s">
        <v>97</v>
      </c>
      <c r="C3748" t="str">
        <f>_xlfn.XLOOKUP(B3748,
[1]sales_teams!$A$2:$A$100,
[1]sales_teams!$B$2:$B$100)</f>
        <v>Rocco Neubert</v>
      </c>
      <c r="D3748" t="str">
        <f>_xlfn.XLOOKUP($B3748,sales_teams!$A$2:$A$36,sales_teams!C$2:C$36)</f>
        <v>East</v>
      </c>
      <c r="E3748" t="s">
        <v>15</v>
      </c>
      <c r="F3748" t="s">
        <v>237</v>
      </c>
      <c r="G3748" t="s">
        <v>46</v>
      </c>
      <c r="H3748" s="1">
        <v>42893</v>
      </c>
      <c r="I3748" s="1">
        <v>42952</v>
      </c>
      <c r="J3748">
        <v>0</v>
      </c>
    </row>
    <row r="3749" spans="1:10" x14ac:dyDescent="0.3">
      <c r="A3749" t="s">
        <v>3880</v>
      </c>
      <c r="B3749" t="s">
        <v>61</v>
      </c>
      <c r="C3749" t="str">
        <f>_xlfn.XLOOKUP(B3749,
[1]sales_teams!$A$2:$A$100,
[1]sales_teams!$B$2:$B$100)</f>
        <v>Dustin Brinkmann</v>
      </c>
      <c r="D3749" t="str">
        <f>_xlfn.XLOOKUP($B3749,sales_teams!$A$2:$A$36,sales_teams!C$2:C$36)</f>
        <v>Central</v>
      </c>
      <c r="E3749" t="s">
        <v>39</v>
      </c>
      <c r="F3749" t="s">
        <v>76</v>
      </c>
      <c r="G3749" t="s">
        <v>12</v>
      </c>
      <c r="H3749" s="1">
        <v>42893</v>
      </c>
      <c r="I3749" s="1">
        <v>42903</v>
      </c>
      <c r="J3749">
        <v>3662</v>
      </c>
    </row>
    <row r="3750" spans="1:10" x14ac:dyDescent="0.3">
      <c r="A3750" t="s">
        <v>3881</v>
      </c>
      <c r="B3750" t="s">
        <v>29</v>
      </c>
      <c r="C3750" t="str">
        <f>_xlfn.XLOOKUP(B3750,
[1]sales_teams!$A$2:$A$100,
[1]sales_teams!$B$2:$B$100)</f>
        <v>Celia Rouche</v>
      </c>
      <c r="D3750" t="str">
        <f>_xlfn.XLOOKUP($B3750,sales_teams!$A$2:$A$36,sales_teams!C$2:C$36)</f>
        <v>West</v>
      </c>
      <c r="E3750" t="s">
        <v>48</v>
      </c>
      <c r="G3750" t="s">
        <v>40</v>
      </c>
      <c r="H3750" s="1">
        <v>42893</v>
      </c>
    </row>
    <row r="3751" spans="1:10" x14ac:dyDescent="0.3">
      <c r="A3751" t="s">
        <v>3882</v>
      </c>
      <c r="B3751" t="s">
        <v>73</v>
      </c>
      <c r="C3751" t="str">
        <f>_xlfn.XLOOKUP(B3751,
[1]sales_teams!$A$2:$A$100,
[1]sales_teams!$B$2:$B$100)</f>
        <v>Cara Losch</v>
      </c>
      <c r="D3751" t="str">
        <f>_xlfn.XLOOKUP($B3751,sales_teams!$A$2:$A$36,sales_teams!C$2:C$36)</f>
        <v>East</v>
      </c>
      <c r="E3751" t="s">
        <v>18</v>
      </c>
      <c r="G3751" t="s">
        <v>40</v>
      </c>
      <c r="H3751" s="1">
        <v>42893</v>
      </c>
    </row>
    <row r="3752" spans="1:10" x14ac:dyDescent="0.3">
      <c r="A3752" t="s">
        <v>3883</v>
      </c>
      <c r="B3752" t="s">
        <v>23</v>
      </c>
      <c r="C3752" t="str">
        <f>_xlfn.XLOOKUP(B3752,
[1]sales_teams!$A$2:$A$100,
[1]sales_teams!$B$2:$B$100)</f>
        <v>Summer Sewald</v>
      </c>
      <c r="D3752" t="str">
        <f>_xlfn.XLOOKUP($B3752,sales_teams!$A$2:$A$36,sales_teams!C$2:C$36)</f>
        <v>West</v>
      </c>
      <c r="E3752" t="s">
        <v>10</v>
      </c>
      <c r="F3752" t="s">
        <v>120</v>
      </c>
      <c r="G3752" t="s">
        <v>40</v>
      </c>
      <c r="H3752" s="1">
        <v>42893</v>
      </c>
    </row>
    <row r="3753" spans="1:10" x14ac:dyDescent="0.3">
      <c r="A3753" t="s">
        <v>3884</v>
      </c>
      <c r="B3753" t="s">
        <v>23</v>
      </c>
      <c r="C3753" t="str">
        <f>_xlfn.XLOOKUP(B3753,
[1]sales_teams!$A$2:$A$100,
[1]sales_teams!$B$2:$B$100)</f>
        <v>Summer Sewald</v>
      </c>
      <c r="D3753" t="str">
        <f>_xlfn.XLOOKUP($B3753,sales_teams!$A$2:$A$36,sales_teams!C$2:C$36)</f>
        <v>West</v>
      </c>
      <c r="E3753" t="s">
        <v>15</v>
      </c>
      <c r="G3753" t="s">
        <v>40</v>
      </c>
      <c r="H3753" s="1">
        <v>42893</v>
      </c>
    </row>
    <row r="3754" spans="1:10" x14ac:dyDescent="0.3">
      <c r="A3754" t="s">
        <v>3885</v>
      </c>
      <c r="B3754" t="s">
        <v>23</v>
      </c>
      <c r="C3754" t="str">
        <f>_xlfn.XLOOKUP(B3754,
[1]sales_teams!$A$2:$A$100,
[1]sales_teams!$B$2:$B$100)</f>
        <v>Summer Sewald</v>
      </c>
      <c r="D3754" t="str">
        <f>_xlfn.XLOOKUP($B3754,sales_teams!$A$2:$A$36,sales_teams!C$2:C$36)</f>
        <v>West</v>
      </c>
      <c r="E3754" t="s">
        <v>15</v>
      </c>
      <c r="F3754" t="s">
        <v>174</v>
      </c>
      <c r="G3754" t="s">
        <v>46</v>
      </c>
      <c r="H3754" s="1">
        <v>42893</v>
      </c>
      <c r="I3754" s="1">
        <v>42969</v>
      </c>
      <c r="J3754">
        <v>0</v>
      </c>
    </row>
    <row r="3755" spans="1:10" x14ac:dyDescent="0.3">
      <c r="A3755" t="s">
        <v>3886</v>
      </c>
      <c r="B3755" t="s">
        <v>23</v>
      </c>
      <c r="C3755" t="str">
        <f>_xlfn.XLOOKUP(B3755,
[1]sales_teams!$A$2:$A$100,
[1]sales_teams!$B$2:$B$100)</f>
        <v>Summer Sewald</v>
      </c>
      <c r="D3755" t="str">
        <f>_xlfn.XLOOKUP($B3755,sales_teams!$A$2:$A$36,sales_teams!C$2:C$36)</f>
        <v>West</v>
      </c>
      <c r="E3755" t="s">
        <v>15</v>
      </c>
      <c r="F3755" t="s">
        <v>157</v>
      </c>
      <c r="G3755" t="s">
        <v>12</v>
      </c>
      <c r="H3755" s="1">
        <v>42893</v>
      </c>
      <c r="I3755" s="1">
        <v>42964</v>
      </c>
      <c r="J3755">
        <v>5185</v>
      </c>
    </row>
    <row r="3756" spans="1:10" x14ac:dyDescent="0.3">
      <c r="A3756" t="s">
        <v>3887</v>
      </c>
      <c r="B3756" t="s">
        <v>139</v>
      </c>
      <c r="C3756" t="str">
        <f>_xlfn.XLOOKUP(B3756,
[1]sales_teams!$A$2:$A$100,
[1]sales_teams!$B$2:$B$100)</f>
        <v>Rocco Neubert</v>
      </c>
      <c r="D3756" t="str">
        <f>_xlfn.XLOOKUP($B3756,sales_teams!$A$2:$A$36,sales_teams!C$2:C$36)</f>
        <v>East</v>
      </c>
      <c r="E3756" t="s">
        <v>39</v>
      </c>
      <c r="F3756" t="s">
        <v>189</v>
      </c>
      <c r="G3756" t="s">
        <v>12</v>
      </c>
      <c r="H3756" s="1">
        <v>42894</v>
      </c>
      <c r="I3756" s="1">
        <v>42910</v>
      </c>
      <c r="J3756">
        <v>3681</v>
      </c>
    </row>
    <row r="3757" spans="1:10" x14ac:dyDescent="0.3">
      <c r="A3757" t="s">
        <v>3888</v>
      </c>
      <c r="B3757" t="s">
        <v>202</v>
      </c>
      <c r="C3757" t="str">
        <f>_xlfn.XLOOKUP(B3757,
[1]sales_teams!$A$2:$A$100,
[1]sales_teams!$B$2:$B$100)</f>
        <v>Dustin Brinkmann</v>
      </c>
      <c r="D3757" t="str">
        <f>_xlfn.XLOOKUP($B3757,sales_teams!$A$2:$A$36,sales_teams!C$2:C$36)</f>
        <v>Central</v>
      </c>
      <c r="E3757" t="s">
        <v>18</v>
      </c>
      <c r="F3757" t="s">
        <v>197</v>
      </c>
      <c r="G3757" t="s">
        <v>12</v>
      </c>
      <c r="H3757" s="1">
        <v>42894</v>
      </c>
      <c r="I3757" s="1">
        <v>42904</v>
      </c>
      <c r="J3757">
        <v>59</v>
      </c>
    </row>
    <row r="3758" spans="1:10" x14ac:dyDescent="0.3">
      <c r="A3758" t="s">
        <v>3889</v>
      </c>
      <c r="B3758" t="s">
        <v>202</v>
      </c>
      <c r="C3758" t="str">
        <f>_xlfn.XLOOKUP(B3758,
[1]sales_teams!$A$2:$A$100,
[1]sales_teams!$B$2:$B$100)</f>
        <v>Dustin Brinkmann</v>
      </c>
      <c r="D3758" t="str">
        <f>_xlfn.XLOOKUP($B3758,sales_teams!$A$2:$A$36,sales_teams!C$2:C$36)</f>
        <v>Central</v>
      </c>
      <c r="E3758" t="s">
        <v>18</v>
      </c>
      <c r="F3758" t="s">
        <v>129</v>
      </c>
      <c r="G3758" t="s">
        <v>12</v>
      </c>
      <c r="H3758" s="1">
        <v>42894</v>
      </c>
      <c r="I3758" s="1">
        <v>42991</v>
      </c>
      <c r="J3758">
        <v>60</v>
      </c>
    </row>
    <row r="3759" spans="1:10" x14ac:dyDescent="0.3">
      <c r="A3759" t="s">
        <v>3890</v>
      </c>
      <c r="B3759" t="s">
        <v>164</v>
      </c>
      <c r="C3759" t="str">
        <f>_xlfn.XLOOKUP(B3759,
[1]sales_teams!$A$2:$A$100,
[1]sales_teams!$B$2:$B$100)</f>
        <v>Cara Losch</v>
      </c>
      <c r="D3759" t="str">
        <f>_xlfn.XLOOKUP($B3759,sales_teams!$A$2:$A$36,sales_teams!C$2:C$36)</f>
        <v>East</v>
      </c>
      <c r="E3759" t="s">
        <v>20</v>
      </c>
      <c r="F3759" t="s">
        <v>745</v>
      </c>
      <c r="G3759" t="s">
        <v>12</v>
      </c>
      <c r="H3759" s="1">
        <v>42894</v>
      </c>
      <c r="I3759" s="1">
        <v>42952</v>
      </c>
      <c r="J3759">
        <v>602</v>
      </c>
    </row>
    <row r="3760" spans="1:10" x14ac:dyDescent="0.3">
      <c r="A3760" t="s">
        <v>3891</v>
      </c>
      <c r="B3760" t="s">
        <v>164</v>
      </c>
      <c r="C3760" t="str">
        <f>_xlfn.XLOOKUP(B3760,
[1]sales_teams!$A$2:$A$100,
[1]sales_teams!$B$2:$B$100)</f>
        <v>Cara Losch</v>
      </c>
      <c r="D3760" t="str">
        <f>_xlfn.XLOOKUP($B3760,sales_teams!$A$2:$A$36,sales_teams!C$2:C$36)</f>
        <v>East</v>
      </c>
      <c r="E3760" t="s">
        <v>20</v>
      </c>
      <c r="F3760" t="s">
        <v>65</v>
      </c>
      <c r="G3760" t="s">
        <v>12</v>
      </c>
      <c r="H3760" s="1">
        <v>42894</v>
      </c>
      <c r="I3760" s="1">
        <v>42959</v>
      </c>
      <c r="J3760">
        <v>515</v>
      </c>
    </row>
    <row r="3761" spans="1:10" x14ac:dyDescent="0.3">
      <c r="A3761" t="s">
        <v>3892</v>
      </c>
      <c r="B3761" t="s">
        <v>14</v>
      </c>
      <c r="C3761" t="str">
        <f>_xlfn.XLOOKUP(B3761,
[1]sales_teams!$A$2:$A$100,
[1]sales_teams!$B$2:$B$100)</f>
        <v>Melvin Marxen</v>
      </c>
      <c r="D3761" t="str">
        <f>_xlfn.XLOOKUP($B3761,sales_teams!$A$2:$A$36,sales_teams!C$2:C$36)</f>
        <v>Central</v>
      </c>
      <c r="E3761" t="s">
        <v>15</v>
      </c>
      <c r="F3761" t="s">
        <v>492</v>
      </c>
      <c r="G3761" t="s">
        <v>46</v>
      </c>
      <c r="H3761" s="1">
        <v>42894</v>
      </c>
      <c r="I3761" s="1">
        <v>42972</v>
      </c>
      <c r="J3761">
        <v>0</v>
      </c>
    </row>
    <row r="3762" spans="1:10" x14ac:dyDescent="0.3">
      <c r="A3762" t="s">
        <v>3893</v>
      </c>
      <c r="B3762" t="s">
        <v>14</v>
      </c>
      <c r="C3762" t="str">
        <f>_xlfn.XLOOKUP(B3762,
[1]sales_teams!$A$2:$A$100,
[1]sales_teams!$B$2:$B$100)</f>
        <v>Melvin Marxen</v>
      </c>
      <c r="D3762" t="str">
        <f>_xlfn.XLOOKUP($B3762,sales_teams!$A$2:$A$36,sales_teams!C$2:C$36)</f>
        <v>Central</v>
      </c>
      <c r="E3762" t="s">
        <v>48</v>
      </c>
      <c r="F3762" t="s">
        <v>27</v>
      </c>
      <c r="G3762" t="s">
        <v>12</v>
      </c>
      <c r="H3762" s="1">
        <v>42894</v>
      </c>
      <c r="I3762" s="1">
        <v>42907</v>
      </c>
      <c r="J3762">
        <v>5175</v>
      </c>
    </row>
    <row r="3763" spans="1:10" x14ac:dyDescent="0.3">
      <c r="A3763" t="s">
        <v>3894</v>
      </c>
      <c r="B3763" t="s">
        <v>142</v>
      </c>
      <c r="C3763" t="str">
        <f>_xlfn.XLOOKUP(B3763,
[1]sales_teams!$A$2:$A$100,
[1]sales_teams!$B$2:$B$100)</f>
        <v>Rocco Neubert</v>
      </c>
      <c r="D3763" t="str">
        <f>_xlfn.XLOOKUP($B3763,sales_teams!$A$2:$A$36,sales_teams!C$2:C$36)</f>
        <v>East</v>
      </c>
      <c r="E3763" t="s">
        <v>15</v>
      </c>
      <c r="F3763" t="s">
        <v>98</v>
      </c>
      <c r="G3763" t="s">
        <v>46</v>
      </c>
      <c r="H3763" s="1">
        <v>42894</v>
      </c>
      <c r="I3763" s="1">
        <v>42974</v>
      </c>
      <c r="J3763">
        <v>0</v>
      </c>
    </row>
    <row r="3764" spans="1:10" x14ac:dyDescent="0.3">
      <c r="A3764" t="s">
        <v>3895</v>
      </c>
      <c r="B3764" t="s">
        <v>142</v>
      </c>
      <c r="C3764" t="str">
        <f>_xlfn.XLOOKUP(B3764,
[1]sales_teams!$A$2:$A$100,
[1]sales_teams!$B$2:$B$100)</f>
        <v>Rocco Neubert</v>
      </c>
      <c r="D3764" t="str">
        <f>_xlfn.XLOOKUP($B3764,sales_teams!$A$2:$A$36,sales_teams!C$2:C$36)</f>
        <v>East</v>
      </c>
      <c r="E3764" t="s">
        <v>15</v>
      </c>
      <c r="F3764" t="s">
        <v>215</v>
      </c>
      <c r="G3764" t="s">
        <v>12</v>
      </c>
      <c r="H3764" s="1">
        <v>42894</v>
      </c>
      <c r="I3764" s="1">
        <v>42975</v>
      </c>
      <c r="J3764">
        <v>4780</v>
      </c>
    </row>
    <row r="3765" spans="1:10" x14ac:dyDescent="0.3">
      <c r="A3765" t="s">
        <v>3896</v>
      </c>
      <c r="B3765" t="s">
        <v>38</v>
      </c>
      <c r="C3765" t="str">
        <f>_xlfn.XLOOKUP(B3765,
[1]sales_teams!$A$2:$A$100,
[1]sales_teams!$B$2:$B$100)</f>
        <v>Summer Sewald</v>
      </c>
      <c r="D3765" t="str">
        <f>_xlfn.XLOOKUP($B3765,sales_teams!$A$2:$A$36,sales_teams!C$2:C$36)</f>
        <v>West</v>
      </c>
      <c r="E3765" t="s">
        <v>48</v>
      </c>
      <c r="F3765" t="s">
        <v>33</v>
      </c>
      <c r="G3765" t="s">
        <v>40</v>
      </c>
      <c r="H3765" s="1">
        <v>42894</v>
      </c>
    </row>
    <row r="3766" spans="1:10" x14ac:dyDescent="0.3">
      <c r="A3766" t="s">
        <v>3897</v>
      </c>
      <c r="B3766" t="s">
        <v>252</v>
      </c>
      <c r="C3766" t="str">
        <f>_xlfn.XLOOKUP(B3766,
[1]sales_teams!$A$2:$A$100,
[1]sales_teams!$B$2:$B$100)</f>
        <v>Melvin Marxen</v>
      </c>
      <c r="D3766" t="str">
        <f>_xlfn.XLOOKUP($B3766,sales_teams!$A$2:$A$36,sales_teams!C$2:C$36)</f>
        <v>Central</v>
      </c>
      <c r="E3766" t="s">
        <v>10</v>
      </c>
      <c r="F3766" t="s">
        <v>213</v>
      </c>
      <c r="G3766" t="s">
        <v>46</v>
      </c>
      <c r="H3766" s="1">
        <v>42894</v>
      </c>
      <c r="I3766" s="1">
        <v>42958</v>
      </c>
      <c r="J3766">
        <v>0</v>
      </c>
    </row>
    <row r="3767" spans="1:10" x14ac:dyDescent="0.3">
      <c r="A3767" t="s">
        <v>3898</v>
      </c>
      <c r="B3767" t="s">
        <v>252</v>
      </c>
      <c r="C3767" t="str">
        <f>_xlfn.XLOOKUP(B3767,
[1]sales_teams!$A$2:$A$100,
[1]sales_teams!$B$2:$B$100)</f>
        <v>Melvin Marxen</v>
      </c>
      <c r="D3767" t="str">
        <f>_xlfn.XLOOKUP($B3767,sales_teams!$A$2:$A$36,sales_teams!C$2:C$36)</f>
        <v>Central</v>
      </c>
      <c r="E3767" t="s">
        <v>20</v>
      </c>
      <c r="F3767" t="s">
        <v>213</v>
      </c>
      <c r="G3767" t="s">
        <v>12</v>
      </c>
      <c r="H3767" s="1">
        <v>42894</v>
      </c>
      <c r="I3767" s="1">
        <v>42902</v>
      </c>
      <c r="J3767">
        <v>614</v>
      </c>
    </row>
    <row r="3768" spans="1:10" x14ac:dyDescent="0.3">
      <c r="A3768" t="s">
        <v>3899</v>
      </c>
      <c r="B3768" t="s">
        <v>252</v>
      </c>
      <c r="C3768" t="str">
        <f>_xlfn.XLOOKUP(B3768,
[1]sales_teams!$A$2:$A$100,
[1]sales_teams!$B$2:$B$100)</f>
        <v>Melvin Marxen</v>
      </c>
      <c r="D3768" t="str">
        <f>_xlfn.XLOOKUP($B3768,sales_teams!$A$2:$A$36,sales_teams!C$2:C$36)</f>
        <v>Central</v>
      </c>
      <c r="E3768" t="s">
        <v>20</v>
      </c>
      <c r="F3768" t="s">
        <v>151</v>
      </c>
      <c r="G3768" t="s">
        <v>12</v>
      </c>
      <c r="H3768" s="1">
        <v>42894</v>
      </c>
      <c r="I3768" s="1">
        <v>42991</v>
      </c>
      <c r="J3768">
        <v>532</v>
      </c>
    </row>
    <row r="3769" spans="1:10" x14ac:dyDescent="0.3">
      <c r="A3769" t="s">
        <v>3900</v>
      </c>
      <c r="B3769" t="s">
        <v>252</v>
      </c>
      <c r="C3769" t="str">
        <f>_xlfn.XLOOKUP(B3769,
[1]sales_teams!$A$2:$A$100,
[1]sales_teams!$B$2:$B$100)</f>
        <v>Melvin Marxen</v>
      </c>
      <c r="D3769" t="str">
        <f>_xlfn.XLOOKUP($B3769,sales_teams!$A$2:$A$36,sales_teams!C$2:C$36)</f>
        <v>Central</v>
      </c>
      <c r="E3769" t="s">
        <v>48</v>
      </c>
      <c r="F3769" t="s">
        <v>129</v>
      </c>
      <c r="G3769" t="s">
        <v>12</v>
      </c>
      <c r="H3769" s="1">
        <v>42894</v>
      </c>
      <c r="I3769" s="1">
        <v>42974</v>
      </c>
      <c r="J3769">
        <v>6096</v>
      </c>
    </row>
    <row r="3770" spans="1:10" x14ac:dyDescent="0.3">
      <c r="A3770" t="s">
        <v>3901</v>
      </c>
      <c r="B3770" t="s">
        <v>95</v>
      </c>
      <c r="C3770" t="str">
        <f>_xlfn.XLOOKUP(B3770,
[1]sales_teams!$A$2:$A$100,
[1]sales_teams!$B$2:$B$100)</f>
        <v>Summer Sewald</v>
      </c>
      <c r="D3770" t="str">
        <f>_xlfn.XLOOKUP($B3770,sales_teams!$A$2:$A$36,sales_teams!C$2:C$36)</f>
        <v>West</v>
      </c>
      <c r="E3770" t="s">
        <v>20</v>
      </c>
      <c r="F3770" t="s">
        <v>315</v>
      </c>
      <c r="G3770" t="s">
        <v>12</v>
      </c>
      <c r="H3770" s="1">
        <v>42894</v>
      </c>
      <c r="I3770" s="1">
        <v>42964</v>
      </c>
      <c r="J3770">
        <v>486</v>
      </c>
    </row>
    <row r="3771" spans="1:10" x14ac:dyDescent="0.3">
      <c r="A3771" t="s">
        <v>3902</v>
      </c>
      <c r="B3771" t="s">
        <v>133</v>
      </c>
      <c r="C3771" t="str">
        <f>_xlfn.XLOOKUP(B3771,
[1]sales_teams!$A$2:$A$100,
[1]sales_teams!$B$2:$B$100)</f>
        <v>Dustin Brinkmann</v>
      </c>
      <c r="D3771" t="str">
        <f>_xlfn.XLOOKUP($B3771,sales_teams!$A$2:$A$36,sales_teams!C$2:C$36)</f>
        <v>Central</v>
      </c>
      <c r="E3771" t="s">
        <v>20</v>
      </c>
      <c r="F3771" t="s">
        <v>135</v>
      </c>
      <c r="G3771" t="s">
        <v>12</v>
      </c>
      <c r="H3771" s="1">
        <v>42894</v>
      </c>
      <c r="I3771" s="1">
        <v>42964</v>
      </c>
      <c r="J3771">
        <v>566</v>
      </c>
    </row>
    <row r="3772" spans="1:10" x14ac:dyDescent="0.3">
      <c r="A3772" t="s">
        <v>3903</v>
      </c>
      <c r="B3772" t="s">
        <v>32</v>
      </c>
      <c r="C3772" t="str">
        <f>_xlfn.XLOOKUP(B3772,
[1]sales_teams!$A$2:$A$100,
[1]sales_teams!$B$2:$B$100)</f>
        <v>Celia Rouche</v>
      </c>
      <c r="D3772" t="str">
        <f>_xlfn.XLOOKUP($B3772,sales_teams!$A$2:$A$36,sales_teams!C$2:C$36)</f>
        <v>West</v>
      </c>
      <c r="E3772" t="s">
        <v>18</v>
      </c>
      <c r="F3772" t="s">
        <v>273</v>
      </c>
      <c r="G3772" t="s">
        <v>46</v>
      </c>
      <c r="H3772" s="1">
        <v>42894</v>
      </c>
      <c r="I3772" s="1">
        <v>42908</v>
      </c>
      <c r="J3772">
        <v>0</v>
      </c>
    </row>
    <row r="3773" spans="1:10" x14ac:dyDescent="0.3">
      <c r="A3773" t="s">
        <v>3904</v>
      </c>
      <c r="B3773" t="s">
        <v>32</v>
      </c>
      <c r="C3773" t="str">
        <f>_xlfn.XLOOKUP(B3773,
[1]sales_teams!$A$2:$A$100,
[1]sales_teams!$B$2:$B$100)</f>
        <v>Celia Rouche</v>
      </c>
      <c r="D3773" t="str">
        <f>_xlfn.XLOOKUP($B3773,sales_teams!$A$2:$A$36,sales_teams!C$2:C$36)</f>
        <v>West</v>
      </c>
      <c r="E3773" t="s">
        <v>10</v>
      </c>
      <c r="F3773" t="s">
        <v>100</v>
      </c>
      <c r="G3773" t="s">
        <v>12</v>
      </c>
      <c r="H3773" s="1">
        <v>42894</v>
      </c>
      <c r="I3773" s="1">
        <v>42902</v>
      </c>
      <c r="J3773">
        <v>923</v>
      </c>
    </row>
    <row r="3774" spans="1:10" x14ac:dyDescent="0.3">
      <c r="A3774" t="s">
        <v>3905</v>
      </c>
      <c r="B3774" t="s">
        <v>32</v>
      </c>
      <c r="C3774" t="str">
        <f>_xlfn.XLOOKUP(B3774,
[1]sales_teams!$A$2:$A$100,
[1]sales_teams!$B$2:$B$100)</f>
        <v>Celia Rouche</v>
      </c>
      <c r="D3774" t="str">
        <f>_xlfn.XLOOKUP($B3774,sales_teams!$A$2:$A$36,sales_teams!C$2:C$36)</f>
        <v>West</v>
      </c>
      <c r="E3774" t="s">
        <v>15</v>
      </c>
      <c r="F3774" t="s">
        <v>315</v>
      </c>
      <c r="G3774" t="s">
        <v>12</v>
      </c>
      <c r="H3774" s="1">
        <v>42894</v>
      </c>
      <c r="I3774" s="1">
        <v>43008</v>
      </c>
      <c r="J3774">
        <v>4744</v>
      </c>
    </row>
    <row r="3775" spans="1:10" x14ac:dyDescent="0.3">
      <c r="A3775" t="s">
        <v>3906</v>
      </c>
      <c r="B3775" t="s">
        <v>116</v>
      </c>
      <c r="C3775" t="str">
        <f>_xlfn.XLOOKUP(B3775,
[1]sales_teams!$A$2:$A$100,
[1]sales_teams!$B$2:$B$100)</f>
        <v>Melvin Marxen</v>
      </c>
      <c r="D3775" t="str">
        <f>_xlfn.XLOOKUP($B3775,sales_teams!$A$2:$A$36,sales_teams!C$2:C$36)</f>
        <v>Central</v>
      </c>
      <c r="E3775" t="s">
        <v>20</v>
      </c>
      <c r="F3775" t="s">
        <v>76</v>
      </c>
      <c r="G3775" t="s">
        <v>12</v>
      </c>
      <c r="H3775" s="1">
        <v>42894</v>
      </c>
      <c r="I3775" s="1">
        <v>42966</v>
      </c>
      <c r="J3775">
        <v>517</v>
      </c>
    </row>
    <row r="3776" spans="1:10" x14ac:dyDescent="0.3">
      <c r="A3776" t="s">
        <v>3907</v>
      </c>
      <c r="B3776" t="s">
        <v>116</v>
      </c>
      <c r="C3776" t="str">
        <f>_xlfn.XLOOKUP(B3776,
[1]sales_teams!$A$2:$A$100,
[1]sales_teams!$B$2:$B$100)</f>
        <v>Melvin Marxen</v>
      </c>
      <c r="D3776" t="str">
        <f>_xlfn.XLOOKUP($B3776,sales_teams!$A$2:$A$36,sales_teams!C$2:C$36)</f>
        <v>Central</v>
      </c>
      <c r="E3776" t="s">
        <v>10</v>
      </c>
      <c r="F3776" t="s">
        <v>36</v>
      </c>
      <c r="G3776" t="s">
        <v>12</v>
      </c>
      <c r="H3776" s="1">
        <v>42894</v>
      </c>
      <c r="I3776" s="1">
        <v>42900</v>
      </c>
      <c r="J3776">
        <v>881</v>
      </c>
    </row>
    <row r="3777" spans="1:10" x14ac:dyDescent="0.3">
      <c r="A3777" t="s">
        <v>3908</v>
      </c>
      <c r="B3777" t="s">
        <v>116</v>
      </c>
      <c r="C3777" t="str">
        <f>_xlfn.XLOOKUP(B3777,
[1]sales_teams!$A$2:$A$100,
[1]sales_teams!$B$2:$B$100)</f>
        <v>Melvin Marxen</v>
      </c>
      <c r="D3777" t="str">
        <f>_xlfn.XLOOKUP($B3777,sales_teams!$A$2:$A$36,sales_teams!C$2:C$36)</f>
        <v>Central</v>
      </c>
      <c r="E3777" t="s">
        <v>15</v>
      </c>
      <c r="F3777" t="s">
        <v>109</v>
      </c>
      <c r="G3777" t="s">
        <v>12</v>
      </c>
      <c r="H3777" s="1">
        <v>42894</v>
      </c>
      <c r="I3777" s="1">
        <v>42910</v>
      </c>
      <c r="J3777">
        <v>4272</v>
      </c>
    </row>
    <row r="3778" spans="1:10" x14ac:dyDescent="0.3">
      <c r="A3778" t="s">
        <v>3909</v>
      </c>
      <c r="B3778" t="s">
        <v>51</v>
      </c>
      <c r="C3778" t="str">
        <f>_xlfn.XLOOKUP(B3778,
[1]sales_teams!$A$2:$A$100,
[1]sales_teams!$B$2:$B$100)</f>
        <v>Summer Sewald</v>
      </c>
      <c r="D3778" t="str">
        <f>_xlfn.XLOOKUP($B3778,sales_teams!$A$2:$A$36,sales_teams!C$2:C$36)</f>
        <v>West</v>
      </c>
      <c r="E3778" t="s">
        <v>15</v>
      </c>
      <c r="F3778" t="s">
        <v>55</v>
      </c>
      <c r="G3778" t="s">
        <v>46</v>
      </c>
      <c r="H3778" s="1">
        <v>42894</v>
      </c>
      <c r="I3778" s="1">
        <v>42973</v>
      </c>
      <c r="J3778">
        <v>0</v>
      </c>
    </row>
    <row r="3779" spans="1:10" x14ac:dyDescent="0.3">
      <c r="A3779" t="s">
        <v>3910</v>
      </c>
      <c r="B3779" t="s">
        <v>51</v>
      </c>
      <c r="C3779" t="str">
        <f>_xlfn.XLOOKUP(B3779,
[1]sales_teams!$A$2:$A$100,
[1]sales_teams!$B$2:$B$100)</f>
        <v>Summer Sewald</v>
      </c>
      <c r="D3779" t="str">
        <f>_xlfn.XLOOKUP($B3779,sales_teams!$A$2:$A$36,sales_teams!C$2:C$36)</f>
        <v>West</v>
      </c>
      <c r="E3779" t="s">
        <v>10</v>
      </c>
      <c r="F3779" t="s">
        <v>184</v>
      </c>
      <c r="G3779" t="s">
        <v>12</v>
      </c>
      <c r="H3779" s="1">
        <v>42894</v>
      </c>
      <c r="I3779" s="1">
        <v>42980</v>
      </c>
      <c r="J3779">
        <v>805</v>
      </c>
    </row>
    <row r="3780" spans="1:10" x14ac:dyDescent="0.3">
      <c r="A3780" t="s">
        <v>3911</v>
      </c>
      <c r="B3780" t="s">
        <v>88</v>
      </c>
      <c r="C3780" t="str">
        <f>_xlfn.XLOOKUP(B3780,
[1]sales_teams!$A$2:$A$100,
[1]sales_teams!$B$2:$B$100)</f>
        <v>Cara Losch</v>
      </c>
      <c r="D3780" t="str">
        <f>_xlfn.XLOOKUP($B3780,sales_teams!$A$2:$A$36,sales_teams!C$2:C$36)</f>
        <v>East</v>
      </c>
      <c r="E3780" t="s">
        <v>18</v>
      </c>
      <c r="G3780" t="s">
        <v>40</v>
      </c>
      <c r="H3780" s="1">
        <v>42894</v>
      </c>
    </row>
    <row r="3781" spans="1:10" x14ac:dyDescent="0.3">
      <c r="A3781" t="s">
        <v>3912</v>
      </c>
      <c r="B3781" t="s">
        <v>61</v>
      </c>
      <c r="C3781" t="str">
        <f>_xlfn.XLOOKUP(B3781,
[1]sales_teams!$A$2:$A$100,
[1]sales_teams!$B$2:$B$100)</f>
        <v>Dustin Brinkmann</v>
      </c>
      <c r="D3781" t="str">
        <f>_xlfn.XLOOKUP($B3781,sales_teams!$A$2:$A$36,sales_teams!C$2:C$36)</f>
        <v>Central</v>
      </c>
      <c r="E3781" t="s">
        <v>18</v>
      </c>
      <c r="F3781" t="s">
        <v>135</v>
      </c>
      <c r="G3781" t="s">
        <v>46</v>
      </c>
      <c r="H3781" s="1">
        <v>42894</v>
      </c>
      <c r="I3781" s="1">
        <v>42965</v>
      </c>
      <c r="J3781">
        <v>0</v>
      </c>
    </row>
    <row r="3782" spans="1:10" x14ac:dyDescent="0.3">
      <c r="A3782" t="s">
        <v>3913</v>
      </c>
      <c r="B3782" t="s">
        <v>61</v>
      </c>
      <c r="C3782" t="str">
        <f>_xlfn.XLOOKUP(B3782,
[1]sales_teams!$A$2:$A$100,
[1]sales_teams!$B$2:$B$100)</f>
        <v>Dustin Brinkmann</v>
      </c>
      <c r="D3782" t="str">
        <f>_xlfn.XLOOKUP($B3782,sales_teams!$A$2:$A$36,sales_teams!C$2:C$36)</f>
        <v>Central</v>
      </c>
      <c r="E3782" t="s">
        <v>18</v>
      </c>
      <c r="F3782" t="s">
        <v>21</v>
      </c>
      <c r="G3782" t="s">
        <v>12</v>
      </c>
      <c r="H3782" s="1">
        <v>42894</v>
      </c>
      <c r="I3782" s="1">
        <v>42991</v>
      </c>
      <c r="J3782">
        <v>55</v>
      </c>
    </row>
    <row r="3783" spans="1:10" x14ac:dyDescent="0.3">
      <c r="A3783" t="s">
        <v>3914</v>
      </c>
      <c r="B3783" t="s">
        <v>29</v>
      </c>
      <c r="C3783" t="str">
        <f>_xlfn.XLOOKUP(B3783,
[1]sales_teams!$A$2:$A$100,
[1]sales_teams!$B$2:$B$100)</f>
        <v>Celia Rouche</v>
      </c>
      <c r="D3783" t="str">
        <f>_xlfn.XLOOKUP($B3783,sales_teams!$A$2:$A$36,sales_teams!C$2:C$36)</f>
        <v>West</v>
      </c>
      <c r="E3783" t="s">
        <v>20</v>
      </c>
      <c r="G3783" t="s">
        <v>40</v>
      </c>
      <c r="H3783" s="1">
        <v>42894</v>
      </c>
    </row>
    <row r="3784" spans="1:10" x14ac:dyDescent="0.3">
      <c r="A3784" t="s">
        <v>3915</v>
      </c>
      <c r="B3784" t="s">
        <v>29</v>
      </c>
      <c r="C3784" t="str">
        <f>_xlfn.XLOOKUP(B3784,
[1]sales_teams!$A$2:$A$100,
[1]sales_teams!$B$2:$B$100)</f>
        <v>Celia Rouche</v>
      </c>
      <c r="D3784" t="str">
        <f>_xlfn.XLOOKUP($B3784,sales_teams!$A$2:$A$36,sales_teams!C$2:C$36)</f>
        <v>West</v>
      </c>
      <c r="E3784" t="s">
        <v>20</v>
      </c>
      <c r="F3784" t="s">
        <v>49</v>
      </c>
      <c r="G3784" t="s">
        <v>12</v>
      </c>
      <c r="H3784" s="1">
        <v>42894</v>
      </c>
      <c r="I3784" s="1">
        <v>42901</v>
      </c>
      <c r="J3784">
        <v>507</v>
      </c>
    </row>
    <row r="3785" spans="1:10" x14ac:dyDescent="0.3">
      <c r="A3785" t="s">
        <v>3916</v>
      </c>
      <c r="B3785" t="s">
        <v>23</v>
      </c>
      <c r="C3785" t="str">
        <f>_xlfn.XLOOKUP(B3785,
[1]sales_teams!$A$2:$A$100,
[1]sales_teams!$B$2:$B$100)</f>
        <v>Summer Sewald</v>
      </c>
      <c r="D3785" t="str">
        <f>_xlfn.XLOOKUP($B3785,sales_teams!$A$2:$A$36,sales_teams!C$2:C$36)</f>
        <v>West</v>
      </c>
      <c r="E3785" t="s">
        <v>20</v>
      </c>
      <c r="F3785" t="s">
        <v>55</v>
      </c>
      <c r="G3785" t="s">
        <v>12</v>
      </c>
      <c r="H3785" s="1">
        <v>42894</v>
      </c>
      <c r="I3785" s="1">
        <v>42986</v>
      </c>
      <c r="J3785">
        <v>520</v>
      </c>
    </row>
    <row r="3786" spans="1:10" x14ac:dyDescent="0.3">
      <c r="A3786" t="s">
        <v>3917</v>
      </c>
      <c r="B3786" t="s">
        <v>26</v>
      </c>
      <c r="C3786" t="str">
        <f>_xlfn.XLOOKUP(B3786,
[1]sales_teams!$A$2:$A$100,
[1]sales_teams!$B$2:$B$100)</f>
        <v>Dustin Brinkmann</v>
      </c>
      <c r="D3786" t="str">
        <f>_xlfn.XLOOKUP($B3786,sales_teams!$A$2:$A$36,sales_teams!C$2:C$36)</f>
        <v>Central</v>
      </c>
      <c r="E3786" t="s">
        <v>39</v>
      </c>
      <c r="F3786" t="s">
        <v>16</v>
      </c>
      <c r="G3786" t="s">
        <v>12</v>
      </c>
      <c r="H3786" s="1">
        <v>42895</v>
      </c>
      <c r="I3786" s="1">
        <v>42962</v>
      </c>
      <c r="J3786">
        <v>3470</v>
      </c>
    </row>
    <row r="3787" spans="1:10" x14ac:dyDescent="0.3">
      <c r="A3787" t="s">
        <v>3918</v>
      </c>
      <c r="B3787" t="s">
        <v>139</v>
      </c>
      <c r="C3787" t="str">
        <f>_xlfn.XLOOKUP(B3787,
[1]sales_teams!$A$2:$A$100,
[1]sales_teams!$B$2:$B$100)</f>
        <v>Rocco Neubert</v>
      </c>
      <c r="D3787" t="str">
        <f>_xlfn.XLOOKUP($B3787,sales_teams!$A$2:$A$36,sales_teams!C$2:C$36)</f>
        <v>East</v>
      </c>
      <c r="E3787" t="s">
        <v>15</v>
      </c>
      <c r="F3787" t="s">
        <v>74</v>
      </c>
      <c r="G3787" t="s">
        <v>46</v>
      </c>
      <c r="H3787" s="1">
        <v>42895</v>
      </c>
      <c r="I3787" s="1">
        <v>42961</v>
      </c>
      <c r="J3787">
        <v>0</v>
      </c>
    </row>
    <row r="3788" spans="1:10" x14ac:dyDescent="0.3">
      <c r="A3788" t="s">
        <v>3919</v>
      </c>
      <c r="B3788" t="s">
        <v>118</v>
      </c>
      <c r="C3788" t="str">
        <f>_xlfn.XLOOKUP(B3788,
[1]sales_teams!$A$2:$A$100,
[1]sales_teams!$B$2:$B$100)</f>
        <v>Rocco Neubert</v>
      </c>
      <c r="D3788" t="str">
        <f>_xlfn.XLOOKUP($B3788,sales_teams!$A$2:$A$36,sales_teams!C$2:C$36)</f>
        <v>East</v>
      </c>
      <c r="E3788" t="s">
        <v>10</v>
      </c>
      <c r="F3788" t="s">
        <v>89</v>
      </c>
      <c r="G3788" t="s">
        <v>12</v>
      </c>
      <c r="H3788" s="1">
        <v>42895</v>
      </c>
      <c r="I3788" s="1">
        <v>42969</v>
      </c>
      <c r="J3788">
        <v>1176</v>
      </c>
    </row>
    <row r="3789" spans="1:10" x14ac:dyDescent="0.3">
      <c r="A3789" t="s">
        <v>3920</v>
      </c>
      <c r="B3789" t="s">
        <v>164</v>
      </c>
      <c r="C3789" t="str">
        <f>_xlfn.XLOOKUP(B3789,
[1]sales_teams!$A$2:$A$100,
[1]sales_teams!$B$2:$B$100)</f>
        <v>Cara Losch</v>
      </c>
      <c r="D3789" t="str">
        <f>_xlfn.XLOOKUP($B3789,sales_teams!$A$2:$A$36,sales_teams!C$2:C$36)</f>
        <v>East</v>
      </c>
      <c r="E3789" t="s">
        <v>18</v>
      </c>
      <c r="G3789" t="s">
        <v>40</v>
      </c>
      <c r="H3789" s="1">
        <v>42895</v>
      </c>
    </row>
    <row r="3790" spans="1:10" x14ac:dyDescent="0.3">
      <c r="A3790" t="s">
        <v>3921</v>
      </c>
      <c r="B3790" t="s">
        <v>164</v>
      </c>
      <c r="C3790" t="str">
        <f>_xlfn.XLOOKUP(B3790,
[1]sales_teams!$A$2:$A$100,
[1]sales_teams!$B$2:$B$100)</f>
        <v>Cara Losch</v>
      </c>
      <c r="D3790" t="str">
        <f>_xlfn.XLOOKUP($B3790,sales_teams!$A$2:$A$36,sales_teams!C$2:C$36)</f>
        <v>East</v>
      </c>
      <c r="E3790" t="s">
        <v>39</v>
      </c>
      <c r="F3790" t="s">
        <v>222</v>
      </c>
      <c r="G3790" t="s">
        <v>40</v>
      </c>
      <c r="H3790" s="1">
        <v>42895</v>
      </c>
    </row>
    <row r="3791" spans="1:10" x14ac:dyDescent="0.3">
      <c r="A3791" t="s">
        <v>3922</v>
      </c>
      <c r="B3791" t="s">
        <v>64</v>
      </c>
      <c r="C3791" t="str">
        <f>_xlfn.XLOOKUP(B3791,
[1]sales_teams!$A$2:$A$100,
[1]sales_teams!$B$2:$B$100)</f>
        <v>Rocco Neubert</v>
      </c>
      <c r="D3791" t="str">
        <f>_xlfn.XLOOKUP($B3791,sales_teams!$A$2:$A$36,sales_teams!C$2:C$36)</f>
        <v>East</v>
      </c>
      <c r="E3791" t="s">
        <v>10</v>
      </c>
      <c r="F3791" t="s">
        <v>89</v>
      </c>
      <c r="G3791" t="s">
        <v>40</v>
      </c>
      <c r="H3791" s="1">
        <v>42895</v>
      </c>
    </row>
    <row r="3792" spans="1:10" x14ac:dyDescent="0.3">
      <c r="A3792" t="s">
        <v>3923</v>
      </c>
      <c r="B3792" t="s">
        <v>14</v>
      </c>
      <c r="C3792" t="str">
        <f>_xlfn.XLOOKUP(B3792,
[1]sales_teams!$A$2:$A$100,
[1]sales_teams!$B$2:$B$100)</f>
        <v>Melvin Marxen</v>
      </c>
      <c r="D3792" t="str">
        <f>_xlfn.XLOOKUP($B3792,sales_teams!$A$2:$A$36,sales_teams!C$2:C$36)</f>
        <v>Central</v>
      </c>
      <c r="E3792" t="s">
        <v>10</v>
      </c>
      <c r="F3792" t="s">
        <v>62</v>
      </c>
      <c r="G3792" t="s">
        <v>46</v>
      </c>
      <c r="H3792" s="1">
        <v>42895</v>
      </c>
      <c r="I3792" s="1">
        <v>42973</v>
      </c>
      <c r="J3792">
        <v>0</v>
      </c>
    </row>
    <row r="3793" spans="1:10" x14ac:dyDescent="0.3">
      <c r="A3793" t="s">
        <v>3924</v>
      </c>
      <c r="B3793" t="s">
        <v>142</v>
      </c>
      <c r="C3793" t="str">
        <f>_xlfn.XLOOKUP(B3793,
[1]sales_teams!$A$2:$A$100,
[1]sales_teams!$B$2:$B$100)</f>
        <v>Rocco Neubert</v>
      </c>
      <c r="D3793" t="str">
        <f>_xlfn.XLOOKUP($B3793,sales_teams!$A$2:$A$36,sales_teams!C$2:C$36)</f>
        <v>East</v>
      </c>
      <c r="E3793" t="s">
        <v>15</v>
      </c>
      <c r="F3793" t="s">
        <v>89</v>
      </c>
      <c r="G3793" t="s">
        <v>12</v>
      </c>
      <c r="H3793" s="1">
        <v>42895</v>
      </c>
      <c r="I3793" s="1">
        <v>42949</v>
      </c>
      <c r="J3793">
        <v>4517</v>
      </c>
    </row>
    <row r="3794" spans="1:10" x14ac:dyDescent="0.3">
      <c r="A3794" t="s">
        <v>3925</v>
      </c>
      <c r="B3794" t="s">
        <v>38</v>
      </c>
      <c r="C3794" t="str">
        <f>_xlfn.XLOOKUP(B3794,
[1]sales_teams!$A$2:$A$100,
[1]sales_teams!$B$2:$B$100)</f>
        <v>Summer Sewald</v>
      </c>
      <c r="D3794" t="str">
        <f>_xlfn.XLOOKUP($B3794,sales_teams!$A$2:$A$36,sales_teams!C$2:C$36)</f>
        <v>West</v>
      </c>
      <c r="E3794" t="s">
        <v>48</v>
      </c>
      <c r="F3794" t="s">
        <v>68</v>
      </c>
      <c r="G3794" t="s">
        <v>12</v>
      </c>
      <c r="H3794" s="1">
        <v>42895</v>
      </c>
      <c r="I3794" s="1">
        <v>42963</v>
      </c>
      <c r="J3794">
        <v>5125</v>
      </c>
    </row>
    <row r="3795" spans="1:10" x14ac:dyDescent="0.3">
      <c r="A3795" t="s">
        <v>3926</v>
      </c>
      <c r="B3795" t="s">
        <v>78</v>
      </c>
      <c r="C3795" t="str">
        <f>_xlfn.XLOOKUP(B3795,
[1]sales_teams!$A$2:$A$100,
[1]sales_teams!$B$2:$B$100)</f>
        <v>Summer Sewald</v>
      </c>
      <c r="D3795" t="str">
        <f>_xlfn.XLOOKUP($B3795,sales_teams!$A$2:$A$36,sales_teams!C$2:C$36)</f>
        <v>West</v>
      </c>
      <c r="E3795" t="s">
        <v>10</v>
      </c>
      <c r="F3795" t="s">
        <v>157</v>
      </c>
      <c r="G3795" t="s">
        <v>40</v>
      </c>
      <c r="H3795" s="1">
        <v>42895</v>
      </c>
    </row>
    <row r="3796" spans="1:10" x14ac:dyDescent="0.3">
      <c r="A3796" t="s">
        <v>3927</v>
      </c>
      <c r="B3796" t="s">
        <v>78</v>
      </c>
      <c r="C3796" t="str">
        <f>_xlfn.XLOOKUP(B3796,
[1]sales_teams!$A$2:$A$100,
[1]sales_teams!$B$2:$B$100)</f>
        <v>Summer Sewald</v>
      </c>
      <c r="D3796" t="str">
        <f>_xlfn.XLOOKUP($B3796,sales_teams!$A$2:$A$36,sales_teams!C$2:C$36)</f>
        <v>West</v>
      </c>
      <c r="E3796" t="s">
        <v>15</v>
      </c>
      <c r="F3796" t="s">
        <v>155</v>
      </c>
      <c r="G3796" t="s">
        <v>12</v>
      </c>
      <c r="H3796" s="1">
        <v>42895</v>
      </c>
      <c r="I3796" s="1">
        <v>42905</v>
      </c>
      <c r="J3796">
        <v>5339</v>
      </c>
    </row>
    <row r="3797" spans="1:10" x14ac:dyDescent="0.3">
      <c r="A3797" t="s">
        <v>3928</v>
      </c>
      <c r="B3797" t="s">
        <v>95</v>
      </c>
      <c r="C3797" t="str">
        <f>_xlfn.XLOOKUP(B3797,
[1]sales_teams!$A$2:$A$100,
[1]sales_teams!$B$2:$B$100)</f>
        <v>Summer Sewald</v>
      </c>
      <c r="D3797" t="str">
        <f>_xlfn.XLOOKUP($B3797,sales_teams!$A$2:$A$36,sales_teams!C$2:C$36)</f>
        <v>West</v>
      </c>
      <c r="E3797" t="s">
        <v>15</v>
      </c>
      <c r="F3797" t="s">
        <v>168</v>
      </c>
      <c r="G3797" t="s">
        <v>46</v>
      </c>
      <c r="H3797" s="1">
        <v>42895</v>
      </c>
      <c r="I3797" s="1">
        <v>42966</v>
      </c>
      <c r="J3797">
        <v>0</v>
      </c>
    </row>
    <row r="3798" spans="1:10" x14ac:dyDescent="0.3">
      <c r="A3798" t="s">
        <v>3929</v>
      </c>
      <c r="B3798" t="s">
        <v>32</v>
      </c>
      <c r="C3798" t="str">
        <f>_xlfn.XLOOKUP(B3798,
[1]sales_teams!$A$2:$A$100,
[1]sales_teams!$B$2:$B$100)</f>
        <v>Celia Rouche</v>
      </c>
      <c r="D3798" t="str">
        <f>_xlfn.XLOOKUP($B3798,sales_teams!$A$2:$A$36,sales_teams!C$2:C$36)</f>
        <v>West</v>
      </c>
      <c r="E3798" t="s">
        <v>10</v>
      </c>
      <c r="F3798" t="s">
        <v>218</v>
      </c>
      <c r="G3798" t="s">
        <v>12</v>
      </c>
      <c r="H3798" s="1">
        <v>42895</v>
      </c>
      <c r="I3798" s="1">
        <v>42912</v>
      </c>
      <c r="J3798">
        <v>1135</v>
      </c>
    </row>
    <row r="3799" spans="1:10" x14ac:dyDescent="0.3">
      <c r="A3799" t="s">
        <v>3930</v>
      </c>
      <c r="B3799" t="s">
        <v>51</v>
      </c>
      <c r="C3799" t="str">
        <f>_xlfn.XLOOKUP(B3799,
[1]sales_teams!$A$2:$A$100,
[1]sales_teams!$B$2:$B$100)</f>
        <v>Summer Sewald</v>
      </c>
      <c r="D3799" t="str">
        <f>_xlfn.XLOOKUP($B3799,sales_teams!$A$2:$A$36,sales_teams!C$2:C$36)</f>
        <v>West</v>
      </c>
      <c r="E3799" t="s">
        <v>18</v>
      </c>
      <c r="F3799" t="s">
        <v>155</v>
      </c>
      <c r="G3799" t="s">
        <v>12</v>
      </c>
      <c r="H3799" s="1">
        <v>42895</v>
      </c>
      <c r="I3799" s="1">
        <v>42983</v>
      </c>
      <c r="J3799">
        <v>52</v>
      </c>
    </row>
    <row r="3800" spans="1:10" x14ac:dyDescent="0.3">
      <c r="A3800" t="s">
        <v>3931</v>
      </c>
      <c r="B3800" t="s">
        <v>9</v>
      </c>
      <c r="C3800" t="str">
        <f>_xlfn.XLOOKUP(B3800,
[1]sales_teams!$A$2:$A$100,
[1]sales_teams!$B$2:$B$100)</f>
        <v>Dustin Brinkmann</v>
      </c>
      <c r="D3800" t="str">
        <f>_xlfn.XLOOKUP($B3800,sales_teams!$A$2:$A$36,sales_teams!C$2:C$36)</f>
        <v>Central</v>
      </c>
      <c r="E3800" t="s">
        <v>10</v>
      </c>
      <c r="F3800" t="s">
        <v>42</v>
      </c>
      <c r="G3800" t="s">
        <v>12</v>
      </c>
      <c r="H3800" s="1">
        <v>42895</v>
      </c>
      <c r="I3800" s="1">
        <v>42951</v>
      </c>
      <c r="J3800">
        <v>1017</v>
      </c>
    </row>
    <row r="3801" spans="1:10" x14ac:dyDescent="0.3">
      <c r="A3801" t="s">
        <v>3932</v>
      </c>
      <c r="B3801" t="s">
        <v>9</v>
      </c>
      <c r="C3801" t="str">
        <f>_xlfn.XLOOKUP(B3801,
[1]sales_teams!$A$2:$A$100,
[1]sales_teams!$B$2:$B$100)</f>
        <v>Dustin Brinkmann</v>
      </c>
      <c r="D3801" t="str">
        <f>_xlfn.XLOOKUP($B3801,sales_teams!$A$2:$A$36,sales_teams!C$2:C$36)</f>
        <v>Central</v>
      </c>
      <c r="E3801" t="s">
        <v>39</v>
      </c>
      <c r="F3801" t="s">
        <v>21</v>
      </c>
      <c r="G3801" t="s">
        <v>12</v>
      </c>
      <c r="H3801" s="1">
        <v>42895</v>
      </c>
      <c r="I3801" s="1">
        <v>42913</v>
      </c>
      <c r="J3801">
        <v>3681</v>
      </c>
    </row>
    <row r="3802" spans="1:10" x14ac:dyDescent="0.3">
      <c r="A3802" t="s">
        <v>3933</v>
      </c>
      <c r="B3802" t="s">
        <v>35</v>
      </c>
      <c r="C3802" t="str">
        <f>_xlfn.XLOOKUP(B3802,
[1]sales_teams!$A$2:$A$100,
[1]sales_teams!$B$2:$B$100)</f>
        <v>Melvin Marxen</v>
      </c>
      <c r="D3802" t="str">
        <f>_xlfn.XLOOKUP($B3802,sales_teams!$A$2:$A$36,sales_teams!C$2:C$36)</f>
        <v>Central</v>
      </c>
      <c r="E3802" t="s">
        <v>10</v>
      </c>
      <c r="F3802" t="s">
        <v>126</v>
      </c>
      <c r="G3802" t="s">
        <v>46</v>
      </c>
      <c r="H3802" s="1">
        <v>42895</v>
      </c>
      <c r="I3802" s="1">
        <v>42951</v>
      </c>
      <c r="J3802">
        <v>0</v>
      </c>
    </row>
    <row r="3803" spans="1:10" x14ac:dyDescent="0.3">
      <c r="A3803" t="s">
        <v>3934</v>
      </c>
      <c r="B3803" t="s">
        <v>97</v>
      </c>
      <c r="C3803" t="str">
        <f>_xlfn.XLOOKUP(B3803,
[1]sales_teams!$A$2:$A$100,
[1]sales_teams!$B$2:$B$100)</f>
        <v>Rocco Neubert</v>
      </c>
      <c r="D3803" t="str">
        <f>_xlfn.XLOOKUP($B3803,sales_teams!$A$2:$A$36,sales_teams!C$2:C$36)</f>
        <v>East</v>
      </c>
      <c r="E3803" t="s">
        <v>15</v>
      </c>
      <c r="F3803" t="s">
        <v>106</v>
      </c>
      <c r="G3803" t="s">
        <v>12</v>
      </c>
      <c r="H3803" s="1">
        <v>42895</v>
      </c>
      <c r="I3803" s="1">
        <v>43000</v>
      </c>
      <c r="J3803">
        <v>4370</v>
      </c>
    </row>
    <row r="3804" spans="1:10" x14ac:dyDescent="0.3">
      <c r="A3804" t="s">
        <v>3935</v>
      </c>
      <c r="B3804" t="s">
        <v>118</v>
      </c>
      <c r="C3804" t="str">
        <f>_xlfn.XLOOKUP(B3804,
[1]sales_teams!$A$2:$A$100,
[1]sales_teams!$B$2:$B$100)</f>
        <v>Rocco Neubert</v>
      </c>
      <c r="D3804" t="str">
        <f>_xlfn.XLOOKUP($B3804,sales_teams!$A$2:$A$36,sales_teams!C$2:C$36)</f>
        <v>East</v>
      </c>
      <c r="E3804" t="s">
        <v>39</v>
      </c>
      <c r="F3804" t="s">
        <v>518</v>
      </c>
      <c r="G3804" t="s">
        <v>12</v>
      </c>
      <c r="H3804" s="1">
        <v>42896</v>
      </c>
      <c r="I3804" s="1">
        <v>42900</v>
      </c>
      <c r="J3804">
        <v>3772</v>
      </c>
    </row>
    <row r="3805" spans="1:10" x14ac:dyDescent="0.3">
      <c r="A3805" t="s">
        <v>3936</v>
      </c>
      <c r="B3805" t="s">
        <v>118</v>
      </c>
      <c r="C3805" t="str">
        <f>_xlfn.XLOOKUP(B3805,
[1]sales_teams!$A$2:$A$100,
[1]sales_teams!$B$2:$B$100)</f>
        <v>Rocco Neubert</v>
      </c>
      <c r="D3805" t="str">
        <f>_xlfn.XLOOKUP($B3805,sales_teams!$A$2:$A$36,sales_teams!C$2:C$36)</f>
        <v>East</v>
      </c>
      <c r="E3805" t="s">
        <v>39</v>
      </c>
      <c r="F3805" t="s">
        <v>329</v>
      </c>
      <c r="G3805" t="s">
        <v>12</v>
      </c>
      <c r="H3805" s="1">
        <v>42896</v>
      </c>
      <c r="I3805" s="1">
        <v>42914</v>
      </c>
      <c r="J3805">
        <v>2871</v>
      </c>
    </row>
    <row r="3806" spans="1:10" x14ac:dyDescent="0.3">
      <c r="A3806" t="s">
        <v>3937</v>
      </c>
      <c r="B3806" t="s">
        <v>202</v>
      </c>
      <c r="C3806" t="str">
        <f>_xlfn.XLOOKUP(B3806,
[1]sales_teams!$A$2:$A$100,
[1]sales_teams!$B$2:$B$100)</f>
        <v>Dustin Brinkmann</v>
      </c>
      <c r="D3806" t="str">
        <f>_xlfn.XLOOKUP($B3806,sales_teams!$A$2:$A$36,sales_teams!C$2:C$36)</f>
        <v>Central</v>
      </c>
      <c r="E3806" t="s">
        <v>48</v>
      </c>
      <c r="F3806" t="s">
        <v>11</v>
      </c>
      <c r="G3806" t="s">
        <v>12</v>
      </c>
      <c r="H3806" s="1">
        <v>42896</v>
      </c>
      <c r="I3806" s="1">
        <v>42951</v>
      </c>
      <c r="J3806">
        <v>4749</v>
      </c>
    </row>
    <row r="3807" spans="1:10" x14ac:dyDescent="0.3">
      <c r="A3807" t="s">
        <v>3938</v>
      </c>
      <c r="B3807" t="s">
        <v>164</v>
      </c>
      <c r="C3807" t="str">
        <f>_xlfn.XLOOKUP(B3807,
[1]sales_teams!$A$2:$A$100,
[1]sales_teams!$B$2:$B$100)</f>
        <v>Cara Losch</v>
      </c>
      <c r="D3807" t="str">
        <f>_xlfn.XLOOKUP($B3807,sales_teams!$A$2:$A$36,sales_teams!C$2:C$36)</f>
        <v>East</v>
      </c>
      <c r="E3807" t="s">
        <v>18</v>
      </c>
      <c r="F3807" t="s">
        <v>81</v>
      </c>
      <c r="G3807" t="s">
        <v>46</v>
      </c>
      <c r="H3807" s="1">
        <v>42896</v>
      </c>
      <c r="I3807" s="1">
        <v>42974</v>
      </c>
      <c r="J3807">
        <v>0</v>
      </c>
    </row>
    <row r="3808" spans="1:10" x14ac:dyDescent="0.3">
      <c r="A3808" t="s">
        <v>3939</v>
      </c>
      <c r="B3808" t="s">
        <v>14</v>
      </c>
      <c r="C3808" t="str">
        <f>_xlfn.XLOOKUP(B3808,
[1]sales_teams!$A$2:$A$100,
[1]sales_teams!$B$2:$B$100)</f>
        <v>Melvin Marxen</v>
      </c>
      <c r="D3808" t="str">
        <f>_xlfn.XLOOKUP($B3808,sales_teams!$A$2:$A$36,sales_teams!C$2:C$36)</f>
        <v>Central</v>
      </c>
      <c r="E3808" t="s">
        <v>10</v>
      </c>
      <c r="F3808" t="s">
        <v>27</v>
      </c>
      <c r="G3808" t="s">
        <v>12</v>
      </c>
      <c r="H3808" s="1">
        <v>42896</v>
      </c>
      <c r="I3808" s="1">
        <v>42973</v>
      </c>
      <c r="J3808">
        <v>1075</v>
      </c>
    </row>
    <row r="3809" spans="1:10" x14ac:dyDescent="0.3">
      <c r="A3809" t="s">
        <v>3940</v>
      </c>
      <c r="B3809" t="s">
        <v>142</v>
      </c>
      <c r="C3809" t="str">
        <f>_xlfn.XLOOKUP(B3809,
[1]sales_teams!$A$2:$A$100,
[1]sales_teams!$B$2:$B$100)</f>
        <v>Rocco Neubert</v>
      </c>
      <c r="D3809" t="str">
        <f>_xlfn.XLOOKUP($B3809,sales_teams!$A$2:$A$36,sales_teams!C$2:C$36)</f>
        <v>East</v>
      </c>
      <c r="E3809" t="s">
        <v>48</v>
      </c>
      <c r="F3809" t="s">
        <v>179</v>
      </c>
      <c r="G3809" t="s">
        <v>12</v>
      </c>
      <c r="H3809" s="1">
        <v>42896</v>
      </c>
      <c r="I3809" s="1">
        <v>42999</v>
      </c>
      <c r="J3809">
        <v>5051</v>
      </c>
    </row>
    <row r="3810" spans="1:10" x14ac:dyDescent="0.3">
      <c r="A3810" t="s">
        <v>3941</v>
      </c>
      <c r="B3810" t="s">
        <v>67</v>
      </c>
      <c r="C3810" t="str">
        <f>_xlfn.XLOOKUP(B3810,
[1]sales_teams!$A$2:$A$100,
[1]sales_teams!$B$2:$B$100)</f>
        <v>Celia Rouche</v>
      </c>
      <c r="D3810" t="str">
        <f>_xlfn.XLOOKUP($B3810,sales_teams!$A$2:$A$36,sales_teams!C$2:C$36)</f>
        <v>West</v>
      </c>
      <c r="E3810" t="s">
        <v>145</v>
      </c>
      <c r="F3810" t="s">
        <v>184</v>
      </c>
      <c r="G3810" t="s">
        <v>40</v>
      </c>
      <c r="H3810" s="1">
        <v>42896</v>
      </c>
    </row>
    <row r="3811" spans="1:10" x14ac:dyDescent="0.3">
      <c r="A3811" t="s">
        <v>3942</v>
      </c>
      <c r="B3811" t="s">
        <v>252</v>
      </c>
      <c r="C3811" t="str">
        <f>_xlfn.XLOOKUP(B3811,
[1]sales_teams!$A$2:$A$100,
[1]sales_teams!$B$2:$B$100)</f>
        <v>Melvin Marxen</v>
      </c>
      <c r="D3811" t="str">
        <f>_xlfn.XLOOKUP($B3811,sales_teams!$A$2:$A$36,sales_teams!C$2:C$36)</f>
        <v>Central</v>
      </c>
      <c r="E3811" t="s">
        <v>10</v>
      </c>
      <c r="F3811" t="s">
        <v>16</v>
      </c>
      <c r="G3811" t="s">
        <v>12</v>
      </c>
      <c r="H3811" s="1">
        <v>42896</v>
      </c>
      <c r="I3811" s="1">
        <v>42903</v>
      </c>
      <c r="J3811">
        <v>834</v>
      </c>
    </row>
    <row r="3812" spans="1:10" x14ac:dyDescent="0.3">
      <c r="A3812" t="s">
        <v>3943</v>
      </c>
      <c r="B3812" t="s">
        <v>78</v>
      </c>
      <c r="C3812" t="str">
        <f>_xlfn.XLOOKUP(B3812,
[1]sales_teams!$A$2:$A$100,
[1]sales_teams!$B$2:$B$100)</f>
        <v>Summer Sewald</v>
      </c>
      <c r="D3812" t="str">
        <f>_xlfn.XLOOKUP($B3812,sales_teams!$A$2:$A$36,sales_teams!C$2:C$36)</f>
        <v>West</v>
      </c>
      <c r="E3812" t="s">
        <v>18</v>
      </c>
      <c r="F3812" t="s">
        <v>100</v>
      </c>
      <c r="G3812" t="s">
        <v>46</v>
      </c>
      <c r="H3812" s="1">
        <v>42896</v>
      </c>
      <c r="I3812" s="1">
        <v>42954</v>
      </c>
      <c r="J3812">
        <v>0</v>
      </c>
    </row>
    <row r="3813" spans="1:10" x14ac:dyDescent="0.3">
      <c r="A3813" t="s">
        <v>3944</v>
      </c>
      <c r="B3813" t="s">
        <v>116</v>
      </c>
      <c r="C3813" t="str">
        <f>_xlfn.XLOOKUP(B3813,
[1]sales_teams!$A$2:$A$100,
[1]sales_teams!$B$2:$B$100)</f>
        <v>Melvin Marxen</v>
      </c>
      <c r="D3813" t="str">
        <f>_xlfn.XLOOKUP($B3813,sales_teams!$A$2:$A$36,sales_teams!C$2:C$36)</f>
        <v>Central</v>
      </c>
      <c r="E3813" t="s">
        <v>39</v>
      </c>
      <c r="F3813" t="s">
        <v>170</v>
      </c>
      <c r="G3813" t="s">
        <v>46</v>
      </c>
      <c r="H3813" s="1">
        <v>42896</v>
      </c>
      <c r="I3813" s="1">
        <v>42997</v>
      </c>
      <c r="J3813">
        <v>0</v>
      </c>
    </row>
    <row r="3814" spans="1:10" x14ac:dyDescent="0.3">
      <c r="A3814" t="s">
        <v>3945</v>
      </c>
      <c r="B3814" t="s">
        <v>116</v>
      </c>
      <c r="C3814" t="str">
        <f>_xlfn.XLOOKUP(B3814,
[1]sales_teams!$A$2:$A$100,
[1]sales_teams!$B$2:$B$100)</f>
        <v>Melvin Marxen</v>
      </c>
      <c r="D3814" t="str">
        <f>_xlfn.XLOOKUP($B3814,sales_teams!$A$2:$A$36,sales_teams!C$2:C$36)</f>
        <v>Central</v>
      </c>
      <c r="E3814" t="s">
        <v>18</v>
      </c>
      <c r="F3814" t="s">
        <v>151</v>
      </c>
      <c r="G3814" t="s">
        <v>12</v>
      </c>
      <c r="H3814" s="1">
        <v>42896</v>
      </c>
      <c r="I3814" s="1">
        <v>42905</v>
      </c>
      <c r="J3814">
        <v>54</v>
      </c>
    </row>
    <row r="3815" spans="1:10" x14ac:dyDescent="0.3">
      <c r="A3815" t="s">
        <v>3946</v>
      </c>
      <c r="B3815" t="s">
        <v>35</v>
      </c>
      <c r="C3815" t="str">
        <f>_xlfn.XLOOKUP(B3815,
[1]sales_teams!$A$2:$A$100,
[1]sales_teams!$B$2:$B$100)</f>
        <v>Melvin Marxen</v>
      </c>
      <c r="D3815" t="str">
        <f>_xlfn.XLOOKUP($B3815,sales_teams!$A$2:$A$36,sales_teams!C$2:C$36)</f>
        <v>Central</v>
      </c>
      <c r="E3815" t="s">
        <v>20</v>
      </c>
      <c r="F3815" t="s">
        <v>492</v>
      </c>
      <c r="G3815" t="s">
        <v>46</v>
      </c>
      <c r="H3815" s="1">
        <v>42896</v>
      </c>
      <c r="I3815" s="1">
        <v>42985</v>
      </c>
      <c r="J3815">
        <v>0</v>
      </c>
    </row>
    <row r="3816" spans="1:10" x14ac:dyDescent="0.3">
      <c r="A3816" t="s">
        <v>3947</v>
      </c>
      <c r="B3816" t="s">
        <v>35</v>
      </c>
      <c r="C3816" t="str">
        <f>_xlfn.XLOOKUP(B3816,
[1]sales_teams!$A$2:$A$100,
[1]sales_teams!$B$2:$B$100)</f>
        <v>Melvin Marxen</v>
      </c>
      <c r="D3816" t="str">
        <f>_xlfn.XLOOKUP($B3816,sales_teams!$A$2:$A$36,sales_teams!C$2:C$36)</f>
        <v>Central</v>
      </c>
      <c r="E3816" t="s">
        <v>20</v>
      </c>
      <c r="F3816" t="s">
        <v>207</v>
      </c>
      <c r="G3816" t="s">
        <v>12</v>
      </c>
      <c r="H3816" s="1">
        <v>42896</v>
      </c>
      <c r="I3816" s="1">
        <v>42907</v>
      </c>
      <c r="J3816">
        <v>527</v>
      </c>
    </row>
    <row r="3817" spans="1:10" x14ac:dyDescent="0.3">
      <c r="A3817" t="s">
        <v>3948</v>
      </c>
      <c r="B3817" t="s">
        <v>35</v>
      </c>
      <c r="C3817" t="str">
        <f>_xlfn.XLOOKUP(B3817,
[1]sales_teams!$A$2:$A$100,
[1]sales_teams!$B$2:$B$100)</f>
        <v>Melvin Marxen</v>
      </c>
      <c r="D3817" t="str">
        <f>_xlfn.XLOOKUP($B3817,sales_teams!$A$2:$A$36,sales_teams!C$2:C$36)</f>
        <v>Central</v>
      </c>
      <c r="E3817" t="s">
        <v>39</v>
      </c>
      <c r="F3817" t="s">
        <v>213</v>
      </c>
      <c r="G3817" t="s">
        <v>12</v>
      </c>
      <c r="H3817" s="1">
        <v>42896</v>
      </c>
      <c r="I3817" s="1">
        <v>42898</v>
      </c>
      <c r="J3817">
        <v>2724</v>
      </c>
    </row>
    <row r="3818" spans="1:10" x14ac:dyDescent="0.3">
      <c r="A3818" t="s">
        <v>3949</v>
      </c>
      <c r="B3818" t="s">
        <v>97</v>
      </c>
      <c r="C3818" t="str">
        <f>_xlfn.XLOOKUP(B3818,
[1]sales_teams!$A$2:$A$100,
[1]sales_teams!$B$2:$B$100)</f>
        <v>Rocco Neubert</v>
      </c>
      <c r="D3818" t="str">
        <f>_xlfn.XLOOKUP($B3818,sales_teams!$A$2:$A$36,sales_teams!C$2:C$36)</f>
        <v>East</v>
      </c>
      <c r="E3818" t="s">
        <v>48</v>
      </c>
      <c r="F3818" t="s">
        <v>204</v>
      </c>
      <c r="G3818" t="s">
        <v>46</v>
      </c>
      <c r="H3818" s="1">
        <v>42896</v>
      </c>
      <c r="I3818" s="1">
        <v>42907</v>
      </c>
      <c r="J3818">
        <v>0</v>
      </c>
    </row>
    <row r="3819" spans="1:10" x14ac:dyDescent="0.3">
      <c r="A3819" t="s">
        <v>3950</v>
      </c>
      <c r="B3819" t="s">
        <v>97</v>
      </c>
      <c r="C3819" t="str">
        <f>_xlfn.XLOOKUP(B3819,
[1]sales_teams!$A$2:$A$100,
[1]sales_teams!$B$2:$B$100)</f>
        <v>Rocco Neubert</v>
      </c>
      <c r="D3819" t="str">
        <f>_xlfn.XLOOKUP($B3819,sales_teams!$A$2:$A$36,sales_teams!C$2:C$36)</f>
        <v>East</v>
      </c>
      <c r="E3819" t="s">
        <v>20</v>
      </c>
      <c r="F3819" t="s">
        <v>179</v>
      </c>
      <c r="G3819" t="s">
        <v>12</v>
      </c>
      <c r="H3819" s="1">
        <v>42896</v>
      </c>
      <c r="I3819" s="1">
        <v>42983</v>
      </c>
      <c r="J3819">
        <v>551</v>
      </c>
    </row>
    <row r="3820" spans="1:10" x14ac:dyDescent="0.3">
      <c r="A3820" t="s">
        <v>3951</v>
      </c>
      <c r="B3820" t="s">
        <v>57</v>
      </c>
      <c r="C3820" t="str">
        <f>_xlfn.XLOOKUP(B3820,
[1]sales_teams!$A$2:$A$100,
[1]sales_teams!$B$2:$B$100)</f>
        <v>Celia Rouche</v>
      </c>
      <c r="D3820" t="str">
        <f>_xlfn.XLOOKUP($B3820,sales_teams!$A$2:$A$36,sales_teams!C$2:C$36)</f>
        <v>West</v>
      </c>
      <c r="E3820" t="s">
        <v>15</v>
      </c>
      <c r="F3820" t="s">
        <v>74</v>
      </c>
      <c r="G3820" t="s">
        <v>40</v>
      </c>
      <c r="H3820" s="1">
        <v>42896</v>
      </c>
    </row>
    <row r="3821" spans="1:10" x14ac:dyDescent="0.3">
      <c r="A3821" t="s">
        <v>3952</v>
      </c>
      <c r="B3821" t="s">
        <v>29</v>
      </c>
      <c r="C3821" t="str">
        <f>_xlfn.XLOOKUP(B3821,
[1]sales_teams!$A$2:$A$100,
[1]sales_teams!$B$2:$B$100)</f>
        <v>Celia Rouche</v>
      </c>
      <c r="D3821" t="str">
        <f>_xlfn.XLOOKUP($B3821,sales_teams!$A$2:$A$36,sales_teams!C$2:C$36)</f>
        <v>West</v>
      </c>
      <c r="E3821" t="s">
        <v>10</v>
      </c>
      <c r="F3821" t="s">
        <v>168</v>
      </c>
      <c r="G3821" t="s">
        <v>12</v>
      </c>
      <c r="H3821" s="1">
        <v>42896</v>
      </c>
      <c r="I3821" s="1">
        <v>42907</v>
      </c>
      <c r="J3821">
        <v>1118</v>
      </c>
    </row>
    <row r="3822" spans="1:10" x14ac:dyDescent="0.3">
      <c r="A3822" t="s">
        <v>3953</v>
      </c>
      <c r="B3822" t="s">
        <v>29</v>
      </c>
      <c r="C3822" t="str">
        <f>_xlfn.XLOOKUP(B3822,
[1]sales_teams!$A$2:$A$100,
[1]sales_teams!$B$2:$B$100)</f>
        <v>Celia Rouche</v>
      </c>
      <c r="D3822" t="str">
        <f>_xlfn.XLOOKUP($B3822,sales_teams!$A$2:$A$36,sales_teams!C$2:C$36)</f>
        <v>West</v>
      </c>
      <c r="E3822" t="s">
        <v>48</v>
      </c>
      <c r="F3822" t="s">
        <v>174</v>
      </c>
      <c r="G3822" t="s">
        <v>12</v>
      </c>
      <c r="H3822" s="1">
        <v>42896</v>
      </c>
      <c r="I3822" s="1">
        <v>42970</v>
      </c>
      <c r="J3822">
        <v>6094</v>
      </c>
    </row>
    <row r="3823" spans="1:10" x14ac:dyDescent="0.3">
      <c r="A3823" t="s">
        <v>3954</v>
      </c>
      <c r="B3823" t="s">
        <v>102</v>
      </c>
      <c r="C3823" t="str">
        <f>_xlfn.XLOOKUP(B3823,
[1]sales_teams!$A$2:$A$100,
[1]sales_teams!$B$2:$B$100)</f>
        <v>Cara Losch</v>
      </c>
      <c r="D3823" t="str">
        <f>_xlfn.XLOOKUP($B3823,sales_teams!$A$2:$A$36,sales_teams!C$2:C$36)</f>
        <v>East</v>
      </c>
      <c r="E3823" t="s">
        <v>18</v>
      </c>
      <c r="F3823" t="s">
        <v>237</v>
      </c>
      <c r="G3823" t="s">
        <v>46</v>
      </c>
      <c r="H3823" s="1">
        <v>42896</v>
      </c>
      <c r="I3823" s="1">
        <v>42969</v>
      </c>
      <c r="J3823">
        <v>0</v>
      </c>
    </row>
    <row r="3824" spans="1:10" x14ac:dyDescent="0.3">
      <c r="A3824" t="s">
        <v>3955</v>
      </c>
      <c r="B3824" t="s">
        <v>23</v>
      </c>
      <c r="C3824" t="str">
        <f>_xlfn.XLOOKUP(B3824,
[1]sales_teams!$A$2:$A$100,
[1]sales_teams!$B$2:$B$100)</f>
        <v>Summer Sewald</v>
      </c>
      <c r="D3824" t="str">
        <f>_xlfn.XLOOKUP($B3824,sales_teams!$A$2:$A$36,sales_teams!C$2:C$36)</f>
        <v>West</v>
      </c>
      <c r="E3824" t="s">
        <v>20</v>
      </c>
      <c r="G3824" t="s">
        <v>40</v>
      </c>
      <c r="H3824" s="1">
        <v>42896</v>
      </c>
    </row>
    <row r="3825" spans="1:10" x14ac:dyDescent="0.3">
      <c r="A3825" t="s">
        <v>3956</v>
      </c>
      <c r="B3825" t="s">
        <v>23</v>
      </c>
      <c r="C3825" t="str">
        <f>_xlfn.XLOOKUP(B3825,
[1]sales_teams!$A$2:$A$100,
[1]sales_teams!$B$2:$B$100)</f>
        <v>Summer Sewald</v>
      </c>
      <c r="D3825" t="str">
        <f>_xlfn.XLOOKUP($B3825,sales_teams!$A$2:$A$36,sales_teams!C$2:C$36)</f>
        <v>West</v>
      </c>
      <c r="E3825" t="s">
        <v>20</v>
      </c>
      <c r="F3825" t="s">
        <v>157</v>
      </c>
      <c r="G3825" t="s">
        <v>12</v>
      </c>
      <c r="H3825" s="1">
        <v>42896</v>
      </c>
      <c r="I3825" s="1">
        <v>42953</v>
      </c>
      <c r="J3825">
        <v>556</v>
      </c>
    </row>
    <row r="3826" spans="1:10" x14ac:dyDescent="0.3">
      <c r="A3826" t="s">
        <v>3957</v>
      </c>
      <c r="B3826" t="s">
        <v>26</v>
      </c>
      <c r="C3826" t="str">
        <f>_xlfn.XLOOKUP(B3826,
[1]sales_teams!$A$2:$A$100,
[1]sales_teams!$B$2:$B$100)</f>
        <v>Dustin Brinkmann</v>
      </c>
      <c r="D3826" t="str">
        <f>_xlfn.XLOOKUP($B3826,sales_teams!$A$2:$A$36,sales_teams!C$2:C$36)</f>
        <v>Central</v>
      </c>
      <c r="E3826" t="s">
        <v>20</v>
      </c>
      <c r="F3826" t="s">
        <v>213</v>
      </c>
      <c r="G3826" t="s">
        <v>46</v>
      </c>
      <c r="H3826" s="1">
        <v>42897</v>
      </c>
      <c r="I3826" s="1">
        <v>42994</v>
      </c>
      <c r="J3826">
        <v>0</v>
      </c>
    </row>
    <row r="3827" spans="1:10" x14ac:dyDescent="0.3">
      <c r="A3827" t="s">
        <v>3958</v>
      </c>
      <c r="B3827" t="s">
        <v>26</v>
      </c>
      <c r="C3827" t="str">
        <f>_xlfn.XLOOKUP(B3827,
[1]sales_teams!$A$2:$A$100,
[1]sales_teams!$B$2:$B$100)</f>
        <v>Dustin Brinkmann</v>
      </c>
      <c r="D3827" t="str">
        <f>_xlfn.XLOOKUP($B3827,sales_teams!$A$2:$A$36,sales_teams!C$2:C$36)</f>
        <v>Central</v>
      </c>
      <c r="E3827" t="s">
        <v>18</v>
      </c>
      <c r="F3827" t="s">
        <v>151</v>
      </c>
      <c r="G3827" t="s">
        <v>12</v>
      </c>
      <c r="H3827" s="1">
        <v>42897</v>
      </c>
      <c r="I3827" s="1">
        <v>42991</v>
      </c>
      <c r="J3827">
        <v>49</v>
      </c>
    </row>
    <row r="3828" spans="1:10" x14ac:dyDescent="0.3">
      <c r="A3828" t="s">
        <v>3959</v>
      </c>
      <c r="B3828" t="s">
        <v>118</v>
      </c>
      <c r="C3828" t="str">
        <f>_xlfn.XLOOKUP(B3828,
[1]sales_teams!$A$2:$A$100,
[1]sales_teams!$B$2:$B$100)</f>
        <v>Rocco Neubert</v>
      </c>
      <c r="D3828" t="str">
        <f>_xlfn.XLOOKUP($B3828,sales_teams!$A$2:$A$36,sales_teams!C$2:C$36)</f>
        <v>East</v>
      </c>
      <c r="E3828" t="s">
        <v>10</v>
      </c>
      <c r="F3828" t="s">
        <v>143</v>
      </c>
      <c r="G3828" t="s">
        <v>46</v>
      </c>
      <c r="H3828" s="1">
        <v>42897</v>
      </c>
      <c r="I3828" s="1">
        <v>42989</v>
      </c>
      <c r="J3828">
        <v>0</v>
      </c>
    </row>
    <row r="3829" spans="1:10" x14ac:dyDescent="0.3">
      <c r="A3829" t="s">
        <v>3960</v>
      </c>
      <c r="B3829" t="s">
        <v>202</v>
      </c>
      <c r="C3829" t="str">
        <f>_xlfn.XLOOKUP(B3829,
[1]sales_teams!$A$2:$A$100,
[1]sales_teams!$B$2:$B$100)</f>
        <v>Dustin Brinkmann</v>
      </c>
      <c r="D3829" t="str">
        <f>_xlfn.XLOOKUP($B3829,sales_teams!$A$2:$A$36,sales_teams!C$2:C$36)</f>
        <v>Central</v>
      </c>
      <c r="E3829" t="s">
        <v>10</v>
      </c>
      <c r="F3829" t="s">
        <v>492</v>
      </c>
      <c r="G3829" t="s">
        <v>12</v>
      </c>
      <c r="H3829" s="1">
        <v>42897</v>
      </c>
      <c r="I3829" s="1">
        <v>43003</v>
      </c>
      <c r="J3829">
        <v>1001</v>
      </c>
    </row>
    <row r="3830" spans="1:10" x14ac:dyDescent="0.3">
      <c r="A3830" t="s">
        <v>3961</v>
      </c>
      <c r="B3830" t="s">
        <v>164</v>
      </c>
      <c r="C3830" t="str">
        <f>_xlfn.XLOOKUP(B3830,
[1]sales_teams!$A$2:$A$100,
[1]sales_teams!$B$2:$B$100)</f>
        <v>Cara Losch</v>
      </c>
      <c r="D3830" t="str">
        <f>_xlfn.XLOOKUP($B3830,sales_teams!$A$2:$A$36,sales_teams!C$2:C$36)</f>
        <v>East</v>
      </c>
      <c r="E3830" t="s">
        <v>39</v>
      </c>
      <c r="F3830" t="s">
        <v>103</v>
      </c>
      <c r="G3830" t="s">
        <v>12</v>
      </c>
      <c r="H3830" s="1">
        <v>42897</v>
      </c>
      <c r="I3830" s="1">
        <v>42994</v>
      </c>
      <c r="J3830">
        <v>3777</v>
      </c>
    </row>
    <row r="3831" spans="1:10" x14ac:dyDescent="0.3">
      <c r="A3831" t="s">
        <v>3962</v>
      </c>
      <c r="B3831" t="s">
        <v>64</v>
      </c>
      <c r="C3831" t="str">
        <f>_xlfn.XLOOKUP(B3831,
[1]sales_teams!$A$2:$A$100,
[1]sales_teams!$B$2:$B$100)</f>
        <v>Rocco Neubert</v>
      </c>
      <c r="D3831" t="str">
        <f>_xlfn.XLOOKUP($B3831,sales_teams!$A$2:$A$36,sales_teams!C$2:C$36)</f>
        <v>East</v>
      </c>
      <c r="E3831" t="s">
        <v>10</v>
      </c>
      <c r="F3831" t="s">
        <v>240</v>
      </c>
      <c r="G3831" t="s">
        <v>12</v>
      </c>
      <c r="H3831" s="1">
        <v>42897</v>
      </c>
      <c r="I3831" s="1">
        <v>42964</v>
      </c>
      <c r="J3831">
        <v>892</v>
      </c>
    </row>
    <row r="3832" spans="1:10" x14ac:dyDescent="0.3">
      <c r="A3832" t="s">
        <v>3963</v>
      </c>
      <c r="B3832" t="s">
        <v>64</v>
      </c>
      <c r="C3832" t="str">
        <f>_xlfn.XLOOKUP(B3832,
[1]sales_teams!$A$2:$A$100,
[1]sales_teams!$B$2:$B$100)</f>
        <v>Rocco Neubert</v>
      </c>
      <c r="D3832" t="str">
        <f>_xlfn.XLOOKUP($B3832,sales_teams!$A$2:$A$36,sales_teams!C$2:C$36)</f>
        <v>East</v>
      </c>
      <c r="E3832" t="s">
        <v>48</v>
      </c>
      <c r="F3832" t="s">
        <v>518</v>
      </c>
      <c r="G3832" t="s">
        <v>12</v>
      </c>
      <c r="H3832" s="1">
        <v>42897</v>
      </c>
      <c r="I3832" s="1">
        <v>42905</v>
      </c>
      <c r="J3832">
        <v>5353</v>
      </c>
    </row>
    <row r="3833" spans="1:10" x14ac:dyDescent="0.3">
      <c r="A3833" t="s">
        <v>3964</v>
      </c>
      <c r="B3833" t="s">
        <v>14</v>
      </c>
      <c r="C3833" t="str">
        <f>_xlfn.XLOOKUP(B3833,
[1]sales_teams!$A$2:$A$100,
[1]sales_teams!$B$2:$B$100)</f>
        <v>Melvin Marxen</v>
      </c>
      <c r="D3833" t="str">
        <f>_xlfn.XLOOKUP($B3833,sales_teams!$A$2:$A$36,sales_teams!C$2:C$36)</f>
        <v>Central</v>
      </c>
      <c r="E3833" t="s">
        <v>15</v>
      </c>
      <c r="F3833" t="s">
        <v>303</v>
      </c>
      <c r="G3833" t="s">
        <v>12</v>
      </c>
      <c r="H3833" s="1">
        <v>42897</v>
      </c>
      <c r="I3833" s="1">
        <v>42910</v>
      </c>
      <c r="J3833">
        <v>4410</v>
      </c>
    </row>
    <row r="3834" spans="1:10" x14ac:dyDescent="0.3">
      <c r="A3834" t="s">
        <v>3965</v>
      </c>
      <c r="B3834" t="s">
        <v>14</v>
      </c>
      <c r="C3834" t="str">
        <f>_xlfn.XLOOKUP(B3834,
[1]sales_teams!$A$2:$A$100,
[1]sales_teams!$B$2:$B$100)</f>
        <v>Melvin Marxen</v>
      </c>
      <c r="D3834" t="str">
        <f>_xlfn.XLOOKUP($B3834,sales_teams!$A$2:$A$36,sales_teams!C$2:C$36)</f>
        <v>Central</v>
      </c>
      <c r="E3834" t="s">
        <v>39</v>
      </c>
      <c r="F3834" t="s">
        <v>113</v>
      </c>
      <c r="G3834" t="s">
        <v>12</v>
      </c>
      <c r="H3834" s="1">
        <v>42897</v>
      </c>
      <c r="I3834" s="1">
        <v>42981</v>
      </c>
      <c r="J3834">
        <v>3768</v>
      </c>
    </row>
    <row r="3835" spans="1:10" x14ac:dyDescent="0.3">
      <c r="A3835" t="s">
        <v>3966</v>
      </c>
      <c r="B3835" t="s">
        <v>142</v>
      </c>
      <c r="C3835" t="str">
        <f>_xlfn.XLOOKUP(B3835,
[1]sales_teams!$A$2:$A$100,
[1]sales_teams!$B$2:$B$100)</f>
        <v>Rocco Neubert</v>
      </c>
      <c r="D3835" t="str">
        <f>_xlfn.XLOOKUP($B3835,sales_teams!$A$2:$A$36,sales_teams!C$2:C$36)</f>
        <v>East</v>
      </c>
      <c r="E3835" t="s">
        <v>20</v>
      </c>
      <c r="F3835" t="s">
        <v>745</v>
      </c>
      <c r="G3835" t="s">
        <v>46</v>
      </c>
      <c r="H3835" s="1">
        <v>42897</v>
      </c>
      <c r="I3835" s="1">
        <v>42976</v>
      </c>
      <c r="J3835">
        <v>0</v>
      </c>
    </row>
    <row r="3836" spans="1:10" x14ac:dyDescent="0.3">
      <c r="A3836" t="s">
        <v>3967</v>
      </c>
      <c r="B3836" t="s">
        <v>38</v>
      </c>
      <c r="C3836" t="str">
        <f>_xlfn.XLOOKUP(B3836,
[1]sales_teams!$A$2:$A$100,
[1]sales_teams!$B$2:$B$100)</f>
        <v>Summer Sewald</v>
      </c>
      <c r="D3836" t="str">
        <f>_xlfn.XLOOKUP($B3836,sales_teams!$A$2:$A$36,sales_teams!C$2:C$36)</f>
        <v>West</v>
      </c>
      <c r="E3836" t="s">
        <v>20</v>
      </c>
      <c r="F3836" t="s">
        <v>30</v>
      </c>
      <c r="G3836" t="s">
        <v>12</v>
      </c>
      <c r="H3836" s="1">
        <v>42897</v>
      </c>
      <c r="I3836" s="1">
        <v>42957</v>
      </c>
      <c r="J3836">
        <v>507</v>
      </c>
    </row>
    <row r="3837" spans="1:10" x14ac:dyDescent="0.3">
      <c r="A3837" t="s">
        <v>3968</v>
      </c>
      <c r="B3837" t="s">
        <v>252</v>
      </c>
      <c r="C3837" t="str">
        <f>_xlfn.XLOOKUP(B3837,
[1]sales_teams!$A$2:$A$100,
[1]sales_teams!$B$2:$B$100)</f>
        <v>Melvin Marxen</v>
      </c>
      <c r="D3837" t="str">
        <f>_xlfn.XLOOKUP($B3837,sales_teams!$A$2:$A$36,sales_teams!C$2:C$36)</f>
        <v>Central</v>
      </c>
      <c r="E3837" t="s">
        <v>10</v>
      </c>
      <c r="F3837" t="s">
        <v>36</v>
      </c>
      <c r="G3837" t="s">
        <v>12</v>
      </c>
      <c r="H3837" s="1">
        <v>42897</v>
      </c>
      <c r="I3837" s="1">
        <v>42998</v>
      </c>
      <c r="J3837">
        <v>1144</v>
      </c>
    </row>
    <row r="3838" spans="1:10" x14ac:dyDescent="0.3">
      <c r="A3838" t="s">
        <v>3969</v>
      </c>
      <c r="B3838" t="s">
        <v>95</v>
      </c>
      <c r="C3838" t="str">
        <f>_xlfn.XLOOKUP(B3838,
[1]sales_teams!$A$2:$A$100,
[1]sales_teams!$B$2:$B$100)</f>
        <v>Summer Sewald</v>
      </c>
      <c r="D3838" t="str">
        <f>_xlfn.XLOOKUP($B3838,sales_teams!$A$2:$A$36,sales_teams!C$2:C$36)</f>
        <v>West</v>
      </c>
      <c r="E3838" t="s">
        <v>18</v>
      </c>
      <c r="F3838" t="s">
        <v>33</v>
      </c>
      <c r="G3838" t="s">
        <v>12</v>
      </c>
      <c r="H3838" s="1">
        <v>42897</v>
      </c>
      <c r="I3838" s="1">
        <v>43000</v>
      </c>
      <c r="J3838">
        <v>44</v>
      </c>
    </row>
    <row r="3839" spans="1:10" x14ac:dyDescent="0.3">
      <c r="A3839" t="s">
        <v>3970</v>
      </c>
      <c r="B3839" t="s">
        <v>133</v>
      </c>
      <c r="C3839" t="str">
        <f>_xlfn.XLOOKUP(B3839,
[1]sales_teams!$A$2:$A$100,
[1]sales_teams!$B$2:$B$100)</f>
        <v>Dustin Brinkmann</v>
      </c>
      <c r="D3839" t="str">
        <f>_xlfn.XLOOKUP($B3839,sales_teams!$A$2:$A$36,sales_teams!C$2:C$36)</f>
        <v>Central</v>
      </c>
      <c r="E3839" t="s">
        <v>39</v>
      </c>
      <c r="F3839" t="s">
        <v>62</v>
      </c>
      <c r="G3839" t="s">
        <v>12</v>
      </c>
      <c r="H3839" s="1">
        <v>42897</v>
      </c>
      <c r="I3839" s="1">
        <v>42913</v>
      </c>
      <c r="J3839">
        <v>3470</v>
      </c>
    </row>
    <row r="3840" spans="1:10" x14ac:dyDescent="0.3">
      <c r="A3840" t="s">
        <v>3971</v>
      </c>
      <c r="B3840" t="s">
        <v>32</v>
      </c>
      <c r="C3840" t="str">
        <f>_xlfn.XLOOKUP(B3840,
[1]sales_teams!$A$2:$A$100,
[1]sales_teams!$B$2:$B$100)</f>
        <v>Celia Rouche</v>
      </c>
      <c r="D3840" t="str">
        <f>_xlfn.XLOOKUP($B3840,sales_teams!$A$2:$A$36,sales_teams!C$2:C$36)</f>
        <v>West</v>
      </c>
      <c r="E3840" t="s">
        <v>39</v>
      </c>
      <c r="F3840" t="s">
        <v>174</v>
      </c>
      <c r="G3840" t="s">
        <v>40</v>
      </c>
      <c r="H3840" s="1">
        <v>42897</v>
      </c>
    </row>
    <row r="3841" spans="1:10" x14ac:dyDescent="0.3">
      <c r="A3841" t="s">
        <v>3972</v>
      </c>
      <c r="B3841" t="s">
        <v>32</v>
      </c>
      <c r="C3841" t="str">
        <f>_xlfn.XLOOKUP(B3841,
[1]sales_teams!$A$2:$A$100,
[1]sales_teams!$B$2:$B$100)</f>
        <v>Celia Rouche</v>
      </c>
      <c r="D3841" t="str">
        <f>_xlfn.XLOOKUP($B3841,sales_teams!$A$2:$A$36,sales_teams!C$2:C$36)</f>
        <v>West</v>
      </c>
      <c r="E3841" t="s">
        <v>145</v>
      </c>
      <c r="F3841" t="s">
        <v>33</v>
      </c>
      <c r="G3841" t="s">
        <v>12</v>
      </c>
      <c r="H3841" s="1">
        <v>42897</v>
      </c>
      <c r="I3841" s="1">
        <v>43004</v>
      </c>
      <c r="J3841">
        <v>29166</v>
      </c>
    </row>
    <row r="3842" spans="1:10" x14ac:dyDescent="0.3">
      <c r="A3842" t="s">
        <v>3973</v>
      </c>
      <c r="B3842" t="s">
        <v>32</v>
      </c>
      <c r="C3842" t="str">
        <f>_xlfn.XLOOKUP(B3842,
[1]sales_teams!$A$2:$A$100,
[1]sales_teams!$B$2:$B$100)</f>
        <v>Celia Rouche</v>
      </c>
      <c r="D3842" t="str">
        <f>_xlfn.XLOOKUP($B3842,sales_teams!$A$2:$A$36,sales_teams!C$2:C$36)</f>
        <v>West</v>
      </c>
      <c r="E3842" t="s">
        <v>10</v>
      </c>
      <c r="F3842" t="s">
        <v>155</v>
      </c>
      <c r="G3842" t="s">
        <v>12</v>
      </c>
      <c r="H3842" s="1">
        <v>42897</v>
      </c>
      <c r="I3842" s="1">
        <v>42957</v>
      </c>
      <c r="J3842">
        <v>1045</v>
      </c>
    </row>
    <row r="3843" spans="1:10" x14ac:dyDescent="0.3">
      <c r="A3843" t="s">
        <v>3974</v>
      </c>
      <c r="B3843" t="s">
        <v>51</v>
      </c>
      <c r="C3843" t="str">
        <f>_xlfn.XLOOKUP(B3843,
[1]sales_teams!$A$2:$A$100,
[1]sales_teams!$B$2:$B$100)</f>
        <v>Summer Sewald</v>
      </c>
      <c r="D3843" t="str">
        <f>_xlfn.XLOOKUP($B3843,sales_teams!$A$2:$A$36,sales_teams!C$2:C$36)</f>
        <v>West</v>
      </c>
      <c r="E3843" t="s">
        <v>10</v>
      </c>
      <c r="F3843" t="s">
        <v>70</v>
      </c>
      <c r="G3843" t="s">
        <v>12</v>
      </c>
      <c r="H3843" s="1">
        <v>42897</v>
      </c>
      <c r="I3843" s="1">
        <v>42990</v>
      </c>
      <c r="J3843">
        <v>951</v>
      </c>
    </row>
    <row r="3844" spans="1:10" x14ac:dyDescent="0.3">
      <c r="A3844" t="s">
        <v>3975</v>
      </c>
      <c r="B3844" t="s">
        <v>88</v>
      </c>
      <c r="C3844" t="str">
        <f>_xlfn.XLOOKUP(B3844,
[1]sales_teams!$A$2:$A$100,
[1]sales_teams!$B$2:$B$100)</f>
        <v>Cara Losch</v>
      </c>
      <c r="D3844" t="str">
        <f>_xlfn.XLOOKUP($B3844,sales_teams!$A$2:$A$36,sales_teams!C$2:C$36)</f>
        <v>East</v>
      </c>
      <c r="E3844" t="s">
        <v>10</v>
      </c>
      <c r="F3844" t="s">
        <v>79</v>
      </c>
      <c r="G3844" t="s">
        <v>40</v>
      </c>
      <c r="H3844" s="1">
        <v>42897</v>
      </c>
    </row>
    <row r="3845" spans="1:10" x14ac:dyDescent="0.3">
      <c r="A3845" t="s">
        <v>3976</v>
      </c>
      <c r="B3845" t="s">
        <v>61</v>
      </c>
      <c r="C3845" t="str">
        <f>_xlfn.XLOOKUP(B3845,
[1]sales_teams!$A$2:$A$100,
[1]sales_teams!$B$2:$B$100)</f>
        <v>Dustin Brinkmann</v>
      </c>
      <c r="D3845" t="str">
        <f>_xlfn.XLOOKUP($B3845,sales_teams!$A$2:$A$36,sales_teams!C$2:C$36)</f>
        <v>Central</v>
      </c>
      <c r="E3845" t="s">
        <v>18</v>
      </c>
      <c r="F3845" t="s">
        <v>111</v>
      </c>
      <c r="G3845" t="s">
        <v>12</v>
      </c>
      <c r="H3845" s="1">
        <v>42897</v>
      </c>
      <c r="I3845" s="1">
        <v>42967</v>
      </c>
      <c r="J3845">
        <v>43</v>
      </c>
    </row>
    <row r="3846" spans="1:10" x14ac:dyDescent="0.3">
      <c r="A3846" t="s">
        <v>3977</v>
      </c>
      <c r="B3846" t="s">
        <v>61</v>
      </c>
      <c r="C3846" t="str">
        <f>_xlfn.XLOOKUP(B3846,
[1]sales_teams!$A$2:$A$100,
[1]sales_teams!$B$2:$B$100)</f>
        <v>Dustin Brinkmann</v>
      </c>
      <c r="D3846" t="str">
        <f>_xlfn.XLOOKUP($B3846,sales_teams!$A$2:$A$36,sales_teams!C$2:C$36)</f>
        <v>Central</v>
      </c>
      <c r="E3846" t="s">
        <v>18</v>
      </c>
      <c r="F3846" t="s">
        <v>36</v>
      </c>
      <c r="G3846" t="s">
        <v>12</v>
      </c>
      <c r="H3846" s="1">
        <v>42897</v>
      </c>
      <c r="I3846" s="1">
        <v>42901</v>
      </c>
      <c r="J3846">
        <v>55</v>
      </c>
    </row>
    <row r="3847" spans="1:10" x14ac:dyDescent="0.3">
      <c r="A3847" t="s">
        <v>3978</v>
      </c>
      <c r="B3847" t="s">
        <v>29</v>
      </c>
      <c r="C3847" t="str">
        <f>_xlfn.XLOOKUP(B3847,
[1]sales_teams!$A$2:$A$100,
[1]sales_teams!$B$2:$B$100)</f>
        <v>Celia Rouche</v>
      </c>
      <c r="D3847" t="str">
        <f>_xlfn.XLOOKUP($B3847,sales_teams!$A$2:$A$36,sales_teams!C$2:C$36)</f>
        <v>West</v>
      </c>
      <c r="E3847" t="s">
        <v>20</v>
      </c>
      <c r="G3847" t="s">
        <v>40</v>
      </c>
      <c r="H3847" s="1">
        <v>42897</v>
      </c>
    </row>
    <row r="3848" spans="1:10" x14ac:dyDescent="0.3">
      <c r="A3848" t="s">
        <v>3979</v>
      </c>
      <c r="B3848" t="s">
        <v>118</v>
      </c>
      <c r="C3848" t="str">
        <f>_xlfn.XLOOKUP(B3848,
[1]sales_teams!$A$2:$A$100,
[1]sales_teams!$B$2:$B$100)</f>
        <v>Rocco Neubert</v>
      </c>
      <c r="D3848" t="str">
        <f>_xlfn.XLOOKUP($B3848,sales_teams!$A$2:$A$36,sales_teams!C$2:C$36)</f>
        <v>East</v>
      </c>
      <c r="E3848" t="s">
        <v>15</v>
      </c>
      <c r="F3848" t="s">
        <v>155</v>
      </c>
      <c r="G3848" t="s">
        <v>12</v>
      </c>
      <c r="H3848" s="1">
        <v>42898</v>
      </c>
      <c r="I3848" s="1">
        <v>42964</v>
      </c>
      <c r="J3848">
        <v>4294</v>
      </c>
    </row>
    <row r="3849" spans="1:10" x14ac:dyDescent="0.3">
      <c r="A3849" t="s">
        <v>3980</v>
      </c>
      <c r="B3849" t="s">
        <v>202</v>
      </c>
      <c r="C3849" t="str">
        <f>_xlfn.XLOOKUP(B3849,
[1]sales_teams!$A$2:$A$100,
[1]sales_teams!$B$2:$B$100)</f>
        <v>Dustin Brinkmann</v>
      </c>
      <c r="D3849" t="str">
        <f>_xlfn.XLOOKUP($B3849,sales_teams!$A$2:$A$36,sales_teams!C$2:C$36)</f>
        <v>Central</v>
      </c>
      <c r="E3849" t="s">
        <v>48</v>
      </c>
      <c r="F3849" t="s">
        <v>492</v>
      </c>
      <c r="G3849" t="s">
        <v>12</v>
      </c>
      <c r="H3849" s="1">
        <v>42898</v>
      </c>
      <c r="I3849" s="1">
        <v>42976</v>
      </c>
      <c r="J3849">
        <v>4961</v>
      </c>
    </row>
    <row r="3850" spans="1:10" x14ac:dyDescent="0.3">
      <c r="A3850" t="s">
        <v>3981</v>
      </c>
      <c r="B3850" t="s">
        <v>164</v>
      </c>
      <c r="C3850" t="str">
        <f>_xlfn.XLOOKUP(B3850,
[1]sales_teams!$A$2:$A$100,
[1]sales_teams!$B$2:$B$100)</f>
        <v>Cara Losch</v>
      </c>
      <c r="D3850" t="str">
        <f>_xlfn.XLOOKUP($B3850,sales_teams!$A$2:$A$36,sales_teams!C$2:C$36)</f>
        <v>East</v>
      </c>
      <c r="E3850" t="s">
        <v>15</v>
      </c>
      <c r="F3850" t="s">
        <v>204</v>
      </c>
      <c r="G3850" t="s">
        <v>40</v>
      </c>
      <c r="H3850" s="1">
        <v>42898</v>
      </c>
    </row>
    <row r="3851" spans="1:10" x14ac:dyDescent="0.3">
      <c r="A3851" t="s">
        <v>3982</v>
      </c>
      <c r="B3851" t="s">
        <v>164</v>
      </c>
      <c r="C3851" t="str">
        <f>_xlfn.XLOOKUP(B3851,
[1]sales_teams!$A$2:$A$100,
[1]sales_teams!$B$2:$B$100)</f>
        <v>Cara Losch</v>
      </c>
      <c r="D3851" t="str">
        <f>_xlfn.XLOOKUP($B3851,sales_teams!$A$2:$A$36,sales_teams!C$2:C$36)</f>
        <v>East</v>
      </c>
      <c r="E3851" t="s">
        <v>20</v>
      </c>
      <c r="F3851" t="s">
        <v>518</v>
      </c>
      <c r="G3851" t="s">
        <v>46</v>
      </c>
      <c r="H3851" s="1">
        <v>42898</v>
      </c>
      <c r="I3851" s="1">
        <v>42965</v>
      </c>
      <c r="J3851">
        <v>0</v>
      </c>
    </row>
    <row r="3852" spans="1:10" x14ac:dyDescent="0.3">
      <c r="A3852" t="s">
        <v>3983</v>
      </c>
      <c r="B3852" t="s">
        <v>64</v>
      </c>
      <c r="C3852" t="str">
        <f>_xlfn.XLOOKUP(B3852,
[1]sales_teams!$A$2:$A$100,
[1]sales_teams!$B$2:$B$100)</f>
        <v>Rocco Neubert</v>
      </c>
      <c r="D3852" t="str">
        <f>_xlfn.XLOOKUP($B3852,sales_teams!$A$2:$A$36,sales_teams!C$2:C$36)</f>
        <v>East</v>
      </c>
      <c r="E3852" t="s">
        <v>15</v>
      </c>
      <c r="F3852" t="s">
        <v>177</v>
      </c>
      <c r="G3852" t="s">
        <v>12</v>
      </c>
      <c r="H3852" s="1">
        <v>42898</v>
      </c>
      <c r="I3852" s="1">
        <v>43001</v>
      </c>
      <c r="J3852">
        <v>4506</v>
      </c>
    </row>
    <row r="3853" spans="1:10" x14ac:dyDescent="0.3">
      <c r="A3853" t="s">
        <v>3984</v>
      </c>
      <c r="B3853" t="s">
        <v>142</v>
      </c>
      <c r="C3853" t="str">
        <f>_xlfn.XLOOKUP(B3853,
[1]sales_teams!$A$2:$A$100,
[1]sales_teams!$B$2:$B$100)</f>
        <v>Rocco Neubert</v>
      </c>
      <c r="D3853" t="str">
        <f>_xlfn.XLOOKUP($B3853,sales_teams!$A$2:$A$36,sales_teams!C$2:C$36)</f>
        <v>East</v>
      </c>
      <c r="E3853" t="s">
        <v>15</v>
      </c>
      <c r="F3853" t="s">
        <v>373</v>
      </c>
      <c r="G3853" t="s">
        <v>46</v>
      </c>
      <c r="H3853" s="1">
        <v>42898</v>
      </c>
      <c r="I3853" s="1">
        <v>42912</v>
      </c>
      <c r="J3853">
        <v>0</v>
      </c>
    </row>
    <row r="3854" spans="1:10" x14ac:dyDescent="0.3">
      <c r="A3854" t="s">
        <v>3985</v>
      </c>
      <c r="B3854" t="s">
        <v>67</v>
      </c>
      <c r="C3854" t="str">
        <f>_xlfn.XLOOKUP(B3854,
[1]sales_teams!$A$2:$A$100,
[1]sales_teams!$B$2:$B$100)</f>
        <v>Celia Rouche</v>
      </c>
      <c r="D3854" t="str">
        <f>_xlfn.XLOOKUP($B3854,sales_teams!$A$2:$A$36,sales_teams!C$2:C$36)</f>
        <v>West</v>
      </c>
      <c r="E3854" t="s">
        <v>20</v>
      </c>
      <c r="F3854" t="s">
        <v>273</v>
      </c>
      <c r="G3854" t="s">
        <v>12</v>
      </c>
      <c r="H3854" s="1">
        <v>42898</v>
      </c>
      <c r="I3854" s="1">
        <v>42969</v>
      </c>
      <c r="J3854">
        <v>608</v>
      </c>
    </row>
    <row r="3855" spans="1:10" x14ac:dyDescent="0.3">
      <c r="A3855" t="s">
        <v>3986</v>
      </c>
      <c r="B3855" t="s">
        <v>105</v>
      </c>
      <c r="C3855" t="str">
        <f>_xlfn.XLOOKUP(B3855,
[1]sales_teams!$A$2:$A$100,
[1]sales_teams!$B$2:$B$100)</f>
        <v>Cara Losch</v>
      </c>
      <c r="D3855" t="str">
        <f>_xlfn.XLOOKUP($B3855,sales_teams!$A$2:$A$36,sales_teams!C$2:C$36)</f>
        <v>East</v>
      </c>
      <c r="E3855" t="s">
        <v>10</v>
      </c>
      <c r="F3855" t="s">
        <v>300</v>
      </c>
      <c r="G3855" t="s">
        <v>12</v>
      </c>
      <c r="H3855" s="1">
        <v>42898</v>
      </c>
      <c r="I3855" s="1">
        <v>42998</v>
      </c>
      <c r="J3855">
        <v>851</v>
      </c>
    </row>
    <row r="3856" spans="1:10" x14ac:dyDescent="0.3">
      <c r="A3856" t="s">
        <v>3987</v>
      </c>
      <c r="B3856" t="s">
        <v>44</v>
      </c>
      <c r="C3856" t="str">
        <f>_xlfn.XLOOKUP(B3856,
[1]sales_teams!$A$2:$A$100,
[1]sales_teams!$B$2:$B$100)</f>
        <v>Melvin Marxen</v>
      </c>
      <c r="D3856" t="str">
        <f>_xlfn.XLOOKUP($B3856,sales_teams!$A$2:$A$36,sales_teams!C$2:C$36)</f>
        <v>Central</v>
      </c>
      <c r="E3856" t="s">
        <v>10</v>
      </c>
      <c r="F3856" t="s">
        <v>318</v>
      </c>
      <c r="G3856" t="s">
        <v>12</v>
      </c>
      <c r="H3856" s="1">
        <v>42898</v>
      </c>
      <c r="I3856" s="1">
        <v>42998</v>
      </c>
      <c r="J3856">
        <v>1143</v>
      </c>
    </row>
    <row r="3857" spans="1:10" x14ac:dyDescent="0.3">
      <c r="A3857" t="s">
        <v>3988</v>
      </c>
      <c r="B3857" t="s">
        <v>44</v>
      </c>
      <c r="C3857" t="str">
        <f>_xlfn.XLOOKUP(B3857,
[1]sales_teams!$A$2:$A$100,
[1]sales_teams!$B$2:$B$100)</f>
        <v>Melvin Marxen</v>
      </c>
      <c r="D3857" t="str">
        <f>_xlfn.XLOOKUP($B3857,sales_teams!$A$2:$A$36,sales_teams!C$2:C$36)</f>
        <v>Central</v>
      </c>
      <c r="E3857" t="s">
        <v>48</v>
      </c>
      <c r="F3857" t="s">
        <v>213</v>
      </c>
      <c r="G3857" t="s">
        <v>12</v>
      </c>
      <c r="H3857" s="1">
        <v>42898</v>
      </c>
      <c r="I3857" s="1">
        <v>42911</v>
      </c>
      <c r="J3857">
        <v>6365</v>
      </c>
    </row>
    <row r="3858" spans="1:10" x14ac:dyDescent="0.3">
      <c r="A3858" t="s">
        <v>3989</v>
      </c>
      <c r="B3858" t="s">
        <v>54</v>
      </c>
      <c r="C3858" t="str">
        <f>_xlfn.XLOOKUP(B3858,
[1]sales_teams!$A$2:$A$100,
[1]sales_teams!$B$2:$B$100)</f>
        <v>Celia Rouche</v>
      </c>
      <c r="D3858" t="str">
        <f>_xlfn.XLOOKUP($B3858,sales_teams!$A$2:$A$36,sales_teams!C$2:C$36)</f>
        <v>West</v>
      </c>
      <c r="E3858" t="s">
        <v>18</v>
      </c>
      <c r="F3858" t="s">
        <v>70</v>
      </c>
      <c r="G3858" t="s">
        <v>12</v>
      </c>
      <c r="H3858" s="1">
        <v>42898</v>
      </c>
      <c r="I3858" s="1">
        <v>42968</v>
      </c>
      <c r="J3858">
        <v>54</v>
      </c>
    </row>
    <row r="3859" spans="1:10" x14ac:dyDescent="0.3">
      <c r="A3859" t="s">
        <v>3990</v>
      </c>
      <c r="B3859" t="s">
        <v>95</v>
      </c>
      <c r="C3859" t="str">
        <f>_xlfn.XLOOKUP(B3859,
[1]sales_teams!$A$2:$A$100,
[1]sales_teams!$B$2:$B$100)</f>
        <v>Summer Sewald</v>
      </c>
      <c r="D3859" t="str">
        <f>_xlfn.XLOOKUP($B3859,sales_teams!$A$2:$A$36,sales_teams!C$2:C$36)</f>
        <v>West</v>
      </c>
      <c r="E3859" t="s">
        <v>20</v>
      </c>
      <c r="G3859" t="s">
        <v>40</v>
      </c>
      <c r="H3859" s="1">
        <v>42898</v>
      </c>
    </row>
    <row r="3860" spans="1:10" x14ac:dyDescent="0.3">
      <c r="A3860" t="s">
        <v>3991</v>
      </c>
      <c r="B3860" t="s">
        <v>95</v>
      </c>
      <c r="C3860" t="str">
        <f>_xlfn.XLOOKUP(B3860,
[1]sales_teams!$A$2:$A$100,
[1]sales_teams!$B$2:$B$100)</f>
        <v>Summer Sewald</v>
      </c>
      <c r="D3860" t="str">
        <f>_xlfn.XLOOKUP($B3860,sales_teams!$A$2:$A$36,sales_teams!C$2:C$36)</f>
        <v>West</v>
      </c>
      <c r="E3860" t="s">
        <v>20</v>
      </c>
      <c r="F3860" t="s">
        <v>49</v>
      </c>
      <c r="G3860" t="s">
        <v>46</v>
      </c>
      <c r="H3860" s="1">
        <v>42898</v>
      </c>
      <c r="I3860" s="1">
        <v>42961</v>
      </c>
      <c r="J3860">
        <v>0</v>
      </c>
    </row>
    <row r="3861" spans="1:10" x14ac:dyDescent="0.3">
      <c r="A3861" t="s">
        <v>3992</v>
      </c>
      <c r="B3861" t="s">
        <v>95</v>
      </c>
      <c r="C3861" t="str">
        <f>_xlfn.XLOOKUP(B3861,
[1]sales_teams!$A$2:$A$100,
[1]sales_teams!$B$2:$B$100)</f>
        <v>Summer Sewald</v>
      </c>
      <c r="D3861" t="str">
        <f>_xlfn.XLOOKUP($B3861,sales_teams!$A$2:$A$36,sales_teams!C$2:C$36)</f>
        <v>West</v>
      </c>
      <c r="E3861" t="s">
        <v>15</v>
      </c>
      <c r="F3861" t="s">
        <v>52</v>
      </c>
      <c r="G3861" t="s">
        <v>12</v>
      </c>
      <c r="H3861" s="1">
        <v>42898</v>
      </c>
      <c r="I3861" s="1">
        <v>42915</v>
      </c>
      <c r="J3861">
        <v>4798</v>
      </c>
    </row>
    <row r="3862" spans="1:10" x14ac:dyDescent="0.3">
      <c r="A3862" t="s">
        <v>3993</v>
      </c>
      <c r="B3862" t="s">
        <v>32</v>
      </c>
      <c r="C3862" t="str">
        <f>_xlfn.XLOOKUP(B3862,
[1]sales_teams!$A$2:$A$100,
[1]sales_teams!$B$2:$B$100)</f>
        <v>Celia Rouche</v>
      </c>
      <c r="D3862" t="str">
        <f>_xlfn.XLOOKUP($B3862,sales_teams!$A$2:$A$36,sales_teams!C$2:C$36)</f>
        <v>West</v>
      </c>
      <c r="E3862" t="s">
        <v>18</v>
      </c>
      <c r="F3862" t="s">
        <v>224</v>
      </c>
      <c r="G3862" t="s">
        <v>46</v>
      </c>
      <c r="H3862" s="1">
        <v>42898</v>
      </c>
      <c r="I3862" s="1">
        <v>42976</v>
      </c>
      <c r="J3862">
        <v>0</v>
      </c>
    </row>
    <row r="3863" spans="1:10" x14ac:dyDescent="0.3">
      <c r="A3863" t="s">
        <v>3994</v>
      </c>
      <c r="B3863" t="s">
        <v>32</v>
      </c>
      <c r="C3863" t="str">
        <f>_xlfn.XLOOKUP(B3863,
[1]sales_teams!$A$2:$A$100,
[1]sales_teams!$B$2:$B$100)</f>
        <v>Celia Rouche</v>
      </c>
      <c r="D3863" t="str">
        <f>_xlfn.XLOOKUP($B3863,sales_teams!$A$2:$A$36,sales_teams!C$2:C$36)</f>
        <v>West</v>
      </c>
      <c r="E3863" t="s">
        <v>15</v>
      </c>
      <c r="F3863" t="s">
        <v>70</v>
      </c>
      <c r="G3863" t="s">
        <v>12</v>
      </c>
      <c r="H3863" s="1">
        <v>42898</v>
      </c>
      <c r="I3863" s="1">
        <v>42911</v>
      </c>
      <c r="J3863">
        <v>4733</v>
      </c>
    </row>
    <row r="3864" spans="1:10" x14ac:dyDescent="0.3">
      <c r="A3864" t="s">
        <v>3995</v>
      </c>
      <c r="B3864" t="s">
        <v>51</v>
      </c>
      <c r="C3864" t="str">
        <f>_xlfn.XLOOKUP(B3864,
[1]sales_teams!$A$2:$A$100,
[1]sales_teams!$B$2:$B$100)</f>
        <v>Summer Sewald</v>
      </c>
      <c r="D3864" t="str">
        <f>_xlfn.XLOOKUP($B3864,sales_teams!$A$2:$A$36,sales_teams!C$2:C$36)</f>
        <v>West</v>
      </c>
      <c r="E3864" t="s">
        <v>10</v>
      </c>
      <c r="F3864" t="s">
        <v>33</v>
      </c>
      <c r="G3864" t="s">
        <v>12</v>
      </c>
      <c r="H3864" s="1">
        <v>42898</v>
      </c>
      <c r="I3864" s="1">
        <v>42976</v>
      </c>
      <c r="J3864">
        <v>1250</v>
      </c>
    </row>
    <row r="3865" spans="1:10" x14ac:dyDescent="0.3">
      <c r="A3865" t="s">
        <v>3996</v>
      </c>
      <c r="B3865" t="s">
        <v>51</v>
      </c>
      <c r="C3865" t="str">
        <f>_xlfn.XLOOKUP(B3865,
[1]sales_teams!$A$2:$A$100,
[1]sales_teams!$B$2:$B$100)</f>
        <v>Summer Sewald</v>
      </c>
      <c r="D3865" t="str">
        <f>_xlfn.XLOOKUP($B3865,sales_teams!$A$2:$A$36,sales_teams!C$2:C$36)</f>
        <v>West</v>
      </c>
      <c r="E3865" t="s">
        <v>48</v>
      </c>
      <c r="F3865" t="s">
        <v>194</v>
      </c>
      <c r="G3865" t="s">
        <v>12</v>
      </c>
      <c r="H3865" s="1">
        <v>42898</v>
      </c>
      <c r="I3865" s="1">
        <v>42979</v>
      </c>
      <c r="J3865">
        <v>5966</v>
      </c>
    </row>
    <row r="3866" spans="1:10" x14ac:dyDescent="0.3">
      <c r="A3866" t="s">
        <v>3997</v>
      </c>
      <c r="B3866" t="s">
        <v>35</v>
      </c>
      <c r="C3866" t="str">
        <f>_xlfn.XLOOKUP(B3866,
[1]sales_teams!$A$2:$A$100,
[1]sales_teams!$B$2:$B$100)</f>
        <v>Melvin Marxen</v>
      </c>
      <c r="D3866" t="str">
        <f>_xlfn.XLOOKUP($B3866,sales_teams!$A$2:$A$36,sales_teams!C$2:C$36)</f>
        <v>Central</v>
      </c>
      <c r="E3866" t="s">
        <v>18</v>
      </c>
      <c r="F3866" t="s">
        <v>207</v>
      </c>
      <c r="G3866" t="s">
        <v>12</v>
      </c>
      <c r="H3866" s="1">
        <v>42898</v>
      </c>
      <c r="I3866" s="1">
        <v>42988</v>
      </c>
      <c r="J3866">
        <v>61</v>
      </c>
    </row>
    <row r="3867" spans="1:10" x14ac:dyDescent="0.3">
      <c r="A3867" t="s">
        <v>3998</v>
      </c>
      <c r="B3867" t="s">
        <v>57</v>
      </c>
      <c r="C3867" t="str">
        <f>_xlfn.XLOOKUP(B3867,
[1]sales_teams!$A$2:$A$100,
[1]sales_teams!$B$2:$B$100)</f>
        <v>Celia Rouche</v>
      </c>
      <c r="D3867" t="str">
        <f>_xlfn.XLOOKUP($B3867,sales_teams!$A$2:$A$36,sales_teams!C$2:C$36)</f>
        <v>West</v>
      </c>
      <c r="E3867" t="s">
        <v>20</v>
      </c>
      <c r="G3867" t="s">
        <v>40</v>
      </c>
      <c r="H3867" s="1">
        <v>42898</v>
      </c>
    </row>
    <row r="3868" spans="1:10" x14ac:dyDescent="0.3">
      <c r="A3868" t="s">
        <v>3999</v>
      </c>
      <c r="B3868" t="s">
        <v>57</v>
      </c>
      <c r="C3868" t="str">
        <f>_xlfn.XLOOKUP(B3868,
[1]sales_teams!$A$2:$A$100,
[1]sales_teams!$B$2:$B$100)</f>
        <v>Celia Rouche</v>
      </c>
      <c r="D3868" t="str">
        <f>_xlfn.XLOOKUP($B3868,sales_teams!$A$2:$A$36,sales_teams!C$2:C$36)</f>
        <v>West</v>
      </c>
      <c r="E3868" t="s">
        <v>15</v>
      </c>
      <c r="F3868" t="s">
        <v>135</v>
      </c>
      <c r="G3868" t="s">
        <v>40</v>
      </c>
      <c r="H3868" s="1">
        <v>42898</v>
      </c>
    </row>
    <row r="3869" spans="1:10" x14ac:dyDescent="0.3">
      <c r="A3869" t="s">
        <v>4000</v>
      </c>
      <c r="B3869" t="s">
        <v>88</v>
      </c>
      <c r="C3869" t="str">
        <f>_xlfn.XLOOKUP(B3869,
[1]sales_teams!$A$2:$A$100,
[1]sales_teams!$B$2:$B$100)</f>
        <v>Cara Losch</v>
      </c>
      <c r="D3869" t="str">
        <f>_xlfn.XLOOKUP($B3869,sales_teams!$A$2:$A$36,sales_teams!C$2:C$36)</f>
        <v>East</v>
      </c>
      <c r="E3869" t="s">
        <v>10</v>
      </c>
      <c r="G3869" t="s">
        <v>40</v>
      </c>
      <c r="H3869" s="1">
        <v>42898</v>
      </c>
    </row>
    <row r="3870" spans="1:10" x14ac:dyDescent="0.3">
      <c r="A3870" t="s">
        <v>4001</v>
      </c>
      <c r="B3870" t="s">
        <v>29</v>
      </c>
      <c r="C3870" t="str">
        <f>_xlfn.XLOOKUP(B3870,
[1]sales_teams!$A$2:$A$100,
[1]sales_teams!$B$2:$B$100)</f>
        <v>Celia Rouche</v>
      </c>
      <c r="D3870" t="str">
        <f>_xlfn.XLOOKUP($B3870,sales_teams!$A$2:$A$36,sales_teams!C$2:C$36)</f>
        <v>West</v>
      </c>
      <c r="E3870" t="s">
        <v>18</v>
      </c>
      <c r="F3870" t="s">
        <v>59</v>
      </c>
      <c r="G3870" t="s">
        <v>12</v>
      </c>
      <c r="H3870" s="1">
        <v>42898</v>
      </c>
      <c r="I3870" s="1">
        <v>42998</v>
      </c>
      <c r="J3870">
        <v>48</v>
      </c>
    </row>
    <row r="3871" spans="1:10" x14ac:dyDescent="0.3">
      <c r="A3871" t="s">
        <v>4002</v>
      </c>
      <c r="B3871" t="s">
        <v>73</v>
      </c>
      <c r="C3871" t="str">
        <f>_xlfn.XLOOKUP(B3871,
[1]sales_teams!$A$2:$A$100,
[1]sales_teams!$B$2:$B$100)</f>
        <v>Cara Losch</v>
      </c>
      <c r="D3871" t="str">
        <f>_xlfn.XLOOKUP($B3871,sales_teams!$A$2:$A$36,sales_teams!C$2:C$36)</f>
        <v>East</v>
      </c>
      <c r="E3871" t="s">
        <v>10</v>
      </c>
      <c r="F3871" t="s">
        <v>16</v>
      </c>
      <c r="G3871" t="s">
        <v>40</v>
      </c>
      <c r="H3871" s="1">
        <v>42898</v>
      </c>
    </row>
    <row r="3872" spans="1:10" x14ac:dyDescent="0.3">
      <c r="A3872" t="s">
        <v>4003</v>
      </c>
      <c r="B3872" t="s">
        <v>73</v>
      </c>
      <c r="C3872" t="str">
        <f>_xlfn.XLOOKUP(B3872,
[1]sales_teams!$A$2:$A$100,
[1]sales_teams!$B$2:$B$100)</f>
        <v>Cara Losch</v>
      </c>
      <c r="D3872" t="str">
        <f>_xlfn.XLOOKUP($B3872,sales_teams!$A$2:$A$36,sales_teams!C$2:C$36)</f>
        <v>East</v>
      </c>
      <c r="E3872" t="s">
        <v>18</v>
      </c>
      <c r="F3872" t="s">
        <v>300</v>
      </c>
      <c r="G3872" t="s">
        <v>12</v>
      </c>
      <c r="H3872" s="1">
        <v>42898</v>
      </c>
      <c r="I3872" s="1">
        <v>42999</v>
      </c>
      <c r="J3872">
        <v>53</v>
      </c>
    </row>
    <row r="3873" spans="1:10" x14ac:dyDescent="0.3">
      <c r="A3873" t="s">
        <v>4004</v>
      </c>
      <c r="B3873" t="s">
        <v>23</v>
      </c>
      <c r="C3873" t="str">
        <f>_xlfn.XLOOKUP(B3873,
[1]sales_teams!$A$2:$A$100,
[1]sales_teams!$B$2:$B$100)</f>
        <v>Summer Sewald</v>
      </c>
      <c r="D3873" t="str">
        <f>_xlfn.XLOOKUP($B3873,sales_teams!$A$2:$A$36,sales_teams!C$2:C$36)</f>
        <v>West</v>
      </c>
      <c r="E3873" t="s">
        <v>18</v>
      </c>
      <c r="F3873" t="s">
        <v>33</v>
      </c>
      <c r="G3873" t="s">
        <v>46</v>
      </c>
      <c r="H3873" s="1">
        <v>42898</v>
      </c>
      <c r="I3873" s="1">
        <v>42906</v>
      </c>
      <c r="J3873">
        <v>0</v>
      </c>
    </row>
    <row r="3874" spans="1:10" x14ac:dyDescent="0.3">
      <c r="A3874" t="s">
        <v>4005</v>
      </c>
      <c r="B3874" t="s">
        <v>23</v>
      </c>
      <c r="C3874" t="str">
        <f>_xlfn.XLOOKUP(B3874,
[1]sales_teams!$A$2:$A$100,
[1]sales_teams!$B$2:$B$100)</f>
        <v>Summer Sewald</v>
      </c>
      <c r="D3874" t="str">
        <f>_xlfn.XLOOKUP($B3874,sales_teams!$A$2:$A$36,sales_teams!C$2:C$36)</f>
        <v>West</v>
      </c>
      <c r="E3874" t="s">
        <v>18</v>
      </c>
      <c r="F3874" t="s">
        <v>224</v>
      </c>
      <c r="G3874" t="s">
        <v>12</v>
      </c>
      <c r="H3874" s="1">
        <v>42898</v>
      </c>
      <c r="I3874" s="1">
        <v>42965</v>
      </c>
      <c r="J3874">
        <v>51</v>
      </c>
    </row>
    <row r="3875" spans="1:10" x14ac:dyDescent="0.3">
      <c r="A3875" t="s">
        <v>4006</v>
      </c>
      <c r="B3875" t="s">
        <v>23</v>
      </c>
      <c r="C3875" t="str">
        <f>_xlfn.XLOOKUP(B3875,
[1]sales_teams!$A$2:$A$100,
[1]sales_teams!$B$2:$B$100)</f>
        <v>Summer Sewald</v>
      </c>
      <c r="D3875" t="str">
        <f>_xlfn.XLOOKUP($B3875,sales_teams!$A$2:$A$36,sales_teams!C$2:C$36)</f>
        <v>West</v>
      </c>
      <c r="E3875" t="s">
        <v>39</v>
      </c>
      <c r="F3875" t="s">
        <v>33</v>
      </c>
      <c r="G3875" t="s">
        <v>12</v>
      </c>
      <c r="H3875" s="1">
        <v>42898</v>
      </c>
      <c r="I3875" s="1">
        <v>42982</v>
      </c>
      <c r="J3875">
        <v>3314</v>
      </c>
    </row>
    <row r="3876" spans="1:10" x14ac:dyDescent="0.3">
      <c r="A3876" t="s">
        <v>4007</v>
      </c>
      <c r="B3876" t="s">
        <v>26</v>
      </c>
      <c r="C3876" t="str">
        <f>_xlfn.XLOOKUP(B3876,
[1]sales_teams!$A$2:$A$100,
[1]sales_teams!$B$2:$B$100)</f>
        <v>Dustin Brinkmann</v>
      </c>
      <c r="D3876" t="str">
        <f>_xlfn.XLOOKUP($B3876,sales_teams!$A$2:$A$36,sales_teams!C$2:C$36)</f>
        <v>Central</v>
      </c>
      <c r="E3876" t="s">
        <v>39</v>
      </c>
      <c r="F3876" t="s">
        <v>62</v>
      </c>
      <c r="G3876" t="s">
        <v>46</v>
      </c>
      <c r="H3876" s="1">
        <v>42899</v>
      </c>
      <c r="I3876" s="1">
        <v>42967</v>
      </c>
      <c r="J3876">
        <v>0</v>
      </c>
    </row>
    <row r="3877" spans="1:10" x14ac:dyDescent="0.3">
      <c r="A3877" t="s">
        <v>4008</v>
      </c>
      <c r="B3877" t="s">
        <v>26</v>
      </c>
      <c r="C3877" t="str">
        <f>_xlfn.XLOOKUP(B3877,
[1]sales_teams!$A$2:$A$100,
[1]sales_teams!$B$2:$B$100)</f>
        <v>Dustin Brinkmann</v>
      </c>
      <c r="D3877" t="str">
        <f>_xlfn.XLOOKUP($B3877,sales_teams!$A$2:$A$36,sales_teams!C$2:C$36)</f>
        <v>Central</v>
      </c>
      <c r="E3877" t="s">
        <v>18</v>
      </c>
      <c r="F3877" t="s">
        <v>45</v>
      </c>
      <c r="G3877" t="s">
        <v>12</v>
      </c>
      <c r="H3877" s="1">
        <v>42899</v>
      </c>
      <c r="I3877" s="1">
        <v>43003</v>
      </c>
      <c r="J3877">
        <v>64</v>
      </c>
    </row>
    <row r="3878" spans="1:10" x14ac:dyDescent="0.3">
      <c r="A3878" t="s">
        <v>4009</v>
      </c>
      <c r="B3878" t="s">
        <v>26</v>
      </c>
      <c r="C3878" t="str">
        <f>_xlfn.XLOOKUP(B3878,
[1]sales_teams!$A$2:$A$100,
[1]sales_teams!$B$2:$B$100)</f>
        <v>Dustin Brinkmann</v>
      </c>
      <c r="D3878" t="str">
        <f>_xlfn.XLOOKUP($B3878,sales_teams!$A$2:$A$36,sales_teams!C$2:C$36)</f>
        <v>Central</v>
      </c>
      <c r="E3878" t="s">
        <v>18</v>
      </c>
      <c r="F3878" t="s">
        <v>16</v>
      </c>
      <c r="G3878" t="s">
        <v>12</v>
      </c>
      <c r="H3878" s="1">
        <v>42899</v>
      </c>
      <c r="I3878" s="1">
        <v>42910</v>
      </c>
      <c r="J3878">
        <v>58</v>
      </c>
    </row>
    <row r="3879" spans="1:10" x14ac:dyDescent="0.3">
      <c r="A3879" t="s">
        <v>4010</v>
      </c>
      <c r="B3879" t="s">
        <v>118</v>
      </c>
      <c r="C3879" t="str">
        <f>_xlfn.XLOOKUP(B3879,
[1]sales_teams!$A$2:$A$100,
[1]sales_teams!$B$2:$B$100)</f>
        <v>Rocco Neubert</v>
      </c>
      <c r="D3879" t="str">
        <f>_xlfn.XLOOKUP($B3879,sales_teams!$A$2:$A$36,sales_teams!C$2:C$36)</f>
        <v>East</v>
      </c>
      <c r="E3879" t="s">
        <v>18</v>
      </c>
      <c r="G3879" t="s">
        <v>40</v>
      </c>
      <c r="H3879" s="1">
        <v>42899</v>
      </c>
    </row>
    <row r="3880" spans="1:10" x14ac:dyDescent="0.3">
      <c r="A3880" t="s">
        <v>4011</v>
      </c>
      <c r="B3880" t="s">
        <v>118</v>
      </c>
      <c r="C3880" t="str">
        <f>_xlfn.XLOOKUP(B3880,
[1]sales_teams!$A$2:$A$100,
[1]sales_teams!$B$2:$B$100)</f>
        <v>Rocco Neubert</v>
      </c>
      <c r="D3880" t="str">
        <f>_xlfn.XLOOKUP($B3880,sales_teams!$A$2:$A$36,sales_teams!C$2:C$36)</f>
        <v>East</v>
      </c>
      <c r="E3880" t="s">
        <v>10</v>
      </c>
      <c r="F3880" t="s">
        <v>106</v>
      </c>
      <c r="G3880" t="s">
        <v>46</v>
      </c>
      <c r="H3880" s="1">
        <v>42899</v>
      </c>
      <c r="I3880" s="1">
        <v>42969</v>
      </c>
      <c r="J3880">
        <v>0</v>
      </c>
    </row>
    <row r="3881" spans="1:10" x14ac:dyDescent="0.3">
      <c r="A3881" t="s">
        <v>4012</v>
      </c>
      <c r="B3881" t="s">
        <v>118</v>
      </c>
      <c r="C3881" t="str">
        <f>_xlfn.XLOOKUP(B3881,
[1]sales_teams!$A$2:$A$100,
[1]sales_teams!$B$2:$B$100)</f>
        <v>Rocco Neubert</v>
      </c>
      <c r="D3881" t="str">
        <f>_xlfn.XLOOKUP($B3881,sales_teams!$A$2:$A$36,sales_teams!C$2:C$36)</f>
        <v>East</v>
      </c>
      <c r="E3881" t="s">
        <v>48</v>
      </c>
      <c r="F3881" t="s">
        <v>222</v>
      </c>
      <c r="G3881" t="s">
        <v>12</v>
      </c>
      <c r="H3881" s="1">
        <v>42899</v>
      </c>
      <c r="I3881" s="1">
        <v>42951</v>
      </c>
      <c r="J3881">
        <v>4598</v>
      </c>
    </row>
    <row r="3882" spans="1:10" x14ac:dyDescent="0.3">
      <c r="A3882" t="s">
        <v>4013</v>
      </c>
      <c r="B3882" t="s">
        <v>118</v>
      </c>
      <c r="C3882" t="str">
        <f>_xlfn.XLOOKUP(B3882,
[1]sales_teams!$A$2:$A$100,
[1]sales_teams!$B$2:$B$100)</f>
        <v>Rocco Neubert</v>
      </c>
      <c r="D3882" t="str">
        <f>_xlfn.XLOOKUP($B3882,sales_teams!$A$2:$A$36,sales_teams!C$2:C$36)</f>
        <v>East</v>
      </c>
      <c r="E3882" t="s">
        <v>39</v>
      </c>
      <c r="F3882" t="s">
        <v>106</v>
      </c>
      <c r="G3882" t="s">
        <v>12</v>
      </c>
      <c r="H3882" s="1">
        <v>42899</v>
      </c>
      <c r="I3882" s="1">
        <v>42905</v>
      </c>
      <c r="J3882">
        <v>3424</v>
      </c>
    </row>
    <row r="3883" spans="1:10" x14ac:dyDescent="0.3">
      <c r="A3883" t="s">
        <v>4014</v>
      </c>
      <c r="B3883" t="s">
        <v>118</v>
      </c>
      <c r="C3883" t="str">
        <f>_xlfn.XLOOKUP(B3883,
[1]sales_teams!$A$2:$A$100,
[1]sales_teams!$B$2:$B$100)</f>
        <v>Rocco Neubert</v>
      </c>
      <c r="D3883" t="str">
        <f>_xlfn.XLOOKUP($B3883,sales_teams!$A$2:$A$36,sales_teams!C$2:C$36)</f>
        <v>East</v>
      </c>
      <c r="E3883" t="s">
        <v>39</v>
      </c>
      <c r="F3883" t="s">
        <v>189</v>
      </c>
      <c r="G3883" t="s">
        <v>12</v>
      </c>
      <c r="H3883" s="1">
        <v>42899</v>
      </c>
      <c r="I3883" s="1">
        <v>43008</v>
      </c>
      <c r="J3883">
        <v>3399</v>
      </c>
    </row>
    <row r="3884" spans="1:10" x14ac:dyDescent="0.3">
      <c r="A3884" t="s">
        <v>4015</v>
      </c>
      <c r="B3884" t="s">
        <v>64</v>
      </c>
      <c r="C3884" t="str">
        <f>_xlfn.XLOOKUP(B3884,
[1]sales_teams!$A$2:$A$100,
[1]sales_teams!$B$2:$B$100)</f>
        <v>Rocco Neubert</v>
      </c>
      <c r="D3884" t="str">
        <f>_xlfn.XLOOKUP($B3884,sales_teams!$A$2:$A$36,sales_teams!C$2:C$36)</f>
        <v>East</v>
      </c>
      <c r="E3884" t="s">
        <v>10</v>
      </c>
      <c r="F3884" t="s">
        <v>204</v>
      </c>
      <c r="G3884" t="s">
        <v>46</v>
      </c>
      <c r="H3884" s="1">
        <v>42899</v>
      </c>
      <c r="I3884" s="1">
        <v>42985</v>
      </c>
      <c r="J3884">
        <v>0</v>
      </c>
    </row>
    <row r="3885" spans="1:10" x14ac:dyDescent="0.3">
      <c r="A3885" t="s">
        <v>4016</v>
      </c>
      <c r="B3885" t="s">
        <v>14</v>
      </c>
      <c r="C3885" t="str">
        <f>_xlfn.XLOOKUP(B3885,
[1]sales_teams!$A$2:$A$100,
[1]sales_teams!$B$2:$B$100)</f>
        <v>Melvin Marxen</v>
      </c>
      <c r="D3885" t="str">
        <f>_xlfn.XLOOKUP($B3885,sales_teams!$A$2:$A$36,sales_teams!C$2:C$36)</f>
        <v>Central</v>
      </c>
      <c r="E3885" t="s">
        <v>20</v>
      </c>
      <c r="F3885" t="s">
        <v>113</v>
      </c>
      <c r="G3885" t="s">
        <v>46</v>
      </c>
      <c r="H3885" s="1">
        <v>42899</v>
      </c>
      <c r="I3885" s="1">
        <v>42982</v>
      </c>
      <c r="J3885">
        <v>0</v>
      </c>
    </row>
    <row r="3886" spans="1:10" x14ac:dyDescent="0.3">
      <c r="A3886" t="s">
        <v>4017</v>
      </c>
      <c r="B3886" t="s">
        <v>14</v>
      </c>
      <c r="C3886" t="str">
        <f>_xlfn.XLOOKUP(B3886,
[1]sales_teams!$A$2:$A$100,
[1]sales_teams!$B$2:$B$100)</f>
        <v>Melvin Marxen</v>
      </c>
      <c r="D3886" t="str">
        <f>_xlfn.XLOOKUP($B3886,sales_teams!$A$2:$A$36,sales_teams!C$2:C$36)</f>
        <v>Central</v>
      </c>
      <c r="E3886" t="s">
        <v>48</v>
      </c>
      <c r="F3886" t="s">
        <v>303</v>
      </c>
      <c r="G3886" t="s">
        <v>46</v>
      </c>
      <c r="H3886" s="1">
        <v>42899</v>
      </c>
      <c r="I3886" s="1">
        <v>42963</v>
      </c>
      <c r="J3886">
        <v>0</v>
      </c>
    </row>
    <row r="3887" spans="1:10" x14ac:dyDescent="0.3">
      <c r="A3887" t="s">
        <v>4018</v>
      </c>
      <c r="B3887" t="s">
        <v>14</v>
      </c>
      <c r="C3887" t="str">
        <f>_xlfn.XLOOKUP(B3887,
[1]sales_teams!$A$2:$A$100,
[1]sales_teams!$B$2:$B$100)</f>
        <v>Melvin Marxen</v>
      </c>
      <c r="D3887" t="str">
        <f>_xlfn.XLOOKUP($B3887,sales_teams!$A$2:$A$36,sales_teams!C$2:C$36)</f>
        <v>Central</v>
      </c>
      <c r="E3887" t="s">
        <v>15</v>
      </c>
      <c r="F3887" t="s">
        <v>62</v>
      </c>
      <c r="G3887" t="s">
        <v>12</v>
      </c>
      <c r="H3887" s="1">
        <v>42899</v>
      </c>
      <c r="I3887" s="1">
        <v>42988</v>
      </c>
      <c r="J3887">
        <v>5322</v>
      </c>
    </row>
    <row r="3888" spans="1:10" x14ac:dyDescent="0.3">
      <c r="A3888" t="s">
        <v>4019</v>
      </c>
      <c r="B3888" t="s">
        <v>142</v>
      </c>
      <c r="C3888" t="str">
        <f>_xlfn.XLOOKUP(B3888,
[1]sales_teams!$A$2:$A$100,
[1]sales_teams!$B$2:$B$100)</f>
        <v>Rocco Neubert</v>
      </c>
      <c r="D3888" t="str">
        <f>_xlfn.XLOOKUP($B3888,sales_teams!$A$2:$A$36,sales_teams!C$2:C$36)</f>
        <v>East</v>
      </c>
      <c r="E3888" t="s">
        <v>20</v>
      </c>
      <c r="F3888" t="s">
        <v>209</v>
      </c>
      <c r="G3888" t="s">
        <v>12</v>
      </c>
      <c r="H3888" s="1">
        <v>42899</v>
      </c>
      <c r="I3888" s="1">
        <v>42975</v>
      </c>
      <c r="J3888">
        <v>496</v>
      </c>
    </row>
    <row r="3889" spans="1:10" x14ac:dyDescent="0.3">
      <c r="A3889" t="s">
        <v>4020</v>
      </c>
      <c r="B3889" t="s">
        <v>105</v>
      </c>
      <c r="C3889" t="str">
        <f>_xlfn.XLOOKUP(B3889,
[1]sales_teams!$A$2:$A$100,
[1]sales_teams!$B$2:$B$100)</f>
        <v>Cara Losch</v>
      </c>
      <c r="D3889" t="str">
        <f>_xlfn.XLOOKUP($B3889,sales_teams!$A$2:$A$36,sales_teams!C$2:C$36)</f>
        <v>East</v>
      </c>
      <c r="E3889" t="s">
        <v>39</v>
      </c>
      <c r="F3889" t="s">
        <v>192</v>
      </c>
      <c r="G3889" t="s">
        <v>12</v>
      </c>
      <c r="H3889" s="1">
        <v>42899</v>
      </c>
      <c r="I3889" s="1">
        <v>42974</v>
      </c>
      <c r="J3889">
        <v>3279</v>
      </c>
    </row>
    <row r="3890" spans="1:10" x14ac:dyDescent="0.3">
      <c r="A3890" t="s">
        <v>4021</v>
      </c>
      <c r="B3890" t="s">
        <v>44</v>
      </c>
      <c r="C3890" t="str">
        <f>_xlfn.XLOOKUP(B3890,
[1]sales_teams!$A$2:$A$100,
[1]sales_teams!$B$2:$B$100)</f>
        <v>Melvin Marxen</v>
      </c>
      <c r="D3890" t="str">
        <f>_xlfn.XLOOKUP($B3890,sales_teams!$A$2:$A$36,sales_teams!C$2:C$36)</f>
        <v>Central</v>
      </c>
      <c r="E3890" t="s">
        <v>18</v>
      </c>
      <c r="F3890" t="s">
        <v>231</v>
      </c>
      <c r="G3890" t="s">
        <v>46</v>
      </c>
      <c r="H3890" s="1">
        <v>42899</v>
      </c>
      <c r="I3890" s="1">
        <v>43006</v>
      </c>
      <c r="J3890">
        <v>0</v>
      </c>
    </row>
    <row r="3891" spans="1:10" x14ac:dyDescent="0.3">
      <c r="A3891" t="s">
        <v>4022</v>
      </c>
      <c r="B3891" t="s">
        <v>38</v>
      </c>
      <c r="C3891" t="str">
        <f>_xlfn.XLOOKUP(B3891,
[1]sales_teams!$A$2:$A$100,
[1]sales_teams!$B$2:$B$100)</f>
        <v>Summer Sewald</v>
      </c>
      <c r="D3891" t="str">
        <f>_xlfn.XLOOKUP($B3891,sales_teams!$A$2:$A$36,sales_teams!C$2:C$36)</f>
        <v>West</v>
      </c>
      <c r="E3891" t="s">
        <v>18</v>
      </c>
      <c r="F3891" t="s">
        <v>59</v>
      </c>
      <c r="G3891" t="s">
        <v>12</v>
      </c>
      <c r="H3891" s="1">
        <v>42899</v>
      </c>
      <c r="I3891" s="1">
        <v>42913</v>
      </c>
      <c r="J3891">
        <v>68</v>
      </c>
    </row>
    <row r="3892" spans="1:10" x14ac:dyDescent="0.3">
      <c r="A3892" t="s">
        <v>4023</v>
      </c>
      <c r="B3892" t="s">
        <v>252</v>
      </c>
      <c r="C3892" t="str">
        <f>_xlfn.XLOOKUP(B3892,
[1]sales_teams!$A$2:$A$100,
[1]sales_teams!$B$2:$B$100)</f>
        <v>Melvin Marxen</v>
      </c>
      <c r="D3892" t="str">
        <f>_xlfn.XLOOKUP($B3892,sales_teams!$A$2:$A$36,sales_teams!C$2:C$36)</f>
        <v>Central</v>
      </c>
      <c r="E3892" t="s">
        <v>20</v>
      </c>
      <c r="F3892" t="s">
        <v>62</v>
      </c>
      <c r="G3892" t="s">
        <v>46</v>
      </c>
      <c r="H3892" s="1">
        <v>42899</v>
      </c>
      <c r="I3892" s="1">
        <v>42970</v>
      </c>
      <c r="J3892">
        <v>0</v>
      </c>
    </row>
    <row r="3893" spans="1:10" x14ac:dyDescent="0.3">
      <c r="A3893" t="s">
        <v>4024</v>
      </c>
      <c r="B3893" t="s">
        <v>95</v>
      </c>
      <c r="C3893" t="str">
        <f>_xlfn.XLOOKUP(B3893,
[1]sales_teams!$A$2:$A$100,
[1]sales_teams!$B$2:$B$100)</f>
        <v>Summer Sewald</v>
      </c>
      <c r="D3893" t="str">
        <f>_xlfn.XLOOKUP($B3893,sales_teams!$A$2:$A$36,sales_teams!C$2:C$36)</f>
        <v>West</v>
      </c>
      <c r="E3893" t="s">
        <v>48</v>
      </c>
      <c r="G3893" t="s">
        <v>40</v>
      </c>
      <c r="H3893" s="1">
        <v>42899</v>
      </c>
    </row>
    <row r="3894" spans="1:10" x14ac:dyDescent="0.3">
      <c r="A3894" t="s">
        <v>4025</v>
      </c>
      <c r="B3894" t="s">
        <v>51</v>
      </c>
      <c r="C3894" t="str">
        <f>_xlfn.XLOOKUP(B3894,
[1]sales_teams!$A$2:$A$100,
[1]sales_teams!$B$2:$B$100)</f>
        <v>Summer Sewald</v>
      </c>
      <c r="D3894" t="str">
        <f>_xlfn.XLOOKUP($B3894,sales_teams!$A$2:$A$36,sales_teams!C$2:C$36)</f>
        <v>West</v>
      </c>
      <c r="E3894" t="s">
        <v>10</v>
      </c>
      <c r="F3894" t="s">
        <v>79</v>
      </c>
      <c r="G3894" t="s">
        <v>40</v>
      </c>
      <c r="H3894" s="1">
        <v>42899</v>
      </c>
    </row>
    <row r="3895" spans="1:10" x14ac:dyDescent="0.3">
      <c r="A3895" t="s">
        <v>4026</v>
      </c>
      <c r="B3895" t="s">
        <v>35</v>
      </c>
      <c r="C3895" t="str">
        <f>_xlfn.XLOOKUP(B3895,
[1]sales_teams!$A$2:$A$100,
[1]sales_teams!$B$2:$B$100)</f>
        <v>Melvin Marxen</v>
      </c>
      <c r="D3895" t="str">
        <f>_xlfn.XLOOKUP($B3895,sales_teams!$A$2:$A$36,sales_teams!C$2:C$36)</f>
        <v>Central</v>
      </c>
      <c r="E3895" t="s">
        <v>10</v>
      </c>
      <c r="F3895" t="s">
        <v>135</v>
      </c>
      <c r="G3895" t="s">
        <v>46</v>
      </c>
      <c r="H3895" s="1">
        <v>42899</v>
      </c>
      <c r="I3895" s="1">
        <v>42968</v>
      </c>
      <c r="J3895">
        <v>0</v>
      </c>
    </row>
    <row r="3896" spans="1:10" x14ac:dyDescent="0.3">
      <c r="A3896" t="s">
        <v>4027</v>
      </c>
      <c r="B3896" t="s">
        <v>61</v>
      </c>
      <c r="C3896" t="str">
        <f>_xlfn.XLOOKUP(B3896,
[1]sales_teams!$A$2:$A$100,
[1]sales_teams!$B$2:$B$100)</f>
        <v>Dustin Brinkmann</v>
      </c>
      <c r="D3896" t="str">
        <f>_xlfn.XLOOKUP($B3896,sales_teams!$A$2:$A$36,sales_teams!C$2:C$36)</f>
        <v>Central</v>
      </c>
      <c r="E3896" t="s">
        <v>18</v>
      </c>
      <c r="F3896" t="s">
        <v>42</v>
      </c>
      <c r="G3896" t="s">
        <v>12</v>
      </c>
      <c r="H3896" s="1">
        <v>42899</v>
      </c>
      <c r="I3896" s="1">
        <v>42901</v>
      </c>
      <c r="J3896">
        <v>59</v>
      </c>
    </row>
    <row r="3897" spans="1:10" x14ac:dyDescent="0.3">
      <c r="A3897" t="s">
        <v>4028</v>
      </c>
      <c r="B3897" t="s">
        <v>29</v>
      </c>
      <c r="C3897" t="str">
        <f>_xlfn.XLOOKUP(B3897,
[1]sales_teams!$A$2:$A$100,
[1]sales_teams!$B$2:$B$100)</f>
        <v>Celia Rouche</v>
      </c>
      <c r="D3897" t="str">
        <f>_xlfn.XLOOKUP($B3897,sales_teams!$A$2:$A$36,sales_teams!C$2:C$36)</f>
        <v>West</v>
      </c>
      <c r="E3897" t="s">
        <v>39</v>
      </c>
      <c r="F3897" t="s">
        <v>70</v>
      </c>
      <c r="G3897" t="s">
        <v>12</v>
      </c>
      <c r="H3897" s="1">
        <v>42899</v>
      </c>
      <c r="I3897" s="1">
        <v>42912</v>
      </c>
      <c r="J3897">
        <v>3205</v>
      </c>
    </row>
    <row r="3898" spans="1:10" x14ac:dyDescent="0.3">
      <c r="A3898" t="s">
        <v>4029</v>
      </c>
      <c r="B3898" t="s">
        <v>102</v>
      </c>
      <c r="C3898" t="str">
        <f>_xlfn.XLOOKUP(B3898,
[1]sales_teams!$A$2:$A$100,
[1]sales_teams!$B$2:$B$100)</f>
        <v>Cara Losch</v>
      </c>
      <c r="D3898" t="str">
        <f>_xlfn.XLOOKUP($B3898,sales_teams!$A$2:$A$36,sales_teams!C$2:C$36)</f>
        <v>East</v>
      </c>
      <c r="E3898" t="s">
        <v>20</v>
      </c>
      <c r="F3898" t="s">
        <v>106</v>
      </c>
      <c r="G3898" t="s">
        <v>46</v>
      </c>
      <c r="H3898" s="1">
        <v>42899</v>
      </c>
      <c r="I3898" s="1">
        <v>42913</v>
      </c>
      <c r="J3898">
        <v>0</v>
      </c>
    </row>
    <row r="3899" spans="1:10" x14ac:dyDescent="0.3">
      <c r="A3899" t="s">
        <v>4030</v>
      </c>
      <c r="B3899" t="s">
        <v>23</v>
      </c>
      <c r="C3899" t="str">
        <f>_xlfn.XLOOKUP(B3899,
[1]sales_teams!$A$2:$A$100,
[1]sales_teams!$B$2:$B$100)</f>
        <v>Summer Sewald</v>
      </c>
      <c r="D3899" t="str">
        <f>_xlfn.XLOOKUP($B3899,sales_teams!$A$2:$A$36,sales_teams!C$2:C$36)</f>
        <v>West</v>
      </c>
      <c r="E3899" t="s">
        <v>39</v>
      </c>
      <c r="G3899" t="s">
        <v>40</v>
      </c>
      <c r="H3899" s="1">
        <v>42899</v>
      </c>
    </row>
    <row r="3900" spans="1:10" x14ac:dyDescent="0.3">
      <c r="A3900" t="s">
        <v>4031</v>
      </c>
      <c r="B3900" t="s">
        <v>26</v>
      </c>
      <c r="C3900" t="str">
        <f>_xlfn.XLOOKUP(B3900,
[1]sales_teams!$A$2:$A$100,
[1]sales_teams!$B$2:$B$100)</f>
        <v>Dustin Brinkmann</v>
      </c>
      <c r="D3900" t="str">
        <f>_xlfn.XLOOKUP($B3900,sales_teams!$A$2:$A$36,sales_teams!C$2:C$36)</f>
        <v>Central</v>
      </c>
      <c r="E3900" t="s">
        <v>18</v>
      </c>
      <c r="F3900" t="s">
        <v>213</v>
      </c>
      <c r="G3900" t="s">
        <v>12</v>
      </c>
      <c r="H3900" s="1">
        <v>42900</v>
      </c>
      <c r="I3900" s="1">
        <v>42909</v>
      </c>
      <c r="J3900">
        <v>55</v>
      </c>
    </row>
    <row r="3901" spans="1:10" x14ac:dyDescent="0.3">
      <c r="A3901" t="s">
        <v>4032</v>
      </c>
      <c r="B3901" t="s">
        <v>118</v>
      </c>
      <c r="C3901" t="str">
        <f>_xlfn.XLOOKUP(B3901,
[1]sales_teams!$A$2:$A$100,
[1]sales_teams!$B$2:$B$100)</f>
        <v>Rocco Neubert</v>
      </c>
      <c r="D3901" t="str">
        <f>_xlfn.XLOOKUP($B3901,sales_teams!$A$2:$A$36,sales_teams!C$2:C$36)</f>
        <v>East</v>
      </c>
      <c r="E3901" t="s">
        <v>20</v>
      </c>
      <c r="F3901" t="s">
        <v>192</v>
      </c>
      <c r="G3901" t="s">
        <v>46</v>
      </c>
      <c r="H3901" s="1">
        <v>42900</v>
      </c>
      <c r="I3901" s="1">
        <v>42995</v>
      </c>
      <c r="J3901">
        <v>0</v>
      </c>
    </row>
    <row r="3902" spans="1:10" x14ac:dyDescent="0.3">
      <c r="A3902" t="s">
        <v>4033</v>
      </c>
      <c r="B3902" t="s">
        <v>164</v>
      </c>
      <c r="C3902" t="str">
        <f>_xlfn.XLOOKUP(B3902,
[1]sales_teams!$A$2:$A$100,
[1]sales_teams!$B$2:$B$100)</f>
        <v>Cara Losch</v>
      </c>
      <c r="D3902" t="str">
        <f>_xlfn.XLOOKUP($B3902,sales_teams!$A$2:$A$36,sales_teams!C$2:C$36)</f>
        <v>East</v>
      </c>
      <c r="E3902" t="s">
        <v>10</v>
      </c>
      <c r="G3902" t="s">
        <v>40</v>
      </c>
      <c r="H3902" s="1">
        <v>42900</v>
      </c>
    </row>
    <row r="3903" spans="1:10" x14ac:dyDescent="0.3">
      <c r="A3903" t="s">
        <v>4034</v>
      </c>
      <c r="B3903" t="s">
        <v>164</v>
      </c>
      <c r="C3903" t="str">
        <f>_xlfn.XLOOKUP(B3903,
[1]sales_teams!$A$2:$A$100,
[1]sales_teams!$B$2:$B$100)</f>
        <v>Cara Losch</v>
      </c>
      <c r="D3903" t="str">
        <f>_xlfn.XLOOKUP($B3903,sales_teams!$A$2:$A$36,sales_teams!C$2:C$36)</f>
        <v>East</v>
      </c>
      <c r="E3903" t="s">
        <v>20</v>
      </c>
      <c r="F3903" t="s">
        <v>81</v>
      </c>
      <c r="G3903" t="s">
        <v>12</v>
      </c>
      <c r="H3903" s="1">
        <v>42900</v>
      </c>
      <c r="I3903" s="1">
        <v>42980</v>
      </c>
      <c r="J3903">
        <v>525</v>
      </c>
    </row>
    <row r="3904" spans="1:10" x14ac:dyDescent="0.3">
      <c r="A3904" t="s">
        <v>4035</v>
      </c>
      <c r="B3904" t="s">
        <v>14</v>
      </c>
      <c r="C3904" t="str">
        <f>_xlfn.XLOOKUP(B3904,
[1]sales_teams!$A$2:$A$100,
[1]sales_teams!$B$2:$B$100)</f>
        <v>Melvin Marxen</v>
      </c>
      <c r="D3904" t="str">
        <f>_xlfn.XLOOKUP($B3904,sales_teams!$A$2:$A$36,sales_teams!C$2:C$36)</f>
        <v>Central</v>
      </c>
      <c r="E3904" t="s">
        <v>39</v>
      </c>
      <c r="F3904" t="s">
        <v>16</v>
      </c>
      <c r="G3904" t="s">
        <v>12</v>
      </c>
      <c r="H3904" s="1">
        <v>42900</v>
      </c>
      <c r="I3904" s="1">
        <v>42972</v>
      </c>
      <c r="J3904">
        <v>3455</v>
      </c>
    </row>
    <row r="3905" spans="1:10" x14ac:dyDescent="0.3">
      <c r="A3905" t="s">
        <v>4036</v>
      </c>
      <c r="B3905" t="s">
        <v>67</v>
      </c>
      <c r="C3905" t="str">
        <f>_xlfn.XLOOKUP(B3905,
[1]sales_teams!$A$2:$A$100,
[1]sales_teams!$B$2:$B$100)</f>
        <v>Celia Rouche</v>
      </c>
      <c r="D3905" t="str">
        <f>_xlfn.XLOOKUP($B3905,sales_teams!$A$2:$A$36,sales_teams!C$2:C$36)</f>
        <v>West</v>
      </c>
      <c r="E3905" t="s">
        <v>39</v>
      </c>
      <c r="F3905" t="s">
        <v>194</v>
      </c>
      <c r="G3905" t="s">
        <v>12</v>
      </c>
      <c r="H3905" s="1">
        <v>42900</v>
      </c>
      <c r="I3905" s="1">
        <v>42911</v>
      </c>
      <c r="J3905">
        <v>3110</v>
      </c>
    </row>
    <row r="3906" spans="1:10" x14ac:dyDescent="0.3">
      <c r="A3906" t="s">
        <v>4037</v>
      </c>
      <c r="B3906" t="s">
        <v>105</v>
      </c>
      <c r="C3906" t="str">
        <f>_xlfn.XLOOKUP(B3906,
[1]sales_teams!$A$2:$A$100,
[1]sales_teams!$B$2:$B$100)</f>
        <v>Cara Losch</v>
      </c>
      <c r="D3906" t="str">
        <f>_xlfn.XLOOKUP($B3906,sales_teams!$A$2:$A$36,sales_teams!C$2:C$36)</f>
        <v>East</v>
      </c>
      <c r="E3906" t="s">
        <v>18</v>
      </c>
      <c r="F3906" t="s">
        <v>179</v>
      </c>
      <c r="G3906" t="s">
        <v>46</v>
      </c>
      <c r="H3906" s="1">
        <v>42900</v>
      </c>
      <c r="I3906" s="1">
        <v>42913</v>
      </c>
      <c r="J3906">
        <v>0</v>
      </c>
    </row>
    <row r="3907" spans="1:10" x14ac:dyDescent="0.3">
      <c r="A3907" t="s">
        <v>4038</v>
      </c>
      <c r="B3907" t="s">
        <v>54</v>
      </c>
      <c r="C3907" t="str">
        <f>_xlfn.XLOOKUP(B3907,
[1]sales_teams!$A$2:$A$100,
[1]sales_teams!$B$2:$B$100)</f>
        <v>Celia Rouche</v>
      </c>
      <c r="D3907" t="str">
        <f>_xlfn.XLOOKUP($B3907,sales_teams!$A$2:$A$36,sales_teams!C$2:C$36)</f>
        <v>West</v>
      </c>
      <c r="E3907" t="s">
        <v>48</v>
      </c>
      <c r="F3907" t="s">
        <v>59</v>
      </c>
      <c r="G3907" t="s">
        <v>12</v>
      </c>
      <c r="H3907" s="1">
        <v>42900</v>
      </c>
      <c r="I3907" s="1">
        <v>42989</v>
      </c>
      <c r="J3907">
        <v>5053</v>
      </c>
    </row>
    <row r="3908" spans="1:10" x14ac:dyDescent="0.3">
      <c r="A3908" t="s">
        <v>4039</v>
      </c>
      <c r="B3908" t="s">
        <v>54</v>
      </c>
      <c r="C3908" t="str">
        <f>_xlfn.XLOOKUP(B3908,
[1]sales_teams!$A$2:$A$100,
[1]sales_teams!$B$2:$B$100)</f>
        <v>Celia Rouche</v>
      </c>
      <c r="D3908" t="str">
        <f>_xlfn.XLOOKUP($B3908,sales_teams!$A$2:$A$36,sales_teams!C$2:C$36)</f>
        <v>West</v>
      </c>
      <c r="E3908" t="s">
        <v>39</v>
      </c>
      <c r="F3908" t="s">
        <v>398</v>
      </c>
      <c r="G3908" t="s">
        <v>12</v>
      </c>
      <c r="H3908" s="1">
        <v>42900</v>
      </c>
      <c r="I3908" s="1">
        <v>42914</v>
      </c>
      <c r="J3908">
        <v>3539</v>
      </c>
    </row>
    <row r="3909" spans="1:10" x14ac:dyDescent="0.3">
      <c r="A3909" t="s">
        <v>4040</v>
      </c>
      <c r="B3909" t="s">
        <v>38</v>
      </c>
      <c r="C3909" t="str">
        <f>_xlfn.XLOOKUP(B3909,
[1]sales_teams!$A$2:$A$100,
[1]sales_teams!$B$2:$B$100)</f>
        <v>Summer Sewald</v>
      </c>
      <c r="D3909" t="str">
        <f>_xlfn.XLOOKUP($B3909,sales_teams!$A$2:$A$36,sales_teams!C$2:C$36)</f>
        <v>West</v>
      </c>
      <c r="E3909" t="s">
        <v>20</v>
      </c>
      <c r="G3909" t="s">
        <v>40</v>
      </c>
      <c r="H3909" s="1">
        <v>42900</v>
      </c>
    </row>
    <row r="3910" spans="1:10" x14ac:dyDescent="0.3">
      <c r="A3910" t="s">
        <v>4041</v>
      </c>
      <c r="B3910" t="s">
        <v>252</v>
      </c>
      <c r="C3910" t="str">
        <f>_xlfn.XLOOKUP(B3910,
[1]sales_teams!$A$2:$A$100,
[1]sales_teams!$B$2:$B$100)</f>
        <v>Melvin Marxen</v>
      </c>
      <c r="D3910" t="str">
        <f>_xlfn.XLOOKUP($B3910,sales_teams!$A$2:$A$36,sales_teams!C$2:C$36)</f>
        <v>Central</v>
      </c>
      <c r="E3910" t="s">
        <v>20</v>
      </c>
      <c r="F3910" t="s">
        <v>126</v>
      </c>
      <c r="G3910" t="s">
        <v>12</v>
      </c>
      <c r="H3910" s="1">
        <v>42900</v>
      </c>
      <c r="I3910" s="1">
        <v>42970</v>
      </c>
      <c r="J3910">
        <v>580</v>
      </c>
    </row>
    <row r="3911" spans="1:10" x14ac:dyDescent="0.3">
      <c r="A3911" t="s">
        <v>4042</v>
      </c>
      <c r="B3911" t="s">
        <v>78</v>
      </c>
      <c r="C3911" t="str">
        <f>_xlfn.XLOOKUP(B3911,
[1]sales_teams!$A$2:$A$100,
[1]sales_teams!$B$2:$B$100)</f>
        <v>Summer Sewald</v>
      </c>
      <c r="D3911" t="str">
        <f>_xlfn.XLOOKUP($B3911,sales_teams!$A$2:$A$36,sales_teams!C$2:C$36)</f>
        <v>West</v>
      </c>
      <c r="E3911" t="s">
        <v>39</v>
      </c>
      <c r="F3911" t="s">
        <v>68</v>
      </c>
      <c r="G3911" t="s">
        <v>46</v>
      </c>
      <c r="H3911" s="1">
        <v>42900</v>
      </c>
      <c r="I3911" s="1">
        <v>42906</v>
      </c>
      <c r="J3911">
        <v>0</v>
      </c>
    </row>
    <row r="3912" spans="1:10" x14ac:dyDescent="0.3">
      <c r="A3912" t="s">
        <v>4043</v>
      </c>
      <c r="B3912" t="s">
        <v>133</v>
      </c>
      <c r="C3912" t="str">
        <f>_xlfn.XLOOKUP(B3912,
[1]sales_teams!$A$2:$A$100,
[1]sales_teams!$B$2:$B$100)</f>
        <v>Dustin Brinkmann</v>
      </c>
      <c r="D3912" t="str">
        <f>_xlfn.XLOOKUP($B3912,sales_teams!$A$2:$A$36,sales_teams!C$2:C$36)</f>
        <v>Central</v>
      </c>
      <c r="E3912" t="s">
        <v>39</v>
      </c>
      <c r="F3912" t="s">
        <v>76</v>
      </c>
      <c r="G3912" t="s">
        <v>12</v>
      </c>
      <c r="H3912" s="1">
        <v>42900</v>
      </c>
      <c r="I3912" s="1">
        <v>42903</v>
      </c>
      <c r="J3912">
        <v>3468</v>
      </c>
    </row>
    <row r="3913" spans="1:10" x14ac:dyDescent="0.3">
      <c r="A3913" t="s">
        <v>4044</v>
      </c>
      <c r="B3913" t="s">
        <v>32</v>
      </c>
      <c r="C3913" t="str">
        <f>_xlfn.XLOOKUP(B3913,
[1]sales_teams!$A$2:$A$100,
[1]sales_teams!$B$2:$B$100)</f>
        <v>Celia Rouche</v>
      </c>
      <c r="D3913" t="str">
        <f>_xlfn.XLOOKUP($B3913,sales_teams!$A$2:$A$36,sales_teams!C$2:C$36)</f>
        <v>West</v>
      </c>
      <c r="E3913" t="s">
        <v>145</v>
      </c>
      <c r="F3913" t="s">
        <v>62</v>
      </c>
      <c r="G3913" t="s">
        <v>40</v>
      </c>
      <c r="H3913" s="1">
        <v>42900</v>
      </c>
    </row>
    <row r="3914" spans="1:10" x14ac:dyDescent="0.3">
      <c r="A3914" t="s">
        <v>4045</v>
      </c>
      <c r="B3914" t="s">
        <v>32</v>
      </c>
      <c r="C3914" t="str">
        <f>_xlfn.XLOOKUP(B3914,
[1]sales_teams!$A$2:$A$100,
[1]sales_teams!$B$2:$B$100)</f>
        <v>Celia Rouche</v>
      </c>
      <c r="D3914" t="str">
        <f>_xlfn.XLOOKUP($B3914,sales_teams!$A$2:$A$36,sales_teams!C$2:C$36)</f>
        <v>West</v>
      </c>
      <c r="E3914" t="s">
        <v>15</v>
      </c>
      <c r="F3914" t="s">
        <v>120</v>
      </c>
      <c r="G3914" t="s">
        <v>40</v>
      </c>
      <c r="H3914" s="1">
        <v>42900</v>
      </c>
    </row>
    <row r="3915" spans="1:10" x14ac:dyDescent="0.3">
      <c r="A3915" t="s">
        <v>4046</v>
      </c>
      <c r="B3915" t="s">
        <v>35</v>
      </c>
      <c r="C3915" t="str">
        <f>_xlfn.XLOOKUP(B3915,
[1]sales_teams!$A$2:$A$100,
[1]sales_teams!$B$2:$B$100)</f>
        <v>Melvin Marxen</v>
      </c>
      <c r="D3915" t="str">
        <f>_xlfn.XLOOKUP($B3915,sales_teams!$A$2:$A$36,sales_teams!C$2:C$36)</f>
        <v>Central</v>
      </c>
      <c r="E3915" t="s">
        <v>18</v>
      </c>
      <c r="F3915" t="s">
        <v>27</v>
      </c>
      <c r="G3915" t="s">
        <v>12</v>
      </c>
      <c r="H3915" s="1">
        <v>42900</v>
      </c>
      <c r="I3915" s="1">
        <v>42997</v>
      </c>
      <c r="J3915">
        <v>54</v>
      </c>
    </row>
    <row r="3916" spans="1:10" x14ac:dyDescent="0.3">
      <c r="A3916" t="s">
        <v>4047</v>
      </c>
      <c r="B3916" t="s">
        <v>97</v>
      </c>
      <c r="C3916" t="str">
        <f>_xlfn.XLOOKUP(B3916,
[1]sales_teams!$A$2:$A$100,
[1]sales_teams!$B$2:$B$100)</f>
        <v>Rocco Neubert</v>
      </c>
      <c r="D3916" t="str">
        <f>_xlfn.XLOOKUP($B3916,sales_teams!$A$2:$A$36,sales_teams!C$2:C$36)</f>
        <v>East</v>
      </c>
      <c r="E3916" t="s">
        <v>39</v>
      </c>
      <c r="F3916" t="s">
        <v>745</v>
      </c>
      <c r="G3916" t="s">
        <v>46</v>
      </c>
      <c r="H3916" s="1">
        <v>42900</v>
      </c>
      <c r="I3916" s="1">
        <v>42913</v>
      </c>
      <c r="J3916">
        <v>0</v>
      </c>
    </row>
    <row r="3917" spans="1:10" x14ac:dyDescent="0.3">
      <c r="A3917" t="s">
        <v>4048</v>
      </c>
      <c r="B3917" t="s">
        <v>61</v>
      </c>
      <c r="C3917" t="str">
        <f>_xlfn.XLOOKUP(B3917,
[1]sales_teams!$A$2:$A$100,
[1]sales_teams!$B$2:$B$100)</f>
        <v>Dustin Brinkmann</v>
      </c>
      <c r="D3917" t="str">
        <f>_xlfn.XLOOKUP($B3917,sales_teams!$A$2:$A$36,sales_teams!C$2:C$36)</f>
        <v>Central</v>
      </c>
      <c r="E3917" t="s">
        <v>18</v>
      </c>
      <c r="F3917" t="s">
        <v>231</v>
      </c>
      <c r="G3917" t="s">
        <v>46</v>
      </c>
      <c r="H3917" s="1">
        <v>42900</v>
      </c>
      <c r="I3917" s="1">
        <v>42958</v>
      </c>
      <c r="J3917">
        <v>0</v>
      </c>
    </row>
    <row r="3918" spans="1:10" x14ac:dyDescent="0.3">
      <c r="A3918" t="s">
        <v>4049</v>
      </c>
      <c r="B3918" t="s">
        <v>73</v>
      </c>
      <c r="C3918" t="str">
        <f>_xlfn.XLOOKUP(B3918,
[1]sales_teams!$A$2:$A$100,
[1]sales_teams!$B$2:$B$100)</f>
        <v>Cara Losch</v>
      </c>
      <c r="D3918" t="str">
        <f>_xlfn.XLOOKUP($B3918,sales_teams!$A$2:$A$36,sales_teams!C$2:C$36)</f>
        <v>East</v>
      </c>
      <c r="E3918" t="s">
        <v>18</v>
      </c>
      <c r="F3918" t="s">
        <v>237</v>
      </c>
      <c r="G3918" t="s">
        <v>46</v>
      </c>
      <c r="H3918" s="1">
        <v>42900</v>
      </c>
      <c r="I3918" s="1">
        <v>42967</v>
      </c>
      <c r="J3918">
        <v>0</v>
      </c>
    </row>
    <row r="3919" spans="1:10" x14ac:dyDescent="0.3">
      <c r="A3919" t="s">
        <v>4050</v>
      </c>
      <c r="B3919" t="s">
        <v>139</v>
      </c>
      <c r="C3919" t="str">
        <f>_xlfn.XLOOKUP(B3919,
[1]sales_teams!$A$2:$A$100,
[1]sales_teams!$B$2:$B$100)</f>
        <v>Rocco Neubert</v>
      </c>
      <c r="D3919" t="str">
        <f>_xlfn.XLOOKUP($B3919,sales_teams!$A$2:$A$36,sales_teams!C$2:C$36)</f>
        <v>East</v>
      </c>
      <c r="E3919" t="s">
        <v>48</v>
      </c>
      <c r="F3919" t="s">
        <v>89</v>
      </c>
      <c r="G3919" t="s">
        <v>12</v>
      </c>
      <c r="H3919" s="1">
        <v>42901</v>
      </c>
      <c r="I3919" s="1">
        <v>42914</v>
      </c>
      <c r="J3919">
        <v>6040</v>
      </c>
    </row>
    <row r="3920" spans="1:10" x14ac:dyDescent="0.3">
      <c r="A3920" t="s">
        <v>4051</v>
      </c>
      <c r="B3920" t="s">
        <v>118</v>
      </c>
      <c r="C3920" t="str">
        <f>_xlfn.XLOOKUP(B3920,
[1]sales_teams!$A$2:$A$100,
[1]sales_teams!$B$2:$B$100)</f>
        <v>Rocco Neubert</v>
      </c>
      <c r="D3920" t="str">
        <f>_xlfn.XLOOKUP($B3920,sales_teams!$A$2:$A$36,sales_teams!C$2:C$36)</f>
        <v>East</v>
      </c>
      <c r="E3920" t="s">
        <v>15</v>
      </c>
      <c r="F3920" t="s">
        <v>103</v>
      </c>
      <c r="G3920" t="s">
        <v>12</v>
      </c>
      <c r="H3920" s="1">
        <v>42901</v>
      </c>
      <c r="I3920" s="1">
        <v>42979</v>
      </c>
      <c r="J3920">
        <v>5857</v>
      </c>
    </row>
    <row r="3921" spans="1:10" x14ac:dyDescent="0.3">
      <c r="A3921" t="s">
        <v>4052</v>
      </c>
      <c r="B3921" t="s">
        <v>202</v>
      </c>
      <c r="C3921" t="str">
        <f>_xlfn.XLOOKUP(B3921,
[1]sales_teams!$A$2:$A$100,
[1]sales_teams!$B$2:$B$100)</f>
        <v>Dustin Brinkmann</v>
      </c>
      <c r="D3921" t="str">
        <f>_xlfn.XLOOKUP($B3921,sales_teams!$A$2:$A$36,sales_teams!C$2:C$36)</f>
        <v>Central</v>
      </c>
      <c r="E3921" t="s">
        <v>39</v>
      </c>
      <c r="F3921" t="s">
        <v>91</v>
      </c>
      <c r="G3921" t="s">
        <v>12</v>
      </c>
      <c r="H3921" s="1">
        <v>42901</v>
      </c>
      <c r="I3921" s="1">
        <v>42911</v>
      </c>
      <c r="J3921">
        <v>3785</v>
      </c>
    </row>
    <row r="3922" spans="1:10" x14ac:dyDescent="0.3">
      <c r="A3922" t="s">
        <v>4053</v>
      </c>
      <c r="B3922" t="s">
        <v>164</v>
      </c>
      <c r="C3922" t="str">
        <f>_xlfn.XLOOKUP(B3922,
[1]sales_teams!$A$2:$A$100,
[1]sales_teams!$B$2:$B$100)</f>
        <v>Cara Losch</v>
      </c>
      <c r="D3922" t="str">
        <f>_xlfn.XLOOKUP($B3922,sales_teams!$A$2:$A$36,sales_teams!C$2:C$36)</f>
        <v>East</v>
      </c>
      <c r="E3922" t="s">
        <v>10</v>
      </c>
      <c r="F3922" t="s">
        <v>300</v>
      </c>
      <c r="G3922" t="s">
        <v>46</v>
      </c>
      <c r="H3922" s="1">
        <v>42901</v>
      </c>
      <c r="I3922" s="1">
        <v>42997</v>
      </c>
      <c r="J3922">
        <v>0</v>
      </c>
    </row>
    <row r="3923" spans="1:10" x14ac:dyDescent="0.3">
      <c r="A3923" t="s">
        <v>4054</v>
      </c>
      <c r="B3923" t="s">
        <v>64</v>
      </c>
      <c r="C3923" t="str">
        <f>_xlfn.XLOOKUP(B3923,
[1]sales_teams!$A$2:$A$100,
[1]sales_teams!$B$2:$B$100)</f>
        <v>Rocco Neubert</v>
      </c>
      <c r="D3923" t="str">
        <f>_xlfn.XLOOKUP($B3923,sales_teams!$A$2:$A$36,sales_teams!C$2:C$36)</f>
        <v>East</v>
      </c>
      <c r="E3923" t="s">
        <v>20</v>
      </c>
      <c r="F3923" t="s">
        <v>240</v>
      </c>
      <c r="G3923" t="s">
        <v>12</v>
      </c>
      <c r="H3923" s="1">
        <v>42901</v>
      </c>
      <c r="I3923" s="1">
        <v>42912</v>
      </c>
      <c r="J3923">
        <v>420</v>
      </c>
    </row>
    <row r="3924" spans="1:10" x14ac:dyDescent="0.3">
      <c r="A3924" t="s">
        <v>4055</v>
      </c>
      <c r="B3924" t="s">
        <v>64</v>
      </c>
      <c r="C3924" t="str">
        <f>_xlfn.XLOOKUP(B3924,
[1]sales_teams!$A$2:$A$100,
[1]sales_teams!$B$2:$B$100)</f>
        <v>Rocco Neubert</v>
      </c>
      <c r="D3924" t="str">
        <f>_xlfn.XLOOKUP($B3924,sales_teams!$A$2:$A$36,sales_teams!C$2:C$36)</f>
        <v>East</v>
      </c>
      <c r="E3924" t="s">
        <v>15</v>
      </c>
      <c r="F3924" t="s">
        <v>65</v>
      </c>
      <c r="G3924" t="s">
        <v>12</v>
      </c>
      <c r="H3924" s="1">
        <v>42901</v>
      </c>
      <c r="I3924" s="1">
        <v>42906</v>
      </c>
      <c r="J3924">
        <v>4939</v>
      </c>
    </row>
    <row r="3925" spans="1:10" x14ac:dyDescent="0.3">
      <c r="A3925" t="s">
        <v>4056</v>
      </c>
      <c r="B3925" t="s">
        <v>14</v>
      </c>
      <c r="C3925" t="str">
        <f>_xlfn.XLOOKUP(B3925,
[1]sales_teams!$A$2:$A$100,
[1]sales_teams!$B$2:$B$100)</f>
        <v>Melvin Marxen</v>
      </c>
      <c r="D3925" t="str">
        <f>_xlfn.XLOOKUP($B3925,sales_teams!$A$2:$A$36,sales_teams!C$2:C$36)</f>
        <v>Central</v>
      </c>
      <c r="E3925" t="s">
        <v>15</v>
      </c>
      <c r="F3925" t="s">
        <v>231</v>
      </c>
      <c r="G3925" t="s">
        <v>12</v>
      </c>
      <c r="H3925" s="1">
        <v>42901</v>
      </c>
      <c r="I3925" s="1">
        <v>42916</v>
      </c>
      <c r="J3925">
        <v>4564</v>
      </c>
    </row>
    <row r="3926" spans="1:10" x14ac:dyDescent="0.3">
      <c r="A3926" t="s">
        <v>4057</v>
      </c>
      <c r="B3926" t="s">
        <v>14</v>
      </c>
      <c r="C3926" t="str">
        <f>_xlfn.XLOOKUP(B3926,
[1]sales_teams!$A$2:$A$100,
[1]sales_teams!$B$2:$B$100)</f>
        <v>Melvin Marxen</v>
      </c>
      <c r="D3926" t="str">
        <f>_xlfn.XLOOKUP($B3926,sales_teams!$A$2:$A$36,sales_teams!C$2:C$36)</f>
        <v>Central</v>
      </c>
      <c r="E3926" t="s">
        <v>39</v>
      </c>
      <c r="F3926" t="s">
        <v>151</v>
      </c>
      <c r="G3926" t="s">
        <v>12</v>
      </c>
      <c r="H3926" s="1">
        <v>42901</v>
      </c>
      <c r="I3926" s="1">
        <v>42987</v>
      </c>
      <c r="J3926">
        <v>2683</v>
      </c>
    </row>
    <row r="3927" spans="1:10" x14ac:dyDescent="0.3">
      <c r="A3927" t="s">
        <v>4058</v>
      </c>
      <c r="B3927" t="s">
        <v>67</v>
      </c>
      <c r="C3927" t="str">
        <f>_xlfn.XLOOKUP(B3927,
[1]sales_teams!$A$2:$A$100,
[1]sales_teams!$B$2:$B$100)</f>
        <v>Celia Rouche</v>
      </c>
      <c r="D3927" t="str">
        <f>_xlfn.XLOOKUP($B3927,sales_teams!$A$2:$A$36,sales_teams!C$2:C$36)</f>
        <v>West</v>
      </c>
      <c r="E3927" t="s">
        <v>145</v>
      </c>
      <c r="F3927" t="s">
        <v>33</v>
      </c>
      <c r="G3927" t="s">
        <v>12</v>
      </c>
      <c r="H3927" s="1">
        <v>42901</v>
      </c>
      <c r="I3927" s="1">
        <v>42916</v>
      </c>
      <c r="J3927">
        <v>25464</v>
      </c>
    </row>
    <row r="3928" spans="1:10" x14ac:dyDescent="0.3">
      <c r="A3928" t="s">
        <v>4059</v>
      </c>
      <c r="B3928" t="s">
        <v>252</v>
      </c>
      <c r="C3928" t="str">
        <f>_xlfn.XLOOKUP(B3928,
[1]sales_teams!$A$2:$A$100,
[1]sales_teams!$B$2:$B$100)</f>
        <v>Melvin Marxen</v>
      </c>
      <c r="D3928" t="str">
        <f>_xlfn.XLOOKUP($B3928,sales_teams!$A$2:$A$36,sales_teams!C$2:C$36)</f>
        <v>Central</v>
      </c>
      <c r="E3928" t="s">
        <v>20</v>
      </c>
      <c r="F3928" t="s">
        <v>315</v>
      </c>
      <c r="G3928" t="s">
        <v>12</v>
      </c>
      <c r="H3928" s="1">
        <v>42901</v>
      </c>
      <c r="I3928" s="1">
        <v>42987</v>
      </c>
      <c r="J3928">
        <v>460</v>
      </c>
    </row>
    <row r="3929" spans="1:10" x14ac:dyDescent="0.3">
      <c r="A3929" t="s">
        <v>4060</v>
      </c>
      <c r="B3929" t="s">
        <v>252</v>
      </c>
      <c r="C3929" t="str">
        <f>_xlfn.XLOOKUP(B3929,
[1]sales_teams!$A$2:$A$100,
[1]sales_teams!$B$2:$B$100)</f>
        <v>Melvin Marxen</v>
      </c>
      <c r="D3929" t="str">
        <f>_xlfn.XLOOKUP($B3929,sales_teams!$A$2:$A$36,sales_teams!C$2:C$36)</f>
        <v>Central</v>
      </c>
      <c r="E3929" t="s">
        <v>20</v>
      </c>
      <c r="F3929" t="s">
        <v>126</v>
      </c>
      <c r="G3929" t="s">
        <v>12</v>
      </c>
      <c r="H3929" s="1">
        <v>42901</v>
      </c>
      <c r="I3929" s="1">
        <v>42914</v>
      </c>
      <c r="J3929">
        <v>546</v>
      </c>
    </row>
    <row r="3930" spans="1:10" x14ac:dyDescent="0.3">
      <c r="A3930" t="s">
        <v>4061</v>
      </c>
      <c r="B3930" t="s">
        <v>252</v>
      </c>
      <c r="C3930" t="str">
        <f>_xlfn.XLOOKUP(B3930,
[1]sales_teams!$A$2:$A$100,
[1]sales_teams!$B$2:$B$100)</f>
        <v>Melvin Marxen</v>
      </c>
      <c r="D3930" t="str">
        <f>_xlfn.XLOOKUP($B3930,sales_teams!$A$2:$A$36,sales_teams!C$2:C$36)</f>
        <v>Central</v>
      </c>
      <c r="E3930" t="s">
        <v>10</v>
      </c>
      <c r="F3930" t="s">
        <v>120</v>
      </c>
      <c r="G3930" t="s">
        <v>12</v>
      </c>
      <c r="H3930" s="1">
        <v>42901</v>
      </c>
      <c r="I3930" s="1">
        <v>43003</v>
      </c>
      <c r="J3930">
        <v>918</v>
      </c>
    </row>
    <row r="3931" spans="1:10" x14ac:dyDescent="0.3">
      <c r="A3931" t="s">
        <v>4062</v>
      </c>
      <c r="B3931" t="s">
        <v>133</v>
      </c>
      <c r="C3931" t="str">
        <f>_xlfn.XLOOKUP(B3931,
[1]sales_teams!$A$2:$A$100,
[1]sales_teams!$B$2:$B$100)</f>
        <v>Dustin Brinkmann</v>
      </c>
      <c r="D3931" t="str">
        <f>_xlfn.XLOOKUP($B3931,sales_teams!$A$2:$A$36,sales_teams!C$2:C$36)</f>
        <v>Central</v>
      </c>
      <c r="E3931" t="s">
        <v>39</v>
      </c>
      <c r="F3931" t="s">
        <v>207</v>
      </c>
      <c r="G3931" t="s">
        <v>46</v>
      </c>
      <c r="H3931" s="1">
        <v>42901</v>
      </c>
      <c r="I3931" s="1">
        <v>42915</v>
      </c>
      <c r="J3931">
        <v>0</v>
      </c>
    </row>
    <row r="3932" spans="1:10" x14ac:dyDescent="0.3">
      <c r="A3932" t="s">
        <v>4063</v>
      </c>
      <c r="B3932" t="s">
        <v>133</v>
      </c>
      <c r="C3932" t="str">
        <f>_xlfn.XLOOKUP(B3932,
[1]sales_teams!$A$2:$A$100,
[1]sales_teams!$B$2:$B$100)</f>
        <v>Dustin Brinkmann</v>
      </c>
      <c r="D3932" t="str">
        <f>_xlfn.XLOOKUP($B3932,sales_teams!$A$2:$A$36,sales_teams!C$2:C$36)</f>
        <v>Central</v>
      </c>
      <c r="E3932" t="s">
        <v>39</v>
      </c>
      <c r="F3932" t="s">
        <v>170</v>
      </c>
      <c r="G3932" t="s">
        <v>12</v>
      </c>
      <c r="H3932" s="1">
        <v>42901</v>
      </c>
      <c r="I3932" s="1">
        <v>42949</v>
      </c>
      <c r="J3932">
        <v>3018</v>
      </c>
    </row>
    <row r="3933" spans="1:10" x14ac:dyDescent="0.3">
      <c r="A3933" t="s">
        <v>4064</v>
      </c>
      <c r="B3933" t="s">
        <v>32</v>
      </c>
      <c r="C3933" t="str">
        <f>_xlfn.XLOOKUP(B3933,
[1]sales_teams!$A$2:$A$100,
[1]sales_teams!$B$2:$B$100)</f>
        <v>Celia Rouche</v>
      </c>
      <c r="D3933" t="str">
        <f>_xlfn.XLOOKUP($B3933,sales_teams!$A$2:$A$36,sales_teams!C$2:C$36)</f>
        <v>West</v>
      </c>
      <c r="E3933" t="s">
        <v>18</v>
      </c>
      <c r="F3933" t="s">
        <v>52</v>
      </c>
      <c r="G3933" t="s">
        <v>12</v>
      </c>
      <c r="H3933" s="1">
        <v>42901</v>
      </c>
      <c r="I3933" s="1">
        <v>42971</v>
      </c>
      <c r="J3933">
        <v>52</v>
      </c>
    </row>
    <row r="3934" spans="1:10" x14ac:dyDescent="0.3">
      <c r="A3934" t="s">
        <v>4065</v>
      </c>
      <c r="B3934" t="s">
        <v>51</v>
      </c>
      <c r="C3934" t="str">
        <f>_xlfn.XLOOKUP(B3934,
[1]sales_teams!$A$2:$A$100,
[1]sales_teams!$B$2:$B$100)</f>
        <v>Summer Sewald</v>
      </c>
      <c r="D3934" t="str">
        <f>_xlfn.XLOOKUP($B3934,sales_teams!$A$2:$A$36,sales_teams!C$2:C$36)</f>
        <v>West</v>
      </c>
      <c r="E3934" t="s">
        <v>20</v>
      </c>
      <c r="G3934" t="s">
        <v>40</v>
      </c>
      <c r="H3934" s="1">
        <v>42901</v>
      </c>
    </row>
    <row r="3935" spans="1:10" x14ac:dyDescent="0.3">
      <c r="A3935" t="s">
        <v>4066</v>
      </c>
      <c r="B3935" t="s">
        <v>97</v>
      </c>
      <c r="C3935" t="str">
        <f>_xlfn.XLOOKUP(B3935,
[1]sales_teams!$A$2:$A$100,
[1]sales_teams!$B$2:$B$100)</f>
        <v>Rocco Neubert</v>
      </c>
      <c r="D3935" t="str">
        <f>_xlfn.XLOOKUP($B3935,sales_teams!$A$2:$A$36,sales_teams!C$2:C$36)</f>
        <v>East</v>
      </c>
      <c r="E3935" t="s">
        <v>18</v>
      </c>
      <c r="F3935" t="s">
        <v>165</v>
      </c>
      <c r="G3935" t="s">
        <v>12</v>
      </c>
      <c r="H3935" s="1">
        <v>42901</v>
      </c>
      <c r="I3935" s="1">
        <v>42951</v>
      </c>
      <c r="J3935">
        <v>50</v>
      </c>
    </row>
    <row r="3936" spans="1:10" x14ac:dyDescent="0.3">
      <c r="A3936" t="s">
        <v>4067</v>
      </c>
      <c r="B3936" t="s">
        <v>57</v>
      </c>
      <c r="C3936" t="str">
        <f>_xlfn.XLOOKUP(B3936,
[1]sales_teams!$A$2:$A$100,
[1]sales_teams!$B$2:$B$100)</f>
        <v>Celia Rouche</v>
      </c>
      <c r="D3936" t="str">
        <f>_xlfn.XLOOKUP($B3936,sales_teams!$A$2:$A$36,sales_teams!C$2:C$36)</f>
        <v>West</v>
      </c>
      <c r="E3936" t="s">
        <v>18</v>
      </c>
      <c r="G3936" t="s">
        <v>40</v>
      </c>
      <c r="H3936" s="1">
        <v>42901</v>
      </c>
    </row>
    <row r="3937" spans="1:10" x14ac:dyDescent="0.3">
      <c r="A3937" t="s">
        <v>4068</v>
      </c>
      <c r="B3937" t="s">
        <v>88</v>
      </c>
      <c r="C3937" t="str">
        <f>_xlfn.XLOOKUP(B3937,
[1]sales_teams!$A$2:$A$100,
[1]sales_teams!$B$2:$B$100)</f>
        <v>Cara Losch</v>
      </c>
      <c r="D3937" t="str">
        <f>_xlfn.XLOOKUP($B3937,sales_teams!$A$2:$A$36,sales_teams!C$2:C$36)</f>
        <v>East</v>
      </c>
      <c r="E3937" t="s">
        <v>20</v>
      </c>
      <c r="F3937" t="s">
        <v>65</v>
      </c>
      <c r="G3937" t="s">
        <v>12</v>
      </c>
      <c r="H3937" s="1">
        <v>42901</v>
      </c>
      <c r="I3937" s="1">
        <v>42991</v>
      </c>
      <c r="J3937">
        <v>524</v>
      </c>
    </row>
    <row r="3938" spans="1:10" x14ac:dyDescent="0.3">
      <c r="A3938" t="s">
        <v>4069</v>
      </c>
      <c r="B3938" t="s">
        <v>88</v>
      </c>
      <c r="C3938" t="str">
        <f>_xlfn.XLOOKUP(B3938,
[1]sales_teams!$A$2:$A$100,
[1]sales_teams!$B$2:$B$100)</f>
        <v>Cara Losch</v>
      </c>
      <c r="D3938" t="str">
        <f>_xlfn.XLOOKUP($B3938,sales_teams!$A$2:$A$36,sales_teams!C$2:C$36)</f>
        <v>East</v>
      </c>
      <c r="E3938" t="s">
        <v>39</v>
      </c>
      <c r="F3938" t="s">
        <v>65</v>
      </c>
      <c r="G3938" t="s">
        <v>12</v>
      </c>
      <c r="H3938" s="1">
        <v>42901</v>
      </c>
      <c r="I3938" s="1">
        <v>42915</v>
      </c>
      <c r="J3938">
        <v>3306</v>
      </c>
    </row>
    <row r="3939" spans="1:10" x14ac:dyDescent="0.3">
      <c r="A3939" t="s">
        <v>4070</v>
      </c>
      <c r="B3939" t="s">
        <v>29</v>
      </c>
      <c r="C3939" t="str">
        <f>_xlfn.XLOOKUP(B3939,
[1]sales_teams!$A$2:$A$100,
[1]sales_teams!$B$2:$B$100)</f>
        <v>Celia Rouche</v>
      </c>
      <c r="D3939" t="str">
        <f>_xlfn.XLOOKUP($B3939,sales_teams!$A$2:$A$36,sales_teams!C$2:C$36)</f>
        <v>West</v>
      </c>
      <c r="E3939" t="s">
        <v>20</v>
      </c>
      <c r="G3939" t="s">
        <v>40</v>
      </c>
      <c r="H3939" s="1">
        <v>42901</v>
      </c>
    </row>
    <row r="3940" spans="1:10" x14ac:dyDescent="0.3">
      <c r="A3940" t="s">
        <v>4071</v>
      </c>
      <c r="B3940" t="s">
        <v>29</v>
      </c>
      <c r="C3940" t="str">
        <f>_xlfn.XLOOKUP(B3940,
[1]sales_teams!$A$2:$A$100,
[1]sales_teams!$B$2:$B$100)</f>
        <v>Celia Rouche</v>
      </c>
      <c r="D3940" t="str">
        <f>_xlfn.XLOOKUP($B3940,sales_teams!$A$2:$A$36,sales_teams!C$2:C$36)</f>
        <v>West</v>
      </c>
      <c r="E3940" t="s">
        <v>18</v>
      </c>
      <c r="F3940" t="s">
        <v>24</v>
      </c>
      <c r="G3940" t="s">
        <v>12</v>
      </c>
      <c r="H3940" s="1">
        <v>42901</v>
      </c>
      <c r="I3940" s="1">
        <v>42908</v>
      </c>
      <c r="J3940">
        <v>54</v>
      </c>
    </row>
    <row r="3941" spans="1:10" x14ac:dyDescent="0.3">
      <c r="A3941" t="s">
        <v>4072</v>
      </c>
      <c r="B3941" t="s">
        <v>29</v>
      </c>
      <c r="C3941" t="str">
        <f>_xlfn.XLOOKUP(B3941,
[1]sales_teams!$A$2:$A$100,
[1]sales_teams!$B$2:$B$100)</f>
        <v>Celia Rouche</v>
      </c>
      <c r="D3941" t="str">
        <f>_xlfn.XLOOKUP($B3941,sales_teams!$A$2:$A$36,sales_teams!C$2:C$36)</f>
        <v>West</v>
      </c>
      <c r="E3941" t="s">
        <v>18</v>
      </c>
      <c r="F3941" t="s">
        <v>315</v>
      </c>
      <c r="G3941" t="s">
        <v>12</v>
      </c>
      <c r="H3941" s="1">
        <v>42901</v>
      </c>
      <c r="I3941" s="1">
        <v>42914</v>
      </c>
      <c r="J3941">
        <v>53</v>
      </c>
    </row>
    <row r="3942" spans="1:10" x14ac:dyDescent="0.3">
      <c r="A3942" t="s">
        <v>4073</v>
      </c>
      <c r="B3942" t="s">
        <v>102</v>
      </c>
      <c r="C3942" t="str">
        <f>_xlfn.XLOOKUP(B3942,
[1]sales_teams!$A$2:$A$100,
[1]sales_teams!$B$2:$B$100)</f>
        <v>Cara Losch</v>
      </c>
      <c r="D3942" t="str">
        <f>_xlfn.XLOOKUP($B3942,sales_teams!$A$2:$A$36,sales_teams!C$2:C$36)</f>
        <v>East</v>
      </c>
      <c r="E3942" t="s">
        <v>20</v>
      </c>
      <c r="F3942" t="s">
        <v>373</v>
      </c>
      <c r="G3942" t="s">
        <v>12</v>
      </c>
      <c r="H3942" s="1">
        <v>42901</v>
      </c>
      <c r="I3942" s="1">
        <v>42976</v>
      </c>
      <c r="J3942">
        <v>514</v>
      </c>
    </row>
    <row r="3943" spans="1:10" x14ac:dyDescent="0.3">
      <c r="A3943" t="s">
        <v>4074</v>
      </c>
      <c r="B3943" t="s">
        <v>23</v>
      </c>
      <c r="C3943" t="str">
        <f>_xlfn.XLOOKUP(B3943,
[1]sales_teams!$A$2:$A$100,
[1]sales_teams!$B$2:$B$100)</f>
        <v>Summer Sewald</v>
      </c>
      <c r="D3943" t="str">
        <f>_xlfn.XLOOKUP($B3943,sales_teams!$A$2:$A$36,sales_teams!C$2:C$36)</f>
        <v>West</v>
      </c>
      <c r="E3943" t="s">
        <v>39</v>
      </c>
      <c r="G3943" t="s">
        <v>40</v>
      </c>
      <c r="H3943" s="1">
        <v>42901</v>
      </c>
    </row>
    <row r="3944" spans="1:10" x14ac:dyDescent="0.3">
      <c r="A3944" t="s">
        <v>4075</v>
      </c>
      <c r="B3944" t="s">
        <v>118</v>
      </c>
      <c r="C3944" t="str">
        <f>_xlfn.XLOOKUP(B3944,
[1]sales_teams!$A$2:$A$100,
[1]sales_teams!$B$2:$B$100)</f>
        <v>Rocco Neubert</v>
      </c>
      <c r="D3944" t="str">
        <f>_xlfn.XLOOKUP($B3944,sales_teams!$A$2:$A$36,sales_teams!C$2:C$36)</f>
        <v>East</v>
      </c>
      <c r="E3944" t="s">
        <v>18</v>
      </c>
      <c r="F3944" t="s">
        <v>745</v>
      </c>
      <c r="G3944" t="s">
        <v>40</v>
      </c>
      <c r="H3944" s="1">
        <v>42902</v>
      </c>
    </row>
    <row r="3945" spans="1:10" x14ac:dyDescent="0.3">
      <c r="A3945" t="s">
        <v>4076</v>
      </c>
      <c r="B3945" t="s">
        <v>64</v>
      </c>
      <c r="C3945" t="str">
        <f>_xlfn.XLOOKUP(B3945,
[1]sales_teams!$A$2:$A$100,
[1]sales_teams!$B$2:$B$100)</f>
        <v>Rocco Neubert</v>
      </c>
      <c r="D3945" t="str">
        <f>_xlfn.XLOOKUP($B3945,sales_teams!$A$2:$A$36,sales_teams!C$2:C$36)</f>
        <v>East</v>
      </c>
      <c r="E3945" t="s">
        <v>10</v>
      </c>
      <c r="F3945" t="s">
        <v>199</v>
      </c>
      <c r="G3945" t="s">
        <v>12</v>
      </c>
      <c r="H3945" s="1">
        <v>42902</v>
      </c>
      <c r="I3945" s="1">
        <v>42911</v>
      </c>
      <c r="J3945">
        <v>985</v>
      </c>
    </row>
    <row r="3946" spans="1:10" x14ac:dyDescent="0.3">
      <c r="A3946" t="s">
        <v>4077</v>
      </c>
      <c r="B3946" t="s">
        <v>14</v>
      </c>
      <c r="C3946" t="str">
        <f>_xlfn.XLOOKUP(B3946,
[1]sales_teams!$A$2:$A$100,
[1]sales_teams!$B$2:$B$100)</f>
        <v>Melvin Marxen</v>
      </c>
      <c r="D3946" t="str">
        <f>_xlfn.XLOOKUP($B3946,sales_teams!$A$2:$A$36,sales_teams!C$2:C$36)</f>
        <v>Central</v>
      </c>
      <c r="E3946" t="s">
        <v>15</v>
      </c>
      <c r="F3946" t="s">
        <v>120</v>
      </c>
      <c r="G3946" t="s">
        <v>12</v>
      </c>
      <c r="H3946" s="1">
        <v>42902</v>
      </c>
      <c r="I3946" s="1">
        <v>42958</v>
      </c>
      <c r="J3946">
        <v>5843</v>
      </c>
    </row>
    <row r="3947" spans="1:10" x14ac:dyDescent="0.3">
      <c r="A3947" t="s">
        <v>4078</v>
      </c>
      <c r="B3947" t="s">
        <v>14</v>
      </c>
      <c r="C3947" t="str">
        <f>_xlfn.XLOOKUP(B3947,
[1]sales_teams!$A$2:$A$100,
[1]sales_teams!$B$2:$B$100)</f>
        <v>Melvin Marxen</v>
      </c>
      <c r="D3947" t="str">
        <f>_xlfn.XLOOKUP($B3947,sales_teams!$A$2:$A$36,sales_teams!C$2:C$36)</f>
        <v>Central</v>
      </c>
      <c r="E3947" t="s">
        <v>15</v>
      </c>
      <c r="F3947" t="s">
        <v>45</v>
      </c>
      <c r="G3947" t="s">
        <v>12</v>
      </c>
      <c r="H3947" s="1">
        <v>42902</v>
      </c>
      <c r="I3947" s="1">
        <v>42995</v>
      </c>
      <c r="J3947">
        <v>4577</v>
      </c>
    </row>
    <row r="3948" spans="1:10" x14ac:dyDescent="0.3">
      <c r="A3948" t="s">
        <v>4079</v>
      </c>
      <c r="B3948" t="s">
        <v>14</v>
      </c>
      <c r="C3948" t="str">
        <f>_xlfn.XLOOKUP(B3948,
[1]sales_teams!$A$2:$A$100,
[1]sales_teams!$B$2:$B$100)</f>
        <v>Melvin Marxen</v>
      </c>
      <c r="D3948" t="str">
        <f>_xlfn.XLOOKUP($B3948,sales_teams!$A$2:$A$36,sales_teams!C$2:C$36)</f>
        <v>Central</v>
      </c>
      <c r="E3948" t="s">
        <v>39</v>
      </c>
      <c r="F3948" t="s">
        <v>16</v>
      </c>
      <c r="G3948" t="s">
        <v>12</v>
      </c>
      <c r="H3948" s="1">
        <v>42902</v>
      </c>
      <c r="I3948" s="1">
        <v>42910</v>
      </c>
      <c r="J3948">
        <v>3323</v>
      </c>
    </row>
    <row r="3949" spans="1:10" x14ac:dyDescent="0.3">
      <c r="A3949" t="s">
        <v>4080</v>
      </c>
      <c r="B3949" t="s">
        <v>142</v>
      </c>
      <c r="C3949" t="str">
        <f>_xlfn.XLOOKUP(B3949,
[1]sales_teams!$A$2:$A$100,
[1]sales_teams!$B$2:$B$100)</f>
        <v>Rocco Neubert</v>
      </c>
      <c r="D3949" t="str">
        <f>_xlfn.XLOOKUP($B3949,sales_teams!$A$2:$A$36,sales_teams!C$2:C$36)</f>
        <v>East</v>
      </c>
      <c r="E3949" t="s">
        <v>39</v>
      </c>
      <c r="F3949" t="s">
        <v>204</v>
      </c>
      <c r="G3949" t="s">
        <v>46</v>
      </c>
      <c r="H3949" s="1">
        <v>42902</v>
      </c>
      <c r="I3949" s="1">
        <v>42978</v>
      </c>
      <c r="J3949">
        <v>0</v>
      </c>
    </row>
    <row r="3950" spans="1:10" x14ac:dyDescent="0.3">
      <c r="A3950" t="s">
        <v>4081</v>
      </c>
      <c r="B3950" t="s">
        <v>142</v>
      </c>
      <c r="C3950" t="str">
        <f>_xlfn.XLOOKUP(B3950,
[1]sales_teams!$A$2:$A$100,
[1]sales_teams!$B$2:$B$100)</f>
        <v>Rocco Neubert</v>
      </c>
      <c r="D3950" t="str">
        <f>_xlfn.XLOOKUP($B3950,sales_teams!$A$2:$A$36,sales_teams!C$2:C$36)</f>
        <v>East</v>
      </c>
      <c r="E3950" t="s">
        <v>20</v>
      </c>
      <c r="F3950" t="s">
        <v>177</v>
      </c>
      <c r="G3950" t="s">
        <v>12</v>
      </c>
      <c r="H3950" s="1">
        <v>42902</v>
      </c>
      <c r="I3950" s="1">
        <v>42995</v>
      </c>
      <c r="J3950">
        <v>483</v>
      </c>
    </row>
    <row r="3951" spans="1:10" x14ac:dyDescent="0.3">
      <c r="A3951" t="s">
        <v>4082</v>
      </c>
      <c r="B3951" t="s">
        <v>105</v>
      </c>
      <c r="C3951" t="str">
        <f>_xlfn.XLOOKUP(B3951,
[1]sales_teams!$A$2:$A$100,
[1]sales_teams!$B$2:$B$100)</f>
        <v>Cara Losch</v>
      </c>
      <c r="D3951" t="str">
        <f>_xlfn.XLOOKUP($B3951,sales_teams!$A$2:$A$36,sales_teams!C$2:C$36)</f>
        <v>East</v>
      </c>
      <c r="E3951" t="s">
        <v>20</v>
      </c>
      <c r="F3951" t="s">
        <v>240</v>
      </c>
      <c r="G3951" t="s">
        <v>46</v>
      </c>
      <c r="H3951" s="1">
        <v>42902</v>
      </c>
      <c r="I3951" s="1">
        <v>42969</v>
      </c>
      <c r="J3951">
        <v>0</v>
      </c>
    </row>
    <row r="3952" spans="1:10" x14ac:dyDescent="0.3">
      <c r="A3952" t="s">
        <v>4083</v>
      </c>
      <c r="B3952" t="s">
        <v>105</v>
      </c>
      <c r="C3952" t="str">
        <f>_xlfn.XLOOKUP(B3952,
[1]sales_teams!$A$2:$A$100,
[1]sales_teams!$B$2:$B$100)</f>
        <v>Cara Losch</v>
      </c>
      <c r="D3952" t="str">
        <f>_xlfn.XLOOKUP($B3952,sales_teams!$A$2:$A$36,sales_teams!C$2:C$36)</f>
        <v>East</v>
      </c>
      <c r="E3952" t="s">
        <v>15</v>
      </c>
      <c r="F3952" t="s">
        <v>74</v>
      </c>
      <c r="G3952" t="s">
        <v>12</v>
      </c>
      <c r="H3952" s="1">
        <v>42902</v>
      </c>
      <c r="I3952" s="1">
        <v>42996</v>
      </c>
      <c r="J3952">
        <v>5206</v>
      </c>
    </row>
    <row r="3953" spans="1:10" x14ac:dyDescent="0.3">
      <c r="A3953" t="s">
        <v>4084</v>
      </c>
      <c r="B3953" t="s">
        <v>44</v>
      </c>
      <c r="C3953" t="str">
        <f>_xlfn.XLOOKUP(B3953,
[1]sales_teams!$A$2:$A$100,
[1]sales_teams!$B$2:$B$100)</f>
        <v>Melvin Marxen</v>
      </c>
      <c r="D3953" t="str">
        <f>_xlfn.XLOOKUP($B3953,sales_teams!$A$2:$A$36,sales_teams!C$2:C$36)</f>
        <v>Central</v>
      </c>
      <c r="E3953" t="s">
        <v>39</v>
      </c>
      <c r="F3953" t="s">
        <v>129</v>
      </c>
      <c r="G3953" t="s">
        <v>12</v>
      </c>
      <c r="H3953" s="1">
        <v>42902</v>
      </c>
      <c r="I3953" s="1">
        <v>42982</v>
      </c>
      <c r="J3953">
        <v>3621</v>
      </c>
    </row>
    <row r="3954" spans="1:10" x14ac:dyDescent="0.3">
      <c r="A3954" t="s">
        <v>4085</v>
      </c>
      <c r="B3954" t="s">
        <v>78</v>
      </c>
      <c r="C3954" t="str">
        <f>_xlfn.XLOOKUP(B3954,
[1]sales_teams!$A$2:$A$100,
[1]sales_teams!$B$2:$B$100)</f>
        <v>Summer Sewald</v>
      </c>
      <c r="D3954" t="str">
        <f>_xlfn.XLOOKUP($B3954,sales_teams!$A$2:$A$36,sales_teams!C$2:C$36)</f>
        <v>West</v>
      </c>
      <c r="E3954" t="s">
        <v>15</v>
      </c>
      <c r="F3954" t="s">
        <v>194</v>
      </c>
      <c r="G3954" t="s">
        <v>12</v>
      </c>
      <c r="H3954" s="1">
        <v>42902</v>
      </c>
      <c r="I3954" s="1">
        <v>42911</v>
      </c>
      <c r="J3954">
        <v>4756</v>
      </c>
    </row>
    <row r="3955" spans="1:10" x14ac:dyDescent="0.3">
      <c r="A3955" t="s">
        <v>4086</v>
      </c>
      <c r="B3955" t="s">
        <v>133</v>
      </c>
      <c r="C3955" t="str">
        <f>_xlfn.XLOOKUP(B3955,
[1]sales_teams!$A$2:$A$100,
[1]sales_teams!$B$2:$B$100)</f>
        <v>Dustin Brinkmann</v>
      </c>
      <c r="D3955" t="str">
        <f>_xlfn.XLOOKUP($B3955,sales_teams!$A$2:$A$36,sales_teams!C$2:C$36)</f>
        <v>Central</v>
      </c>
      <c r="E3955" t="s">
        <v>10</v>
      </c>
      <c r="F3955" t="s">
        <v>16</v>
      </c>
      <c r="G3955" t="s">
        <v>46</v>
      </c>
      <c r="H3955" s="1">
        <v>42902</v>
      </c>
      <c r="I3955" s="1">
        <v>42976</v>
      </c>
      <c r="J3955">
        <v>0</v>
      </c>
    </row>
    <row r="3956" spans="1:10" x14ac:dyDescent="0.3">
      <c r="A3956" t="s">
        <v>4087</v>
      </c>
      <c r="B3956" t="s">
        <v>133</v>
      </c>
      <c r="C3956" t="str">
        <f>_xlfn.XLOOKUP(B3956,
[1]sales_teams!$A$2:$A$100,
[1]sales_teams!$B$2:$B$100)</f>
        <v>Dustin Brinkmann</v>
      </c>
      <c r="D3956" t="str">
        <f>_xlfn.XLOOKUP($B3956,sales_teams!$A$2:$A$36,sales_teams!C$2:C$36)</f>
        <v>Central</v>
      </c>
      <c r="E3956" t="s">
        <v>39</v>
      </c>
      <c r="F3956" t="s">
        <v>111</v>
      </c>
      <c r="G3956" t="s">
        <v>12</v>
      </c>
      <c r="H3956" s="1">
        <v>42902</v>
      </c>
      <c r="I3956" s="1">
        <v>42910</v>
      </c>
      <c r="J3956">
        <v>3228</v>
      </c>
    </row>
    <row r="3957" spans="1:10" x14ac:dyDescent="0.3">
      <c r="A3957" t="s">
        <v>4088</v>
      </c>
      <c r="B3957" t="s">
        <v>32</v>
      </c>
      <c r="C3957" t="str">
        <f>_xlfn.XLOOKUP(B3957,
[1]sales_teams!$A$2:$A$100,
[1]sales_teams!$B$2:$B$100)</f>
        <v>Celia Rouche</v>
      </c>
      <c r="D3957" t="str">
        <f>_xlfn.XLOOKUP($B3957,sales_teams!$A$2:$A$36,sales_teams!C$2:C$36)</f>
        <v>West</v>
      </c>
      <c r="E3957" t="s">
        <v>10</v>
      </c>
      <c r="F3957" t="s">
        <v>170</v>
      </c>
      <c r="G3957" t="s">
        <v>40</v>
      </c>
      <c r="H3957" s="1">
        <v>42902</v>
      </c>
    </row>
    <row r="3958" spans="1:10" x14ac:dyDescent="0.3">
      <c r="A3958" t="s">
        <v>4089</v>
      </c>
      <c r="B3958" t="s">
        <v>35</v>
      </c>
      <c r="C3958" t="str">
        <f>_xlfn.XLOOKUP(B3958,
[1]sales_teams!$A$2:$A$100,
[1]sales_teams!$B$2:$B$100)</f>
        <v>Melvin Marxen</v>
      </c>
      <c r="D3958" t="str">
        <f>_xlfn.XLOOKUP($B3958,sales_teams!$A$2:$A$36,sales_teams!C$2:C$36)</f>
        <v>Central</v>
      </c>
      <c r="E3958" t="s">
        <v>10</v>
      </c>
      <c r="F3958" t="s">
        <v>42</v>
      </c>
      <c r="G3958" t="s">
        <v>12</v>
      </c>
      <c r="H3958" s="1">
        <v>42902</v>
      </c>
      <c r="I3958" s="1">
        <v>42995</v>
      </c>
      <c r="J3958">
        <v>1063</v>
      </c>
    </row>
    <row r="3959" spans="1:10" x14ac:dyDescent="0.3">
      <c r="A3959" t="s">
        <v>4090</v>
      </c>
      <c r="B3959" t="s">
        <v>97</v>
      </c>
      <c r="C3959" t="str">
        <f>_xlfn.XLOOKUP(B3959,
[1]sales_teams!$A$2:$A$100,
[1]sales_teams!$B$2:$B$100)</f>
        <v>Rocco Neubert</v>
      </c>
      <c r="D3959" t="str">
        <f>_xlfn.XLOOKUP($B3959,sales_teams!$A$2:$A$36,sales_teams!C$2:C$36)</f>
        <v>East</v>
      </c>
      <c r="E3959" t="s">
        <v>10</v>
      </c>
      <c r="F3959" t="s">
        <v>278</v>
      </c>
      <c r="G3959" t="s">
        <v>46</v>
      </c>
      <c r="H3959" s="1">
        <v>42902</v>
      </c>
      <c r="I3959" s="1">
        <v>42966</v>
      </c>
      <c r="J3959">
        <v>0</v>
      </c>
    </row>
    <row r="3960" spans="1:10" x14ac:dyDescent="0.3">
      <c r="A3960" t="s">
        <v>4091</v>
      </c>
      <c r="B3960" t="s">
        <v>88</v>
      </c>
      <c r="C3960" t="str">
        <f>_xlfn.XLOOKUP(B3960,
[1]sales_teams!$A$2:$A$100,
[1]sales_teams!$B$2:$B$100)</f>
        <v>Cara Losch</v>
      </c>
      <c r="D3960" t="str">
        <f>_xlfn.XLOOKUP($B3960,sales_teams!$A$2:$A$36,sales_teams!C$2:C$36)</f>
        <v>East</v>
      </c>
      <c r="E3960" t="s">
        <v>15</v>
      </c>
      <c r="F3960" t="s">
        <v>65</v>
      </c>
      <c r="G3960" t="s">
        <v>40</v>
      </c>
      <c r="H3960" s="1">
        <v>42902</v>
      </c>
    </row>
    <row r="3961" spans="1:10" x14ac:dyDescent="0.3">
      <c r="A3961" t="s">
        <v>4092</v>
      </c>
      <c r="B3961" t="s">
        <v>29</v>
      </c>
      <c r="C3961" t="str">
        <f>_xlfn.XLOOKUP(B3961,
[1]sales_teams!$A$2:$A$100,
[1]sales_teams!$B$2:$B$100)</f>
        <v>Celia Rouche</v>
      </c>
      <c r="D3961" t="str">
        <f>_xlfn.XLOOKUP($B3961,sales_teams!$A$2:$A$36,sales_teams!C$2:C$36)</f>
        <v>West</v>
      </c>
      <c r="E3961" t="s">
        <v>18</v>
      </c>
      <c r="G3961" t="s">
        <v>40</v>
      </c>
      <c r="H3961" s="1">
        <v>42902</v>
      </c>
    </row>
    <row r="3962" spans="1:10" x14ac:dyDescent="0.3">
      <c r="A3962" t="s">
        <v>4093</v>
      </c>
      <c r="B3962" t="s">
        <v>73</v>
      </c>
      <c r="C3962" t="str">
        <f>_xlfn.XLOOKUP(B3962,
[1]sales_teams!$A$2:$A$100,
[1]sales_teams!$B$2:$B$100)</f>
        <v>Cara Losch</v>
      </c>
      <c r="D3962" t="str">
        <f>_xlfn.XLOOKUP($B3962,sales_teams!$A$2:$A$36,sales_teams!C$2:C$36)</f>
        <v>East</v>
      </c>
      <c r="E3962" t="s">
        <v>18</v>
      </c>
      <c r="G3962" t="s">
        <v>40</v>
      </c>
      <c r="H3962" s="1">
        <v>42902</v>
      </c>
    </row>
    <row r="3963" spans="1:10" x14ac:dyDescent="0.3">
      <c r="A3963" t="s">
        <v>4094</v>
      </c>
      <c r="B3963" t="s">
        <v>23</v>
      </c>
      <c r="C3963" t="str">
        <f>_xlfn.XLOOKUP(B3963,
[1]sales_teams!$A$2:$A$100,
[1]sales_teams!$B$2:$B$100)</f>
        <v>Summer Sewald</v>
      </c>
      <c r="D3963" t="str">
        <f>_xlfn.XLOOKUP($B3963,sales_teams!$A$2:$A$36,sales_teams!C$2:C$36)</f>
        <v>West</v>
      </c>
      <c r="E3963" t="s">
        <v>39</v>
      </c>
      <c r="F3963" t="s">
        <v>555</v>
      </c>
      <c r="G3963" t="s">
        <v>12</v>
      </c>
      <c r="H3963" s="1">
        <v>42902</v>
      </c>
      <c r="I3963" s="1">
        <v>42913</v>
      </c>
      <c r="J3963">
        <v>4234</v>
      </c>
    </row>
    <row r="3964" spans="1:10" x14ac:dyDescent="0.3">
      <c r="A3964" t="s">
        <v>4095</v>
      </c>
      <c r="B3964" t="s">
        <v>118</v>
      </c>
      <c r="C3964" t="str">
        <f>_xlfn.XLOOKUP(B3964,
[1]sales_teams!$A$2:$A$100,
[1]sales_teams!$B$2:$B$100)</f>
        <v>Rocco Neubert</v>
      </c>
      <c r="D3964" t="str">
        <f>_xlfn.XLOOKUP($B3964,sales_teams!$A$2:$A$36,sales_teams!C$2:C$36)</f>
        <v>East</v>
      </c>
      <c r="E3964" t="s">
        <v>10</v>
      </c>
      <c r="F3964" t="s">
        <v>215</v>
      </c>
      <c r="G3964" t="s">
        <v>12</v>
      </c>
      <c r="H3964" s="1">
        <v>42903</v>
      </c>
      <c r="I3964" s="1">
        <v>42994</v>
      </c>
      <c r="J3964">
        <v>1198</v>
      </c>
    </row>
    <row r="3965" spans="1:10" x14ac:dyDescent="0.3">
      <c r="A3965" t="s">
        <v>4096</v>
      </c>
      <c r="B3965" t="s">
        <v>164</v>
      </c>
      <c r="C3965" t="str">
        <f>_xlfn.XLOOKUP(B3965,
[1]sales_teams!$A$2:$A$100,
[1]sales_teams!$B$2:$B$100)</f>
        <v>Cara Losch</v>
      </c>
      <c r="D3965" t="str">
        <f>_xlfn.XLOOKUP($B3965,sales_teams!$A$2:$A$36,sales_teams!C$2:C$36)</f>
        <v>East</v>
      </c>
      <c r="E3965" t="s">
        <v>15</v>
      </c>
      <c r="F3965" t="s">
        <v>329</v>
      </c>
      <c r="G3965" t="s">
        <v>12</v>
      </c>
      <c r="H3965" s="1">
        <v>42903</v>
      </c>
      <c r="I3965" s="1">
        <v>42987</v>
      </c>
      <c r="J3965">
        <v>4960</v>
      </c>
    </row>
    <row r="3966" spans="1:10" x14ac:dyDescent="0.3">
      <c r="A3966" t="s">
        <v>4097</v>
      </c>
      <c r="B3966" t="s">
        <v>14</v>
      </c>
      <c r="C3966" t="str">
        <f>_xlfn.XLOOKUP(B3966,
[1]sales_teams!$A$2:$A$100,
[1]sales_teams!$B$2:$B$100)</f>
        <v>Melvin Marxen</v>
      </c>
      <c r="D3966" t="str">
        <f>_xlfn.XLOOKUP($B3966,sales_teams!$A$2:$A$36,sales_teams!C$2:C$36)</f>
        <v>Central</v>
      </c>
      <c r="E3966" t="s">
        <v>20</v>
      </c>
      <c r="F3966" t="s">
        <v>303</v>
      </c>
      <c r="G3966" t="s">
        <v>12</v>
      </c>
      <c r="H3966" s="1">
        <v>42903</v>
      </c>
      <c r="I3966" s="1">
        <v>42969</v>
      </c>
      <c r="J3966">
        <v>576</v>
      </c>
    </row>
    <row r="3967" spans="1:10" x14ac:dyDescent="0.3">
      <c r="A3967" t="s">
        <v>4098</v>
      </c>
      <c r="B3967" t="s">
        <v>14</v>
      </c>
      <c r="C3967" t="str">
        <f>_xlfn.XLOOKUP(B3967,
[1]sales_teams!$A$2:$A$100,
[1]sales_teams!$B$2:$B$100)</f>
        <v>Melvin Marxen</v>
      </c>
      <c r="D3967" t="str">
        <f>_xlfn.XLOOKUP($B3967,sales_teams!$A$2:$A$36,sales_teams!C$2:C$36)</f>
        <v>Central</v>
      </c>
      <c r="E3967" t="s">
        <v>48</v>
      </c>
      <c r="F3967" t="s">
        <v>213</v>
      </c>
      <c r="G3967" t="s">
        <v>12</v>
      </c>
      <c r="H3967" s="1">
        <v>42903</v>
      </c>
      <c r="I3967" s="1">
        <v>42972</v>
      </c>
      <c r="J3967">
        <v>5614</v>
      </c>
    </row>
    <row r="3968" spans="1:10" x14ac:dyDescent="0.3">
      <c r="A3968" t="s">
        <v>4099</v>
      </c>
      <c r="B3968" t="s">
        <v>14</v>
      </c>
      <c r="C3968" t="str">
        <f>_xlfn.XLOOKUP(B3968,
[1]sales_teams!$A$2:$A$100,
[1]sales_teams!$B$2:$B$100)</f>
        <v>Melvin Marxen</v>
      </c>
      <c r="D3968" t="str">
        <f>_xlfn.XLOOKUP($B3968,sales_teams!$A$2:$A$36,sales_teams!C$2:C$36)</f>
        <v>Central</v>
      </c>
      <c r="E3968" t="s">
        <v>39</v>
      </c>
      <c r="F3968" t="s">
        <v>492</v>
      </c>
      <c r="G3968" t="s">
        <v>12</v>
      </c>
      <c r="H3968" s="1">
        <v>42903</v>
      </c>
      <c r="I3968" s="1">
        <v>42977</v>
      </c>
      <c r="J3968">
        <v>3422</v>
      </c>
    </row>
    <row r="3969" spans="1:10" x14ac:dyDescent="0.3">
      <c r="A3969" t="s">
        <v>4100</v>
      </c>
      <c r="B3969" t="s">
        <v>67</v>
      </c>
      <c r="C3969" t="str">
        <f>_xlfn.XLOOKUP(B3969,
[1]sales_teams!$A$2:$A$100,
[1]sales_teams!$B$2:$B$100)</f>
        <v>Celia Rouche</v>
      </c>
      <c r="D3969" t="str">
        <f>_xlfn.XLOOKUP($B3969,sales_teams!$A$2:$A$36,sales_teams!C$2:C$36)</f>
        <v>West</v>
      </c>
      <c r="E3969" t="s">
        <v>20</v>
      </c>
      <c r="F3969" t="s">
        <v>68</v>
      </c>
      <c r="G3969" t="s">
        <v>40</v>
      </c>
      <c r="H3969" s="1">
        <v>42903</v>
      </c>
    </row>
    <row r="3970" spans="1:10" x14ac:dyDescent="0.3">
      <c r="A3970" t="s">
        <v>4101</v>
      </c>
      <c r="B3970" t="s">
        <v>38</v>
      </c>
      <c r="C3970" t="str">
        <f>_xlfn.XLOOKUP(B3970,
[1]sales_teams!$A$2:$A$100,
[1]sales_teams!$B$2:$B$100)</f>
        <v>Summer Sewald</v>
      </c>
      <c r="D3970" t="str">
        <f>_xlfn.XLOOKUP($B3970,sales_teams!$A$2:$A$36,sales_teams!C$2:C$36)</f>
        <v>West</v>
      </c>
      <c r="E3970" t="s">
        <v>39</v>
      </c>
      <c r="G3970" t="s">
        <v>40</v>
      </c>
      <c r="H3970" s="1">
        <v>42903</v>
      </c>
    </row>
    <row r="3971" spans="1:10" x14ac:dyDescent="0.3">
      <c r="A3971" t="s">
        <v>4102</v>
      </c>
      <c r="B3971" t="s">
        <v>38</v>
      </c>
      <c r="C3971" t="str">
        <f>_xlfn.XLOOKUP(B3971,
[1]sales_teams!$A$2:$A$100,
[1]sales_teams!$B$2:$B$100)</f>
        <v>Summer Sewald</v>
      </c>
      <c r="D3971" t="str">
        <f>_xlfn.XLOOKUP($B3971,sales_teams!$A$2:$A$36,sales_teams!C$2:C$36)</f>
        <v>West</v>
      </c>
      <c r="E3971" t="s">
        <v>48</v>
      </c>
      <c r="F3971" t="s">
        <v>55</v>
      </c>
      <c r="G3971" t="s">
        <v>12</v>
      </c>
      <c r="H3971" s="1">
        <v>42903</v>
      </c>
      <c r="I3971" s="1">
        <v>42910</v>
      </c>
      <c r="J3971">
        <v>5306</v>
      </c>
    </row>
    <row r="3972" spans="1:10" x14ac:dyDescent="0.3">
      <c r="A3972" t="s">
        <v>4103</v>
      </c>
      <c r="B3972" t="s">
        <v>78</v>
      </c>
      <c r="C3972" t="str">
        <f>_xlfn.XLOOKUP(B3972,
[1]sales_teams!$A$2:$A$100,
[1]sales_teams!$B$2:$B$100)</f>
        <v>Summer Sewald</v>
      </c>
      <c r="D3972" t="str">
        <f>_xlfn.XLOOKUP($B3972,sales_teams!$A$2:$A$36,sales_teams!C$2:C$36)</f>
        <v>West</v>
      </c>
      <c r="E3972" t="s">
        <v>20</v>
      </c>
      <c r="G3972" t="s">
        <v>40</v>
      </c>
      <c r="H3972" s="1">
        <v>42903</v>
      </c>
    </row>
    <row r="3973" spans="1:10" x14ac:dyDescent="0.3">
      <c r="A3973" t="s">
        <v>4104</v>
      </c>
      <c r="B3973" t="s">
        <v>78</v>
      </c>
      <c r="C3973" t="str">
        <f>_xlfn.XLOOKUP(B3973,
[1]sales_teams!$A$2:$A$100,
[1]sales_teams!$B$2:$B$100)</f>
        <v>Summer Sewald</v>
      </c>
      <c r="D3973" t="str">
        <f>_xlfn.XLOOKUP($B3973,sales_teams!$A$2:$A$36,sales_teams!C$2:C$36)</f>
        <v>West</v>
      </c>
      <c r="E3973" t="s">
        <v>15</v>
      </c>
      <c r="G3973" t="s">
        <v>40</v>
      </c>
      <c r="H3973" s="1">
        <v>42903</v>
      </c>
    </row>
    <row r="3974" spans="1:10" x14ac:dyDescent="0.3">
      <c r="A3974" t="s">
        <v>4105</v>
      </c>
      <c r="B3974" t="s">
        <v>95</v>
      </c>
      <c r="C3974" t="str">
        <f>_xlfn.XLOOKUP(B3974,
[1]sales_teams!$A$2:$A$100,
[1]sales_teams!$B$2:$B$100)</f>
        <v>Summer Sewald</v>
      </c>
      <c r="D3974" t="str">
        <f>_xlfn.XLOOKUP($B3974,sales_teams!$A$2:$A$36,sales_teams!C$2:C$36)</f>
        <v>West</v>
      </c>
      <c r="E3974" t="s">
        <v>15</v>
      </c>
      <c r="F3974" t="s">
        <v>52</v>
      </c>
      <c r="G3974" t="s">
        <v>40</v>
      </c>
      <c r="H3974" s="1">
        <v>42903</v>
      </c>
    </row>
    <row r="3975" spans="1:10" x14ac:dyDescent="0.3">
      <c r="A3975" t="s">
        <v>4106</v>
      </c>
      <c r="B3975" t="s">
        <v>95</v>
      </c>
      <c r="C3975" t="str">
        <f>_xlfn.XLOOKUP(B3975,
[1]sales_teams!$A$2:$A$100,
[1]sales_teams!$B$2:$B$100)</f>
        <v>Summer Sewald</v>
      </c>
      <c r="D3975" t="str">
        <f>_xlfn.XLOOKUP($B3975,sales_teams!$A$2:$A$36,sales_teams!C$2:C$36)</f>
        <v>West</v>
      </c>
      <c r="E3975" t="s">
        <v>15</v>
      </c>
      <c r="F3975" t="s">
        <v>122</v>
      </c>
      <c r="G3975" t="s">
        <v>46</v>
      </c>
      <c r="H3975" s="1">
        <v>42903</v>
      </c>
      <c r="I3975" s="1">
        <v>42984</v>
      </c>
      <c r="J3975">
        <v>0</v>
      </c>
    </row>
    <row r="3976" spans="1:10" x14ac:dyDescent="0.3">
      <c r="A3976" t="s">
        <v>4107</v>
      </c>
      <c r="B3976" t="s">
        <v>133</v>
      </c>
      <c r="C3976" t="str">
        <f>_xlfn.XLOOKUP(B3976,
[1]sales_teams!$A$2:$A$100,
[1]sales_teams!$B$2:$B$100)</f>
        <v>Dustin Brinkmann</v>
      </c>
      <c r="D3976" t="str">
        <f>_xlfn.XLOOKUP($B3976,sales_teams!$A$2:$A$36,sales_teams!C$2:C$36)</f>
        <v>Central</v>
      </c>
      <c r="E3976" t="s">
        <v>18</v>
      </c>
      <c r="F3976" t="s">
        <v>318</v>
      </c>
      <c r="G3976" t="s">
        <v>12</v>
      </c>
      <c r="H3976" s="1">
        <v>42903</v>
      </c>
      <c r="I3976" s="1">
        <v>42997</v>
      </c>
      <c r="J3976">
        <v>60</v>
      </c>
    </row>
    <row r="3977" spans="1:10" x14ac:dyDescent="0.3">
      <c r="A3977" t="s">
        <v>4108</v>
      </c>
      <c r="B3977" t="s">
        <v>32</v>
      </c>
      <c r="C3977" t="str">
        <f>_xlfn.XLOOKUP(B3977,
[1]sales_teams!$A$2:$A$100,
[1]sales_teams!$B$2:$B$100)</f>
        <v>Celia Rouche</v>
      </c>
      <c r="D3977" t="str">
        <f>_xlfn.XLOOKUP($B3977,sales_teams!$A$2:$A$36,sales_teams!C$2:C$36)</f>
        <v>West</v>
      </c>
      <c r="E3977" t="s">
        <v>20</v>
      </c>
      <c r="G3977" t="s">
        <v>40</v>
      </c>
      <c r="H3977" s="1">
        <v>42903</v>
      </c>
    </row>
    <row r="3978" spans="1:10" x14ac:dyDescent="0.3">
      <c r="A3978" t="s">
        <v>4109</v>
      </c>
      <c r="B3978" t="s">
        <v>32</v>
      </c>
      <c r="C3978" t="str">
        <f>_xlfn.XLOOKUP(B3978,
[1]sales_teams!$A$2:$A$100,
[1]sales_teams!$B$2:$B$100)</f>
        <v>Celia Rouche</v>
      </c>
      <c r="D3978" t="str">
        <f>_xlfn.XLOOKUP($B3978,sales_teams!$A$2:$A$36,sales_teams!C$2:C$36)</f>
        <v>West</v>
      </c>
      <c r="E3978" t="s">
        <v>145</v>
      </c>
      <c r="F3978" t="s">
        <v>199</v>
      </c>
      <c r="G3978" t="s">
        <v>46</v>
      </c>
      <c r="H3978" s="1">
        <v>42903</v>
      </c>
      <c r="I3978" s="1">
        <v>42962</v>
      </c>
      <c r="J3978">
        <v>0</v>
      </c>
    </row>
    <row r="3979" spans="1:10" x14ac:dyDescent="0.3">
      <c r="A3979" t="s">
        <v>4110</v>
      </c>
      <c r="B3979" t="s">
        <v>9</v>
      </c>
      <c r="C3979" t="str">
        <f>_xlfn.XLOOKUP(B3979,
[1]sales_teams!$A$2:$A$100,
[1]sales_teams!$B$2:$B$100)</f>
        <v>Dustin Brinkmann</v>
      </c>
      <c r="D3979" t="str">
        <f>_xlfn.XLOOKUP($B3979,sales_teams!$A$2:$A$36,sales_teams!C$2:C$36)</f>
        <v>Central</v>
      </c>
      <c r="E3979" t="s">
        <v>48</v>
      </c>
      <c r="F3979" t="s">
        <v>42</v>
      </c>
      <c r="G3979" t="s">
        <v>12</v>
      </c>
      <c r="H3979" s="1">
        <v>42903</v>
      </c>
      <c r="I3979" s="1">
        <v>42963</v>
      </c>
      <c r="J3979">
        <v>5018</v>
      </c>
    </row>
    <row r="3980" spans="1:10" x14ac:dyDescent="0.3">
      <c r="A3980" t="s">
        <v>4111</v>
      </c>
      <c r="B3980" t="s">
        <v>29</v>
      </c>
      <c r="C3980" t="str">
        <f>_xlfn.XLOOKUP(B3980,
[1]sales_teams!$A$2:$A$100,
[1]sales_teams!$B$2:$B$100)</f>
        <v>Celia Rouche</v>
      </c>
      <c r="D3980" t="str">
        <f>_xlfn.XLOOKUP($B3980,sales_teams!$A$2:$A$36,sales_teams!C$2:C$36)</f>
        <v>West</v>
      </c>
      <c r="E3980" t="s">
        <v>20</v>
      </c>
      <c r="G3980" t="s">
        <v>40</v>
      </c>
      <c r="H3980" s="1">
        <v>42903</v>
      </c>
    </row>
    <row r="3981" spans="1:10" x14ac:dyDescent="0.3">
      <c r="A3981" t="s">
        <v>4112</v>
      </c>
      <c r="B3981" t="s">
        <v>29</v>
      </c>
      <c r="C3981" t="str">
        <f>_xlfn.XLOOKUP(B3981,
[1]sales_teams!$A$2:$A$100,
[1]sales_teams!$B$2:$B$100)</f>
        <v>Celia Rouche</v>
      </c>
      <c r="D3981" t="str">
        <f>_xlfn.XLOOKUP($B3981,sales_teams!$A$2:$A$36,sales_teams!C$2:C$36)</f>
        <v>West</v>
      </c>
      <c r="E3981" t="s">
        <v>39</v>
      </c>
      <c r="F3981" t="s">
        <v>398</v>
      </c>
      <c r="G3981" t="s">
        <v>12</v>
      </c>
      <c r="H3981" s="1">
        <v>42903</v>
      </c>
      <c r="I3981" s="1">
        <v>42995</v>
      </c>
      <c r="J3981">
        <v>3295</v>
      </c>
    </row>
    <row r="3982" spans="1:10" x14ac:dyDescent="0.3">
      <c r="A3982" t="s">
        <v>4113</v>
      </c>
      <c r="B3982" t="s">
        <v>26</v>
      </c>
      <c r="C3982" t="str">
        <f>_xlfn.XLOOKUP(B3982,
[1]sales_teams!$A$2:$A$100,
[1]sales_teams!$B$2:$B$100)</f>
        <v>Dustin Brinkmann</v>
      </c>
      <c r="D3982" t="str">
        <f>_xlfn.XLOOKUP($B3982,sales_teams!$A$2:$A$36,sales_teams!C$2:C$36)</f>
        <v>Central</v>
      </c>
      <c r="E3982" t="s">
        <v>18</v>
      </c>
      <c r="F3982" t="s">
        <v>126</v>
      </c>
      <c r="G3982" t="s">
        <v>12</v>
      </c>
      <c r="H3982" s="1">
        <v>42904</v>
      </c>
      <c r="I3982" s="1">
        <v>42976</v>
      </c>
      <c r="J3982">
        <v>61</v>
      </c>
    </row>
    <row r="3983" spans="1:10" x14ac:dyDescent="0.3">
      <c r="A3983" t="s">
        <v>4114</v>
      </c>
      <c r="B3983" t="s">
        <v>139</v>
      </c>
      <c r="C3983" t="str">
        <f>_xlfn.XLOOKUP(B3983,
[1]sales_teams!$A$2:$A$100,
[1]sales_teams!$B$2:$B$100)</f>
        <v>Rocco Neubert</v>
      </c>
      <c r="D3983" t="str">
        <f>_xlfn.XLOOKUP($B3983,sales_teams!$A$2:$A$36,sales_teams!C$2:C$36)</f>
        <v>East</v>
      </c>
      <c r="E3983" t="s">
        <v>48</v>
      </c>
      <c r="F3983" t="s">
        <v>106</v>
      </c>
      <c r="G3983" t="s">
        <v>46</v>
      </c>
      <c r="H3983" s="1">
        <v>42904</v>
      </c>
      <c r="I3983" s="1">
        <v>42917</v>
      </c>
      <c r="J3983">
        <v>0</v>
      </c>
    </row>
    <row r="3984" spans="1:10" x14ac:dyDescent="0.3">
      <c r="A3984" t="s">
        <v>4115</v>
      </c>
      <c r="B3984" t="s">
        <v>118</v>
      </c>
      <c r="C3984" t="str">
        <f>_xlfn.XLOOKUP(B3984,
[1]sales_teams!$A$2:$A$100,
[1]sales_teams!$B$2:$B$100)</f>
        <v>Rocco Neubert</v>
      </c>
      <c r="D3984" t="str">
        <f>_xlfn.XLOOKUP($B3984,sales_teams!$A$2:$A$36,sales_teams!C$2:C$36)</f>
        <v>East</v>
      </c>
      <c r="E3984" t="s">
        <v>10</v>
      </c>
      <c r="F3984" t="s">
        <v>231</v>
      </c>
      <c r="G3984" t="s">
        <v>40</v>
      </c>
      <c r="H3984" s="1">
        <v>42904</v>
      </c>
    </row>
    <row r="3985" spans="1:10" x14ac:dyDescent="0.3">
      <c r="A3985" t="s">
        <v>4116</v>
      </c>
      <c r="B3985" t="s">
        <v>118</v>
      </c>
      <c r="C3985" t="str">
        <f>_xlfn.XLOOKUP(B3985,
[1]sales_teams!$A$2:$A$100,
[1]sales_teams!$B$2:$B$100)</f>
        <v>Rocco Neubert</v>
      </c>
      <c r="D3985" t="str">
        <f>_xlfn.XLOOKUP($B3985,sales_teams!$A$2:$A$36,sales_teams!C$2:C$36)</f>
        <v>East</v>
      </c>
      <c r="E3985" t="s">
        <v>18</v>
      </c>
      <c r="F3985" t="s">
        <v>300</v>
      </c>
      <c r="G3985" t="s">
        <v>12</v>
      </c>
      <c r="H3985" s="1">
        <v>42904</v>
      </c>
      <c r="I3985" s="1">
        <v>43001</v>
      </c>
      <c r="J3985">
        <v>59</v>
      </c>
    </row>
    <row r="3986" spans="1:10" x14ac:dyDescent="0.3">
      <c r="A3986" t="s">
        <v>4117</v>
      </c>
      <c r="B3986" t="s">
        <v>64</v>
      </c>
      <c r="C3986" t="str">
        <f>_xlfn.XLOOKUP(B3986,
[1]sales_teams!$A$2:$A$100,
[1]sales_teams!$B$2:$B$100)</f>
        <v>Rocco Neubert</v>
      </c>
      <c r="D3986" t="str">
        <f>_xlfn.XLOOKUP($B3986,sales_teams!$A$2:$A$36,sales_teams!C$2:C$36)</f>
        <v>East</v>
      </c>
      <c r="E3986" t="s">
        <v>48</v>
      </c>
      <c r="G3986" t="s">
        <v>40</v>
      </c>
      <c r="H3986" s="1">
        <v>42904</v>
      </c>
    </row>
    <row r="3987" spans="1:10" x14ac:dyDescent="0.3">
      <c r="A3987" t="s">
        <v>4118</v>
      </c>
      <c r="B3987" t="s">
        <v>64</v>
      </c>
      <c r="C3987" t="str">
        <f>_xlfn.XLOOKUP(B3987,
[1]sales_teams!$A$2:$A$100,
[1]sales_teams!$B$2:$B$100)</f>
        <v>Rocco Neubert</v>
      </c>
      <c r="D3987" t="str">
        <f>_xlfn.XLOOKUP($B3987,sales_teams!$A$2:$A$36,sales_teams!C$2:C$36)</f>
        <v>East</v>
      </c>
      <c r="E3987" t="s">
        <v>39</v>
      </c>
      <c r="F3987" t="s">
        <v>398</v>
      </c>
      <c r="G3987" t="s">
        <v>40</v>
      </c>
      <c r="H3987" s="1">
        <v>42904</v>
      </c>
    </row>
    <row r="3988" spans="1:10" x14ac:dyDescent="0.3">
      <c r="A3988" t="s">
        <v>4119</v>
      </c>
      <c r="B3988" t="s">
        <v>64</v>
      </c>
      <c r="C3988" t="str">
        <f>_xlfn.XLOOKUP(B3988,
[1]sales_teams!$A$2:$A$100,
[1]sales_teams!$B$2:$B$100)</f>
        <v>Rocco Neubert</v>
      </c>
      <c r="D3988" t="str">
        <f>_xlfn.XLOOKUP($B3988,sales_teams!$A$2:$A$36,sales_teams!C$2:C$36)</f>
        <v>East</v>
      </c>
      <c r="E3988" t="s">
        <v>15</v>
      </c>
      <c r="F3988" t="s">
        <v>106</v>
      </c>
      <c r="G3988" t="s">
        <v>12</v>
      </c>
      <c r="H3988" s="1">
        <v>42904</v>
      </c>
      <c r="I3988" s="1">
        <v>42912</v>
      </c>
      <c r="J3988">
        <v>3720</v>
      </c>
    </row>
    <row r="3989" spans="1:10" x14ac:dyDescent="0.3">
      <c r="A3989" t="s">
        <v>4120</v>
      </c>
      <c r="B3989" t="s">
        <v>14</v>
      </c>
      <c r="C3989" t="str">
        <f>_xlfn.XLOOKUP(B3989,
[1]sales_teams!$A$2:$A$100,
[1]sales_teams!$B$2:$B$100)</f>
        <v>Melvin Marxen</v>
      </c>
      <c r="D3989" t="str">
        <f>_xlfn.XLOOKUP($B3989,sales_teams!$A$2:$A$36,sales_teams!C$2:C$36)</f>
        <v>Central</v>
      </c>
      <c r="E3989" t="s">
        <v>39</v>
      </c>
      <c r="F3989" t="s">
        <v>16</v>
      </c>
      <c r="G3989" t="s">
        <v>46</v>
      </c>
      <c r="H3989" s="1">
        <v>42904</v>
      </c>
      <c r="I3989" s="1">
        <v>42962</v>
      </c>
      <c r="J3989">
        <v>0</v>
      </c>
    </row>
    <row r="3990" spans="1:10" x14ac:dyDescent="0.3">
      <c r="A3990" t="s">
        <v>4121</v>
      </c>
      <c r="B3990" t="s">
        <v>14</v>
      </c>
      <c r="C3990" t="str">
        <f>_xlfn.XLOOKUP(B3990,
[1]sales_teams!$A$2:$A$100,
[1]sales_teams!$B$2:$B$100)</f>
        <v>Melvin Marxen</v>
      </c>
      <c r="D3990" t="str">
        <f>_xlfn.XLOOKUP($B3990,sales_teams!$A$2:$A$36,sales_teams!C$2:C$36)</f>
        <v>Central</v>
      </c>
      <c r="E3990" t="s">
        <v>15</v>
      </c>
      <c r="F3990" t="s">
        <v>135</v>
      </c>
      <c r="G3990" t="s">
        <v>12</v>
      </c>
      <c r="H3990" s="1">
        <v>42904</v>
      </c>
      <c r="I3990" s="1">
        <v>42963</v>
      </c>
      <c r="J3990">
        <v>5088</v>
      </c>
    </row>
    <row r="3991" spans="1:10" x14ac:dyDescent="0.3">
      <c r="A3991" t="s">
        <v>4122</v>
      </c>
      <c r="B3991" t="s">
        <v>67</v>
      </c>
      <c r="C3991" t="str">
        <f>_xlfn.XLOOKUP(B3991,
[1]sales_teams!$A$2:$A$100,
[1]sales_teams!$B$2:$B$100)</f>
        <v>Celia Rouche</v>
      </c>
      <c r="D3991" t="str">
        <f>_xlfn.XLOOKUP($B3991,sales_teams!$A$2:$A$36,sales_teams!C$2:C$36)</f>
        <v>West</v>
      </c>
      <c r="E3991" t="s">
        <v>48</v>
      </c>
      <c r="F3991" t="s">
        <v>59</v>
      </c>
      <c r="G3991" t="s">
        <v>12</v>
      </c>
      <c r="H3991" s="1">
        <v>42904</v>
      </c>
      <c r="I3991" s="1">
        <v>42914</v>
      </c>
      <c r="J3991">
        <v>6666</v>
      </c>
    </row>
    <row r="3992" spans="1:10" x14ac:dyDescent="0.3">
      <c r="A3992" t="s">
        <v>4123</v>
      </c>
      <c r="B3992" t="s">
        <v>44</v>
      </c>
      <c r="C3992" t="str">
        <f>_xlfn.XLOOKUP(B3992,
[1]sales_teams!$A$2:$A$100,
[1]sales_teams!$B$2:$B$100)</f>
        <v>Melvin Marxen</v>
      </c>
      <c r="D3992" t="str">
        <f>_xlfn.XLOOKUP($B3992,sales_teams!$A$2:$A$36,sales_teams!C$2:C$36)</f>
        <v>Central</v>
      </c>
      <c r="E3992" t="s">
        <v>10</v>
      </c>
      <c r="F3992" t="s">
        <v>27</v>
      </c>
      <c r="G3992" t="s">
        <v>46</v>
      </c>
      <c r="H3992" s="1">
        <v>42904</v>
      </c>
      <c r="I3992" s="1">
        <v>42949</v>
      </c>
      <c r="J3992">
        <v>0</v>
      </c>
    </row>
    <row r="3993" spans="1:10" x14ac:dyDescent="0.3">
      <c r="A3993" t="s">
        <v>4124</v>
      </c>
      <c r="B3993" t="s">
        <v>44</v>
      </c>
      <c r="C3993" t="str">
        <f>_xlfn.XLOOKUP(B3993,
[1]sales_teams!$A$2:$A$100,
[1]sales_teams!$B$2:$B$100)</f>
        <v>Melvin Marxen</v>
      </c>
      <c r="D3993" t="str">
        <f>_xlfn.XLOOKUP($B3993,sales_teams!$A$2:$A$36,sales_teams!C$2:C$36)</f>
        <v>Central</v>
      </c>
      <c r="E3993" t="s">
        <v>15</v>
      </c>
      <c r="F3993" t="s">
        <v>16</v>
      </c>
      <c r="G3993" t="s">
        <v>12</v>
      </c>
      <c r="H3993" s="1">
        <v>42904</v>
      </c>
      <c r="I3993" s="1">
        <v>42909</v>
      </c>
      <c r="J3993">
        <v>5115</v>
      </c>
    </row>
    <row r="3994" spans="1:10" x14ac:dyDescent="0.3">
      <c r="A3994" t="s">
        <v>4125</v>
      </c>
      <c r="B3994" t="s">
        <v>38</v>
      </c>
      <c r="C3994" t="str">
        <f>_xlfn.XLOOKUP(B3994,
[1]sales_teams!$A$2:$A$100,
[1]sales_teams!$B$2:$B$100)</f>
        <v>Summer Sewald</v>
      </c>
      <c r="D3994" t="str">
        <f>_xlfn.XLOOKUP($B3994,sales_teams!$A$2:$A$36,sales_teams!C$2:C$36)</f>
        <v>West</v>
      </c>
      <c r="E3994" t="s">
        <v>39</v>
      </c>
      <c r="F3994" t="s">
        <v>237</v>
      </c>
      <c r="G3994" t="s">
        <v>40</v>
      </c>
      <c r="H3994" s="1">
        <v>42904</v>
      </c>
    </row>
    <row r="3995" spans="1:10" x14ac:dyDescent="0.3">
      <c r="A3995" t="s">
        <v>4126</v>
      </c>
      <c r="B3995" t="s">
        <v>252</v>
      </c>
      <c r="C3995" t="str">
        <f>_xlfn.XLOOKUP(B3995,
[1]sales_teams!$A$2:$A$100,
[1]sales_teams!$B$2:$B$100)</f>
        <v>Melvin Marxen</v>
      </c>
      <c r="D3995" t="str">
        <f>_xlfn.XLOOKUP($B3995,sales_teams!$A$2:$A$36,sales_teams!C$2:C$36)</f>
        <v>Central</v>
      </c>
      <c r="E3995" t="s">
        <v>20</v>
      </c>
      <c r="F3995" t="s">
        <v>111</v>
      </c>
      <c r="G3995" t="s">
        <v>46</v>
      </c>
      <c r="H3995" s="1">
        <v>42904</v>
      </c>
      <c r="I3995" s="1">
        <v>42968</v>
      </c>
      <c r="J3995">
        <v>0</v>
      </c>
    </row>
    <row r="3996" spans="1:10" x14ac:dyDescent="0.3">
      <c r="A3996" t="s">
        <v>4127</v>
      </c>
      <c r="B3996" t="s">
        <v>252</v>
      </c>
      <c r="C3996" t="str">
        <f>_xlfn.XLOOKUP(B3996,
[1]sales_teams!$A$2:$A$100,
[1]sales_teams!$B$2:$B$100)</f>
        <v>Melvin Marxen</v>
      </c>
      <c r="D3996" t="str">
        <f>_xlfn.XLOOKUP($B3996,sales_teams!$A$2:$A$36,sales_teams!C$2:C$36)</f>
        <v>Central</v>
      </c>
      <c r="E3996" t="s">
        <v>10</v>
      </c>
      <c r="F3996" t="s">
        <v>16</v>
      </c>
      <c r="G3996" t="s">
        <v>12</v>
      </c>
      <c r="H3996" s="1">
        <v>42904</v>
      </c>
      <c r="I3996" s="1">
        <v>42917</v>
      </c>
      <c r="J3996">
        <v>1149</v>
      </c>
    </row>
    <row r="3997" spans="1:10" x14ac:dyDescent="0.3">
      <c r="A3997" t="s">
        <v>4128</v>
      </c>
      <c r="B3997" t="s">
        <v>252</v>
      </c>
      <c r="C3997" t="str">
        <f>_xlfn.XLOOKUP(B3997,
[1]sales_teams!$A$2:$A$100,
[1]sales_teams!$B$2:$B$100)</f>
        <v>Melvin Marxen</v>
      </c>
      <c r="D3997" t="str">
        <f>_xlfn.XLOOKUP($B3997,sales_teams!$A$2:$A$36,sales_teams!C$2:C$36)</f>
        <v>Central</v>
      </c>
      <c r="E3997" t="s">
        <v>15</v>
      </c>
      <c r="F3997" t="s">
        <v>42</v>
      </c>
      <c r="G3997" t="s">
        <v>12</v>
      </c>
      <c r="H3997" s="1">
        <v>42904</v>
      </c>
      <c r="I3997" s="1">
        <v>42993</v>
      </c>
      <c r="J3997">
        <v>5220</v>
      </c>
    </row>
    <row r="3998" spans="1:10" x14ac:dyDescent="0.3">
      <c r="A3998" t="s">
        <v>4129</v>
      </c>
      <c r="B3998" t="s">
        <v>252</v>
      </c>
      <c r="C3998" t="str">
        <f>_xlfn.XLOOKUP(B3998,
[1]sales_teams!$A$2:$A$100,
[1]sales_teams!$B$2:$B$100)</f>
        <v>Melvin Marxen</v>
      </c>
      <c r="D3998" t="str">
        <f>_xlfn.XLOOKUP($B3998,sales_teams!$A$2:$A$36,sales_teams!C$2:C$36)</f>
        <v>Central</v>
      </c>
      <c r="E3998" t="s">
        <v>18</v>
      </c>
      <c r="F3998" t="s">
        <v>111</v>
      </c>
      <c r="G3998" t="s">
        <v>12</v>
      </c>
      <c r="H3998" s="1">
        <v>42904</v>
      </c>
      <c r="I3998" s="1">
        <v>42908</v>
      </c>
      <c r="J3998">
        <v>60</v>
      </c>
    </row>
    <row r="3999" spans="1:10" x14ac:dyDescent="0.3">
      <c r="A3999" t="s">
        <v>4130</v>
      </c>
      <c r="B3999" t="s">
        <v>78</v>
      </c>
      <c r="C3999" t="str">
        <f>_xlfn.XLOOKUP(B3999,
[1]sales_teams!$A$2:$A$100,
[1]sales_teams!$B$2:$B$100)</f>
        <v>Summer Sewald</v>
      </c>
      <c r="D3999" t="str">
        <f>_xlfn.XLOOKUP($B3999,sales_teams!$A$2:$A$36,sales_teams!C$2:C$36)</f>
        <v>West</v>
      </c>
      <c r="E3999" t="s">
        <v>20</v>
      </c>
      <c r="G3999" t="s">
        <v>40</v>
      </c>
      <c r="H3999" s="1">
        <v>42904</v>
      </c>
    </row>
    <row r="4000" spans="1:10" x14ac:dyDescent="0.3">
      <c r="A4000" t="s">
        <v>4131</v>
      </c>
      <c r="B4000" t="s">
        <v>78</v>
      </c>
      <c r="C4000" t="str">
        <f>_xlfn.XLOOKUP(B4000,
[1]sales_teams!$A$2:$A$100,
[1]sales_teams!$B$2:$B$100)</f>
        <v>Summer Sewald</v>
      </c>
      <c r="D4000" t="str">
        <f>_xlfn.XLOOKUP($B4000,sales_teams!$A$2:$A$36,sales_teams!C$2:C$36)</f>
        <v>West</v>
      </c>
      <c r="E4000" t="s">
        <v>20</v>
      </c>
      <c r="F4000" t="s">
        <v>184</v>
      </c>
      <c r="G4000" t="s">
        <v>12</v>
      </c>
      <c r="H4000" s="1">
        <v>42904</v>
      </c>
      <c r="I4000" s="1">
        <v>42908</v>
      </c>
      <c r="J4000">
        <v>551</v>
      </c>
    </row>
    <row r="4001" spans="1:10" x14ac:dyDescent="0.3">
      <c r="A4001" t="s">
        <v>4132</v>
      </c>
      <c r="B4001" t="s">
        <v>32</v>
      </c>
      <c r="C4001" t="str">
        <f>_xlfn.XLOOKUP(B4001,
[1]sales_teams!$A$2:$A$100,
[1]sales_teams!$B$2:$B$100)</f>
        <v>Celia Rouche</v>
      </c>
      <c r="D4001" t="str">
        <f>_xlfn.XLOOKUP($B4001,sales_teams!$A$2:$A$36,sales_teams!C$2:C$36)</f>
        <v>West</v>
      </c>
      <c r="E4001" t="s">
        <v>20</v>
      </c>
      <c r="F4001" t="s">
        <v>33</v>
      </c>
      <c r="G4001" t="s">
        <v>12</v>
      </c>
      <c r="H4001" s="1">
        <v>42904</v>
      </c>
      <c r="I4001" s="1">
        <v>43006</v>
      </c>
      <c r="J4001">
        <v>505</v>
      </c>
    </row>
    <row r="4002" spans="1:10" x14ac:dyDescent="0.3">
      <c r="A4002" t="s">
        <v>4133</v>
      </c>
      <c r="B4002" t="s">
        <v>116</v>
      </c>
      <c r="C4002" t="str">
        <f>_xlfn.XLOOKUP(B4002,
[1]sales_teams!$A$2:$A$100,
[1]sales_teams!$B$2:$B$100)</f>
        <v>Melvin Marxen</v>
      </c>
      <c r="D4002" t="str">
        <f>_xlfn.XLOOKUP($B4002,sales_teams!$A$2:$A$36,sales_teams!C$2:C$36)</f>
        <v>Central</v>
      </c>
      <c r="E4002" t="s">
        <v>20</v>
      </c>
      <c r="F4002" t="s">
        <v>76</v>
      </c>
      <c r="G4002" t="s">
        <v>46</v>
      </c>
      <c r="H4002" s="1">
        <v>42904</v>
      </c>
      <c r="I4002" s="1">
        <v>42981</v>
      </c>
      <c r="J4002">
        <v>0</v>
      </c>
    </row>
    <row r="4003" spans="1:10" x14ac:dyDescent="0.3">
      <c r="A4003" t="s">
        <v>4134</v>
      </c>
      <c r="B4003" t="s">
        <v>116</v>
      </c>
      <c r="C4003" t="str">
        <f>_xlfn.XLOOKUP(B4003,
[1]sales_teams!$A$2:$A$100,
[1]sales_teams!$B$2:$B$100)</f>
        <v>Melvin Marxen</v>
      </c>
      <c r="D4003" t="str">
        <f>_xlfn.XLOOKUP($B4003,sales_teams!$A$2:$A$36,sales_teams!C$2:C$36)</f>
        <v>Central</v>
      </c>
      <c r="E4003" t="s">
        <v>48</v>
      </c>
      <c r="F4003" t="s">
        <v>213</v>
      </c>
      <c r="G4003" t="s">
        <v>12</v>
      </c>
      <c r="H4003" s="1">
        <v>42904</v>
      </c>
      <c r="I4003" s="1">
        <v>42968</v>
      </c>
      <c r="J4003">
        <v>5472</v>
      </c>
    </row>
    <row r="4004" spans="1:10" x14ac:dyDescent="0.3">
      <c r="A4004" t="s">
        <v>4135</v>
      </c>
      <c r="B4004" t="s">
        <v>35</v>
      </c>
      <c r="C4004" t="str">
        <f>_xlfn.XLOOKUP(B4004,
[1]sales_teams!$A$2:$A$100,
[1]sales_teams!$B$2:$B$100)</f>
        <v>Melvin Marxen</v>
      </c>
      <c r="D4004" t="str">
        <f>_xlfn.XLOOKUP($B4004,sales_teams!$A$2:$A$36,sales_teams!C$2:C$36)</f>
        <v>Central</v>
      </c>
      <c r="E4004" t="s">
        <v>15</v>
      </c>
      <c r="F4004" t="s">
        <v>45</v>
      </c>
      <c r="G4004" t="s">
        <v>46</v>
      </c>
      <c r="H4004" s="1">
        <v>42904</v>
      </c>
      <c r="I4004" s="1">
        <v>42907</v>
      </c>
      <c r="J4004">
        <v>0</v>
      </c>
    </row>
    <row r="4005" spans="1:10" x14ac:dyDescent="0.3">
      <c r="A4005" t="s">
        <v>4136</v>
      </c>
      <c r="B4005" t="s">
        <v>29</v>
      </c>
      <c r="C4005" t="str">
        <f>_xlfn.XLOOKUP(B4005,
[1]sales_teams!$A$2:$A$100,
[1]sales_teams!$B$2:$B$100)</f>
        <v>Celia Rouche</v>
      </c>
      <c r="D4005" t="str">
        <f>_xlfn.XLOOKUP($B4005,sales_teams!$A$2:$A$36,sales_teams!C$2:C$36)</f>
        <v>West</v>
      </c>
      <c r="E4005" t="s">
        <v>20</v>
      </c>
      <c r="F4005" t="s">
        <v>70</v>
      </c>
      <c r="G4005" t="s">
        <v>46</v>
      </c>
      <c r="H4005" s="1">
        <v>42904</v>
      </c>
      <c r="I4005" s="1">
        <v>42976</v>
      </c>
      <c r="J4005">
        <v>0</v>
      </c>
    </row>
    <row r="4006" spans="1:10" x14ac:dyDescent="0.3">
      <c r="A4006" t="s">
        <v>4137</v>
      </c>
      <c r="B4006" t="s">
        <v>26</v>
      </c>
      <c r="C4006" t="str">
        <f>_xlfn.XLOOKUP(B4006,
[1]sales_teams!$A$2:$A$100,
[1]sales_teams!$B$2:$B$100)</f>
        <v>Dustin Brinkmann</v>
      </c>
      <c r="D4006" t="str">
        <f>_xlfn.XLOOKUP($B4006,sales_teams!$A$2:$A$36,sales_teams!C$2:C$36)</f>
        <v>Central</v>
      </c>
      <c r="E4006" t="s">
        <v>20</v>
      </c>
      <c r="F4006" t="s">
        <v>135</v>
      </c>
      <c r="G4006" t="s">
        <v>46</v>
      </c>
      <c r="H4006" s="1">
        <v>42905</v>
      </c>
      <c r="I4006" s="1">
        <v>42975</v>
      </c>
      <c r="J4006">
        <v>0</v>
      </c>
    </row>
    <row r="4007" spans="1:10" x14ac:dyDescent="0.3">
      <c r="A4007" t="s">
        <v>4138</v>
      </c>
      <c r="B4007" t="s">
        <v>26</v>
      </c>
      <c r="C4007" t="str">
        <f>_xlfn.XLOOKUP(B4007,
[1]sales_teams!$A$2:$A$100,
[1]sales_teams!$B$2:$B$100)</f>
        <v>Dustin Brinkmann</v>
      </c>
      <c r="D4007" t="str">
        <f>_xlfn.XLOOKUP($B4007,sales_teams!$A$2:$A$36,sales_teams!C$2:C$36)</f>
        <v>Central</v>
      </c>
      <c r="E4007" t="s">
        <v>48</v>
      </c>
      <c r="F4007" t="s">
        <v>315</v>
      </c>
      <c r="G4007" t="s">
        <v>12</v>
      </c>
      <c r="H4007" s="1">
        <v>42905</v>
      </c>
      <c r="I4007" s="1">
        <v>42971</v>
      </c>
      <c r="J4007">
        <v>5271</v>
      </c>
    </row>
    <row r="4008" spans="1:10" x14ac:dyDescent="0.3">
      <c r="A4008" t="s">
        <v>4139</v>
      </c>
      <c r="B4008" t="s">
        <v>139</v>
      </c>
      <c r="C4008" t="str">
        <f>_xlfn.XLOOKUP(B4008,
[1]sales_teams!$A$2:$A$100,
[1]sales_teams!$B$2:$B$100)</f>
        <v>Rocco Neubert</v>
      </c>
      <c r="D4008" t="str">
        <f>_xlfn.XLOOKUP($B4008,sales_teams!$A$2:$A$36,sales_teams!C$2:C$36)</f>
        <v>East</v>
      </c>
      <c r="E4008" t="s">
        <v>18</v>
      </c>
      <c r="F4008" t="s">
        <v>165</v>
      </c>
      <c r="G4008" t="s">
        <v>12</v>
      </c>
      <c r="H4008" s="1">
        <v>42905</v>
      </c>
      <c r="I4008" s="1">
        <v>42970</v>
      </c>
      <c r="J4008">
        <v>49</v>
      </c>
    </row>
    <row r="4009" spans="1:10" x14ac:dyDescent="0.3">
      <c r="A4009" t="s">
        <v>4140</v>
      </c>
      <c r="B4009" t="s">
        <v>118</v>
      </c>
      <c r="C4009" t="str">
        <f>_xlfn.XLOOKUP(B4009,
[1]sales_teams!$A$2:$A$100,
[1]sales_teams!$B$2:$B$100)</f>
        <v>Rocco Neubert</v>
      </c>
      <c r="D4009" t="str">
        <f>_xlfn.XLOOKUP($B4009,sales_teams!$A$2:$A$36,sales_teams!C$2:C$36)</f>
        <v>East</v>
      </c>
      <c r="E4009" t="s">
        <v>39</v>
      </c>
      <c r="F4009" t="s">
        <v>140</v>
      </c>
      <c r="G4009" t="s">
        <v>46</v>
      </c>
      <c r="H4009" s="1">
        <v>42905</v>
      </c>
      <c r="I4009" s="1">
        <v>42916</v>
      </c>
      <c r="J4009">
        <v>0</v>
      </c>
    </row>
    <row r="4010" spans="1:10" x14ac:dyDescent="0.3">
      <c r="A4010" t="s">
        <v>4141</v>
      </c>
      <c r="B4010" t="s">
        <v>164</v>
      </c>
      <c r="C4010" t="str">
        <f>_xlfn.XLOOKUP(B4010,
[1]sales_teams!$A$2:$A$100,
[1]sales_teams!$B$2:$B$100)</f>
        <v>Cara Losch</v>
      </c>
      <c r="D4010" t="str">
        <f>_xlfn.XLOOKUP($B4010,sales_teams!$A$2:$A$36,sales_teams!C$2:C$36)</f>
        <v>East</v>
      </c>
      <c r="E4010" t="s">
        <v>10</v>
      </c>
      <c r="G4010" t="s">
        <v>40</v>
      </c>
      <c r="H4010" s="1">
        <v>42905</v>
      </c>
    </row>
    <row r="4011" spans="1:10" x14ac:dyDescent="0.3">
      <c r="A4011" t="s">
        <v>4142</v>
      </c>
      <c r="B4011" t="s">
        <v>164</v>
      </c>
      <c r="C4011" t="str">
        <f>_xlfn.XLOOKUP(B4011,
[1]sales_teams!$A$2:$A$100,
[1]sales_teams!$B$2:$B$100)</f>
        <v>Cara Losch</v>
      </c>
      <c r="D4011" t="str">
        <f>_xlfn.XLOOKUP($B4011,sales_teams!$A$2:$A$36,sales_teams!C$2:C$36)</f>
        <v>East</v>
      </c>
      <c r="E4011" t="s">
        <v>10</v>
      </c>
      <c r="F4011" t="s">
        <v>240</v>
      </c>
      <c r="G4011" t="s">
        <v>12</v>
      </c>
      <c r="H4011" s="1">
        <v>42905</v>
      </c>
      <c r="I4011" s="1">
        <v>42999</v>
      </c>
      <c r="J4011">
        <v>1236</v>
      </c>
    </row>
    <row r="4012" spans="1:10" x14ac:dyDescent="0.3">
      <c r="A4012" t="s">
        <v>4143</v>
      </c>
      <c r="B4012" t="s">
        <v>64</v>
      </c>
      <c r="C4012" t="str">
        <f>_xlfn.XLOOKUP(B4012,
[1]sales_teams!$A$2:$A$100,
[1]sales_teams!$B$2:$B$100)</f>
        <v>Rocco Neubert</v>
      </c>
      <c r="D4012" t="str">
        <f>_xlfn.XLOOKUP($B4012,sales_teams!$A$2:$A$36,sales_teams!C$2:C$36)</f>
        <v>East</v>
      </c>
      <c r="E4012" t="s">
        <v>15</v>
      </c>
      <c r="F4012" t="s">
        <v>373</v>
      </c>
      <c r="G4012" t="s">
        <v>12</v>
      </c>
      <c r="H4012" s="1">
        <v>42905</v>
      </c>
      <c r="I4012" s="1">
        <v>42907</v>
      </c>
      <c r="J4012">
        <v>5388</v>
      </c>
    </row>
    <row r="4013" spans="1:10" x14ac:dyDescent="0.3">
      <c r="A4013" t="s">
        <v>4144</v>
      </c>
      <c r="B4013" t="s">
        <v>14</v>
      </c>
      <c r="C4013" t="str">
        <f>_xlfn.XLOOKUP(B4013,
[1]sales_teams!$A$2:$A$100,
[1]sales_teams!$B$2:$B$100)</f>
        <v>Melvin Marxen</v>
      </c>
      <c r="D4013" t="str">
        <f>_xlfn.XLOOKUP($B4013,sales_teams!$A$2:$A$36,sales_teams!C$2:C$36)</f>
        <v>Central</v>
      </c>
      <c r="E4013" t="s">
        <v>15</v>
      </c>
      <c r="F4013" t="s">
        <v>120</v>
      </c>
      <c r="G4013" t="s">
        <v>46</v>
      </c>
      <c r="H4013" s="1">
        <v>42905</v>
      </c>
      <c r="I4013" s="1">
        <v>42974</v>
      </c>
      <c r="J4013">
        <v>0</v>
      </c>
    </row>
    <row r="4014" spans="1:10" x14ac:dyDescent="0.3">
      <c r="A4014" t="s">
        <v>4145</v>
      </c>
      <c r="B4014" t="s">
        <v>14</v>
      </c>
      <c r="C4014" t="str">
        <f>_xlfn.XLOOKUP(B4014,
[1]sales_teams!$A$2:$A$100,
[1]sales_teams!$B$2:$B$100)</f>
        <v>Melvin Marxen</v>
      </c>
      <c r="D4014" t="str">
        <f>_xlfn.XLOOKUP($B4014,sales_teams!$A$2:$A$36,sales_teams!C$2:C$36)</f>
        <v>Central</v>
      </c>
      <c r="E4014" t="s">
        <v>15</v>
      </c>
      <c r="F4014" t="s">
        <v>135</v>
      </c>
      <c r="G4014" t="s">
        <v>12</v>
      </c>
      <c r="H4014" s="1">
        <v>42905</v>
      </c>
      <c r="I4014" s="1">
        <v>43004</v>
      </c>
      <c r="J4014">
        <v>5449</v>
      </c>
    </row>
    <row r="4015" spans="1:10" x14ac:dyDescent="0.3">
      <c r="A4015" t="s">
        <v>4146</v>
      </c>
      <c r="B4015" t="s">
        <v>14</v>
      </c>
      <c r="C4015" t="str">
        <f>_xlfn.XLOOKUP(B4015,
[1]sales_teams!$A$2:$A$100,
[1]sales_teams!$B$2:$B$100)</f>
        <v>Melvin Marxen</v>
      </c>
      <c r="D4015" t="str">
        <f>_xlfn.XLOOKUP($B4015,sales_teams!$A$2:$A$36,sales_teams!C$2:C$36)</f>
        <v>Central</v>
      </c>
      <c r="E4015" t="s">
        <v>15</v>
      </c>
      <c r="F4015" t="s">
        <v>135</v>
      </c>
      <c r="G4015" t="s">
        <v>12</v>
      </c>
      <c r="H4015" s="1">
        <v>42905</v>
      </c>
      <c r="I4015" s="1">
        <v>42911</v>
      </c>
      <c r="J4015">
        <v>5030</v>
      </c>
    </row>
    <row r="4016" spans="1:10" x14ac:dyDescent="0.3">
      <c r="A4016" t="s">
        <v>4147</v>
      </c>
      <c r="B4016" t="s">
        <v>14</v>
      </c>
      <c r="C4016" t="str">
        <f>_xlfn.XLOOKUP(B4016,
[1]sales_teams!$A$2:$A$100,
[1]sales_teams!$B$2:$B$100)</f>
        <v>Melvin Marxen</v>
      </c>
      <c r="D4016" t="str">
        <f>_xlfn.XLOOKUP($B4016,sales_teams!$A$2:$A$36,sales_teams!C$2:C$36)</f>
        <v>Central</v>
      </c>
      <c r="E4016" t="s">
        <v>15</v>
      </c>
      <c r="F4016" t="s">
        <v>315</v>
      </c>
      <c r="G4016" t="s">
        <v>12</v>
      </c>
      <c r="H4016" s="1">
        <v>42905</v>
      </c>
      <c r="I4016" s="1">
        <v>42969</v>
      </c>
      <c r="J4016">
        <v>5195</v>
      </c>
    </row>
    <row r="4017" spans="1:10" x14ac:dyDescent="0.3">
      <c r="A4017" t="s">
        <v>4148</v>
      </c>
      <c r="B4017" t="s">
        <v>54</v>
      </c>
      <c r="C4017" t="str">
        <f>_xlfn.XLOOKUP(B4017,
[1]sales_teams!$A$2:$A$100,
[1]sales_teams!$B$2:$B$100)</f>
        <v>Celia Rouche</v>
      </c>
      <c r="D4017" t="str">
        <f>_xlfn.XLOOKUP($B4017,sales_teams!$A$2:$A$36,sales_teams!C$2:C$36)</f>
        <v>West</v>
      </c>
      <c r="E4017" t="s">
        <v>18</v>
      </c>
      <c r="F4017" t="s">
        <v>218</v>
      </c>
      <c r="G4017" t="s">
        <v>12</v>
      </c>
      <c r="H4017" s="1">
        <v>42905</v>
      </c>
      <c r="I4017" s="1">
        <v>42911</v>
      </c>
      <c r="J4017">
        <v>55</v>
      </c>
    </row>
    <row r="4018" spans="1:10" x14ac:dyDescent="0.3">
      <c r="A4018" t="s">
        <v>4149</v>
      </c>
      <c r="B4018" t="s">
        <v>54</v>
      </c>
      <c r="C4018" t="str">
        <f>_xlfn.XLOOKUP(B4018,
[1]sales_teams!$A$2:$A$100,
[1]sales_teams!$B$2:$B$100)</f>
        <v>Celia Rouche</v>
      </c>
      <c r="D4018" t="str">
        <f>_xlfn.XLOOKUP($B4018,sales_teams!$A$2:$A$36,sales_teams!C$2:C$36)</f>
        <v>West</v>
      </c>
      <c r="E4018" t="s">
        <v>18</v>
      </c>
      <c r="F4018" t="s">
        <v>70</v>
      </c>
      <c r="G4018" t="s">
        <v>12</v>
      </c>
      <c r="H4018" s="1">
        <v>42905</v>
      </c>
      <c r="I4018" s="1">
        <v>43007</v>
      </c>
      <c r="J4018">
        <v>62</v>
      </c>
    </row>
    <row r="4019" spans="1:10" x14ac:dyDescent="0.3">
      <c r="A4019" t="s">
        <v>4150</v>
      </c>
      <c r="B4019" t="s">
        <v>38</v>
      </c>
      <c r="C4019" t="str">
        <f>_xlfn.XLOOKUP(B4019,
[1]sales_teams!$A$2:$A$100,
[1]sales_teams!$B$2:$B$100)</f>
        <v>Summer Sewald</v>
      </c>
      <c r="D4019" t="str">
        <f>_xlfn.XLOOKUP($B4019,sales_teams!$A$2:$A$36,sales_teams!C$2:C$36)</f>
        <v>West</v>
      </c>
      <c r="E4019" t="s">
        <v>20</v>
      </c>
      <c r="F4019" t="s">
        <v>49</v>
      </c>
      <c r="G4019" t="s">
        <v>12</v>
      </c>
      <c r="H4019" s="1">
        <v>42905</v>
      </c>
      <c r="I4019" s="1">
        <v>42966</v>
      </c>
      <c r="J4019">
        <v>459</v>
      </c>
    </row>
    <row r="4020" spans="1:10" x14ac:dyDescent="0.3">
      <c r="A4020" t="s">
        <v>4151</v>
      </c>
      <c r="B4020" t="s">
        <v>78</v>
      </c>
      <c r="C4020" t="str">
        <f>_xlfn.XLOOKUP(B4020,
[1]sales_teams!$A$2:$A$100,
[1]sales_teams!$B$2:$B$100)</f>
        <v>Summer Sewald</v>
      </c>
      <c r="D4020" t="str">
        <f>_xlfn.XLOOKUP($B4020,sales_teams!$A$2:$A$36,sales_teams!C$2:C$36)</f>
        <v>West</v>
      </c>
      <c r="E4020" t="s">
        <v>20</v>
      </c>
      <c r="F4020" t="s">
        <v>159</v>
      </c>
      <c r="G4020" t="s">
        <v>46</v>
      </c>
      <c r="H4020" s="1">
        <v>42905</v>
      </c>
      <c r="I4020" s="1">
        <v>42972</v>
      </c>
      <c r="J4020">
        <v>0</v>
      </c>
    </row>
    <row r="4021" spans="1:10" x14ac:dyDescent="0.3">
      <c r="A4021" t="s">
        <v>4152</v>
      </c>
      <c r="B4021" t="s">
        <v>78</v>
      </c>
      <c r="C4021" t="str">
        <f>_xlfn.XLOOKUP(B4021,
[1]sales_teams!$A$2:$A$100,
[1]sales_teams!$B$2:$B$100)</f>
        <v>Summer Sewald</v>
      </c>
      <c r="D4021" t="str">
        <f>_xlfn.XLOOKUP($B4021,sales_teams!$A$2:$A$36,sales_teams!C$2:C$36)</f>
        <v>West</v>
      </c>
      <c r="E4021" t="s">
        <v>10</v>
      </c>
      <c r="F4021" t="s">
        <v>159</v>
      </c>
      <c r="G4021" t="s">
        <v>12</v>
      </c>
      <c r="H4021" s="1">
        <v>42905</v>
      </c>
      <c r="I4021" s="1">
        <v>42954</v>
      </c>
      <c r="J4021">
        <v>1097</v>
      </c>
    </row>
    <row r="4022" spans="1:10" x14ac:dyDescent="0.3">
      <c r="A4022" t="s">
        <v>4153</v>
      </c>
      <c r="B4022" t="s">
        <v>78</v>
      </c>
      <c r="C4022" t="str">
        <f>_xlfn.XLOOKUP(B4022,
[1]sales_teams!$A$2:$A$100,
[1]sales_teams!$B$2:$B$100)</f>
        <v>Summer Sewald</v>
      </c>
      <c r="D4022" t="str">
        <f>_xlfn.XLOOKUP($B4022,sales_teams!$A$2:$A$36,sales_teams!C$2:C$36)</f>
        <v>West</v>
      </c>
      <c r="E4022" t="s">
        <v>48</v>
      </c>
      <c r="F4022" t="s">
        <v>124</v>
      </c>
      <c r="G4022" t="s">
        <v>12</v>
      </c>
      <c r="H4022" s="1">
        <v>42905</v>
      </c>
      <c r="I4022" s="1">
        <v>43007</v>
      </c>
      <c r="J4022">
        <v>5033</v>
      </c>
    </row>
    <row r="4023" spans="1:10" x14ac:dyDescent="0.3">
      <c r="A4023" t="s">
        <v>4154</v>
      </c>
      <c r="B4023" t="s">
        <v>95</v>
      </c>
      <c r="C4023" t="str">
        <f>_xlfn.XLOOKUP(B4023,
[1]sales_teams!$A$2:$A$100,
[1]sales_teams!$B$2:$B$100)</f>
        <v>Summer Sewald</v>
      </c>
      <c r="D4023" t="str">
        <f>_xlfn.XLOOKUP($B4023,sales_teams!$A$2:$A$36,sales_teams!C$2:C$36)</f>
        <v>West</v>
      </c>
      <c r="E4023" t="s">
        <v>10</v>
      </c>
      <c r="G4023" t="s">
        <v>40</v>
      </c>
      <c r="H4023" s="1">
        <v>42905</v>
      </c>
    </row>
    <row r="4024" spans="1:10" x14ac:dyDescent="0.3">
      <c r="A4024" t="s">
        <v>4155</v>
      </c>
      <c r="B4024" t="s">
        <v>95</v>
      </c>
      <c r="C4024" t="str">
        <f>_xlfn.XLOOKUP(B4024,
[1]sales_teams!$A$2:$A$100,
[1]sales_teams!$B$2:$B$100)</f>
        <v>Summer Sewald</v>
      </c>
      <c r="D4024" t="str">
        <f>_xlfn.XLOOKUP($B4024,sales_teams!$A$2:$A$36,sales_teams!C$2:C$36)</f>
        <v>West</v>
      </c>
      <c r="E4024" t="s">
        <v>15</v>
      </c>
      <c r="F4024" t="s">
        <v>313</v>
      </c>
      <c r="G4024" t="s">
        <v>12</v>
      </c>
      <c r="H4024" s="1">
        <v>42905</v>
      </c>
      <c r="I4024" s="1">
        <v>43000</v>
      </c>
      <c r="J4024">
        <v>4966</v>
      </c>
    </row>
    <row r="4025" spans="1:10" x14ac:dyDescent="0.3">
      <c r="A4025" t="s">
        <v>4156</v>
      </c>
      <c r="B4025" t="s">
        <v>95</v>
      </c>
      <c r="C4025" t="str">
        <f>_xlfn.XLOOKUP(B4025,
[1]sales_teams!$A$2:$A$100,
[1]sales_teams!$B$2:$B$100)</f>
        <v>Summer Sewald</v>
      </c>
      <c r="D4025" t="str">
        <f>_xlfn.XLOOKUP($B4025,sales_teams!$A$2:$A$36,sales_teams!C$2:C$36)</f>
        <v>West</v>
      </c>
      <c r="E4025" t="s">
        <v>18</v>
      </c>
      <c r="F4025" t="s">
        <v>55</v>
      </c>
      <c r="G4025" t="s">
        <v>12</v>
      </c>
      <c r="H4025" s="1">
        <v>42905</v>
      </c>
      <c r="I4025" s="1">
        <v>42910</v>
      </c>
      <c r="J4025">
        <v>52</v>
      </c>
    </row>
    <row r="4026" spans="1:10" x14ac:dyDescent="0.3">
      <c r="A4026" t="s">
        <v>4157</v>
      </c>
      <c r="B4026" t="s">
        <v>32</v>
      </c>
      <c r="C4026" t="str">
        <f>_xlfn.XLOOKUP(B4026,
[1]sales_teams!$A$2:$A$100,
[1]sales_teams!$B$2:$B$100)</f>
        <v>Celia Rouche</v>
      </c>
      <c r="D4026" t="str">
        <f>_xlfn.XLOOKUP($B4026,sales_teams!$A$2:$A$36,sales_teams!C$2:C$36)</f>
        <v>West</v>
      </c>
      <c r="E4026" t="s">
        <v>18</v>
      </c>
      <c r="F4026" t="s">
        <v>224</v>
      </c>
      <c r="G4026" t="s">
        <v>12</v>
      </c>
      <c r="H4026" s="1">
        <v>42905</v>
      </c>
      <c r="I4026" s="1">
        <v>42913</v>
      </c>
      <c r="J4026">
        <v>54</v>
      </c>
    </row>
    <row r="4027" spans="1:10" x14ac:dyDescent="0.3">
      <c r="A4027" t="s">
        <v>4158</v>
      </c>
      <c r="B4027" t="s">
        <v>51</v>
      </c>
      <c r="C4027" t="str">
        <f>_xlfn.XLOOKUP(B4027,
[1]sales_teams!$A$2:$A$100,
[1]sales_teams!$B$2:$B$100)</f>
        <v>Summer Sewald</v>
      </c>
      <c r="D4027" t="str">
        <f>_xlfn.XLOOKUP($B4027,sales_teams!$A$2:$A$36,sales_teams!C$2:C$36)</f>
        <v>West</v>
      </c>
      <c r="E4027" t="s">
        <v>15</v>
      </c>
      <c r="G4027" t="s">
        <v>40</v>
      </c>
      <c r="H4027" s="1">
        <v>42905</v>
      </c>
    </row>
    <row r="4028" spans="1:10" x14ac:dyDescent="0.3">
      <c r="A4028" t="s">
        <v>4159</v>
      </c>
      <c r="B4028" t="s">
        <v>51</v>
      </c>
      <c r="C4028" t="str">
        <f>_xlfn.XLOOKUP(B4028,
[1]sales_teams!$A$2:$A$100,
[1]sales_teams!$B$2:$B$100)</f>
        <v>Summer Sewald</v>
      </c>
      <c r="D4028" t="str">
        <f>_xlfn.XLOOKUP($B4028,sales_teams!$A$2:$A$36,sales_teams!C$2:C$36)</f>
        <v>West</v>
      </c>
      <c r="E4028" t="s">
        <v>48</v>
      </c>
      <c r="F4028" t="s">
        <v>52</v>
      </c>
      <c r="G4028" t="s">
        <v>12</v>
      </c>
      <c r="H4028" s="1">
        <v>42905</v>
      </c>
      <c r="I4028" s="1">
        <v>42990</v>
      </c>
      <c r="J4028">
        <v>5816</v>
      </c>
    </row>
    <row r="4029" spans="1:10" x14ac:dyDescent="0.3">
      <c r="A4029" t="s">
        <v>4160</v>
      </c>
      <c r="B4029" t="s">
        <v>51</v>
      </c>
      <c r="C4029" t="str">
        <f>_xlfn.XLOOKUP(B4029,
[1]sales_teams!$A$2:$A$100,
[1]sales_teams!$B$2:$B$100)</f>
        <v>Summer Sewald</v>
      </c>
      <c r="D4029" t="str">
        <f>_xlfn.XLOOKUP($B4029,sales_teams!$A$2:$A$36,sales_teams!C$2:C$36)</f>
        <v>West</v>
      </c>
      <c r="E4029" t="s">
        <v>18</v>
      </c>
      <c r="F4029" t="s">
        <v>218</v>
      </c>
      <c r="G4029" t="s">
        <v>12</v>
      </c>
      <c r="H4029" s="1">
        <v>42905</v>
      </c>
      <c r="I4029" s="1">
        <v>42981</v>
      </c>
      <c r="J4029">
        <v>53</v>
      </c>
    </row>
    <row r="4030" spans="1:10" x14ac:dyDescent="0.3">
      <c r="A4030" t="s">
        <v>4161</v>
      </c>
      <c r="B4030" t="s">
        <v>51</v>
      </c>
      <c r="C4030" t="str">
        <f>_xlfn.XLOOKUP(B4030,
[1]sales_teams!$A$2:$A$100,
[1]sales_teams!$B$2:$B$100)</f>
        <v>Summer Sewald</v>
      </c>
      <c r="D4030" t="str">
        <f>_xlfn.XLOOKUP($B4030,sales_teams!$A$2:$A$36,sales_teams!C$2:C$36)</f>
        <v>West</v>
      </c>
      <c r="E4030" t="s">
        <v>39</v>
      </c>
      <c r="F4030" t="s">
        <v>124</v>
      </c>
      <c r="G4030" t="s">
        <v>12</v>
      </c>
      <c r="H4030" s="1">
        <v>42905</v>
      </c>
      <c r="I4030" s="1">
        <v>42962</v>
      </c>
      <c r="J4030">
        <v>3994</v>
      </c>
    </row>
    <row r="4031" spans="1:10" x14ac:dyDescent="0.3">
      <c r="A4031" t="s">
        <v>4162</v>
      </c>
      <c r="B4031" t="s">
        <v>9</v>
      </c>
      <c r="C4031" t="str">
        <f>_xlfn.XLOOKUP(B4031,
[1]sales_teams!$A$2:$A$100,
[1]sales_teams!$B$2:$B$100)</f>
        <v>Dustin Brinkmann</v>
      </c>
      <c r="D4031" t="str">
        <f>_xlfn.XLOOKUP($B4031,sales_teams!$A$2:$A$36,sales_teams!C$2:C$36)</f>
        <v>Central</v>
      </c>
      <c r="E4031" t="s">
        <v>48</v>
      </c>
      <c r="F4031" t="s">
        <v>76</v>
      </c>
      <c r="G4031" t="s">
        <v>46</v>
      </c>
      <c r="H4031" s="1">
        <v>42905</v>
      </c>
      <c r="I4031" s="1">
        <v>42914</v>
      </c>
      <c r="J4031">
        <v>0</v>
      </c>
    </row>
    <row r="4032" spans="1:10" x14ac:dyDescent="0.3">
      <c r="A4032" t="s">
        <v>4163</v>
      </c>
      <c r="B4032" t="s">
        <v>9</v>
      </c>
      <c r="C4032" t="str">
        <f>_xlfn.XLOOKUP(B4032,
[1]sales_teams!$A$2:$A$100,
[1]sales_teams!$B$2:$B$100)</f>
        <v>Dustin Brinkmann</v>
      </c>
      <c r="D4032" t="str">
        <f>_xlfn.XLOOKUP($B4032,sales_teams!$A$2:$A$36,sales_teams!C$2:C$36)</f>
        <v>Central</v>
      </c>
      <c r="E4032" t="s">
        <v>18</v>
      </c>
      <c r="F4032" t="s">
        <v>187</v>
      </c>
      <c r="G4032" t="s">
        <v>12</v>
      </c>
      <c r="H4032" s="1">
        <v>42905</v>
      </c>
      <c r="I4032" s="1">
        <v>42982</v>
      </c>
      <c r="J4032">
        <v>57</v>
      </c>
    </row>
    <row r="4033" spans="1:10" x14ac:dyDescent="0.3">
      <c r="A4033" t="s">
        <v>4164</v>
      </c>
      <c r="B4033" t="s">
        <v>97</v>
      </c>
      <c r="C4033" t="str">
        <f>_xlfn.XLOOKUP(B4033,
[1]sales_teams!$A$2:$A$100,
[1]sales_teams!$B$2:$B$100)</f>
        <v>Rocco Neubert</v>
      </c>
      <c r="D4033" t="str">
        <f>_xlfn.XLOOKUP($B4033,sales_teams!$A$2:$A$36,sales_teams!C$2:C$36)</f>
        <v>East</v>
      </c>
      <c r="E4033" t="s">
        <v>18</v>
      </c>
      <c r="F4033" t="s">
        <v>218</v>
      </c>
      <c r="G4033" t="s">
        <v>46</v>
      </c>
      <c r="H4033" s="1">
        <v>42905</v>
      </c>
      <c r="I4033" s="1">
        <v>42918</v>
      </c>
      <c r="J4033">
        <v>0</v>
      </c>
    </row>
    <row r="4034" spans="1:10" x14ac:dyDescent="0.3">
      <c r="A4034" t="s">
        <v>4165</v>
      </c>
      <c r="B4034" t="s">
        <v>57</v>
      </c>
      <c r="C4034" t="str">
        <f>_xlfn.XLOOKUP(B4034,
[1]sales_teams!$A$2:$A$100,
[1]sales_teams!$B$2:$B$100)</f>
        <v>Celia Rouche</v>
      </c>
      <c r="D4034" t="str">
        <f>_xlfn.XLOOKUP($B4034,sales_teams!$A$2:$A$36,sales_teams!C$2:C$36)</f>
        <v>West</v>
      </c>
      <c r="E4034" t="s">
        <v>39</v>
      </c>
      <c r="F4034" t="s">
        <v>59</v>
      </c>
      <c r="G4034" t="s">
        <v>12</v>
      </c>
      <c r="H4034" s="1">
        <v>42905</v>
      </c>
      <c r="I4034" s="1">
        <v>42952</v>
      </c>
      <c r="J4034">
        <v>3752</v>
      </c>
    </row>
    <row r="4035" spans="1:10" x14ac:dyDescent="0.3">
      <c r="A4035" t="s">
        <v>4166</v>
      </c>
      <c r="B4035" t="s">
        <v>88</v>
      </c>
      <c r="C4035" t="str">
        <f>_xlfn.XLOOKUP(B4035,
[1]sales_teams!$A$2:$A$100,
[1]sales_teams!$B$2:$B$100)</f>
        <v>Cara Losch</v>
      </c>
      <c r="D4035" t="str">
        <f>_xlfn.XLOOKUP($B4035,sales_teams!$A$2:$A$36,sales_teams!C$2:C$36)</f>
        <v>East</v>
      </c>
      <c r="E4035" t="s">
        <v>15</v>
      </c>
      <c r="F4035" t="s">
        <v>218</v>
      </c>
      <c r="G4035" t="s">
        <v>12</v>
      </c>
      <c r="H4035" s="1">
        <v>42905</v>
      </c>
      <c r="I4035" s="1">
        <v>42999</v>
      </c>
      <c r="J4035">
        <v>4759</v>
      </c>
    </row>
    <row r="4036" spans="1:10" x14ac:dyDescent="0.3">
      <c r="A4036" t="s">
        <v>4167</v>
      </c>
      <c r="B4036" t="s">
        <v>61</v>
      </c>
      <c r="C4036" t="str">
        <f>_xlfn.XLOOKUP(B4036,
[1]sales_teams!$A$2:$A$100,
[1]sales_teams!$B$2:$B$100)</f>
        <v>Dustin Brinkmann</v>
      </c>
      <c r="D4036" t="str">
        <f>_xlfn.XLOOKUP($B4036,sales_teams!$A$2:$A$36,sales_teams!C$2:C$36)</f>
        <v>Central</v>
      </c>
      <c r="E4036" t="s">
        <v>20</v>
      </c>
      <c r="F4036" t="s">
        <v>187</v>
      </c>
      <c r="G4036" t="s">
        <v>12</v>
      </c>
      <c r="H4036" s="1">
        <v>42905</v>
      </c>
      <c r="I4036" s="1">
        <v>42971</v>
      </c>
      <c r="J4036">
        <v>555</v>
      </c>
    </row>
    <row r="4037" spans="1:10" x14ac:dyDescent="0.3">
      <c r="A4037" t="s">
        <v>4168</v>
      </c>
      <c r="B4037" t="s">
        <v>73</v>
      </c>
      <c r="C4037" t="str">
        <f>_xlfn.XLOOKUP(B4037,
[1]sales_teams!$A$2:$A$100,
[1]sales_teams!$B$2:$B$100)</f>
        <v>Cara Losch</v>
      </c>
      <c r="D4037" t="str">
        <f>_xlfn.XLOOKUP($B4037,sales_teams!$A$2:$A$36,sales_teams!C$2:C$36)</f>
        <v>East</v>
      </c>
      <c r="E4037" t="s">
        <v>20</v>
      </c>
      <c r="F4037" t="s">
        <v>189</v>
      </c>
      <c r="G4037" t="s">
        <v>46</v>
      </c>
      <c r="H4037" s="1">
        <v>42905</v>
      </c>
      <c r="I4037" s="1">
        <v>42910</v>
      </c>
      <c r="J4037">
        <v>0</v>
      </c>
    </row>
    <row r="4038" spans="1:10" x14ac:dyDescent="0.3">
      <c r="A4038" t="s">
        <v>4169</v>
      </c>
      <c r="B4038" t="s">
        <v>23</v>
      </c>
      <c r="C4038" t="str">
        <f>_xlfn.XLOOKUP(B4038,
[1]sales_teams!$A$2:$A$100,
[1]sales_teams!$B$2:$B$100)</f>
        <v>Summer Sewald</v>
      </c>
      <c r="D4038" t="str">
        <f>_xlfn.XLOOKUP($B4038,sales_teams!$A$2:$A$36,sales_teams!C$2:C$36)</f>
        <v>West</v>
      </c>
      <c r="E4038" t="s">
        <v>20</v>
      </c>
      <c r="G4038" t="s">
        <v>40</v>
      </c>
      <c r="H4038" s="1">
        <v>42905</v>
      </c>
    </row>
    <row r="4039" spans="1:10" x14ac:dyDescent="0.3">
      <c r="A4039" t="s">
        <v>4170</v>
      </c>
      <c r="B4039" t="s">
        <v>23</v>
      </c>
      <c r="C4039" t="str">
        <f>_xlfn.XLOOKUP(B4039,
[1]sales_teams!$A$2:$A$100,
[1]sales_teams!$B$2:$B$100)</f>
        <v>Summer Sewald</v>
      </c>
      <c r="D4039" t="str">
        <f>_xlfn.XLOOKUP($B4039,sales_teams!$A$2:$A$36,sales_teams!C$2:C$36)</f>
        <v>West</v>
      </c>
      <c r="E4039" t="s">
        <v>10</v>
      </c>
      <c r="F4039" t="s">
        <v>199</v>
      </c>
      <c r="G4039" t="s">
        <v>12</v>
      </c>
      <c r="H4039" s="1">
        <v>42905</v>
      </c>
      <c r="I4039" s="1">
        <v>42998</v>
      </c>
      <c r="J4039">
        <v>1213</v>
      </c>
    </row>
    <row r="4040" spans="1:10" x14ac:dyDescent="0.3">
      <c r="A4040" t="s">
        <v>4171</v>
      </c>
      <c r="B4040" t="s">
        <v>23</v>
      </c>
      <c r="C4040" t="str">
        <f>_xlfn.XLOOKUP(B4040,
[1]sales_teams!$A$2:$A$100,
[1]sales_teams!$B$2:$B$100)</f>
        <v>Summer Sewald</v>
      </c>
      <c r="D4040" t="str">
        <f>_xlfn.XLOOKUP($B4040,sales_teams!$A$2:$A$36,sales_teams!C$2:C$36)</f>
        <v>West</v>
      </c>
      <c r="E4040" t="s">
        <v>15</v>
      </c>
      <c r="F4040" t="s">
        <v>52</v>
      </c>
      <c r="G4040" t="s">
        <v>12</v>
      </c>
      <c r="H4040" s="1">
        <v>42905</v>
      </c>
      <c r="I4040" s="1">
        <v>42986</v>
      </c>
      <c r="J4040">
        <v>4428</v>
      </c>
    </row>
    <row r="4041" spans="1:10" x14ac:dyDescent="0.3">
      <c r="A4041" t="s">
        <v>4172</v>
      </c>
      <c r="B4041" t="s">
        <v>139</v>
      </c>
      <c r="C4041" t="str">
        <f>_xlfn.XLOOKUP(B4041,
[1]sales_teams!$A$2:$A$100,
[1]sales_teams!$B$2:$B$100)</f>
        <v>Rocco Neubert</v>
      </c>
      <c r="D4041" t="str">
        <f>_xlfn.XLOOKUP($B4041,sales_teams!$A$2:$A$36,sales_teams!C$2:C$36)</f>
        <v>East</v>
      </c>
      <c r="E4041" t="s">
        <v>48</v>
      </c>
      <c r="F4041" t="s">
        <v>65</v>
      </c>
      <c r="G4041" t="s">
        <v>46</v>
      </c>
      <c r="H4041" s="1">
        <v>42906</v>
      </c>
      <c r="I4041" s="1">
        <v>42918</v>
      </c>
      <c r="J4041">
        <v>0</v>
      </c>
    </row>
    <row r="4042" spans="1:10" x14ac:dyDescent="0.3">
      <c r="A4042" t="s">
        <v>4173</v>
      </c>
      <c r="B4042" t="s">
        <v>118</v>
      </c>
      <c r="C4042" t="str">
        <f>_xlfn.XLOOKUP(B4042,
[1]sales_teams!$A$2:$A$100,
[1]sales_teams!$B$2:$B$100)</f>
        <v>Rocco Neubert</v>
      </c>
      <c r="D4042" t="str">
        <f>_xlfn.XLOOKUP($B4042,sales_teams!$A$2:$A$36,sales_teams!C$2:C$36)</f>
        <v>East</v>
      </c>
      <c r="E4042" t="s">
        <v>48</v>
      </c>
      <c r="F4042" t="s">
        <v>218</v>
      </c>
      <c r="G4042" t="s">
        <v>40</v>
      </c>
      <c r="H4042" s="1">
        <v>42906</v>
      </c>
    </row>
    <row r="4043" spans="1:10" x14ac:dyDescent="0.3">
      <c r="A4043" t="s">
        <v>4174</v>
      </c>
      <c r="B4043" t="s">
        <v>118</v>
      </c>
      <c r="C4043" t="str">
        <f>_xlfn.XLOOKUP(B4043,
[1]sales_teams!$A$2:$A$100,
[1]sales_teams!$B$2:$B$100)</f>
        <v>Rocco Neubert</v>
      </c>
      <c r="D4043" t="str">
        <f>_xlfn.XLOOKUP($B4043,sales_teams!$A$2:$A$36,sales_teams!C$2:C$36)</f>
        <v>East</v>
      </c>
      <c r="E4043" t="s">
        <v>15</v>
      </c>
      <c r="F4043" t="s">
        <v>199</v>
      </c>
      <c r="G4043" t="s">
        <v>46</v>
      </c>
      <c r="H4043" s="1">
        <v>42906</v>
      </c>
      <c r="I4043" s="1">
        <v>42955</v>
      </c>
      <c r="J4043">
        <v>0</v>
      </c>
    </row>
    <row r="4044" spans="1:10" x14ac:dyDescent="0.3">
      <c r="A4044" t="s">
        <v>4175</v>
      </c>
      <c r="B4044" t="s">
        <v>202</v>
      </c>
      <c r="C4044" t="str">
        <f>_xlfn.XLOOKUP(B4044,
[1]sales_teams!$A$2:$A$100,
[1]sales_teams!$B$2:$B$100)</f>
        <v>Dustin Brinkmann</v>
      </c>
      <c r="D4044" t="str">
        <f>_xlfn.XLOOKUP($B4044,sales_teams!$A$2:$A$36,sales_teams!C$2:C$36)</f>
        <v>Central</v>
      </c>
      <c r="E4044" t="s">
        <v>48</v>
      </c>
      <c r="F4044" t="s">
        <v>492</v>
      </c>
      <c r="G4044" t="s">
        <v>46</v>
      </c>
      <c r="H4044" s="1">
        <v>42906</v>
      </c>
      <c r="I4044" s="1">
        <v>42913</v>
      </c>
      <c r="J4044">
        <v>0</v>
      </c>
    </row>
    <row r="4045" spans="1:10" x14ac:dyDescent="0.3">
      <c r="A4045" t="s">
        <v>4176</v>
      </c>
      <c r="B4045" t="s">
        <v>164</v>
      </c>
      <c r="C4045" t="str">
        <f>_xlfn.XLOOKUP(B4045,
[1]sales_teams!$A$2:$A$100,
[1]sales_teams!$B$2:$B$100)</f>
        <v>Cara Losch</v>
      </c>
      <c r="D4045" t="str">
        <f>_xlfn.XLOOKUP($B4045,sales_teams!$A$2:$A$36,sales_teams!C$2:C$36)</f>
        <v>East</v>
      </c>
      <c r="E4045" t="s">
        <v>20</v>
      </c>
      <c r="F4045" t="s">
        <v>65</v>
      </c>
      <c r="G4045" t="s">
        <v>46</v>
      </c>
      <c r="H4045" s="1">
        <v>42906</v>
      </c>
      <c r="I4045" s="1">
        <v>42999</v>
      </c>
      <c r="J4045">
        <v>0</v>
      </c>
    </row>
    <row r="4046" spans="1:10" x14ac:dyDescent="0.3">
      <c r="A4046" t="s">
        <v>4177</v>
      </c>
      <c r="B4046" t="s">
        <v>64</v>
      </c>
      <c r="C4046" t="str">
        <f>_xlfn.XLOOKUP(B4046,
[1]sales_teams!$A$2:$A$100,
[1]sales_teams!$B$2:$B$100)</f>
        <v>Rocco Neubert</v>
      </c>
      <c r="D4046" t="str">
        <f>_xlfn.XLOOKUP($B4046,sales_teams!$A$2:$A$36,sales_teams!C$2:C$36)</f>
        <v>East</v>
      </c>
      <c r="E4046" t="s">
        <v>15</v>
      </c>
      <c r="F4046" t="s">
        <v>518</v>
      </c>
      <c r="G4046" t="s">
        <v>46</v>
      </c>
      <c r="H4046" s="1">
        <v>42906</v>
      </c>
      <c r="I4046" s="1">
        <v>42911</v>
      </c>
      <c r="J4046">
        <v>0</v>
      </c>
    </row>
    <row r="4047" spans="1:10" x14ac:dyDescent="0.3">
      <c r="A4047" t="s">
        <v>4178</v>
      </c>
      <c r="B4047" t="s">
        <v>64</v>
      </c>
      <c r="C4047" t="str">
        <f>_xlfn.XLOOKUP(B4047,
[1]sales_teams!$A$2:$A$100,
[1]sales_teams!$B$2:$B$100)</f>
        <v>Rocco Neubert</v>
      </c>
      <c r="D4047" t="str">
        <f>_xlfn.XLOOKUP($B4047,sales_teams!$A$2:$A$36,sales_teams!C$2:C$36)</f>
        <v>East</v>
      </c>
      <c r="E4047" t="s">
        <v>18</v>
      </c>
      <c r="F4047" t="s">
        <v>155</v>
      </c>
      <c r="G4047" t="s">
        <v>12</v>
      </c>
      <c r="H4047" s="1">
        <v>42906</v>
      </c>
      <c r="I4047" s="1">
        <v>42972</v>
      </c>
      <c r="J4047">
        <v>62</v>
      </c>
    </row>
    <row r="4048" spans="1:10" x14ac:dyDescent="0.3">
      <c r="A4048" t="s">
        <v>4179</v>
      </c>
      <c r="B4048" t="s">
        <v>14</v>
      </c>
      <c r="C4048" t="str">
        <f>_xlfn.XLOOKUP(B4048,
[1]sales_teams!$A$2:$A$100,
[1]sales_teams!$B$2:$B$100)</f>
        <v>Melvin Marxen</v>
      </c>
      <c r="D4048" t="str">
        <f>_xlfn.XLOOKUP($B4048,sales_teams!$A$2:$A$36,sales_teams!C$2:C$36)</f>
        <v>Central</v>
      </c>
      <c r="E4048" t="s">
        <v>15</v>
      </c>
      <c r="F4048" t="s">
        <v>42</v>
      </c>
      <c r="G4048" t="s">
        <v>46</v>
      </c>
      <c r="H4048" s="1">
        <v>42906</v>
      </c>
      <c r="I4048" s="1">
        <v>42989</v>
      </c>
      <c r="J4048">
        <v>0</v>
      </c>
    </row>
    <row r="4049" spans="1:10" x14ac:dyDescent="0.3">
      <c r="A4049" t="s">
        <v>4180</v>
      </c>
      <c r="B4049" t="s">
        <v>142</v>
      </c>
      <c r="C4049" t="str">
        <f>_xlfn.XLOOKUP(B4049,
[1]sales_teams!$A$2:$A$100,
[1]sales_teams!$B$2:$B$100)</f>
        <v>Rocco Neubert</v>
      </c>
      <c r="D4049" t="str">
        <f>_xlfn.XLOOKUP($B4049,sales_teams!$A$2:$A$36,sales_teams!C$2:C$36)</f>
        <v>East</v>
      </c>
      <c r="E4049" t="s">
        <v>39</v>
      </c>
      <c r="F4049" t="s">
        <v>143</v>
      </c>
      <c r="G4049" t="s">
        <v>12</v>
      </c>
      <c r="H4049" s="1">
        <v>42906</v>
      </c>
      <c r="I4049" s="1">
        <v>42956</v>
      </c>
      <c r="J4049">
        <v>3546</v>
      </c>
    </row>
    <row r="4050" spans="1:10" x14ac:dyDescent="0.3">
      <c r="A4050" t="s">
        <v>4181</v>
      </c>
      <c r="B4050" t="s">
        <v>67</v>
      </c>
      <c r="C4050" t="str">
        <f>_xlfn.XLOOKUP(B4050,
[1]sales_teams!$A$2:$A$100,
[1]sales_teams!$B$2:$B$100)</f>
        <v>Celia Rouche</v>
      </c>
      <c r="D4050" t="str">
        <f>_xlfn.XLOOKUP($B4050,sales_teams!$A$2:$A$36,sales_teams!C$2:C$36)</f>
        <v>West</v>
      </c>
      <c r="E4050" t="s">
        <v>18</v>
      </c>
      <c r="F4050" t="s">
        <v>329</v>
      </c>
      <c r="G4050" t="s">
        <v>40</v>
      </c>
      <c r="H4050" s="1">
        <v>42906</v>
      </c>
    </row>
    <row r="4051" spans="1:10" x14ac:dyDescent="0.3">
      <c r="A4051" t="s">
        <v>4182</v>
      </c>
      <c r="B4051" t="s">
        <v>38</v>
      </c>
      <c r="C4051" t="str">
        <f>_xlfn.XLOOKUP(B4051,
[1]sales_teams!$A$2:$A$100,
[1]sales_teams!$B$2:$B$100)</f>
        <v>Summer Sewald</v>
      </c>
      <c r="D4051" t="str">
        <f>_xlfn.XLOOKUP($B4051,sales_teams!$A$2:$A$36,sales_teams!C$2:C$36)</f>
        <v>West</v>
      </c>
      <c r="E4051" t="s">
        <v>20</v>
      </c>
      <c r="F4051" t="s">
        <v>207</v>
      </c>
      <c r="G4051" t="s">
        <v>40</v>
      </c>
      <c r="H4051" s="1">
        <v>42906</v>
      </c>
    </row>
    <row r="4052" spans="1:10" x14ac:dyDescent="0.3">
      <c r="A4052" t="s">
        <v>4183</v>
      </c>
      <c r="B4052" t="s">
        <v>38</v>
      </c>
      <c r="C4052" t="str">
        <f>_xlfn.XLOOKUP(B4052,
[1]sales_teams!$A$2:$A$100,
[1]sales_teams!$B$2:$B$100)</f>
        <v>Summer Sewald</v>
      </c>
      <c r="D4052" t="str">
        <f>_xlfn.XLOOKUP($B4052,sales_teams!$A$2:$A$36,sales_teams!C$2:C$36)</f>
        <v>West</v>
      </c>
      <c r="E4052" t="s">
        <v>18</v>
      </c>
      <c r="G4052" t="s">
        <v>40</v>
      </c>
      <c r="H4052" s="1">
        <v>42906</v>
      </c>
    </row>
    <row r="4053" spans="1:10" x14ac:dyDescent="0.3">
      <c r="A4053" t="s">
        <v>4184</v>
      </c>
      <c r="B4053" t="s">
        <v>252</v>
      </c>
      <c r="C4053" t="str">
        <f>_xlfn.XLOOKUP(B4053,
[1]sales_teams!$A$2:$A$100,
[1]sales_teams!$B$2:$B$100)</f>
        <v>Melvin Marxen</v>
      </c>
      <c r="D4053" t="str">
        <f>_xlfn.XLOOKUP($B4053,sales_teams!$A$2:$A$36,sales_teams!C$2:C$36)</f>
        <v>Central</v>
      </c>
      <c r="E4053" t="s">
        <v>10</v>
      </c>
      <c r="F4053" t="s">
        <v>315</v>
      </c>
      <c r="G4053" t="s">
        <v>12</v>
      </c>
      <c r="H4053" s="1">
        <v>42906</v>
      </c>
      <c r="I4053" s="1">
        <v>42967</v>
      </c>
      <c r="J4053">
        <v>1132</v>
      </c>
    </row>
    <row r="4054" spans="1:10" x14ac:dyDescent="0.3">
      <c r="A4054" t="s">
        <v>4185</v>
      </c>
      <c r="B4054" t="s">
        <v>78</v>
      </c>
      <c r="C4054" t="str">
        <f>_xlfn.XLOOKUP(B4054,
[1]sales_teams!$A$2:$A$100,
[1]sales_teams!$B$2:$B$100)</f>
        <v>Summer Sewald</v>
      </c>
      <c r="D4054" t="str">
        <f>_xlfn.XLOOKUP($B4054,sales_teams!$A$2:$A$36,sales_teams!C$2:C$36)</f>
        <v>West</v>
      </c>
      <c r="E4054" t="s">
        <v>39</v>
      </c>
      <c r="G4054" t="s">
        <v>40</v>
      </c>
      <c r="H4054" s="1">
        <v>42906</v>
      </c>
    </row>
    <row r="4055" spans="1:10" x14ac:dyDescent="0.3">
      <c r="A4055" t="s">
        <v>4186</v>
      </c>
      <c r="B4055" t="s">
        <v>78</v>
      </c>
      <c r="C4055" t="str">
        <f>_xlfn.XLOOKUP(B4055,
[1]sales_teams!$A$2:$A$100,
[1]sales_teams!$B$2:$B$100)</f>
        <v>Summer Sewald</v>
      </c>
      <c r="D4055" t="str">
        <f>_xlfn.XLOOKUP($B4055,sales_teams!$A$2:$A$36,sales_teams!C$2:C$36)</f>
        <v>West</v>
      </c>
      <c r="E4055" t="s">
        <v>20</v>
      </c>
      <c r="F4055" t="s">
        <v>33</v>
      </c>
      <c r="G4055" t="s">
        <v>46</v>
      </c>
      <c r="H4055" s="1">
        <v>42906</v>
      </c>
      <c r="I4055" s="1">
        <v>42960</v>
      </c>
      <c r="J4055">
        <v>0</v>
      </c>
    </row>
    <row r="4056" spans="1:10" x14ac:dyDescent="0.3">
      <c r="A4056" t="s">
        <v>4187</v>
      </c>
      <c r="B4056" t="s">
        <v>51</v>
      </c>
      <c r="C4056" t="str">
        <f>_xlfn.XLOOKUP(B4056,
[1]sales_teams!$A$2:$A$100,
[1]sales_teams!$B$2:$B$100)</f>
        <v>Summer Sewald</v>
      </c>
      <c r="D4056" t="str">
        <f>_xlfn.XLOOKUP($B4056,sales_teams!$A$2:$A$36,sales_teams!C$2:C$36)</f>
        <v>West</v>
      </c>
      <c r="E4056" t="s">
        <v>18</v>
      </c>
      <c r="F4056" t="s">
        <v>218</v>
      </c>
      <c r="G4056" t="s">
        <v>12</v>
      </c>
      <c r="H4056" s="1">
        <v>42906</v>
      </c>
      <c r="I4056" s="1">
        <v>42966</v>
      </c>
      <c r="J4056">
        <v>57</v>
      </c>
    </row>
    <row r="4057" spans="1:10" x14ac:dyDescent="0.3">
      <c r="A4057" t="s">
        <v>4188</v>
      </c>
      <c r="B4057" t="s">
        <v>51</v>
      </c>
      <c r="C4057" t="str">
        <f>_xlfn.XLOOKUP(B4057,
[1]sales_teams!$A$2:$A$100,
[1]sales_teams!$B$2:$B$100)</f>
        <v>Summer Sewald</v>
      </c>
      <c r="D4057" t="str">
        <f>_xlfn.XLOOKUP($B4057,sales_teams!$A$2:$A$36,sales_teams!C$2:C$36)</f>
        <v>West</v>
      </c>
      <c r="E4057" t="s">
        <v>18</v>
      </c>
      <c r="F4057" t="s">
        <v>70</v>
      </c>
      <c r="G4057" t="s">
        <v>12</v>
      </c>
      <c r="H4057" s="1">
        <v>42906</v>
      </c>
      <c r="I4057" s="1">
        <v>42909</v>
      </c>
      <c r="J4057">
        <v>61</v>
      </c>
    </row>
    <row r="4058" spans="1:10" x14ac:dyDescent="0.3">
      <c r="A4058" t="s">
        <v>4189</v>
      </c>
      <c r="B4058" t="s">
        <v>51</v>
      </c>
      <c r="C4058" t="str">
        <f>_xlfn.XLOOKUP(B4058,
[1]sales_teams!$A$2:$A$100,
[1]sales_teams!$B$2:$B$100)</f>
        <v>Summer Sewald</v>
      </c>
      <c r="D4058" t="str">
        <f>_xlfn.XLOOKUP($B4058,sales_teams!$A$2:$A$36,sales_teams!C$2:C$36)</f>
        <v>West</v>
      </c>
      <c r="E4058" t="s">
        <v>18</v>
      </c>
      <c r="F4058" t="s">
        <v>168</v>
      </c>
      <c r="G4058" t="s">
        <v>12</v>
      </c>
      <c r="H4058" s="1">
        <v>42906</v>
      </c>
      <c r="I4058" s="1">
        <v>42917</v>
      </c>
      <c r="J4058">
        <v>57</v>
      </c>
    </row>
    <row r="4059" spans="1:10" x14ac:dyDescent="0.3">
      <c r="A4059" t="s">
        <v>4190</v>
      </c>
      <c r="B4059" t="s">
        <v>97</v>
      </c>
      <c r="C4059" t="str">
        <f>_xlfn.XLOOKUP(B4059,
[1]sales_teams!$A$2:$A$100,
[1]sales_teams!$B$2:$B$100)</f>
        <v>Rocco Neubert</v>
      </c>
      <c r="D4059" t="str">
        <f>_xlfn.XLOOKUP($B4059,sales_teams!$A$2:$A$36,sales_teams!C$2:C$36)</f>
        <v>East</v>
      </c>
      <c r="E4059" t="s">
        <v>20</v>
      </c>
      <c r="F4059" t="s">
        <v>222</v>
      </c>
      <c r="G4059" t="s">
        <v>12</v>
      </c>
      <c r="H4059" s="1">
        <v>42906</v>
      </c>
      <c r="I4059" s="1">
        <v>42992</v>
      </c>
      <c r="J4059">
        <v>649</v>
      </c>
    </row>
    <row r="4060" spans="1:10" x14ac:dyDescent="0.3">
      <c r="A4060" t="s">
        <v>4191</v>
      </c>
      <c r="B4060" t="s">
        <v>88</v>
      </c>
      <c r="C4060" t="str">
        <f>_xlfn.XLOOKUP(B4060,
[1]sales_teams!$A$2:$A$100,
[1]sales_teams!$B$2:$B$100)</f>
        <v>Cara Losch</v>
      </c>
      <c r="D4060" t="str">
        <f>_xlfn.XLOOKUP($B4060,sales_teams!$A$2:$A$36,sales_teams!C$2:C$36)</f>
        <v>East</v>
      </c>
      <c r="E4060" t="s">
        <v>15</v>
      </c>
      <c r="G4060" t="s">
        <v>40</v>
      </c>
      <c r="H4060" s="1">
        <v>42906</v>
      </c>
    </row>
    <row r="4061" spans="1:10" x14ac:dyDescent="0.3">
      <c r="A4061" t="s">
        <v>4192</v>
      </c>
      <c r="B4061" t="s">
        <v>88</v>
      </c>
      <c r="C4061" t="str">
        <f>_xlfn.XLOOKUP(B4061,
[1]sales_teams!$A$2:$A$100,
[1]sales_teams!$B$2:$B$100)</f>
        <v>Cara Losch</v>
      </c>
      <c r="D4061" t="str">
        <f>_xlfn.XLOOKUP($B4061,sales_teams!$A$2:$A$36,sales_teams!C$2:C$36)</f>
        <v>East</v>
      </c>
      <c r="E4061" t="s">
        <v>15</v>
      </c>
      <c r="F4061" t="s">
        <v>410</v>
      </c>
      <c r="G4061" t="s">
        <v>46</v>
      </c>
      <c r="H4061" s="1">
        <v>42906</v>
      </c>
      <c r="I4061" s="1">
        <v>42962</v>
      </c>
      <c r="J4061">
        <v>0</v>
      </c>
    </row>
    <row r="4062" spans="1:10" x14ac:dyDescent="0.3">
      <c r="A4062" t="s">
        <v>4193</v>
      </c>
      <c r="B4062" t="s">
        <v>61</v>
      </c>
      <c r="C4062" t="str">
        <f>_xlfn.XLOOKUP(B4062,
[1]sales_teams!$A$2:$A$100,
[1]sales_teams!$B$2:$B$100)</f>
        <v>Dustin Brinkmann</v>
      </c>
      <c r="D4062" t="str">
        <f>_xlfn.XLOOKUP($B4062,sales_teams!$A$2:$A$36,sales_teams!C$2:C$36)</f>
        <v>Central</v>
      </c>
      <c r="E4062" t="s">
        <v>48</v>
      </c>
      <c r="F4062" t="s">
        <v>129</v>
      </c>
      <c r="G4062" t="s">
        <v>12</v>
      </c>
      <c r="H4062" s="1">
        <v>42906</v>
      </c>
      <c r="I4062" s="1">
        <v>42917</v>
      </c>
      <c r="J4062">
        <v>4813</v>
      </c>
    </row>
    <row r="4063" spans="1:10" x14ac:dyDescent="0.3">
      <c r="A4063" t="s">
        <v>4194</v>
      </c>
      <c r="B4063" t="s">
        <v>29</v>
      </c>
      <c r="C4063" t="str">
        <f>_xlfn.XLOOKUP(B4063,
[1]sales_teams!$A$2:$A$100,
[1]sales_teams!$B$2:$B$100)</f>
        <v>Celia Rouche</v>
      </c>
      <c r="D4063" t="str">
        <f>_xlfn.XLOOKUP($B4063,sales_teams!$A$2:$A$36,sales_teams!C$2:C$36)</f>
        <v>West</v>
      </c>
      <c r="E4063" t="s">
        <v>18</v>
      </c>
      <c r="F4063" t="s">
        <v>224</v>
      </c>
      <c r="G4063" t="s">
        <v>46</v>
      </c>
      <c r="H4063" s="1">
        <v>42906</v>
      </c>
      <c r="I4063" s="1">
        <v>42909</v>
      </c>
      <c r="J4063">
        <v>0</v>
      </c>
    </row>
    <row r="4064" spans="1:10" x14ac:dyDescent="0.3">
      <c r="A4064" t="s">
        <v>4195</v>
      </c>
      <c r="B4064" t="s">
        <v>29</v>
      </c>
      <c r="C4064" t="str">
        <f>_xlfn.XLOOKUP(B4064,
[1]sales_teams!$A$2:$A$100,
[1]sales_teams!$B$2:$B$100)</f>
        <v>Celia Rouche</v>
      </c>
      <c r="D4064" t="str">
        <f>_xlfn.XLOOKUP($B4064,sales_teams!$A$2:$A$36,sales_teams!C$2:C$36)</f>
        <v>West</v>
      </c>
      <c r="E4064" t="s">
        <v>18</v>
      </c>
      <c r="F4064" t="s">
        <v>313</v>
      </c>
      <c r="G4064" t="s">
        <v>12</v>
      </c>
      <c r="H4064" s="1">
        <v>42906</v>
      </c>
      <c r="I4064" s="1">
        <v>42917</v>
      </c>
      <c r="J4064">
        <v>51</v>
      </c>
    </row>
    <row r="4065" spans="1:10" x14ac:dyDescent="0.3">
      <c r="A4065" t="s">
        <v>4196</v>
      </c>
      <c r="B4065" t="s">
        <v>29</v>
      </c>
      <c r="C4065" t="str">
        <f>_xlfn.XLOOKUP(B4065,
[1]sales_teams!$A$2:$A$100,
[1]sales_teams!$B$2:$B$100)</f>
        <v>Celia Rouche</v>
      </c>
      <c r="D4065" t="str">
        <f>_xlfn.XLOOKUP($B4065,sales_teams!$A$2:$A$36,sales_teams!C$2:C$36)</f>
        <v>West</v>
      </c>
      <c r="E4065" t="s">
        <v>39</v>
      </c>
      <c r="F4065" t="s">
        <v>148</v>
      </c>
      <c r="G4065" t="s">
        <v>12</v>
      </c>
      <c r="H4065" s="1">
        <v>42906</v>
      </c>
      <c r="I4065" s="1">
        <v>42991</v>
      </c>
      <c r="J4065">
        <v>3241</v>
      </c>
    </row>
    <row r="4066" spans="1:10" x14ac:dyDescent="0.3">
      <c r="A4066" t="s">
        <v>4197</v>
      </c>
      <c r="B4066" t="s">
        <v>73</v>
      </c>
      <c r="C4066" t="str">
        <f>_xlfn.XLOOKUP(B4066,
[1]sales_teams!$A$2:$A$100,
[1]sales_teams!$B$2:$B$100)</f>
        <v>Cara Losch</v>
      </c>
      <c r="D4066" t="str">
        <f>_xlfn.XLOOKUP($B4066,sales_teams!$A$2:$A$36,sales_teams!C$2:C$36)</f>
        <v>East</v>
      </c>
      <c r="E4066" t="s">
        <v>18</v>
      </c>
      <c r="F4066" t="s">
        <v>240</v>
      </c>
      <c r="G4066" t="s">
        <v>46</v>
      </c>
      <c r="H4066" s="1">
        <v>42906</v>
      </c>
      <c r="I4066" s="1">
        <v>42951</v>
      </c>
      <c r="J4066">
        <v>0</v>
      </c>
    </row>
    <row r="4067" spans="1:10" x14ac:dyDescent="0.3">
      <c r="A4067" t="s">
        <v>4198</v>
      </c>
      <c r="B4067" t="s">
        <v>73</v>
      </c>
      <c r="C4067" t="str">
        <f>_xlfn.XLOOKUP(B4067,
[1]sales_teams!$A$2:$A$100,
[1]sales_teams!$B$2:$B$100)</f>
        <v>Cara Losch</v>
      </c>
      <c r="D4067" t="str">
        <f>_xlfn.XLOOKUP($B4067,sales_teams!$A$2:$A$36,sales_teams!C$2:C$36)</f>
        <v>East</v>
      </c>
      <c r="E4067" t="s">
        <v>20</v>
      </c>
      <c r="F4067" t="s">
        <v>329</v>
      </c>
      <c r="G4067" t="s">
        <v>12</v>
      </c>
      <c r="H4067" s="1">
        <v>42906</v>
      </c>
      <c r="I4067" s="1">
        <v>42990</v>
      </c>
      <c r="J4067">
        <v>592</v>
      </c>
    </row>
    <row r="4068" spans="1:10" x14ac:dyDescent="0.3">
      <c r="A4068" t="s">
        <v>4199</v>
      </c>
      <c r="B4068" t="s">
        <v>102</v>
      </c>
      <c r="C4068" t="str">
        <f>_xlfn.XLOOKUP(B4068,
[1]sales_teams!$A$2:$A$100,
[1]sales_teams!$B$2:$B$100)</f>
        <v>Cara Losch</v>
      </c>
      <c r="D4068" t="str">
        <f>_xlfn.XLOOKUP($B4068,sales_teams!$A$2:$A$36,sales_teams!C$2:C$36)</f>
        <v>East</v>
      </c>
      <c r="E4068" t="s">
        <v>39</v>
      </c>
      <c r="G4068" t="s">
        <v>40</v>
      </c>
      <c r="H4068" s="1">
        <v>42906</v>
      </c>
    </row>
    <row r="4069" spans="1:10" x14ac:dyDescent="0.3">
      <c r="A4069" t="s">
        <v>4200</v>
      </c>
      <c r="B4069" t="s">
        <v>102</v>
      </c>
      <c r="C4069" t="str">
        <f>_xlfn.XLOOKUP(B4069,
[1]sales_teams!$A$2:$A$100,
[1]sales_teams!$B$2:$B$100)</f>
        <v>Cara Losch</v>
      </c>
      <c r="D4069" t="str">
        <f>_xlfn.XLOOKUP($B4069,sales_teams!$A$2:$A$36,sales_teams!C$2:C$36)</f>
        <v>East</v>
      </c>
      <c r="E4069" t="s">
        <v>20</v>
      </c>
      <c r="F4069" t="s">
        <v>89</v>
      </c>
      <c r="G4069" t="s">
        <v>12</v>
      </c>
      <c r="H4069" s="1">
        <v>42906</v>
      </c>
      <c r="I4069" s="1">
        <v>42998</v>
      </c>
      <c r="J4069">
        <v>506</v>
      </c>
    </row>
    <row r="4070" spans="1:10" x14ac:dyDescent="0.3">
      <c r="A4070" t="s">
        <v>4201</v>
      </c>
      <c r="B4070" t="s">
        <v>23</v>
      </c>
      <c r="C4070" t="str">
        <f>_xlfn.XLOOKUP(B4070,
[1]sales_teams!$A$2:$A$100,
[1]sales_teams!$B$2:$B$100)</f>
        <v>Summer Sewald</v>
      </c>
      <c r="D4070" t="str">
        <f>_xlfn.XLOOKUP($B4070,sales_teams!$A$2:$A$36,sales_teams!C$2:C$36)</f>
        <v>West</v>
      </c>
      <c r="E4070" t="s">
        <v>39</v>
      </c>
      <c r="G4070" t="s">
        <v>40</v>
      </c>
      <c r="H4070" s="1">
        <v>42906</v>
      </c>
    </row>
    <row r="4071" spans="1:10" x14ac:dyDescent="0.3">
      <c r="A4071" t="s">
        <v>4202</v>
      </c>
      <c r="B4071" t="s">
        <v>23</v>
      </c>
      <c r="C4071" t="str">
        <f>_xlfn.XLOOKUP(B4071,
[1]sales_teams!$A$2:$A$100,
[1]sales_teams!$B$2:$B$100)</f>
        <v>Summer Sewald</v>
      </c>
      <c r="D4071" t="str">
        <f>_xlfn.XLOOKUP($B4071,sales_teams!$A$2:$A$36,sales_teams!C$2:C$36)</f>
        <v>West</v>
      </c>
      <c r="E4071" t="s">
        <v>20</v>
      </c>
      <c r="F4071" t="s">
        <v>86</v>
      </c>
      <c r="G4071" t="s">
        <v>46</v>
      </c>
      <c r="H4071" s="1">
        <v>42906</v>
      </c>
      <c r="I4071" s="1">
        <v>43003</v>
      </c>
      <c r="J4071">
        <v>0</v>
      </c>
    </row>
    <row r="4072" spans="1:10" x14ac:dyDescent="0.3">
      <c r="A4072" t="s">
        <v>4203</v>
      </c>
      <c r="B4072" t="s">
        <v>26</v>
      </c>
      <c r="C4072" t="str">
        <f>_xlfn.XLOOKUP(B4072,
[1]sales_teams!$A$2:$A$100,
[1]sales_teams!$B$2:$B$100)</f>
        <v>Dustin Brinkmann</v>
      </c>
      <c r="D4072" t="str">
        <f>_xlfn.XLOOKUP($B4072,sales_teams!$A$2:$A$36,sales_teams!C$2:C$36)</f>
        <v>Central</v>
      </c>
      <c r="E4072" t="s">
        <v>39</v>
      </c>
      <c r="F4072" t="s">
        <v>21</v>
      </c>
      <c r="G4072" t="s">
        <v>12</v>
      </c>
      <c r="H4072" s="1">
        <v>42907</v>
      </c>
      <c r="I4072" s="1">
        <v>42984</v>
      </c>
      <c r="J4072">
        <v>3571</v>
      </c>
    </row>
    <row r="4073" spans="1:10" x14ac:dyDescent="0.3">
      <c r="A4073" t="s">
        <v>4204</v>
      </c>
      <c r="B4073" t="s">
        <v>118</v>
      </c>
      <c r="C4073" t="str">
        <f>_xlfn.XLOOKUP(B4073,
[1]sales_teams!$A$2:$A$100,
[1]sales_teams!$B$2:$B$100)</f>
        <v>Rocco Neubert</v>
      </c>
      <c r="D4073" t="str">
        <f>_xlfn.XLOOKUP($B4073,sales_teams!$A$2:$A$36,sales_teams!C$2:C$36)</f>
        <v>East</v>
      </c>
      <c r="E4073" t="s">
        <v>20</v>
      </c>
      <c r="F4073" t="s">
        <v>103</v>
      </c>
      <c r="G4073" t="s">
        <v>46</v>
      </c>
      <c r="H4073" s="1">
        <v>42907</v>
      </c>
      <c r="I4073" s="1">
        <v>42977</v>
      </c>
      <c r="J4073">
        <v>0</v>
      </c>
    </row>
    <row r="4074" spans="1:10" x14ac:dyDescent="0.3">
      <c r="A4074" t="s">
        <v>4205</v>
      </c>
      <c r="B4074" t="s">
        <v>118</v>
      </c>
      <c r="C4074" t="str">
        <f>_xlfn.XLOOKUP(B4074,
[1]sales_teams!$A$2:$A$100,
[1]sales_teams!$B$2:$B$100)</f>
        <v>Rocco Neubert</v>
      </c>
      <c r="D4074" t="str">
        <f>_xlfn.XLOOKUP($B4074,sales_teams!$A$2:$A$36,sales_teams!C$2:C$36)</f>
        <v>East</v>
      </c>
      <c r="E4074" t="s">
        <v>18</v>
      </c>
      <c r="F4074" t="s">
        <v>518</v>
      </c>
      <c r="G4074" t="s">
        <v>12</v>
      </c>
      <c r="H4074" s="1">
        <v>42907</v>
      </c>
      <c r="I4074" s="1">
        <v>42919</v>
      </c>
      <c r="J4074">
        <v>60</v>
      </c>
    </row>
    <row r="4075" spans="1:10" x14ac:dyDescent="0.3">
      <c r="A4075" t="s">
        <v>4206</v>
      </c>
      <c r="B4075" t="s">
        <v>118</v>
      </c>
      <c r="C4075" t="str">
        <f>_xlfn.XLOOKUP(B4075,
[1]sales_teams!$A$2:$A$100,
[1]sales_teams!$B$2:$B$100)</f>
        <v>Rocco Neubert</v>
      </c>
      <c r="D4075" t="str">
        <f>_xlfn.XLOOKUP($B4075,sales_teams!$A$2:$A$36,sales_teams!C$2:C$36)</f>
        <v>East</v>
      </c>
      <c r="E4075" t="s">
        <v>18</v>
      </c>
      <c r="F4075" t="s">
        <v>199</v>
      </c>
      <c r="G4075" t="s">
        <v>12</v>
      </c>
      <c r="H4075" s="1">
        <v>42907</v>
      </c>
      <c r="I4075" s="1">
        <v>42993</v>
      </c>
      <c r="J4075">
        <v>59</v>
      </c>
    </row>
    <row r="4076" spans="1:10" x14ac:dyDescent="0.3">
      <c r="A4076" t="s">
        <v>4207</v>
      </c>
      <c r="B4076" t="s">
        <v>164</v>
      </c>
      <c r="C4076" t="str">
        <f>_xlfn.XLOOKUP(B4076,
[1]sales_teams!$A$2:$A$100,
[1]sales_teams!$B$2:$B$100)</f>
        <v>Cara Losch</v>
      </c>
      <c r="D4076" t="str">
        <f>_xlfn.XLOOKUP($B4076,sales_teams!$A$2:$A$36,sales_teams!C$2:C$36)</f>
        <v>East</v>
      </c>
      <c r="E4076" t="s">
        <v>20</v>
      </c>
      <c r="F4076" t="s">
        <v>143</v>
      </c>
      <c r="G4076" t="s">
        <v>12</v>
      </c>
      <c r="H4076" s="1">
        <v>42907</v>
      </c>
      <c r="I4076" s="1">
        <v>42911</v>
      </c>
      <c r="J4076">
        <v>551</v>
      </c>
    </row>
    <row r="4077" spans="1:10" x14ac:dyDescent="0.3">
      <c r="A4077" t="s">
        <v>4208</v>
      </c>
      <c r="B4077" t="s">
        <v>64</v>
      </c>
      <c r="C4077" t="str">
        <f>_xlfn.XLOOKUP(B4077,
[1]sales_teams!$A$2:$A$100,
[1]sales_teams!$B$2:$B$100)</f>
        <v>Rocco Neubert</v>
      </c>
      <c r="D4077" t="str">
        <f>_xlfn.XLOOKUP($B4077,sales_teams!$A$2:$A$36,sales_teams!C$2:C$36)</f>
        <v>East</v>
      </c>
      <c r="E4077" t="s">
        <v>15</v>
      </c>
      <c r="G4077" t="s">
        <v>40</v>
      </c>
      <c r="H4077" s="1">
        <v>42907</v>
      </c>
    </row>
    <row r="4078" spans="1:10" x14ac:dyDescent="0.3">
      <c r="A4078" t="s">
        <v>4209</v>
      </c>
      <c r="B4078" t="s">
        <v>14</v>
      </c>
      <c r="C4078" t="str">
        <f>_xlfn.XLOOKUP(B4078,
[1]sales_teams!$A$2:$A$100,
[1]sales_teams!$B$2:$B$100)</f>
        <v>Melvin Marxen</v>
      </c>
      <c r="D4078" t="str">
        <f>_xlfn.XLOOKUP($B4078,sales_teams!$A$2:$A$36,sales_teams!C$2:C$36)</f>
        <v>Central</v>
      </c>
      <c r="E4078" t="s">
        <v>15</v>
      </c>
      <c r="F4078" t="s">
        <v>135</v>
      </c>
      <c r="G4078" t="s">
        <v>46</v>
      </c>
      <c r="H4078" s="1">
        <v>42907</v>
      </c>
      <c r="I4078" s="1">
        <v>42917</v>
      </c>
      <c r="J4078">
        <v>0</v>
      </c>
    </row>
    <row r="4079" spans="1:10" x14ac:dyDescent="0.3">
      <c r="A4079" t="s">
        <v>4210</v>
      </c>
      <c r="B4079" t="s">
        <v>14</v>
      </c>
      <c r="C4079" t="str">
        <f>_xlfn.XLOOKUP(B4079,
[1]sales_teams!$A$2:$A$100,
[1]sales_teams!$B$2:$B$100)</f>
        <v>Melvin Marxen</v>
      </c>
      <c r="D4079" t="str">
        <f>_xlfn.XLOOKUP($B4079,sales_teams!$A$2:$A$36,sales_teams!C$2:C$36)</f>
        <v>Central</v>
      </c>
      <c r="E4079" t="s">
        <v>15</v>
      </c>
      <c r="F4079" t="s">
        <v>16</v>
      </c>
      <c r="G4079" t="s">
        <v>46</v>
      </c>
      <c r="H4079" s="1">
        <v>42907</v>
      </c>
      <c r="I4079" s="1">
        <v>42918</v>
      </c>
      <c r="J4079">
        <v>0</v>
      </c>
    </row>
    <row r="4080" spans="1:10" x14ac:dyDescent="0.3">
      <c r="A4080" t="s">
        <v>4211</v>
      </c>
      <c r="B4080" t="s">
        <v>14</v>
      </c>
      <c r="C4080" t="str">
        <f>_xlfn.XLOOKUP(B4080,
[1]sales_teams!$A$2:$A$100,
[1]sales_teams!$B$2:$B$100)</f>
        <v>Melvin Marxen</v>
      </c>
      <c r="D4080" t="str">
        <f>_xlfn.XLOOKUP($B4080,sales_teams!$A$2:$A$36,sales_teams!C$2:C$36)</f>
        <v>Central</v>
      </c>
      <c r="E4080" t="s">
        <v>15</v>
      </c>
      <c r="F4080" t="s">
        <v>16</v>
      </c>
      <c r="G4080" t="s">
        <v>12</v>
      </c>
      <c r="H4080" s="1">
        <v>42907</v>
      </c>
      <c r="I4080" s="1">
        <v>42917</v>
      </c>
      <c r="J4080">
        <v>4826</v>
      </c>
    </row>
    <row r="4081" spans="1:10" x14ac:dyDescent="0.3">
      <c r="A4081" t="s">
        <v>4212</v>
      </c>
      <c r="B4081" t="s">
        <v>67</v>
      </c>
      <c r="C4081" t="str">
        <f>_xlfn.XLOOKUP(B4081,
[1]sales_teams!$A$2:$A$100,
[1]sales_teams!$B$2:$B$100)</f>
        <v>Celia Rouche</v>
      </c>
      <c r="D4081" t="str">
        <f>_xlfn.XLOOKUP($B4081,sales_teams!$A$2:$A$36,sales_teams!C$2:C$36)</f>
        <v>West</v>
      </c>
      <c r="E4081" t="s">
        <v>18</v>
      </c>
      <c r="F4081" t="s">
        <v>100</v>
      </c>
      <c r="G4081" t="s">
        <v>12</v>
      </c>
      <c r="H4081" s="1">
        <v>42907</v>
      </c>
      <c r="I4081" s="1">
        <v>43008</v>
      </c>
      <c r="J4081">
        <v>58</v>
      </c>
    </row>
    <row r="4082" spans="1:10" x14ac:dyDescent="0.3">
      <c r="A4082" t="s">
        <v>4213</v>
      </c>
      <c r="B4082" t="s">
        <v>105</v>
      </c>
      <c r="C4082" t="str">
        <f>_xlfn.XLOOKUP(B4082,
[1]sales_teams!$A$2:$A$100,
[1]sales_teams!$B$2:$B$100)</f>
        <v>Cara Losch</v>
      </c>
      <c r="D4082" t="str">
        <f>_xlfn.XLOOKUP($B4082,sales_teams!$A$2:$A$36,sales_teams!C$2:C$36)</f>
        <v>East</v>
      </c>
      <c r="E4082" t="s">
        <v>15</v>
      </c>
      <c r="F4082" t="s">
        <v>237</v>
      </c>
      <c r="G4082" t="s">
        <v>12</v>
      </c>
      <c r="H4082" s="1">
        <v>42907</v>
      </c>
      <c r="I4082" s="1">
        <v>42912</v>
      </c>
      <c r="J4082">
        <v>5622</v>
      </c>
    </row>
    <row r="4083" spans="1:10" x14ac:dyDescent="0.3">
      <c r="A4083" t="s">
        <v>4214</v>
      </c>
      <c r="B4083" t="s">
        <v>44</v>
      </c>
      <c r="C4083" t="str">
        <f>_xlfn.XLOOKUP(B4083,
[1]sales_teams!$A$2:$A$100,
[1]sales_teams!$B$2:$B$100)</f>
        <v>Melvin Marxen</v>
      </c>
      <c r="D4083" t="str">
        <f>_xlfn.XLOOKUP($B4083,sales_teams!$A$2:$A$36,sales_teams!C$2:C$36)</f>
        <v>Central</v>
      </c>
      <c r="E4083" t="s">
        <v>18</v>
      </c>
      <c r="F4083" t="s">
        <v>315</v>
      </c>
      <c r="G4083" t="s">
        <v>46</v>
      </c>
      <c r="H4083" s="1">
        <v>42907</v>
      </c>
      <c r="I4083" s="1">
        <v>42918</v>
      </c>
      <c r="J4083">
        <v>0</v>
      </c>
    </row>
    <row r="4084" spans="1:10" x14ac:dyDescent="0.3">
      <c r="A4084" t="s">
        <v>4215</v>
      </c>
      <c r="B4084" t="s">
        <v>44</v>
      </c>
      <c r="C4084" t="str">
        <f>_xlfn.XLOOKUP(B4084,
[1]sales_teams!$A$2:$A$100,
[1]sales_teams!$B$2:$B$100)</f>
        <v>Melvin Marxen</v>
      </c>
      <c r="D4084" t="str">
        <f>_xlfn.XLOOKUP($B4084,sales_teams!$A$2:$A$36,sales_teams!C$2:C$36)</f>
        <v>Central</v>
      </c>
      <c r="E4084" t="s">
        <v>39</v>
      </c>
      <c r="F4084" t="s">
        <v>197</v>
      </c>
      <c r="G4084" t="s">
        <v>12</v>
      </c>
      <c r="H4084" s="1">
        <v>42907</v>
      </c>
      <c r="I4084" s="1">
        <v>42974</v>
      </c>
      <c r="J4084">
        <v>3177</v>
      </c>
    </row>
    <row r="4085" spans="1:10" x14ac:dyDescent="0.3">
      <c r="A4085" t="s">
        <v>4216</v>
      </c>
      <c r="B4085" t="s">
        <v>78</v>
      </c>
      <c r="C4085" t="str">
        <f>_xlfn.XLOOKUP(B4085,
[1]sales_teams!$A$2:$A$100,
[1]sales_teams!$B$2:$B$100)</f>
        <v>Summer Sewald</v>
      </c>
      <c r="D4085" t="str">
        <f>_xlfn.XLOOKUP($B4085,sales_teams!$A$2:$A$36,sales_teams!C$2:C$36)</f>
        <v>West</v>
      </c>
      <c r="E4085" t="s">
        <v>18</v>
      </c>
      <c r="F4085" t="s">
        <v>70</v>
      </c>
      <c r="G4085" t="s">
        <v>12</v>
      </c>
      <c r="H4085" s="1">
        <v>42907</v>
      </c>
      <c r="I4085" s="1">
        <v>42958</v>
      </c>
      <c r="J4085">
        <v>56</v>
      </c>
    </row>
    <row r="4086" spans="1:10" x14ac:dyDescent="0.3">
      <c r="A4086" t="s">
        <v>4217</v>
      </c>
      <c r="B4086" t="s">
        <v>95</v>
      </c>
      <c r="C4086" t="str">
        <f>_xlfn.XLOOKUP(B4086,
[1]sales_teams!$A$2:$A$100,
[1]sales_teams!$B$2:$B$100)</f>
        <v>Summer Sewald</v>
      </c>
      <c r="D4086" t="str">
        <f>_xlfn.XLOOKUP($B4086,sales_teams!$A$2:$A$36,sales_teams!C$2:C$36)</f>
        <v>West</v>
      </c>
      <c r="E4086" t="s">
        <v>15</v>
      </c>
      <c r="G4086" t="s">
        <v>40</v>
      </c>
      <c r="H4086" s="1">
        <v>42907</v>
      </c>
    </row>
    <row r="4087" spans="1:10" x14ac:dyDescent="0.3">
      <c r="A4087" t="s">
        <v>4218</v>
      </c>
      <c r="B4087" t="s">
        <v>51</v>
      </c>
      <c r="C4087" t="str">
        <f>_xlfn.XLOOKUP(B4087,
[1]sales_teams!$A$2:$A$100,
[1]sales_teams!$B$2:$B$100)</f>
        <v>Summer Sewald</v>
      </c>
      <c r="D4087" t="str">
        <f>_xlfn.XLOOKUP($B4087,sales_teams!$A$2:$A$36,sales_teams!C$2:C$36)</f>
        <v>West</v>
      </c>
      <c r="E4087" t="s">
        <v>10</v>
      </c>
      <c r="F4087" t="s">
        <v>155</v>
      </c>
      <c r="G4087" t="s">
        <v>12</v>
      </c>
      <c r="H4087" s="1">
        <v>42907</v>
      </c>
      <c r="I4087" s="1">
        <v>43000</v>
      </c>
      <c r="J4087">
        <v>990</v>
      </c>
    </row>
    <row r="4088" spans="1:10" x14ac:dyDescent="0.3">
      <c r="A4088" t="s">
        <v>4219</v>
      </c>
      <c r="B4088" t="s">
        <v>35</v>
      </c>
      <c r="C4088" t="str">
        <f>_xlfn.XLOOKUP(B4088,
[1]sales_teams!$A$2:$A$100,
[1]sales_teams!$B$2:$B$100)</f>
        <v>Melvin Marxen</v>
      </c>
      <c r="D4088" t="str">
        <f>_xlfn.XLOOKUP($B4088,sales_teams!$A$2:$A$36,sales_teams!C$2:C$36)</f>
        <v>Central</v>
      </c>
      <c r="E4088" t="s">
        <v>20</v>
      </c>
      <c r="F4088" t="s">
        <v>76</v>
      </c>
      <c r="G4088" t="s">
        <v>12</v>
      </c>
      <c r="H4088" s="1">
        <v>42907</v>
      </c>
      <c r="I4088" s="1">
        <v>43008</v>
      </c>
      <c r="J4088">
        <v>587</v>
      </c>
    </row>
    <row r="4089" spans="1:10" x14ac:dyDescent="0.3">
      <c r="A4089" t="s">
        <v>4220</v>
      </c>
      <c r="B4089" t="s">
        <v>88</v>
      </c>
      <c r="C4089" t="str">
        <f>_xlfn.XLOOKUP(B4089,
[1]sales_teams!$A$2:$A$100,
[1]sales_teams!$B$2:$B$100)</f>
        <v>Cara Losch</v>
      </c>
      <c r="D4089" t="str">
        <f>_xlfn.XLOOKUP($B4089,sales_teams!$A$2:$A$36,sales_teams!C$2:C$36)</f>
        <v>East</v>
      </c>
      <c r="E4089" t="s">
        <v>48</v>
      </c>
      <c r="F4089" t="s">
        <v>165</v>
      </c>
      <c r="G4089" t="s">
        <v>12</v>
      </c>
      <c r="H4089" s="1">
        <v>42907</v>
      </c>
      <c r="I4089" s="1">
        <v>42913</v>
      </c>
      <c r="J4089">
        <v>6229</v>
      </c>
    </row>
    <row r="4090" spans="1:10" x14ac:dyDescent="0.3">
      <c r="A4090" t="s">
        <v>4221</v>
      </c>
      <c r="B4090" t="s">
        <v>61</v>
      </c>
      <c r="C4090" t="str">
        <f>_xlfn.XLOOKUP(B4090,
[1]sales_teams!$A$2:$A$100,
[1]sales_teams!$B$2:$B$100)</f>
        <v>Dustin Brinkmann</v>
      </c>
      <c r="D4090" t="str">
        <f>_xlfn.XLOOKUP($B4090,sales_teams!$A$2:$A$36,sales_teams!C$2:C$36)</f>
        <v>Central</v>
      </c>
      <c r="E4090" t="s">
        <v>18</v>
      </c>
      <c r="F4090" t="s">
        <v>76</v>
      </c>
      <c r="G4090" t="s">
        <v>46</v>
      </c>
      <c r="H4090" s="1">
        <v>42907</v>
      </c>
      <c r="I4090" s="1">
        <v>42949</v>
      </c>
      <c r="J4090">
        <v>0</v>
      </c>
    </row>
    <row r="4091" spans="1:10" x14ac:dyDescent="0.3">
      <c r="A4091" t="s">
        <v>4222</v>
      </c>
      <c r="B4091" t="s">
        <v>29</v>
      </c>
      <c r="C4091" t="str">
        <f>_xlfn.XLOOKUP(B4091,
[1]sales_teams!$A$2:$A$100,
[1]sales_teams!$B$2:$B$100)</f>
        <v>Celia Rouche</v>
      </c>
      <c r="D4091" t="str">
        <f>_xlfn.XLOOKUP($B4091,sales_teams!$A$2:$A$36,sales_teams!C$2:C$36)</f>
        <v>West</v>
      </c>
      <c r="E4091" t="s">
        <v>10</v>
      </c>
      <c r="F4091" t="s">
        <v>93</v>
      </c>
      <c r="G4091" t="s">
        <v>12</v>
      </c>
      <c r="H4091" s="1">
        <v>42907</v>
      </c>
      <c r="I4091" s="1">
        <v>43001</v>
      </c>
      <c r="J4091">
        <v>1027</v>
      </c>
    </row>
    <row r="4092" spans="1:10" x14ac:dyDescent="0.3">
      <c r="A4092" t="s">
        <v>4223</v>
      </c>
      <c r="B4092" t="s">
        <v>29</v>
      </c>
      <c r="C4092" t="str">
        <f>_xlfn.XLOOKUP(B4092,
[1]sales_teams!$A$2:$A$100,
[1]sales_teams!$B$2:$B$100)</f>
        <v>Celia Rouche</v>
      </c>
      <c r="D4092" t="str">
        <f>_xlfn.XLOOKUP($B4092,sales_teams!$A$2:$A$36,sales_teams!C$2:C$36)</f>
        <v>West</v>
      </c>
      <c r="E4092" t="s">
        <v>39</v>
      </c>
      <c r="F4092" t="s">
        <v>59</v>
      </c>
      <c r="G4092" t="s">
        <v>12</v>
      </c>
      <c r="H4092" s="1">
        <v>42907</v>
      </c>
      <c r="I4092" s="1">
        <v>42909</v>
      </c>
      <c r="J4092">
        <v>3559</v>
      </c>
    </row>
    <row r="4093" spans="1:10" x14ac:dyDescent="0.3">
      <c r="A4093" t="s">
        <v>4224</v>
      </c>
      <c r="B4093" t="s">
        <v>23</v>
      </c>
      <c r="C4093" t="str">
        <f>_xlfn.XLOOKUP(B4093,
[1]sales_teams!$A$2:$A$100,
[1]sales_teams!$B$2:$B$100)</f>
        <v>Summer Sewald</v>
      </c>
      <c r="D4093" t="str">
        <f>_xlfn.XLOOKUP($B4093,sales_teams!$A$2:$A$36,sales_teams!C$2:C$36)</f>
        <v>West</v>
      </c>
      <c r="E4093" t="s">
        <v>20</v>
      </c>
      <c r="F4093" t="s">
        <v>100</v>
      </c>
      <c r="G4093" t="s">
        <v>12</v>
      </c>
      <c r="H4093" s="1">
        <v>42907</v>
      </c>
      <c r="I4093" s="1">
        <v>42975</v>
      </c>
      <c r="J4093">
        <v>506</v>
      </c>
    </row>
    <row r="4094" spans="1:10" x14ac:dyDescent="0.3">
      <c r="A4094" t="s">
        <v>4225</v>
      </c>
      <c r="B4094" t="s">
        <v>26</v>
      </c>
      <c r="C4094" t="str">
        <f>_xlfn.XLOOKUP(B4094,
[1]sales_teams!$A$2:$A$100,
[1]sales_teams!$B$2:$B$100)</f>
        <v>Dustin Brinkmann</v>
      </c>
      <c r="D4094" t="str">
        <f>_xlfn.XLOOKUP($B4094,sales_teams!$A$2:$A$36,sales_teams!C$2:C$36)</f>
        <v>Central</v>
      </c>
      <c r="E4094" t="s">
        <v>18</v>
      </c>
      <c r="F4094" t="s">
        <v>109</v>
      </c>
      <c r="G4094" t="s">
        <v>46</v>
      </c>
      <c r="H4094" s="1">
        <v>42908</v>
      </c>
      <c r="I4094" s="1">
        <v>42919</v>
      </c>
      <c r="J4094">
        <v>0</v>
      </c>
    </row>
    <row r="4095" spans="1:10" x14ac:dyDescent="0.3">
      <c r="A4095" t="s">
        <v>4226</v>
      </c>
      <c r="B4095" t="s">
        <v>26</v>
      </c>
      <c r="C4095" t="str">
        <f>_xlfn.XLOOKUP(B4095,
[1]sales_teams!$A$2:$A$100,
[1]sales_teams!$B$2:$B$100)</f>
        <v>Dustin Brinkmann</v>
      </c>
      <c r="D4095" t="str">
        <f>_xlfn.XLOOKUP($B4095,sales_teams!$A$2:$A$36,sales_teams!C$2:C$36)</f>
        <v>Central</v>
      </c>
      <c r="E4095" t="s">
        <v>39</v>
      </c>
      <c r="F4095" t="s">
        <v>45</v>
      </c>
      <c r="G4095" t="s">
        <v>46</v>
      </c>
      <c r="H4095" s="1">
        <v>42908</v>
      </c>
      <c r="I4095" s="1">
        <v>42958</v>
      </c>
      <c r="J4095">
        <v>0</v>
      </c>
    </row>
    <row r="4096" spans="1:10" x14ac:dyDescent="0.3">
      <c r="A4096" t="s">
        <v>4227</v>
      </c>
      <c r="B4096" t="s">
        <v>26</v>
      </c>
      <c r="C4096" t="str">
        <f>_xlfn.XLOOKUP(B4096,
[1]sales_teams!$A$2:$A$100,
[1]sales_teams!$B$2:$B$100)</f>
        <v>Dustin Brinkmann</v>
      </c>
      <c r="D4096" t="str">
        <f>_xlfn.XLOOKUP($B4096,sales_teams!$A$2:$A$36,sales_teams!C$2:C$36)</f>
        <v>Central</v>
      </c>
      <c r="E4096" t="s">
        <v>48</v>
      </c>
      <c r="F4096" t="s">
        <v>111</v>
      </c>
      <c r="G4096" t="s">
        <v>12</v>
      </c>
      <c r="H4096" s="1">
        <v>42908</v>
      </c>
      <c r="I4096" s="1">
        <v>42990</v>
      </c>
      <c r="J4096">
        <v>6250</v>
      </c>
    </row>
    <row r="4097" spans="1:10" x14ac:dyDescent="0.3">
      <c r="A4097" t="s">
        <v>4228</v>
      </c>
      <c r="B4097" t="s">
        <v>202</v>
      </c>
      <c r="C4097" t="str">
        <f>_xlfn.XLOOKUP(B4097,
[1]sales_teams!$A$2:$A$100,
[1]sales_teams!$B$2:$B$100)</f>
        <v>Dustin Brinkmann</v>
      </c>
      <c r="D4097" t="str">
        <f>_xlfn.XLOOKUP($B4097,sales_teams!$A$2:$A$36,sales_teams!C$2:C$36)</f>
        <v>Central</v>
      </c>
      <c r="E4097" t="s">
        <v>39</v>
      </c>
      <c r="F4097" t="s">
        <v>315</v>
      </c>
      <c r="G4097" t="s">
        <v>12</v>
      </c>
      <c r="H4097" s="1">
        <v>42908</v>
      </c>
      <c r="I4097" s="1">
        <v>42990</v>
      </c>
      <c r="J4097">
        <v>3510</v>
      </c>
    </row>
    <row r="4098" spans="1:10" x14ac:dyDescent="0.3">
      <c r="A4098" t="s">
        <v>4229</v>
      </c>
      <c r="B4098" t="s">
        <v>64</v>
      </c>
      <c r="C4098" t="str">
        <f>_xlfn.XLOOKUP(B4098,
[1]sales_teams!$A$2:$A$100,
[1]sales_teams!$B$2:$B$100)</f>
        <v>Rocco Neubert</v>
      </c>
      <c r="D4098" t="str">
        <f>_xlfn.XLOOKUP($B4098,sales_teams!$A$2:$A$36,sales_teams!C$2:C$36)</f>
        <v>East</v>
      </c>
      <c r="E4098" t="s">
        <v>18</v>
      </c>
      <c r="G4098" t="s">
        <v>40</v>
      </c>
      <c r="H4098" s="1">
        <v>42908</v>
      </c>
    </row>
    <row r="4099" spans="1:10" x14ac:dyDescent="0.3">
      <c r="A4099" t="s">
        <v>4230</v>
      </c>
      <c r="B4099" t="s">
        <v>64</v>
      </c>
      <c r="C4099" t="str">
        <f>_xlfn.XLOOKUP(B4099,
[1]sales_teams!$A$2:$A$100,
[1]sales_teams!$B$2:$B$100)</f>
        <v>Rocco Neubert</v>
      </c>
      <c r="D4099" t="str">
        <f>_xlfn.XLOOKUP($B4099,sales_teams!$A$2:$A$36,sales_teams!C$2:C$36)</f>
        <v>East</v>
      </c>
      <c r="E4099" t="s">
        <v>10</v>
      </c>
      <c r="F4099" t="s">
        <v>189</v>
      </c>
      <c r="G4099" t="s">
        <v>12</v>
      </c>
      <c r="H4099" s="1">
        <v>42908</v>
      </c>
      <c r="I4099" s="1">
        <v>42989</v>
      </c>
      <c r="J4099">
        <v>1078</v>
      </c>
    </row>
    <row r="4100" spans="1:10" x14ac:dyDescent="0.3">
      <c r="A4100" t="s">
        <v>4231</v>
      </c>
      <c r="B4100" t="s">
        <v>142</v>
      </c>
      <c r="C4100" t="str">
        <f>_xlfn.XLOOKUP(B4100,
[1]sales_teams!$A$2:$A$100,
[1]sales_teams!$B$2:$B$100)</f>
        <v>Rocco Neubert</v>
      </c>
      <c r="D4100" t="str">
        <f>_xlfn.XLOOKUP($B4100,sales_teams!$A$2:$A$36,sales_teams!C$2:C$36)</f>
        <v>East</v>
      </c>
      <c r="E4100" t="s">
        <v>20</v>
      </c>
      <c r="F4100" t="s">
        <v>222</v>
      </c>
      <c r="G4100" t="s">
        <v>12</v>
      </c>
      <c r="H4100" s="1">
        <v>42908</v>
      </c>
      <c r="I4100" s="1">
        <v>42918</v>
      </c>
      <c r="J4100">
        <v>553</v>
      </c>
    </row>
    <row r="4101" spans="1:10" x14ac:dyDescent="0.3">
      <c r="A4101" t="s">
        <v>4232</v>
      </c>
      <c r="B4101" t="s">
        <v>252</v>
      </c>
      <c r="C4101" t="str">
        <f>_xlfn.XLOOKUP(B4101,
[1]sales_teams!$A$2:$A$100,
[1]sales_teams!$B$2:$B$100)</f>
        <v>Melvin Marxen</v>
      </c>
      <c r="D4101" t="str">
        <f>_xlfn.XLOOKUP($B4101,sales_teams!$A$2:$A$36,sales_teams!C$2:C$36)</f>
        <v>Central</v>
      </c>
      <c r="E4101" t="s">
        <v>20</v>
      </c>
      <c r="F4101" t="s">
        <v>170</v>
      </c>
      <c r="G4101" t="s">
        <v>12</v>
      </c>
      <c r="H4101" s="1">
        <v>42908</v>
      </c>
      <c r="I4101" s="1">
        <v>42974</v>
      </c>
      <c r="J4101">
        <v>612</v>
      </c>
    </row>
    <row r="4102" spans="1:10" x14ac:dyDescent="0.3">
      <c r="A4102" t="s">
        <v>4233</v>
      </c>
      <c r="B4102" t="s">
        <v>252</v>
      </c>
      <c r="C4102" t="str">
        <f>_xlfn.XLOOKUP(B4102,
[1]sales_teams!$A$2:$A$100,
[1]sales_teams!$B$2:$B$100)</f>
        <v>Melvin Marxen</v>
      </c>
      <c r="D4102" t="str">
        <f>_xlfn.XLOOKUP($B4102,sales_teams!$A$2:$A$36,sales_teams!C$2:C$36)</f>
        <v>Central</v>
      </c>
      <c r="E4102" t="s">
        <v>10</v>
      </c>
      <c r="F4102" t="s">
        <v>135</v>
      </c>
      <c r="G4102" t="s">
        <v>12</v>
      </c>
      <c r="H4102" s="1">
        <v>42908</v>
      </c>
      <c r="I4102" s="1">
        <v>42912</v>
      </c>
      <c r="J4102">
        <v>1033</v>
      </c>
    </row>
    <row r="4103" spans="1:10" x14ac:dyDescent="0.3">
      <c r="A4103" t="s">
        <v>4234</v>
      </c>
      <c r="B4103" t="s">
        <v>252</v>
      </c>
      <c r="C4103" t="str">
        <f>_xlfn.XLOOKUP(B4103,
[1]sales_teams!$A$2:$A$100,
[1]sales_teams!$B$2:$B$100)</f>
        <v>Melvin Marxen</v>
      </c>
      <c r="D4103" t="str">
        <f>_xlfn.XLOOKUP($B4103,sales_teams!$A$2:$A$36,sales_teams!C$2:C$36)</f>
        <v>Central</v>
      </c>
      <c r="E4103" t="s">
        <v>10</v>
      </c>
      <c r="F4103" t="s">
        <v>318</v>
      </c>
      <c r="G4103" t="s">
        <v>12</v>
      </c>
      <c r="H4103" s="1">
        <v>42908</v>
      </c>
      <c r="I4103" s="1">
        <v>42991</v>
      </c>
      <c r="J4103">
        <v>1051</v>
      </c>
    </row>
    <row r="4104" spans="1:10" x14ac:dyDescent="0.3">
      <c r="A4104" t="s">
        <v>4235</v>
      </c>
      <c r="B4104" t="s">
        <v>95</v>
      </c>
      <c r="C4104" t="str">
        <f>_xlfn.XLOOKUP(B4104,
[1]sales_teams!$A$2:$A$100,
[1]sales_teams!$B$2:$B$100)</f>
        <v>Summer Sewald</v>
      </c>
      <c r="D4104" t="str">
        <f>_xlfn.XLOOKUP($B4104,sales_teams!$A$2:$A$36,sales_teams!C$2:C$36)</f>
        <v>West</v>
      </c>
      <c r="E4104" t="s">
        <v>20</v>
      </c>
      <c r="F4104" t="s">
        <v>159</v>
      </c>
      <c r="G4104" t="s">
        <v>12</v>
      </c>
      <c r="H4104" s="1">
        <v>42908</v>
      </c>
      <c r="I4104" s="1">
        <v>43000</v>
      </c>
      <c r="J4104">
        <v>628</v>
      </c>
    </row>
    <row r="4105" spans="1:10" x14ac:dyDescent="0.3">
      <c r="A4105" t="s">
        <v>4236</v>
      </c>
      <c r="B4105" t="s">
        <v>32</v>
      </c>
      <c r="C4105" t="str">
        <f>_xlfn.XLOOKUP(B4105,
[1]sales_teams!$A$2:$A$100,
[1]sales_teams!$B$2:$B$100)</f>
        <v>Celia Rouche</v>
      </c>
      <c r="D4105" t="str">
        <f>_xlfn.XLOOKUP($B4105,sales_teams!$A$2:$A$36,sales_teams!C$2:C$36)</f>
        <v>West</v>
      </c>
      <c r="E4105" t="s">
        <v>48</v>
      </c>
      <c r="F4105" t="s">
        <v>100</v>
      </c>
      <c r="G4105" t="s">
        <v>12</v>
      </c>
      <c r="H4105" s="1">
        <v>42908</v>
      </c>
      <c r="I4105" s="1">
        <v>42982</v>
      </c>
      <c r="J4105">
        <v>4916</v>
      </c>
    </row>
    <row r="4106" spans="1:10" x14ac:dyDescent="0.3">
      <c r="A4106" t="s">
        <v>4237</v>
      </c>
      <c r="B4106" t="s">
        <v>116</v>
      </c>
      <c r="C4106" t="str">
        <f>_xlfn.XLOOKUP(B4106,
[1]sales_teams!$A$2:$A$100,
[1]sales_teams!$B$2:$B$100)</f>
        <v>Melvin Marxen</v>
      </c>
      <c r="D4106" t="str">
        <f>_xlfn.XLOOKUP($B4106,sales_teams!$A$2:$A$36,sales_teams!C$2:C$36)</f>
        <v>Central</v>
      </c>
      <c r="E4106" t="s">
        <v>39</v>
      </c>
      <c r="F4106" t="s">
        <v>111</v>
      </c>
      <c r="G4106" t="s">
        <v>12</v>
      </c>
      <c r="H4106" s="1">
        <v>42908</v>
      </c>
      <c r="I4106" s="1">
        <v>43006</v>
      </c>
      <c r="J4106">
        <v>3590</v>
      </c>
    </row>
    <row r="4107" spans="1:10" x14ac:dyDescent="0.3">
      <c r="A4107" t="s">
        <v>4238</v>
      </c>
      <c r="B4107" t="s">
        <v>9</v>
      </c>
      <c r="C4107" t="str">
        <f>_xlfn.XLOOKUP(B4107,
[1]sales_teams!$A$2:$A$100,
[1]sales_teams!$B$2:$B$100)</f>
        <v>Dustin Brinkmann</v>
      </c>
      <c r="D4107" t="str">
        <f>_xlfn.XLOOKUP($B4107,sales_teams!$A$2:$A$36,sales_teams!C$2:C$36)</f>
        <v>Central</v>
      </c>
      <c r="E4107" t="s">
        <v>39</v>
      </c>
      <c r="F4107" t="s">
        <v>207</v>
      </c>
      <c r="G4107" t="s">
        <v>12</v>
      </c>
      <c r="H4107" s="1">
        <v>42908</v>
      </c>
      <c r="I4107" s="1">
        <v>42963</v>
      </c>
      <c r="J4107">
        <v>3207</v>
      </c>
    </row>
    <row r="4108" spans="1:10" x14ac:dyDescent="0.3">
      <c r="A4108" t="s">
        <v>4239</v>
      </c>
      <c r="B4108" t="s">
        <v>9</v>
      </c>
      <c r="C4108" t="str">
        <f>_xlfn.XLOOKUP(B4108,
[1]sales_teams!$A$2:$A$100,
[1]sales_teams!$B$2:$B$100)</f>
        <v>Dustin Brinkmann</v>
      </c>
      <c r="D4108" t="str">
        <f>_xlfn.XLOOKUP($B4108,sales_teams!$A$2:$A$36,sales_teams!C$2:C$36)</f>
        <v>Central</v>
      </c>
      <c r="E4108" t="s">
        <v>39</v>
      </c>
      <c r="F4108" t="s">
        <v>36</v>
      </c>
      <c r="G4108" t="s">
        <v>12</v>
      </c>
      <c r="H4108" s="1">
        <v>42908</v>
      </c>
      <c r="I4108" s="1">
        <v>42999</v>
      </c>
      <c r="J4108">
        <v>2739</v>
      </c>
    </row>
    <row r="4109" spans="1:10" x14ac:dyDescent="0.3">
      <c r="A4109" t="s">
        <v>4240</v>
      </c>
      <c r="B4109" t="s">
        <v>35</v>
      </c>
      <c r="C4109" t="str">
        <f>_xlfn.XLOOKUP(B4109,
[1]sales_teams!$A$2:$A$100,
[1]sales_teams!$B$2:$B$100)</f>
        <v>Melvin Marxen</v>
      </c>
      <c r="D4109" t="str">
        <f>_xlfn.XLOOKUP($B4109,sales_teams!$A$2:$A$36,sales_teams!C$2:C$36)</f>
        <v>Central</v>
      </c>
      <c r="E4109" t="s">
        <v>20</v>
      </c>
      <c r="F4109" t="s">
        <v>109</v>
      </c>
      <c r="G4109" t="s">
        <v>12</v>
      </c>
      <c r="H4109" s="1">
        <v>42908</v>
      </c>
      <c r="I4109" s="1">
        <v>42919</v>
      </c>
      <c r="J4109">
        <v>557</v>
      </c>
    </row>
    <row r="4110" spans="1:10" x14ac:dyDescent="0.3">
      <c r="A4110" t="s">
        <v>4241</v>
      </c>
      <c r="B4110" t="s">
        <v>97</v>
      </c>
      <c r="C4110" t="str">
        <f>_xlfn.XLOOKUP(B4110,
[1]sales_teams!$A$2:$A$100,
[1]sales_teams!$B$2:$B$100)</f>
        <v>Rocco Neubert</v>
      </c>
      <c r="D4110" t="str">
        <f>_xlfn.XLOOKUP($B4110,sales_teams!$A$2:$A$36,sales_teams!C$2:C$36)</f>
        <v>East</v>
      </c>
      <c r="E4110" t="s">
        <v>15</v>
      </c>
      <c r="F4110" t="s">
        <v>278</v>
      </c>
      <c r="G4110" t="s">
        <v>12</v>
      </c>
      <c r="H4110" s="1">
        <v>42908</v>
      </c>
      <c r="I4110" s="1">
        <v>42916</v>
      </c>
      <c r="J4110">
        <v>5302</v>
      </c>
    </row>
    <row r="4111" spans="1:10" x14ac:dyDescent="0.3">
      <c r="A4111" t="s">
        <v>4242</v>
      </c>
      <c r="B4111" t="s">
        <v>61</v>
      </c>
      <c r="C4111" t="str">
        <f>_xlfn.XLOOKUP(B4111,
[1]sales_teams!$A$2:$A$100,
[1]sales_teams!$B$2:$B$100)</f>
        <v>Dustin Brinkmann</v>
      </c>
      <c r="D4111" t="str">
        <f>_xlfn.XLOOKUP($B4111,sales_teams!$A$2:$A$36,sales_teams!C$2:C$36)</f>
        <v>Central</v>
      </c>
      <c r="E4111" t="s">
        <v>18</v>
      </c>
      <c r="F4111" t="s">
        <v>207</v>
      </c>
      <c r="G4111" t="s">
        <v>46</v>
      </c>
      <c r="H4111" s="1">
        <v>42908</v>
      </c>
      <c r="I4111" s="1">
        <v>42973</v>
      </c>
      <c r="J4111">
        <v>0</v>
      </c>
    </row>
    <row r="4112" spans="1:10" x14ac:dyDescent="0.3">
      <c r="A4112" t="s">
        <v>4243</v>
      </c>
      <c r="B4112" t="s">
        <v>61</v>
      </c>
      <c r="C4112" t="str">
        <f>_xlfn.XLOOKUP(B4112,
[1]sales_teams!$A$2:$A$100,
[1]sales_teams!$B$2:$B$100)</f>
        <v>Dustin Brinkmann</v>
      </c>
      <c r="D4112" t="str">
        <f>_xlfn.XLOOKUP($B4112,sales_teams!$A$2:$A$36,sales_teams!C$2:C$36)</f>
        <v>Central</v>
      </c>
      <c r="E4112" t="s">
        <v>39</v>
      </c>
      <c r="F4112" t="s">
        <v>36</v>
      </c>
      <c r="G4112" t="s">
        <v>12</v>
      </c>
      <c r="H4112" s="1">
        <v>42908</v>
      </c>
      <c r="I4112" s="1">
        <v>42917</v>
      </c>
      <c r="J4112">
        <v>3465</v>
      </c>
    </row>
    <row r="4113" spans="1:10" x14ac:dyDescent="0.3">
      <c r="A4113" t="s">
        <v>4244</v>
      </c>
      <c r="B4113" t="s">
        <v>23</v>
      </c>
      <c r="C4113" t="str">
        <f>_xlfn.XLOOKUP(B4113,
[1]sales_teams!$A$2:$A$100,
[1]sales_teams!$B$2:$B$100)</f>
        <v>Summer Sewald</v>
      </c>
      <c r="D4113" t="str">
        <f>_xlfn.XLOOKUP($B4113,sales_teams!$A$2:$A$36,sales_teams!C$2:C$36)</f>
        <v>West</v>
      </c>
      <c r="E4113" t="s">
        <v>10</v>
      </c>
      <c r="G4113" t="s">
        <v>40</v>
      </c>
      <c r="H4113" s="1">
        <v>42908</v>
      </c>
    </row>
    <row r="4114" spans="1:10" x14ac:dyDescent="0.3">
      <c r="A4114" t="s">
        <v>4245</v>
      </c>
      <c r="B4114" t="s">
        <v>23</v>
      </c>
      <c r="C4114" t="str">
        <f>_xlfn.XLOOKUP(B4114,
[1]sales_teams!$A$2:$A$100,
[1]sales_teams!$B$2:$B$100)</f>
        <v>Summer Sewald</v>
      </c>
      <c r="D4114" t="str">
        <f>_xlfn.XLOOKUP($B4114,sales_teams!$A$2:$A$36,sales_teams!C$2:C$36)</f>
        <v>West</v>
      </c>
      <c r="E4114" t="s">
        <v>15</v>
      </c>
      <c r="F4114" t="s">
        <v>79</v>
      </c>
      <c r="G4114" t="s">
        <v>12</v>
      </c>
      <c r="H4114" s="1">
        <v>42908</v>
      </c>
      <c r="I4114" s="1">
        <v>42984</v>
      </c>
      <c r="J4114">
        <v>4356</v>
      </c>
    </row>
    <row r="4115" spans="1:10" x14ac:dyDescent="0.3">
      <c r="A4115" t="s">
        <v>4246</v>
      </c>
      <c r="B4115" t="s">
        <v>139</v>
      </c>
      <c r="C4115" t="str">
        <f>_xlfn.XLOOKUP(B4115,
[1]sales_teams!$A$2:$A$100,
[1]sales_teams!$B$2:$B$100)</f>
        <v>Rocco Neubert</v>
      </c>
      <c r="D4115" t="str">
        <f>_xlfn.XLOOKUP($B4115,sales_teams!$A$2:$A$36,sales_teams!C$2:C$36)</f>
        <v>East</v>
      </c>
      <c r="E4115" t="s">
        <v>15</v>
      </c>
      <c r="F4115" t="s">
        <v>237</v>
      </c>
      <c r="G4115" t="s">
        <v>12</v>
      </c>
      <c r="H4115" s="1">
        <v>42909</v>
      </c>
      <c r="I4115" s="1">
        <v>42999</v>
      </c>
      <c r="J4115">
        <v>5301</v>
      </c>
    </row>
    <row r="4116" spans="1:10" x14ac:dyDescent="0.3">
      <c r="A4116" t="s">
        <v>4247</v>
      </c>
      <c r="B4116" t="s">
        <v>118</v>
      </c>
      <c r="C4116" t="str">
        <f>_xlfn.XLOOKUP(B4116,
[1]sales_teams!$A$2:$A$100,
[1]sales_teams!$B$2:$B$100)</f>
        <v>Rocco Neubert</v>
      </c>
      <c r="D4116" t="str">
        <f>_xlfn.XLOOKUP($B4116,sales_teams!$A$2:$A$36,sales_teams!C$2:C$36)</f>
        <v>East</v>
      </c>
      <c r="E4116" t="s">
        <v>39</v>
      </c>
      <c r="G4116" t="s">
        <v>40</v>
      </c>
      <c r="H4116" s="1">
        <v>42909</v>
      </c>
    </row>
    <row r="4117" spans="1:10" x14ac:dyDescent="0.3">
      <c r="A4117" t="s">
        <v>4248</v>
      </c>
      <c r="B4117" t="s">
        <v>202</v>
      </c>
      <c r="C4117" t="str">
        <f>_xlfn.XLOOKUP(B4117,
[1]sales_teams!$A$2:$A$100,
[1]sales_teams!$B$2:$B$100)</f>
        <v>Dustin Brinkmann</v>
      </c>
      <c r="D4117" t="str">
        <f>_xlfn.XLOOKUP($B4117,sales_teams!$A$2:$A$36,sales_teams!C$2:C$36)</f>
        <v>Central</v>
      </c>
      <c r="E4117" t="s">
        <v>39</v>
      </c>
      <c r="F4117" t="s">
        <v>151</v>
      </c>
      <c r="G4117" t="s">
        <v>46</v>
      </c>
      <c r="H4117" s="1">
        <v>42909</v>
      </c>
      <c r="I4117" s="1">
        <v>42920</v>
      </c>
      <c r="J4117">
        <v>0</v>
      </c>
    </row>
    <row r="4118" spans="1:10" x14ac:dyDescent="0.3">
      <c r="A4118" t="s">
        <v>4249</v>
      </c>
      <c r="B4118" t="s">
        <v>202</v>
      </c>
      <c r="C4118" t="str">
        <f>_xlfn.XLOOKUP(B4118,
[1]sales_teams!$A$2:$A$100,
[1]sales_teams!$B$2:$B$100)</f>
        <v>Dustin Brinkmann</v>
      </c>
      <c r="D4118" t="str">
        <f>_xlfn.XLOOKUP($B4118,sales_teams!$A$2:$A$36,sales_teams!C$2:C$36)</f>
        <v>Central</v>
      </c>
      <c r="E4118" t="s">
        <v>18</v>
      </c>
      <c r="F4118" t="s">
        <v>62</v>
      </c>
      <c r="G4118" t="s">
        <v>12</v>
      </c>
      <c r="H4118" s="1">
        <v>42909</v>
      </c>
      <c r="I4118" s="1">
        <v>42921</v>
      </c>
      <c r="J4118">
        <v>66</v>
      </c>
    </row>
    <row r="4119" spans="1:10" x14ac:dyDescent="0.3">
      <c r="A4119" t="s">
        <v>4250</v>
      </c>
      <c r="B4119" t="s">
        <v>164</v>
      </c>
      <c r="C4119" t="str">
        <f>_xlfn.XLOOKUP(B4119,
[1]sales_teams!$A$2:$A$100,
[1]sales_teams!$B$2:$B$100)</f>
        <v>Cara Losch</v>
      </c>
      <c r="D4119" t="str">
        <f>_xlfn.XLOOKUP($B4119,sales_teams!$A$2:$A$36,sales_teams!C$2:C$36)</f>
        <v>East</v>
      </c>
      <c r="E4119" t="s">
        <v>20</v>
      </c>
      <c r="F4119" t="s">
        <v>74</v>
      </c>
      <c r="G4119" t="s">
        <v>46</v>
      </c>
      <c r="H4119" s="1">
        <v>42909</v>
      </c>
      <c r="I4119" s="1">
        <v>42919</v>
      </c>
      <c r="J4119">
        <v>0</v>
      </c>
    </row>
    <row r="4120" spans="1:10" x14ac:dyDescent="0.3">
      <c r="A4120" t="s">
        <v>4251</v>
      </c>
      <c r="B4120" t="s">
        <v>164</v>
      </c>
      <c r="C4120" t="str">
        <f>_xlfn.XLOOKUP(B4120,
[1]sales_teams!$A$2:$A$100,
[1]sales_teams!$B$2:$B$100)</f>
        <v>Cara Losch</v>
      </c>
      <c r="D4120" t="str">
        <f>_xlfn.XLOOKUP($B4120,sales_teams!$A$2:$A$36,sales_teams!C$2:C$36)</f>
        <v>East</v>
      </c>
      <c r="E4120" t="s">
        <v>15</v>
      </c>
      <c r="F4120" t="s">
        <v>98</v>
      </c>
      <c r="G4120" t="s">
        <v>46</v>
      </c>
      <c r="H4120" s="1">
        <v>42909</v>
      </c>
      <c r="I4120" s="1">
        <v>42917</v>
      </c>
      <c r="J4120">
        <v>0</v>
      </c>
    </row>
    <row r="4121" spans="1:10" x14ac:dyDescent="0.3">
      <c r="A4121" t="s">
        <v>4252</v>
      </c>
      <c r="B4121" t="s">
        <v>164</v>
      </c>
      <c r="C4121" t="str">
        <f>_xlfn.XLOOKUP(B4121,
[1]sales_teams!$A$2:$A$100,
[1]sales_teams!$B$2:$B$100)</f>
        <v>Cara Losch</v>
      </c>
      <c r="D4121" t="str">
        <f>_xlfn.XLOOKUP($B4121,sales_teams!$A$2:$A$36,sales_teams!C$2:C$36)</f>
        <v>East</v>
      </c>
      <c r="E4121" t="s">
        <v>48</v>
      </c>
      <c r="F4121" t="s">
        <v>518</v>
      </c>
      <c r="G4121" t="s">
        <v>12</v>
      </c>
      <c r="H4121" s="1">
        <v>42909</v>
      </c>
      <c r="I4121" s="1">
        <v>42917</v>
      </c>
      <c r="J4121">
        <v>5640</v>
      </c>
    </row>
    <row r="4122" spans="1:10" x14ac:dyDescent="0.3">
      <c r="A4122" t="s">
        <v>4253</v>
      </c>
      <c r="B4122" t="s">
        <v>64</v>
      </c>
      <c r="C4122" t="str">
        <f>_xlfn.XLOOKUP(B4122,
[1]sales_teams!$A$2:$A$100,
[1]sales_teams!$B$2:$B$100)</f>
        <v>Rocco Neubert</v>
      </c>
      <c r="D4122" t="str">
        <f>_xlfn.XLOOKUP($B4122,sales_teams!$A$2:$A$36,sales_teams!C$2:C$36)</f>
        <v>East</v>
      </c>
      <c r="E4122" t="s">
        <v>39</v>
      </c>
      <c r="F4122" t="s">
        <v>179</v>
      </c>
      <c r="G4122" t="s">
        <v>46</v>
      </c>
      <c r="H4122" s="1">
        <v>42909</v>
      </c>
      <c r="I4122" s="1">
        <v>42977</v>
      </c>
      <c r="J4122">
        <v>0</v>
      </c>
    </row>
    <row r="4123" spans="1:10" x14ac:dyDescent="0.3">
      <c r="A4123" t="s">
        <v>4254</v>
      </c>
      <c r="B4123" t="s">
        <v>64</v>
      </c>
      <c r="C4123" t="str">
        <f>_xlfn.XLOOKUP(B4123,
[1]sales_teams!$A$2:$A$100,
[1]sales_teams!$B$2:$B$100)</f>
        <v>Rocco Neubert</v>
      </c>
      <c r="D4123" t="str">
        <f>_xlfn.XLOOKUP($B4123,sales_teams!$A$2:$A$36,sales_teams!C$2:C$36)</f>
        <v>East</v>
      </c>
      <c r="E4123" t="s">
        <v>10</v>
      </c>
      <c r="F4123" t="s">
        <v>155</v>
      </c>
      <c r="G4123" t="s">
        <v>12</v>
      </c>
      <c r="H4123" s="1">
        <v>42909</v>
      </c>
      <c r="I4123" s="1">
        <v>43006</v>
      </c>
      <c r="J4123">
        <v>1291</v>
      </c>
    </row>
    <row r="4124" spans="1:10" x14ac:dyDescent="0.3">
      <c r="A4124" t="s">
        <v>4255</v>
      </c>
      <c r="B4124" t="s">
        <v>64</v>
      </c>
      <c r="C4124" t="str">
        <f>_xlfn.XLOOKUP(B4124,
[1]sales_teams!$A$2:$A$100,
[1]sales_teams!$B$2:$B$100)</f>
        <v>Rocco Neubert</v>
      </c>
      <c r="D4124" t="str">
        <f>_xlfn.XLOOKUP($B4124,sales_teams!$A$2:$A$36,sales_teams!C$2:C$36)</f>
        <v>East</v>
      </c>
      <c r="E4124" t="s">
        <v>15</v>
      </c>
      <c r="F4124" t="s">
        <v>106</v>
      </c>
      <c r="G4124" t="s">
        <v>12</v>
      </c>
      <c r="H4124" s="1">
        <v>42909</v>
      </c>
      <c r="I4124" s="1">
        <v>43005</v>
      </c>
      <c r="J4124">
        <v>3729</v>
      </c>
    </row>
    <row r="4125" spans="1:10" x14ac:dyDescent="0.3">
      <c r="A4125" t="s">
        <v>4256</v>
      </c>
      <c r="B4125" t="s">
        <v>14</v>
      </c>
      <c r="C4125" t="str">
        <f>_xlfn.XLOOKUP(B4125,
[1]sales_teams!$A$2:$A$100,
[1]sales_teams!$B$2:$B$100)</f>
        <v>Melvin Marxen</v>
      </c>
      <c r="D4125" t="str">
        <f>_xlfn.XLOOKUP($B4125,sales_teams!$A$2:$A$36,sales_teams!C$2:C$36)</f>
        <v>Central</v>
      </c>
      <c r="E4125" t="s">
        <v>15</v>
      </c>
      <c r="F4125" t="s">
        <v>62</v>
      </c>
      <c r="G4125" t="s">
        <v>46</v>
      </c>
      <c r="H4125" s="1">
        <v>42909</v>
      </c>
      <c r="I4125" s="1">
        <v>42970</v>
      </c>
      <c r="J4125">
        <v>0</v>
      </c>
    </row>
    <row r="4126" spans="1:10" x14ac:dyDescent="0.3">
      <c r="A4126" t="s">
        <v>4257</v>
      </c>
      <c r="B4126" t="s">
        <v>44</v>
      </c>
      <c r="C4126" t="str">
        <f>_xlfn.XLOOKUP(B4126,
[1]sales_teams!$A$2:$A$100,
[1]sales_teams!$B$2:$B$100)</f>
        <v>Melvin Marxen</v>
      </c>
      <c r="D4126" t="str">
        <f>_xlfn.XLOOKUP($B4126,sales_teams!$A$2:$A$36,sales_teams!C$2:C$36)</f>
        <v>Central</v>
      </c>
      <c r="E4126" t="s">
        <v>18</v>
      </c>
      <c r="F4126" t="s">
        <v>120</v>
      </c>
      <c r="G4126" t="s">
        <v>12</v>
      </c>
      <c r="H4126" s="1">
        <v>42909</v>
      </c>
      <c r="I4126" s="1">
        <v>42919</v>
      </c>
      <c r="J4126">
        <v>49</v>
      </c>
    </row>
    <row r="4127" spans="1:10" x14ac:dyDescent="0.3">
      <c r="A4127" t="s">
        <v>4258</v>
      </c>
      <c r="B4127" t="s">
        <v>54</v>
      </c>
      <c r="C4127" t="str">
        <f>_xlfn.XLOOKUP(B4127,
[1]sales_teams!$A$2:$A$100,
[1]sales_teams!$B$2:$B$100)</f>
        <v>Celia Rouche</v>
      </c>
      <c r="D4127" t="str">
        <f>_xlfn.XLOOKUP($B4127,sales_teams!$A$2:$A$36,sales_teams!C$2:C$36)</f>
        <v>West</v>
      </c>
      <c r="E4127" t="s">
        <v>39</v>
      </c>
      <c r="F4127" t="s">
        <v>273</v>
      </c>
      <c r="G4127" t="s">
        <v>46</v>
      </c>
      <c r="H4127" s="1">
        <v>42909</v>
      </c>
      <c r="I4127" s="1">
        <v>42919</v>
      </c>
      <c r="J4127">
        <v>0</v>
      </c>
    </row>
    <row r="4128" spans="1:10" x14ac:dyDescent="0.3">
      <c r="A4128" t="s">
        <v>4259</v>
      </c>
      <c r="B4128" t="s">
        <v>54</v>
      </c>
      <c r="C4128" t="str">
        <f>_xlfn.XLOOKUP(B4128,
[1]sales_teams!$A$2:$A$100,
[1]sales_teams!$B$2:$B$100)</f>
        <v>Celia Rouche</v>
      </c>
      <c r="D4128" t="str">
        <f>_xlfn.XLOOKUP($B4128,sales_teams!$A$2:$A$36,sales_teams!C$2:C$36)</f>
        <v>West</v>
      </c>
      <c r="E4128" t="s">
        <v>10</v>
      </c>
      <c r="F4128" t="s">
        <v>168</v>
      </c>
      <c r="G4128" t="s">
        <v>12</v>
      </c>
      <c r="H4128" s="1">
        <v>42909</v>
      </c>
      <c r="I4128" s="1">
        <v>42990</v>
      </c>
      <c r="J4128">
        <v>1099</v>
      </c>
    </row>
    <row r="4129" spans="1:10" x14ac:dyDescent="0.3">
      <c r="A4129" t="s">
        <v>4260</v>
      </c>
      <c r="B4129" t="s">
        <v>95</v>
      </c>
      <c r="C4129" t="str">
        <f>_xlfn.XLOOKUP(B4129,
[1]sales_teams!$A$2:$A$100,
[1]sales_teams!$B$2:$B$100)</f>
        <v>Summer Sewald</v>
      </c>
      <c r="D4129" t="str">
        <f>_xlfn.XLOOKUP($B4129,sales_teams!$A$2:$A$36,sales_teams!C$2:C$36)</f>
        <v>West</v>
      </c>
      <c r="E4129" t="s">
        <v>15</v>
      </c>
      <c r="F4129" t="s">
        <v>86</v>
      </c>
      <c r="G4129" t="s">
        <v>46</v>
      </c>
      <c r="H4129" s="1">
        <v>42909</v>
      </c>
      <c r="I4129" s="1">
        <v>42920</v>
      </c>
      <c r="J4129">
        <v>0</v>
      </c>
    </row>
    <row r="4130" spans="1:10" x14ac:dyDescent="0.3">
      <c r="A4130" t="s">
        <v>4261</v>
      </c>
      <c r="B4130" t="s">
        <v>133</v>
      </c>
      <c r="C4130" t="str">
        <f>_xlfn.XLOOKUP(B4130,
[1]sales_teams!$A$2:$A$100,
[1]sales_teams!$B$2:$B$100)</f>
        <v>Dustin Brinkmann</v>
      </c>
      <c r="D4130" t="str">
        <f>_xlfn.XLOOKUP($B4130,sales_teams!$A$2:$A$36,sales_teams!C$2:C$36)</f>
        <v>Central</v>
      </c>
      <c r="E4130" t="s">
        <v>39</v>
      </c>
      <c r="F4130" t="s">
        <v>218</v>
      </c>
      <c r="G4130" t="s">
        <v>46</v>
      </c>
      <c r="H4130" s="1">
        <v>42909</v>
      </c>
      <c r="I4130" s="1">
        <v>42919</v>
      </c>
      <c r="J4130">
        <v>0</v>
      </c>
    </row>
    <row r="4131" spans="1:10" x14ac:dyDescent="0.3">
      <c r="A4131" t="s">
        <v>4262</v>
      </c>
      <c r="B4131" t="s">
        <v>116</v>
      </c>
      <c r="C4131" t="str">
        <f>_xlfn.XLOOKUP(B4131,
[1]sales_teams!$A$2:$A$100,
[1]sales_teams!$B$2:$B$100)</f>
        <v>Melvin Marxen</v>
      </c>
      <c r="D4131" t="str">
        <f>_xlfn.XLOOKUP($B4131,sales_teams!$A$2:$A$36,sales_teams!C$2:C$36)</f>
        <v>Central</v>
      </c>
      <c r="E4131" t="s">
        <v>39</v>
      </c>
      <c r="F4131" t="s">
        <v>113</v>
      </c>
      <c r="G4131" t="s">
        <v>46</v>
      </c>
      <c r="H4131" s="1">
        <v>42909</v>
      </c>
      <c r="I4131" s="1">
        <v>43000</v>
      </c>
      <c r="J4131">
        <v>0</v>
      </c>
    </row>
    <row r="4132" spans="1:10" x14ac:dyDescent="0.3">
      <c r="A4132" t="s">
        <v>4263</v>
      </c>
      <c r="B4132" t="s">
        <v>35</v>
      </c>
      <c r="C4132" t="str">
        <f>_xlfn.XLOOKUP(B4132,
[1]sales_teams!$A$2:$A$100,
[1]sales_teams!$B$2:$B$100)</f>
        <v>Melvin Marxen</v>
      </c>
      <c r="D4132" t="str">
        <f>_xlfn.XLOOKUP($B4132,sales_teams!$A$2:$A$36,sales_teams!C$2:C$36)</f>
        <v>Central</v>
      </c>
      <c r="E4132" t="s">
        <v>10</v>
      </c>
      <c r="F4132" t="s">
        <v>218</v>
      </c>
      <c r="G4132" t="s">
        <v>12</v>
      </c>
      <c r="H4132" s="1">
        <v>42909</v>
      </c>
      <c r="I4132" s="1">
        <v>42918</v>
      </c>
      <c r="J4132">
        <v>932</v>
      </c>
    </row>
    <row r="4133" spans="1:10" x14ac:dyDescent="0.3">
      <c r="A4133" t="s">
        <v>4264</v>
      </c>
      <c r="B4133" t="s">
        <v>97</v>
      </c>
      <c r="C4133" t="str">
        <f>_xlfn.XLOOKUP(B4133,
[1]sales_teams!$A$2:$A$100,
[1]sales_teams!$B$2:$B$100)</f>
        <v>Rocco Neubert</v>
      </c>
      <c r="D4133" t="str">
        <f>_xlfn.XLOOKUP($B4133,sales_teams!$A$2:$A$36,sales_teams!C$2:C$36)</f>
        <v>East</v>
      </c>
      <c r="E4133" t="s">
        <v>20</v>
      </c>
      <c r="F4133" t="s">
        <v>143</v>
      </c>
      <c r="G4133" t="s">
        <v>46</v>
      </c>
      <c r="H4133" s="1">
        <v>42909</v>
      </c>
      <c r="I4133" s="1">
        <v>42917</v>
      </c>
      <c r="J4133">
        <v>0</v>
      </c>
    </row>
    <row r="4134" spans="1:10" x14ac:dyDescent="0.3">
      <c r="A4134" t="s">
        <v>4265</v>
      </c>
      <c r="B4134" t="s">
        <v>97</v>
      </c>
      <c r="C4134" t="str">
        <f>_xlfn.XLOOKUP(B4134,
[1]sales_teams!$A$2:$A$100,
[1]sales_teams!$B$2:$B$100)</f>
        <v>Rocco Neubert</v>
      </c>
      <c r="D4134" t="str">
        <f>_xlfn.XLOOKUP($B4134,sales_teams!$A$2:$A$36,sales_teams!C$2:C$36)</f>
        <v>East</v>
      </c>
      <c r="E4134" t="s">
        <v>10</v>
      </c>
      <c r="F4134" t="s">
        <v>209</v>
      </c>
      <c r="G4134" t="s">
        <v>12</v>
      </c>
      <c r="H4134" s="1">
        <v>42909</v>
      </c>
      <c r="I4134" s="1">
        <v>42920</v>
      </c>
      <c r="J4134">
        <v>880</v>
      </c>
    </row>
    <row r="4135" spans="1:10" x14ac:dyDescent="0.3">
      <c r="A4135" t="s">
        <v>4266</v>
      </c>
      <c r="B4135" t="s">
        <v>97</v>
      </c>
      <c r="C4135" t="str">
        <f>_xlfn.XLOOKUP(B4135,
[1]sales_teams!$A$2:$A$100,
[1]sales_teams!$B$2:$B$100)</f>
        <v>Rocco Neubert</v>
      </c>
      <c r="D4135" t="str">
        <f>_xlfn.XLOOKUP($B4135,sales_teams!$A$2:$A$36,sales_teams!C$2:C$36)</f>
        <v>East</v>
      </c>
      <c r="E4135" t="s">
        <v>15</v>
      </c>
      <c r="F4135" t="s">
        <v>81</v>
      </c>
      <c r="G4135" t="s">
        <v>12</v>
      </c>
      <c r="H4135" s="1">
        <v>42909</v>
      </c>
      <c r="I4135" s="1">
        <v>42996</v>
      </c>
      <c r="J4135">
        <v>4801</v>
      </c>
    </row>
    <row r="4136" spans="1:10" x14ac:dyDescent="0.3">
      <c r="A4136" t="s">
        <v>4267</v>
      </c>
      <c r="B4136" t="s">
        <v>88</v>
      </c>
      <c r="C4136" t="str">
        <f>_xlfn.XLOOKUP(B4136,
[1]sales_teams!$A$2:$A$100,
[1]sales_teams!$B$2:$B$100)</f>
        <v>Cara Losch</v>
      </c>
      <c r="D4136" t="str">
        <f>_xlfn.XLOOKUP($B4136,sales_teams!$A$2:$A$36,sales_teams!C$2:C$36)</f>
        <v>East</v>
      </c>
      <c r="E4136" t="s">
        <v>18</v>
      </c>
      <c r="F4136" t="s">
        <v>199</v>
      </c>
      <c r="G4136" t="s">
        <v>12</v>
      </c>
      <c r="H4136" s="1">
        <v>42909</v>
      </c>
      <c r="I4136" s="1">
        <v>42917</v>
      </c>
      <c r="J4136">
        <v>59</v>
      </c>
    </row>
    <row r="4137" spans="1:10" x14ac:dyDescent="0.3">
      <c r="A4137" t="s">
        <v>4268</v>
      </c>
      <c r="B4137" t="s">
        <v>61</v>
      </c>
      <c r="C4137" t="str">
        <f>_xlfn.XLOOKUP(B4137,
[1]sales_teams!$A$2:$A$100,
[1]sales_teams!$B$2:$B$100)</f>
        <v>Dustin Brinkmann</v>
      </c>
      <c r="D4137" t="str">
        <f>_xlfn.XLOOKUP($B4137,sales_teams!$A$2:$A$36,sales_teams!C$2:C$36)</f>
        <v>Central</v>
      </c>
      <c r="E4137" t="s">
        <v>18</v>
      </c>
      <c r="F4137" t="s">
        <v>129</v>
      </c>
      <c r="G4137" t="s">
        <v>46</v>
      </c>
      <c r="H4137" s="1">
        <v>42909</v>
      </c>
      <c r="I4137" s="1">
        <v>42921</v>
      </c>
      <c r="J4137">
        <v>0</v>
      </c>
    </row>
    <row r="4138" spans="1:10" x14ac:dyDescent="0.3">
      <c r="A4138" t="s">
        <v>4269</v>
      </c>
      <c r="B4138" t="s">
        <v>61</v>
      </c>
      <c r="C4138" t="str">
        <f>_xlfn.XLOOKUP(B4138,
[1]sales_teams!$A$2:$A$100,
[1]sales_teams!$B$2:$B$100)</f>
        <v>Dustin Brinkmann</v>
      </c>
      <c r="D4138" t="str">
        <f>_xlfn.XLOOKUP($B4138,sales_teams!$A$2:$A$36,sales_teams!C$2:C$36)</f>
        <v>Central</v>
      </c>
      <c r="E4138" t="s">
        <v>18</v>
      </c>
      <c r="F4138" t="s">
        <v>27</v>
      </c>
      <c r="G4138" t="s">
        <v>12</v>
      </c>
      <c r="H4138" s="1">
        <v>42909</v>
      </c>
      <c r="I4138" s="1">
        <v>43007</v>
      </c>
      <c r="J4138">
        <v>52</v>
      </c>
    </row>
    <row r="4139" spans="1:10" x14ac:dyDescent="0.3">
      <c r="A4139" t="s">
        <v>4270</v>
      </c>
      <c r="B4139" t="s">
        <v>61</v>
      </c>
      <c r="C4139" t="str">
        <f>_xlfn.XLOOKUP(B4139,
[1]sales_teams!$A$2:$A$100,
[1]sales_teams!$B$2:$B$100)</f>
        <v>Dustin Brinkmann</v>
      </c>
      <c r="D4139" t="str">
        <f>_xlfn.XLOOKUP($B4139,sales_teams!$A$2:$A$36,sales_teams!C$2:C$36)</f>
        <v>Central</v>
      </c>
      <c r="E4139" t="s">
        <v>39</v>
      </c>
      <c r="F4139" t="s">
        <v>111</v>
      </c>
      <c r="G4139" t="s">
        <v>12</v>
      </c>
      <c r="H4139" s="1">
        <v>42909</v>
      </c>
      <c r="I4139" s="1">
        <v>42999</v>
      </c>
      <c r="J4139">
        <v>2949</v>
      </c>
    </row>
    <row r="4140" spans="1:10" x14ac:dyDescent="0.3">
      <c r="A4140" t="s">
        <v>4271</v>
      </c>
      <c r="B4140" t="s">
        <v>29</v>
      </c>
      <c r="C4140" t="str">
        <f>_xlfn.XLOOKUP(B4140,
[1]sales_teams!$A$2:$A$100,
[1]sales_teams!$B$2:$B$100)</f>
        <v>Celia Rouche</v>
      </c>
      <c r="D4140" t="str">
        <f>_xlfn.XLOOKUP($B4140,sales_teams!$A$2:$A$36,sales_teams!C$2:C$36)</f>
        <v>West</v>
      </c>
      <c r="E4140" t="s">
        <v>15</v>
      </c>
      <c r="F4140" t="s">
        <v>224</v>
      </c>
      <c r="G4140" t="s">
        <v>46</v>
      </c>
      <c r="H4140" s="1">
        <v>42909</v>
      </c>
      <c r="I4140" s="1">
        <v>42922</v>
      </c>
      <c r="J4140">
        <v>0</v>
      </c>
    </row>
    <row r="4141" spans="1:10" x14ac:dyDescent="0.3">
      <c r="A4141" t="s">
        <v>4272</v>
      </c>
      <c r="B4141" t="s">
        <v>73</v>
      </c>
      <c r="C4141" t="str">
        <f>_xlfn.XLOOKUP(B4141,
[1]sales_teams!$A$2:$A$100,
[1]sales_teams!$B$2:$B$100)</f>
        <v>Cara Losch</v>
      </c>
      <c r="D4141" t="str">
        <f>_xlfn.XLOOKUP($B4141,sales_teams!$A$2:$A$36,sales_teams!C$2:C$36)</f>
        <v>East</v>
      </c>
      <c r="E4141" t="s">
        <v>18</v>
      </c>
      <c r="F4141" t="s">
        <v>204</v>
      </c>
      <c r="G4141" t="s">
        <v>40</v>
      </c>
      <c r="H4141" s="1">
        <v>42909</v>
      </c>
    </row>
    <row r="4142" spans="1:10" x14ac:dyDescent="0.3">
      <c r="A4142" t="s">
        <v>4273</v>
      </c>
      <c r="B4142" t="s">
        <v>73</v>
      </c>
      <c r="C4142" t="str">
        <f>_xlfn.XLOOKUP(B4142,
[1]sales_teams!$A$2:$A$100,
[1]sales_teams!$B$2:$B$100)</f>
        <v>Cara Losch</v>
      </c>
      <c r="D4142" t="str">
        <f>_xlfn.XLOOKUP($B4142,sales_teams!$A$2:$A$36,sales_teams!C$2:C$36)</f>
        <v>East</v>
      </c>
      <c r="E4142" t="s">
        <v>18</v>
      </c>
      <c r="F4142" t="s">
        <v>199</v>
      </c>
      <c r="G4142" t="s">
        <v>12</v>
      </c>
      <c r="H4142" s="1">
        <v>42909</v>
      </c>
      <c r="I4142" s="1">
        <v>42962</v>
      </c>
      <c r="J4142">
        <v>50</v>
      </c>
    </row>
    <row r="4143" spans="1:10" x14ac:dyDescent="0.3">
      <c r="A4143" t="s">
        <v>4274</v>
      </c>
      <c r="B4143" t="s">
        <v>73</v>
      </c>
      <c r="C4143" t="str">
        <f>_xlfn.XLOOKUP(B4143,
[1]sales_teams!$A$2:$A$100,
[1]sales_teams!$B$2:$B$100)</f>
        <v>Cara Losch</v>
      </c>
      <c r="D4143" t="str">
        <f>_xlfn.XLOOKUP($B4143,sales_teams!$A$2:$A$36,sales_teams!C$2:C$36)</f>
        <v>East</v>
      </c>
      <c r="E4143" t="s">
        <v>39</v>
      </c>
      <c r="F4143" t="s">
        <v>215</v>
      </c>
      <c r="G4143" t="s">
        <v>12</v>
      </c>
      <c r="H4143" s="1">
        <v>42909</v>
      </c>
      <c r="I4143" s="1">
        <v>42916</v>
      </c>
      <c r="J4143">
        <v>3863</v>
      </c>
    </row>
    <row r="4144" spans="1:10" x14ac:dyDescent="0.3">
      <c r="A4144" t="s">
        <v>4275</v>
      </c>
      <c r="B4144" t="s">
        <v>23</v>
      </c>
      <c r="C4144" t="str">
        <f>_xlfn.XLOOKUP(B4144,
[1]sales_teams!$A$2:$A$100,
[1]sales_teams!$B$2:$B$100)</f>
        <v>Summer Sewald</v>
      </c>
      <c r="D4144" t="str">
        <f>_xlfn.XLOOKUP($B4144,sales_teams!$A$2:$A$36,sales_teams!C$2:C$36)</f>
        <v>West</v>
      </c>
      <c r="E4144" t="s">
        <v>15</v>
      </c>
      <c r="F4144" t="s">
        <v>155</v>
      </c>
      <c r="G4144" t="s">
        <v>40</v>
      </c>
      <c r="H4144" s="1">
        <v>42909</v>
      </c>
    </row>
    <row r="4145" spans="1:10" x14ac:dyDescent="0.3">
      <c r="A4145" t="s">
        <v>4276</v>
      </c>
      <c r="B4145" t="s">
        <v>23</v>
      </c>
      <c r="C4145" t="str">
        <f>_xlfn.XLOOKUP(B4145,
[1]sales_teams!$A$2:$A$100,
[1]sales_teams!$B$2:$B$100)</f>
        <v>Summer Sewald</v>
      </c>
      <c r="D4145" t="str">
        <f>_xlfn.XLOOKUP($B4145,sales_teams!$A$2:$A$36,sales_teams!C$2:C$36)</f>
        <v>West</v>
      </c>
      <c r="E4145" t="s">
        <v>20</v>
      </c>
      <c r="F4145" t="s">
        <v>122</v>
      </c>
      <c r="G4145" t="s">
        <v>46</v>
      </c>
      <c r="H4145" s="1">
        <v>42909</v>
      </c>
      <c r="I4145" s="1">
        <v>42920</v>
      </c>
      <c r="J4145">
        <v>0</v>
      </c>
    </row>
    <row r="4146" spans="1:10" x14ac:dyDescent="0.3">
      <c r="A4146" t="s">
        <v>4277</v>
      </c>
      <c r="B4146" t="s">
        <v>26</v>
      </c>
      <c r="C4146" t="str">
        <f>_xlfn.XLOOKUP(B4146,
[1]sales_teams!$A$2:$A$100,
[1]sales_teams!$B$2:$B$100)</f>
        <v>Dustin Brinkmann</v>
      </c>
      <c r="D4146" t="str">
        <f>_xlfn.XLOOKUP($B4146,sales_teams!$A$2:$A$36,sales_teams!C$2:C$36)</f>
        <v>Central</v>
      </c>
      <c r="E4146" t="s">
        <v>18</v>
      </c>
      <c r="F4146" t="s">
        <v>111</v>
      </c>
      <c r="G4146" t="s">
        <v>12</v>
      </c>
      <c r="H4146" s="1">
        <v>42910</v>
      </c>
      <c r="I4146" s="1">
        <v>42918</v>
      </c>
      <c r="J4146">
        <v>64</v>
      </c>
    </row>
    <row r="4147" spans="1:10" x14ac:dyDescent="0.3">
      <c r="A4147" t="s">
        <v>4278</v>
      </c>
      <c r="B4147" t="s">
        <v>139</v>
      </c>
      <c r="C4147" t="str">
        <f>_xlfn.XLOOKUP(B4147,
[1]sales_teams!$A$2:$A$100,
[1]sales_teams!$B$2:$B$100)</f>
        <v>Rocco Neubert</v>
      </c>
      <c r="D4147" t="str">
        <f>_xlfn.XLOOKUP($B4147,sales_teams!$A$2:$A$36,sales_teams!C$2:C$36)</f>
        <v>East</v>
      </c>
      <c r="E4147" t="s">
        <v>48</v>
      </c>
      <c r="G4147" t="s">
        <v>40</v>
      </c>
      <c r="H4147" s="1">
        <v>42910</v>
      </c>
    </row>
    <row r="4148" spans="1:10" x14ac:dyDescent="0.3">
      <c r="A4148" t="s">
        <v>4279</v>
      </c>
      <c r="B4148" t="s">
        <v>164</v>
      </c>
      <c r="C4148" t="str">
        <f>_xlfn.XLOOKUP(B4148,
[1]sales_teams!$A$2:$A$100,
[1]sales_teams!$B$2:$B$100)</f>
        <v>Cara Losch</v>
      </c>
      <c r="D4148" t="str">
        <f>_xlfn.XLOOKUP($B4148,sales_teams!$A$2:$A$36,sales_teams!C$2:C$36)</f>
        <v>East</v>
      </c>
      <c r="E4148" t="s">
        <v>15</v>
      </c>
      <c r="G4148" t="s">
        <v>40</v>
      </c>
      <c r="H4148" s="1">
        <v>42910</v>
      </c>
    </row>
    <row r="4149" spans="1:10" x14ac:dyDescent="0.3">
      <c r="A4149" t="s">
        <v>4280</v>
      </c>
      <c r="B4149" t="s">
        <v>164</v>
      </c>
      <c r="C4149" t="str">
        <f>_xlfn.XLOOKUP(B4149,
[1]sales_teams!$A$2:$A$100,
[1]sales_teams!$B$2:$B$100)</f>
        <v>Cara Losch</v>
      </c>
      <c r="D4149" t="str">
        <f>_xlfn.XLOOKUP($B4149,sales_teams!$A$2:$A$36,sales_teams!C$2:C$36)</f>
        <v>East</v>
      </c>
      <c r="E4149" t="s">
        <v>10</v>
      </c>
      <c r="F4149" t="s">
        <v>189</v>
      </c>
      <c r="G4149" t="s">
        <v>46</v>
      </c>
      <c r="H4149" s="1">
        <v>42910</v>
      </c>
      <c r="I4149" s="1">
        <v>42919</v>
      </c>
      <c r="J4149">
        <v>0</v>
      </c>
    </row>
    <row r="4150" spans="1:10" x14ac:dyDescent="0.3">
      <c r="A4150" t="s">
        <v>4281</v>
      </c>
      <c r="B4150" t="s">
        <v>164</v>
      </c>
      <c r="C4150" t="str">
        <f>_xlfn.XLOOKUP(B4150,
[1]sales_teams!$A$2:$A$100,
[1]sales_teams!$B$2:$B$100)</f>
        <v>Cara Losch</v>
      </c>
      <c r="D4150" t="str">
        <f>_xlfn.XLOOKUP($B4150,sales_teams!$A$2:$A$36,sales_teams!C$2:C$36)</f>
        <v>East</v>
      </c>
      <c r="E4150" t="s">
        <v>48</v>
      </c>
      <c r="F4150" t="s">
        <v>179</v>
      </c>
      <c r="G4150" t="s">
        <v>12</v>
      </c>
      <c r="H4150" s="1">
        <v>42910</v>
      </c>
      <c r="I4150" s="1">
        <v>42969</v>
      </c>
      <c r="J4150">
        <v>5038</v>
      </c>
    </row>
    <row r="4151" spans="1:10" x14ac:dyDescent="0.3">
      <c r="A4151" t="s">
        <v>4282</v>
      </c>
      <c r="B4151" t="s">
        <v>164</v>
      </c>
      <c r="C4151" t="str">
        <f>_xlfn.XLOOKUP(B4151,
[1]sales_teams!$A$2:$A$100,
[1]sales_teams!$B$2:$B$100)</f>
        <v>Cara Losch</v>
      </c>
      <c r="D4151" t="str">
        <f>_xlfn.XLOOKUP($B4151,sales_teams!$A$2:$A$36,sales_teams!C$2:C$36)</f>
        <v>East</v>
      </c>
      <c r="E4151" t="s">
        <v>15</v>
      </c>
      <c r="F4151" t="s">
        <v>89</v>
      </c>
      <c r="G4151" t="s">
        <v>12</v>
      </c>
      <c r="H4151" s="1">
        <v>42910</v>
      </c>
      <c r="I4151" s="1">
        <v>42918</v>
      </c>
      <c r="J4151">
        <v>5088</v>
      </c>
    </row>
    <row r="4152" spans="1:10" x14ac:dyDescent="0.3">
      <c r="A4152" t="s">
        <v>4283</v>
      </c>
      <c r="B4152" t="s">
        <v>44</v>
      </c>
      <c r="C4152" t="str">
        <f>_xlfn.XLOOKUP(B4152,
[1]sales_teams!$A$2:$A$100,
[1]sales_teams!$B$2:$B$100)</f>
        <v>Melvin Marxen</v>
      </c>
      <c r="D4152" t="str">
        <f>_xlfn.XLOOKUP($B4152,sales_teams!$A$2:$A$36,sales_teams!C$2:C$36)</f>
        <v>Central</v>
      </c>
      <c r="E4152" t="s">
        <v>18</v>
      </c>
      <c r="F4152" t="s">
        <v>187</v>
      </c>
      <c r="G4152" t="s">
        <v>12</v>
      </c>
      <c r="H4152" s="1">
        <v>42910</v>
      </c>
      <c r="I4152" s="1">
        <v>42961</v>
      </c>
      <c r="J4152">
        <v>48</v>
      </c>
    </row>
    <row r="4153" spans="1:10" x14ac:dyDescent="0.3">
      <c r="A4153" t="s">
        <v>4284</v>
      </c>
      <c r="B4153" t="s">
        <v>54</v>
      </c>
      <c r="C4153" t="str">
        <f>_xlfn.XLOOKUP(B4153,
[1]sales_teams!$A$2:$A$100,
[1]sales_teams!$B$2:$B$100)</f>
        <v>Celia Rouche</v>
      </c>
      <c r="D4153" t="str">
        <f>_xlfn.XLOOKUP($B4153,sales_teams!$A$2:$A$36,sales_teams!C$2:C$36)</f>
        <v>West</v>
      </c>
      <c r="E4153" t="s">
        <v>10</v>
      </c>
      <c r="F4153" t="s">
        <v>174</v>
      </c>
      <c r="G4153" t="s">
        <v>46</v>
      </c>
      <c r="H4153" s="1">
        <v>42910</v>
      </c>
      <c r="I4153" s="1">
        <v>42920</v>
      </c>
      <c r="J4153">
        <v>0</v>
      </c>
    </row>
    <row r="4154" spans="1:10" x14ac:dyDescent="0.3">
      <c r="A4154" t="s">
        <v>4285</v>
      </c>
      <c r="B4154" t="s">
        <v>95</v>
      </c>
      <c r="C4154" t="str">
        <f>_xlfn.XLOOKUP(B4154,
[1]sales_teams!$A$2:$A$100,
[1]sales_teams!$B$2:$B$100)</f>
        <v>Summer Sewald</v>
      </c>
      <c r="D4154" t="str">
        <f>_xlfn.XLOOKUP($B4154,sales_teams!$A$2:$A$36,sales_teams!C$2:C$36)</f>
        <v>West</v>
      </c>
      <c r="E4154" t="s">
        <v>15</v>
      </c>
      <c r="F4154" t="s">
        <v>204</v>
      </c>
      <c r="G4154" t="s">
        <v>40</v>
      </c>
      <c r="H4154" s="1">
        <v>42910</v>
      </c>
    </row>
    <row r="4155" spans="1:10" x14ac:dyDescent="0.3">
      <c r="A4155" t="s">
        <v>4286</v>
      </c>
      <c r="B4155" t="s">
        <v>95</v>
      </c>
      <c r="C4155" t="str">
        <f>_xlfn.XLOOKUP(B4155,
[1]sales_teams!$A$2:$A$100,
[1]sales_teams!$B$2:$B$100)</f>
        <v>Summer Sewald</v>
      </c>
      <c r="D4155" t="str">
        <f>_xlfn.XLOOKUP($B4155,sales_teams!$A$2:$A$36,sales_teams!C$2:C$36)</f>
        <v>West</v>
      </c>
      <c r="E4155" t="s">
        <v>10</v>
      </c>
      <c r="F4155" t="s">
        <v>100</v>
      </c>
      <c r="G4155" t="s">
        <v>46</v>
      </c>
      <c r="H4155" s="1">
        <v>42910</v>
      </c>
      <c r="I4155" s="1">
        <v>42986</v>
      </c>
      <c r="J4155">
        <v>0</v>
      </c>
    </row>
    <row r="4156" spans="1:10" x14ac:dyDescent="0.3">
      <c r="A4156" t="s">
        <v>4287</v>
      </c>
      <c r="B4156" t="s">
        <v>95</v>
      </c>
      <c r="C4156" t="str">
        <f>_xlfn.XLOOKUP(B4156,
[1]sales_teams!$A$2:$A$100,
[1]sales_teams!$B$2:$B$100)</f>
        <v>Summer Sewald</v>
      </c>
      <c r="D4156" t="str">
        <f>_xlfn.XLOOKUP($B4156,sales_teams!$A$2:$A$36,sales_teams!C$2:C$36)</f>
        <v>West</v>
      </c>
      <c r="E4156" t="s">
        <v>48</v>
      </c>
      <c r="F4156" t="s">
        <v>184</v>
      </c>
      <c r="G4156" t="s">
        <v>12</v>
      </c>
      <c r="H4156" s="1">
        <v>42910</v>
      </c>
      <c r="I4156" s="1">
        <v>43008</v>
      </c>
      <c r="J4156">
        <v>5056</v>
      </c>
    </row>
    <row r="4157" spans="1:10" x14ac:dyDescent="0.3">
      <c r="A4157" t="s">
        <v>4288</v>
      </c>
      <c r="B4157" t="s">
        <v>32</v>
      </c>
      <c r="C4157" t="str">
        <f>_xlfn.XLOOKUP(B4157,
[1]sales_teams!$A$2:$A$100,
[1]sales_teams!$B$2:$B$100)</f>
        <v>Celia Rouche</v>
      </c>
      <c r="D4157" t="str">
        <f>_xlfn.XLOOKUP($B4157,sales_teams!$A$2:$A$36,sales_teams!C$2:C$36)</f>
        <v>West</v>
      </c>
      <c r="E4157" t="s">
        <v>18</v>
      </c>
      <c r="F4157" t="s">
        <v>313</v>
      </c>
      <c r="G4157" t="s">
        <v>12</v>
      </c>
      <c r="H4157" s="1">
        <v>42910</v>
      </c>
      <c r="I4157" s="1">
        <v>42918</v>
      </c>
      <c r="J4157">
        <v>59</v>
      </c>
    </row>
    <row r="4158" spans="1:10" x14ac:dyDescent="0.3">
      <c r="A4158" t="s">
        <v>4289</v>
      </c>
      <c r="B4158" t="s">
        <v>51</v>
      </c>
      <c r="C4158" t="str">
        <f>_xlfn.XLOOKUP(B4158,
[1]sales_teams!$A$2:$A$100,
[1]sales_teams!$B$2:$B$100)</f>
        <v>Summer Sewald</v>
      </c>
      <c r="D4158" t="str">
        <f>_xlfn.XLOOKUP($B4158,sales_teams!$A$2:$A$36,sales_teams!C$2:C$36)</f>
        <v>West</v>
      </c>
      <c r="E4158" t="s">
        <v>10</v>
      </c>
      <c r="F4158" t="s">
        <v>33</v>
      </c>
      <c r="G4158" t="s">
        <v>46</v>
      </c>
      <c r="H4158" s="1">
        <v>42910</v>
      </c>
      <c r="I4158" s="1">
        <v>42967</v>
      </c>
      <c r="J4158">
        <v>0</v>
      </c>
    </row>
    <row r="4159" spans="1:10" x14ac:dyDescent="0.3">
      <c r="A4159" t="s">
        <v>4290</v>
      </c>
      <c r="B4159" t="s">
        <v>51</v>
      </c>
      <c r="C4159" t="str">
        <f>_xlfn.XLOOKUP(B4159,
[1]sales_teams!$A$2:$A$100,
[1]sales_teams!$B$2:$B$100)</f>
        <v>Summer Sewald</v>
      </c>
      <c r="D4159" t="str">
        <f>_xlfn.XLOOKUP($B4159,sales_teams!$A$2:$A$36,sales_teams!C$2:C$36)</f>
        <v>West</v>
      </c>
      <c r="E4159" t="s">
        <v>20</v>
      </c>
      <c r="F4159" t="s">
        <v>194</v>
      </c>
      <c r="G4159" t="s">
        <v>12</v>
      </c>
      <c r="H4159" s="1">
        <v>42910</v>
      </c>
      <c r="I4159" s="1">
        <v>42968</v>
      </c>
      <c r="J4159">
        <v>562</v>
      </c>
    </row>
    <row r="4160" spans="1:10" x14ac:dyDescent="0.3">
      <c r="A4160" t="s">
        <v>4291</v>
      </c>
      <c r="B4160" t="s">
        <v>9</v>
      </c>
      <c r="C4160" t="str">
        <f>_xlfn.XLOOKUP(B4160,
[1]sales_teams!$A$2:$A$100,
[1]sales_teams!$B$2:$B$100)</f>
        <v>Dustin Brinkmann</v>
      </c>
      <c r="D4160" t="str">
        <f>_xlfn.XLOOKUP($B4160,sales_teams!$A$2:$A$36,sales_teams!C$2:C$36)</f>
        <v>Central</v>
      </c>
      <c r="E4160" t="s">
        <v>18</v>
      </c>
      <c r="F4160" t="s">
        <v>21</v>
      </c>
      <c r="G4160" t="s">
        <v>12</v>
      </c>
      <c r="H4160" s="1">
        <v>42910</v>
      </c>
      <c r="I4160" s="1">
        <v>42988</v>
      </c>
      <c r="J4160">
        <v>63</v>
      </c>
    </row>
    <row r="4161" spans="1:10" x14ac:dyDescent="0.3">
      <c r="A4161" t="s">
        <v>4292</v>
      </c>
      <c r="B4161" t="s">
        <v>9</v>
      </c>
      <c r="C4161" t="str">
        <f>_xlfn.XLOOKUP(B4161,
[1]sales_teams!$A$2:$A$100,
[1]sales_teams!$B$2:$B$100)</f>
        <v>Dustin Brinkmann</v>
      </c>
      <c r="D4161" t="str">
        <f>_xlfn.XLOOKUP($B4161,sales_teams!$A$2:$A$36,sales_teams!C$2:C$36)</f>
        <v>Central</v>
      </c>
      <c r="E4161" t="s">
        <v>39</v>
      </c>
      <c r="F4161" t="s">
        <v>303</v>
      </c>
      <c r="G4161" t="s">
        <v>12</v>
      </c>
      <c r="H4161" s="1">
        <v>42910</v>
      </c>
      <c r="I4161" s="1">
        <v>42921</v>
      </c>
      <c r="J4161">
        <v>3355</v>
      </c>
    </row>
    <row r="4162" spans="1:10" x14ac:dyDescent="0.3">
      <c r="A4162" t="s">
        <v>4293</v>
      </c>
      <c r="B4162" t="s">
        <v>29</v>
      </c>
      <c r="C4162" t="str">
        <f>_xlfn.XLOOKUP(B4162,
[1]sales_teams!$A$2:$A$100,
[1]sales_teams!$B$2:$B$100)</f>
        <v>Celia Rouche</v>
      </c>
      <c r="D4162" t="str">
        <f>_xlfn.XLOOKUP($B4162,sales_teams!$A$2:$A$36,sales_teams!C$2:C$36)</f>
        <v>West</v>
      </c>
      <c r="E4162" t="s">
        <v>18</v>
      </c>
      <c r="G4162" t="s">
        <v>40</v>
      </c>
      <c r="H4162" s="1">
        <v>42910</v>
      </c>
    </row>
    <row r="4163" spans="1:10" x14ac:dyDescent="0.3">
      <c r="A4163" t="s">
        <v>4294</v>
      </c>
      <c r="B4163" t="s">
        <v>73</v>
      </c>
      <c r="C4163" t="str">
        <f>_xlfn.XLOOKUP(B4163,
[1]sales_teams!$A$2:$A$100,
[1]sales_teams!$B$2:$B$100)</f>
        <v>Cara Losch</v>
      </c>
      <c r="D4163" t="str">
        <f>_xlfn.XLOOKUP($B4163,sales_teams!$A$2:$A$36,sales_teams!C$2:C$36)</f>
        <v>East</v>
      </c>
      <c r="E4163" t="s">
        <v>39</v>
      </c>
      <c r="F4163" t="s">
        <v>745</v>
      </c>
      <c r="G4163" t="s">
        <v>46</v>
      </c>
      <c r="H4163" s="1">
        <v>42910</v>
      </c>
      <c r="I4163" s="1">
        <v>42921</v>
      </c>
      <c r="J4163">
        <v>0</v>
      </c>
    </row>
    <row r="4164" spans="1:10" x14ac:dyDescent="0.3">
      <c r="A4164" t="s">
        <v>4295</v>
      </c>
      <c r="B4164" t="s">
        <v>73</v>
      </c>
      <c r="C4164" t="str">
        <f>_xlfn.XLOOKUP(B4164,
[1]sales_teams!$A$2:$A$100,
[1]sales_teams!$B$2:$B$100)</f>
        <v>Cara Losch</v>
      </c>
      <c r="D4164" t="str">
        <f>_xlfn.XLOOKUP($B4164,sales_teams!$A$2:$A$36,sales_teams!C$2:C$36)</f>
        <v>East</v>
      </c>
      <c r="E4164" t="s">
        <v>18</v>
      </c>
      <c r="F4164" t="s">
        <v>222</v>
      </c>
      <c r="G4164" t="s">
        <v>12</v>
      </c>
      <c r="H4164" s="1">
        <v>42910</v>
      </c>
      <c r="I4164" s="1">
        <v>42995</v>
      </c>
      <c r="J4164">
        <v>55</v>
      </c>
    </row>
    <row r="4165" spans="1:10" x14ac:dyDescent="0.3">
      <c r="A4165" t="s">
        <v>4296</v>
      </c>
      <c r="B4165" t="s">
        <v>23</v>
      </c>
      <c r="C4165" t="str">
        <f>_xlfn.XLOOKUP(B4165,
[1]sales_teams!$A$2:$A$100,
[1]sales_teams!$B$2:$B$100)</f>
        <v>Summer Sewald</v>
      </c>
      <c r="D4165" t="str">
        <f>_xlfn.XLOOKUP($B4165,sales_teams!$A$2:$A$36,sales_teams!C$2:C$36)</f>
        <v>West</v>
      </c>
      <c r="E4165" t="s">
        <v>48</v>
      </c>
      <c r="F4165" t="s">
        <v>555</v>
      </c>
      <c r="G4165" t="s">
        <v>12</v>
      </c>
      <c r="H4165" s="1">
        <v>42910</v>
      </c>
      <c r="I4165" s="1">
        <v>43001</v>
      </c>
      <c r="J4165">
        <v>4059</v>
      </c>
    </row>
    <row r="4166" spans="1:10" x14ac:dyDescent="0.3">
      <c r="A4166" t="s">
        <v>4297</v>
      </c>
      <c r="B4166" t="s">
        <v>118</v>
      </c>
      <c r="C4166" t="str">
        <f>_xlfn.XLOOKUP(B4166,
[1]sales_teams!$A$2:$A$100,
[1]sales_teams!$B$2:$B$100)</f>
        <v>Rocco Neubert</v>
      </c>
      <c r="D4166" t="str">
        <f>_xlfn.XLOOKUP($B4166,sales_teams!$A$2:$A$36,sales_teams!C$2:C$36)</f>
        <v>East</v>
      </c>
      <c r="E4166" t="s">
        <v>39</v>
      </c>
      <c r="F4166" t="s">
        <v>192</v>
      </c>
      <c r="G4166" t="s">
        <v>46</v>
      </c>
      <c r="H4166" s="1">
        <v>42911</v>
      </c>
      <c r="I4166" s="1">
        <v>42920</v>
      </c>
      <c r="J4166">
        <v>0</v>
      </c>
    </row>
    <row r="4167" spans="1:10" x14ac:dyDescent="0.3">
      <c r="A4167" t="s">
        <v>4298</v>
      </c>
      <c r="B4167" t="s">
        <v>202</v>
      </c>
      <c r="C4167" t="str">
        <f>_xlfn.XLOOKUP(B4167,
[1]sales_teams!$A$2:$A$100,
[1]sales_teams!$B$2:$B$100)</f>
        <v>Dustin Brinkmann</v>
      </c>
      <c r="D4167" t="str">
        <f>_xlfn.XLOOKUP($B4167,sales_teams!$A$2:$A$36,sales_teams!C$2:C$36)</f>
        <v>Central</v>
      </c>
      <c r="E4167" t="s">
        <v>10</v>
      </c>
      <c r="F4167" t="s">
        <v>21</v>
      </c>
      <c r="G4167" t="s">
        <v>12</v>
      </c>
      <c r="H4167" s="1">
        <v>42911</v>
      </c>
      <c r="I4167" s="1">
        <v>42956</v>
      </c>
      <c r="J4167">
        <v>1128</v>
      </c>
    </row>
    <row r="4168" spans="1:10" x14ac:dyDescent="0.3">
      <c r="A4168" t="s">
        <v>4299</v>
      </c>
      <c r="B4168" t="s">
        <v>64</v>
      </c>
      <c r="C4168" t="str">
        <f>_xlfn.XLOOKUP(B4168,
[1]sales_teams!$A$2:$A$100,
[1]sales_teams!$B$2:$B$100)</f>
        <v>Rocco Neubert</v>
      </c>
      <c r="D4168" t="str">
        <f>_xlfn.XLOOKUP($B4168,sales_teams!$A$2:$A$36,sales_teams!C$2:C$36)</f>
        <v>East</v>
      </c>
      <c r="E4168" t="s">
        <v>15</v>
      </c>
      <c r="G4168" t="s">
        <v>40</v>
      </c>
      <c r="H4168" s="1">
        <v>42911</v>
      </c>
    </row>
    <row r="4169" spans="1:10" x14ac:dyDescent="0.3">
      <c r="A4169" t="s">
        <v>4300</v>
      </c>
      <c r="B4169" t="s">
        <v>14</v>
      </c>
      <c r="C4169" t="str">
        <f>_xlfn.XLOOKUP(B4169,
[1]sales_teams!$A$2:$A$100,
[1]sales_teams!$B$2:$B$100)</f>
        <v>Melvin Marxen</v>
      </c>
      <c r="D4169" t="str">
        <f>_xlfn.XLOOKUP($B4169,sales_teams!$A$2:$A$36,sales_teams!C$2:C$36)</f>
        <v>Central</v>
      </c>
      <c r="E4169" t="s">
        <v>10</v>
      </c>
      <c r="F4169" t="s">
        <v>120</v>
      </c>
      <c r="G4169" t="s">
        <v>46</v>
      </c>
      <c r="H4169" s="1">
        <v>42911</v>
      </c>
      <c r="I4169" s="1">
        <v>42917</v>
      </c>
      <c r="J4169">
        <v>0</v>
      </c>
    </row>
    <row r="4170" spans="1:10" x14ac:dyDescent="0.3">
      <c r="A4170" t="s">
        <v>4301</v>
      </c>
      <c r="B4170" t="s">
        <v>14</v>
      </c>
      <c r="C4170" t="str">
        <f>_xlfn.XLOOKUP(B4170,
[1]sales_teams!$A$2:$A$100,
[1]sales_teams!$B$2:$B$100)</f>
        <v>Melvin Marxen</v>
      </c>
      <c r="D4170" t="str">
        <f>_xlfn.XLOOKUP($B4170,sales_teams!$A$2:$A$36,sales_teams!C$2:C$36)</f>
        <v>Central</v>
      </c>
      <c r="E4170" t="s">
        <v>48</v>
      </c>
      <c r="F4170" t="s">
        <v>27</v>
      </c>
      <c r="G4170" t="s">
        <v>12</v>
      </c>
      <c r="H4170" s="1">
        <v>42911</v>
      </c>
      <c r="I4170" s="1">
        <v>42924</v>
      </c>
      <c r="J4170">
        <v>5536</v>
      </c>
    </row>
    <row r="4171" spans="1:10" x14ac:dyDescent="0.3">
      <c r="A4171" t="s">
        <v>4302</v>
      </c>
      <c r="B4171" t="s">
        <v>14</v>
      </c>
      <c r="C4171" t="str">
        <f>_xlfn.XLOOKUP(B4171,
[1]sales_teams!$A$2:$A$100,
[1]sales_teams!$B$2:$B$100)</f>
        <v>Melvin Marxen</v>
      </c>
      <c r="D4171" t="str">
        <f>_xlfn.XLOOKUP($B4171,sales_teams!$A$2:$A$36,sales_teams!C$2:C$36)</f>
        <v>Central</v>
      </c>
      <c r="E4171" t="s">
        <v>15</v>
      </c>
      <c r="F4171" t="s">
        <v>45</v>
      </c>
      <c r="G4171" t="s">
        <v>12</v>
      </c>
      <c r="H4171" s="1">
        <v>42911</v>
      </c>
      <c r="I4171" s="1">
        <v>42981</v>
      </c>
      <c r="J4171">
        <v>4964</v>
      </c>
    </row>
    <row r="4172" spans="1:10" x14ac:dyDescent="0.3">
      <c r="A4172" t="s">
        <v>4303</v>
      </c>
      <c r="B4172" t="s">
        <v>14</v>
      </c>
      <c r="C4172" t="str">
        <f>_xlfn.XLOOKUP(B4172,
[1]sales_teams!$A$2:$A$100,
[1]sales_teams!$B$2:$B$100)</f>
        <v>Melvin Marxen</v>
      </c>
      <c r="D4172" t="str">
        <f>_xlfn.XLOOKUP($B4172,sales_teams!$A$2:$A$36,sales_teams!C$2:C$36)</f>
        <v>Central</v>
      </c>
      <c r="E4172" t="s">
        <v>18</v>
      </c>
      <c r="F4172" t="s">
        <v>207</v>
      </c>
      <c r="G4172" t="s">
        <v>12</v>
      </c>
      <c r="H4172" s="1">
        <v>42911</v>
      </c>
      <c r="I4172" s="1">
        <v>42919</v>
      </c>
      <c r="J4172">
        <v>54</v>
      </c>
    </row>
    <row r="4173" spans="1:10" x14ac:dyDescent="0.3">
      <c r="A4173" t="s">
        <v>4304</v>
      </c>
      <c r="B4173" t="s">
        <v>14</v>
      </c>
      <c r="C4173" t="str">
        <f>_xlfn.XLOOKUP(B4173,
[1]sales_teams!$A$2:$A$100,
[1]sales_teams!$B$2:$B$100)</f>
        <v>Melvin Marxen</v>
      </c>
      <c r="D4173" t="str">
        <f>_xlfn.XLOOKUP($B4173,sales_teams!$A$2:$A$36,sales_teams!C$2:C$36)</f>
        <v>Central</v>
      </c>
      <c r="E4173" t="s">
        <v>18</v>
      </c>
      <c r="F4173" t="s">
        <v>27</v>
      </c>
      <c r="G4173" t="s">
        <v>12</v>
      </c>
      <c r="H4173" s="1">
        <v>42911</v>
      </c>
      <c r="I4173" s="1">
        <v>42949</v>
      </c>
      <c r="J4173">
        <v>56</v>
      </c>
    </row>
    <row r="4174" spans="1:10" x14ac:dyDescent="0.3">
      <c r="A4174" t="s">
        <v>4305</v>
      </c>
      <c r="B4174" t="s">
        <v>142</v>
      </c>
      <c r="C4174" t="str">
        <f>_xlfn.XLOOKUP(B4174,
[1]sales_teams!$A$2:$A$100,
[1]sales_teams!$B$2:$B$100)</f>
        <v>Rocco Neubert</v>
      </c>
      <c r="D4174" t="str">
        <f>_xlfn.XLOOKUP($B4174,sales_teams!$A$2:$A$36,sales_teams!C$2:C$36)</f>
        <v>East</v>
      </c>
      <c r="E4174" t="s">
        <v>48</v>
      </c>
      <c r="F4174" t="s">
        <v>74</v>
      </c>
      <c r="G4174" t="s">
        <v>46</v>
      </c>
      <c r="H4174" s="1">
        <v>42911</v>
      </c>
      <c r="I4174" s="1">
        <v>42918</v>
      </c>
      <c r="J4174">
        <v>0</v>
      </c>
    </row>
    <row r="4175" spans="1:10" x14ac:dyDescent="0.3">
      <c r="A4175" t="s">
        <v>4306</v>
      </c>
      <c r="B4175" t="s">
        <v>142</v>
      </c>
      <c r="C4175" t="str">
        <f>_xlfn.XLOOKUP(B4175,
[1]sales_teams!$A$2:$A$100,
[1]sales_teams!$B$2:$B$100)</f>
        <v>Rocco Neubert</v>
      </c>
      <c r="D4175" t="str">
        <f>_xlfn.XLOOKUP($B4175,sales_teams!$A$2:$A$36,sales_teams!C$2:C$36)</f>
        <v>East</v>
      </c>
      <c r="E4175" t="s">
        <v>15</v>
      </c>
      <c r="F4175" t="s">
        <v>237</v>
      </c>
      <c r="G4175" t="s">
        <v>46</v>
      </c>
      <c r="H4175" s="1">
        <v>42911</v>
      </c>
      <c r="I4175" s="1">
        <v>42966</v>
      </c>
      <c r="J4175">
        <v>0</v>
      </c>
    </row>
    <row r="4176" spans="1:10" x14ac:dyDescent="0.3">
      <c r="A4176" t="s">
        <v>4307</v>
      </c>
      <c r="B4176" t="s">
        <v>142</v>
      </c>
      <c r="C4176" t="str">
        <f>_xlfn.XLOOKUP(B4176,
[1]sales_teams!$A$2:$A$100,
[1]sales_teams!$B$2:$B$100)</f>
        <v>Rocco Neubert</v>
      </c>
      <c r="D4176" t="str">
        <f>_xlfn.XLOOKUP($B4176,sales_teams!$A$2:$A$36,sales_teams!C$2:C$36)</f>
        <v>East</v>
      </c>
      <c r="E4176" t="s">
        <v>39</v>
      </c>
      <c r="F4176" t="s">
        <v>89</v>
      </c>
      <c r="G4176" t="s">
        <v>12</v>
      </c>
      <c r="H4176" s="1">
        <v>42911</v>
      </c>
      <c r="I4176" s="1">
        <v>42921</v>
      </c>
      <c r="J4176">
        <v>3423</v>
      </c>
    </row>
    <row r="4177" spans="1:10" x14ac:dyDescent="0.3">
      <c r="A4177" t="s">
        <v>4308</v>
      </c>
      <c r="B4177" t="s">
        <v>67</v>
      </c>
      <c r="C4177" t="str">
        <f>_xlfn.XLOOKUP(B4177,
[1]sales_teams!$A$2:$A$100,
[1]sales_teams!$B$2:$B$100)</f>
        <v>Celia Rouche</v>
      </c>
      <c r="D4177" t="str">
        <f>_xlfn.XLOOKUP($B4177,sales_teams!$A$2:$A$36,sales_teams!C$2:C$36)</f>
        <v>West</v>
      </c>
      <c r="E4177" t="s">
        <v>18</v>
      </c>
      <c r="F4177" t="s">
        <v>30</v>
      </c>
      <c r="G4177" t="s">
        <v>46</v>
      </c>
      <c r="H4177" s="1">
        <v>42911</v>
      </c>
      <c r="I4177" s="1">
        <v>42991</v>
      </c>
      <c r="J4177">
        <v>0</v>
      </c>
    </row>
    <row r="4178" spans="1:10" x14ac:dyDescent="0.3">
      <c r="A4178" t="s">
        <v>4309</v>
      </c>
      <c r="B4178" t="s">
        <v>105</v>
      </c>
      <c r="C4178" t="str">
        <f>_xlfn.XLOOKUP(B4178,
[1]sales_teams!$A$2:$A$100,
[1]sales_teams!$B$2:$B$100)</f>
        <v>Cara Losch</v>
      </c>
      <c r="D4178" t="str">
        <f>_xlfn.XLOOKUP($B4178,sales_teams!$A$2:$A$36,sales_teams!C$2:C$36)</f>
        <v>East</v>
      </c>
      <c r="E4178" t="s">
        <v>39</v>
      </c>
      <c r="F4178" t="s">
        <v>189</v>
      </c>
      <c r="G4178" t="s">
        <v>46</v>
      </c>
      <c r="H4178" s="1">
        <v>42911</v>
      </c>
      <c r="I4178" s="1">
        <v>42923</v>
      </c>
      <c r="J4178">
        <v>0</v>
      </c>
    </row>
    <row r="4179" spans="1:10" x14ac:dyDescent="0.3">
      <c r="A4179" t="s">
        <v>4310</v>
      </c>
      <c r="B4179" t="s">
        <v>44</v>
      </c>
      <c r="C4179" t="str">
        <f>_xlfn.XLOOKUP(B4179,
[1]sales_teams!$A$2:$A$100,
[1]sales_teams!$B$2:$B$100)</f>
        <v>Melvin Marxen</v>
      </c>
      <c r="D4179" t="str">
        <f>_xlfn.XLOOKUP($B4179,sales_teams!$A$2:$A$36,sales_teams!C$2:C$36)</f>
        <v>Central</v>
      </c>
      <c r="E4179" t="s">
        <v>48</v>
      </c>
      <c r="F4179" t="s">
        <v>11</v>
      </c>
      <c r="G4179" t="s">
        <v>46</v>
      </c>
      <c r="H4179" s="1">
        <v>42911</v>
      </c>
      <c r="I4179" s="1">
        <v>42919</v>
      </c>
      <c r="J4179">
        <v>0</v>
      </c>
    </row>
    <row r="4180" spans="1:10" x14ac:dyDescent="0.3">
      <c r="A4180" t="s">
        <v>4311</v>
      </c>
      <c r="B4180" t="s">
        <v>44</v>
      </c>
      <c r="C4180" t="str">
        <f>_xlfn.XLOOKUP(B4180,
[1]sales_teams!$A$2:$A$100,
[1]sales_teams!$B$2:$B$100)</f>
        <v>Melvin Marxen</v>
      </c>
      <c r="D4180" t="str">
        <f>_xlfn.XLOOKUP($B4180,sales_teams!$A$2:$A$36,sales_teams!C$2:C$36)</f>
        <v>Central</v>
      </c>
      <c r="E4180" t="s">
        <v>10</v>
      </c>
      <c r="F4180" t="s">
        <v>151</v>
      </c>
      <c r="G4180" t="s">
        <v>12</v>
      </c>
      <c r="H4180" s="1">
        <v>42911</v>
      </c>
      <c r="I4180" s="1">
        <v>42992</v>
      </c>
      <c r="J4180">
        <v>1102</v>
      </c>
    </row>
    <row r="4181" spans="1:10" x14ac:dyDescent="0.3">
      <c r="A4181" t="s">
        <v>4312</v>
      </c>
      <c r="B4181" t="s">
        <v>78</v>
      </c>
      <c r="C4181" t="str">
        <f>_xlfn.XLOOKUP(B4181,
[1]sales_teams!$A$2:$A$100,
[1]sales_teams!$B$2:$B$100)</f>
        <v>Summer Sewald</v>
      </c>
      <c r="D4181" t="str">
        <f>_xlfn.XLOOKUP($B4181,sales_teams!$A$2:$A$36,sales_teams!C$2:C$36)</f>
        <v>West</v>
      </c>
      <c r="E4181" t="s">
        <v>20</v>
      </c>
      <c r="F4181" t="s">
        <v>148</v>
      </c>
      <c r="G4181" t="s">
        <v>12</v>
      </c>
      <c r="H4181" s="1">
        <v>42911</v>
      </c>
      <c r="I4181" s="1">
        <v>43000</v>
      </c>
      <c r="J4181">
        <v>519</v>
      </c>
    </row>
    <row r="4182" spans="1:10" x14ac:dyDescent="0.3">
      <c r="A4182" t="s">
        <v>4313</v>
      </c>
      <c r="B4182" t="s">
        <v>95</v>
      </c>
      <c r="C4182" t="str">
        <f>_xlfn.XLOOKUP(B4182,
[1]sales_teams!$A$2:$A$100,
[1]sales_teams!$B$2:$B$100)</f>
        <v>Summer Sewald</v>
      </c>
      <c r="D4182" t="str">
        <f>_xlfn.XLOOKUP($B4182,sales_teams!$A$2:$A$36,sales_teams!C$2:C$36)</f>
        <v>West</v>
      </c>
      <c r="E4182" t="s">
        <v>48</v>
      </c>
      <c r="F4182" t="s">
        <v>24</v>
      </c>
      <c r="G4182" t="s">
        <v>46</v>
      </c>
      <c r="H4182" s="1">
        <v>42911</v>
      </c>
      <c r="I4182" s="1">
        <v>42918</v>
      </c>
      <c r="J4182">
        <v>0</v>
      </c>
    </row>
    <row r="4183" spans="1:10" x14ac:dyDescent="0.3">
      <c r="A4183" t="s">
        <v>4314</v>
      </c>
      <c r="B4183" t="s">
        <v>95</v>
      </c>
      <c r="C4183" t="str">
        <f>_xlfn.XLOOKUP(B4183,
[1]sales_teams!$A$2:$A$100,
[1]sales_teams!$B$2:$B$100)</f>
        <v>Summer Sewald</v>
      </c>
      <c r="D4183" t="str">
        <f>_xlfn.XLOOKUP($B4183,sales_teams!$A$2:$A$36,sales_teams!C$2:C$36)</f>
        <v>West</v>
      </c>
      <c r="E4183" t="s">
        <v>18</v>
      </c>
      <c r="F4183" t="s">
        <v>24</v>
      </c>
      <c r="G4183" t="s">
        <v>46</v>
      </c>
      <c r="H4183" s="1">
        <v>42911</v>
      </c>
      <c r="I4183" s="1">
        <v>42974</v>
      </c>
      <c r="J4183">
        <v>0</v>
      </c>
    </row>
    <row r="4184" spans="1:10" x14ac:dyDescent="0.3">
      <c r="A4184" t="s">
        <v>4315</v>
      </c>
      <c r="B4184" t="s">
        <v>133</v>
      </c>
      <c r="C4184" t="str">
        <f>_xlfn.XLOOKUP(B4184,
[1]sales_teams!$A$2:$A$100,
[1]sales_teams!$B$2:$B$100)</f>
        <v>Dustin Brinkmann</v>
      </c>
      <c r="D4184" t="str">
        <f>_xlfn.XLOOKUP($B4184,sales_teams!$A$2:$A$36,sales_teams!C$2:C$36)</f>
        <v>Central</v>
      </c>
      <c r="E4184" t="s">
        <v>10</v>
      </c>
      <c r="F4184" t="s">
        <v>16</v>
      </c>
      <c r="G4184" t="s">
        <v>46</v>
      </c>
      <c r="H4184" s="1">
        <v>42911</v>
      </c>
      <c r="I4184" s="1">
        <v>42974</v>
      </c>
      <c r="J4184">
        <v>0</v>
      </c>
    </row>
    <row r="4185" spans="1:10" x14ac:dyDescent="0.3">
      <c r="A4185" t="s">
        <v>4316</v>
      </c>
      <c r="B4185" t="s">
        <v>133</v>
      </c>
      <c r="C4185" t="str">
        <f>_xlfn.XLOOKUP(B4185,
[1]sales_teams!$A$2:$A$100,
[1]sales_teams!$B$2:$B$100)</f>
        <v>Dustin Brinkmann</v>
      </c>
      <c r="D4185" t="str">
        <f>_xlfn.XLOOKUP($B4185,sales_teams!$A$2:$A$36,sales_teams!C$2:C$36)</f>
        <v>Central</v>
      </c>
      <c r="E4185" t="s">
        <v>39</v>
      </c>
      <c r="F4185" t="s">
        <v>42</v>
      </c>
      <c r="G4185" t="s">
        <v>46</v>
      </c>
      <c r="H4185" s="1">
        <v>42911</v>
      </c>
      <c r="I4185" s="1">
        <v>42920</v>
      </c>
      <c r="J4185">
        <v>0</v>
      </c>
    </row>
    <row r="4186" spans="1:10" x14ac:dyDescent="0.3">
      <c r="A4186" t="s">
        <v>4317</v>
      </c>
      <c r="B4186" t="s">
        <v>133</v>
      </c>
      <c r="C4186" t="str">
        <f>_xlfn.XLOOKUP(B4186,
[1]sales_teams!$A$2:$A$100,
[1]sales_teams!$B$2:$B$100)</f>
        <v>Dustin Brinkmann</v>
      </c>
      <c r="D4186" t="str">
        <f>_xlfn.XLOOKUP($B4186,sales_teams!$A$2:$A$36,sales_teams!C$2:C$36)</f>
        <v>Central</v>
      </c>
      <c r="E4186" t="s">
        <v>48</v>
      </c>
      <c r="F4186" t="s">
        <v>16</v>
      </c>
      <c r="G4186" t="s">
        <v>12</v>
      </c>
      <c r="H4186" s="1">
        <v>42911</v>
      </c>
      <c r="I4186" s="1">
        <v>42919</v>
      </c>
      <c r="J4186">
        <v>5536</v>
      </c>
    </row>
    <row r="4187" spans="1:10" x14ac:dyDescent="0.3">
      <c r="A4187" t="s">
        <v>4318</v>
      </c>
      <c r="B4187" t="s">
        <v>116</v>
      </c>
      <c r="C4187" t="str">
        <f>_xlfn.XLOOKUP(B4187,
[1]sales_teams!$A$2:$A$100,
[1]sales_teams!$B$2:$B$100)</f>
        <v>Melvin Marxen</v>
      </c>
      <c r="D4187" t="str">
        <f>_xlfn.XLOOKUP($B4187,sales_teams!$A$2:$A$36,sales_teams!C$2:C$36)</f>
        <v>Central</v>
      </c>
      <c r="E4187" t="s">
        <v>48</v>
      </c>
      <c r="F4187" t="s">
        <v>303</v>
      </c>
      <c r="G4187" t="s">
        <v>46</v>
      </c>
      <c r="H4187" s="1">
        <v>42911</v>
      </c>
      <c r="I4187" s="1">
        <v>42961</v>
      </c>
      <c r="J4187">
        <v>0</v>
      </c>
    </row>
    <row r="4188" spans="1:10" x14ac:dyDescent="0.3">
      <c r="A4188" t="s">
        <v>4319</v>
      </c>
      <c r="B4188" t="s">
        <v>116</v>
      </c>
      <c r="C4188" t="str">
        <f>_xlfn.XLOOKUP(B4188,
[1]sales_teams!$A$2:$A$100,
[1]sales_teams!$B$2:$B$100)</f>
        <v>Melvin Marxen</v>
      </c>
      <c r="D4188" t="str">
        <f>_xlfn.XLOOKUP($B4188,sales_teams!$A$2:$A$36,sales_teams!C$2:C$36)</f>
        <v>Central</v>
      </c>
      <c r="E4188" t="s">
        <v>10</v>
      </c>
      <c r="F4188" t="s">
        <v>76</v>
      </c>
      <c r="G4188" t="s">
        <v>12</v>
      </c>
      <c r="H4188" s="1">
        <v>42911</v>
      </c>
      <c r="I4188" s="1">
        <v>42918</v>
      </c>
      <c r="J4188">
        <v>839</v>
      </c>
    </row>
    <row r="4189" spans="1:10" x14ac:dyDescent="0.3">
      <c r="A4189" t="s">
        <v>4320</v>
      </c>
      <c r="B4189" t="s">
        <v>51</v>
      </c>
      <c r="C4189" t="str">
        <f>_xlfn.XLOOKUP(B4189,
[1]sales_teams!$A$2:$A$100,
[1]sales_teams!$B$2:$B$100)</f>
        <v>Summer Sewald</v>
      </c>
      <c r="D4189" t="str">
        <f>_xlfn.XLOOKUP($B4189,sales_teams!$A$2:$A$36,sales_teams!C$2:C$36)</f>
        <v>West</v>
      </c>
      <c r="E4189" t="s">
        <v>20</v>
      </c>
      <c r="F4189" t="s">
        <v>174</v>
      </c>
      <c r="G4189" t="s">
        <v>12</v>
      </c>
      <c r="H4189" s="1">
        <v>42911</v>
      </c>
      <c r="I4189" s="1">
        <v>42984</v>
      </c>
      <c r="J4189">
        <v>500</v>
      </c>
    </row>
    <row r="4190" spans="1:10" x14ac:dyDescent="0.3">
      <c r="A4190" t="s">
        <v>4321</v>
      </c>
      <c r="B4190" t="s">
        <v>9</v>
      </c>
      <c r="C4190" t="str">
        <f>_xlfn.XLOOKUP(B4190,
[1]sales_teams!$A$2:$A$100,
[1]sales_teams!$B$2:$B$100)</f>
        <v>Dustin Brinkmann</v>
      </c>
      <c r="D4190" t="str">
        <f>_xlfn.XLOOKUP($B4190,sales_teams!$A$2:$A$36,sales_teams!C$2:C$36)</f>
        <v>Central</v>
      </c>
      <c r="E4190" t="s">
        <v>39</v>
      </c>
      <c r="F4190" t="s">
        <v>151</v>
      </c>
      <c r="G4190" t="s">
        <v>12</v>
      </c>
      <c r="H4190" s="1">
        <v>42911</v>
      </c>
      <c r="I4190" s="1">
        <v>43002</v>
      </c>
      <c r="J4190">
        <v>3679</v>
      </c>
    </row>
    <row r="4191" spans="1:10" x14ac:dyDescent="0.3">
      <c r="A4191" t="s">
        <v>4322</v>
      </c>
      <c r="B4191" t="s">
        <v>35</v>
      </c>
      <c r="C4191" t="str">
        <f>_xlfn.XLOOKUP(B4191,
[1]sales_teams!$A$2:$A$100,
[1]sales_teams!$B$2:$B$100)</f>
        <v>Melvin Marxen</v>
      </c>
      <c r="D4191" t="str">
        <f>_xlfn.XLOOKUP($B4191,sales_teams!$A$2:$A$36,sales_teams!C$2:C$36)</f>
        <v>Central</v>
      </c>
      <c r="E4191" t="s">
        <v>10</v>
      </c>
      <c r="F4191" t="s">
        <v>62</v>
      </c>
      <c r="G4191" t="s">
        <v>46</v>
      </c>
      <c r="H4191" s="1">
        <v>42911</v>
      </c>
      <c r="I4191" s="1">
        <v>42921</v>
      </c>
      <c r="J4191">
        <v>0</v>
      </c>
    </row>
    <row r="4192" spans="1:10" x14ac:dyDescent="0.3">
      <c r="A4192" t="s">
        <v>4323</v>
      </c>
      <c r="B4192" t="s">
        <v>97</v>
      </c>
      <c r="C4192" t="str">
        <f>_xlfn.XLOOKUP(B4192,
[1]sales_teams!$A$2:$A$100,
[1]sales_teams!$B$2:$B$100)</f>
        <v>Rocco Neubert</v>
      </c>
      <c r="D4192" t="str">
        <f>_xlfn.XLOOKUP($B4192,sales_teams!$A$2:$A$36,sales_teams!C$2:C$36)</f>
        <v>East</v>
      </c>
      <c r="E4192" t="s">
        <v>15</v>
      </c>
      <c r="F4192" t="s">
        <v>215</v>
      </c>
      <c r="G4192" t="s">
        <v>46</v>
      </c>
      <c r="H4192" s="1">
        <v>42911</v>
      </c>
      <c r="I4192" s="1">
        <v>42920</v>
      </c>
      <c r="J4192">
        <v>0</v>
      </c>
    </row>
    <row r="4193" spans="1:10" x14ac:dyDescent="0.3">
      <c r="A4193" t="s">
        <v>4324</v>
      </c>
      <c r="B4193" t="s">
        <v>57</v>
      </c>
      <c r="C4193" t="str">
        <f>_xlfn.XLOOKUP(B4193,
[1]sales_teams!$A$2:$A$100,
[1]sales_teams!$B$2:$B$100)</f>
        <v>Celia Rouche</v>
      </c>
      <c r="D4193" t="str">
        <f>_xlfn.XLOOKUP($B4193,sales_teams!$A$2:$A$36,sales_teams!C$2:C$36)</f>
        <v>West</v>
      </c>
      <c r="E4193" t="s">
        <v>20</v>
      </c>
      <c r="G4193" t="s">
        <v>40</v>
      </c>
      <c r="H4193" s="1">
        <v>42911</v>
      </c>
    </row>
    <row r="4194" spans="1:10" x14ac:dyDescent="0.3">
      <c r="A4194" t="s">
        <v>4325</v>
      </c>
      <c r="B4194" t="s">
        <v>88</v>
      </c>
      <c r="C4194" t="str">
        <f>_xlfn.XLOOKUP(B4194,
[1]sales_teams!$A$2:$A$100,
[1]sales_teams!$B$2:$B$100)</f>
        <v>Cara Losch</v>
      </c>
      <c r="D4194" t="str">
        <f>_xlfn.XLOOKUP($B4194,sales_teams!$A$2:$A$36,sales_teams!C$2:C$36)</f>
        <v>East</v>
      </c>
      <c r="E4194" t="s">
        <v>20</v>
      </c>
      <c r="F4194" t="s">
        <v>27</v>
      </c>
      <c r="G4194" t="s">
        <v>40</v>
      </c>
      <c r="H4194" s="1">
        <v>42911</v>
      </c>
    </row>
    <row r="4195" spans="1:10" x14ac:dyDescent="0.3">
      <c r="A4195" t="s">
        <v>4326</v>
      </c>
      <c r="B4195" t="s">
        <v>61</v>
      </c>
      <c r="C4195" t="str">
        <f>_xlfn.XLOOKUP(B4195,
[1]sales_teams!$A$2:$A$100,
[1]sales_teams!$B$2:$B$100)</f>
        <v>Dustin Brinkmann</v>
      </c>
      <c r="D4195" t="str">
        <f>_xlfn.XLOOKUP($B4195,sales_teams!$A$2:$A$36,sales_teams!C$2:C$36)</f>
        <v>Central</v>
      </c>
      <c r="E4195" t="s">
        <v>18</v>
      </c>
      <c r="F4195" t="s">
        <v>21</v>
      </c>
      <c r="G4195" t="s">
        <v>46</v>
      </c>
      <c r="H4195" s="1">
        <v>42911</v>
      </c>
      <c r="I4195" s="1">
        <v>42954</v>
      </c>
      <c r="J4195">
        <v>0</v>
      </c>
    </row>
    <row r="4196" spans="1:10" x14ac:dyDescent="0.3">
      <c r="A4196" t="s">
        <v>4327</v>
      </c>
      <c r="B4196" t="s">
        <v>29</v>
      </c>
      <c r="C4196" t="str">
        <f>_xlfn.XLOOKUP(B4196,
[1]sales_teams!$A$2:$A$100,
[1]sales_teams!$B$2:$B$100)</f>
        <v>Celia Rouche</v>
      </c>
      <c r="D4196" t="str">
        <f>_xlfn.XLOOKUP($B4196,sales_teams!$A$2:$A$36,sales_teams!C$2:C$36)</f>
        <v>West</v>
      </c>
      <c r="E4196" t="s">
        <v>48</v>
      </c>
      <c r="G4196" t="s">
        <v>40</v>
      </c>
      <c r="H4196" s="1">
        <v>42911</v>
      </c>
    </row>
    <row r="4197" spans="1:10" x14ac:dyDescent="0.3">
      <c r="A4197" t="s">
        <v>4328</v>
      </c>
      <c r="B4197" t="s">
        <v>29</v>
      </c>
      <c r="C4197" t="str">
        <f>_xlfn.XLOOKUP(B4197,
[1]sales_teams!$A$2:$A$100,
[1]sales_teams!$B$2:$B$100)</f>
        <v>Celia Rouche</v>
      </c>
      <c r="D4197" t="str">
        <f>_xlfn.XLOOKUP($B4197,sales_teams!$A$2:$A$36,sales_teams!C$2:C$36)</f>
        <v>West</v>
      </c>
      <c r="E4197" t="s">
        <v>15</v>
      </c>
      <c r="G4197" t="s">
        <v>40</v>
      </c>
      <c r="H4197" s="1">
        <v>42911</v>
      </c>
    </row>
    <row r="4198" spans="1:10" x14ac:dyDescent="0.3">
      <c r="A4198" t="s">
        <v>4329</v>
      </c>
      <c r="B4198" t="s">
        <v>29</v>
      </c>
      <c r="C4198" t="str">
        <f>_xlfn.XLOOKUP(B4198,
[1]sales_teams!$A$2:$A$100,
[1]sales_teams!$B$2:$B$100)</f>
        <v>Celia Rouche</v>
      </c>
      <c r="D4198" t="str">
        <f>_xlfn.XLOOKUP($B4198,sales_teams!$A$2:$A$36,sales_teams!C$2:C$36)</f>
        <v>West</v>
      </c>
      <c r="E4198" t="s">
        <v>20</v>
      </c>
      <c r="F4198" t="s">
        <v>59</v>
      </c>
      <c r="G4198" t="s">
        <v>46</v>
      </c>
      <c r="H4198" s="1">
        <v>42911</v>
      </c>
      <c r="I4198" s="1">
        <v>42920</v>
      </c>
      <c r="J4198">
        <v>0</v>
      </c>
    </row>
    <row r="4199" spans="1:10" x14ac:dyDescent="0.3">
      <c r="A4199" t="s">
        <v>4330</v>
      </c>
      <c r="B4199" t="s">
        <v>29</v>
      </c>
      <c r="C4199" t="str">
        <f>_xlfn.XLOOKUP(B4199,
[1]sales_teams!$A$2:$A$100,
[1]sales_teams!$B$2:$B$100)</f>
        <v>Celia Rouche</v>
      </c>
      <c r="D4199" t="str">
        <f>_xlfn.XLOOKUP($B4199,sales_teams!$A$2:$A$36,sales_teams!C$2:C$36)</f>
        <v>West</v>
      </c>
      <c r="E4199" t="s">
        <v>48</v>
      </c>
      <c r="F4199" t="s">
        <v>313</v>
      </c>
      <c r="G4199" t="s">
        <v>46</v>
      </c>
      <c r="H4199" s="1">
        <v>42911</v>
      </c>
      <c r="I4199" s="1">
        <v>42918</v>
      </c>
      <c r="J4199">
        <v>0</v>
      </c>
    </row>
    <row r="4200" spans="1:10" x14ac:dyDescent="0.3">
      <c r="A4200" t="s">
        <v>4331</v>
      </c>
      <c r="B4200" t="s">
        <v>29</v>
      </c>
      <c r="C4200" t="str">
        <f>_xlfn.XLOOKUP(B4200,
[1]sales_teams!$A$2:$A$100,
[1]sales_teams!$B$2:$B$100)</f>
        <v>Celia Rouche</v>
      </c>
      <c r="D4200" t="str">
        <f>_xlfn.XLOOKUP($B4200,sales_teams!$A$2:$A$36,sales_teams!C$2:C$36)</f>
        <v>West</v>
      </c>
      <c r="E4200" t="s">
        <v>39</v>
      </c>
      <c r="F4200" t="s">
        <v>148</v>
      </c>
      <c r="G4200" t="s">
        <v>12</v>
      </c>
      <c r="H4200" s="1">
        <v>42911</v>
      </c>
      <c r="I4200" s="1">
        <v>42916</v>
      </c>
      <c r="J4200">
        <v>3815</v>
      </c>
    </row>
    <row r="4201" spans="1:10" x14ac:dyDescent="0.3">
      <c r="A4201" t="s">
        <v>4332</v>
      </c>
      <c r="B4201" t="s">
        <v>29</v>
      </c>
      <c r="C4201" t="str">
        <f>_xlfn.XLOOKUP(B4201,
[1]sales_teams!$A$2:$A$100,
[1]sales_teams!$B$2:$B$100)</f>
        <v>Celia Rouche</v>
      </c>
      <c r="D4201" t="str">
        <f>_xlfn.XLOOKUP($B4201,sales_teams!$A$2:$A$36,sales_teams!C$2:C$36)</f>
        <v>West</v>
      </c>
      <c r="E4201" t="s">
        <v>39</v>
      </c>
      <c r="F4201" t="s">
        <v>49</v>
      </c>
      <c r="G4201" t="s">
        <v>12</v>
      </c>
      <c r="H4201" s="1">
        <v>42911</v>
      </c>
      <c r="I4201" s="1">
        <v>42913</v>
      </c>
      <c r="J4201">
        <v>2753</v>
      </c>
    </row>
    <row r="4202" spans="1:10" x14ac:dyDescent="0.3">
      <c r="A4202" t="s">
        <v>4333</v>
      </c>
      <c r="B4202" t="s">
        <v>73</v>
      </c>
      <c r="C4202" t="str">
        <f>_xlfn.XLOOKUP(B4202,
[1]sales_teams!$A$2:$A$100,
[1]sales_teams!$B$2:$B$100)</f>
        <v>Cara Losch</v>
      </c>
      <c r="D4202" t="str">
        <f>_xlfn.XLOOKUP($B4202,sales_teams!$A$2:$A$36,sales_teams!C$2:C$36)</f>
        <v>East</v>
      </c>
      <c r="E4202" t="s">
        <v>18</v>
      </c>
      <c r="G4202" t="s">
        <v>40</v>
      </c>
      <c r="H4202" s="1">
        <v>42911</v>
      </c>
    </row>
    <row r="4203" spans="1:10" x14ac:dyDescent="0.3">
      <c r="A4203" t="s">
        <v>4334</v>
      </c>
      <c r="B4203" t="s">
        <v>73</v>
      </c>
      <c r="C4203" t="str">
        <f>_xlfn.XLOOKUP(B4203,
[1]sales_teams!$A$2:$A$100,
[1]sales_teams!$B$2:$B$100)</f>
        <v>Cara Losch</v>
      </c>
      <c r="D4203" t="str">
        <f>_xlfn.XLOOKUP($B4203,sales_teams!$A$2:$A$36,sales_teams!C$2:C$36)</f>
        <v>East</v>
      </c>
      <c r="E4203" t="s">
        <v>18</v>
      </c>
      <c r="F4203" t="s">
        <v>65</v>
      </c>
      <c r="G4203" t="s">
        <v>12</v>
      </c>
      <c r="H4203" s="1">
        <v>42911</v>
      </c>
      <c r="I4203" s="1">
        <v>42918</v>
      </c>
      <c r="J4203">
        <v>60</v>
      </c>
    </row>
    <row r="4204" spans="1:10" x14ac:dyDescent="0.3">
      <c r="A4204" t="s">
        <v>4335</v>
      </c>
      <c r="B4204" t="s">
        <v>23</v>
      </c>
      <c r="C4204" t="str">
        <f>_xlfn.XLOOKUP(B4204,
[1]sales_teams!$A$2:$A$100,
[1]sales_teams!$B$2:$B$100)</f>
        <v>Summer Sewald</v>
      </c>
      <c r="D4204" t="str">
        <f>_xlfn.XLOOKUP($B4204,sales_teams!$A$2:$A$36,sales_teams!C$2:C$36)</f>
        <v>West</v>
      </c>
      <c r="E4204" t="s">
        <v>20</v>
      </c>
      <c r="F4204" t="s">
        <v>155</v>
      </c>
      <c r="G4204" t="s">
        <v>46</v>
      </c>
      <c r="H4204" s="1">
        <v>42911</v>
      </c>
      <c r="I4204" s="1">
        <v>42918</v>
      </c>
      <c r="J4204">
        <v>0</v>
      </c>
    </row>
    <row r="4205" spans="1:10" x14ac:dyDescent="0.3">
      <c r="A4205" t="s">
        <v>4336</v>
      </c>
      <c r="B4205" t="s">
        <v>23</v>
      </c>
      <c r="C4205" t="str">
        <f>_xlfn.XLOOKUP(B4205,
[1]sales_teams!$A$2:$A$100,
[1]sales_teams!$B$2:$B$100)</f>
        <v>Summer Sewald</v>
      </c>
      <c r="D4205" t="str">
        <f>_xlfn.XLOOKUP($B4205,sales_teams!$A$2:$A$36,sales_teams!C$2:C$36)</f>
        <v>West</v>
      </c>
      <c r="E4205" t="s">
        <v>10</v>
      </c>
      <c r="F4205" t="s">
        <v>68</v>
      </c>
      <c r="G4205" t="s">
        <v>12</v>
      </c>
      <c r="H4205" s="1">
        <v>42911</v>
      </c>
      <c r="I4205" s="1">
        <v>42919</v>
      </c>
      <c r="J4205">
        <v>1137</v>
      </c>
    </row>
    <row r="4206" spans="1:10" x14ac:dyDescent="0.3">
      <c r="A4206" t="s">
        <v>4337</v>
      </c>
      <c r="B4206" t="s">
        <v>139</v>
      </c>
      <c r="C4206" t="str">
        <f>_xlfn.XLOOKUP(B4206,
[1]sales_teams!$A$2:$A$100,
[1]sales_teams!$B$2:$B$100)</f>
        <v>Rocco Neubert</v>
      </c>
      <c r="D4206" t="str">
        <f>_xlfn.XLOOKUP($B4206,sales_teams!$A$2:$A$36,sales_teams!C$2:C$36)</f>
        <v>East</v>
      </c>
      <c r="E4206" t="s">
        <v>48</v>
      </c>
      <c r="F4206" t="s">
        <v>278</v>
      </c>
      <c r="G4206" t="s">
        <v>12</v>
      </c>
      <c r="H4206" s="1">
        <v>42912</v>
      </c>
      <c r="I4206" s="1">
        <v>42920</v>
      </c>
      <c r="J4206">
        <v>5201</v>
      </c>
    </row>
    <row r="4207" spans="1:10" x14ac:dyDescent="0.3">
      <c r="A4207" t="s">
        <v>4338</v>
      </c>
      <c r="B4207" t="s">
        <v>118</v>
      </c>
      <c r="C4207" t="str">
        <f>_xlfn.XLOOKUP(B4207,
[1]sales_teams!$A$2:$A$100,
[1]sales_teams!$B$2:$B$100)</f>
        <v>Rocco Neubert</v>
      </c>
      <c r="D4207" t="str">
        <f>_xlfn.XLOOKUP($B4207,sales_teams!$A$2:$A$36,sales_teams!C$2:C$36)</f>
        <v>East</v>
      </c>
      <c r="E4207" t="s">
        <v>20</v>
      </c>
      <c r="F4207" t="s">
        <v>106</v>
      </c>
      <c r="G4207" t="s">
        <v>46</v>
      </c>
      <c r="H4207" s="1">
        <v>42912</v>
      </c>
      <c r="I4207" s="1">
        <v>43005</v>
      </c>
      <c r="J4207">
        <v>0</v>
      </c>
    </row>
    <row r="4208" spans="1:10" x14ac:dyDescent="0.3">
      <c r="A4208" t="s">
        <v>4339</v>
      </c>
      <c r="B4208" t="s">
        <v>118</v>
      </c>
      <c r="C4208" t="str">
        <f>_xlfn.XLOOKUP(B4208,
[1]sales_teams!$A$2:$A$100,
[1]sales_teams!$B$2:$B$100)</f>
        <v>Rocco Neubert</v>
      </c>
      <c r="D4208" t="str">
        <f>_xlfn.XLOOKUP($B4208,sales_teams!$A$2:$A$36,sales_teams!C$2:C$36)</f>
        <v>East</v>
      </c>
      <c r="E4208" t="s">
        <v>39</v>
      </c>
      <c r="F4208" t="s">
        <v>745</v>
      </c>
      <c r="G4208" t="s">
        <v>46</v>
      </c>
      <c r="H4208" s="1">
        <v>42912</v>
      </c>
      <c r="I4208" s="1">
        <v>42919</v>
      </c>
      <c r="J4208">
        <v>0</v>
      </c>
    </row>
    <row r="4209" spans="1:10" x14ac:dyDescent="0.3">
      <c r="A4209" t="s">
        <v>4340</v>
      </c>
      <c r="B4209" t="s">
        <v>202</v>
      </c>
      <c r="C4209" t="str">
        <f>_xlfn.XLOOKUP(B4209,
[1]sales_teams!$A$2:$A$100,
[1]sales_teams!$B$2:$B$100)</f>
        <v>Dustin Brinkmann</v>
      </c>
      <c r="D4209" t="str">
        <f>_xlfn.XLOOKUP($B4209,sales_teams!$A$2:$A$36,sales_teams!C$2:C$36)</f>
        <v>Central</v>
      </c>
      <c r="E4209" t="s">
        <v>20</v>
      </c>
      <c r="F4209" t="s">
        <v>170</v>
      </c>
      <c r="G4209" t="s">
        <v>12</v>
      </c>
      <c r="H4209" s="1">
        <v>42912</v>
      </c>
      <c r="I4209" s="1">
        <v>42922</v>
      </c>
      <c r="J4209">
        <v>612</v>
      </c>
    </row>
    <row r="4210" spans="1:10" x14ac:dyDescent="0.3">
      <c r="A4210" t="s">
        <v>4341</v>
      </c>
      <c r="B4210" t="s">
        <v>164</v>
      </c>
      <c r="C4210" t="str">
        <f>_xlfn.XLOOKUP(B4210,
[1]sales_teams!$A$2:$A$100,
[1]sales_teams!$B$2:$B$100)</f>
        <v>Cara Losch</v>
      </c>
      <c r="D4210" t="str">
        <f>_xlfn.XLOOKUP($B4210,sales_teams!$A$2:$A$36,sales_teams!C$2:C$36)</f>
        <v>East</v>
      </c>
      <c r="E4210" t="s">
        <v>48</v>
      </c>
      <c r="F4210" t="s">
        <v>209</v>
      </c>
      <c r="G4210" t="s">
        <v>12</v>
      </c>
      <c r="H4210" s="1">
        <v>42912</v>
      </c>
      <c r="I4210" s="1">
        <v>42989</v>
      </c>
      <c r="J4210">
        <v>4905</v>
      </c>
    </row>
    <row r="4211" spans="1:10" x14ac:dyDescent="0.3">
      <c r="A4211" t="s">
        <v>4342</v>
      </c>
      <c r="B4211" t="s">
        <v>64</v>
      </c>
      <c r="C4211" t="str">
        <f>_xlfn.XLOOKUP(B4211,
[1]sales_teams!$A$2:$A$100,
[1]sales_teams!$B$2:$B$100)</f>
        <v>Rocco Neubert</v>
      </c>
      <c r="D4211" t="str">
        <f>_xlfn.XLOOKUP($B4211,sales_teams!$A$2:$A$36,sales_teams!C$2:C$36)</f>
        <v>East</v>
      </c>
      <c r="E4211" t="s">
        <v>39</v>
      </c>
      <c r="G4211" t="s">
        <v>40</v>
      </c>
      <c r="H4211" s="1">
        <v>42912</v>
      </c>
    </row>
    <row r="4212" spans="1:10" x14ac:dyDescent="0.3">
      <c r="A4212" t="s">
        <v>4343</v>
      </c>
      <c r="B4212" t="s">
        <v>64</v>
      </c>
      <c r="C4212" t="str">
        <f>_xlfn.XLOOKUP(B4212,
[1]sales_teams!$A$2:$A$100,
[1]sales_teams!$B$2:$B$100)</f>
        <v>Rocco Neubert</v>
      </c>
      <c r="D4212" t="str">
        <f>_xlfn.XLOOKUP($B4212,sales_teams!$A$2:$A$36,sales_teams!C$2:C$36)</f>
        <v>East</v>
      </c>
      <c r="E4212" t="s">
        <v>18</v>
      </c>
      <c r="F4212" t="s">
        <v>103</v>
      </c>
      <c r="G4212" t="s">
        <v>46</v>
      </c>
      <c r="H4212" s="1">
        <v>42912</v>
      </c>
      <c r="I4212" s="1">
        <v>42923</v>
      </c>
      <c r="J4212">
        <v>0</v>
      </c>
    </row>
    <row r="4213" spans="1:10" x14ac:dyDescent="0.3">
      <c r="A4213" t="s">
        <v>4344</v>
      </c>
      <c r="B4213" t="s">
        <v>14</v>
      </c>
      <c r="C4213" t="str">
        <f>_xlfn.XLOOKUP(B4213,
[1]sales_teams!$A$2:$A$100,
[1]sales_teams!$B$2:$B$100)</f>
        <v>Melvin Marxen</v>
      </c>
      <c r="D4213" t="str">
        <f>_xlfn.XLOOKUP($B4213,sales_teams!$A$2:$A$36,sales_teams!C$2:C$36)</f>
        <v>Central</v>
      </c>
      <c r="E4213" t="s">
        <v>15</v>
      </c>
      <c r="F4213" t="s">
        <v>492</v>
      </c>
      <c r="G4213" t="s">
        <v>46</v>
      </c>
      <c r="H4213" s="1">
        <v>42912</v>
      </c>
      <c r="I4213" s="1">
        <v>42919</v>
      </c>
      <c r="J4213">
        <v>0</v>
      </c>
    </row>
    <row r="4214" spans="1:10" x14ac:dyDescent="0.3">
      <c r="A4214" t="s">
        <v>4345</v>
      </c>
      <c r="B4214" t="s">
        <v>14</v>
      </c>
      <c r="C4214" t="str">
        <f>_xlfn.XLOOKUP(B4214,
[1]sales_teams!$A$2:$A$100,
[1]sales_teams!$B$2:$B$100)</f>
        <v>Melvin Marxen</v>
      </c>
      <c r="D4214" t="str">
        <f>_xlfn.XLOOKUP($B4214,sales_teams!$A$2:$A$36,sales_teams!C$2:C$36)</f>
        <v>Central</v>
      </c>
      <c r="E4214" t="s">
        <v>10</v>
      </c>
      <c r="F4214" t="s">
        <v>492</v>
      </c>
      <c r="G4214" t="s">
        <v>12</v>
      </c>
      <c r="H4214" s="1">
        <v>42912</v>
      </c>
      <c r="I4214" s="1">
        <v>42978</v>
      </c>
      <c r="J4214">
        <v>1028</v>
      </c>
    </row>
    <row r="4215" spans="1:10" x14ac:dyDescent="0.3">
      <c r="A4215" t="s">
        <v>4346</v>
      </c>
      <c r="B4215" t="s">
        <v>14</v>
      </c>
      <c r="C4215" t="str">
        <f>_xlfn.XLOOKUP(B4215,
[1]sales_teams!$A$2:$A$100,
[1]sales_teams!$B$2:$B$100)</f>
        <v>Melvin Marxen</v>
      </c>
      <c r="D4215" t="str">
        <f>_xlfn.XLOOKUP($B4215,sales_teams!$A$2:$A$36,sales_teams!C$2:C$36)</f>
        <v>Central</v>
      </c>
      <c r="E4215" t="s">
        <v>48</v>
      </c>
      <c r="F4215" t="s">
        <v>21</v>
      </c>
      <c r="G4215" t="s">
        <v>12</v>
      </c>
      <c r="H4215" s="1">
        <v>42912</v>
      </c>
      <c r="I4215" s="1">
        <v>42990</v>
      </c>
      <c r="J4215">
        <v>4430</v>
      </c>
    </row>
    <row r="4216" spans="1:10" x14ac:dyDescent="0.3">
      <c r="A4216" t="s">
        <v>4347</v>
      </c>
      <c r="B4216" t="s">
        <v>142</v>
      </c>
      <c r="C4216" t="str">
        <f>_xlfn.XLOOKUP(B4216,
[1]sales_teams!$A$2:$A$100,
[1]sales_teams!$B$2:$B$100)</f>
        <v>Rocco Neubert</v>
      </c>
      <c r="D4216" t="str">
        <f>_xlfn.XLOOKUP($B4216,sales_teams!$A$2:$A$36,sales_teams!C$2:C$36)</f>
        <v>East</v>
      </c>
      <c r="E4216" t="s">
        <v>10</v>
      </c>
      <c r="F4216" t="s">
        <v>209</v>
      </c>
      <c r="G4216" t="s">
        <v>46</v>
      </c>
      <c r="H4216" s="1">
        <v>42912</v>
      </c>
      <c r="I4216" s="1">
        <v>42996</v>
      </c>
      <c r="J4216">
        <v>0</v>
      </c>
    </row>
    <row r="4217" spans="1:10" x14ac:dyDescent="0.3">
      <c r="A4217" t="s">
        <v>4348</v>
      </c>
      <c r="B4217" t="s">
        <v>142</v>
      </c>
      <c r="C4217" t="str">
        <f>_xlfn.XLOOKUP(B4217,
[1]sales_teams!$A$2:$A$100,
[1]sales_teams!$B$2:$B$100)</f>
        <v>Rocco Neubert</v>
      </c>
      <c r="D4217" t="str">
        <f>_xlfn.XLOOKUP($B4217,sales_teams!$A$2:$A$36,sales_teams!C$2:C$36)</f>
        <v>East</v>
      </c>
      <c r="E4217" t="s">
        <v>10</v>
      </c>
      <c r="F4217" t="s">
        <v>140</v>
      </c>
      <c r="G4217" t="s">
        <v>46</v>
      </c>
      <c r="H4217" s="1">
        <v>42912</v>
      </c>
      <c r="I4217" s="1">
        <v>42925</v>
      </c>
      <c r="J4217">
        <v>0</v>
      </c>
    </row>
    <row r="4218" spans="1:10" x14ac:dyDescent="0.3">
      <c r="A4218" t="s">
        <v>4349</v>
      </c>
      <c r="B4218" t="s">
        <v>142</v>
      </c>
      <c r="C4218" t="str">
        <f>_xlfn.XLOOKUP(B4218,
[1]sales_teams!$A$2:$A$100,
[1]sales_teams!$B$2:$B$100)</f>
        <v>Rocco Neubert</v>
      </c>
      <c r="D4218" t="str">
        <f>_xlfn.XLOOKUP($B4218,sales_teams!$A$2:$A$36,sales_teams!C$2:C$36)</f>
        <v>East</v>
      </c>
      <c r="E4218" t="s">
        <v>15</v>
      </c>
      <c r="F4218" t="s">
        <v>300</v>
      </c>
      <c r="G4218" t="s">
        <v>46</v>
      </c>
      <c r="H4218" s="1">
        <v>42912</v>
      </c>
      <c r="I4218" s="1">
        <v>42919</v>
      </c>
      <c r="J4218">
        <v>0</v>
      </c>
    </row>
    <row r="4219" spans="1:10" x14ac:dyDescent="0.3">
      <c r="A4219" t="s">
        <v>4350</v>
      </c>
      <c r="B4219" t="s">
        <v>142</v>
      </c>
      <c r="C4219" t="str">
        <f>_xlfn.XLOOKUP(B4219,
[1]sales_teams!$A$2:$A$100,
[1]sales_teams!$B$2:$B$100)</f>
        <v>Rocco Neubert</v>
      </c>
      <c r="D4219" t="str">
        <f>_xlfn.XLOOKUP($B4219,sales_teams!$A$2:$A$36,sales_teams!C$2:C$36)</f>
        <v>East</v>
      </c>
      <c r="E4219" t="s">
        <v>20</v>
      </c>
      <c r="F4219" t="s">
        <v>165</v>
      </c>
      <c r="G4219" t="s">
        <v>12</v>
      </c>
      <c r="H4219" s="1">
        <v>42912</v>
      </c>
      <c r="I4219" s="1">
        <v>42922</v>
      </c>
      <c r="J4219">
        <v>541</v>
      </c>
    </row>
    <row r="4220" spans="1:10" x14ac:dyDescent="0.3">
      <c r="A4220" t="s">
        <v>4351</v>
      </c>
      <c r="B4220" t="s">
        <v>67</v>
      </c>
      <c r="C4220" t="str">
        <f>_xlfn.XLOOKUP(B4220,
[1]sales_teams!$A$2:$A$100,
[1]sales_teams!$B$2:$B$100)</f>
        <v>Celia Rouche</v>
      </c>
      <c r="D4220" t="str">
        <f>_xlfn.XLOOKUP($B4220,sales_teams!$A$2:$A$36,sales_teams!C$2:C$36)</f>
        <v>West</v>
      </c>
      <c r="E4220" t="s">
        <v>15</v>
      </c>
      <c r="F4220" t="s">
        <v>398</v>
      </c>
      <c r="G4220" t="s">
        <v>46</v>
      </c>
      <c r="H4220" s="1">
        <v>42912</v>
      </c>
      <c r="I4220" s="1">
        <v>42921</v>
      </c>
      <c r="J4220">
        <v>0</v>
      </c>
    </row>
    <row r="4221" spans="1:10" x14ac:dyDescent="0.3">
      <c r="A4221" t="s">
        <v>4352</v>
      </c>
      <c r="B4221" t="s">
        <v>44</v>
      </c>
      <c r="C4221" t="str">
        <f>_xlfn.XLOOKUP(B4221,
[1]sales_teams!$A$2:$A$100,
[1]sales_teams!$B$2:$B$100)</f>
        <v>Melvin Marxen</v>
      </c>
      <c r="D4221" t="str">
        <f>_xlfn.XLOOKUP($B4221,sales_teams!$A$2:$A$36,sales_teams!C$2:C$36)</f>
        <v>Central</v>
      </c>
      <c r="E4221" t="s">
        <v>15</v>
      </c>
      <c r="F4221" t="s">
        <v>11</v>
      </c>
      <c r="G4221" t="s">
        <v>12</v>
      </c>
      <c r="H4221" s="1">
        <v>42912</v>
      </c>
      <c r="I4221" s="1">
        <v>42918</v>
      </c>
      <c r="J4221">
        <v>5081</v>
      </c>
    </row>
    <row r="4222" spans="1:10" x14ac:dyDescent="0.3">
      <c r="A4222" t="s">
        <v>4353</v>
      </c>
      <c r="B4222" t="s">
        <v>44</v>
      </c>
      <c r="C4222" t="str">
        <f>_xlfn.XLOOKUP(B4222,
[1]sales_teams!$A$2:$A$100,
[1]sales_teams!$B$2:$B$100)</f>
        <v>Melvin Marxen</v>
      </c>
      <c r="D4222" t="str">
        <f>_xlfn.XLOOKUP($B4222,sales_teams!$A$2:$A$36,sales_teams!C$2:C$36)</f>
        <v>Central</v>
      </c>
      <c r="E4222" t="s">
        <v>39</v>
      </c>
      <c r="F4222" t="s">
        <v>151</v>
      </c>
      <c r="G4222" t="s">
        <v>12</v>
      </c>
      <c r="H4222" s="1">
        <v>42912</v>
      </c>
      <c r="I4222" s="1">
        <v>42914</v>
      </c>
      <c r="J4222">
        <v>3478</v>
      </c>
    </row>
    <row r="4223" spans="1:10" x14ac:dyDescent="0.3">
      <c r="A4223" t="s">
        <v>4354</v>
      </c>
      <c r="B4223" t="s">
        <v>38</v>
      </c>
      <c r="C4223" t="str">
        <f>_xlfn.XLOOKUP(B4223,
[1]sales_teams!$A$2:$A$100,
[1]sales_teams!$B$2:$B$100)</f>
        <v>Summer Sewald</v>
      </c>
      <c r="D4223" t="str">
        <f>_xlfn.XLOOKUP($B4223,sales_teams!$A$2:$A$36,sales_teams!C$2:C$36)</f>
        <v>West</v>
      </c>
      <c r="E4223" t="s">
        <v>15</v>
      </c>
      <c r="F4223" t="s">
        <v>30</v>
      </c>
      <c r="G4223" t="s">
        <v>12</v>
      </c>
      <c r="H4223" s="1">
        <v>42912</v>
      </c>
      <c r="I4223" s="1">
        <v>42993</v>
      </c>
      <c r="J4223">
        <v>5541</v>
      </c>
    </row>
    <row r="4224" spans="1:10" x14ac:dyDescent="0.3">
      <c r="A4224" t="s">
        <v>4355</v>
      </c>
      <c r="B4224" t="s">
        <v>252</v>
      </c>
      <c r="C4224" t="str">
        <f>_xlfn.XLOOKUP(B4224,
[1]sales_teams!$A$2:$A$100,
[1]sales_teams!$B$2:$B$100)</f>
        <v>Melvin Marxen</v>
      </c>
      <c r="D4224" t="str">
        <f>_xlfn.XLOOKUP($B4224,sales_teams!$A$2:$A$36,sales_teams!C$2:C$36)</f>
        <v>Central</v>
      </c>
      <c r="E4224" t="s">
        <v>20</v>
      </c>
      <c r="F4224" t="s">
        <v>11</v>
      </c>
      <c r="G4224" t="s">
        <v>12</v>
      </c>
      <c r="H4224" s="1">
        <v>42912</v>
      </c>
      <c r="I4224" s="1">
        <v>42919</v>
      </c>
      <c r="J4224">
        <v>504</v>
      </c>
    </row>
    <row r="4225" spans="1:10" x14ac:dyDescent="0.3">
      <c r="A4225" t="s">
        <v>4356</v>
      </c>
      <c r="B4225" t="s">
        <v>95</v>
      </c>
      <c r="C4225" t="str">
        <f>_xlfn.XLOOKUP(B4225,
[1]sales_teams!$A$2:$A$100,
[1]sales_teams!$B$2:$B$100)</f>
        <v>Summer Sewald</v>
      </c>
      <c r="D4225" t="str">
        <f>_xlfn.XLOOKUP($B4225,sales_teams!$A$2:$A$36,sales_teams!C$2:C$36)</f>
        <v>West</v>
      </c>
      <c r="E4225" t="s">
        <v>10</v>
      </c>
      <c r="G4225" t="s">
        <v>40</v>
      </c>
      <c r="H4225" s="1">
        <v>42912</v>
      </c>
    </row>
    <row r="4226" spans="1:10" x14ac:dyDescent="0.3">
      <c r="A4226" t="s">
        <v>4357</v>
      </c>
      <c r="B4226" t="s">
        <v>133</v>
      </c>
      <c r="C4226" t="str">
        <f>_xlfn.XLOOKUP(B4226,
[1]sales_teams!$A$2:$A$100,
[1]sales_teams!$B$2:$B$100)</f>
        <v>Dustin Brinkmann</v>
      </c>
      <c r="D4226" t="str">
        <f>_xlfn.XLOOKUP($B4226,sales_teams!$A$2:$A$36,sales_teams!C$2:C$36)</f>
        <v>Central</v>
      </c>
      <c r="E4226" t="s">
        <v>20</v>
      </c>
      <c r="F4226" t="s">
        <v>42</v>
      </c>
      <c r="G4226" t="s">
        <v>46</v>
      </c>
      <c r="H4226" s="1">
        <v>42912</v>
      </c>
      <c r="I4226" s="1">
        <v>42957</v>
      </c>
      <c r="J4226">
        <v>0</v>
      </c>
    </row>
    <row r="4227" spans="1:10" x14ac:dyDescent="0.3">
      <c r="A4227" t="s">
        <v>4358</v>
      </c>
      <c r="B4227" t="s">
        <v>133</v>
      </c>
      <c r="C4227" t="str">
        <f>_xlfn.XLOOKUP(B4227,
[1]sales_teams!$A$2:$A$100,
[1]sales_teams!$B$2:$B$100)</f>
        <v>Dustin Brinkmann</v>
      </c>
      <c r="D4227" t="str">
        <f>_xlfn.XLOOKUP($B4227,sales_teams!$A$2:$A$36,sales_teams!C$2:C$36)</f>
        <v>Central</v>
      </c>
      <c r="E4227" t="s">
        <v>20</v>
      </c>
      <c r="F4227" t="s">
        <v>197</v>
      </c>
      <c r="G4227" t="s">
        <v>46</v>
      </c>
      <c r="H4227" s="1">
        <v>42912</v>
      </c>
      <c r="I4227" s="1">
        <v>42919</v>
      </c>
      <c r="J4227">
        <v>0</v>
      </c>
    </row>
    <row r="4228" spans="1:10" x14ac:dyDescent="0.3">
      <c r="A4228" t="s">
        <v>4359</v>
      </c>
      <c r="B4228" t="s">
        <v>32</v>
      </c>
      <c r="C4228" t="str">
        <f>_xlfn.XLOOKUP(B4228,
[1]sales_teams!$A$2:$A$100,
[1]sales_teams!$B$2:$B$100)</f>
        <v>Celia Rouche</v>
      </c>
      <c r="D4228" t="str">
        <f>_xlfn.XLOOKUP($B4228,sales_teams!$A$2:$A$36,sales_teams!C$2:C$36)</f>
        <v>West</v>
      </c>
      <c r="E4228" t="s">
        <v>39</v>
      </c>
      <c r="F4228" t="s">
        <v>122</v>
      </c>
      <c r="G4228" t="s">
        <v>12</v>
      </c>
      <c r="H4228" s="1">
        <v>42912</v>
      </c>
      <c r="I4228" s="1">
        <v>42971</v>
      </c>
      <c r="J4228">
        <v>3838</v>
      </c>
    </row>
    <row r="4229" spans="1:10" x14ac:dyDescent="0.3">
      <c r="A4229" t="s">
        <v>4360</v>
      </c>
      <c r="B4229" t="s">
        <v>116</v>
      </c>
      <c r="C4229" t="str">
        <f>_xlfn.XLOOKUP(B4229,
[1]sales_teams!$A$2:$A$100,
[1]sales_teams!$B$2:$B$100)</f>
        <v>Melvin Marxen</v>
      </c>
      <c r="D4229" t="str">
        <f>_xlfn.XLOOKUP($B4229,sales_teams!$A$2:$A$36,sales_teams!C$2:C$36)</f>
        <v>Central</v>
      </c>
      <c r="E4229" t="s">
        <v>48</v>
      </c>
      <c r="F4229" t="s">
        <v>231</v>
      </c>
      <c r="G4229" t="s">
        <v>12</v>
      </c>
      <c r="H4229" s="1">
        <v>42912</v>
      </c>
      <c r="I4229" s="1">
        <v>42973</v>
      </c>
      <c r="J4229">
        <v>5217</v>
      </c>
    </row>
    <row r="4230" spans="1:10" x14ac:dyDescent="0.3">
      <c r="A4230" t="s">
        <v>4361</v>
      </c>
      <c r="B4230" t="s">
        <v>116</v>
      </c>
      <c r="C4230" t="str">
        <f>_xlfn.XLOOKUP(B4230,
[1]sales_teams!$A$2:$A$100,
[1]sales_teams!$B$2:$B$100)</f>
        <v>Melvin Marxen</v>
      </c>
      <c r="D4230" t="str">
        <f>_xlfn.XLOOKUP($B4230,sales_teams!$A$2:$A$36,sales_teams!C$2:C$36)</f>
        <v>Central</v>
      </c>
      <c r="E4230" t="s">
        <v>48</v>
      </c>
      <c r="F4230" t="s">
        <v>492</v>
      </c>
      <c r="G4230" t="s">
        <v>12</v>
      </c>
      <c r="H4230" s="1">
        <v>42912</v>
      </c>
      <c r="I4230" s="1">
        <v>42921</v>
      </c>
      <c r="J4230">
        <v>4181</v>
      </c>
    </row>
    <row r="4231" spans="1:10" x14ac:dyDescent="0.3">
      <c r="A4231" t="s">
        <v>4362</v>
      </c>
      <c r="B4231" t="s">
        <v>51</v>
      </c>
      <c r="C4231" t="str">
        <f>_xlfn.XLOOKUP(B4231,
[1]sales_teams!$A$2:$A$100,
[1]sales_teams!$B$2:$B$100)</f>
        <v>Summer Sewald</v>
      </c>
      <c r="D4231" t="str">
        <f>_xlfn.XLOOKUP($B4231,sales_teams!$A$2:$A$36,sales_teams!C$2:C$36)</f>
        <v>West</v>
      </c>
      <c r="E4231" t="s">
        <v>20</v>
      </c>
      <c r="F4231" t="s">
        <v>24</v>
      </c>
      <c r="G4231" t="s">
        <v>12</v>
      </c>
      <c r="H4231" s="1">
        <v>42912</v>
      </c>
      <c r="I4231" s="1">
        <v>42922</v>
      </c>
      <c r="J4231">
        <v>518</v>
      </c>
    </row>
    <row r="4232" spans="1:10" x14ac:dyDescent="0.3">
      <c r="A4232" t="s">
        <v>4363</v>
      </c>
      <c r="B4232" t="s">
        <v>9</v>
      </c>
      <c r="C4232" t="str">
        <f>_xlfn.XLOOKUP(B4232,
[1]sales_teams!$A$2:$A$100,
[1]sales_teams!$B$2:$B$100)</f>
        <v>Dustin Brinkmann</v>
      </c>
      <c r="D4232" t="str">
        <f>_xlfn.XLOOKUP($B4232,sales_teams!$A$2:$A$36,sales_teams!C$2:C$36)</f>
        <v>Central</v>
      </c>
      <c r="E4232" t="s">
        <v>20</v>
      </c>
      <c r="F4232" t="s">
        <v>492</v>
      </c>
      <c r="G4232" t="s">
        <v>12</v>
      </c>
      <c r="H4232" s="1">
        <v>42912</v>
      </c>
      <c r="I4232" s="1">
        <v>42995</v>
      </c>
      <c r="J4232">
        <v>533</v>
      </c>
    </row>
    <row r="4233" spans="1:10" x14ac:dyDescent="0.3">
      <c r="A4233" t="s">
        <v>4364</v>
      </c>
      <c r="B4233" t="s">
        <v>57</v>
      </c>
      <c r="C4233" t="str">
        <f>_xlfn.XLOOKUP(B4233,
[1]sales_teams!$A$2:$A$100,
[1]sales_teams!$B$2:$B$100)</f>
        <v>Celia Rouche</v>
      </c>
      <c r="D4233" t="str">
        <f>_xlfn.XLOOKUP($B4233,sales_teams!$A$2:$A$36,sales_teams!C$2:C$36)</f>
        <v>West</v>
      </c>
      <c r="E4233" t="s">
        <v>39</v>
      </c>
      <c r="F4233" t="s">
        <v>273</v>
      </c>
      <c r="G4233" t="s">
        <v>12</v>
      </c>
      <c r="H4233" s="1">
        <v>42912</v>
      </c>
      <c r="I4233" s="1">
        <v>42950</v>
      </c>
      <c r="J4233">
        <v>3855</v>
      </c>
    </row>
    <row r="4234" spans="1:10" x14ac:dyDescent="0.3">
      <c r="A4234" t="s">
        <v>4365</v>
      </c>
      <c r="B4234" t="s">
        <v>29</v>
      </c>
      <c r="C4234" t="str">
        <f>_xlfn.XLOOKUP(B4234,
[1]sales_teams!$A$2:$A$100,
[1]sales_teams!$B$2:$B$100)</f>
        <v>Celia Rouche</v>
      </c>
      <c r="D4234" t="str">
        <f>_xlfn.XLOOKUP($B4234,sales_teams!$A$2:$A$36,sales_teams!C$2:C$36)</f>
        <v>West</v>
      </c>
      <c r="E4234" t="s">
        <v>20</v>
      </c>
      <c r="F4234" t="s">
        <v>168</v>
      </c>
      <c r="G4234" t="s">
        <v>46</v>
      </c>
      <c r="H4234" s="1">
        <v>42912</v>
      </c>
      <c r="I4234" s="1">
        <v>42923</v>
      </c>
      <c r="J4234">
        <v>0</v>
      </c>
    </row>
    <row r="4235" spans="1:10" x14ac:dyDescent="0.3">
      <c r="A4235" t="s">
        <v>4366</v>
      </c>
      <c r="B4235" t="s">
        <v>23</v>
      </c>
      <c r="C4235" t="str">
        <f>_xlfn.XLOOKUP(B4235,
[1]sales_teams!$A$2:$A$100,
[1]sales_teams!$B$2:$B$100)</f>
        <v>Summer Sewald</v>
      </c>
      <c r="D4235" t="str">
        <f>_xlfn.XLOOKUP($B4235,sales_teams!$A$2:$A$36,sales_teams!C$2:C$36)</f>
        <v>West</v>
      </c>
      <c r="E4235" t="s">
        <v>15</v>
      </c>
      <c r="F4235" t="s">
        <v>215</v>
      </c>
      <c r="G4235" t="s">
        <v>40</v>
      </c>
      <c r="H4235" s="1">
        <v>42912</v>
      </c>
    </row>
    <row r="4236" spans="1:10" x14ac:dyDescent="0.3">
      <c r="A4236" t="s">
        <v>4367</v>
      </c>
      <c r="B4236" t="s">
        <v>23</v>
      </c>
      <c r="C4236" t="str">
        <f>_xlfn.XLOOKUP(B4236,
[1]sales_teams!$A$2:$A$100,
[1]sales_teams!$B$2:$B$100)</f>
        <v>Summer Sewald</v>
      </c>
      <c r="D4236" t="str">
        <f>_xlfn.XLOOKUP($B4236,sales_teams!$A$2:$A$36,sales_teams!C$2:C$36)</f>
        <v>West</v>
      </c>
      <c r="E4236" t="s">
        <v>20</v>
      </c>
      <c r="F4236" t="s">
        <v>157</v>
      </c>
      <c r="G4236" t="s">
        <v>12</v>
      </c>
      <c r="H4236" s="1">
        <v>42912</v>
      </c>
      <c r="I4236" s="1">
        <v>42920</v>
      </c>
      <c r="J4236">
        <v>617</v>
      </c>
    </row>
    <row r="4237" spans="1:10" x14ac:dyDescent="0.3">
      <c r="A4237" t="s">
        <v>4368</v>
      </c>
      <c r="B4237" t="s">
        <v>26</v>
      </c>
      <c r="C4237" t="str">
        <f>_xlfn.XLOOKUP(B4237,
[1]sales_teams!$A$2:$A$100,
[1]sales_teams!$B$2:$B$100)</f>
        <v>Dustin Brinkmann</v>
      </c>
      <c r="D4237" t="str">
        <f>_xlfn.XLOOKUP($B4237,sales_teams!$A$2:$A$36,sales_teams!C$2:C$36)</f>
        <v>Central</v>
      </c>
      <c r="E4237" t="s">
        <v>10</v>
      </c>
      <c r="F4237" t="s">
        <v>76</v>
      </c>
      <c r="G4237" t="s">
        <v>12</v>
      </c>
      <c r="H4237" s="1">
        <v>42913</v>
      </c>
      <c r="I4237" s="1">
        <v>42922</v>
      </c>
      <c r="J4237">
        <v>991</v>
      </c>
    </row>
    <row r="4238" spans="1:10" x14ac:dyDescent="0.3">
      <c r="A4238" t="s">
        <v>4369</v>
      </c>
      <c r="B4238" t="s">
        <v>118</v>
      </c>
      <c r="C4238" t="str">
        <f>_xlfn.XLOOKUP(B4238,
[1]sales_teams!$A$2:$A$100,
[1]sales_teams!$B$2:$B$100)</f>
        <v>Rocco Neubert</v>
      </c>
      <c r="D4238" t="str">
        <f>_xlfn.XLOOKUP($B4238,sales_teams!$A$2:$A$36,sales_teams!C$2:C$36)</f>
        <v>East</v>
      </c>
      <c r="E4238" t="s">
        <v>15</v>
      </c>
      <c r="F4238" t="s">
        <v>140</v>
      </c>
      <c r="G4238" t="s">
        <v>46</v>
      </c>
      <c r="H4238" s="1">
        <v>42913</v>
      </c>
      <c r="I4238" s="1">
        <v>42971</v>
      </c>
      <c r="J4238">
        <v>0</v>
      </c>
    </row>
    <row r="4239" spans="1:10" x14ac:dyDescent="0.3">
      <c r="A4239" t="s">
        <v>4370</v>
      </c>
      <c r="B4239" t="s">
        <v>202</v>
      </c>
      <c r="C4239" t="str">
        <f>_xlfn.XLOOKUP(B4239,
[1]sales_teams!$A$2:$A$100,
[1]sales_teams!$B$2:$B$100)</f>
        <v>Dustin Brinkmann</v>
      </c>
      <c r="D4239" t="str">
        <f>_xlfn.XLOOKUP($B4239,sales_teams!$A$2:$A$36,sales_teams!C$2:C$36)</f>
        <v>Central</v>
      </c>
      <c r="E4239" t="s">
        <v>20</v>
      </c>
      <c r="F4239" t="s">
        <v>207</v>
      </c>
      <c r="G4239" t="s">
        <v>12</v>
      </c>
      <c r="H4239" s="1">
        <v>42913</v>
      </c>
      <c r="I4239" s="1">
        <v>42948</v>
      </c>
      <c r="J4239">
        <v>513</v>
      </c>
    </row>
    <row r="4240" spans="1:10" x14ac:dyDescent="0.3">
      <c r="A4240" t="s">
        <v>4371</v>
      </c>
      <c r="B4240" t="s">
        <v>164</v>
      </c>
      <c r="C4240" t="str">
        <f>_xlfn.XLOOKUP(B4240,
[1]sales_teams!$A$2:$A$100,
[1]sales_teams!$B$2:$B$100)</f>
        <v>Cara Losch</v>
      </c>
      <c r="D4240" t="str">
        <f>_xlfn.XLOOKUP($B4240,sales_teams!$A$2:$A$36,sales_teams!C$2:C$36)</f>
        <v>East</v>
      </c>
      <c r="E4240" t="s">
        <v>48</v>
      </c>
      <c r="F4240" t="s">
        <v>81</v>
      </c>
      <c r="G4240" t="s">
        <v>12</v>
      </c>
      <c r="H4240" s="1">
        <v>42913</v>
      </c>
      <c r="I4240" s="1">
        <v>42923</v>
      </c>
      <c r="J4240">
        <v>5121</v>
      </c>
    </row>
    <row r="4241" spans="1:10" x14ac:dyDescent="0.3">
      <c r="A4241" t="s">
        <v>4372</v>
      </c>
      <c r="B4241" t="s">
        <v>64</v>
      </c>
      <c r="C4241" t="str">
        <f>_xlfn.XLOOKUP(B4241,
[1]sales_teams!$A$2:$A$100,
[1]sales_teams!$B$2:$B$100)</f>
        <v>Rocco Neubert</v>
      </c>
      <c r="D4241" t="str">
        <f>_xlfn.XLOOKUP($B4241,sales_teams!$A$2:$A$36,sales_teams!C$2:C$36)</f>
        <v>East</v>
      </c>
      <c r="E4241" t="s">
        <v>15</v>
      </c>
      <c r="G4241" t="s">
        <v>40</v>
      </c>
      <c r="H4241" s="1">
        <v>42913</v>
      </c>
    </row>
    <row r="4242" spans="1:10" x14ac:dyDescent="0.3">
      <c r="A4242" t="s">
        <v>4373</v>
      </c>
      <c r="B4242" t="s">
        <v>64</v>
      </c>
      <c r="C4242" t="str">
        <f>_xlfn.XLOOKUP(B4242,
[1]sales_teams!$A$2:$A$100,
[1]sales_teams!$B$2:$B$100)</f>
        <v>Rocco Neubert</v>
      </c>
      <c r="D4242" t="str">
        <f>_xlfn.XLOOKUP($B4242,sales_teams!$A$2:$A$36,sales_teams!C$2:C$36)</f>
        <v>East</v>
      </c>
      <c r="E4242" t="s">
        <v>39</v>
      </c>
      <c r="F4242" t="s">
        <v>155</v>
      </c>
      <c r="G4242" t="s">
        <v>46</v>
      </c>
      <c r="H4242" s="1">
        <v>42913</v>
      </c>
      <c r="I4242" s="1">
        <v>42917</v>
      </c>
      <c r="J4242">
        <v>0</v>
      </c>
    </row>
    <row r="4243" spans="1:10" x14ac:dyDescent="0.3">
      <c r="A4243" t="s">
        <v>4374</v>
      </c>
      <c r="B4243" t="s">
        <v>14</v>
      </c>
      <c r="C4243" t="str">
        <f>_xlfn.XLOOKUP(B4243,
[1]sales_teams!$A$2:$A$100,
[1]sales_teams!$B$2:$B$100)</f>
        <v>Melvin Marxen</v>
      </c>
      <c r="D4243" t="str">
        <f>_xlfn.XLOOKUP($B4243,sales_teams!$A$2:$A$36,sales_teams!C$2:C$36)</f>
        <v>Central</v>
      </c>
      <c r="E4243" t="s">
        <v>20</v>
      </c>
      <c r="F4243" t="s">
        <v>218</v>
      </c>
      <c r="G4243" t="s">
        <v>46</v>
      </c>
      <c r="H4243" s="1">
        <v>42913</v>
      </c>
      <c r="I4243" s="1">
        <v>42922</v>
      </c>
      <c r="J4243">
        <v>0</v>
      </c>
    </row>
    <row r="4244" spans="1:10" x14ac:dyDescent="0.3">
      <c r="A4244" t="s">
        <v>4375</v>
      </c>
      <c r="B4244" t="s">
        <v>14</v>
      </c>
      <c r="C4244" t="str">
        <f>_xlfn.XLOOKUP(B4244,
[1]sales_teams!$A$2:$A$100,
[1]sales_teams!$B$2:$B$100)</f>
        <v>Melvin Marxen</v>
      </c>
      <c r="D4244" t="str">
        <f>_xlfn.XLOOKUP($B4244,sales_teams!$A$2:$A$36,sales_teams!C$2:C$36)</f>
        <v>Central</v>
      </c>
      <c r="E4244" t="s">
        <v>15</v>
      </c>
      <c r="F4244" t="s">
        <v>36</v>
      </c>
      <c r="G4244" t="s">
        <v>12</v>
      </c>
      <c r="H4244" s="1">
        <v>42913</v>
      </c>
      <c r="I4244" s="1">
        <v>42922</v>
      </c>
      <c r="J4244">
        <v>4635</v>
      </c>
    </row>
    <row r="4245" spans="1:10" x14ac:dyDescent="0.3">
      <c r="A4245" t="s">
        <v>4376</v>
      </c>
      <c r="B4245" t="s">
        <v>142</v>
      </c>
      <c r="C4245" t="str">
        <f>_xlfn.XLOOKUP(B4245,
[1]sales_teams!$A$2:$A$100,
[1]sales_teams!$B$2:$B$100)</f>
        <v>Rocco Neubert</v>
      </c>
      <c r="D4245" t="str">
        <f>_xlfn.XLOOKUP($B4245,sales_teams!$A$2:$A$36,sales_teams!C$2:C$36)</f>
        <v>East</v>
      </c>
      <c r="E4245" t="s">
        <v>48</v>
      </c>
      <c r="F4245" t="s">
        <v>89</v>
      </c>
      <c r="G4245" t="s">
        <v>46</v>
      </c>
      <c r="H4245" s="1">
        <v>42913</v>
      </c>
      <c r="I4245" s="1">
        <v>42986</v>
      </c>
      <c r="J4245">
        <v>0</v>
      </c>
    </row>
    <row r="4246" spans="1:10" x14ac:dyDescent="0.3">
      <c r="A4246" t="s">
        <v>4377</v>
      </c>
      <c r="B4246" t="s">
        <v>105</v>
      </c>
      <c r="C4246" t="str">
        <f>_xlfn.XLOOKUP(B4246,
[1]sales_teams!$A$2:$A$100,
[1]sales_teams!$B$2:$B$100)</f>
        <v>Cara Losch</v>
      </c>
      <c r="D4246" t="str">
        <f>_xlfn.XLOOKUP($B4246,sales_teams!$A$2:$A$36,sales_teams!C$2:C$36)</f>
        <v>East</v>
      </c>
      <c r="E4246" t="s">
        <v>20</v>
      </c>
      <c r="F4246" t="s">
        <v>518</v>
      </c>
      <c r="G4246" t="s">
        <v>12</v>
      </c>
      <c r="H4246" s="1">
        <v>42913</v>
      </c>
      <c r="I4246" s="1">
        <v>42998</v>
      </c>
      <c r="J4246">
        <v>470</v>
      </c>
    </row>
    <row r="4247" spans="1:10" x14ac:dyDescent="0.3">
      <c r="A4247" t="s">
        <v>4378</v>
      </c>
      <c r="B4247" t="s">
        <v>44</v>
      </c>
      <c r="C4247" t="str">
        <f>_xlfn.XLOOKUP(B4247,
[1]sales_teams!$A$2:$A$100,
[1]sales_teams!$B$2:$B$100)</f>
        <v>Melvin Marxen</v>
      </c>
      <c r="D4247" t="str">
        <f>_xlfn.XLOOKUP($B4247,sales_teams!$A$2:$A$36,sales_teams!C$2:C$36)</f>
        <v>Central</v>
      </c>
      <c r="E4247" t="s">
        <v>18</v>
      </c>
      <c r="F4247" t="s">
        <v>16</v>
      </c>
      <c r="G4247" t="s">
        <v>46</v>
      </c>
      <c r="H4247" s="1">
        <v>42913</v>
      </c>
      <c r="I4247" s="1">
        <v>42979</v>
      </c>
      <c r="J4247">
        <v>0</v>
      </c>
    </row>
    <row r="4248" spans="1:10" x14ac:dyDescent="0.3">
      <c r="A4248" t="s">
        <v>4379</v>
      </c>
      <c r="B4248" t="s">
        <v>44</v>
      </c>
      <c r="C4248" t="str">
        <f>_xlfn.XLOOKUP(B4248,
[1]sales_teams!$A$2:$A$100,
[1]sales_teams!$B$2:$B$100)</f>
        <v>Melvin Marxen</v>
      </c>
      <c r="D4248" t="str">
        <f>_xlfn.XLOOKUP($B4248,sales_teams!$A$2:$A$36,sales_teams!C$2:C$36)</f>
        <v>Central</v>
      </c>
      <c r="E4248" t="s">
        <v>48</v>
      </c>
      <c r="F4248" t="s">
        <v>62</v>
      </c>
      <c r="G4248" t="s">
        <v>12</v>
      </c>
      <c r="H4248" s="1">
        <v>42913</v>
      </c>
      <c r="I4248" s="1">
        <v>42995</v>
      </c>
      <c r="J4248">
        <v>6193</v>
      </c>
    </row>
    <row r="4249" spans="1:10" x14ac:dyDescent="0.3">
      <c r="A4249" t="s">
        <v>4380</v>
      </c>
      <c r="B4249" t="s">
        <v>38</v>
      </c>
      <c r="C4249" t="str">
        <f>_xlfn.XLOOKUP(B4249,
[1]sales_teams!$A$2:$A$100,
[1]sales_teams!$B$2:$B$100)</f>
        <v>Summer Sewald</v>
      </c>
      <c r="D4249" t="str">
        <f>_xlfn.XLOOKUP($B4249,sales_teams!$A$2:$A$36,sales_teams!C$2:C$36)</f>
        <v>West</v>
      </c>
      <c r="E4249" t="s">
        <v>15</v>
      </c>
      <c r="F4249" t="s">
        <v>194</v>
      </c>
      <c r="G4249" t="s">
        <v>12</v>
      </c>
      <c r="H4249" s="1">
        <v>42913</v>
      </c>
      <c r="I4249" s="1">
        <v>42994</v>
      </c>
      <c r="J4249">
        <v>4277</v>
      </c>
    </row>
    <row r="4250" spans="1:10" x14ac:dyDescent="0.3">
      <c r="A4250" t="s">
        <v>4381</v>
      </c>
      <c r="B4250" t="s">
        <v>78</v>
      </c>
      <c r="C4250" t="str">
        <f>_xlfn.XLOOKUP(B4250,
[1]sales_teams!$A$2:$A$100,
[1]sales_teams!$B$2:$B$100)</f>
        <v>Summer Sewald</v>
      </c>
      <c r="D4250" t="str">
        <f>_xlfn.XLOOKUP($B4250,sales_teams!$A$2:$A$36,sales_teams!C$2:C$36)</f>
        <v>West</v>
      </c>
      <c r="E4250" t="s">
        <v>18</v>
      </c>
      <c r="F4250" t="s">
        <v>313</v>
      </c>
      <c r="G4250" t="s">
        <v>12</v>
      </c>
      <c r="H4250" s="1">
        <v>42913</v>
      </c>
      <c r="I4250" s="1">
        <v>42923</v>
      </c>
      <c r="J4250">
        <v>59</v>
      </c>
    </row>
    <row r="4251" spans="1:10" x14ac:dyDescent="0.3">
      <c r="A4251" t="s">
        <v>4382</v>
      </c>
      <c r="B4251" t="s">
        <v>95</v>
      </c>
      <c r="C4251" t="str">
        <f>_xlfn.XLOOKUP(B4251,
[1]sales_teams!$A$2:$A$100,
[1]sales_teams!$B$2:$B$100)</f>
        <v>Summer Sewald</v>
      </c>
      <c r="D4251" t="str">
        <f>_xlfn.XLOOKUP($B4251,sales_teams!$A$2:$A$36,sales_teams!C$2:C$36)</f>
        <v>West</v>
      </c>
      <c r="E4251" t="s">
        <v>15</v>
      </c>
      <c r="F4251" t="s">
        <v>93</v>
      </c>
      <c r="G4251" t="s">
        <v>46</v>
      </c>
      <c r="H4251" s="1">
        <v>42913</v>
      </c>
      <c r="I4251" s="1">
        <v>42986</v>
      </c>
      <c r="J4251">
        <v>0</v>
      </c>
    </row>
    <row r="4252" spans="1:10" x14ac:dyDescent="0.3">
      <c r="A4252" t="s">
        <v>4383</v>
      </c>
      <c r="B4252" t="s">
        <v>32</v>
      </c>
      <c r="C4252" t="str">
        <f>_xlfn.XLOOKUP(B4252,
[1]sales_teams!$A$2:$A$100,
[1]sales_teams!$B$2:$B$100)</f>
        <v>Celia Rouche</v>
      </c>
      <c r="D4252" t="str">
        <f>_xlfn.XLOOKUP($B4252,sales_teams!$A$2:$A$36,sales_teams!C$2:C$36)</f>
        <v>West</v>
      </c>
      <c r="E4252" t="s">
        <v>20</v>
      </c>
      <c r="F4252" t="s">
        <v>218</v>
      </c>
      <c r="G4252" t="s">
        <v>46</v>
      </c>
      <c r="H4252" s="1">
        <v>42913</v>
      </c>
      <c r="I4252" s="1">
        <v>42922</v>
      </c>
      <c r="J4252">
        <v>0</v>
      </c>
    </row>
    <row r="4253" spans="1:10" x14ac:dyDescent="0.3">
      <c r="A4253" t="s">
        <v>4384</v>
      </c>
      <c r="B4253" t="s">
        <v>32</v>
      </c>
      <c r="C4253" t="str">
        <f>_xlfn.XLOOKUP(B4253,
[1]sales_teams!$A$2:$A$100,
[1]sales_teams!$B$2:$B$100)</f>
        <v>Celia Rouche</v>
      </c>
      <c r="D4253" t="str">
        <f>_xlfn.XLOOKUP($B4253,sales_teams!$A$2:$A$36,sales_teams!C$2:C$36)</f>
        <v>West</v>
      </c>
      <c r="E4253" t="s">
        <v>15</v>
      </c>
      <c r="F4253" t="s">
        <v>100</v>
      </c>
      <c r="G4253" t="s">
        <v>46</v>
      </c>
      <c r="H4253" s="1">
        <v>42913</v>
      </c>
      <c r="I4253" s="1">
        <v>42921</v>
      </c>
      <c r="J4253">
        <v>0</v>
      </c>
    </row>
    <row r="4254" spans="1:10" x14ac:dyDescent="0.3">
      <c r="A4254" t="s">
        <v>4385</v>
      </c>
      <c r="B4254" t="s">
        <v>116</v>
      </c>
      <c r="C4254" t="str">
        <f>_xlfn.XLOOKUP(B4254,
[1]sales_teams!$A$2:$A$100,
[1]sales_teams!$B$2:$B$100)</f>
        <v>Melvin Marxen</v>
      </c>
      <c r="D4254" t="str">
        <f>_xlfn.XLOOKUP($B4254,sales_teams!$A$2:$A$36,sales_teams!C$2:C$36)</f>
        <v>Central</v>
      </c>
      <c r="E4254" t="s">
        <v>10</v>
      </c>
      <c r="F4254" t="s">
        <v>213</v>
      </c>
      <c r="G4254" t="s">
        <v>12</v>
      </c>
      <c r="H4254" s="1">
        <v>42913</v>
      </c>
      <c r="I4254" s="1">
        <v>42918</v>
      </c>
      <c r="J4254">
        <v>1176</v>
      </c>
    </row>
    <row r="4255" spans="1:10" x14ac:dyDescent="0.3">
      <c r="A4255" t="s">
        <v>4386</v>
      </c>
      <c r="B4255" t="s">
        <v>9</v>
      </c>
      <c r="C4255" t="str">
        <f>_xlfn.XLOOKUP(B4255,
[1]sales_teams!$A$2:$A$100,
[1]sales_teams!$B$2:$B$100)</f>
        <v>Dustin Brinkmann</v>
      </c>
      <c r="D4255" t="str">
        <f>_xlfn.XLOOKUP($B4255,sales_teams!$A$2:$A$36,sales_teams!C$2:C$36)</f>
        <v>Central</v>
      </c>
      <c r="E4255" t="s">
        <v>48</v>
      </c>
      <c r="F4255" t="s">
        <v>129</v>
      </c>
      <c r="G4255" t="s">
        <v>46</v>
      </c>
      <c r="H4255" s="1">
        <v>42913</v>
      </c>
      <c r="I4255" s="1">
        <v>42924</v>
      </c>
      <c r="J4255">
        <v>0</v>
      </c>
    </row>
    <row r="4256" spans="1:10" x14ac:dyDescent="0.3">
      <c r="A4256" t="s">
        <v>4387</v>
      </c>
      <c r="B4256" t="s">
        <v>9</v>
      </c>
      <c r="C4256" t="str">
        <f>_xlfn.XLOOKUP(B4256,
[1]sales_teams!$A$2:$A$100,
[1]sales_teams!$B$2:$B$100)</f>
        <v>Dustin Brinkmann</v>
      </c>
      <c r="D4256" t="str">
        <f>_xlfn.XLOOKUP($B4256,sales_teams!$A$2:$A$36,sales_teams!C$2:C$36)</f>
        <v>Central</v>
      </c>
      <c r="E4256" t="s">
        <v>20</v>
      </c>
      <c r="F4256" t="s">
        <v>187</v>
      </c>
      <c r="G4256" t="s">
        <v>12</v>
      </c>
      <c r="H4256" s="1">
        <v>42913</v>
      </c>
      <c r="I4256" s="1">
        <v>42921</v>
      </c>
      <c r="J4256">
        <v>541</v>
      </c>
    </row>
    <row r="4257" spans="1:10" x14ac:dyDescent="0.3">
      <c r="A4257" t="s">
        <v>4388</v>
      </c>
      <c r="B4257" t="s">
        <v>35</v>
      </c>
      <c r="C4257" t="str">
        <f>_xlfn.XLOOKUP(B4257,
[1]sales_teams!$A$2:$A$100,
[1]sales_teams!$B$2:$B$100)</f>
        <v>Melvin Marxen</v>
      </c>
      <c r="D4257" t="str">
        <f>_xlfn.XLOOKUP($B4257,sales_teams!$A$2:$A$36,sales_teams!C$2:C$36)</f>
        <v>Central</v>
      </c>
      <c r="E4257" t="s">
        <v>48</v>
      </c>
      <c r="F4257" t="s">
        <v>207</v>
      </c>
      <c r="G4257" t="s">
        <v>12</v>
      </c>
      <c r="H4257" s="1">
        <v>42913</v>
      </c>
      <c r="I4257" s="1">
        <v>42917</v>
      </c>
      <c r="J4257">
        <v>4766</v>
      </c>
    </row>
    <row r="4258" spans="1:10" x14ac:dyDescent="0.3">
      <c r="A4258" t="s">
        <v>4389</v>
      </c>
      <c r="B4258" t="s">
        <v>97</v>
      </c>
      <c r="C4258" t="str">
        <f>_xlfn.XLOOKUP(B4258,
[1]sales_teams!$A$2:$A$100,
[1]sales_teams!$B$2:$B$100)</f>
        <v>Rocco Neubert</v>
      </c>
      <c r="D4258" t="str">
        <f>_xlfn.XLOOKUP($B4258,sales_teams!$A$2:$A$36,sales_teams!C$2:C$36)</f>
        <v>East</v>
      </c>
      <c r="E4258" t="s">
        <v>39</v>
      </c>
      <c r="F4258" t="s">
        <v>518</v>
      </c>
      <c r="G4258" t="s">
        <v>46</v>
      </c>
      <c r="H4258" s="1">
        <v>42913</v>
      </c>
      <c r="I4258" s="1">
        <v>42984</v>
      </c>
      <c r="J4258">
        <v>0</v>
      </c>
    </row>
    <row r="4259" spans="1:10" x14ac:dyDescent="0.3">
      <c r="A4259" t="s">
        <v>4390</v>
      </c>
      <c r="B4259" t="s">
        <v>97</v>
      </c>
      <c r="C4259" t="str">
        <f>_xlfn.XLOOKUP(B4259,
[1]sales_teams!$A$2:$A$100,
[1]sales_teams!$B$2:$B$100)</f>
        <v>Rocco Neubert</v>
      </c>
      <c r="D4259" t="str">
        <f>_xlfn.XLOOKUP($B4259,sales_teams!$A$2:$A$36,sales_teams!C$2:C$36)</f>
        <v>East</v>
      </c>
      <c r="E4259" t="s">
        <v>15</v>
      </c>
      <c r="F4259" t="s">
        <v>74</v>
      </c>
      <c r="G4259" t="s">
        <v>12</v>
      </c>
      <c r="H4259" s="1">
        <v>42913</v>
      </c>
      <c r="I4259" s="1">
        <v>42917</v>
      </c>
      <c r="J4259">
        <v>4785</v>
      </c>
    </row>
    <row r="4260" spans="1:10" x14ac:dyDescent="0.3">
      <c r="A4260" t="s">
        <v>4391</v>
      </c>
      <c r="B4260" t="s">
        <v>61</v>
      </c>
      <c r="C4260" t="str">
        <f>_xlfn.XLOOKUP(B4260,
[1]sales_teams!$A$2:$A$100,
[1]sales_teams!$B$2:$B$100)</f>
        <v>Dustin Brinkmann</v>
      </c>
      <c r="D4260" t="str">
        <f>_xlfn.XLOOKUP($B4260,sales_teams!$A$2:$A$36,sales_teams!C$2:C$36)</f>
        <v>Central</v>
      </c>
      <c r="E4260" t="s">
        <v>39</v>
      </c>
      <c r="F4260" t="s">
        <v>151</v>
      </c>
      <c r="G4260" t="s">
        <v>12</v>
      </c>
      <c r="H4260" s="1">
        <v>42913</v>
      </c>
      <c r="I4260" s="1">
        <v>42990</v>
      </c>
      <c r="J4260">
        <v>3046</v>
      </c>
    </row>
    <row r="4261" spans="1:10" x14ac:dyDescent="0.3">
      <c r="A4261" t="s">
        <v>4392</v>
      </c>
      <c r="B4261" t="s">
        <v>61</v>
      </c>
      <c r="C4261" t="str">
        <f>_xlfn.XLOOKUP(B4261,
[1]sales_teams!$A$2:$A$100,
[1]sales_teams!$B$2:$B$100)</f>
        <v>Dustin Brinkmann</v>
      </c>
      <c r="D4261" t="str">
        <f>_xlfn.XLOOKUP($B4261,sales_teams!$A$2:$A$36,sales_teams!C$2:C$36)</f>
        <v>Central</v>
      </c>
      <c r="E4261" t="s">
        <v>39</v>
      </c>
      <c r="F4261" t="s">
        <v>27</v>
      </c>
      <c r="G4261" t="s">
        <v>12</v>
      </c>
      <c r="H4261" s="1">
        <v>42913</v>
      </c>
      <c r="I4261" s="1">
        <v>42920</v>
      </c>
      <c r="J4261">
        <v>3548</v>
      </c>
    </row>
    <row r="4262" spans="1:10" x14ac:dyDescent="0.3">
      <c r="A4262" t="s">
        <v>4393</v>
      </c>
      <c r="B4262" t="s">
        <v>29</v>
      </c>
      <c r="C4262" t="str">
        <f>_xlfn.XLOOKUP(B4262,
[1]sales_teams!$A$2:$A$100,
[1]sales_teams!$B$2:$B$100)</f>
        <v>Celia Rouche</v>
      </c>
      <c r="D4262" t="str">
        <f>_xlfn.XLOOKUP($B4262,sales_teams!$A$2:$A$36,sales_teams!C$2:C$36)</f>
        <v>West</v>
      </c>
      <c r="E4262" t="s">
        <v>39</v>
      </c>
      <c r="F4262" t="s">
        <v>68</v>
      </c>
      <c r="G4262" t="s">
        <v>46</v>
      </c>
      <c r="H4262" s="1">
        <v>42913</v>
      </c>
      <c r="I4262" s="1">
        <v>42922</v>
      </c>
      <c r="J4262">
        <v>0</v>
      </c>
    </row>
    <row r="4263" spans="1:10" x14ac:dyDescent="0.3">
      <c r="A4263" t="s">
        <v>4394</v>
      </c>
      <c r="B4263" t="s">
        <v>29</v>
      </c>
      <c r="C4263" t="str">
        <f>_xlfn.XLOOKUP(B4263,
[1]sales_teams!$A$2:$A$100,
[1]sales_teams!$B$2:$B$100)</f>
        <v>Celia Rouche</v>
      </c>
      <c r="D4263" t="str">
        <f>_xlfn.XLOOKUP($B4263,sales_teams!$A$2:$A$36,sales_teams!C$2:C$36)</f>
        <v>West</v>
      </c>
      <c r="E4263" t="s">
        <v>39</v>
      </c>
      <c r="F4263" t="s">
        <v>68</v>
      </c>
      <c r="G4263" t="s">
        <v>12</v>
      </c>
      <c r="H4263" s="1">
        <v>42913</v>
      </c>
      <c r="I4263" s="1">
        <v>42923</v>
      </c>
      <c r="J4263">
        <v>3615</v>
      </c>
    </row>
    <row r="4264" spans="1:10" x14ac:dyDescent="0.3">
      <c r="A4264" t="s">
        <v>4395</v>
      </c>
      <c r="B4264" t="s">
        <v>73</v>
      </c>
      <c r="C4264" t="str">
        <f>_xlfn.XLOOKUP(B4264,
[1]sales_teams!$A$2:$A$100,
[1]sales_teams!$B$2:$B$100)</f>
        <v>Cara Losch</v>
      </c>
      <c r="D4264" t="str">
        <f>_xlfn.XLOOKUP($B4264,sales_teams!$A$2:$A$36,sales_teams!C$2:C$36)</f>
        <v>East</v>
      </c>
      <c r="E4264" t="s">
        <v>15</v>
      </c>
      <c r="G4264" t="s">
        <v>40</v>
      </c>
      <c r="H4264" s="1">
        <v>42913</v>
      </c>
    </row>
    <row r="4265" spans="1:10" x14ac:dyDescent="0.3">
      <c r="A4265" t="s">
        <v>4396</v>
      </c>
      <c r="B4265" t="s">
        <v>26</v>
      </c>
      <c r="C4265" t="str">
        <f>_xlfn.XLOOKUP(B4265,
[1]sales_teams!$A$2:$A$100,
[1]sales_teams!$B$2:$B$100)</f>
        <v>Dustin Brinkmann</v>
      </c>
      <c r="D4265" t="str">
        <f>_xlfn.XLOOKUP($B4265,sales_teams!$A$2:$A$36,sales_teams!C$2:C$36)</f>
        <v>Central</v>
      </c>
      <c r="E4265" t="s">
        <v>20</v>
      </c>
      <c r="F4265" t="s">
        <v>45</v>
      </c>
      <c r="G4265" t="s">
        <v>12</v>
      </c>
      <c r="H4265" s="1">
        <v>42914</v>
      </c>
      <c r="I4265" s="1">
        <v>42989</v>
      </c>
      <c r="J4265">
        <v>631</v>
      </c>
    </row>
    <row r="4266" spans="1:10" x14ac:dyDescent="0.3">
      <c r="A4266" t="s">
        <v>4397</v>
      </c>
      <c r="B4266" t="s">
        <v>118</v>
      </c>
      <c r="C4266" t="str">
        <f>_xlfn.XLOOKUP(B4266,
[1]sales_teams!$A$2:$A$100,
[1]sales_teams!$B$2:$B$100)</f>
        <v>Rocco Neubert</v>
      </c>
      <c r="D4266" t="str">
        <f>_xlfn.XLOOKUP($B4266,sales_teams!$A$2:$A$36,sales_teams!C$2:C$36)</f>
        <v>East</v>
      </c>
      <c r="E4266" t="s">
        <v>20</v>
      </c>
      <c r="F4266" t="s">
        <v>155</v>
      </c>
      <c r="G4266" t="s">
        <v>46</v>
      </c>
      <c r="H4266" s="1">
        <v>42914</v>
      </c>
      <c r="I4266" s="1">
        <v>42917</v>
      </c>
      <c r="J4266">
        <v>0</v>
      </c>
    </row>
    <row r="4267" spans="1:10" x14ac:dyDescent="0.3">
      <c r="A4267" t="s">
        <v>4398</v>
      </c>
      <c r="B4267" t="s">
        <v>202</v>
      </c>
      <c r="C4267" t="str">
        <f>_xlfn.XLOOKUP(B4267,
[1]sales_teams!$A$2:$A$100,
[1]sales_teams!$B$2:$B$100)</f>
        <v>Dustin Brinkmann</v>
      </c>
      <c r="D4267" t="str">
        <f>_xlfn.XLOOKUP($B4267,sales_teams!$A$2:$A$36,sales_teams!C$2:C$36)</f>
        <v>Central</v>
      </c>
      <c r="E4267" t="s">
        <v>20</v>
      </c>
      <c r="F4267" t="s">
        <v>315</v>
      </c>
      <c r="G4267" t="s">
        <v>46</v>
      </c>
      <c r="H4267" s="1">
        <v>42914</v>
      </c>
      <c r="I4267" s="1">
        <v>42958</v>
      </c>
      <c r="J4267">
        <v>0</v>
      </c>
    </row>
    <row r="4268" spans="1:10" x14ac:dyDescent="0.3">
      <c r="A4268" t="s">
        <v>4399</v>
      </c>
      <c r="B4268" t="s">
        <v>202</v>
      </c>
      <c r="C4268" t="str">
        <f>_xlfn.XLOOKUP(B4268,
[1]sales_teams!$A$2:$A$100,
[1]sales_teams!$B$2:$B$100)</f>
        <v>Dustin Brinkmann</v>
      </c>
      <c r="D4268" t="str">
        <f>_xlfn.XLOOKUP($B4268,sales_teams!$A$2:$A$36,sales_teams!C$2:C$36)</f>
        <v>Central</v>
      </c>
      <c r="E4268" t="s">
        <v>18</v>
      </c>
      <c r="F4268" t="s">
        <v>45</v>
      </c>
      <c r="G4268" t="s">
        <v>46</v>
      </c>
      <c r="H4268" s="1">
        <v>42914</v>
      </c>
      <c r="I4268" s="1">
        <v>42923</v>
      </c>
      <c r="J4268">
        <v>0</v>
      </c>
    </row>
    <row r="4269" spans="1:10" x14ac:dyDescent="0.3">
      <c r="A4269" t="s">
        <v>4400</v>
      </c>
      <c r="B4269" t="s">
        <v>64</v>
      </c>
      <c r="C4269" t="str">
        <f>_xlfn.XLOOKUP(B4269,
[1]sales_teams!$A$2:$A$100,
[1]sales_teams!$B$2:$B$100)</f>
        <v>Rocco Neubert</v>
      </c>
      <c r="D4269" t="str">
        <f>_xlfn.XLOOKUP($B4269,sales_teams!$A$2:$A$36,sales_teams!C$2:C$36)</f>
        <v>East</v>
      </c>
      <c r="E4269" t="s">
        <v>15</v>
      </c>
      <c r="F4269" t="s">
        <v>222</v>
      </c>
      <c r="G4269" t="s">
        <v>46</v>
      </c>
      <c r="H4269" s="1">
        <v>42914</v>
      </c>
      <c r="I4269" s="1">
        <v>42961</v>
      </c>
      <c r="J4269">
        <v>0</v>
      </c>
    </row>
    <row r="4270" spans="1:10" x14ac:dyDescent="0.3">
      <c r="A4270" t="s">
        <v>4401</v>
      </c>
      <c r="B4270" t="s">
        <v>14</v>
      </c>
      <c r="C4270" t="str">
        <f>_xlfn.XLOOKUP(B4270,
[1]sales_teams!$A$2:$A$100,
[1]sales_teams!$B$2:$B$100)</f>
        <v>Melvin Marxen</v>
      </c>
      <c r="D4270" t="str">
        <f>_xlfn.XLOOKUP($B4270,sales_teams!$A$2:$A$36,sales_teams!C$2:C$36)</f>
        <v>Central</v>
      </c>
      <c r="E4270" t="s">
        <v>15</v>
      </c>
      <c r="F4270" t="s">
        <v>218</v>
      </c>
      <c r="G4270" t="s">
        <v>46</v>
      </c>
      <c r="H4270" s="1">
        <v>42914</v>
      </c>
      <c r="I4270" s="1">
        <v>42923</v>
      </c>
      <c r="J4270">
        <v>0</v>
      </c>
    </row>
    <row r="4271" spans="1:10" x14ac:dyDescent="0.3">
      <c r="A4271" t="s">
        <v>4402</v>
      </c>
      <c r="B4271" t="s">
        <v>14</v>
      </c>
      <c r="C4271" t="str">
        <f>_xlfn.XLOOKUP(B4271,
[1]sales_teams!$A$2:$A$100,
[1]sales_teams!$B$2:$B$100)</f>
        <v>Melvin Marxen</v>
      </c>
      <c r="D4271" t="str">
        <f>_xlfn.XLOOKUP($B4271,sales_teams!$A$2:$A$36,sales_teams!C$2:C$36)</f>
        <v>Central</v>
      </c>
      <c r="E4271" t="s">
        <v>15</v>
      </c>
      <c r="F4271" t="s">
        <v>111</v>
      </c>
      <c r="G4271" t="s">
        <v>46</v>
      </c>
      <c r="H4271" s="1">
        <v>42914</v>
      </c>
      <c r="I4271" s="1">
        <v>42922</v>
      </c>
      <c r="J4271">
        <v>0</v>
      </c>
    </row>
    <row r="4272" spans="1:10" x14ac:dyDescent="0.3">
      <c r="A4272" t="s">
        <v>4403</v>
      </c>
      <c r="B4272" t="s">
        <v>14</v>
      </c>
      <c r="C4272" t="str">
        <f>_xlfn.XLOOKUP(B4272,
[1]sales_teams!$A$2:$A$100,
[1]sales_teams!$B$2:$B$100)</f>
        <v>Melvin Marxen</v>
      </c>
      <c r="D4272" t="str">
        <f>_xlfn.XLOOKUP($B4272,sales_teams!$A$2:$A$36,sales_teams!C$2:C$36)</f>
        <v>Central</v>
      </c>
      <c r="E4272" t="s">
        <v>15</v>
      </c>
      <c r="F4272" t="s">
        <v>492</v>
      </c>
      <c r="G4272" t="s">
        <v>12</v>
      </c>
      <c r="H4272" s="1">
        <v>42914</v>
      </c>
      <c r="I4272" s="1">
        <v>42923</v>
      </c>
      <c r="J4272">
        <v>4162</v>
      </c>
    </row>
    <row r="4273" spans="1:10" x14ac:dyDescent="0.3">
      <c r="A4273" t="s">
        <v>4404</v>
      </c>
      <c r="B4273" t="s">
        <v>14</v>
      </c>
      <c r="C4273" t="str">
        <f>_xlfn.XLOOKUP(B4273,
[1]sales_teams!$A$2:$A$100,
[1]sales_teams!$B$2:$B$100)</f>
        <v>Melvin Marxen</v>
      </c>
      <c r="D4273" t="str">
        <f>_xlfn.XLOOKUP($B4273,sales_teams!$A$2:$A$36,sales_teams!C$2:C$36)</f>
        <v>Central</v>
      </c>
      <c r="E4273" t="s">
        <v>18</v>
      </c>
      <c r="F4273" t="s">
        <v>170</v>
      </c>
      <c r="G4273" t="s">
        <v>12</v>
      </c>
      <c r="H4273" s="1">
        <v>42914</v>
      </c>
      <c r="I4273" s="1">
        <v>43007</v>
      </c>
      <c r="J4273">
        <v>54</v>
      </c>
    </row>
    <row r="4274" spans="1:10" x14ac:dyDescent="0.3">
      <c r="A4274" t="s">
        <v>4405</v>
      </c>
      <c r="B4274" t="s">
        <v>142</v>
      </c>
      <c r="C4274" t="str">
        <f>_xlfn.XLOOKUP(B4274,
[1]sales_teams!$A$2:$A$100,
[1]sales_teams!$B$2:$B$100)</f>
        <v>Rocco Neubert</v>
      </c>
      <c r="D4274" t="str">
        <f>_xlfn.XLOOKUP($B4274,sales_teams!$A$2:$A$36,sales_teams!C$2:C$36)</f>
        <v>East</v>
      </c>
      <c r="E4274" t="s">
        <v>15</v>
      </c>
      <c r="F4274" t="s">
        <v>518</v>
      </c>
      <c r="G4274" t="s">
        <v>12</v>
      </c>
      <c r="H4274" s="1">
        <v>42914</v>
      </c>
      <c r="I4274" s="1">
        <v>42918</v>
      </c>
      <c r="J4274">
        <v>5064</v>
      </c>
    </row>
    <row r="4275" spans="1:10" x14ac:dyDescent="0.3">
      <c r="A4275" t="s">
        <v>4406</v>
      </c>
      <c r="B4275" t="s">
        <v>67</v>
      </c>
      <c r="C4275" t="str">
        <f>_xlfn.XLOOKUP(B4275,
[1]sales_teams!$A$2:$A$100,
[1]sales_teams!$B$2:$B$100)</f>
        <v>Celia Rouche</v>
      </c>
      <c r="D4275" t="str">
        <f>_xlfn.XLOOKUP($B4275,sales_teams!$A$2:$A$36,sales_teams!C$2:C$36)</f>
        <v>West</v>
      </c>
      <c r="E4275" t="s">
        <v>39</v>
      </c>
      <c r="F4275" t="s">
        <v>155</v>
      </c>
      <c r="G4275" t="s">
        <v>46</v>
      </c>
      <c r="H4275" s="1">
        <v>42914</v>
      </c>
      <c r="I4275" s="1">
        <v>42923</v>
      </c>
      <c r="J4275">
        <v>0</v>
      </c>
    </row>
    <row r="4276" spans="1:10" x14ac:dyDescent="0.3">
      <c r="A4276" t="s">
        <v>4407</v>
      </c>
      <c r="B4276" t="s">
        <v>44</v>
      </c>
      <c r="C4276" t="str">
        <f>_xlfn.XLOOKUP(B4276,
[1]sales_teams!$A$2:$A$100,
[1]sales_teams!$B$2:$B$100)</f>
        <v>Melvin Marxen</v>
      </c>
      <c r="D4276" t="str">
        <f>_xlfn.XLOOKUP($B4276,sales_teams!$A$2:$A$36,sales_teams!C$2:C$36)</f>
        <v>Central</v>
      </c>
      <c r="E4276" t="s">
        <v>10</v>
      </c>
      <c r="F4276" t="s">
        <v>113</v>
      </c>
      <c r="G4276" t="s">
        <v>46</v>
      </c>
      <c r="H4276" s="1">
        <v>42914</v>
      </c>
      <c r="I4276" s="1">
        <v>42976</v>
      </c>
      <c r="J4276">
        <v>0</v>
      </c>
    </row>
    <row r="4277" spans="1:10" x14ac:dyDescent="0.3">
      <c r="A4277" t="s">
        <v>4408</v>
      </c>
      <c r="B4277" t="s">
        <v>44</v>
      </c>
      <c r="C4277" t="str">
        <f>_xlfn.XLOOKUP(B4277,
[1]sales_teams!$A$2:$A$100,
[1]sales_teams!$B$2:$B$100)</f>
        <v>Melvin Marxen</v>
      </c>
      <c r="D4277" t="str">
        <f>_xlfn.XLOOKUP($B4277,sales_teams!$A$2:$A$36,sales_teams!C$2:C$36)</f>
        <v>Central</v>
      </c>
      <c r="E4277" t="s">
        <v>18</v>
      </c>
      <c r="F4277" t="s">
        <v>113</v>
      </c>
      <c r="G4277" t="s">
        <v>46</v>
      </c>
      <c r="H4277" s="1">
        <v>42914</v>
      </c>
      <c r="I4277" s="1">
        <v>42925</v>
      </c>
      <c r="J4277">
        <v>0</v>
      </c>
    </row>
    <row r="4278" spans="1:10" x14ac:dyDescent="0.3">
      <c r="A4278" t="s">
        <v>4409</v>
      </c>
      <c r="B4278" t="s">
        <v>44</v>
      </c>
      <c r="C4278" t="str">
        <f>_xlfn.XLOOKUP(B4278,
[1]sales_teams!$A$2:$A$100,
[1]sales_teams!$B$2:$B$100)</f>
        <v>Melvin Marxen</v>
      </c>
      <c r="D4278" t="str">
        <f>_xlfn.XLOOKUP($B4278,sales_teams!$A$2:$A$36,sales_teams!C$2:C$36)</f>
        <v>Central</v>
      </c>
      <c r="E4278" t="s">
        <v>39</v>
      </c>
      <c r="F4278" t="s">
        <v>120</v>
      </c>
      <c r="G4278" t="s">
        <v>12</v>
      </c>
      <c r="H4278" s="1">
        <v>42914</v>
      </c>
      <c r="I4278" s="1">
        <v>42923</v>
      </c>
      <c r="J4278">
        <v>3865</v>
      </c>
    </row>
    <row r="4279" spans="1:10" x14ac:dyDescent="0.3">
      <c r="A4279" t="s">
        <v>4410</v>
      </c>
      <c r="B4279" t="s">
        <v>54</v>
      </c>
      <c r="C4279" t="str">
        <f>_xlfn.XLOOKUP(B4279,
[1]sales_teams!$A$2:$A$100,
[1]sales_teams!$B$2:$B$100)</f>
        <v>Celia Rouche</v>
      </c>
      <c r="D4279" t="str">
        <f>_xlfn.XLOOKUP($B4279,sales_teams!$A$2:$A$36,sales_teams!C$2:C$36)</f>
        <v>West</v>
      </c>
      <c r="E4279" t="s">
        <v>39</v>
      </c>
      <c r="F4279" t="s">
        <v>199</v>
      </c>
      <c r="G4279" t="s">
        <v>46</v>
      </c>
      <c r="H4279" s="1">
        <v>42914</v>
      </c>
      <c r="I4279" s="1">
        <v>42992</v>
      </c>
      <c r="J4279">
        <v>0</v>
      </c>
    </row>
    <row r="4280" spans="1:10" x14ac:dyDescent="0.3">
      <c r="A4280" t="s">
        <v>4411</v>
      </c>
      <c r="B4280" t="s">
        <v>38</v>
      </c>
      <c r="C4280" t="str">
        <f>_xlfn.XLOOKUP(B4280,
[1]sales_teams!$A$2:$A$100,
[1]sales_teams!$B$2:$B$100)</f>
        <v>Summer Sewald</v>
      </c>
      <c r="D4280" t="str">
        <f>_xlfn.XLOOKUP($B4280,sales_teams!$A$2:$A$36,sales_teams!C$2:C$36)</f>
        <v>West</v>
      </c>
      <c r="E4280" t="s">
        <v>15</v>
      </c>
      <c r="F4280" t="s">
        <v>124</v>
      </c>
      <c r="G4280" t="s">
        <v>46</v>
      </c>
      <c r="H4280" s="1">
        <v>42914</v>
      </c>
      <c r="I4280" s="1">
        <v>42920</v>
      </c>
      <c r="J4280">
        <v>0</v>
      </c>
    </row>
    <row r="4281" spans="1:10" x14ac:dyDescent="0.3">
      <c r="A4281" t="s">
        <v>4412</v>
      </c>
      <c r="B4281" t="s">
        <v>38</v>
      </c>
      <c r="C4281" t="str">
        <f>_xlfn.XLOOKUP(B4281,
[1]sales_teams!$A$2:$A$100,
[1]sales_teams!$B$2:$B$100)</f>
        <v>Summer Sewald</v>
      </c>
      <c r="D4281" t="str">
        <f>_xlfn.XLOOKUP($B4281,sales_teams!$A$2:$A$36,sales_teams!C$2:C$36)</f>
        <v>West</v>
      </c>
      <c r="E4281" t="s">
        <v>20</v>
      </c>
      <c r="F4281" t="s">
        <v>93</v>
      </c>
      <c r="G4281" t="s">
        <v>12</v>
      </c>
      <c r="H4281" s="1">
        <v>42914</v>
      </c>
      <c r="I4281" s="1">
        <v>42957</v>
      </c>
      <c r="J4281">
        <v>553</v>
      </c>
    </row>
    <row r="4282" spans="1:10" x14ac:dyDescent="0.3">
      <c r="A4282" t="s">
        <v>4413</v>
      </c>
      <c r="B4282" t="s">
        <v>252</v>
      </c>
      <c r="C4282" t="str">
        <f>_xlfn.XLOOKUP(B4282,
[1]sales_teams!$A$2:$A$100,
[1]sales_teams!$B$2:$B$100)</f>
        <v>Melvin Marxen</v>
      </c>
      <c r="D4282" t="str">
        <f>_xlfn.XLOOKUP($B4282,sales_teams!$A$2:$A$36,sales_teams!C$2:C$36)</f>
        <v>Central</v>
      </c>
      <c r="E4282" t="s">
        <v>10</v>
      </c>
      <c r="F4282" t="s">
        <v>129</v>
      </c>
      <c r="G4282" t="s">
        <v>46</v>
      </c>
      <c r="H4282" s="1">
        <v>42914</v>
      </c>
      <c r="I4282" s="1">
        <v>42919</v>
      </c>
      <c r="J4282">
        <v>0</v>
      </c>
    </row>
    <row r="4283" spans="1:10" x14ac:dyDescent="0.3">
      <c r="A4283" t="s">
        <v>4414</v>
      </c>
      <c r="B4283" t="s">
        <v>252</v>
      </c>
      <c r="C4283" t="str">
        <f>_xlfn.XLOOKUP(B4283,
[1]sales_teams!$A$2:$A$100,
[1]sales_teams!$B$2:$B$100)</f>
        <v>Melvin Marxen</v>
      </c>
      <c r="D4283" t="str">
        <f>_xlfn.XLOOKUP($B4283,sales_teams!$A$2:$A$36,sales_teams!C$2:C$36)</f>
        <v>Central</v>
      </c>
      <c r="E4283" t="s">
        <v>39</v>
      </c>
      <c r="F4283" t="s">
        <v>197</v>
      </c>
      <c r="G4283" t="s">
        <v>46</v>
      </c>
      <c r="H4283" s="1">
        <v>42914</v>
      </c>
      <c r="I4283" s="1">
        <v>42921</v>
      </c>
      <c r="J4283">
        <v>0</v>
      </c>
    </row>
    <row r="4284" spans="1:10" x14ac:dyDescent="0.3">
      <c r="A4284" t="s">
        <v>4415</v>
      </c>
      <c r="B4284" t="s">
        <v>252</v>
      </c>
      <c r="C4284" t="str">
        <f>_xlfn.XLOOKUP(B4284,
[1]sales_teams!$A$2:$A$100,
[1]sales_teams!$B$2:$B$100)</f>
        <v>Melvin Marxen</v>
      </c>
      <c r="D4284" t="str">
        <f>_xlfn.XLOOKUP($B4284,sales_teams!$A$2:$A$36,sales_teams!C$2:C$36)</f>
        <v>Central</v>
      </c>
      <c r="E4284" t="s">
        <v>20</v>
      </c>
      <c r="F4284" t="s">
        <v>27</v>
      </c>
      <c r="G4284" t="s">
        <v>12</v>
      </c>
      <c r="H4284" s="1">
        <v>42914</v>
      </c>
      <c r="I4284" s="1">
        <v>42980</v>
      </c>
      <c r="J4284">
        <v>501</v>
      </c>
    </row>
    <row r="4285" spans="1:10" x14ac:dyDescent="0.3">
      <c r="A4285" t="s">
        <v>4416</v>
      </c>
      <c r="B4285" t="s">
        <v>95</v>
      </c>
      <c r="C4285" t="str">
        <f>_xlfn.XLOOKUP(B4285,
[1]sales_teams!$A$2:$A$100,
[1]sales_teams!$B$2:$B$100)</f>
        <v>Summer Sewald</v>
      </c>
      <c r="D4285" t="str">
        <f>_xlfn.XLOOKUP($B4285,sales_teams!$A$2:$A$36,sales_teams!C$2:C$36)</f>
        <v>West</v>
      </c>
      <c r="E4285" t="s">
        <v>20</v>
      </c>
      <c r="F4285" t="s">
        <v>30</v>
      </c>
      <c r="G4285" t="s">
        <v>12</v>
      </c>
      <c r="H4285" s="1">
        <v>42914</v>
      </c>
      <c r="I4285" s="1">
        <v>43005</v>
      </c>
      <c r="J4285">
        <v>539</v>
      </c>
    </row>
    <row r="4286" spans="1:10" x14ac:dyDescent="0.3">
      <c r="A4286" t="s">
        <v>4417</v>
      </c>
      <c r="B4286" t="s">
        <v>95</v>
      </c>
      <c r="C4286" t="str">
        <f>_xlfn.XLOOKUP(B4286,
[1]sales_teams!$A$2:$A$100,
[1]sales_teams!$B$2:$B$100)</f>
        <v>Summer Sewald</v>
      </c>
      <c r="D4286" t="str">
        <f>_xlfn.XLOOKUP($B4286,sales_teams!$A$2:$A$36,sales_teams!C$2:C$36)</f>
        <v>West</v>
      </c>
      <c r="E4286" t="s">
        <v>10</v>
      </c>
      <c r="F4286" t="s">
        <v>273</v>
      </c>
      <c r="G4286" t="s">
        <v>12</v>
      </c>
      <c r="H4286" s="1">
        <v>42914</v>
      </c>
      <c r="I4286" s="1">
        <v>42920</v>
      </c>
      <c r="J4286">
        <v>1028</v>
      </c>
    </row>
    <row r="4287" spans="1:10" x14ac:dyDescent="0.3">
      <c r="A4287" t="s">
        <v>4418</v>
      </c>
      <c r="B4287" t="s">
        <v>95</v>
      </c>
      <c r="C4287" t="str">
        <f>_xlfn.XLOOKUP(B4287,
[1]sales_teams!$A$2:$A$100,
[1]sales_teams!$B$2:$B$100)</f>
        <v>Summer Sewald</v>
      </c>
      <c r="D4287" t="str">
        <f>_xlfn.XLOOKUP($B4287,sales_teams!$A$2:$A$36,sales_teams!C$2:C$36)</f>
        <v>West</v>
      </c>
      <c r="E4287" t="s">
        <v>15</v>
      </c>
      <c r="F4287" t="s">
        <v>157</v>
      </c>
      <c r="G4287" t="s">
        <v>12</v>
      </c>
      <c r="H4287" s="1">
        <v>42914</v>
      </c>
      <c r="I4287" s="1">
        <v>42991</v>
      </c>
      <c r="J4287">
        <v>3951</v>
      </c>
    </row>
    <row r="4288" spans="1:10" x14ac:dyDescent="0.3">
      <c r="A4288" t="s">
        <v>4419</v>
      </c>
      <c r="B4288" t="s">
        <v>133</v>
      </c>
      <c r="C4288" t="str">
        <f>_xlfn.XLOOKUP(B4288,
[1]sales_teams!$A$2:$A$100,
[1]sales_teams!$B$2:$B$100)</f>
        <v>Dustin Brinkmann</v>
      </c>
      <c r="D4288" t="str">
        <f>_xlfn.XLOOKUP($B4288,sales_teams!$A$2:$A$36,sales_teams!C$2:C$36)</f>
        <v>Central</v>
      </c>
      <c r="E4288" t="s">
        <v>20</v>
      </c>
      <c r="F4288" t="s">
        <v>129</v>
      </c>
      <c r="G4288" t="s">
        <v>12</v>
      </c>
      <c r="H4288" s="1">
        <v>42914</v>
      </c>
      <c r="I4288" s="1">
        <v>42958</v>
      </c>
      <c r="J4288">
        <v>560</v>
      </c>
    </row>
    <row r="4289" spans="1:10" x14ac:dyDescent="0.3">
      <c r="A4289" t="s">
        <v>4420</v>
      </c>
      <c r="B4289" t="s">
        <v>32</v>
      </c>
      <c r="C4289" t="str">
        <f>_xlfn.XLOOKUP(B4289,
[1]sales_teams!$A$2:$A$100,
[1]sales_teams!$B$2:$B$100)</f>
        <v>Celia Rouche</v>
      </c>
      <c r="D4289" t="str">
        <f>_xlfn.XLOOKUP($B4289,sales_teams!$A$2:$A$36,sales_teams!C$2:C$36)</f>
        <v>West</v>
      </c>
      <c r="E4289" t="s">
        <v>48</v>
      </c>
      <c r="F4289" t="s">
        <v>148</v>
      </c>
      <c r="G4289" t="s">
        <v>46</v>
      </c>
      <c r="H4289" s="1">
        <v>42914</v>
      </c>
      <c r="I4289" s="1">
        <v>42921</v>
      </c>
      <c r="J4289">
        <v>0</v>
      </c>
    </row>
    <row r="4290" spans="1:10" x14ac:dyDescent="0.3">
      <c r="A4290" t="s">
        <v>4421</v>
      </c>
      <c r="B4290" t="s">
        <v>9</v>
      </c>
      <c r="C4290" t="str">
        <f>_xlfn.XLOOKUP(B4290,
[1]sales_teams!$A$2:$A$100,
[1]sales_teams!$B$2:$B$100)</f>
        <v>Dustin Brinkmann</v>
      </c>
      <c r="D4290" t="str">
        <f>_xlfn.XLOOKUP($B4290,sales_teams!$A$2:$A$36,sales_teams!C$2:C$36)</f>
        <v>Central</v>
      </c>
      <c r="E4290" t="s">
        <v>48</v>
      </c>
      <c r="F4290" t="s">
        <v>303</v>
      </c>
      <c r="G4290" t="s">
        <v>46</v>
      </c>
      <c r="H4290" s="1">
        <v>42914</v>
      </c>
      <c r="I4290" s="1">
        <v>42971</v>
      </c>
      <c r="J4290">
        <v>0</v>
      </c>
    </row>
    <row r="4291" spans="1:10" x14ac:dyDescent="0.3">
      <c r="A4291" t="s">
        <v>4422</v>
      </c>
      <c r="B4291" t="s">
        <v>9</v>
      </c>
      <c r="C4291" t="str">
        <f>_xlfn.XLOOKUP(B4291,
[1]sales_teams!$A$2:$A$100,
[1]sales_teams!$B$2:$B$100)</f>
        <v>Dustin Brinkmann</v>
      </c>
      <c r="D4291" t="str">
        <f>_xlfn.XLOOKUP($B4291,sales_teams!$A$2:$A$36,sales_teams!C$2:C$36)</f>
        <v>Central</v>
      </c>
      <c r="E4291" t="s">
        <v>20</v>
      </c>
      <c r="F4291" t="s">
        <v>16</v>
      </c>
      <c r="G4291" t="s">
        <v>12</v>
      </c>
      <c r="H4291" s="1">
        <v>42914</v>
      </c>
      <c r="I4291" s="1">
        <v>43008</v>
      </c>
      <c r="J4291">
        <v>530</v>
      </c>
    </row>
    <row r="4292" spans="1:10" x14ac:dyDescent="0.3">
      <c r="A4292" t="s">
        <v>4423</v>
      </c>
      <c r="B4292" t="s">
        <v>88</v>
      </c>
      <c r="C4292" t="str">
        <f>_xlfn.XLOOKUP(B4292,
[1]sales_teams!$A$2:$A$100,
[1]sales_teams!$B$2:$B$100)</f>
        <v>Cara Losch</v>
      </c>
      <c r="D4292" t="str">
        <f>_xlfn.XLOOKUP($B4292,sales_teams!$A$2:$A$36,sales_teams!C$2:C$36)</f>
        <v>East</v>
      </c>
      <c r="E4292" t="s">
        <v>39</v>
      </c>
      <c r="G4292" t="s">
        <v>40</v>
      </c>
      <c r="H4292" s="1">
        <v>42914</v>
      </c>
    </row>
    <row r="4293" spans="1:10" x14ac:dyDescent="0.3">
      <c r="A4293" t="s">
        <v>4424</v>
      </c>
      <c r="B4293" t="s">
        <v>61</v>
      </c>
      <c r="C4293" t="str">
        <f>_xlfn.XLOOKUP(B4293,
[1]sales_teams!$A$2:$A$100,
[1]sales_teams!$B$2:$B$100)</f>
        <v>Dustin Brinkmann</v>
      </c>
      <c r="D4293" t="str">
        <f>_xlfn.XLOOKUP($B4293,sales_teams!$A$2:$A$36,sales_teams!C$2:C$36)</f>
        <v>Central</v>
      </c>
      <c r="E4293" t="s">
        <v>20</v>
      </c>
      <c r="F4293" t="s">
        <v>197</v>
      </c>
      <c r="G4293" t="s">
        <v>12</v>
      </c>
      <c r="H4293" s="1">
        <v>42914</v>
      </c>
      <c r="I4293" s="1">
        <v>42918</v>
      </c>
      <c r="J4293">
        <v>462</v>
      </c>
    </row>
    <row r="4294" spans="1:10" x14ac:dyDescent="0.3">
      <c r="A4294" t="s">
        <v>4425</v>
      </c>
      <c r="B4294" t="s">
        <v>29</v>
      </c>
      <c r="C4294" t="str">
        <f>_xlfn.XLOOKUP(B4294,
[1]sales_teams!$A$2:$A$100,
[1]sales_teams!$B$2:$B$100)</f>
        <v>Celia Rouche</v>
      </c>
      <c r="D4294" t="str">
        <f>_xlfn.XLOOKUP($B4294,sales_teams!$A$2:$A$36,sales_teams!C$2:C$36)</f>
        <v>West</v>
      </c>
      <c r="E4294" t="s">
        <v>10</v>
      </c>
      <c r="F4294" t="s">
        <v>313</v>
      </c>
      <c r="G4294" t="s">
        <v>12</v>
      </c>
      <c r="H4294" s="1">
        <v>42914</v>
      </c>
      <c r="I4294" s="1">
        <v>42985</v>
      </c>
      <c r="J4294">
        <v>1211</v>
      </c>
    </row>
    <row r="4295" spans="1:10" x14ac:dyDescent="0.3">
      <c r="A4295" t="s">
        <v>4426</v>
      </c>
      <c r="B4295" t="s">
        <v>29</v>
      </c>
      <c r="C4295" t="str">
        <f>_xlfn.XLOOKUP(B4295,
[1]sales_teams!$A$2:$A$100,
[1]sales_teams!$B$2:$B$100)</f>
        <v>Celia Rouche</v>
      </c>
      <c r="D4295" t="str">
        <f>_xlfn.XLOOKUP($B4295,sales_teams!$A$2:$A$36,sales_teams!C$2:C$36)</f>
        <v>West</v>
      </c>
      <c r="E4295" t="s">
        <v>15</v>
      </c>
      <c r="F4295" t="s">
        <v>59</v>
      </c>
      <c r="G4295" t="s">
        <v>12</v>
      </c>
      <c r="H4295" s="1">
        <v>42914</v>
      </c>
      <c r="I4295" s="1">
        <v>42919</v>
      </c>
      <c r="J4295">
        <v>4264</v>
      </c>
    </row>
    <row r="4296" spans="1:10" x14ac:dyDescent="0.3">
      <c r="A4296" t="s">
        <v>4427</v>
      </c>
      <c r="B4296" t="s">
        <v>29</v>
      </c>
      <c r="C4296" t="str">
        <f>_xlfn.XLOOKUP(B4296,
[1]sales_teams!$A$2:$A$100,
[1]sales_teams!$B$2:$B$100)</f>
        <v>Celia Rouche</v>
      </c>
      <c r="D4296" t="str">
        <f>_xlfn.XLOOKUP($B4296,sales_teams!$A$2:$A$36,sales_teams!C$2:C$36)</f>
        <v>West</v>
      </c>
      <c r="E4296" t="s">
        <v>39</v>
      </c>
      <c r="F4296" t="s">
        <v>194</v>
      </c>
      <c r="G4296" t="s">
        <v>12</v>
      </c>
      <c r="H4296" s="1">
        <v>42914</v>
      </c>
      <c r="I4296" s="1">
        <v>42987</v>
      </c>
      <c r="J4296">
        <v>3104</v>
      </c>
    </row>
    <row r="4297" spans="1:10" x14ac:dyDescent="0.3">
      <c r="A4297" t="s">
        <v>4428</v>
      </c>
      <c r="B4297" t="s">
        <v>73</v>
      </c>
      <c r="C4297" t="str">
        <f>_xlfn.XLOOKUP(B4297,
[1]sales_teams!$A$2:$A$100,
[1]sales_teams!$B$2:$B$100)</f>
        <v>Cara Losch</v>
      </c>
      <c r="D4297" t="str">
        <f>_xlfn.XLOOKUP($B4297,sales_teams!$A$2:$A$36,sales_teams!C$2:C$36)</f>
        <v>East</v>
      </c>
      <c r="E4297" t="s">
        <v>39</v>
      </c>
      <c r="F4297" t="s">
        <v>157</v>
      </c>
      <c r="G4297" t="s">
        <v>40</v>
      </c>
      <c r="H4297" s="1">
        <v>42914</v>
      </c>
    </row>
    <row r="4298" spans="1:10" x14ac:dyDescent="0.3">
      <c r="A4298" t="s">
        <v>4429</v>
      </c>
      <c r="B4298" t="s">
        <v>73</v>
      </c>
      <c r="C4298" t="str">
        <f>_xlfn.XLOOKUP(B4298,
[1]sales_teams!$A$2:$A$100,
[1]sales_teams!$B$2:$B$100)</f>
        <v>Cara Losch</v>
      </c>
      <c r="D4298" t="str">
        <f>_xlfn.XLOOKUP($B4298,sales_teams!$A$2:$A$36,sales_teams!C$2:C$36)</f>
        <v>East</v>
      </c>
      <c r="E4298" t="s">
        <v>18</v>
      </c>
      <c r="F4298" t="s">
        <v>237</v>
      </c>
      <c r="G4298" t="s">
        <v>12</v>
      </c>
      <c r="H4298" s="1">
        <v>42914</v>
      </c>
      <c r="I4298" s="1">
        <v>43008</v>
      </c>
      <c r="J4298">
        <v>56</v>
      </c>
    </row>
    <row r="4299" spans="1:10" x14ac:dyDescent="0.3">
      <c r="A4299" t="s">
        <v>4430</v>
      </c>
      <c r="B4299" t="s">
        <v>26</v>
      </c>
      <c r="C4299" t="str">
        <f>_xlfn.XLOOKUP(B4299,
[1]sales_teams!$A$2:$A$100,
[1]sales_teams!$B$2:$B$100)</f>
        <v>Dustin Brinkmann</v>
      </c>
      <c r="D4299" t="str">
        <f>_xlfn.XLOOKUP($B4299,sales_teams!$A$2:$A$36,sales_teams!C$2:C$36)</f>
        <v>Central</v>
      </c>
      <c r="E4299" t="s">
        <v>10</v>
      </c>
      <c r="F4299" t="s">
        <v>303</v>
      </c>
      <c r="G4299" t="s">
        <v>12</v>
      </c>
      <c r="H4299" s="1">
        <v>42915</v>
      </c>
      <c r="I4299" s="1">
        <v>42926</v>
      </c>
      <c r="J4299">
        <v>1047</v>
      </c>
    </row>
    <row r="4300" spans="1:10" x14ac:dyDescent="0.3">
      <c r="A4300" t="s">
        <v>4431</v>
      </c>
      <c r="B4300" t="s">
        <v>118</v>
      </c>
      <c r="C4300" t="str">
        <f>_xlfn.XLOOKUP(B4300,
[1]sales_teams!$A$2:$A$100,
[1]sales_teams!$B$2:$B$100)</f>
        <v>Rocco Neubert</v>
      </c>
      <c r="D4300" t="str">
        <f>_xlfn.XLOOKUP($B4300,sales_teams!$A$2:$A$36,sales_teams!C$2:C$36)</f>
        <v>East</v>
      </c>
      <c r="E4300" t="s">
        <v>39</v>
      </c>
      <c r="F4300" t="s">
        <v>518</v>
      </c>
      <c r="G4300" t="s">
        <v>46</v>
      </c>
      <c r="H4300" s="1">
        <v>42915</v>
      </c>
      <c r="I4300" s="1">
        <v>42924</v>
      </c>
      <c r="J4300">
        <v>0</v>
      </c>
    </row>
    <row r="4301" spans="1:10" x14ac:dyDescent="0.3">
      <c r="A4301" t="s">
        <v>4432</v>
      </c>
      <c r="B4301" t="s">
        <v>164</v>
      </c>
      <c r="C4301" t="str">
        <f>_xlfn.XLOOKUP(B4301,
[1]sales_teams!$A$2:$A$100,
[1]sales_teams!$B$2:$B$100)</f>
        <v>Cara Losch</v>
      </c>
      <c r="D4301" t="str">
        <f>_xlfn.XLOOKUP($B4301,sales_teams!$A$2:$A$36,sales_teams!C$2:C$36)</f>
        <v>East</v>
      </c>
      <c r="E4301" t="s">
        <v>10</v>
      </c>
      <c r="G4301" t="s">
        <v>40</v>
      </c>
      <c r="H4301" s="1">
        <v>42915</v>
      </c>
    </row>
    <row r="4302" spans="1:10" x14ac:dyDescent="0.3">
      <c r="A4302" t="s">
        <v>4433</v>
      </c>
      <c r="B4302" t="s">
        <v>14</v>
      </c>
      <c r="C4302" t="str">
        <f>_xlfn.XLOOKUP(B4302,
[1]sales_teams!$A$2:$A$100,
[1]sales_teams!$B$2:$B$100)</f>
        <v>Melvin Marxen</v>
      </c>
      <c r="D4302" t="str">
        <f>_xlfn.XLOOKUP($B4302,sales_teams!$A$2:$A$36,sales_teams!C$2:C$36)</f>
        <v>Central</v>
      </c>
      <c r="E4302" t="s">
        <v>15</v>
      </c>
      <c r="F4302" t="s">
        <v>187</v>
      </c>
      <c r="G4302" t="s">
        <v>46</v>
      </c>
      <c r="H4302" s="1">
        <v>42915</v>
      </c>
      <c r="I4302" s="1">
        <v>42922</v>
      </c>
      <c r="J4302">
        <v>0</v>
      </c>
    </row>
    <row r="4303" spans="1:10" x14ac:dyDescent="0.3">
      <c r="A4303" t="s">
        <v>4434</v>
      </c>
      <c r="B4303" t="s">
        <v>14</v>
      </c>
      <c r="C4303" t="str">
        <f>_xlfn.XLOOKUP(B4303,
[1]sales_teams!$A$2:$A$100,
[1]sales_teams!$B$2:$B$100)</f>
        <v>Melvin Marxen</v>
      </c>
      <c r="D4303" t="str">
        <f>_xlfn.XLOOKUP($B4303,sales_teams!$A$2:$A$36,sales_teams!C$2:C$36)</f>
        <v>Central</v>
      </c>
      <c r="E4303" t="s">
        <v>15</v>
      </c>
      <c r="F4303" t="s">
        <v>76</v>
      </c>
      <c r="G4303" t="s">
        <v>12</v>
      </c>
      <c r="H4303" s="1">
        <v>42915</v>
      </c>
      <c r="I4303" s="1">
        <v>42924</v>
      </c>
      <c r="J4303">
        <v>5321</v>
      </c>
    </row>
    <row r="4304" spans="1:10" x14ac:dyDescent="0.3">
      <c r="A4304" t="s">
        <v>4435</v>
      </c>
      <c r="B4304" t="s">
        <v>14</v>
      </c>
      <c r="C4304" t="str">
        <f>_xlfn.XLOOKUP(B4304,
[1]sales_teams!$A$2:$A$100,
[1]sales_teams!$B$2:$B$100)</f>
        <v>Melvin Marxen</v>
      </c>
      <c r="D4304" t="str">
        <f>_xlfn.XLOOKUP($B4304,sales_teams!$A$2:$A$36,sales_teams!C$2:C$36)</f>
        <v>Central</v>
      </c>
      <c r="E4304" t="s">
        <v>18</v>
      </c>
      <c r="F4304" t="s">
        <v>213</v>
      </c>
      <c r="G4304" t="s">
        <v>12</v>
      </c>
      <c r="H4304" s="1">
        <v>42915</v>
      </c>
      <c r="I4304" s="1">
        <v>42922</v>
      </c>
      <c r="J4304">
        <v>57</v>
      </c>
    </row>
    <row r="4305" spans="1:10" x14ac:dyDescent="0.3">
      <c r="A4305" t="s">
        <v>4436</v>
      </c>
      <c r="B4305" t="s">
        <v>105</v>
      </c>
      <c r="C4305" t="str">
        <f>_xlfn.XLOOKUP(B4305,
[1]sales_teams!$A$2:$A$100,
[1]sales_teams!$B$2:$B$100)</f>
        <v>Cara Losch</v>
      </c>
      <c r="D4305" t="str">
        <f>_xlfn.XLOOKUP($B4305,sales_teams!$A$2:$A$36,sales_teams!C$2:C$36)</f>
        <v>East</v>
      </c>
      <c r="E4305" t="s">
        <v>10</v>
      </c>
      <c r="F4305" t="s">
        <v>155</v>
      </c>
      <c r="G4305" t="s">
        <v>12</v>
      </c>
      <c r="H4305" s="1">
        <v>42915</v>
      </c>
      <c r="I4305" s="1">
        <v>42924</v>
      </c>
      <c r="J4305">
        <v>950</v>
      </c>
    </row>
    <row r="4306" spans="1:10" x14ac:dyDescent="0.3">
      <c r="A4306" t="s">
        <v>4437</v>
      </c>
      <c r="B4306" t="s">
        <v>105</v>
      </c>
      <c r="C4306" t="str">
        <f>_xlfn.XLOOKUP(B4306,
[1]sales_teams!$A$2:$A$100,
[1]sales_teams!$B$2:$B$100)</f>
        <v>Cara Losch</v>
      </c>
      <c r="D4306" t="str">
        <f>_xlfn.XLOOKUP($B4306,sales_teams!$A$2:$A$36,sales_teams!C$2:C$36)</f>
        <v>East</v>
      </c>
      <c r="E4306" t="s">
        <v>18</v>
      </c>
      <c r="F4306" t="s">
        <v>106</v>
      </c>
      <c r="G4306" t="s">
        <v>12</v>
      </c>
      <c r="H4306" s="1">
        <v>42915</v>
      </c>
      <c r="I4306" s="1">
        <v>42985</v>
      </c>
      <c r="J4306">
        <v>61</v>
      </c>
    </row>
    <row r="4307" spans="1:10" x14ac:dyDescent="0.3">
      <c r="A4307" t="s">
        <v>4438</v>
      </c>
      <c r="B4307" t="s">
        <v>105</v>
      </c>
      <c r="C4307" t="str">
        <f>_xlfn.XLOOKUP(B4307,
[1]sales_teams!$A$2:$A$100,
[1]sales_teams!$B$2:$B$100)</f>
        <v>Cara Losch</v>
      </c>
      <c r="D4307" t="str">
        <f>_xlfn.XLOOKUP($B4307,sales_teams!$A$2:$A$36,sales_teams!C$2:C$36)</f>
        <v>East</v>
      </c>
      <c r="E4307" t="s">
        <v>18</v>
      </c>
      <c r="F4307" t="s">
        <v>65</v>
      </c>
      <c r="G4307" t="s">
        <v>12</v>
      </c>
      <c r="H4307" s="1">
        <v>42915</v>
      </c>
      <c r="I4307" s="1">
        <v>42924</v>
      </c>
      <c r="J4307">
        <v>62</v>
      </c>
    </row>
    <row r="4308" spans="1:10" x14ac:dyDescent="0.3">
      <c r="A4308" t="s">
        <v>4439</v>
      </c>
      <c r="B4308" t="s">
        <v>44</v>
      </c>
      <c r="C4308" t="str">
        <f>_xlfn.XLOOKUP(B4308,
[1]sales_teams!$A$2:$A$100,
[1]sales_teams!$B$2:$B$100)</f>
        <v>Melvin Marxen</v>
      </c>
      <c r="D4308" t="str">
        <f>_xlfn.XLOOKUP($B4308,sales_teams!$A$2:$A$36,sales_teams!C$2:C$36)</f>
        <v>Central</v>
      </c>
      <c r="E4308" t="s">
        <v>10</v>
      </c>
      <c r="F4308" t="s">
        <v>16</v>
      </c>
      <c r="G4308" t="s">
        <v>12</v>
      </c>
      <c r="H4308" s="1">
        <v>42915</v>
      </c>
      <c r="I4308" s="1">
        <v>42923</v>
      </c>
      <c r="J4308">
        <v>1105</v>
      </c>
    </row>
    <row r="4309" spans="1:10" x14ac:dyDescent="0.3">
      <c r="A4309" t="s">
        <v>4440</v>
      </c>
      <c r="B4309" t="s">
        <v>252</v>
      </c>
      <c r="C4309" t="str">
        <f>_xlfn.XLOOKUP(B4309,
[1]sales_teams!$A$2:$A$100,
[1]sales_teams!$B$2:$B$100)</f>
        <v>Melvin Marxen</v>
      </c>
      <c r="D4309" t="str">
        <f>_xlfn.XLOOKUP($B4309,sales_teams!$A$2:$A$36,sales_teams!C$2:C$36)</f>
        <v>Central</v>
      </c>
      <c r="E4309" t="s">
        <v>10</v>
      </c>
      <c r="F4309" t="s">
        <v>27</v>
      </c>
      <c r="G4309" t="s">
        <v>12</v>
      </c>
      <c r="H4309" s="1">
        <v>42915</v>
      </c>
      <c r="I4309" s="1">
        <v>42980</v>
      </c>
      <c r="J4309">
        <v>835</v>
      </c>
    </row>
    <row r="4310" spans="1:10" x14ac:dyDescent="0.3">
      <c r="A4310" t="s">
        <v>4441</v>
      </c>
      <c r="B4310" t="s">
        <v>78</v>
      </c>
      <c r="C4310" t="str">
        <f>_xlfn.XLOOKUP(B4310,
[1]sales_teams!$A$2:$A$100,
[1]sales_teams!$B$2:$B$100)</f>
        <v>Summer Sewald</v>
      </c>
      <c r="D4310" t="str">
        <f>_xlfn.XLOOKUP($B4310,sales_teams!$A$2:$A$36,sales_teams!C$2:C$36)</f>
        <v>West</v>
      </c>
      <c r="E4310" t="s">
        <v>10</v>
      </c>
      <c r="F4310" t="s">
        <v>68</v>
      </c>
      <c r="G4310" t="s">
        <v>12</v>
      </c>
      <c r="H4310" s="1">
        <v>42915</v>
      </c>
      <c r="I4310" s="1">
        <v>42975</v>
      </c>
      <c r="J4310">
        <v>1104</v>
      </c>
    </row>
    <row r="4311" spans="1:10" x14ac:dyDescent="0.3">
      <c r="A4311" t="s">
        <v>4442</v>
      </c>
      <c r="B4311" t="s">
        <v>78</v>
      </c>
      <c r="C4311" t="str">
        <f>_xlfn.XLOOKUP(B4311,
[1]sales_teams!$A$2:$A$100,
[1]sales_teams!$B$2:$B$100)</f>
        <v>Summer Sewald</v>
      </c>
      <c r="D4311" t="str">
        <f>_xlfn.XLOOKUP($B4311,sales_teams!$A$2:$A$36,sales_teams!C$2:C$36)</f>
        <v>West</v>
      </c>
      <c r="E4311" t="s">
        <v>39</v>
      </c>
      <c r="F4311" t="s">
        <v>155</v>
      </c>
      <c r="G4311" t="s">
        <v>12</v>
      </c>
      <c r="H4311" s="1">
        <v>42915</v>
      </c>
      <c r="I4311" s="1">
        <v>42990</v>
      </c>
      <c r="J4311">
        <v>3464</v>
      </c>
    </row>
    <row r="4312" spans="1:10" x14ac:dyDescent="0.3">
      <c r="A4312" t="s">
        <v>4443</v>
      </c>
      <c r="B4312" t="s">
        <v>95</v>
      </c>
      <c r="C4312" t="str">
        <f>_xlfn.XLOOKUP(B4312,
[1]sales_teams!$A$2:$A$100,
[1]sales_teams!$B$2:$B$100)</f>
        <v>Summer Sewald</v>
      </c>
      <c r="D4312" t="str">
        <f>_xlfn.XLOOKUP($B4312,sales_teams!$A$2:$A$36,sales_teams!C$2:C$36)</f>
        <v>West</v>
      </c>
      <c r="E4312" t="s">
        <v>20</v>
      </c>
      <c r="G4312" t="s">
        <v>40</v>
      </c>
      <c r="H4312" s="1">
        <v>42915</v>
      </c>
    </row>
    <row r="4313" spans="1:10" x14ac:dyDescent="0.3">
      <c r="A4313" t="s">
        <v>4444</v>
      </c>
      <c r="B4313" t="s">
        <v>95</v>
      </c>
      <c r="C4313" t="str">
        <f>_xlfn.XLOOKUP(B4313,
[1]sales_teams!$A$2:$A$100,
[1]sales_teams!$B$2:$B$100)</f>
        <v>Summer Sewald</v>
      </c>
      <c r="D4313" t="str">
        <f>_xlfn.XLOOKUP($B4313,sales_teams!$A$2:$A$36,sales_teams!C$2:C$36)</f>
        <v>West</v>
      </c>
      <c r="E4313" t="s">
        <v>20</v>
      </c>
      <c r="F4313" t="s">
        <v>52</v>
      </c>
      <c r="G4313" t="s">
        <v>46</v>
      </c>
      <c r="H4313" s="1">
        <v>42915</v>
      </c>
      <c r="I4313" s="1">
        <v>42922</v>
      </c>
      <c r="J4313">
        <v>0</v>
      </c>
    </row>
    <row r="4314" spans="1:10" x14ac:dyDescent="0.3">
      <c r="A4314" t="s">
        <v>4445</v>
      </c>
      <c r="B4314" t="s">
        <v>133</v>
      </c>
      <c r="C4314" t="str">
        <f>_xlfn.XLOOKUP(B4314,
[1]sales_teams!$A$2:$A$100,
[1]sales_teams!$B$2:$B$100)</f>
        <v>Dustin Brinkmann</v>
      </c>
      <c r="D4314" t="str">
        <f>_xlfn.XLOOKUP($B4314,sales_teams!$A$2:$A$36,sales_teams!C$2:C$36)</f>
        <v>Central</v>
      </c>
      <c r="E4314" t="s">
        <v>18</v>
      </c>
      <c r="F4314" t="s">
        <v>231</v>
      </c>
      <c r="G4314" t="s">
        <v>46</v>
      </c>
      <c r="H4314" s="1">
        <v>42915</v>
      </c>
      <c r="I4314" s="1">
        <v>42978</v>
      </c>
      <c r="J4314">
        <v>0</v>
      </c>
    </row>
    <row r="4315" spans="1:10" x14ac:dyDescent="0.3">
      <c r="A4315" t="s">
        <v>4446</v>
      </c>
      <c r="B4315" t="s">
        <v>133</v>
      </c>
      <c r="C4315" t="str">
        <f>_xlfn.XLOOKUP(B4315,
[1]sales_teams!$A$2:$A$100,
[1]sales_teams!$B$2:$B$100)</f>
        <v>Dustin Brinkmann</v>
      </c>
      <c r="D4315" t="str">
        <f>_xlfn.XLOOKUP($B4315,sales_teams!$A$2:$A$36,sales_teams!C$2:C$36)</f>
        <v>Central</v>
      </c>
      <c r="E4315" t="s">
        <v>39</v>
      </c>
      <c r="F4315" t="s">
        <v>492</v>
      </c>
      <c r="G4315" t="s">
        <v>46</v>
      </c>
      <c r="H4315" s="1">
        <v>42915</v>
      </c>
      <c r="I4315" s="1">
        <v>42922</v>
      </c>
      <c r="J4315">
        <v>0</v>
      </c>
    </row>
    <row r="4316" spans="1:10" x14ac:dyDescent="0.3">
      <c r="A4316" t="s">
        <v>4447</v>
      </c>
      <c r="B4316" t="s">
        <v>32</v>
      </c>
      <c r="C4316" t="str">
        <f>_xlfn.XLOOKUP(B4316,
[1]sales_teams!$A$2:$A$100,
[1]sales_teams!$B$2:$B$100)</f>
        <v>Celia Rouche</v>
      </c>
      <c r="D4316" t="str">
        <f>_xlfn.XLOOKUP($B4316,sales_teams!$A$2:$A$36,sales_teams!C$2:C$36)</f>
        <v>West</v>
      </c>
      <c r="E4316" t="s">
        <v>15</v>
      </c>
      <c r="G4316" t="s">
        <v>40</v>
      </c>
      <c r="H4316" s="1">
        <v>42915</v>
      </c>
    </row>
    <row r="4317" spans="1:10" x14ac:dyDescent="0.3">
      <c r="A4317" t="s">
        <v>4448</v>
      </c>
      <c r="B4317" t="s">
        <v>32</v>
      </c>
      <c r="C4317" t="str">
        <f>_xlfn.XLOOKUP(B4317,
[1]sales_teams!$A$2:$A$100,
[1]sales_teams!$B$2:$B$100)</f>
        <v>Celia Rouche</v>
      </c>
      <c r="D4317" t="str">
        <f>_xlfn.XLOOKUP($B4317,sales_teams!$A$2:$A$36,sales_teams!C$2:C$36)</f>
        <v>West</v>
      </c>
      <c r="E4317" t="s">
        <v>20</v>
      </c>
      <c r="F4317" t="s">
        <v>315</v>
      </c>
      <c r="G4317" t="s">
        <v>46</v>
      </c>
      <c r="H4317" s="1">
        <v>42915</v>
      </c>
      <c r="I4317" s="1">
        <v>42926</v>
      </c>
      <c r="J4317">
        <v>0</v>
      </c>
    </row>
    <row r="4318" spans="1:10" x14ac:dyDescent="0.3">
      <c r="A4318" t="s">
        <v>4449</v>
      </c>
      <c r="B4318" t="s">
        <v>32</v>
      </c>
      <c r="C4318" t="str">
        <f>_xlfn.XLOOKUP(B4318,
[1]sales_teams!$A$2:$A$100,
[1]sales_teams!$B$2:$B$100)</f>
        <v>Celia Rouche</v>
      </c>
      <c r="D4318" t="str">
        <f>_xlfn.XLOOKUP($B4318,sales_teams!$A$2:$A$36,sales_teams!C$2:C$36)</f>
        <v>West</v>
      </c>
      <c r="E4318" t="s">
        <v>18</v>
      </c>
      <c r="F4318" t="s">
        <v>218</v>
      </c>
      <c r="G4318" t="s">
        <v>46</v>
      </c>
      <c r="H4318" s="1">
        <v>42915</v>
      </c>
      <c r="I4318" s="1">
        <v>42922</v>
      </c>
      <c r="J4318">
        <v>0</v>
      </c>
    </row>
    <row r="4319" spans="1:10" x14ac:dyDescent="0.3">
      <c r="A4319" t="s">
        <v>4450</v>
      </c>
      <c r="B4319" t="s">
        <v>32</v>
      </c>
      <c r="C4319" t="str">
        <f>_xlfn.XLOOKUP(B4319,
[1]sales_teams!$A$2:$A$100,
[1]sales_teams!$B$2:$B$100)</f>
        <v>Celia Rouche</v>
      </c>
      <c r="D4319" t="str">
        <f>_xlfn.XLOOKUP($B4319,sales_teams!$A$2:$A$36,sales_teams!C$2:C$36)</f>
        <v>West</v>
      </c>
      <c r="E4319" t="s">
        <v>18</v>
      </c>
      <c r="F4319" t="s">
        <v>273</v>
      </c>
      <c r="G4319" t="s">
        <v>46</v>
      </c>
      <c r="H4319" s="1">
        <v>42915</v>
      </c>
      <c r="I4319" s="1">
        <v>42922</v>
      </c>
      <c r="J4319">
        <v>0</v>
      </c>
    </row>
    <row r="4320" spans="1:10" x14ac:dyDescent="0.3">
      <c r="A4320" t="s">
        <v>4451</v>
      </c>
      <c r="B4320" t="s">
        <v>51</v>
      </c>
      <c r="C4320" t="str">
        <f>_xlfn.XLOOKUP(B4320,
[1]sales_teams!$A$2:$A$100,
[1]sales_teams!$B$2:$B$100)</f>
        <v>Summer Sewald</v>
      </c>
      <c r="D4320" t="str">
        <f>_xlfn.XLOOKUP($B4320,sales_teams!$A$2:$A$36,sales_teams!C$2:C$36)</f>
        <v>West</v>
      </c>
      <c r="E4320" t="s">
        <v>15</v>
      </c>
      <c r="F4320" t="s">
        <v>174</v>
      </c>
      <c r="G4320" t="s">
        <v>46</v>
      </c>
      <c r="H4320" s="1">
        <v>42915</v>
      </c>
      <c r="I4320" s="1">
        <v>42926</v>
      </c>
      <c r="J4320">
        <v>0</v>
      </c>
    </row>
    <row r="4321" spans="1:10" x14ac:dyDescent="0.3">
      <c r="A4321" t="s">
        <v>4452</v>
      </c>
      <c r="B4321" t="s">
        <v>9</v>
      </c>
      <c r="C4321" t="str">
        <f>_xlfn.XLOOKUP(B4321,
[1]sales_teams!$A$2:$A$100,
[1]sales_teams!$B$2:$B$100)</f>
        <v>Dustin Brinkmann</v>
      </c>
      <c r="D4321" t="str">
        <f>_xlfn.XLOOKUP($B4321,sales_teams!$A$2:$A$36,sales_teams!C$2:C$36)</f>
        <v>Central</v>
      </c>
      <c r="E4321" t="s">
        <v>39</v>
      </c>
      <c r="F4321" t="s">
        <v>126</v>
      </c>
      <c r="G4321" t="s">
        <v>12</v>
      </c>
      <c r="H4321" s="1">
        <v>42915</v>
      </c>
      <c r="I4321" s="1">
        <v>42922</v>
      </c>
      <c r="J4321">
        <v>3676</v>
      </c>
    </row>
    <row r="4322" spans="1:10" x14ac:dyDescent="0.3">
      <c r="A4322" t="s">
        <v>4453</v>
      </c>
      <c r="B4322" t="s">
        <v>35</v>
      </c>
      <c r="C4322" t="str">
        <f>_xlfn.XLOOKUP(B4322,
[1]sales_teams!$A$2:$A$100,
[1]sales_teams!$B$2:$B$100)</f>
        <v>Melvin Marxen</v>
      </c>
      <c r="D4322" t="str">
        <f>_xlfn.XLOOKUP($B4322,sales_teams!$A$2:$A$36,sales_teams!C$2:C$36)</f>
        <v>Central</v>
      </c>
      <c r="E4322" t="s">
        <v>15</v>
      </c>
      <c r="F4322" t="s">
        <v>113</v>
      </c>
      <c r="G4322" t="s">
        <v>46</v>
      </c>
      <c r="H4322" s="1">
        <v>42915</v>
      </c>
      <c r="I4322" s="1">
        <v>42924</v>
      </c>
      <c r="J4322">
        <v>0</v>
      </c>
    </row>
    <row r="4323" spans="1:10" x14ac:dyDescent="0.3">
      <c r="A4323" t="s">
        <v>4454</v>
      </c>
      <c r="B4323" t="s">
        <v>35</v>
      </c>
      <c r="C4323" t="str">
        <f>_xlfn.XLOOKUP(B4323,
[1]sales_teams!$A$2:$A$100,
[1]sales_teams!$B$2:$B$100)</f>
        <v>Melvin Marxen</v>
      </c>
      <c r="D4323" t="str">
        <f>_xlfn.XLOOKUP($B4323,sales_teams!$A$2:$A$36,sales_teams!C$2:C$36)</f>
        <v>Central</v>
      </c>
      <c r="E4323" t="s">
        <v>20</v>
      </c>
      <c r="F4323" t="s">
        <v>62</v>
      </c>
      <c r="G4323" t="s">
        <v>12</v>
      </c>
      <c r="H4323" s="1">
        <v>42915</v>
      </c>
      <c r="I4323" s="1">
        <v>42956</v>
      </c>
      <c r="J4323">
        <v>568</v>
      </c>
    </row>
    <row r="4324" spans="1:10" x14ac:dyDescent="0.3">
      <c r="A4324" t="s">
        <v>4455</v>
      </c>
      <c r="B4324" t="s">
        <v>97</v>
      </c>
      <c r="C4324" t="str">
        <f>_xlfn.XLOOKUP(B4324,
[1]sales_teams!$A$2:$A$100,
[1]sales_teams!$B$2:$B$100)</f>
        <v>Rocco Neubert</v>
      </c>
      <c r="D4324" t="str">
        <f>_xlfn.XLOOKUP($B4324,sales_teams!$A$2:$A$36,sales_teams!C$2:C$36)</f>
        <v>East</v>
      </c>
      <c r="E4324" t="s">
        <v>15</v>
      </c>
      <c r="F4324" t="s">
        <v>215</v>
      </c>
      <c r="G4324" t="s">
        <v>12</v>
      </c>
      <c r="H4324" s="1">
        <v>42915</v>
      </c>
      <c r="I4324" s="1">
        <v>42925</v>
      </c>
      <c r="J4324">
        <v>4837</v>
      </c>
    </row>
    <row r="4325" spans="1:10" x14ac:dyDescent="0.3">
      <c r="A4325" t="s">
        <v>4456</v>
      </c>
      <c r="B4325" t="s">
        <v>57</v>
      </c>
      <c r="C4325" t="str">
        <f>_xlfn.XLOOKUP(B4325,
[1]sales_teams!$A$2:$A$100,
[1]sales_teams!$B$2:$B$100)</f>
        <v>Celia Rouche</v>
      </c>
      <c r="D4325" t="str">
        <f>_xlfn.XLOOKUP($B4325,sales_teams!$A$2:$A$36,sales_teams!C$2:C$36)</f>
        <v>West</v>
      </c>
      <c r="E4325" t="s">
        <v>15</v>
      </c>
      <c r="F4325" t="s">
        <v>52</v>
      </c>
      <c r="G4325" t="s">
        <v>12</v>
      </c>
      <c r="H4325" s="1">
        <v>42915</v>
      </c>
      <c r="I4325" s="1">
        <v>42966</v>
      </c>
      <c r="J4325">
        <v>4936</v>
      </c>
    </row>
    <row r="4326" spans="1:10" x14ac:dyDescent="0.3">
      <c r="A4326" t="s">
        <v>4457</v>
      </c>
      <c r="B4326" t="s">
        <v>57</v>
      </c>
      <c r="C4326" t="str">
        <f>_xlfn.XLOOKUP(B4326,
[1]sales_teams!$A$2:$A$100,
[1]sales_teams!$B$2:$B$100)</f>
        <v>Celia Rouche</v>
      </c>
      <c r="D4326" t="str">
        <f>_xlfn.XLOOKUP($B4326,sales_teams!$A$2:$A$36,sales_teams!C$2:C$36)</f>
        <v>West</v>
      </c>
      <c r="E4326" t="s">
        <v>18</v>
      </c>
      <c r="F4326" t="s">
        <v>398</v>
      </c>
      <c r="G4326" t="s">
        <v>12</v>
      </c>
      <c r="H4326" s="1">
        <v>42915</v>
      </c>
      <c r="I4326" s="1">
        <v>42981</v>
      </c>
      <c r="J4326">
        <v>55</v>
      </c>
    </row>
    <row r="4327" spans="1:10" x14ac:dyDescent="0.3">
      <c r="A4327" t="s">
        <v>4458</v>
      </c>
      <c r="B4327" t="s">
        <v>61</v>
      </c>
      <c r="C4327" t="str">
        <f>_xlfn.XLOOKUP(B4327,
[1]sales_teams!$A$2:$A$100,
[1]sales_teams!$B$2:$B$100)</f>
        <v>Dustin Brinkmann</v>
      </c>
      <c r="D4327" t="str">
        <f>_xlfn.XLOOKUP($B4327,sales_teams!$A$2:$A$36,sales_teams!C$2:C$36)</f>
        <v>Central</v>
      </c>
      <c r="E4327" t="s">
        <v>20</v>
      </c>
      <c r="F4327" t="s">
        <v>113</v>
      </c>
      <c r="G4327" t="s">
        <v>12</v>
      </c>
      <c r="H4327" s="1">
        <v>42915</v>
      </c>
      <c r="I4327" s="1">
        <v>42926</v>
      </c>
      <c r="J4327">
        <v>466</v>
      </c>
    </row>
    <row r="4328" spans="1:10" x14ac:dyDescent="0.3">
      <c r="A4328" t="s">
        <v>4459</v>
      </c>
      <c r="B4328" t="s">
        <v>29</v>
      </c>
      <c r="C4328" t="str">
        <f>_xlfn.XLOOKUP(B4328,
[1]sales_teams!$A$2:$A$100,
[1]sales_teams!$B$2:$B$100)</f>
        <v>Celia Rouche</v>
      </c>
      <c r="D4328" t="str">
        <f>_xlfn.XLOOKUP($B4328,sales_teams!$A$2:$A$36,sales_teams!C$2:C$36)</f>
        <v>West</v>
      </c>
      <c r="E4328" t="s">
        <v>39</v>
      </c>
      <c r="G4328" t="s">
        <v>40</v>
      </c>
      <c r="H4328" s="1">
        <v>42915</v>
      </c>
    </row>
    <row r="4329" spans="1:10" x14ac:dyDescent="0.3">
      <c r="A4329" t="s">
        <v>4460</v>
      </c>
      <c r="B4329" t="s">
        <v>29</v>
      </c>
      <c r="C4329" t="str">
        <f>_xlfn.XLOOKUP(B4329,
[1]sales_teams!$A$2:$A$100,
[1]sales_teams!$B$2:$B$100)</f>
        <v>Celia Rouche</v>
      </c>
      <c r="D4329" t="str">
        <f>_xlfn.XLOOKUP($B4329,sales_teams!$A$2:$A$36,sales_teams!C$2:C$36)</f>
        <v>West</v>
      </c>
      <c r="E4329" t="s">
        <v>18</v>
      </c>
      <c r="F4329" t="s">
        <v>55</v>
      </c>
      <c r="G4329" t="s">
        <v>46</v>
      </c>
      <c r="H4329" s="1">
        <v>42915</v>
      </c>
      <c r="I4329" s="1">
        <v>42921</v>
      </c>
      <c r="J4329">
        <v>0</v>
      </c>
    </row>
    <row r="4330" spans="1:10" x14ac:dyDescent="0.3">
      <c r="A4330" t="s">
        <v>4461</v>
      </c>
      <c r="B4330" t="s">
        <v>29</v>
      </c>
      <c r="C4330" t="str">
        <f>_xlfn.XLOOKUP(B4330,
[1]sales_teams!$A$2:$A$100,
[1]sales_teams!$B$2:$B$100)</f>
        <v>Celia Rouche</v>
      </c>
      <c r="D4330" t="str">
        <f>_xlfn.XLOOKUP($B4330,sales_teams!$A$2:$A$36,sales_teams!C$2:C$36)</f>
        <v>West</v>
      </c>
      <c r="E4330" t="s">
        <v>15</v>
      </c>
      <c r="F4330" t="s">
        <v>555</v>
      </c>
      <c r="G4330" t="s">
        <v>12</v>
      </c>
      <c r="H4330" s="1">
        <v>42915</v>
      </c>
      <c r="I4330" s="1">
        <v>42920</v>
      </c>
      <c r="J4330">
        <v>4856</v>
      </c>
    </row>
    <row r="4331" spans="1:10" x14ac:dyDescent="0.3">
      <c r="A4331" t="s">
        <v>4462</v>
      </c>
      <c r="B4331" t="s">
        <v>29</v>
      </c>
      <c r="C4331" t="str">
        <f>_xlfn.XLOOKUP(B4331,
[1]sales_teams!$A$2:$A$100,
[1]sales_teams!$B$2:$B$100)</f>
        <v>Celia Rouche</v>
      </c>
      <c r="D4331" t="str">
        <f>_xlfn.XLOOKUP($B4331,sales_teams!$A$2:$A$36,sales_teams!C$2:C$36)</f>
        <v>West</v>
      </c>
      <c r="E4331" t="s">
        <v>39</v>
      </c>
      <c r="F4331" t="s">
        <v>124</v>
      </c>
      <c r="G4331" t="s">
        <v>12</v>
      </c>
      <c r="H4331" s="1">
        <v>42915</v>
      </c>
      <c r="I4331" s="1">
        <v>42924</v>
      </c>
      <c r="J4331">
        <v>3562</v>
      </c>
    </row>
    <row r="4332" spans="1:10" x14ac:dyDescent="0.3">
      <c r="A4332" t="s">
        <v>4463</v>
      </c>
      <c r="B4332" t="s">
        <v>73</v>
      </c>
      <c r="C4332" t="str">
        <f>_xlfn.XLOOKUP(B4332,
[1]sales_teams!$A$2:$A$100,
[1]sales_teams!$B$2:$B$100)</f>
        <v>Cara Losch</v>
      </c>
      <c r="D4332" t="str">
        <f>_xlfn.XLOOKUP($B4332,sales_teams!$A$2:$A$36,sales_teams!C$2:C$36)</f>
        <v>East</v>
      </c>
      <c r="E4332" t="s">
        <v>15</v>
      </c>
      <c r="F4332" t="s">
        <v>106</v>
      </c>
      <c r="G4332" t="s">
        <v>12</v>
      </c>
      <c r="H4332" s="1">
        <v>42915</v>
      </c>
      <c r="I4332" s="1">
        <v>42925</v>
      </c>
      <c r="J4332">
        <v>5159</v>
      </c>
    </row>
    <row r="4333" spans="1:10" x14ac:dyDescent="0.3">
      <c r="A4333" t="s">
        <v>4464</v>
      </c>
      <c r="B4333" t="s">
        <v>73</v>
      </c>
      <c r="C4333" t="str">
        <f>_xlfn.XLOOKUP(B4333,
[1]sales_teams!$A$2:$A$100,
[1]sales_teams!$B$2:$B$100)</f>
        <v>Cara Losch</v>
      </c>
      <c r="D4333" t="str">
        <f>_xlfn.XLOOKUP($B4333,sales_teams!$A$2:$A$36,sales_teams!C$2:C$36)</f>
        <v>East</v>
      </c>
      <c r="E4333" t="s">
        <v>39</v>
      </c>
      <c r="F4333" t="s">
        <v>179</v>
      </c>
      <c r="G4333" t="s">
        <v>12</v>
      </c>
      <c r="H4333" s="1">
        <v>42915</v>
      </c>
      <c r="I4333" s="1">
        <v>42927</v>
      </c>
      <c r="J4333">
        <v>3172</v>
      </c>
    </row>
    <row r="4334" spans="1:10" x14ac:dyDescent="0.3">
      <c r="A4334" t="s">
        <v>4465</v>
      </c>
      <c r="B4334" t="s">
        <v>102</v>
      </c>
      <c r="C4334" t="str">
        <f>_xlfn.XLOOKUP(B4334,
[1]sales_teams!$A$2:$A$100,
[1]sales_teams!$B$2:$B$100)</f>
        <v>Cara Losch</v>
      </c>
      <c r="D4334" t="str">
        <f>_xlfn.XLOOKUP($B4334,sales_teams!$A$2:$A$36,sales_teams!C$2:C$36)</f>
        <v>East</v>
      </c>
      <c r="E4334" t="s">
        <v>39</v>
      </c>
      <c r="F4334" t="s">
        <v>179</v>
      </c>
      <c r="G4334" t="s">
        <v>12</v>
      </c>
      <c r="H4334" s="1">
        <v>42915</v>
      </c>
      <c r="I4334" s="1">
        <v>42988</v>
      </c>
      <c r="J4334">
        <v>3350</v>
      </c>
    </row>
    <row r="4335" spans="1:10" x14ac:dyDescent="0.3">
      <c r="A4335" t="s">
        <v>4466</v>
      </c>
      <c r="B4335" t="s">
        <v>23</v>
      </c>
      <c r="C4335" t="str">
        <f>_xlfn.XLOOKUP(B4335,
[1]sales_teams!$A$2:$A$100,
[1]sales_teams!$B$2:$B$100)</f>
        <v>Summer Sewald</v>
      </c>
      <c r="D4335" t="str">
        <f>_xlfn.XLOOKUP($B4335,sales_teams!$A$2:$A$36,sales_teams!C$2:C$36)</f>
        <v>West</v>
      </c>
      <c r="E4335" t="s">
        <v>20</v>
      </c>
      <c r="F4335" t="s">
        <v>148</v>
      </c>
      <c r="G4335" t="s">
        <v>12</v>
      </c>
      <c r="H4335" s="1">
        <v>42915</v>
      </c>
      <c r="I4335" s="1">
        <v>42926</v>
      </c>
      <c r="J4335">
        <v>595</v>
      </c>
    </row>
    <row r="4336" spans="1:10" x14ac:dyDescent="0.3">
      <c r="A4336" t="s">
        <v>4467</v>
      </c>
      <c r="B4336" t="s">
        <v>26</v>
      </c>
      <c r="C4336" t="str">
        <f>_xlfn.XLOOKUP(B4336,
[1]sales_teams!$A$2:$A$100,
[1]sales_teams!$B$2:$B$100)</f>
        <v>Dustin Brinkmann</v>
      </c>
      <c r="D4336" t="str">
        <f>_xlfn.XLOOKUP($B4336,sales_teams!$A$2:$A$36,sales_teams!C$2:C$36)</f>
        <v>Central</v>
      </c>
      <c r="E4336" t="s">
        <v>20</v>
      </c>
      <c r="F4336" t="s">
        <v>303</v>
      </c>
      <c r="G4336" t="s">
        <v>12</v>
      </c>
      <c r="H4336" s="1">
        <v>42916</v>
      </c>
      <c r="I4336" s="1">
        <v>43005</v>
      </c>
      <c r="J4336">
        <v>560</v>
      </c>
    </row>
    <row r="4337" spans="1:10" x14ac:dyDescent="0.3">
      <c r="A4337" t="s">
        <v>4468</v>
      </c>
      <c r="B4337" t="s">
        <v>139</v>
      </c>
      <c r="C4337" t="str">
        <f>_xlfn.XLOOKUP(B4337,
[1]sales_teams!$A$2:$A$100,
[1]sales_teams!$B$2:$B$100)</f>
        <v>Rocco Neubert</v>
      </c>
      <c r="D4337" t="str">
        <f>_xlfn.XLOOKUP($B4337,sales_teams!$A$2:$A$36,sales_teams!C$2:C$36)</f>
        <v>East</v>
      </c>
      <c r="E4337" t="s">
        <v>10</v>
      </c>
      <c r="G4337" t="s">
        <v>40</v>
      </c>
      <c r="H4337" s="1">
        <v>42916</v>
      </c>
    </row>
    <row r="4338" spans="1:10" x14ac:dyDescent="0.3">
      <c r="A4338" t="s">
        <v>4469</v>
      </c>
      <c r="B4338" t="s">
        <v>139</v>
      </c>
      <c r="C4338" t="str">
        <f>_xlfn.XLOOKUP(B4338,
[1]sales_teams!$A$2:$A$100,
[1]sales_teams!$B$2:$B$100)</f>
        <v>Rocco Neubert</v>
      </c>
      <c r="D4338" t="str">
        <f>_xlfn.XLOOKUP($B4338,sales_teams!$A$2:$A$36,sales_teams!C$2:C$36)</f>
        <v>East</v>
      </c>
      <c r="E4338" t="s">
        <v>10</v>
      </c>
      <c r="F4338" t="s">
        <v>278</v>
      </c>
      <c r="G4338" t="s">
        <v>12</v>
      </c>
      <c r="H4338" s="1">
        <v>42916</v>
      </c>
      <c r="I4338" s="1">
        <v>42918</v>
      </c>
      <c r="J4338">
        <v>1167</v>
      </c>
    </row>
    <row r="4339" spans="1:10" x14ac:dyDescent="0.3">
      <c r="A4339" t="s">
        <v>4470</v>
      </c>
      <c r="B4339" t="s">
        <v>118</v>
      </c>
      <c r="C4339" t="str">
        <f>_xlfn.XLOOKUP(B4339,
[1]sales_teams!$A$2:$A$100,
[1]sales_teams!$B$2:$B$100)</f>
        <v>Rocco Neubert</v>
      </c>
      <c r="D4339" t="str">
        <f>_xlfn.XLOOKUP($B4339,sales_teams!$A$2:$A$36,sales_teams!C$2:C$36)</f>
        <v>East</v>
      </c>
      <c r="E4339" t="s">
        <v>48</v>
      </c>
      <c r="F4339" t="s">
        <v>240</v>
      </c>
      <c r="G4339" t="s">
        <v>46</v>
      </c>
      <c r="H4339" s="1">
        <v>42916</v>
      </c>
      <c r="I4339" s="1">
        <v>42926</v>
      </c>
      <c r="J4339">
        <v>0</v>
      </c>
    </row>
    <row r="4340" spans="1:10" x14ac:dyDescent="0.3">
      <c r="A4340" t="s">
        <v>4471</v>
      </c>
      <c r="B4340" t="s">
        <v>118</v>
      </c>
      <c r="C4340" t="str">
        <f>_xlfn.XLOOKUP(B4340,
[1]sales_teams!$A$2:$A$100,
[1]sales_teams!$B$2:$B$100)</f>
        <v>Rocco Neubert</v>
      </c>
      <c r="D4340" t="str">
        <f>_xlfn.XLOOKUP($B4340,sales_teams!$A$2:$A$36,sales_teams!C$2:C$36)</f>
        <v>East</v>
      </c>
      <c r="E4340" t="s">
        <v>39</v>
      </c>
      <c r="F4340" t="s">
        <v>204</v>
      </c>
      <c r="G4340" t="s">
        <v>12</v>
      </c>
      <c r="H4340" s="1">
        <v>42916</v>
      </c>
      <c r="I4340" s="1">
        <v>43004</v>
      </c>
      <c r="J4340">
        <v>3280</v>
      </c>
    </row>
    <row r="4341" spans="1:10" x14ac:dyDescent="0.3">
      <c r="A4341" t="s">
        <v>4472</v>
      </c>
      <c r="B4341" t="s">
        <v>202</v>
      </c>
      <c r="C4341" t="str">
        <f>_xlfn.XLOOKUP(B4341,
[1]sales_teams!$A$2:$A$100,
[1]sales_teams!$B$2:$B$100)</f>
        <v>Dustin Brinkmann</v>
      </c>
      <c r="D4341" t="str">
        <f>_xlfn.XLOOKUP($B4341,sales_teams!$A$2:$A$36,sales_teams!C$2:C$36)</f>
        <v>Central</v>
      </c>
      <c r="E4341" t="s">
        <v>39</v>
      </c>
      <c r="F4341" t="s">
        <v>45</v>
      </c>
      <c r="G4341" t="s">
        <v>12</v>
      </c>
      <c r="H4341" s="1">
        <v>42916</v>
      </c>
      <c r="I4341" s="1">
        <v>42993</v>
      </c>
      <c r="J4341">
        <v>3427</v>
      </c>
    </row>
    <row r="4342" spans="1:10" x14ac:dyDescent="0.3">
      <c r="A4342" t="s">
        <v>4473</v>
      </c>
      <c r="B4342" t="s">
        <v>164</v>
      </c>
      <c r="C4342" t="str">
        <f>_xlfn.XLOOKUP(B4342,
[1]sales_teams!$A$2:$A$100,
[1]sales_teams!$B$2:$B$100)</f>
        <v>Cara Losch</v>
      </c>
      <c r="D4342" t="str">
        <f>_xlfn.XLOOKUP($B4342,sales_teams!$A$2:$A$36,sales_teams!C$2:C$36)</f>
        <v>East</v>
      </c>
      <c r="E4342" t="s">
        <v>20</v>
      </c>
      <c r="F4342" t="s">
        <v>143</v>
      </c>
      <c r="G4342" t="s">
        <v>46</v>
      </c>
      <c r="H4342" s="1">
        <v>42916</v>
      </c>
      <c r="I4342" s="1">
        <v>42928</v>
      </c>
      <c r="J4342">
        <v>0</v>
      </c>
    </row>
    <row r="4343" spans="1:10" x14ac:dyDescent="0.3">
      <c r="A4343" t="s">
        <v>4474</v>
      </c>
      <c r="B4343" t="s">
        <v>64</v>
      </c>
      <c r="C4343" t="str">
        <f>_xlfn.XLOOKUP(B4343,
[1]sales_teams!$A$2:$A$100,
[1]sales_teams!$B$2:$B$100)</f>
        <v>Rocco Neubert</v>
      </c>
      <c r="D4343" t="str">
        <f>_xlfn.XLOOKUP($B4343,sales_teams!$A$2:$A$36,sales_teams!C$2:C$36)</f>
        <v>East</v>
      </c>
      <c r="E4343" t="s">
        <v>10</v>
      </c>
      <c r="F4343" t="s">
        <v>215</v>
      </c>
      <c r="G4343" t="s">
        <v>46</v>
      </c>
      <c r="H4343" s="1">
        <v>42916</v>
      </c>
      <c r="I4343" s="1">
        <v>42924</v>
      </c>
      <c r="J4343">
        <v>0</v>
      </c>
    </row>
    <row r="4344" spans="1:10" x14ac:dyDescent="0.3">
      <c r="A4344" t="s">
        <v>4475</v>
      </c>
      <c r="B4344" t="s">
        <v>64</v>
      </c>
      <c r="C4344" t="str">
        <f>_xlfn.XLOOKUP(B4344,
[1]sales_teams!$A$2:$A$100,
[1]sales_teams!$B$2:$B$100)</f>
        <v>Rocco Neubert</v>
      </c>
      <c r="D4344" t="str">
        <f>_xlfn.XLOOKUP($B4344,sales_teams!$A$2:$A$36,sales_teams!C$2:C$36)</f>
        <v>East</v>
      </c>
      <c r="E4344" t="s">
        <v>10</v>
      </c>
      <c r="F4344" t="s">
        <v>518</v>
      </c>
      <c r="G4344" t="s">
        <v>12</v>
      </c>
      <c r="H4344" s="1">
        <v>42916</v>
      </c>
      <c r="I4344" s="1">
        <v>43005</v>
      </c>
      <c r="J4344">
        <v>940</v>
      </c>
    </row>
    <row r="4345" spans="1:10" x14ac:dyDescent="0.3">
      <c r="A4345" t="s">
        <v>4476</v>
      </c>
      <c r="B4345" t="s">
        <v>14</v>
      </c>
      <c r="C4345" t="str">
        <f>_xlfn.XLOOKUP(B4345,
[1]sales_teams!$A$2:$A$100,
[1]sales_teams!$B$2:$B$100)</f>
        <v>Melvin Marxen</v>
      </c>
      <c r="D4345" t="str">
        <f>_xlfn.XLOOKUP($B4345,sales_teams!$A$2:$A$36,sales_teams!C$2:C$36)</f>
        <v>Central</v>
      </c>
      <c r="E4345" t="s">
        <v>20</v>
      </c>
      <c r="F4345" t="s">
        <v>76</v>
      </c>
      <c r="G4345" t="s">
        <v>12</v>
      </c>
      <c r="H4345" s="1">
        <v>42916</v>
      </c>
      <c r="I4345" s="1">
        <v>43007</v>
      </c>
      <c r="J4345">
        <v>565</v>
      </c>
    </row>
    <row r="4346" spans="1:10" x14ac:dyDescent="0.3">
      <c r="A4346" t="s">
        <v>4477</v>
      </c>
      <c r="B4346" t="s">
        <v>14</v>
      </c>
      <c r="C4346" t="str">
        <f>_xlfn.XLOOKUP(B4346,
[1]sales_teams!$A$2:$A$100,
[1]sales_teams!$B$2:$B$100)</f>
        <v>Melvin Marxen</v>
      </c>
      <c r="D4346" t="str">
        <f>_xlfn.XLOOKUP($B4346,sales_teams!$A$2:$A$36,sales_teams!C$2:C$36)</f>
        <v>Central</v>
      </c>
      <c r="E4346" t="s">
        <v>15</v>
      </c>
      <c r="F4346" t="s">
        <v>120</v>
      </c>
      <c r="G4346" t="s">
        <v>12</v>
      </c>
      <c r="H4346" s="1">
        <v>42916</v>
      </c>
      <c r="I4346" s="1">
        <v>42922</v>
      </c>
      <c r="J4346">
        <v>4749</v>
      </c>
    </row>
    <row r="4347" spans="1:10" x14ac:dyDescent="0.3">
      <c r="A4347" t="s">
        <v>4478</v>
      </c>
      <c r="B4347" t="s">
        <v>67</v>
      </c>
      <c r="C4347" t="str">
        <f>_xlfn.XLOOKUP(B4347,
[1]sales_teams!$A$2:$A$100,
[1]sales_teams!$B$2:$B$100)</f>
        <v>Celia Rouche</v>
      </c>
      <c r="D4347" t="str">
        <f>_xlfn.XLOOKUP($B4347,sales_teams!$A$2:$A$36,sales_teams!C$2:C$36)</f>
        <v>West</v>
      </c>
      <c r="E4347" t="s">
        <v>18</v>
      </c>
      <c r="F4347" t="s">
        <v>86</v>
      </c>
      <c r="G4347" t="s">
        <v>12</v>
      </c>
      <c r="H4347" s="1">
        <v>42916</v>
      </c>
      <c r="I4347" s="1">
        <v>42925</v>
      </c>
      <c r="J4347">
        <v>51</v>
      </c>
    </row>
    <row r="4348" spans="1:10" x14ac:dyDescent="0.3">
      <c r="A4348" t="s">
        <v>4479</v>
      </c>
      <c r="B4348" t="s">
        <v>44</v>
      </c>
      <c r="C4348" t="str">
        <f>_xlfn.XLOOKUP(B4348,
[1]sales_teams!$A$2:$A$100,
[1]sales_teams!$B$2:$B$100)</f>
        <v>Melvin Marxen</v>
      </c>
      <c r="D4348" t="str">
        <f>_xlfn.XLOOKUP($B4348,sales_teams!$A$2:$A$36,sales_teams!C$2:C$36)</f>
        <v>Central</v>
      </c>
      <c r="E4348" t="s">
        <v>18</v>
      </c>
      <c r="F4348" t="s">
        <v>187</v>
      </c>
      <c r="G4348" t="s">
        <v>46</v>
      </c>
      <c r="H4348" s="1">
        <v>42916</v>
      </c>
      <c r="I4348" s="1">
        <v>42975</v>
      </c>
      <c r="J4348">
        <v>0</v>
      </c>
    </row>
    <row r="4349" spans="1:10" x14ac:dyDescent="0.3">
      <c r="A4349" t="s">
        <v>4480</v>
      </c>
      <c r="B4349" t="s">
        <v>38</v>
      </c>
      <c r="C4349" t="str">
        <f>_xlfn.XLOOKUP(B4349,
[1]sales_teams!$A$2:$A$100,
[1]sales_teams!$B$2:$B$100)</f>
        <v>Summer Sewald</v>
      </c>
      <c r="D4349" t="str">
        <f>_xlfn.XLOOKUP($B4349,sales_teams!$A$2:$A$36,sales_teams!C$2:C$36)</f>
        <v>West</v>
      </c>
      <c r="E4349" t="s">
        <v>10</v>
      </c>
      <c r="G4349" t="s">
        <v>40</v>
      </c>
      <c r="H4349" s="1">
        <v>42916</v>
      </c>
    </row>
    <row r="4350" spans="1:10" x14ac:dyDescent="0.3">
      <c r="A4350" t="s">
        <v>4481</v>
      </c>
      <c r="B4350" t="s">
        <v>38</v>
      </c>
      <c r="C4350" t="str">
        <f>_xlfn.XLOOKUP(B4350,
[1]sales_teams!$A$2:$A$100,
[1]sales_teams!$B$2:$B$100)</f>
        <v>Summer Sewald</v>
      </c>
      <c r="D4350" t="str">
        <f>_xlfn.XLOOKUP($B4350,sales_teams!$A$2:$A$36,sales_teams!C$2:C$36)</f>
        <v>West</v>
      </c>
      <c r="E4350" t="s">
        <v>15</v>
      </c>
      <c r="F4350" t="s">
        <v>159</v>
      </c>
      <c r="G4350" t="s">
        <v>46</v>
      </c>
      <c r="H4350" s="1">
        <v>42916</v>
      </c>
      <c r="I4350" s="1">
        <v>42924</v>
      </c>
      <c r="J4350">
        <v>0</v>
      </c>
    </row>
    <row r="4351" spans="1:10" x14ac:dyDescent="0.3">
      <c r="A4351" t="s">
        <v>4482</v>
      </c>
      <c r="B4351" t="s">
        <v>252</v>
      </c>
      <c r="C4351" t="str">
        <f>_xlfn.XLOOKUP(B4351,
[1]sales_teams!$A$2:$A$100,
[1]sales_teams!$B$2:$B$100)</f>
        <v>Melvin Marxen</v>
      </c>
      <c r="D4351" t="str">
        <f>_xlfn.XLOOKUP($B4351,sales_teams!$A$2:$A$36,sales_teams!C$2:C$36)</f>
        <v>Central</v>
      </c>
      <c r="E4351" t="s">
        <v>20</v>
      </c>
      <c r="F4351" t="s">
        <v>76</v>
      </c>
      <c r="G4351" t="s">
        <v>46</v>
      </c>
      <c r="H4351" s="1">
        <v>42916</v>
      </c>
      <c r="I4351" s="1">
        <v>42923</v>
      </c>
      <c r="J4351">
        <v>0</v>
      </c>
    </row>
    <row r="4352" spans="1:10" x14ac:dyDescent="0.3">
      <c r="A4352" t="s">
        <v>4483</v>
      </c>
      <c r="B4352" t="s">
        <v>32</v>
      </c>
      <c r="C4352" t="str">
        <f>_xlfn.XLOOKUP(B4352,
[1]sales_teams!$A$2:$A$100,
[1]sales_teams!$B$2:$B$100)</f>
        <v>Celia Rouche</v>
      </c>
      <c r="D4352" t="str">
        <f>_xlfn.XLOOKUP($B4352,sales_teams!$A$2:$A$36,sales_teams!C$2:C$36)</f>
        <v>West</v>
      </c>
      <c r="E4352" t="s">
        <v>18</v>
      </c>
      <c r="F4352" t="s">
        <v>224</v>
      </c>
      <c r="G4352" t="s">
        <v>46</v>
      </c>
      <c r="H4352" s="1">
        <v>42916</v>
      </c>
      <c r="I4352" s="1">
        <v>42917</v>
      </c>
      <c r="J4352">
        <v>0</v>
      </c>
    </row>
    <row r="4353" spans="1:10" x14ac:dyDescent="0.3">
      <c r="A4353" t="s">
        <v>4484</v>
      </c>
      <c r="B4353" t="s">
        <v>116</v>
      </c>
      <c r="C4353" t="str">
        <f>_xlfn.XLOOKUP(B4353,
[1]sales_teams!$A$2:$A$100,
[1]sales_teams!$B$2:$B$100)</f>
        <v>Melvin Marxen</v>
      </c>
      <c r="D4353" t="str">
        <f>_xlfn.XLOOKUP($B4353,sales_teams!$A$2:$A$36,sales_teams!C$2:C$36)</f>
        <v>Central</v>
      </c>
      <c r="E4353" t="s">
        <v>39</v>
      </c>
      <c r="F4353" t="s">
        <v>113</v>
      </c>
      <c r="G4353" t="s">
        <v>12</v>
      </c>
      <c r="H4353" s="1">
        <v>42916</v>
      </c>
      <c r="I4353" s="1">
        <v>42925</v>
      </c>
      <c r="J4353">
        <v>3699</v>
      </c>
    </row>
    <row r="4354" spans="1:10" x14ac:dyDescent="0.3">
      <c r="A4354" t="s">
        <v>4485</v>
      </c>
      <c r="B4354" t="s">
        <v>51</v>
      </c>
      <c r="C4354" t="str">
        <f>_xlfn.XLOOKUP(B4354,
[1]sales_teams!$A$2:$A$100,
[1]sales_teams!$B$2:$B$100)</f>
        <v>Summer Sewald</v>
      </c>
      <c r="D4354" t="str">
        <f>_xlfn.XLOOKUP($B4354,sales_teams!$A$2:$A$36,sales_teams!C$2:C$36)</f>
        <v>West</v>
      </c>
      <c r="E4354" t="s">
        <v>48</v>
      </c>
      <c r="F4354" t="s">
        <v>33</v>
      </c>
      <c r="G4354" t="s">
        <v>12</v>
      </c>
      <c r="H4354" s="1">
        <v>42916</v>
      </c>
      <c r="I4354" s="1">
        <v>42923</v>
      </c>
      <c r="J4354">
        <v>5909</v>
      </c>
    </row>
    <row r="4355" spans="1:10" x14ac:dyDescent="0.3">
      <c r="A4355" t="s">
        <v>4486</v>
      </c>
      <c r="B4355" t="s">
        <v>9</v>
      </c>
      <c r="C4355" t="str">
        <f>_xlfn.XLOOKUP(B4355,
[1]sales_teams!$A$2:$A$100,
[1]sales_teams!$B$2:$B$100)</f>
        <v>Dustin Brinkmann</v>
      </c>
      <c r="D4355" t="str">
        <f>_xlfn.XLOOKUP($B4355,sales_teams!$A$2:$A$36,sales_teams!C$2:C$36)</f>
        <v>Central</v>
      </c>
      <c r="E4355" t="s">
        <v>20</v>
      </c>
      <c r="F4355" t="s">
        <v>218</v>
      </c>
      <c r="G4355" t="s">
        <v>46</v>
      </c>
      <c r="H4355" s="1">
        <v>42916</v>
      </c>
      <c r="I4355" s="1">
        <v>43040</v>
      </c>
      <c r="J4355">
        <v>0</v>
      </c>
    </row>
    <row r="4356" spans="1:10" x14ac:dyDescent="0.3">
      <c r="A4356" t="s">
        <v>4487</v>
      </c>
      <c r="B4356" t="s">
        <v>35</v>
      </c>
      <c r="C4356" t="str">
        <f>_xlfn.XLOOKUP(B4356,
[1]sales_teams!$A$2:$A$100,
[1]sales_teams!$B$2:$B$100)</f>
        <v>Melvin Marxen</v>
      </c>
      <c r="D4356" t="str">
        <f>_xlfn.XLOOKUP($B4356,sales_teams!$A$2:$A$36,sales_teams!C$2:C$36)</f>
        <v>Central</v>
      </c>
      <c r="E4356" t="s">
        <v>15</v>
      </c>
      <c r="F4356" t="s">
        <v>197</v>
      </c>
      <c r="G4356" t="s">
        <v>46</v>
      </c>
      <c r="H4356" s="1">
        <v>42916</v>
      </c>
      <c r="I4356" s="1">
        <v>42917</v>
      </c>
      <c r="J4356">
        <v>0</v>
      </c>
    </row>
    <row r="4357" spans="1:10" x14ac:dyDescent="0.3">
      <c r="A4357" t="s">
        <v>4488</v>
      </c>
      <c r="B4357" t="s">
        <v>97</v>
      </c>
      <c r="C4357" t="str">
        <f>_xlfn.XLOOKUP(B4357,
[1]sales_teams!$A$2:$A$100,
[1]sales_teams!$B$2:$B$100)</f>
        <v>Rocco Neubert</v>
      </c>
      <c r="D4357" t="str">
        <f>_xlfn.XLOOKUP($B4357,sales_teams!$A$2:$A$36,sales_teams!C$2:C$36)</f>
        <v>East</v>
      </c>
      <c r="E4357" t="s">
        <v>48</v>
      </c>
      <c r="F4357" t="s">
        <v>218</v>
      </c>
      <c r="G4357" t="s">
        <v>46</v>
      </c>
      <c r="H4357" s="1">
        <v>42916</v>
      </c>
      <c r="I4357" s="1">
        <v>42923</v>
      </c>
      <c r="J4357">
        <v>0</v>
      </c>
    </row>
    <row r="4358" spans="1:10" x14ac:dyDescent="0.3">
      <c r="A4358" t="s">
        <v>4489</v>
      </c>
      <c r="B4358" t="s">
        <v>97</v>
      </c>
      <c r="C4358" t="str">
        <f>_xlfn.XLOOKUP(B4358,
[1]sales_teams!$A$2:$A$100,
[1]sales_teams!$B$2:$B$100)</f>
        <v>Rocco Neubert</v>
      </c>
      <c r="D4358" t="str">
        <f>_xlfn.XLOOKUP($B4358,sales_teams!$A$2:$A$36,sales_teams!C$2:C$36)</f>
        <v>East</v>
      </c>
      <c r="E4358" t="s">
        <v>48</v>
      </c>
      <c r="F4358" t="s">
        <v>222</v>
      </c>
      <c r="G4358" t="s">
        <v>12</v>
      </c>
      <c r="H4358" s="1">
        <v>42916</v>
      </c>
      <c r="I4358" s="1">
        <v>42997</v>
      </c>
      <c r="J4358">
        <v>5927</v>
      </c>
    </row>
    <row r="4359" spans="1:10" x14ac:dyDescent="0.3">
      <c r="A4359" t="s">
        <v>4490</v>
      </c>
      <c r="B4359" t="s">
        <v>97</v>
      </c>
      <c r="C4359" t="str">
        <f>_xlfn.XLOOKUP(B4359,
[1]sales_teams!$A$2:$A$100,
[1]sales_teams!$B$2:$B$100)</f>
        <v>Rocco Neubert</v>
      </c>
      <c r="D4359" t="str">
        <f>_xlfn.XLOOKUP($B4359,sales_teams!$A$2:$A$36,sales_teams!C$2:C$36)</f>
        <v>East</v>
      </c>
      <c r="E4359" t="s">
        <v>18</v>
      </c>
      <c r="F4359" t="s">
        <v>745</v>
      </c>
      <c r="G4359" t="s">
        <v>12</v>
      </c>
      <c r="H4359" s="1">
        <v>42916</v>
      </c>
      <c r="I4359" s="1">
        <v>42996</v>
      </c>
      <c r="J4359">
        <v>60</v>
      </c>
    </row>
    <row r="4360" spans="1:10" x14ac:dyDescent="0.3">
      <c r="A4360" t="s">
        <v>4491</v>
      </c>
      <c r="B4360" t="s">
        <v>97</v>
      </c>
      <c r="C4360" t="str">
        <f>_xlfn.XLOOKUP(B4360,
[1]sales_teams!$A$2:$A$100,
[1]sales_teams!$B$2:$B$100)</f>
        <v>Rocco Neubert</v>
      </c>
      <c r="D4360" t="str">
        <f>_xlfn.XLOOKUP($B4360,sales_teams!$A$2:$A$36,sales_teams!C$2:C$36)</f>
        <v>East</v>
      </c>
      <c r="E4360" t="s">
        <v>39</v>
      </c>
      <c r="F4360" t="s">
        <v>373</v>
      </c>
      <c r="G4360" t="s">
        <v>12</v>
      </c>
      <c r="H4360" s="1">
        <v>42916</v>
      </c>
      <c r="I4360" s="1">
        <v>42927</v>
      </c>
      <c r="J4360">
        <v>3351</v>
      </c>
    </row>
    <row r="4361" spans="1:10" x14ac:dyDescent="0.3">
      <c r="A4361" t="s">
        <v>4492</v>
      </c>
      <c r="B4361" t="s">
        <v>57</v>
      </c>
      <c r="C4361" t="str">
        <f>_xlfn.XLOOKUP(B4361,
[1]sales_teams!$A$2:$A$100,
[1]sales_teams!$B$2:$B$100)</f>
        <v>Celia Rouche</v>
      </c>
      <c r="D4361" t="str">
        <f>_xlfn.XLOOKUP($B4361,sales_teams!$A$2:$A$36,sales_teams!C$2:C$36)</f>
        <v>West</v>
      </c>
      <c r="E4361" t="s">
        <v>18</v>
      </c>
      <c r="F4361" t="s">
        <v>157</v>
      </c>
      <c r="G4361" t="s">
        <v>12</v>
      </c>
      <c r="H4361" s="1">
        <v>42916</v>
      </c>
      <c r="I4361" s="1">
        <v>42925</v>
      </c>
      <c r="J4361">
        <v>64</v>
      </c>
    </row>
    <row r="4362" spans="1:10" x14ac:dyDescent="0.3">
      <c r="A4362" t="s">
        <v>4493</v>
      </c>
      <c r="B4362" t="s">
        <v>88</v>
      </c>
      <c r="C4362" t="str">
        <f>_xlfn.XLOOKUP(B4362,
[1]sales_teams!$A$2:$A$100,
[1]sales_teams!$B$2:$B$100)</f>
        <v>Cara Losch</v>
      </c>
      <c r="D4362" t="str">
        <f>_xlfn.XLOOKUP($B4362,sales_teams!$A$2:$A$36,sales_teams!C$2:C$36)</f>
        <v>East</v>
      </c>
      <c r="E4362" t="s">
        <v>39</v>
      </c>
      <c r="F4362" t="s">
        <v>209</v>
      </c>
      <c r="G4362" t="s">
        <v>46</v>
      </c>
      <c r="H4362" s="1">
        <v>42916</v>
      </c>
      <c r="I4362" s="1">
        <v>42918</v>
      </c>
      <c r="J4362">
        <v>0</v>
      </c>
    </row>
    <row r="4363" spans="1:10" x14ac:dyDescent="0.3">
      <c r="A4363" t="s">
        <v>4494</v>
      </c>
      <c r="B4363" t="s">
        <v>61</v>
      </c>
      <c r="C4363" t="str">
        <f>_xlfn.XLOOKUP(B4363,
[1]sales_teams!$A$2:$A$100,
[1]sales_teams!$B$2:$B$100)</f>
        <v>Dustin Brinkmann</v>
      </c>
      <c r="D4363" t="str">
        <f>_xlfn.XLOOKUP($B4363,sales_teams!$A$2:$A$36,sales_teams!C$2:C$36)</f>
        <v>Central</v>
      </c>
      <c r="E4363" t="s">
        <v>18</v>
      </c>
      <c r="F4363" t="s">
        <v>91</v>
      </c>
      <c r="G4363" t="s">
        <v>12</v>
      </c>
      <c r="H4363" s="1">
        <v>42916</v>
      </c>
      <c r="I4363" s="1">
        <v>42927</v>
      </c>
      <c r="J4363">
        <v>47</v>
      </c>
    </row>
    <row r="4364" spans="1:10" x14ac:dyDescent="0.3">
      <c r="A4364" t="s">
        <v>4495</v>
      </c>
      <c r="B4364" t="s">
        <v>61</v>
      </c>
      <c r="C4364" t="str">
        <f>_xlfn.XLOOKUP(B4364,
[1]sales_teams!$A$2:$A$100,
[1]sales_teams!$B$2:$B$100)</f>
        <v>Dustin Brinkmann</v>
      </c>
      <c r="D4364" t="str">
        <f>_xlfn.XLOOKUP($B4364,sales_teams!$A$2:$A$36,sales_teams!C$2:C$36)</f>
        <v>Central</v>
      </c>
      <c r="E4364" t="s">
        <v>18</v>
      </c>
      <c r="F4364" t="s">
        <v>197</v>
      </c>
      <c r="G4364" t="s">
        <v>12</v>
      </c>
      <c r="H4364" s="1">
        <v>42916</v>
      </c>
      <c r="I4364" s="1">
        <v>42917</v>
      </c>
      <c r="J4364">
        <v>53</v>
      </c>
    </row>
    <row r="4365" spans="1:10" x14ac:dyDescent="0.3">
      <c r="A4365" t="s">
        <v>4496</v>
      </c>
      <c r="B4365" t="s">
        <v>29</v>
      </c>
      <c r="C4365" t="str">
        <f>_xlfn.XLOOKUP(B4365,
[1]sales_teams!$A$2:$A$100,
[1]sales_teams!$B$2:$B$100)</f>
        <v>Celia Rouche</v>
      </c>
      <c r="D4365" t="str">
        <f>_xlfn.XLOOKUP($B4365,sales_teams!$A$2:$A$36,sales_teams!C$2:C$36)</f>
        <v>West</v>
      </c>
      <c r="E4365" t="s">
        <v>20</v>
      </c>
      <c r="F4365" t="s">
        <v>159</v>
      </c>
      <c r="G4365" t="s">
        <v>46</v>
      </c>
      <c r="H4365" s="1">
        <v>42916</v>
      </c>
      <c r="I4365" s="1">
        <v>42928</v>
      </c>
      <c r="J4365">
        <v>0</v>
      </c>
    </row>
    <row r="4366" spans="1:10" x14ac:dyDescent="0.3">
      <c r="A4366" t="s">
        <v>4497</v>
      </c>
      <c r="B4366" t="s">
        <v>73</v>
      </c>
      <c r="C4366" t="str">
        <f>_xlfn.XLOOKUP(B4366,
[1]sales_teams!$A$2:$A$100,
[1]sales_teams!$B$2:$B$100)</f>
        <v>Cara Losch</v>
      </c>
      <c r="D4366" t="str">
        <f>_xlfn.XLOOKUP($B4366,sales_teams!$A$2:$A$36,sales_teams!C$2:C$36)</f>
        <v>East</v>
      </c>
      <c r="E4366" t="s">
        <v>20</v>
      </c>
      <c r="F4366" t="s">
        <v>98</v>
      </c>
      <c r="G4366" t="s">
        <v>46</v>
      </c>
      <c r="H4366" s="1">
        <v>42916</v>
      </c>
      <c r="I4366" s="1">
        <v>43001</v>
      </c>
      <c r="J4366">
        <v>0</v>
      </c>
    </row>
    <row r="4367" spans="1:10" x14ac:dyDescent="0.3">
      <c r="A4367" t="s">
        <v>4498</v>
      </c>
      <c r="B4367" t="s">
        <v>139</v>
      </c>
      <c r="C4367" t="str">
        <f>_xlfn.XLOOKUP(B4367,
[1]sales_teams!$A$2:$A$100,
[1]sales_teams!$B$2:$B$100)</f>
        <v>Rocco Neubert</v>
      </c>
      <c r="D4367" t="str">
        <f>_xlfn.XLOOKUP($B4367,sales_teams!$A$2:$A$36,sales_teams!C$2:C$36)</f>
        <v>East</v>
      </c>
      <c r="E4367" t="s">
        <v>10</v>
      </c>
      <c r="F4367" t="s">
        <v>492</v>
      </c>
      <c r="G4367" t="s">
        <v>40</v>
      </c>
      <c r="H4367" s="1">
        <v>42917</v>
      </c>
    </row>
    <row r="4368" spans="1:10" x14ac:dyDescent="0.3">
      <c r="A4368" t="s">
        <v>4499</v>
      </c>
      <c r="B4368" t="s">
        <v>139</v>
      </c>
      <c r="C4368" t="str">
        <f>_xlfn.XLOOKUP(B4368,
[1]sales_teams!$A$2:$A$100,
[1]sales_teams!$B$2:$B$100)</f>
        <v>Rocco Neubert</v>
      </c>
      <c r="D4368" t="str">
        <f>_xlfn.XLOOKUP($B4368,sales_teams!$A$2:$A$36,sales_teams!C$2:C$36)</f>
        <v>East</v>
      </c>
      <c r="E4368" t="s">
        <v>10</v>
      </c>
      <c r="F4368" t="s">
        <v>98</v>
      </c>
      <c r="G4368" t="s">
        <v>46</v>
      </c>
      <c r="H4368" s="1">
        <v>42917</v>
      </c>
      <c r="I4368" s="1">
        <v>42962</v>
      </c>
      <c r="J4368">
        <v>0</v>
      </c>
    </row>
    <row r="4369" spans="1:10" x14ac:dyDescent="0.3">
      <c r="A4369" t="s">
        <v>4500</v>
      </c>
      <c r="B4369" t="s">
        <v>202</v>
      </c>
      <c r="C4369" t="str">
        <f>_xlfn.XLOOKUP(B4369,
[1]sales_teams!$A$2:$A$100,
[1]sales_teams!$B$2:$B$100)</f>
        <v>Dustin Brinkmann</v>
      </c>
      <c r="D4369" t="str">
        <f>_xlfn.XLOOKUP($B4369,sales_teams!$A$2:$A$36,sales_teams!C$2:C$36)</f>
        <v>Central</v>
      </c>
      <c r="E4369" t="s">
        <v>48</v>
      </c>
      <c r="F4369" t="s">
        <v>213</v>
      </c>
      <c r="G4369" t="s">
        <v>12</v>
      </c>
      <c r="H4369" s="1">
        <v>42917</v>
      </c>
      <c r="I4369" s="1">
        <v>42927</v>
      </c>
      <c r="J4369">
        <v>4391</v>
      </c>
    </row>
    <row r="4370" spans="1:10" x14ac:dyDescent="0.3">
      <c r="A4370" t="s">
        <v>4501</v>
      </c>
      <c r="B4370" t="s">
        <v>164</v>
      </c>
      <c r="C4370" t="str">
        <f>_xlfn.XLOOKUP(B4370,
[1]sales_teams!$A$2:$A$100,
[1]sales_teams!$B$2:$B$100)</f>
        <v>Cara Losch</v>
      </c>
      <c r="D4370" t="str">
        <f>_xlfn.XLOOKUP($B4370,sales_teams!$A$2:$A$36,sales_teams!C$2:C$36)</f>
        <v>East</v>
      </c>
      <c r="E4370" t="s">
        <v>48</v>
      </c>
      <c r="G4370" t="s">
        <v>40</v>
      </c>
      <c r="H4370" s="1">
        <v>42917</v>
      </c>
    </row>
    <row r="4371" spans="1:10" x14ac:dyDescent="0.3">
      <c r="A4371" t="s">
        <v>4502</v>
      </c>
      <c r="B4371" t="s">
        <v>164</v>
      </c>
      <c r="C4371" t="str">
        <f>_xlfn.XLOOKUP(B4371,
[1]sales_teams!$A$2:$A$100,
[1]sales_teams!$B$2:$B$100)</f>
        <v>Cara Losch</v>
      </c>
      <c r="D4371" t="str">
        <f>_xlfn.XLOOKUP($B4371,sales_teams!$A$2:$A$36,sales_teams!C$2:C$36)</f>
        <v>East</v>
      </c>
      <c r="E4371" t="s">
        <v>39</v>
      </c>
      <c r="G4371" t="s">
        <v>40</v>
      </c>
      <c r="H4371" s="1">
        <v>42917</v>
      </c>
    </row>
    <row r="4372" spans="1:10" x14ac:dyDescent="0.3">
      <c r="A4372" t="s">
        <v>4503</v>
      </c>
      <c r="B4372" t="s">
        <v>14</v>
      </c>
      <c r="C4372" t="str">
        <f>_xlfn.XLOOKUP(B4372,
[1]sales_teams!$A$2:$A$100,
[1]sales_teams!$B$2:$B$100)</f>
        <v>Melvin Marxen</v>
      </c>
      <c r="D4372" t="str">
        <f>_xlfn.XLOOKUP($B4372,sales_teams!$A$2:$A$36,sales_teams!C$2:C$36)</f>
        <v>Central</v>
      </c>
      <c r="E4372" t="s">
        <v>10</v>
      </c>
      <c r="F4372" t="s">
        <v>187</v>
      </c>
      <c r="G4372" t="s">
        <v>12</v>
      </c>
      <c r="H4372" s="1">
        <v>42917</v>
      </c>
      <c r="I4372" s="1">
        <v>42927</v>
      </c>
      <c r="J4372">
        <v>1308</v>
      </c>
    </row>
    <row r="4373" spans="1:10" x14ac:dyDescent="0.3">
      <c r="A4373" t="s">
        <v>4504</v>
      </c>
      <c r="B4373" t="s">
        <v>14</v>
      </c>
      <c r="C4373" t="str">
        <f>_xlfn.XLOOKUP(B4373,
[1]sales_teams!$A$2:$A$100,
[1]sales_teams!$B$2:$B$100)</f>
        <v>Melvin Marxen</v>
      </c>
      <c r="D4373" t="str">
        <f>_xlfn.XLOOKUP($B4373,sales_teams!$A$2:$A$36,sales_teams!C$2:C$36)</f>
        <v>Central</v>
      </c>
      <c r="E4373" t="s">
        <v>15</v>
      </c>
      <c r="F4373" t="s">
        <v>151</v>
      </c>
      <c r="G4373" t="s">
        <v>12</v>
      </c>
      <c r="H4373" s="1">
        <v>42917</v>
      </c>
      <c r="I4373" s="1">
        <v>43001</v>
      </c>
      <c r="J4373">
        <v>4888</v>
      </c>
    </row>
    <row r="4374" spans="1:10" x14ac:dyDescent="0.3">
      <c r="A4374" t="s">
        <v>4505</v>
      </c>
      <c r="B4374" t="s">
        <v>142</v>
      </c>
      <c r="C4374" t="str">
        <f>_xlfn.XLOOKUP(B4374,
[1]sales_teams!$A$2:$A$100,
[1]sales_teams!$B$2:$B$100)</f>
        <v>Rocco Neubert</v>
      </c>
      <c r="D4374" t="str">
        <f>_xlfn.XLOOKUP($B4374,sales_teams!$A$2:$A$36,sales_teams!C$2:C$36)</f>
        <v>East</v>
      </c>
      <c r="E4374" t="s">
        <v>20</v>
      </c>
      <c r="F4374" t="s">
        <v>218</v>
      </c>
      <c r="G4374" t="s">
        <v>12</v>
      </c>
      <c r="H4374" s="1">
        <v>42917</v>
      </c>
      <c r="I4374" s="1">
        <v>43003</v>
      </c>
      <c r="J4374">
        <v>535</v>
      </c>
    </row>
    <row r="4375" spans="1:10" x14ac:dyDescent="0.3">
      <c r="A4375" t="s">
        <v>4506</v>
      </c>
      <c r="B4375" t="s">
        <v>67</v>
      </c>
      <c r="C4375" t="str">
        <f>_xlfn.XLOOKUP(B4375,
[1]sales_teams!$A$2:$A$100,
[1]sales_teams!$B$2:$B$100)</f>
        <v>Celia Rouche</v>
      </c>
      <c r="D4375" t="str">
        <f>_xlfn.XLOOKUP($B4375,sales_teams!$A$2:$A$36,sales_teams!C$2:C$36)</f>
        <v>West</v>
      </c>
      <c r="E4375" t="s">
        <v>48</v>
      </c>
      <c r="F4375" t="s">
        <v>174</v>
      </c>
      <c r="G4375" t="s">
        <v>46</v>
      </c>
      <c r="H4375" s="1">
        <v>42917</v>
      </c>
      <c r="I4375" s="1">
        <v>43042</v>
      </c>
      <c r="J4375">
        <v>0</v>
      </c>
    </row>
    <row r="4376" spans="1:10" x14ac:dyDescent="0.3">
      <c r="A4376" t="s">
        <v>4507</v>
      </c>
      <c r="B4376" t="s">
        <v>105</v>
      </c>
      <c r="C4376" t="str">
        <f>_xlfn.XLOOKUP(B4376,
[1]sales_teams!$A$2:$A$100,
[1]sales_teams!$B$2:$B$100)</f>
        <v>Cara Losch</v>
      </c>
      <c r="D4376" t="str">
        <f>_xlfn.XLOOKUP($B4376,sales_teams!$A$2:$A$36,sales_teams!C$2:C$36)</f>
        <v>East</v>
      </c>
      <c r="E4376" t="s">
        <v>18</v>
      </c>
      <c r="F4376" t="s">
        <v>204</v>
      </c>
      <c r="G4376" t="s">
        <v>46</v>
      </c>
      <c r="H4376" s="1">
        <v>42917</v>
      </c>
      <c r="I4376" s="1">
        <v>42994</v>
      </c>
      <c r="J4376">
        <v>0</v>
      </c>
    </row>
    <row r="4377" spans="1:10" x14ac:dyDescent="0.3">
      <c r="A4377" t="s">
        <v>4508</v>
      </c>
      <c r="B4377" t="s">
        <v>44</v>
      </c>
      <c r="C4377" t="str">
        <f>_xlfn.XLOOKUP(B4377,
[1]sales_teams!$A$2:$A$100,
[1]sales_teams!$B$2:$B$100)</f>
        <v>Melvin Marxen</v>
      </c>
      <c r="D4377" t="str">
        <f>_xlfn.XLOOKUP($B4377,sales_teams!$A$2:$A$36,sales_teams!C$2:C$36)</f>
        <v>Central</v>
      </c>
      <c r="E4377" t="s">
        <v>39</v>
      </c>
      <c r="F4377" t="s">
        <v>16</v>
      </c>
      <c r="G4377" t="s">
        <v>12</v>
      </c>
      <c r="H4377" s="1">
        <v>42917</v>
      </c>
      <c r="I4377" s="1">
        <v>42922</v>
      </c>
      <c r="J4377">
        <v>3252</v>
      </c>
    </row>
    <row r="4378" spans="1:10" x14ac:dyDescent="0.3">
      <c r="A4378" t="s">
        <v>4509</v>
      </c>
      <c r="B4378" t="s">
        <v>54</v>
      </c>
      <c r="C4378" t="str">
        <f>_xlfn.XLOOKUP(B4378,
[1]sales_teams!$A$2:$A$100,
[1]sales_teams!$B$2:$B$100)</f>
        <v>Celia Rouche</v>
      </c>
      <c r="D4378" t="str">
        <f>_xlfn.XLOOKUP($B4378,sales_teams!$A$2:$A$36,sales_teams!C$2:C$36)</f>
        <v>West</v>
      </c>
      <c r="E4378" t="s">
        <v>10</v>
      </c>
      <c r="G4378" t="s">
        <v>40</v>
      </c>
      <c r="H4378" s="1">
        <v>42917</v>
      </c>
    </row>
    <row r="4379" spans="1:10" x14ac:dyDescent="0.3">
      <c r="A4379" t="s">
        <v>4510</v>
      </c>
      <c r="B4379" t="s">
        <v>252</v>
      </c>
      <c r="C4379" t="str">
        <f>_xlfn.XLOOKUP(B4379,
[1]sales_teams!$A$2:$A$100,
[1]sales_teams!$B$2:$B$100)</f>
        <v>Melvin Marxen</v>
      </c>
      <c r="D4379" t="str">
        <f>_xlfn.XLOOKUP($B4379,sales_teams!$A$2:$A$36,sales_teams!C$2:C$36)</f>
        <v>Central</v>
      </c>
      <c r="E4379" t="s">
        <v>20</v>
      </c>
      <c r="F4379" t="s">
        <v>315</v>
      </c>
      <c r="G4379" t="s">
        <v>46</v>
      </c>
      <c r="H4379" s="1">
        <v>42917</v>
      </c>
      <c r="I4379" s="1">
        <v>42919</v>
      </c>
      <c r="J4379">
        <v>0</v>
      </c>
    </row>
    <row r="4380" spans="1:10" x14ac:dyDescent="0.3">
      <c r="A4380" t="s">
        <v>4511</v>
      </c>
      <c r="B4380" t="s">
        <v>252</v>
      </c>
      <c r="C4380" t="str">
        <f>_xlfn.XLOOKUP(B4380,
[1]sales_teams!$A$2:$A$100,
[1]sales_teams!$B$2:$B$100)</f>
        <v>Melvin Marxen</v>
      </c>
      <c r="D4380" t="str">
        <f>_xlfn.XLOOKUP($B4380,sales_teams!$A$2:$A$36,sales_teams!C$2:C$36)</f>
        <v>Central</v>
      </c>
      <c r="E4380" t="s">
        <v>18</v>
      </c>
      <c r="F4380" t="s">
        <v>170</v>
      </c>
      <c r="G4380" t="s">
        <v>46</v>
      </c>
      <c r="H4380" s="1">
        <v>42917</v>
      </c>
      <c r="I4380" s="1">
        <v>42974</v>
      </c>
      <c r="J4380">
        <v>0</v>
      </c>
    </row>
    <row r="4381" spans="1:10" x14ac:dyDescent="0.3">
      <c r="A4381" t="s">
        <v>4512</v>
      </c>
      <c r="B4381" t="s">
        <v>252</v>
      </c>
      <c r="C4381" t="str">
        <f>_xlfn.XLOOKUP(B4381,
[1]sales_teams!$A$2:$A$100,
[1]sales_teams!$B$2:$B$100)</f>
        <v>Melvin Marxen</v>
      </c>
      <c r="D4381" t="str">
        <f>_xlfn.XLOOKUP($B4381,sales_teams!$A$2:$A$36,sales_teams!C$2:C$36)</f>
        <v>Central</v>
      </c>
      <c r="E4381" t="s">
        <v>20</v>
      </c>
      <c r="F4381" t="s">
        <v>231</v>
      </c>
      <c r="G4381" t="s">
        <v>12</v>
      </c>
      <c r="H4381" s="1">
        <v>42917</v>
      </c>
      <c r="I4381" s="1">
        <v>42927</v>
      </c>
      <c r="J4381">
        <v>574</v>
      </c>
    </row>
    <row r="4382" spans="1:10" x14ac:dyDescent="0.3">
      <c r="A4382" t="s">
        <v>4513</v>
      </c>
      <c r="B4382" t="s">
        <v>252</v>
      </c>
      <c r="C4382" t="str">
        <f>_xlfn.XLOOKUP(B4382,
[1]sales_teams!$A$2:$A$100,
[1]sales_teams!$B$2:$B$100)</f>
        <v>Melvin Marxen</v>
      </c>
      <c r="D4382" t="str">
        <f>_xlfn.XLOOKUP($B4382,sales_teams!$A$2:$A$36,sales_teams!C$2:C$36)</f>
        <v>Central</v>
      </c>
      <c r="E4382" t="s">
        <v>10</v>
      </c>
      <c r="F4382" t="s">
        <v>21</v>
      </c>
      <c r="G4382" t="s">
        <v>12</v>
      </c>
      <c r="H4382" s="1">
        <v>42917</v>
      </c>
      <c r="I4382" s="1">
        <v>42958</v>
      </c>
      <c r="J4382">
        <v>1012</v>
      </c>
    </row>
    <row r="4383" spans="1:10" x14ac:dyDescent="0.3">
      <c r="A4383" t="s">
        <v>4514</v>
      </c>
      <c r="B4383" t="s">
        <v>95</v>
      </c>
      <c r="C4383" t="str">
        <f>_xlfn.XLOOKUP(B4383,
[1]sales_teams!$A$2:$A$100,
[1]sales_teams!$B$2:$B$100)</f>
        <v>Summer Sewald</v>
      </c>
      <c r="D4383" t="str">
        <f>_xlfn.XLOOKUP($B4383,sales_teams!$A$2:$A$36,sales_teams!C$2:C$36)</f>
        <v>West</v>
      </c>
      <c r="E4383" t="s">
        <v>15</v>
      </c>
      <c r="F4383" t="s">
        <v>174</v>
      </c>
      <c r="G4383" t="s">
        <v>40</v>
      </c>
      <c r="H4383" s="1">
        <v>42917</v>
      </c>
    </row>
    <row r="4384" spans="1:10" x14ac:dyDescent="0.3">
      <c r="A4384" t="s">
        <v>4515</v>
      </c>
      <c r="B4384" t="s">
        <v>95</v>
      </c>
      <c r="C4384" t="str">
        <f>_xlfn.XLOOKUP(B4384,
[1]sales_teams!$A$2:$A$100,
[1]sales_teams!$B$2:$B$100)</f>
        <v>Summer Sewald</v>
      </c>
      <c r="D4384" t="str">
        <f>_xlfn.XLOOKUP($B4384,sales_teams!$A$2:$A$36,sales_teams!C$2:C$36)</f>
        <v>West</v>
      </c>
      <c r="E4384" t="s">
        <v>20</v>
      </c>
      <c r="F4384" t="s">
        <v>174</v>
      </c>
      <c r="G4384" t="s">
        <v>12</v>
      </c>
      <c r="H4384" s="1">
        <v>42917</v>
      </c>
      <c r="I4384" s="1">
        <v>42923</v>
      </c>
      <c r="J4384">
        <v>576</v>
      </c>
    </row>
    <row r="4385" spans="1:10" x14ac:dyDescent="0.3">
      <c r="A4385" t="s">
        <v>4516</v>
      </c>
      <c r="B4385" t="s">
        <v>133</v>
      </c>
      <c r="C4385" t="str">
        <f>_xlfn.XLOOKUP(B4385,
[1]sales_teams!$A$2:$A$100,
[1]sales_teams!$B$2:$B$100)</f>
        <v>Dustin Brinkmann</v>
      </c>
      <c r="D4385" t="str">
        <f>_xlfn.XLOOKUP($B4385,sales_teams!$A$2:$A$36,sales_teams!C$2:C$36)</f>
        <v>Central</v>
      </c>
      <c r="E4385" t="s">
        <v>39</v>
      </c>
      <c r="F4385" t="s">
        <v>16</v>
      </c>
      <c r="G4385" t="s">
        <v>46</v>
      </c>
      <c r="H4385" s="1">
        <v>42917</v>
      </c>
      <c r="I4385" s="1">
        <v>42919</v>
      </c>
      <c r="J4385">
        <v>0</v>
      </c>
    </row>
    <row r="4386" spans="1:10" x14ac:dyDescent="0.3">
      <c r="A4386" t="s">
        <v>4517</v>
      </c>
      <c r="B4386" t="s">
        <v>32</v>
      </c>
      <c r="C4386" t="str">
        <f>_xlfn.XLOOKUP(B4386,
[1]sales_teams!$A$2:$A$100,
[1]sales_teams!$B$2:$B$100)</f>
        <v>Celia Rouche</v>
      </c>
      <c r="D4386" t="str">
        <f>_xlfn.XLOOKUP($B4386,sales_teams!$A$2:$A$36,sales_teams!C$2:C$36)</f>
        <v>West</v>
      </c>
      <c r="E4386" t="s">
        <v>18</v>
      </c>
      <c r="F4386" t="s">
        <v>52</v>
      </c>
      <c r="G4386" t="s">
        <v>46</v>
      </c>
      <c r="H4386" s="1">
        <v>42917</v>
      </c>
      <c r="I4386" s="1">
        <v>42919</v>
      </c>
      <c r="J4386">
        <v>0</v>
      </c>
    </row>
    <row r="4387" spans="1:10" x14ac:dyDescent="0.3">
      <c r="A4387" t="s">
        <v>4518</v>
      </c>
      <c r="B4387" t="s">
        <v>32</v>
      </c>
      <c r="C4387" t="str">
        <f>_xlfn.XLOOKUP(B4387,
[1]sales_teams!$A$2:$A$100,
[1]sales_teams!$B$2:$B$100)</f>
        <v>Celia Rouche</v>
      </c>
      <c r="D4387" t="str">
        <f>_xlfn.XLOOKUP($B4387,sales_teams!$A$2:$A$36,sales_teams!C$2:C$36)</f>
        <v>West</v>
      </c>
      <c r="E4387" t="s">
        <v>39</v>
      </c>
      <c r="F4387" t="s">
        <v>315</v>
      </c>
      <c r="G4387" t="s">
        <v>46</v>
      </c>
      <c r="H4387" s="1">
        <v>42917</v>
      </c>
      <c r="I4387" s="1">
        <v>42924</v>
      </c>
      <c r="J4387">
        <v>0</v>
      </c>
    </row>
    <row r="4388" spans="1:10" x14ac:dyDescent="0.3">
      <c r="A4388" t="s">
        <v>4519</v>
      </c>
      <c r="B4388" t="s">
        <v>32</v>
      </c>
      <c r="C4388" t="str">
        <f>_xlfn.XLOOKUP(B4388,
[1]sales_teams!$A$2:$A$100,
[1]sales_teams!$B$2:$B$100)</f>
        <v>Celia Rouche</v>
      </c>
      <c r="D4388" t="str">
        <f>_xlfn.XLOOKUP($B4388,sales_teams!$A$2:$A$36,sales_teams!C$2:C$36)</f>
        <v>West</v>
      </c>
      <c r="E4388" t="s">
        <v>20</v>
      </c>
      <c r="F4388" t="s">
        <v>30</v>
      </c>
      <c r="G4388" t="s">
        <v>12</v>
      </c>
      <c r="H4388" s="1">
        <v>42917</v>
      </c>
      <c r="I4388" s="1">
        <v>42928</v>
      </c>
      <c r="J4388">
        <v>592</v>
      </c>
    </row>
    <row r="4389" spans="1:10" x14ac:dyDescent="0.3">
      <c r="A4389" t="s">
        <v>4520</v>
      </c>
      <c r="B4389" t="s">
        <v>32</v>
      </c>
      <c r="C4389" t="str">
        <f>_xlfn.XLOOKUP(B4389,
[1]sales_teams!$A$2:$A$100,
[1]sales_teams!$B$2:$B$100)</f>
        <v>Celia Rouche</v>
      </c>
      <c r="D4389" t="str">
        <f>_xlfn.XLOOKUP($B4389,sales_teams!$A$2:$A$36,sales_teams!C$2:C$36)</f>
        <v>West</v>
      </c>
      <c r="E4389" t="s">
        <v>15</v>
      </c>
      <c r="F4389" t="s">
        <v>224</v>
      </c>
      <c r="G4389" t="s">
        <v>12</v>
      </c>
      <c r="H4389" s="1">
        <v>42917</v>
      </c>
      <c r="I4389" s="1">
        <v>42925</v>
      </c>
      <c r="J4389">
        <v>4859</v>
      </c>
    </row>
    <row r="4390" spans="1:10" x14ac:dyDescent="0.3">
      <c r="A4390" t="s">
        <v>4521</v>
      </c>
      <c r="B4390" t="s">
        <v>32</v>
      </c>
      <c r="C4390" t="str">
        <f>_xlfn.XLOOKUP(B4390,
[1]sales_teams!$A$2:$A$100,
[1]sales_teams!$B$2:$B$100)</f>
        <v>Celia Rouche</v>
      </c>
      <c r="D4390" t="str">
        <f>_xlfn.XLOOKUP($B4390,sales_teams!$A$2:$A$36,sales_teams!C$2:C$36)</f>
        <v>West</v>
      </c>
      <c r="E4390" t="s">
        <v>18</v>
      </c>
      <c r="F4390" t="s">
        <v>100</v>
      </c>
      <c r="G4390" t="s">
        <v>12</v>
      </c>
      <c r="H4390" s="1">
        <v>42917</v>
      </c>
      <c r="I4390" s="1">
        <v>42918</v>
      </c>
      <c r="J4390">
        <v>50</v>
      </c>
    </row>
    <row r="4391" spans="1:10" x14ac:dyDescent="0.3">
      <c r="A4391" t="s">
        <v>4522</v>
      </c>
      <c r="B4391" t="s">
        <v>32</v>
      </c>
      <c r="C4391" t="str">
        <f>_xlfn.XLOOKUP(B4391,
[1]sales_teams!$A$2:$A$100,
[1]sales_teams!$B$2:$B$100)</f>
        <v>Celia Rouche</v>
      </c>
      <c r="D4391" t="str">
        <f>_xlfn.XLOOKUP($B4391,sales_teams!$A$2:$A$36,sales_teams!C$2:C$36)</f>
        <v>West</v>
      </c>
      <c r="E4391" t="s">
        <v>39</v>
      </c>
      <c r="F4391" t="s">
        <v>199</v>
      </c>
      <c r="G4391" t="s">
        <v>12</v>
      </c>
      <c r="H4391" s="1">
        <v>42917</v>
      </c>
      <c r="I4391" s="1">
        <v>43008</v>
      </c>
      <c r="J4391">
        <v>3225</v>
      </c>
    </row>
    <row r="4392" spans="1:10" x14ac:dyDescent="0.3">
      <c r="A4392" t="s">
        <v>4523</v>
      </c>
      <c r="B4392" t="s">
        <v>116</v>
      </c>
      <c r="C4392" t="str">
        <f>_xlfn.XLOOKUP(B4392,
[1]sales_teams!$A$2:$A$100,
[1]sales_teams!$B$2:$B$100)</f>
        <v>Melvin Marxen</v>
      </c>
      <c r="D4392" t="str">
        <f>_xlfn.XLOOKUP($B4392,sales_teams!$A$2:$A$36,sales_teams!C$2:C$36)</f>
        <v>Central</v>
      </c>
      <c r="E4392" t="s">
        <v>48</v>
      </c>
      <c r="F4392" t="s">
        <v>111</v>
      </c>
      <c r="G4392" t="s">
        <v>12</v>
      </c>
      <c r="H4392" s="1">
        <v>42917</v>
      </c>
      <c r="I4392" s="1">
        <v>42925</v>
      </c>
      <c r="J4392">
        <v>5422</v>
      </c>
    </row>
    <row r="4393" spans="1:10" x14ac:dyDescent="0.3">
      <c r="A4393" t="s">
        <v>4524</v>
      </c>
      <c r="B4393" t="s">
        <v>116</v>
      </c>
      <c r="C4393" t="str">
        <f>_xlfn.XLOOKUP(B4393,
[1]sales_teams!$A$2:$A$100,
[1]sales_teams!$B$2:$B$100)</f>
        <v>Melvin Marxen</v>
      </c>
      <c r="D4393" t="str">
        <f>_xlfn.XLOOKUP($B4393,sales_teams!$A$2:$A$36,sales_teams!C$2:C$36)</f>
        <v>Central</v>
      </c>
      <c r="E4393" t="s">
        <v>39</v>
      </c>
      <c r="F4393" t="s">
        <v>207</v>
      </c>
      <c r="G4393" t="s">
        <v>12</v>
      </c>
      <c r="H4393" s="1">
        <v>42917</v>
      </c>
      <c r="I4393" s="1">
        <v>42927</v>
      </c>
      <c r="J4393">
        <v>3657</v>
      </c>
    </row>
    <row r="4394" spans="1:10" x14ac:dyDescent="0.3">
      <c r="A4394" t="s">
        <v>4525</v>
      </c>
      <c r="B4394" t="s">
        <v>51</v>
      </c>
      <c r="C4394" t="str">
        <f>_xlfn.XLOOKUP(B4394,
[1]sales_teams!$A$2:$A$100,
[1]sales_teams!$B$2:$B$100)</f>
        <v>Summer Sewald</v>
      </c>
      <c r="D4394" t="str">
        <f>_xlfn.XLOOKUP($B4394,sales_teams!$A$2:$A$36,sales_teams!C$2:C$36)</f>
        <v>West</v>
      </c>
      <c r="E4394" t="s">
        <v>10</v>
      </c>
      <c r="F4394" t="s">
        <v>70</v>
      </c>
      <c r="G4394" t="s">
        <v>46</v>
      </c>
      <c r="H4394" s="1">
        <v>42917</v>
      </c>
      <c r="I4394" s="1">
        <v>42923</v>
      </c>
      <c r="J4394">
        <v>0</v>
      </c>
    </row>
    <row r="4395" spans="1:10" x14ac:dyDescent="0.3">
      <c r="A4395" t="s">
        <v>4526</v>
      </c>
      <c r="B4395" t="s">
        <v>51</v>
      </c>
      <c r="C4395" t="str">
        <f>_xlfn.XLOOKUP(B4395,
[1]sales_teams!$A$2:$A$100,
[1]sales_teams!$B$2:$B$100)</f>
        <v>Summer Sewald</v>
      </c>
      <c r="D4395" t="str">
        <f>_xlfn.XLOOKUP($B4395,sales_teams!$A$2:$A$36,sales_teams!C$2:C$36)</f>
        <v>West</v>
      </c>
      <c r="E4395" t="s">
        <v>48</v>
      </c>
      <c r="F4395" t="s">
        <v>148</v>
      </c>
      <c r="G4395" t="s">
        <v>12</v>
      </c>
      <c r="H4395" s="1">
        <v>42917</v>
      </c>
      <c r="I4395" s="1">
        <v>42926</v>
      </c>
      <c r="J4395">
        <v>4974</v>
      </c>
    </row>
    <row r="4396" spans="1:10" x14ac:dyDescent="0.3">
      <c r="A4396" t="s">
        <v>4527</v>
      </c>
      <c r="B4396" t="s">
        <v>51</v>
      </c>
      <c r="C4396" t="str">
        <f>_xlfn.XLOOKUP(B4396,
[1]sales_teams!$A$2:$A$100,
[1]sales_teams!$B$2:$B$100)</f>
        <v>Summer Sewald</v>
      </c>
      <c r="D4396" t="str">
        <f>_xlfn.XLOOKUP($B4396,sales_teams!$A$2:$A$36,sales_teams!C$2:C$36)</f>
        <v>West</v>
      </c>
      <c r="E4396" t="s">
        <v>15</v>
      </c>
      <c r="F4396" t="s">
        <v>184</v>
      </c>
      <c r="G4396" t="s">
        <v>12</v>
      </c>
      <c r="H4396" s="1">
        <v>42917</v>
      </c>
      <c r="I4396" s="1">
        <v>42954</v>
      </c>
      <c r="J4396">
        <v>4689</v>
      </c>
    </row>
    <row r="4397" spans="1:10" x14ac:dyDescent="0.3">
      <c r="A4397" t="s">
        <v>4528</v>
      </c>
      <c r="B4397" t="s">
        <v>35</v>
      </c>
      <c r="C4397" t="str">
        <f>_xlfn.XLOOKUP(B4397,
[1]sales_teams!$A$2:$A$100,
[1]sales_teams!$B$2:$B$100)</f>
        <v>Melvin Marxen</v>
      </c>
      <c r="D4397" t="str">
        <f>_xlfn.XLOOKUP($B4397,sales_teams!$A$2:$A$36,sales_teams!C$2:C$36)</f>
        <v>Central</v>
      </c>
      <c r="E4397" t="s">
        <v>10</v>
      </c>
      <c r="F4397" t="s">
        <v>170</v>
      </c>
      <c r="G4397" t="s">
        <v>46</v>
      </c>
      <c r="H4397" s="1">
        <v>42917</v>
      </c>
      <c r="I4397" s="1">
        <v>42926</v>
      </c>
      <c r="J4397">
        <v>0</v>
      </c>
    </row>
    <row r="4398" spans="1:10" x14ac:dyDescent="0.3">
      <c r="A4398" t="s">
        <v>4529</v>
      </c>
      <c r="B4398" t="s">
        <v>35</v>
      </c>
      <c r="C4398" t="str">
        <f>_xlfn.XLOOKUP(B4398,
[1]sales_teams!$A$2:$A$100,
[1]sales_teams!$B$2:$B$100)</f>
        <v>Melvin Marxen</v>
      </c>
      <c r="D4398" t="str">
        <f>_xlfn.XLOOKUP($B4398,sales_teams!$A$2:$A$36,sales_teams!C$2:C$36)</f>
        <v>Central</v>
      </c>
      <c r="E4398" t="s">
        <v>18</v>
      </c>
      <c r="F4398" t="s">
        <v>76</v>
      </c>
      <c r="G4398" t="s">
        <v>12</v>
      </c>
      <c r="H4398" s="1">
        <v>42917</v>
      </c>
      <c r="I4398" s="1">
        <v>42928</v>
      </c>
      <c r="J4398">
        <v>50</v>
      </c>
    </row>
    <row r="4399" spans="1:10" x14ac:dyDescent="0.3">
      <c r="A4399" t="s">
        <v>4530</v>
      </c>
      <c r="B4399" t="s">
        <v>97</v>
      </c>
      <c r="C4399" t="str">
        <f>_xlfn.XLOOKUP(B4399,
[1]sales_teams!$A$2:$A$100,
[1]sales_teams!$B$2:$B$100)</f>
        <v>Rocco Neubert</v>
      </c>
      <c r="D4399" t="str">
        <f>_xlfn.XLOOKUP($B4399,sales_teams!$A$2:$A$36,sales_teams!C$2:C$36)</f>
        <v>East</v>
      </c>
      <c r="E4399" t="s">
        <v>15</v>
      </c>
      <c r="F4399" t="s">
        <v>106</v>
      </c>
      <c r="G4399" t="s">
        <v>46</v>
      </c>
      <c r="H4399" s="1">
        <v>42917</v>
      </c>
      <c r="I4399" s="1">
        <v>42919</v>
      </c>
      <c r="J4399">
        <v>0</v>
      </c>
    </row>
    <row r="4400" spans="1:10" x14ac:dyDescent="0.3">
      <c r="A4400" t="s">
        <v>4531</v>
      </c>
      <c r="B4400" t="s">
        <v>97</v>
      </c>
      <c r="C4400" t="str">
        <f>_xlfn.XLOOKUP(B4400,
[1]sales_teams!$A$2:$A$100,
[1]sales_teams!$B$2:$B$100)</f>
        <v>Rocco Neubert</v>
      </c>
      <c r="D4400" t="str">
        <f>_xlfn.XLOOKUP($B4400,sales_teams!$A$2:$A$36,sales_teams!C$2:C$36)</f>
        <v>East</v>
      </c>
      <c r="E4400" t="s">
        <v>15</v>
      </c>
      <c r="F4400" t="s">
        <v>155</v>
      </c>
      <c r="G4400" t="s">
        <v>12</v>
      </c>
      <c r="H4400" s="1">
        <v>42917</v>
      </c>
      <c r="I4400" s="1">
        <v>42970</v>
      </c>
      <c r="J4400">
        <v>4611</v>
      </c>
    </row>
    <row r="4401" spans="1:10" x14ac:dyDescent="0.3">
      <c r="A4401" t="s">
        <v>4532</v>
      </c>
      <c r="B4401" t="s">
        <v>88</v>
      </c>
      <c r="C4401" t="str">
        <f>_xlfn.XLOOKUP(B4401,
[1]sales_teams!$A$2:$A$100,
[1]sales_teams!$B$2:$B$100)</f>
        <v>Cara Losch</v>
      </c>
      <c r="D4401" t="str">
        <f>_xlfn.XLOOKUP($B4401,sales_teams!$A$2:$A$36,sales_teams!C$2:C$36)</f>
        <v>East</v>
      </c>
      <c r="E4401" t="s">
        <v>39</v>
      </c>
      <c r="G4401" t="s">
        <v>40</v>
      </c>
      <c r="H4401" s="1">
        <v>42917</v>
      </c>
    </row>
    <row r="4402" spans="1:10" x14ac:dyDescent="0.3">
      <c r="A4402" t="s">
        <v>4533</v>
      </c>
      <c r="B4402" t="s">
        <v>61</v>
      </c>
      <c r="C4402" t="str">
        <f>_xlfn.XLOOKUP(B4402,
[1]sales_teams!$A$2:$A$100,
[1]sales_teams!$B$2:$B$100)</f>
        <v>Dustin Brinkmann</v>
      </c>
      <c r="D4402" t="str">
        <f>_xlfn.XLOOKUP($B4402,sales_teams!$A$2:$A$36,sales_teams!C$2:C$36)</f>
        <v>Central</v>
      </c>
      <c r="E4402" t="s">
        <v>39</v>
      </c>
      <c r="F4402" t="s">
        <v>111</v>
      </c>
      <c r="G4402" t="s">
        <v>46</v>
      </c>
      <c r="H4402" s="1">
        <v>42917</v>
      </c>
      <c r="I4402" s="1">
        <v>42929</v>
      </c>
      <c r="J4402">
        <v>0</v>
      </c>
    </row>
    <row r="4403" spans="1:10" x14ac:dyDescent="0.3">
      <c r="A4403" t="s">
        <v>4534</v>
      </c>
      <c r="B4403" t="s">
        <v>29</v>
      </c>
      <c r="C4403" t="str">
        <f>_xlfn.XLOOKUP(B4403,
[1]sales_teams!$A$2:$A$100,
[1]sales_teams!$B$2:$B$100)</f>
        <v>Celia Rouche</v>
      </c>
      <c r="D4403" t="str">
        <f>_xlfn.XLOOKUP($B4403,sales_teams!$A$2:$A$36,sales_teams!C$2:C$36)</f>
        <v>West</v>
      </c>
      <c r="E4403" t="s">
        <v>20</v>
      </c>
      <c r="G4403" t="s">
        <v>40</v>
      </c>
      <c r="H4403" s="1">
        <v>42917</v>
      </c>
    </row>
    <row r="4404" spans="1:10" x14ac:dyDescent="0.3">
      <c r="A4404" t="s">
        <v>4535</v>
      </c>
      <c r="B4404" t="s">
        <v>29</v>
      </c>
      <c r="C4404" t="str">
        <f>_xlfn.XLOOKUP(B4404,
[1]sales_teams!$A$2:$A$100,
[1]sales_teams!$B$2:$B$100)</f>
        <v>Celia Rouche</v>
      </c>
      <c r="D4404" t="str">
        <f>_xlfn.XLOOKUP($B4404,sales_teams!$A$2:$A$36,sales_teams!C$2:C$36)</f>
        <v>West</v>
      </c>
      <c r="E4404" t="s">
        <v>20</v>
      </c>
      <c r="F4404" t="s">
        <v>155</v>
      </c>
      <c r="G4404" t="s">
        <v>12</v>
      </c>
      <c r="H4404" s="1">
        <v>42917</v>
      </c>
      <c r="I4404" s="1">
        <v>42927</v>
      </c>
      <c r="J4404">
        <v>571</v>
      </c>
    </row>
    <row r="4405" spans="1:10" x14ac:dyDescent="0.3">
      <c r="A4405" t="s">
        <v>4536</v>
      </c>
      <c r="B4405" t="s">
        <v>73</v>
      </c>
      <c r="C4405" t="str">
        <f>_xlfn.XLOOKUP(B4405,
[1]sales_teams!$A$2:$A$100,
[1]sales_teams!$B$2:$B$100)</f>
        <v>Cara Losch</v>
      </c>
      <c r="D4405" t="str">
        <f>_xlfn.XLOOKUP($B4405,sales_teams!$A$2:$A$36,sales_teams!C$2:C$36)</f>
        <v>East</v>
      </c>
      <c r="E4405" t="s">
        <v>18</v>
      </c>
      <c r="F4405" t="s">
        <v>189</v>
      </c>
      <c r="G4405" t="s">
        <v>46</v>
      </c>
      <c r="H4405" s="1">
        <v>42917</v>
      </c>
      <c r="I4405" s="1">
        <v>42919</v>
      </c>
      <c r="J4405">
        <v>0</v>
      </c>
    </row>
    <row r="4406" spans="1:10" x14ac:dyDescent="0.3">
      <c r="A4406" t="s">
        <v>4537</v>
      </c>
      <c r="B4406" t="s">
        <v>102</v>
      </c>
      <c r="C4406" t="str">
        <f>_xlfn.XLOOKUP(B4406,
[1]sales_teams!$A$2:$A$100,
[1]sales_teams!$B$2:$B$100)</f>
        <v>Cara Losch</v>
      </c>
      <c r="D4406" t="str">
        <f>_xlfn.XLOOKUP($B4406,sales_teams!$A$2:$A$36,sales_teams!C$2:C$36)</f>
        <v>East</v>
      </c>
      <c r="E4406" t="s">
        <v>48</v>
      </c>
      <c r="F4406" t="s">
        <v>204</v>
      </c>
      <c r="G4406" t="s">
        <v>46</v>
      </c>
      <c r="H4406" s="1">
        <v>42917</v>
      </c>
      <c r="I4406" s="1">
        <v>42953</v>
      </c>
      <c r="J4406">
        <v>0</v>
      </c>
    </row>
    <row r="4407" spans="1:10" x14ac:dyDescent="0.3">
      <c r="A4407" t="s">
        <v>4538</v>
      </c>
      <c r="B4407" t="s">
        <v>26</v>
      </c>
      <c r="C4407" t="str">
        <f>_xlfn.XLOOKUP(B4407,
[1]sales_teams!$A$2:$A$100,
[1]sales_teams!$B$2:$B$100)</f>
        <v>Dustin Brinkmann</v>
      </c>
      <c r="D4407" t="str">
        <f>_xlfn.XLOOKUP($B4407,sales_teams!$A$2:$A$36,sales_teams!C$2:C$36)</f>
        <v>Central</v>
      </c>
      <c r="E4407" t="s">
        <v>10</v>
      </c>
      <c r="F4407" t="s">
        <v>42</v>
      </c>
      <c r="G4407" t="s">
        <v>46</v>
      </c>
      <c r="H4407" s="1">
        <v>42918</v>
      </c>
      <c r="I4407" s="1">
        <v>42926</v>
      </c>
      <c r="J4407">
        <v>0</v>
      </c>
    </row>
    <row r="4408" spans="1:10" x14ac:dyDescent="0.3">
      <c r="A4408" t="s">
        <v>4539</v>
      </c>
      <c r="B4408" t="s">
        <v>26</v>
      </c>
      <c r="C4408" t="str">
        <f>_xlfn.XLOOKUP(B4408,
[1]sales_teams!$A$2:$A$100,
[1]sales_teams!$B$2:$B$100)</f>
        <v>Dustin Brinkmann</v>
      </c>
      <c r="D4408" t="str">
        <f>_xlfn.XLOOKUP($B4408,sales_teams!$A$2:$A$36,sales_teams!C$2:C$36)</f>
        <v>Central</v>
      </c>
      <c r="E4408" t="s">
        <v>39</v>
      </c>
      <c r="F4408" t="s">
        <v>111</v>
      </c>
      <c r="G4408" t="s">
        <v>46</v>
      </c>
      <c r="H4408" s="1">
        <v>42918</v>
      </c>
      <c r="I4408" s="1">
        <v>42929</v>
      </c>
      <c r="J4408">
        <v>0</v>
      </c>
    </row>
    <row r="4409" spans="1:10" x14ac:dyDescent="0.3">
      <c r="A4409" t="s">
        <v>4540</v>
      </c>
      <c r="B4409" t="s">
        <v>26</v>
      </c>
      <c r="C4409" t="str">
        <f>_xlfn.XLOOKUP(B4409,
[1]sales_teams!$A$2:$A$100,
[1]sales_teams!$B$2:$B$100)</f>
        <v>Dustin Brinkmann</v>
      </c>
      <c r="D4409" t="str">
        <f>_xlfn.XLOOKUP($B4409,sales_teams!$A$2:$A$36,sales_teams!C$2:C$36)</f>
        <v>Central</v>
      </c>
      <c r="E4409" t="s">
        <v>10</v>
      </c>
      <c r="F4409" t="s">
        <v>187</v>
      </c>
      <c r="G4409" t="s">
        <v>12</v>
      </c>
      <c r="H4409" s="1">
        <v>42918</v>
      </c>
      <c r="I4409" s="1">
        <v>42925</v>
      </c>
      <c r="J4409">
        <v>1180</v>
      </c>
    </row>
    <row r="4410" spans="1:10" x14ac:dyDescent="0.3">
      <c r="A4410" t="s">
        <v>4541</v>
      </c>
      <c r="B4410" t="s">
        <v>139</v>
      </c>
      <c r="C4410" t="str">
        <f>_xlfn.XLOOKUP(B4410,
[1]sales_teams!$A$2:$A$100,
[1]sales_teams!$B$2:$B$100)</f>
        <v>Rocco Neubert</v>
      </c>
      <c r="D4410" t="str">
        <f>_xlfn.XLOOKUP($B4410,sales_teams!$A$2:$A$36,sales_teams!C$2:C$36)</f>
        <v>East</v>
      </c>
      <c r="E4410" t="s">
        <v>15</v>
      </c>
      <c r="G4410" t="s">
        <v>40</v>
      </c>
      <c r="H4410" s="1">
        <v>42918</v>
      </c>
    </row>
    <row r="4411" spans="1:10" x14ac:dyDescent="0.3">
      <c r="A4411" t="s">
        <v>4542</v>
      </c>
      <c r="B4411" t="s">
        <v>139</v>
      </c>
      <c r="C4411" t="str">
        <f>_xlfn.XLOOKUP(B4411,
[1]sales_teams!$A$2:$A$100,
[1]sales_teams!$B$2:$B$100)</f>
        <v>Rocco Neubert</v>
      </c>
      <c r="D4411" t="str">
        <f>_xlfn.XLOOKUP($B4411,sales_teams!$A$2:$A$36,sales_teams!C$2:C$36)</f>
        <v>East</v>
      </c>
      <c r="E4411" t="s">
        <v>48</v>
      </c>
      <c r="F4411" t="s">
        <v>74</v>
      </c>
      <c r="G4411" t="s">
        <v>46</v>
      </c>
      <c r="H4411" s="1">
        <v>42918</v>
      </c>
      <c r="I4411" s="1">
        <v>42995</v>
      </c>
      <c r="J4411">
        <v>0</v>
      </c>
    </row>
    <row r="4412" spans="1:10" x14ac:dyDescent="0.3">
      <c r="A4412" t="s">
        <v>4543</v>
      </c>
      <c r="B4412" t="s">
        <v>118</v>
      </c>
      <c r="C4412" t="str">
        <f>_xlfn.XLOOKUP(B4412,
[1]sales_teams!$A$2:$A$100,
[1]sales_teams!$B$2:$B$100)</f>
        <v>Rocco Neubert</v>
      </c>
      <c r="D4412" t="str">
        <f>_xlfn.XLOOKUP($B4412,sales_teams!$A$2:$A$36,sales_teams!C$2:C$36)</f>
        <v>East</v>
      </c>
      <c r="E4412" t="s">
        <v>20</v>
      </c>
      <c r="F4412" t="s">
        <v>165</v>
      </c>
      <c r="G4412" t="s">
        <v>46</v>
      </c>
      <c r="H4412" s="1">
        <v>42918</v>
      </c>
      <c r="I4412" s="1">
        <v>42919</v>
      </c>
      <c r="J4412">
        <v>0</v>
      </c>
    </row>
    <row r="4413" spans="1:10" x14ac:dyDescent="0.3">
      <c r="A4413" t="s">
        <v>4544</v>
      </c>
      <c r="B4413" t="s">
        <v>118</v>
      </c>
      <c r="C4413" t="str">
        <f>_xlfn.XLOOKUP(B4413,
[1]sales_teams!$A$2:$A$100,
[1]sales_teams!$B$2:$B$100)</f>
        <v>Rocco Neubert</v>
      </c>
      <c r="D4413" t="str">
        <f>_xlfn.XLOOKUP($B4413,sales_teams!$A$2:$A$36,sales_teams!C$2:C$36)</f>
        <v>East</v>
      </c>
      <c r="E4413" t="s">
        <v>48</v>
      </c>
      <c r="F4413" t="s">
        <v>300</v>
      </c>
      <c r="G4413" t="s">
        <v>12</v>
      </c>
      <c r="H4413" s="1">
        <v>42918</v>
      </c>
      <c r="I4413" s="1">
        <v>42920</v>
      </c>
      <c r="J4413">
        <v>5274</v>
      </c>
    </row>
    <row r="4414" spans="1:10" x14ac:dyDescent="0.3">
      <c r="A4414" t="s">
        <v>4545</v>
      </c>
      <c r="B4414" t="s">
        <v>202</v>
      </c>
      <c r="C4414" t="str">
        <f>_xlfn.XLOOKUP(B4414,
[1]sales_teams!$A$2:$A$100,
[1]sales_teams!$B$2:$B$100)</f>
        <v>Dustin Brinkmann</v>
      </c>
      <c r="D4414" t="str">
        <f>_xlfn.XLOOKUP($B4414,sales_teams!$A$2:$A$36,sales_teams!C$2:C$36)</f>
        <v>Central</v>
      </c>
      <c r="E4414" t="s">
        <v>20</v>
      </c>
      <c r="F4414" t="s">
        <v>126</v>
      </c>
      <c r="G4414" t="s">
        <v>12</v>
      </c>
      <c r="H4414" s="1">
        <v>42918</v>
      </c>
      <c r="I4414" s="1">
        <v>42920</v>
      </c>
      <c r="J4414">
        <v>480</v>
      </c>
    </row>
    <row r="4415" spans="1:10" x14ac:dyDescent="0.3">
      <c r="A4415" t="s">
        <v>4546</v>
      </c>
      <c r="B4415" t="s">
        <v>164</v>
      </c>
      <c r="C4415" t="str">
        <f>_xlfn.XLOOKUP(B4415,
[1]sales_teams!$A$2:$A$100,
[1]sales_teams!$B$2:$B$100)</f>
        <v>Cara Losch</v>
      </c>
      <c r="D4415" t="str">
        <f>_xlfn.XLOOKUP($B4415,sales_teams!$A$2:$A$36,sales_teams!C$2:C$36)</f>
        <v>East</v>
      </c>
      <c r="E4415" t="s">
        <v>15</v>
      </c>
      <c r="G4415" t="s">
        <v>40</v>
      </c>
      <c r="H4415" s="1">
        <v>42918</v>
      </c>
    </row>
    <row r="4416" spans="1:10" x14ac:dyDescent="0.3">
      <c r="A4416" t="s">
        <v>4547</v>
      </c>
      <c r="B4416" t="s">
        <v>164</v>
      </c>
      <c r="C4416" t="str">
        <f>_xlfn.XLOOKUP(B4416,
[1]sales_teams!$A$2:$A$100,
[1]sales_teams!$B$2:$B$100)</f>
        <v>Cara Losch</v>
      </c>
      <c r="D4416" t="str">
        <f>_xlfn.XLOOKUP($B4416,sales_teams!$A$2:$A$36,sales_teams!C$2:C$36)</f>
        <v>East</v>
      </c>
      <c r="E4416" t="s">
        <v>15</v>
      </c>
      <c r="F4416" t="s">
        <v>177</v>
      </c>
      <c r="G4416" t="s">
        <v>12</v>
      </c>
      <c r="H4416" s="1">
        <v>42918</v>
      </c>
      <c r="I4416" s="1">
        <v>42924</v>
      </c>
      <c r="J4416">
        <v>4830</v>
      </c>
    </row>
    <row r="4417" spans="1:10" x14ac:dyDescent="0.3">
      <c r="A4417" t="s">
        <v>4548</v>
      </c>
      <c r="B4417" t="s">
        <v>64</v>
      </c>
      <c r="C4417" t="str">
        <f>_xlfn.XLOOKUP(B4417,
[1]sales_teams!$A$2:$A$100,
[1]sales_teams!$B$2:$B$100)</f>
        <v>Rocco Neubert</v>
      </c>
      <c r="D4417" t="str">
        <f>_xlfn.XLOOKUP($B4417,sales_teams!$A$2:$A$36,sales_teams!C$2:C$36)</f>
        <v>East</v>
      </c>
      <c r="E4417" t="s">
        <v>10</v>
      </c>
      <c r="F4417" t="s">
        <v>218</v>
      </c>
      <c r="G4417" t="s">
        <v>40</v>
      </c>
      <c r="H4417" s="1">
        <v>42918</v>
      </c>
    </row>
    <row r="4418" spans="1:10" x14ac:dyDescent="0.3">
      <c r="A4418" t="s">
        <v>4549</v>
      </c>
      <c r="B4418" t="s">
        <v>64</v>
      </c>
      <c r="C4418" t="str">
        <f>_xlfn.XLOOKUP(B4418,
[1]sales_teams!$A$2:$A$100,
[1]sales_teams!$B$2:$B$100)</f>
        <v>Rocco Neubert</v>
      </c>
      <c r="D4418" t="str">
        <f>_xlfn.XLOOKUP($B4418,sales_teams!$A$2:$A$36,sales_teams!C$2:C$36)</f>
        <v>East</v>
      </c>
      <c r="E4418" t="s">
        <v>48</v>
      </c>
      <c r="F4418" t="s">
        <v>745</v>
      </c>
      <c r="G4418" t="s">
        <v>46</v>
      </c>
      <c r="H4418" s="1">
        <v>42918</v>
      </c>
      <c r="I4418" s="1">
        <v>42919</v>
      </c>
      <c r="J4418">
        <v>0</v>
      </c>
    </row>
    <row r="4419" spans="1:10" x14ac:dyDescent="0.3">
      <c r="A4419" t="s">
        <v>4550</v>
      </c>
      <c r="B4419" t="s">
        <v>14</v>
      </c>
      <c r="C4419" t="str">
        <f>_xlfn.XLOOKUP(B4419,
[1]sales_teams!$A$2:$A$100,
[1]sales_teams!$B$2:$B$100)</f>
        <v>Melvin Marxen</v>
      </c>
      <c r="D4419" t="str">
        <f>_xlfn.XLOOKUP($B4419,sales_teams!$A$2:$A$36,sales_teams!C$2:C$36)</f>
        <v>Central</v>
      </c>
      <c r="E4419" t="s">
        <v>48</v>
      </c>
      <c r="F4419" t="s">
        <v>129</v>
      </c>
      <c r="G4419" t="s">
        <v>12</v>
      </c>
      <c r="H4419" s="1">
        <v>42918</v>
      </c>
      <c r="I4419" s="1">
        <v>42920</v>
      </c>
      <c r="J4419">
        <v>5333</v>
      </c>
    </row>
    <row r="4420" spans="1:10" x14ac:dyDescent="0.3">
      <c r="A4420" t="s">
        <v>4551</v>
      </c>
      <c r="B4420" t="s">
        <v>67</v>
      </c>
      <c r="C4420" t="str">
        <f>_xlfn.XLOOKUP(B4420,
[1]sales_teams!$A$2:$A$100,
[1]sales_teams!$B$2:$B$100)</f>
        <v>Celia Rouche</v>
      </c>
      <c r="D4420" t="str">
        <f>_xlfn.XLOOKUP($B4420,sales_teams!$A$2:$A$36,sales_teams!C$2:C$36)</f>
        <v>West</v>
      </c>
      <c r="E4420" t="s">
        <v>18</v>
      </c>
      <c r="G4420" t="s">
        <v>40</v>
      </c>
      <c r="H4420" s="1">
        <v>42918</v>
      </c>
    </row>
    <row r="4421" spans="1:10" x14ac:dyDescent="0.3">
      <c r="A4421" t="s">
        <v>4552</v>
      </c>
      <c r="B4421" t="s">
        <v>67</v>
      </c>
      <c r="C4421" t="str">
        <f>_xlfn.XLOOKUP(B4421,
[1]sales_teams!$A$2:$A$100,
[1]sales_teams!$B$2:$B$100)</f>
        <v>Celia Rouche</v>
      </c>
      <c r="D4421" t="str">
        <f>_xlfn.XLOOKUP($B4421,sales_teams!$A$2:$A$36,sales_teams!C$2:C$36)</f>
        <v>West</v>
      </c>
      <c r="E4421" t="s">
        <v>39</v>
      </c>
      <c r="F4421" t="s">
        <v>218</v>
      </c>
      <c r="G4421" t="s">
        <v>46</v>
      </c>
      <c r="H4421" s="1">
        <v>42918</v>
      </c>
      <c r="I4421" s="1">
        <v>42927</v>
      </c>
      <c r="J4421">
        <v>0</v>
      </c>
    </row>
    <row r="4422" spans="1:10" x14ac:dyDescent="0.3">
      <c r="A4422" t="s">
        <v>4553</v>
      </c>
      <c r="B4422" t="s">
        <v>44</v>
      </c>
      <c r="C4422" t="str">
        <f>_xlfn.XLOOKUP(B4422,
[1]sales_teams!$A$2:$A$100,
[1]sales_teams!$B$2:$B$100)</f>
        <v>Melvin Marxen</v>
      </c>
      <c r="D4422" t="str">
        <f>_xlfn.XLOOKUP($B4422,sales_teams!$A$2:$A$36,sales_teams!C$2:C$36)</f>
        <v>Central</v>
      </c>
      <c r="E4422" t="s">
        <v>48</v>
      </c>
      <c r="F4422" t="s">
        <v>111</v>
      </c>
      <c r="G4422" t="s">
        <v>46</v>
      </c>
      <c r="H4422" s="1">
        <v>42918</v>
      </c>
      <c r="I4422" s="1">
        <v>42971</v>
      </c>
      <c r="J4422">
        <v>0</v>
      </c>
    </row>
    <row r="4423" spans="1:10" x14ac:dyDescent="0.3">
      <c r="A4423" t="s">
        <v>4554</v>
      </c>
      <c r="B4423" t="s">
        <v>44</v>
      </c>
      <c r="C4423" t="str">
        <f>_xlfn.XLOOKUP(B4423,
[1]sales_teams!$A$2:$A$100,
[1]sales_teams!$B$2:$B$100)</f>
        <v>Melvin Marxen</v>
      </c>
      <c r="D4423" t="str">
        <f>_xlfn.XLOOKUP($B4423,sales_teams!$A$2:$A$36,sales_teams!C$2:C$36)</f>
        <v>Central</v>
      </c>
      <c r="E4423" t="s">
        <v>39</v>
      </c>
      <c r="F4423" t="s">
        <v>21</v>
      </c>
      <c r="G4423" t="s">
        <v>46</v>
      </c>
      <c r="H4423" s="1">
        <v>42918</v>
      </c>
      <c r="I4423" s="1">
        <v>42919</v>
      </c>
      <c r="J4423">
        <v>0</v>
      </c>
    </row>
    <row r="4424" spans="1:10" x14ac:dyDescent="0.3">
      <c r="A4424" t="s">
        <v>4555</v>
      </c>
      <c r="B4424" t="s">
        <v>38</v>
      </c>
      <c r="C4424" t="str">
        <f>_xlfn.XLOOKUP(B4424,
[1]sales_teams!$A$2:$A$100,
[1]sales_teams!$B$2:$B$100)</f>
        <v>Summer Sewald</v>
      </c>
      <c r="D4424" t="str">
        <f>_xlfn.XLOOKUP($B4424,sales_teams!$A$2:$A$36,sales_teams!C$2:C$36)</f>
        <v>West</v>
      </c>
      <c r="E4424" t="s">
        <v>48</v>
      </c>
      <c r="F4424" t="s">
        <v>24</v>
      </c>
      <c r="G4424" t="s">
        <v>12</v>
      </c>
      <c r="H4424" s="1">
        <v>42918</v>
      </c>
      <c r="I4424" s="1">
        <v>42994</v>
      </c>
      <c r="J4424">
        <v>6192</v>
      </c>
    </row>
    <row r="4425" spans="1:10" x14ac:dyDescent="0.3">
      <c r="A4425" t="s">
        <v>4556</v>
      </c>
      <c r="B4425" t="s">
        <v>78</v>
      </c>
      <c r="C4425" t="str">
        <f>_xlfn.XLOOKUP(B4425,
[1]sales_teams!$A$2:$A$100,
[1]sales_teams!$B$2:$B$100)</f>
        <v>Summer Sewald</v>
      </c>
      <c r="D4425" t="str">
        <f>_xlfn.XLOOKUP($B4425,sales_teams!$A$2:$A$36,sales_teams!C$2:C$36)</f>
        <v>West</v>
      </c>
      <c r="E4425" t="s">
        <v>15</v>
      </c>
      <c r="G4425" t="s">
        <v>40</v>
      </c>
      <c r="H4425" s="1">
        <v>42918</v>
      </c>
    </row>
    <row r="4426" spans="1:10" x14ac:dyDescent="0.3">
      <c r="A4426" t="s">
        <v>4557</v>
      </c>
      <c r="B4426" t="s">
        <v>78</v>
      </c>
      <c r="C4426" t="str">
        <f>_xlfn.XLOOKUP(B4426,
[1]sales_teams!$A$2:$A$100,
[1]sales_teams!$B$2:$B$100)</f>
        <v>Summer Sewald</v>
      </c>
      <c r="D4426" t="str">
        <f>_xlfn.XLOOKUP($B4426,sales_teams!$A$2:$A$36,sales_teams!C$2:C$36)</f>
        <v>West</v>
      </c>
      <c r="E4426" t="s">
        <v>20</v>
      </c>
      <c r="F4426" t="s">
        <v>68</v>
      </c>
      <c r="G4426" t="s">
        <v>46</v>
      </c>
      <c r="H4426" s="1">
        <v>42918</v>
      </c>
      <c r="I4426" s="1">
        <v>42963</v>
      </c>
      <c r="J4426">
        <v>0</v>
      </c>
    </row>
    <row r="4427" spans="1:10" x14ac:dyDescent="0.3">
      <c r="A4427" t="s">
        <v>4558</v>
      </c>
      <c r="B4427" t="s">
        <v>78</v>
      </c>
      <c r="C4427" t="str">
        <f>_xlfn.XLOOKUP(B4427,
[1]sales_teams!$A$2:$A$100,
[1]sales_teams!$B$2:$B$100)</f>
        <v>Summer Sewald</v>
      </c>
      <c r="D4427" t="str">
        <f>_xlfn.XLOOKUP($B4427,sales_teams!$A$2:$A$36,sales_teams!C$2:C$36)</f>
        <v>West</v>
      </c>
      <c r="E4427" t="s">
        <v>20</v>
      </c>
      <c r="F4427" t="s">
        <v>124</v>
      </c>
      <c r="G4427" t="s">
        <v>12</v>
      </c>
      <c r="H4427" s="1">
        <v>42918</v>
      </c>
      <c r="I4427" s="1">
        <v>42958</v>
      </c>
      <c r="J4427">
        <v>490</v>
      </c>
    </row>
    <row r="4428" spans="1:10" x14ac:dyDescent="0.3">
      <c r="A4428" t="s">
        <v>4559</v>
      </c>
      <c r="B4428" t="s">
        <v>95</v>
      </c>
      <c r="C4428" t="str">
        <f>_xlfn.XLOOKUP(B4428,
[1]sales_teams!$A$2:$A$100,
[1]sales_teams!$B$2:$B$100)</f>
        <v>Summer Sewald</v>
      </c>
      <c r="D4428" t="str">
        <f>_xlfn.XLOOKUP($B4428,sales_teams!$A$2:$A$36,sales_teams!C$2:C$36)</f>
        <v>West</v>
      </c>
      <c r="E4428" t="s">
        <v>10</v>
      </c>
      <c r="F4428" t="s">
        <v>204</v>
      </c>
      <c r="G4428" t="s">
        <v>40</v>
      </c>
      <c r="H4428" s="1">
        <v>42918</v>
      </c>
    </row>
    <row r="4429" spans="1:10" x14ac:dyDescent="0.3">
      <c r="A4429" t="s">
        <v>4560</v>
      </c>
      <c r="B4429" t="s">
        <v>133</v>
      </c>
      <c r="C4429" t="str">
        <f>_xlfn.XLOOKUP(B4429,
[1]sales_teams!$A$2:$A$100,
[1]sales_teams!$B$2:$B$100)</f>
        <v>Dustin Brinkmann</v>
      </c>
      <c r="D4429" t="str">
        <f>_xlfn.XLOOKUP($B4429,sales_teams!$A$2:$A$36,sales_teams!C$2:C$36)</f>
        <v>Central</v>
      </c>
      <c r="E4429" t="s">
        <v>20</v>
      </c>
      <c r="F4429" t="s">
        <v>27</v>
      </c>
      <c r="G4429" t="s">
        <v>46</v>
      </c>
      <c r="H4429" s="1">
        <v>42918</v>
      </c>
      <c r="I4429" s="1">
        <v>42920</v>
      </c>
      <c r="J4429">
        <v>0</v>
      </c>
    </row>
    <row r="4430" spans="1:10" x14ac:dyDescent="0.3">
      <c r="A4430" t="s">
        <v>4561</v>
      </c>
      <c r="B4430" t="s">
        <v>32</v>
      </c>
      <c r="C4430" t="str">
        <f>_xlfn.XLOOKUP(B4430,
[1]sales_teams!$A$2:$A$100,
[1]sales_teams!$B$2:$B$100)</f>
        <v>Celia Rouche</v>
      </c>
      <c r="D4430" t="str">
        <f>_xlfn.XLOOKUP($B4430,sales_teams!$A$2:$A$36,sales_teams!C$2:C$36)</f>
        <v>West</v>
      </c>
      <c r="E4430" t="s">
        <v>20</v>
      </c>
      <c r="F4430" t="s">
        <v>199</v>
      </c>
      <c r="G4430" t="s">
        <v>46</v>
      </c>
      <c r="H4430" s="1">
        <v>42918</v>
      </c>
      <c r="I4430" s="1">
        <v>42925</v>
      </c>
      <c r="J4430">
        <v>0</v>
      </c>
    </row>
    <row r="4431" spans="1:10" x14ac:dyDescent="0.3">
      <c r="A4431" t="s">
        <v>4562</v>
      </c>
      <c r="B4431" t="s">
        <v>35</v>
      </c>
      <c r="C4431" t="str">
        <f>_xlfn.XLOOKUP(B4431,
[1]sales_teams!$A$2:$A$100,
[1]sales_teams!$B$2:$B$100)</f>
        <v>Melvin Marxen</v>
      </c>
      <c r="D4431" t="str">
        <f>_xlfn.XLOOKUP($B4431,sales_teams!$A$2:$A$36,sales_teams!C$2:C$36)</f>
        <v>Central</v>
      </c>
      <c r="E4431" t="s">
        <v>10</v>
      </c>
      <c r="F4431" t="s">
        <v>135</v>
      </c>
      <c r="G4431" t="s">
        <v>12</v>
      </c>
      <c r="H4431" s="1">
        <v>42918</v>
      </c>
      <c r="I4431" s="1">
        <v>43001</v>
      </c>
      <c r="J4431">
        <v>1157</v>
      </c>
    </row>
    <row r="4432" spans="1:10" x14ac:dyDescent="0.3">
      <c r="A4432" t="s">
        <v>4563</v>
      </c>
      <c r="B4432" t="s">
        <v>29</v>
      </c>
      <c r="C4432" t="str">
        <f>_xlfn.XLOOKUP(B4432,
[1]sales_teams!$A$2:$A$100,
[1]sales_teams!$B$2:$B$100)</f>
        <v>Celia Rouche</v>
      </c>
      <c r="D4432" t="str">
        <f>_xlfn.XLOOKUP($B4432,sales_teams!$A$2:$A$36,sales_teams!C$2:C$36)</f>
        <v>West</v>
      </c>
      <c r="E4432" t="s">
        <v>39</v>
      </c>
      <c r="F4432" t="s">
        <v>70</v>
      </c>
      <c r="G4432" t="s">
        <v>46</v>
      </c>
      <c r="H4432" s="1">
        <v>42918</v>
      </c>
      <c r="I4432" s="1">
        <v>42978</v>
      </c>
      <c r="J4432">
        <v>0</v>
      </c>
    </row>
    <row r="4433" spans="1:10" x14ac:dyDescent="0.3">
      <c r="A4433" t="s">
        <v>4564</v>
      </c>
      <c r="B4433" t="s">
        <v>29</v>
      </c>
      <c r="C4433" t="str">
        <f>_xlfn.XLOOKUP(B4433,
[1]sales_teams!$A$2:$A$100,
[1]sales_teams!$B$2:$B$100)</f>
        <v>Celia Rouche</v>
      </c>
      <c r="D4433" t="str">
        <f>_xlfn.XLOOKUP($B4433,sales_teams!$A$2:$A$36,sales_teams!C$2:C$36)</f>
        <v>West</v>
      </c>
      <c r="E4433" t="s">
        <v>39</v>
      </c>
      <c r="F4433" t="s">
        <v>184</v>
      </c>
      <c r="G4433" t="s">
        <v>46</v>
      </c>
      <c r="H4433" s="1">
        <v>42918</v>
      </c>
      <c r="I4433" s="1">
        <v>42919</v>
      </c>
      <c r="J4433">
        <v>0</v>
      </c>
    </row>
    <row r="4434" spans="1:10" x14ac:dyDescent="0.3">
      <c r="A4434" t="s">
        <v>4565</v>
      </c>
      <c r="B4434" t="s">
        <v>73</v>
      </c>
      <c r="C4434" t="str">
        <f>_xlfn.XLOOKUP(B4434,
[1]sales_teams!$A$2:$A$100,
[1]sales_teams!$B$2:$B$100)</f>
        <v>Cara Losch</v>
      </c>
      <c r="D4434" t="str">
        <f>_xlfn.XLOOKUP($B4434,sales_teams!$A$2:$A$36,sales_teams!C$2:C$36)</f>
        <v>East</v>
      </c>
      <c r="E4434" t="s">
        <v>18</v>
      </c>
      <c r="F4434" t="s">
        <v>278</v>
      </c>
      <c r="G4434" t="s">
        <v>12</v>
      </c>
      <c r="H4434" s="1">
        <v>42918</v>
      </c>
      <c r="I4434" s="1">
        <v>42929</v>
      </c>
      <c r="J4434">
        <v>55</v>
      </c>
    </row>
    <row r="4435" spans="1:10" x14ac:dyDescent="0.3">
      <c r="A4435" t="s">
        <v>4566</v>
      </c>
      <c r="B4435" t="s">
        <v>23</v>
      </c>
      <c r="C4435" t="str">
        <f>_xlfn.XLOOKUP(B4435,
[1]sales_teams!$A$2:$A$100,
[1]sales_teams!$B$2:$B$100)</f>
        <v>Summer Sewald</v>
      </c>
      <c r="D4435" t="str">
        <f>_xlfn.XLOOKUP($B4435,sales_teams!$A$2:$A$36,sales_teams!C$2:C$36)</f>
        <v>West</v>
      </c>
      <c r="E4435" t="s">
        <v>39</v>
      </c>
      <c r="F4435" t="s">
        <v>49</v>
      </c>
      <c r="G4435" t="s">
        <v>46</v>
      </c>
      <c r="H4435" s="1">
        <v>42918</v>
      </c>
      <c r="I4435" s="1">
        <v>42922</v>
      </c>
      <c r="J4435">
        <v>0</v>
      </c>
    </row>
    <row r="4436" spans="1:10" x14ac:dyDescent="0.3">
      <c r="A4436" t="s">
        <v>4567</v>
      </c>
      <c r="B4436" t="s">
        <v>23</v>
      </c>
      <c r="C4436" t="str">
        <f>_xlfn.XLOOKUP(B4436,
[1]sales_teams!$A$2:$A$100,
[1]sales_teams!$B$2:$B$100)</f>
        <v>Summer Sewald</v>
      </c>
      <c r="D4436" t="str">
        <f>_xlfn.XLOOKUP($B4436,sales_teams!$A$2:$A$36,sales_teams!C$2:C$36)</f>
        <v>West</v>
      </c>
      <c r="E4436" t="s">
        <v>15</v>
      </c>
      <c r="F4436" t="s">
        <v>224</v>
      </c>
      <c r="G4436" t="s">
        <v>12</v>
      </c>
      <c r="H4436" s="1">
        <v>42918</v>
      </c>
      <c r="I4436" s="1">
        <v>42973</v>
      </c>
      <c r="J4436">
        <v>4655</v>
      </c>
    </row>
    <row r="4437" spans="1:10" x14ac:dyDescent="0.3">
      <c r="A4437" t="s">
        <v>4568</v>
      </c>
      <c r="B4437" t="s">
        <v>139</v>
      </c>
      <c r="C4437" t="str">
        <f>_xlfn.XLOOKUP(B4437,
[1]sales_teams!$A$2:$A$100,
[1]sales_teams!$B$2:$B$100)</f>
        <v>Rocco Neubert</v>
      </c>
      <c r="D4437" t="str">
        <f>_xlfn.XLOOKUP($B4437,sales_teams!$A$2:$A$36,sales_teams!C$2:C$36)</f>
        <v>East</v>
      </c>
      <c r="E4437" t="s">
        <v>15</v>
      </c>
      <c r="F4437" t="s">
        <v>222</v>
      </c>
      <c r="G4437" t="s">
        <v>12</v>
      </c>
      <c r="H4437" s="1">
        <v>42919</v>
      </c>
      <c r="I4437" s="1">
        <v>42973</v>
      </c>
      <c r="J4437">
        <v>5833</v>
      </c>
    </row>
    <row r="4438" spans="1:10" x14ac:dyDescent="0.3">
      <c r="A4438" t="s">
        <v>4569</v>
      </c>
      <c r="B4438" t="s">
        <v>202</v>
      </c>
      <c r="C4438" t="str">
        <f>_xlfn.XLOOKUP(B4438,
[1]sales_teams!$A$2:$A$100,
[1]sales_teams!$B$2:$B$100)</f>
        <v>Dustin Brinkmann</v>
      </c>
      <c r="D4438" t="str">
        <f>_xlfn.XLOOKUP($B4438,sales_teams!$A$2:$A$36,sales_teams!C$2:C$36)</f>
        <v>Central</v>
      </c>
      <c r="E4438" t="s">
        <v>18</v>
      </c>
      <c r="F4438" t="s">
        <v>218</v>
      </c>
      <c r="G4438" t="s">
        <v>12</v>
      </c>
      <c r="H4438" s="1">
        <v>42919</v>
      </c>
      <c r="I4438" s="1">
        <v>43001</v>
      </c>
      <c r="J4438">
        <v>47</v>
      </c>
    </row>
    <row r="4439" spans="1:10" x14ac:dyDescent="0.3">
      <c r="A4439" t="s">
        <v>4570</v>
      </c>
      <c r="B4439" t="s">
        <v>202</v>
      </c>
      <c r="C4439" t="str">
        <f>_xlfn.XLOOKUP(B4439,
[1]sales_teams!$A$2:$A$100,
[1]sales_teams!$B$2:$B$100)</f>
        <v>Dustin Brinkmann</v>
      </c>
      <c r="D4439" t="str">
        <f>_xlfn.XLOOKUP($B4439,sales_teams!$A$2:$A$36,sales_teams!C$2:C$36)</f>
        <v>Central</v>
      </c>
      <c r="E4439" t="s">
        <v>18</v>
      </c>
      <c r="F4439" t="s">
        <v>76</v>
      </c>
      <c r="G4439" t="s">
        <v>12</v>
      </c>
      <c r="H4439" s="1">
        <v>42919</v>
      </c>
      <c r="I4439" s="1">
        <v>42978</v>
      </c>
      <c r="J4439">
        <v>51</v>
      </c>
    </row>
    <row r="4440" spans="1:10" x14ac:dyDescent="0.3">
      <c r="A4440" t="s">
        <v>4571</v>
      </c>
      <c r="B4440" t="s">
        <v>14</v>
      </c>
      <c r="C4440" t="str">
        <f>_xlfn.XLOOKUP(B4440,
[1]sales_teams!$A$2:$A$100,
[1]sales_teams!$B$2:$B$100)</f>
        <v>Melvin Marxen</v>
      </c>
      <c r="D4440" t="str">
        <f>_xlfn.XLOOKUP($B4440,sales_teams!$A$2:$A$36,sales_teams!C$2:C$36)</f>
        <v>Central</v>
      </c>
      <c r="E4440" t="s">
        <v>15</v>
      </c>
      <c r="F4440" t="s">
        <v>318</v>
      </c>
      <c r="G4440" t="s">
        <v>46</v>
      </c>
      <c r="H4440" s="1">
        <v>42919</v>
      </c>
      <c r="I4440" s="1">
        <v>42920</v>
      </c>
      <c r="J4440">
        <v>0</v>
      </c>
    </row>
    <row r="4441" spans="1:10" x14ac:dyDescent="0.3">
      <c r="A4441" t="s">
        <v>4572</v>
      </c>
      <c r="B4441" t="s">
        <v>14</v>
      </c>
      <c r="C4441" t="str">
        <f>_xlfn.XLOOKUP(B4441,
[1]sales_teams!$A$2:$A$100,
[1]sales_teams!$B$2:$B$100)</f>
        <v>Melvin Marxen</v>
      </c>
      <c r="D4441" t="str">
        <f>_xlfn.XLOOKUP($B4441,sales_teams!$A$2:$A$36,sales_teams!C$2:C$36)</f>
        <v>Central</v>
      </c>
      <c r="E4441" t="s">
        <v>39</v>
      </c>
      <c r="F4441" t="s">
        <v>109</v>
      </c>
      <c r="G4441" t="s">
        <v>46</v>
      </c>
      <c r="H4441" s="1">
        <v>42919</v>
      </c>
      <c r="I4441" s="1">
        <v>42928</v>
      </c>
      <c r="J4441">
        <v>0</v>
      </c>
    </row>
    <row r="4442" spans="1:10" x14ac:dyDescent="0.3">
      <c r="A4442" t="s">
        <v>4573</v>
      </c>
      <c r="B4442" t="s">
        <v>142</v>
      </c>
      <c r="C4442" t="str">
        <f>_xlfn.XLOOKUP(B4442,
[1]sales_teams!$A$2:$A$100,
[1]sales_teams!$B$2:$B$100)</f>
        <v>Rocco Neubert</v>
      </c>
      <c r="D4442" t="str">
        <f>_xlfn.XLOOKUP($B4442,sales_teams!$A$2:$A$36,sales_teams!C$2:C$36)</f>
        <v>East</v>
      </c>
      <c r="E4442" t="s">
        <v>20</v>
      </c>
      <c r="F4442" t="s">
        <v>240</v>
      </c>
      <c r="G4442" t="s">
        <v>46</v>
      </c>
      <c r="H4442" s="1">
        <v>42919</v>
      </c>
      <c r="I4442" s="1">
        <v>43003</v>
      </c>
      <c r="J4442">
        <v>0</v>
      </c>
    </row>
    <row r="4443" spans="1:10" x14ac:dyDescent="0.3">
      <c r="A4443" t="s">
        <v>4574</v>
      </c>
      <c r="B4443" t="s">
        <v>142</v>
      </c>
      <c r="C4443" t="str">
        <f>_xlfn.XLOOKUP(B4443,
[1]sales_teams!$A$2:$A$100,
[1]sales_teams!$B$2:$B$100)</f>
        <v>Rocco Neubert</v>
      </c>
      <c r="D4443" t="str">
        <f>_xlfn.XLOOKUP($B4443,sales_teams!$A$2:$A$36,sales_teams!C$2:C$36)</f>
        <v>East</v>
      </c>
      <c r="E4443" t="s">
        <v>48</v>
      </c>
      <c r="F4443" t="s">
        <v>215</v>
      </c>
      <c r="G4443" t="s">
        <v>46</v>
      </c>
      <c r="H4443" s="1">
        <v>42919</v>
      </c>
      <c r="I4443" s="1">
        <v>42988</v>
      </c>
      <c r="J4443">
        <v>0</v>
      </c>
    </row>
    <row r="4444" spans="1:10" x14ac:dyDescent="0.3">
      <c r="A4444" t="s">
        <v>4575</v>
      </c>
      <c r="B4444" t="s">
        <v>142</v>
      </c>
      <c r="C4444" t="str">
        <f>_xlfn.XLOOKUP(B4444,
[1]sales_teams!$A$2:$A$100,
[1]sales_teams!$B$2:$B$100)</f>
        <v>Rocco Neubert</v>
      </c>
      <c r="D4444" t="str">
        <f>_xlfn.XLOOKUP($B4444,sales_teams!$A$2:$A$36,sales_teams!C$2:C$36)</f>
        <v>East</v>
      </c>
      <c r="E4444" t="s">
        <v>20</v>
      </c>
      <c r="F4444" t="s">
        <v>155</v>
      </c>
      <c r="G4444" t="s">
        <v>12</v>
      </c>
      <c r="H4444" s="1">
        <v>42919</v>
      </c>
      <c r="I4444" s="1">
        <v>42928</v>
      </c>
      <c r="J4444">
        <v>540</v>
      </c>
    </row>
    <row r="4445" spans="1:10" x14ac:dyDescent="0.3">
      <c r="A4445" t="s">
        <v>4576</v>
      </c>
      <c r="B4445" t="s">
        <v>142</v>
      </c>
      <c r="C4445" t="str">
        <f>_xlfn.XLOOKUP(B4445,
[1]sales_teams!$A$2:$A$100,
[1]sales_teams!$B$2:$B$100)</f>
        <v>Rocco Neubert</v>
      </c>
      <c r="D4445" t="str">
        <f>_xlfn.XLOOKUP($B4445,sales_teams!$A$2:$A$36,sales_teams!C$2:C$36)</f>
        <v>East</v>
      </c>
      <c r="E4445" t="s">
        <v>48</v>
      </c>
      <c r="F4445" t="s">
        <v>199</v>
      </c>
      <c r="G4445" t="s">
        <v>12</v>
      </c>
      <c r="H4445" s="1">
        <v>42919</v>
      </c>
      <c r="I4445" s="1">
        <v>42920</v>
      </c>
      <c r="J4445">
        <v>4915</v>
      </c>
    </row>
    <row r="4446" spans="1:10" x14ac:dyDescent="0.3">
      <c r="A4446" t="s">
        <v>4577</v>
      </c>
      <c r="B4446" t="s">
        <v>38</v>
      </c>
      <c r="C4446" t="str">
        <f>_xlfn.XLOOKUP(B4446,
[1]sales_teams!$A$2:$A$100,
[1]sales_teams!$B$2:$B$100)</f>
        <v>Summer Sewald</v>
      </c>
      <c r="D4446" t="str">
        <f>_xlfn.XLOOKUP($B4446,sales_teams!$A$2:$A$36,sales_teams!C$2:C$36)</f>
        <v>West</v>
      </c>
      <c r="E4446" t="s">
        <v>48</v>
      </c>
      <c r="F4446" t="s">
        <v>68</v>
      </c>
      <c r="G4446" t="s">
        <v>46</v>
      </c>
      <c r="H4446" s="1">
        <v>42919</v>
      </c>
      <c r="I4446" s="1">
        <v>42920</v>
      </c>
      <c r="J4446">
        <v>0</v>
      </c>
    </row>
    <row r="4447" spans="1:10" x14ac:dyDescent="0.3">
      <c r="A4447" t="s">
        <v>4578</v>
      </c>
      <c r="B4447" t="s">
        <v>38</v>
      </c>
      <c r="C4447" t="str">
        <f>_xlfn.XLOOKUP(B4447,
[1]sales_teams!$A$2:$A$100,
[1]sales_teams!$B$2:$B$100)</f>
        <v>Summer Sewald</v>
      </c>
      <c r="D4447" t="str">
        <f>_xlfn.XLOOKUP($B4447,sales_teams!$A$2:$A$36,sales_teams!C$2:C$36)</f>
        <v>West</v>
      </c>
      <c r="E4447" t="s">
        <v>48</v>
      </c>
      <c r="F4447" t="s">
        <v>273</v>
      </c>
      <c r="G4447" t="s">
        <v>46</v>
      </c>
      <c r="H4447" s="1">
        <v>42919</v>
      </c>
      <c r="I4447" s="1">
        <v>42921</v>
      </c>
      <c r="J4447">
        <v>0</v>
      </c>
    </row>
    <row r="4448" spans="1:10" x14ac:dyDescent="0.3">
      <c r="A4448" t="s">
        <v>4579</v>
      </c>
      <c r="B4448" t="s">
        <v>38</v>
      </c>
      <c r="C4448" t="str">
        <f>_xlfn.XLOOKUP(B4448,
[1]sales_teams!$A$2:$A$100,
[1]sales_teams!$B$2:$B$100)</f>
        <v>Summer Sewald</v>
      </c>
      <c r="D4448" t="str">
        <f>_xlfn.XLOOKUP($B4448,sales_teams!$A$2:$A$36,sales_teams!C$2:C$36)</f>
        <v>West</v>
      </c>
      <c r="E4448" t="s">
        <v>48</v>
      </c>
      <c r="F4448" t="s">
        <v>49</v>
      </c>
      <c r="G4448" t="s">
        <v>46</v>
      </c>
      <c r="H4448" s="1">
        <v>42919</v>
      </c>
      <c r="I4448" s="1">
        <v>42926</v>
      </c>
      <c r="J4448">
        <v>0</v>
      </c>
    </row>
    <row r="4449" spans="1:10" x14ac:dyDescent="0.3">
      <c r="A4449" t="s">
        <v>4580</v>
      </c>
      <c r="B4449" t="s">
        <v>38</v>
      </c>
      <c r="C4449" t="str">
        <f>_xlfn.XLOOKUP(B4449,
[1]sales_teams!$A$2:$A$100,
[1]sales_teams!$B$2:$B$100)</f>
        <v>Summer Sewald</v>
      </c>
      <c r="D4449" t="str">
        <f>_xlfn.XLOOKUP($B4449,sales_teams!$A$2:$A$36,sales_teams!C$2:C$36)</f>
        <v>West</v>
      </c>
      <c r="E4449" t="s">
        <v>48</v>
      </c>
      <c r="F4449" t="s">
        <v>184</v>
      </c>
      <c r="G4449" t="s">
        <v>12</v>
      </c>
      <c r="H4449" s="1">
        <v>42919</v>
      </c>
      <c r="I4449" s="1">
        <v>43005</v>
      </c>
      <c r="J4449">
        <v>6693</v>
      </c>
    </row>
    <row r="4450" spans="1:10" x14ac:dyDescent="0.3">
      <c r="A4450" t="s">
        <v>4581</v>
      </c>
      <c r="B4450" t="s">
        <v>252</v>
      </c>
      <c r="C4450" t="str">
        <f>_xlfn.XLOOKUP(B4450,
[1]sales_teams!$A$2:$A$100,
[1]sales_teams!$B$2:$B$100)</f>
        <v>Melvin Marxen</v>
      </c>
      <c r="D4450" t="str">
        <f>_xlfn.XLOOKUP($B4450,sales_teams!$A$2:$A$36,sales_teams!C$2:C$36)</f>
        <v>Central</v>
      </c>
      <c r="E4450" t="s">
        <v>39</v>
      </c>
      <c r="F4450" t="s">
        <v>315</v>
      </c>
      <c r="G4450" t="s">
        <v>12</v>
      </c>
      <c r="H4450" s="1">
        <v>42919</v>
      </c>
      <c r="I4450" s="1">
        <v>42921</v>
      </c>
      <c r="J4450">
        <v>3101</v>
      </c>
    </row>
    <row r="4451" spans="1:10" x14ac:dyDescent="0.3">
      <c r="A4451" t="s">
        <v>4582</v>
      </c>
      <c r="B4451" t="s">
        <v>78</v>
      </c>
      <c r="C4451" t="str">
        <f>_xlfn.XLOOKUP(B4451,
[1]sales_teams!$A$2:$A$100,
[1]sales_teams!$B$2:$B$100)</f>
        <v>Summer Sewald</v>
      </c>
      <c r="D4451" t="str">
        <f>_xlfn.XLOOKUP($B4451,sales_teams!$A$2:$A$36,sales_teams!C$2:C$36)</f>
        <v>West</v>
      </c>
      <c r="E4451" t="s">
        <v>10</v>
      </c>
      <c r="F4451" t="s">
        <v>159</v>
      </c>
      <c r="G4451" t="s">
        <v>46</v>
      </c>
      <c r="H4451" s="1">
        <v>42919</v>
      </c>
      <c r="I4451" s="1">
        <v>42962</v>
      </c>
      <c r="J4451">
        <v>0</v>
      </c>
    </row>
    <row r="4452" spans="1:10" x14ac:dyDescent="0.3">
      <c r="A4452" t="s">
        <v>4583</v>
      </c>
      <c r="B4452" t="s">
        <v>78</v>
      </c>
      <c r="C4452" t="str">
        <f>_xlfn.XLOOKUP(B4452,
[1]sales_teams!$A$2:$A$100,
[1]sales_teams!$B$2:$B$100)</f>
        <v>Summer Sewald</v>
      </c>
      <c r="D4452" t="str">
        <f>_xlfn.XLOOKUP($B4452,sales_teams!$A$2:$A$36,sales_teams!C$2:C$36)</f>
        <v>West</v>
      </c>
      <c r="E4452" t="s">
        <v>18</v>
      </c>
      <c r="F4452" t="s">
        <v>24</v>
      </c>
      <c r="G4452" t="s">
        <v>12</v>
      </c>
      <c r="H4452" s="1">
        <v>42919</v>
      </c>
      <c r="I4452" s="1">
        <v>42980</v>
      </c>
      <c r="J4452">
        <v>56</v>
      </c>
    </row>
    <row r="4453" spans="1:10" x14ac:dyDescent="0.3">
      <c r="A4453" t="s">
        <v>4584</v>
      </c>
      <c r="B4453" t="s">
        <v>95</v>
      </c>
      <c r="C4453" t="str">
        <f>_xlfn.XLOOKUP(B4453,
[1]sales_teams!$A$2:$A$100,
[1]sales_teams!$B$2:$B$100)</f>
        <v>Summer Sewald</v>
      </c>
      <c r="D4453" t="str">
        <f>_xlfn.XLOOKUP($B4453,sales_teams!$A$2:$A$36,sales_teams!C$2:C$36)</f>
        <v>West</v>
      </c>
      <c r="E4453" t="s">
        <v>20</v>
      </c>
      <c r="G4453" t="s">
        <v>40</v>
      </c>
      <c r="H4453" s="1">
        <v>42919</v>
      </c>
    </row>
    <row r="4454" spans="1:10" x14ac:dyDescent="0.3">
      <c r="A4454" t="s">
        <v>4585</v>
      </c>
      <c r="B4454" t="s">
        <v>95</v>
      </c>
      <c r="C4454" t="str">
        <f>_xlfn.XLOOKUP(B4454,
[1]sales_teams!$A$2:$A$100,
[1]sales_teams!$B$2:$B$100)</f>
        <v>Summer Sewald</v>
      </c>
      <c r="D4454" t="str">
        <f>_xlfn.XLOOKUP($B4454,sales_teams!$A$2:$A$36,sales_teams!C$2:C$36)</f>
        <v>West</v>
      </c>
      <c r="E4454" t="s">
        <v>10</v>
      </c>
      <c r="F4454" t="s">
        <v>33</v>
      </c>
      <c r="G4454" t="s">
        <v>12</v>
      </c>
      <c r="H4454" s="1">
        <v>42919</v>
      </c>
      <c r="I4454" s="1">
        <v>42928</v>
      </c>
      <c r="J4454">
        <v>935</v>
      </c>
    </row>
    <row r="4455" spans="1:10" x14ac:dyDescent="0.3">
      <c r="A4455" t="s">
        <v>4586</v>
      </c>
      <c r="B4455" t="s">
        <v>95</v>
      </c>
      <c r="C4455" t="str">
        <f>_xlfn.XLOOKUP(B4455,
[1]sales_teams!$A$2:$A$100,
[1]sales_teams!$B$2:$B$100)</f>
        <v>Summer Sewald</v>
      </c>
      <c r="D4455" t="str">
        <f>_xlfn.XLOOKUP($B4455,sales_teams!$A$2:$A$36,sales_teams!C$2:C$36)</f>
        <v>West</v>
      </c>
      <c r="E4455" t="s">
        <v>10</v>
      </c>
      <c r="F4455" t="s">
        <v>273</v>
      </c>
      <c r="G4455" t="s">
        <v>12</v>
      </c>
      <c r="H4455" s="1">
        <v>42919</v>
      </c>
      <c r="I4455" s="1">
        <v>42929</v>
      </c>
      <c r="J4455">
        <v>1133</v>
      </c>
    </row>
    <row r="4456" spans="1:10" x14ac:dyDescent="0.3">
      <c r="A4456" t="s">
        <v>4587</v>
      </c>
      <c r="B4456" t="s">
        <v>95</v>
      </c>
      <c r="C4456" t="str">
        <f>_xlfn.XLOOKUP(B4456,
[1]sales_teams!$A$2:$A$100,
[1]sales_teams!$B$2:$B$100)</f>
        <v>Summer Sewald</v>
      </c>
      <c r="D4456" t="str">
        <f>_xlfn.XLOOKUP($B4456,sales_teams!$A$2:$A$36,sales_teams!C$2:C$36)</f>
        <v>West</v>
      </c>
      <c r="E4456" t="s">
        <v>15</v>
      </c>
      <c r="F4456" t="s">
        <v>159</v>
      </c>
      <c r="G4456" t="s">
        <v>12</v>
      </c>
      <c r="H4456" s="1">
        <v>42919</v>
      </c>
      <c r="I4456" s="1">
        <v>42959</v>
      </c>
      <c r="J4456">
        <v>4904</v>
      </c>
    </row>
    <row r="4457" spans="1:10" x14ac:dyDescent="0.3">
      <c r="A4457" t="s">
        <v>4588</v>
      </c>
      <c r="B4457" t="s">
        <v>133</v>
      </c>
      <c r="C4457" t="str">
        <f>_xlfn.XLOOKUP(B4457,
[1]sales_teams!$A$2:$A$100,
[1]sales_teams!$B$2:$B$100)</f>
        <v>Dustin Brinkmann</v>
      </c>
      <c r="D4457" t="str">
        <f>_xlfn.XLOOKUP($B4457,sales_teams!$A$2:$A$36,sales_teams!C$2:C$36)</f>
        <v>Central</v>
      </c>
      <c r="E4457" t="s">
        <v>39</v>
      </c>
      <c r="F4457" t="s">
        <v>42</v>
      </c>
      <c r="G4457" t="s">
        <v>12</v>
      </c>
      <c r="H4457" s="1">
        <v>42919</v>
      </c>
      <c r="I4457" s="1">
        <v>43001</v>
      </c>
      <c r="J4457">
        <v>2857</v>
      </c>
    </row>
    <row r="4458" spans="1:10" x14ac:dyDescent="0.3">
      <c r="A4458" t="s">
        <v>4589</v>
      </c>
      <c r="B4458" t="s">
        <v>133</v>
      </c>
      <c r="C4458" t="str">
        <f>_xlfn.XLOOKUP(B4458,
[1]sales_teams!$A$2:$A$100,
[1]sales_teams!$B$2:$B$100)</f>
        <v>Dustin Brinkmann</v>
      </c>
      <c r="D4458" t="str">
        <f>_xlfn.XLOOKUP($B4458,sales_teams!$A$2:$A$36,sales_teams!C$2:C$36)</f>
        <v>Central</v>
      </c>
      <c r="E4458" t="s">
        <v>39</v>
      </c>
      <c r="F4458" t="s">
        <v>197</v>
      </c>
      <c r="G4458" t="s">
        <v>12</v>
      </c>
      <c r="H4458" s="1">
        <v>42919</v>
      </c>
      <c r="I4458" s="1">
        <v>42980</v>
      </c>
      <c r="J4458">
        <v>3118</v>
      </c>
    </row>
    <row r="4459" spans="1:10" x14ac:dyDescent="0.3">
      <c r="A4459" t="s">
        <v>4590</v>
      </c>
      <c r="B4459" t="s">
        <v>116</v>
      </c>
      <c r="C4459" t="str">
        <f>_xlfn.XLOOKUP(B4459,
[1]sales_teams!$A$2:$A$100,
[1]sales_teams!$B$2:$B$100)</f>
        <v>Melvin Marxen</v>
      </c>
      <c r="D4459" t="str">
        <f>_xlfn.XLOOKUP($B4459,sales_teams!$A$2:$A$36,sales_teams!C$2:C$36)</f>
        <v>Central</v>
      </c>
      <c r="E4459" t="s">
        <v>10</v>
      </c>
      <c r="F4459" t="s">
        <v>135</v>
      </c>
      <c r="G4459" t="s">
        <v>12</v>
      </c>
      <c r="H4459" s="1">
        <v>42919</v>
      </c>
      <c r="I4459" s="1">
        <v>42927</v>
      </c>
      <c r="J4459">
        <v>1204</v>
      </c>
    </row>
    <row r="4460" spans="1:10" x14ac:dyDescent="0.3">
      <c r="A4460" t="s">
        <v>4591</v>
      </c>
      <c r="B4460" t="s">
        <v>51</v>
      </c>
      <c r="C4460" t="str">
        <f>_xlfn.XLOOKUP(B4460,
[1]sales_teams!$A$2:$A$100,
[1]sales_teams!$B$2:$B$100)</f>
        <v>Summer Sewald</v>
      </c>
      <c r="D4460" t="str">
        <f>_xlfn.XLOOKUP($B4460,sales_teams!$A$2:$A$36,sales_teams!C$2:C$36)</f>
        <v>West</v>
      </c>
      <c r="E4460" t="s">
        <v>39</v>
      </c>
      <c r="F4460" t="s">
        <v>159</v>
      </c>
      <c r="G4460" t="s">
        <v>46</v>
      </c>
      <c r="H4460" s="1">
        <v>42919</v>
      </c>
      <c r="I4460" s="1">
        <v>42925</v>
      </c>
      <c r="J4460">
        <v>0</v>
      </c>
    </row>
    <row r="4461" spans="1:10" x14ac:dyDescent="0.3">
      <c r="A4461" t="s">
        <v>4592</v>
      </c>
      <c r="B4461" t="s">
        <v>9</v>
      </c>
      <c r="C4461" t="str">
        <f>_xlfn.XLOOKUP(B4461,
[1]sales_teams!$A$2:$A$100,
[1]sales_teams!$B$2:$B$100)</f>
        <v>Dustin Brinkmann</v>
      </c>
      <c r="D4461" t="str">
        <f>_xlfn.XLOOKUP($B4461,sales_teams!$A$2:$A$36,sales_teams!C$2:C$36)</f>
        <v>Central</v>
      </c>
      <c r="E4461" t="s">
        <v>20</v>
      </c>
      <c r="F4461" t="s">
        <v>120</v>
      </c>
      <c r="G4461" t="s">
        <v>12</v>
      </c>
      <c r="H4461" s="1">
        <v>42919</v>
      </c>
      <c r="I4461" s="1">
        <v>42984</v>
      </c>
      <c r="J4461">
        <v>376</v>
      </c>
    </row>
    <row r="4462" spans="1:10" x14ac:dyDescent="0.3">
      <c r="A4462" t="s">
        <v>4593</v>
      </c>
      <c r="B4462" t="s">
        <v>61</v>
      </c>
      <c r="C4462" t="str">
        <f>_xlfn.XLOOKUP(B4462,
[1]sales_teams!$A$2:$A$100,
[1]sales_teams!$B$2:$B$100)</f>
        <v>Dustin Brinkmann</v>
      </c>
      <c r="D4462" t="str">
        <f>_xlfn.XLOOKUP($B4462,sales_teams!$A$2:$A$36,sales_teams!C$2:C$36)</f>
        <v>Central</v>
      </c>
      <c r="E4462" t="s">
        <v>20</v>
      </c>
      <c r="F4462" t="s">
        <v>170</v>
      </c>
      <c r="G4462" t="s">
        <v>12</v>
      </c>
      <c r="H4462" s="1">
        <v>42919</v>
      </c>
      <c r="I4462" s="1">
        <v>43041</v>
      </c>
      <c r="J4462">
        <v>511</v>
      </c>
    </row>
    <row r="4463" spans="1:10" x14ac:dyDescent="0.3">
      <c r="A4463" t="s">
        <v>4594</v>
      </c>
      <c r="B4463" t="s">
        <v>29</v>
      </c>
      <c r="C4463" t="str">
        <f>_xlfn.XLOOKUP(B4463,
[1]sales_teams!$A$2:$A$100,
[1]sales_teams!$B$2:$B$100)</f>
        <v>Celia Rouche</v>
      </c>
      <c r="D4463" t="str">
        <f>_xlfn.XLOOKUP($B4463,sales_teams!$A$2:$A$36,sales_teams!C$2:C$36)</f>
        <v>West</v>
      </c>
      <c r="E4463" t="s">
        <v>20</v>
      </c>
      <c r="F4463" t="s">
        <v>184</v>
      </c>
      <c r="G4463" t="s">
        <v>12</v>
      </c>
      <c r="H4463" s="1">
        <v>42919</v>
      </c>
      <c r="I4463" s="1">
        <v>42930</v>
      </c>
      <c r="J4463">
        <v>491</v>
      </c>
    </row>
    <row r="4464" spans="1:10" x14ac:dyDescent="0.3">
      <c r="A4464" t="s">
        <v>4595</v>
      </c>
      <c r="B4464" t="s">
        <v>73</v>
      </c>
      <c r="C4464" t="str">
        <f>_xlfn.XLOOKUP(B4464,
[1]sales_teams!$A$2:$A$100,
[1]sales_teams!$B$2:$B$100)</f>
        <v>Cara Losch</v>
      </c>
      <c r="D4464" t="str">
        <f>_xlfn.XLOOKUP($B4464,sales_teams!$A$2:$A$36,sales_teams!C$2:C$36)</f>
        <v>East</v>
      </c>
      <c r="E4464" t="s">
        <v>18</v>
      </c>
      <c r="F4464" t="s">
        <v>410</v>
      </c>
      <c r="G4464" t="s">
        <v>46</v>
      </c>
      <c r="H4464" s="1">
        <v>42919</v>
      </c>
      <c r="I4464" s="1">
        <v>42932</v>
      </c>
      <c r="J4464">
        <v>0</v>
      </c>
    </row>
    <row r="4465" spans="1:10" x14ac:dyDescent="0.3">
      <c r="A4465" t="s">
        <v>4596</v>
      </c>
      <c r="B4465" t="s">
        <v>102</v>
      </c>
      <c r="C4465" t="str">
        <f>_xlfn.XLOOKUP(B4465,
[1]sales_teams!$A$2:$A$100,
[1]sales_teams!$B$2:$B$100)</f>
        <v>Cara Losch</v>
      </c>
      <c r="D4465" t="str">
        <f>_xlfn.XLOOKUP($B4465,sales_teams!$A$2:$A$36,sales_teams!C$2:C$36)</f>
        <v>East</v>
      </c>
      <c r="E4465" t="s">
        <v>39</v>
      </c>
      <c r="F4465" t="s">
        <v>204</v>
      </c>
      <c r="G4465" t="s">
        <v>46</v>
      </c>
      <c r="H4465" s="1">
        <v>42919</v>
      </c>
      <c r="I4465" s="1">
        <v>42928</v>
      </c>
      <c r="J4465">
        <v>0</v>
      </c>
    </row>
    <row r="4466" spans="1:10" x14ac:dyDescent="0.3">
      <c r="A4466" t="s">
        <v>4597</v>
      </c>
      <c r="B4466" t="s">
        <v>102</v>
      </c>
      <c r="C4466" t="str">
        <f>_xlfn.XLOOKUP(B4466,
[1]sales_teams!$A$2:$A$100,
[1]sales_teams!$B$2:$B$100)</f>
        <v>Cara Losch</v>
      </c>
      <c r="D4466" t="str">
        <f>_xlfn.XLOOKUP($B4466,sales_teams!$A$2:$A$36,sales_teams!C$2:C$36)</f>
        <v>East</v>
      </c>
      <c r="E4466" t="s">
        <v>39</v>
      </c>
      <c r="F4466" t="s">
        <v>209</v>
      </c>
      <c r="G4466" t="s">
        <v>12</v>
      </c>
      <c r="H4466" s="1">
        <v>42919</v>
      </c>
      <c r="I4466" s="1">
        <v>42985</v>
      </c>
      <c r="J4466">
        <v>3101</v>
      </c>
    </row>
    <row r="4467" spans="1:10" x14ac:dyDescent="0.3">
      <c r="A4467" t="s">
        <v>4598</v>
      </c>
      <c r="B4467" t="s">
        <v>23</v>
      </c>
      <c r="C4467" t="str">
        <f>_xlfn.XLOOKUP(B4467,
[1]sales_teams!$A$2:$A$100,
[1]sales_teams!$B$2:$B$100)</f>
        <v>Summer Sewald</v>
      </c>
      <c r="D4467" t="str">
        <f>_xlfn.XLOOKUP($B4467,sales_teams!$A$2:$A$36,sales_teams!C$2:C$36)</f>
        <v>West</v>
      </c>
      <c r="E4467" t="s">
        <v>18</v>
      </c>
      <c r="F4467" t="s">
        <v>159</v>
      </c>
      <c r="G4467" t="s">
        <v>46</v>
      </c>
      <c r="H4467" s="1">
        <v>42919</v>
      </c>
      <c r="I4467" s="1">
        <v>42969</v>
      </c>
      <c r="J4467">
        <v>0</v>
      </c>
    </row>
    <row r="4468" spans="1:10" x14ac:dyDescent="0.3">
      <c r="A4468" t="s">
        <v>4599</v>
      </c>
      <c r="B4468" t="s">
        <v>26</v>
      </c>
      <c r="C4468" t="str">
        <f>_xlfn.XLOOKUP(B4468,
[1]sales_teams!$A$2:$A$100,
[1]sales_teams!$B$2:$B$100)</f>
        <v>Dustin Brinkmann</v>
      </c>
      <c r="D4468" t="str">
        <f>_xlfn.XLOOKUP($B4468,sales_teams!$A$2:$A$36,sales_teams!C$2:C$36)</f>
        <v>Central</v>
      </c>
      <c r="E4468" t="s">
        <v>48</v>
      </c>
      <c r="F4468" t="s">
        <v>11</v>
      </c>
      <c r="G4468" t="s">
        <v>46</v>
      </c>
      <c r="H4468" s="1">
        <v>42920</v>
      </c>
      <c r="I4468" s="1">
        <v>42930</v>
      </c>
      <c r="J4468">
        <v>0</v>
      </c>
    </row>
    <row r="4469" spans="1:10" x14ac:dyDescent="0.3">
      <c r="A4469" t="s">
        <v>4600</v>
      </c>
      <c r="B4469" t="s">
        <v>26</v>
      </c>
      <c r="C4469" t="str">
        <f>_xlfn.XLOOKUP(B4469,
[1]sales_teams!$A$2:$A$100,
[1]sales_teams!$B$2:$B$100)</f>
        <v>Dustin Brinkmann</v>
      </c>
      <c r="D4469" t="str">
        <f>_xlfn.XLOOKUP($B4469,sales_teams!$A$2:$A$36,sales_teams!C$2:C$36)</f>
        <v>Central</v>
      </c>
      <c r="E4469" t="s">
        <v>18</v>
      </c>
      <c r="F4469" t="s">
        <v>197</v>
      </c>
      <c r="G4469" t="s">
        <v>12</v>
      </c>
      <c r="H4469" s="1">
        <v>42920</v>
      </c>
      <c r="I4469" s="1">
        <v>42922</v>
      </c>
      <c r="J4469">
        <v>56</v>
      </c>
    </row>
    <row r="4470" spans="1:10" x14ac:dyDescent="0.3">
      <c r="A4470" t="s">
        <v>4601</v>
      </c>
      <c r="B4470" t="s">
        <v>118</v>
      </c>
      <c r="C4470" t="str">
        <f>_xlfn.XLOOKUP(B4470,
[1]sales_teams!$A$2:$A$100,
[1]sales_teams!$B$2:$B$100)</f>
        <v>Rocco Neubert</v>
      </c>
      <c r="D4470" t="str">
        <f>_xlfn.XLOOKUP($B4470,sales_teams!$A$2:$A$36,sales_teams!C$2:C$36)</f>
        <v>East</v>
      </c>
      <c r="E4470" t="s">
        <v>48</v>
      </c>
      <c r="F4470" t="s">
        <v>231</v>
      </c>
      <c r="G4470" t="s">
        <v>40</v>
      </c>
      <c r="H4470" s="1">
        <v>42920</v>
      </c>
    </row>
    <row r="4471" spans="1:10" x14ac:dyDescent="0.3">
      <c r="A4471" t="s">
        <v>4602</v>
      </c>
      <c r="B4471" t="s">
        <v>118</v>
      </c>
      <c r="C4471" t="str">
        <f>_xlfn.XLOOKUP(B4471,
[1]sales_teams!$A$2:$A$100,
[1]sales_teams!$B$2:$B$100)</f>
        <v>Rocco Neubert</v>
      </c>
      <c r="D4471" t="str">
        <f>_xlfn.XLOOKUP($B4471,sales_teams!$A$2:$A$36,sales_teams!C$2:C$36)</f>
        <v>East</v>
      </c>
      <c r="E4471" t="s">
        <v>20</v>
      </c>
      <c r="F4471" t="s">
        <v>140</v>
      </c>
      <c r="G4471" t="s">
        <v>46</v>
      </c>
      <c r="H4471" s="1">
        <v>42920</v>
      </c>
      <c r="I4471" s="1">
        <v>42989</v>
      </c>
      <c r="J4471">
        <v>0</v>
      </c>
    </row>
    <row r="4472" spans="1:10" x14ac:dyDescent="0.3">
      <c r="A4472" t="s">
        <v>4603</v>
      </c>
      <c r="B4472" t="s">
        <v>14</v>
      </c>
      <c r="C4472" t="str">
        <f>_xlfn.XLOOKUP(B4472,
[1]sales_teams!$A$2:$A$100,
[1]sales_teams!$B$2:$B$100)</f>
        <v>Melvin Marxen</v>
      </c>
      <c r="D4472" t="str">
        <f>_xlfn.XLOOKUP($B4472,sales_teams!$A$2:$A$36,sales_teams!C$2:C$36)</f>
        <v>Central</v>
      </c>
      <c r="E4472" t="s">
        <v>10</v>
      </c>
      <c r="F4472" t="s">
        <v>318</v>
      </c>
      <c r="G4472" t="s">
        <v>46</v>
      </c>
      <c r="H4472" s="1">
        <v>42920</v>
      </c>
      <c r="I4472" s="1">
        <v>42928</v>
      </c>
      <c r="J4472">
        <v>0</v>
      </c>
    </row>
    <row r="4473" spans="1:10" x14ac:dyDescent="0.3">
      <c r="A4473" t="s">
        <v>4604</v>
      </c>
      <c r="B4473" t="s">
        <v>14</v>
      </c>
      <c r="C4473" t="str">
        <f>_xlfn.XLOOKUP(B4473,
[1]sales_teams!$A$2:$A$100,
[1]sales_teams!$B$2:$B$100)</f>
        <v>Melvin Marxen</v>
      </c>
      <c r="D4473" t="str">
        <f>_xlfn.XLOOKUP($B4473,sales_teams!$A$2:$A$36,sales_teams!C$2:C$36)</f>
        <v>Central</v>
      </c>
      <c r="E4473" t="s">
        <v>10</v>
      </c>
      <c r="F4473" t="s">
        <v>27</v>
      </c>
      <c r="G4473" t="s">
        <v>12</v>
      </c>
      <c r="H4473" s="1">
        <v>42920</v>
      </c>
      <c r="I4473" s="1">
        <v>42983</v>
      </c>
      <c r="J4473">
        <v>1300</v>
      </c>
    </row>
    <row r="4474" spans="1:10" x14ac:dyDescent="0.3">
      <c r="A4474" t="s">
        <v>4605</v>
      </c>
      <c r="B4474" t="s">
        <v>14</v>
      </c>
      <c r="C4474" t="str">
        <f>_xlfn.XLOOKUP(B4474,
[1]sales_teams!$A$2:$A$100,
[1]sales_teams!$B$2:$B$100)</f>
        <v>Melvin Marxen</v>
      </c>
      <c r="D4474" t="str">
        <f>_xlfn.XLOOKUP($B4474,sales_teams!$A$2:$A$36,sales_teams!C$2:C$36)</f>
        <v>Central</v>
      </c>
      <c r="E4474" t="s">
        <v>15</v>
      </c>
      <c r="F4474" t="s">
        <v>126</v>
      </c>
      <c r="G4474" t="s">
        <v>12</v>
      </c>
      <c r="H4474" s="1">
        <v>42920</v>
      </c>
      <c r="I4474" s="1">
        <v>42921</v>
      </c>
      <c r="J4474">
        <v>4544</v>
      </c>
    </row>
    <row r="4475" spans="1:10" x14ac:dyDescent="0.3">
      <c r="A4475" t="s">
        <v>4606</v>
      </c>
      <c r="B4475" t="s">
        <v>142</v>
      </c>
      <c r="C4475" t="str">
        <f>_xlfn.XLOOKUP(B4475,
[1]sales_teams!$A$2:$A$100,
[1]sales_teams!$B$2:$B$100)</f>
        <v>Rocco Neubert</v>
      </c>
      <c r="D4475" t="str">
        <f>_xlfn.XLOOKUP($B4475,sales_teams!$A$2:$A$36,sales_teams!C$2:C$36)</f>
        <v>East</v>
      </c>
      <c r="E4475" t="s">
        <v>20</v>
      </c>
      <c r="F4475" t="s">
        <v>106</v>
      </c>
      <c r="G4475" t="s">
        <v>46</v>
      </c>
      <c r="H4475" s="1">
        <v>42920</v>
      </c>
      <c r="I4475" s="1">
        <v>42921</v>
      </c>
      <c r="J4475">
        <v>0</v>
      </c>
    </row>
    <row r="4476" spans="1:10" x14ac:dyDescent="0.3">
      <c r="A4476" t="s">
        <v>4607</v>
      </c>
      <c r="B4476" t="s">
        <v>142</v>
      </c>
      <c r="C4476" t="str">
        <f>_xlfn.XLOOKUP(B4476,
[1]sales_teams!$A$2:$A$100,
[1]sales_teams!$B$2:$B$100)</f>
        <v>Rocco Neubert</v>
      </c>
      <c r="D4476" t="str">
        <f>_xlfn.XLOOKUP($B4476,sales_teams!$A$2:$A$36,sales_teams!C$2:C$36)</f>
        <v>East</v>
      </c>
      <c r="E4476" t="s">
        <v>20</v>
      </c>
      <c r="F4476" t="s">
        <v>215</v>
      </c>
      <c r="G4476" t="s">
        <v>46</v>
      </c>
      <c r="H4476" s="1">
        <v>42920</v>
      </c>
      <c r="I4476" s="1">
        <v>43004</v>
      </c>
      <c r="J4476">
        <v>0</v>
      </c>
    </row>
    <row r="4477" spans="1:10" x14ac:dyDescent="0.3">
      <c r="A4477" t="s">
        <v>4608</v>
      </c>
      <c r="B4477" t="s">
        <v>142</v>
      </c>
      <c r="C4477" t="str">
        <f>_xlfn.XLOOKUP(B4477,
[1]sales_teams!$A$2:$A$100,
[1]sales_teams!$B$2:$B$100)</f>
        <v>Rocco Neubert</v>
      </c>
      <c r="D4477" t="str">
        <f>_xlfn.XLOOKUP($B4477,sales_teams!$A$2:$A$36,sales_teams!C$2:C$36)</f>
        <v>East</v>
      </c>
      <c r="E4477" t="s">
        <v>20</v>
      </c>
      <c r="F4477" t="s">
        <v>204</v>
      </c>
      <c r="G4477" t="s">
        <v>12</v>
      </c>
      <c r="H4477" s="1">
        <v>42920</v>
      </c>
      <c r="I4477" s="1">
        <v>43001</v>
      </c>
      <c r="J4477">
        <v>531</v>
      </c>
    </row>
    <row r="4478" spans="1:10" x14ac:dyDescent="0.3">
      <c r="A4478" t="s">
        <v>4609</v>
      </c>
      <c r="B4478" t="s">
        <v>142</v>
      </c>
      <c r="C4478" t="str">
        <f>_xlfn.XLOOKUP(B4478,
[1]sales_teams!$A$2:$A$100,
[1]sales_teams!$B$2:$B$100)</f>
        <v>Rocco Neubert</v>
      </c>
      <c r="D4478" t="str">
        <f>_xlfn.XLOOKUP($B4478,sales_teams!$A$2:$A$36,sales_teams!C$2:C$36)</f>
        <v>East</v>
      </c>
      <c r="E4478" t="s">
        <v>15</v>
      </c>
      <c r="F4478" t="s">
        <v>192</v>
      </c>
      <c r="G4478" t="s">
        <v>12</v>
      </c>
      <c r="H4478" s="1">
        <v>42920</v>
      </c>
      <c r="I4478" s="1">
        <v>42929</v>
      </c>
      <c r="J4478">
        <v>4669</v>
      </c>
    </row>
    <row r="4479" spans="1:10" x14ac:dyDescent="0.3">
      <c r="A4479" t="s">
        <v>4610</v>
      </c>
      <c r="B4479" t="s">
        <v>44</v>
      </c>
      <c r="C4479" t="str">
        <f>_xlfn.XLOOKUP(B4479,
[1]sales_teams!$A$2:$A$100,
[1]sales_teams!$B$2:$B$100)</f>
        <v>Melvin Marxen</v>
      </c>
      <c r="D4479" t="str">
        <f>_xlfn.XLOOKUP($B4479,sales_teams!$A$2:$A$36,sales_teams!C$2:C$36)</f>
        <v>Central</v>
      </c>
      <c r="E4479" t="s">
        <v>18</v>
      </c>
      <c r="F4479" t="s">
        <v>318</v>
      </c>
      <c r="G4479" t="s">
        <v>46</v>
      </c>
      <c r="H4479" s="1">
        <v>42920</v>
      </c>
      <c r="I4479" s="1">
        <v>43042</v>
      </c>
      <c r="J4479">
        <v>0</v>
      </c>
    </row>
    <row r="4480" spans="1:10" x14ac:dyDescent="0.3">
      <c r="A4480" t="s">
        <v>4611</v>
      </c>
      <c r="B4480" t="s">
        <v>78</v>
      </c>
      <c r="C4480" t="str">
        <f>_xlfn.XLOOKUP(B4480,
[1]sales_teams!$A$2:$A$100,
[1]sales_teams!$B$2:$B$100)</f>
        <v>Summer Sewald</v>
      </c>
      <c r="D4480" t="str">
        <f>_xlfn.XLOOKUP($B4480,sales_teams!$A$2:$A$36,sales_teams!C$2:C$36)</f>
        <v>West</v>
      </c>
      <c r="E4480" t="s">
        <v>15</v>
      </c>
      <c r="F4480" t="s">
        <v>148</v>
      </c>
      <c r="G4480" t="s">
        <v>46</v>
      </c>
      <c r="H4480" s="1">
        <v>42920</v>
      </c>
      <c r="I4480" s="1">
        <v>42922</v>
      </c>
      <c r="J4480">
        <v>0</v>
      </c>
    </row>
    <row r="4481" spans="1:10" x14ac:dyDescent="0.3">
      <c r="A4481" t="s">
        <v>4612</v>
      </c>
      <c r="B4481" t="s">
        <v>95</v>
      </c>
      <c r="C4481" t="str">
        <f>_xlfn.XLOOKUP(B4481,
[1]sales_teams!$A$2:$A$100,
[1]sales_teams!$B$2:$B$100)</f>
        <v>Summer Sewald</v>
      </c>
      <c r="D4481" t="str">
        <f>_xlfn.XLOOKUP($B4481,sales_teams!$A$2:$A$36,sales_teams!C$2:C$36)</f>
        <v>West</v>
      </c>
      <c r="E4481" t="s">
        <v>39</v>
      </c>
      <c r="G4481" t="s">
        <v>40</v>
      </c>
      <c r="H4481" s="1">
        <v>42920</v>
      </c>
    </row>
    <row r="4482" spans="1:10" x14ac:dyDescent="0.3">
      <c r="A4482" t="s">
        <v>4613</v>
      </c>
      <c r="B4482" t="s">
        <v>95</v>
      </c>
      <c r="C4482" t="str">
        <f>_xlfn.XLOOKUP(B4482,
[1]sales_teams!$A$2:$A$100,
[1]sales_teams!$B$2:$B$100)</f>
        <v>Summer Sewald</v>
      </c>
      <c r="D4482" t="str">
        <f>_xlfn.XLOOKUP($B4482,sales_teams!$A$2:$A$36,sales_teams!C$2:C$36)</f>
        <v>West</v>
      </c>
      <c r="E4482" t="s">
        <v>20</v>
      </c>
      <c r="F4482" t="s">
        <v>174</v>
      </c>
      <c r="G4482" t="s">
        <v>46</v>
      </c>
      <c r="H4482" s="1">
        <v>42920</v>
      </c>
      <c r="I4482" s="1">
        <v>42927</v>
      </c>
      <c r="J4482">
        <v>0</v>
      </c>
    </row>
    <row r="4483" spans="1:10" x14ac:dyDescent="0.3">
      <c r="A4483" t="s">
        <v>4614</v>
      </c>
      <c r="B4483" t="s">
        <v>95</v>
      </c>
      <c r="C4483" t="str">
        <f>_xlfn.XLOOKUP(B4483,
[1]sales_teams!$A$2:$A$100,
[1]sales_teams!$B$2:$B$100)</f>
        <v>Summer Sewald</v>
      </c>
      <c r="D4483" t="str">
        <f>_xlfn.XLOOKUP($B4483,sales_teams!$A$2:$A$36,sales_teams!C$2:C$36)</f>
        <v>West</v>
      </c>
      <c r="E4483" t="s">
        <v>10</v>
      </c>
      <c r="F4483" t="s">
        <v>100</v>
      </c>
      <c r="G4483" t="s">
        <v>46</v>
      </c>
      <c r="H4483" s="1">
        <v>42920</v>
      </c>
      <c r="I4483" s="1">
        <v>42926</v>
      </c>
      <c r="J4483">
        <v>0</v>
      </c>
    </row>
    <row r="4484" spans="1:10" x14ac:dyDescent="0.3">
      <c r="A4484" t="s">
        <v>4615</v>
      </c>
      <c r="B4484" t="s">
        <v>32</v>
      </c>
      <c r="C4484" t="str">
        <f>_xlfn.XLOOKUP(B4484,
[1]sales_teams!$A$2:$A$100,
[1]sales_teams!$B$2:$B$100)</f>
        <v>Celia Rouche</v>
      </c>
      <c r="D4484" t="str">
        <f>_xlfn.XLOOKUP($B4484,sales_teams!$A$2:$A$36,sales_teams!C$2:C$36)</f>
        <v>West</v>
      </c>
      <c r="E4484" t="s">
        <v>20</v>
      </c>
      <c r="F4484" t="s">
        <v>124</v>
      </c>
      <c r="G4484" t="s">
        <v>46</v>
      </c>
      <c r="H4484" s="1">
        <v>42920</v>
      </c>
      <c r="I4484" s="1">
        <v>42997</v>
      </c>
      <c r="J4484">
        <v>0</v>
      </c>
    </row>
    <row r="4485" spans="1:10" x14ac:dyDescent="0.3">
      <c r="A4485" t="s">
        <v>4616</v>
      </c>
      <c r="B4485" t="s">
        <v>51</v>
      </c>
      <c r="C4485" t="str">
        <f>_xlfn.XLOOKUP(B4485,
[1]sales_teams!$A$2:$A$100,
[1]sales_teams!$B$2:$B$100)</f>
        <v>Summer Sewald</v>
      </c>
      <c r="D4485" t="str">
        <f>_xlfn.XLOOKUP($B4485,sales_teams!$A$2:$A$36,sales_teams!C$2:C$36)</f>
        <v>West</v>
      </c>
      <c r="E4485" t="s">
        <v>18</v>
      </c>
      <c r="G4485" t="s">
        <v>40</v>
      </c>
      <c r="H4485" s="1">
        <v>42920</v>
      </c>
    </row>
    <row r="4486" spans="1:10" x14ac:dyDescent="0.3">
      <c r="A4486" t="s">
        <v>4617</v>
      </c>
      <c r="B4486" t="s">
        <v>9</v>
      </c>
      <c r="C4486" t="str">
        <f>_xlfn.XLOOKUP(B4486,
[1]sales_teams!$A$2:$A$100,
[1]sales_teams!$B$2:$B$100)</f>
        <v>Dustin Brinkmann</v>
      </c>
      <c r="D4486" t="str">
        <f>_xlfn.XLOOKUP($B4486,sales_teams!$A$2:$A$36,sales_teams!C$2:C$36)</f>
        <v>Central</v>
      </c>
      <c r="E4486" t="s">
        <v>18</v>
      </c>
      <c r="F4486" t="s">
        <v>315</v>
      </c>
      <c r="G4486" t="s">
        <v>46</v>
      </c>
      <c r="H4486" s="1">
        <v>42920</v>
      </c>
      <c r="I4486" s="1">
        <v>42927</v>
      </c>
      <c r="J4486">
        <v>0</v>
      </c>
    </row>
    <row r="4487" spans="1:10" x14ac:dyDescent="0.3">
      <c r="A4487" t="s">
        <v>4618</v>
      </c>
      <c r="B4487" t="s">
        <v>9</v>
      </c>
      <c r="C4487" t="str">
        <f>_xlfn.XLOOKUP(B4487,
[1]sales_teams!$A$2:$A$100,
[1]sales_teams!$B$2:$B$100)</f>
        <v>Dustin Brinkmann</v>
      </c>
      <c r="D4487" t="str">
        <f>_xlfn.XLOOKUP($B4487,sales_teams!$A$2:$A$36,sales_teams!C$2:C$36)</f>
        <v>Central</v>
      </c>
      <c r="E4487" t="s">
        <v>20</v>
      </c>
      <c r="F4487" t="s">
        <v>207</v>
      </c>
      <c r="G4487" t="s">
        <v>12</v>
      </c>
      <c r="H4487" s="1">
        <v>42920</v>
      </c>
      <c r="I4487" s="1">
        <v>43003</v>
      </c>
      <c r="J4487">
        <v>475</v>
      </c>
    </row>
    <row r="4488" spans="1:10" x14ac:dyDescent="0.3">
      <c r="A4488" t="s">
        <v>4619</v>
      </c>
      <c r="B4488" t="s">
        <v>9</v>
      </c>
      <c r="C4488" t="str">
        <f>_xlfn.XLOOKUP(B4488,
[1]sales_teams!$A$2:$A$100,
[1]sales_teams!$B$2:$B$100)</f>
        <v>Dustin Brinkmann</v>
      </c>
      <c r="D4488" t="str">
        <f>_xlfn.XLOOKUP($B4488,sales_teams!$A$2:$A$36,sales_teams!C$2:C$36)</f>
        <v>Central</v>
      </c>
      <c r="E4488" t="s">
        <v>10</v>
      </c>
      <c r="F4488" t="s">
        <v>27</v>
      </c>
      <c r="G4488" t="s">
        <v>12</v>
      </c>
      <c r="H4488" s="1">
        <v>42920</v>
      </c>
      <c r="I4488" s="1">
        <v>42921</v>
      </c>
      <c r="J4488">
        <v>1102</v>
      </c>
    </row>
    <row r="4489" spans="1:10" x14ac:dyDescent="0.3">
      <c r="A4489" t="s">
        <v>4620</v>
      </c>
      <c r="B4489" t="s">
        <v>9</v>
      </c>
      <c r="C4489" t="str">
        <f>_xlfn.XLOOKUP(B4489,
[1]sales_teams!$A$2:$A$100,
[1]sales_teams!$B$2:$B$100)</f>
        <v>Dustin Brinkmann</v>
      </c>
      <c r="D4489" t="str">
        <f>_xlfn.XLOOKUP($B4489,sales_teams!$A$2:$A$36,sales_teams!C$2:C$36)</f>
        <v>Central</v>
      </c>
      <c r="E4489" t="s">
        <v>18</v>
      </c>
      <c r="F4489" t="s">
        <v>36</v>
      </c>
      <c r="G4489" t="s">
        <v>12</v>
      </c>
      <c r="H4489" s="1">
        <v>42920</v>
      </c>
      <c r="I4489" s="1">
        <v>42925</v>
      </c>
      <c r="J4489">
        <v>55</v>
      </c>
    </row>
    <row r="4490" spans="1:10" x14ac:dyDescent="0.3">
      <c r="A4490" t="s">
        <v>4621</v>
      </c>
      <c r="B4490" t="s">
        <v>35</v>
      </c>
      <c r="C4490" t="str">
        <f>_xlfn.XLOOKUP(B4490,
[1]sales_teams!$A$2:$A$100,
[1]sales_teams!$B$2:$B$100)</f>
        <v>Melvin Marxen</v>
      </c>
      <c r="D4490" t="str">
        <f>_xlfn.XLOOKUP($B4490,sales_teams!$A$2:$A$36,sales_teams!C$2:C$36)</f>
        <v>Central</v>
      </c>
      <c r="E4490" t="s">
        <v>20</v>
      </c>
      <c r="F4490" t="s">
        <v>62</v>
      </c>
      <c r="G4490" t="s">
        <v>46</v>
      </c>
      <c r="H4490" s="1">
        <v>42920</v>
      </c>
      <c r="I4490" s="1">
        <v>42931</v>
      </c>
      <c r="J4490">
        <v>0</v>
      </c>
    </row>
    <row r="4491" spans="1:10" x14ac:dyDescent="0.3">
      <c r="A4491" t="s">
        <v>4622</v>
      </c>
      <c r="B4491" t="s">
        <v>61</v>
      </c>
      <c r="C4491" t="str">
        <f>_xlfn.XLOOKUP(B4491,
[1]sales_teams!$A$2:$A$100,
[1]sales_teams!$B$2:$B$100)</f>
        <v>Dustin Brinkmann</v>
      </c>
      <c r="D4491" t="str">
        <f>_xlfn.XLOOKUP($B4491,sales_teams!$A$2:$A$36,sales_teams!C$2:C$36)</f>
        <v>Central</v>
      </c>
      <c r="E4491" t="s">
        <v>18</v>
      </c>
      <c r="F4491" t="s">
        <v>231</v>
      </c>
      <c r="G4491" t="s">
        <v>46</v>
      </c>
      <c r="H4491" s="1">
        <v>42920</v>
      </c>
      <c r="I4491" s="1">
        <v>42922</v>
      </c>
      <c r="J4491">
        <v>0</v>
      </c>
    </row>
    <row r="4492" spans="1:10" x14ac:dyDescent="0.3">
      <c r="A4492" t="s">
        <v>4623</v>
      </c>
      <c r="B4492" t="s">
        <v>61</v>
      </c>
      <c r="C4492" t="str">
        <f>_xlfn.XLOOKUP(B4492,
[1]sales_teams!$A$2:$A$100,
[1]sales_teams!$B$2:$B$100)</f>
        <v>Dustin Brinkmann</v>
      </c>
      <c r="D4492" t="str">
        <f>_xlfn.XLOOKUP($B4492,sales_teams!$A$2:$A$36,sales_teams!C$2:C$36)</f>
        <v>Central</v>
      </c>
      <c r="E4492" t="s">
        <v>18</v>
      </c>
      <c r="F4492" t="s">
        <v>11</v>
      </c>
      <c r="G4492" t="s">
        <v>12</v>
      </c>
      <c r="H4492" s="1">
        <v>42920</v>
      </c>
      <c r="I4492" s="1">
        <v>42921</v>
      </c>
      <c r="J4492">
        <v>63</v>
      </c>
    </row>
    <row r="4493" spans="1:10" x14ac:dyDescent="0.3">
      <c r="A4493" t="s">
        <v>4624</v>
      </c>
      <c r="B4493" t="s">
        <v>29</v>
      </c>
      <c r="C4493" t="str">
        <f>_xlfn.XLOOKUP(B4493,
[1]sales_teams!$A$2:$A$100,
[1]sales_teams!$B$2:$B$100)</f>
        <v>Celia Rouche</v>
      </c>
      <c r="D4493" t="str">
        <f>_xlfn.XLOOKUP($B4493,sales_teams!$A$2:$A$36,sales_teams!C$2:C$36)</f>
        <v>West</v>
      </c>
      <c r="E4493" t="s">
        <v>39</v>
      </c>
      <c r="F4493" t="s">
        <v>155</v>
      </c>
      <c r="G4493" t="s">
        <v>46</v>
      </c>
      <c r="H4493" s="1">
        <v>42920</v>
      </c>
      <c r="I4493" s="1">
        <v>42928</v>
      </c>
      <c r="J4493">
        <v>0</v>
      </c>
    </row>
    <row r="4494" spans="1:10" x14ac:dyDescent="0.3">
      <c r="A4494" t="s">
        <v>4625</v>
      </c>
      <c r="B4494" t="s">
        <v>29</v>
      </c>
      <c r="C4494" t="str">
        <f>_xlfn.XLOOKUP(B4494,
[1]sales_teams!$A$2:$A$100,
[1]sales_teams!$B$2:$B$100)</f>
        <v>Celia Rouche</v>
      </c>
      <c r="D4494" t="str">
        <f>_xlfn.XLOOKUP($B4494,sales_teams!$A$2:$A$36,sales_teams!C$2:C$36)</f>
        <v>West</v>
      </c>
      <c r="E4494" t="s">
        <v>48</v>
      </c>
      <c r="F4494" t="s">
        <v>168</v>
      </c>
      <c r="G4494" t="s">
        <v>12</v>
      </c>
      <c r="H4494" s="1">
        <v>42920</v>
      </c>
      <c r="I4494" s="1">
        <v>42930</v>
      </c>
      <c r="J4494">
        <v>5971</v>
      </c>
    </row>
    <row r="4495" spans="1:10" x14ac:dyDescent="0.3">
      <c r="A4495" t="s">
        <v>4626</v>
      </c>
      <c r="B4495" t="s">
        <v>102</v>
      </c>
      <c r="C4495" t="str">
        <f>_xlfn.XLOOKUP(B4495,
[1]sales_teams!$A$2:$A$100,
[1]sales_teams!$B$2:$B$100)</f>
        <v>Cara Losch</v>
      </c>
      <c r="D4495" t="str">
        <f>_xlfn.XLOOKUP($B4495,sales_teams!$A$2:$A$36,sales_teams!C$2:C$36)</f>
        <v>East</v>
      </c>
      <c r="E4495" t="s">
        <v>48</v>
      </c>
      <c r="F4495" t="s">
        <v>81</v>
      </c>
      <c r="G4495" t="s">
        <v>12</v>
      </c>
      <c r="H4495" s="1">
        <v>42920</v>
      </c>
      <c r="I4495" s="1">
        <v>42974</v>
      </c>
      <c r="J4495">
        <v>5710</v>
      </c>
    </row>
    <row r="4496" spans="1:10" x14ac:dyDescent="0.3">
      <c r="A4496" t="s">
        <v>4627</v>
      </c>
      <c r="B4496" t="s">
        <v>23</v>
      </c>
      <c r="C4496" t="str">
        <f>_xlfn.XLOOKUP(B4496,
[1]sales_teams!$A$2:$A$100,
[1]sales_teams!$B$2:$B$100)</f>
        <v>Summer Sewald</v>
      </c>
      <c r="D4496" t="str">
        <f>_xlfn.XLOOKUP($B4496,sales_teams!$A$2:$A$36,sales_teams!C$2:C$36)</f>
        <v>West</v>
      </c>
      <c r="E4496" t="s">
        <v>15</v>
      </c>
      <c r="F4496" t="s">
        <v>68</v>
      </c>
      <c r="G4496" t="s">
        <v>46</v>
      </c>
      <c r="H4496" s="1">
        <v>42920</v>
      </c>
      <c r="I4496" s="1">
        <v>42925</v>
      </c>
      <c r="J4496">
        <v>0</v>
      </c>
    </row>
    <row r="4497" spans="1:10" x14ac:dyDescent="0.3">
      <c r="A4497" t="s">
        <v>4628</v>
      </c>
      <c r="B4497" t="s">
        <v>23</v>
      </c>
      <c r="C4497" t="str">
        <f>_xlfn.XLOOKUP(B4497,
[1]sales_teams!$A$2:$A$100,
[1]sales_teams!$B$2:$B$100)</f>
        <v>Summer Sewald</v>
      </c>
      <c r="D4497" t="str">
        <f>_xlfn.XLOOKUP($B4497,sales_teams!$A$2:$A$36,sales_teams!C$2:C$36)</f>
        <v>West</v>
      </c>
      <c r="E4497" t="s">
        <v>18</v>
      </c>
      <c r="F4497" t="s">
        <v>124</v>
      </c>
      <c r="G4497" t="s">
        <v>12</v>
      </c>
      <c r="H4497" s="1">
        <v>42920</v>
      </c>
      <c r="I4497" s="1">
        <v>42999</v>
      </c>
      <c r="J4497">
        <v>52</v>
      </c>
    </row>
    <row r="4498" spans="1:10" x14ac:dyDescent="0.3">
      <c r="A4498" t="s">
        <v>4629</v>
      </c>
      <c r="B4498" t="s">
        <v>26</v>
      </c>
      <c r="C4498" t="str">
        <f>_xlfn.XLOOKUP(B4498,
[1]sales_teams!$A$2:$A$100,
[1]sales_teams!$B$2:$B$100)</f>
        <v>Dustin Brinkmann</v>
      </c>
      <c r="D4498" t="str">
        <f>_xlfn.XLOOKUP($B4498,sales_teams!$A$2:$A$36,sales_teams!C$2:C$36)</f>
        <v>Central</v>
      </c>
      <c r="E4498" t="s">
        <v>20</v>
      </c>
      <c r="F4498" t="s">
        <v>207</v>
      </c>
      <c r="G4498" t="s">
        <v>12</v>
      </c>
      <c r="H4498" s="1">
        <v>42921</v>
      </c>
      <c r="I4498" s="1">
        <v>42975</v>
      </c>
      <c r="J4498">
        <v>522</v>
      </c>
    </row>
    <row r="4499" spans="1:10" x14ac:dyDescent="0.3">
      <c r="A4499" t="s">
        <v>4630</v>
      </c>
      <c r="B4499" t="s">
        <v>118</v>
      </c>
      <c r="C4499" t="str">
        <f>_xlfn.XLOOKUP(B4499,
[1]sales_teams!$A$2:$A$100,
[1]sales_teams!$B$2:$B$100)</f>
        <v>Rocco Neubert</v>
      </c>
      <c r="D4499" t="str">
        <f>_xlfn.XLOOKUP($B4499,sales_teams!$A$2:$A$36,sales_teams!C$2:C$36)</f>
        <v>East</v>
      </c>
      <c r="E4499" t="s">
        <v>20</v>
      </c>
      <c r="G4499" t="s">
        <v>40</v>
      </c>
      <c r="H4499" s="1">
        <v>42921</v>
      </c>
    </row>
    <row r="4500" spans="1:10" x14ac:dyDescent="0.3">
      <c r="A4500" t="s">
        <v>4631</v>
      </c>
      <c r="B4500" t="s">
        <v>118</v>
      </c>
      <c r="C4500" t="str">
        <f>_xlfn.XLOOKUP(B4500,
[1]sales_teams!$A$2:$A$100,
[1]sales_teams!$B$2:$B$100)</f>
        <v>Rocco Neubert</v>
      </c>
      <c r="D4500" t="str">
        <f>_xlfn.XLOOKUP($B4500,sales_teams!$A$2:$A$36,sales_teams!C$2:C$36)</f>
        <v>East</v>
      </c>
      <c r="E4500" t="s">
        <v>10</v>
      </c>
      <c r="F4500" t="s">
        <v>518</v>
      </c>
      <c r="G4500" t="s">
        <v>46</v>
      </c>
      <c r="H4500" s="1">
        <v>42921</v>
      </c>
      <c r="I4500" s="1">
        <v>42928</v>
      </c>
      <c r="J4500">
        <v>0</v>
      </c>
    </row>
    <row r="4501" spans="1:10" x14ac:dyDescent="0.3">
      <c r="A4501" t="s">
        <v>4632</v>
      </c>
      <c r="B4501" t="s">
        <v>118</v>
      </c>
      <c r="C4501" t="str">
        <f>_xlfn.XLOOKUP(B4501,
[1]sales_teams!$A$2:$A$100,
[1]sales_teams!$B$2:$B$100)</f>
        <v>Rocco Neubert</v>
      </c>
      <c r="D4501" t="str">
        <f>_xlfn.XLOOKUP($B4501,sales_teams!$A$2:$A$36,sales_teams!C$2:C$36)</f>
        <v>East</v>
      </c>
      <c r="E4501" t="s">
        <v>48</v>
      </c>
      <c r="F4501" t="s">
        <v>300</v>
      </c>
      <c r="G4501" t="s">
        <v>46</v>
      </c>
      <c r="H4501" s="1">
        <v>42921</v>
      </c>
      <c r="I4501" s="1">
        <v>42929</v>
      </c>
      <c r="J4501">
        <v>0</v>
      </c>
    </row>
    <row r="4502" spans="1:10" x14ac:dyDescent="0.3">
      <c r="A4502" t="s">
        <v>4633</v>
      </c>
      <c r="B4502" t="s">
        <v>118</v>
      </c>
      <c r="C4502" t="str">
        <f>_xlfn.XLOOKUP(B4502,
[1]sales_teams!$A$2:$A$100,
[1]sales_teams!$B$2:$B$100)</f>
        <v>Rocco Neubert</v>
      </c>
      <c r="D4502" t="str">
        <f>_xlfn.XLOOKUP($B4502,sales_teams!$A$2:$A$36,sales_teams!C$2:C$36)</f>
        <v>East</v>
      </c>
      <c r="E4502" t="s">
        <v>10</v>
      </c>
      <c r="F4502" t="s">
        <v>204</v>
      </c>
      <c r="G4502" t="s">
        <v>12</v>
      </c>
      <c r="H4502" s="1">
        <v>42921</v>
      </c>
      <c r="I4502" s="1">
        <v>42930</v>
      </c>
      <c r="J4502">
        <v>1109</v>
      </c>
    </row>
    <row r="4503" spans="1:10" x14ac:dyDescent="0.3">
      <c r="A4503" t="s">
        <v>4634</v>
      </c>
      <c r="B4503" t="s">
        <v>118</v>
      </c>
      <c r="C4503" t="str">
        <f>_xlfn.XLOOKUP(B4503,
[1]sales_teams!$A$2:$A$100,
[1]sales_teams!$B$2:$B$100)</f>
        <v>Rocco Neubert</v>
      </c>
      <c r="D4503" t="str">
        <f>_xlfn.XLOOKUP($B4503,sales_teams!$A$2:$A$36,sales_teams!C$2:C$36)</f>
        <v>East</v>
      </c>
      <c r="E4503" t="s">
        <v>39</v>
      </c>
      <c r="F4503" t="s">
        <v>103</v>
      </c>
      <c r="G4503" t="s">
        <v>12</v>
      </c>
      <c r="H4503" s="1">
        <v>42921</v>
      </c>
      <c r="I4503" s="1">
        <v>42922</v>
      </c>
      <c r="J4503">
        <v>3508</v>
      </c>
    </row>
    <row r="4504" spans="1:10" x14ac:dyDescent="0.3">
      <c r="A4504" t="s">
        <v>4635</v>
      </c>
      <c r="B4504" t="s">
        <v>164</v>
      </c>
      <c r="C4504" t="str">
        <f>_xlfn.XLOOKUP(B4504,
[1]sales_teams!$A$2:$A$100,
[1]sales_teams!$B$2:$B$100)</f>
        <v>Cara Losch</v>
      </c>
      <c r="D4504" t="str">
        <f>_xlfn.XLOOKUP($B4504,sales_teams!$A$2:$A$36,sales_teams!C$2:C$36)</f>
        <v>East</v>
      </c>
      <c r="E4504" t="s">
        <v>48</v>
      </c>
      <c r="F4504" t="s">
        <v>745</v>
      </c>
      <c r="G4504" t="s">
        <v>46</v>
      </c>
      <c r="H4504" s="1">
        <v>42921</v>
      </c>
      <c r="I4504" s="1">
        <v>42930</v>
      </c>
      <c r="J4504">
        <v>0</v>
      </c>
    </row>
    <row r="4505" spans="1:10" x14ac:dyDescent="0.3">
      <c r="A4505" t="s">
        <v>4636</v>
      </c>
      <c r="B4505" t="s">
        <v>64</v>
      </c>
      <c r="C4505" t="str">
        <f>_xlfn.XLOOKUP(B4505,
[1]sales_teams!$A$2:$A$100,
[1]sales_teams!$B$2:$B$100)</f>
        <v>Rocco Neubert</v>
      </c>
      <c r="D4505" t="str">
        <f>_xlfn.XLOOKUP($B4505,sales_teams!$A$2:$A$36,sales_teams!C$2:C$36)</f>
        <v>East</v>
      </c>
      <c r="E4505" t="s">
        <v>10</v>
      </c>
      <c r="F4505" t="s">
        <v>215</v>
      </c>
      <c r="G4505" t="s">
        <v>46</v>
      </c>
      <c r="H4505" s="1">
        <v>42921</v>
      </c>
      <c r="I4505" s="1">
        <v>42932</v>
      </c>
      <c r="J4505">
        <v>0</v>
      </c>
    </row>
    <row r="4506" spans="1:10" x14ac:dyDescent="0.3">
      <c r="A4506" t="s">
        <v>4637</v>
      </c>
      <c r="B4506" t="s">
        <v>14</v>
      </c>
      <c r="C4506" t="str">
        <f>_xlfn.XLOOKUP(B4506,
[1]sales_teams!$A$2:$A$100,
[1]sales_teams!$B$2:$B$100)</f>
        <v>Melvin Marxen</v>
      </c>
      <c r="D4506" t="str">
        <f>_xlfn.XLOOKUP($B4506,sales_teams!$A$2:$A$36,sales_teams!C$2:C$36)</f>
        <v>Central</v>
      </c>
      <c r="E4506" t="s">
        <v>15</v>
      </c>
      <c r="F4506" t="s">
        <v>315</v>
      </c>
      <c r="G4506" t="s">
        <v>12</v>
      </c>
      <c r="H4506" s="1">
        <v>42921</v>
      </c>
      <c r="I4506" s="1">
        <v>42976</v>
      </c>
      <c r="J4506">
        <v>4346</v>
      </c>
    </row>
    <row r="4507" spans="1:10" x14ac:dyDescent="0.3">
      <c r="A4507" t="s">
        <v>4638</v>
      </c>
      <c r="B4507" t="s">
        <v>142</v>
      </c>
      <c r="C4507" t="str">
        <f>_xlfn.XLOOKUP(B4507,
[1]sales_teams!$A$2:$A$100,
[1]sales_teams!$B$2:$B$100)</f>
        <v>Rocco Neubert</v>
      </c>
      <c r="D4507" t="str">
        <f>_xlfn.XLOOKUP($B4507,sales_teams!$A$2:$A$36,sales_teams!C$2:C$36)</f>
        <v>East</v>
      </c>
      <c r="E4507" t="s">
        <v>20</v>
      </c>
      <c r="F4507" t="s">
        <v>179</v>
      </c>
      <c r="G4507" t="s">
        <v>46</v>
      </c>
      <c r="H4507" s="1">
        <v>42921</v>
      </c>
      <c r="I4507" s="1">
        <v>42922</v>
      </c>
      <c r="J4507">
        <v>0</v>
      </c>
    </row>
    <row r="4508" spans="1:10" x14ac:dyDescent="0.3">
      <c r="A4508" t="s">
        <v>4639</v>
      </c>
      <c r="B4508" t="s">
        <v>142</v>
      </c>
      <c r="C4508" t="str">
        <f>_xlfn.XLOOKUP(B4508,
[1]sales_teams!$A$2:$A$100,
[1]sales_teams!$B$2:$B$100)</f>
        <v>Rocco Neubert</v>
      </c>
      <c r="D4508" t="str">
        <f>_xlfn.XLOOKUP($B4508,sales_teams!$A$2:$A$36,sales_teams!C$2:C$36)</f>
        <v>East</v>
      </c>
      <c r="E4508" t="s">
        <v>15</v>
      </c>
      <c r="F4508" t="s">
        <v>65</v>
      </c>
      <c r="G4508" t="s">
        <v>46</v>
      </c>
      <c r="H4508" s="1">
        <v>42921</v>
      </c>
      <c r="I4508" s="1">
        <v>42925</v>
      </c>
      <c r="J4508">
        <v>0</v>
      </c>
    </row>
    <row r="4509" spans="1:10" x14ac:dyDescent="0.3">
      <c r="A4509" t="s">
        <v>4640</v>
      </c>
      <c r="B4509" t="s">
        <v>142</v>
      </c>
      <c r="C4509" t="str">
        <f>_xlfn.XLOOKUP(B4509,
[1]sales_teams!$A$2:$A$100,
[1]sales_teams!$B$2:$B$100)</f>
        <v>Rocco Neubert</v>
      </c>
      <c r="D4509" t="str">
        <f>_xlfn.XLOOKUP($B4509,sales_teams!$A$2:$A$36,sales_teams!C$2:C$36)</f>
        <v>East</v>
      </c>
      <c r="E4509" t="s">
        <v>15</v>
      </c>
      <c r="F4509" t="s">
        <v>189</v>
      </c>
      <c r="G4509" t="s">
        <v>12</v>
      </c>
      <c r="H4509" s="1">
        <v>42921</v>
      </c>
      <c r="I4509" s="1">
        <v>42957</v>
      </c>
      <c r="J4509">
        <v>4565</v>
      </c>
    </row>
    <row r="4510" spans="1:10" x14ac:dyDescent="0.3">
      <c r="A4510" t="s">
        <v>4641</v>
      </c>
      <c r="B4510" t="s">
        <v>105</v>
      </c>
      <c r="C4510" t="str">
        <f>_xlfn.XLOOKUP(B4510,
[1]sales_teams!$A$2:$A$100,
[1]sales_teams!$B$2:$B$100)</f>
        <v>Cara Losch</v>
      </c>
      <c r="D4510" t="str">
        <f>_xlfn.XLOOKUP($B4510,sales_teams!$A$2:$A$36,sales_teams!C$2:C$36)</f>
        <v>East</v>
      </c>
      <c r="E4510" t="s">
        <v>10</v>
      </c>
      <c r="F4510" t="s">
        <v>74</v>
      </c>
      <c r="G4510" t="s">
        <v>12</v>
      </c>
      <c r="H4510" s="1">
        <v>42921</v>
      </c>
      <c r="I4510" s="1">
        <v>43007</v>
      </c>
      <c r="J4510">
        <v>1319</v>
      </c>
    </row>
    <row r="4511" spans="1:10" x14ac:dyDescent="0.3">
      <c r="A4511" t="s">
        <v>4642</v>
      </c>
      <c r="B4511" t="s">
        <v>38</v>
      </c>
      <c r="C4511" t="str">
        <f>_xlfn.XLOOKUP(B4511,
[1]sales_teams!$A$2:$A$100,
[1]sales_teams!$B$2:$B$100)</f>
        <v>Summer Sewald</v>
      </c>
      <c r="D4511" t="str">
        <f>_xlfn.XLOOKUP($B4511,sales_teams!$A$2:$A$36,sales_teams!C$2:C$36)</f>
        <v>West</v>
      </c>
      <c r="E4511" t="s">
        <v>15</v>
      </c>
      <c r="F4511" t="s">
        <v>315</v>
      </c>
      <c r="G4511" t="s">
        <v>12</v>
      </c>
      <c r="H4511" s="1">
        <v>42921</v>
      </c>
      <c r="I4511" s="1">
        <v>42922</v>
      </c>
      <c r="J4511">
        <v>5157</v>
      </c>
    </row>
    <row r="4512" spans="1:10" x14ac:dyDescent="0.3">
      <c r="A4512" t="s">
        <v>4643</v>
      </c>
      <c r="B4512" t="s">
        <v>252</v>
      </c>
      <c r="C4512" t="str">
        <f>_xlfn.XLOOKUP(B4512,
[1]sales_teams!$A$2:$A$100,
[1]sales_teams!$B$2:$B$100)</f>
        <v>Melvin Marxen</v>
      </c>
      <c r="D4512" t="str">
        <f>_xlfn.XLOOKUP($B4512,sales_teams!$A$2:$A$36,sales_teams!C$2:C$36)</f>
        <v>Central</v>
      </c>
      <c r="E4512" t="s">
        <v>39</v>
      </c>
      <c r="F4512" t="s">
        <v>197</v>
      </c>
      <c r="G4512" t="s">
        <v>46</v>
      </c>
      <c r="H4512" s="1">
        <v>42921</v>
      </c>
      <c r="I4512" s="1">
        <v>42922</v>
      </c>
      <c r="J4512">
        <v>0</v>
      </c>
    </row>
    <row r="4513" spans="1:10" x14ac:dyDescent="0.3">
      <c r="A4513" t="s">
        <v>4644</v>
      </c>
      <c r="B4513" t="s">
        <v>252</v>
      </c>
      <c r="C4513" t="str">
        <f>_xlfn.XLOOKUP(B4513,
[1]sales_teams!$A$2:$A$100,
[1]sales_teams!$B$2:$B$100)</f>
        <v>Melvin Marxen</v>
      </c>
      <c r="D4513" t="str">
        <f>_xlfn.XLOOKUP($B4513,sales_teams!$A$2:$A$36,sales_teams!C$2:C$36)</f>
        <v>Central</v>
      </c>
      <c r="E4513" t="s">
        <v>15</v>
      </c>
      <c r="F4513" t="s">
        <v>213</v>
      </c>
      <c r="G4513" t="s">
        <v>12</v>
      </c>
      <c r="H4513" s="1">
        <v>42921</v>
      </c>
      <c r="I4513" s="1">
        <v>42933</v>
      </c>
      <c r="J4513">
        <v>4213</v>
      </c>
    </row>
    <row r="4514" spans="1:10" x14ac:dyDescent="0.3">
      <c r="A4514" t="s">
        <v>4645</v>
      </c>
      <c r="B4514" t="s">
        <v>78</v>
      </c>
      <c r="C4514" t="str">
        <f>_xlfn.XLOOKUP(B4514,
[1]sales_teams!$A$2:$A$100,
[1]sales_teams!$B$2:$B$100)</f>
        <v>Summer Sewald</v>
      </c>
      <c r="D4514" t="str">
        <f>_xlfn.XLOOKUP($B4514,sales_teams!$A$2:$A$36,sales_teams!C$2:C$36)</f>
        <v>West</v>
      </c>
      <c r="E4514" t="s">
        <v>20</v>
      </c>
      <c r="G4514" t="s">
        <v>40</v>
      </c>
      <c r="H4514" s="1">
        <v>42921</v>
      </c>
    </row>
    <row r="4515" spans="1:10" x14ac:dyDescent="0.3">
      <c r="A4515" t="s">
        <v>4646</v>
      </c>
      <c r="B4515" t="s">
        <v>78</v>
      </c>
      <c r="C4515" t="str">
        <f>_xlfn.XLOOKUP(B4515,
[1]sales_teams!$A$2:$A$100,
[1]sales_teams!$B$2:$B$100)</f>
        <v>Summer Sewald</v>
      </c>
      <c r="D4515" t="str">
        <f>_xlfn.XLOOKUP($B4515,sales_teams!$A$2:$A$36,sales_teams!C$2:C$36)</f>
        <v>West</v>
      </c>
      <c r="E4515" t="s">
        <v>10</v>
      </c>
      <c r="F4515" t="s">
        <v>199</v>
      </c>
      <c r="G4515" t="s">
        <v>12</v>
      </c>
      <c r="H4515" s="1">
        <v>42921</v>
      </c>
      <c r="I4515" s="1">
        <v>42928</v>
      </c>
      <c r="J4515">
        <v>1230</v>
      </c>
    </row>
    <row r="4516" spans="1:10" x14ac:dyDescent="0.3">
      <c r="A4516" t="s">
        <v>4647</v>
      </c>
      <c r="B4516" t="s">
        <v>95</v>
      </c>
      <c r="C4516" t="str">
        <f>_xlfn.XLOOKUP(B4516,
[1]sales_teams!$A$2:$A$100,
[1]sales_teams!$B$2:$B$100)</f>
        <v>Summer Sewald</v>
      </c>
      <c r="D4516" t="str">
        <f>_xlfn.XLOOKUP($B4516,sales_teams!$A$2:$A$36,sales_teams!C$2:C$36)</f>
        <v>West</v>
      </c>
      <c r="E4516" t="s">
        <v>48</v>
      </c>
      <c r="F4516" t="s">
        <v>174</v>
      </c>
      <c r="G4516" t="s">
        <v>40</v>
      </c>
      <c r="H4516" s="1">
        <v>42921</v>
      </c>
    </row>
    <row r="4517" spans="1:10" x14ac:dyDescent="0.3">
      <c r="A4517" t="s">
        <v>4648</v>
      </c>
      <c r="B4517" t="s">
        <v>95</v>
      </c>
      <c r="C4517" t="str">
        <f>_xlfn.XLOOKUP(B4517,
[1]sales_teams!$A$2:$A$100,
[1]sales_teams!$B$2:$B$100)</f>
        <v>Summer Sewald</v>
      </c>
      <c r="D4517" t="str">
        <f>_xlfn.XLOOKUP($B4517,sales_teams!$A$2:$A$36,sales_teams!C$2:C$36)</f>
        <v>West</v>
      </c>
      <c r="E4517" t="s">
        <v>20</v>
      </c>
      <c r="F4517" t="s">
        <v>49</v>
      </c>
      <c r="G4517" t="s">
        <v>12</v>
      </c>
      <c r="H4517" s="1">
        <v>42921</v>
      </c>
      <c r="I4517" s="1">
        <v>42931</v>
      </c>
      <c r="J4517">
        <v>443</v>
      </c>
    </row>
    <row r="4518" spans="1:10" x14ac:dyDescent="0.3">
      <c r="A4518" t="s">
        <v>4649</v>
      </c>
      <c r="B4518" t="s">
        <v>95</v>
      </c>
      <c r="C4518" t="str">
        <f>_xlfn.XLOOKUP(B4518,
[1]sales_teams!$A$2:$A$100,
[1]sales_teams!$B$2:$B$100)</f>
        <v>Summer Sewald</v>
      </c>
      <c r="D4518" t="str">
        <f>_xlfn.XLOOKUP($B4518,sales_teams!$A$2:$A$36,sales_teams!C$2:C$36)</f>
        <v>West</v>
      </c>
      <c r="E4518" t="s">
        <v>10</v>
      </c>
      <c r="F4518" t="s">
        <v>79</v>
      </c>
      <c r="G4518" t="s">
        <v>12</v>
      </c>
      <c r="H4518" s="1">
        <v>42921</v>
      </c>
      <c r="I4518" s="1">
        <v>43004</v>
      </c>
      <c r="J4518">
        <v>1043</v>
      </c>
    </row>
    <row r="4519" spans="1:10" x14ac:dyDescent="0.3">
      <c r="A4519" t="s">
        <v>4650</v>
      </c>
      <c r="B4519" t="s">
        <v>133</v>
      </c>
      <c r="C4519" t="str">
        <f>_xlfn.XLOOKUP(B4519,
[1]sales_teams!$A$2:$A$100,
[1]sales_teams!$B$2:$B$100)</f>
        <v>Dustin Brinkmann</v>
      </c>
      <c r="D4519" t="str">
        <f>_xlfn.XLOOKUP($B4519,sales_teams!$A$2:$A$36,sales_teams!C$2:C$36)</f>
        <v>Central</v>
      </c>
      <c r="E4519" t="s">
        <v>20</v>
      </c>
      <c r="F4519" t="s">
        <v>91</v>
      </c>
      <c r="G4519" t="s">
        <v>46</v>
      </c>
      <c r="H4519" s="1">
        <v>42921</v>
      </c>
      <c r="I4519" s="1">
        <v>42923</v>
      </c>
      <c r="J4519">
        <v>0</v>
      </c>
    </row>
    <row r="4520" spans="1:10" x14ac:dyDescent="0.3">
      <c r="A4520" t="s">
        <v>4651</v>
      </c>
      <c r="B4520" t="s">
        <v>32</v>
      </c>
      <c r="C4520" t="str">
        <f>_xlfn.XLOOKUP(B4520,
[1]sales_teams!$A$2:$A$100,
[1]sales_teams!$B$2:$B$100)</f>
        <v>Celia Rouche</v>
      </c>
      <c r="D4520" t="str">
        <f>_xlfn.XLOOKUP($B4520,sales_teams!$A$2:$A$36,sales_teams!C$2:C$36)</f>
        <v>West</v>
      </c>
      <c r="E4520" t="s">
        <v>18</v>
      </c>
      <c r="F4520" t="s">
        <v>398</v>
      </c>
      <c r="G4520" t="s">
        <v>46</v>
      </c>
      <c r="H4520" s="1">
        <v>42921</v>
      </c>
      <c r="I4520" s="1">
        <v>42970</v>
      </c>
      <c r="J4520">
        <v>0</v>
      </c>
    </row>
    <row r="4521" spans="1:10" x14ac:dyDescent="0.3">
      <c r="A4521" t="s">
        <v>4652</v>
      </c>
      <c r="B4521" t="s">
        <v>116</v>
      </c>
      <c r="C4521" t="str">
        <f>_xlfn.XLOOKUP(B4521,
[1]sales_teams!$A$2:$A$100,
[1]sales_teams!$B$2:$B$100)</f>
        <v>Melvin Marxen</v>
      </c>
      <c r="D4521" t="str">
        <f>_xlfn.XLOOKUP($B4521,sales_teams!$A$2:$A$36,sales_teams!C$2:C$36)</f>
        <v>Central</v>
      </c>
      <c r="E4521" t="s">
        <v>39</v>
      </c>
      <c r="F4521" t="s">
        <v>213</v>
      </c>
      <c r="G4521" t="s">
        <v>46</v>
      </c>
      <c r="H4521" s="1">
        <v>42921</v>
      </c>
      <c r="I4521" s="1">
        <v>42929</v>
      </c>
      <c r="J4521">
        <v>0</v>
      </c>
    </row>
    <row r="4522" spans="1:10" x14ac:dyDescent="0.3">
      <c r="A4522" t="s">
        <v>4653</v>
      </c>
      <c r="B4522" t="s">
        <v>116</v>
      </c>
      <c r="C4522" t="str">
        <f>_xlfn.XLOOKUP(B4522,
[1]sales_teams!$A$2:$A$100,
[1]sales_teams!$B$2:$B$100)</f>
        <v>Melvin Marxen</v>
      </c>
      <c r="D4522" t="str">
        <f>_xlfn.XLOOKUP($B4522,sales_teams!$A$2:$A$36,sales_teams!C$2:C$36)</f>
        <v>Central</v>
      </c>
      <c r="E4522" t="s">
        <v>39</v>
      </c>
      <c r="F4522" t="s">
        <v>21</v>
      </c>
      <c r="G4522" t="s">
        <v>12</v>
      </c>
      <c r="H4522" s="1">
        <v>42921</v>
      </c>
      <c r="I4522" s="1">
        <v>42955</v>
      </c>
      <c r="J4522">
        <v>3458</v>
      </c>
    </row>
    <row r="4523" spans="1:10" x14ac:dyDescent="0.3">
      <c r="A4523" t="s">
        <v>4654</v>
      </c>
      <c r="B4523" t="s">
        <v>51</v>
      </c>
      <c r="C4523" t="str">
        <f>_xlfn.XLOOKUP(B4523,
[1]sales_teams!$A$2:$A$100,
[1]sales_teams!$B$2:$B$100)</f>
        <v>Summer Sewald</v>
      </c>
      <c r="D4523" t="str">
        <f>_xlfn.XLOOKUP($B4523,sales_teams!$A$2:$A$36,sales_teams!C$2:C$36)</f>
        <v>West</v>
      </c>
      <c r="E4523" t="s">
        <v>48</v>
      </c>
      <c r="F4523" t="s">
        <v>79</v>
      </c>
      <c r="G4523" t="s">
        <v>46</v>
      </c>
      <c r="H4523" s="1">
        <v>42921</v>
      </c>
      <c r="I4523" s="1">
        <v>42929</v>
      </c>
      <c r="J4523">
        <v>0</v>
      </c>
    </row>
    <row r="4524" spans="1:10" x14ac:dyDescent="0.3">
      <c r="A4524" t="s">
        <v>4655</v>
      </c>
      <c r="B4524" t="s">
        <v>57</v>
      </c>
      <c r="C4524" t="str">
        <f>_xlfn.XLOOKUP(B4524,
[1]sales_teams!$A$2:$A$100,
[1]sales_teams!$B$2:$B$100)</f>
        <v>Celia Rouche</v>
      </c>
      <c r="D4524" t="str">
        <f>_xlfn.XLOOKUP($B4524,sales_teams!$A$2:$A$36,sales_teams!C$2:C$36)</f>
        <v>West</v>
      </c>
      <c r="E4524" t="s">
        <v>18</v>
      </c>
      <c r="F4524" t="s">
        <v>168</v>
      </c>
      <c r="G4524" t="s">
        <v>46</v>
      </c>
      <c r="H4524" s="1">
        <v>42921</v>
      </c>
      <c r="I4524" s="1">
        <v>42923</v>
      </c>
      <c r="J4524">
        <v>0</v>
      </c>
    </row>
    <row r="4525" spans="1:10" x14ac:dyDescent="0.3">
      <c r="A4525" t="s">
        <v>4656</v>
      </c>
      <c r="B4525" t="s">
        <v>88</v>
      </c>
      <c r="C4525" t="str">
        <f>_xlfn.XLOOKUP(B4525,
[1]sales_teams!$A$2:$A$100,
[1]sales_teams!$B$2:$B$100)</f>
        <v>Cara Losch</v>
      </c>
      <c r="D4525" t="str">
        <f>_xlfn.XLOOKUP($B4525,sales_teams!$A$2:$A$36,sales_teams!C$2:C$36)</f>
        <v>East</v>
      </c>
      <c r="E4525" t="s">
        <v>39</v>
      </c>
      <c r="F4525" t="s">
        <v>179</v>
      </c>
      <c r="G4525" t="s">
        <v>40</v>
      </c>
      <c r="H4525" s="1">
        <v>42921</v>
      </c>
    </row>
    <row r="4526" spans="1:10" x14ac:dyDescent="0.3">
      <c r="A4526" t="s">
        <v>4657</v>
      </c>
      <c r="B4526" t="s">
        <v>88</v>
      </c>
      <c r="C4526" t="str">
        <f>_xlfn.XLOOKUP(B4526,
[1]sales_teams!$A$2:$A$100,
[1]sales_teams!$B$2:$B$100)</f>
        <v>Cara Losch</v>
      </c>
      <c r="D4526" t="str">
        <f>_xlfn.XLOOKUP($B4526,sales_teams!$A$2:$A$36,sales_teams!C$2:C$36)</f>
        <v>East</v>
      </c>
      <c r="E4526" t="s">
        <v>18</v>
      </c>
      <c r="F4526" t="s">
        <v>155</v>
      </c>
      <c r="G4526" t="s">
        <v>12</v>
      </c>
      <c r="H4526" s="1">
        <v>42921</v>
      </c>
      <c r="I4526" s="1">
        <v>42930</v>
      </c>
      <c r="J4526">
        <v>58</v>
      </c>
    </row>
    <row r="4527" spans="1:10" x14ac:dyDescent="0.3">
      <c r="A4527" t="s">
        <v>4658</v>
      </c>
      <c r="B4527" t="s">
        <v>61</v>
      </c>
      <c r="C4527" t="str">
        <f>_xlfn.XLOOKUP(B4527,
[1]sales_teams!$A$2:$A$100,
[1]sales_teams!$B$2:$B$100)</f>
        <v>Dustin Brinkmann</v>
      </c>
      <c r="D4527" t="str">
        <f>_xlfn.XLOOKUP($B4527,sales_teams!$A$2:$A$36,sales_teams!C$2:C$36)</f>
        <v>Central</v>
      </c>
      <c r="E4527" t="s">
        <v>18</v>
      </c>
      <c r="F4527" t="s">
        <v>21</v>
      </c>
      <c r="G4527" t="s">
        <v>46</v>
      </c>
      <c r="H4527" s="1">
        <v>42921</v>
      </c>
      <c r="I4527" s="1">
        <v>42926</v>
      </c>
      <c r="J4527">
        <v>0</v>
      </c>
    </row>
    <row r="4528" spans="1:10" x14ac:dyDescent="0.3">
      <c r="A4528" t="s">
        <v>4659</v>
      </c>
      <c r="B4528" t="s">
        <v>29</v>
      </c>
      <c r="C4528" t="str">
        <f>_xlfn.XLOOKUP(B4528,
[1]sales_teams!$A$2:$A$100,
[1]sales_teams!$B$2:$B$100)</f>
        <v>Celia Rouche</v>
      </c>
      <c r="D4528" t="str">
        <f>_xlfn.XLOOKUP($B4528,sales_teams!$A$2:$A$36,sales_teams!C$2:C$36)</f>
        <v>West</v>
      </c>
      <c r="E4528" t="s">
        <v>20</v>
      </c>
      <c r="F4528" t="s">
        <v>315</v>
      </c>
      <c r="G4528" t="s">
        <v>46</v>
      </c>
      <c r="H4528" s="1">
        <v>42921</v>
      </c>
      <c r="I4528" s="1">
        <v>42922</v>
      </c>
      <c r="J4528">
        <v>0</v>
      </c>
    </row>
    <row r="4529" spans="1:10" x14ac:dyDescent="0.3">
      <c r="A4529" t="s">
        <v>4660</v>
      </c>
      <c r="B4529" t="s">
        <v>23</v>
      </c>
      <c r="C4529" t="str">
        <f>_xlfn.XLOOKUP(B4529,
[1]sales_teams!$A$2:$A$100,
[1]sales_teams!$B$2:$B$100)</f>
        <v>Summer Sewald</v>
      </c>
      <c r="D4529" t="str">
        <f>_xlfn.XLOOKUP($B4529,sales_teams!$A$2:$A$36,sales_teams!C$2:C$36)</f>
        <v>West</v>
      </c>
      <c r="E4529" t="s">
        <v>15</v>
      </c>
      <c r="F4529" t="s">
        <v>33</v>
      </c>
      <c r="G4529" t="s">
        <v>46</v>
      </c>
      <c r="H4529" s="1">
        <v>42921</v>
      </c>
      <c r="I4529" s="1">
        <v>42933</v>
      </c>
      <c r="J4529">
        <v>0</v>
      </c>
    </row>
    <row r="4530" spans="1:10" x14ac:dyDescent="0.3">
      <c r="A4530" t="s">
        <v>4661</v>
      </c>
      <c r="B4530" t="s">
        <v>23</v>
      </c>
      <c r="C4530" t="str">
        <f>_xlfn.XLOOKUP(B4530,
[1]sales_teams!$A$2:$A$100,
[1]sales_teams!$B$2:$B$100)</f>
        <v>Summer Sewald</v>
      </c>
      <c r="D4530" t="str">
        <f>_xlfn.XLOOKUP($B4530,sales_teams!$A$2:$A$36,sales_teams!C$2:C$36)</f>
        <v>West</v>
      </c>
      <c r="E4530" t="s">
        <v>20</v>
      </c>
      <c r="F4530" t="s">
        <v>159</v>
      </c>
      <c r="G4530" t="s">
        <v>12</v>
      </c>
      <c r="H4530" s="1">
        <v>42921</v>
      </c>
      <c r="I4530" s="1">
        <v>42998</v>
      </c>
      <c r="J4530">
        <v>658</v>
      </c>
    </row>
    <row r="4531" spans="1:10" x14ac:dyDescent="0.3">
      <c r="A4531" t="s">
        <v>4662</v>
      </c>
      <c r="B4531" t="s">
        <v>26</v>
      </c>
      <c r="C4531" t="str">
        <f>_xlfn.XLOOKUP(B4531,
[1]sales_teams!$A$2:$A$100,
[1]sales_teams!$B$2:$B$100)</f>
        <v>Dustin Brinkmann</v>
      </c>
      <c r="D4531" t="str">
        <f>_xlfn.XLOOKUP($B4531,sales_teams!$A$2:$A$36,sales_teams!C$2:C$36)</f>
        <v>Central</v>
      </c>
      <c r="E4531" t="s">
        <v>48</v>
      </c>
      <c r="F4531" t="s">
        <v>62</v>
      </c>
      <c r="G4531" t="s">
        <v>46</v>
      </c>
      <c r="H4531" s="1">
        <v>42922</v>
      </c>
      <c r="I4531" s="1">
        <v>42932</v>
      </c>
      <c r="J4531">
        <v>0</v>
      </c>
    </row>
    <row r="4532" spans="1:10" x14ac:dyDescent="0.3">
      <c r="A4532" t="s">
        <v>4663</v>
      </c>
      <c r="B4532" t="s">
        <v>118</v>
      </c>
      <c r="C4532" t="str">
        <f>_xlfn.XLOOKUP(B4532,
[1]sales_teams!$A$2:$A$100,
[1]sales_teams!$B$2:$B$100)</f>
        <v>Rocco Neubert</v>
      </c>
      <c r="D4532" t="str">
        <f>_xlfn.XLOOKUP($B4532,sales_teams!$A$2:$A$36,sales_teams!C$2:C$36)</f>
        <v>East</v>
      </c>
      <c r="E4532" t="s">
        <v>48</v>
      </c>
      <c r="F4532" t="s">
        <v>410</v>
      </c>
      <c r="G4532" t="s">
        <v>46</v>
      </c>
      <c r="H4532" s="1">
        <v>42922</v>
      </c>
      <c r="I4532" s="1">
        <v>42923</v>
      </c>
      <c r="J4532">
        <v>0</v>
      </c>
    </row>
    <row r="4533" spans="1:10" x14ac:dyDescent="0.3">
      <c r="A4533" t="s">
        <v>4664</v>
      </c>
      <c r="B4533" t="s">
        <v>118</v>
      </c>
      <c r="C4533" t="str">
        <f>_xlfn.XLOOKUP(B4533,
[1]sales_teams!$A$2:$A$100,
[1]sales_teams!$B$2:$B$100)</f>
        <v>Rocco Neubert</v>
      </c>
      <c r="D4533" t="str">
        <f>_xlfn.XLOOKUP($B4533,sales_teams!$A$2:$A$36,sales_teams!C$2:C$36)</f>
        <v>East</v>
      </c>
      <c r="E4533" t="s">
        <v>48</v>
      </c>
      <c r="F4533" t="s">
        <v>215</v>
      </c>
      <c r="G4533" t="s">
        <v>12</v>
      </c>
      <c r="H4533" s="1">
        <v>42922</v>
      </c>
      <c r="I4533" s="1">
        <v>42979</v>
      </c>
      <c r="J4533">
        <v>4791</v>
      </c>
    </row>
    <row r="4534" spans="1:10" x14ac:dyDescent="0.3">
      <c r="A4534" t="s">
        <v>4665</v>
      </c>
      <c r="B4534" t="s">
        <v>202</v>
      </c>
      <c r="C4534" t="str">
        <f>_xlfn.XLOOKUP(B4534,
[1]sales_teams!$A$2:$A$100,
[1]sales_teams!$B$2:$B$100)</f>
        <v>Dustin Brinkmann</v>
      </c>
      <c r="D4534" t="str">
        <f>_xlfn.XLOOKUP($B4534,sales_teams!$A$2:$A$36,sales_teams!C$2:C$36)</f>
        <v>Central</v>
      </c>
      <c r="E4534" t="s">
        <v>20</v>
      </c>
      <c r="F4534" t="s">
        <v>318</v>
      </c>
      <c r="G4534" t="s">
        <v>12</v>
      </c>
      <c r="H4534" s="1">
        <v>42922</v>
      </c>
      <c r="I4534" s="1">
        <v>42924</v>
      </c>
      <c r="J4534">
        <v>590</v>
      </c>
    </row>
    <row r="4535" spans="1:10" x14ac:dyDescent="0.3">
      <c r="A4535" t="s">
        <v>4666</v>
      </c>
      <c r="B4535" t="s">
        <v>202</v>
      </c>
      <c r="C4535" t="str">
        <f>_xlfn.XLOOKUP(B4535,
[1]sales_teams!$A$2:$A$100,
[1]sales_teams!$B$2:$B$100)</f>
        <v>Dustin Brinkmann</v>
      </c>
      <c r="D4535" t="str">
        <f>_xlfn.XLOOKUP($B4535,sales_teams!$A$2:$A$36,sales_teams!C$2:C$36)</f>
        <v>Central</v>
      </c>
      <c r="E4535" t="s">
        <v>48</v>
      </c>
      <c r="F4535" t="s">
        <v>16</v>
      </c>
      <c r="G4535" t="s">
        <v>12</v>
      </c>
      <c r="H4535" s="1">
        <v>42922</v>
      </c>
      <c r="I4535" s="1">
        <v>42930</v>
      </c>
      <c r="J4535">
        <v>5629</v>
      </c>
    </row>
    <row r="4536" spans="1:10" x14ac:dyDescent="0.3">
      <c r="A4536" t="s">
        <v>4667</v>
      </c>
      <c r="B4536" t="s">
        <v>164</v>
      </c>
      <c r="C4536" t="str">
        <f>_xlfn.XLOOKUP(B4536,
[1]sales_teams!$A$2:$A$100,
[1]sales_teams!$B$2:$B$100)</f>
        <v>Cara Losch</v>
      </c>
      <c r="D4536" t="str">
        <f>_xlfn.XLOOKUP($B4536,sales_teams!$A$2:$A$36,sales_teams!C$2:C$36)</f>
        <v>East</v>
      </c>
      <c r="E4536" t="s">
        <v>10</v>
      </c>
      <c r="G4536" t="s">
        <v>40</v>
      </c>
      <c r="H4536" s="1">
        <v>42922</v>
      </c>
    </row>
    <row r="4537" spans="1:10" x14ac:dyDescent="0.3">
      <c r="A4537" t="s">
        <v>4668</v>
      </c>
      <c r="B4537" t="s">
        <v>164</v>
      </c>
      <c r="C4537" t="str">
        <f>_xlfn.XLOOKUP(B4537,
[1]sales_teams!$A$2:$A$100,
[1]sales_teams!$B$2:$B$100)</f>
        <v>Cara Losch</v>
      </c>
      <c r="D4537" t="str">
        <f>_xlfn.XLOOKUP($B4537,sales_teams!$A$2:$A$36,sales_teams!C$2:C$36)</f>
        <v>East</v>
      </c>
      <c r="E4537" t="s">
        <v>15</v>
      </c>
      <c r="F4537" t="s">
        <v>74</v>
      </c>
      <c r="G4537" t="s">
        <v>46</v>
      </c>
      <c r="H4537" s="1">
        <v>42922</v>
      </c>
      <c r="I4537" s="1">
        <v>42931</v>
      </c>
      <c r="J4537">
        <v>0</v>
      </c>
    </row>
    <row r="4538" spans="1:10" x14ac:dyDescent="0.3">
      <c r="A4538" t="s">
        <v>4669</v>
      </c>
      <c r="B4538" t="s">
        <v>64</v>
      </c>
      <c r="C4538" t="str">
        <f>_xlfn.XLOOKUP(B4538,
[1]sales_teams!$A$2:$A$100,
[1]sales_teams!$B$2:$B$100)</f>
        <v>Rocco Neubert</v>
      </c>
      <c r="D4538" t="str">
        <f>_xlfn.XLOOKUP($B4538,sales_teams!$A$2:$A$36,sales_teams!C$2:C$36)</f>
        <v>East</v>
      </c>
      <c r="E4538" t="s">
        <v>39</v>
      </c>
      <c r="G4538" t="s">
        <v>40</v>
      </c>
      <c r="H4538" s="1">
        <v>42922</v>
      </c>
    </row>
    <row r="4539" spans="1:10" x14ac:dyDescent="0.3">
      <c r="A4539" t="s">
        <v>4670</v>
      </c>
      <c r="B4539" t="s">
        <v>64</v>
      </c>
      <c r="C4539" t="str">
        <f>_xlfn.XLOOKUP(B4539,
[1]sales_teams!$A$2:$A$100,
[1]sales_teams!$B$2:$B$100)</f>
        <v>Rocco Neubert</v>
      </c>
      <c r="D4539" t="str">
        <f>_xlfn.XLOOKUP($B4539,sales_teams!$A$2:$A$36,sales_teams!C$2:C$36)</f>
        <v>East</v>
      </c>
      <c r="E4539" t="s">
        <v>48</v>
      </c>
      <c r="F4539" t="s">
        <v>222</v>
      </c>
      <c r="G4539" t="s">
        <v>46</v>
      </c>
      <c r="H4539" s="1">
        <v>42922</v>
      </c>
      <c r="I4539" s="1">
        <v>42934</v>
      </c>
      <c r="J4539">
        <v>0</v>
      </c>
    </row>
    <row r="4540" spans="1:10" x14ac:dyDescent="0.3">
      <c r="A4540" t="s">
        <v>4671</v>
      </c>
      <c r="B4540" t="s">
        <v>64</v>
      </c>
      <c r="C4540" t="str">
        <f>_xlfn.XLOOKUP(B4540,
[1]sales_teams!$A$2:$A$100,
[1]sales_teams!$B$2:$B$100)</f>
        <v>Rocco Neubert</v>
      </c>
      <c r="D4540" t="str">
        <f>_xlfn.XLOOKUP($B4540,sales_teams!$A$2:$A$36,sales_teams!C$2:C$36)</f>
        <v>East</v>
      </c>
      <c r="E4540" t="s">
        <v>15</v>
      </c>
      <c r="F4540" t="s">
        <v>65</v>
      </c>
      <c r="G4540" t="s">
        <v>46</v>
      </c>
      <c r="H4540" s="1">
        <v>42922</v>
      </c>
      <c r="I4540" s="1">
        <v>42923</v>
      </c>
      <c r="J4540">
        <v>0</v>
      </c>
    </row>
    <row r="4541" spans="1:10" x14ac:dyDescent="0.3">
      <c r="A4541" t="s">
        <v>4672</v>
      </c>
      <c r="B4541" t="s">
        <v>14</v>
      </c>
      <c r="C4541" t="str">
        <f>_xlfn.XLOOKUP(B4541,
[1]sales_teams!$A$2:$A$100,
[1]sales_teams!$B$2:$B$100)</f>
        <v>Melvin Marxen</v>
      </c>
      <c r="D4541" t="str">
        <f>_xlfn.XLOOKUP($B4541,sales_teams!$A$2:$A$36,sales_teams!C$2:C$36)</f>
        <v>Central</v>
      </c>
      <c r="E4541" t="s">
        <v>15</v>
      </c>
      <c r="F4541" t="s">
        <v>492</v>
      </c>
      <c r="G4541" t="s">
        <v>12</v>
      </c>
      <c r="H4541" s="1">
        <v>42922</v>
      </c>
      <c r="I4541" s="1">
        <v>42990</v>
      </c>
      <c r="J4541">
        <v>4323</v>
      </c>
    </row>
    <row r="4542" spans="1:10" x14ac:dyDescent="0.3">
      <c r="A4542" t="s">
        <v>4673</v>
      </c>
      <c r="B4542" t="s">
        <v>14</v>
      </c>
      <c r="C4542" t="str">
        <f>_xlfn.XLOOKUP(B4542,
[1]sales_teams!$A$2:$A$100,
[1]sales_teams!$B$2:$B$100)</f>
        <v>Melvin Marxen</v>
      </c>
      <c r="D4542" t="str">
        <f>_xlfn.XLOOKUP($B4542,sales_teams!$A$2:$A$36,sales_teams!C$2:C$36)</f>
        <v>Central</v>
      </c>
      <c r="E4542" t="s">
        <v>15</v>
      </c>
      <c r="F4542" t="s">
        <v>62</v>
      </c>
      <c r="G4542" t="s">
        <v>12</v>
      </c>
      <c r="H4542" s="1">
        <v>42922</v>
      </c>
      <c r="I4542" s="1">
        <v>42928</v>
      </c>
      <c r="J4542">
        <v>5085</v>
      </c>
    </row>
    <row r="4543" spans="1:10" x14ac:dyDescent="0.3">
      <c r="A4543" t="s">
        <v>4674</v>
      </c>
      <c r="B4543" t="s">
        <v>142</v>
      </c>
      <c r="C4543" t="str">
        <f>_xlfn.XLOOKUP(B4543,
[1]sales_teams!$A$2:$A$100,
[1]sales_teams!$B$2:$B$100)</f>
        <v>Rocco Neubert</v>
      </c>
      <c r="D4543" t="str">
        <f>_xlfn.XLOOKUP($B4543,sales_teams!$A$2:$A$36,sales_teams!C$2:C$36)</f>
        <v>East</v>
      </c>
      <c r="E4543" t="s">
        <v>39</v>
      </c>
      <c r="F4543" t="s">
        <v>89</v>
      </c>
      <c r="G4543" t="s">
        <v>12</v>
      </c>
      <c r="H4543" s="1">
        <v>42922</v>
      </c>
      <c r="I4543" s="1">
        <v>42933</v>
      </c>
      <c r="J4543">
        <v>2996</v>
      </c>
    </row>
    <row r="4544" spans="1:10" x14ac:dyDescent="0.3">
      <c r="A4544" t="s">
        <v>4675</v>
      </c>
      <c r="B4544" t="s">
        <v>105</v>
      </c>
      <c r="C4544" t="str">
        <f>_xlfn.XLOOKUP(B4544,
[1]sales_teams!$A$2:$A$100,
[1]sales_teams!$B$2:$B$100)</f>
        <v>Cara Losch</v>
      </c>
      <c r="D4544" t="str">
        <f>_xlfn.XLOOKUP($B4544,sales_teams!$A$2:$A$36,sales_teams!C$2:C$36)</f>
        <v>East</v>
      </c>
      <c r="E4544" t="s">
        <v>15</v>
      </c>
      <c r="F4544" t="s">
        <v>218</v>
      </c>
      <c r="G4544" t="s">
        <v>12</v>
      </c>
      <c r="H4544" s="1">
        <v>42922</v>
      </c>
      <c r="I4544" s="1">
        <v>42930</v>
      </c>
      <c r="J4544">
        <v>4682</v>
      </c>
    </row>
    <row r="4545" spans="1:10" x14ac:dyDescent="0.3">
      <c r="A4545" t="s">
        <v>4676</v>
      </c>
      <c r="B4545" t="s">
        <v>54</v>
      </c>
      <c r="C4545" t="str">
        <f>_xlfn.XLOOKUP(B4545,
[1]sales_teams!$A$2:$A$100,
[1]sales_teams!$B$2:$B$100)</f>
        <v>Celia Rouche</v>
      </c>
      <c r="D4545" t="str">
        <f>_xlfn.XLOOKUP($B4545,sales_teams!$A$2:$A$36,sales_teams!C$2:C$36)</f>
        <v>West</v>
      </c>
      <c r="E4545" t="s">
        <v>39</v>
      </c>
      <c r="F4545" t="s">
        <v>52</v>
      </c>
      <c r="G4545" t="s">
        <v>12</v>
      </c>
      <c r="H4545" s="1">
        <v>42922</v>
      </c>
      <c r="I4545" s="1">
        <v>42930</v>
      </c>
      <c r="J4545">
        <v>3250</v>
      </c>
    </row>
    <row r="4546" spans="1:10" x14ac:dyDescent="0.3">
      <c r="A4546" t="s">
        <v>4677</v>
      </c>
      <c r="B4546" t="s">
        <v>78</v>
      </c>
      <c r="C4546" t="str">
        <f>_xlfn.XLOOKUP(B4546,
[1]sales_teams!$A$2:$A$100,
[1]sales_teams!$B$2:$B$100)</f>
        <v>Summer Sewald</v>
      </c>
      <c r="D4546" t="str">
        <f>_xlfn.XLOOKUP($B4546,sales_teams!$A$2:$A$36,sales_teams!C$2:C$36)</f>
        <v>West</v>
      </c>
      <c r="E4546" t="s">
        <v>20</v>
      </c>
      <c r="F4546" t="s">
        <v>100</v>
      </c>
      <c r="G4546" t="s">
        <v>46</v>
      </c>
      <c r="H4546" s="1">
        <v>42922</v>
      </c>
      <c r="I4546" s="1">
        <v>42928</v>
      </c>
      <c r="J4546">
        <v>0</v>
      </c>
    </row>
    <row r="4547" spans="1:10" x14ac:dyDescent="0.3">
      <c r="A4547" t="s">
        <v>4678</v>
      </c>
      <c r="B4547" t="s">
        <v>95</v>
      </c>
      <c r="C4547" t="str">
        <f>_xlfn.XLOOKUP(B4547,
[1]sales_teams!$A$2:$A$100,
[1]sales_teams!$B$2:$B$100)</f>
        <v>Summer Sewald</v>
      </c>
      <c r="D4547" t="str">
        <f>_xlfn.XLOOKUP($B4547,sales_teams!$A$2:$A$36,sales_teams!C$2:C$36)</f>
        <v>West</v>
      </c>
      <c r="E4547" t="s">
        <v>15</v>
      </c>
      <c r="F4547" t="s">
        <v>155</v>
      </c>
      <c r="G4547" t="s">
        <v>46</v>
      </c>
      <c r="H4547" s="1">
        <v>42922</v>
      </c>
      <c r="I4547" s="1">
        <v>42932</v>
      </c>
      <c r="J4547">
        <v>0</v>
      </c>
    </row>
    <row r="4548" spans="1:10" x14ac:dyDescent="0.3">
      <c r="A4548" t="s">
        <v>4679</v>
      </c>
      <c r="B4548" t="s">
        <v>95</v>
      </c>
      <c r="C4548" t="str">
        <f>_xlfn.XLOOKUP(B4548,
[1]sales_teams!$A$2:$A$100,
[1]sales_teams!$B$2:$B$100)</f>
        <v>Summer Sewald</v>
      </c>
      <c r="D4548" t="str">
        <f>_xlfn.XLOOKUP($B4548,sales_teams!$A$2:$A$36,sales_teams!C$2:C$36)</f>
        <v>West</v>
      </c>
      <c r="E4548" t="s">
        <v>15</v>
      </c>
      <c r="F4548" t="s">
        <v>155</v>
      </c>
      <c r="G4548" t="s">
        <v>12</v>
      </c>
      <c r="H4548" s="1">
        <v>42922</v>
      </c>
      <c r="I4548" s="1">
        <v>42984</v>
      </c>
      <c r="J4548">
        <v>5323</v>
      </c>
    </row>
    <row r="4549" spans="1:10" x14ac:dyDescent="0.3">
      <c r="A4549" t="s">
        <v>4680</v>
      </c>
      <c r="B4549" t="s">
        <v>116</v>
      </c>
      <c r="C4549" t="str">
        <f>_xlfn.XLOOKUP(B4549,
[1]sales_teams!$A$2:$A$100,
[1]sales_teams!$B$2:$B$100)</f>
        <v>Melvin Marxen</v>
      </c>
      <c r="D4549" t="str">
        <f>_xlfn.XLOOKUP($B4549,sales_teams!$A$2:$A$36,sales_teams!C$2:C$36)</f>
        <v>Central</v>
      </c>
      <c r="E4549" t="s">
        <v>20</v>
      </c>
      <c r="F4549" t="s">
        <v>218</v>
      </c>
      <c r="G4549" t="s">
        <v>46</v>
      </c>
      <c r="H4549" s="1">
        <v>42922</v>
      </c>
      <c r="I4549" s="1">
        <v>42923</v>
      </c>
      <c r="J4549">
        <v>0</v>
      </c>
    </row>
    <row r="4550" spans="1:10" x14ac:dyDescent="0.3">
      <c r="A4550" t="s">
        <v>4681</v>
      </c>
      <c r="B4550" t="s">
        <v>116</v>
      </c>
      <c r="C4550" t="str">
        <f>_xlfn.XLOOKUP(B4550,
[1]sales_teams!$A$2:$A$100,
[1]sales_teams!$B$2:$B$100)</f>
        <v>Melvin Marxen</v>
      </c>
      <c r="D4550" t="str">
        <f>_xlfn.XLOOKUP($B4550,sales_teams!$A$2:$A$36,sales_teams!C$2:C$36)</f>
        <v>Central</v>
      </c>
      <c r="E4550" t="s">
        <v>48</v>
      </c>
      <c r="F4550" t="s">
        <v>135</v>
      </c>
      <c r="G4550" t="s">
        <v>12</v>
      </c>
      <c r="H4550" s="1">
        <v>42922</v>
      </c>
      <c r="I4550" s="1">
        <v>42923</v>
      </c>
      <c r="J4550">
        <v>5966</v>
      </c>
    </row>
    <row r="4551" spans="1:10" x14ac:dyDescent="0.3">
      <c r="A4551" t="s">
        <v>4682</v>
      </c>
      <c r="B4551" t="s">
        <v>51</v>
      </c>
      <c r="C4551" t="str">
        <f>_xlfn.XLOOKUP(B4551,
[1]sales_teams!$A$2:$A$100,
[1]sales_teams!$B$2:$B$100)</f>
        <v>Summer Sewald</v>
      </c>
      <c r="D4551" t="str">
        <f>_xlfn.XLOOKUP($B4551,sales_teams!$A$2:$A$36,sales_teams!C$2:C$36)</f>
        <v>West</v>
      </c>
      <c r="E4551" t="s">
        <v>15</v>
      </c>
      <c r="G4551" t="s">
        <v>40</v>
      </c>
      <c r="H4551" s="1">
        <v>42922</v>
      </c>
    </row>
    <row r="4552" spans="1:10" x14ac:dyDescent="0.3">
      <c r="A4552" t="s">
        <v>4683</v>
      </c>
      <c r="B4552" t="s">
        <v>51</v>
      </c>
      <c r="C4552" t="str">
        <f>_xlfn.XLOOKUP(B4552,
[1]sales_teams!$A$2:$A$100,
[1]sales_teams!$B$2:$B$100)</f>
        <v>Summer Sewald</v>
      </c>
      <c r="D4552" t="str">
        <f>_xlfn.XLOOKUP($B4552,sales_teams!$A$2:$A$36,sales_teams!C$2:C$36)</f>
        <v>West</v>
      </c>
      <c r="E4552" t="s">
        <v>39</v>
      </c>
      <c r="F4552" t="s">
        <v>86</v>
      </c>
      <c r="G4552" t="s">
        <v>12</v>
      </c>
      <c r="H4552" s="1">
        <v>42922</v>
      </c>
      <c r="I4552" s="1">
        <v>42932</v>
      </c>
      <c r="J4552">
        <v>3452</v>
      </c>
    </row>
    <row r="4553" spans="1:10" x14ac:dyDescent="0.3">
      <c r="A4553" t="s">
        <v>4684</v>
      </c>
      <c r="B4553" t="s">
        <v>9</v>
      </c>
      <c r="C4553" t="str">
        <f>_xlfn.XLOOKUP(B4553,
[1]sales_teams!$A$2:$A$100,
[1]sales_teams!$B$2:$B$100)</f>
        <v>Dustin Brinkmann</v>
      </c>
      <c r="D4553" t="str">
        <f>_xlfn.XLOOKUP($B4553,sales_teams!$A$2:$A$36,sales_teams!C$2:C$36)</f>
        <v>Central</v>
      </c>
      <c r="E4553" t="s">
        <v>18</v>
      </c>
      <c r="F4553" t="s">
        <v>170</v>
      </c>
      <c r="G4553" t="s">
        <v>46</v>
      </c>
      <c r="H4553" s="1">
        <v>42922</v>
      </c>
      <c r="I4553" s="1">
        <v>42933</v>
      </c>
      <c r="J4553">
        <v>0</v>
      </c>
    </row>
    <row r="4554" spans="1:10" x14ac:dyDescent="0.3">
      <c r="A4554" t="s">
        <v>4685</v>
      </c>
      <c r="B4554" t="s">
        <v>9</v>
      </c>
      <c r="C4554" t="str">
        <f>_xlfn.XLOOKUP(B4554,
[1]sales_teams!$A$2:$A$100,
[1]sales_teams!$B$2:$B$100)</f>
        <v>Dustin Brinkmann</v>
      </c>
      <c r="D4554" t="str">
        <f>_xlfn.XLOOKUP($B4554,sales_teams!$A$2:$A$36,sales_teams!C$2:C$36)</f>
        <v>Central</v>
      </c>
      <c r="E4554" t="s">
        <v>39</v>
      </c>
      <c r="F4554" t="s">
        <v>111</v>
      </c>
      <c r="G4554" t="s">
        <v>46</v>
      </c>
      <c r="H4554" s="1">
        <v>42922</v>
      </c>
      <c r="I4554" s="1">
        <v>42929</v>
      </c>
      <c r="J4554">
        <v>0</v>
      </c>
    </row>
    <row r="4555" spans="1:10" x14ac:dyDescent="0.3">
      <c r="A4555" t="s">
        <v>4686</v>
      </c>
      <c r="B4555" t="s">
        <v>57</v>
      </c>
      <c r="C4555" t="str">
        <f>_xlfn.XLOOKUP(B4555,
[1]sales_teams!$A$2:$A$100,
[1]sales_teams!$B$2:$B$100)</f>
        <v>Celia Rouche</v>
      </c>
      <c r="D4555" t="str">
        <f>_xlfn.XLOOKUP($B4555,sales_teams!$A$2:$A$36,sales_teams!C$2:C$36)</f>
        <v>West</v>
      </c>
      <c r="E4555" t="s">
        <v>20</v>
      </c>
      <c r="F4555" t="s">
        <v>86</v>
      </c>
      <c r="G4555" t="s">
        <v>46</v>
      </c>
      <c r="H4555" s="1">
        <v>42922</v>
      </c>
      <c r="I4555" s="1">
        <v>42927</v>
      </c>
      <c r="J4555">
        <v>0</v>
      </c>
    </row>
    <row r="4556" spans="1:10" x14ac:dyDescent="0.3">
      <c r="A4556" t="s">
        <v>4687</v>
      </c>
      <c r="B4556" t="s">
        <v>29</v>
      </c>
      <c r="C4556" t="str">
        <f>_xlfn.XLOOKUP(B4556,
[1]sales_teams!$A$2:$A$100,
[1]sales_teams!$B$2:$B$100)</f>
        <v>Celia Rouche</v>
      </c>
      <c r="D4556" t="str">
        <f>_xlfn.XLOOKUP($B4556,sales_teams!$A$2:$A$36,sales_teams!C$2:C$36)</f>
        <v>West</v>
      </c>
      <c r="E4556" t="s">
        <v>20</v>
      </c>
      <c r="F4556" t="s">
        <v>194</v>
      </c>
      <c r="G4556" t="s">
        <v>12</v>
      </c>
      <c r="H4556" s="1">
        <v>42922</v>
      </c>
      <c r="I4556" s="1">
        <v>42929</v>
      </c>
      <c r="J4556">
        <v>583</v>
      </c>
    </row>
    <row r="4557" spans="1:10" x14ac:dyDescent="0.3">
      <c r="A4557" t="s">
        <v>4688</v>
      </c>
      <c r="B4557" t="s">
        <v>73</v>
      </c>
      <c r="C4557" t="str">
        <f>_xlfn.XLOOKUP(B4557,
[1]sales_teams!$A$2:$A$100,
[1]sales_teams!$B$2:$B$100)</f>
        <v>Cara Losch</v>
      </c>
      <c r="D4557" t="str">
        <f>_xlfn.XLOOKUP($B4557,sales_teams!$A$2:$A$36,sales_teams!C$2:C$36)</f>
        <v>East</v>
      </c>
      <c r="E4557" t="s">
        <v>18</v>
      </c>
      <c r="F4557" t="s">
        <v>177</v>
      </c>
      <c r="G4557" t="s">
        <v>46</v>
      </c>
      <c r="H4557" s="1">
        <v>42922</v>
      </c>
      <c r="I4557" s="1">
        <v>42932</v>
      </c>
      <c r="J4557">
        <v>0</v>
      </c>
    </row>
    <row r="4558" spans="1:10" x14ac:dyDescent="0.3">
      <c r="A4558" t="s">
        <v>4689</v>
      </c>
      <c r="B4558" t="s">
        <v>23</v>
      </c>
      <c r="C4558" t="str">
        <f>_xlfn.XLOOKUP(B4558,
[1]sales_teams!$A$2:$A$100,
[1]sales_teams!$B$2:$B$100)</f>
        <v>Summer Sewald</v>
      </c>
      <c r="D4558" t="str">
        <f>_xlfn.XLOOKUP($B4558,sales_teams!$A$2:$A$36,sales_teams!C$2:C$36)</f>
        <v>West</v>
      </c>
      <c r="E4558" t="s">
        <v>10</v>
      </c>
      <c r="F4558" t="s">
        <v>148</v>
      </c>
      <c r="G4558" t="s">
        <v>46</v>
      </c>
      <c r="H4558" s="1">
        <v>42922</v>
      </c>
      <c r="I4558" s="1">
        <v>42929</v>
      </c>
      <c r="J4558">
        <v>0</v>
      </c>
    </row>
    <row r="4559" spans="1:10" x14ac:dyDescent="0.3">
      <c r="A4559" t="s">
        <v>4690</v>
      </c>
      <c r="B4559" t="s">
        <v>23</v>
      </c>
      <c r="C4559" t="str">
        <f>_xlfn.XLOOKUP(B4559,
[1]sales_teams!$A$2:$A$100,
[1]sales_teams!$B$2:$B$100)</f>
        <v>Summer Sewald</v>
      </c>
      <c r="D4559" t="str">
        <f>_xlfn.XLOOKUP($B4559,sales_teams!$A$2:$A$36,sales_teams!C$2:C$36)</f>
        <v>West</v>
      </c>
      <c r="E4559" t="s">
        <v>20</v>
      </c>
      <c r="F4559" t="s">
        <v>30</v>
      </c>
      <c r="G4559" t="s">
        <v>12</v>
      </c>
      <c r="H4559" s="1">
        <v>42922</v>
      </c>
      <c r="I4559" s="1">
        <v>43005</v>
      </c>
      <c r="J4559">
        <v>507</v>
      </c>
    </row>
    <row r="4560" spans="1:10" x14ac:dyDescent="0.3">
      <c r="A4560" t="s">
        <v>4691</v>
      </c>
      <c r="B4560" t="s">
        <v>26</v>
      </c>
      <c r="C4560" t="str">
        <f>_xlfn.XLOOKUP(B4560,
[1]sales_teams!$A$2:$A$100,
[1]sales_teams!$B$2:$B$100)</f>
        <v>Dustin Brinkmann</v>
      </c>
      <c r="D4560" t="str">
        <f>_xlfn.XLOOKUP($B4560,sales_teams!$A$2:$A$36,sales_teams!C$2:C$36)</f>
        <v>Central</v>
      </c>
      <c r="E4560" t="s">
        <v>20</v>
      </c>
      <c r="F4560" t="s">
        <v>318</v>
      </c>
      <c r="G4560" t="s">
        <v>46</v>
      </c>
      <c r="H4560" s="1">
        <v>42923</v>
      </c>
      <c r="I4560" s="1">
        <v>42931</v>
      </c>
      <c r="J4560">
        <v>0</v>
      </c>
    </row>
    <row r="4561" spans="1:10" x14ac:dyDescent="0.3">
      <c r="A4561" t="s">
        <v>4692</v>
      </c>
      <c r="B4561" t="s">
        <v>26</v>
      </c>
      <c r="C4561" t="str">
        <f>_xlfn.XLOOKUP(B4561,
[1]sales_teams!$A$2:$A$100,
[1]sales_teams!$B$2:$B$100)</f>
        <v>Dustin Brinkmann</v>
      </c>
      <c r="D4561" t="str">
        <f>_xlfn.XLOOKUP($B4561,sales_teams!$A$2:$A$36,sales_teams!C$2:C$36)</f>
        <v>Central</v>
      </c>
      <c r="E4561" t="s">
        <v>18</v>
      </c>
      <c r="F4561" t="s">
        <v>151</v>
      </c>
      <c r="G4561" t="s">
        <v>46</v>
      </c>
      <c r="H4561" s="1">
        <v>42923</v>
      </c>
      <c r="I4561" s="1">
        <v>42929</v>
      </c>
      <c r="J4561">
        <v>0</v>
      </c>
    </row>
    <row r="4562" spans="1:10" x14ac:dyDescent="0.3">
      <c r="A4562" t="s">
        <v>4693</v>
      </c>
      <c r="B4562" t="s">
        <v>139</v>
      </c>
      <c r="C4562" t="str">
        <f>_xlfn.XLOOKUP(B4562,
[1]sales_teams!$A$2:$A$100,
[1]sales_teams!$B$2:$B$100)</f>
        <v>Rocco Neubert</v>
      </c>
      <c r="D4562" t="str">
        <f>_xlfn.XLOOKUP($B4562,sales_teams!$A$2:$A$36,sales_teams!C$2:C$36)</f>
        <v>East</v>
      </c>
      <c r="E4562" t="s">
        <v>15</v>
      </c>
      <c r="G4562" t="s">
        <v>40</v>
      </c>
      <c r="H4562" s="1">
        <v>42923</v>
      </c>
    </row>
    <row r="4563" spans="1:10" x14ac:dyDescent="0.3">
      <c r="A4563" t="s">
        <v>4694</v>
      </c>
      <c r="B4563" t="s">
        <v>139</v>
      </c>
      <c r="C4563" t="str">
        <f>_xlfn.XLOOKUP(B4563,
[1]sales_teams!$A$2:$A$100,
[1]sales_teams!$B$2:$B$100)</f>
        <v>Rocco Neubert</v>
      </c>
      <c r="D4563" t="str">
        <f>_xlfn.XLOOKUP($B4563,sales_teams!$A$2:$A$36,sales_teams!C$2:C$36)</f>
        <v>East</v>
      </c>
      <c r="E4563" t="s">
        <v>20</v>
      </c>
      <c r="F4563" t="s">
        <v>204</v>
      </c>
      <c r="G4563" t="s">
        <v>12</v>
      </c>
      <c r="H4563" s="1">
        <v>42923</v>
      </c>
      <c r="I4563" s="1">
        <v>42925</v>
      </c>
      <c r="J4563">
        <v>574</v>
      </c>
    </row>
    <row r="4564" spans="1:10" x14ac:dyDescent="0.3">
      <c r="A4564" t="s">
        <v>4695</v>
      </c>
      <c r="B4564" t="s">
        <v>118</v>
      </c>
      <c r="C4564" t="str">
        <f>_xlfn.XLOOKUP(B4564,
[1]sales_teams!$A$2:$A$100,
[1]sales_teams!$B$2:$B$100)</f>
        <v>Rocco Neubert</v>
      </c>
      <c r="D4564" t="str">
        <f>_xlfn.XLOOKUP($B4564,sales_teams!$A$2:$A$36,sales_teams!C$2:C$36)</f>
        <v>East</v>
      </c>
      <c r="E4564" t="s">
        <v>10</v>
      </c>
      <c r="F4564" t="s">
        <v>189</v>
      </c>
      <c r="G4564" t="s">
        <v>40</v>
      </c>
      <c r="H4564" s="1">
        <v>42923</v>
      </c>
    </row>
    <row r="4565" spans="1:10" x14ac:dyDescent="0.3">
      <c r="A4565" t="s">
        <v>4696</v>
      </c>
      <c r="B4565" t="s">
        <v>118</v>
      </c>
      <c r="C4565" t="str">
        <f>_xlfn.XLOOKUP(B4565,
[1]sales_teams!$A$2:$A$100,
[1]sales_teams!$B$2:$B$100)</f>
        <v>Rocco Neubert</v>
      </c>
      <c r="D4565" t="str">
        <f>_xlfn.XLOOKUP($B4565,sales_teams!$A$2:$A$36,sales_teams!C$2:C$36)</f>
        <v>East</v>
      </c>
      <c r="E4565" t="s">
        <v>18</v>
      </c>
      <c r="F4565" t="s">
        <v>140</v>
      </c>
      <c r="G4565" t="s">
        <v>12</v>
      </c>
      <c r="H4565" s="1">
        <v>42923</v>
      </c>
      <c r="I4565" s="1">
        <v>42985</v>
      </c>
      <c r="J4565">
        <v>48</v>
      </c>
    </row>
    <row r="4566" spans="1:10" x14ac:dyDescent="0.3">
      <c r="A4566" t="s">
        <v>4697</v>
      </c>
      <c r="B4566" t="s">
        <v>202</v>
      </c>
      <c r="C4566" t="str">
        <f>_xlfn.XLOOKUP(B4566,
[1]sales_teams!$A$2:$A$100,
[1]sales_teams!$B$2:$B$100)</f>
        <v>Dustin Brinkmann</v>
      </c>
      <c r="D4566" t="str">
        <f>_xlfn.XLOOKUP($B4566,sales_teams!$A$2:$A$36,sales_teams!C$2:C$36)</f>
        <v>Central</v>
      </c>
      <c r="E4566" t="s">
        <v>18</v>
      </c>
      <c r="F4566" t="s">
        <v>187</v>
      </c>
      <c r="G4566" t="s">
        <v>46</v>
      </c>
      <c r="H4566" s="1">
        <v>42923</v>
      </c>
      <c r="I4566" s="1">
        <v>42933</v>
      </c>
      <c r="J4566">
        <v>0</v>
      </c>
    </row>
    <row r="4567" spans="1:10" x14ac:dyDescent="0.3">
      <c r="A4567" t="s">
        <v>4698</v>
      </c>
      <c r="B4567" t="s">
        <v>202</v>
      </c>
      <c r="C4567" t="str">
        <f>_xlfn.XLOOKUP(B4567,
[1]sales_teams!$A$2:$A$100,
[1]sales_teams!$B$2:$B$100)</f>
        <v>Dustin Brinkmann</v>
      </c>
      <c r="D4567" t="str">
        <f>_xlfn.XLOOKUP($B4567,sales_teams!$A$2:$A$36,sales_teams!C$2:C$36)</f>
        <v>Central</v>
      </c>
      <c r="E4567" t="s">
        <v>20</v>
      </c>
      <c r="F4567" t="s">
        <v>16</v>
      </c>
      <c r="G4567" t="s">
        <v>12</v>
      </c>
      <c r="H4567" s="1">
        <v>42923</v>
      </c>
      <c r="I4567" s="1">
        <v>42931</v>
      </c>
      <c r="J4567">
        <v>458</v>
      </c>
    </row>
    <row r="4568" spans="1:10" x14ac:dyDescent="0.3">
      <c r="A4568" t="s">
        <v>4699</v>
      </c>
      <c r="B4568" t="s">
        <v>202</v>
      </c>
      <c r="C4568" t="str">
        <f>_xlfn.XLOOKUP(B4568,
[1]sales_teams!$A$2:$A$100,
[1]sales_teams!$B$2:$B$100)</f>
        <v>Dustin Brinkmann</v>
      </c>
      <c r="D4568" t="str">
        <f>_xlfn.XLOOKUP($B4568,sales_teams!$A$2:$A$36,sales_teams!C$2:C$36)</f>
        <v>Central</v>
      </c>
      <c r="E4568" t="s">
        <v>48</v>
      </c>
      <c r="F4568" t="s">
        <v>21</v>
      </c>
      <c r="G4568" t="s">
        <v>12</v>
      </c>
      <c r="H4568" s="1">
        <v>42923</v>
      </c>
      <c r="I4568" s="1">
        <v>42996</v>
      </c>
      <c r="J4568">
        <v>5455</v>
      </c>
    </row>
    <row r="4569" spans="1:10" x14ac:dyDescent="0.3">
      <c r="A4569" t="s">
        <v>4700</v>
      </c>
      <c r="B4569" t="s">
        <v>164</v>
      </c>
      <c r="C4569" t="str">
        <f>_xlfn.XLOOKUP(B4569,
[1]sales_teams!$A$2:$A$100,
[1]sales_teams!$B$2:$B$100)</f>
        <v>Cara Losch</v>
      </c>
      <c r="D4569" t="str">
        <f>_xlfn.XLOOKUP($B4569,sales_teams!$A$2:$A$36,sales_teams!C$2:C$36)</f>
        <v>East</v>
      </c>
      <c r="E4569" t="s">
        <v>20</v>
      </c>
      <c r="F4569" t="s">
        <v>143</v>
      </c>
      <c r="G4569" t="s">
        <v>46</v>
      </c>
      <c r="H4569" s="1">
        <v>42923</v>
      </c>
      <c r="I4569" s="1">
        <v>42930</v>
      </c>
      <c r="J4569">
        <v>0</v>
      </c>
    </row>
    <row r="4570" spans="1:10" x14ac:dyDescent="0.3">
      <c r="A4570" t="s">
        <v>4701</v>
      </c>
      <c r="B4570" t="s">
        <v>164</v>
      </c>
      <c r="C4570" t="str">
        <f>_xlfn.XLOOKUP(B4570,
[1]sales_teams!$A$2:$A$100,
[1]sales_teams!$B$2:$B$100)</f>
        <v>Cara Losch</v>
      </c>
      <c r="D4570" t="str">
        <f>_xlfn.XLOOKUP($B4570,sales_teams!$A$2:$A$36,sales_teams!C$2:C$36)</f>
        <v>East</v>
      </c>
      <c r="E4570" t="s">
        <v>48</v>
      </c>
      <c r="F4570" t="s">
        <v>155</v>
      </c>
      <c r="G4570" t="s">
        <v>12</v>
      </c>
      <c r="H4570" s="1">
        <v>42923</v>
      </c>
      <c r="I4570" s="1">
        <v>42995</v>
      </c>
      <c r="J4570">
        <v>5666</v>
      </c>
    </row>
    <row r="4571" spans="1:10" x14ac:dyDescent="0.3">
      <c r="A4571" t="s">
        <v>4702</v>
      </c>
      <c r="B4571" t="s">
        <v>64</v>
      </c>
      <c r="C4571" t="str">
        <f>_xlfn.XLOOKUP(B4571,
[1]sales_teams!$A$2:$A$100,
[1]sales_teams!$B$2:$B$100)</f>
        <v>Rocco Neubert</v>
      </c>
      <c r="D4571" t="str">
        <f>_xlfn.XLOOKUP($B4571,sales_teams!$A$2:$A$36,sales_teams!C$2:C$36)</f>
        <v>East</v>
      </c>
      <c r="E4571" t="s">
        <v>10</v>
      </c>
      <c r="F4571" t="s">
        <v>745</v>
      </c>
      <c r="G4571" t="s">
        <v>12</v>
      </c>
      <c r="H4571" s="1">
        <v>42923</v>
      </c>
      <c r="I4571" s="1">
        <v>42925</v>
      </c>
      <c r="J4571">
        <v>1107</v>
      </c>
    </row>
    <row r="4572" spans="1:10" x14ac:dyDescent="0.3">
      <c r="A4572" t="s">
        <v>4703</v>
      </c>
      <c r="B4572" t="s">
        <v>64</v>
      </c>
      <c r="C4572" t="str">
        <f>_xlfn.XLOOKUP(B4572,
[1]sales_teams!$A$2:$A$100,
[1]sales_teams!$B$2:$B$100)</f>
        <v>Rocco Neubert</v>
      </c>
      <c r="D4572" t="str">
        <f>_xlfn.XLOOKUP($B4572,sales_teams!$A$2:$A$36,sales_teams!C$2:C$36)</f>
        <v>East</v>
      </c>
      <c r="E4572" t="s">
        <v>15</v>
      </c>
      <c r="F4572" t="s">
        <v>98</v>
      </c>
      <c r="G4572" t="s">
        <v>12</v>
      </c>
      <c r="H4572" s="1">
        <v>42923</v>
      </c>
      <c r="I4572" s="1">
        <v>42924</v>
      </c>
      <c r="J4572">
        <v>4089</v>
      </c>
    </row>
    <row r="4573" spans="1:10" x14ac:dyDescent="0.3">
      <c r="A4573" t="s">
        <v>4704</v>
      </c>
      <c r="B4573" t="s">
        <v>142</v>
      </c>
      <c r="C4573" t="str">
        <f>_xlfn.XLOOKUP(B4573,
[1]sales_teams!$A$2:$A$100,
[1]sales_teams!$B$2:$B$100)</f>
        <v>Rocco Neubert</v>
      </c>
      <c r="D4573" t="str">
        <f>_xlfn.XLOOKUP($B4573,sales_teams!$A$2:$A$36,sales_teams!C$2:C$36)</f>
        <v>East</v>
      </c>
      <c r="E4573" t="s">
        <v>20</v>
      </c>
      <c r="F4573" t="s">
        <v>177</v>
      </c>
      <c r="G4573" t="s">
        <v>12</v>
      </c>
      <c r="H4573" s="1">
        <v>42923</v>
      </c>
      <c r="I4573" s="1">
        <v>42986</v>
      </c>
      <c r="J4573">
        <v>498</v>
      </c>
    </row>
    <row r="4574" spans="1:10" x14ac:dyDescent="0.3">
      <c r="A4574" t="s">
        <v>4705</v>
      </c>
      <c r="B4574" t="s">
        <v>67</v>
      </c>
      <c r="C4574" t="str">
        <f>_xlfn.XLOOKUP(B4574,
[1]sales_teams!$A$2:$A$100,
[1]sales_teams!$B$2:$B$100)</f>
        <v>Celia Rouche</v>
      </c>
      <c r="D4574" t="str">
        <f>_xlfn.XLOOKUP($B4574,sales_teams!$A$2:$A$36,sales_teams!C$2:C$36)</f>
        <v>West</v>
      </c>
      <c r="E4574" t="s">
        <v>39</v>
      </c>
      <c r="F4574" t="s">
        <v>24</v>
      </c>
      <c r="G4574" t="s">
        <v>46</v>
      </c>
      <c r="H4574" s="1">
        <v>42923</v>
      </c>
      <c r="I4574" s="1">
        <v>42985</v>
      </c>
      <c r="J4574">
        <v>0</v>
      </c>
    </row>
    <row r="4575" spans="1:10" x14ac:dyDescent="0.3">
      <c r="A4575" t="s">
        <v>4706</v>
      </c>
      <c r="B4575" t="s">
        <v>252</v>
      </c>
      <c r="C4575" t="str">
        <f>_xlfn.XLOOKUP(B4575,
[1]sales_teams!$A$2:$A$100,
[1]sales_teams!$B$2:$B$100)</f>
        <v>Melvin Marxen</v>
      </c>
      <c r="D4575" t="str">
        <f>_xlfn.XLOOKUP($B4575,sales_teams!$A$2:$A$36,sales_teams!C$2:C$36)</f>
        <v>Central</v>
      </c>
      <c r="E4575" t="s">
        <v>18</v>
      </c>
      <c r="F4575" t="s">
        <v>197</v>
      </c>
      <c r="G4575" t="s">
        <v>12</v>
      </c>
      <c r="H4575" s="1">
        <v>42923</v>
      </c>
      <c r="I4575" s="1">
        <v>42927</v>
      </c>
      <c r="J4575">
        <v>64</v>
      </c>
    </row>
    <row r="4576" spans="1:10" x14ac:dyDescent="0.3">
      <c r="A4576" t="s">
        <v>4707</v>
      </c>
      <c r="B4576" t="s">
        <v>78</v>
      </c>
      <c r="C4576" t="str">
        <f>_xlfn.XLOOKUP(B4576,
[1]sales_teams!$A$2:$A$100,
[1]sales_teams!$B$2:$B$100)</f>
        <v>Summer Sewald</v>
      </c>
      <c r="D4576" t="str">
        <f>_xlfn.XLOOKUP($B4576,sales_teams!$A$2:$A$36,sales_teams!C$2:C$36)</f>
        <v>West</v>
      </c>
      <c r="E4576" t="s">
        <v>39</v>
      </c>
      <c r="F4576" t="s">
        <v>93</v>
      </c>
      <c r="G4576" t="s">
        <v>46</v>
      </c>
      <c r="H4576" s="1">
        <v>42923</v>
      </c>
      <c r="I4576" s="1">
        <v>42925</v>
      </c>
      <c r="J4576">
        <v>0</v>
      </c>
    </row>
    <row r="4577" spans="1:10" x14ac:dyDescent="0.3">
      <c r="A4577" t="s">
        <v>4708</v>
      </c>
      <c r="B4577" t="s">
        <v>95</v>
      </c>
      <c r="C4577" t="str">
        <f>_xlfn.XLOOKUP(B4577,
[1]sales_teams!$A$2:$A$100,
[1]sales_teams!$B$2:$B$100)</f>
        <v>Summer Sewald</v>
      </c>
      <c r="D4577" t="str">
        <f>_xlfn.XLOOKUP($B4577,sales_teams!$A$2:$A$36,sales_teams!C$2:C$36)</f>
        <v>West</v>
      </c>
      <c r="E4577" t="s">
        <v>48</v>
      </c>
      <c r="F4577" t="s">
        <v>120</v>
      </c>
      <c r="G4577" t="s">
        <v>40</v>
      </c>
      <c r="H4577" s="1">
        <v>42923</v>
      </c>
    </row>
    <row r="4578" spans="1:10" x14ac:dyDescent="0.3">
      <c r="A4578" t="s">
        <v>4709</v>
      </c>
      <c r="B4578" t="s">
        <v>95</v>
      </c>
      <c r="C4578" t="str">
        <f>_xlfn.XLOOKUP(B4578,
[1]sales_teams!$A$2:$A$100,
[1]sales_teams!$B$2:$B$100)</f>
        <v>Summer Sewald</v>
      </c>
      <c r="D4578" t="str">
        <f>_xlfn.XLOOKUP($B4578,sales_teams!$A$2:$A$36,sales_teams!C$2:C$36)</f>
        <v>West</v>
      </c>
      <c r="E4578" t="s">
        <v>20</v>
      </c>
      <c r="F4578" t="s">
        <v>199</v>
      </c>
      <c r="G4578" t="s">
        <v>46</v>
      </c>
      <c r="H4578" s="1">
        <v>42923</v>
      </c>
      <c r="I4578" s="1">
        <v>42925</v>
      </c>
      <c r="J4578">
        <v>0</v>
      </c>
    </row>
    <row r="4579" spans="1:10" x14ac:dyDescent="0.3">
      <c r="A4579" t="s">
        <v>4710</v>
      </c>
      <c r="B4579" t="s">
        <v>95</v>
      </c>
      <c r="C4579" t="str">
        <f>_xlfn.XLOOKUP(B4579,
[1]sales_teams!$A$2:$A$100,
[1]sales_teams!$B$2:$B$100)</f>
        <v>Summer Sewald</v>
      </c>
      <c r="D4579" t="str">
        <f>_xlfn.XLOOKUP($B4579,sales_teams!$A$2:$A$36,sales_teams!C$2:C$36)</f>
        <v>West</v>
      </c>
      <c r="E4579" t="s">
        <v>20</v>
      </c>
      <c r="F4579" t="s">
        <v>55</v>
      </c>
      <c r="G4579" t="s">
        <v>12</v>
      </c>
      <c r="H4579" s="1">
        <v>42923</v>
      </c>
      <c r="I4579" s="1">
        <v>42925</v>
      </c>
      <c r="J4579">
        <v>565</v>
      </c>
    </row>
    <row r="4580" spans="1:10" x14ac:dyDescent="0.3">
      <c r="A4580" t="s">
        <v>4711</v>
      </c>
      <c r="B4580" t="s">
        <v>95</v>
      </c>
      <c r="C4580" t="str">
        <f>_xlfn.XLOOKUP(B4580,
[1]sales_teams!$A$2:$A$100,
[1]sales_teams!$B$2:$B$100)</f>
        <v>Summer Sewald</v>
      </c>
      <c r="D4580" t="str">
        <f>_xlfn.XLOOKUP($B4580,sales_teams!$A$2:$A$36,sales_teams!C$2:C$36)</f>
        <v>West</v>
      </c>
      <c r="E4580" t="s">
        <v>20</v>
      </c>
      <c r="F4580" t="s">
        <v>155</v>
      </c>
      <c r="G4580" t="s">
        <v>12</v>
      </c>
      <c r="H4580" s="1">
        <v>42923</v>
      </c>
      <c r="I4580" s="1">
        <v>42933</v>
      </c>
      <c r="J4580">
        <v>579</v>
      </c>
    </row>
    <row r="4581" spans="1:10" x14ac:dyDescent="0.3">
      <c r="A4581" t="s">
        <v>4712</v>
      </c>
      <c r="B4581" t="s">
        <v>133</v>
      </c>
      <c r="C4581" t="str">
        <f>_xlfn.XLOOKUP(B4581,
[1]sales_teams!$A$2:$A$100,
[1]sales_teams!$B$2:$B$100)</f>
        <v>Dustin Brinkmann</v>
      </c>
      <c r="D4581" t="str">
        <f>_xlfn.XLOOKUP($B4581,sales_teams!$A$2:$A$36,sales_teams!C$2:C$36)</f>
        <v>Central</v>
      </c>
      <c r="E4581" t="s">
        <v>18</v>
      </c>
      <c r="F4581" t="s">
        <v>315</v>
      </c>
      <c r="G4581" t="s">
        <v>12</v>
      </c>
      <c r="H4581" s="1">
        <v>42923</v>
      </c>
      <c r="I4581" s="1">
        <v>42989</v>
      </c>
      <c r="J4581">
        <v>56</v>
      </c>
    </row>
    <row r="4582" spans="1:10" x14ac:dyDescent="0.3">
      <c r="A4582" t="s">
        <v>4713</v>
      </c>
      <c r="B4582" t="s">
        <v>32</v>
      </c>
      <c r="C4582" t="str">
        <f>_xlfn.XLOOKUP(B4582,
[1]sales_teams!$A$2:$A$100,
[1]sales_teams!$B$2:$B$100)</f>
        <v>Celia Rouche</v>
      </c>
      <c r="D4582" t="str">
        <f>_xlfn.XLOOKUP($B4582,sales_teams!$A$2:$A$36,sales_teams!C$2:C$36)</f>
        <v>West</v>
      </c>
      <c r="E4582" t="s">
        <v>15</v>
      </c>
      <c r="F4582" t="s">
        <v>59</v>
      </c>
      <c r="G4582" t="s">
        <v>12</v>
      </c>
      <c r="H4582" s="1">
        <v>42923</v>
      </c>
      <c r="I4582" s="1">
        <v>42983</v>
      </c>
      <c r="J4582">
        <v>4063</v>
      </c>
    </row>
    <row r="4583" spans="1:10" x14ac:dyDescent="0.3">
      <c r="A4583" t="s">
        <v>4714</v>
      </c>
      <c r="B4583" t="s">
        <v>116</v>
      </c>
      <c r="C4583" t="str">
        <f>_xlfn.XLOOKUP(B4583,
[1]sales_teams!$A$2:$A$100,
[1]sales_teams!$B$2:$B$100)</f>
        <v>Melvin Marxen</v>
      </c>
      <c r="D4583" t="str">
        <f>_xlfn.XLOOKUP($B4583,sales_teams!$A$2:$A$36,sales_teams!C$2:C$36)</f>
        <v>Central</v>
      </c>
      <c r="E4583" t="s">
        <v>10</v>
      </c>
      <c r="F4583" t="s">
        <v>318</v>
      </c>
      <c r="G4583" t="s">
        <v>12</v>
      </c>
      <c r="H4583" s="1">
        <v>42923</v>
      </c>
      <c r="I4583" s="1">
        <v>42933</v>
      </c>
      <c r="J4583">
        <v>1193</v>
      </c>
    </row>
    <row r="4584" spans="1:10" x14ac:dyDescent="0.3">
      <c r="A4584" t="s">
        <v>4715</v>
      </c>
      <c r="B4584" t="s">
        <v>9</v>
      </c>
      <c r="C4584" t="str">
        <f>_xlfn.XLOOKUP(B4584,
[1]sales_teams!$A$2:$A$100,
[1]sales_teams!$B$2:$B$100)</f>
        <v>Dustin Brinkmann</v>
      </c>
      <c r="D4584" t="str">
        <f>_xlfn.XLOOKUP($B4584,sales_teams!$A$2:$A$36,sales_teams!C$2:C$36)</f>
        <v>Central</v>
      </c>
      <c r="E4584" t="s">
        <v>20</v>
      </c>
      <c r="F4584" t="s">
        <v>231</v>
      </c>
      <c r="G4584" t="s">
        <v>46</v>
      </c>
      <c r="H4584" s="1">
        <v>42923</v>
      </c>
      <c r="I4584" s="1">
        <v>42931</v>
      </c>
      <c r="J4584">
        <v>0</v>
      </c>
    </row>
    <row r="4585" spans="1:10" x14ac:dyDescent="0.3">
      <c r="A4585" t="s">
        <v>4716</v>
      </c>
      <c r="B4585" t="s">
        <v>35</v>
      </c>
      <c r="C4585" t="str">
        <f>_xlfn.XLOOKUP(B4585,
[1]sales_teams!$A$2:$A$100,
[1]sales_teams!$B$2:$B$100)</f>
        <v>Melvin Marxen</v>
      </c>
      <c r="D4585" t="str">
        <f>_xlfn.XLOOKUP($B4585,sales_teams!$A$2:$A$36,sales_teams!C$2:C$36)</f>
        <v>Central</v>
      </c>
      <c r="E4585" t="s">
        <v>10</v>
      </c>
      <c r="F4585" t="s">
        <v>303</v>
      </c>
      <c r="G4585" t="s">
        <v>12</v>
      </c>
      <c r="H4585" s="1">
        <v>42923</v>
      </c>
      <c r="I4585" s="1">
        <v>42927</v>
      </c>
      <c r="J4585">
        <v>1088</v>
      </c>
    </row>
    <row r="4586" spans="1:10" x14ac:dyDescent="0.3">
      <c r="A4586" t="s">
        <v>4717</v>
      </c>
      <c r="B4586" t="s">
        <v>97</v>
      </c>
      <c r="C4586" t="str">
        <f>_xlfn.XLOOKUP(B4586,
[1]sales_teams!$A$2:$A$100,
[1]sales_teams!$B$2:$B$100)</f>
        <v>Rocco Neubert</v>
      </c>
      <c r="D4586" t="str">
        <f>_xlfn.XLOOKUP($B4586,sales_teams!$A$2:$A$36,sales_teams!C$2:C$36)</f>
        <v>East</v>
      </c>
      <c r="E4586" t="s">
        <v>10</v>
      </c>
      <c r="F4586" t="s">
        <v>65</v>
      </c>
      <c r="G4586" t="s">
        <v>46</v>
      </c>
      <c r="H4586" s="1">
        <v>42923</v>
      </c>
      <c r="I4586" s="1">
        <v>42995</v>
      </c>
      <c r="J4586">
        <v>0</v>
      </c>
    </row>
    <row r="4587" spans="1:10" x14ac:dyDescent="0.3">
      <c r="A4587" t="s">
        <v>4718</v>
      </c>
      <c r="B4587" t="s">
        <v>57</v>
      </c>
      <c r="C4587" t="str">
        <f>_xlfn.XLOOKUP(B4587,
[1]sales_teams!$A$2:$A$100,
[1]sales_teams!$B$2:$B$100)</f>
        <v>Celia Rouche</v>
      </c>
      <c r="D4587" t="str">
        <f>_xlfn.XLOOKUP($B4587,sales_teams!$A$2:$A$36,sales_teams!C$2:C$36)</f>
        <v>West</v>
      </c>
      <c r="E4587" t="s">
        <v>18</v>
      </c>
      <c r="F4587" t="s">
        <v>93</v>
      </c>
      <c r="G4587" t="s">
        <v>12</v>
      </c>
      <c r="H4587" s="1">
        <v>42923</v>
      </c>
      <c r="I4587" s="1">
        <v>42989</v>
      </c>
      <c r="J4587">
        <v>58</v>
      </c>
    </row>
    <row r="4588" spans="1:10" x14ac:dyDescent="0.3">
      <c r="A4588" t="s">
        <v>4719</v>
      </c>
      <c r="B4588" t="s">
        <v>88</v>
      </c>
      <c r="C4588" t="str">
        <f>_xlfn.XLOOKUP(B4588,
[1]sales_teams!$A$2:$A$100,
[1]sales_teams!$B$2:$B$100)</f>
        <v>Cara Losch</v>
      </c>
      <c r="D4588" t="str">
        <f>_xlfn.XLOOKUP($B4588,sales_teams!$A$2:$A$36,sales_teams!C$2:C$36)</f>
        <v>East</v>
      </c>
      <c r="E4588" t="s">
        <v>48</v>
      </c>
      <c r="G4588" t="s">
        <v>40</v>
      </c>
      <c r="H4588" s="1">
        <v>42923</v>
      </c>
    </row>
    <row r="4589" spans="1:10" x14ac:dyDescent="0.3">
      <c r="A4589" t="s">
        <v>4720</v>
      </c>
      <c r="B4589" t="s">
        <v>29</v>
      </c>
      <c r="C4589" t="str">
        <f>_xlfn.XLOOKUP(B4589,
[1]sales_teams!$A$2:$A$100,
[1]sales_teams!$B$2:$B$100)</f>
        <v>Celia Rouche</v>
      </c>
      <c r="D4589" t="str">
        <f>_xlfn.XLOOKUP($B4589,sales_teams!$A$2:$A$36,sales_teams!C$2:C$36)</f>
        <v>West</v>
      </c>
      <c r="E4589" t="s">
        <v>39</v>
      </c>
      <c r="F4589" t="s">
        <v>122</v>
      </c>
      <c r="G4589" t="s">
        <v>46</v>
      </c>
      <c r="H4589" s="1">
        <v>42923</v>
      </c>
      <c r="I4589" s="1">
        <v>42925</v>
      </c>
      <c r="J4589">
        <v>0</v>
      </c>
    </row>
    <row r="4590" spans="1:10" x14ac:dyDescent="0.3">
      <c r="A4590" t="s">
        <v>4721</v>
      </c>
      <c r="B4590" t="s">
        <v>29</v>
      </c>
      <c r="C4590" t="str">
        <f>_xlfn.XLOOKUP(B4590,
[1]sales_teams!$A$2:$A$100,
[1]sales_teams!$B$2:$B$100)</f>
        <v>Celia Rouche</v>
      </c>
      <c r="D4590" t="str">
        <f>_xlfn.XLOOKUP($B4590,sales_teams!$A$2:$A$36,sales_teams!C$2:C$36)</f>
        <v>West</v>
      </c>
      <c r="E4590" t="s">
        <v>48</v>
      </c>
      <c r="F4590" t="s">
        <v>100</v>
      </c>
      <c r="G4590" t="s">
        <v>12</v>
      </c>
      <c r="H4590" s="1">
        <v>42923</v>
      </c>
      <c r="I4590" s="1">
        <v>42929</v>
      </c>
      <c r="J4590">
        <v>4466</v>
      </c>
    </row>
    <row r="4591" spans="1:10" x14ac:dyDescent="0.3">
      <c r="A4591" t="s">
        <v>4722</v>
      </c>
      <c r="B4591" t="s">
        <v>73</v>
      </c>
      <c r="C4591" t="str">
        <f>_xlfn.XLOOKUP(B4591,
[1]sales_teams!$A$2:$A$100,
[1]sales_teams!$B$2:$B$100)</f>
        <v>Cara Losch</v>
      </c>
      <c r="D4591" t="str">
        <f>_xlfn.XLOOKUP($B4591,sales_teams!$A$2:$A$36,sales_teams!C$2:C$36)</f>
        <v>East</v>
      </c>
      <c r="E4591" t="s">
        <v>18</v>
      </c>
      <c r="G4591" t="s">
        <v>40</v>
      </c>
      <c r="H4591" s="1">
        <v>42923</v>
      </c>
    </row>
    <row r="4592" spans="1:10" x14ac:dyDescent="0.3">
      <c r="A4592" t="s">
        <v>4723</v>
      </c>
      <c r="B4592" t="s">
        <v>73</v>
      </c>
      <c r="C4592" t="str">
        <f>_xlfn.XLOOKUP(B4592,
[1]sales_teams!$A$2:$A$100,
[1]sales_teams!$B$2:$B$100)</f>
        <v>Cara Losch</v>
      </c>
      <c r="D4592" t="str">
        <f>_xlfn.XLOOKUP($B4592,sales_teams!$A$2:$A$36,sales_teams!C$2:C$36)</f>
        <v>East</v>
      </c>
      <c r="E4592" t="s">
        <v>20</v>
      </c>
      <c r="F4592" t="s">
        <v>179</v>
      </c>
      <c r="G4592" t="s">
        <v>46</v>
      </c>
      <c r="H4592" s="1">
        <v>42923</v>
      </c>
      <c r="I4592" s="1">
        <v>42930</v>
      </c>
      <c r="J4592">
        <v>0</v>
      </c>
    </row>
    <row r="4593" spans="1:10" x14ac:dyDescent="0.3">
      <c r="A4593" t="s">
        <v>4724</v>
      </c>
      <c r="B4593" t="s">
        <v>73</v>
      </c>
      <c r="C4593" t="str">
        <f>_xlfn.XLOOKUP(B4593,
[1]sales_teams!$A$2:$A$100,
[1]sales_teams!$B$2:$B$100)</f>
        <v>Cara Losch</v>
      </c>
      <c r="D4593" t="str">
        <f>_xlfn.XLOOKUP($B4593,sales_teams!$A$2:$A$36,sales_teams!C$2:C$36)</f>
        <v>East</v>
      </c>
      <c r="E4593" t="s">
        <v>39</v>
      </c>
      <c r="F4593" t="s">
        <v>65</v>
      </c>
      <c r="G4593" t="s">
        <v>46</v>
      </c>
      <c r="H4593" s="1">
        <v>42923</v>
      </c>
      <c r="I4593" s="1">
        <v>42931</v>
      </c>
      <c r="J4593">
        <v>0</v>
      </c>
    </row>
    <row r="4594" spans="1:10" x14ac:dyDescent="0.3">
      <c r="A4594" t="s">
        <v>4725</v>
      </c>
      <c r="B4594" t="s">
        <v>26</v>
      </c>
      <c r="C4594" t="str">
        <f>_xlfn.XLOOKUP(B4594,
[1]sales_teams!$A$2:$A$100,
[1]sales_teams!$B$2:$B$100)</f>
        <v>Dustin Brinkmann</v>
      </c>
      <c r="D4594" t="str">
        <f>_xlfn.XLOOKUP($B4594,sales_teams!$A$2:$A$36,sales_teams!C$2:C$36)</f>
        <v>Central</v>
      </c>
      <c r="E4594" t="s">
        <v>18</v>
      </c>
      <c r="F4594" t="s">
        <v>109</v>
      </c>
      <c r="G4594" t="s">
        <v>12</v>
      </c>
      <c r="H4594" s="1">
        <v>42924</v>
      </c>
      <c r="I4594" s="1">
        <v>43045</v>
      </c>
      <c r="J4594">
        <v>55</v>
      </c>
    </row>
    <row r="4595" spans="1:10" x14ac:dyDescent="0.3">
      <c r="A4595" t="s">
        <v>4726</v>
      </c>
      <c r="B4595" t="s">
        <v>139</v>
      </c>
      <c r="C4595" t="str">
        <f>_xlfn.XLOOKUP(B4595,
[1]sales_teams!$A$2:$A$100,
[1]sales_teams!$B$2:$B$100)</f>
        <v>Rocco Neubert</v>
      </c>
      <c r="D4595" t="str">
        <f>_xlfn.XLOOKUP($B4595,sales_teams!$A$2:$A$36,sales_teams!C$2:C$36)</f>
        <v>East</v>
      </c>
      <c r="E4595" t="s">
        <v>20</v>
      </c>
      <c r="F4595" t="s">
        <v>129</v>
      </c>
      <c r="G4595" t="s">
        <v>40</v>
      </c>
      <c r="H4595" s="1">
        <v>42924</v>
      </c>
    </row>
    <row r="4596" spans="1:10" x14ac:dyDescent="0.3">
      <c r="A4596" t="s">
        <v>4727</v>
      </c>
      <c r="B4596" t="s">
        <v>118</v>
      </c>
      <c r="C4596" t="str">
        <f>_xlfn.XLOOKUP(B4596,
[1]sales_teams!$A$2:$A$100,
[1]sales_teams!$B$2:$B$100)</f>
        <v>Rocco Neubert</v>
      </c>
      <c r="D4596" t="str">
        <f>_xlfn.XLOOKUP($B4596,sales_teams!$A$2:$A$36,sales_teams!C$2:C$36)</f>
        <v>East</v>
      </c>
      <c r="E4596" t="s">
        <v>10</v>
      </c>
      <c r="F4596" t="s">
        <v>410</v>
      </c>
      <c r="G4596" t="s">
        <v>46</v>
      </c>
      <c r="H4596" s="1">
        <v>42924</v>
      </c>
      <c r="I4596" s="1">
        <v>42931</v>
      </c>
      <c r="J4596">
        <v>0</v>
      </c>
    </row>
    <row r="4597" spans="1:10" x14ac:dyDescent="0.3">
      <c r="A4597" t="s">
        <v>4728</v>
      </c>
      <c r="B4597" t="s">
        <v>118</v>
      </c>
      <c r="C4597" t="str">
        <f>_xlfn.XLOOKUP(B4597,
[1]sales_teams!$A$2:$A$100,
[1]sales_teams!$B$2:$B$100)</f>
        <v>Rocco Neubert</v>
      </c>
      <c r="D4597" t="str">
        <f>_xlfn.XLOOKUP($B4597,sales_teams!$A$2:$A$36,sales_teams!C$2:C$36)</f>
        <v>East</v>
      </c>
      <c r="E4597" t="s">
        <v>10</v>
      </c>
      <c r="F4597" t="s">
        <v>199</v>
      </c>
      <c r="G4597" t="s">
        <v>12</v>
      </c>
      <c r="H4597" s="1">
        <v>42924</v>
      </c>
      <c r="I4597" s="1">
        <v>42932</v>
      </c>
      <c r="J4597">
        <v>861</v>
      </c>
    </row>
    <row r="4598" spans="1:10" x14ac:dyDescent="0.3">
      <c r="A4598" t="s">
        <v>4729</v>
      </c>
      <c r="B4598" t="s">
        <v>164</v>
      </c>
      <c r="C4598" t="str">
        <f>_xlfn.XLOOKUP(B4598,
[1]sales_teams!$A$2:$A$100,
[1]sales_teams!$B$2:$B$100)</f>
        <v>Cara Losch</v>
      </c>
      <c r="D4598" t="str">
        <f>_xlfn.XLOOKUP($B4598,sales_teams!$A$2:$A$36,sales_teams!C$2:C$36)</f>
        <v>East</v>
      </c>
      <c r="E4598" t="s">
        <v>20</v>
      </c>
      <c r="F4598" t="s">
        <v>98</v>
      </c>
      <c r="G4598" t="s">
        <v>40</v>
      </c>
      <c r="H4598" s="1">
        <v>42924</v>
      </c>
    </row>
    <row r="4599" spans="1:10" x14ac:dyDescent="0.3">
      <c r="A4599" t="s">
        <v>4730</v>
      </c>
      <c r="B4599" t="s">
        <v>164</v>
      </c>
      <c r="C4599" t="str">
        <f>_xlfn.XLOOKUP(B4599,
[1]sales_teams!$A$2:$A$100,
[1]sales_teams!$B$2:$B$100)</f>
        <v>Cara Losch</v>
      </c>
      <c r="D4599" t="str">
        <f>_xlfn.XLOOKUP($B4599,sales_teams!$A$2:$A$36,sales_teams!C$2:C$36)</f>
        <v>East</v>
      </c>
      <c r="E4599" t="s">
        <v>39</v>
      </c>
      <c r="F4599" t="s">
        <v>215</v>
      </c>
      <c r="G4599" t="s">
        <v>46</v>
      </c>
      <c r="H4599" s="1">
        <v>42924</v>
      </c>
      <c r="I4599" s="1">
        <v>42925</v>
      </c>
      <c r="J4599">
        <v>0</v>
      </c>
    </row>
    <row r="4600" spans="1:10" x14ac:dyDescent="0.3">
      <c r="A4600" t="s">
        <v>4731</v>
      </c>
      <c r="B4600" t="s">
        <v>164</v>
      </c>
      <c r="C4600" t="str">
        <f>_xlfn.XLOOKUP(B4600,
[1]sales_teams!$A$2:$A$100,
[1]sales_teams!$B$2:$B$100)</f>
        <v>Cara Losch</v>
      </c>
      <c r="D4600" t="str">
        <f>_xlfn.XLOOKUP($B4600,sales_teams!$A$2:$A$36,sales_teams!C$2:C$36)</f>
        <v>East</v>
      </c>
      <c r="E4600" t="s">
        <v>15</v>
      </c>
      <c r="F4600" t="s">
        <v>189</v>
      </c>
      <c r="G4600" t="s">
        <v>12</v>
      </c>
      <c r="H4600" s="1">
        <v>42924</v>
      </c>
      <c r="I4600" s="1">
        <v>42935</v>
      </c>
      <c r="J4600">
        <v>5137</v>
      </c>
    </row>
    <row r="4601" spans="1:10" x14ac:dyDescent="0.3">
      <c r="A4601" t="s">
        <v>4732</v>
      </c>
      <c r="B4601" t="s">
        <v>14</v>
      </c>
      <c r="C4601" t="str">
        <f>_xlfn.XLOOKUP(B4601,
[1]sales_teams!$A$2:$A$100,
[1]sales_teams!$B$2:$B$100)</f>
        <v>Melvin Marxen</v>
      </c>
      <c r="D4601" t="str">
        <f>_xlfn.XLOOKUP($B4601,sales_teams!$A$2:$A$36,sales_teams!C$2:C$36)</f>
        <v>Central</v>
      </c>
      <c r="E4601" t="s">
        <v>18</v>
      </c>
      <c r="F4601" t="s">
        <v>303</v>
      </c>
      <c r="G4601" t="s">
        <v>12</v>
      </c>
      <c r="H4601" s="1">
        <v>42924</v>
      </c>
      <c r="I4601" s="1">
        <v>42932</v>
      </c>
      <c r="J4601">
        <v>54</v>
      </c>
    </row>
    <row r="4602" spans="1:10" x14ac:dyDescent="0.3">
      <c r="A4602" t="s">
        <v>4733</v>
      </c>
      <c r="B4602" t="s">
        <v>142</v>
      </c>
      <c r="C4602" t="str">
        <f>_xlfn.XLOOKUP(B4602,
[1]sales_teams!$A$2:$A$100,
[1]sales_teams!$B$2:$B$100)</f>
        <v>Rocco Neubert</v>
      </c>
      <c r="D4602" t="str">
        <f>_xlfn.XLOOKUP($B4602,sales_teams!$A$2:$A$36,sales_teams!C$2:C$36)</f>
        <v>East</v>
      </c>
      <c r="E4602" t="s">
        <v>10</v>
      </c>
      <c r="F4602" t="s">
        <v>179</v>
      </c>
      <c r="G4602" t="s">
        <v>12</v>
      </c>
      <c r="H4602" s="1">
        <v>42924</v>
      </c>
      <c r="I4602" s="1">
        <v>42930</v>
      </c>
      <c r="J4602">
        <v>1020</v>
      </c>
    </row>
    <row r="4603" spans="1:10" x14ac:dyDescent="0.3">
      <c r="A4603" t="s">
        <v>4734</v>
      </c>
      <c r="B4603" t="s">
        <v>142</v>
      </c>
      <c r="C4603" t="str">
        <f>_xlfn.XLOOKUP(B4603,
[1]sales_teams!$A$2:$A$100,
[1]sales_teams!$B$2:$B$100)</f>
        <v>Rocco Neubert</v>
      </c>
      <c r="D4603" t="str">
        <f>_xlfn.XLOOKUP($B4603,sales_teams!$A$2:$A$36,sales_teams!C$2:C$36)</f>
        <v>East</v>
      </c>
      <c r="E4603" t="s">
        <v>10</v>
      </c>
      <c r="F4603" t="s">
        <v>278</v>
      </c>
      <c r="G4603" t="s">
        <v>12</v>
      </c>
      <c r="H4603" s="1">
        <v>42924</v>
      </c>
      <c r="I4603" s="1">
        <v>43006</v>
      </c>
      <c r="J4603">
        <v>1136</v>
      </c>
    </row>
    <row r="4604" spans="1:10" x14ac:dyDescent="0.3">
      <c r="A4604" t="s">
        <v>4735</v>
      </c>
      <c r="B4604" t="s">
        <v>142</v>
      </c>
      <c r="C4604" t="str">
        <f>_xlfn.XLOOKUP(B4604,
[1]sales_teams!$A$2:$A$100,
[1]sales_teams!$B$2:$B$100)</f>
        <v>Rocco Neubert</v>
      </c>
      <c r="D4604" t="str">
        <f>_xlfn.XLOOKUP($B4604,sales_teams!$A$2:$A$36,sales_teams!C$2:C$36)</f>
        <v>East</v>
      </c>
      <c r="E4604" t="s">
        <v>18</v>
      </c>
      <c r="F4604" t="s">
        <v>199</v>
      </c>
      <c r="G4604" t="s">
        <v>12</v>
      </c>
      <c r="H4604" s="1">
        <v>42924</v>
      </c>
      <c r="I4604" s="1">
        <v>42930</v>
      </c>
      <c r="J4604">
        <v>55</v>
      </c>
    </row>
    <row r="4605" spans="1:10" x14ac:dyDescent="0.3">
      <c r="A4605" t="s">
        <v>4736</v>
      </c>
      <c r="B4605" t="s">
        <v>67</v>
      </c>
      <c r="C4605" t="str">
        <f>_xlfn.XLOOKUP(B4605,
[1]sales_teams!$A$2:$A$100,
[1]sales_teams!$B$2:$B$100)</f>
        <v>Celia Rouche</v>
      </c>
      <c r="D4605" t="str">
        <f>_xlfn.XLOOKUP($B4605,sales_teams!$A$2:$A$36,sales_teams!C$2:C$36)</f>
        <v>West</v>
      </c>
      <c r="E4605" t="s">
        <v>15</v>
      </c>
      <c r="F4605" t="s">
        <v>398</v>
      </c>
      <c r="G4605" t="s">
        <v>12</v>
      </c>
      <c r="H4605" s="1">
        <v>42924</v>
      </c>
      <c r="I4605" s="1">
        <v>42987</v>
      </c>
      <c r="J4605">
        <v>5097</v>
      </c>
    </row>
    <row r="4606" spans="1:10" x14ac:dyDescent="0.3">
      <c r="A4606" t="s">
        <v>4737</v>
      </c>
      <c r="B4606" t="s">
        <v>105</v>
      </c>
      <c r="C4606" t="str">
        <f>_xlfn.XLOOKUP(B4606,
[1]sales_teams!$A$2:$A$100,
[1]sales_teams!$B$2:$B$100)</f>
        <v>Cara Losch</v>
      </c>
      <c r="D4606" t="str">
        <f>_xlfn.XLOOKUP($B4606,sales_teams!$A$2:$A$36,sales_teams!C$2:C$36)</f>
        <v>East</v>
      </c>
      <c r="E4606" t="s">
        <v>20</v>
      </c>
      <c r="F4606" t="s">
        <v>179</v>
      </c>
      <c r="G4606" t="s">
        <v>12</v>
      </c>
      <c r="H4606" s="1">
        <v>42924</v>
      </c>
      <c r="I4606" s="1">
        <v>42925</v>
      </c>
      <c r="J4606">
        <v>483</v>
      </c>
    </row>
    <row r="4607" spans="1:10" x14ac:dyDescent="0.3">
      <c r="A4607" t="s">
        <v>4738</v>
      </c>
      <c r="B4607" t="s">
        <v>38</v>
      </c>
      <c r="C4607" t="str">
        <f>_xlfn.XLOOKUP(B4607,
[1]sales_teams!$A$2:$A$100,
[1]sales_teams!$B$2:$B$100)</f>
        <v>Summer Sewald</v>
      </c>
      <c r="D4607" t="str">
        <f>_xlfn.XLOOKUP($B4607,sales_teams!$A$2:$A$36,sales_teams!C$2:C$36)</f>
        <v>West</v>
      </c>
      <c r="E4607" t="s">
        <v>20</v>
      </c>
      <c r="G4607" t="s">
        <v>40</v>
      </c>
      <c r="H4607" s="1">
        <v>42924</v>
      </c>
    </row>
    <row r="4608" spans="1:10" x14ac:dyDescent="0.3">
      <c r="A4608" t="s">
        <v>4739</v>
      </c>
      <c r="B4608" t="s">
        <v>38</v>
      </c>
      <c r="C4608" t="str">
        <f>_xlfn.XLOOKUP(B4608,
[1]sales_teams!$A$2:$A$100,
[1]sales_teams!$B$2:$B$100)</f>
        <v>Summer Sewald</v>
      </c>
      <c r="D4608" t="str">
        <f>_xlfn.XLOOKUP($B4608,sales_teams!$A$2:$A$36,sales_teams!C$2:C$36)</f>
        <v>West</v>
      </c>
      <c r="E4608" t="s">
        <v>20</v>
      </c>
      <c r="F4608" t="s">
        <v>79</v>
      </c>
      <c r="G4608" t="s">
        <v>12</v>
      </c>
      <c r="H4608" s="1">
        <v>42924</v>
      </c>
      <c r="I4608" s="1">
        <v>42976</v>
      </c>
      <c r="J4608">
        <v>587</v>
      </c>
    </row>
    <row r="4609" spans="1:10" x14ac:dyDescent="0.3">
      <c r="A4609" t="s">
        <v>4740</v>
      </c>
      <c r="B4609" t="s">
        <v>38</v>
      </c>
      <c r="C4609" t="str">
        <f>_xlfn.XLOOKUP(B4609,
[1]sales_teams!$A$2:$A$100,
[1]sales_teams!$B$2:$B$100)</f>
        <v>Summer Sewald</v>
      </c>
      <c r="D4609" t="str">
        <f>_xlfn.XLOOKUP($B4609,sales_teams!$A$2:$A$36,sales_teams!C$2:C$36)</f>
        <v>West</v>
      </c>
      <c r="E4609" t="s">
        <v>48</v>
      </c>
      <c r="F4609" t="s">
        <v>155</v>
      </c>
      <c r="G4609" t="s">
        <v>12</v>
      </c>
      <c r="H4609" s="1">
        <v>42924</v>
      </c>
      <c r="I4609" s="1">
        <v>42932</v>
      </c>
      <c r="J4609">
        <v>5284</v>
      </c>
    </row>
    <row r="4610" spans="1:10" x14ac:dyDescent="0.3">
      <c r="A4610" t="s">
        <v>4741</v>
      </c>
      <c r="B4610" t="s">
        <v>252</v>
      </c>
      <c r="C4610" t="str">
        <f>_xlfn.XLOOKUP(B4610,
[1]sales_teams!$A$2:$A$100,
[1]sales_teams!$B$2:$B$100)</f>
        <v>Melvin Marxen</v>
      </c>
      <c r="D4610" t="str">
        <f>_xlfn.XLOOKUP($B4610,sales_teams!$A$2:$A$36,sales_teams!C$2:C$36)</f>
        <v>Central</v>
      </c>
      <c r="E4610" t="s">
        <v>20</v>
      </c>
      <c r="F4610" t="s">
        <v>231</v>
      </c>
      <c r="G4610" t="s">
        <v>46</v>
      </c>
      <c r="H4610" s="1">
        <v>42924</v>
      </c>
      <c r="I4610" s="1">
        <v>42925</v>
      </c>
      <c r="J4610">
        <v>0</v>
      </c>
    </row>
    <row r="4611" spans="1:10" x14ac:dyDescent="0.3">
      <c r="A4611" t="s">
        <v>4742</v>
      </c>
      <c r="B4611" t="s">
        <v>252</v>
      </c>
      <c r="C4611" t="str">
        <f>_xlfn.XLOOKUP(B4611,
[1]sales_teams!$A$2:$A$100,
[1]sales_teams!$B$2:$B$100)</f>
        <v>Melvin Marxen</v>
      </c>
      <c r="D4611" t="str">
        <f>_xlfn.XLOOKUP($B4611,sales_teams!$A$2:$A$36,sales_teams!C$2:C$36)</f>
        <v>Central</v>
      </c>
      <c r="E4611" t="s">
        <v>20</v>
      </c>
      <c r="F4611" t="s">
        <v>76</v>
      </c>
      <c r="G4611" t="s">
        <v>46</v>
      </c>
      <c r="H4611" s="1">
        <v>42924</v>
      </c>
      <c r="I4611" s="1">
        <v>42990</v>
      </c>
      <c r="J4611">
        <v>0</v>
      </c>
    </row>
    <row r="4612" spans="1:10" x14ac:dyDescent="0.3">
      <c r="A4612" t="s">
        <v>4743</v>
      </c>
      <c r="B4612" t="s">
        <v>95</v>
      </c>
      <c r="C4612" t="str">
        <f>_xlfn.XLOOKUP(B4612,
[1]sales_teams!$A$2:$A$100,
[1]sales_teams!$B$2:$B$100)</f>
        <v>Summer Sewald</v>
      </c>
      <c r="D4612" t="str">
        <f>_xlfn.XLOOKUP($B4612,sales_teams!$A$2:$A$36,sales_teams!C$2:C$36)</f>
        <v>West</v>
      </c>
      <c r="E4612" t="s">
        <v>39</v>
      </c>
      <c r="F4612" t="s">
        <v>159</v>
      </c>
      <c r="G4612" t="s">
        <v>46</v>
      </c>
      <c r="H4612" s="1">
        <v>42924</v>
      </c>
      <c r="I4612" s="1">
        <v>43006</v>
      </c>
      <c r="J4612">
        <v>0</v>
      </c>
    </row>
    <row r="4613" spans="1:10" x14ac:dyDescent="0.3">
      <c r="A4613" t="s">
        <v>4744</v>
      </c>
      <c r="B4613" t="s">
        <v>95</v>
      </c>
      <c r="C4613" t="str">
        <f>_xlfn.XLOOKUP(B4613,
[1]sales_teams!$A$2:$A$100,
[1]sales_teams!$B$2:$B$100)</f>
        <v>Summer Sewald</v>
      </c>
      <c r="D4613" t="str">
        <f>_xlfn.XLOOKUP($B4613,sales_teams!$A$2:$A$36,sales_teams!C$2:C$36)</f>
        <v>West</v>
      </c>
      <c r="E4613" t="s">
        <v>10</v>
      </c>
      <c r="F4613" t="s">
        <v>100</v>
      </c>
      <c r="G4613" t="s">
        <v>12</v>
      </c>
      <c r="H4613" s="1">
        <v>42924</v>
      </c>
      <c r="I4613" s="1">
        <v>42925</v>
      </c>
      <c r="J4613">
        <v>993</v>
      </c>
    </row>
    <row r="4614" spans="1:10" x14ac:dyDescent="0.3">
      <c r="A4614" t="s">
        <v>4745</v>
      </c>
      <c r="B4614" t="s">
        <v>32</v>
      </c>
      <c r="C4614" t="str">
        <f>_xlfn.XLOOKUP(B4614,
[1]sales_teams!$A$2:$A$100,
[1]sales_teams!$B$2:$B$100)</f>
        <v>Celia Rouche</v>
      </c>
      <c r="D4614" t="str">
        <f>_xlfn.XLOOKUP($B4614,sales_teams!$A$2:$A$36,sales_teams!C$2:C$36)</f>
        <v>West</v>
      </c>
      <c r="E4614" t="s">
        <v>20</v>
      </c>
      <c r="F4614" t="s">
        <v>398</v>
      </c>
      <c r="G4614" t="s">
        <v>46</v>
      </c>
      <c r="H4614" s="1">
        <v>42924</v>
      </c>
      <c r="I4614" s="1">
        <v>42931</v>
      </c>
      <c r="J4614">
        <v>0</v>
      </c>
    </row>
    <row r="4615" spans="1:10" x14ac:dyDescent="0.3">
      <c r="A4615" t="s">
        <v>4746</v>
      </c>
      <c r="B4615" t="s">
        <v>51</v>
      </c>
      <c r="C4615" t="str">
        <f>_xlfn.XLOOKUP(B4615,
[1]sales_teams!$A$2:$A$100,
[1]sales_teams!$B$2:$B$100)</f>
        <v>Summer Sewald</v>
      </c>
      <c r="D4615" t="str">
        <f>_xlfn.XLOOKUP($B4615,sales_teams!$A$2:$A$36,sales_teams!C$2:C$36)</f>
        <v>West</v>
      </c>
      <c r="E4615" t="s">
        <v>15</v>
      </c>
      <c r="F4615" t="s">
        <v>55</v>
      </c>
      <c r="G4615" t="s">
        <v>12</v>
      </c>
      <c r="H4615" s="1">
        <v>42924</v>
      </c>
      <c r="I4615" s="1">
        <v>42997</v>
      </c>
      <c r="J4615">
        <v>4642</v>
      </c>
    </row>
    <row r="4616" spans="1:10" x14ac:dyDescent="0.3">
      <c r="A4616" t="s">
        <v>4747</v>
      </c>
      <c r="B4616" t="s">
        <v>97</v>
      </c>
      <c r="C4616" t="str">
        <f>_xlfn.XLOOKUP(B4616,
[1]sales_teams!$A$2:$A$100,
[1]sales_teams!$B$2:$B$100)</f>
        <v>Rocco Neubert</v>
      </c>
      <c r="D4616" t="str">
        <f>_xlfn.XLOOKUP($B4616,sales_teams!$A$2:$A$36,sales_teams!C$2:C$36)</f>
        <v>East</v>
      </c>
      <c r="E4616" t="s">
        <v>15</v>
      </c>
      <c r="F4616" t="s">
        <v>189</v>
      </c>
      <c r="G4616" t="s">
        <v>46</v>
      </c>
      <c r="H4616" s="1">
        <v>42924</v>
      </c>
      <c r="I4616" s="1">
        <v>42933</v>
      </c>
      <c r="J4616">
        <v>0</v>
      </c>
    </row>
    <row r="4617" spans="1:10" x14ac:dyDescent="0.3">
      <c r="A4617" t="s">
        <v>4748</v>
      </c>
      <c r="B4617" t="s">
        <v>97</v>
      </c>
      <c r="C4617" t="str">
        <f>_xlfn.XLOOKUP(B4617,
[1]sales_teams!$A$2:$A$100,
[1]sales_teams!$B$2:$B$100)</f>
        <v>Rocco Neubert</v>
      </c>
      <c r="D4617" t="str">
        <f>_xlfn.XLOOKUP($B4617,sales_teams!$A$2:$A$36,sales_teams!C$2:C$36)</f>
        <v>East</v>
      </c>
      <c r="E4617" t="s">
        <v>15</v>
      </c>
      <c r="F4617" t="s">
        <v>155</v>
      </c>
      <c r="G4617" t="s">
        <v>12</v>
      </c>
      <c r="H4617" s="1">
        <v>42924</v>
      </c>
      <c r="I4617" s="1">
        <v>42931</v>
      </c>
      <c r="J4617">
        <v>4530</v>
      </c>
    </row>
    <row r="4618" spans="1:10" x14ac:dyDescent="0.3">
      <c r="A4618" t="s">
        <v>4749</v>
      </c>
      <c r="B4618" t="s">
        <v>57</v>
      </c>
      <c r="C4618" t="str">
        <f>_xlfn.XLOOKUP(B4618,
[1]sales_teams!$A$2:$A$100,
[1]sales_teams!$B$2:$B$100)</f>
        <v>Celia Rouche</v>
      </c>
      <c r="D4618" t="str">
        <f>_xlfn.XLOOKUP($B4618,sales_teams!$A$2:$A$36,sales_teams!C$2:C$36)</f>
        <v>West</v>
      </c>
      <c r="E4618" t="s">
        <v>18</v>
      </c>
      <c r="F4618" t="s">
        <v>159</v>
      </c>
      <c r="G4618" t="s">
        <v>46</v>
      </c>
      <c r="H4618" s="1">
        <v>42924</v>
      </c>
      <c r="I4618" s="1">
        <v>42926</v>
      </c>
      <c r="J4618">
        <v>0</v>
      </c>
    </row>
    <row r="4619" spans="1:10" x14ac:dyDescent="0.3">
      <c r="A4619" t="s">
        <v>4750</v>
      </c>
      <c r="B4619" t="s">
        <v>88</v>
      </c>
      <c r="C4619" t="str">
        <f>_xlfn.XLOOKUP(B4619,
[1]sales_teams!$A$2:$A$100,
[1]sales_teams!$B$2:$B$100)</f>
        <v>Cara Losch</v>
      </c>
      <c r="D4619" t="str">
        <f>_xlfn.XLOOKUP($B4619,sales_teams!$A$2:$A$36,sales_teams!C$2:C$36)</f>
        <v>East</v>
      </c>
      <c r="E4619" t="s">
        <v>39</v>
      </c>
      <c r="F4619" t="s">
        <v>65</v>
      </c>
      <c r="G4619" t="s">
        <v>12</v>
      </c>
      <c r="H4619" s="1">
        <v>42924</v>
      </c>
      <c r="I4619" s="1">
        <v>42925</v>
      </c>
      <c r="J4619">
        <v>3569</v>
      </c>
    </row>
    <row r="4620" spans="1:10" x14ac:dyDescent="0.3">
      <c r="A4620" t="s">
        <v>4751</v>
      </c>
      <c r="B4620" t="s">
        <v>29</v>
      </c>
      <c r="C4620" t="str">
        <f>_xlfn.XLOOKUP(B4620,
[1]sales_teams!$A$2:$A$100,
[1]sales_teams!$B$2:$B$100)</f>
        <v>Celia Rouche</v>
      </c>
      <c r="D4620" t="str">
        <f>_xlfn.XLOOKUP($B4620,sales_teams!$A$2:$A$36,sales_teams!C$2:C$36)</f>
        <v>West</v>
      </c>
      <c r="E4620" t="s">
        <v>39</v>
      </c>
      <c r="F4620" t="s">
        <v>315</v>
      </c>
      <c r="G4620" t="s">
        <v>12</v>
      </c>
      <c r="H4620" s="1">
        <v>42924</v>
      </c>
      <c r="I4620" s="1">
        <v>42978</v>
      </c>
      <c r="J4620">
        <v>3276</v>
      </c>
    </row>
    <row r="4621" spans="1:10" x14ac:dyDescent="0.3">
      <c r="A4621" t="s">
        <v>4752</v>
      </c>
      <c r="B4621" t="s">
        <v>73</v>
      </c>
      <c r="C4621" t="str">
        <f>_xlfn.XLOOKUP(B4621,
[1]sales_teams!$A$2:$A$100,
[1]sales_teams!$B$2:$B$100)</f>
        <v>Cara Losch</v>
      </c>
      <c r="D4621" t="str">
        <f>_xlfn.XLOOKUP($B4621,sales_teams!$A$2:$A$36,sales_teams!C$2:C$36)</f>
        <v>East</v>
      </c>
      <c r="E4621" t="s">
        <v>10</v>
      </c>
      <c r="G4621" t="s">
        <v>40</v>
      </c>
      <c r="H4621" s="1">
        <v>42924</v>
      </c>
    </row>
    <row r="4622" spans="1:10" x14ac:dyDescent="0.3">
      <c r="A4622" t="s">
        <v>4753</v>
      </c>
      <c r="B4622" t="s">
        <v>73</v>
      </c>
      <c r="C4622" t="str">
        <f>_xlfn.XLOOKUP(B4622,
[1]sales_teams!$A$2:$A$100,
[1]sales_teams!$B$2:$B$100)</f>
        <v>Cara Losch</v>
      </c>
      <c r="D4622" t="str">
        <f>_xlfn.XLOOKUP($B4622,sales_teams!$A$2:$A$36,sales_teams!C$2:C$36)</f>
        <v>East</v>
      </c>
      <c r="E4622" t="s">
        <v>18</v>
      </c>
      <c r="F4622" t="s">
        <v>215</v>
      </c>
      <c r="G4622" t="s">
        <v>40</v>
      </c>
      <c r="H4622" s="1">
        <v>42924</v>
      </c>
    </row>
    <row r="4623" spans="1:10" x14ac:dyDescent="0.3">
      <c r="A4623" t="s">
        <v>4754</v>
      </c>
      <c r="B4623" t="s">
        <v>73</v>
      </c>
      <c r="C4623" t="str">
        <f>_xlfn.XLOOKUP(B4623,
[1]sales_teams!$A$2:$A$100,
[1]sales_teams!$B$2:$B$100)</f>
        <v>Cara Losch</v>
      </c>
      <c r="D4623" t="str">
        <f>_xlfn.XLOOKUP($B4623,sales_teams!$A$2:$A$36,sales_teams!C$2:C$36)</f>
        <v>East</v>
      </c>
      <c r="E4623" t="s">
        <v>39</v>
      </c>
      <c r="F4623" t="s">
        <v>106</v>
      </c>
      <c r="G4623" t="s">
        <v>46</v>
      </c>
      <c r="H4623" s="1">
        <v>42924</v>
      </c>
      <c r="I4623" s="1">
        <v>42926</v>
      </c>
      <c r="J4623">
        <v>0</v>
      </c>
    </row>
    <row r="4624" spans="1:10" x14ac:dyDescent="0.3">
      <c r="A4624" t="s">
        <v>4755</v>
      </c>
      <c r="B4624" t="s">
        <v>23</v>
      </c>
      <c r="C4624" t="str">
        <f>_xlfn.XLOOKUP(B4624,
[1]sales_teams!$A$2:$A$100,
[1]sales_teams!$B$2:$B$100)</f>
        <v>Summer Sewald</v>
      </c>
      <c r="D4624" t="str">
        <f>_xlfn.XLOOKUP($B4624,sales_teams!$A$2:$A$36,sales_teams!C$2:C$36)</f>
        <v>West</v>
      </c>
      <c r="E4624" t="s">
        <v>20</v>
      </c>
      <c r="F4624" t="s">
        <v>55</v>
      </c>
      <c r="G4624" t="s">
        <v>46</v>
      </c>
      <c r="H4624" s="1">
        <v>42924</v>
      </c>
      <c r="I4624" s="1">
        <v>42932</v>
      </c>
      <c r="J4624">
        <v>0</v>
      </c>
    </row>
    <row r="4625" spans="1:10" x14ac:dyDescent="0.3">
      <c r="A4625" t="s">
        <v>4756</v>
      </c>
      <c r="B4625" t="s">
        <v>23</v>
      </c>
      <c r="C4625" t="str">
        <f>_xlfn.XLOOKUP(B4625,
[1]sales_teams!$A$2:$A$100,
[1]sales_teams!$B$2:$B$100)</f>
        <v>Summer Sewald</v>
      </c>
      <c r="D4625" t="str">
        <f>_xlfn.XLOOKUP($B4625,sales_teams!$A$2:$A$36,sales_teams!C$2:C$36)</f>
        <v>West</v>
      </c>
      <c r="E4625" t="s">
        <v>10</v>
      </c>
      <c r="F4625" t="s">
        <v>100</v>
      </c>
      <c r="G4625" t="s">
        <v>46</v>
      </c>
      <c r="H4625" s="1">
        <v>42924</v>
      </c>
      <c r="I4625" s="1">
        <v>42932</v>
      </c>
      <c r="J4625">
        <v>0</v>
      </c>
    </row>
    <row r="4626" spans="1:10" x14ac:dyDescent="0.3">
      <c r="A4626" t="s">
        <v>4757</v>
      </c>
      <c r="B4626" t="s">
        <v>23</v>
      </c>
      <c r="C4626" t="str">
        <f>_xlfn.XLOOKUP(B4626,
[1]sales_teams!$A$2:$A$100,
[1]sales_teams!$B$2:$B$100)</f>
        <v>Summer Sewald</v>
      </c>
      <c r="D4626" t="str">
        <f>_xlfn.XLOOKUP($B4626,sales_teams!$A$2:$A$36,sales_teams!C$2:C$36)</f>
        <v>West</v>
      </c>
      <c r="E4626" t="s">
        <v>48</v>
      </c>
      <c r="F4626" t="s">
        <v>224</v>
      </c>
      <c r="G4626" t="s">
        <v>46</v>
      </c>
      <c r="H4626" s="1">
        <v>42924</v>
      </c>
      <c r="I4626" s="1">
        <v>42933</v>
      </c>
      <c r="J4626">
        <v>0</v>
      </c>
    </row>
    <row r="4627" spans="1:10" x14ac:dyDescent="0.3">
      <c r="A4627" t="s">
        <v>4758</v>
      </c>
      <c r="B4627" t="s">
        <v>23</v>
      </c>
      <c r="C4627" t="str">
        <f>_xlfn.XLOOKUP(B4627,
[1]sales_teams!$A$2:$A$100,
[1]sales_teams!$B$2:$B$100)</f>
        <v>Summer Sewald</v>
      </c>
      <c r="D4627" t="str">
        <f>_xlfn.XLOOKUP($B4627,sales_teams!$A$2:$A$36,sales_teams!C$2:C$36)</f>
        <v>West</v>
      </c>
      <c r="E4627" t="s">
        <v>48</v>
      </c>
      <c r="F4627" t="s">
        <v>68</v>
      </c>
      <c r="G4627" t="s">
        <v>46</v>
      </c>
      <c r="H4627" s="1">
        <v>42924</v>
      </c>
      <c r="I4627" s="1">
        <v>42931</v>
      </c>
      <c r="J4627">
        <v>0</v>
      </c>
    </row>
    <row r="4628" spans="1:10" x14ac:dyDescent="0.3">
      <c r="A4628" t="s">
        <v>4759</v>
      </c>
      <c r="B4628" t="s">
        <v>23</v>
      </c>
      <c r="C4628" t="str">
        <f>_xlfn.XLOOKUP(B4628,
[1]sales_teams!$A$2:$A$100,
[1]sales_teams!$B$2:$B$100)</f>
        <v>Summer Sewald</v>
      </c>
      <c r="D4628" t="str">
        <f>_xlfn.XLOOKUP($B4628,sales_teams!$A$2:$A$36,sales_teams!C$2:C$36)</f>
        <v>West</v>
      </c>
      <c r="E4628" t="s">
        <v>15</v>
      </c>
      <c r="F4628" t="s">
        <v>24</v>
      </c>
      <c r="G4628" t="s">
        <v>46</v>
      </c>
      <c r="H4628" s="1">
        <v>42924</v>
      </c>
      <c r="I4628" s="1">
        <v>43048</v>
      </c>
      <c r="J4628">
        <v>0</v>
      </c>
    </row>
    <row r="4629" spans="1:10" x14ac:dyDescent="0.3">
      <c r="A4629" t="s">
        <v>4760</v>
      </c>
      <c r="B4629" t="s">
        <v>23</v>
      </c>
      <c r="C4629" t="str">
        <f>_xlfn.XLOOKUP(B4629,
[1]sales_teams!$A$2:$A$100,
[1]sales_teams!$B$2:$B$100)</f>
        <v>Summer Sewald</v>
      </c>
      <c r="D4629" t="str">
        <f>_xlfn.XLOOKUP($B4629,sales_teams!$A$2:$A$36,sales_teams!C$2:C$36)</f>
        <v>West</v>
      </c>
      <c r="E4629" t="s">
        <v>48</v>
      </c>
      <c r="F4629" t="s">
        <v>155</v>
      </c>
      <c r="G4629" t="s">
        <v>12</v>
      </c>
      <c r="H4629" s="1">
        <v>42924</v>
      </c>
      <c r="I4629" s="1">
        <v>42933</v>
      </c>
      <c r="J4629">
        <v>5576</v>
      </c>
    </row>
    <row r="4630" spans="1:10" x14ac:dyDescent="0.3">
      <c r="A4630" t="s">
        <v>4761</v>
      </c>
      <c r="B4630" t="s">
        <v>26</v>
      </c>
      <c r="C4630" t="str">
        <f>_xlfn.XLOOKUP(B4630,
[1]sales_teams!$A$2:$A$100,
[1]sales_teams!$B$2:$B$100)</f>
        <v>Dustin Brinkmann</v>
      </c>
      <c r="D4630" t="str">
        <f>_xlfn.XLOOKUP($B4630,sales_teams!$A$2:$A$36,sales_teams!C$2:C$36)</f>
        <v>Central</v>
      </c>
      <c r="E4630" t="s">
        <v>20</v>
      </c>
      <c r="F4630" t="s">
        <v>45</v>
      </c>
      <c r="G4630" t="s">
        <v>12</v>
      </c>
      <c r="H4630" s="1">
        <v>42925</v>
      </c>
      <c r="I4630" s="1">
        <v>42994</v>
      </c>
      <c r="J4630">
        <v>460</v>
      </c>
    </row>
    <row r="4631" spans="1:10" x14ac:dyDescent="0.3">
      <c r="A4631" t="s">
        <v>4762</v>
      </c>
      <c r="B4631" t="s">
        <v>139</v>
      </c>
      <c r="C4631" t="str">
        <f>_xlfn.XLOOKUP(B4631,
[1]sales_teams!$A$2:$A$100,
[1]sales_teams!$B$2:$B$100)</f>
        <v>Rocco Neubert</v>
      </c>
      <c r="D4631" t="str">
        <f>_xlfn.XLOOKUP($B4631,sales_teams!$A$2:$A$36,sales_teams!C$2:C$36)</f>
        <v>East</v>
      </c>
      <c r="E4631" t="s">
        <v>20</v>
      </c>
      <c r="F4631" t="s">
        <v>300</v>
      </c>
      <c r="G4631" t="s">
        <v>12</v>
      </c>
      <c r="H4631" s="1">
        <v>42925</v>
      </c>
      <c r="I4631" s="1">
        <v>42932</v>
      </c>
      <c r="J4631">
        <v>457</v>
      </c>
    </row>
    <row r="4632" spans="1:10" x14ac:dyDescent="0.3">
      <c r="A4632" t="s">
        <v>4763</v>
      </c>
      <c r="B4632" t="s">
        <v>118</v>
      </c>
      <c r="C4632" t="str">
        <f>_xlfn.XLOOKUP(B4632,
[1]sales_teams!$A$2:$A$100,
[1]sales_teams!$B$2:$B$100)</f>
        <v>Rocco Neubert</v>
      </c>
      <c r="D4632" t="str">
        <f>_xlfn.XLOOKUP($B4632,sales_teams!$A$2:$A$36,sales_teams!C$2:C$36)</f>
        <v>East</v>
      </c>
      <c r="E4632" t="s">
        <v>48</v>
      </c>
      <c r="G4632" t="s">
        <v>40</v>
      </c>
      <c r="H4632" s="1">
        <v>42925</v>
      </c>
    </row>
    <row r="4633" spans="1:10" x14ac:dyDescent="0.3">
      <c r="A4633" t="s">
        <v>4764</v>
      </c>
      <c r="B4633" t="s">
        <v>118</v>
      </c>
      <c r="C4633" t="str">
        <f>_xlfn.XLOOKUP(B4633,
[1]sales_teams!$A$2:$A$100,
[1]sales_teams!$B$2:$B$100)</f>
        <v>Rocco Neubert</v>
      </c>
      <c r="D4633" t="str">
        <f>_xlfn.XLOOKUP($B4633,sales_teams!$A$2:$A$36,sales_teams!C$2:C$36)</f>
        <v>East</v>
      </c>
      <c r="E4633" t="s">
        <v>39</v>
      </c>
      <c r="F4633" t="s">
        <v>143</v>
      </c>
      <c r="G4633" t="s">
        <v>46</v>
      </c>
      <c r="H4633" s="1">
        <v>42925</v>
      </c>
      <c r="I4633" s="1">
        <v>42931</v>
      </c>
      <c r="J4633">
        <v>0</v>
      </c>
    </row>
    <row r="4634" spans="1:10" x14ac:dyDescent="0.3">
      <c r="A4634" t="s">
        <v>4765</v>
      </c>
      <c r="B4634" t="s">
        <v>164</v>
      </c>
      <c r="C4634" t="str">
        <f>_xlfn.XLOOKUP(B4634,
[1]sales_teams!$A$2:$A$100,
[1]sales_teams!$B$2:$B$100)</f>
        <v>Cara Losch</v>
      </c>
      <c r="D4634" t="str">
        <f>_xlfn.XLOOKUP($B4634,sales_teams!$A$2:$A$36,sales_teams!C$2:C$36)</f>
        <v>East</v>
      </c>
      <c r="E4634" t="s">
        <v>20</v>
      </c>
      <c r="F4634" t="s">
        <v>237</v>
      </c>
      <c r="G4634" t="s">
        <v>12</v>
      </c>
      <c r="H4634" s="1">
        <v>42925</v>
      </c>
      <c r="I4634" s="1">
        <v>42926</v>
      </c>
      <c r="J4634">
        <v>665</v>
      </c>
    </row>
    <row r="4635" spans="1:10" x14ac:dyDescent="0.3">
      <c r="A4635" t="s">
        <v>4766</v>
      </c>
      <c r="B4635" t="s">
        <v>164</v>
      </c>
      <c r="C4635" t="str">
        <f>_xlfn.XLOOKUP(B4635,
[1]sales_teams!$A$2:$A$100,
[1]sales_teams!$B$2:$B$100)</f>
        <v>Cara Losch</v>
      </c>
      <c r="D4635" t="str">
        <f>_xlfn.XLOOKUP($B4635,sales_teams!$A$2:$A$36,sales_teams!C$2:C$36)</f>
        <v>East</v>
      </c>
      <c r="E4635" t="s">
        <v>10</v>
      </c>
      <c r="F4635" t="s">
        <v>300</v>
      </c>
      <c r="G4635" t="s">
        <v>12</v>
      </c>
      <c r="H4635" s="1">
        <v>42925</v>
      </c>
      <c r="I4635" s="1">
        <v>42931</v>
      </c>
      <c r="J4635">
        <v>1122</v>
      </c>
    </row>
    <row r="4636" spans="1:10" x14ac:dyDescent="0.3">
      <c r="A4636" t="s">
        <v>4767</v>
      </c>
      <c r="B4636" t="s">
        <v>164</v>
      </c>
      <c r="C4636" t="str">
        <f>_xlfn.XLOOKUP(B4636,
[1]sales_teams!$A$2:$A$100,
[1]sales_teams!$B$2:$B$100)</f>
        <v>Cara Losch</v>
      </c>
      <c r="D4636" t="str">
        <f>_xlfn.XLOOKUP($B4636,sales_teams!$A$2:$A$36,sales_teams!C$2:C$36)</f>
        <v>East</v>
      </c>
      <c r="E4636" t="s">
        <v>48</v>
      </c>
      <c r="F4636" t="s">
        <v>189</v>
      </c>
      <c r="G4636" t="s">
        <v>12</v>
      </c>
      <c r="H4636" s="1">
        <v>42925</v>
      </c>
      <c r="I4636" s="1">
        <v>42934</v>
      </c>
      <c r="J4636">
        <v>5578</v>
      </c>
    </row>
    <row r="4637" spans="1:10" x14ac:dyDescent="0.3">
      <c r="A4637" t="s">
        <v>4768</v>
      </c>
      <c r="B4637" t="s">
        <v>64</v>
      </c>
      <c r="C4637" t="str">
        <f>_xlfn.XLOOKUP(B4637,
[1]sales_teams!$A$2:$A$100,
[1]sales_teams!$B$2:$B$100)</f>
        <v>Rocco Neubert</v>
      </c>
      <c r="D4637" t="str">
        <f>_xlfn.XLOOKUP($B4637,sales_teams!$A$2:$A$36,sales_teams!C$2:C$36)</f>
        <v>East</v>
      </c>
      <c r="E4637" t="s">
        <v>15</v>
      </c>
      <c r="F4637" t="s">
        <v>303</v>
      </c>
      <c r="G4637" t="s">
        <v>40</v>
      </c>
      <c r="H4637" s="1">
        <v>42925</v>
      </c>
    </row>
    <row r="4638" spans="1:10" x14ac:dyDescent="0.3">
      <c r="A4638" t="s">
        <v>4769</v>
      </c>
      <c r="B4638" t="s">
        <v>14</v>
      </c>
      <c r="C4638" t="str">
        <f>_xlfn.XLOOKUP(B4638,
[1]sales_teams!$A$2:$A$100,
[1]sales_teams!$B$2:$B$100)</f>
        <v>Melvin Marxen</v>
      </c>
      <c r="D4638" t="str">
        <f>_xlfn.XLOOKUP($B4638,sales_teams!$A$2:$A$36,sales_teams!C$2:C$36)</f>
        <v>Central</v>
      </c>
      <c r="E4638" t="s">
        <v>20</v>
      </c>
      <c r="F4638" t="s">
        <v>126</v>
      </c>
      <c r="G4638" t="s">
        <v>12</v>
      </c>
      <c r="H4638" s="1">
        <v>42925</v>
      </c>
      <c r="I4638" s="1">
        <v>42986</v>
      </c>
      <c r="J4638">
        <v>460</v>
      </c>
    </row>
    <row r="4639" spans="1:10" x14ac:dyDescent="0.3">
      <c r="A4639" t="s">
        <v>4770</v>
      </c>
      <c r="B4639" t="s">
        <v>142</v>
      </c>
      <c r="C4639" t="str">
        <f>_xlfn.XLOOKUP(B4639,
[1]sales_teams!$A$2:$A$100,
[1]sales_teams!$B$2:$B$100)</f>
        <v>Rocco Neubert</v>
      </c>
      <c r="D4639" t="str">
        <f>_xlfn.XLOOKUP($B4639,sales_teams!$A$2:$A$36,sales_teams!C$2:C$36)</f>
        <v>East</v>
      </c>
      <c r="E4639" t="s">
        <v>10</v>
      </c>
      <c r="F4639" t="s">
        <v>410</v>
      </c>
      <c r="G4639" t="s">
        <v>12</v>
      </c>
      <c r="H4639" s="1">
        <v>42925</v>
      </c>
      <c r="I4639" s="1">
        <v>42978</v>
      </c>
      <c r="J4639">
        <v>1133</v>
      </c>
    </row>
    <row r="4640" spans="1:10" x14ac:dyDescent="0.3">
      <c r="A4640" t="s">
        <v>4771</v>
      </c>
      <c r="B4640" t="s">
        <v>142</v>
      </c>
      <c r="C4640" t="str">
        <f>_xlfn.XLOOKUP(B4640,
[1]sales_teams!$A$2:$A$100,
[1]sales_teams!$B$2:$B$100)</f>
        <v>Rocco Neubert</v>
      </c>
      <c r="D4640" t="str">
        <f>_xlfn.XLOOKUP($B4640,sales_teams!$A$2:$A$36,sales_teams!C$2:C$36)</f>
        <v>East</v>
      </c>
      <c r="E4640" t="s">
        <v>10</v>
      </c>
      <c r="F4640" t="s">
        <v>237</v>
      </c>
      <c r="G4640" t="s">
        <v>12</v>
      </c>
      <c r="H4640" s="1">
        <v>42925</v>
      </c>
      <c r="I4640" s="1">
        <v>42996</v>
      </c>
      <c r="J4640">
        <v>1194</v>
      </c>
    </row>
    <row r="4641" spans="1:10" x14ac:dyDescent="0.3">
      <c r="A4641" t="s">
        <v>4772</v>
      </c>
      <c r="B4641" t="s">
        <v>142</v>
      </c>
      <c r="C4641" t="str">
        <f>_xlfn.XLOOKUP(B4641,
[1]sales_teams!$A$2:$A$100,
[1]sales_teams!$B$2:$B$100)</f>
        <v>Rocco Neubert</v>
      </c>
      <c r="D4641" t="str">
        <f>_xlfn.XLOOKUP($B4641,sales_teams!$A$2:$A$36,sales_teams!C$2:C$36)</f>
        <v>East</v>
      </c>
      <c r="E4641" t="s">
        <v>48</v>
      </c>
      <c r="F4641" t="s">
        <v>278</v>
      </c>
      <c r="G4641" t="s">
        <v>12</v>
      </c>
      <c r="H4641" s="1">
        <v>42925</v>
      </c>
      <c r="I4641" s="1">
        <v>42994</v>
      </c>
      <c r="J4641">
        <v>5861</v>
      </c>
    </row>
    <row r="4642" spans="1:10" x14ac:dyDescent="0.3">
      <c r="A4642" t="s">
        <v>4773</v>
      </c>
      <c r="B4642" t="s">
        <v>67</v>
      </c>
      <c r="C4642" t="str">
        <f>_xlfn.XLOOKUP(B4642,
[1]sales_teams!$A$2:$A$100,
[1]sales_teams!$B$2:$B$100)</f>
        <v>Celia Rouche</v>
      </c>
      <c r="D4642" t="str">
        <f>_xlfn.XLOOKUP($B4642,sales_teams!$A$2:$A$36,sales_teams!C$2:C$36)</f>
        <v>West</v>
      </c>
      <c r="E4642" t="s">
        <v>10</v>
      </c>
      <c r="G4642" t="s">
        <v>40</v>
      </c>
      <c r="H4642" s="1">
        <v>42925</v>
      </c>
    </row>
    <row r="4643" spans="1:10" x14ac:dyDescent="0.3">
      <c r="A4643" t="s">
        <v>4774</v>
      </c>
      <c r="B4643" t="s">
        <v>44</v>
      </c>
      <c r="C4643" t="str">
        <f>_xlfn.XLOOKUP(B4643,
[1]sales_teams!$A$2:$A$100,
[1]sales_teams!$B$2:$B$100)</f>
        <v>Melvin Marxen</v>
      </c>
      <c r="D4643" t="str">
        <f>_xlfn.XLOOKUP($B4643,sales_teams!$A$2:$A$36,sales_teams!C$2:C$36)</f>
        <v>Central</v>
      </c>
      <c r="E4643" t="s">
        <v>20</v>
      </c>
      <c r="F4643" t="s">
        <v>197</v>
      </c>
      <c r="G4643" t="s">
        <v>46</v>
      </c>
      <c r="H4643" s="1">
        <v>42925</v>
      </c>
      <c r="I4643" s="1">
        <v>42933</v>
      </c>
      <c r="J4643">
        <v>0</v>
      </c>
    </row>
    <row r="4644" spans="1:10" x14ac:dyDescent="0.3">
      <c r="A4644" t="s">
        <v>4775</v>
      </c>
      <c r="B4644" t="s">
        <v>44</v>
      </c>
      <c r="C4644" t="str">
        <f>_xlfn.XLOOKUP(B4644,
[1]sales_teams!$A$2:$A$100,
[1]sales_teams!$B$2:$B$100)</f>
        <v>Melvin Marxen</v>
      </c>
      <c r="D4644" t="str">
        <f>_xlfn.XLOOKUP($B4644,sales_teams!$A$2:$A$36,sales_teams!C$2:C$36)</f>
        <v>Central</v>
      </c>
      <c r="E4644" t="s">
        <v>10</v>
      </c>
      <c r="F4644" t="s">
        <v>111</v>
      </c>
      <c r="G4644" t="s">
        <v>12</v>
      </c>
      <c r="H4644" s="1">
        <v>42925</v>
      </c>
      <c r="I4644" s="1">
        <v>42975</v>
      </c>
      <c r="J4644">
        <v>1194</v>
      </c>
    </row>
    <row r="4645" spans="1:10" x14ac:dyDescent="0.3">
      <c r="A4645" t="s">
        <v>4776</v>
      </c>
      <c r="B4645" t="s">
        <v>44</v>
      </c>
      <c r="C4645" t="str">
        <f>_xlfn.XLOOKUP(B4645,
[1]sales_teams!$A$2:$A$100,
[1]sales_teams!$B$2:$B$100)</f>
        <v>Melvin Marxen</v>
      </c>
      <c r="D4645" t="str">
        <f>_xlfn.XLOOKUP($B4645,sales_teams!$A$2:$A$36,sales_teams!C$2:C$36)</f>
        <v>Central</v>
      </c>
      <c r="E4645" t="s">
        <v>15</v>
      </c>
      <c r="F4645" t="s">
        <v>135</v>
      </c>
      <c r="G4645" t="s">
        <v>12</v>
      </c>
      <c r="H4645" s="1">
        <v>42925</v>
      </c>
      <c r="I4645" s="1">
        <v>42927</v>
      </c>
      <c r="J4645">
        <v>4440</v>
      </c>
    </row>
    <row r="4646" spans="1:10" x14ac:dyDescent="0.3">
      <c r="A4646" t="s">
        <v>4777</v>
      </c>
      <c r="B4646" t="s">
        <v>252</v>
      </c>
      <c r="C4646" t="str">
        <f>_xlfn.XLOOKUP(B4646,
[1]sales_teams!$A$2:$A$100,
[1]sales_teams!$B$2:$B$100)</f>
        <v>Melvin Marxen</v>
      </c>
      <c r="D4646" t="str">
        <f>_xlfn.XLOOKUP($B4646,sales_teams!$A$2:$A$36,sales_teams!C$2:C$36)</f>
        <v>Central</v>
      </c>
      <c r="E4646" t="s">
        <v>18</v>
      </c>
      <c r="F4646" t="s">
        <v>11</v>
      </c>
      <c r="G4646" t="s">
        <v>12</v>
      </c>
      <c r="H4646" s="1">
        <v>42925</v>
      </c>
      <c r="I4646" s="1">
        <v>42935</v>
      </c>
      <c r="J4646">
        <v>53</v>
      </c>
    </row>
    <row r="4647" spans="1:10" x14ac:dyDescent="0.3">
      <c r="A4647" t="s">
        <v>4778</v>
      </c>
      <c r="B4647" t="s">
        <v>78</v>
      </c>
      <c r="C4647" t="str">
        <f>_xlfn.XLOOKUP(B4647,
[1]sales_teams!$A$2:$A$100,
[1]sales_teams!$B$2:$B$100)</f>
        <v>Summer Sewald</v>
      </c>
      <c r="D4647" t="str">
        <f>_xlfn.XLOOKUP($B4647,sales_teams!$A$2:$A$36,sales_teams!C$2:C$36)</f>
        <v>West</v>
      </c>
      <c r="E4647" t="s">
        <v>20</v>
      </c>
      <c r="F4647" t="s">
        <v>52</v>
      </c>
      <c r="G4647" t="s">
        <v>46</v>
      </c>
      <c r="H4647" s="1">
        <v>42925</v>
      </c>
      <c r="I4647" s="1">
        <v>42930</v>
      </c>
      <c r="J4647">
        <v>0</v>
      </c>
    </row>
    <row r="4648" spans="1:10" x14ac:dyDescent="0.3">
      <c r="A4648" t="s">
        <v>4779</v>
      </c>
      <c r="B4648" t="s">
        <v>133</v>
      </c>
      <c r="C4648" t="str">
        <f>_xlfn.XLOOKUP(B4648,
[1]sales_teams!$A$2:$A$100,
[1]sales_teams!$B$2:$B$100)</f>
        <v>Dustin Brinkmann</v>
      </c>
      <c r="D4648" t="str">
        <f>_xlfn.XLOOKUP($B4648,sales_teams!$A$2:$A$36,sales_teams!C$2:C$36)</f>
        <v>Central</v>
      </c>
      <c r="E4648" t="s">
        <v>10</v>
      </c>
      <c r="F4648" t="s">
        <v>318</v>
      </c>
      <c r="G4648" t="s">
        <v>12</v>
      </c>
      <c r="H4648" s="1">
        <v>42925</v>
      </c>
      <c r="I4648" s="1">
        <v>42929</v>
      </c>
      <c r="J4648">
        <v>1192</v>
      </c>
    </row>
    <row r="4649" spans="1:10" x14ac:dyDescent="0.3">
      <c r="A4649" t="s">
        <v>4780</v>
      </c>
      <c r="B4649" t="s">
        <v>116</v>
      </c>
      <c r="C4649" t="str">
        <f>_xlfn.XLOOKUP(B4649,
[1]sales_teams!$A$2:$A$100,
[1]sales_teams!$B$2:$B$100)</f>
        <v>Melvin Marxen</v>
      </c>
      <c r="D4649" t="str">
        <f>_xlfn.XLOOKUP($B4649,sales_teams!$A$2:$A$36,sales_teams!C$2:C$36)</f>
        <v>Central</v>
      </c>
      <c r="E4649" t="s">
        <v>18</v>
      </c>
      <c r="F4649" t="s">
        <v>120</v>
      </c>
      <c r="G4649" t="s">
        <v>12</v>
      </c>
      <c r="H4649" s="1">
        <v>42925</v>
      </c>
      <c r="I4649" s="1">
        <v>42979</v>
      </c>
      <c r="J4649">
        <v>54</v>
      </c>
    </row>
    <row r="4650" spans="1:10" x14ac:dyDescent="0.3">
      <c r="A4650" t="s">
        <v>4781</v>
      </c>
      <c r="B4650" t="s">
        <v>9</v>
      </c>
      <c r="C4650" t="str">
        <f>_xlfn.XLOOKUP(B4650,
[1]sales_teams!$A$2:$A$100,
[1]sales_teams!$B$2:$B$100)</f>
        <v>Dustin Brinkmann</v>
      </c>
      <c r="D4650" t="str">
        <f>_xlfn.XLOOKUP($B4650,sales_teams!$A$2:$A$36,sales_teams!C$2:C$36)</f>
        <v>Central</v>
      </c>
      <c r="E4650" t="s">
        <v>39</v>
      </c>
      <c r="F4650" t="s">
        <v>27</v>
      </c>
      <c r="G4650" t="s">
        <v>46</v>
      </c>
      <c r="H4650" s="1">
        <v>42925</v>
      </c>
      <c r="I4650" s="1">
        <v>42929</v>
      </c>
      <c r="J4650">
        <v>0</v>
      </c>
    </row>
    <row r="4651" spans="1:10" x14ac:dyDescent="0.3">
      <c r="A4651" t="s">
        <v>4782</v>
      </c>
      <c r="B4651" t="s">
        <v>9</v>
      </c>
      <c r="C4651" t="str">
        <f>_xlfn.XLOOKUP(B4651,
[1]sales_teams!$A$2:$A$100,
[1]sales_teams!$B$2:$B$100)</f>
        <v>Dustin Brinkmann</v>
      </c>
      <c r="D4651" t="str">
        <f>_xlfn.XLOOKUP($B4651,sales_teams!$A$2:$A$36,sales_teams!C$2:C$36)</f>
        <v>Central</v>
      </c>
      <c r="E4651" t="s">
        <v>48</v>
      </c>
      <c r="F4651" t="s">
        <v>76</v>
      </c>
      <c r="G4651" t="s">
        <v>12</v>
      </c>
      <c r="H4651" s="1">
        <v>42925</v>
      </c>
      <c r="I4651" s="1">
        <v>42934</v>
      </c>
      <c r="J4651">
        <v>4651</v>
      </c>
    </row>
    <row r="4652" spans="1:10" x14ac:dyDescent="0.3">
      <c r="A4652" t="s">
        <v>4783</v>
      </c>
      <c r="B4652" t="s">
        <v>35</v>
      </c>
      <c r="C4652" t="str">
        <f>_xlfn.XLOOKUP(B4652,
[1]sales_teams!$A$2:$A$100,
[1]sales_teams!$B$2:$B$100)</f>
        <v>Melvin Marxen</v>
      </c>
      <c r="D4652" t="str">
        <f>_xlfn.XLOOKUP($B4652,sales_teams!$A$2:$A$36,sales_teams!C$2:C$36)</f>
        <v>Central</v>
      </c>
      <c r="E4652" t="s">
        <v>48</v>
      </c>
      <c r="F4652" t="s">
        <v>151</v>
      </c>
      <c r="G4652" t="s">
        <v>46</v>
      </c>
      <c r="H4652" s="1">
        <v>42925</v>
      </c>
      <c r="I4652" s="1">
        <v>42935</v>
      </c>
      <c r="J4652">
        <v>0</v>
      </c>
    </row>
    <row r="4653" spans="1:10" x14ac:dyDescent="0.3">
      <c r="A4653" t="s">
        <v>4784</v>
      </c>
      <c r="B4653" t="s">
        <v>35</v>
      </c>
      <c r="C4653" t="str">
        <f>_xlfn.XLOOKUP(B4653,
[1]sales_teams!$A$2:$A$100,
[1]sales_teams!$B$2:$B$100)</f>
        <v>Melvin Marxen</v>
      </c>
      <c r="D4653" t="str">
        <f>_xlfn.XLOOKUP($B4653,sales_teams!$A$2:$A$36,sales_teams!C$2:C$36)</f>
        <v>Central</v>
      </c>
      <c r="E4653" t="s">
        <v>48</v>
      </c>
      <c r="F4653" t="s">
        <v>303</v>
      </c>
      <c r="G4653" t="s">
        <v>12</v>
      </c>
      <c r="H4653" s="1">
        <v>42925</v>
      </c>
      <c r="I4653" s="1">
        <v>43002</v>
      </c>
      <c r="J4653">
        <v>5944</v>
      </c>
    </row>
    <row r="4654" spans="1:10" x14ac:dyDescent="0.3">
      <c r="A4654" t="s">
        <v>4785</v>
      </c>
      <c r="B4654" t="s">
        <v>97</v>
      </c>
      <c r="C4654" t="str">
        <f>_xlfn.XLOOKUP(B4654,
[1]sales_teams!$A$2:$A$100,
[1]sales_teams!$B$2:$B$100)</f>
        <v>Rocco Neubert</v>
      </c>
      <c r="D4654" t="str">
        <f>_xlfn.XLOOKUP($B4654,sales_teams!$A$2:$A$36,sales_teams!C$2:C$36)</f>
        <v>East</v>
      </c>
      <c r="E4654" t="s">
        <v>39</v>
      </c>
      <c r="F4654" t="s">
        <v>237</v>
      </c>
      <c r="G4654" t="s">
        <v>46</v>
      </c>
      <c r="H4654" s="1">
        <v>42925</v>
      </c>
      <c r="I4654" s="1">
        <v>42933</v>
      </c>
      <c r="J4654">
        <v>0</v>
      </c>
    </row>
    <row r="4655" spans="1:10" x14ac:dyDescent="0.3">
      <c r="A4655" t="s">
        <v>4786</v>
      </c>
      <c r="B4655" t="s">
        <v>57</v>
      </c>
      <c r="C4655" t="str">
        <f>_xlfn.XLOOKUP(B4655,
[1]sales_teams!$A$2:$A$100,
[1]sales_teams!$B$2:$B$100)</f>
        <v>Celia Rouche</v>
      </c>
      <c r="D4655" t="str">
        <f>_xlfn.XLOOKUP($B4655,sales_teams!$A$2:$A$36,sales_teams!C$2:C$36)</f>
        <v>West</v>
      </c>
      <c r="E4655" t="s">
        <v>15</v>
      </c>
      <c r="F4655" t="s">
        <v>187</v>
      </c>
      <c r="G4655" t="s">
        <v>40</v>
      </c>
      <c r="H4655" s="1">
        <v>42925</v>
      </c>
    </row>
    <row r="4656" spans="1:10" x14ac:dyDescent="0.3">
      <c r="A4656" t="s">
        <v>4787</v>
      </c>
      <c r="B4656" t="s">
        <v>57</v>
      </c>
      <c r="C4656" t="str">
        <f>_xlfn.XLOOKUP(B4656,
[1]sales_teams!$A$2:$A$100,
[1]sales_teams!$B$2:$B$100)</f>
        <v>Celia Rouche</v>
      </c>
      <c r="D4656" t="str">
        <f>_xlfn.XLOOKUP($B4656,sales_teams!$A$2:$A$36,sales_teams!C$2:C$36)</f>
        <v>West</v>
      </c>
      <c r="E4656" t="s">
        <v>39</v>
      </c>
      <c r="G4656" t="s">
        <v>40</v>
      </c>
      <c r="H4656" s="1">
        <v>42925</v>
      </c>
    </row>
    <row r="4657" spans="1:10" x14ac:dyDescent="0.3">
      <c r="A4657" t="s">
        <v>4788</v>
      </c>
      <c r="B4657" t="s">
        <v>29</v>
      </c>
      <c r="C4657" t="str">
        <f>_xlfn.XLOOKUP(B4657,
[1]sales_teams!$A$2:$A$100,
[1]sales_teams!$B$2:$B$100)</f>
        <v>Celia Rouche</v>
      </c>
      <c r="D4657" t="str">
        <f>_xlfn.XLOOKUP($B4657,sales_teams!$A$2:$A$36,sales_teams!C$2:C$36)</f>
        <v>West</v>
      </c>
      <c r="E4657" t="s">
        <v>39</v>
      </c>
      <c r="F4657" t="s">
        <v>100</v>
      </c>
      <c r="G4657" t="s">
        <v>46</v>
      </c>
      <c r="H4657" s="1">
        <v>42925</v>
      </c>
      <c r="I4657" s="1">
        <v>42933</v>
      </c>
      <c r="J4657">
        <v>0</v>
      </c>
    </row>
    <row r="4658" spans="1:10" x14ac:dyDescent="0.3">
      <c r="A4658" t="s">
        <v>4789</v>
      </c>
      <c r="B4658" t="s">
        <v>23</v>
      </c>
      <c r="C4658" t="str">
        <f>_xlfn.XLOOKUP(B4658,
[1]sales_teams!$A$2:$A$100,
[1]sales_teams!$B$2:$B$100)</f>
        <v>Summer Sewald</v>
      </c>
      <c r="D4658" t="str">
        <f>_xlfn.XLOOKUP($B4658,sales_teams!$A$2:$A$36,sales_teams!C$2:C$36)</f>
        <v>West</v>
      </c>
      <c r="E4658" t="s">
        <v>15</v>
      </c>
      <c r="G4658" t="s">
        <v>40</v>
      </c>
      <c r="H4658" s="1">
        <v>42925</v>
      </c>
    </row>
    <row r="4659" spans="1:10" x14ac:dyDescent="0.3">
      <c r="A4659" t="s">
        <v>4790</v>
      </c>
      <c r="B4659" t="s">
        <v>26</v>
      </c>
      <c r="C4659" t="str">
        <f>_xlfn.XLOOKUP(B4659,
[1]sales_teams!$A$2:$A$100,
[1]sales_teams!$B$2:$B$100)</f>
        <v>Dustin Brinkmann</v>
      </c>
      <c r="D4659" t="str">
        <f>_xlfn.XLOOKUP($B4659,sales_teams!$A$2:$A$36,sales_teams!C$2:C$36)</f>
        <v>Central</v>
      </c>
      <c r="E4659" t="s">
        <v>10</v>
      </c>
      <c r="F4659" t="s">
        <v>207</v>
      </c>
      <c r="G4659" t="s">
        <v>12</v>
      </c>
      <c r="H4659" s="1">
        <v>42926</v>
      </c>
      <c r="I4659" s="1">
        <v>42933</v>
      </c>
      <c r="J4659">
        <v>962</v>
      </c>
    </row>
    <row r="4660" spans="1:10" x14ac:dyDescent="0.3">
      <c r="A4660" t="s">
        <v>4791</v>
      </c>
      <c r="B4660" t="s">
        <v>139</v>
      </c>
      <c r="C4660" t="str">
        <f>_xlfn.XLOOKUP(B4660,
[1]sales_teams!$A$2:$A$100,
[1]sales_teams!$B$2:$B$100)</f>
        <v>Rocco Neubert</v>
      </c>
      <c r="D4660" t="str">
        <f>_xlfn.XLOOKUP($B4660,sales_teams!$A$2:$A$36,sales_teams!C$2:C$36)</f>
        <v>East</v>
      </c>
      <c r="E4660" t="s">
        <v>10</v>
      </c>
      <c r="F4660" t="s">
        <v>143</v>
      </c>
      <c r="G4660" t="s">
        <v>12</v>
      </c>
      <c r="H4660" s="1">
        <v>42926</v>
      </c>
      <c r="I4660" s="1">
        <v>42937</v>
      </c>
      <c r="J4660">
        <v>1063</v>
      </c>
    </row>
    <row r="4661" spans="1:10" x14ac:dyDescent="0.3">
      <c r="A4661" t="s">
        <v>4792</v>
      </c>
      <c r="B4661" t="s">
        <v>118</v>
      </c>
      <c r="C4661" t="str">
        <f>_xlfn.XLOOKUP(B4661,
[1]sales_teams!$A$2:$A$100,
[1]sales_teams!$B$2:$B$100)</f>
        <v>Rocco Neubert</v>
      </c>
      <c r="D4661" t="str">
        <f>_xlfn.XLOOKUP($B4661,sales_teams!$A$2:$A$36,sales_teams!C$2:C$36)</f>
        <v>East</v>
      </c>
      <c r="E4661" t="s">
        <v>39</v>
      </c>
      <c r="F4661" t="s">
        <v>373</v>
      </c>
      <c r="G4661" t="s">
        <v>46</v>
      </c>
      <c r="H4661" s="1">
        <v>42926</v>
      </c>
      <c r="I4661" s="1">
        <v>42939</v>
      </c>
      <c r="J4661">
        <v>0</v>
      </c>
    </row>
    <row r="4662" spans="1:10" x14ac:dyDescent="0.3">
      <c r="A4662" t="s">
        <v>4793</v>
      </c>
      <c r="B4662" t="s">
        <v>202</v>
      </c>
      <c r="C4662" t="str">
        <f>_xlfn.XLOOKUP(B4662,
[1]sales_teams!$A$2:$A$100,
[1]sales_teams!$B$2:$B$100)</f>
        <v>Dustin Brinkmann</v>
      </c>
      <c r="D4662" t="str">
        <f>_xlfn.XLOOKUP($B4662,sales_teams!$A$2:$A$36,sales_teams!C$2:C$36)</f>
        <v>Central</v>
      </c>
      <c r="E4662" t="s">
        <v>20</v>
      </c>
      <c r="F4662" t="s">
        <v>109</v>
      </c>
      <c r="G4662" t="s">
        <v>46</v>
      </c>
      <c r="H4662" s="1">
        <v>42926</v>
      </c>
      <c r="I4662" s="1">
        <v>42939</v>
      </c>
      <c r="J4662">
        <v>0</v>
      </c>
    </row>
    <row r="4663" spans="1:10" x14ac:dyDescent="0.3">
      <c r="A4663" t="s">
        <v>4794</v>
      </c>
      <c r="B4663" t="s">
        <v>14</v>
      </c>
      <c r="C4663" t="str">
        <f>_xlfn.XLOOKUP(B4663,
[1]sales_teams!$A$2:$A$100,
[1]sales_teams!$B$2:$B$100)</f>
        <v>Melvin Marxen</v>
      </c>
      <c r="D4663" t="str">
        <f>_xlfn.XLOOKUP($B4663,sales_teams!$A$2:$A$36,sales_teams!C$2:C$36)</f>
        <v>Central</v>
      </c>
      <c r="E4663" t="s">
        <v>10</v>
      </c>
      <c r="F4663" t="s">
        <v>11</v>
      </c>
      <c r="G4663" t="s">
        <v>46</v>
      </c>
      <c r="H4663" s="1">
        <v>42926</v>
      </c>
      <c r="I4663" s="1">
        <v>42928</v>
      </c>
      <c r="J4663">
        <v>0</v>
      </c>
    </row>
    <row r="4664" spans="1:10" x14ac:dyDescent="0.3">
      <c r="A4664" t="s">
        <v>4795</v>
      </c>
      <c r="B4664" t="s">
        <v>14</v>
      </c>
      <c r="C4664" t="str">
        <f>_xlfn.XLOOKUP(B4664,
[1]sales_teams!$A$2:$A$100,
[1]sales_teams!$B$2:$B$100)</f>
        <v>Melvin Marxen</v>
      </c>
      <c r="D4664" t="str">
        <f>_xlfn.XLOOKUP($B4664,sales_teams!$A$2:$A$36,sales_teams!C$2:C$36)</f>
        <v>Central</v>
      </c>
      <c r="E4664" t="s">
        <v>18</v>
      </c>
      <c r="F4664" t="s">
        <v>492</v>
      </c>
      <c r="G4664" t="s">
        <v>46</v>
      </c>
      <c r="H4664" s="1">
        <v>42926</v>
      </c>
      <c r="I4664" s="1">
        <v>42933</v>
      </c>
      <c r="J4664">
        <v>0</v>
      </c>
    </row>
    <row r="4665" spans="1:10" x14ac:dyDescent="0.3">
      <c r="A4665" t="s">
        <v>4796</v>
      </c>
      <c r="B4665" t="s">
        <v>14</v>
      </c>
      <c r="C4665" t="str">
        <f>_xlfn.XLOOKUP(B4665,
[1]sales_teams!$A$2:$A$100,
[1]sales_teams!$B$2:$B$100)</f>
        <v>Melvin Marxen</v>
      </c>
      <c r="D4665" t="str">
        <f>_xlfn.XLOOKUP($B4665,sales_teams!$A$2:$A$36,sales_teams!C$2:C$36)</f>
        <v>Central</v>
      </c>
      <c r="E4665" t="s">
        <v>39</v>
      </c>
      <c r="F4665" t="s">
        <v>207</v>
      </c>
      <c r="G4665" t="s">
        <v>12</v>
      </c>
      <c r="H4665" s="1">
        <v>42926</v>
      </c>
      <c r="I4665" s="1">
        <v>42981</v>
      </c>
      <c r="J4665">
        <v>2572</v>
      </c>
    </row>
    <row r="4666" spans="1:10" x14ac:dyDescent="0.3">
      <c r="A4666" t="s">
        <v>4797</v>
      </c>
      <c r="B4666" t="s">
        <v>44</v>
      </c>
      <c r="C4666" t="str">
        <f>_xlfn.XLOOKUP(B4666,
[1]sales_teams!$A$2:$A$100,
[1]sales_teams!$B$2:$B$100)</f>
        <v>Melvin Marxen</v>
      </c>
      <c r="D4666" t="str">
        <f>_xlfn.XLOOKUP($B4666,sales_teams!$A$2:$A$36,sales_teams!C$2:C$36)</f>
        <v>Central</v>
      </c>
      <c r="E4666" t="s">
        <v>15</v>
      </c>
      <c r="F4666" t="s">
        <v>213</v>
      </c>
      <c r="G4666" t="s">
        <v>46</v>
      </c>
      <c r="H4666" s="1">
        <v>42926</v>
      </c>
      <c r="I4666" s="1">
        <v>42927</v>
      </c>
      <c r="J4666">
        <v>0</v>
      </c>
    </row>
    <row r="4667" spans="1:10" x14ac:dyDescent="0.3">
      <c r="A4667" t="s">
        <v>4798</v>
      </c>
      <c r="B4667" t="s">
        <v>44</v>
      </c>
      <c r="C4667" t="str">
        <f>_xlfn.XLOOKUP(B4667,
[1]sales_teams!$A$2:$A$100,
[1]sales_teams!$B$2:$B$100)</f>
        <v>Melvin Marxen</v>
      </c>
      <c r="D4667" t="str">
        <f>_xlfn.XLOOKUP($B4667,sales_teams!$A$2:$A$36,sales_teams!C$2:C$36)</f>
        <v>Central</v>
      </c>
      <c r="E4667" t="s">
        <v>15</v>
      </c>
      <c r="F4667" t="s">
        <v>76</v>
      </c>
      <c r="G4667" t="s">
        <v>12</v>
      </c>
      <c r="H4667" s="1">
        <v>42926</v>
      </c>
      <c r="I4667" s="1">
        <v>42934</v>
      </c>
      <c r="J4667">
        <v>4631</v>
      </c>
    </row>
    <row r="4668" spans="1:10" x14ac:dyDescent="0.3">
      <c r="A4668" t="s">
        <v>4799</v>
      </c>
      <c r="B4668" t="s">
        <v>44</v>
      </c>
      <c r="C4668" t="str">
        <f>_xlfn.XLOOKUP(B4668,
[1]sales_teams!$A$2:$A$100,
[1]sales_teams!$B$2:$B$100)</f>
        <v>Melvin Marxen</v>
      </c>
      <c r="D4668" t="str">
        <f>_xlfn.XLOOKUP($B4668,sales_teams!$A$2:$A$36,sales_teams!C$2:C$36)</f>
        <v>Central</v>
      </c>
      <c r="E4668" t="s">
        <v>39</v>
      </c>
      <c r="F4668" t="s">
        <v>16</v>
      </c>
      <c r="G4668" t="s">
        <v>12</v>
      </c>
      <c r="H4668" s="1">
        <v>42926</v>
      </c>
      <c r="I4668" s="1">
        <v>42935</v>
      </c>
      <c r="J4668">
        <v>3230</v>
      </c>
    </row>
    <row r="4669" spans="1:10" x14ac:dyDescent="0.3">
      <c r="A4669" t="s">
        <v>4800</v>
      </c>
      <c r="B4669" t="s">
        <v>54</v>
      </c>
      <c r="C4669" t="str">
        <f>_xlfn.XLOOKUP(B4669,
[1]sales_teams!$A$2:$A$100,
[1]sales_teams!$B$2:$B$100)</f>
        <v>Celia Rouche</v>
      </c>
      <c r="D4669" t="str">
        <f>_xlfn.XLOOKUP($B4669,sales_teams!$A$2:$A$36,sales_teams!C$2:C$36)</f>
        <v>West</v>
      </c>
      <c r="E4669" t="s">
        <v>18</v>
      </c>
      <c r="F4669" t="s">
        <v>218</v>
      </c>
      <c r="G4669" t="s">
        <v>12</v>
      </c>
      <c r="H4669" s="1">
        <v>42926</v>
      </c>
      <c r="I4669" s="1">
        <v>42935</v>
      </c>
      <c r="J4669">
        <v>59</v>
      </c>
    </row>
    <row r="4670" spans="1:10" x14ac:dyDescent="0.3">
      <c r="A4670" t="s">
        <v>4801</v>
      </c>
      <c r="B4670" t="s">
        <v>38</v>
      </c>
      <c r="C4670" t="str">
        <f>_xlfn.XLOOKUP(B4670,
[1]sales_teams!$A$2:$A$100,
[1]sales_teams!$B$2:$B$100)</f>
        <v>Summer Sewald</v>
      </c>
      <c r="D4670" t="str">
        <f>_xlfn.XLOOKUP($B4670,sales_teams!$A$2:$A$36,sales_teams!C$2:C$36)</f>
        <v>West</v>
      </c>
      <c r="E4670" t="s">
        <v>39</v>
      </c>
      <c r="F4670" t="s">
        <v>86</v>
      </c>
      <c r="G4670" t="s">
        <v>12</v>
      </c>
      <c r="H4670" s="1">
        <v>42926</v>
      </c>
      <c r="I4670" s="1">
        <v>43042</v>
      </c>
      <c r="J4670">
        <v>3624</v>
      </c>
    </row>
    <row r="4671" spans="1:10" x14ac:dyDescent="0.3">
      <c r="A4671" t="s">
        <v>4802</v>
      </c>
      <c r="B4671" t="s">
        <v>78</v>
      </c>
      <c r="C4671" t="str">
        <f>_xlfn.XLOOKUP(B4671,
[1]sales_teams!$A$2:$A$100,
[1]sales_teams!$B$2:$B$100)</f>
        <v>Summer Sewald</v>
      </c>
      <c r="D4671" t="str">
        <f>_xlfn.XLOOKUP($B4671,sales_teams!$A$2:$A$36,sales_teams!C$2:C$36)</f>
        <v>West</v>
      </c>
      <c r="E4671" t="s">
        <v>10</v>
      </c>
      <c r="F4671" t="s">
        <v>86</v>
      </c>
      <c r="G4671" t="s">
        <v>46</v>
      </c>
      <c r="H4671" s="1">
        <v>42926</v>
      </c>
      <c r="I4671" s="1">
        <v>43050</v>
      </c>
      <c r="J4671">
        <v>0</v>
      </c>
    </row>
    <row r="4672" spans="1:10" x14ac:dyDescent="0.3">
      <c r="A4672" t="s">
        <v>4803</v>
      </c>
      <c r="B4672" t="s">
        <v>78</v>
      </c>
      <c r="C4672" t="str">
        <f>_xlfn.XLOOKUP(B4672,
[1]sales_teams!$A$2:$A$100,
[1]sales_teams!$B$2:$B$100)</f>
        <v>Summer Sewald</v>
      </c>
      <c r="D4672" t="str">
        <f>_xlfn.XLOOKUP($B4672,sales_teams!$A$2:$A$36,sales_teams!C$2:C$36)</f>
        <v>West</v>
      </c>
      <c r="E4672" t="s">
        <v>15</v>
      </c>
      <c r="F4672" t="s">
        <v>122</v>
      </c>
      <c r="G4672" t="s">
        <v>46</v>
      </c>
      <c r="H4672" s="1">
        <v>42926</v>
      </c>
      <c r="I4672" s="1">
        <v>42928</v>
      </c>
      <c r="J4672">
        <v>0</v>
      </c>
    </row>
    <row r="4673" spans="1:10" x14ac:dyDescent="0.3">
      <c r="A4673" t="s">
        <v>4804</v>
      </c>
      <c r="B4673" t="s">
        <v>78</v>
      </c>
      <c r="C4673" t="str">
        <f>_xlfn.XLOOKUP(B4673,
[1]sales_teams!$A$2:$A$100,
[1]sales_teams!$B$2:$B$100)</f>
        <v>Summer Sewald</v>
      </c>
      <c r="D4673" t="str">
        <f>_xlfn.XLOOKUP($B4673,sales_teams!$A$2:$A$36,sales_teams!C$2:C$36)</f>
        <v>West</v>
      </c>
      <c r="E4673" t="s">
        <v>48</v>
      </c>
      <c r="F4673" t="s">
        <v>24</v>
      </c>
      <c r="G4673" t="s">
        <v>12</v>
      </c>
      <c r="H4673" s="1">
        <v>42926</v>
      </c>
      <c r="I4673" s="1">
        <v>43000</v>
      </c>
      <c r="J4673">
        <v>5848</v>
      </c>
    </row>
    <row r="4674" spans="1:10" x14ac:dyDescent="0.3">
      <c r="A4674" t="s">
        <v>4805</v>
      </c>
      <c r="B4674" t="s">
        <v>78</v>
      </c>
      <c r="C4674" t="str">
        <f>_xlfn.XLOOKUP(B4674,
[1]sales_teams!$A$2:$A$100,
[1]sales_teams!$B$2:$B$100)</f>
        <v>Summer Sewald</v>
      </c>
      <c r="D4674" t="str">
        <f>_xlfn.XLOOKUP($B4674,sales_teams!$A$2:$A$36,sales_teams!C$2:C$36)</f>
        <v>West</v>
      </c>
      <c r="E4674" t="s">
        <v>18</v>
      </c>
      <c r="F4674" t="s">
        <v>174</v>
      </c>
      <c r="G4674" t="s">
        <v>12</v>
      </c>
      <c r="H4674" s="1">
        <v>42926</v>
      </c>
      <c r="I4674" s="1">
        <v>42927</v>
      </c>
      <c r="J4674">
        <v>42</v>
      </c>
    </row>
    <row r="4675" spans="1:10" x14ac:dyDescent="0.3">
      <c r="A4675" t="s">
        <v>4806</v>
      </c>
      <c r="B4675" t="s">
        <v>95</v>
      </c>
      <c r="C4675" t="str">
        <f>_xlfn.XLOOKUP(B4675,
[1]sales_teams!$A$2:$A$100,
[1]sales_teams!$B$2:$B$100)</f>
        <v>Summer Sewald</v>
      </c>
      <c r="D4675" t="str">
        <f>_xlfn.XLOOKUP($B4675,sales_teams!$A$2:$A$36,sales_teams!C$2:C$36)</f>
        <v>West</v>
      </c>
      <c r="E4675" t="s">
        <v>48</v>
      </c>
      <c r="F4675" t="s">
        <v>49</v>
      </c>
      <c r="G4675" t="s">
        <v>46</v>
      </c>
      <c r="H4675" s="1">
        <v>42926</v>
      </c>
      <c r="I4675" s="1">
        <v>42928</v>
      </c>
      <c r="J4675">
        <v>0</v>
      </c>
    </row>
    <row r="4676" spans="1:10" x14ac:dyDescent="0.3">
      <c r="A4676" t="s">
        <v>4807</v>
      </c>
      <c r="B4676" t="s">
        <v>95</v>
      </c>
      <c r="C4676" t="str">
        <f>_xlfn.XLOOKUP(B4676,
[1]sales_teams!$A$2:$A$100,
[1]sales_teams!$B$2:$B$100)</f>
        <v>Summer Sewald</v>
      </c>
      <c r="D4676" t="str">
        <f>_xlfn.XLOOKUP($B4676,sales_teams!$A$2:$A$36,sales_teams!C$2:C$36)</f>
        <v>West</v>
      </c>
      <c r="E4676" t="s">
        <v>15</v>
      </c>
      <c r="F4676" t="s">
        <v>157</v>
      </c>
      <c r="G4676" t="s">
        <v>46</v>
      </c>
      <c r="H4676" s="1">
        <v>42926</v>
      </c>
      <c r="I4676" s="1">
        <v>42933</v>
      </c>
      <c r="J4676">
        <v>0</v>
      </c>
    </row>
    <row r="4677" spans="1:10" x14ac:dyDescent="0.3">
      <c r="A4677" t="s">
        <v>4808</v>
      </c>
      <c r="B4677" t="s">
        <v>32</v>
      </c>
      <c r="C4677" t="str">
        <f>_xlfn.XLOOKUP(B4677,
[1]sales_teams!$A$2:$A$100,
[1]sales_teams!$B$2:$B$100)</f>
        <v>Celia Rouche</v>
      </c>
      <c r="D4677" t="str">
        <f>_xlfn.XLOOKUP($B4677,sales_teams!$A$2:$A$36,sales_teams!C$2:C$36)</f>
        <v>West</v>
      </c>
      <c r="E4677" t="s">
        <v>48</v>
      </c>
      <c r="F4677" t="s">
        <v>24</v>
      </c>
      <c r="G4677" t="s">
        <v>46</v>
      </c>
      <c r="H4677" s="1">
        <v>42926</v>
      </c>
      <c r="I4677" s="1">
        <v>42976</v>
      </c>
      <c r="J4677">
        <v>0</v>
      </c>
    </row>
    <row r="4678" spans="1:10" x14ac:dyDescent="0.3">
      <c r="A4678" t="s">
        <v>4809</v>
      </c>
      <c r="B4678" t="s">
        <v>116</v>
      </c>
      <c r="C4678" t="str">
        <f>_xlfn.XLOOKUP(B4678,
[1]sales_teams!$A$2:$A$100,
[1]sales_teams!$B$2:$B$100)</f>
        <v>Melvin Marxen</v>
      </c>
      <c r="D4678" t="str">
        <f>_xlfn.XLOOKUP($B4678,sales_teams!$A$2:$A$36,sales_teams!C$2:C$36)</f>
        <v>Central</v>
      </c>
      <c r="E4678" t="s">
        <v>39</v>
      </c>
      <c r="F4678" t="s">
        <v>151</v>
      </c>
      <c r="G4678" t="s">
        <v>46</v>
      </c>
      <c r="H4678" s="1">
        <v>42926</v>
      </c>
      <c r="I4678" s="1">
        <v>42928</v>
      </c>
      <c r="J4678">
        <v>0</v>
      </c>
    </row>
    <row r="4679" spans="1:10" x14ac:dyDescent="0.3">
      <c r="A4679" t="s">
        <v>4810</v>
      </c>
      <c r="B4679" t="s">
        <v>9</v>
      </c>
      <c r="C4679" t="str">
        <f>_xlfn.XLOOKUP(B4679,
[1]sales_teams!$A$2:$A$100,
[1]sales_teams!$B$2:$B$100)</f>
        <v>Dustin Brinkmann</v>
      </c>
      <c r="D4679" t="str">
        <f>_xlfn.XLOOKUP($B4679,sales_teams!$A$2:$A$36,sales_teams!C$2:C$36)</f>
        <v>Central</v>
      </c>
      <c r="E4679" t="s">
        <v>18</v>
      </c>
      <c r="F4679" t="s">
        <v>11</v>
      </c>
      <c r="G4679" t="s">
        <v>46</v>
      </c>
      <c r="H4679" s="1">
        <v>42926</v>
      </c>
      <c r="I4679" s="1">
        <v>42937</v>
      </c>
      <c r="J4679">
        <v>0</v>
      </c>
    </row>
    <row r="4680" spans="1:10" x14ac:dyDescent="0.3">
      <c r="A4680" t="s">
        <v>4811</v>
      </c>
      <c r="B4680" t="s">
        <v>9</v>
      </c>
      <c r="C4680" t="str">
        <f>_xlfn.XLOOKUP(B4680,
[1]sales_teams!$A$2:$A$100,
[1]sales_teams!$B$2:$B$100)</f>
        <v>Dustin Brinkmann</v>
      </c>
      <c r="D4680" t="str">
        <f>_xlfn.XLOOKUP($B4680,sales_teams!$A$2:$A$36,sales_teams!C$2:C$36)</f>
        <v>Central</v>
      </c>
      <c r="E4680" t="s">
        <v>20</v>
      </c>
      <c r="F4680" t="s">
        <v>16</v>
      </c>
      <c r="G4680" t="s">
        <v>12</v>
      </c>
      <c r="H4680" s="1">
        <v>42926</v>
      </c>
      <c r="I4680" s="1">
        <v>42935</v>
      </c>
      <c r="J4680">
        <v>588</v>
      </c>
    </row>
    <row r="4681" spans="1:10" x14ac:dyDescent="0.3">
      <c r="A4681" t="s">
        <v>4812</v>
      </c>
      <c r="B4681" t="s">
        <v>97</v>
      </c>
      <c r="C4681" t="str">
        <f>_xlfn.XLOOKUP(B4681,
[1]sales_teams!$A$2:$A$100,
[1]sales_teams!$B$2:$B$100)</f>
        <v>Rocco Neubert</v>
      </c>
      <c r="D4681" t="str">
        <f>_xlfn.XLOOKUP($B4681,sales_teams!$A$2:$A$36,sales_teams!C$2:C$36)</f>
        <v>East</v>
      </c>
      <c r="E4681" t="s">
        <v>10</v>
      </c>
      <c r="F4681" t="s">
        <v>373</v>
      </c>
      <c r="G4681" t="s">
        <v>46</v>
      </c>
      <c r="H4681" s="1">
        <v>42926</v>
      </c>
      <c r="I4681" s="1">
        <v>42934</v>
      </c>
      <c r="J4681">
        <v>0</v>
      </c>
    </row>
    <row r="4682" spans="1:10" x14ac:dyDescent="0.3">
      <c r="A4682" t="s">
        <v>4813</v>
      </c>
      <c r="B4682" t="s">
        <v>97</v>
      </c>
      <c r="C4682" t="str">
        <f>_xlfn.XLOOKUP(B4682,
[1]sales_teams!$A$2:$A$100,
[1]sales_teams!$B$2:$B$100)</f>
        <v>Rocco Neubert</v>
      </c>
      <c r="D4682" t="str">
        <f>_xlfn.XLOOKUP($B4682,sales_teams!$A$2:$A$36,sales_teams!C$2:C$36)</f>
        <v>East</v>
      </c>
      <c r="E4682" t="s">
        <v>18</v>
      </c>
      <c r="F4682" t="s">
        <v>278</v>
      </c>
      <c r="G4682" t="s">
        <v>12</v>
      </c>
      <c r="H4682" s="1">
        <v>42926</v>
      </c>
      <c r="I4682" s="1">
        <v>42933</v>
      </c>
      <c r="J4682">
        <v>54</v>
      </c>
    </row>
    <row r="4683" spans="1:10" x14ac:dyDescent="0.3">
      <c r="A4683" t="s">
        <v>4814</v>
      </c>
      <c r="B4683" t="s">
        <v>88</v>
      </c>
      <c r="C4683" t="str">
        <f>_xlfn.XLOOKUP(B4683,
[1]sales_teams!$A$2:$A$100,
[1]sales_teams!$B$2:$B$100)</f>
        <v>Cara Losch</v>
      </c>
      <c r="D4683" t="str">
        <f>_xlfn.XLOOKUP($B4683,sales_teams!$A$2:$A$36,sales_teams!C$2:C$36)</f>
        <v>East</v>
      </c>
      <c r="E4683" t="s">
        <v>15</v>
      </c>
      <c r="G4683" t="s">
        <v>40</v>
      </c>
      <c r="H4683" s="1">
        <v>42926</v>
      </c>
    </row>
    <row r="4684" spans="1:10" x14ac:dyDescent="0.3">
      <c r="A4684" t="s">
        <v>4815</v>
      </c>
      <c r="B4684" t="s">
        <v>29</v>
      </c>
      <c r="C4684" t="str">
        <f>_xlfn.XLOOKUP(B4684,
[1]sales_teams!$A$2:$A$100,
[1]sales_teams!$B$2:$B$100)</f>
        <v>Celia Rouche</v>
      </c>
      <c r="D4684" t="str">
        <f>_xlfn.XLOOKUP($B4684,sales_teams!$A$2:$A$36,sales_teams!C$2:C$36)</f>
        <v>West</v>
      </c>
      <c r="E4684" t="s">
        <v>15</v>
      </c>
      <c r="F4684" t="s">
        <v>273</v>
      </c>
      <c r="G4684" t="s">
        <v>12</v>
      </c>
      <c r="H4684" s="1">
        <v>42926</v>
      </c>
      <c r="I4684" s="1">
        <v>42984</v>
      </c>
      <c r="J4684">
        <v>5099</v>
      </c>
    </row>
    <row r="4685" spans="1:10" x14ac:dyDescent="0.3">
      <c r="A4685" t="s">
        <v>4816</v>
      </c>
      <c r="B4685" t="s">
        <v>73</v>
      </c>
      <c r="C4685" t="str">
        <f>_xlfn.XLOOKUP(B4685,
[1]sales_teams!$A$2:$A$100,
[1]sales_teams!$B$2:$B$100)</f>
        <v>Cara Losch</v>
      </c>
      <c r="D4685" t="str">
        <f>_xlfn.XLOOKUP($B4685,sales_teams!$A$2:$A$36,sales_teams!C$2:C$36)</f>
        <v>East</v>
      </c>
      <c r="E4685" t="s">
        <v>20</v>
      </c>
      <c r="G4685" t="s">
        <v>40</v>
      </c>
      <c r="H4685" s="1">
        <v>42926</v>
      </c>
    </row>
    <row r="4686" spans="1:10" x14ac:dyDescent="0.3">
      <c r="A4686" t="s">
        <v>4817</v>
      </c>
      <c r="B4686" t="s">
        <v>23</v>
      </c>
      <c r="C4686" t="str">
        <f>_xlfn.XLOOKUP(B4686,
[1]sales_teams!$A$2:$A$100,
[1]sales_teams!$B$2:$B$100)</f>
        <v>Summer Sewald</v>
      </c>
      <c r="D4686" t="str">
        <f>_xlfn.XLOOKUP($B4686,sales_teams!$A$2:$A$36,sales_teams!C$2:C$36)</f>
        <v>West</v>
      </c>
      <c r="E4686" t="s">
        <v>48</v>
      </c>
      <c r="F4686" t="s">
        <v>124</v>
      </c>
      <c r="G4686" t="s">
        <v>46</v>
      </c>
      <c r="H4686" s="1">
        <v>42926</v>
      </c>
      <c r="I4686" s="1">
        <v>42931</v>
      </c>
      <c r="J4686">
        <v>0</v>
      </c>
    </row>
    <row r="4687" spans="1:10" x14ac:dyDescent="0.3">
      <c r="A4687" t="s">
        <v>4818</v>
      </c>
      <c r="B4687" t="s">
        <v>139</v>
      </c>
      <c r="C4687" t="str">
        <f>_xlfn.XLOOKUP(B4687,
[1]sales_teams!$A$2:$A$100,
[1]sales_teams!$B$2:$B$100)</f>
        <v>Rocco Neubert</v>
      </c>
      <c r="D4687" t="str">
        <f>_xlfn.XLOOKUP($B4687,sales_teams!$A$2:$A$36,sales_teams!C$2:C$36)</f>
        <v>East</v>
      </c>
      <c r="E4687" t="s">
        <v>39</v>
      </c>
      <c r="F4687" t="s">
        <v>199</v>
      </c>
      <c r="G4687" t="s">
        <v>46</v>
      </c>
      <c r="H4687" s="1">
        <v>42927</v>
      </c>
      <c r="I4687" s="1">
        <v>42937</v>
      </c>
      <c r="J4687">
        <v>0</v>
      </c>
    </row>
    <row r="4688" spans="1:10" x14ac:dyDescent="0.3">
      <c r="A4688" t="s">
        <v>4819</v>
      </c>
      <c r="B4688" t="s">
        <v>118</v>
      </c>
      <c r="C4688" t="str">
        <f>_xlfn.XLOOKUP(B4688,
[1]sales_teams!$A$2:$A$100,
[1]sales_teams!$B$2:$B$100)</f>
        <v>Rocco Neubert</v>
      </c>
      <c r="D4688" t="str">
        <f>_xlfn.XLOOKUP($B4688,sales_teams!$A$2:$A$36,sales_teams!C$2:C$36)</f>
        <v>East</v>
      </c>
      <c r="E4688" t="s">
        <v>48</v>
      </c>
      <c r="G4688" t="s">
        <v>40</v>
      </c>
      <c r="H4688" s="1">
        <v>42927</v>
      </c>
    </row>
    <row r="4689" spans="1:10" x14ac:dyDescent="0.3">
      <c r="A4689" t="s">
        <v>4820</v>
      </c>
      <c r="B4689" t="s">
        <v>202</v>
      </c>
      <c r="C4689" t="str">
        <f>_xlfn.XLOOKUP(B4689,
[1]sales_teams!$A$2:$A$100,
[1]sales_teams!$B$2:$B$100)</f>
        <v>Dustin Brinkmann</v>
      </c>
      <c r="D4689" t="str">
        <f>_xlfn.XLOOKUP($B4689,sales_teams!$A$2:$A$36,sales_teams!C$2:C$36)</f>
        <v>Central</v>
      </c>
      <c r="E4689" t="s">
        <v>20</v>
      </c>
      <c r="F4689" t="s">
        <v>231</v>
      </c>
      <c r="G4689" t="s">
        <v>46</v>
      </c>
      <c r="H4689" s="1">
        <v>42927</v>
      </c>
      <c r="I4689" s="1">
        <v>42994</v>
      </c>
      <c r="J4689">
        <v>0</v>
      </c>
    </row>
    <row r="4690" spans="1:10" x14ac:dyDescent="0.3">
      <c r="A4690" t="s">
        <v>4821</v>
      </c>
      <c r="B4690" t="s">
        <v>202</v>
      </c>
      <c r="C4690" t="str">
        <f>_xlfn.XLOOKUP(B4690,
[1]sales_teams!$A$2:$A$100,
[1]sales_teams!$B$2:$B$100)</f>
        <v>Dustin Brinkmann</v>
      </c>
      <c r="D4690" t="str">
        <f>_xlfn.XLOOKUP($B4690,sales_teams!$A$2:$A$36,sales_teams!C$2:C$36)</f>
        <v>Central</v>
      </c>
      <c r="E4690" t="s">
        <v>10</v>
      </c>
      <c r="F4690" t="s">
        <v>62</v>
      </c>
      <c r="G4690" t="s">
        <v>46</v>
      </c>
      <c r="H4690" s="1">
        <v>42927</v>
      </c>
      <c r="I4690" s="1">
        <v>42929</v>
      </c>
      <c r="J4690">
        <v>0</v>
      </c>
    </row>
    <row r="4691" spans="1:10" x14ac:dyDescent="0.3">
      <c r="A4691" t="s">
        <v>4822</v>
      </c>
      <c r="B4691" t="s">
        <v>164</v>
      </c>
      <c r="C4691" t="str">
        <f>_xlfn.XLOOKUP(B4691,
[1]sales_teams!$A$2:$A$100,
[1]sales_teams!$B$2:$B$100)</f>
        <v>Cara Losch</v>
      </c>
      <c r="D4691" t="str">
        <f>_xlfn.XLOOKUP($B4691,sales_teams!$A$2:$A$36,sales_teams!C$2:C$36)</f>
        <v>East</v>
      </c>
      <c r="E4691" t="s">
        <v>39</v>
      </c>
      <c r="F4691" t="s">
        <v>143</v>
      </c>
      <c r="G4691" t="s">
        <v>46</v>
      </c>
      <c r="H4691" s="1">
        <v>42927</v>
      </c>
      <c r="I4691" s="1">
        <v>42929</v>
      </c>
      <c r="J4691">
        <v>0</v>
      </c>
    </row>
    <row r="4692" spans="1:10" x14ac:dyDescent="0.3">
      <c r="A4692" t="s">
        <v>4823</v>
      </c>
      <c r="B4692" t="s">
        <v>64</v>
      </c>
      <c r="C4692" t="str">
        <f>_xlfn.XLOOKUP(B4692,
[1]sales_teams!$A$2:$A$100,
[1]sales_teams!$B$2:$B$100)</f>
        <v>Rocco Neubert</v>
      </c>
      <c r="D4692" t="str">
        <f>_xlfn.XLOOKUP($B4692,sales_teams!$A$2:$A$36,sales_teams!C$2:C$36)</f>
        <v>East</v>
      </c>
      <c r="E4692" t="s">
        <v>15</v>
      </c>
      <c r="F4692" t="s">
        <v>143</v>
      </c>
      <c r="G4692" t="s">
        <v>46</v>
      </c>
      <c r="H4692" s="1">
        <v>42927</v>
      </c>
      <c r="I4692" s="1">
        <v>42965</v>
      </c>
      <c r="J4692">
        <v>0</v>
      </c>
    </row>
    <row r="4693" spans="1:10" x14ac:dyDescent="0.3">
      <c r="A4693" t="s">
        <v>4824</v>
      </c>
      <c r="B4693" t="s">
        <v>64</v>
      </c>
      <c r="C4693" t="str">
        <f>_xlfn.XLOOKUP(B4693,
[1]sales_teams!$A$2:$A$100,
[1]sales_teams!$B$2:$B$100)</f>
        <v>Rocco Neubert</v>
      </c>
      <c r="D4693" t="str">
        <f>_xlfn.XLOOKUP($B4693,sales_teams!$A$2:$A$36,sales_teams!C$2:C$36)</f>
        <v>East</v>
      </c>
      <c r="E4693" t="s">
        <v>48</v>
      </c>
      <c r="F4693" t="s">
        <v>240</v>
      </c>
      <c r="G4693" t="s">
        <v>12</v>
      </c>
      <c r="H4693" s="1">
        <v>42927</v>
      </c>
      <c r="I4693" s="1">
        <v>42935</v>
      </c>
      <c r="J4693">
        <v>4881</v>
      </c>
    </row>
    <row r="4694" spans="1:10" x14ac:dyDescent="0.3">
      <c r="A4694" t="s">
        <v>4825</v>
      </c>
      <c r="B4694" t="s">
        <v>14</v>
      </c>
      <c r="C4694" t="str">
        <f>_xlfn.XLOOKUP(B4694,
[1]sales_teams!$A$2:$A$100,
[1]sales_teams!$B$2:$B$100)</f>
        <v>Melvin Marxen</v>
      </c>
      <c r="D4694" t="str">
        <f>_xlfn.XLOOKUP($B4694,sales_teams!$A$2:$A$36,sales_teams!C$2:C$36)</f>
        <v>Central</v>
      </c>
      <c r="E4694" t="s">
        <v>20</v>
      </c>
      <c r="F4694" t="s">
        <v>42</v>
      </c>
      <c r="G4694" t="s">
        <v>46</v>
      </c>
      <c r="H4694" s="1">
        <v>42927</v>
      </c>
      <c r="I4694" s="1">
        <v>43048</v>
      </c>
      <c r="J4694">
        <v>0</v>
      </c>
    </row>
    <row r="4695" spans="1:10" x14ac:dyDescent="0.3">
      <c r="A4695" t="s">
        <v>4826</v>
      </c>
      <c r="B4695" t="s">
        <v>14</v>
      </c>
      <c r="C4695" t="str">
        <f>_xlfn.XLOOKUP(B4695,
[1]sales_teams!$A$2:$A$100,
[1]sales_teams!$B$2:$B$100)</f>
        <v>Melvin Marxen</v>
      </c>
      <c r="D4695" t="str">
        <f>_xlfn.XLOOKUP($B4695,sales_teams!$A$2:$A$36,sales_teams!C$2:C$36)</f>
        <v>Central</v>
      </c>
      <c r="E4695" t="s">
        <v>15</v>
      </c>
      <c r="F4695" t="s">
        <v>21</v>
      </c>
      <c r="G4695" t="s">
        <v>46</v>
      </c>
      <c r="H4695" s="1">
        <v>42927</v>
      </c>
      <c r="I4695" s="1">
        <v>42928</v>
      </c>
      <c r="J4695">
        <v>0</v>
      </c>
    </row>
    <row r="4696" spans="1:10" x14ac:dyDescent="0.3">
      <c r="A4696" t="s">
        <v>4827</v>
      </c>
      <c r="B4696" t="s">
        <v>14</v>
      </c>
      <c r="C4696" t="str">
        <f>_xlfn.XLOOKUP(B4696,
[1]sales_teams!$A$2:$A$100,
[1]sales_teams!$B$2:$B$100)</f>
        <v>Melvin Marxen</v>
      </c>
      <c r="D4696" t="str">
        <f>_xlfn.XLOOKUP($B4696,sales_teams!$A$2:$A$36,sales_teams!C$2:C$36)</f>
        <v>Central</v>
      </c>
      <c r="E4696" t="s">
        <v>15</v>
      </c>
      <c r="F4696" t="s">
        <v>111</v>
      </c>
      <c r="G4696" t="s">
        <v>46</v>
      </c>
      <c r="H4696" s="1">
        <v>42927</v>
      </c>
      <c r="I4696" s="1">
        <v>42934</v>
      </c>
      <c r="J4696">
        <v>0</v>
      </c>
    </row>
    <row r="4697" spans="1:10" x14ac:dyDescent="0.3">
      <c r="A4697" t="s">
        <v>4828</v>
      </c>
      <c r="B4697" t="s">
        <v>44</v>
      </c>
      <c r="C4697" t="str">
        <f>_xlfn.XLOOKUP(B4697,
[1]sales_teams!$A$2:$A$100,
[1]sales_teams!$B$2:$B$100)</f>
        <v>Melvin Marxen</v>
      </c>
      <c r="D4697" t="str">
        <f>_xlfn.XLOOKUP($B4697,sales_teams!$A$2:$A$36,sales_teams!C$2:C$36)</f>
        <v>Central</v>
      </c>
      <c r="E4697" t="s">
        <v>39</v>
      </c>
      <c r="F4697" t="s">
        <v>45</v>
      </c>
      <c r="G4697" t="s">
        <v>12</v>
      </c>
      <c r="H4697" s="1">
        <v>42927</v>
      </c>
      <c r="I4697" s="1">
        <v>42928</v>
      </c>
      <c r="J4697">
        <v>2878</v>
      </c>
    </row>
    <row r="4698" spans="1:10" x14ac:dyDescent="0.3">
      <c r="A4698" t="s">
        <v>4829</v>
      </c>
      <c r="B4698" t="s">
        <v>54</v>
      </c>
      <c r="C4698" t="str">
        <f>_xlfn.XLOOKUP(B4698,
[1]sales_teams!$A$2:$A$100,
[1]sales_teams!$B$2:$B$100)</f>
        <v>Celia Rouche</v>
      </c>
      <c r="D4698" t="str">
        <f>_xlfn.XLOOKUP($B4698,sales_teams!$A$2:$A$36,sales_teams!C$2:C$36)</f>
        <v>West</v>
      </c>
      <c r="E4698" t="s">
        <v>18</v>
      </c>
      <c r="F4698" t="s">
        <v>93</v>
      </c>
      <c r="G4698" t="s">
        <v>46</v>
      </c>
      <c r="H4698" s="1">
        <v>42927</v>
      </c>
      <c r="I4698" s="1">
        <v>42928</v>
      </c>
      <c r="J4698">
        <v>0</v>
      </c>
    </row>
    <row r="4699" spans="1:10" x14ac:dyDescent="0.3">
      <c r="A4699" t="s">
        <v>4830</v>
      </c>
      <c r="B4699" t="s">
        <v>54</v>
      </c>
      <c r="C4699" t="str">
        <f>_xlfn.XLOOKUP(B4699,
[1]sales_teams!$A$2:$A$100,
[1]sales_teams!$B$2:$B$100)</f>
        <v>Celia Rouche</v>
      </c>
      <c r="D4699" t="str">
        <f>_xlfn.XLOOKUP($B4699,sales_teams!$A$2:$A$36,sales_teams!C$2:C$36)</f>
        <v>West</v>
      </c>
      <c r="E4699" t="s">
        <v>39</v>
      </c>
      <c r="F4699" t="s">
        <v>55</v>
      </c>
      <c r="G4699" t="s">
        <v>12</v>
      </c>
      <c r="H4699" s="1">
        <v>42927</v>
      </c>
      <c r="I4699" s="1">
        <v>42986</v>
      </c>
      <c r="J4699">
        <v>3121</v>
      </c>
    </row>
    <row r="4700" spans="1:10" x14ac:dyDescent="0.3">
      <c r="A4700" t="s">
        <v>4831</v>
      </c>
      <c r="B4700" t="s">
        <v>38</v>
      </c>
      <c r="C4700" t="str">
        <f>_xlfn.XLOOKUP(B4700,
[1]sales_teams!$A$2:$A$100,
[1]sales_teams!$B$2:$B$100)</f>
        <v>Summer Sewald</v>
      </c>
      <c r="D4700" t="str">
        <f>_xlfn.XLOOKUP($B4700,sales_teams!$A$2:$A$36,sales_teams!C$2:C$36)</f>
        <v>West</v>
      </c>
      <c r="E4700" t="s">
        <v>48</v>
      </c>
      <c r="F4700" t="s">
        <v>122</v>
      </c>
      <c r="G4700" t="s">
        <v>46</v>
      </c>
      <c r="H4700" s="1">
        <v>42927</v>
      </c>
      <c r="I4700" s="1">
        <v>42928</v>
      </c>
      <c r="J4700">
        <v>0</v>
      </c>
    </row>
    <row r="4701" spans="1:10" x14ac:dyDescent="0.3">
      <c r="A4701" t="s">
        <v>4832</v>
      </c>
      <c r="B4701" t="s">
        <v>38</v>
      </c>
      <c r="C4701" t="str">
        <f>_xlfn.XLOOKUP(B4701,
[1]sales_teams!$A$2:$A$100,
[1]sales_teams!$B$2:$B$100)</f>
        <v>Summer Sewald</v>
      </c>
      <c r="D4701" t="str">
        <f>_xlfn.XLOOKUP($B4701,sales_teams!$A$2:$A$36,sales_teams!C$2:C$36)</f>
        <v>West</v>
      </c>
      <c r="E4701" t="s">
        <v>18</v>
      </c>
      <c r="F4701" t="s">
        <v>148</v>
      </c>
      <c r="G4701" t="s">
        <v>12</v>
      </c>
      <c r="H4701" s="1">
        <v>42927</v>
      </c>
      <c r="I4701" s="1">
        <v>42934</v>
      </c>
      <c r="J4701">
        <v>57</v>
      </c>
    </row>
    <row r="4702" spans="1:10" x14ac:dyDescent="0.3">
      <c r="A4702" t="s">
        <v>4833</v>
      </c>
      <c r="B4702" t="s">
        <v>252</v>
      </c>
      <c r="C4702" t="str">
        <f>_xlfn.XLOOKUP(B4702,
[1]sales_teams!$A$2:$A$100,
[1]sales_teams!$B$2:$B$100)</f>
        <v>Melvin Marxen</v>
      </c>
      <c r="D4702" t="str">
        <f>_xlfn.XLOOKUP($B4702,sales_teams!$A$2:$A$36,sales_teams!C$2:C$36)</f>
        <v>Central</v>
      </c>
      <c r="E4702" t="s">
        <v>20</v>
      </c>
      <c r="F4702" t="s">
        <v>62</v>
      </c>
      <c r="G4702" t="s">
        <v>12</v>
      </c>
      <c r="H4702" s="1">
        <v>42927</v>
      </c>
      <c r="I4702" s="1">
        <v>42928</v>
      </c>
      <c r="J4702">
        <v>576</v>
      </c>
    </row>
    <row r="4703" spans="1:10" x14ac:dyDescent="0.3">
      <c r="A4703" t="s">
        <v>4834</v>
      </c>
      <c r="B4703" t="s">
        <v>252</v>
      </c>
      <c r="C4703" t="str">
        <f>_xlfn.XLOOKUP(B4703,
[1]sales_teams!$A$2:$A$100,
[1]sales_teams!$B$2:$B$100)</f>
        <v>Melvin Marxen</v>
      </c>
      <c r="D4703" t="str">
        <f>_xlfn.XLOOKUP($B4703,sales_teams!$A$2:$A$36,sales_teams!C$2:C$36)</f>
        <v>Central</v>
      </c>
      <c r="E4703" t="s">
        <v>10</v>
      </c>
      <c r="F4703" t="s">
        <v>113</v>
      </c>
      <c r="G4703" t="s">
        <v>12</v>
      </c>
      <c r="H4703" s="1">
        <v>42927</v>
      </c>
      <c r="I4703" s="1">
        <v>42934</v>
      </c>
      <c r="J4703">
        <v>1258</v>
      </c>
    </row>
    <row r="4704" spans="1:10" x14ac:dyDescent="0.3">
      <c r="A4704" t="s">
        <v>4835</v>
      </c>
      <c r="B4704" t="s">
        <v>78</v>
      </c>
      <c r="C4704" t="str">
        <f>_xlfn.XLOOKUP(B4704,
[1]sales_teams!$A$2:$A$100,
[1]sales_teams!$B$2:$B$100)</f>
        <v>Summer Sewald</v>
      </c>
      <c r="D4704" t="str">
        <f>_xlfn.XLOOKUP($B4704,sales_teams!$A$2:$A$36,sales_teams!C$2:C$36)</f>
        <v>West</v>
      </c>
      <c r="E4704" t="s">
        <v>10</v>
      </c>
      <c r="F4704" t="s">
        <v>273</v>
      </c>
      <c r="G4704" t="s">
        <v>46</v>
      </c>
      <c r="H4704" s="1">
        <v>42927</v>
      </c>
      <c r="I4704" s="1">
        <v>42969</v>
      </c>
      <c r="J4704">
        <v>0</v>
      </c>
    </row>
    <row r="4705" spans="1:10" x14ac:dyDescent="0.3">
      <c r="A4705" t="s">
        <v>4836</v>
      </c>
      <c r="B4705" t="s">
        <v>95</v>
      </c>
      <c r="C4705" t="str">
        <f>_xlfn.XLOOKUP(B4705,
[1]sales_teams!$A$2:$A$100,
[1]sales_teams!$B$2:$B$100)</f>
        <v>Summer Sewald</v>
      </c>
      <c r="D4705" t="str">
        <f>_xlfn.XLOOKUP($B4705,sales_teams!$A$2:$A$36,sales_teams!C$2:C$36)</f>
        <v>West</v>
      </c>
      <c r="E4705" t="s">
        <v>48</v>
      </c>
      <c r="G4705" t="s">
        <v>40</v>
      </c>
      <c r="H4705" s="1">
        <v>42927</v>
      </c>
    </row>
    <row r="4706" spans="1:10" x14ac:dyDescent="0.3">
      <c r="A4706" t="s">
        <v>4837</v>
      </c>
      <c r="B4706" t="s">
        <v>95</v>
      </c>
      <c r="C4706" t="str">
        <f>_xlfn.XLOOKUP(B4706,
[1]sales_teams!$A$2:$A$100,
[1]sales_teams!$B$2:$B$100)</f>
        <v>Summer Sewald</v>
      </c>
      <c r="D4706" t="str">
        <f>_xlfn.XLOOKUP($B4706,sales_teams!$A$2:$A$36,sales_teams!C$2:C$36)</f>
        <v>West</v>
      </c>
      <c r="E4706" t="s">
        <v>20</v>
      </c>
      <c r="F4706" t="s">
        <v>224</v>
      </c>
      <c r="G4706" t="s">
        <v>46</v>
      </c>
      <c r="H4706" s="1">
        <v>42927</v>
      </c>
      <c r="I4706" s="1">
        <v>43007</v>
      </c>
      <c r="J4706">
        <v>0</v>
      </c>
    </row>
    <row r="4707" spans="1:10" x14ac:dyDescent="0.3">
      <c r="A4707" t="s">
        <v>4838</v>
      </c>
      <c r="B4707" t="s">
        <v>95</v>
      </c>
      <c r="C4707" t="str">
        <f>_xlfn.XLOOKUP(B4707,
[1]sales_teams!$A$2:$A$100,
[1]sales_teams!$B$2:$B$100)</f>
        <v>Summer Sewald</v>
      </c>
      <c r="D4707" t="str">
        <f>_xlfn.XLOOKUP($B4707,sales_teams!$A$2:$A$36,sales_teams!C$2:C$36)</f>
        <v>West</v>
      </c>
      <c r="E4707" t="s">
        <v>20</v>
      </c>
      <c r="F4707" t="s">
        <v>315</v>
      </c>
      <c r="G4707" t="s">
        <v>12</v>
      </c>
      <c r="H4707" s="1">
        <v>42927</v>
      </c>
      <c r="I4707" s="1">
        <v>42936</v>
      </c>
      <c r="J4707">
        <v>491</v>
      </c>
    </row>
    <row r="4708" spans="1:10" x14ac:dyDescent="0.3">
      <c r="A4708" t="s">
        <v>4839</v>
      </c>
      <c r="B4708" t="s">
        <v>32</v>
      </c>
      <c r="C4708" t="str">
        <f>_xlfn.XLOOKUP(B4708,
[1]sales_teams!$A$2:$A$100,
[1]sales_teams!$B$2:$B$100)</f>
        <v>Celia Rouche</v>
      </c>
      <c r="D4708" t="str">
        <f>_xlfn.XLOOKUP($B4708,sales_teams!$A$2:$A$36,sales_teams!C$2:C$36)</f>
        <v>West</v>
      </c>
      <c r="E4708" t="s">
        <v>20</v>
      </c>
      <c r="F4708" t="s">
        <v>49</v>
      </c>
      <c r="G4708" t="s">
        <v>12</v>
      </c>
      <c r="H4708" s="1">
        <v>42927</v>
      </c>
      <c r="I4708" s="1">
        <v>42970</v>
      </c>
      <c r="J4708">
        <v>494</v>
      </c>
    </row>
    <row r="4709" spans="1:10" x14ac:dyDescent="0.3">
      <c r="A4709" t="s">
        <v>4840</v>
      </c>
      <c r="B4709" t="s">
        <v>51</v>
      </c>
      <c r="C4709" t="str">
        <f>_xlfn.XLOOKUP(B4709,
[1]sales_teams!$A$2:$A$100,
[1]sales_teams!$B$2:$B$100)</f>
        <v>Summer Sewald</v>
      </c>
      <c r="D4709" t="str">
        <f>_xlfn.XLOOKUP($B4709,sales_teams!$A$2:$A$36,sales_teams!C$2:C$36)</f>
        <v>West</v>
      </c>
      <c r="E4709" t="s">
        <v>15</v>
      </c>
      <c r="F4709" t="s">
        <v>174</v>
      </c>
      <c r="G4709" t="s">
        <v>46</v>
      </c>
      <c r="H4709" s="1">
        <v>42927</v>
      </c>
      <c r="I4709" s="1">
        <v>42936</v>
      </c>
      <c r="J4709">
        <v>0</v>
      </c>
    </row>
    <row r="4710" spans="1:10" x14ac:dyDescent="0.3">
      <c r="A4710" t="s">
        <v>4841</v>
      </c>
      <c r="B4710" t="s">
        <v>51</v>
      </c>
      <c r="C4710" t="str">
        <f>_xlfn.XLOOKUP(B4710,
[1]sales_teams!$A$2:$A$100,
[1]sales_teams!$B$2:$B$100)</f>
        <v>Summer Sewald</v>
      </c>
      <c r="D4710" t="str">
        <f>_xlfn.XLOOKUP($B4710,sales_teams!$A$2:$A$36,sales_teams!C$2:C$36)</f>
        <v>West</v>
      </c>
      <c r="E4710" t="s">
        <v>10</v>
      </c>
      <c r="F4710" t="s">
        <v>79</v>
      </c>
      <c r="G4710" t="s">
        <v>12</v>
      </c>
      <c r="H4710" s="1">
        <v>42927</v>
      </c>
      <c r="I4710" s="1">
        <v>42997</v>
      </c>
      <c r="J4710">
        <v>882</v>
      </c>
    </row>
    <row r="4711" spans="1:10" x14ac:dyDescent="0.3">
      <c r="A4711" t="s">
        <v>4842</v>
      </c>
      <c r="B4711" t="s">
        <v>97</v>
      </c>
      <c r="C4711" t="str">
        <f>_xlfn.XLOOKUP(B4711,
[1]sales_teams!$A$2:$A$100,
[1]sales_teams!$B$2:$B$100)</f>
        <v>Rocco Neubert</v>
      </c>
      <c r="D4711" t="str">
        <f>_xlfn.XLOOKUP($B4711,sales_teams!$A$2:$A$36,sales_teams!C$2:C$36)</f>
        <v>East</v>
      </c>
      <c r="E4711" t="s">
        <v>10</v>
      </c>
      <c r="F4711" t="s">
        <v>199</v>
      </c>
      <c r="G4711" t="s">
        <v>12</v>
      </c>
      <c r="H4711" s="1">
        <v>42927</v>
      </c>
      <c r="I4711" s="1">
        <v>42936</v>
      </c>
      <c r="J4711">
        <v>1076</v>
      </c>
    </row>
    <row r="4712" spans="1:10" x14ac:dyDescent="0.3">
      <c r="A4712" t="s">
        <v>4843</v>
      </c>
      <c r="B4712" t="s">
        <v>57</v>
      </c>
      <c r="C4712" t="str">
        <f>_xlfn.XLOOKUP(B4712,
[1]sales_teams!$A$2:$A$100,
[1]sales_teams!$B$2:$B$100)</f>
        <v>Celia Rouche</v>
      </c>
      <c r="D4712" t="str">
        <f>_xlfn.XLOOKUP($B4712,sales_teams!$A$2:$A$36,sales_teams!C$2:C$36)</f>
        <v>West</v>
      </c>
      <c r="E4712" t="s">
        <v>145</v>
      </c>
      <c r="F4712" t="s">
        <v>33</v>
      </c>
      <c r="G4712" t="s">
        <v>46</v>
      </c>
      <c r="H4712" s="1">
        <v>42927</v>
      </c>
      <c r="I4712" s="1">
        <v>42934</v>
      </c>
      <c r="J4712">
        <v>0</v>
      </c>
    </row>
    <row r="4713" spans="1:10" x14ac:dyDescent="0.3">
      <c r="A4713" t="s">
        <v>4844</v>
      </c>
      <c r="B4713" t="s">
        <v>57</v>
      </c>
      <c r="C4713" t="str">
        <f>_xlfn.XLOOKUP(B4713,
[1]sales_teams!$A$2:$A$100,
[1]sales_teams!$B$2:$B$100)</f>
        <v>Celia Rouche</v>
      </c>
      <c r="D4713" t="str">
        <f>_xlfn.XLOOKUP($B4713,sales_teams!$A$2:$A$36,sales_teams!C$2:C$36)</f>
        <v>West</v>
      </c>
      <c r="E4713" t="s">
        <v>18</v>
      </c>
      <c r="F4713" t="s">
        <v>174</v>
      </c>
      <c r="G4713" t="s">
        <v>46</v>
      </c>
      <c r="H4713" s="1">
        <v>42927</v>
      </c>
      <c r="I4713" s="1">
        <v>42999</v>
      </c>
      <c r="J4713">
        <v>0</v>
      </c>
    </row>
    <row r="4714" spans="1:10" x14ac:dyDescent="0.3">
      <c r="A4714" t="s">
        <v>4845</v>
      </c>
      <c r="B4714" t="s">
        <v>57</v>
      </c>
      <c r="C4714" t="str">
        <f>_xlfn.XLOOKUP(B4714,
[1]sales_teams!$A$2:$A$100,
[1]sales_teams!$B$2:$B$100)</f>
        <v>Celia Rouche</v>
      </c>
      <c r="D4714" t="str">
        <f>_xlfn.XLOOKUP($B4714,sales_teams!$A$2:$A$36,sales_teams!C$2:C$36)</f>
        <v>West</v>
      </c>
      <c r="E4714" t="s">
        <v>18</v>
      </c>
      <c r="F4714" t="s">
        <v>79</v>
      </c>
      <c r="G4714" t="s">
        <v>12</v>
      </c>
      <c r="H4714" s="1">
        <v>42927</v>
      </c>
      <c r="I4714" s="1">
        <v>42935</v>
      </c>
      <c r="J4714">
        <v>57</v>
      </c>
    </row>
    <row r="4715" spans="1:10" x14ac:dyDescent="0.3">
      <c r="A4715" t="s">
        <v>4846</v>
      </c>
      <c r="B4715" t="s">
        <v>29</v>
      </c>
      <c r="C4715" t="str">
        <f>_xlfn.XLOOKUP(B4715,
[1]sales_teams!$A$2:$A$100,
[1]sales_teams!$B$2:$B$100)</f>
        <v>Celia Rouche</v>
      </c>
      <c r="D4715" t="str">
        <f>_xlfn.XLOOKUP($B4715,sales_teams!$A$2:$A$36,sales_teams!C$2:C$36)</f>
        <v>West</v>
      </c>
      <c r="E4715" t="s">
        <v>20</v>
      </c>
      <c r="F4715" t="s">
        <v>157</v>
      </c>
      <c r="G4715" t="s">
        <v>46</v>
      </c>
      <c r="H4715" s="1">
        <v>42927</v>
      </c>
      <c r="I4715" s="1">
        <v>42929</v>
      </c>
      <c r="J4715">
        <v>0</v>
      </c>
    </row>
    <row r="4716" spans="1:10" x14ac:dyDescent="0.3">
      <c r="A4716" t="s">
        <v>4847</v>
      </c>
      <c r="B4716" t="s">
        <v>29</v>
      </c>
      <c r="C4716" t="str">
        <f>_xlfn.XLOOKUP(B4716,
[1]sales_teams!$A$2:$A$100,
[1]sales_teams!$B$2:$B$100)</f>
        <v>Celia Rouche</v>
      </c>
      <c r="D4716" t="str">
        <f>_xlfn.XLOOKUP($B4716,sales_teams!$A$2:$A$36,sales_teams!C$2:C$36)</f>
        <v>West</v>
      </c>
      <c r="E4716" t="s">
        <v>39</v>
      </c>
      <c r="F4716" t="s">
        <v>33</v>
      </c>
      <c r="G4716" t="s">
        <v>46</v>
      </c>
      <c r="H4716" s="1">
        <v>42927</v>
      </c>
      <c r="I4716" s="1">
        <v>43044</v>
      </c>
      <c r="J4716">
        <v>0</v>
      </c>
    </row>
    <row r="4717" spans="1:10" x14ac:dyDescent="0.3">
      <c r="A4717" t="s">
        <v>4848</v>
      </c>
      <c r="B4717" t="s">
        <v>29</v>
      </c>
      <c r="C4717" t="str">
        <f>_xlfn.XLOOKUP(B4717,
[1]sales_teams!$A$2:$A$100,
[1]sales_teams!$B$2:$B$100)</f>
        <v>Celia Rouche</v>
      </c>
      <c r="D4717" t="str">
        <f>_xlfn.XLOOKUP($B4717,sales_teams!$A$2:$A$36,sales_teams!C$2:C$36)</f>
        <v>West</v>
      </c>
      <c r="E4717" t="s">
        <v>39</v>
      </c>
      <c r="F4717" t="s">
        <v>52</v>
      </c>
      <c r="G4717" t="s">
        <v>46</v>
      </c>
      <c r="H4717" s="1">
        <v>42927</v>
      </c>
      <c r="I4717" s="1">
        <v>42928</v>
      </c>
      <c r="J4717">
        <v>0</v>
      </c>
    </row>
    <row r="4718" spans="1:10" x14ac:dyDescent="0.3">
      <c r="A4718" t="s">
        <v>4849</v>
      </c>
      <c r="B4718" t="s">
        <v>26</v>
      </c>
      <c r="C4718" t="str">
        <f>_xlfn.XLOOKUP(B4718,
[1]sales_teams!$A$2:$A$100,
[1]sales_teams!$B$2:$B$100)</f>
        <v>Dustin Brinkmann</v>
      </c>
      <c r="D4718" t="str">
        <f>_xlfn.XLOOKUP($B4718,sales_teams!$A$2:$A$36,sales_teams!C$2:C$36)</f>
        <v>Central</v>
      </c>
      <c r="E4718" t="s">
        <v>10</v>
      </c>
      <c r="F4718" t="s">
        <v>42</v>
      </c>
      <c r="G4718" t="s">
        <v>46</v>
      </c>
      <c r="H4718" s="1">
        <v>42928</v>
      </c>
      <c r="I4718" s="1">
        <v>42978</v>
      </c>
      <c r="J4718">
        <v>0</v>
      </c>
    </row>
    <row r="4719" spans="1:10" x14ac:dyDescent="0.3">
      <c r="A4719" t="s">
        <v>4850</v>
      </c>
      <c r="B4719" t="s">
        <v>139</v>
      </c>
      <c r="C4719" t="str">
        <f>_xlfn.XLOOKUP(B4719,
[1]sales_teams!$A$2:$A$100,
[1]sales_teams!$B$2:$B$100)</f>
        <v>Rocco Neubert</v>
      </c>
      <c r="D4719" t="str">
        <f>_xlfn.XLOOKUP($B4719,sales_teams!$A$2:$A$36,sales_teams!C$2:C$36)</f>
        <v>East</v>
      </c>
      <c r="E4719" t="s">
        <v>10</v>
      </c>
      <c r="F4719" t="s">
        <v>215</v>
      </c>
      <c r="G4719" t="s">
        <v>12</v>
      </c>
      <c r="H4719" s="1">
        <v>42928</v>
      </c>
      <c r="I4719" s="1">
        <v>43006</v>
      </c>
      <c r="J4719">
        <v>1100</v>
      </c>
    </row>
    <row r="4720" spans="1:10" x14ac:dyDescent="0.3">
      <c r="A4720" t="s">
        <v>4851</v>
      </c>
      <c r="B4720" t="s">
        <v>118</v>
      </c>
      <c r="C4720" t="str">
        <f>_xlfn.XLOOKUP(B4720,
[1]sales_teams!$A$2:$A$100,
[1]sales_teams!$B$2:$B$100)</f>
        <v>Rocco Neubert</v>
      </c>
      <c r="D4720" t="str">
        <f>_xlfn.XLOOKUP($B4720,sales_teams!$A$2:$A$36,sales_teams!C$2:C$36)</f>
        <v>East</v>
      </c>
      <c r="E4720" t="s">
        <v>39</v>
      </c>
      <c r="F4720" t="s">
        <v>209</v>
      </c>
      <c r="G4720" t="s">
        <v>12</v>
      </c>
      <c r="H4720" s="1">
        <v>42928</v>
      </c>
      <c r="I4720" s="1">
        <v>42996</v>
      </c>
      <c r="J4720">
        <v>3630</v>
      </c>
    </row>
    <row r="4721" spans="1:10" x14ac:dyDescent="0.3">
      <c r="A4721" t="s">
        <v>4852</v>
      </c>
      <c r="B4721" t="s">
        <v>164</v>
      </c>
      <c r="C4721" t="str">
        <f>_xlfn.XLOOKUP(B4721,
[1]sales_teams!$A$2:$A$100,
[1]sales_teams!$B$2:$B$100)</f>
        <v>Cara Losch</v>
      </c>
      <c r="D4721" t="str">
        <f>_xlfn.XLOOKUP($B4721,sales_teams!$A$2:$A$36,sales_teams!C$2:C$36)</f>
        <v>East</v>
      </c>
      <c r="E4721" t="s">
        <v>18</v>
      </c>
      <c r="G4721" t="s">
        <v>40</v>
      </c>
      <c r="H4721" s="1">
        <v>42928</v>
      </c>
    </row>
    <row r="4722" spans="1:10" x14ac:dyDescent="0.3">
      <c r="A4722" t="s">
        <v>4853</v>
      </c>
      <c r="B4722" t="s">
        <v>64</v>
      </c>
      <c r="C4722" t="str">
        <f>_xlfn.XLOOKUP(B4722,
[1]sales_teams!$A$2:$A$100,
[1]sales_teams!$B$2:$B$100)</f>
        <v>Rocco Neubert</v>
      </c>
      <c r="D4722" t="str">
        <f>_xlfn.XLOOKUP($B4722,sales_teams!$A$2:$A$36,sales_teams!C$2:C$36)</f>
        <v>East</v>
      </c>
      <c r="E4722" t="s">
        <v>20</v>
      </c>
      <c r="F4722" t="s">
        <v>197</v>
      </c>
      <c r="G4722" t="s">
        <v>40</v>
      </c>
      <c r="H4722" s="1">
        <v>42928</v>
      </c>
    </row>
    <row r="4723" spans="1:10" x14ac:dyDescent="0.3">
      <c r="A4723" t="s">
        <v>4854</v>
      </c>
      <c r="B4723" t="s">
        <v>14</v>
      </c>
      <c r="C4723" t="str">
        <f>_xlfn.XLOOKUP(B4723,
[1]sales_teams!$A$2:$A$100,
[1]sales_teams!$B$2:$B$100)</f>
        <v>Melvin Marxen</v>
      </c>
      <c r="D4723" t="str">
        <f>_xlfn.XLOOKUP($B4723,sales_teams!$A$2:$A$36,sales_teams!C$2:C$36)</f>
        <v>Central</v>
      </c>
      <c r="E4723" t="s">
        <v>15</v>
      </c>
      <c r="F4723" t="s">
        <v>42</v>
      </c>
      <c r="G4723" t="s">
        <v>46</v>
      </c>
      <c r="H4723" s="1">
        <v>42928</v>
      </c>
      <c r="I4723" s="1">
        <v>42939</v>
      </c>
      <c r="J4723">
        <v>0</v>
      </c>
    </row>
    <row r="4724" spans="1:10" x14ac:dyDescent="0.3">
      <c r="A4724" t="s">
        <v>4855</v>
      </c>
      <c r="B4724" t="s">
        <v>14</v>
      </c>
      <c r="C4724" t="str">
        <f>_xlfn.XLOOKUP(B4724,
[1]sales_teams!$A$2:$A$100,
[1]sales_teams!$B$2:$B$100)</f>
        <v>Melvin Marxen</v>
      </c>
      <c r="D4724" t="str">
        <f>_xlfn.XLOOKUP($B4724,sales_teams!$A$2:$A$36,sales_teams!C$2:C$36)</f>
        <v>Central</v>
      </c>
      <c r="E4724" t="s">
        <v>39</v>
      </c>
      <c r="F4724" t="s">
        <v>303</v>
      </c>
      <c r="G4724" t="s">
        <v>46</v>
      </c>
      <c r="H4724" s="1">
        <v>42928</v>
      </c>
      <c r="I4724" s="1">
        <v>42937</v>
      </c>
      <c r="J4724">
        <v>0</v>
      </c>
    </row>
    <row r="4725" spans="1:10" x14ac:dyDescent="0.3">
      <c r="A4725" t="s">
        <v>4856</v>
      </c>
      <c r="B4725" t="s">
        <v>142</v>
      </c>
      <c r="C4725" t="str">
        <f>_xlfn.XLOOKUP(B4725,
[1]sales_teams!$A$2:$A$100,
[1]sales_teams!$B$2:$B$100)</f>
        <v>Rocco Neubert</v>
      </c>
      <c r="D4725" t="str">
        <f>_xlfn.XLOOKUP($B4725,sales_teams!$A$2:$A$36,sales_teams!C$2:C$36)</f>
        <v>East</v>
      </c>
      <c r="E4725" t="s">
        <v>10</v>
      </c>
      <c r="F4725" t="s">
        <v>177</v>
      </c>
      <c r="G4725" t="s">
        <v>46</v>
      </c>
      <c r="H4725" s="1">
        <v>42928</v>
      </c>
      <c r="I4725" s="1">
        <v>43005</v>
      </c>
      <c r="J4725">
        <v>0</v>
      </c>
    </row>
    <row r="4726" spans="1:10" x14ac:dyDescent="0.3">
      <c r="A4726" t="s">
        <v>4857</v>
      </c>
      <c r="B4726" t="s">
        <v>142</v>
      </c>
      <c r="C4726" t="str">
        <f>_xlfn.XLOOKUP(B4726,
[1]sales_teams!$A$2:$A$100,
[1]sales_teams!$B$2:$B$100)</f>
        <v>Rocco Neubert</v>
      </c>
      <c r="D4726" t="str">
        <f>_xlfn.XLOOKUP($B4726,sales_teams!$A$2:$A$36,sales_teams!C$2:C$36)</f>
        <v>East</v>
      </c>
      <c r="E4726" t="s">
        <v>48</v>
      </c>
      <c r="F4726" t="s">
        <v>222</v>
      </c>
      <c r="G4726" t="s">
        <v>46</v>
      </c>
      <c r="H4726" s="1">
        <v>42928</v>
      </c>
      <c r="I4726" s="1">
        <v>43006</v>
      </c>
      <c r="J4726">
        <v>0</v>
      </c>
    </row>
    <row r="4727" spans="1:10" x14ac:dyDescent="0.3">
      <c r="A4727" t="s">
        <v>4858</v>
      </c>
      <c r="B4727" t="s">
        <v>44</v>
      </c>
      <c r="C4727" t="str">
        <f>_xlfn.XLOOKUP(B4727,
[1]sales_teams!$A$2:$A$100,
[1]sales_teams!$B$2:$B$100)</f>
        <v>Melvin Marxen</v>
      </c>
      <c r="D4727" t="str">
        <f>_xlfn.XLOOKUP($B4727,sales_teams!$A$2:$A$36,sales_teams!C$2:C$36)</f>
        <v>Central</v>
      </c>
      <c r="E4727" t="s">
        <v>15</v>
      </c>
      <c r="F4727" t="s">
        <v>218</v>
      </c>
      <c r="G4727" t="s">
        <v>46</v>
      </c>
      <c r="H4727" s="1">
        <v>42928</v>
      </c>
      <c r="I4727" s="1">
        <v>42929</v>
      </c>
      <c r="J4727">
        <v>0</v>
      </c>
    </row>
    <row r="4728" spans="1:10" x14ac:dyDescent="0.3">
      <c r="A4728" t="s">
        <v>4859</v>
      </c>
      <c r="B4728" t="s">
        <v>54</v>
      </c>
      <c r="C4728" t="str">
        <f>_xlfn.XLOOKUP(B4728,
[1]sales_teams!$A$2:$A$100,
[1]sales_teams!$B$2:$B$100)</f>
        <v>Celia Rouche</v>
      </c>
      <c r="D4728" t="str">
        <f>_xlfn.XLOOKUP($B4728,sales_teams!$A$2:$A$36,sales_teams!C$2:C$36)</f>
        <v>West</v>
      </c>
      <c r="E4728" t="s">
        <v>39</v>
      </c>
      <c r="F4728" t="s">
        <v>33</v>
      </c>
      <c r="G4728" t="s">
        <v>46</v>
      </c>
      <c r="H4728" s="1">
        <v>42928</v>
      </c>
      <c r="I4728" s="1">
        <v>42941</v>
      </c>
      <c r="J4728">
        <v>0</v>
      </c>
    </row>
    <row r="4729" spans="1:10" x14ac:dyDescent="0.3">
      <c r="A4729" t="s">
        <v>4860</v>
      </c>
      <c r="B4729" t="s">
        <v>54</v>
      </c>
      <c r="C4729" t="str">
        <f>_xlfn.XLOOKUP(B4729,
[1]sales_teams!$A$2:$A$100,
[1]sales_teams!$B$2:$B$100)</f>
        <v>Celia Rouche</v>
      </c>
      <c r="D4729" t="str">
        <f>_xlfn.XLOOKUP($B4729,sales_teams!$A$2:$A$36,sales_teams!C$2:C$36)</f>
        <v>West</v>
      </c>
      <c r="E4729" t="s">
        <v>39</v>
      </c>
      <c r="F4729" t="s">
        <v>49</v>
      </c>
      <c r="G4729" t="s">
        <v>12</v>
      </c>
      <c r="H4729" s="1">
        <v>42928</v>
      </c>
      <c r="I4729" s="1">
        <v>42939</v>
      </c>
      <c r="J4729">
        <v>3741</v>
      </c>
    </row>
    <row r="4730" spans="1:10" x14ac:dyDescent="0.3">
      <c r="A4730" t="s">
        <v>4861</v>
      </c>
      <c r="B4730" t="s">
        <v>54</v>
      </c>
      <c r="C4730" t="str">
        <f>_xlfn.XLOOKUP(B4730,
[1]sales_teams!$A$2:$A$100,
[1]sales_teams!$B$2:$B$100)</f>
        <v>Celia Rouche</v>
      </c>
      <c r="D4730" t="str">
        <f>_xlfn.XLOOKUP($B4730,sales_teams!$A$2:$A$36,sales_teams!C$2:C$36)</f>
        <v>West</v>
      </c>
      <c r="E4730" t="s">
        <v>39</v>
      </c>
      <c r="F4730" t="s">
        <v>159</v>
      </c>
      <c r="G4730" t="s">
        <v>12</v>
      </c>
      <c r="H4730" s="1">
        <v>42928</v>
      </c>
      <c r="I4730" s="1">
        <v>42930</v>
      </c>
      <c r="J4730">
        <v>2905</v>
      </c>
    </row>
    <row r="4731" spans="1:10" x14ac:dyDescent="0.3">
      <c r="A4731" t="s">
        <v>4862</v>
      </c>
      <c r="B4731" t="s">
        <v>38</v>
      </c>
      <c r="C4731" t="str">
        <f>_xlfn.XLOOKUP(B4731,
[1]sales_teams!$A$2:$A$100,
[1]sales_teams!$B$2:$B$100)</f>
        <v>Summer Sewald</v>
      </c>
      <c r="D4731" t="str">
        <f>_xlfn.XLOOKUP($B4731,sales_teams!$A$2:$A$36,sales_teams!C$2:C$36)</f>
        <v>West</v>
      </c>
      <c r="E4731" t="s">
        <v>10</v>
      </c>
      <c r="F4731" t="s">
        <v>273</v>
      </c>
      <c r="G4731" t="s">
        <v>46</v>
      </c>
      <c r="H4731" s="1">
        <v>42928</v>
      </c>
      <c r="I4731" s="1">
        <v>42941</v>
      </c>
      <c r="J4731">
        <v>0</v>
      </c>
    </row>
    <row r="4732" spans="1:10" x14ac:dyDescent="0.3">
      <c r="A4732" t="s">
        <v>4863</v>
      </c>
      <c r="B4732" t="s">
        <v>51</v>
      </c>
      <c r="C4732" t="str">
        <f>_xlfn.XLOOKUP(B4732,
[1]sales_teams!$A$2:$A$100,
[1]sales_teams!$B$2:$B$100)</f>
        <v>Summer Sewald</v>
      </c>
      <c r="D4732" t="str">
        <f>_xlfn.XLOOKUP($B4732,sales_teams!$A$2:$A$36,sales_teams!C$2:C$36)</f>
        <v>West</v>
      </c>
      <c r="E4732" t="s">
        <v>10</v>
      </c>
      <c r="F4732" t="s">
        <v>55</v>
      </c>
      <c r="G4732" t="s">
        <v>12</v>
      </c>
      <c r="H4732" s="1">
        <v>42928</v>
      </c>
      <c r="I4732" s="1">
        <v>42992</v>
      </c>
      <c r="J4732">
        <v>1023</v>
      </c>
    </row>
    <row r="4733" spans="1:10" x14ac:dyDescent="0.3">
      <c r="A4733" t="s">
        <v>4864</v>
      </c>
      <c r="B4733" t="s">
        <v>51</v>
      </c>
      <c r="C4733" t="str">
        <f>_xlfn.XLOOKUP(B4733,
[1]sales_teams!$A$2:$A$100,
[1]sales_teams!$B$2:$B$100)</f>
        <v>Summer Sewald</v>
      </c>
      <c r="D4733" t="str">
        <f>_xlfn.XLOOKUP($B4733,sales_teams!$A$2:$A$36,sales_teams!C$2:C$36)</f>
        <v>West</v>
      </c>
      <c r="E4733" t="s">
        <v>39</v>
      </c>
      <c r="F4733" t="s">
        <v>159</v>
      </c>
      <c r="G4733" t="s">
        <v>12</v>
      </c>
      <c r="H4733" s="1">
        <v>42928</v>
      </c>
      <c r="I4733" s="1">
        <v>43002</v>
      </c>
      <c r="J4733">
        <v>3257</v>
      </c>
    </row>
    <row r="4734" spans="1:10" x14ac:dyDescent="0.3">
      <c r="A4734" t="s">
        <v>4865</v>
      </c>
      <c r="B4734" t="s">
        <v>9</v>
      </c>
      <c r="C4734" t="str">
        <f>_xlfn.XLOOKUP(B4734,
[1]sales_teams!$A$2:$A$100,
[1]sales_teams!$B$2:$B$100)</f>
        <v>Dustin Brinkmann</v>
      </c>
      <c r="D4734" t="str">
        <f>_xlfn.XLOOKUP($B4734,sales_teams!$A$2:$A$36,sales_teams!C$2:C$36)</f>
        <v>Central</v>
      </c>
      <c r="E4734" t="s">
        <v>48</v>
      </c>
      <c r="F4734" t="s">
        <v>21</v>
      </c>
      <c r="G4734" t="s">
        <v>46</v>
      </c>
      <c r="H4734" s="1">
        <v>42928</v>
      </c>
      <c r="I4734" s="1">
        <v>42936</v>
      </c>
      <c r="J4734">
        <v>0</v>
      </c>
    </row>
    <row r="4735" spans="1:10" x14ac:dyDescent="0.3">
      <c r="A4735" t="s">
        <v>4866</v>
      </c>
      <c r="B4735" t="s">
        <v>35</v>
      </c>
      <c r="C4735" t="str">
        <f>_xlfn.XLOOKUP(B4735,
[1]sales_teams!$A$2:$A$100,
[1]sales_teams!$B$2:$B$100)</f>
        <v>Melvin Marxen</v>
      </c>
      <c r="D4735" t="str">
        <f>_xlfn.XLOOKUP($B4735,sales_teams!$A$2:$A$36,sales_teams!C$2:C$36)</f>
        <v>Central</v>
      </c>
      <c r="E4735" t="s">
        <v>10</v>
      </c>
      <c r="F4735" t="s">
        <v>492</v>
      </c>
      <c r="G4735" t="s">
        <v>12</v>
      </c>
      <c r="H4735" s="1">
        <v>42928</v>
      </c>
      <c r="I4735" s="1">
        <v>42967</v>
      </c>
      <c r="J4735">
        <v>960</v>
      </c>
    </row>
    <row r="4736" spans="1:10" x14ac:dyDescent="0.3">
      <c r="A4736" t="s">
        <v>4867</v>
      </c>
      <c r="B4736" t="s">
        <v>97</v>
      </c>
      <c r="C4736" t="str">
        <f>_xlfn.XLOOKUP(B4736,
[1]sales_teams!$A$2:$A$100,
[1]sales_teams!$B$2:$B$100)</f>
        <v>Rocco Neubert</v>
      </c>
      <c r="D4736" t="str">
        <f>_xlfn.XLOOKUP($B4736,sales_teams!$A$2:$A$36,sales_teams!C$2:C$36)</f>
        <v>East</v>
      </c>
      <c r="E4736" t="s">
        <v>15</v>
      </c>
      <c r="F4736" t="s">
        <v>143</v>
      </c>
      <c r="G4736" t="s">
        <v>46</v>
      </c>
      <c r="H4736" s="1">
        <v>42928</v>
      </c>
      <c r="I4736" s="1">
        <v>42930</v>
      </c>
      <c r="J4736">
        <v>0</v>
      </c>
    </row>
    <row r="4737" spans="1:10" x14ac:dyDescent="0.3">
      <c r="A4737" t="s">
        <v>4868</v>
      </c>
      <c r="B4737" t="s">
        <v>97</v>
      </c>
      <c r="C4737" t="str">
        <f>_xlfn.XLOOKUP(B4737,
[1]sales_teams!$A$2:$A$100,
[1]sales_teams!$B$2:$B$100)</f>
        <v>Rocco Neubert</v>
      </c>
      <c r="D4737" t="str">
        <f>_xlfn.XLOOKUP($B4737,sales_teams!$A$2:$A$36,sales_teams!C$2:C$36)</f>
        <v>East</v>
      </c>
      <c r="E4737" t="s">
        <v>48</v>
      </c>
      <c r="F4737" t="s">
        <v>143</v>
      </c>
      <c r="G4737" t="s">
        <v>12</v>
      </c>
      <c r="H4737" s="1">
        <v>42928</v>
      </c>
      <c r="I4737" s="1">
        <v>42934</v>
      </c>
      <c r="J4737">
        <v>5538</v>
      </c>
    </row>
    <row r="4738" spans="1:10" x14ac:dyDescent="0.3">
      <c r="A4738" t="s">
        <v>4869</v>
      </c>
      <c r="B4738" t="s">
        <v>23</v>
      </c>
      <c r="C4738" t="str">
        <f>_xlfn.XLOOKUP(B4738,
[1]sales_teams!$A$2:$A$100,
[1]sales_teams!$B$2:$B$100)</f>
        <v>Summer Sewald</v>
      </c>
      <c r="D4738" t="str">
        <f>_xlfn.XLOOKUP($B4738,sales_teams!$A$2:$A$36,sales_teams!C$2:C$36)</f>
        <v>West</v>
      </c>
      <c r="E4738" t="s">
        <v>20</v>
      </c>
      <c r="G4738" t="s">
        <v>40</v>
      </c>
      <c r="H4738" s="1">
        <v>42928</v>
      </c>
    </row>
    <row r="4739" spans="1:10" x14ac:dyDescent="0.3">
      <c r="A4739" t="s">
        <v>4870</v>
      </c>
      <c r="B4739" t="s">
        <v>139</v>
      </c>
      <c r="C4739" t="str">
        <f>_xlfn.XLOOKUP(B4739,
[1]sales_teams!$A$2:$A$100,
[1]sales_teams!$B$2:$B$100)</f>
        <v>Rocco Neubert</v>
      </c>
      <c r="D4739" t="str">
        <f>_xlfn.XLOOKUP($B4739,sales_teams!$A$2:$A$36,sales_teams!C$2:C$36)</f>
        <v>East</v>
      </c>
      <c r="E4739" t="s">
        <v>39</v>
      </c>
      <c r="F4739" t="s">
        <v>155</v>
      </c>
      <c r="G4739" t="s">
        <v>12</v>
      </c>
      <c r="H4739" s="1">
        <v>42929</v>
      </c>
      <c r="I4739" s="1">
        <v>42939</v>
      </c>
      <c r="J4739">
        <v>3420</v>
      </c>
    </row>
    <row r="4740" spans="1:10" x14ac:dyDescent="0.3">
      <c r="A4740" t="s">
        <v>4871</v>
      </c>
      <c r="B4740" t="s">
        <v>14</v>
      </c>
      <c r="C4740" t="str">
        <f>_xlfn.XLOOKUP(B4740,
[1]sales_teams!$A$2:$A$100,
[1]sales_teams!$B$2:$B$100)</f>
        <v>Melvin Marxen</v>
      </c>
      <c r="D4740" t="str">
        <f>_xlfn.XLOOKUP($B4740,sales_teams!$A$2:$A$36,sales_teams!C$2:C$36)</f>
        <v>Central</v>
      </c>
      <c r="E4740" t="s">
        <v>15</v>
      </c>
      <c r="F4740" t="s">
        <v>62</v>
      </c>
      <c r="G4740" t="s">
        <v>46</v>
      </c>
      <c r="H4740" s="1">
        <v>42929</v>
      </c>
      <c r="I4740" s="1">
        <v>42935</v>
      </c>
      <c r="J4740">
        <v>0</v>
      </c>
    </row>
    <row r="4741" spans="1:10" x14ac:dyDescent="0.3">
      <c r="A4741" t="s">
        <v>4872</v>
      </c>
      <c r="B4741" t="s">
        <v>14</v>
      </c>
      <c r="C4741" t="str">
        <f>_xlfn.XLOOKUP(B4741,
[1]sales_teams!$A$2:$A$100,
[1]sales_teams!$B$2:$B$100)</f>
        <v>Melvin Marxen</v>
      </c>
      <c r="D4741" t="str">
        <f>_xlfn.XLOOKUP($B4741,sales_teams!$A$2:$A$36,sales_teams!C$2:C$36)</f>
        <v>Central</v>
      </c>
      <c r="E4741" t="s">
        <v>15</v>
      </c>
      <c r="F4741" t="s">
        <v>42</v>
      </c>
      <c r="G4741" t="s">
        <v>12</v>
      </c>
      <c r="H4741" s="1">
        <v>42929</v>
      </c>
      <c r="I4741" s="1">
        <v>42932</v>
      </c>
      <c r="J4741">
        <v>5382</v>
      </c>
    </row>
    <row r="4742" spans="1:10" x14ac:dyDescent="0.3">
      <c r="A4742" t="s">
        <v>4873</v>
      </c>
      <c r="B4742" t="s">
        <v>67</v>
      </c>
      <c r="C4742" t="str">
        <f>_xlfn.XLOOKUP(B4742,
[1]sales_teams!$A$2:$A$100,
[1]sales_teams!$B$2:$B$100)</f>
        <v>Celia Rouche</v>
      </c>
      <c r="D4742" t="str">
        <f>_xlfn.XLOOKUP($B4742,sales_teams!$A$2:$A$36,sales_teams!C$2:C$36)</f>
        <v>West</v>
      </c>
      <c r="E4742" t="s">
        <v>18</v>
      </c>
      <c r="F4742" t="s">
        <v>52</v>
      </c>
      <c r="G4742" t="s">
        <v>46</v>
      </c>
      <c r="H4742" s="1">
        <v>42929</v>
      </c>
      <c r="I4742" s="1">
        <v>42940</v>
      </c>
      <c r="J4742">
        <v>0</v>
      </c>
    </row>
    <row r="4743" spans="1:10" x14ac:dyDescent="0.3">
      <c r="A4743" t="s">
        <v>4874</v>
      </c>
      <c r="B4743" t="s">
        <v>67</v>
      </c>
      <c r="C4743" t="str">
        <f>_xlfn.XLOOKUP(B4743,
[1]sales_teams!$A$2:$A$100,
[1]sales_teams!$B$2:$B$100)</f>
        <v>Celia Rouche</v>
      </c>
      <c r="D4743" t="str">
        <f>_xlfn.XLOOKUP($B4743,sales_teams!$A$2:$A$36,sales_teams!C$2:C$36)</f>
        <v>West</v>
      </c>
      <c r="E4743" t="s">
        <v>15</v>
      </c>
      <c r="F4743" t="s">
        <v>194</v>
      </c>
      <c r="G4743" t="s">
        <v>12</v>
      </c>
      <c r="H4743" s="1">
        <v>42929</v>
      </c>
      <c r="I4743" s="1">
        <v>42934</v>
      </c>
      <c r="J4743">
        <v>5703</v>
      </c>
    </row>
    <row r="4744" spans="1:10" x14ac:dyDescent="0.3">
      <c r="A4744" t="s">
        <v>4875</v>
      </c>
      <c r="B4744" t="s">
        <v>105</v>
      </c>
      <c r="C4744" t="str">
        <f>_xlfn.XLOOKUP(B4744,
[1]sales_teams!$A$2:$A$100,
[1]sales_teams!$B$2:$B$100)</f>
        <v>Cara Losch</v>
      </c>
      <c r="D4744" t="str">
        <f>_xlfn.XLOOKUP($B4744,sales_teams!$A$2:$A$36,sales_teams!C$2:C$36)</f>
        <v>East</v>
      </c>
      <c r="E4744" t="s">
        <v>39</v>
      </c>
      <c r="F4744" t="s">
        <v>106</v>
      </c>
      <c r="G4744" t="s">
        <v>12</v>
      </c>
      <c r="H4744" s="1">
        <v>42929</v>
      </c>
      <c r="I4744" s="1">
        <v>43008</v>
      </c>
      <c r="J4744">
        <v>3340</v>
      </c>
    </row>
    <row r="4745" spans="1:10" x14ac:dyDescent="0.3">
      <c r="A4745" t="s">
        <v>4876</v>
      </c>
      <c r="B4745" t="s">
        <v>54</v>
      </c>
      <c r="C4745" t="str">
        <f>_xlfn.XLOOKUP(B4745,
[1]sales_teams!$A$2:$A$100,
[1]sales_teams!$B$2:$B$100)</f>
        <v>Celia Rouche</v>
      </c>
      <c r="D4745" t="str">
        <f>_xlfn.XLOOKUP($B4745,sales_teams!$A$2:$A$36,sales_teams!C$2:C$36)</f>
        <v>West</v>
      </c>
      <c r="E4745" t="s">
        <v>39</v>
      </c>
      <c r="F4745" t="s">
        <v>315</v>
      </c>
      <c r="G4745" t="s">
        <v>46</v>
      </c>
      <c r="H4745" s="1">
        <v>42929</v>
      </c>
      <c r="I4745" s="1">
        <v>42931</v>
      </c>
      <c r="J4745">
        <v>0</v>
      </c>
    </row>
    <row r="4746" spans="1:10" x14ac:dyDescent="0.3">
      <c r="A4746" t="s">
        <v>4877</v>
      </c>
      <c r="B4746" t="s">
        <v>95</v>
      </c>
      <c r="C4746" t="str">
        <f>_xlfn.XLOOKUP(B4746,
[1]sales_teams!$A$2:$A$100,
[1]sales_teams!$B$2:$B$100)</f>
        <v>Summer Sewald</v>
      </c>
      <c r="D4746" t="str">
        <f>_xlfn.XLOOKUP($B4746,sales_teams!$A$2:$A$36,sales_teams!C$2:C$36)</f>
        <v>West</v>
      </c>
      <c r="E4746" t="s">
        <v>10</v>
      </c>
      <c r="F4746" t="s">
        <v>157</v>
      </c>
      <c r="G4746" t="s">
        <v>12</v>
      </c>
      <c r="H4746" s="1">
        <v>42929</v>
      </c>
      <c r="I4746" s="1">
        <v>42956</v>
      </c>
      <c r="J4746">
        <v>1014</v>
      </c>
    </row>
    <row r="4747" spans="1:10" x14ac:dyDescent="0.3">
      <c r="A4747" t="s">
        <v>4878</v>
      </c>
      <c r="B4747" t="s">
        <v>133</v>
      </c>
      <c r="C4747" t="str">
        <f>_xlfn.XLOOKUP(B4747,
[1]sales_teams!$A$2:$A$100,
[1]sales_teams!$B$2:$B$100)</f>
        <v>Dustin Brinkmann</v>
      </c>
      <c r="D4747" t="str">
        <f>_xlfn.XLOOKUP($B4747,sales_teams!$A$2:$A$36,sales_teams!C$2:C$36)</f>
        <v>Central</v>
      </c>
      <c r="E4747" t="s">
        <v>20</v>
      </c>
      <c r="F4747" t="s">
        <v>318</v>
      </c>
      <c r="G4747" t="s">
        <v>12</v>
      </c>
      <c r="H4747" s="1">
        <v>42929</v>
      </c>
      <c r="I4747" s="1">
        <v>42935</v>
      </c>
      <c r="J4747">
        <v>536</v>
      </c>
    </row>
    <row r="4748" spans="1:10" x14ac:dyDescent="0.3">
      <c r="A4748" t="s">
        <v>4879</v>
      </c>
      <c r="B4748" t="s">
        <v>32</v>
      </c>
      <c r="C4748" t="str">
        <f>_xlfn.XLOOKUP(B4748,
[1]sales_teams!$A$2:$A$100,
[1]sales_teams!$B$2:$B$100)</f>
        <v>Celia Rouche</v>
      </c>
      <c r="D4748" t="str">
        <f>_xlfn.XLOOKUP($B4748,sales_teams!$A$2:$A$36,sales_teams!C$2:C$36)</f>
        <v>West</v>
      </c>
      <c r="E4748" t="s">
        <v>10</v>
      </c>
      <c r="F4748" t="s">
        <v>199</v>
      </c>
      <c r="G4748" t="s">
        <v>46</v>
      </c>
      <c r="H4748" s="1">
        <v>42929</v>
      </c>
      <c r="I4748" s="1">
        <v>42930</v>
      </c>
      <c r="J4748">
        <v>0</v>
      </c>
    </row>
    <row r="4749" spans="1:10" x14ac:dyDescent="0.3">
      <c r="A4749" t="s">
        <v>4880</v>
      </c>
      <c r="B4749" t="s">
        <v>35</v>
      </c>
      <c r="C4749" t="str">
        <f>_xlfn.XLOOKUP(B4749,
[1]sales_teams!$A$2:$A$100,
[1]sales_teams!$B$2:$B$100)</f>
        <v>Melvin Marxen</v>
      </c>
      <c r="D4749" t="str">
        <f>_xlfn.XLOOKUP($B4749,sales_teams!$A$2:$A$36,sales_teams!C$2:C$36)</f>
        <v>Central</v>
      </c>
      <c r="E4749" t="s">
        <v>20</v>
      </c>
      <c r="F4749" t="s">
        <v>21</v>
      </c>
      <c r="G4749" t="s">
        <v>12</v>
      </c>
      <c r="H4749" s="1">
        <v>42929</v>
      </c>
      <c r="I4749" s="1">
        <v>42940</v>
      </c>
      <c r="J4749">
        <v>550</v>
      </c>
    </row>
    <row r="4750" spans="1:10" x14ac:dyDescent="0.3">
      <c r="A4750" t="s">
        <v>4881</v>
      </c>
      <c r="B4750" t="s">
        <v>35</v>
      </c>
      <c r="C4750" t="str">
        <f>_xlfn.XLOOKUP(B4750,
[1]sales_teams!$A$2:$A$100,
[1]sales_teams!$B$2:$B$100)</f>
        <v>Melvin Marxen</v>
      </c>
      <c r="D4750" t="str">
        <f>_xlfn.XLOOKUP($B4750,sales_teams!$A$2:$A$36,sales_teams!C$2:C$36)</f>
        <v>Central</v>
      </c>
      <c r="E4750" t="s">
        <v>20</v>
      </c>
      <c r="F4750" t="s">
        <v>109</v>
      </c>
      <c r="G4750" t="s">
        <v>12</v>
      </c>
      <c r="H4750" s="1">
        <v>42929</v>
      </c>
      <c r="I4750" s="1">
        <v>43006</v>
      </c>
      <c r="J4750">
        <v>469</v>
      </c>
    </row>
    <row r="4751" spans="1:10" x14ac:dyDescent="0.3">
      <c r="A4751" t="s">
        <v>4882</v>
      </c>
      <c r="B4751" t="s">
        <v>35</v>
      </c>
      <c r="C4751" t="str">
        <f>_xlfn.XLOOKUP(B4751,
[1]sales_teams!$A$2:$A$100,
[1]sales_teams!$B$2:$B$100)</f>
        <v>Melvin Marxen</v>
      </c>
      <c r="D4751" t="str">
        <f>_xlfn.XLOOKUP($B4751,sales_teams!$A$2:$A$36,sales_teams!C$2:C$36)</f>
        <v>Central</v>
      </c>
      <c r="E4751" t="s">
        <v>20</v>
      </c>
      <c r="F4751" t="s">
        <v>27</v>
      </c>
      <c r="G4751" t="s">
        <v>12</v>
      </c>
      <c r="H4751" s="1">
        <v>42929</v>
      </c>
      <c r="I4751" s="1">
        <v>42930</v>
      </c>
      <c r="J4751">
        <v>585</v>
      </c>
    </row>
    <row r="4752" spans="1:10" x14ac:dyDescent="0.3">
      <c r="A4752" t="s">
        <v>4883</v>
      </c>
      <c r="B4752" t="s">
        <v>35</v>
      </c>
      <c r="C4752" t="str">
        <f>_xlfn.XLOOKUP(B4752,
[1]sales_teams!$A$2:$A$100,
[1]sales_teams!$B$2:$B$100)</f>
        <v>Melvin Marxen</v>
      </c>
      <c r="D4752" t="str">
        <f>_xlfn.XLOOKUP($B4752,sales_teams!$A$2:$A$36,sales_teams!C$2:C$36)</f>
        <v>Central</v>
      </c>
      <c r="E4752" t="s">
        <v>10</v>
      </c>
      <c r="F4752" t="s">
        <v>231</v>
      </c>
      <c r="G4752" t="s">
        <v>12</v>
      </c>
      <c r="H4752" s="1">
        <v>42929</v>
      </c>
      <c r="I4752" s="1">
        <v>42976</v>
      </c>
      <c r="J4752">
        <v>943</v>
      </c>
    </row>
    <row r="4753" spans="1:10" x14ac:dyDescent="0.3">
      <c r="A4753" t="s">
        <v>4884</v>
      </c>
      <c r="B4753" t="s">
        <v>97</v>
      </c>
      <c r="C4753" t="str">
        <f>_xlfn.XLOOKUP(B4753,
[1]sales_teams!$A$2:$A$100,
[1]sales_teams!$B$2:$B$100)</f>
        <v>Rocco Neubert</v>
      </c>
      <c r="D4753" t="str">
        <f>_xlfn.XLOOKUP($B4753,sales_teams!$A$2:$A$36,sales_teams!C$2:C$36)</f>
        <v>East</v>
      </c>
      <c r="E4753" t="s">
        <v>20</v>
      </c>
      <c r="F4753" t="s">
        <v>165</v>
      </c>
      <c r="G4753" t="s">
        <v>46</v>
      </c>
      <c r="H4753" s="1">
        <v>42929</v>
      </c>
      <c r="I4753" s="1">
        <v>42937</v>
      </c>
      <c r="J4753">
        <v>0</v>
      </c>
    </row>
    <row r="4754" spans="1:10" x14ac:dyDescent="0.3">
      <c r="A4754" t="s">
        <v>4885</v>
      </c>
      <c r="B4754" t="s">
        <v>97</v>
      </c>
      <c r="C4754" t="str">
        <f>_xlfn.XLOOKUP(B4754,
[1]sales_teams!$A$2:$A$100,
[1]sales_teams!$B$2:$B$100)</f>
        <v>Rocco Neubert</v>
      </c>
      <c r="D4754" t="str">
        <f>_xlfn.XLOOKUP($B4754,sales_teams!$A$2:$A$36,sales_teams!C$2:C$36)</f>
        <v>East</v>
      </c>
      <c r="E4754" t="s">
        <v>10</v>
      </c>
      <c r="F4754" t="s">
        <v>215</v>
      </c>
      <c r="G4754" t="s">
        <v>12</v>
      </c>
      <c r="H4754" s="1">
        <v>42929</v>
      </c>
      <c r="I4754" s="1">
        <v>42948</v>
      </c>
      <c r="J4754">
        <v>1319</v>
      </c>
    </row>
    <row r="4755" spans="1:10" x14ac:dyDescent="0.3">
      <c r="A4755" t="s">
        <v>4886</v>
      </c>
      <c r="B4755" t="s">
        <v>97</v>
      </c>
      <c r="C4755" t="str">
        <f>_xlfn.XLOOKUP(B4755,
[1]sales_teams!$A$2:$A$100,
[1]sales_teams!$B$2:$B$100)</f>
        <v>Rocco Neubert</v>
      </c>
      <c r="D4755" t="str">
        <f>_xlfn.XLOOKUP($B4755,sales_teams!$A$2:$A$36,sales_teams!C$2:C$36)</f>
        <v>East</v>
      </c>
      <c r="E4755" t="s">
        <v>15</v>
      </c>
      <c r="F4755" t="s">
        <v>192</v>
      </c>
      <c r="G4755" t="s">
        <v>12</v>
      </c>
      <c r="H4755" s="1">
        <v>42929</v>
      </c>
      <c r="I4755" s="1">
        <v>42938</v>
      </c>
      <c r="J4755">
        <v>5873</v>
      </c>
    </row>
    <row r="4756" spans="1:10" x14ac:dyDescent="0.3">
      <c r="A4756" t="s">
        <v>4887</v>
      </c>
      <c r="B4756" t="s">
        <v>88</v>
      </c>
      <c r="C4756" t="str">
        <f>_xlfn.XLOOKUP(B4756,
[1]sales_teams!$A$2:$A$100,
[1]sales_teams!$B$2:$B$100)</f>
        <v>Cara Losch</v>
      </c>
      <c r="D4756" t="str">
        <f>_xlfn.XLOOKUP($B4756,sales_teams!$A$2:$A$36,sales_teams!C$2:C$36)</f>
        <v>East</v>
      </c>
      <c r="E4756" t="s">
        <v>18</v>
      </c>
      <c r="G4756" t="s">
        <v>40</v>
      </c>
      <c r="H4756" s="1">
        <v>42929</v>
      </c>
    </row>
    <row r="4757" spans="1:10" x14ac:dyDescent="0.3">
      <c r="A4757" t="s">
        <v>4888</v>
      </c>
      <c r="B4757" t="s">
        <v>29</v>
      </c>
      <c r="C4757" t="str">
        <f>_xlfn.XLOOKUP(B4757,
[1]sales_teams!$A$2:$A$100,
[1]sales_teams!$B$2:$B$100)</f>
        <v>Celia Rouche</v>
      </c>
      <c r="D4757" t="str">
        <f>_xlfn.XLOOKUP($B4757,sales_teams!$A$2:$A$36,sales_teams!C$2:C$36)</f>
        <v>West</v>
      </c>
      <c r="E4757" t="s">
        <v>39</v>
      </c>
      <c r="F4757" t="s">
        <v>155</v>
      </c>
      <c r="G4757" t="s">
        <v>46</v>
      </c>
      <c r="H4757" s="1">
        <v>42929</v>
      </c>
      <c r="I4757" s="1">
        <v>42975</v>
      </c>
      <c r="J4757">
        <v>0</v>
      </c>
    </row>
    <row r="4758" spans="1:10" x14ac:dyDescent="0.3">
      <c r="A4758" t="s">
        <v>4889</v>
      </c>
      <c r="B4758" t="s">
        <v>23</v>
      </c>
      <c r="C4758" t="str">
        <f>_xlfn.XLOOKUP(B4758,
[1]sales_teams!$A$2:$A$100,
[1]sales_teams!$B$2:$B$100)</f>
        <v>Summer Sewald</v>
      </c>
      <c r="D4758" t="str">
        <f>_xlfn.XLOOKUP($B4758,sales_teams!$A$2:$A$36,sales_teams!C$2:C$36)</f>
        <v>West</v>
      </c>
      <c r="E4758" t="s">
        <v>10</v>
      </c>
      <c r="F4758" t="s">
        <v>184</v>
      </c>
      <c r="G4758" t="s">
        <v>46</v>
      </c>
      <c r="H4758" s="1">
        <v>42929</v>
      </c>
      <c r="I4758" s="1">
        <v>42931</v>
      </c>
      <c r="J4758">
        <v>0</v>
      </c>
    </row>
    <row r="4759" spans="1:10" x14ac:dyDescent="0.3">
      <c r="A4759" t="s">
        <v>4890</v>
      </c>
      <c r="B4759" t="s">
        <v>26</v>
      </c>
      <c r="C4759" t="str">
        <f>_xlfn.XLOOKUP(B4759,
[1]sales_teams!$A$2:$A$100,
[1]sales_teams!$B$2:$B$100)</f>
        <v>Dustin Brinkmann</v>
      </c>
      <c r="D4759" t="str">
        <f>_xlfn.XLOOKUP($B4759,sales_teams!$A$2:$A$36,sales_teams!C$2:C$36)</f>
        <v>Central</v>
      </c>
      <c r="E4759" t="s">
        <v>18</v>
      </c>
      <c r="F4759" t="s">
        <v>62</v>
      </c>
      <c r="G4759" t="s">
        <v>12</v>
      </c>
      <c r="H4759" s="1">
        <v>42930</v>
      </c>
      <c r="I4759" s="1">
        <v>42933</v>
      </c>
      <c r="J4759">
        <v>44</v>
      </c>
    </row>
    <row r="4760" spans="1:10" x14ac:dyDescent="0.3">
      <c r="A4760" t="s">
        <v>4891</v>
      </c>
      <c r="B4760" t="s">
        <v>139</v>
      </c>
      <c r="C4760" t="str">
        <f>_xlfn.XLOOKUP(B4760,
[1]sales_teams!$A$2:$A$100,
[1]sales_teams!$B$2:$B$100)</f>
        <v>Rocco Neubert</v>
      </c>
      <c r="D4760" t="str">
        <f>_xlfn.XLOOKUP($B4760,sales_teams!$A$2:$A$36,sales_teams!C$2:C$36)</f>
        <v>East</v>
      </c>
      <c r="E4760" t="s">
        <v>39</v>
      </c>
      <c r="F4760" t="s">
        <v>215</v>
      </c>
      <c r="G4760" t="s">
        <v>46</v>
      </c>
      <c r="H4760" s="1">
        <v>42930</v>
      </c>
      <c r="I4760" s="1">
        <v>42942</v>
      </c>
      <c r="J4760">
        <v>0</v>
      </c>
    </row>
    <row r="4761" spans="1:10" x14ac:dyDescent="0.3">
      <c r="A4761" t="s">
        <v>4892</v>
      </c>
      <c r="B4761" t="s">
        <v>139</v>
      </c>
      <c r="C4761" t="str">
        <f>_xlfn.XLOOKUP(B4761,
[1]sales_teams!$A$2:$A$100,
[1]sales_teams!$B$2:$B$100)</f>
        <v>Rocco Neubert</v>
      </c>
      <c r="D4761" t="str">
        <f>_xlfn.XLOOKUP($B4761,sales_teams!$A$2:$A$36,sales_teams!C$2:C$36)</f>
        <v>East</v>
      </c>
      <c r="E4761" t="s">
        <v>15</v>
      </c>
      <c r="F4761" t="s">
        <v>106</v>
      </c>
      <c r="G4761" t="s">
        <v>12</v>
      </c>
      <c r="H4761" s="1">
        <v>42930</v>
      </c>
      <c r="I4761" s="1">
        <v>42992</v>
      </c>
      <c r="J4761">
        <v>3834</v>
      </c>
    </row>
    <row r="4762" spans="1:10" x14ac:dyDescent="0.3">
      <c r="A4762" t="s">
        <v>4893</v>
      </c>
      <c r="B4762" t="s">
        <v>118</v>
      </c>
      <c r="C4762" t="str">
        <f>_xlfn.XLOOKUP(B4762,
[1]sales_teams!$A$2:$A$100,
[1]sales_teams!$B$2:$B$100)</f>
        <v>Rocco Neubert</v>
      </c>
      <c r="D4762" t="str">
        <f>_xlfn.XLOOKUP($B4762,sales_teams!$A$2:$A$36,sales_teams!C$2:C$36)</f>
        <v>East</v>
      </c>
      <c r="E4762" t="s">
        <v>10</v>
      </c>
      <c r="F4762" t="s">
        <v>300</v>
      </c>
      <c r="G4762" t="s">
        <v>46</v>
      </c>
      <c r="H4762" s="1">
        <v>42930</v>
      </c>
      <c r="I4762" s="1">
        <v>42937</v>
      </c>
      <c r="J4762">
        <v>0</v>
      </c>
    </row>
    <row r="4763" spans="1:10" x14ac:dyDescent="0.3">
      <c r="A4763" t="s">
        <v>4894</v>
      </c>
      <c r="B4763" t="s">
        <v>118</v>
      </c>
      <c r="C4763" t="str">
        <f>_xlfn.XLOOKUP(B4763,
[1]sales_teams!$A$2:$A$100,
[1]sales_teams!$B$2:$B$100)</f>
        <v>Rocco Neubert</v>
      </c>
      <c r="D4763" t="str">
        <f>_xlfn.XLOOKUP($B4763,sales_teams!$A$2:$A$36,sales_teams!C$2:C$36)</f>
        <v>East</v>
      </c>
      <c r="E4763" t="s">
        <v>48</v>
      </c>
      <c r="F4763" t="s">
        <v>518</v>
      </c>
      <c r="G4763" t="s">
        <v>46</v>
      </c>
      <c r="H4763" s="1">
        <v>42930</v>
      </c>
      <c r="I4763" s="1">
        <v>42931</v>
      </c>
      <c r="J4763">
        <v>0</v>
      </c>
    </row>
    <row r="4764" spans="1:10" x14ac:dyDescent="0.3">
      <c r="A4764" t="s">
        <v>4895</v>
      </c>
      <c r="B4764" t="s">
        <v>202</v>
      </c>
      <c r="C4764" t="str">
        <f>_xlfn.XLOOKUP(B4764,
[1]sales_teams!$A$2:$A$100,
[1]sales_teams!$B$2:$B$100)</f>
        <v>Dustin Brinkmann</v>
      </c>
      <c r="D4764" t="str">
        <f>_xlfn.XLOOKUP($B4764,sales_teams!$A$2:$A$36,sales_teams!C$2:C$36)</f>
        <v>Central</v>
      </c>
      <c r="E4764" t="s">
        <v>48</v>
      </c>
      <c r="F4764" t="s">
        <v>318</v>
      </c>
      <c r="G4764" t="s">
        <v>12</v>
      </c>
      <c r="H4764" s="1">
        <v>42930</v>
      </c>
      <c r="I4764" s="1">
        <v>42932</v>
      </c>
      <c r="J4764">
        <v>5537</v>
      </c>
    </row>
    <row r="4765" spans="1:10" x14ac:dyDescent="0.3">
      <c r="A4765" t="s">
        <v>4896</v>
      </c>
      <c r="B4765" t="s">
        <v>164</v>
      </c>
      <c r="C4765" t="str">
        <f>_xlfn.XLOOKUP(B4765,
[1]sales_teams!$A$2:$A$100,
[1]sales_teams!$B$2:$B$100)</f>
        <v>Cara Losch</v>
      </c>
      <c r="D4765" t="str">
        <f>_xlfn.XLOOKUP($B4765,sales_teams!$A$2:$A$36,sales_teams!C$2:C$36)</f>
        <v>East</v>
      </c>
      <c r="E4765" t="s">
        <v>20</v>
      </c>
      <c r="F4765" t="s">
        <v>410</v>
      </c>
      <c r="G4765" t="s">
        <v>12</v>
      </c>
      <c r="H4765" s="1">
        <v>42930</v>
      </c>
      <c r="I4765" s="1">
        <v>42993</v>
      </c>
      <c r="J4765">
        <v>530</v>
      </c>
    </row>
    <row r="4766" spans="1:10" x14ac:dyDescent="0.3">
      <c r="A4766" t="s">
        <v>4897</v>
      </c>
      <c r="B4766" t="s">
        <v>164</v>
      </c>
      <c r="C4766" t="str">
        <f>_xlfn.XLOOKUP(B4766,
[1]sales_teams!$A$2:$A$100,
[1]sales_teams!$B$2:$B$100)</f>
        <v>Cara Losch</v>
      </c>
      <c r="D4766" t="str">
        <f>_xlfn.XLOOKUP($B4766,sales_teams!$A$2:$A$36,sales_teams!C$2:C$36)</f>
        <v>East</v>
      </c>
      <c r="E4766" t="s">
        <v>48</v>
      </c>
      <c r="F4766" t="s">
        <v>199</v>
      </c>
      <c r="G4766" t="s">
        <v>12</v>
      </c>
      <c r="H4766" s="1">
        <v>42930</v>
      </c>
      <c r="I4766" s="1">
        <v>43001</v>
      </c>
      <c r="J4766">
        <v>4989</v>
      </c>
    </row>
    <row r="4767" spans="1:10" x14ac:dyDescent="0.3">
      <c r="A4767" t="s">
        <v>4898</v>
      </c>
      <c r="B4767" t="s">
        <v>14</v>
      </c>
      <c r="C4767" t="str">
        <f>_xlfn.XLOOKUP(B4767,
[1]sales_teams!$A$2:$A$100,
[1]sales_teams!$B$2:$B$100)</f>
        <v>Melvin Marxen</v>
      </c>
      <c r="D4767" t="str">
        <f>_xlfn.XLOOKUP($B4767,sales_teams!$A$2:$A$36,sales_teams!C$2:C$36)</f>
        <v>Central</v>
      </c>
      <c r="E4767" t="s">
        <v>48</v>
      </c>
      <c r="F4767" t="s">
        <v>492</v>
      </c>
      <c r="G4767" t="s">
        <v>46</v>
      </c>
      <c r="H4767" s="1">
        <v>42930</v>
      </c>
      <c r="I4767" s="1">
        <v>42941</v>
      </c>
      <c r="J4767">
        <v>0</v>
      </c>
    </row>
    <row r="4768" spans="1:10" x14ac:dyDescent="0.3">
      <c r="A4768" t="s">
        <v>4899</v>
      </c>
      <c r="B4768" t="s">
        <v>14</v>
      </c>
      <c r="C4768" t="str">
        <f>_xlfn.XLOOKUP(B4768,
[1]sales_teams!$A$2:$A$100,
[1]sales_teams!$B$2:$B$100)</f>
        <v>Melvin Marxen</v>
      </c>
      <c r="D4768" t="str">
        <f>_xlfn.XLOOKUP($B4768,sales_teams!$A$2:$A$36,sales_teams!C$2:C$36)</f>
        <v>Central</v>
      </c>
      <c r="E4768" t="s">
        <v>10</v>
      </c>
      <c r="F4768" t="s">
        <v>187</v>
      </c>
      <c r="G4768" t="s">
        <v>12</v>
      </c>
      <c r="H4768" s="1">
        <v>42930</v>
      </c>
      <c r="I4768" s="1">
        <v>42942</v>
      </c>
      <c r="J4768">
        <v>1144</v>
      </c>
    </row>
    <row r="4769" spans="1:10" x14ac:dyDescent="0.3">
      <c r="A4769" t="s">
        <v>4900</v>
      </c>
      <c r="B4769" t="s">
        <v>142</v>
      </c>
      <c r="C4769" t="str">
        <f>_xlfn.XLOOKUP(B4769,
[1]sales_teams!$A$2:$A$100,
[1]sales_teams!$B$2:$B$100)</f>
        <v>Rocco Neubert</v>
      </c>
      <c r="D4769" t="str">
        <f>_xlfn.XLOOKUP($B4769,sales_teams!$A$2:$A$36,sales_teams!C$2:C$36)</f>
        <v>East</v>
      </c>
      <c r="E4769" t="s">
        <v>20</v>
      </c>
      <c r="F4769" t="s">
        <v>199</v>
      </c>
      <c r="G4769" t="s">
        <v>46</v>
      </c>
      <c r="H4769" s="1">
        <v>42930</v>
      </c>
      <c r="I4769" s="1">
        <v>42931</v>
      </c>
      <c r="J4769">
        <v>0</v>
      </c>
    </row>
    <row r="4770" spans="1:10" x14ac:dyDescent="0.3">
      <c r="A4770" t="s">
        <v>4901</v>
      </c>
      <c r="B4770" t="s">
        <v>67</v>
      </c>
      <c r="C4770" t="str">
        <f>_xlfn.XLOOKUP(B4770,
[1]sales_teams!$A$2:$A$100,
[1]sales_teams!$B$2:$B$100)</f>
        <v>Celia Rouche</v>
      </c>
      <c r="D4770" t="str">
        <f>_xlfn.XLOOKUP($B4770,sales_teams!$A$2:$A$36,sales_teams!C$2:C$36)</f>
        <v>West</v>
      </c>
      <c r="E4770" t="s">
        <v>39</v>
      </c>
      <c r="F4770" t="s">
        <v>93</v>
      </c>
      <c r="G4770" t="s">
        <v>46</v>
      </c>
      <c r="H4770" s="1">
        <v>42930</v>
      </c>
      <c r="I4770" s="1">
        <v>42986</v>
      </c>
      <c r="J4770">
        <v>0</v>
      </c>
    </row>
    <row r="4771" spans="1:10" x14ac:dyDescent="0.3">
      <c r="A4771" t="s">
        <v>4902</v>
      </c>
      <c r="B4771" t="s">
        <v>54</v>
      </c>
      <c r="C4771" t="str">
        <f>_xlfn.XLOOKUP(B4771,
[1]sales_teams!$A$2:$A$100,
[1]sales_teams!$B$2:$B$100)</f>
        <v>Celia Rouche</v>
      </c>
      <c r="D4771" t="str">
        <f>_xlfn.XLOOKUP($B4771,sales_teams!$A$2:$A$36,sales_teams!C$2:C$36)</f>
        <v>West</v>
      </c>
      <c r="E4771" t="s">
        <v>39</v>
      </c>
      <c r="F4771" t="s">
        <v>93</v>
      </c>
      <c r="G4771" t="s">
        <v>12</v>
      </c>
      <c r="H4771" s="1">
        <v>42930</v>
      </c>
      <c r="I4771" s="1">
        <v>42931</v>
      </c>
      <c r="J4771">
        <v>3362</v>
      </c>
    </row>
    <row r="4772" spans="1:10" x14ac:dyDescent="0.3">
      <c r="A4772" t="s">
        <v>4903</v>
      </c>
      <c r="B4772" t="s">
        <v>38</v>
      </c>
      <c r="C4772" t="str">
        <f>_xlfn.XLOOKUP(B4772,
[1]sales_teams!$A$2:$A$100,
[1]sales_teams!$B$2:$B$100)</f>
        <v>Summer Sewald</v>
      </c>
      <c r="D4772" t="str">
        <f>_xlfn.XLOOKUP($B4772,sales_teams!$A$2:$A$36,sales_teams!C$2:C$36)</f>
        <v>West</v>
      </c>
      <c r="E4772" t="s">
        <v>15</v>
      </c>
      <c r="F4772" t="s">
        <v>100</v>
      </c>
      <c r="G4772" t="s">
        <v>46</v>
      </c>
      <c r="H4772" s="1">
        <v>42930</v>
      </c>
      <c r="I4772" s="1">
        <v>42941</v>
      </c>
      <c r="J4772">
        <v>0</v>
      </c>
    </row>
    <row r="4773" spans="1:10" x14ac:dyDescent="0.3">
      <c r="A4773" t="s">
        <v>4904</v>
      </c>
      <c r="B4773" t="s">
        <v>38</v>
      </c>
      <c r="C4773" t="str">
        <f>_xlfn.XLOOKUP(B4773,
[1]sales_teams!$A$2:$A$100,
[1]sales_teams!$B$2:$B$100)</f>
        <v>Summer Sewald</v>
      </c>
      <c r="D4773" t="str">
        <f>_xlfn.XLOOKUP($B4773,sales_teams!$A$2:$A$36,sales_teams!C$2:C$36)</f>
        <v>West</v>
      </c>
      <c r="E4773" t="s">
        <v>48</v>
      </c>
      <c r="F4773" t="s">
        <v>148</v>
      </c>
      <c r="G4773" t="s">
        <v>12</v>
      </c>
      <c r="H4773" s="1">
        <v>42930</v>
      </c>
      <c r="I4773" s="1">
        <v>42937</v>
      </c>
      <c r="J4773">
        <v>5013</v>
      </c>
    </row>
    <row r="4774" spans="1:10" x14ac:dyDescent="0.3">
      <c r="A4774" t="s">
        <v>4905</v>
      </c>
      <c r="B4774" t="s">
        <v>78</v>
      </c>
      <c r="C4774" t="str">
        <f>_xlfn.XLOOKUP(B4774,
[1]sales_teams!$A$2:$A$100,
[1]sales_teams!$B$2:$B$100)</f>
        <v>Summer Sewald</v>
      </c>
      <c r="D4774" t="str">
        <f>_xlfn.XLOOKUP($B4774,sales_teams!$A$2:$A$36,sales_teams!C$2:C$36)</f>
        <v>West</v>
      </c>
      <c r="E4774" t="s">
        <v>20</v>
      </c>
      <c r="G4774" t="s">
        <v>40</v>
      </c>
      <c r="H4774" s="1">
        <v>42930</v>
      </c>
    </row>
    <row r="4775" spans="1:10" x14ac:dyDescent="0.3">
      <c r="A4775" t="s">
        <v>4906</v>
      </c>
      <c r="B4775" t="s">
        <v>78</v>
      </c>
      <c r="C4775" t="str">
        <f>_xlfn.XLOOKUP(B4775,
[1]sales_teams!$A$2:$A$100,
[1]sales_teams!$B$2:$B$100)</f>
        <v>Summer Sewald</v>
      </c>
      <c r="D4775" t="str">
        <f>_xlfn.XLOOKUP($B4775,sales_teams!$A$2:$A$36,sales_teams!C$2:C$36)</f>
        <v>West</v>
      </c>
      <c r="E4775" t="s">
        <v>20</v>
      </c>
      <c r="F4775" t="s">
        <v>24</v>
      </c>
      <c r="G4775" t="s">
        <v>46</v>
      </c>
      <c r="H4775" s="1">
        <v>42930</v>
      </c>
      <c r="I4775" s="1">
        <v>42931</v>
      </c>
      <c r="J4775">
        <v>0</v>
      </c>
    </row>
    <row r="4776" spans="1:10" x14ac:dyDescent="0.3">
      <c r="A4776" t="s">
        <v>4907</v>
      </c>
      <c r="B4776" t="s">
        <v>95</v>
      </c>
      <c r="C4776" t="str">
        <f>_xlfn.XLOOKUP(B4776,
[1]sales_teams!$A$2:$A$100,
[1]sales_teams!$B$2:$B$100)</f>
        <v>Summer Sewald</v>
      </c>
      <c r="D4776" t="str">
        <f>_xlfn.XLOOKUP($B4776,sales_teams!$A$2:$A$36,sales_teams!C$2:C$36)</f>
        <v>West</v>
      </c>
      <c r="E4776" t="s">
        <v>10</v>
      </c>
      <c r="F4776" t="s">
        <v>313</v>
      </c>
      <c r="G4776" t="s">
        <v>46</v>
      </c>
      <c r="H4776" s="1">
        <v>42930</v>
      </c>
      <c r="I4776" s="1">
        <v>42932</v>
      </c>
      <c r="J4776">
        <v>0</v>
      </c>
    </row>
    <row r="4777" spans="1:10" x14ac:dyDescent="0.3">
      <c r="A4777" t="s">
        <v>4908</v>
      </c>
      <c r="B4777" t="s">
        <v>95</v>
      </c>
      <c r="C4777" t="str">
        <f>_xlfn.XLOOKUP(B4777,
[1]sales_teams!$A$2:$A$100,
[1]sales_teams!$B$2:$B$100)</f>
        <v>Summer Sewald</v>
      </c>
      <c r="D4777" t="str">
        <f>_xlfn.XLOOKUP($B4777,sales_teams!$A$2:$A$36,sales_teams!C$2:C$36)</f>
        <v>West</v>
      </c>
      <c r="E4777" t="s">
        <v>20</v>
      </c>
      <c r="F4777" t="s">
        <v>168</v>
      </c>
      <c r="G4777" t="s">
        <v>12</v>
      </c>
      <c r="H4777" s="1">
        <v>42930</v>
      </c>
      <c r="I4777" s="1">
        <v>42974</v>
      </c>
      <c r="J4777">
        <v>431</v>
      </c>
    </row>
    <row r="4778" spans="1:10" x14ac:dyDescent="0.3">
      <c r="A4778" t="s">
        <v>4909</v>
      </c>
      <c r="B4778" t="s">
        <v>95</v>
      </c>
      <c r="C4778" t="str">
        <f>_xlfn.XLOOKUP(B4778,
[1]sales_teams!$A$2:$A$100,
[1]sales_teams!$B$2:$B$100)</f>
        <v>Summer Sewald</v>
      </c>
      <c r="D4778" t="str">
        <f>_xlfn.XLOOKUP($B4778,sales_teams!$A$2:$A$36,sales_teams!C$2:C$36)</f>
        <v>West</v>
      </c>
      <c r="E4778" t="s">
        <v>15</v>
      </c>
      <c r="F4778" t="s">
        <v>398</v>
      </c>
      <c r="G4778" t="s">
        <v>12</v>
      </c>
      <c r="H4778" s="1">
        <v>42930</v>
      </c>
      <c r="I4778" s="1">
        <v>42940</v>
      </c>
      <c r="J4778">
        <v>5161</v>
      </c>
    </row>
    <row r="4779" spans="1:10" x14ac:dyDescent="0.3">
      <c r="A4779" t="s">
        <v>4910</v>
      </c>
      <c r="B4779" t="s">
        <v>133</v>
      </c>
      <c r="C4779" t="str">
        <f>_xlfn.XLOOKUP(B4779,
[1]sales_teams!$A$2:$A$100,
[1]sales_teams!$B$2:$B$100)</f>
        <v>Dustin Brinkmann</v>
      </c>
      <c r="D4779" t="str">
        <f>_xlfn.XLOOKUP($B4779,sales_teams!$A$2:$A$36,sales_teams!C$2:C$36)</f>
        <v>Central</v>
      </c>
      <c r="E4779" t="s">
        <v>20</v>
      </c>
      <c r="F4779" t="s">
        <v>45</v>
      </c>
      <c r="G4779" t="s">
        <v>12</v>
      </c>
      <c r="H4779" s="1">
        <v>42930</v>
      </c>
      <c r="I4779" s="1">
        <v>42932</v>
      </c>
      <c r="J4779">
        <v>579</v>
      </c>
    </row>
    <row r="4780" spans="1:10" x14ac:dyDescent="0.3">
      <c r="A4780" t="s">
        <v>4911</v>
      </c>
      <c r="B4780" t="s">
        <v>133</v>
      </c>
      <c r="C4780" t="str">
        <f>_xlfn.XLOOKUP(B4780,
[1]sales_teams!$A$2:$A$100,
[1]sales_teams!$B$2:$B$100)</f>
        <v>Dustin Brinkmann</v>
      </c>
      <c r="D4780" t="str">
        <f>_xlfn.XLOOKUP($B4780,sales_teams!$A$2:$A$36,sales_teams!C$2:C$36)</f>
        <v>Central</v>
      </c>
      <c r="E4780" t="s">
        <v>39</v>
      </c>
      <c r="F4780" t="s">
        <v>76</v>
      </c>
      <c r="G4780" t="s">
        <v>12</v>
      </c>
      <c r="H4780" s="1">
        <v>42930</v>
      </c>
      <c r="I4780" s="1">
        <v>42940</v>
      </c>
      <c r="J4780">
        <v>3411</v>
      </c>
    </row>
    <row r="4781" spans="1:10" x14ac:dyDescent="0.3">
      <c r="A4781" t="s">
        <v>4912</v>
      </c>
      <c r="B4781" t="s">
        <v>32</v>
      </c>
      <c r="C4781" t="str">
        <f>_xlfn.XLOOKUP(B4781,
[1]sales_teams!$A$2:$A$100,
[1]sales_teams!$B$2:$B$100)</f>
        <v>Celia Rouche</v>
      </c>
      <c r="D4781" t="str">
        <f>_xlfn.XLOOKUP($B4781,sales_teams!$A$2:$A$36,sales_teams!C$2:C$36)</f>
        <v>West</v>
      </c>
      <c r="E4781" t="s">
        <v>18</v>
      </c>
      <c r="F4781" t="s">
        <v>93</v>
      </c>
      <c r="G4781" t="s">
        <v>46</v>
      </c>
      <c r="H4781" s="1">
        <v>42930</v>
      </c>
      <c r="I4781" s="1">
        <v>42989</v>
      </c>
      <c r="J4781">
        <v>0</v>
      </c>
    </row>
    <row r="4782" spans="1:10" x14ac:dyDescent="0.3">
      <c r="A4782" t="s">
        <v>4913</v>
      </c>
      <c r="B4782" t="s">
        <v>32</v>
      </c>
      <c r="C4782" t="str">
        <f>_xlfn.XLOOKUP(B4782,
[1]sales_teams!$A$2:$A$100,
[1]sales_teams!$B$2:$B$100)</f>
        <v>Celia Rouche</v>
      </c>
      <c r="D4782" t="str">
        <f>_xlfn.XLOOKUP($B4782,sales_teams!$A$2:$A$36,sales_teams!C$2:C$36)</f>
        <v>West</v>
      </c>
      <c r="E4782" t="s">
        <v>39</v>
      </c>
      <c r="F4782" t="s">
        <v>168</v>
      </c>
      <c r="G4782" t="s">
        <v>12</v>
      </c>
      <c r="H4782" s="1">
        <v>42930</v>
      </c>
      <c r="I4782" s="1">
        <v>42931</v>
      </c>
      <c r="J4782">
        <v>3973</v>
      </c>
    </row>
    <row r="4783" spans="1:10" x14ac:dyDescent="0.3">
      <c r="A4783" t="s">
        <v>4914</v>
      </c>
      <c r="B4783" t="s">
        <v>35</v>
      </c>
      <c r="C4783" t="str">
        <f>_xlfn.XLOOKUP(B4783,
[1]sales_teams!$A$2:$A$100,
[1]sales_teams!$B$2:$B$100)</f>
        <v>Melvin Marxen</v>
      </c>
      <c r="D4783" t="str">
        <f>_xlfn.XLOOKUP($B4783,sales_teams!$A$2:$A$36,sales_teams!C$2:C$36)</f>
        <v>Central</v>
      </c>
      <c r="E4783" t="s">
        <v>39</v>
      </c>
      <c r="F4783" t="s">
        <v>27</v>
      </c>
      <c r="G4783" t="s">
        <v>46</v>
      </c>
      <c r="H4783" s="1">
        <v>42930</v>
      </c>
      <c r="I4783" s="1">
        <v>43048</v>
      </c>
      <c r="J4783">
        <v>0</v>
      </c>
    </row>
    <row r="4784" spans="1:10" x14ac:dyDescent="0.3">
      <c r="A4784" t="s">
        <v>4915</v>
      </c>
      <c r="B4784" t="s">
        <v>97</v>
      </c>
      <c r="C4784" t="str">
        <f>_xlfn.XLOOKUP(B4784,
[1]sales_teams!$A$2:$A$100,
[1]sales_teams!$B$2:$B$100)</f>
        <v>Rocco Neubert</v>
      </c>
      <c r="D4784" t="str">
        <f>_xlfn.XLOOKUP($B4784,sales_teams!$A$2:$A$36,sales_teams!C$2:C$36)</f>
        <v>East</v>
      </c>
      <c r="E4784" t="s">
        <v>10</v>
      </c>
      <c r="F4784" t="s">
        <v>300</v>
      </c>
      <c r="G4784" t="s">
        <v>12</v>
      </c>
      <c r="H4784" s="1">
        <v>42930</v>
      </c>
      <c r="I4784" s="1">
        <v>42931</v>
      </c>
      <c r="J4784">
        <v>1029</v>
      </c>
    </row>
    <row r="4785" spans="1:10" x14ac:dyDescent="0.3">
      <c r="A4785" t="s">
        <v>4916</v>
      </c>
      <c r="B4785" t="s">
        <v>88</v>
      </c>
      <c r="C4785" t="str">
        <f>_xlfn.XLOOKUP(B4785,
[1]sales_teams!$A$2:$A$100,
[1]sales_teams!$B$2:$B$100)</f>
        <v>Cara Losch</v>
      </c>
      <c r="D4785" t="str">
        <f>_xlfn.XLOOKUP($B4785,sales_teams!$A$2:$A$36,sales_teams!C$2:C$36)</f>
        <v>East</v>
      </c>
      <c r="E4785" t="s">
        <v>18</v>
      </c>
      <c r="F4785" t="s">
        <v>237</v>
      </c>
      <c r="G4785" t="s">
        <v>12</v>
      </c>
      <c r="H4785" s="1">
        <v>42930</v>
      </c>
      <c r="I4785" s="1">
        <v>42939</v>
      </c>
      <c r="J4785">
        <v>59</v>
      </c>
    </row>
    <row r="4786" spans="1:10" x14ac:dyDescent="0.3">
      <c r="A4786" t="s">
        <v>4917</v>
      </c>
      <c r="B4786" t="s">
        <v>61</v>
      </c>
      <c r="C4786" t="str">
        <f>_xlfn.XLOOKUP(B4786,
[1]sales_teams!$A$2:$A$100,
[1]sales_teams!$B$2:$B$100)</f>
        <v>Dustin Brinkmann</v>
      </c>
      <c r="D4786" t="str">
        <f>_xlfn.XLOOKUP($B4786,sales_teams!$A$2:$A$36,sales_teams!C$2:C$36)</f>
        <v>Central</v>
      </c>
      <c r="E4786" t="s">
        <v>18</v>
      </c>
      <c r="F4786" t="s">
        <v>213</v>
      </c>
      <c r="G4786" t="s">
        <v>46</v>
      </c>
      <c r="H4786" s="1">
        <v>42930</v>
      </c>
      <c r="I4786" s="1">
        <v>42938</v>
      </c>
      <c r="J4786">
        <v>0</v>
      </c>
    </row>
    <row r="4787" spans="1:10" x14ac:dyDescent="0.3">
      <c r="A4787" t="s">
        <v>4918</v>
      </c>
      <c r="B4787" t="s">
        <v>29</v>
      </c>
      <c r="C4787" t="str">
        <f>_xlfn.XLOOKUP(B4787,
[1]sales_teams!$A$2:$A$100,
[1]sales_teams!$B$2:$B$100)</f>
        <v>Celia Rouche</v>
      </c>
      <c r="D4787" t="str">
        <f>_xlfn.XLOOKUP($B4787,sales_teams!$A$2:$A$36,sales_teams!C$2:C$36)</f>
        <v>West</v>
      </c>
      <c r="E4787" t="s">
        <v>18</v>
      </c>
      <c r="G4787" t="s">
        <v>40</v>
      </c>
      <c r="H4787" s="1">
        <v>42930</v>
      </c>
    </row>
    <row r="4788" spans="1:10" x14ac:dyDescent="0.3">
      <c r="A4788" t="s">
        <v>4919</v>
      </c>
      <c r="B4788" t="s">
        <v>29</v>
      </c>
      <c r="C4788" t="str">
        <f>_xlfn.XLOOKUP(B4788,
[1]sales_teams!$A$2:$A$100,
[1]sales_teams!$B$2:$B$100)</f>
        <v>Celia Rouche</v>
      </c>
      <c r="D4788" t="str">
        <f>_xlfn.XLOOKUP($B4788,sales_teams!$A$2:$A$36,sales_teams!C$2:C$36)</f>
        <v>West</v>
      </c>
      <c r="E4788" t="s">
        <v>20</v>
      </c>
      <c r="F4788" t="s">
        <v>148</v>
      </c>
      <c r="G4788" t="s">
        <v>12</v>
      </c>
      <c r="H4788" s="1">
        <v>42930</v>
      </c>
      <c r="I4788" s="1">
        <v>43007</v>
      </c>
      <c r="J4788">
        <v>534</v>
      </c>
    </row>
    <row r="4789" spans="1:10" x14ac:dyDescent="0.3">
      <c r="A4789" t="s">
        <v>4920</v>
      </c>
      <c r="B4789" t="s">
        <v>73</v>
      </c>
      <c r="C4789" t="str">
        <f>_xlfn.XLOOKUP(B4789,
[1]sales_teams!$A$2:$A$100,
[1]sales_teams!$B$2:$B$100)</f>
        <v>Cara Losch</v>
      </c>
      <c r="D4789" t="str">
        <f>_xlfn.XLOOKUP($B4789,sales_teams!$A$2:$A$36,sales_teams!C$2:C$36)</f>
        <v>East</v>
      </c>
      <c r="E4789" t="s">
        <v>18</v>
      </c>
      <c r="F4789" t="s">
        <v>518</v>
      </c>
      <c r="G4789" t="s">
        <v>12</v>
      </c>
      <c r="H4789" s="1">
        <v>42930</v>
      </c>
      <c r="I4789" s="1">
        <v>42931</v>
      </c>
      <c r="J4789">
        <v>48</v>
      </c>
    </row>
    <row r="4790" spans="1:10" x14ac:dyDescent="0.3">
      <c r="A4790" t="s">
        <v>4921</v>
      </c>
      <c r="B4790" t="s">
        <v>23</v>
      </c>
      <c r="C4790" t="str">
        <f>_xlfn.XLOOKUP(B4790,
[1]sales_teams!$A$2:$A$100,
[1]sales_teams!$B$2:$B$100)</f>
        <v>Summer Sewald</v>
      </c>
      <c r="D4790" t="str">
        <f>_xlfn.XLOOKUP($B4790,sales_teams!$A$2:$A$36,sales_teams!C$2:C$36)</f>
        <v>West</v>
      </c>
      <c r="E4790" t="s">
        <v>18</v>
      </c>
      <c r="F4790" t="s">
        <v>55</v>
      </c>
      <c r="G4790" t="s">
        <v>12</v>
      </c>
      <c r="H4790" s="1">
        <v>42930</v>
      </c>
      <c r="I4790" s="1">
        <v>42941</v>
      </c>
      <c r="J4790">
        <v>57</v>
      </c>
    </row>
    <row r="4791" spans="1:10" x14ac:dyDescent="0.3">
      <c r="A4791" t="s">
        <v>4922</v>
      </c>
      <c r="B4791" t="s">
        <v>64</v>
      </c>
      <c r="C4791" t="str">
        <f>_xlfn.XLOOKUP(B4791,
[1]sales_teams!$A$2:$A$100,
[1]sales_teams!$B$2:$B$100)</f>
        <v>Rocco Neubert</v>
      </c>
      <c r="D4791" t="str">
        <f>_xlfn.XLOOKUP($B4791,sales_teams!$A$2:$A$36,sales_teams!C$2:C$36)</f>
        <v>East</v>
      </c>
      <c r="E4791" t="s">
        <v>48</v>
      </c>
      <c r="F4791" t="s">
        <v>410</v>
      </c>
      <c r="G4791" t="s">
        <v>46</v>
      </c>
      <c r="H4791" s="1">
        <v>42931</v>
      </c>
      <c r="I4791" s="1">
        <v>42933</v>
      </c>
      <c r="J4791">
        <v>0</v>
      </c>
    </row>
    <row r="4792" spans="1:10" x14ac:dyDescent="0.3">
      <c r="A4792" t="s">
        <v>4923</v>
      </c>
      <c r="B4792" t="s">
        <v>14</v>
      </c>
      <c r="C4792" t="str">
        <f>_xlfn.XLOOKUP(B4792,
[1]sales_teams!$A$2:$A$100,
[1]sales_teams!$B$2:$B$100)</f>
        <v>Melvin Marxen</v>
      </c>
      <c r="D4792" t="str">
        <f>_xlfn.XLOOKUP($B4792,sales_teams!$A$2:$A$36,sales_teams!C$2:C$36)</f>
        <v>Central</v>
      </c>
      <c r="E4792" t="s">
        <v>48</v>
      </c>
      <c r="F4792" t="s">
        <v>111</v>
      </c>
      <c r="G4792" t="s">
        <v>12</v>
      </c>
      <c r="H4792" s="1">
        <v>42931</v>
      </c>
      <c r="I4792" s="1">
        <v>43050</v>
      </c>
      <c r="J4792">
        <v>4009</v>
      </c>
    </row>
    <row r="4793" spans="1:10" x14ac:dyDescent="0.3">
      <c r="A4793" t="s">
        <v>4924</v>
      </c>
      <c r="B4793" t="s">
        <v>14</v>
      </c>
      <c r="C4793" t="str">
        <f>_xlfn.XLOOKUP(B4793,
[1]sales_teams!$A$2:$A$100,
[1]sales_teams!$B$2:$B$100)</f>
        <v>Melvin Marxen</v>
      </c>
      <c r="D4793" t="str">
        <f>_xlfn.XLOOKUP($B4793,sales_teams!$A$2:$A$36,sales_teams!C$2:C$36)</f>
        <v>Central</v>
      </c>
      <c r="E4793" t="s">
        <v>39</v>
      </c>
      <c r="F4793" t="s">
        <v>91</v>
      </c>
      <c r="G4793" t="s">
        <v>12</v>
      </c>
      <c r="H4793" s="1">
        <v>42931</v>
      </c>
      <c r="I4793" s="1">
        <v>42981</v>
      </c>
      <c r="J4793">
        <v>3255</v>
      </c>
    </row>
    <row r="4794" spans="1:10" x14ac:dyDescent="0.3">
      <c r="A4794" t="s">
        <v>4925</v>
      </c>
      <c r="B4794" t="s">
        <v>142</v>
      </c>
      <c r="C4794" t="str">
        <f>_xlfn.XLOOKUP(B4794,
[1]sales_teams!$A$2:$A$100,
[1]sales_teams!$B$2:$B$100)</f>
        <v>Rocco Neubert</v>
      </c>
      <c r="D4794" t="str">
        <f>_xlfn.XLOOKUP($B4794,sales_teams!$A$2:$A$36,sales_teams!C$2:C$36)</f>
        <v>East</v>
      </c>
      <c r="E4794" t="s">
        <v>39</v>
      </c>
      <c r="F4794" t="s">
        <v>218</v>
      </c>
      <c r="G4794" t="s">
        <v>12</v>
      </c>
      <c r="H4794" s="1">
        <v>42931</v>
      </c>
      <c r="I4794" s="1">
        <v>42941</v>
      </c>
      <c r="J4794">
        <v>3724</v>
      </c>
    </row>
    <row r="4795" spans="1:10" x14ac:dyDescent="0.3">
      <c r="A4795" t="s">
        <v>4926</v>
      </c>
      <c r="B4795" t="s">
        <v>67</v>
      </c>
      <c r="C4795" t="str">
        <f>_xlfn.XLOOKUP(B4795,
[1]sales_teams!$A$2:$A$100,
[1]sales_teams!$B$2:$B$100)</f>
        <v>Celia Rouche</v>
      </c>
      <c r="D4795" t="str">
        <f>_xlfn.XLOOKUP($B4795,sales_teams!$A$2:$A$36,sales_teams!C$2:C$36)</f>
        <v>West</v>
      </c>
      <c r="E4795" t="s">
        <v>39</v>
      </c>
      <c r="F4795" t="s">
        <v>174</v>
      </c>
      <c r="G4795" t="s">
        <v>46</v>
      </c>
      <c r="H4795" s="1">
        <v>42931</v>
      </c>
      <c r="I4795" s="1">
        <v>42932</v>
      </c>
      <c r="J4795">
        <v>0</v>
      </c>
    </row>
    <row r="4796" spans="1:10" x14ac:dyDescent="0.3">
      <c r="A4796" t="s">
        <v>4927</v>
      </c>
      <c r="B4796" t="s">
        <v>54</v>
      </c>
      <c r="C4796" t="str">
        <f>_xlfn.XLOOKUP(B4796,
[1]sales_teams!$A$2:$A$100,
[1]sales_teams!$B$2:$B$100)</f>
        <v>Celia Rouche</v>
      </c>
      <c r="D4796" t="str">
        <f>_xlfn.XLOOKUP($B4796,sales_teams!$A$2:$A$36,sales_teams!C$2:C$36)</f>
        <v>West</v>
      </c>
      <c r="E4796" t="s">
        <v>10</v>
      </c>
      <c r="F4796" t="s">
        <v>70</v>
      </c>
      <c r="G4796" t="s">
        <v>46</v>
      </c>
      <c r="H4796" s="1">
        <v>42931</v>
      </c>
      <c r="I4796" s="1">
        <v>42940</v>
      </c>
      <c r="J4796">
        <v>0</v>
      </c>
    </row>
    <row r="4797" spans="1:10" x14ac:dyDescent="0.3">
      <c r="A4797" t="s">
        <v>4928</v>
      </c>
      <c r="B4797" t="s">
        <v>38</v>
      </c>
      <c r="C4797" t="str">
        <f>_xlfn.XLOOKUP(B4797,
[1]sales_teams!$A$2:$A$100,
[1]sales_teams!$B$2:$B$100)</f>
        <v>Summer Sewald</v>
      </c>
      <c r="D4797" t="str">
        <f>_xlfn.XLOOKUP($B4797,sales_teams!$A$2:$A$36,sales_teams!C$2:C$36)</f>
        <v>West</v>
      </c>
      <c r="E4797" t="s">
        <v>10</v>
      </c>
      <c r="F4797" t="s">
        <v>122</v>
      </c>
      <c r="G4797" t="s">
        <v>46</v>
      </c>
      <c r="H4797" s="1">
        <v>42931</v>
      </c>
      <c r="I4797" s="1">
        <v>42973</v>
      </c>
      <c r="J4797">
        <v>0</v>
      </c>
    </row>
    <row r="4798" spans="1:10" x14ac:dyDescent="0.3">
      <c r="A4798" t="s">
        <v>4929</v>
      </c>
      <c r="B4798" t="s">
        <v>252</v>
      </c>
      <c r="C4798" t="str">
        <f>_xlfn.XLOOKUP(B4798,
[1]sales_teams!$A$2:$A$100,
[1]sales_teams!$B$2:$B$100)</f>
        <v>Melvin Marxen</v>
      </c>
      <c r="D4798" t="str">
        <f>_xlfn.XLOOKUP($B4798,sales_teams!$A$2:$A$36,sales_teams!C$2:C$36)</f>
        <v>Central</v>
      </c>
      <c r="E4798" t="s">
        <v>18</v>
      </c>
      <c r="F4798" t="s">
        <v>126</v>
      </c>
      <c r="G4798" t="s">
        <v>46</v>
      </c>
      <c r="H4798" s="1">
        <v>42931</v>
      </c>
      <c r="I4798" s="1">
        <v>43043</v>
      </c>
      <c r="J4798">
        <v>0</v>
      </c>
    </row>
    <row r="4799" spans="1:10" x14ac:dyDescent="0.3">
      <c r="A4799" t="s">
        <v>4930</v>
      </c>
      <c r="B4799" t="s">
        <v>95</v>
      </c>
      <c r="C4799" t="str">
        <f>_xlfn.XLOOKUP(B4799,
[1]sales_teams!$A$2:$A$100,
[1]sales_teams!$B$2:$B$100)</f>
        <v>Summer Sewald</v>
      </c>
      <c r="D4799" t="str">
        <f>_xlfn.XLOOKUP($B4799,sales_teams!$A$2:$A$36,sales_teams!C$2:C$36)</f>
        <v>West</v>
      </c>
      <c r="E4799" t="s">
        <v>48</v>
      </c>
      <c r="F4799" t="s">
        <v>86</v>
      </c>
      <c r="G4799" t="s">
        <v>46</v>
      </c>
      <c r="H4799" s="1">
        <v>42931</v>
      </c>
      <c r="I4799" s="1">
        <v>42938</v>
      </c>
      <c r="J4799">
        <v>0</v>
      </c>
    </row>
    <row r="4800" spans="1:10" x14ac:dyDescent="0.3">
      <c r="A4800" t="s">
        <v>4931</v>
      </c>
      <c r="B4800" t="s">
        <v>133</v>
      </c>
      <c r="C4800" t="str">
        <f>_xlfn.XLOOKUP(B4800,
[1]sales_teams!$A$2:$A$100,
[1]sales_teams!$B$2:$B$100)</f>
        <v>Dustin Brinkmann</v>
      </c>
      <c r="D4800" t="str">
        <f>_xlfn.XLOOKUP($B4800,sales_teams!$A$2:$A$36,sales_teams!C$2:C$36)</f>
        <v>Central</v>
      </c>
      <c r="E4800" t="s">
        <v>18</v>
      </c>
      <c r="F4800" t="s">
        <v>109</v>
      </c>
      <c r="G4800" t="s">
        <v>46</v>
      </c>
      <c r="H4800" s="1">
        <v>42931</v>
      </c>
      <c r="I4800" s="1">
        <v>42932</v>
      </c>
      <c r="J4800">
        <v>0</v>
      </c>
    </row>
    <row r="4801" spans="1:10" x14ac:dyDescent="0.3">
      <c r="A4801" t="s">
        <v>4932</v>
      </c>
      <c r="B4801" t="s">
        <v>32</v>
      </c>
      <c r="C4801" t="str">
        <f>_xlfn.XLOOKUP(B4801,
[1]sales_teams!$A$2:$A$100,
[1]sales_teams!$B$2:$B$100)</f>
        <v>Celia Rouche</v>
      </c>
      <c r="D4801" t="str">
        <f>_xlfn.XLOOKUP($B4801,sales_teams!$A$2:$A$36,sales_teams!C$2:C$36)</f>
        <v>West</v>
      </c>
      <c r="E4801" t="s">
        <v>39</v>
      </c>
      <c r="F4801" t="s">
        <v>194</v>
      </c>
      <c r="G4801" t="s">
        <v>46</v>
      </c>
      <c r="H4801" s="1">
        <v>42931</v>
      </c>
      <c r="I4801" s="1">
        <v>42933</v>
      </c>
      <c r="J4801">
        <v>0</v>
      </c>
    </row>
    <row r="4802" spans="1:10" x14ac:dyDescent="0.3">
      <c r="A4802" t="s">
        <v>4933</v>
      </c>
      <c r="B4802" t="s">
        <v>32</v>
      </c>
      <c r="C4802" t="str">
        <f>_xlfn.XLOOKUP(B4802,
[1]sales_teams!$A$2:$A$100,
[1]sales_teams!$B$2:$B$100)</f>
        <v>Celia Rouche</v>
      </c>
      <c r="D4802" t="str">
        <f>_xlfn.XLOOKUP($B4802,sales_teams!$A$2:$A$36,sales_teams!C$2:C$36)</f>
        <v>West</v>
      </c>
      <c r="E4802" t="s">
        <v>39</v>
      </c>
      <c r="F4802" t="s">
        <v>33</v>
      </c>
      <c r="G4802" t="s">
        <v>12</v>
      </c>
      <c r="H4802" s="1">
        <v>42931</v>
      </c>
      <c r="I4802" s="1">
        <v>42974</v>
      </c>
      <c r="J4802">
        <v>2791</v>
      </c>
    </row>
    <row r="4803" spans="1:10" x14ac:dyDescent="0.3">
      <c r="A4803" t="s">
        <v>4934</v>
      </c>
      <c r="B4803" t="s">
        <v>51</v>
      </c>
      <c r="C4803" t="str">
        <f>_xlfn.XLOOKUP(B4803,
[1]sales_teams!$A$2:$A$100,
[1]sales_teams!$B$2:$B$100)</f>
        <v>Summer Sewald</v>
      </c>
      <c r="D4803" t="str">
        <f>_xlfn.XLOOKUP($B4803,sales_teams!$A$2:$A$36,sales_teams!C$2:C$36)</f>
        <v>West</v>
      </c>
      <c r="E4803" t="s">
        <v>10</v>
      </c>
      <c r="G4803" t="s">
        <v>40</v>
      </c>
      <c r="H4803" s="1">
        <v>42931</v>
      </c>
    </row>
    <row r="4804" spans="1:10" x14ac:dyDescent="0.3">
      <c r="A4804" t="s">
        <v>4935</v>
      </c>
      <c r="B4804" t="s">
        <v>35</v>
      </c>
      <c r="C4804" t="str">
        <f>_xlfn.XLOOKUP(B4804,
[1]sales_teams!$A$2:$A$100,
[1]sales_teams!$B$2:$B$100)</f>
        <v>Melvin Marxen</v>
      </c>
      <c r="D4804" t="str">
        <f>_xlfn.XLOOKUP($B4804,sales_teams!$A$2:$A$36,sales_teams!C$2:C$36)</f>
        <v>Central</v>
      </c>
      <c r="E4804" t="s">
        <v>39</v>
      </c>
      <c r="F4804" t="s">
        <v>11</v>
      </c>
      <c r="G4804" t="s">
        <v>12</v>
      </c>
      <c r="H4804" s="1">
        <v>42931</v>
      </c>
      <c r="I4804" s="1">
        <v>42980</v>
      </c>
      <c r="J4804">
        <v>3501</v>
      </c>
    </row>
    <row r="4805" spans="1:10" x14ac:dyDescent="0.3">
      <c r="A4805" t="s">
        <v>4936</v>
      </c>
      <c r="B4805" t="s">
        <v>97</v>
      </c>
      <c r="C4805" t="str">
        <f>_xlfn.XLOOKUP(B4805,
[1]sales_teams!$A$2:$A$100,
[1]sales_teams!$B$2:$B$100)</f>
        <v>Rocco Neubert</v>
      </c>
      <c r="D4805" t="str">
        <f>_xlfn.XLOOKUP($B4805,sales_teams!$A$2:$A$36,sales_teams!C$2:C$36)</f>
        <v>East</v>
      </c>
      <c r="E4805" t="s">
        <v>48</v>
      </c>
      <c r="F4805" t="s">
        <v>278</v>
      </c>
      <c r="G4805" t="s">
        <v>46</v>
      </c>
      <c r="H4805" s="1">
        <v>42931</v>
      </c>
      <c r="I4805" s="1">
        <v>42943</v>
      </c>
      <c r="J4805">
        <v>0</v>
      </c>
    </row>
    <row r="4806" spans="1:10" x14ac:dyDescent="0.3">
      <c r="A4806" t="s">
        <v>4937</v>
      </c>
      <c r="B4806" t="s">
        <v>97</v>
      </c>
      <c r="C4806" t="str">
        <f>_xlfn.XLOOKUP(B4806,
[1]sales_teams!$A$2:$A$100,
[1]sales_teams!$B$2:$B$100)</f>
        <v>Rocco Neubert</v>
      </c>
      <c r="D4806" t="str">
        <f>_xlfn.XLOOKUP($B4806,sales_teams!$A$2:$A$36,sales_teams!C$2:C$36)</f>
        <v>East</v>
      </c>
      <c r="E4806" t="s">
        <v>20</v>
      </c>
      <c r="F4806" t="s">
        <v>81</v>
      </c>
      <c r="G4806" t="s">
        <v>12</v>
      </c>
      <c r="H4806" s="1">
        <v>42931</v>
      </c>
      <c r="I4806" s="1">
        <v>42932</v>
      </c>
      <c r="J4806">
        <v>555</v>
      </c>
    </row>
    <row r="4807" spans="1:10" x14ac:dyDescent="0.3">
      <c r="A4807" t="s">
        <v>4938</v>
      </c>
      <c r="B4807" t="s">
        <v>57</v>
      </c>
      <c r="C4807" t="str">
        <f>_xlfn.XLOOKUP(B4807,
[1]sales_teams!$A$2:$A$100,
[1]sales_teams!$B$2:$B$100)</f>
        <v>Celia Rouche</v>
      </c>
      <c r="D4807" t="str">
        <f>_xlfn.XLOOKUP($B4807,sales_teams!$A$2:$A$36,sales_teams!C$2:C$36)</f>
        <v>West</v>
      </c>
      <c r="E4807" t="s">
        <v>18</v>
      </c>
      <c r="G4807" t="s">
        <v>40</v>
      </c>
      <c r="H4807" s="1">
        <v>42931</v>
      </c>
    </row>
    <row r="4808" spans="1:10" x14ac:dyDescent="0.3">
      <c r="A4808" t="s">
        <v>4939</v>
      </c>
      <c r="B4808" t="s">
        <v>57</v>
      </c>
      <c r="C4808" t="str">
        <f>_xlfn.XLOOKUP(B4808,
[1]sales_teams!$A$2:$A$100,
[1]sales_teams!$B$2:$B$100)</f>
        <v>Celia Rouche</v>
      </c>
      <c r="D4808" t="str">
        <f>_xlfn.XLOOKUP($B4808,sales_teams!$A$2:$A$36,sales_teams!C$2:C$36)</f>
        <v>West</v>
      </c>
      <c r="E4808" t="s">
        <v>20</v>
      </c>
      <c r="F4808" t="s">
        <v>184</v>
      </c>
      <c r="G4808" t="s">
        <v>12</v>
      </c>
      <c r="H4808" s="1">
        <v>42931</v>
      </c>
      <c r="I4808" s="1">
        <v>42939</v>
      </c>
      <c r="J4808">
        <v>650</v>
      </c>
    </row>
    <row r="4809" spans="1:10" x14ac:dyDescent="0.3">
      <c r="A4809" t="s">
        <v>4940</v>
      </c>
      <c r="B4809" t="s">
        <v>29</v>
      </c>
      <c r="C4809" t="str">
        <f>_xlfn.XLOOKUP(B4809,
[1]sales_teams!$A$2:$A$100,
[1]sales_teams!$B$2:$B$100)</f>
        <v>Celia Rouche</v>
      </c>
      <c r="D4809" t="str">
        <f>_xlfn.XLOOKUP($B4809,sales_teams!$A$2:$A$36,sales_teams!C$2:C$36)</f>
        <v>West</v>
      </c>
      <c r="E4809" t="s">
        <v>20</v>
      </c>
      <c r="F4809" t="s">
        <v>157</v>
      </c>
      <c r="G4809" t="s">
        <v>46</v>
      </c>
      <c r="H4809" s="1">
        <v>42931</v>
      </c>
      <c r="I4809" s="1">
        <v>42942</v>
      </c>
      <c r="J4809">
        <v>0</v>
      </c>
    </row>
    <row r="4810" spans="1:10" x14ac:dyDescent="0.3">
      <c r="A4810" t="s">
        <v>4941</v>
      </c>
      <c r="B4810" t="s">
        <v>29</v>
      </c>
      <c r="C4810" t="str">
        <f>_xlfn.XLOOKUP(B4810,
[1]sales_teams!$A$2:$A$100,
[1]sales_teams!$B$2:$B$100)</f>
        <v>Celia Rouche</v>
      </c>
      <c r="D4810" t="str">
        <f>_xlfn.XLOOKUP($B4810,sales_teams!$A$2:$A$36,sales_teams!C$2:C$36)</f>
        <v>West</v>
      </c>
      <c r="E4810" t="s">
        <v>18</v>
      </c>
      <c r="F4810" t="s">
        <v>199</v>
      </c>
      <c r="G4810" t="s">
        <v>12</v>
      </c>
      <c r="H4810" s="1">
        <v>42931</v>
      </c>
      <c r="I4810" s="1">
        <v>42937</v>
      </c>
      <c r="J4810">
        <v>61</v>
      </c>
    </row>
    <row r="4811" spans="1:10" x14ac:dyDescent="0.3">
      <c r="A4811" t="s">
        <v>4942</v>
      </c>
      <c r="B4811" t="s">
        <v>29</v>
      </c>
      <c r="C4811" t="str">
        <f>_xlfn.XLOOKUP(B4811,
[1]sales_teams!$A$2:$A$100,
[1]sales_teams!$B$2:$B$100)</f>
        <v>Celia Rouche</v>
      </c>
      <c r="D4811" t="str">
        <f>_xlfn.XLOOKUP($B4811,sales_teams!$A$2:$A$36,sales_teams!C$2:C$36)</f>
        <v>West</v>
      </c>
      <c r="E4811" t="s">
        <v>18</v>
      </c>
      <c r="F4811" t="s">
        <v>555</v>
      </c>
      <c r="G4811" t="s">
        <v>12</v>
      </c>
      <c r="H4811" s="1">
        <v>42931</v>
      </c>
      <c r="I4811" s="1">
        <v>42933</v>
      </c>
      <c r="J4811">
        <v>54</v>
      </c>
    </row>
    <row r="4812" spans="1:10" x14ac:dyDescent="0.3">
      <c r="A4812" t="s">
        <v>4943</v>
      </c>
      <c r="B4812" t="s">
        <v>73</v>
      </c>
      <c r="C4812" t="str">
        <f>_xlfn.XLOOKUP(B4812,
[1]sales_teams!$A$2:$A$100,
[1]sales_teams!$B$2:$B$100)</f>
        <v>Cara Losch</v>
      </c>
      <c r="D4812" t="str">
        <f>_xlfn.XLOOKUP($B4812,sales_teams!$A$2:$A$36,sales_teams!C$2:C$36)</f>
        <v>East</v>
      </c>
      <c r="E4812" t="s">
        <v>18</v>
      </c>
      <c r="F4812" t="s">
        <v>218</v>
      </c>
      <c r="G4812" t="s">
        <v>46</v>
      </c>
      <c r="H4812" s="1">
        <v>42931</v>
      </c>
      <c r="I4812" s="1">
        <v>42938</v>
      </c>
      <c r="J4812">
        <v>0</v>
      </c>
    </row>
    <row r="4813" spans="1:10" x14ac:dyDescent="0.3">
      <c r="A4813" t="s">
        <v>4944</v>
      </c>
      <c r="B4813" t="s">
        <v>102</v>
      </c>
      <c r="C4813" t="str">
        <f>_xlfn.XLOOKUP(B4813,
[1]sales_teams!$A$2:$A$100,
[1]sales_teams!$B$2:$B$100)</f>
        <v>Cara Losch</v>
      </c>
      <c r="D4813" t="str">
        <f>_xlfn.XLOOKUP($B4813,sales_teams!$A$2:$A$36,sales_teams!C$2:C$36)</f>
        <v>East</v>
      </c>
      <c r="E4813" t="s">
        <v>39</v>
      </c>
      <c r="F4813" t="s">
        <v>143</v>
      </c>
      <c r="G4813" t="s">
        <v>46</v>
      </c>
      <c r="H4813" s="1">
        <v>42931</v>
      </c>
      <c r="I4813" s="1">
        <v>42939</v>
      </c>
      <c r="J4813">
        <v>0</v>
      </c>
    </row>
    <row r="4814" spans="1:10" x14ac:dyDescent="0.3">
      <c r="A4814" t="s">
        <v>4945</v>
      </c>
      <c r="B4814" t="s">
        <v>26</v>
      </c>
      <c r="C4814" t="str">
        <f>_xlfn.XLOOKUP(B4814,
[1]sales_teams!$A$2:$A$100,
[1]sales_teams!$B$2:$B$100)</f>
        <v>Dustin Brinkmann</v>
      </c>
      <c r="D4814" t="str">
        <f>_xlfn.XLOOKUP($B4814,sales_teams!$A$2:$A$36,sales_teams!C$2:C$36)</f>
        <v>Central</v>
      </c>
      <c r="E4814" t="s">
        <v>20</v>
      </c>
      <c r="F4814" t="s">
        <v>126</v>
      </c>
      <c r="G4814" t="s">
        <v>46</v>
      </c>
      <c r="H4814" s="1">
        <v>42932</v>
      </c>
      <c r="I4814" s="1">
        <v>42940</v>
      </c>
      <c r="J4814">
        <v>0</v>
      </c>
    </row>
    <row r="4815" spans="1:10" x14ac:dyDescent="0.3">
      <c r="A4815" t="s">
        <v>4946</v>
      </c>
      <c r="B4815" t="s">
        <v>26</v>
      </c>
      <c r="C4815" t="str">
        <f>_xlfn.XLOOKUP(B4815,
[1]sales_teams!$A$2:$A$100,
[1]sales_teams!$B$2:$B$100)</f>
        <v>Dustin Brinkmann</v>
      </c>
      <c r="D4815" t="str">
        <f>_xlfn.XLOOKUP($B4815,sales_teams!$A$2:$A$36,sales_teams!C$2:C$36)</f>
        <v>Central</v>
      </c>
      <c r="E4815" t="s">
        <v>39</v>
      </c>
      <c r="F4815" t="s">
        <v>135</v>
      </c>
      <c r="G4815" t="s">
        <v>46</v>
      </c>
      <c r="H4815" s="1">
        <v>42932</v>
      </c>
      <c r="I4815" s="1">
        <v>42933</v>
      </c>
      <c r="J4815">
        <v>0</v>
      </c>
    </row>
    <row r="4816" spans="1:10" x14ac:dyDescent="0.3">
      <c r="A4816" t="s">
        <v>4947</v>
      </c>
      <c r="B4816" t="s">
        <v>26</v>
      </c>
      <c r="C4816" t="str">
        <f>_xlfn.XLOOKUP(B4816,
[1]sales_teams!$A$2:$A$100,
[1]sales_teams!$B$2:$B$100)</f>
        <v>Dustin Brinkmann</v>
      </c>
      <c r="D4816" t="str">
        <f>_xlfn.XLOOKUP($B4816,sales_teams!$A$2:$A$36,sales_teams!C$2:C$36)</f>
        <v>Central</v>
      </c>
      <c r="E4816" t="s">
        <v>18</v>
      </c>
      <c r="F4816" t="s">
        <v>151</v>
      </c>
      <c r="G4816" t="s">
        <v>12</v>
      </c>
      <c r="H4816" s="1">
        <v>42932</v>
      </c>
      <c r="I4816" s="1">
        <v>42941</v>
      </c>
      <c r="J4816">
        <v>59</v>
      </c>
    </row>
    <row r="4817" spans="1:10" x14ac:dyDescent="0.3">
      <c r="A4817" t="s">
        <v>4948</v>
      </c>
      <c r="B4817" t="s">
        <v>139</v>
      </c>
      <c r="C4817" t="str">
        <f>_xlfn.XLOOKUP(B4817,
[1]sales_teams!$A$2:$A$100,
[1]sales_teams!$B$2:$B$100)</f>
        <v>Rocco Neubert</v>
      </c>
      <c r="D4817" t="str">
        <f>_xlfn.XLOOKUP($B4817,sales_teams!$A$2:$A$36,sales_teams!C$2:C$36)</f>
        <v>East</v>
      </c>
      <c r="E4817" t="s">
        <v>20</v>
      </c>
      <c r="F4817" t="s">
        <v>49</v>
      </c>
      <c r="G4817" t="s">
        <v>40</v>
      </c>
      <c r="H4817" s="1">
        <v>42932</v>
      </c>
    </row>
    <row r="4818" spans="1:10" x14ac:dyDescent="0.3">
      <c r="A4818" t="s">
        <v>4949</v>
      </c>
      <c r="B4818" t="s">
        <v>118</v>
      </c>
      <c r="C4818" t="str">
        <f>_xlfn.XLOOKUP(B4818,
[1]sales_teams!$A$2:$A$100,
[1]sales_teams!$B$2:$B$100)</f>
        <v>Rocco Neubert</v>
      </c>
      <c r="D4818" t="str">
        <f>_xlfn.XLOOKUP($B4818,sales_teams!$A$2:$A$36,sales_teams!C$2:C$36)</f>
        <v>East</v>
      </c>
      <c r="E4818" t="s">
        <v>15</v>
      </c>
      <c r="F4818" t="s">
        <v>98</v>
      </c>
      <c r="G4818" t="s">
        <v>12</v>
      </c>
      <c r="H4818" s="1">
        <v>42932</v>
      </c>
      <c r="I4818" s="1">
        <v>42944</v>
      </c>
      <c r="J4818">
        <v>5318</v>
      </c>
    </row>
    <row r="4819" spans="1:10" x14ac:dyDescent="0.3">
      <c r="A4819" t="s">
        <v>4950</v>
      </c>
      <c r="B4819" t="s">
        <v>202</v>
      </c>
      <c r="C4819" t="str">
        <f>_xlfn.XLOOKUP(B4819,
[1]sales_teams!$A$2:$A$100,
[1]sales_teams!$B$2:$B$100)</f>
        <v>Dustin Brinkmann</v>
      </c>
      <c r="D4819" t="str">
        <f>_xlfn.XLOOKUP($B4819,sales_teams!$A$2:$A$36,sales_teams!C$2:C$36)</f>
        <v>Central</v>
      </c>
      <c r="E4819" t="s">
        <v>48</v>
      </c>
      <c r="F4819" t="s">
        <v>120</v>
      </c>
      <c r="G4819" t="s">
        <v>12</v>
      </c>
      <c r="H4819" s="1">
        <v>42932</v>
      </c>
      <c r="I4819" s="1">
        <v>43008</v>
      </c>
      <c r="J4819">
        <v>5753</v>
      </c>
    </row>
    <row r="4820" spans="1:10" x14ac:dyDescent="0.3">
      <c r="A4820" t="s">
        <v>4951</v>
      </c>
      <c r="B4820" t="s">
        <v>202</v>
      </c>
      <c r="C4820" t="str">
        <f>_xlfn.XLOOKUP(B4820,
[1]sales_teams!$A$2:$A$100,
[1]sales_teams!$B$2:$B$100)</f>
        <v>Dustin Brinkmann</v>
      </c>
      <c r="D4820" t="str">
        <f>_xlfn.XLOOKUP($B4820,sales_teams!$A$2:$A$36,sales_teams!C$2:C$36)</f>
        <v>Central</v>
      </c>
      <c r="E4820" t="s">
        <v>18</v>
      </c>
      <c r="F4820" t="s">
        <v>113</v>
      </c>
      <c r="G4820" t="s">
        <v>12</v>
      </c>
      <c r="H4820" s="1">
        <v>42932</v>
      </c>
      <c r="I4820" s="1">
        <v>42940</v>
      </c>
      <c r="J4820">
        <v>62</v>
      </c>
    </row>
    <row r="4821" spans="1:10" x14ac:dyDescent="0.3">
      <c r="A4821" t="s">
        <v>4952</v>
      </c>
      <c r="B4821" t="s">
        <v>202</v>
      </c>
      <c r="C4821" t="str">
        <f>_xlfn.XLOOKUP(B4821,
[1]sales_teams!$A$2:$A$100,
[1]sales_teams!$B$2:$B$100)</f>
        <v>Dustin Brinkmann</v>
      </c>
      <c r="D4821" t="str">
        <f>_xlfn.XLOOKUP($B4821,sales_teams!$A$2:$A$36,sales_teams!C$2:C$36)</f>
        <v>Central</v>
      </c>
      <c r="E4821" t="s">
        <v>39</v>
      </c>
      <c r="F4821" t="s">
        <v>16</v>
      </c>
      <c r="G4821" t="s">
        <v>12</v>
      </c>
      <c r="H4821" s="1">
        <v>42932</v>
      </c>
      <c r="I4821" s="1">
        <v>42959</v>
      </c>
      <c r="J4821">
        <v>3146</v>
      </c>
    </row>
    <row r="4822" spans="1:10" x14ac:dyDescent="0.3">
      <c r="A4822" t="s">
        <v>4953</v>
      </c>
      <c r="B4822" t="s">
        <v>14</v>
      </c>
      <c r="C4822" t="str">
        <f>_xlfn.XLOOKUP(B4822,
[1]sales_teams!$A$2:$A$100,
[1]sales_teams!$B$2:$B$100)</f>
        <v>Melvin Marxen</v>
      </c>
      <c r="D4822" t="str">
        <f>_xlfn.XLOOKUP($B4822,sales_teams!$A$2:$A$36,sales_teams!C$2:C$36)</f>
        <v>Central</v>
      </c>
      <c r="E4822" t="s">
        <v>20</v>
      </c>
      <c r="F4822" t="s">
        <v>126</v>
      </c>
      <c r="G4822" t="s">
        <v>12</v>
      </c>
      <c r="H4822" s="1">
        <v>42932</v>
      </c>
      <c r="I4822" s="1">
        <v>42934</v>
      </c>
      <c r="J4822">
        <v>538</v>
      </c>
    </row>
    <row r="4823" spans="1:10" x14ac:dyDescent="0.3">
      <c r="A4823" t="s">
        <v>4954</v>
      </c>
      <c r="B4823" t="s">
        <v>14</v>
      </c>
      <c r="C4823" t="str">
        <f>_xlfn.XLOOKUP(B4823,
[1]sales_teams!$A$2:$A$100,
[1]sales_teams!$B$2:$B$100)</f>
        <v>Melvin Marxen</v>
      </c>
      <c r="D4823" t="str">
        <f>_xlfn.XLOOKUP($B4823,sales_teams!$A$2:$A$36,sales_teams!C$2:C$36)</f>
        <v>Central</v>
      </c>
      <c r="E4823" t="s">
        <v>10</v>
      </c>
      <c r="F4823" t="s">
        <v>303</v>
      </c>
      <c r="G4823" t="s">
        <v>12</v>
      </c>
      <c r="H4823" s="1">
        <v>42932</v>
      </c>
      <c r="I4823" s="1">
        <v>42996</v>
      </c>
      <c r="J4823">
        <v>1071</v>
      </c>
    </row>
    <row r="4824" spans="1:10" x14ac:dyDescent="0.3">
      <c r="A4824" t="s">
        <v>4955</v>
      </c>
      <c r="B4824" t="s">
        <v>14</v>
      </c>
      <c r="C4824" t="str">
        <f>_xlfn.XLOOKUP(B4824,
[1]sales_teams!$A$2:$A$100,
[1]sales_teams!$B$2:$B$100)</f>
        <v>Melvin Marxen</v>
      </c>
      <c r="D4824" t="str">
        <f>_xlfn.XLOOKUP($B4824,sales_teams!$A$2:$A$36,sales_teams!C$2:C$36)</f>
        <v>Central</v>
      </c>
      <c r="E4824" t="s">
        <v>15</v>
      </c>
      <c r="F4824" t="s">
        <v>303</v>
      </c>
      <c r="G4824" t="s">
        <v>12</v>
      </c>
      <c r="H4824" s="1">
        <v>42932</v>
      </c>
      <c r="I4824" s="1">
        <v>42933</v>
      </c>
      <c r="J4824">
        <v>4488</v>
      </c>
    </row>
    <row r="4825" spans="1:10" x14ac:dyDescent="0.3">
      <c r="A4825" t="s">
        <v>4956</v>
      </c>
      <c r="B4825" t="s">
        <v>14</v>
      </c>
      <c r="C4825" t="str">
        <f>_xlfn.XLOOKUP(B4825,
[1]sales_teams!$A$2:$A$100,
[1]sales_teams!$B$2:$B$100)</f>
        <v>Melvin Marxen</v>
      </c>
      <c r="D4825" t="str">
        <f>_xlfn.XLOOKUP($B4825,sales_teams!$A$2:$A$36,sales_teams!C$2:C$36)</f>
        <v>Central</v>
      </c>
      <c r="E4825" t="s">
        <v>39</v>
      </c>
      <c r="F4825" t="s">
        <v>16</v>
      </c>
      <c r="G4825" t="s">
        <v>12</v>
      </c>
      <c r="H4825" s="1">
        <v>42932</v>
      </c>
      <c r="I4825" s="1">
        <v>42949</v>
      </c>
      <c r="J4825">
        <v>2837</v>
      </c>
    </row>
    <row r="4826" spans="1:10" x14ac:dyDescent="0.3">
      <c r="A4826" t="s">
        <v>4957</v>
      </c>
      <c r="B4826" t="s">
        <v>142</v>
      </c>
      <c r="C4826" t="str">
        <f>_xlfn.XLOOKUP(B4826,
[1]sales_teams!$A$2:$A$100,
[1]sales_teams!$B$2:$B$100)</f>
        <v>Rocco Neubert</v>
      </c>
      <c r="D4826" t="str">
        <f>_xlfn.XLOOKUP($B4826,sales_teams!$A$2:$A$36,sales_teams!C$2:C$36)</f>
        <v>East</v>
      </c>
      <c r="E4826" t="s">
        <v>39</v>
      </c>
      <c r="F4826" t="s">
        <v>155</v>
      </c>
      <c r="G4826" t="s">
        <v>12</v>
      </c>
      <c r="H4826" s="1">
        <v>42932</v>
      </c>
      <c r="I4826" s="1">
        <v>43008</v>
      </c>
      <c r="J4826">
        <v>3593</v>
      </c>
    </row>
    <row r="4827" spans="1:10" x14ac:dyDescent="0.3">
      <c r="A4827" t="s">
        <v>4958</v>
      </c>
      <c r="B4827" t="s">
        <v>67</v>
      </c>
      <c r="C4827" t="str">
        <f>_xlfn.XLOOKUP(B4827,
[1]sales_teams!$A$2:$A$100,
[1]sales_teams!$B$2:$B$100)</f>
        <v>Celia Rouche</v>
      </c>
      <c r="D4827" t="str">
        <f>_xlfn.XLOOKUP($B4827,sales_teams!$A$2:$A$36,sales_teams!C$2:C$36)</f>
        <v>West</v>
      </c>
      <c r="E4827" t="s">
        <v>20</v>
      </c>
      <c r="F4827" t="s">
        <v>315</v>
      </c>
      <c r="G4827" t="s">
        <v>12</v>
      </c>
      <c r="H4827" s="1">
        <v>42932</v>
      </c>
      <c r="I4827" s="1">
        <v>43006</v>
      </c>
      <c r="J4827">
        <v>583</v>
      </c>
    </row>
    <row r="4828" spans="1:10" x14ac:dyDescent="0.3">
      <c r="A4828" t="s">
        <v>4959</v>
      </c>
      <c r="B4828" t="s">
        <v>54</v>
      </c>
      <c r="C4828" t="str">
        <f>_xlfn.XLOOKUP(B4828,
[1]sales_teams!$A$2:$A$100,
[1]sales_teams!$B$2:$B$100)</f>
        <v>Celia Rouche</v>
      </c>
      <c r="D4828" t="str">
        <f>_xlfn.XLOOKUP($B4828,sales_teams!$A$2:$A$36,sales_teams!C$2:C$36)</f>
        <v>West</v>
      </c>
      <c r="E4828" t="s">
        <v>48</v>
      </c>
      <c r="G4828" t="s">
        <v>40</v>
      </c>
      <c r="H4828" s="1">
        <v>42932</v>
      </c>
    </row>
    <row r="4829" spans="1:10" x14ac:dyDescent="0.3">
      <c r="A4829" t="s">
        <v>4960</v>
      </c>
      <c r="B4829" t="s">
        <v>252</v>
      </c>
      <c r="C4829" t="str">
        <f>_xlfn.XLOOKUP(B4829,
[1]sales_teams!$A$2:$A$100,
[1]sales_teams!$B$2:$B$100)</f>
        <v>Melvin Marxen</v>
      </c>
      <c r="D4829" t="str">
        <f>_xlfn.XLOOKUP($B4829,sales_teams!$A$2:$A$36,sales_teams!C$2:C$36)</f>
        <v>Central</v>
      </c>
      <c r="E4829" t="s">
        <v>20</v>
      </c>
      <c r="F4829" t="s">
        <v>16</v>
      </c>
      <c r="G4829" t="s">
        <v>46</v>
      </c>
      <c r="H4829" s="1">
        <v>42932</v>
      </c>
      <c r="I4829" s="1">
        <v>42941</v>
      </c>
      <c r="J4829">
        <v>0</v>
      </c>
    </row>
    <row r="4830" spans="1:10" x14ac:dyDescent="0.3">
      <c r="A4830" t="s">
        <v>4961</v>
      </c>
      <c r="B4830" t="s">
        <v>252</v>
      </c>
      <c r="C4830" t="str">
        <f>_xlfn.XLOOKUP(B4830,
[1]sales_teams!$A$2:$A$100,
[1]sales_teams!$B$2:$B$100)</f>
        <v>Melvin Marxen</v>
      </c>
      <c r="D4830" t="str">
        <f>_xlfn.XLOOKUP($B4830,sales_teams!$A$2:$A$36,sales_teams!C$2:C$36)</f>
        <v>Central</v>
      </c>
      <c r="E4830" t="s">
        <v>39</v>
      </c>
      <c r="F4830" t="s">
        <v>45</v>
      </c>
      <c r="G4830" t="s">
        <v>46</v>
      </c>
      <c r="H4830" s="1">
        <v>42932</v>
      </c>
      <c r="I4830" s="1">
        <v>42944</v>
      </c>
      <c r="J4830">
        <v>0</v>
      </c>
    </row>
    <row r="4831" spans="1:10" x14ac:dyDescent="0.3">
      <c r="A4831" t="s">
        <v>4962</v>
      </c>
      <c r="B4831" t="s">
        <v>78</v>
      </c>
      <c r="C4831" t="str">
        <f>_xlfn.XLOOKUP(B4831,
[1]sales_teams!$A$2:$A$100,
[1]sales_teams!$B$2:$B$100)</f>
        <v>Summer Sewald</v>
      </c>
      <c r="D4831" t="str">
        <f>_xlfn.XLOOKUP($B4831,sales_teams!$A$2:$A$36,sales_teams!C$2:C$36)</f>
        <v>West</v>
      </c>
      <c r="E4831" t="s">
        <v>15</v>
      </c>
      <c r="F4831" t="s">
        <v>59</v>
      </c>
      <c r="G4831" t="s">
        <v>46</v>
      </c>
      <c r="H4831" s="1">
        <v>42932</v>
      </c>
      <c r="I4831" s="1">
        <v>42939</v>
      </c>
      <c r="J4831">
        <v>0</v>
      </c>
    </row>
    <row r="4832" spans="1:10" x14ac:dyDescent="0.3">
      <c r="A4832" t="s">
        <v>4963</v>
      </c>
      <c r="B4832" t="s">
        <v>78</v>
      </c>
      <c r="C4832" t="str">
        <f>_xlfn.XLOOKUP(B4832,
[1]sales_teams!$A$2:$A$100,
[1]sales_teams!$B$2:$B$100)</f>
        <v>Summer Sewald</v>
      </c>
      <c r="D4832" t="str">
        <f>_xlfn.XLOOKUP($B4832,sales_teams!$A$2:$A$36,sales_teams!C$2:C$36)</f>
        <v>West</v>
      </c>
      <c r="E4832" t="s">
        <v>39</v>
      </c>
      <c r="F4832" t="s">
        <v>86</v>
      </c>
      <c r="G4832" t="s">
        <v>46</v>
      </c>
      <c r="H4832" s="1">
        <v>42932</v>
      </c>
      <c r="I4832" s="1">
        <v>42938</v>
      </c>
      <c r="J4832">
        <v>0</v>
      </c>
    </row>
    <row r="4833" spans="1:10" x14ac:dyDescent="0.3">
      <c r="A4833" t="s">
        <v>4964</v>
      </c>
      <c r="B4833" t="s">
        <v>78</v>
      </c>
      <c r="C4833" t="str">
        <f>_xlfn.XLOOKUP(B4833,
[1]sales_teams!$A$2:$A$100,
[1]sales_teams!$B$2:$B$100)</f>
        <v>Summer Sewald</v>
      </c>
      <c r="D4833" t="str">
        <f>_xlfn.XLOOKUP($B4833,sales_teams!$A$2:$A$36,sales_teams!C$2:C$36)</f>
        <v>West</v>
      </c>
      <c r="E4833" t="s">
        <v>10</v>
      </c>
      <c r="F4833" t="s">
        <v>273</v>
      </c>
      <c r="G4833" t="s">
        <v>12</v>
      </c>
      <c r="H4833" s="1">
        <v>42932</v>
      </c>
      <c r="I4833" s="1">
        <v>42937</v>
      </c>
      <c r="J4833">
        <v>1109</v>
      </c>
    </row>
    <row r="4834" spans="1:10" x14ac:dyDescent="0.3">
      <c r="A4834" t="s">
        <v>4965</v>
      </c>
      <c r="B4834" t="s">
        <v>78</v>
      </c>
      <c r="C4834" t="str">
        <f>_xlfn.XLOOKUP(B4834,
[1]sales_teams!$A$2:$A$100,
[1]sales_teams!$B$2:$B$100)</f>
        <v>Summer Sewald</v>
      </c>
      <c r="D4834" t="str">
        <f>_xlfn.XLOOKUP($B4834,sales_teams!$A$2:$A$36,sales_teams!C$2:C$36)</f>
        <v>West</v>
      </c>
      <c r="E4834" t="s">
        <v>10</v>
      </c>
      <c r="F4834" t="s">
        <v>79</v>
      </c>
      <c r="G4834" t="s">
        <v>12</v>
      </c>
      <c r="H4834" s="1">
        <v>42932</v>
      </c>
      <c r="I4834" s="1">
        <v>42939</v>
      </c>
      <c r="J4834">
        <v>1106</v>
      </c>
    </row>
    <row r="4835" spans="1:10" x14ac:dyDescent="0.3">
      <c r="A4835" t="s">
        <v>4966</v>
      </c>
      <c r="B4835" t="s">
        <v>95</v>
      </c>
      <c r="C4835" t="str">
        <f>_xlfn.XLOOKUP(B4835,
[1]sales_teams!$A$2:$A$100,
[1]sales_teams!$B$2:$B$100)</f>
        <v>Summer Sewald</v>
      </c>
      <c r="D4835" t="str">
        <f>_xlfn.XLOOKUP($B4835,sales_teams!$A$2:$A$36,sales_teams!C$2:C$36)</f>
        <v>West</v>
      </c>
      <c r="E4835" t="s">
        <v>48</v>
      </c>
      <c r="F4835" t="s">
        <v>168</v>
      </c>
      <c r="G4835" t="s">
        <v>46</v>
      </c>
      <c r="H4835" s="1">
        <v>42932</v>
      </c>
      <c r="I4835" s="1">
        <v>42940</v>
      </c>
      <c r="J4835">
        <v>0</v>
      </c>
    </row>
    <row r="4836" spans="1:10" x14ac:dyDescent="0.3">
      <c r="A4836" t="s">
        <v>4967</v>
      </c>
      <c r="B4836" t="s">
        <v>95</v>
      </c>
      <c r="C4836" t="str">
        <f>_xlfn.XLOOKUP(B4836,
[1]sales_teams!$A$2:$A$100,
[1]sales_teams!$B$2:$B$100)</f>
        <v>Summer Sewald</v>
      </c>
      <c r="D4836" t="str">
        <f>_xlfn.XLOOKUP($B4836,sales_teams!$A$2:$A$36,sales_teams!C$2:C$36)</f>
        <v>West</v>
      </c>
      <c r="E4836" t="s">
        <v>48</v>
      </c>
      <c r="F4836" t="s">
        <v>86</v>
      </c>
      <c r="G4836" t="s">
        <v>12</v>
      </c>
      <c r="H4836" s="1">
        <v>42932</v>
      </c>
      <c r="I4836" s="1">
        <v>42942</v>
      </c>
      <c r="J4836">
        <v>5008</v>
      </c>
    </row>
    <row r="4837" spans="1:10" x14ac:dyDescent="0.3">
      <c r="A4837" t="s">
        <v>4968</v>
      </c>
      <c r="B4837" t="s">
        <v>95</v>
      </c>
      <c r="C4837" t="str">
        <f>_xlfn.XLOOKUP(B4837,
[1]sales_teams!$A$2:$A$100,
[1]sales_teams!$B$2:$B$100)</f>
        <v>Summer Sewald</v>
      </c>
      <c r="D4837" t="str">
        <f>_xlfn.XLOOKUP($B4837,sales_teams!$A$2:$A$36,sales_teams!C$2:C$36)</f>
        <v>West</v>
      </c>
      <c r="E4837" t="s">
        <v>15</v>
      </c>
      <c r="F4837" t="s">
        <v>159</v>
      </c>
      <c r="G4837" t="s">
        <v>12</v>
      </c>
      <c r="H4837" s="1">
        <v>42932</v>
      </c>
      <c r="I4837" s="1">
        <v>42935</v>
      </c>
      <c r="J4837">
        <v>5621</v>
      </c>
    </row>
    <row r="4838" spans="1:10" x14ac:dyDescent="0.3">
      <c r="A4838" t="s">
        <v>4969</v>
      </c>
      <c r="B4838" t="s">
        <v>133</v>
      </c>
      <c r="C4838" t="str">
        <f>_xlfn.XLOOKUP(B4838,
[1]sales_teams!$A$2:$A$100,
[1]sales_teams!$B$2:$B$100)</f>
        <v>Dustin Brinkmann</v>
      </c>
      <c r="D4838" t="str">
        <f>_xlfn.XLOOKUP($B4838,sales_teams!$A$2:$A$36,sales_teams!C$2:C$36)</f>
        <v>Central</v>
      </c>
      <c r="E4838" t="s">
        <v>20</v>
      </c>
      <c r="F4838" t="s">
        <v>151</v>
      </c>
      <c r="G4838" t="s">
        <v>12</v>
      </c>
      <c r="H4838" s="1">
        <v>42932</v>
      </c>
      <c r="I4838" s="1">
        <v>42933</v>
      </c>
      <c r="J4838">
        <v>550</v>
      </c>
    </row>
    <row r="4839" spans="1:10" x14ac:dyDescent="0.3">
      <c r="A4839" t="s">
        <v>4970</v>
      </c>
      <c r="B4839" t="s">
        <v>9</v>
      </c>
      <c r="C4839" t="str">
        <f>_xlfn.XLOOKUP(B4839,
[1]sales_teams!$A$2:$A$100,
[1]sales_teams!$B$2:$B$100)</f>
        <v>Dustin Brinkmann</v>
      </c>
      <c r="D4839" t="str">
        <f>_xlfn.XLOOKUP($B4839,sales_teams!$A$2:$A$36,sales_teams!C$2:C$36)</f>
        <v>Central</v>
      </c>
      <c r="E4839" t="s">
        <v>20</v>
      </c>
      <c r="F4839" t="s">
        <v>151</v>
      </c>
      <c r="G4839" t="s">
        <v>12</v>
      </c>
      <c r="H4839" s="1">
        <v>42932</v>
      </c>
      <c r="I4839" s="1">
        <v>42981</v>
      </c>
      <c r="J4839">
        <v>574</v>
      </c>
    </row>
    <row r="4840" spans="1:10" x14ac:dyDescent="0.3">
      <c r="A4840" t="s">
        <v>4971</v>
      </c>
      <c r="B4840" t="s">
        <v>57</v>
      </c>
      <c r="C4840" t="str">
        <f>_xlfn.XLOOKUP(B4840,
[1]sales_teams!$A$2:$A$100,
[1]sales_teams!$B$2:$B$100)</f>
        <v>Celia Rouche</v>
      </c>
      <c r="D4840" t="str">
        <f>_xlfn.XLOOKUP($B4840,sales_teams!$A$2:$A$36,sales_teams!C$2:C$36)</f>
        <v>West</v>
      </c>
      <c r="E4840" t="s">
        <v>39</v>
      </c>
      <c r="F4840" t="s">
        <v>315</v>
      </c>
      <c r="G4840" t="s">
        <v>46</v>
      </c>
      <c r="H4840" s="1">
        <v>42932</v>
      </c>
      <c r="I4840" s="1">
        <v>42940</v>
      </c>
      <c r="J4840">
        <v>0</v>
      </c>
    </row>
    <row r="4841" spans="1:10" x14ac:dyDescent="0.3">
      <c r="A4841" t="s">
        <v>4972</v>
      </c>
      <c r="B4841" t="s">
        <v>102</v>
      </c>
      <c r="C4841" t="str">
        <f>_xlfn.XLOOKUP(B4841,
[1]sales_teams!$A$2:$A$100,
[1]sales_teams!$B$2:$B$100)</f>
        <v>Cara Losch</v>
      </c>
      <c r="D4841" t="str">
        <f>_xlfn.XLOOKUP($B4841,sales_teams!$A$2:$A$36,sales_teams!C$2:C$36)</f>
        <v>East</v>
      </c>
      <c r="E4841" t="s">
        <v>18</v>
      </c>
      <c r="F4841" t="s">
        <v>179</v>
      </c>
      <c r="G4841" t="s">
        <v>12</v>
      </c>
      <c r="H4841" s="1">
        <v>42932</v>
      </c>
      <c r="I4841" s="1">
        <v>42941</v>
      </c>
      <c r="J4841">
        <v>52</v>
      </c>
    </row>
    <row r="4842" spans="1:10" x14ac:dyDescent="0.3">
      <c r="A4842" t="s">
        <v>4973</v>
      </c>
      <c r="B4842" t="s">
        <v>23</v>
      </c>
      <c r="C4842" t="str">
        <f>_xlfn.XLOOKUP(B4842,
[1]sales_teams!$A$2:$A$100,
[1]sales_teams!$B$2:$B$100)</f>
        <v>Summer Sewald</v>
      </c>
      <c r="D4842" t="str">
        <f>_xlfn.XLOOKUP($B4842,sales_teams!$A$2:$A$36,sales_teams!C$2:C$36)</f>
        <v>West</v>
      </c>
      <c r="E4842" t="s">
        <v>20</v>
      </c>
      <c r="F4842" t="s">
        <v>93</v>
      </c>
      <c r="G4842" t="s">
        <v>12</v>
      </c>
      <c r="H4842" s="1">
        <v>42932</v>
      </c>
      <c r="I4842" s="1">
        <v>42993</v>
      </c>
      <c r="J4842">
        <v>477</v>
      </c>
    </row>
    <row r="4843" spans="1:10" x14ac:dyDescent="0.3">
      <c r="A4843" t="s">
        <v>4974</v>
      </c>
      <c r="B4843" t="s">
        <v>26</v>
      </c>
      <c r="C4843" t="str">
        <f>_xlfn.XLOOKUP(B4843,
[1]sales_teams!$A$2:$A$100,
[1]sales_teams!$B$2:$B$100)</f>
        <v>Dustin Brinkmann</v>
      </c>
      <c r="D4843" t="str">
        <f>_xlfn.XLOOKUP($B4843,sales_teams!$A$2:$A$36,sales_teams!C$2:C$36)</f>
        <v>Central</v>
      </c>
      <c r="E4843" t="s">
        <v>20</v>
      </c>
      <c r="F4843" t="s">
        <v>303</v>
      </c>
      <c r="G4843" t="s">
        <v>46</v>
      </c>
      <c r="H4843" s="1">
        <v>42933</v>
      </c>
      <c r="I4843" s="1">
        <v>42942</v>
      </c>
      <c r="J4843">
        <v>0</v>
      </c>
    </row>
    <row r="4844" spans="1:10" x14ac:dyDescent="0.3">
      <c r="A4844" t="s">
        <v>4975</v>
      </c>
      <c r="B4844" t="s">
        <v>26</v>
      </c>
      <c r="C4844" t="str">
        <f>_xlfn.XLOOKUP(B4844,
[1]sales_teams!$A$2:$A$100,
[1]sales_teams!$B$2:$B$100)</f>
        <v>Dustin Brinkmann</v>
      </c>
      <c r="D4844" t="str">
        <f>_xlfn.XLOOKUP($B4844,sales_teams!$A$2:$A$36,sales_teams!C$2:C$36)</f>
        <v>Central</v>
      </c>
      <c r="E4844" t="s">
        <v>18</v>
      </c>
      <c r="F4844" t="s">
        <v>492</v>
      </c>
      <c r="G4844" t="s">
        <v>46</v>
      </c>
      <c r="H4844" s="1">
        <v>42933</v>
      </c>
      <c r="I4844" s="1">
        <v>42938</v>
      </c>
      <c r="J4844">
        <v>0</v>
      </c>
    </row>
    <row r="4845" spans="1:10" x14ac:dyDescent="0.3">
      <c r="A4845" t="s">
        <v>4976</v>
      </c>
      <c r="B4845" t="s">
        <v>139</v>
      </c>
      <c r="C4845" t="str">
        <f>_xlfn.XLOOKUP(B4845,
[1]sales_teams!$A$2:$A$100,
[1]sales_teams!$B$2:$B$100)</f>
        <v>Rocco Neubert</v>
      </c>
      <c r="D4845" t="str">
        <f>_xlfn.XLOOKUP($B4845,sales_teams!$A$2:$A$36,sales_teams!C$2:C$36)</f>
        <v>East</v>
      </c>
      <c r="E4845" t="s">
        <v>20</v>
      </c>
      <c r="F4845" t="s">
        <v>179</v>
      </c>
      <c r="G4845" t="s">
        <v>40</v>
      </c>
      <c r="H4845" s="1">
        <v>42933</v>
      </c>
    </row>
    <row r="4846" spans="1:10" x14ac:dyDescent="0.3">
      <c r="A4846" t="s">
        <v>4977</v>
      </c>
      <c r="B4846" t="s">
        <v>139</v>
      </c>
      <c r="C4846" t="str">
        <f>_xlfn.XLOOKUP(B4846,
[1]sales_teams!$A$2:$A$100,
[1]sales_teams!$B$2:$B$100)</f>
        <v>Rocco Neubert</v>
      </c>
      <c r="D4846" t="str">
        <f>_xlfn.XLOOKUP($B4846,sales_teams!$A$2:$A$36,sales_teams!C$2:C$36)</f>
        <v>East</v>
      </c>
      <c r="E4846" t="s">
        <v>18</v>
      </c>
      <c r="G4846" t="s">
        <v>40</v>
      </c>
      <c r="H4846" s="1">
        <v>42933</v>
      </c>
    </row>
    <row r="4847" spans="1:10" x14ac:dyDescent="0.3">
      <c r="A4847" t="s">
        <v>4978</v>
      </c>
      <c r="B4847" t="s">
        <v>118</v>
      </c>
      <c r="C4847" t="str">
        <f>_xlfn.XLOOKUP(B4847,
[1]sales_teams!$A$2:$A$100,
[1]sales_teams!$B$2:$B$100)</f>
        <v>Rocco Neubert</v>
      </c>
      <c r="D4847" t="str">
        <f>_xlfn.XLOOKUP($B4847,sales_teams!$A$2:$A$36,sales_teams!C$2:C$36)</f>
        <v>East</v>
      </c>
      <c r="E4847" t="s">
        <v>39</v>
      </c>
      <c r="G4847" t="s">
        <v>40</v>
      </c>
      <c r="H4847" s="1">
        <v>42933</v>
      </c>
    </row>
    <row r="4848" spans="1:10" x14ac:dyDescent="0.3">
      <c r="A4848" t="s">
        <v>4979</v>
      </c>
      <c r="B4848" t="s">
        <v>118</v>
      </c>
      <c r="C4848" t="str">
        <f>_xlfn.XLOOKUP(B4848,
[1]sales_teams!$A$2:$A$100,
[1]sales_teams!$B$2:$B$100)</f>
        <v>Rocco Neubert</v>
      </c>
      <c r="D4848" t="str">
        <f>_xlfn.XLOOKUP($B4848,sales_teams!$A$2:$A$36,sales_teams!C$2:C$36)</f>
        <v>East</v>
      </c>
      <c r="E4848" t="s">
        <v>39</v>
      </c>
      <c r="F4848" t="s">
        <v>143</v>
      </c>
      <c r="G4848" t="s">
        <v>46</v>
      </c>
      <c r="H4848" s="1">
        <v>42933</v>
      </c>
      <c r="I4848" s="1">
        <v>42944</v>
      </c>
      <c r="J4848">
        <v>0</v>
      </c>
    </row>
    <row r="4849" spans="1:10" x14ac:dyDescent="0.3">
      <c r="A4849" t="s">
        <v>4980</v>
      </c>
      <c r="B4849" t="s">
        <v>118</v>
      </c>
      <c r="C4849" t="str">
        <f>_xlfn.XLOOKUP(B4849,
[1]sales_teams!$A$2:$A$100,
[1]sales_teams!$B$2:$B$100)</f>
        <v>Rocco Neubert</v>
      </c>
      <c r="D4849" t="str">
        <f>_xlfn.XLOOKUP($B4849,sales_teams!$A$2:$A$36,sales_teams!C$2:C$36)</f>
        <v>East</v>
      </c>
      <c r="E4849" t="s">
        <v>10</v>
      </c>
      <c r="F4849" t="s">
        <v>215</v>
      </c>
      <c r="G4849" t="s">
        <v>12</v>
      </c>
      <c r="H4849" s="1">
        <v>42933</v>
      </c>
      <c r="I4849" s="1">
        <v>42936</v>
      </c>
      <c r="J4849">
        <v>1202</v>
      </c>
    </row>
    <row r="4850" spans="1:10" x14ac:dyDescent="0.3">
      <c r="A4850" t="s">
        <v>4981</v>
      </c>
      <c r="B4850" t="s">
        <v>202</v>
      </c>
      <c r="C4850" t="str">
        <f>_xlfn.XLOOKUP(B4850,
[1]sales_teams!$A$2:$A$100,
[1]sales_teams!$B$2:$B$100)</f>
        <v>Dustin Brinkmann</v>
      </c>
      <c r="D4850" t="str">
        <f>_xlfn.XLOOKUP($B4850,sales_teams!$A$2:$A$36,sales_teams!C$2:C$36)</f>
        <v>Central</v>
      </c>
      <c r="E4850" t="s">
        <v>39</v>
      </c>
      <c r="F4850" t="s">
        <v>135</v>
      </c>
      <c r="G4850" t="s">
        <v>46</v>
      </c>
      <c r="H4850" s="1">
        <v>42933</v>
      </c>
      <c r="I4850" s="1">
        <v>42952</v>
      </c>
      <c r="J4850">
        <v>0</v>
      </c>
    </row>
    <row r="4851" spans="1:10" x14ac:dyDescent="0.3">
      <c r="A4851" t="s">
        <v>4982</v>
      </c>
      <c r="B4851" t="s">
        <v>202</v>
      </c>
      <c r="C4851" t="str">
        <f>_xlfn.XLOOKUP(B4851,
[1]sales_teams!$A$2:$A$100,
[1]sales_teams!$B$2:$B$100)</f>
        <v>Dustin Brinkmann</v>
      </c>
      <c r="D4851" t="str">
        <f>_xlfn.XLOOKUP($B4851,sales_teams!$A$2:$A$36,sales_teams!C$2:C$36)</f>
        <v>Central</v>
      </c>
      <c r="E4851" t="s">
        <v>18</v>
      </c>
      <c r="F4851" t="s">
        <v>135</v>
      </c>
      <c r="G4851" t="s">
        <v>12</v>
      </c>
      <c r="H4851" s="1">
        <v>42933</v>
      </c>
      <c r="I4851" s="1">
        <v>43042</v>
      </c>
      <c r="J4851">
        <v>51</v>
      </c>
    </row>
    <row r="4852" spans="1:10" x14ac:dyDescent="0.3">
      <c r="A4852" t="s">
        <v>4983</v>
      </c>
      <c r="B4852" t="s">
        <v>64</v>
      </c>
      <c r="C4852" t="str">
        <f>_xlfn.XLOOKUP(B4852,
[1]sales_teams!$A$2:$A$100,
[1]sales_teams!$B$2:$B$100)</f>
        <v>Rocco Neubert</v>
      </c>
      <c r="D4852" t="str">
        <f>_xlfn.XLOOKUP($B4852,sales_teams!$A$2:$A$36,sales_teams!C$2:C$36)</f>
        <v>East</v>
      </c>
      <c r="E4852" t="s">
        <v>10</v>
      </c>
      <c r="F4852" t="s">
        <v>155</v>
      </c>
      <c r="G4852" t="s">
        <v>46</v>
      </c>
      <c r="H4852" s="1">
        <v>42933</v>
      </c>
      <c r="I4852" s="1">
        <v>42934</v>
      </c>
      <c r="J4852">
        <v>0</v>
      </c>
    </row>
    <row r="4853" spans="1:10" x14ac:dyDescent="0.3">
      <c r="A4853" t="s">
        <v>4984</v>
      </c>
      <c r="B4853" t="s">
        <v>14</v>
      </c>
      <c r="C4853" t="str">
        <f>_xlfn.XLOOKUP(B4853,
[1]sales_teams!$A$2:$A$100,
[1]sales_teams!$B$2:$B$100)</f>
        <v>Melvin Marxen</v>
      </c>
      <c r="D4853" t="str">
        <f>_xlfn.XLOOKUP($B4853,sales_teams!$A$2:$A$36,sales_teams!C$2:C$36)</f>
        <v>Central</v>
      </c>
      <c r="E4853" t="s">
        <v>10</v>
      </c>
      <c r="F4853" t="s">
        <v>129</v>
      </c>
      <c r="G4853" t="s">
        <v>46</v>
      </c>
      <c r="H4853" s="1">
        <v>42933</v>
      </c>
      <c r="I4853" s="1">
        <v>42934</v>
      </c>
      <c r="J4853">
        <v>0</v>
      </c>
    </row>
    <row r="4854" spans="1:10" x14ac:dyDescent="0.3">
      <c r="A4854" t="s">
        <v>4985</v>
      </c>
      <c r="B4854" t="s">
        <v>14</v>
      </c>
      <c r="C4854" t="str">
        <f>_xlfn.XLOOKUP(B4854,
[1]sales_teams!$A$2:$A$100,
[1]sales_teams!$B$2:$B$100)</f>
        <v>Melvin Marxen</v>
      </c>
      <c r="D4854" t="str">
        <f>_xlfn.XLOOKUP($B4854,sales_teams!$A$2:$A$36,sales_teams!C$2:C$36)</f>
        <v>Central</v>
      </c>
      <c r="E4854" t="s">
        <v>15</v>
      </c>
      <c r="F4854" t="s">
        <v>126</v>
      </c>
      <c r="G4854" t="s">
        <v>46</v>
      </c>
      <c r="H4854" s="1">
        <v>42933</v>
      </c>
      <c r="I4854" s="1">
        <v>42944</v>
      </c>
      <c r="J4854">
        <v>0</v>
      </c>
    </row>
    <row r="4855" spans="1:10" x14ac:dyDescent="0.3">
      <c r="A4855" t="s">
        <v>4986</v>
      </c>
      <c r="B4855" t="s">
        <v>14</v>
      </c>
      <c r="C4855" t="str">
        <f>_xlfn.XLOOKUP(B4855,
[1]sales_teams!$A$2:$A$100,
[1]sales_teams!$B$2:$B$100)</f>
        <v>Melvin Marxen</v>
      </c>
      <c r="D4855" t="str">
        <f>_xlfn.XLOOKUP($B4855,sales_teams!$A$2:$A$36,sales_teams!C$2:C$36)</f>
        <v>Central</v>
      </c>
      <c r="E4855" t="s">
        <v>10</v>
      </c>
      <c r="F4855" t="s">
        <v>231</v>
      </c>
      <c r="G4855" t="s">
        <v>12</v>
      </c>
      <c r="H4855" s="1">
        <v>42933</v>
      </c>
      <c r="I4855" s="1">
        <v>42994</v>
      </c>
      <c r="J4855">
        <v>1203</v>
      </c>
    </row>
    <row r="4856" spans="1:10" x14ac:dyDescent="0.3">
      <c r="A4856" t="s">
        <v>4987</v>
      </c>
      <c r="B4856" t="s">
        <v>14</v>
      </c>
      <c r="C4856" t="str">
        <f>_xlfn.XLOOKUP(B4856,
[1]sales_teams!$A$2:$A$100,
[1]sales_teams!$B$2:$B$100)</f>
        <v>Melvin Marxen</v>
      </c>
      <c r="D4856" t="str">
        <f>_xlfn.XLOOKUP($B4856,sales_teams!$A$2:$A$36,sales_teams!C$2:C$36)</f>
        <v>Central</v>
      </c>
      <c r="E4856" t="s">
        <v>15</v>
      </c>
      <c r="F4856" t="s">
        <v>16</v>
      </c>
      <c r="G4856" t="s">
        <v>12</v>
      </c>
      <c r="H4856" s="1">
        <v>42933</v>
      </c>
      <c r="I4856" s="1">
        <v>42935</v>
      </c>
      <c r="J4856">
        <v>5673</v>
      </c>
    </row>
    <row r="4857" spans="1:10" x14ac:dyDescent="0.3">
      <c r="A4857" t="s">
        <v>4988</v>
      </c>
      <c r="B4857" t="s">
        <v>142</v>
      </c>
      <c r="C4857" t="str">
        <f>_xlfn.XLOOKUP(B4857,
[1]sales_teams!$A$2:$A$100,
[1]sales_teams!$B$2:$B$100)</f>
        <v>Rocco Neubert</v>
      </c>
      <c r="D4857" t="str">
        <f>_xlfn.XLOOKUP($B4857,sales_teams!$A$2:$A$36,sales_teams!C$2:C$36)</f>
        <v>East</v>
      </c>
      <c r="E4857" t="s">
        <v>48</v>
      </c>
      <c r="F4857" t="s">
        <v>237</v>
      </c>
      <c r="G4857" t="s">
        <v>12</v>
      </c>
      <c r="H4857" s="1">
        <v>42933</v>
      </c>
      <c r="I4857" s="1">
        <v>42986</v>
      </c>
      <c r="J4857">
        <v>6205</v>
      </c>
    </row>
    <row r="4858" spans="1:10" x14ac:dyDescent="0.3">
      <c r="A4858" t="s">
        <v>4989</v>
      </c>
      <c r="B4858" t="s">
        <v>67</v>
      </c>
      <c r="C4858" t="str">
        <f>_xlfn.XLOOKUP(B4858,
[1]sales_teams!$A$2:$A$100,
[1]sales_teams!$B$2:$B$100)</f>
        <v>Celia Rouche</v>
      </c>
      <c r="D4858" t="str">
        <f>_xlfn.XLOOKUP($B4858,sales_teams!$A$2:$A$36,sales_teams!C$2:C$36)</f>
        <v>West</v>
      </c>
      <c r="E4858" t="s">
        <v>39</v>
      </c>
      <c r="G4858" t="s">
        <v>40</v>
      </c>
      <c r="H4858" s="1">
        <v>42933</v>
      </c>
    </row>
    <row r="4859" spans="1:10" x14ac:dyDescent="0.3">
      <c r="A4859" t="s">
        <v>4990</v>
      </c>
      <c r="B4859" t="s">
        <v>67</v>
      </c>
      <c r="C4859" t="str">
        <f>_xlfn.XLOOKUP(B4859,
[1]sales_teams!$A$2:$A$100,
[1]sales_teams!$B$2:$B$100)</f>
        <v>Celia Rouche</v>
      </c>
      <c r="D4859" t="str">
        <f>_xlfn.XLOOKUP($B4859,sales_teams!$A$2:$A$36,sales_teams!C$2:C$36)</f>
        <v>West</v>
      </c>
      <c r="E4859" t="s">
        <v>48</v>
      </c>
      <c r="F4859" t="s">
        <v>52</v>
      </c>
      <c r="G4859" t="s">
        <v>46</v>
      </c>
      <c r="H4859" s="1">
        <v>42933</v>
      </c>
      <c r="I4859" s="1">
        <v>42950</v>
      </c>
      <c r="J4859">
        <v>0</v>
      </c>
    </row>
    <row r="4860" spans="1:10" x14ac:dyDescent="0.3">
      <c r="A4860" t="s">
        <v>4991</v>
      </c>
      <c r="B4860" t="s">
        <v>54</v>
      </c>
      <c r="C4860" t="str">
        <f>_xlfn.XLOOKUP(B4860,
[1]sales_teams!$A$2:$A$100,
[1]sales_teams!$B$2:$B$100)</f>
        <v>Celia Rouche</v>
      </c>
      <c r="D4860" t="str">
        <f>_xlfn.XLOOKUP($B4860,sales_teams!$A$2:$A$36,sales_teams!C$2:C$36)</f>
        <v>West</v>
      </c>
      <c r="E4860" t="s">
        <v>39</v>
      </c>
      <c r="F4860" t="s">
        <v>33</v>
      </c>
      <c r="G4860" t="s">
        <v>12</v>
      </c>
      <c r="H4860" s="1">
        <v>42933</v>
      </c>
      <c r="I4860" s="1">
        <v>42940</v>
      </c>
      <c r="J4860">
        <v>3363</v>
      </c>
    </row>
    <row r="4861" spans="1:10" x14ac:dyDescent="0.3">
      <c r="A4861" t="s">
        <v>4992</v>
      </c>
      <c r="B4861" t="s">
        <v>54</v>
      </c>
      <c r="C4861" t="str">
        <f>_xlfn.XLOOKUP(B4861,
[1]sales_teams!$A$2:$A$100,
[1]sales_teams!$B$2:$B$100)</f>
        <v>Celia Rouche</v>
      </c>
      <c r="D4861" t="str">
        <f>_xlfn.XLOOKUP($B4861,sales_teams!$A$2:$A$36,sales_teams!C$2:C$36)</f>
        <v>West</v>
      </c>
      <c r="E4861" t="s">
        <v>39</v>
      </c>
      <c r="F4861" t="s">
        <v>199</v>
      </c>
      <c r="G4861" t="s">
        <v>12</v>
      </c>
      <c r="H4861" s="1">
        <v>42933</v>
      </c>
      <c r="I4861" s="1">
        <v>43042</v>
      </c>
      <c r="J4861">
        <v>3700</v>
      </c>
    </row>
    <row r="4862" spans="1:10" x14ac:dyDescent="0.3">
      <c r="A4862" t="s">
        <v>4993</v>
      </c>
      <c r="B4862" t="s">
        <v>38</v>
      </c>
      <c r="C4862" t="str">
        <f>_xlfn.XLOOKUP(B4862,
[1]sales_teams!$A$2:$A$100,
[1]sales_teams!$B$2:$B$100)</f>
        <v>Summer Sewald</v>
      </c>
      <c r="D4862" t="str">
        <f>_xlfn.XLOOKUP($B4862,sales_teams!$A$2:$A$36,sales_teams!C$2:C$36)</f>
        <v>West</v>
      </c>
      <c r="E4862" t="s">
        <v>15</v>
      </c>
      <c r="F4862" t="s">
        <v>155</v>
      </c>
      <c r="G4862" t="s">
        <v>46</v>
      </c>
      <c r="H4862" s="1">
        <v>42933</v>
      </c>
      <c r="I4862" s="1">
        <v>43040</v>
      </c>
      <c r="J4862">
        <v>0</v>
      </c>
    </row>
    <row r="4863" spans="1:10" x14ac:dyDescent="0.3">
      <c r="A4863" t="s">
        <v>4994</v>
      </c>
      <c r="B4863" t="s">
        <v>252</v>
      </c>
      <c r="C4863" t="str">
        <f>_xlfn.XLOOKUP(B4863,
[1]sales_teams!$A$2:$A$100,
[1]sales_teams!$B$2:$B$100)</f>
        <v>Melvin Marxen</v>
      </c>
      <c r="D4863" t="str">
        <f>_xlfn.XLOOKUP($B4863,sales_teams!$A$2:$A$36,sales_teams!C$2:C$36)</f>
        <v>Central</v>
      </c>
      <c r="E4863" t="s">
        <v>20</v>
      </c>
      <c r="F4863" t="s">
        <v>21</v>
      </c>
      <c r="G4863" t="s">
        <v>12</v>
      </c>
      <c r="H4863" s="1">
        <v>42933</v>
      </c>
      <c r="I4863" s="1">
        <v>43001</v>
      </c>
      <c r="J4863">
        <v>546</v>
      </c>
    </row>
    <row r="4864" spans="1:10" x14ac:dyDescent="0.3">
      <c r="A4864" t="s">
        <v>4995</v>
      </c>
      <c r="B4864" t="s">
        <v>252</v>
      </c>
      <c r="C4864" t="str">
        <f>_xlfn.XLOOKUP(B4864,
[1]sales_teams!$A$2:$A$100,
[1]sales_teams!$B$2:$B$100)</f>
        <v>Melvin Marxen</v>
      </c>
      <c r="D4864" t="str">
        <f>_xlfn.XLOOKUP($B4864,sales_teams!$A$2:$A$36,sales_teams!C$2:C$36)</f>
        <v>Central</v>
      </c>
      <c r="E4864" t="s">
        <v>20</v>
      </c>
      <c r="F4864" t="s">
        <v>170</v>
      </c>
      <c r="G4864" t="s">
        <v>12</v>
      </c>
      <c r="H4864" s="1">
        <v>42933</v>
      </c>
      <c r="I4864" s="1">
        <v>42940</v>
      </c>
      <c r="J4864">
        <v>617</v>
      </c>
    </row>
    <row r="4865" spans="1:10" x14ac:dyDescent="0.3">
      <c r="A4865" t="s">
        <v>4996</v>
      </c>
      <c r="B4865" t="s">
        <v>252</v>
      </c>
      <c r="C4865" t="str">
        <f>_xlfn.XLOOKUP(B4865,
[1]sales_teams!$A$2:$A$100,
[1]sales_teams!$B$2:$B$100)</f>
        <v>Melvin Marxen</v>
      </c>
      <c r="D4865" t="str">
        <f>_xlfn.XLOOKUP($B4865,sales_teams!$A$2:$A$36,sales_teams!C$2:C$36)</f>
        <v>Central</v>
      </c>
      <c r="E4865" t="s">
        <v>20</v>
      </c>
      <c r="F4865" t="s">
        <v>76</v>
      </c>
      <c r="G4865" t="s">
        <v>12</v>
      </c>
      <c r="H4865" s="1">
        <v>42933</v>
      </c>
      <c r="I4865" s="1">
        <v>42942</v>
      </c>
      <c r="J4865">
        <v>490</v>
      </c>
    </row>
    <row r="4866" spans="1:10" x14ac:dyDescent="0.3">
      <c r="A4866" t="s">
        <v>4997</v>
      </c>
      <c r="B4866" t="s">
        <v>78</v>
      </c>
      <c r="C4866" t="str">
        <f>_xlfn.XLOOKUP(B4866,
[1]sales_teams!$A$2:$A$100,
[1]sales_teams!$B$2:$B$100)</f>
        <v>Summer Sewald</v>
      </c>
      <c r="D4866" t="str">
        <f>_xlfn.XLOOKUP($B4866,sales_teams!$A$2:$A$36,sales_teams!C$2:C$36)</f>
        <v>West</v>
      </c>
      <c r="E4866" t="s">
        <v>20</v>
      </c>
      <c r="F4866" t="s">
        <v>199</v>
      </c>
      <c r="G4866" t="s">
        <v>46</v>
      </c>
      <c r="H4866" s="1">
        <v>42933</v>
      </c>
      <c r="I4866" s="1">
        <v>42935</v>
      </c>
      <c r="J4866">
        <v>0</v>
      </c>
    </row>
    <row r="4867" spans="1:10" x14ac:dyDescent="0.3">
      <c r="A4867" t="s">
        <v>4998</v>
      </c>
      <c r="B4867" t="s">
        <v>78</v>
      </c>
      <c r="C4867" t="str">
        <f>_xlfn.XLOOKUP(B4867,
[1]sales_teams!$A$2:$A$100,
[1]sales_teams!$B$2:$B$100)</f>
        <v>Summer Sewald</v>
      </c>
      <c r="D4867" t="str">
        <f>_xlfn.XLOOKUP($B4867,sales_teams!$A$2:$A$36,sales_teams!C$2:C$36)</f>
        <v>West</v>
      </c>
      <c r="E4867" t="s">
        <v>20</v>
      </c>
      <c r="F4867" t="s">
        <v>157</v>
      </c>
      <c r="G4867" t="s">
        <v>46</v>
      </c>
      <c r="H4867" s="1">
        <v>42933</v>
      </c>
      <c r="I4867" s="1">
        <v>42937</v>
      </c>
      <c r="J4867">
        <v>0</v>
      </c>
    </row>
    <row r="4868" spans="1:10" x14ac:dyDescent="0.3">
      <c r="A4868" t="s">
        <v>4999</v>
      </c>
      <c r="B4868" t="s">
        <v>95</v>
      </c>
      <c r="C4868" t="str">
        <f>_xlfn.XLOOKUP(B4868,
[1]sales_teams!$A$2:$A$100,
[1]sales_teams!$B$2:$B$100)</f>
        <v>Summer Sewald</v>
      </c>
      <c r="D4868" t="str">
        <f>_xlfn.XLOOKUP($B4868,sales_teams!$A$2:$A$36,sales_teams!C$2:C$36)</f>
        <v>West</v>
      </c>
      <c r="E4868" t="s">
        <v>39</v>
      </c>
      <c r="F4868" t="s">
        <v>155</v>
      </c>
      <c r="G4868" t="s">
        <v>12</v>
      </c>
      <c r="H4868" s="1">
        <v>42933</v>
      </c>
      <c r="I4868" s="1">
        <v>42942</v>
      </c>
      <c r="J4868">
        <v>3665</v>
      </c>
    </row>
    <row r="4869" spans="1:10" x14ac:dyDescent="0.3">
      <c r="A4869" t="s">
        <v>5000</v>
      </c>
      <c r="B4869" t="s">
        <v>133</v>
      </c>
      <c r="C4869" t="str">
        <f>_xlfn.XLOOKUP(B4869,
[1]sales_teams!$A$2:$A$100,
[1]sales_teams!$B$2:$B$100)</f>
        <v>Dustin Brinkmann</v>
      </c>
      <c r="D4869" t="str">
        <f>_xlfn.XLOOKUP($B4869,sales_teams!$A$2:$A$36,sales_teams!C$2:C$36)</f>
        <v>Central</v>
      </c>
      <c r="E4869" t="s">
        <v>10</v>
      </c>
      <c r="F4869" t="s">
        <v>76</v>
      </c>
      <c r="G4869" t="s">
        <v>46</v>
      </c>
      <c r="H4869" s="1">
        <v>42933</v>
      </c>
      <c r="I4869" s="1">
        <v>42940</v>
      </c>
      <c r="J4869">
        <v>0</v>
      </c>
    </row>
    <row r="4870" spans="1:10" x14ac:dyDescent="0.3">
      <c r="A4870" t="s">
        <v>5001</v>
      </c>
      <c r="B4870" t="s">
        <v>32</v>
      </c>
      <c r="C4870" t="str">
        <f>_xlfn.XLOOKUP(B4870,
[1]sales_teams!$A$2:$A$100,
[1]sales_teams!$B$2:$B$100)</f>
        <v>Celia Rouche</v>
      </c>
      <c r="D4870" t="str">
        <f>_xlfn.XLOOKUP($B4870,sales_teams!$A$2:$A$36,sales_teams!C$2:C$36)</f>
        <v>West</v>
      </c>
      <c r="E4870" t="s">
        <v>39</v>
      </c>
      <c r="F4870" t="s">
        <v>24</v>
      </c>
      <c r="G4870" t="s">
        <v>46</v>
      </c>
      <c r="H4870" s="1">
        <v>42933</v>
      </c>
      <c r="I4870" s="1">
        <v>42934</v>
      </c>
      <c r="J4870">
        <v>0</v>
      </c>
    </row>
    <row r="4871" spans="1:10" x14ac:dyDescent="0.3">
      <c r="A4871" t="s">
        <v>5002</v>
      </c>
      <c r="B4871" t="s">
        <v>116</v>
      </c>
      <c r="C4871" t="str">
        <f>_xlfn.XLOOKUP(B4871,
[1]sales_teams!$A$2:$A$100,
[1]sales_teams!$B$2:$B$100)</f>
        <v>Melvin Marxen</v>
      </c>
      <c r="D4871" t="str">
        <f>_xlfn.XLOOKUP($B4871,sales_teams!$A$2:$A$36,sales_teams!C$2:C$36)</f>
        <v>Central</v>
      </c>
      <c r="E4871" t="s">
        <v>18</v>
      </c>
      <c r="F4871" t="s">
        <v>151</v>
      </c>
      <c r="G4871" t="s">
        <v>12</v>
      </c>
      <c r="H4871" s="1">
        <v>42933</v>
      </c>
      <c r="I4871" s="1">
        <v>42942</v>
      </c>
      <c r="J4871">
        <v>53</v>
      </c>
    </row>
    <row r="4872" spans="1:10" x14ac:dyDescent="0.3">
      <c r="A4872" t="s">
        <v>5003</v>
      </c>
      <c r="B4872" t="s">
        <v>51</v>
      </c>
      <c r="C4872" t="str">
        <f>_xlfn.XLOOKUP(B4872,
[1]sales_teams!$A$2:$A$100,
[1]sales_teams!$B$2:$B$100)</f>
        <v>Summer Sewald</v>
      </c>
      <c r="D4872" t="str">
        <f>_xlfn.XLOOKUP($B4872,sales_teams!$A$2:$A$36,sales_teams!C$2:C$36)</f>
        <v>West</v>
      </c>
      <c r="E4872" t="s">
        <v>10</v>
      </c>
      <c r="F4872" t="s">
        <v>55</v>
      </c>
      <c r="G4872" t="s">
        <v>46</v>
      </c>
      <c r="H4872" s="1">
        <v>42933</v>
      </c>
      <c r="I4872" s="1">
        <v>43006</v>
      </c>
      <c r="J4872">
        <v>0</v>
      </c>
    </row>
    <row r="4873" spans="1:10" x14ac:dyDescent="0.3">
      <c r="A4873" t="s">
        <v>5004</v>
      </c>
      <c r="B4873" t="s">
        <v>51</v>
      </c>
      <c r="C4873" t="str">
        <f>_xlfn.XLOOKUP(B4873,
[1]sales_teams!$A$2:$A$100,
[1]sales_teams!$B$2:$B$100)</f>
        <v>Summer Sewald</v>
      </c>
      <c r="D4873" t="str">
        <f>_xlfn.XLOOKUP($B4873,sales_teams!$A$2:$A$36,sales_teams!C$2:C$36)</f>
        <v>West</v>
      </c>
      <c r="E4873" t="s">
        <v>10</v>
      </c>
      <c r="F4873" t="s">
        <v>273</v>
      </c>
      <c r="G4873" t="s">
        <v>12</v>
      </c>
      <c r="H4873" s="1">
        <v>42933</v>
      </c>
      <c r="I4873" s="1">
        <v>43052</v>
      </c>
      <c r="J4873">
        <v>1075</v>
      </c>
    </row>
    <row r="4874" spans="1:10" x14ac:dyDescent="0.3">
      <c r="A4874" t="s">
        <v>5005</v>
      </c>
      <c r="B4874" t="s">
        <v>51</v>
      </c>
      <c r="C4874" t="str">
        <f>_xlfn.XLOOKUP(B4874,
[1]sales_teams!$A$2:$A$100,
[1]sales_teams!$B$2:$B$100)</f>
        <v>Summer Sewald</v>
      </c>
      <c r="D4874" t="str">
        <f>_xlfn.XLOOKUP($B4874,sales_teams!$A$2:$A$36,sales_teams!C$2:C$36)</f>
        <v>West</v>
      </c>
      <c r="E4874" t="s">
        <v>15</v>
      </c>
      <c r="F4874" t="s">
        <v>52</v>
      </c>
      <c r="G4874" t="s">
        <v>12</v>
      </c>
      <c r="H4874" s="1">
        <v>42933</v>
      </c>
      <c r="I4874" s="1">
        <v>42941</v>
      </c>
      <c r="J4874">
        <v>4683</v>
      </c>
    </row>
    <row r="4875" spans="1:10" x14ac:dyDescent="0.3">
      <c r="A4875" t="s">
        <v>5006</v>
      </c>
      <c r="B4875" t="s">
        <v>35</v>
      </c>
      <c r="C4875" t="str">
        <f>_xlfn.XLOOKUP(B4875,
[1]sales_teams!$A$2:$A$100,
[1]sales_teams!$B$2:$B$100)</f>
        <v>Melvin Marxen</v>
      </c>
      <c r="D4875" t="str">
        <f>_xlfn.XLOOKUP($B4875,sales_teams!$A$2:$A$36,sales_teams!C$2:C$36)</f>
        <v>Central</v>
      </c>
      <c r="E4875" t="s">
        <v>10</v>
      </c>
      <c r="F4875" t="s">
        <v>187</v>
      </c>
      <c r="G4875" t="s">
        <v>12</v>
      </c>
      <c r="H4875" s="1">
        <v>42933</v>
      </c>
      <c r="I4875" s="1">
        <v>42943</v>
      </c>
      <c r="J4875">
        <v>1114</v>
      </c>
    </row>
    <row r="4876" spans="1:10" x14ac:dyDescent="0.3">
      <c r="A4876" t="s">
        <v>5007</v>
      </c>
      <c r="B4876" t="s">
        <v>97</v>
      </c>
      <c r="C4876" t="str">
        <f>_xlfn.XLOOKUP(B4876,
[1]sales_teams!$A$2:$A$100,
[1]sales_teams!$B$2:$B$100)</f>
        <v>Rocco Neubert</v>
      </c>
      <c r="D4876" t="str">
        <f>_xlfn.XLOOKUP($B4876,sales_teams!$A$2:$A$36,sales_teams!C$2:C$36)</f>
        <v>East</v>
      </c>
      <c r="E4876" t="s">
        <v>15</v>
      </c>
      <c r="F4876" t="s">
        <v>204</v>
      </c>
      <c r="G4876" t="s">
        <v>12</v>
      </c>
      <c r="H4876" s="1">
        <v>42933</v>
      </c>
      <c r="I4876" s="1">
        <v>43056</v>
      </c>
      <c r="J4876">
        <v>5452</v>
      </c>
    </row>
    <row r="4877" spans="1:10" x14ac:dyDescent="0.3">
      <c r="A4877" t="s">
        <v>5008</v>
      </c>
      <c r="B4877" t="s">
        <v>57</v>
      </c>
      <c r="C4877" t="str">
        <f>_xlfn.XLOOKUP(B4877,
[1]sales_teams!$A$2:$A$100,
[1]sales_teams!$B$2:$B$100)</f>
        <v>Celia Rouche</v>
      </c>
      <c r="D4877" t="str">
        <f>_xlfn.XLOOKUP($B4877,sales_teams!$A$2:$A$36,sales_teams!C$2:C$36)</f>
        <v>West</v>
      </c>
      <c r="E4877" t="s">
        <v>15</v>
      </c>
      <c r="F4877" t="s">
        <v>398</v>
      </c>
      <c r="G4877" t="s">
        <v>12</v>
      </c>
      <c r="H4877" s="1">
        <v>42933</v>
      </c>
      <c r="I4877" s="1">
        <v>42985</v>
      </c>
      <c r="J4877">
        <v>5561</v>
      </c>
    </row>
    <row r="4878" spans="1:10" x14ac:dyDescent="0.3">
      <c r="A4878" t="s">
        <v>5009</v>
      </c>
      <c r="B4878" t="s">
        <v>88</v>
      </c>
      <c r="C4878" t="str">
        <f>_xlfn.XLOOKUP(B4878,
[1]sales_teams!$A$2:$A$100,
[1]sales_teams!$B$2:$B$100)</f>
        <v>Cara Losch</v>
      </c>
      <c r="D4878" t="str">
        <f>_xlfn.XLOOKUP($B4878,sales_teams!$A$2:$A$36,sales_teams!C$2:C$36)</f>
        <v>East</v>
      </c>
      <c r="E4878" t="s">
        <v>18</v>
      </c>
      <c r="F4878" t="s">
        <v>215</v>
      </c>
      <c r="G4878" t="s">
        <v>12</v>
      </c>
      <c r="H4878" s="1">
        <v>42933</v>
      </c>
      <c r="I4878" s="1">
        <v>42941</v>
      </c>
      <c r="J4878">
        <v>57</v>
      </c>
    </row>
    <row r="4879" spans="1:10" x14ac:dyDescent="0.3">
      <c r="A4879" t="s">
        <v>5010</v>
      </c>
      <c r="B4879" t="s">
        <v>61</v>
      </c>
      <c r="C4879" t="str">
        <f>_xlfn.XLOOKUP(B4879,
[1]sales_teams!$A$2:$A$100,
[1]sales_teams!$B$2:$B$100)</f>
        <v>Dustin Brinkmann</v>
      </c>
      <c r="D4879" t="str">
        <f>_xlfn.XLOOKUP($B4879,sales_teams!$A$2:$A$36,sales_teams!C$2:C$36)</f>
        <v>Central</v>
      </c>
      <c r="E4879" t="s">
        <v>18</v>
      </c>
      <c r="F4879" t="s">
        <v>492</v>
      </c>
      <c r="G4879" t="s">
        <v>46</v>
      </c>
      <c r="H4879" s="1">
        <v>42933</v>
      </c>
      <c r="I4879" s="1">
        <v>42950</v>
      </c>
      <c r="J4879">
        <v>0</v>
      </c>
    </row>
    <row r="4880" spans="1:10" x14ac:dyDescent="0.3">
      <c r="A4880" t="s">
        <v>5011</v>
      </c>
      <c r="B4880" t="s">
        <v>29</v>
      </c>
      <c r="C4880" t="str">
        <f>_xlfn.XLOOKUP(B4880,
[1]sales_teams!$A$2:$A$100,
[1]sales_teams!$B$2:$B$100)</f>
        <v>Celia Rouche</v>
      </c>
      <c r="D4880" t="str">
        <f>_xlfn.XLOOKUP($B4880,sales_teams!$A$2:$A$36,sales_teams!C$2:C$36)</f>
        <v>West</v>
      </c>
      <c r="E4880" t="s">
        <v>48</v>
      </c>
      <c r="F4880" t="s">
        <v>52</v>
      </c>
      <c r="G4880" t="s">
        <v>40</v>
      </c>
      <c r="H4880" s="1">
        <v>42933</v>
      </c>
    </row>
    <row r="4881" spans="1:10" x14ac:dyDescent="0.3">
      <c r="A4881" t="s">
        <v>5012</v>
      </c>
      <c r="B4881" t="s">
        <v>29</v>
      </c>
      <c r="C4881" t="str">
        <f>_xlfn.XLOOKUP(B4881,
[1]sales_teams!$A$2:$A$100,
[1]sales_teams!$B$2:$B$100)</f>
        <v>Celia Rouche</v>
      </c>
      <c r="D4881" t="str">
        <f>_xlfn.XLOOKUP($B4881,sales_teams!$A$2:$A$36,sales_teams!C$2:C$36)</f>
        <v>West</v>
      </c>
      <c r="E4881" t="s">
        <v>15</v>
      </c>
      <c r="F4881" t="s">
        <v>155</v>
      </c>
      <c r="G4881" t="s">
        <v>46</v>
      </c>
      <c r="H4881" s="1">
        <v>42933</v>
      </c>
      <c r="I4881" s="1">
        <v>43000</v>
      </c>
      <c r="J4881">
        <v>0</v>
      </c>
    </row>
    <row r="4882" spans="1:10" x14ac:dyDescent="0.3">
      <c r="A4882" t="s">
        <v>5013</v>
      </c>
      <c r="B4882" t="s">
        <v>29</v>
      </c>
      <c r="C4882" t="str">
        <f>_xlfn.XLOOKUP(B4882,
[1]sales_teams!$A$2:$A$100,
[1]sales_teams!$B$2:$B$100)</f>
        <v>Celia Rouche</v>
      </c>
      <c r="D4882" t="str">
        <f>_xlfn.XLOOKUP($B4882,sales_teams!$A$2:$A$36,sales_teams!C$2:C$36)</f>
        <v>West</v>
      </c>
      <c r="E4882" t="s">
        <v>39</v>
      </c>
      <c r="F4882" t="s">
        <v>33</v>
      </c>
      <c r="G4882" t="s">
        <v>46</v>
      </c>
      <c r="H4882" s="1">
        <v>42933</v>
      </c>
      <c r="I4882" s="1">
        <v>42945</v>
      </c>
      <c r="J4882">
        <v>0</v>
      </c>
    </row>
    <row r="4883" spans="1:10" x14ac:dyDescent="0.3">
      <c r="A4883" t="s">
        <v>5014</v>
      </c>
      <c r="B4883" t="s">
        <v>29</v>
      </c>
      <c r="C4883" t="str">
        <f>_xlfn.XLOOKUP(B4883,
[1]sales_teams!$A$2:$A$100,
[1]sales_teams!$B$2:$B$100)</f>
        <v>Celia Rouche</v>
      </c>
      <c r="D4883" t="str">
        <f>_xlfn.XLOOKUP($B4883,sales_teams!$A$2:$A$36,sales_teams!C$2:C$36)</f>
        <v>West</v>
      </c>
      <c r="E4883" t="s">
        <v>20</v>
      </c>
      <c r="F4883" t="s">
        <v>148</v>
      </c>
      <c r="G4883" t="s">
        <v>12</v>
      </c>
      <c r="H4883" s="1">
        <v>42933</v>
      </c>
      <c r="I4883" s="1">
        <v>42934</v>
      </c>
      <c r="J4883">
        <v>496</v>
      </c>
    </row>
    <row r="4884" spans="1:10" x14ac:dyDescent="0.3">
      <c r="A4884" t="s">
        <v>5015</v>
      </c>
      <c r="B4884" t="s">
        <v>29</v>
      </c>
      <c r="C4884" t="str">
        <f>_xlfn.XLOOKUP(B4884,
[1]sales_teams!$A$2:$A$100,
[1]sales_teams!$B$2:$B$100)</f>
        <v>Celia Rouche</v>
      </c>
      <c r="D4884" t="str">
        <f>_xlfn.XLOOKUP($B4884,sales_teams!$A$2:$A$36,sales_teams!C$2:C$36)</f>
        <v>West</v>
      </c>
      <c r="E4884" t="s">
        <v>15</v>
      </c>
      <c r="F4884" t="s">
        <v>184</v>
      </c>
      <c r="G4884" t="s">
        <v>12</v>
      </c>
      <c r="H4884" s="1">
        <v>42933</v>
      </c>
      <c r="I4884" s="1">
        <v>42995</v>
      </c>
      <c r="J4884">
        <v>5054</v>
      </c>
    </row>
    <row r="4885" spans="1:10" x14ac:dyDescent="0.3">
      <c r="A4885" t="s">
        <v>5016</v>
      </c>
      <c r="B4885" t="s">
        <v>73</v>
      </c>
      <c r="C4885" t="str">
        <f>_xlfn.XLOOKUP(B4885,
[1]sales_teams!$A$2:$A$100,
[1]sales_teams!$B$2:$B$100)</f>
        <v>Cara Losch</v>
      </c>
      <c r="D4885" t="str">
        <f>_xlfn.XLOOKUP($B4885,sales_teams!$A$2:$A$36,sales_teams!C$2:C$36)</f>
        <v>East</v>
      </c>
      <c r="E4885" t="s">
        <v>18</v>
      </c>
      <c r="F4885" t="s">
        <v>745</v>
      </c>
      <c r="G4885" t="s">
        <v>46</v>
      </c>
      <c r="H4885" s="1">
        <v>42933</v>
      </c>
      <c r="I4885" s="1">
        <v>42934</v>
      </c>
      <c r="J4885">
        <v>0</v>
      </c>
    </row>
    <row r="4886" spans="1:10" x14ac:dyDescent="0.3">
      <c r="A4886" t="s">
        <v>5017</v>
      </c>
      <c r="B4886" t="s">
        <v>73</v>
      </c>
      <c r="C4886" t="str">
        <f>_xlfn.XLOOKUP(B4886,
[1]sales_teams!$A$2:$A$100,
[1]sales_teams!$B$2:$B$100)</f>
        <v>Cara Losch</v>
      </c>
      <c r="D4886" t="str">
        <f>_xlfn.XLOOKUP($B4886,sales_teams!$A$2:$A$36,sales_teams!C$2:C$36)</f>
        <v>East</v>
      </c>
      <c r="E4886" t="s">
        <v>18</v>
      </c>
      <c r="F4886" t="s">
        <v>237</v>
      </c>
      <c r="G4886" t="s">
        <v>12</v>
      </c>
      <c r="H4886" s="1">
        <v>42933</v>
      </c>
      <c r="I4886" s="1">
        <v>42967</v>
      </c>
      <c r="J4886">
        <v>55</v>
      </c>
    </row>
    <row r="4887" spans="1:10" x14ac:dyDescent="0.3">
      <c r="A4887" t="s">
        <v>5018</v>
      </c>
      <c r="B4887" t="s">
        <v>23</v>
      </c>
      <c r="C4887" t="str">
        <f>_xlfn.XLOOKUP(B4887,
[1]sales_teams!$A$2:$A$100,
[1]sales_teams!$B$2:$B$100)</f>
        <v>Summer Sewald</v>
      </c>
      <c r="D4887" t="str">
        <f>_xlfn.XLOOKUP($B4887,sales_teams!$A$2:$A$36,sales_teams!C$2:C$36)</f>
        <v>West</v>
      </c>
      <c r="E4887" t="s">
        <v>10</v>
      </c>
      <c r="F4887" t="s">
        <v>184</v>
      </c>
      <c r="G4887" t="s">
        <v>46</v>
      </c>
      <c r="H4887" s="1">
        <v>42933</v>
      </c>
      <c r="I4887" s="1">
        <v>42942</v>
      </c>
      <c r="J4887">
        <v>0</v>
      </c>
    </row>
    <row r="4888" spans="1:10" x14ac:dyDescent="0.3">
      <c r="A4888" t="s">
        <v>5019</v>
      </c>
      <c r="B4888" t="s">
        <v>23</v>
      </c>
      <c r="C4888" t="str">
        <f>_xlfn.XLOOKUP(B4888,
[1]sales_teams!$A$2:$A$100,
[1]sales_teams!$B$2:$B$100)</f>
        <v>Summer Sewald</v>
      </c>
      <c r="D4888" t="str">
        <f>_xlfn.XLOOKUP($B4888,sales_teams!$A$2:$A$36,sales_teams!C$2:C$36)</f>
        <v>West</v>
      </c>
      <c r="E4888" t="s">
        <v>15</v>
      </c>
      <c r="F4888" t="s">
        <v>93</v>
      </c>
      <c r="G4888" t="s">
        <v>46</v>
      </c>
      <c r="H4888" s="1">
        <v>42933</v>
      </c>
      <c r="I4888" s="1">
        <v>42943</v>
      </c>
      <c r="J4888">
        <v>0</v>
      </c>
    </row>
    <row r="4889" spans="1:10" x14ac:dyDescent="0.3">
      <c r="A4889" t="s">
        <v>5020</v>
      </c>
      <c r="B4889" t="s">
        <v>23</v>
      </c>
      <c r="C4889" t="str">
        <f>_xlfn.XLOOKUP(B4889,
[1]sales_teams!$A$2:$A$100,
[1]sales_teams!$B$2:$B$100)</f>
        <v>Summer Sewald</v>
      </c>
      <c r="D4889" t="str">
        <f>_xlfn.XLOOKUP($B4889,sales_teams!$A$2:$A$36,sales_teams!C$2:C$36)</f>
        <v>West</v>
      </c>
      <c r="E4889" t="s">
        <v>10</v>
      </c>
      <c r="F4889" t="s">
        <v>273</v>
      </c>
      <c r="G4889" t="s">
        <v>12</v>
      </c>
      <c r="H4889" s="1">
        <v>42933</v>
      </c>
      <c r="I4889" s="1">
        <v>42999</v>
      </c>
      <c r="J4889">
        <v>1064</v>
      </c>
    </row>
    <row r="4890" spans="1:10" x14ac:dyDescent="0.3">
      <c r="A4890" t="s">
        <v>5021</v>
      </c>
      <c r="B4890" t="s">
        <v>23</v>
      </c>
      <c r="C4890" t="str">
        <f>_xlfn.XLOOKUP(B4890,
[1]sales_teams!$A$2:$A$100,
[1]sales_teams!$B$2:$B$100)</f>
        <v>Summer Sewald</v>
      </c>
      <c r="D4890" t="str">
        <f>_xlfn.XLOOKUP($B4890,sales_teams!$A$2:$A$36,sales_teams!C$2:C$36)</f>
        <v>West</v>
      </c>
      <c r="E4890" t="s">
        <v>15</v>
      </c>
      <c r="F4890" t="s">
        <v>148</v>
      </c>
      <c r="G4890" t="s">
        <v>12</v>
      </c>
      <c r="H4890" s="1">
        <v>42933</v>
      </c>
      <c r="I4890" s="1">
        <v>42944</v>
      </c>
      <c r="J4890">
        <v>5268</v>
      </c>
    </row>
    <row r="4891" spans="1:10" x14ac:dyDescent="0.3">
      <c r="A4891" t="s">
        <v>5022</v>
      </c>
      <c r="B4891" t="s">
        <v>26</v>
      </c>
      <c r="C4891" t="str">
        <f>_xlfn.XLOOKUP(B4891,
[1]sales_teams!$A$2:$A$100,
[1]sales_teams!$B$2:$B$100)</f>
        <v>Dustin Brinkmann</v>
      </c>
      <c r="D4891" t="str">
        <f>_xlfn.XLOOKUP($B4891,sales_teams!$A$2:$A$36,sales_teams!C$2:C$36)</f>
        <v>Central</v>
      </c>
      <c r="E4891" t="s">
        <v>18</v>
      </c>
      <c r="F4891" t="s">
        <v>218</v>
      </c>
      <c r="G4891" t="s">
        <v>12</v>
      </c>
      <c r="H4891" s="1">
        <v>42934</v>
      </c>
      <c r="I4891" s="1">
        <v>42943</v>
      </c>
      <c r="J4891">
        <v>54</v>
      </c>
    </row>
    <row r="4892" spans="1:10" x14ac:dyDescent="0.3">
      <c r="A4892" t="s">
        <v>5023</v>
      </c>
      <c r="B4892" t="s">
        <v>118</v>
      </c>
      <c r="C4892" t="str">
        <f>_xlfn.XLOOKUP(B4892,
[1]sales_teams!$A$2:$A$100,
[1]sales_teams!$B$2:$B$100)</f>
        <v>Rocco Neubert</v>
      </c>
      <c r="D4892" t="str">
        <f>_xlfn.XLOOKUP($B4892,sales_teams!$A$2:$A$36,sales_teams!C$2:C$36)</f>
        <v>East</v>
      </c>
      <c r="E4892" t="s">
        <v>39</v>
      </c>
      <c r="F4892" t="s">
        <v>140</v>
      </c>
      <c r="G4892" t="s">
        <v>12</v>
      </c>
      <c r="H4892" s="1">
        <v>42934</v>
      </c>
      <c r="I4892" s="1">
        <v>42944</v>
      </c>
      <c r="J4892">
        <v>3407</v>
      </c>
    </row>
    <row r="4893" spans="1:10" x14ac:dyDescent="0.3">
      <c r="A4893" t="s">
        <v>5024</v>
      </c>
      <c r="B4893" t="s">
        <v>164</v>
      </c>
      <c r="C4893" t="str">
        <f>_xlfn.XLOOKUP(B4893,
[1]sales_teams!$A$2:$A$100,
[1]sales_teams!$B$2:$B$100)</f>
        <v>Cara Losch</v>
      </c>
      <c r="D4893" t="str">
        <f>_xlfn.XLOOKUP($B4893,sales_teams!$A$2:$A$36,sales_teams!C$2:C$36)</f>
        <v>East</v>
      </c>
      <c r="E4893" t="s">
        <v>10</v>
      </c>
      <c r="G4893" t="s">
        <v>40</v>
      </c>
      <c r="H4893" s="1">
        <v>42934</v>
      </c>
    </row>
    <row r="4894" spans="1:10" x14ac:dyDescent="0.3">
      <c r="A4894" t="s">
        <v>5025</v>
      </c>
      <c r="B4894" t="s">
        <v>64</v>
      </c>
      <c r="C4894" t="str">
        <f>_xlfn.XLOOKUP(B4894,
[1]sales_teams!$A$2:$A$100,
[1]sales_teams!$B$2:$B$100)</f>
        <v>Rocco Neubert</v>
      </c>
      <c r="D4894" t="str">
        <f>_xlfn.XLOOKUP($B4894,sales_teams!$A$2:$A$36,sales_teams!C$2:C$36)</f>
        <v>East</v>
      </c>
      <c r="E4894" t="s">
        <v>20</v>
      </c>
      <c r="F4894" t="s">
        <v>192</v>
      </c>
      <c r="G4894" t="s">
        <v>46</v>
      </c>
      <c r="H4894" s="1">
        <v>42934</v>
      </c>
      <c r="I4894" s="1">
        <v>42952</v>
      </c>
      <c r="J4894">
        <v>0</v>
      </c>
    </row>
    <row r="4895" spans="1:10" x14ac:dyDescent="0.3">
      <c r="A4895" t="s">
        <v>5026</v>
      </c>
      <c r="B4895" t="s">
        <v>14</v>
      </c>
      <c r="C4895" t="str">
        <f>_xlfn.XLOOKUP(B4895,
[1]sales_teams!$A$2:$A$100,
[1]sales_teams!$B$2:$B$100)</f>
        <v>Melvin Marxen</v>
      </c>
      <c r="D4895" t="str">
        <f>_xlfn.XLOOKUP($B4895,sales_teams!$A$2:$A$36,sales_teams!C$2:C$36)</f>
        <v>Central</v>
      </c>
      <c r="E4895" t="s">
        <v>15</v>
      </c>
      <c r="F4895" t="s">
        <v>126</v>
      </c>
      <c r="G4895" t="s">
        <v>46</v>
      </c>
      <c r="H4895" s="1">
        <v>42934</v>
      </c>
      <c r="I4895" s="1">
        <v>42977</v>
      </c>
      <c r="J4895">
        <v>0</v>
      </c>
    </row>
    <row r="4896" spans="1:10" x14ac:dyDescent="0.3">
      <c r="A4896" t="s">
        <v>5027</v>
      </c>
      <c r="B4896" t="s">
        <v>14</v>
      </c>
      <c r="C4896" t="str">
        <f>_xlfn.XLOOKUP(B4896,
[1]sales_teams!$A$2:$A$100,
[1]sales_teams!$B$2:$B$100)</f>
        <v>Melvin Marxen</v>
      </c>
      <c r="D4896" t="str">
        <f>_xlfn.XLOOKUP($B4896,sales_teams!$A$2:$A$36,sales_teams!C$2:C$36)</f>
        <v>Central</v>
      </c>
      <c r="E4896" t="s">
        <v>18</v>
      </c>
      <c r="F4896" t="s">
        <v>91</v>
      </c>
      <c r="G4896" t="s">
        <v>46</v>
      </c>
      <c r="H4896" s="1">
        <v>42934</v>
      </c>
      <c r="I4896" s="1">
        <v>42942</v>
      </c>
      <c r="J4896">
        <v>0</v>
      </c>
    </row>
    <row r="4897" spans="1:10" x14ac:dyDescent="0.3">
      <c r="A4897" t="s">
        <v>5028</v>
      </c>
      <c r="B4897" t="s">
        <v>14</v>
      </c>
      <c r="C4897" t="str">
        <f>_xlfn.XLOOKUP(B4897,
[1]sales_teams!$A$2:$A$100,
[1]sales_teams!$B$2:$B$100)</f>
        <v>Melvin Marxen</v>
      </c>
      <c r="D4897" t="str">
        <f>_xlfn.XLOOKUP($B4897,sales_teams!$A$2:$A$36,sales_teams!C$2:C$36)</f>
        <v>Central</v>
      </c>
      <c r="E4897" t="s">
        <v>10</v>
      </c>
      <c r="F4897" t="s">
        <v>62</v>
      </c>
      <c r="G4897" t="s">
        <v>12</v>
      </c>
      <c r="H4897" s="1">
        <v>42934</v>
      </c>
      <c r="I4897" s="1">
        <v>42935</v>
      </c>
      <c r="J4897">
        <v>752</v>
      </c>
    </row>
    <row r="4898" spans="1:10" x14ac:dyDescent="0.3">
      <c r="A4898" t="s">
        <v>5029</v>
      </c>
      <c r="B4898" t="s">
        <v>14</v>
      </c>
      <c r="C4898" t="str">
        <f>_xlfn.XLOOKUP(B4898,
[1]sales_teams!$A$2:$A$100,
[1]sales_teams!$B$2:$B$100)</f>
        <v>Melvin Marxen</v>
      </c>
      <c r="D4898" t="str">
        <f>_xlfn.XLOOKUP($B4898,sales_teams!$A$2:$A$36,sales_teams!C$2:C$36)</f>
        <v>Central</v>
      </c>
      <c r="E4898" t="s">
        <v>39</v>
      </c>
      <c r="F4898" t="s">
        <v>187</v>
      </c>
      <c r="G4898" t="s">
        <v>12</v>
      </c>
      <c r="H4898" s="1">
        <v>42934</v>
      </c>
      <c r="I4898" s="1">
        <v>42981</v>
      </c>
      <c r="J4898">
        <v>3727</v>
      </c>
    </row>
    <row r="4899" spans="1:10" x14ac:dyDescent="0.3">
      <c r="A4899" t="s">
        <v>5030</v>
      </c>
      <c r="B4899" t="s">
        <v>67</v>
      </c>
      <c r="C4899" t="str">
        <f>_xlfn.XLOOKUP(B4899,
[1]sales_teams!$A$2:$A$100,
[1]sales_teams!$B$2:$B$100)</f>
        <v>Celia Rouche</v>
      </c>
      <c r="D4899" t="str">
        <f>_xlfn.XLOOKUP($B4899,sales_teams!$A$2:$A$36,sales_teams!C$2:C$36)</f>
        <v>West</v>
      </c>
      <c r="E4899" t="s">
        <v>18</v>
      </c>
      <c r="F4899" t="s">
        <v>218</v>
      </c>
      <c r="G4899" t="s">
        <v>46</v>
      </c>
      <c r="H4899" s="1">
        <v>42934</v>
      </c>
      <c r="I4899" s="1">
        <v>42947</v>
      </c>
      <c r="J4899">
        <v>0</v>
      </c>
    </row>
    <row r="4900" spans="1:10" x14ac:dyDescent="0.3">
      <c r="A4900" t="s">
        <v>5031</v>
      </c>
      <c r="B4900" t="s">
        <v>67</v>
      </c>
      <c r="C4900" t="str">
        <f>_xlfn.XLOOKUP(B4900,
[1]sales_teams!$A$2:$A$100,
[1]sales_teams!$B$2:$B$100)</f>
        <v>Celia Rouche</v>
      </c>
      <c r="D4900" t="str">
        <f>_xlfn.XLOOKUP($B4900,sales_teams!$A$2:$A$36,sales_teams!C$2:C$36)</f>
        <v>West</v>
      </c>
      <c r="E4900" t="s">
        <v>20</v>
      </c>
      <c r="F4900" t="s">
        <v>79</v>
      </c>
      <c r="G4900" t="s">
        <v>12</v>
      </c>
      <c r="H4900" s="1">
        <v>42934</v>
      </c>
      <c r="I4900" s="1">
        <v>42944</v>
      </c>
      <c r="J4900">
        <v>532</v>
      </c>
    </row>
    <row r="4901" spans="1:10" x14ac:dyDescent="0.3">
      <c r="A4901" t="s">
        <v>5032</v>
      </c>
      <c r="B4901" t="s">
        <v>105</v>
      </c>
      <c r="C4901" t="str">
        <f>_xlfn.XLOOKUP(B4901,
[1]sales_teams!$A$2:$A$100,
[1]sales_teams!$B$2:$B$100)</f>
        <v>Cara Losch</v>
      </c>
      <c r="D4901" t="str">
        <f>_xlfn.XLOOKUP($B4901,sales_teams!$A$2:$A$36,sales_teams!C$2:C$36)</f>
        <v>East</v>
      </c>
      <c r="E4901" t="s">
        <v>48</v>
      </c>
      <c r="F4901" t="s">
        <v>65</v>
      </c>
      <c r="G4901" t="s">
        <v>46</v>
      </c>
      <c r="H4901" s="1">
        <v>42934</v>
      </c>
      <c r="I4901" s="1">
        <v>42946</v>
      </c>
      <c r="J4901">
        <v>0</v>
      </c>
    </row>
    <row r="4902" spans="1:10" x14ac:dyDescent="0.3">
      <c r="A4902" t="s">
        <v>5033</v>
      </c>
      <c r="B4902" t="s">
        <v>44</v>
      </c>
      <c r="C4902" t="str">
        <f>_xlfn.XLOOKUP(B4902,
[1]sales_teams!$A$2:$A$100,
[1]sales_teams!$B$2:$B$100)</f>
        <v>Melvin Marxen</v>
      </c>
      <c r="D4902" t="str">
        <f>_xlfn.XLOOKUP($B4902,sales_teams!$A$2:$A$36,sales_teams!C$2:C$36)</f>
        <v>Central</v>
      </c>
      <c r="E4902" t="s">
        <v>48</v>
      </c>
      <c r="F4902" t="s">
        <v>315</v>
      </c>
      <c r="G4902" t="s">
        <v>46</v>
      </c>
      <c r="H4902" s="1">
        <v>42934</v>
      </c>
      <c r="I4902" s="1">
        <v>42939</v>
      </c>
      <c r="J4902">
        <v>0</v>
      </c>
    </row>
    <row r="4903" spans="1:10" x14ac:dyDescent="0.3">
      <c r="A4903" t="s">
        <v>5034</v>
      </c>
      <c r="B4903" t="s">
        <v>44</v>
      </c>
      <c r="C4903" t="str">
        <f>_xlfn.XLOOKUP(B4903,
[1]sales_teams!$A$2:$A$100,
[1]sales_teams!$B$2:$B$100)</f>
        <v>Melvin Marxen</v>
      </c>
      <c r="D4903" t="str">
        <f>_xlfn.XLOOKUP($B4903,sales_teams!$A$2:$A$36,sales_teams!C$2:C$36)</f>
        <v>Central</v>
      </c>
      <c r="E4903" t="s">
        <v>48</v>
      </c>
      <c r="F4903" t="s">
        <v>318</v>
      </c>
      <c r="G4903" t="s">
        <v>46</v>
      </c>
      <c r="H4903" s="1">
        <v>42934</v>
      </c>
      <c r="I4903" s="1">
        <v>42954</v>
      </c>
      <c r="J4903">
        <v>0</v>
      </c>
    </row>
    <row r="4904" spans="1:10" x14ac:dyDescent="0.3">
      <c r="A4904" t="s">
        <v>5035</v>
      </c>
      <c r="B4904" t="s">
        <v>44</v>
      </c>
      <c r="C4904" t="str">
        <f>_xlfn.XLOOKUP(B4904,
[1]sales_teams!$A$2:$A$100,
[1]sales_teams!$B$2:$B$100)</f>
        <v>Melvin Marxen</v>
      </c>
      <c r="D4904" t="str">
        <f>_xlfn.XLOOKUP($B4904,sales_teams!$A$2:$A$36,sales_teams!C$2:C$36)</f>
        <v>Central</v>
      </c>
      <c r="E4904" t="s">
        <v>39</v>
      </c>
      <c r="F4904" t="s">
        <v>218</v>
      </c>
      <c r="G4904" t="s">
        <v>12</v>
      </c>
      <c r="H4904" s="1">
        <v>42934</v>
      </c>
      <c r="I4904" s="1">
        <v>43005</v>
      </c>
      <c r="J4904">
        <v>3139</v>
      </c>
    </row>
    <row r="4905" spans="1:10" x14ac:dyDescent="0.3">
      <c r="A4905" t="s">
        <v>5036</v>
      </c>
      <c r="B4905" t="s">
        <v>54</v>
      </c>
      <c r="C4905" t="str">
        <f>_xlfn.XLOOKUP(B4905,
[1]sales_teams!$A$2:$A$100,
[1]sales_teams!$B$2:$B$100)</f>
        <v>Celia Rouche</v>
      </c>
      <c r="D4905" t="str">
        <f>_xlfn.XLOOKUP($B4905,sales_teams!$A$2:$A$36,sales_teams!C$2:C$36)</f>
        <v>West</v>
      </c>
      <c r="E4905" t="s">
        <v>39</v>
      </c>
      <c r="F4905" t="s">
        <v>55</v>
      </c>
      <c r="G4905" t="s">
        <v>12</v>
      </c>
      <c r="H4905" s="1">
        <v>42934</v>
      </c>
      <c r="I4905" s="1">
        <v>42944</v>
      </c>
      <c r="J4905">
        <v>3403</v>
      </c>
    </row>
    <row r="4906" spans="1:10" x14ac:dyDescent="0.3">
      <c r="A4906" t="s">
        <v>5037</v>
      </c>
      <c r="B4906" t="s">
        <v>38</v>
      </c>
      <c r="C4906" t="str">
        <f>_xlfn.XLOOKUP(B4906,
[1]sales_teams!$A$2:$A$100,
[1]sales_teams!$B$2:$B$100)</f>
        <v>Summer Sewald</v>
      </c>
      <c r="D4906" t="str">
        <f>_xlfn.XLOOKUP($B4906,sales_teams!$A$2:$A$36,sales_teams!C$2:C$36)</f>
        <v>West</v>
      </c>
      <c r="E4906" t="s">
        <v>39</v>
      </c>
      <c r="G4906" t="s">
        <v>40</v>
      </c>
      <c r="H4906" s="1">
        <v>42934</v>
      </c>
    </row>
    <row r="4907" spans="1:10" x14ac:dyDescent="0.3">
      <c r="A4907" t="s">
        <v>5038</v>
      </c>
      <c r="B4907" t="s">
        <v>38</v>
      </c>
      <c r="C4907" t="str">
        <f>_xlfn.XLOOKUP(B4907,
[1]sales_teams!$A$2:$A$100,
[1]sales_teams!$B$2:$B$100)</f>
        <v>Summer Sewald</v>
      </c>
      <c r="D4907" t="str">
        <f>_xlfn.XLOOKUP($B4907,sales_teams!$A$2:$A$36,sales_teams!C$2:C$36)</f>
        <v>West</v>
      </c>
      <c r="E4907" t="s">
        <v>48</v>
      </c>
      <c r="F4907" t="s">
        <v>168</v>
      </c>
      <c r="G4907" t="s">
        <v>12</v>
      </c>
      <c r="H4907" s="1">
        <v>42934</v>
      </c>
      <c r="I4907" s="1">
        <v>42943</v>
      </c>
      <c r="J4907">
        <v>5440</v>
      </c>
    </row>
    <row r="4908" spans="1:10" x14ac:dyDescent="0.3">
      <c r="A4908" t="s">
        <v>5039</v>
      </c>
      <c r="B4908" t="s">
        <v>116</v>
      </c>
      <c r="C4908" t="str">
        <f>_xlfn.XLOOKUP(B4908,
[1]sales_teams!$A$2:$A$100,
[1]sales_teams!$B$2:$B$100)</f>
        <v>Melvin Marxen</v>
      </c>
      <c r="D4908" t="str">
        <f>_xlfn.XLOOKUP($B4908,sales_teams!$A$2:$A$36,sales_teams!C$2:C$36)</f>
        <v>Central</v>
      </c>
      <c r="E4908" t="s">
        <v>48</v>
      </c>
      <c r="F4908" t="s">
        <v>213</v>
      </c>
      <c r="G4908" t="s">
        <v>12</v>
      </c>
      <c r="H4908" s="1">
        <v>42934</v>
      </c>
      <c r="I4908" s="1">
        <v>42942</v>
      </c>
      <c r="J4908">
        <v>5698</v>
      </c>
    </row>
    <row r="4909" spans="1:10" x14ac:dyDescent="0.3">
      <c r="A4909" t="s">
        <v>5040</v>
      </c>
      <c r="B4909" t="s">
        <v>51</v>
      </c>
      <c r="C4909" t="str">
        <f>_xlfn.XLOOKUP(B4909,
[1]sales_teams!$A$2:$A$100,
[1]sales_teams!$B$2:$B$100)</f>
        <v>Summer Sewald</v>
      </c>
      <c r="D4909" t="str">
        <f>_xlfn.XLOOKUP($B4909,sales_teams!$A$2:$A$36,sales_teams!C$2:C$36)</f>
        <v>West</v>
      </c>
      <c r="E4909" t="s">
        <v>10</v>
      </c>
      <c r="G4909" t="s">
        <v>40</v>
      </c>
      <c r="H4909" s="1">
        <v>42934</v>
      </c>
    </row>
    <row r="4910" spans="1:10" x14ac:dyDescent="0.3">
      <c r="A4910" t="s">
        <v>5041</v>
      </c>
      <c r="B4910" t="s">
        <v>9</v>
      </c>
      <c r="C4910" t="str">
        <f>_xlfn.XLOOKUP(B4910,
[1]sales_teams!$A$2:$A$100,
[1]sales_teams!$B$2:$B$100)</f>
        <v>Dustin Brinkmann</v>
      </c>
      <c r="D4910" t="str">
        <f>_xlfn.XLOOKUP($B4910,sales_teams!$A$2:$A$36,sales_teams!C$2:C$36)</f>
        <v>Central</v>
      </c>
      <c r="E4910" t="s">
        <v>48</v>
      </c>
      <c r="F4910" t="s">
        <v>492</v>
      </c>
      <c r="G4910" t="s">
        <v>46</v>
      </c>
      <c r="H4910" s="1">
        <v>42934</v>
      </c>
      <c r="I4910" s="1">
        <v>42935</v>
      </c>
      <c r="J4910">
        <v>0</v>
      </c>
    </row>
    <row r="4911" spans="1:10" x14ac:dyDescent="0.3">
      <c r="A4911" t="s">
        <v>5042</v>
      </c>
      <c r="B4911" t="s">
        <v>9</v>
      </c>
      <c r="C4911" t="str">
        <f>_xlfn.XLOOKUP(B4911,
[1]sales_teams!$A$2:$A$100,
[1]sales_teams!$B$2:$B$100)</f>
        <v>Dustin Brinkmann</v>
      </c>
      <c r="D4911" t="str">
        <f>_xlfn.XLOOKUP($B4911,sales_teams!$A$2:$A$36,sales_teams!C$2:C$36)</f>
        <v>Central</v>
      </c>
      <c r="E4911" t="s">
        <v>20</v>
      </c>
      <c r="F4911" t="s">
        <v>45</v>
      </c>
      <c r="G4911" t="s">
        <v>12</v>
      </c>
      <c r="H4911" s="1">
        <v>42934</v>
      </c>
      <c r="I4911" s="1">
        <v>42944</v>
      </c>
      <c r="J4911">
        <v>563</v>
      </c>
    </row>
    <row r="4912" spans="1:10" x14ac:dyDescent="0.3">
      <c r="A4912" t="s">
        <v>5043</v>
      </c>
      <c r="B4912" t="s">
        <v>35</v>
      </c>
      <c r="C4912" t="str">
        <f>_xlfn.XLOOKUP(B4912,
[1]sales_teams!$A$2:$A$100,
[1]sales_teams!$B$2:$B$100)</f>
        <v>Melvin Marxen</v>
      </c>
      <c r="D4912" t="str">
        <f>_xlfn.XLOOKUP($B4912,sales_teams!$A$2:$A$36,sales_teams!C$2:C$36)</f>
        <v>Central</v>
      </c>
      <c r="E4912" t="s">
        <v>20</v>
      </c>
      <c r="F4912" t="s">
        <v>111</v>
      </c>
      <c r="G4912" t="s">
        <v>46</v>
      </c>
      <c r="H4912" s="1">
        <v>42934</v>
      </c>
      <c r="I4912" s="1">
        <v>42944</v>
      </c>
      <c r="J4912">
        <v>0</v>
      </c>
    </row>
    <row r="4913" spans="1:10" x14ac:dyDescent="0.3">
      <c r="A4913" t="s">
        <v>5044</v>
      </c>
      <c r="B4913" t="s">
        <v>88</v>
      </c>
      <c r="C4913" t="str">
        <f>_xlfn.XLOOKUP(B4913,
[1]sales_teams!$A$2:$A$100,
[1]sales_teams!$B$2:$B$100)</f>
        <v>Cara Losch</v>
      </c>
      <c r="D4913" t="str">
        <f>_xlfn.XLOOKUP($B4913,sales_teams!$A$2:$A$36,sales_teams!C$2:C$36)</f>
        <v>East</v>
      </c>
      <c r="E4913" t="s">
        <v>20</v>
      </c>
      <c r="F4913" t="s">
        <v>155</v>
      </c>
      <c r="G4913" t="s">
        <v>46</v>
      </c>
      <c r="H4913" s="1">
        <v>42934</v>
      </c>
      <c r="I4913" s="1">
        <v>42942</v>
      </c>
      <c r="J4913">
        <v>0</v>
      </c>
    </row>
    <row r="4914" spans="1:10" x14ac:dyDescent="0.3">
      <c r="A4914" t="s">
        <v>5045</v>
      </c>
      <c r="B4914" t="s">
        <v>29</v>
      </c>
      <c r="C4914" t="str">
        <f>_xlfn.XLOOKUP(B4914,
[1]sales_teams!$A$2:$A$100,
[1]sales_teams!$B$2:$B$100)</f>
        <v>Celia Rouche</v>
      </c>
      <c r="D4914" t="str">
        <f>_xlfn.XLOOKUP($B4914,sales_teams!$A$2:$A$36,sales_teams!C$2:C$36)</f>
        <v>West</v>
      </c>
      <c r="E4914" t="s">
        <v>18</v>
      </c>
      <c r="F4914" t="s">
        <v>199</v>
      </c>
      <c r="G4914" t="s">
        <v>46</v>
      </c>
      <c r="H4914" s="1">
        <v>42934</v>
      </c>
      <c r="I4914" s="1">
        <v>42941</v>
      </c>
      <c r="J4914">
        <v>0</v>
      </c>
    </row>
    <row r="4915" spans="1:10" x14ac:dyDescent="0.3">
      <c r="A4915" t="s">
        <v>5046</v>
      </c>
      <c r="B4915" t="s">
        <v>29</v>
      </c>
      <c r="C4915" t="str">
        <f>_xlfn.XLOOKUP(B4915,
[1]sales_teams!$A$2:$A$100,
[1]sales_teams!$B$2:$B$100)</f>
        <v>Celia Rouche</v>
      </c>
      <c r="D4915" t="str">
        <f>_xlfn.XLOOKUP($B4915,sales_teams!$A$2:$A$36,sales_teams!C$2:C$36)</f>
        <v>West</v>
      </c>
      <c r="E4915" t="s">
        <v>48</v>
      </c>
      <c r="F4915" t="s">
        <v>52</v>
      </c>
      <c r="G4915" t="s">
        <v>12</v>
      </c>
      <c r="H4915" s="1">
        <v>42934</v>
      </c>
      <c r="I4915" s="1">
        <v>42943</v>
      </c>
      <c r="J4915">
        <v>4673</v>
      </c>
    </row>
    <row r="4916" spans="1:10" x14ac:dyDescent="0.3">
      <c r="A4916" t="s">
        <v>5047</v>
      </c>
      <c r="B4916" t="s">
        <v>29</v>
      </c>
      <c r="C4916" t="str">
        <f>_xlfn.XLOOKUP(B4916,
[1]sales_teams!$A$2:$A$100,
[1]sales_teams!$B$2:$B$100)</f>
        <v>Celia Rouche</v>
      </c>
      <c r="D4916" t="str">
        <f>_xlfn.XLOOKUP($B4916,sales_teams!$A$2:$A$36,sales_teams!C$2:C$36)</f>
        <v>West</v>
      </c>
      <c r="E4916" t="s">
        <v>39</v>
      </c>
      <c r="F4916" t="s">
        <v>199</v>
      </c>
      <c r="G4916" t="s">
        <v>12</v>
      </c>
      <c r="H4916" s="1">
        <v>42934</v>
      </c>
      <c r="I4916" s="1">
        <v>42944</v>
      </c>
      <c r="J4916">
        <v>3405</v>
      </c>
    </row>
    <row r="4917" spans="1:10" x14ac:dyDescent="0.3">
      <c r="A4917" t="s">
        <v>5048</v>
      </c>
      <c r="B4917" t="s">
        <v>73</v>
      </c>
      <c r="C4917" t="str">
        <f>_xlfn.XLOOKUP(B4917,
[1]sales_teams!$A$2:$A$100,
[1]sales_teams!$B$2:$B$100)</f>
        <v>Cara Losch</v>
      </c>
      <c r="D4917" t="str">
        <f>_xlfn.XLOOKUP($B4917,sales_teams!$A$2:$A$36,sales_teams!C$2:C$36)</f>
        <v>East</v>
      </c>
      <c r="E4917" t="s">
        <v>20</v>
      </c>
      <c r="G4917" t="s">
        <v>40</v>
      </c>
      <c r="H4917" s="1">
        <v>42934</v>
      </c>
    </row>
    <row r="4918" spans="1:10" x14ac:dyDescent="0.3">
      <c r="A4918" t="s">
        <v>5049</v>
      </c>
      <c r="B4918" t="s">
        <v>73</v>
      </c>
      <c r="C4918" t="str">
        <f>_xlfn.XLOOKUP(B4918,
[1]sales_teams!$A$2:$A$100,
[1]sales_teams!$B$2:$B$100)</f>
        <v>Cara Losch</v>
      </c>
      <c r="D4918" t="str">
        <f>_xlfn.XLOOKUP($B4918,sales_teams!$A$2:$A$36,sales_teams!C$2:C$36)</f>
        <v>East</v>
      </c>
      <c r="E4918" t="s">
        <v>20</v>
      </c>
      <c r="F4918" t="s">
        <v>189</v>
      </c>
      <c r="G4918" t="s">
        <v>12</v>
      </c>
      <c r="H4918" s="1">
        <v>42934</v>
      </c>
      <c r="I4918" s="1">
        <v>43054</v>
      </c>
      <c r="J4918">
        <v>566</v>
      </c>
    </row>
    <row r="4919" spans="1:10" x14ac:dyDescent="0.3">
      <c r="A4919" t="s">
        <v>5050</v>
      </c>
      <c r="B4919" t="s">
        <v>102</v>
      </c>
      <c r="C4919" t="str">
        <f>_xlfn.XLOOKUP(B4919,
[1]sales_teams!$A$2:$A$100,
[1]sales_teams!$B$2:$B$100)</f>
        <v>Cara Losch</v>
      </c>
      <c r="D4919" t="str">
        <f>_xlfn.XLOOKUP($B4919,sales_teams!$A$2:$A$36,sales_teams!C$2:C$36)</f>
        <v>East</v>
      </c>
      <c r="E4919" t="s">
        <v>48</v>
      </c>
      <c r="F4919" t="s">
        <v>199</v>
      </c>
      <c r="G4919" t="s">
        <v>12</v>
      </c>
      <c r="H4919" s="1">
        <v>42934</v>
      </c>
      <c r="I4919" s="1">
        <v>43045</v>
      </c>
      <c r="J4919">
        <v>5559</v>
      </c>
    </row>
    <row r="4920" spans="1:10" x14ac:dyDescent="0.3">
      <c r="A4920" t="s">
        <v>5051</v>
      </c>
      <c r="B4920" t="s">
        <v>23</v>
      </c>
      <c r="C4920" t="str">
        <f>_xlfn.XLOOKUP(B4920,
[1]sales_teams!$A$2:$A$100,
[1]sales_teams!$B$2:$B$100)</f>
        <v>Summer Sewald</v>
      </c>
      <c r="D4920" t="str">
        <f>_xlfn.XLOOKUP($B4920,sales_teams!$A$2:$A$36,sales_teams!C$2:C$36)</f>
        <v>West</v>
      </c>
      <c r="E4920" t="s">
        <v>15</v>
      </c>
      <c r="F4920" t="s">
        <v>59</v>
      </c>
      <c r="G4920" t="s">
        <v>46</v>
      </c>
      <c r="H4920" s="1">
        <v>42934</v>
      </c>
      <c r="I4920" s="1">
        <v>42941</v>
      </c>
      <c r="J4920">
        <v>0</v>
      </c>
    </row>
    <row r="4921" spans="1:10" x14ac:dyDescent="0.3">
      <c r="A4921" t="s">
        <v>5052</v>
      </c>
      <c r="B4921" t="s">
        <v>23</v>
      </c>
      <c r="C4921" t="str">
        <f>_xlfn.XLOOKUP(B4921,
[1]sales_teams!$A$2:$A$100,
[1]sales_teams!$B$2:$B$100)</f>
        <v>Summer Sewald</v>
      </c>
      <c r="D4921" t="str">
        <f>_xlfn.XLOOKUP($B4921,sales_teams!$A$2:$A$36,sales_teams!C$2:C$36)</f>
        <v>West</v>
      </c>
      <c r="E4921" t="s">
        <v>15</v>
      </c>
      <c r="F4921" t="s">
        <v>148</v>
      </c>
      <c r="G4921" t="s">
        <v>12</v>
      </c>
      <c r="H4921" s="1">
        <v>42934</v>
      </c>
      <c r="I4921" s="1">
        <v>42994</v>
      </c>
      <c r="J4921">
        <v>4797</v>
      </c>
    </row>
    <row r="4922" spans="1:10" x14ac:dyDescent="0.3">
      <c r="A4922" t="s">
        <v>5053</v>
      </c>
      <c r="B4922" t="s">
        <v>26</v>
      </c>
      <c r="C4922" t="str">
        <f>_xlfn.XLOOKUP(B4922,
[1]sales_teams!$A$2:$A$100,
[1]sales_teams!$B$2:$B$100)</f>
        <v>Dustin Brinkmann</v>
      </c>
      <c r="D4922" t="str">
        <f>_xlfn.XLOOKUP($B4922,sales_teams!$A$2:$A$36,sales_teams!C$2:C$36)</f>
        <v>Central</v>
      </c>
      <c r="E4922" t="s">
        <v>20</v>
      </c>
      <c r="G4922" t="s">
        <v>40</v>
      </c>
      <c r="H4922" s="1">
        <v>42935</v>
      </c>
    </row>
    <row r="4923" spans="1:10" x14ac:dyDescent="0.3">
      <c r="A4923" t="s">
        <v>5054</v>
      </c>
      <c r="B4923" t="s">
        <v>26</v>
      </c>
      <c r="C4923" t="str">
        <f>_xlfn.XLOOKUP(B4923,
[1]sales_teams!$A$2:$A$100,
[1]sales_teams!$B$2:$B$100)</f>
        <v>Dustin Brinkmann</v>
      </c>
      <c r="D4923" t="str">
        <f>_xlfn.XLOOKUP($B4923,sales_teams!$A$2:$A$36,sales_teams!C$2:C$36)</f>
        <v>Central</v>
      </c>
      <c r="E4923" t="s">
        <v>18</v>
      </c>
      <c r="F4923" t="s">
        <v>197</v>
      </c>
      <c r="G4923" t="s">
        <v>40</v>
      </c>
      <c r="H4923" s="1">
        <v>42935</v>
      </c>
    </row>
    <row r="4924" spans="1:10" x14ac:dyDescent="0.3">
      <c r="A4924" t="s">
        <v>5055</v>
      </c>
      <c r="B4924" t="s">
        <v>26</v>
      </c>
      <c r="C4924" t="str">
        <f>_xlfn.XLOOKUP(B4924,
[1]sales_teams!$A$2:$A$100,
[1]sales_teams!$B$2:$B$100)</f>
        <v>Dustin Brinkmann</v>
      </c>
      <c r="D4924" t="str">
        <f>_xlfn.XLOOKUP($B4924,sales_teams!$A$2:$A$36,sales_teams!C$2:C$36)</f>
        <v>Central</v>
      </c>
      <c r="E4924" t="s">
        <v>18</v>
      </c>
      <c r="F4924" t="s">
        <v>113</v>
      </c>
      <c r="G4924" t="s">
        <v>40</v>
      </c>
      <c r="H4924" s="1">
        <v>42935</v>
      </c>
    </row>
    <row r="4925" spans="1:10" x14ac:dyDescent="0.3">
      <c r="A4925" t="s">
        <v>5056</v>
      </c>
      <c r="B4925" t="s">
        <v>26</v>
      </c>
      <c r="C4925" t="str">
        <f>_xlfn.XLOOKUP(B4925,
[1]sales_teams!$A$2:$A$100,
[1]sales_teams!$B$2:$B$100)</f>
        <v>Dustin Brinkmann</v>
      </c>
      <c r="D4925" t="str">
        <f>_xlfn.XLOOKUP($B4925,sales_teams!$A$2:$A$36,sales_teams!C$2:C$36)</f>
        <v>Central</v>
      </c>
      <c r="E4925" t="s">
        <v>18</v>
      </c>
      <c r="F4925" t="s">
        <v>197</v>
      </c>
      <c r="G4925" t="s">
        <v>46</v>
      </c>
      <c r="H4925" s="1">
        <v>42935</v>
      </c>
      <c r="I4925" s="1">
        <v>42946</v>
      </c>
      <c r="J4925">
        <v>0</v>
      </c>
    </row>
    <row r="4926" spans="1:10" x14ac:dyDescent="0.3">
      <c r="A4926" t="s">
        <v>5057</v>
      </c>
      <c r="B4926" t="s">
        <v>26</v>
      </c>
      <c r="C4926" t="str">
        <f>_xlfn.XLOOKUP(B4926,
[1]sales_teams!$A$2:$A$100,
[1]sales_teams!$B$2:$B$100)</f>
        <v>Dustin Brinkmann</v>
      </c>
      <c r="D4926" t="str">
        <f>_xlfn.XLOOKUP($B4926,sales_teams!$A$2:$A$36,sales_teams!C$2:C$36)</f>
        <v>Central</v>
      </c>
      <c r="E4926" t="s">
        <v>18</v>
      </c>
      <c r="F4926" t="s">
        <v>303</v>
      </c>
      <c r="G4926" t="s">
        <v>12</v>
      </c>
      <c r="H4926" s="1">
        <v>42935</v>
      </c>
      <c r="I4926" s="1">
        <v>42941</v>
      </c>
      <c r="J4926">
        <v>53</v>
      </c>
    </row>
    <row r="4927" spans="1:10" x14ac:dyDescent="0.3">
      <c r="A4927" t="s">
        <v>5058</v>
      </c>
      <c r="B4927" t="s">
        <v>118</v>
      </c>
      <c r="C4927" t="str">
        <f>_xlfn.XLOOKUP(B4927,
[1]sales_teams!$A$2:$A$100,
[1]sales_teams!$B$2:$B$100)</f>
        <v>Rocco Neubert</v>
      </c>
      <c r="D4927" t="str">
        <f>_xlfn.XLOOKUP($B4927,sales_teams!$A$2:$A$36,sales_teams!C$2:C$36)</f>
        <v>East</v>
      </c>
      <c r="E4927" t="s">
        <v>39</v>
      </c>
      <c r="F4927" t="s">
        <v>89</v>
      </c>
      <c r="G4927" t="s">
        <v>46</v>
      </c>
      <c r="H4927" s="1">
        <v>42935</v>
      </c>
      <c r="I4927" s="1">
        <v>43005</v>
      </c>
      <c r="J4927">
        <v>0</v>
      </c>
    </row>
    <row r="4928" spans="1:10" x14ac:dyDescent="0.3">
      <c r="A4928" t="s">
        <v>5059</v>
      </c>
      <c r="B4928" t="s">
        <v>202</v>
      </c>
      <c r="C4928" t="str">
        <f>_xlfn.XLOOKUP(B4928,
[1]sales_teams!$A$2:$A$100,
[1]sales_teams!$B$2:$B$100)</f>
        <v>Dustin Brinkmann</v>
      </c>
      <c r="D4928" t="str">
        <f>_xlfn.XLOOKUP($B4928,sales_teams!$A$2:$A$36,sales_teams!C$2:C$36)</f>
        <v>Central</v>
      </c>
      <c r="E4928" t="s">
        <v>18</v>
      </c>
      <c r="G4928" t="s">
        <v>40</v>
      </c>
      <c r="H4928" s="1">
        <v>42935</v>
      </c>
    </row>
    <row r="4929" spans="1:10" x14ac:dyDescent="0.3">
      <c r="A4929" t="s">
        <v>5060</v>
      </c>
      <c r="B4929" t="s">
        <v>202</v>
      </c>
      <c r="C4929" t="str">
        <f>_xlfn.XLOOKUP(B4929,
[1]sales_teams!$A$2:$A$100,
[1]sales_teams!$B$2:$B$100)</f>
        <v>Dustin Brinkmann</v>
      </c>
      <c r="D4929" t="str">
        <f>_xlfn.XLOOKUP($B4929,sales_teams!$A$2:$A$36,sales_teams!C$2:C$36)</f>
        <v>Central</v>
      </c>
      <c r="E4929" t="s">
        <v>18</v>
      </c>
      <c r="G4929" t="s">
        <v>40</v>
      </c>
      <c r="H4929" s="1">
        <v>42935</v>
      </c>
    </row>
    <row r="4930" spans="1:10" x14ac:dyDescent="0.3">
      <c r="A4930" t="s">
        <v>5061</v>
      </c>
      <c r="B4930" t="s">
        <v>164</v>
      </c>
      <c r="C4930" t="str">
        <f>_xlfn.XLOOKUP(B4930,
[1]sales_teams!$A$2:$A$100,
[1]sales_teams!$B$2:$B$100)</f>
        <v>Cara Losch</v>
      </c>
      <c r="D4930" t="str">
        <f>_xlfn.XLOOKUP($B4930,sales_teams!$A$2:$A$36,sales_teams!C$2:C$36)</f>
        <v>East</v>
      </c>
      <c r="E4930" t="s">
        <v>10</v>
      </c>
      <c r="F4930" t="s">
        <v>209</v>
      </c>
      <c r="G4930" t="s">
        <v>12</v>
      </c>
      <c r="H4930" s="1">
        <v>42935</v>
      </c>
      <c r="I4930" s="1">
        <v>42946</v>
      </c>
      <c r="J4930">
        <v>955</v>
      </c>
    </row>
    <row r="4931" spans="1:10" x14ac:dyDescent="0.3">
      <c r="A4931" t="s">
        <v>5062</v>
      </c>
      <c r="B4931" t="s">
        <v>64</v>
      </c>
      <c r="C4931" t="str">
        <f>_xlfn.XLOOKUP(B4931,
[1]sales_teams!$A$2:$A$100,
[1]sales_teams!$B$2:$B$100)</f>
        <v>Rocco Neubert</v>
      </c>
      <c r="D4931" t="str">
        <f>_xlfn.XLOOKUP($B4931,sales_teams!$A$2:$A$36,sales_teams!C$2:C$36)</f>
        <v>East</v>
      </c>
      <c r="E4931" t="s">
        <v>48</v>
      </c>
      <c r="F4931" t="s">
        <v>278</v>
      </c>
      <c r="G4931" t="s">
        <v>46</v>
      </c>
      <c r="H4931" s="1">
        <v>42935</v>
      </c>
      <c r="I4931" s="1">
        <v>42946</v>
      </c>
      <c r="J4931">
        <v>0</v>
      </c>
    </row>
    <row r="4932" spans="1:10" x14ac:dyDescent="0.3">
      <c r="A4932" t="s">
        <v>5063</v>
      </c>
      <c r="B4932" t="s">
        <v>14</v>
      </c>
      <c r="C4932" t="str">
        <f>_xlfn.XLOOKUP(B4932,
[1]sales_teams!$A$2:$A$100,
[1]sales_teams!$B$2:$B$100)</f>
        <v>Melvin Marxen</v>
      </c>
      <c r="D4932" t="str">
        <f>_xlfn.XLOOKUP($B4932,sales_teams!$A$2:$A$36,sales_teams!C$2:C$36)</f>
        <v>Central</v>
      </c>
      <c r="E4932" t="s">
        <v>20</v>
      </c>
      <c r="G4932" t="s">
        <v>40</v>
      </c>
      <c r="H4932" s="1">
        <v>42935</v>
      </c>
    </row>
    <row r="4933" spans="1:10" x14ac:dyDescent="0.3">
      <c r="A4933" t="s">
        <v>5064</v>
      </c>
      <c r="B4933" t="s">
        <v>14</v>
      </c>
      <c r="C4933" t="str">
        <f>_xlfn.XLOOKUP(B4933,
[1]sales_teams!$A$2:$A$100,
[1]sales_teams!$B$2:$B$100)</f>
        <v>Melvin Marxen</v>
      </c>
      <c r="D4933" t="str">
        <f>_xlfn.XLOOKUP($B4933,sales_teams!$A$2:$A$36,sales_teams!C$2:C$36)</f>
        <v>Central</v>
      </c>
      <c r="E4933" t="s">
        <v>48</v>
      </c>
      <c r="F4933" t="s">
        <v>16</v>
      </c>
      <c r="G4933" t="s">
        <v>40</v>
      </c>
      <c r="H4933" s="1">
        <v>42935</v>
      </c>
    </row>
    <row r="4934" spans="1:10" x14ac:dyDescent="0.3">
      <c r="A4934" t="s">
        <v>5065</v>
      </c>
      <c r="B4934" t="s">
        <v>14</v>
      </c>
      <c r="C4934" t="str">
        <f>_xlfn.XLOOKUP(B4934,
[1]sales_teams!$A$2:$A$100,
[1]sales_teams!$B$2:$B$100)</f>
        <v>Melvin Marxen</v>
      </c>
      <c r="D4934" t="str">
        <f>_xlfn.XLOOKUP($B4934,sales_teams!$A$2:$A$36,sales_teams!C$2:C$36)</f>
        <v>Central</v>
      </c>
      <c r="E4934" t="s">
        <v>15</v>
      </c>
      <c r="G4934" t="s">
        <v>40</v>
      </c>
      <c r="H4934" s="1">
        <v>42935</v>
      </c>
    </row>
    <row r="4935" spans="1:10" x14ac:dyDescent="0.3">
      <c r="A4935" t="s">
        <v>5066</v>
      </c>
      <c r="B4935" t="s">
        <v>14</v>
      </c>
      <c r="C4935" t="str">
        <f>_xlfn.XLOOKUP(B4935,
[1]sales_teams!$A$2:$A$100,
[1]sales_teams!$B$2:$B$100)</f>
        <v>Melvin Marxen</v>
      </c>
      <c r="D4935" t="str">
        <f>_xlfn.XLOOKUP($B4935,sales_teams!$A$2:$A$36,sales_teams!C$2:C$36)</f>
        <v>Central</v>
      </c>
      <c r="E4935" t="s">
        <v>15</v>
      </c>
      <c r="F4935" t="s">
        <v>303</v>
      </c>
      <c r="G4935" t="s">
        <v>46</v>
      </c>
      <c r="H4935" s="1">
        <v>42935</v>
      </c>
      <c r="I4935" s="1">
        <v>42938</v>
      </c>
      <c r="J4935">
        <v>0</v>
      </c>
    </row>
    <row r="4936" spans="1:10" x14ac:dyDescent="0.3">
      <c r="A4936" t="s">
        <v>5067</v>
      </c>
      <c r="B4936" t="s">
        <v>14</v>
      </c>
      <c r="C4936" t="str">
        <f>_xlfn.XLOOKUP(B4936,
[1]sales_teams!$A$2:$A$100,
[1]sales_teams!$B$2:$B$100)</f>
        <v>Melvin Marxen</v>
      </c>
      <c r="D4936" t="str">
        <f>_xlfn.XLOOKUP($B4936,sales_teams!$A$2:$A$36,sales_teams!C$2:C$36)</f>
        <v>Central</v>
      </c>
      <c r="E4936" t="s">
        <v>10</v>
      </c>
      <c r="F4936" t="s">
        <v>213</v>
      </c>
      <c r="G4936" t="s">
        <v>12</v>
      </c>
      <c r="H4936" s="1">
        <v>42935</v>
      </c>
      <c r="I4936" s="1">
        <v>42950</v>
      </c>
      <c r="J4936">
        <v>1060</v>
      </c>
    </row>
    <row r="4937" spans="1:10" x14ac:dyDescent="0.3">
      <c r="A4937" t="s">
        <v>5068</v>
      </c>
      <c r="B4937" t="s">
        <v>14</v>
      </c>
      <c r="C4937" t="str">
        <f>_xlfn.XLOOKUP(B4937,
[1]sales_teams!$A$2:$A$100,
[1]sales_teams!$B$2:$B$100)</f>
        <v>Melvin Marxen</v>
      </c>
      <c r="D4937" t="str">
        <f>_xlfn.XLOOKUP($B4937,sales_teams!$A$2:$A$36,sales_teams!C$2:C$36)</f>
        <v>Central</v>
      </c>
      <c r="E4937" t="s">
        <v>15</v>
      </c>
      <c r="F4937" t="s">
        <v>109</v>
      </c>
      <c r="G4937" t="s">
        <v>12</v>
      </c>
      <c r="H4937" s="1">
        <v>42935</v>
      </c>
      <c r="I4937" s="1">
        <v>42942</v>
      </c>
      <c r="J4937">
        <v>5401</v>
      </c>
    </row>
    <row r="4938" spans="1:10" x14ac:dyDescent="0.3">
      <c r="A4938" t="s">
        <v>5069</v>
      </c>
      <c r="B4938" t="s">
        <v>67</v>
      </c>
      <c r="C4938" t="str">
        <f>_xlfn.XLOOKUP(B4938,
[1]sales_teams!$A$2:$A$100,
[1]sales_teams!$B$2:$B$100)</f>
        <v>Celia Rouche</v>
      </c>
      <c r="D4938" t="str">
        <f>_xlfn.XLOOKUP($B4938,sales_teams!$A$2:$A$36,sales_teams!C$2:C$36)</f>
        <v>West</v>
      </c>
      <c r="E4938" t="s">
        <v>15</v>
      </c>
      <c r="G4938" t="s">
        <v>40</v>
      </c>
      <c r="H4938" s="1">
        <v>42935</v>
      </c>
    </row>
    <row r="4939" spans="1:10" x14ac:dyDescent="0.3">
      <c r="A4939" t="s">
        <v>5070</v>
      </c>
      <c r="B4939" t="s">
        <v>105</v>
      </c>
      <c r="C4939" t="str">
        <f>_xlfn.XLOOKUP(B4939,
[1]sales_teams!$A$2:$A$100,
[1]sales_teams!$B$2:$B$100)</f>
        <v>Cara Losch</v>
      </c>
      <c r="D4939" t="str">
        <f>_xlfn.XLOOKUP($B4939,sales_teams!$A$2:$A$36,sales_teams!C$2:C$36)</f>
        <v>East</v>
      </c>
      <c r="E4939" t="s">
        <v>48</v>
      </c>
      <c r="F4939" t="s">
        <v>155</v>
      </c>
      <c r="G4939" t="s">
        <v>12</v>
      </c>
      <c r="H4939" s="1">
        <v>42935</v>
      </c>
      <c r="I4939" s="1">
        <v>42942</v>
      </c>
      <c r="J4939">
        <v>4895</v>
      </c>
    </row>
    <row r="4940" spans="1:10" x14ac:dyDescent="0.3">
      <c r="A4940" t="s">
        <v>5071</v>
      </c>
      <c r="B4940" t="s">
        <v>44</v>
      </c>
      <c r="C4940" t="str">
        <f>_xlfn.XLOOKUP(B4940,
[1]sales_teams!$A$2:$A$100,
[1]sales_teams!$B$2:$B$100)</f>
        <v>Melvin Marxen</v>
      </c>
      <c r="D4940" t="str">
        <f>_xlfn.XLOOKUP($B4940,sales_teams!$A$2:$A$36,sales_teams!C$2:C$36)</f>
        <v>Central</v>
      </c>
      <c r="E4940" t="s">
        <v>48</v>
      </c>
      <c r="F4940" t="s">
        <v>62</v>
      </c>
      <c r="G4940" t="s">
        <v>12</v>
      </c>
      <c r="H4940" s="1">
        <v>42935</v>
      </c>
      <c r="I4940" s="1">
        <v>42937</v>
      </c>
      <c r="J4940">
        <v>4907</v>
      </c>
    </row>
    <row r="4941" spans="1:10" x14ac:dyDescent="0.3">
      <c r="A4941" t="s">
        <v>5072</v>
      </c>
      <c r="B4941" t="s">
        <v>54</v>
      </c>
      <c r="C4941" t="str">
        <f>_xlfn.XLOOKUP(B4941,
[1]sales_teams!$A$2:$A$100,
[1]sales_teams!$B$2:$B$100)</f>
        <v>Celia Rouche</v>
      </c>
      <c r="D4941" t="str">
        <f>_xlfn.XLOOKUP($B4941,sales_teams!$A$2:$A$36,sales_teams!C$2:C$36)</f>
        <v>West</v>
      </c>
      <c r="E4941" t="s">
        <v>18</v>
      </c>
      <c r="F4941" t="s">
        <v>65</v>
      </c>
      <c r="G4941" t="s">
        <v>40</v>
      </c>
      <c r="H4941" s="1">
        <v>42935</v>
      </c>
    </row>
    <row r="4942" spans="1:10" x14ac:dyDescent="0.3">
      <c r="A4942" t="s">
        <v>5073</v>
      </c>
      <c r="B4942" t="s">
        <v>54</v>
      </c>
      <c r="C4942" t="str">
        <f>_xlfn.XLOOKUP(B4942,
[1]sales_teams!$A$2:$A$100,
[1]sales_teams!$B$2:$B$100)</f>
        <v>Celia Rouche</v>
      </c>
      <c r="D4942" t="str">
        <f>_xlfn.XLOOKUP($B4942,sales_teams!$A$2:$A$36,sales_teams!C$2:C$36)</f>
        <v>West</v>
      </c>
      <c r="E4942" t="s">
        <v>39</v>
      </c>
      <c r="F4942" t="s">
        <v>159</v>
      </c>
      <c r="G4942" t="s">
        <v>46</v>
      </c>
      <c r="H4942" s="1">
        <v>42935</v>
      </c>
      <c r="I4942" s="1">
        <v>42945</v>
      </c>
      <c r="J4942">
        <v>0</v>
      </c>
    </row>
    <row r="4943" spans="1:10" x14ac:dyDescent="0.3">
      <c r="A4943" t="s">
        <v>5074</v>
      </c>
      <c r="B4943" t="s">
        <v>54</v>
      </c>
      <c r="C4943" t="str">
        <f>_xlfn.XLOOKUP(B4943,
[1]sales_teams!$A$2:$A$100,
[1]sales_teams!$B$2:$B$100)</f>
        <v>Celia Rouche</v>
      </c>
      <c r="D4943" t="str">
        <f>_xlfn.XLOOKUP($B4943,sales_teams!$A$2:$A$36,sales_teams!C$2:C$36)</f>
        <v>West</v>
      </c>
      <c r="E4943" t="s">
        <v>10</v>
      </c>
      <c r="F4943" t="s">
        <v>49</v>
      </c>
      <c r="G4943" t="s">
        <v>12</v>
      </c>
      <c r="H4943" s="1">
        <v>42935</v>
      </c>
      <c r="I4943" s="1">
        <v>43008</v>
      </c>
      <c r="J4943">
        <v>1170</v>
      </c>
    </row>
    <row r="4944" spans="1:10" x14ac:dyDescent="0.3">
      <c r="A4944" t="s">
        <v>5075</v>
      </c>
      <c r="B4944" t="s">
        <v>54</v>
      </c>
      <c r="C4944" t="str">
        <f>_xlfn.XLOOKUP(B4944,
[1]sales_teams!$A$2:$A$100,
[1]sales_teams!$B$2:$B$100)</f>
        <v>Celia Rouche</v>
      </c>
      <c r="D4944" t="str">
        <f>_xlfn.XLOOKUP($B4944,sales_teams!$A$2:$A$36,sales_teams!C$2:C$36)</f>
        <v>West</v>
      </c>
      <c r="E4944" t="s">
        <v>39</v>
      </c>
      <c r="F4944" t="s">
        <v>194</v>
      </c>
      <c r="G4944" t="s">
        <v>12</v>
      </c>
      <c r="H4944" s="1">
        <v>42935</v>
      </c>
      <c r="I4944" s="1">
        <v>42944</v>
      </c>
      <c r="J4944">
        <v>2718</v>
      </c>
    </row>
    <row r="4945" spans="1:10" x14ac:dyDescent="0.3">
      <c r="A4945" t="s">
        <v>5076</v>
      </c>
      <c r="B4945" t="s">
        <v>38</v>
      </c>
      <c r="C4945" t="str">
        <f>_xlfn.XLOOKUP(B4945,
[1]sales_teams!$A$2:$A$100,
[1]sales_teams!$B$2:$B$100)</f>
        <v>Summer Sewald</v>
      </c>
      <c r="D4945" t="str">
        <f>_xlfn.XLOOKUP($B4945,sales_teams!$A$2:$A$36,sales_teams!C$2:C$36)</f>
        <v>West</v>
      </c>
      <c r="E4945" t="s">
        <v>18</v>
      </c>
      <c r="F4945" t="s">
        <v>168</v>
      </c>
      <c r="G4945" t="s">
        <v>46</v>
      </c>
      <c r="H4945" s="1">
        <v>42935</v>
      </c>
      <c r="I4945" s="1">
        <v>42977</v>
      </c>
      <c r="J4945">
        <v>0</v>
      </c>
    </row>
    <row r="4946" spans="1:10" x14ac:dyDescent="0.3">
      <c r="A4946" t="s">
        <v>5077</v>
      </c>
      <c r="B4946" t="s">
        <v>252</v>
      </c>
      <c r="C4946" t="str">
        <f>_xlfn.XLOOKUP(B4946,
[1]sales_teams!$A$2:$A$100,
[1]sales_teams!$B$2:$B$100)</f>
        <v>Melvin Marxen</v>
      </c>
      <c r="D4946" t="str">
        <f>_xlfn.XLOOKUP($B4946,sales_teams!$A$2:$A$36,sales_teams!C$2:C$36)</f>
        <v>Central</v>
      </c>
      <c r="E4946" t="s">
        <v>15</v>
      </c>
      <c r="F4946" t="s">
        <v>318</v>
      </c>
      <c r="G4946" t="s">
        <v>40</v>
      </c>
      <c r="H4946" s="1">
        <v>42935</v>
      </c>
    </row>
    <row r="4947" spans="1:10" x14ac:dyDescent="0.3">
      <c r="A4947" t="s">
        <v>5078</v>
      </c>
      <c r="B4947" t="s">
        <v>78</v>
      </c>
      <c r="C4947" t="str">
        <f>_xlfn.XLOOKUP(B4947,
[1]sales_teams!$A$2:$A$100,
[1]sales_teams!$B$2:$B$100)</f>
        <v>Summer Sewald</v>
      </c>
      <c r="D4947" t="str">
        <f>_xlfn.XLOOKUP($B4947,sales_teams!$A$2:$A$36,sales_teams!C$2:C$36)</f>
        <v>West</v>
      </c>
      <c r="E4947" t="s">
        <v>20</v>
      </c>
      <c r="F4947" t="s">
        <v>155</v>
      </c>
      <c r="G4947" t="s">
        <v>46</v>
      </c>
      <c r="H4947" s="1">
        <v>42935</v>
      </c>
      <c r="I4947" s="1">
        <v>43043</v>
      </c>
      <c r="J4947">
        <v>0</v>
      </c>
    </row>
    <row r="4948" spans="1:10" x14ac:dyDescent="0.3">
      <c r="A4948" t="s">
        <v>5079</v>
      </c>
      <c r="B4948" t="s">
        <v>95</v>
      </c>
      <c r="C4948" t="str">
        <f>_xlfn.XLOOKUP(B4948,
[1]sales_teams!$A$2:$A$100,
[1]sales_teams!$B$2:$B$100)</f>
        <v>Summer Sewald</v>
      </c>
      <c r="D4948" t="str">
        <f>_xlfn.XLOOKUP($B4948,sales_teams!$A$2:$A$36,sales_teams!C$2:C$36)</f>
        <v>West</v>
      </c>
      <c r="E4948" t="s">
        <v>20</v>
      </c>
      <c r="F4948" t="s">
        <v>100</v>
      </c>
      <c r="G4948" t="s">
        <v>46</v>
      </c>
      <c r="H4948" s="1">
        <v>42935</v>
      </c>
      <c r="I4948" s="1">
        <v>42946</v>
      </c>
      <c r="J4948">
        <v>0</v>
      </c>
    </row>
    <row r="4949" spans="1:10" x14ac:dyDescent="0.3">
      <c r="A4949" t="s">
        <v>5080</v>
      </c>
      <c r="B4949" t="s">
        <v>95</v>
      </c>
      <c r="C4949" t="str">
        <f>_xlfn.XLOOKUP(B4949,
[1]sales_teams!$A$2:$A$100,
[1]sales_teams!$B$2:$B$100)</f>
        <v>Summer Sewald</v>
      </c>
      <c r="D4949" t="str">
        <f>_xlfn.XLOOKUP($B4949,sales_teams!$A$2:$A$36,sales_teams!C$2:C$36)</f>
        <v>West</v>
      </c>
      <c r="E4949" t="s">
        <v>18</v>
      </c>
      <c r="F4949" t="s">
        <v>124</v>
      </c>
      <c r="G4949" t="s">
        <v>46</v>
      </c>
      <c r="H4949" s="1">
        <v>42935</v>
      </c>
      <c r="I4949" s="1">
        <v>42937</v>
      </c>
      <c r="J4949">
        <v>0</v>
      </c>
    </row>
    <row r="4950" spans="1:10" x14ac:dyDescent="0.3">
      <c r="A4950" t="s">
        <v>5081</v>
      </c>
      <c r="B4950" t="s">
        <v>95</v>
      </c>
      <c r="C4950" t="str">
        <f>_xlfn.XLOOKUP(B4950,
[1]sales_teams!$A$2:$A$100,
[1]sales_teams!$B$2:$B$100)</f>
        <v>Summer Sewald</v>
      </c>
      <c r="D4950" t="str">
        <f>_xlfn.XLOOKUP($B4950,sales_teams!$A$2:$A$36,sales_teams!C$2:C$36)</f>
        <v>West</v>
      </c>
      <c r="E4950" t="s">
        <v>20</v>
      </c>
      <c r="F4950" t="s">
        <v>148</v>
      </c>
      <c r="G4950" t="s">
        <v>12</v>
      </c>
      <c r="H4950" s="1">
        <v>42935</v>
      </c>
      <c r="I4950" s="1">
        <v>42955</v>
      </c>
      <c r="J4950">
        <v>624</v>
      </c>
    </row>
    <row r="4951" spans="1:10" x14ac:dyDescent="0.3">
      <c r="A4951" t="s">
        <v>5082</v>
      </c>
      <c r="B4951" t="s">
        <v>133</v>
      </c>
      <c r="C4951" t="str">
        <f>_xlfn.XLOOKUP(B4951,
[1]sales_teams!$A$2:$A$100,
[1]sales_teams!$B$2:$B$100)</f>
        <v>Dustin Brinkmann</v>
      </c>
      <c r="D4951" t="str">
        <f>_xlfn.XLOOKUP($B4951,sales_teams!$A$2:$A$36,sales_teams!C$2:C$36)</f>
        <v>Central</v>
      </c>
      <c r="E4951" t="s">
        <v>10</v>
      </c>
      <c r="F4951" t="s">
        <v>113</v>
      </c>
      <c r="G4951" t="s">
        <v>40</v>
      </c>
      <c r="H4951" s="1">
        <v>42935</v>
      </c>
    </row>
    <row r="4952" spans="1:10" x14ac:dyDescent="0.3">
      <c r="A4952" t="s">
        <v>5083</v>
      </c>
      <c r="B4952" t="s">
        <v>133</v>
      </c>
      <c r="C4952" t="str">
        <f>_xlfn.XLOOKUP(B4952,
[1]sales_teams!$A$2:$A$100,
[1]sales_teams!$B$2:$B$100)</f>
        <v>Dustin Brinkmann</v>
      </c>
      <c r="D4952" t="str">
        <f>_xlfn.XLOOKUP($B4952,sales_teams!$A$2:$A$36,sales_teams!C$2:C$36)</f>
        <v>Central</v>
      </c>
      <c r="E4952" t="s">
        <v>18</v>
      </c>
      <c r="G4952" t="s">
        <v>40</v>
      </c>
      <c r="H4952" s="1">
        <v>42935</v>
      </c>
    </row>
    <row r="4953" spans="1:10" x14ac:dyDescent="0.3">
      <c r="A4953" t="s">
        <v>5084</v>
      </c>
      <c r="B4953" t="s">
        <v>133</v>
      </c>
      <c r="C4953" t="str">
        <f>_xlfn.XLOOKUP(B4953,
[1]sales_teams!$A$2:$A$100,
[1]sales_teams!$B$2:$B$100)</f>
        <v>Dustin Brinkmann</v>
      </c>
      <c r="D4953" t="str">
        <f>_xlfn.XLOOKUP($B4953,sales_teams!$A$2:$A$36,sales_teams!C$2:C$36)</f>
        <v>Central</v>
      </c>
      <c r="E4953" t="s">
        <v>48</v>
      </c>
      <c r="F4953" t="s">
        <v>16</v>
      </c>
      <c r="G4953" t="s">
        <v>46</v>
      </c>
      <c r="H4953" s="1">
        <v>42935</v>
      </c>
      <c r="I4953" s="1">
        <v>42946</v>
      </c>
      <c r="J4953">
        <v>0</v>
      </c>
    </row>
    <row r="4954" spans="1:10" x14ac:dyDescent="0.3">
      <c r="A4954" t="s">
        <v>5085</v>
      </c>
      <c r="B4954" t="s">
        <v>133</v>
      </c>
      <c r="C4954" t="str">
        <f>_xlfn.XLOOKUP(B4954,
[1]sales_teams!$A$2:$A$100,
[1]sales_teams!$B$2:$B$100)</f>
        <v>Dustin Brinkmann</v>
      </c>
      <c r="D4954" t="str">
        <f>_xlfn.XLOOKUP($B4954,sales_teams!$A$2:$A$36,sales_teams!C$2:C$36)</f>
        <v>Central</v>
      </c>
      <c r="E4954" t="s">
        <v>39</v>
      </c>
      <c r="F4954" t="s">
        <v>11</v>
      </c>
      <c r="G4954" t="s">
        <v>46</v>
      </c>
      <c r="H4954" s="1">
        <v>42935</v>
      </c>
      <c r="I4954" s="1">
        <v>42949</v>
      </c>
      <c r="J4954">
        <v>0</v>
      </c>
    </row>
    <row r="4955" spans="1:10" x14ac:dyDescent="0.3">
      <c r="A4955" t="s">
        <v>5086</v>
      </c>
      <c r="B4955" t="s">
        <v>133</v>
      </c>
      <c r="C4955" t="str">
        <f>_xlfn.XLOOKUP(B4955,
[1]sales_teams!$A$2:$A$100,
[1]sales_teams!$B$2:$B$100)</f>
        <v>Dustin Brinkmann</v>
      </c>
      <c r="D4955" t="str">
        <f>_xlfn.XLOOKUP($B4955,sales_teams!$A$2:$A$36,sales_teams!C$2:C$36)</f>
        <v>Central</v>
      </c>
      <c r="E4955" t="s">
        <v>20</v>
      </c>
      <c r="F4955" t="s">
        <v>45</v>
      </c>
      <c r="G4955" t="s">
        <v>12</v>
      </c>
      <c r="H4955" s="1">
        <v>42935</v>
      </c>
      <c r="I4955" s="1">
        <v>42945</v>
      </c>
      <c r="J4955">
        <v>537</v>
      </c>
    </row>
    <row r="4956" spans="1:10" x14ac:dyDescent="0.3">
      <c r="A4956" t="s">
        <v>5087</v>
      </c>
      <c r="B4956" t="s">
        <v>133</v>
      </c>
      <c r="C4956" t="str">
        <f>_xlfn.XLOOKUP(B4956,
[1]sales_teams!$A$2:$A$100,
[1]sales_teams!$B$2:$B$100)</f>
        <v>Dustin Brinkmann</v>
      </c>
      <c r="D4956" t="str">
        <f>_xlfn.XLOOKUP($B4956,sales_teams!$A$2:$A$36,sales_teams!C$2:C$36)</f>
        <v>Central</v>
      </c>
      <c r="E4956" t="s">
        <v>10</v>
      </c>
      <c r="F4956" t="s">
        <v>197</v>
      </c>
      <c r="G4956" t="s">
        <v>12</v>
      </c>
      <c r="H4956" s="1">
        <v>42935</v>
      </c>
      <c r="I4956" s="1">
        <v>42946</v>
      </c>
      <c r="J4956">
        <v>1089</v>
      </c>
    </row>
    <row r="4957" spans="1:10" x14ac:dyDescent="0.3">
      <c r="A4957" t="s">
        <v>5088</v>
      </c>
      <c r="B4957" t="s">
        <v>133</v>
      </c>
      <c r="C4957" t="str">
        <f>_xlfn.XLOOKUP(B4957,
[1]sales_teams!$A$2:$A$100,
[1]sales_teams!$B$2:$B$100)</f>
        <v>Dustin Brinkmann</v>
      </c>
      <c r="D4957" t="str">
        <f>_xlfn.XLOOKUP($B4957,sales_teams!$A$2:$A$36,sales_teams!C$2:C$36)</f>
        <v>Central</v>
      </c>
      <c r="E4957" t="s">
        <v>39</v>
      </c>
      <c r="F4957" t="s">
        <v>21</v>
      </c>
      <c r="G4957" t="s">
        <v>12</v>
      </c>
      <c r="H4957" s="1">
        <v>42935</v>
      </c>
      <c r="I4957" s="1">
        <v>42943</v>
      </c>
      <c r="J4957">
        <v>3352</v>
      </c>
    </row>
    <row r="4958" spans="1:10" x14ac:dyDescent="0.3">
      <c r="A4958" t="s">
        <v>5089</v>
      </c>
      <c r="B4958" t="s">
        <v>32</v>
      </c>
      <c r="C4958" t="str">
        <f>_xlfn.XLOOKUP(B4958,
[1]sales_teams!$A$2:$A$100,
[1]sales_teams!$B$2:$B$100)</f>
        <v>Celia Rouche</v>
      </c>
      <c r="D4958" t="str">
        <f>_xlfn.XLOOKUP($B4958,sales_teams!$A$2:$A$36,sales_teams!C$2:C$36)</f>
        <v>West</v>
      </c>
      <c r="E4958" t="s">
        <v>15</v>
      </c>
      <c r="F4958" t="s">
        <v>68</v>
      </c>
      <c r="G4958" t="s">
        <v>46</v>
      </c>
      <c r="H4958" s="1">
        <v>42935</v>
      </c>
      <c r="I4958" s="1">
        <v>43040</v>
      </c>
      <c r="J4958">
        <v>0</v>
      </c>
    </row>
    <row r="4959" spans="1:10" x14ac:dyDescent="0.3">
      <c r="A4959" t="s">
        <v>5090</v>
      </c>
      <c r="B4959" t="s">
        <v>32</v>
      </c>
      <c r="C4959" t="str">
        <f>_xlfn.XLOOKUP(B4959,
[1]sales_teams!$A$2:$A$100,
[1]sales_teams!$B$2:$B$100)</f>
        <v>Celia Rouche</v>
      </c>
      <c r="D4959" t="str">
        <f>_xlfn.XLOOKUP($B4959,sales_teams!$A$2:$A$36,sales_teams!C$2:C$36)</f>
        <v>West</v>
      </c>
      <c r="E4959" t="s">
        <v>20</v>
      </c>
      <c r="F4959" t="s">
        <v>273</v>
      </c>
      <c r="G4959" t="s">
        <v>12</v>
      </c>
      <c r="H4959" s="1">
        <v>42935</v>
      </c>
      <c r="I4959" s="1">
        <v>42939</v>
      </c>
      <c r="J4959">
        <v>535</v>
      </c>
    </row>
    <row r="4960" spans="1:10" x14ac:dyDescent="0.3">
      <c r="A4960" t="s">
        <v>5091</v>
      </c>
      <c r="B4960" t="s">
        <v>116</v>
      </c>
      <c r="C4960" t="str">
        <f>_xlfn.XLOOKUP(B4960,
[1]sales_teams!$A$2:$A$100,
[1]sales_teams!$B$2:$B$100)</f>
        <v>Melvin Marxen</v>
      </c>
      <c r="D4960" t="str">
        <f>_xlfn.XLOOKUP($B4960,sales_teams!$A$2:$A$36,sales_teams!C$2:C$36)</f>
        <v>Central</v>
      </c>
      <c r="E4960" t="s">
        <v>48</v>
      </c>
      <c r="F4960" t="s">
        <v>177</v>
      </c>
      <c r="G4960" t="s">
        <v>40</v>
      </c>
      <c r="H4960" s="1">
        <v>42935</v>
      </c>
    </row>
    <row r="4961" spans="1:10" x14ac:dyDescent="0.3">
      <c r="A4961" t="s">
        <v>5092</v>
      </c>
      <c r="B4961" t="s">
        <v>116</v>
      </c>
      <c r="C4961" t="str">
        <f>_xlfn.XLOOKUP(B4961,
[1]sales_teams!$A$2:$A$100,
[1]sales_teams!$B$2:$B$100)</f>
        <v>Melvin Marxen</v>
      </c>
      <c r="D4961" t="str">
        <f>_xlfn.XLOOKUP($B4961,sales_teams!$A$2:$A$36,sales_teams!C$2:C$36)</f>
        <v>Central</v>
      </c>
      <c r="E4961" t="s">
        <v>39</v>
      </c>
      <c r="G4961" t="s">
        <v>40</v>
      </c>
      <c r="H4961" s="1">
        <v>42935</v>
      </c>
    </row>
    <row r="4962" spans="1:10" x14ac:dyDescent="0.3">
      <c r="A4962" t="s">
        <v>5093</v>
      </c>
      <c r="B4962" t="s">
        <v>116</v>
      </c>
      <c r="C4962" t="str">
        <f>_xlfn.XLOOKUP(B4962,
[1]sales_teams!$A$2:$A$100,
[1]sales_teams!$B$2:$B$100)</f>
        <v>Melvin Marxen</v>
      </c>
      <c r="D4962" t="str">
        <f>_xlfn.XLOOKUP($B4962,sales_teams!$A$2:$A$36,sales_teams!C$2:C$36)</f>
        <v>Central</v>
      </c>
      <c r="E4962" t="s">
        <v>20</v>
      </c>
      <c r="F4962" t="s">
        <v>151</v>
      </c>
      <c r="G4962" t="s">
        <v>12</v>
      </c>
      <c r="H4962" s="1">
        <v>42935</v>
      </c>
      <c r="I4962" s="1">
        <v>43003</v>
      </c>
      <c r="J4962">
        <v>571</v>
      </c>
    </row>
    <row r="4963" spans="1:10" x14ac:dyDescent="0.3">
      <c r="A4963" t="s">
        <v>5094</v>
      </c>
      <c r="B4963" t="s">
        <v>51</v>
      </c>
      <c r="C4963" t="str">
        <f>_xlfn.XLOOKUP(B4963,
[1]sales_teams!$A$2:$A$100,
[1]sales_teams!$B$2:$B$100)</f>
        <v>Summer Sewald</v>
      </c>
      <c r="D4963" t="str">
        <f>_xlfn.XLOOKUP($B4963,sales_teams!$A$2:$A$36,sales_teams!C$2:C$36)</f>
        <v>West</v>
      </c>
      <c r="E4963" t="s">
        <v>39</v>
      </c>
      <c r="F4963" t="s">
        <v>33</v>
      </c>
      <c r="G4963" t="s">
        <v>12</v>
      </c>
      <c r="H4963" s="1">
        <v>42935</v>
      </c>
      <c r="I4963" s="1">
        <v>43007</v>
      </c>
      <c r="J4963">
        <v>3535</v>
      </c>
    </row>
    <row r="4964" spans="1:10" x14ac:dyDescent="0.3">
      <c r="A4964" t="s">
        <v>5095</v>
      </c>
      <c r="B4964" t="s">
        <v>9</v>
      </c>
      <c r="C4964" t="str">
        <f>_xlfn.XLOOKUP(B4964,
[1]sales_teams!$A$2:$A$100,
[1]sales_teams!$B$2:$B$100)</f>
        <v>Dustin Brinkmann</v>
      </c>
      <c r="D4964" t="str">
        <f>_xlfn.XLOOKUP($B4964,sales_teams!$A$2:$A$36,sales_teams!C$2:C$36)</f>
        <v>Central</v>
      </c>
      <c r="E4964" t="s">
        <v>20</v>
      </c>
      <c r="G4964" t="s">
        <v>40</v>
      </c>
      <c r="H4964" s="1">
        <v>42935</v>
      </c>
    </row>
    <row r="4965" spans="1:10" x14ac:dyDescent="0.3">
      <c r="A4965" t="s">
        <v>5096</v>
      </c>
      <c r="B4965" t="s">
        <v>9</v>
      </c>
      <c r="C4965" t="str">
        <f>_xlfn.XLOOKUP(B4965,
[1]sales_teams!$A$2:$A$100,
[1]sales_teams!$B$2:$B$100)</f>
        <v>Dustin Brinkmann</v>
      </c>
      <c r="D4965" t="str">
        <f>_xlfn.XLOOKUP($B4965,sales_teams!$A$2:$A$36,sales_teams!C$2:C$36)</f>
        <v>Central</v>
      </c>
      <c r="E4965" t="s">
        <v>39</v>
      </c>
      <c r="F4965" t="s">
        <v>42</v>
      </c>
      <c r="G4965" t="s">
        <v>12</v>
      </c>
      <c r="H4965" s="1">
        <v>42935</v>
      </c>
      <c r="I4965" s="1">
        <v>42943</v>
      </c>
      <c r="J4965">
        <v>3985</v>
      </c>
    </row>
    <row r="4966" spans="1:10" x14ac:dyDescent="0.3">
      <c r="A4966" t="s">
        <v>5097</v>
      </c>
      <c r="B4966" t="s">
        <v>35</v>
      </c>
      <c r="C4966" t="str">
        <f>_xlfn.XLOOKUP(B4966,
[1]sales_teams!$A$2:$A$100,
[1]sales_teams!$B$2:$B$100)</f>
        <v>Melvin Marxen</v>
      </c>
      <c r="D4966" t="str">
        <f>_xlfn.XLOOKUP($B4966,sales_teams!$A$2:$A$36,sales_teams!C$2:C$36)</f>
        <v>Central</v>
      </c>
      <c r="E4966" t="s">
        <v>20</v>
      </c>
      <c r="F4966" t="s">
        <v>24</v>
      </c>
      <c r="G4966" t="s">
        <v>40</v>
      </c>
      <c r="H4966" s="1">
        <v>42935</v>
      </c>
    </row>
    <row r="4967" spans="1:10" x14ac:dyDescent="0.3">
      <c r="A4967" t="s">
        <v>5098</v>
      </c>
      <c r="B4967" t="s">
        <v>88</v>
      </c>
      <c r="C4967" t="str">
        <f>_xlfn.XLOOKUP(B4967,
[1]sales_teams!$A$2:$A$100,
[1]sales_teams!$B$2:$B$100)</f>
        <v>Cara Losch</v>
      </c>
      <c r="D4967" t="str">
        <f>_xlfn.XLOOKUP($B4967,sales_teams!$A$2:$A$36,sales_teams!C$2:C$36)</f>
        <v>East</v>
      </c>
      <c r="E4967" t="s">
        <v>39</v>
      </c>
      <c r="F4967" t="s">
        <v>222</v>
      </c>
      <c r="G4967" t="s">
        <v>12</v>
      </c>
      <c r="H4967" s="1">
        <v>42935</v>
      </c>
      <c r="I4967" s="1">
        <v>42937</v>
      </c>
      <c r="J4967">
        <v>3568</v>
      </c>
    </row>
    <row r="4968" spans="1:10" x14ac:dyDescent="0.3">
      <c r="A4968" t="s">
        <v>5099</v>
      </c>
      <c r="B4968" t="s">
        <v>61</v>
      </c>
      <c r="C4968" t="str">
        <f>_xlfn.XLOOKUP(B4968,
[1]sales_teams!$A$2:$A$100,
[1]sales_teams!$B$2:$B$100)</f>
        <v>Dustin Brinkmann</v>
      </c>
      <c r="D4968" t="str">
        <f>_xlfn.XLOOKUP($B4968,sales_teams!$A$2:$A$36,sales_teams!C$2:C$36)</f>
        <v>Central</v>
      </c>
      <c r="E4968" t="s">
        <v>20</v>
      </c>
      <c r="G4968" t="s">
        <v>40</v>
      </c>
      <c r="H4968" s="1">
        <v>42935</v>
      </c>
    </row>
    <row r="4969" spans="1:10" x14ac:dyDescent="0.3">
      <c r="A4969" t="s">
        <v>5100</v>
      </c>
      <c r="B4969" t="s">
        <v>61</v>
      </c>
      <c r="C4969" t="str">
        <f>_xlfn.XLOOKUP(B4969,
[1]sales_teams!$A$2:$A$100,
[1]sales_teams!$B$2:$B$100)</f>
        <v>Dustin Brinkmann</v>
      </c>
      <c r="D4969" t="str">
        <f>_xlfn.XLOOKUP($B4969,sales_teams!$A$2:$A$36,sales_teams!C$2:C$36)</f>
        <v>Central</v>
      </c>
      <c r="E4969" t="s">
        <v>18</v>
      </c>
      <c r="F4969" t="s">
        <v>42</v>
      </c>
      <c r="G4969" t="s">
        <v>46</v>
      </c>
      <c r="H4969" s="1">
        <v>42935</v>
      </c>
      <c r="I4969" s="1">
        <v>42945</v>
      </c>
      <c r="J4969">
        <v>0</v>
      </c>
    </row>
    <row r="4970" spans="1:10" x14ac:dyDescent="0.3">
      <c r="A4970" t="s">
        <v>5101</v>
      </c>
      <c r="B4970" t="s">
        <v>61</v>
      </c>
      <c r="C4970" t="str">
        <f>_xlfn.XLOOKUP(B4970,
[1]sales_teams!$A$2:$A$100,
[1]sales_teams!$B$2:$B$100)</f>
        <v>Dustin Brinkmann</v>
      </c>
      <c r="D4970" t="str">
        <f>_xlfn.XLOOKUP($B4970,sales_teams!$A$2:$A$36,sales_teams!C$2:C$36)</f>
        <v>Central</v>
      </c>
      <c r="E4970" t="s">
        <v>18</v>
      </c>
      <c r="F4970" t="s">
        <v>135</v>
      </c>
      <c r="G4970" t="s">
        <v>12</v>
      </c>
      <c r="H4970" s="1">
        <v>42935</v>
      </c>
      <c r="I4970" s="1">
        <v>42943</v>
      </c>
      <c r="J4970">
        <v>65</v>
      </c>
    </row>
    <row r="4971" spans="1:10" x14ac:dyDescent="0.3">
      <c r="A4971" t="s">
        <v>5102</v>
      </c>
      <c r="B4971" t="s">
        <v>61</v>
      </c>
      <c r="C4971" t="str">
        <f>_xlfn.XLOOKUP(B4971,
[1]sales_teams!$A$2:$A$100,
[1]sales_teams!$B$2:$B$100)</f>
        <v>Dustin Brinkmann</v>
      </c>
      <c r="D4971" t="str">
        <f>_xlfn.XLOOKUP($B4971,sales_teams!$A$2:$A$36,sales_teams!C$2:C$36)</f>
        <v>Central</v>
      </c>
      <c r="E4971" t="s">
        <v>18</v>
      </c>
      <c r="F4971" t="s">
        <v>135</v>
      </c>
      <c r="G4971" t="s">
        <v>12</v>
      </c>
      <c r="H4971" s="1">
        <v>42935</v>
      </c>
      <c r="I4971" s="1">
        <v>42941</v>
      </c>
      <c r="J4971">
        <v>47</v>
      </c>
    </row>
    <row r="4972" spans="1:10" x14ac:dyDescent="0.3">
      <c r="A4972" t="s">
        <v>5103</v>
      </c>
      <c r="B4972" t="s">
        <v>29</v>
      </c>
      <c r="C4972" t="str">
        <f>_xlfn.XLOOKUP(B4972,
[1]sales_teams!$A$2:$A$100,
[1]sales_teams!$B$2:$B$100)</f>
        <v>Celia Rouche</v>
      </c>
      <c r="D4972" t="str">
        <f>_xlfn.XLOOKUP($B4972,sales_teams!$A$2:$A$36,sales_teams!C$2:C$36)</f>
        <v>West</v>
      </c>
      <c r="E4972" t="s">
        <v>15</v>
      </c>
      <c r="F4972" t="s">
        <v>100</v>
      </c>
      <c r="G4972" t="s">
        <v>40</v>
      </c>
      <c r="H4972" s="1">
        <v>42935</v>
      </c>
    </row>
    <row r="4973" spans="1:10" x14ac:dyDescent="0.3">
      <c r="A4973" t="s">
        <v>5104</v>
      </c>
      <c r="B4973" t="s">
        <v>73</v>
      </c>
      <c r="C4973" t="str">
        <f>_xlfn.XLOOKUP(B4973,
[1]sales_teams!$A$2:$A$100,
[1]sales_teams!$B$2:$B$100)</f>
        <v>Cara Losch</v>
      </c>
      <c r="D4973" t="str">
        <f>_xlfn.XLOOKUP($B4973,sales_teams!$A$2:$A$36,sales_teams!C$2:C$36)</f>
        <v>East</v>
      </c>
      <c r="E4973" t="s">
        <v>39</v>
      </c>
      <c r="F4973" t="s">
        <v>184</v>
      </c>
      <c r="G4973" t="s">
        <v>40</v>
      </c>
      <c r="H4973" s="1">
        <v>42935</v>
      </c>
    </row>
    <row r="4974" spans="1:10" x14ac:dyDescent="0.3">
      <c r="A4974" t="s">
        <v>5105</v>
      </c>
      <c r="B4974" t="s">
        <v>26</v>
      </c>
      <c r="C4974" t="str">
        <f>_xlfn.XLOOKUP(B4974,
[1]sales_teams!$A$2:$A$100,
[1]sales_teams!$B$2:$B$100)</f>
        <v>Dustin Brinkmann</v>
      </c>
      <c r="D4974" t="str">
        <f>_xlfn.XLOOKUP($B4974,sales_teams!$A$2:$A$36,sales_teams!C$2:C$36)</f>
        <v>Central</v>
      </c>
      <c r="E4974" t="s">
        <v>10</v>
      </c>
      <c r="G4974" t="s">
        <v>40</v>
      </c>
      <c r="H4974" s="1">
        <v>42936</v>
      </c>
    </row>
    <row r="4975" spans="1:10" x14ac:dyDescent="0.3">
      <c r="A4975" t="s">
        <v>5106</v>
      </c>
      <c r="B4975" t="s">
        <v>26</v>
      </c>
      <c r="C4975" t="str">
        <f>_xlfn.XLOOKUP(B4975,
[1]sales_teams!$A$2:$A$100,
[1]sales_teams!$B$2:$B$100)</f>
        <v>Dustin Brinkmann</v>
      </c>
      <c r="D4975" t="str">
        <f>_xlfn.XLOOKUP($B4975,sales_teams!$A$2:$A$36,sales_teams!C$2:C$36)</f>
        <v>Central</v>
      </c>
      <c r="E4975" t="s">
        <v>48</v>
      </c>
      <c r="F4975" t="s">
        <v>398</v>
      </c>
      <c r="G4975" t="s">
        <v>40</v>
      </c>
      <c r="H4975" s="1">
        <v>42936</v>
      </c>
    </row>
    <row r="4976" spans="1:10" x14ac:dyDescent="0.3">
      <c r="A4976" t="s">
        <v>5107</v>
      </c>
      <c r="B4976" t="s">
        <v>26</v>
      </c>
      <c r="C4976" t="str">
        <f>_xlfn.XLOOKUP(B4976,
[1]sales_teams!$A$2:$A$100,
[1]sales_teams!$B$2:$B$100)</f>
        <v>Dustin Brinkmann</v>
      </c>
      <c r="D4976" t="str">
        <f>_xlfn.XLOOKUP($B4976,sales_teams!$A$2:$A$36,sales_teams!C$2:C$36)</f>
        <v>Central</v>
      </c>
      <c r="E4976" t="s">
        <v>48</v>
      </c>
      <c r="F4976" t="s">
        <v>86</v>
      </c>
      <c r="G4976" t="s">
        <v>40</v>
      </c>
      <c r="H4976" s="1">
        <v>42936</v>
      </c>
    </row>
    <row r="4977" spans="1:10" x14ac:dyDescent="0.3">
      <c r="A4977" t="s">
        <v>5108</v>
      </c>
      <c r="B4977" t="s">
        <v>26</v>
      </c>
      <c r="C4977" t="str">
        <f>_xlfn.XLOOKUP(B4977,
[1]sales_teams!$A$2:$A$100,
[1]sales_teams!$B$2:$B$100)</f>
        <v>Dustin Brinkmann</v>
      </c>
      <c r="D4977" t="str">
        <f>_xlfn.XLOOKUP($B4977,sales_teams!$A$2:$A$36,sales_teams!C$2:C$36)</f>
        <v>Central</v>
      </c>
      <c r="E4977" t="s">
        <v>18</v>
      </c>
      <c r="F4977" t="s">
        <v>143</v>
      </c>
      <c r="G4977" t="s">
        <v>40</v>
      </c>
      <c r="H4977" s="1">
        <v>42936</v>
      </c>
    </row>
    <row r="4978" spans="1:10" x14ac:dyDescent="0.3">
      <c r="A4978" t="s">
        <v>5109</v>
      </c>
      <c r="B4978" t="s">
        <v>26</v>
      </c>
      <c r="C4978" t="str">
        <f>_xlfn.XLOOKUP(B4978,
[1]sales_teams!$A$2:$A$100,
[1]sales_teams!$B$2:$B$100)</f>
        <v>Dustin Brinkmann</v>
      </c>
      <c r="D4978" t="str">
        <f>_xlfn.XLOOKUP($B4978,sales_teams!$A$2:$A$36,sales_teams!C$2:C$36)</f>
        <v>Central</v>
      </c>
      <c r="E4978" t="s">
        <v>18</v>
      </c>
      <c r="G4978" t="s">
        <v>40</v>
      </c>
      <c r="H4978" s="1">
        <v>42936</v>
      </c>
    </row>
    <row r="4979" spans="1:10" x14ac:dyDescent="0.3">
      <c r="A4979" t="s">
        <v>5110</v>
      </c>
      <c r="B4979" t="s">
        <v>26</v>
      </c>
      <c r="C4979" t="str">
        <f>_xlfn.XLOOKUP(B4979,
[1]sales_teams!$A$2:$A$100,
[1]sales_teams!$B$2:$B$100)</f>
        <v>Dustin Brinkmann</v>
      </c>
      <c r="D4979" t="str">
        <f>_xlfn.XLOOKUP($B4979,sales_teams!$A$2:$A$36,sales_teams!C$2:C$36)</f>
        <v>Central</v>
      </c>
      <c r="E4979" t="s">
        <v>10</v>
      </c>
      <c r="F4979" t="s">
        <v>27</v>
      </c>
      <c r="G4979" t="s">
        <v>46</v>
      </c>
      <c r="H4979" s="1">
        <v>42936</v>
      </c>
      <c r="I4979" s="1">
        <v>43050</v>
      </c>
      <c r="J4979">
        <v>0</v>
      </c>
    </row>
    <row r="4980" spans="1:10" x14ac:dyDescent="0.3">
      <c r="A4980" t="s">
        <v>5111</v>
      </c>
      <c r="B4980" t="s">
        <v>26</v>
      </c>
      <c r="C4980" t="str">
        <f>_xlfn.XLOOKUP(B4980,
[1]sales_teams!$A$2:$A$100,
[1]sales_teams!$B$2:$B$100)</f>
        <v>Dustin Brinkmann</v>
      </c>
      <c r="D4980" t="str">
        <f>_xlfn.XLOOKUP($B4980,sales_teams!$A$2:$A$36,sales_teams!C$2:C$36)</f>
        <v>Central</v>
      </c>
      <c r="E4980" t="s">
        <v>10</v>
      </c>
      <c r="F4980" t="s">
        <v>27</v>
      </c>
      <c r="G4980" t="s">
        <v>12</v>
      </c>
      <c r="H4980" s="1">
        <v>42936</v>
      </c>
      <c r="I4980" s="1">
        <v>42937</v>
      </c>
      <c r="J4980">
        <v>1160</v>
      </c>
    </row>
    <row r="4981" spans="1:10" x14ac:dyDescent="0.3">
      <c r="A4981" t="s">
        <v>5112</v>
      </c>
      <c r="B4981" t="s">
        <v>26</v>
      </c>
      <c r="C4981" t="str">
        <f>_xlfn.XLOOKUP(B4981,
[1]sales_teams!$A$2:$A$100,
[1]sales_teams!$B$2:$B$100)</f>
        <v>Dustin Brinkmann</v>
      </c>
      <c r="D4981" t="str">
        <f>_xlfn.XLOOKUP($B4981,sales_teams!$A$2:$A$36,sales_teams!C$2:C$36)</f>
        <v>Central</v>
      </c>
      <c r="E4981" t="s">
        <v>48</v>
      </c>
      <c r="F4981" t="s">
        <v>111</v>
      </c>
      <c r="G4981" t="s">
        <v>12</v>
      </c>
      <c r="H4981" s="1">
        <v>42936</v>
      </c>
      <c r="I4981" s="1">
        <v>42970</v>
      </c>
      <c r="J4981">
        <v>5847</v>
      </c>
    </row>
    <row r="4982" spans="1:10" x14ac:dyDescent="0.3">
      <c r="A4982" t="s">
        <v>5113</v>
      </c>
      <c r="B4982" t="s">
        <v>139</v>
      </c>
      <c r="C4982" t="str">
        <f>_xlfn.XLOOKUP(B4982,
[1]sales_teams!$A$2:$A$100,
[1]sales_teams!$B$2:$B$100)</f>
        <v>Rocco Neubert</v>
      </c>
      <c r="D4982" t="str">
        <f>_xlfn.XLOOKUP($B4982,sales_teams!$A$2:$A$36,sales_teams!C$2:C$36)</f>
        <v>East</v>
      </c>
      <c r="E4982" t="s">
        <v>39</v>
      </c>
      <c r="F4982" t="s">
        <v>155</v>
      </c>
      <c r="G4982" t="s">
        <v>46</v>
      </c>
      <c r="H4982" s="1">
        <v>42936</v>
      </c>
      <c r="I4982" s="1">
        <v>42946</v>
      </c>
      <c r="J4982">
        <v>0</v>
      </c>
    </row>
    <row r="4983" spans="1:10" x14ac:dyDescent="0.3">
      <c r="A4983" t="s">
        <v>5114</v>
      </c>
      <c r="B4983" t="s">
        <v>139</v>
      </c>
      <c r="C4983" t="str">
        <f>_xlfn.XLOOKUP(B4983,
[1]sales_teams!$A$2:$A$100,
[1]sales_teams!$B$2:$B$100)</f>
        <v>Rocco Neubert</v>
      </c>
      <c r="D4983" t="str">
        <f>_xlfn.XLOOKUP($B4983,sales_teams!$A$2:$A$36,sales_teams!C$2:C$36)</f>
        <v>East</v>
      </c>
      <c r="E4983" t="s">
        <v>10</v>
      </c>
      <c r="F4983" t="s">
        <v>278</v>
      </c>
      <c r="G4983" t="s">
        <v>12</v>
      </c>
      <c r="H4983" s="1">
        <v>42936</v>
      </c>
      <c r="I4983" s="1">
        <v>42998</v>
      </c>
      <c r="J4983">
        <v>1029</v>
      </c>
    </row>
    <row r="4984" spans="1:10" x14ac:dyDescent="0.3">
      <c r="A4984" t="s">
        <v>5115</v>
      </c>
      <c r="B4984" t="s">
        <v>164</v>
      </c>
      <c r="C4984" t="str">
        <f>_xlfn.XLOOKUP(B4984,
[1]sales_teams!$A$2:$A$100,
[1]sales_teams!$B$2:$B$100)</f>
        <v>Cara Losch</v>
      </c>
      <c r="D4984" t="str">
        <f>_xlfn.XLOOKUP($B4984,sales_teams!$A$2:$A$36,sales_teams!C$2:C$36)</f>
        <v>East</v>
      </c>
      <c r="E4984" t="s">
        <v>48</v>
      </c>
      <c r="F4984" t="s">
        <v>177</v>
      </c>
      <c r="G4984" t="s">
        <v>46</v>
      </c>
      <c r="H4984" s="1">
        <v>42936</v>
      </c>
      <c r="I4984" s="1">
        <v>42937</v>
      </c>
      <c r="J4984">
        <v>0</v>
      </c>
    </row>
    <row r="4985" spans="1:10" x14ac:dyDescent="0.3">
      <c r="A4985" t="s">
        <v>5116</v>
      </c>
      <c r="B4985" t="s">
        <v>164</v>
      </c>
      <c r="C4985" t="str">
        <f>_xlfn.XLOOKUP(B4985,
[1]sales_teams!$A$2:$A$100,
[1]sales_teams!$B$2:$B$100)</f>
        <v>Cara Losch</v>
      </c>
      <c r="D4985" t="str">
        <f>_xlfn.XLOOKUP($B4985,sales_teams!$A$2:$A$36,sales_teams!C$2:C$36)</f>
        <v>East</v>
      </c>
      <c r="E4985" t="s">
        <v>15</v>
      </c>
      <c r="F4985" t="s">
        <v>209</v>
      </c>
      <c r="G4985" t="s">
        <v>46</v>
      </c>
      <c r="H4985" s="1">
        <v>42936</v>
      </c>
      <c r="I4985" s="1">
        <v>42947</v>
      </c>
      <c r="J4985">
        <v>0</v>
      </c>
    </row>
    <row r="4986" spans="1:10" x14ac:dyDescent="0.3">
      <c r="A4986" t="s">
        <v>5117</v>
      </c>
      <c r="B4986" t="s">
        <v>64</v>
      </c>
      <c r="C4986" t="str">
        <f>_xlfn.XLOOKUP(B4986,
[1]sales_teams!$A$2:$A$100,
[1]sales_teams!$B$2:$B$100)</f>
        <v>Rocco Neubert</v>
      </c>
      <c r="D4986" t="str">
        <f>_xlfn.XLOOKUP($B4986,sales_teams!$A$2:$A$36,sales_teams!C$2:C$36)</f>
        <v>East</v>
      </c>
      <c r="E4986" t="s">
        <v>10</v>
      </c>
      <c r="G4986" t="s">
        <v>40</v>
      </c>
      <c r="H4986" s="1">
        <v>42936</v>
      </c>
    </row>
    <row r="4987" spans="1:10" x14ac:dyDescent="0.3">
      <c r="A4987" t="s">
        <v>5118</v>
      </c>
      <c r="B4987" t="s">
        <v>64</v>
      </c>
      <c r="C4987" t="str">
        <f>_xlfn.XLOOKUP(B4987,
[1]sales_teams!$A$2:$A$100,
[1]sales_teams!$B$2:$B$100)</f>
        <v>Rocco Neubert</v>
      </c>
      <c r="D4987" t="str">
        <f>_xlfn.XLOOKUP($B4987,sales_teams!$A$2:$A$36,sales_teams!C$2:C$36)</f>
        <v>East</v>
      </c>
      <c r="E4987" t="s">
        <v>39</v>
      </c>
      <c r="F4987" t="s">
        <v>199</v>
      </c>
      <c r="G4987" t="s">
        <v>46</v>
      </c>
      <c r="H4987" s="1">
        <v>42936</v>
      </c>
      <c r="I4987" s="1">
        <v>43048</v>
      </c>
      <c r="J4987">
        <v>0</v>
      </c>
    </row>
    <row r="4988" spans="1:10" x14ac:dyDescent="0.3">
      <c r="A4988" t="s">
        <v>5119</v>
      </c>
      <c r="B4988" t="s">
        <v>14</v>
      </c>
      <c r="C4988" t="str">
        <f>_xlfn.XLOOKUP(B4988,
[1]sales_teams!$A$2:$A$100,
[1]sales_teams!$B$2:$B$100)</f>
        <v>Melvin Marxen</v>
      </c>
      <c r="D4988" t="str">
        <f>_xlfn.XLOOKUP($B4988,sales_teams!$A$2:$A$36,sales_teams!C$2:C$36)</f>
        <v>Central</v>
      </c>
      <c r="E4988" t="s">
        <v>10</v>
      </c>
      <c r="G4988" t="s">
        <v>40</v>
      </c>
      <c r="H4988" s="1">
        <v>42936</v>
      </c>
    </row>
    <row r="4989" spans="1:10" x14ac:dyDescent="0.3">
      <c r="A4989" t="s">
        <v>5120</v>
      </c>
      <c r="B4989" t="s">
        <v>14</v>
      </c>
      <c r="C4989" t="str">
        <f>_xlfn.XLOOKUP(B4989,
[1]sales_teams!$A$2:$A$100,
[1]sales_teams!$B$2:$B$100)</f>
        <v>Melvin Marxen</v>
      </c>
      <c r="D4989" t="str">
        <f>_xlfn.XLOOKUP($B4989,sales_teams!$A$2:$A$36,sales_teams!C$2:C$36)</f>
        <v>Central</v>
      </c>
      <c r="E4989" t="s">
        <v>10</v>
      </c>
      <c r="G4989" t="s">
        <v>40</v>
      </c>
      <c r="H4989" s="1">
        <v>42936</v>
      </c>
    </row>
    <row r="4990" spans="1:10" x14ac:dyDescent="0.3">
      <c r="A4990" t="s">
        <v>5121</v>
      </c>
      <c r="B4990" t="s">
        <v>14</v>
      </c>
      <c r="C4990" t="str">
        <f>_xlfn.XLOOKUP(B4990,
[1]sales_teams!$A$2:$A$100,
[1]sales_teams!$B$2:$B$100)</f>
        <v>Melvin Marxen</v>
      </c>
      <c r="D4990" t="str">
        <f>_xlfn.XLOOKUP($B4990,sales_teams!$A$2:$A$36,sales_teams!C$2:C$36)</f>
        <v>Central</v>
      </c>
      <c r="E4990" t="s">
        <v>15</v>
      </c>
      <c r="G4990" t="s">
        <v>40</v>
      </c>
      <c r="H4990" s="1">
        <v>42936</v>
      </c>
    </row>
    <row r="4991" spans="1:10" x14ac:dyDescent="0.3">
      <c r="A4991" t="s">
        <v>5122</v>
      </c>
      <c r="B4991" t="s">
        <v>14</v>
      </c>
      <c r="C4991" t="str">
        <f>_xlfn.XLOOKUP(B4991,
[1]sales_teams!$A$2:$A$100,
[1]sales_teams!$B$2:$B$100)</f>
        <v>Melvin Marxen</v>
      </c>
      <c r="D4991" t="str">
        <f>_xlfn.XLOOKUP($B4991,sales_teams!$A$2:$A$36,sales_teams!C$2:C$36)</f>
        <v>Central</v>
      </c>
      <c r="E4991" t="s">
        <v>15</v>
      </c>
      <c r="F4991" t="s">
        <v>135</v>
      </c>
      <c r="G4991" t="s">
        <v>46</v>
      </c>
      <c r="H4991" s="1">
        <v>42936</v>
      </c>
      <c r="I4991" s="1">
        <v>42944</v>
      </c>
      <c r="J4991">
        <v>0</v>
      </c>
    </row>
    <row r="4992" spans="1:10" x14ac:dyDescent="0.3">
      <c r="A4992" t="s">
        <v>5123</v>
      </c>
      <c r="B4992" t="s">
        <v>14</v>
      </c>
      <c r="C4992" t="str">
        <f>_xlfn.XLOOKUP(B4992,
[1]sales_teams!$A$2:$A$100,
[1]sales_teams!$B$2:$B$100)</f>
        <v>Melvin Marxen</v>
      </c>
      <c r="D4992" t="str">
        <f>_xlfn.XLOOKUP($B4992,sales_teams!$A$2:$A$36,sales_teams!C$2:C$36)</f>
        <v>Central</v>
      </c>
      <c r="E4992" t="s">
        <v>15</v>
      </c>
      <c r="F4992" t="s">
        <v>109</v>
      </c>
      <c r="G4992" t="s">
        <v>46</v>
      </c>
      <c r="H4992" s="1">
        <v>42936</v>
      </c>
      <c r="I4992" s="1">
        <v>42944</v>
      </c>
      <c r="J4992">
        <v>0</v>
      </c>
    </row>
    <row r="4993" spans="1:10" x14ac:dyDescent="0.3">
      <c r="A4993" t="s">
        <v>5124</v>
      </c>
      <c r="B4993" t="s">
        <v>14</v>
      </c>
      <c r="C4993" t="str">
        <f>_xlfn.XLOOKUP(B4993,
[1]sales_teams!$A$2:$A$100,
[1]sales_teams!$B$2:$B$100)</f>
        <v>Melvin Marxen</v>
      </c>
      <c r="D4993" t="str">
        <f>_xlfn.XLOOKUP($B4993,sales_teams!$A$2:$A$36,sales_teams!C$2:C$36)</f>
        <v>Central</v>
      </c>
      <c r="E4993" t="s">
        <v>15</v>
      </c>
      <c r="F4993" t="s">
        <v>151</v>
      </c>
      <c r="G4993" t="s">
        <v>46</v>
      </c>
      <c r="H4993" s="1">
        <v>42936</v>
      </c>
      <c r="I4993" s="1">
        <v>42951</v>
      </c>
      <c r="J4993">
        <v>0</v>
      </c>
    </row>
    <row r="4994" spans="1:10" x14ac:dyDescent="0.3">
      <c r="A4994" t="s">
        <v>5125</v>
      </c>
      <c r="B4994" t="s">
        <v>14</v>
      </c>
      <c r="C4994" t="str">
        <f>_xlfn.XLOOKUP(B4994,
[1]sales_teams!$A$2:$A$100,
[1]sales_teams!$B$2:$B$100)</f>
        <v>Melvin Marxen</v>
      </c>
      <c r="D4994" t="str">
        <f>_xlfn.XLOOKUP($B4994,sales_teams!$A$2:$A$36,sales_teams!C$2:C$36)</f>
        <v>Central</v>
      </c>
      <c r="E4994" t="s">
        <v>15</v>
      </c>
      <c r="F4994" t="s">
        <v>111</v>
      </c>
      <c r="G4994" t="s">
        <v>46</v>
      </c>
      <c r="H4994" s="1">
        <v>42936</v>
      </c>
      <c r="I4994" s="1">
        <v>42944</v>
      </c>
      <c r="J4994">
        <v>0</v>
      </c>
    </row>
    <row r="4995" spans="1:10" x14ac:dyDescent="0.3">
      <c r="A4995" t="s">
        <v>5126</v>
      </c>
      <c r="B4995" t="s">
        <v>14</v>
      </c>
      <c r="C4995" t="str">
        <f>_xlfn.XLOOKUP(B4995,
[1]sales_teams!$A$2:$A$100,
[1]sales_teams!$B$2:$B$100)</f>
        <v>Melvin Marxen</v>
      </c>
      <c r="D4995" t="str">
        <f>_xlfn.XLOOKUP($B4995,sales_teams!$A$2:$A$36,sales_teams!C$2:C$36)</f>
        <v>Central</v>
      </c>
      <c r="E4995" t="s">
        <v>39</v>
      </c>
      <c r="F4995" t="s">
        <v>42</v>
      </c>
      <c r="G4995" t="s">
        <v>46</v>
      </c>
      <c r="H4995" s="1">
        <v>42936</v>
      </c>
      <c r="I4995" s="1">
        <v>42939</v>
      </c>
      <c r="J4995">
        <v>0</v>
      </c>
    </row>
    <row r="4996" spans="1:10" x14ac:dyDescent="0.3">
      <c r="A4996" t="s">
        <v>5127</v>
      </c>
      <c r="B4996" t="s">
        <v>14</v>
      </c>
      <c r="C4996" t="str">
        <f>_xlfn.XLOOKUP(B4996,
[1]sales_teams!$A$2:$A$100,
[1]sales_teams!$B$2:$B$100)</f>
        <v>Melvin Marxen</v>
      </c>
      <c r="D4996" t="str">
        <f>_xlfn.XLOOKUP($B4996,sales_teams!$A$2:$A$36,sales_teams!C$2:C$36)</f>
        <v>Central</v>
      </c>
      <c r="E4996" t="s">
        <v>15</v>
      </c>
      <c r="F4996" t="s">
        <v>62</v>
      </c>
      <c r="G4996" t="s">
        <v>12</v>
      </c>
      <c r="H4996" s="1">
        <v>42936</v>
      </c>
      <c r="I4996" s="1">
        <v>42964</v>
      </c>
      <c r="J4996">
        <v>5058</v>
      </c>
    </row>
    <row r="4997" spans="1:10" x14ac:dyDescent="0.3">
      <c r="A4997" t="s">
        <v>5128</v>
      </c>
      <c r="B4997" t="s">
        <v>142</v>
      </c>
      <c r="C4997" t="str">
        <f>_xlfn.XLOOKUP(B4997,
[1]sales_teams!$A$2:$A$100,
[1]sales_teams!$B$2:$B$100)</f>
        <v>Rocco Neubert</v>
      </c>
      <c r="D4997" t="str">
        <f>_xlfn.XLOOKUP($B4997,sales_teams!$A$2:$A$36,sales_teams!C$2:C$36)</f>
        <v>East</v>
      </c>
      <c r="E4997" t="s">
        <v>10</v>
      </c>
      <c r="F4997" t="s">
        <v>237</v>
      </c>
      <c r="G4997" t="s">
        <v>46</v>
      </c>
      <c r="H4997" s="1">
        <v>42936</v>
      </c>
      <c r="I4997" s="1">
        <v>42999</v>
      </c>
      <c r="J4997">
        <v>0</v>
      </c>
    </row>
    <row r="4998" spans="1:10" x14ac:dyDescent="0.3">
      <c r="A4998" t="s">
        <v>5129</v>
      </c>
      <c r="B4998" t="s">
        <v>142</v>
      </c>
      <c r="C4998" t="str">
        <f>_xlfn.XLOOKUP(B4998,
[1]sales_teams!$A$2:$A$100,
[1]sales_teams!$B$2:$B$100)</f>
        <v>Rocco Neubert</v>
      </c>
      <c r="D4998" t="str">
        <f>_xlfn.XLOOKUP($B4998,sales_teams!$A$2:$A$36,sales_teams!C$2:C$36)</f>
        <v>East</v>
      </c>
      <c r="E4998" t="s">
        <v>15</v>
      </c>
      <c r="F4998" t="s">
        <v>143</v>
      </c>
      <c r="G4998" t="s">
        <v>46</v>
      </c>
      <c r="H4998" s="1">
        <v>42936</v>
      </c>
      <c r="I4998" s="1">
        <v>43005</v>
      </c>
      <c r="J4998">
        <v>0</v>
      </c>
    </row>
    <row r="4999" spans="1:10" x14ac:dyDescent="0.3">
      <c r="A4999" t="s">
        <v>5130</v>
      </c>
      <c r="B4999" t="s">
        <v>142</v>
      </c>
      <c r="C4999" t="str">
        <f>_xlfn.XLOOKUP(B4999,
[1]sales_teams!$A$2:$A$100,
[1]sales_teams!$B$2:$B$100)</f>
        <v>Rocco Neubert</v>
      </c>
      <c r="D4999" t="str">
        <f>_xlfn.XLOOKUP($B4999,sales_teams!$A$2:$A$36,sales_teams!C$2:C$36)</f>
        <v>East</v>
      </c>
      <c r="E4999" t="s">
        <v>15</v>
      </c>
      <c r="F4999" t="s">
        <v>300</v>
      </c>
      <c r="G4999" t="s">
        <v>46</v>
      </c>
      <c r="H4999" s="1">
        <v>42936</v>
      </c>
      <c r="I4999" s="1">
        <v>42944</v>
      </c>
      <c r="J4999">
        <v>0</v>
      </c>
    </row>
    <row r="5000" spans="1:10" x14ac:dyDescent="0.3">
      <c r="A5000" t="s">
        <v>5131</v>
      </c>
      <c r="B5000" t="s">
        <v>44</v>
      </c>
      <c r="C5000" t="str">
        <f>_xlfn.XLOOKUP(B5000,
[1]sales_teams!$A$2:$A$100,
[1]sales_teams!$B$2:$B$100)</f>
        <v>Melvin Marxen</v>
      </c>
      <c r="D5000" t="str">
        <f>_xlfn.XLOOKUP($B5000,sales_teams!$A$2:$A$36,sales_teams!C$2:C$36)</f>
        <v>Central</v>
      </c>
      <c r="E5000" t="s">
        <v>39</v>
      </c>
      <c r="F5000" t="s">
        <v>151</v>
      </c>
      <c r="G5000" t="s">
        <v>12</v>
      </c>
      <c r="H5000" s="1">
        <v>42936</v>
      </c>
      <c r="I5000" s="1">
        <v>43053</v>
      </c>
      <c r="J5000">
        <v>3552</v>
      </c>
    </row>
    <row r="5001" spans="1:10" x14ac:dyDescent="0.3">
      <c r="A5001" t="s">
        <v>5132</v>
      </c>
      <c r="B5001" t="s">
        <v>54</v>
      </c>
      <c r="C5001" t="str">
        <f>_xlfn.XLOOKUP(B5001,
[1]sales_teams!$A$2:$A$100,
[1]sales_teams!$B$2:$B$100)</f>
        <v>Celia Rouche</v>
      </c>
      <c r="D5001" t="str">
        <f>_xlfn.XLOOKUP($B5001,sales_teams!$A$2:$A$36,sales_teams!C$2:C$36)</f>
        <v>West</v>
      </c>
      <c r="E5001" t="s">
        <v>10</v>
      </c>
      <c r="F5001" t="s">
        <v>113</v>
      </c>
      <c r="G5001" t="s">
        <v>40</v>
      </c>
      <c r="H5001" s="1">
        <v>42936</v>
      </c>
    </row>
    <row r="5002" spans="1:10" x14ac:dyDescent="0.3">
      <c r="A5002" t="s">
        <v>5133</v>
      </c>
      <c r="B5002" t="s">
        <v>54</v>
      </c>
      <c r="C5002" t="str">
        <f>_xlfn.XLOOKUP(B5002,
[1]sales_teams!$A$2:$A$100,
[1]sales_teams!$B$2:$B$100)</f>
        <v>Celia Rouche</v>
      </c>
      <c r="D5002" t="str">
        <f>_xlfn.XLOOKUP($B5002,sales_teams!$A$2:$A$36,sales_teams!C$2:C$36)</f>
        <v>West</v>
      </c>
      <c r="E5002" t="s">
        <v>48</v>
      </c>
      <c r="F5002" t="s">
        <v>155</v>
      </c>
      <c r="G5002" t="s">
        <v>12</v>
      </c>
      <c r="H5002" s="1">
        <v>42936</v>
      </c>
      <c r="I5002" s="1">
        <v>43047</v>
      </c>
      <c r="J5002">
        <v>5526</v>
      </c>
    </row>
    <row r="5003" spans="1:10" x14ac:dyDescent="0.3">
      <c r="A5003" t="s">
        <v>5134</v>
      </c>
      <c r="B5003" t="s">
        <v>252</v>
      </c>
      <c r="C5003" t="str">
        <f>_xlfn.XLOOKUP(B5003,
[1]sales_teams!$A$2:$A$100,
[1]sales_teams!$B$2:$B$100)</f>
        <v>Melvin Marxen</v>
      </c>
      <c r="D5003" t="str">
        <f>_xlfn.XLOOKUP($B5003,sales_teams!$A$2:$A$36,sales_teams!C$2:C$36)</f>
        <v>Central</v>
      </c>
      <c r="E5003" t="s">
        <v>20</v>
      </c>
      <c r="F5003" t="s">
        <v>33</v>
      </c>
      <c r="G5003" t="s">
        <v>40</v>
      </c>
      <c r="H5003" s="1">
        <v>42936</v>
      </c>
    </row>
    <row r="5004" spans="1:10" x14ac:dyDescent="0.3">
      <c r="A5004" t="s">
        <v>5135</v>
      </c>
      <c r="B5004" t="s">
        <v>252</v>
      </c>
      <c r="C5004" t="str">
        <f>_xlfn.XLOOKUP(B5004,
[1]sales_teams!$A$2:$A$100,
[1]sales_teams!$B$2:$B$100)</f>
        <v>Melvin Marxen</v>
      </c>
      <c r="D5004" t="str">
        <f>_xlfn.XLOOKUP($B5004,sales_teams!$A$2:$A$36,sales_teams!C$2:C$36)</f>
        <v>Central</v>
      </c>
      <c r="E5004" t="s">
        <v>20</v>
      </c>
      <c r="G5004" t="s">
        <v>40</v>
      </c>
      <c r="H5004" s="1">
        <v>42936</v>
      </c>
    </row>
    <row r="5005" spans="1:10" x14ac:dyDescent="0.3">
      <c r="A5005" t="s">
        <v>5136</v>
      </c>
      <c r="B5005" t="s">
        <v>252</v>
      </c>
      <c r="C5005" t="str">
        <f>_xlfn.XLOOKUP(B5005,
[1]sales_teams!$A$2:$A$100,
[1]sales_teams!$B$2:$B$100)</f>
        <v>Melvin Marxen</v>
      </c>
      <c r="D5005" t="str">
        <f>_xlfn.XLOOKUP($B5005,sales_teams!$A$2:$A$36,sales_teams!C$2:C$36)</f>
        <v>Central</v>
      </c>
      <c r="E5005" t="s">
        <v>20</v>
      </c>
      <c r="G5005" t="s">
        <v>40</v>
      </c>
      <c r="H5005" s="1">
        <v>42936</v>
      </c>
    </row>
    <row r="5006" spans="1:10" x14ac:dyDescent="0.3">
      <c r="A5006" t="s">
        <v>5137</v>
      </c>
      <c r="B5006" t="s">
        <v>252</v>
      </c>
      <c r="C5006" t="str">
        <f>_xlfn.XLOOKUP(B5006,
[1]sales_teams!$A$2:$A$100,
[1]sales_teams!$B$2:$B$100)</f>
        <v>Melvin Marxen</v>
      </c>
      <c r="D5006" t="str">
        <f>_xlfn.XLOOKUP($B5006,sales_teams!$A$2:$A$36,sales_teams!C$2:C$36)</f>
        <v>Central</v>
      </c>
      <c r="E5006" t="s">
        <v>20</v>
      </c>
      <c r="G5006" t="s">
        <v>40</v>
      </c>
      <c r="H5006" s="1">
        <v>42936</v>
      </c>
    </row>
    <row r="5007" spans="1:10" x14ac:dyDescent="0.3">
      <c r="A5007" t="s">
        <v>5138</v>
      </c>
      <c r="B5007" t="s">
        <v>252</v>
      </c>
      <c r="C5007" t="str">
        <f>_xlfn.XLOOKUP(B5007,
[1]sales_teams!$A$2:$A$100,
[1]sales_teams!$B$2:$B$100)</f>
        <v>Melvin Marxen</v>
      </c>
      <c r="D5007" t="str">
        <f>_xlfn.XLOOKUP($B5007,sales_teams!$A$2:$A$36,sales_teams!C$2:C$36)</f>
        <v>Central</v>
      </c>
      <c r="E5007" t="s">
        <v>10</v>
      </c>
      <c r="F5007" t="s">
        <v>237</v>
      </c>
      <c r="G5007" t="s">
        <v>40</v>
      </c>
      <c r="H5007" s="1">
        <v>42936</v>
      </c>
    </row>
    <row r="5008" spans="1:10" x14ac:dyDescent="0.3">
      <c r="A5008" t="s">
        <v>5139</v>
      </c>
      <c r="B5008" t="s">
        <v>252</v>
      </c>
      <c r="C5008" t="str">
        <f>_xlfn.XLOOKUP(B5008,
[1]sales_teams!$A$2:$A$100,
[1]sales_teams!$B$2:$B$100)</f>
        <v>Melvin Marxen</v>
      </c>
      <c r="D5008" t="str">
        <f>_xlfn.XLOOKUP($B5008,sales_teams!$A$2:$A$36,sales_teams!C$2:C$36)</f>
        <v>Central</v>
      </c>
      <c r="E5008" t="s">
        <v>10</v>
      </c>
      <c r="G5008" t="s">
        <v>40</v>
      </c>
      <c r="H5008" s="1">
        <v>42936</v>
      </c>
    </row>
    <row r="5009" spans="1:10" x14ac:dyDescent="0.3">
      <c r="A5009" t="s">
        <v>5140</v>
      </c>
      <c r="B5009" t="s">
        <v>252</v>
      </c>
      <c r="C5009" t="str">
        <f>_xlfn.XLOOKUP(B5009,
[1]sales_teams!$A$2:$A$100,
[1]sales_teams!$B$2:$B$100)</f>
        <v>Melvin Marxen</v>
      </c>
      <c r="D5009" t="str">
        <f>_xlfn.XLOOKUP($B5009,sales_teams!$A$2:$A$36,sales_teams!C$2:C$36)</f>
        <v>Central</v>
      </c>
      <c r="E5009" t="s">
        <v>15</v>
      </c>
      <c r="G5009" t="s">
        <v>40</v>
      </c>
      <c r="H5009" s="1">
        <v>42936</v>
      </c>
    </row>
    <row r="5010" spans="1:10" x14ac:dyDescent="0.3">
      <c r="A5010" t="s">
        <v>5141</v>
      </c>
      <c r="B5010" t="s">
        <v>252</v>
      </c>
      <c r="C5010" t="str">
        <f>_xlfn.XLOOKUP(B5010,
[1]sales_teams!$A$2:$A$100,
[1]sales_teams!$B$2:$B$100)</f>
        <v>Melvin Marxen</v>
      </c>
      <c r="D5010" t="str">
        <f>_xlfn.XLOOKUP($B5010,sales_teams!$A$2:$A$36,sales_teams!C$2:C$36)</f>
        <v>Central</v>
      </c>
      <c r="E5010" t="s">
        <v>18</v>
      </c>
      <c r="G5010" t="s">
        <v>40</v>
      </c>
      <c r="H5010" s="1">
        <v>42936</v>
      </c>
    </row>
    <row r="5011" spans="1:10" x14ac:dyDescent="0.3">
      <c r="A5011" t="s">
        <v>5142</v>
      </c>
      <c r="B5011" t="s">
        <v>78</v>
      </c>
      <c r="C5011" t="str">
        <f>_xlfn.XLOOKUP(B5011,
[1]sales_teams!$A$2:$A$100,
[1]sales_teams!$B$2:$B$100)</f>
        <v>Summer Sewald</v>
      </c>
      <c r="D5011" t="str">
        <f>_xlfn.XLOOKUP($B5011,sales_teams!$A$2:$A$36,sales_teams!C$2:C$36)</f>
        <v>West</v>
      </c>
      <c r="E5011" t="s">
        <v>39</v>
      </c>
      <c r="F5011" t="s">
        <v>179</v>
      </c>
      <c r="G5011" t="s">
        <v>40</v>
      </c>
      <c r="H5011" s="1">
        <v>42936</v>
      </c>
    </row>
    <row r="5012" spans="1:10" x14ac:dyDescent="0.3">
      <c r="A5012" t="s">
        <v>5143</v>
      </c>
      <c r="B5012" t="s">
        <v>95</v>
      </c>
      <c r="C5012" t="str">
        <f>_xlfn.XLOOKUP(B5012,
[1]sales_teams!$A$2:$A$100,
[1]sales_teams!$B$2:$B$100)</f>
        <v>Summer Sewald</v>
      </c>
      <c r="D5012" t="str">
        <f>_xlfn.XLOOKUP($B5012,sales_teams!$A$2:$A$36,sales_teams!C$2:C$36)</f>
        <v>West</v>
      </c>
      <c r="E5012" t="s">
        <v>15</v>
      </c>
      <c r="F5012" t="s">
        <v>124</v>
      </c>
      <c r="G5012" t="s">
        <v>12</v>
      </c>
      <c r="H5012" s="1">
        <v>42936</v>
      </c>
      <c r="I5012" s="1">
        <v>42942</v>
      </c>
      <c r="J5012">
        <v>4428</v>
      </c>
    </row>
    <row r="5013" spans="1:10" x14ac:dyDescent="0.3">
      <c r="A5013" t="s">
        <v>5144</v>
      </c>
      <c r="B5013" t="s">
        <v>116</v>
      </c>
      <c r="C5013" t="str">
        <f>_xlfn.XLOOKUP(B5013,
[1]sales_teams!$A$2:$A$100,
[1]sales_teams!$B$2:$B$100)</f>
        <v>Melvin Marxen</v>
      </c>
      <c r="D5013" t="str">
        <f>_xlfn.XLOOKUP($B5013,sales_teams!$A$2:$A$36,sales_teams!C$2:C$36)</f>
        <v>Central</v>
      </c>
      <c r="E5013" t="s">
        <v>15</v>
      </c>
      <c r="F5013" t="s">
        <v>329</v>
      </c>
      <c r="G5013" t="s">
        <v>40</v>
      </c>
      <c r="H5013" s="1">
        <v>42936</v>
      </c>
    </row>
    <row r="5014" spans="1:10" x14ac:dyDescent="0.3">
      <c r="A5014" t="s">
        <v>5145</v>
      </c>
      <c r="B5014" t="s">
        <v>51</v>
      </c>
      <c r="C5014" t="str">
        <f>_xlfn.XLOOKUP(B5014,
[1]sales_teams!$A$2:$A$100,
[1]sales_teams!$B$2:$B$100)</f>
        <v>Summer Sewald</v>
      </c>
      <c r="D5014" t="str">
        <f>_xlfn.XLOOKUP($B5014,sales_teams!$A$2:$A$36,sales_teams!C$2:C$36)</f>
        <v>West</v>
      </c>
      <c r="E5014" t="s">
        <v>20</v>
      </c>
      <c r="F5014" t="s">
        <v>273</v>
      </c>
      <c r="G5014" t="s">
        <v>12</v>
      </c>
      <c r="H5014" s="1">
        <v>42936</v>
      </c>
      <c r="I5014" s="1">
        <v>42943</v>
      </c>
      <c r="J5014">
        <v>523</v>
      </c>
    </row>
    <row r="5015" spans="1:10" x14ac:dyDescent="0.3">
      <c r="A5015" t="s">
        <v>5146</v>
      </c>
      <c r="B5015" t="s">
        <v>9</v>
      </c>
      <c r="C5015" t="str">
        <f>_xlfn.XLOOKUP(B5015,
[1]sales_teams!$A$2:$A$100,
[1]sales_teams!$B$2:$B$100)</f>
        <v>Dustin Brinkmann</v>
      </c>
      <c r="D5015" t="str">
        <f>_xlfn.XLOOKUP($B5015,sales_teams!$A$2:$A$36,sales_teams!C$2:C$36)</f>
        <v>Central</v>
      </c>
      <c r="E5015" t="s">
        <v>20</v>
      </c>
      <c r="G5015" t="s">
        <v>40</v>
      </c>
      <c r="H5015" s="1">
        <v>42936</v>
      </c>
    </row>
    <row r="5016" spans="1:10" x14ac:dyDescent="0.3">
      <c r="A5016" t="s">
        <v>5147</v>
      </c>
      <c r="B5016" t="s">
        <v>9</v>
      </c>
      <c r="C5016" t="str">
        <f>_xlfn.XLOOKUP(B5016,
[1]sales_teams!$A$2:$A$100,
[1]sales_teams!$B$2:$B$100)</f>
        <v>Dustin Brinkmann</v>
      </c>
      <c r="D5016" t="str">
        <f>_xlfn.XLOOKUP($B5016,sales_teams!$A$2:$A$36,sales_teams!C$2:C$36)</f>
        <v>Central</v>
      </c>
      <c r="E5016" t="s">
        <v>48</v>
      </c>
      <c r="F5016" t="s">
        <v>45</v>
      </c>
      <c r="G5016" t="s">
        <v>40</v>
      </c>
      <c r="H5016" s="1">
        <v>42936</v>
      </c>
    </row>
    <row r="5017" spans="1:10" x14ac:dyDescent="0.3">
      <c r="A5017" t="s">
        <v>5148</v>
      </c>
      <c r="B5017" t="s">
        <v>35</v>
      </c>
      <c r="C5017" t="str">
        <f>_xlfn.XLOOKUP(B5017,
[1]sales_teams!$A$2:$A$100,
[1]sales_teams!$B$2:$B$100)</f>
        <v>Melvin Marxen</v>
      </c>
      <c r="D5017" t="str">
        <f>_xlfn.XLOOKUP($B5017,sales_teams!$A$2:$A$36,sales_teams!C$2:C$36)</f>
        <v>Central</v>
      </c>
      <c r="E5017" t="s">
        <v>10</v>
      </c>
      <c r="G5017" t="s">
        <v>40</v>
      </c>
      <c r="H5017" s="1">
        <v>42936</v>
      </c>
    </row>
    <row r="5018" spans="1:10" x14ac:dyDescent="0.3">
      <c r="A5018" t="s">
        <v>5149</v>
      </c>
      <c r="B5018" t="s">
        <v>35</v>
      </c>
      <c r="C5018" t="str">
        <f>_xlfn.XLOOKUP(B5018,
[1]sales_teams!$A$2:$A$100,
[1]sales_teams!$B$2:$B$100)</f>
        <v>Melvin Marxen</v>
      </c>
      <c r="D5018" t="str">
        <f>_xlfn.XLOOKUP($B5018,sales_teams!$A$2:$A$36,sales_teams!C$2:C$36)</f>
        <v>Central</v>
      </c>
      <c r="E5018" t="s">
        <v>48</v>
      </c>
      <c r="F5018" t="s">
        <v>313</v>
      </c>
      <c r="G5018" t="s">
        <v>40</v>
      </c>
      <c r="H5018" s="1">
        <v>42936</v>
      </c>
    </row>
    <row r="5019" spans="1:10" x14ac:dyDescent="0.3">
      <c r="A5019" t="s">
        <v>5150</v>
      </c>
      <c r="B5019" t="s">
        <v>97</v>
      </c>
      <c r="C5019" t="str">
        <f>_xlfn.XLOOKUP(B5019,
[1]sales_teams!$A$2:$A$100,
[1]sales_teams!$B$2:$B$100)</f>
        <v>Rocco Neubert</v>
      </c>
      <c r="D5019" t="str">
        <f>_xlfn.XLOOKUP($B5019,sales_teams!$A$2:$A$36,sales_teams!C$2:C$36)</f>
        <v>East</v>
      </c>
      <c r="E5019" t="s">
        <v>10</v>
      </c>
      <c r="F5019" t="s">
        <v>106</v>
      </c>
      <c r="G5019" t="s">
        <v>46</v>
      </c>
      <c r="H5019" s="1">
        <v>42936</v>
      </c>
      <c r="I5019" s="1">
        <v>42938</v>
      </c>
      <c r="J5019">
        <v>0</v>
      </c>
    </row>
    <row r="5020" spans="1:10" x14ac:dyDescent="0.3">
      <c r="A5020" t="s">
        <v>5151</v>
      </c>
      <c r="B5020" t="s">
        <v>97</v>
      </c>
      <c r="C5020" t="str">
        <f>_xlfn.XLOOKUP(B5020,
[1]sales_teams!$A$2:$A$100,
[1]sales_teams!$B$2:$B$100)</f>
        <v>Rocco Neubert</v>
      </c>
      <c r="D5020" t="str">
        <f>_xlfn.XLOOKUP($B5020,sales_teams!$A$2:$A$36,sales_teams!C$2:C$36)</f>
        <v>East</v>
      </c>
      <c r="E5020" t="s">
        <v>48</v>
      </c>
      <c r="F5020" t="s">
        <v>215</v>
      </c>
      <c r="G5020" t="s">
        <v>46</v>
      </c>
      <c r="H5020" s="1">
        <v>42936</v>
      </c>
      <c r="I5020" s="1">
        <v>42946</v>
      </c>
      <c r="J5020">
        <v>0</v>
      </c>
    </row>
    <row r="5021" spans="1:10" x14ac:dyDescent="0.3">
      <c r="A5021" t="s">
        <v>5152</v>
      </c>
      <c r="B5021" t="s">
        <v>88</v>
      </c>
      <c r="C5021" t="str">
        <f>_xlfn.XLOOKUP(B5021,
[1]sales_teams!$A$2:$A$100,
[1]sales_teams!$B$2:$B$100)</f>
        <v>Cara Losch</v>
      </c>
      <c r="D5021" t="str">
        <f>_xlfn.XLOOKUP($B5021,sales_teams!$A$2:$A$36,sales_teams!C$2:C$36)</f>
        <v>East</v>
      </c>
      <c r="E5021" t="s">
        <v>15</v>
      </c>
      <c r="F5021" t="s">
        <v>106</v>
      </c>
      <c r="G5021" t="s">
        <v>12</v>
      </c>
      <c r="H5021" s="1">
        <v>42936</v>
      </c>
      <c r="I5021" s="1">
        <v>42947</v>
      </c>
      <c r="J5021">
        <v>5392</v>
      </c>
    </row>
    <row r="5022" spans="1:10" x14ac:dyDescent="0.3">
      <c r="A5022" t="s">
        <v>5153</v>
      </c>
      <c r="B5022" t="s">
        <v>29</v>
      </c>
      <c r="C5022" t="str">
        <f>_xlfn.XLOOKUP(B5022,
[1]sales_teams!$A$2:$A$100,
[1]sales_teams!$B$2:$B$100)</f>
        <v>Celia Rouche</v>
      </c>
      <c r="D5022" t="str">
        <f>_xlfn.XLOOKUP($B5022,sales_teams!$A$2:$A$36,sales_teams!C$2:C$36)</f>
        <v>West</v>
      </c>
      <c r="E5022" t="s">
        <v>20</v>
      </c>
      <c r="F5022" t="s">
        <v>55</v>
      </c>
      <c r="G5022" t="s">
        <v>46</v>
      </c>
      <c r="H5022" s="1">
        <v>42936</v>
      </c>
      <c r="I5022" s="1">
        <v>42943</v>
      </c>
      <c r="J5022">
        <v>0</v>
      </c>
    </row>
    <row r="5023" spans="1:10" x14ac:dyDescent="0.3">
      <c r="A5023" t="s">
        <v>5154</v>
      </c>
      <c r="B5023" t="s">
        <v>73</v>
      </c>
      <c r="C5023" t="str">
        <f>_xlfn.XLOOKUP(B5023,
[1]sales_teams!$A$2:$A$100,
[1]sales_teams!$B$2:$B$100)</f>
        <v>Cara Losch</v>
      </c>
      <c r="D5023" t="str">
        <f>_xlfn.XLOOKUP($B5023,sales_teams!$A$2:$A$36,sales_teams!C$2:C$36)</f>
        <v>East</v>
      </c>
      <c r="E5023" t="s">
        <v>18</v>
      </c>
      <c r="F5023" t="s">
        <v>373</v>
      </c>
      <c r="G5023" t="s">
        <v>12</v>
      </c>
      <c r="H5023" s="1">
        <v>42936</v>
      </c>
      <c r="I5023" s="1">
        <v>42944</v>
      </c>
      <c r="J5023">
        <v>55</v>
      </c>
    </row>
    <row r="5024" spans="1:10" x14ac:dyDescent="0.3">
      <c r="A5024" t="s">
        <v>5155</v>
      </c>
      <c r="B5024" t="s">
        <v>102</v>
      </c>
      <c r="C5024" t="str">
        <f>_xlfn.XLOOKUP(B5024,
[1]sales_teams!$A$2:$A$100,
[1]sales_teams!$B$2:$B$100)</f>
        <v>Cara Losch</v>
      </c>
      <c r="D5024" t="str">
        <f>_xlfn.XLOOKUP($B5024,sales_teams!$A$2:$A$36,sales_teams!C$2:C$36)</f>
        <v>East</v>
      </c>
      <c r="E5024" t="s">
        <v>10</v>
      </c>
      <c r="F5024" t="s">
        <v>215</v>
      </c>
      <c r="G5024" t="s">
        <v>40</v>
      </c>
      <c r="H5024" s="1">
        <v>42936</v>
      </c>
    </row>
    <row r="5025" spans="1:10" x14ac:dyDescent="0.3">
      <c r="A5025" t="s">
        <v>5156</v>
      </c>
      <c r="B5025" t="s">
        <v>26</v>
      </c>
      <c r="C5025" t="str">
        <f>_xlfn.XLOOKUP(B5025,
[1]sales_teams!$A$2:$A$100,
[1]sales_teams!$B$2:$B$100)</f>
        <v>Dustin Brinkmann</v>
      </c>
      <c r="D5025" t="str">
        <f>_xlfn.XLOOKUP($B5025,sales_teams!$A$2:$A$36,sales_teams!C$2:C$36)</f>
        <v>Central</v>
      </c>
      <c r="E5025" t="s">
        <v>10</v>
      </c>
      <c r="G5025" t="s">
        <v>40</v>
      </c>
      <c r="H5025" s="1">
        <v>42937</v>
      </c>
    </row>
    <row r="5026" spans="1:10" x14ac:dyDescent="0.3">
      <c r="A5026" t="s">
        <v>5157</v>
      </c>
      <c r="B5026" t="s">
        <v>26</v>
      </c>
      <c r="C5026" t="str">
        <f>_xlfn.XLOOKUP(B5026,
[1]sales_teams!$A$2:$A$100,
[1]sales_teams!$B$2:$B$100)</f>
        <v>Dustin Brinkmann</v>
      </c>
      <c r="D5026" t="str">
        <f>_xlfn.XLOOKUP($B5026,sales_teams!$A$2:$A$36,sales_teams!C$2:C$36)</f>
        <v>Central</v>
      </c>
      <c r="E5026" t="s">
        <v>39</v>
      </c>
      <c r="F5026" t="s">
        <v>24</v>
      </c>
      <c r="G5026" t="s">
        <v>40</v>
      </c>
      <c r="H5026" s="1">
        <v>42937</v>
      </c>
    </row>
    <row r="5027" spans="1:10" x14ac:dyDescent="0.3">
      <c r="A5027" t="s">
        <v>5158</v>
      </c>
      <c r="B5027" t="s">
        <v>26</v>
      </c>
      <c r="C5027" t="str">
        <f>_xlfn.XLOOKUP(B5027,
[1]sales_teams!$A$2:$A$100,
[1]sales_teams!$B$2:$B$100)</f>
        <v>Dustin Brinkmann</v>
      </c>
      <c r="D5027" t="str">
        <f>_xlfn.XLOOKUP($B5027,sales_teams!$A$2:$A$36,sales_teams!C$2:C$36)</f>
        <v>Central</v>
      </c>
      <c r="E5027" t="s">
        <v>20</v>
      </c>
      <c r="F5027" t="s">
        <v>62</v>
      </c>
      <c r="G5027" t="s">
        <v>46</v>
      </c>
      <c r="H5027" s="1">
        <v>42937</v>
      </c>
      <c r="I5027" s="1">
        <v>43045</v>
      </c>
      <c r="J5027">
        <v>0</v>
      </c>
    </row>
    <row r="5028" spans="1:10" x14ac:dyDescent="0.3">
      <c r="A5028" t="s">
        <v>5159</v>
      </c>
      <c r="B5028" t="s">
        <v>139</v>
      </c>
      <c r="C5028" t="str">
        <f>_xlfn.XLOOKUP(B5028,
[1]sales_teams!$A$2:$A$100,
[1]sales_teams!$B$2:$B$100)</f>
        <v>Rocco Neubert</v>
      </c>
      <c r="D5028" t="str">
        <f>_xlfn.XLOOKUP($B5028,sales_teams!$A$2:$A$36,sales_teams!C$2:C$36)</f>
        <v>East</v>
      </c>
      <c r="E5028" t="s">
        <v>15</v>
      </c>
      <c r="F5028" t="s">
        <v>237</v>
      </c>
      <c r="G5028" t="s">
        <v>12</v>
      </c>
      <c r="H5028" s="1">
        <v>42937</v>
      </c>
      <c r="I5028" s="1">
        <v>43059</v>
      </c>
      <c r="J5028">
        <v>4197</v>
      </c>
    </row>
    <row r="5029" spans="1:10" x14ac:dyDescent="0.3">
      <c r="A5029" t="s">
        <v>5160</v>
      </c>
      <c r="B5029" t="s">
        <v>139</v>
      </c>
      <c r="C5029" t="str">
        <f>_xlfn.XLOOKUP(B5029,
[1]sales_teams!$A$2:$A$100,
[1]sales_teams!$B$2:$B$100)</f>
        <v>Rocco Neubert</v>
      </c>
      <c r="D5029" t="str">
        <f>_xlfn.XLOOKUP($B5029,sales_teams!$A$2:$A$36,sales_teams!C$2:C$36)</f>
        <v>East</v>
      </c>
      <c r="E5029" t="s">
        <v>39</v>
      </c>
      <c r="F5029" t="s">
        <v>106</v>
      </c>
      <c r="G5029" t="s">
        <v>12</v>
      </c>
      <c r="H5029" s="1">
        <v>42937</v>
      </c>
      <c r="I5029" s="1">
        <v>42996</v>
      </c>
      <c r="J5029">
        <v>3830</v>
      </c>
    </row>
    <row r="5030" spans="1:10" x14ac:dyDescent="0.3">
      <c r="A5030" t="s">
        <v>5161</v>
      </c>
      <c r="B5030" t="s">
        <v>118</v>
      </c>
      <c r="C5030" t="str">
        <f>_xlfn.XLOOKUP(B5030,
[1]sales_teams!$A$2:$A$100,
[1]sales_teams!$B$2:$B$100)</f>
        <v>Rocco Neubert</v>
      </c>
      <c r="D5030" t="str">
        <f>_xlfn.XLOOKUP($B5030,sales_teams!$A$2:$A$36,sales_teams!C$2:C$36)</f>
        <v>East</v>
      </c>
      <c r="E5030" t="s">
        <v>20</v>
      </c>
      <c r="F5030" t="s">
        <v>410</v>
      </c>
      <c r="G5030" t="s">
        <v>12</v>
      </c>
      <c r="H5030" s="1">
        <v>42937</v>
      </c>
      <c r="I5030" s="1">
        <v>42946</v>
      </c>
      <c r="J5030">
        <v>494</v>
      </c>
    </row>
    <row r="5031" spans="1:10" x14ac:dyDescent="0.3">
      <c r="A5031" t="s">
        <v>5162</v>
      </c>
      <c r="B5031" t="s">
        <v>202</v>
      </c>
      <c r="C5031" t="str">
        <f>_xlfn.XLOOKUP(B5031,
[1]sales_teams!$A$2:$A$100,
[1]sales_teams!$B$2:$B$100)</f>
        <v>Dustin Brinkmann</v>
      </c>
      <c r="D5031" t="str">
        <f>_xlfn.XLOOKUP($B5031,sales_teams!$A$2:$A$36,sales_teams!C$2:C$36)</f>
        <v>Central</v>
      </c>
      <c r="E5031" t="s">
        <v>10</v>
      </c>
      <c r="G5031" t="s">
        <v>40</v>
      </c>
      <c r="H5031" s="1">
        <v>42937</v>
      </c>
    </row>
    <row r="5032" spans="1:10" x14ac:dyDescent="0.3">
      <c r="A5032" t="s">
        <v>5163</v>
      </c>
      <c r="B5032" t="s">
        <v>202</v>
      </c>
      <c r="C5032" t="str">
        <f>_xlfn.XLOOKUP(B5032,
[1]sales_teams!$A$2:$A$100,
[1]sales_teams!$B$2:$B$100)</f>
        <v>Dustin Brinkmann</v>
      </c>
      <c r="D5032" t="str">
        <f>_xlfn.XLOOKUP($B5032,sales_teams!$A$2:$A$36,sales_teams!C$2:C$36)</f>
        <v>Central</v>
      </c>
      <c r="E5032" t="s">
        <v>10</v>
      </c>
      <c r="G5032" t="s">
        <v>40</v>
      </c>
      <c r="H5032" s="1">
        <v>42937</v>
      </c>
    </row>
    <row r="5033" spans="1:10" x14ac:dyDescent="0.3">
      <c r="A5033" t="s">
        <v>5164</v>
      </c>
      <c r="B5033" t="s">
        <v>202</v>
      </c>
      <c r="C5033" t="str">
        <f>_xlfn.XLOOKUP(B5033,
[1]sales_teams!$A$2:$A$100,
[1]sales_teams!$B$2:$B$100)</f>
        <v>Dustin Brinkmann</v>
      </c>
      <c r="D5033" t="str">
        <f>_xlfn.XLOOKUP($B5033,sales_teams!$A$2:$A$36,sales_teams!C$2:C$36)</f>
        <v>Central</v>
      </c>
      <c r="E5033" t="s">
        <v>18</v>
      </c>
      <c r="G5033" t="s">
        <v>40</v>
      </c>
      <c r="H5033" s="1">
        <v>42937</v>
      </c>
    </row>
    <row r="5034" spans="1:10" x14ac:dyDescent="0.3">
      <c r="A5034" t="s">
        <v>5165</v>
      </c>
      <c r="B5034" t="s">
        <v>64</v>
      </c>
      <c r="C5034" t="str">
        <f>_xlfn.XLOOKUP(B5034,
[1]sales_teams!$A$2:$A$100,
[1]sales_teams!$B$2:$B$100)</f>
        <v>Rocco Neubert</v>
      </c>
      <c r="D5034" t="str">
        <f>_xlfn.XLOOKUP($B5034,sales_teams!$A$2:$A$36,sales_teams!C$2:C$36)</f>
        <v>East</v>
      </c>
      <c r="E5034" t="s">
        <v>48</v>
      </c>
      <c r="F5034" t="s">
        <v>199</v>
      </c>
      <c r="G5034" t="s">
        <v>12</v>
      </c>
      <c r="H5034" s="1">
        <v>42937</v>
      </c>
      <c r="I5034" s="1">
        <v>42938</v>
      </c>
      <c r="J5034">
        <v>5118</v>
      </c>
    </row>
    <row r="5035" spans="1:10" x14ac:dyDescent="0.3">
      <c r="A5035" t="s">
        <v>5166</v>
      </c>
      <c r="B5035" t="s">
        <v>14</v>
      </c>
      <c r="C5035" t="str">
        <f>_xlfn.XLOOKUP(B5035,
[1]sales_teams!$A$2:$A$100,
[1]sales_teams!$B$2:$B$100)</f>
        <v>Melvin Marxen</v>
      </c>
      <c r="D5035" t="str">
        <f>_xlfn.XLOOKUP($B5035,sales_teams!$A$2:$A$36,sales_teams!C$2:C$36)</f>
        <v>Central</v>
      </c>
      <c r="E5035" t="s">
        <v>15</v>
      </c>
      <c r="G5035" t="s">
        <v>40</v>
      </c>
      <c r="H5035" s="1">
        <v>42937</v>
      </c>
    </row>
    <row r="5036" spans="1:10" x14ac:dyDescent="0.3">
      <c r="A5036" t="s">
        <v>5167</v>
      </c>
      <c r="B5036" t="s">
        <v>14</v>
      </c>
      <c r="C5036" t="str">
        <f>_xlfn.XLOOKUP(B5036,
[1]sales_teams!$A$2:$A$100,
[1]sales_teams!$B$2:$B$100)</f>
        <v>Melvin Marxen</v>
      </c>
      <c r="D5036" t="str">
        <f>_xlfn.XLOOKUP($B5036,sales_teams!$A$2:$A$36,sales_teams!C$2:C$36)</f>
        <v>Central</v>
      </c>
      <c r="E5036" t="s">
        <v>15</v>
      </c>
      <c r="G5036" t="s">
        <v>40</v>
      </c>
      <c r="H5036" s="1">
        <v>42937</v>
      </c>
    </row>
    <row r="5037" spans="1:10" x14ac:dyDescent="0.3">
      <c r="A5037" t="s">
        <v>5168</v>
      </c>
      <c r="B5037" t="s">
        <v>14</v>
      </c>
      <c r="C5037" t="str">
        <f>_xlfn.XLOOKUP(B5037,
[1]sales_teams!$A$2:$A$100,
[1]sales_teams!$B$2:$B$100)</f>
        <v>Melvin Marxen</v>
      </c>
      <c r="D5037" t="str">
        <f>_xlfn.XLOOKUP($B5037,sales_teams!$A$2:$A$36,sales_teams!C$2:C$36)</f>
        <v>Central</v>
      </c>
      <c r="E5037" t="s">
        <v>18</v>
      </c>
      <c r="F5037" t="s">
        <v>204</v>
      </c>
      <c r="G5037" t="s">
        <v>40</v>
      </c>
      <c r="H5037" s="1">
        <v>42937</v>
      </c>
    </row>
    <row r="5038" spans="1:10" x14ac:dyDescent="0.3">
      <c r="A5038" t="s">
        <v>5169</v>
      </c>
      <c r="B5038" t="s">
        <v>14</v>
      </c>
      <c r="C5038" t="str">
        <f>_xlfn.XLOOKUP(B5038,
[1]sales_teams!$A$2:$A$100,
[1]sales_teams!$B$2:$B$100)</f>
        <v>Melvin Marxen</v>
      </c>
      <c r="D5038" t="str">
        <f>_xlfn.XLOOKUP($B5038,sales_teams!$A$2:$A$36,sales_teams!C$2:C$36)</f>
        <v>Central</v>
      </c>
      <c r="E5038" t="s">
        <v>39</v>
      </c>
      <c r="F5038" t="s">
        <v>192</v>
      </c>
      <c r="G5038" t="s">
        <v>40</v>
      </c>
      <c r="H5038" s="1">
        <v>42937</v>
      </c>
    </row>
    <row r="5039" spans="1:10" x14ac:dyDescent="0.3">
      <c r="A5039" t="s">
        <v>5170</v>
      </c>
      <c r="B5039" t="s">
        <v>14</v>
      </c>
      <c r="C5039" t="str">
        <f>_xlfn.XLOOKUP(B5039,
[1]sales_teams!$A$2:$A$100,
[1]sales_teams!$B$2:$B$100)</f>
        <v>Melvin Marxen</v>
      </c>
      <c r="D5039" t="str">
        <f>_xlfn.XLOOKUP($B5039,sales_teams!$A$2:$A$36,sales_teams!C$2:C$36)</f>
        <v>Central</v>
      </c>
      <c r="E5039" t="s">
        <v>39</v>
      </c>
      <c r="F5039" t="s">
        <v>59</v>
      </c>
      <c r="G5039" t="s">
        <v>40</v>
      </c>
      <c r="H5039" s="1">
        <v>42937</v>
      </c>
    </row>
    <row r="5040" spans="1:10" x14ac:dyDescent="0.3">
      <c r="A5040" t="s">
        <v>5171</v>
      </c>
      <c r="B5040" t="s">
        <v>14</v>
      </c>
      <c r="C5040" t="str">
        <f>_xlfn.XLOOKUP(B5040,
[1]sales_teams!$A$2:$A$100,
[1]sales_teams!$B$2:$B$100)</f>
        <v>Melvin Marxen</v>
      </c>
      <c r="D5040" t="str">
        <f>_xlfn.XLOOKUP($B5040,sales_teams!$A$2:$A$36,sales_teams!C$2:C$36)</f>
        <v>Central</v>
      </c>
      <c r="E5040" t="s">
        <v>10</v>
      </c>
      <c r="F5040" t="s">
        <v>170</v>
      </c>
      <c r="G5040" t="s">
        <v>12</v>
      </c>
      <c r="H5040" s="1">
        <v>42937</v>
      </c>
      <c r="I5040" s="1">
        <v>42944</v>
      </c>
      <c r="J5040">
        <v>1000</v>
      </c>
    </row>
    <row r="5041" spans="1:10" x14ac:dyDescent="0.3">
      <c r="A5041" t="s">
        <v>5172</v>
      </c>
      <c r="B5041" t="s">
        <v>14</v>
      </c>
      <c r="C5041" t="str">
        <f>_xlfn.XLOOKUP(B5041,
[1]sales_teams!$A$2:$A$100,
[1]sales_teams!$B$2:$B$100)</f>
        <v>Melvin Marxen</v>
      </c>
      <c r="D5041" t="str">
        <f>_xlfn.XLOOKUP($B5041,sales_teams!$A$2:$A$36,sales_teams!C$2:C$36)</f>
        <v>Central</v>
      </c>
      <c r="E5041" t="s">
        <v>15</v>
      </c>
      <c r="F5041" t="s">
        <v>120</v>
      </c>
      <c r="G5041" t="s">
        <v>12</v>
      </c>
      <c r="H5041" s="1">
        <v>42937</v>
      </c>
      <c r="I5041" s="1">
        <v>42942</v>
      </c>
      <c r="J5041">
        <v>5347</v>
      </c>
    </row>
    <row r="5042" spans="1:10" x14ac:dyDescent="0.3">
      <c r="A5042" t="s">
        <v>5173</v>
      </c>
      <c r="B5042" t="s">
        <v>142</v>
      </c>
      <c r="C5042" t="str">
        <f>_xlfn.XLOOKUP(B5042,
[1]sales_teams!$A$2:$A$100,
[1]sales_teams!$B$2:$B$100)</f>
        <v>Rocco Neubert</v>
      </c>
      <c r="D5042" t="str">
        <f>_xlfn.XLOOKUP($B5042,sales_teams!$A$2:$A$36,sales_teams!C$2:C$36)</f>
        <v>East</v>
      </c>
      <c r="E5042" t="s">
        <v>20</v>
      </c>
      <c r="F5042" t="s">
        <v>81</v>
      </c>
      <c r="G5042" t="s">
        <v>46</v>
      </c>
      <c r="H5042" s="1">
        <v>42937</v>
      </c>
      <c r="I5042" s="1">
        <v>42938</v>
      </c>
      <c r="J5042">
        <v>0</v>
      </c>
    </row>
    <row r="5043" spans="1:10" x14ac:dyDescent="0.3">
      <c r="A5043" t="s">
        <v>5174</v>
      </c>
      <c r="B5043" t="s">
        <v>142</v>
      </c>
      <c r="C5043" t="str">
        <f>_xlfn.XLOOKUP(B5043,
[1]sales_teams!$A$2:$A$100,
[1]sales_teams!$B$2:$B$100)</f>
        <v>Rocco Neubert</v>
      </c>
      <c r="D5043" t="str">
        <f>_xlfn.XLOOKUP($B5043,sales_teams!$A$2:$A$36,sales_teams!C$2:C$36)</f>
        <v>East</v>
      </c>
      <c r="E5043" t="s">
        <v>20</v>
      </c>
      <c r="F5043" t="s">
        <v>329</v>
      </c>
      <c r="G5043" t="s">
        <v>46</v>
      </c>
      <c r="H5043" s="1">
        <v>42937</v>
      </c>
      <c r="I5043" s="1">
        <v>42945</v>
      </c>
      <c r="J5043">
        <v>0</v>
      </c>
    </row>
    <row r="5044" spans="1:10" x14ac:dyDescent="0.3">
      <c r="A5044" t="s">
        <v>5175</v>
      </c>
      <c r="B5044" t="s">
        <v>142</v>
      </c>
      <c r="C5044" t="str">
        <f>_xlfn.XLOOKUP(B5044,
[1]sales_teams!$A$2:$A$100,
[1]sales_teams!$B$2:$B$100)</f>
        <v>Rocco Neubert</v>
      </c>
      <c r="D5044" t="str">
        <f>_xlfn.XLOOKUP($B5044,sales_teams!$A$2:$A$36,sales_teams!C$2:C$36)</f>
        <v>East</v>
      </c>
      <c r="E5044" t="s">
        <v>48</v>
      </c>
      <c r="F5044" t="s">
        <v>215</v>
      </c>
      <c r="G5044" t="s">
        <v>12</v>
      </c>
      <c r="H5044" s="1">
        <v>42937</v>
      </c>
      <c r="I5044" s="1">
        <v>42970</v>
      </c>
      <c r="J5044">
        <v>5340</v>
      </c>
    </row>
    <row r="5045" spans="1:10" x14ac:dyDescent="0.3">
      <c r="A5045" t="s">
        <v>5176</v>
      </c>
      <c r="B5045" t="s">
        <v>44</v>
      </c>
      <c r="C5045" t="str">
        <f>_xlfn.XLOOKUP(B5045,
[1]sales_teams!$A$2:$A$100,
[1]sales_teams!$B$2:$B$100)</f>
        <v>Melvin Marxen</v>
      </c>
      <c r="D5045" t="str">
        <f>_xlfn.XLOOKUP($B5045,sales_teams!$A$2:$A$36,sales_teams!C$2:C$36)</f>
        <v>Central</v>
      </c>
      <c r="E5045" t="s">
        <v>20</v>
      </c>
      <c r="G5045" t="s">
        <v>40</v>
      </c>
      <c r="H5045" s="1">
        <v>42937</v>
      </c>
    </row>
    <row r="5046" spans="1:10" x14ac:dyDescent="0.3">
      <c r="A5046" t="s">
        <v>5177</v>
      </c>
      <c r="B5046" t="s">
        <v>44</v>
      </c>
      <c r="C5046" t="str">
        <f>_xlfn.XLOOKUP(B5046,
[1]sales_teams!$A$2:$A$100,
[1]sales_teams!$B$2:$B$100)</f>
        <v>Melvin Marxen</v>
      </c>
      <c r="D5046" t="str">
        <f>_xlfn.XLOOKUP($B5046,sales_teams!$A$2:$A$36,sales_teams!C$2:C$36)</f>
        <v>Central</v>
      </c>
      <c r="E5046" t="s">
        <v>18</v>
      </c>
      <c r="F5046" t="s">
        <v>143</v>
      </c>
      <c r="G5046" t="s">
        <v>40</v>
      </c>
      <c r="H5046" s="1">
        <v>42937</v>
      </c>
    </row>
    <row r="5047" spans="1:10" x14ac:dyDescent="0.3">
      <c r="A5047" t="s">
        <v>5178</v>
      </c>
      <c r="B5047" t="s">
        <v>44</v>
      </c>
      <c r="C5047" t="str">
        <f>_xlfn.XLOOKUP(B5047,
[1]sales_teams!$A$2:$A$100,
[1]sales_teams!$B$2:$B$100)</f>
        <v>Melvin Marxen</v>
      </c>
      <c r="D5047" t="str">
        <f>_xlfn.XLOOKUP($B5047,sales_teams!$A$2:$A$36,sales_teams!C$2:C$36)</f>
        <v>Central</v>
      </c>
      <c r="E5047" t="s">
        <v>39</v>
      </c>
      <c r="G5047" t="s">
        <v>40</v>
      </c>
      <c r="H5047" s="1">
        <v>42937</v>
      </c>
    </row>
    <row r="5048" spans="1:10" x14ac:dyDescent="0.3">
      <c r="A5048" t="s">
        <v>5179</v>
      </c>
      <c r="B5048" t="s">
        <v>44</v>
      </c>
      <c r="C5048" t="str">
        <f>_xlfn.XLOOKUP(B5048,
[1]sales_teams!$A$2:$A$100,
[1]sales_teams!$B$2:$B$100)</f>
        <v>Melvin Marxen</v>
      </c>
      <c r="D5048" t="str">
        <f>_xlfn.XLOOKUP($B5048,sales_teams!$A$2:$A$36,sales_teams!C$2:C$36)</f>
        <v>Central</v>
      </c>
      <c r="E5048" t="s">
        <v>20</v>
      </c>
      <c r="F5048" t="s">
        <v>492</v>
      </c>
      <c r="G5048" t="s">
        <v>46</v>
      </c>
      <c r="H5048" s="1">
        <v>42937</v>
      </c>
      <c r="I5048" s="1">
        <v>43056</v>
      </c>
      <c r="J5048">
        <v>0</v>
      </c>
    </row>
    <row r="5049" spans="1:10" x14ac:dyDescent="0.3">
      <c r="A5049" t="s">
        <v>5180</v>
      </c>
      <c r="B5049" t="s">
        <v>44</v>
      </c>
      <c r="C5049" t="str">
        <f>_xlfn.XLOOKUP(B5049,
[1]sales_teams!$A$2:$A$100,
[1]sales_teams!$B$2:$B$100)</f>
        <v>Melvin Marxen</v>
      </c>
      <c r="D5049" t="str">
        <f>_xlfn.XLOOKUP($B5049,sales_teams!$A$2:$A$36,sales_teams!C$2:C$36)</f>
        <v>Central</v>
      </c>
      <c r="E5049" t="s">
        <v>39</v>
      </c>
      <c r="F5049" t="s">
        <v>111</v>
      </c>
      <c r="G5049" t="s">
        <v>12</v>
      </c>
      <c r="H5049" s="1">
        <v>42937</v>
      </c>
      <c r="I5049" s="1">
        <v>42947</v>
      </c>
      <c r="J5049">
        <v>2970</v>
      </c>
    </row>
    <row r="5050" spans="1:10" x14ac:dyDescent="0.3">
      <c r="A5050" t="s">
        <v>5181</v>
      </c>
      <c r="B5050" t="s">
        <v>38</v>
      </c>
      <c r="C5050" t="str">
        <f>_xlfn.XLOOKUP(B5050,
[1]sales_teams!$A$2:$A$100,
[1]sales_teams!$B$2:$B$100)</f>
        <v>Summer Sewald</v>
      </c>
      <c r="D5050" t="str">
        <f>_xlfn.XLOOKUP($B5050,sales_teams!$A$2:$A$36,sales_teams!C$2:C$36)</f>
        <v>West</v>
      </c>
      <c r="E5050" t="s">
        <v>15</v>
      </c>
      <c r="F5050" t="s">
        <v>68</v>
      </c>
      <c r="G5050" t="s">
        <v>46</v>
      </c>
      <c r="H5050" s="1">
        <v>42937</v>
      </c>
      <c r="I5050" s="1">
        <v>42944</v>
      </c>
      <c r="J5050">
        <v>0</v>
      </c>
    </row>
    <row r="5051" spans="1:10" x14ac:dyDescent="0.3">
      <c r="A5051" t="s">
        <v>5182</v>
      </c>
      <c r="B5051" t="s">
        <v>252</v>
      </c>
      <c r="C5051" t="str">
        <f>_xlfn.XLOOKUP(B5051,
[1]sales_teams!$A$2:$A$100,
[1]sales_teams!$B$2:$B$100)</f>
        <v>Melvin Marxen</v>
      </c>
      <c r="D5051" t="str">
        <f>_xlfn.XLOOKUP($B5051,sales_teams!$A$2:$A$36,sales_teams!C$2:C$36)</f>
        <v>Central</v>
      </c>
      <c r="E5051" t="s">
        <v>20</v>
      </c>
      <c r="F5051" t="s">
        <v>111</v>
      </c>
      <c r="G5051" t="s">
        <v>40</v>
      </c>
      <c r="H5051" s="1">
        <v>42937</v>
      </c>
    </row>
    <row r="5052" spans="1:10" x14ac:dyDescent="0.3">
      <c r="A5052" t="s">
        <v>5183</v>
      </c>
      <c r="B5052" t="s">
        <v>252</v>
      </c>
      <c r="C5052" t="str">
        <f>_xlfn.XLOOKUP(B5052,
[1]sales_teams!$A$2:$A$100,
[1]sales_teams!$B$2:$B$100)</f>
        <v>Melvin Marxen</v>
      </c>
      <c r="D5052" t="str">
        <f>_xlfn.XLOOKUP($B5052,sales_teams!$A$2:$A$36,sales_teams!C$2:C$36)</f>
        <v>Central</v>
      </c>
      <c r="E5052" t="s">
        <v>10</v>
      </c>
      <c r="G5052" t="s">
        <v>40</v>
      </c>
      <c r="H5052" s="1">
        <v>42937</v>
      </c>
    </row>
    <row r="5053" spans="1:10" x14ac:dyDescent="0.3">
      <c r="A5053" t="s">
        <v>5184</v>
      </c>
      <c r="B5053" t="s">
        <v>252</v>
      </c>
      <c r="C5053" t="str">
        <f>_xlfn.XLOOKUP(B5053,
[1]sales_teams!$A$2:$A$100,
[1]sales_teams!$B$2:$B$100)</f>
        <v>Melvin Marxen</v>
      </c>
      <c r="D5053" t="str">
        <f>_xlfn.XLOOKUP($B5053,sales_teams!$A$2:$A$36,sales_teams!C$2:C$36)</f>
        <v>Central</v>
      </c>
      <c r="E5053" t="s">
        <v>10</v>
      </c>
      <c r="G5053" t="s">
        <v>40</v>
      </c>
      <c r="H5053" s="1">
        <v>42937</v>
      </c>
    </row>
    <row r="5054" spans="1:10" x14ac:dyDescent="0.3">
      <c r="A5054" t="s">
        <v>5185</v>
      </c>
      <c r="B5054" t="s">
        <v>78</v>
      </c>
      <c r="C5054" t="str">
        <f>_xlfn.XLOOKUP(B5054,
[1]sales_teams!$A$2:$A$100,
[1]sales_teams!$B$2:$B$100)</f>
        <v>Summer Sewald</v>
      </c>
      <c r="D5054" t="str">
        <f>_xlfn.XLOOKUP($B5054,sales_teams!$A$2:$A$36,sales_teams!C$2:C$36)</f>
        <v>West</v>
      </c>
      <c r="E5054" t="s">
        <v>20</v>
      </c>
      <c r="G5054" t="s">
        <v>40</v>
      </c>
      <c r="H5054" s="1">
        <v>42937</v>
      </c>
    </row>
    <row r="5055" spans="1:10" x14ac:dyDescent="0.3">
      <c r="A5055" t="s">
        <v>5186</v>
      </c>
      <c r="B5055" t="s">
        <v>95</v>
      </c>
      <c r="C5055" t="str">
        <f>_xlfn.XLOOKUP(B5055,
[1]sales_teams!$A$2:$A$100,
[1]sales_teams!$B$2:$B$100)</f>
        <v>Summer Sewald</v>
      </c>
      <c r="D5055" t="str">
        <f>_xlfn.XLOOKUP($B5055,sales_teams!$A$2:$A$36,sales_teams!C$2:C$36)</f>
        <v>West</v>
      </c>
      <c r="E5055" t="s">
        <v>10</v>
      </c>
      <c r="F5055" t="s">
        <v>52</v>
      </c>
      <c r="G5055" t="s">
        <v>12</v>
      </c>
      <c r="H5055" s="1">
        <v>42937</v>
      </c>
      <c r="I5055" s="1">
        <v>42946</v>
      </c>
      <c r="J5055">
        <v>997</v>
      </c>
    </row>
    <row r="5056" spans="1:10" x14ac:dyDescent="0.3">
      <c r="A5056" t="s">
        <v>5187</v>
      </c>
      <c r="B5056" t="s">
        <v>133</v>
      </c>
      <c r="C5056" t="str">
        <f>_xlfn.XLOOKUP(B5056,
[1]sales_teams!$A$2:$A$100,
[1]sales_teams!$B$2:$B$100)</f>
        <v>Dustin Brinkmann</v>
      </c>
      <c r="D5056" t="str">
        <f>_xlfn.XLOOKUP($B5056,sales_teams!$A$2:$A$36,sales_teams!C$2:C$36)</f>
        <v>Central</v>
      </c>
      <c r="E5056" t="s">
        <v>18</v>
      </c>
      <c r="G5056" t="s">
        <v>40</v>
      </c>
      <c r="H5056" s="1">
        <v>42937</v>
      </c>
    </row>
    <row r="5057" spans="1:10" x14ac:dyDescent="0.3">
      <c r="A5057" t="s">
        <v>5188</v>
      </c>
      <c r="B5057" t="s">
        <v>133</v>
      </c>
      <c r="C5057" t="str">
        <f>_xlfn.XLOOKUP(B5057,
[1]sales_teams!$A$2:$A$100,
[1]sales_teams!$B$2:$B$100)</f>
        <v>Dustin Brinkmann</v>
      </c>
      <c r="D5057" t="str">
        <f>_xlfn.XLOOKUP($B5057,sales_teams!$A$2:$A$36,sales_teams!C$2:C$36)</f>
        <v>Central</v>
      </c>
      <c r="E5057" t="s">
        <v>10</v>
      </c>
      <c r="F5057" t="s">
        <v>135</v>
      </c>
      <c r="G5057" t="s">
        <v>46</v>
      </c>
      <c r="H5057" s="1">
        <v>42937</v>
      </c>
      <c r="I5057" s="1">
        <v>42945</v>
      </c>
      <c r="J5057">
        <v>0</v>
      </c>
    </row>
    <row r="5058" spans="1:10" x14ac:dyDescent="0.3">
      <c r="A5058" t="s">
        <v>5189</v>
      </c>
      <c r="B5058" t="s">
        <v>133</v>
      </c>
      <c r="C5058" t="str">
        <f>_xlfn.XLOOKUP(B5058,
[1]sales_teams!$A$2:$A$100,
[1]sales_teams!$B$2:$B$100)</f>
        <v>Dustin Brinkmann</v>
      </c>
      <c r="D5058" t="str">
        <f>_xlfn.XLOOKUP($B5058,sales_teams!$A$2:$A$36,sales_teams!C$2:C$36)</f>
        <v>Central</v>
      </c>
      <c r="E5058" t="s">
        <v>39</v>
      </c>
      <c r="F5058" t="s">
        <v>111</v>
      </c>
      <c r="G5058" t="s">
        <v>46</v>
      </c>
      <c r="H5058" s="1">
        <v>42937</v>
      </c>
      <c r="I5058" s="1">
        <v>42946</v>
      </c>
      <c r="J5058">
        <v>0</v>
      </c>
    </row>
    <row r="5059" spans="1:10" x14ac:dyDescent="0.3">
      <c r="A5059" t="s">
        <v>5190</v>
      </c>
      <c r="B5059" t="s">
        <v>116</v>
      </c>
      <c r="C5059" t="str">
        <f>_xlfn.XLOOKUP(B5059,
[1]sales_teams!$A$2:$A$100,
[1]sales_teams!$B$2:$B$100)</f>
        <v>Melvin Marxen</v>
      </c>
      <c r="D5059" t="str">
        <f>_xlfn.XLOOKUP($B5059,sales_teams!$A$2:$A$36,sales_teams!C$2:C$36)</f>
        <v>Central</v>
      </c>
      <c r="E5059" t="s">
        <v>10</v>
      </c>
      <c r="F5059" t="s">
        <v>62</v>
      </c>
      <c r="G5059" t="s">
        <v>40</v>
      </c>
      <c r="H5059" s="1">
        <v>42937</v>
      </c>
    </row>
    <row r="5060" spans="1:10" x14ac:dyDescent="0.3">
      <c r="A5060" t="s">
        <v>5191</v>
      </c>
      <c r="B5060" t="s">
        <v>116</v>
      </c>
      <c r="C5060" t="str">
        <f>_xlfn.XLOOKUP(B5060,
[1]sales_teams!$A$2:$A$100,
[1]sales_teams!$B$2:$B$100)</f>
        <v>Melvin Marxen</v>
      </c>
      <c r="D5060" t="str">
        <f>_xlfn.XLOOKUP($B5060,sales_teams!$A$2:$A$36,sales_teams!C$2:C$36)</f>
        <v>Central</v>
      </c>
      <c r="E5060" t="s">
        <v>48</v>
      </c>
      <c r="F5060" t="s">
        <v>143</v>
      </c>
      <c r="G5060" t="s">
        <v>40</v>
      </c>
      <c r="H5060" s="1">
        <v>42937</v>
      </c>
    </row>
    <row r="5061" spans="1:10" x14ac:dyDescent="0.3">
      <c r="A5061" t="s">
        <v>5192</v>
      </c>
      <c r="B5061" t="s">
        <v>51</v>
      </c>
      <c r="C5061" t="str">
        <f>_xlfn.XLOOKUP(B5061,
[1]sales_teams!$A$2:$A$100,
[1]sales_teams!$B$2:$B$100)</f>
        <v>Summer Sewald</v>
      </c>
      <c r="D5061" t="str">
        <f>_xlfn.XLOOKUP($B5061,sales_teams!$A$2:$A$36,sales_teams!C$2:C$36)</f>
        <v>West</v>
      </c>
      <c r="E5061" t="s">
        <v>10</v>
      </c>
      <c r="G5061" t="s">
        <v>40</v>
      </c>
      <c r="H5061" s="1">
        <v>42937</v>
      </c>
    </row>
    <row r="5062" spans="1:10" x14ac:dyDescent="0.3">
      <c r="A5062" t="s">
        <v>5193</v>
      </c>
      <c r="B5062" t="s">
        <v>51</v>
      </c>
      <c r="C5062" t="str">
        <f>_xlfn.XLOOKUP(B5062,
[1]sales_teams!$A$2:$A$100,
[1]sales_teams!$B$2:$B$100)</f>
        <v>Summer Sewald</v>
      </c>
      <c r="D5062" t="str">
        <f>_xlfn.XLOOKUP($B5062,sales_teams!$A$2:$A$36,sales_teams!C$2:C$36)</f>
        <v>West</v>
      </c>
      <c r="E5062" t="s">
        <v>15</v>
      </c>
      <c r="G5062" t="s">
        <v>40</v>
      </c>
      <c r="H5062" s="1">
        <v>42937</v>
      </c>
    </row>
    <row r="5063" spans="1:10" x14ac:dyDescent="0.3">
      <c r="A5063" t="s">
        <v>5194</v>
      </c>
      <c r="B5063" t="s">
        <v>9</v>
      </c>
      <c r="C5063" t="str">
        <f>_xlfn.XLOOKUP(B5063,
[1]sales_teams!$A$2:$A$100,
[1]sales_teams!$B$2:$B$100)</f>
        <v>Dustin Brinkmann</v>
      </c>
      <c r="D5063" t="str">
        <f>_xlfn.XLOOKUP($B5063,sales_teams!$A$2:$A$36,sales_teams!C$2:C$36)</f>
        <v>Central</v>
      </c>
      <c r="E5063" t="s">
        <v>18</v>
      </c>
      <c r="G5063" t="s">
        <v>40</v>
      </c>
      <c r="H5063" s="1">
        <v>42937</v>
      </c>
    </row>
    <row r="5064" spans="1:10" x14ac:dyDescent="0.3">
      <c r="A5064" t="s">
        <v>5195</v>
      </c>
      <c r="B5064" t="s">
        <v>9</v>
      </c>
      <c r="C5064" t="str">
        <f>_xlfn.XLOOKUP(B5064,
[1]sales_teams!$A$2:$A$100,
[1]sales_teams!$B$2:$B$100)</f>
        <v>Dustin Brinkmann</v>
      </c>
      <c r="D5064" t="str">
        <f>_xlfn.XLOOKUP($B5064,sales_teams!$A$2:$A$36,sales_teams!C$2:C$36)</f>
        <v>Central</v>
      </c>
      <c r="E5064" t="s">
        <v>20</v>
      </c>
      <c r="F5064" t="s">
        <v>129</v>
      </c>
      <c r="G5064" t="s">
        <v>12</v>
      </c>
      <c r="H5064" s="1">
        <v>42937</v>
      </c>
      <c r="I5064" s="1">
        <v>42946</v>
      </c>
      <c r="J5064">
        <v>526</v>
      </c>
    </row>
    <row r="5065" spans="1:10" x14ac:dyDescent="0.3">
      <c r="A5065" t="s">
        <v>5196</v>
      </c>
      <c r="B5065" t="s">
        <v>35</v>
      </c>
      <c r="C5065" t="str">
        <f>_xlfn.XLOOKUP(B5065,
[1]sales_teams!$A$2:$A$100,
[1]sales_teams!$B$2:$B$100)</f>
        <v>Melvin Marxen</v>
      </c>
      <c r="D5065" t="str">
        <f>_xlfn.XLOOKUP($B5065,sales_teams!$A$2:$A$36,sales_teams!C$2:C$36)</f>
        <v>Central</v>
      </c>
      <c r="E5065" t="s">
        <v>48</v>
      </c>
      <c r="F5065" t="s">
        <v>21</v>
      </c>
      <c r="G5065" t="s">
        <v>46</v>
      </c>
      <c r="H5065" s="1">
        <v>42937</v>
      </c>
      <c r="I5065" s="1">
        <v>42944</v>
      </c>
      <c r="J5065">
        <v>0</v>
      </c>
    </row>
    <row r="5066" spans="1:10" x14ac:dyDescent="0.3">
      <c r="A5066" t="s">
        <v>5197</v>
      </c>
      <c r="B5066" t="s">
        <v>35</v>
      </c>
      <c r="C5066" t="str">
        <f>_xlfn.XLOOKUP(B5066,
[1]sales_teams!$A$2:$A$100,
[1]sales_teams!$B$2:$B$100)</f>
        <v>Melvin Marxen</v>
      </c>
      <c r="D5066" t="str">
        <f>_xlfn.XLOOKUP($B5066,sales_teams!$A$2:$A$36,sales_teams!C$2:C$36)</f>
        <v>Central</v>
      </c>
      <c r="E5066" t="s">
        <v>20</v>
      </c>
      <c r="F5066" t="s">
        <v>197</v>
      </c>
      <c r="G5066" t="s">
        <v>12</v>
      </c>
      <c r="H5066" s="1">
        <v>42937</v>
      </c>
      <c r="I5066" s="1">
        <v>42946</v>
      </c>
      <c r="J5066">
        <v>418</v>
      </c>
    </row>
    <row r="5067" spans="1:10" x14ac:dyDescent="0.3">
      <c r="A5067" t="s">
        <v>5198</v>
      </c>
      <c r="B5067" t="s">
        <v>35</v>
      </c>
      <c r="C5067" t="str">
        <f>_xlfn.XLOOKUP(B5067,
[1]sales_teams!$A$2:$A$100,
[1]sales_teams!$B$2:$B$100)</f>
        <v>Melvin Marxen</v>
      </c>
      <c r="D5067" t="str">
        <f>_xlfn.XLOOKUP($B5067,sales_teams!$A$2:$A$36,sales_teams!C$2:C$36)</f>
        <v>Central</v>
      </c>
      <c r="E5067" t="s">
        <v>18</v>
      </c>
      <c r="F5067" t="s">
        <v>492</v>
      </c>
      <c r="G5067" t="s">
        <v>12</v>
      </c>
      <c r="H5067" s="1">
        <v>42937</v>
      </c>
      <c r="I5067" s="1">
        <v>42944</v>
      </c>
      <c r="J5067">
        <v>54</v>
      </c>
    </row>
    <row r="5068" spans="1:10" x14ac:dyDescent="0.3">
      <c r="A5068" t="s">
        <v>5199</v>
      </c>
      <c r="B5068" t="s">
        <v>57</v>
      </c>
      <c r="C5068" t="str">
        <f>_xlfn.XLOOKUP(B5068,
[1]sales_teams!$A$2:$A$100,
[1]sales_teams!$B$2:$B$100)</f>
        <v>Celia Rouche</v>
      </c>
      <c r="D5068" t="str">
        <f>_xlfn.XLOOKUP($B5068,sales_teams!$A$2:$A$36,sales_teams!C$2:C$36)</f>
        <v>West</v>
      </c>
      <c r="E5068" t="s">
        <v>20</v>
      </c>
      <c r="F5068" t="s">
        <v>398</v>
      </c>
      <c r="G5068" t="s">
        <v>12</v>
      </c>
      <c r="H5068" s="1">
        <v>42937</v>
      </c>
      <c r="I5068" s="1">
        <v>42985</v>
      </c>
      <c r="J5068">
        <v>622</v>
      </c>
    </row>
    <row r="5069" spans="1:10" x14ac:dyDescent="0.3">
      <c r="A5069" t="s">
        <v>5200</v>
      </c>
      <c r="B5069" t="s">
        <v>88</v>
      </c>
      <c r="C5069" t="str">
        <f>_xlfn.XLOOKUP(B5069,
[1]sales_teams!$A$2:$A$100,
[1]sales_teams!$B$2:$B$100)</f>
        <v>Cara Losch</v>
      </c>
      <c r="D5069" t="str">
        <f>_xlfn.XLOOKUP($B5069,sales_teams!$A$2:$A$36,sales_teams!C$2:C$36)</f>
        <v>East</v>
      </c>
      <c r="E5069" t="s">
        <v>48</v>
      </c>
      <c r="F5069" t="s">
        <v>189</v>
      </c>
      <c r="G5069" t="s">
        <v>12</v>
      </c>
      <c r="H5069" s="1">
        <v>42937</v>
      </c>
      <c r="I5069" s="1">
        <v>42970</v>
      </c>
      <c r="J5069">
        <v>4930</v>
      </c>
    </row>
    <row r="5070" spans="1:10" x14ac:dyDescent="0.3">
      <c r="A5070" t="s">
        <v>5201</v>
      </c>
      <c r="B5070" t="s">
        <v>61</v>
      </c>
      <c r="C5070" t="str">
        <f>_xlfn.XLOOKUP(B5070,
[1]sales_teams!$A$2:$A$100,
[1]sales_teams!$B$2:$B$100)</f>
        <v>Dustin Brinkmann</v>
      </c>
      <c r="D5070" t="str">
        <f>_xlfn.XLOOKUP($B5070,sales_teams!$A$2:$A$36,sales_teams!C$2:C$36)</f>
        <v>Central</v>
      </c>
      <c r="E5070" t="s">
        <v>48</v>
      </c>
      <c r="G5070" t="s">
        <v>40</v>
      </c>
      <c r="H5070" s="1">
        <v>42937</v>
      </c>
    </row>
    <row r="5071" spans="1:10" x14ac:dyDescent="0.3">
      <c r="A5071" t="s">
        <v>5202</v>
      </c>
      <c r="B5071" t="s">
        <v>61</v>
      </c>
      <c r="C5071" t="str">
        <f>_xlfn.XLOOKUP(B5071,
[1]sales_teams!$A$2:$A$100,
[1]sales_teams!$B$2:$B$100)</f>
        <v>Dustin Brinkmann</v>
      </c>
      <c r="D5071" t="str">
        <f>_xlfn.XLOOKUP($B5071,sales_teams!$A$2:$A$36,sales_teams!C$2:C$36)</f>
        <v>Central</v>
      </c>
      <c r="E5071" t="s">
        <v>18</v>
      </c>
      <c r="F5071" t="s">
        <v>315</v>
      </c>
      <c r="G5071" t="s">
        <v>40</v>
      </c>
      <c r="H5071" s="1">
        <v>42937</v>
      </c>
    </row>
    <row r="5072" spans="1:10" x14ac:dyDescent="0.3">
      <c r="A5072" t="s">
        <v>5203</v>
      </c>
      <c r="B5072" t="s">
        <v>61</v>
      </c>
      <c r="C5072" t="str">
        <f>_xlfn.XLOOKUP(B5072,
[1]sales_teams!$A$2:$A$100,
[1]sales_teams!$B$2:$B$100)</f>
        <v>Dustin Brinkmann</v>
      </c>
      <c r="D5072" t="str">
        <f>_xlfn.XLOOKUP($B5072,sales_teams!$A$2:$A$36,sales_teams!C$2:C$36)</f>
        <v>Central</v>
      </c>
      <c r="E5072" t="s">
        <v>18</v>
      </c>
      <c r="F5072" t="s">
        <v>231</v>
      </c>
      <c r="G5072" t="s">
        <v>12</v>
      </c>
      <c r="H5072" s="1">
        <v>42937</v>
      </c>
      <c r="I5072" s="1">
        <v>42944</v>
      </c>
      <c r="J5072">
        <v>51</v>
      </c>
    </row>
    <row r="5073" spans="1:10" x14ac:dyDescent="0.3">
      <c r="A5073" t="s">
        <v>5204</v>
      </c>
      <c r="B5073" t="s">
        <v>61</v>
      </c>
      <c r="C5073" t="str">
        <f>_xlfn.XLOOKUP(B5073,
[1]sales_teams!$A$2:$A$100,
[1]sales_teams!$B$2:$B$100)</f>
        <v>Dustin Brinkmann</v>
      </c>
      <c r="D5073" t="str">
        <f>_xlfn.XLOOKUP($B5073,sales_teams!$A$2:$A$36,sales_teams!C$2:C$36)</f>
        <v>Central</v>
      </c>
      <c r="E5073" t="s">
        <v>39</v>
      </c>
      <c r="F5073" t="s">
        <v>303</v>
      </c>
      <c r="G5073" t="s">
        <v>12</v>
      </c>
      <c r="H5073" s="1">
        <v>42937</v>
      </c>
      <c r="I5073" s="1">
        <v>42946</v>
      </c>
      <c r="J5073">
        <v>3167</v>
      </c>
    </row>
    <row r="5074" spans="1:10" x14ac:dyDescent="0.3">
      <c r="A5074" t="s">
        <v>5205</v>
      </c>
      <c r="B5074" t="s">
        <v>61</v>
      </c>
      <c r="C5074" t="str">
        <f>_xlfn.XLOOKUP(B5074,
[1]sales_teams!$A$2:$A$100,
[1]sales_teams!$B$2:$B$100)</f>
        <v>Dustin Brinkmann</v>
      </c>
      <c r="D5074" t="str">
        <f>_xlfn.XLOOKUP($B5074,sales_teams!$A$2:$A$36,sales_teams!C$2:C$36)</f>
        <v>Central</v>
      </c>
      <c r="E5074" t="s">
        <v>39</v>
      </c>
      <c r="F5074" t="s">
        <v>213</v>
      </c>
      <c r="G5074" t="s">
        <v>12</v>
      </c>
      <c r="H5074" s="1">
        <v>42937</v>
      </c>
      <c r="I5074" s="1">
        <v>43005</v>
      </c>
      <c r="J5074">
        <v>3038</v>
      </c>
    </row>
    <row r="5075" spans="1:10" x14ac:dyDescent="0.3">
      <c r="A5075" t="s">
        <v>5206</v>
      </c>
      <c r="B5075" t="s">
        <v>29</v>
      </c>
      <c r="C5075" t="str">
        <f>_xlfn.XLOOKUP(B5075,
[1]sales_teams!$A$2:$A$100,
[1]sales_teams!$B$2:$B$100)</f>
        <v>Celia Rouche</v>
      </c>
      <c r="D5075" t="str">
        <f>_xlfn.XLOOKUP($B5075,sales_teams!$A$2:$A$36,sales_teams!C$2:C$36)</f>
        <v>West</v>
      </c>
      <c r="E5075" t="s">
        <v>15</v>
      </c>
      <c r="F5075" t="s">
        <v>189</v>
      </c>
      <c r="G5075" t="s">
        <v>40</v>
      </c>
      <c r="H5075" s="1">
        <v>42937</v>
      </c>
    </row>
    <row r="5076" spans="1:10" x14ac:dyDescent="0.3">
      <c r="A5076" t="s">
        <v>5207</v>
      </c>
      <c r="B5076" t="s">
        <v>29</v>
      </c>
      <c r="C5076" t="str">
        <f>_xlfn.XLOOKUP(B5076,
[1]sales_teams!$A$2:$A$100,
[1]sales_teams!$B$2:$B$100)</f>
        <v>Celia Rouche</v>
      </c>
      <c r="D5076" t="str">
        <f>_xlfn.XLOOKUP($B5076,sales_teams!$A$2:$A$36,sales_teams!C$2:C$36)</f>
        <v>West</v>
      </c>
      <c r="E5076" t="s">
        <v>15</v>
      </c>
      <c r="G5076" t="s">
        <v>40</v>
      </c>
      <c r="H5076" s="1">
        <v>42937</v>
      </c>
    </row>
    <row r="5077" spans="1:10" x14ac:dyDescent="0.3">
      <c r="A5077" t="s">
        <v>5208</v>
      </c>
      <c r="B5077" t="s">
        <v>29</v>
      </c>
      <c r="C5077" t="str">
        <f>_xlfn.XLOOKUP(B5077,
[1]sales_teams!$A$2:$A$100,
[1]sales_teams!$B$2:$B$100)</f>
        <v>Celia Rouche</v>
      </c>
      <c r="D5077" t="str">
        <f>_xlfn.XLOOKUP($B5077,sales_teams!$A$2:$A$36,sales_teams!C$2:C$36)</f>
        <v>West</v>
      </c>
      <c r="E5077" t="s">
        <v>39</v>
      </c>
      <c r="F5077" t="s">
        <v>93</v>
      </c>
      <c r="G5077" t="s">
        <v>12</v>
      </c>
      <c r="H5077" s="1">
        <v>42937</v>
      </c>
      <c r="I5077" s="1">
        <v>43002</v>
      </c>
      <c r="J5077">
        <v>2851</v>
      </c>
    </row>
    <row r="5078" spans="1:10" x14ac:dyDescent="0.3">
      <c r="A5078" t="s">
        <v>5209</v>
      </c>
      <c r="B5078" t="s">
        <v>73</v>
      </c>
      <c r="C5078" t="str">
        <f>_xlfn.XLOOKUP(B5078,
[1]sales_teams!$A$2:$A$100,
[1]sales_teams!$B$2:$B$100)</f>
        <v>Cara Losch</v>
      </c>
      <c r="D5078" t="str">
        <f>_xlfn.XLOOKUP($B5078,sales_teams!$A$2:$A$36,sales_teams!C$2:C$36)</f>
        <v>East</v>
      </c>
      <c r="E5078" t="s">
        <v>10</v>
      </c>
      <c r="F5078" t="s">
        <v>33</v>
      </c>
      <c r="G5078" t="s">
        <v>40</v>
      </c>
      <c r="H5078" s="1">
        <v>42937</v>
      </c>
    </row>
    <row r="5079" spans="1:10" x14ac:dyDescent="0.3">
      <c r="A5079" t="s">
        <v>5210</v>
      </c>
      <c r="B5079" t="s">
        <v>23</v>
      </c>
      <c r="C5079" t="str">
        <f>_xlfn.XLOOKUP(B5079,
[1]sales_teams!$A$2:$A$100,
[1]sales_teams!$B$2:$B$100)</f>
        <v>Summer Sewald</v>
      </c>
      <c r="D5079" t="str">
        <f>_xlfn.XLOOKUP($B5079,sales_teams!$A$2:$A$36,sales_teams!C$2:C$36)</f>
        <v>West</v>
      </c>
      <c r="E5079" t="s">
        <v>20</v>
      </c>
      <c r="G5079" t="s">
        <v>40</v>
      </c>
      <c r="H5079" s="1">
        <v>42937</v>
      </c>
    </row>
    <row r="5080" spans="1:10" x14ac:dyDescent="0.3">
      <c r="A5080" t="s">
        <v>5211</v>
      </c>
      <c r="B5080" t="s">
        <v>23</v>
      </c>
      <c r="C5080" t="str">
        <f>_xlfn.XLOOKUP(B5080,
[1]sales_teams!$A$2:$A$100,
[1]sales_teams!$B$2:$B$100)</f>
        <v>Summer Sewald</v>
      </c>
      <c r="D5080" t="str">
        <f>_xlfn.XLOOKUP($B5080,sales_teams!$A$2:$A$36,sales_teams!C$2:C$36)</f>
        <v>West</v>
      </c>
      <c r="E5080" t="s">
        <v>20</v>
      </c>
      <c r="G5080" t="s">
        <v>40</v>
      </c>
      <c r="H5080" s="1">
        <v>42937</v>
      </c>
    </row>
    <row r="5081" spans="1:10" x14ac:dyDescent="0.3">
      <c r="A5081" t="s">
        <v>5212</v>
      </c>
      <c r="B5081" t="s">
        <v>23</v>
      </c>
      <c r="C5081" t="str">
        <f>_xlfn.XLOOKUP(B5081,
[1]sales_teams!$A$2:$A$100,
[1]sales_teams!$B$2:$B$100)</f>
        <v>Summer Sewald</v>
      </c>
      <c r="D5081" t="str">
        <f>_xlfn.XLOOKUP($B5081,sales_teams!$A$2:$A$36,sales_teams!C$2:C$36)</f>
        <v>West</v>
      </c>
      <c r="E5081" t="s">
        <v>20</v>
      </c>
      <c r="G5081" t="s">
        <v>40</v>
      </c>
      <c r="H5081" s="1">
        <v>42937</v>
      </c>
    </row>
    <row r="5082" spans="1:10" x14ac:dyDescent="0.3">
      <c r="A5082" t="s">
        <v>5213</v>
      </c>
      <c r="B5082" t="s">
        <v>23</v>
      </c>
      <c r="C5082" t="str">
        <f>_xlfn.XLOOKUP(B5082,
[1]sales_teams!$A$2:$A$100,
[1]sales_teams!$B$2:$B$100)</f>
        <v>Summer Sewald</v>
      </c>
      <c r="D5082" t="str">
        <f>_xlfn.XLOOKUP($B5082,sales_teams!$A$2:$A$36,sales_teams!C$2:C$36)</f>
        <v>West</v>
      </c>
      <c r="E5082" t="s">
        <v>20</v>
      </c>
      <c r="F5082" t="s">
        <v>174</v>
      </c>
      <c r="G5082" t="s">
        <v>46</v>
      </c>
      <c r="H5082" s="1">
        <v>42937</v>
      </c>
      <c r="I5082" s="1">
        <v>43057</v>
      </c>
      <c r="J5082">
        <v>0</v>
      </c>
    </row>
    <row r="5083" spans="1:10" x14ac:dyDescent="0.3">
      <c r="A5083" t="s">
        <v>5214</v>
      </c>
      <c r="B5083" t="s">
        <v>23</v>
      </c>
      <c r="C5083" t="str">
        <f>_xlfn.XLOOKUP(B5083,
[1]sales_teams!$A$2:$A$100,
[1]sales_teams!$B$2:$B$100)</f>
        <v>Summer Sewald</v>
      </c>
      <c r="D5083" t="str">
        <f>_xlfn.XLOOKUP($B5083,sales_teams!$A$2:$A$36,sales_teams!C$2:C$36)</f>
        <v>West</v>
      </c>
      <c r="E5083" t="s">
        <v>15</v>
      </c>
      <c r="F5083" t="s">
        <v>224</v>
      </c>
      <c r="G5083" t="s">
        <v>12</v>
      </c>
      <c r="H5083" s="1">
        <v>42937</v>
      </c>
      <c r="I5083" s="1">
        <v>42938</v>
      </c>
      <c r="J5083">
        <v>5283</v>
      </c>
    </row>
    <row r="5084" spans="1:10" x14ac:dyDescent="0.3">
      <c r="A5084" t="s">
        <v>5215</v>
      </c>
      <c r="B5084" t="s">
        <v>23</v>
      </c>
      <c r="C5084" t="str">
        <f>_xlfn.XLOOKUP(B5084,
[1]sales_teams!$A$2:$A$100,
[1]sales_teams!$B$2:$B$100)</f>
        <v>Summer Sewald</v>
      </c>
      <c r="D5084" t="str">
        <f>_xlfn.XLOOKUP($B5084,sales_teams!$A$2:$A$36,sales_teams!C$2:C$36)</f>
        <v>West</v>
      </c>
      <c r="E5084" t="s">
        <v>18</v>
      </c>
      <c r="F5084" t="s">
        <v>224</v>
      </c>
      <c r="G5084" t="s">
        <v>12</v>
      </c>
      <c r="H5084" s="1">
        <v>42937</v>
      </c>
      <c r="I5084" s="1">
        <v>42939</v>
      </c>
      <c r="J5084">
        <v>49</v>
      </c>
    </row>
    <row r="5085" spans="1:10" x14ac:dyDescent="0.3">
      <c r="A5085" t="s">
        <v>5216</v>
      </c>
      <c r="B5085" t="s">
        <v>26</v>
      </c>
      <c r="C5085" t="str">
        <f>_xlfn.XLOOKUP(B5085,
[1]sales_teams!$A$2:$A$100,
[1]sales_teams!$B$2:$B$100)</f>
        <v>Dustin Brinkmann</v>
      </c>
      <c r="D5085" t="str">
        <f>_xlfn.XLOOKUP($B5085,sales_teams!$A$2:$A$36,sales_teams!C$2:C$36)</f>
        <v>Central</v>
      </c>
      <c r="E5085" t="s">
        <v>20</v>
      </c>
      <c r="G5085" t="s">
        <v>40</v>
      </c>
      <c r="H5085" s="1">
        <v>42938</v>
      </c>
    </row>
    <row r="5086" spans="1:10" x14ac:dyDescent="0.3">
      <c r="A5086" t="s">
        <v>5217</v>
      </c>
      <c r="B5086" t="s">
        <v>26</v>
      </c>
      <c r="C5086" t="str">
        <f>_xlfn.XLOOKUP(B5086,
[1]sales_teams!$A$2:$A$100,
[1]sales_teams!$B$2:$B$100)</f>
        <v>Dustin Brinkmann</v>
      </c>
      <c r="D5086" t="str">
        <f>_xlfn.XLOOKUP($B5086,sales_teams!$A$2:$A$36,sales_teams!C$2:C$36)</f>
        <v>Central</v>
      </c>
      <c r="E5086" t="s">
        <v>48</v>
      </c>
      <c r="G5086" t="s">
        <v>40</v>
      </c>
      <c r="H5086" s="1">
        <v>42938</v>
      </c>
    </row>
    <row r="5087" spans="1:10" x14ac:dyDescent="0.3">
      <c r="A5087" t="s">
        <v>5218</v>
      </c>
      <c r="B5087" t="s">
        <v>26</v>
      </c>
      <c r="C5087" t="str">
        <f>_xlfn.XLOOKUP(B5087,
[1]sales_teams!$A$2:$A$100,
[1]sales_teams!$B$2:$B$100)</f>
        <v>Dustin Brinkmann</v>
      </c>
      <c r="D5087" t="str">
        <f>_xlfn.XLOOKUP($B5087,sales_teams!$A$2:$A$36,sales_teams!C$2:C$36)</f>
        <v>Central</v>
      </c>
      <c r="E5087" t="s">
        <v>18</v>
      </c>
      <c r="F5087" t="s">
        <v>273</v>
      </c>
      <c r="G5087" t="s">
        <v>40</v>
      </c>
      <c r="H5087" s="1">
        <v>42938</v>
      </c>
    </row>
    <row r="5088" spans="1:10" x14ac:dyDescent="0.3">
      <c r="A5088" t="s">
        <v>5219</v>
      </c>
      <c r="B5088" t="s">
        <v>26</v>
      </c>
      <c r="C5088" t="str">
        <f>_xlfn.XLOOKUP(B5088,
[1]sales_teams!$A$2:$A$100,
[1]sales_teams!$B$2:$B$100)</f>
        <v>Dustin Brinkmann</v>
      </c>
      <c r="D5088" t="str">
        <f>_xlfn.XLOOKUP($B5088,sales_teams!$A$2:$A$36,sales_teams!C$2:C$36)</f>
        <v>Central</v>
      </c>
      <c r="E5088" t="s">
        <v>18</v>
      </c>
      <c r="G5088" t="s">
        <v>40</v>
      </c>
      <c r="H5088" s="1">
        <v>42938</v>
      </c>
    </row>
    <row r="5089" spans="1:10" x14ac:dyDescent="0.3">
      <c r="A5089" t="s">
        <v>5220</v>
      </c>
      <c r="B5089" t="s">
        <v>26</v>
      </c>
      <c r="C5089" t="str">
        <f>_xlfn.XLOOKUP(B5089,
[1]sales_teams!$A$2:$A$100,
[1]sales_teams!$B$2:$B$100)</f>
        <v>Dustin Brinkmann</v>
      </c>
      <c r="D5089" t="str">
        <f>_xlfn.XLOOKUP($B5089,sales_teams!$A$2:$A$36,sales_teams!C$2:C$36)</f>
        <v>Central</v>
      </c>
      <c r="E5089" t="s">
        <v>18</v>
      </c>
      <c r="G5089" t="s">
        <v>40</v>
      </c>
      <c r="H5089" s="1">
        <v>42938</v>
      </c>
    </row>
    <row r="5090" spans="1:10" x14ac:dyDescent="0.3">
      <c r="A5090" t="s">
        <v>5221</v>
      </c>
      <c r="B5090" t="s">
        <v>26</v>
      </c>
      <c r="C5090" t="str">
        <f>_xlfn.XLOOKUP(B5090,
[1]sales_teams!$A$2:$A$100,
[1]sales_teams!$B$2:$B$100)</f>
        <v>Dustin Brinkmann</v>
      </c>
      <c r="D5090" t="str">
        <f>_xlfn.XLOOKUP($B5090,sales_teams!$A$2:$A$36,sales_teams!C$2:C$36)</f>
        <v>Central</v>
      </c>
      <c r="E5090" t="s">
        <v>18</v>
      </c>
      <c r="G5090" t="s">
        <v>40</v>
      </c>
      <c r="H5090" s="1">
        <v>42938</v>
      </c>
    </row>
    <row r="5091" spans="1:10" x14ac:dyDescent="0.3">
      <c r="A5091" t="s">
        <v>5222</v>
      </c>
      <c r="B5091" t="s">
        <v>26</v>
      </c>
      <c r="C5091" t="str">
        <f>_xlfn.XLOOKUP(B5091,
[1]sales_teams!$A$2:$A$100,
[1]sales_teams!$B$2:$B$100)</f>
        <v>Dustin Brinkmann</v>
      </c>
      <c r="D5091" t="str">
        <f>_xlfn.XLOOKUP($B5091,sales_teams!$A$2:$A$36,sales_teams!C$2:C$36)</f>
        <v>Central</v>
      </c>
      <c r="E5091" t="s">
        <v>39</v>
      </c>
      <c r="G5091" t="s">
        <v>40</v>
      </c>
      <c r="H5091" s="1">
        <v>42938</v>
      </c>
    </row>
    <row r="5092" spans="1:10" x14ac:dyDescent="0.3">
      <c r="A5092" t="s">
        <v>5223</v>
      </c>
      <c r="B5092" t="s">
        <v>26</v>
      </c>
      <c r="C5092" t="str">
        <f>_xlfn.XLOOKUP(B5092,
[1]sales_teams!$A$2:$A$100,
[1]sales_teams!$B$2:$B$100)</f>
        <v>Dustin Brinkmann</v>
      </c>
      <c r="D5092" t="str">
        <f>_xlfn.XLOOKUP($B5092,sales_teams!$A$2:$A$36,sales_teams!C$2:C$36)</f>
        <v>Central</v>
      </c>
      <c r="E5092" t="s">
        <v>10</v>
      </c>
      <c r="F5092" t="s">
        <v>218</v>
      </c>
      <c r="G5092" t="s">
        <v>46</v>
      </c>
      <c r="H5092" s="1">
        <v>42938</v>
      </c>
      <c r="I5092" s="1">
        <v>42945</v>
      </c>
      <c r="J5092">
        <v>0</v>
      </c>
    </row>
    <row r="5093" spans="1:10" x14ac:dyDescent="0.3">
      <c r="A5093" t="s">
        <v>5224</v>
      </c>
      <c r="B5093" t="s">
        <v>26</v>
      </c>
      <c r="C5093" t="str">
        <f>_xlfn.XLOOKUP(B5093,
[1]sales_teams!$A$2:$A$100,
[1]sales_teams!$B$2:$B$100)</f>
        <v>Dustin Brinkmann</v>
      </c>
      <c r="D5093" t="str">
        <f>_xlfn.XLOOKUP($B5093,sales_teams!$A$2:$A$36,sales_teams!C$2:C$36)</f>
        <v>Central</v>
      </c>
      <c r="E5093" t="s">
        <v>39</v>
      </c>
      <c r="F5093" t="s">
        <v>187</v>
      </c>
      <c r="G5093" t="s">
        <v>46</v>
      </c>
      <c r="H5093" s="1">
        <v>42938</v>
      </c>
      <c r="I5093" s="1">
        <v>43042</v>
      </c>
      <c r="J5093">
        <v>0</v>
      </c>
    </row>
    <row r="5094" spans="1:10" x14ac:dyDescent="0.3">
      <c r="A5094" t="s">
        <v>5225</v>
      </c>
      <c r="B5094" t="s">
        <v>118</v>
      </c>
      <c r="C5094" t="str">
        <f>_xlfn.XLOOKUP(B5094,
[1]sales_teams!$A$2:$A$100,
[1]sales_teams!$B$2:$B$100)</f>
        <v>Rocco Neubert</v>
      </c>
      <c r="D5094" t="str">
        <f>_xlfn.XLOOKUP($B5094,sales_teams!$A$2:$A$36,sales_teams!C$2:C$36)</f>
        <v>East</v>
      </c>
      <c r="E5094" t="s">
        <v>10</v>
      </c>
      <c r="F5094" t="s">
        <v>65</v>
      </c>
      <c r="G5094" t="s">
        <v>46</v>
      </c>
      <c r="H5094" s="1">
        <v>42938</v>
      </c>
      <c r="I5094" s="1">
        <v>42990</v>
      </c>
      <c r="J5094">
        <v>0</v>
      </c>
    </row>
    <row r="5095" spans="1:10" x14ac:dyDescent="0.3">
      <c r="A5095" t="s">
        <v>5226</v>
      </c>
      <c r="B5095" t="s">
        <v>118</v>
      </c>
      <c r="C5095" t="str">
        <f>_xlfn.XLOOKUP(B5095,
[1]sales_teams!$A$2:$A$100,
[1]sales_teams!$B$2:$B$100)</f>
        <v>Rocco Neubert</v>
      </c>
      <c r="D5095" t="str">
        <f>_xlfn.XLOOKUP($B5095,sales_teams!$A$2:$A$36,sales_teams!C$2:C$36)</f>
        <v>East</v>
      </c>
      <c r="E5095" t="s">
        <v>18</v>
      </c>
      <c r="F5095" t="s">
        <v>237</v>
      </c>
      <c r="G5095" t="s">
        <v>46</v>
      </c>
      <c r="H5095" s="1">
        <v>42938</v>
      </c>
      <c r="I5095" s="1">
        <v>42943</v>
      </c>
      <c r="J5095">
        <v>0</v>
      </c>
    </row>
    <row r="5096" spans="1:10" x14ac:dyDescent="0.3">
      <c r="A5096" t="s">
        <v>5227</v>
      </c>
      <c r="B5096" t="s">
        <v>118</v>
      </c>
      <c r="C5096" t="str">
        <f>_xlfn.XLOOKUP(B5096,
[1]sales_teams!$A$2:$A$100,
[1]sales_teams!$B$2:$B$100)</f>
        <v>Rocco Neubert</v>
      </c>
      <c r="D5096" t="str">
        <f>_xlfn.XLOOKUP($B5096,sales_teams!$A$2:$A$36,sales_teams!C$2:C$36)</f>
        <v>East</v>
      </c>
      <c r="E5096" t="s">
        <v>39</v>
      </c>
      <c r="F5096" t="s">
        <v>240</v>
      </c>
      <c r="G5096" t="s">
        <v>12</v>
      </c>
      <c r="H5096" s="1">
        <v>42938</v>
      </c>
      <c r="I5096" s="1">
        <v>42939</v>
      </c>
      <c r="J5096">
        <v>3684</v>
      </c>
    </row>
    <row r="5097" spans="1:10" x14ac:dyDescent="0.3">
      <c r="A5097" t="s">
        <v>5228</v>
      </c>
      <c r="B5097" t="s">
        <v>118</v>
      </c>
      <c r="C5097" t="str">
        <f>_xlfn.XLOOKUP(B5097,
[1]sales_teams!$A$2:$A$100,
[1]sales_teams!$B$2:$B$100)</f>
        <v>Rocco Neubert</v>
      </c>
      <c r="D5097" t="str">
        <f>_xlfn.XLOOKUP($B5097,sales_teams!$A$2:$A$36,sales_teams!C$2:C$36)</f>
        <v>East</v>
      </c>
      <c r="E5097" t="s">
        <v>39</v>
      </c>
      <c r="F5097" t="s">
        <v>143</v>
      </c>
      <c r="G5097" t="s">
        <v>12</v>
      </c>
      <c r="H5097" s="1">
        <v>42938</v>
      </c>
      <c r="I5097" s="1">
        <v>43062</v>
      </c>
      <c r="J5097">
        <v>2986</v>
      </c>
    </row>
    <row r="5098" spans="1:10" x14ac:dyDescent="0.3">
      <c r="A5098" t="s">
        <v>5229</v>
      </c>
      <c r="B5098" t="s">
        <v>202</v>
      </c>
      <c r="C5098" t="str">
        <f>_xlfn.XLOOKUP(B5098,
[1]sales_teams!$A$2:$A$100,
[1]sales_teams!$B$2:$B$100)</f>
        <v>Dustin Brinkmann</v>
      </c>
      <c r="D5098" t="str">
        <f>_xlfn.XLOOKUP($B5098,sales_teams!$A$2:$A$36,sales_teams!C$2:C$36)</f>
        <v>Central</v>
      </c>
      <c r="E5098" t="s">
        <v>20</v>
      </c>
      <c r="G5098" t="s">
        <v>40</v>
      </c>
      <c r="H5098" s="1">
        <v>42938</v>
      </c>
    </row>
    <row r="5099" spans="1:10" x14ac:dyDescent="0.3">
      <c r="A5099" t="s">
        <v>5230</v>
      </c>
      <c r="B5099" t="s">
        <v>202</v>
      </c>
      <c r="C5099" t="str">
        <f>_xlfn.XLOOKUP(B5099,
[1]sales_teams!$A$2:$A$100,
[1]sales_teams!$B$2:$B$100)</f>
        <v>Dustin Brinkmann</v>
      </c>
      <c r="D5099" t="str">
        <f>_xlfn.XLOOKUP($B5099,sales_teams!$A$2:$A$36,sales_teams!C$2:C$36)</f>
        <v>Central</v>
      </c>
      <c r="E5099" t="s">
        <v>10</v>
      </c>
      <c r="G5099" t="s">
        <v>40</v>
      </c>
      <c r="H5099" s="1">
        <v>42938</v>
      </c>
    </row>
    <row r="5100" spans="1:10" x14ac:dyDescent="0.3">
      <c r="A5100" t="s">
        <v>5231</v>
      </c>
      <c r="B5100" t="s">
        <v>202</v>
      </c>
      <c r="C5100" t="str">
        <f>_xlfn.XLOOKUP(B5100,
[1]sales_teams!$A$2:$A$100,
[1]sales_teams!$B$2:$B$100)</f>
        <v>Dustin Brinkmann</v>
      </c>
      <c r="D5100" t="str">
        <f>_xlfn.XLOOKUP($B5100,sales_teams!$A$2:$A$36,sales_teams!C$2:C$36)</f>
        <v>Central</v>
      </c>
      <c r="E5100" t="s">
        <v>39</v>
      </c>
      <c r="F5100" t="s">
        <v>62</v>
      </c>
      <c r="G5100" t="s">
        <v>40</v>
      </c>
      <c r="H5100" s="1">
        <v>42938</v>
      </c>
    </row>
    <row r="5101" spans="1:10" x14ac:dyDescent="0.3">
      <c r="A5101" t="s">
        <v>5232</v>
      </c>
      <c r="B5101" t="s">
        <v>202</v>
      </c>
      <c r="C5101" t="str">
        <f>_xlfn.XLOOKUP(B5101,
[1]sales_teams!$A$2:$A$100,
[1]sales_teams!$B$2:$B$100)</f>
        <v>Dustin Brinkmann</v>
      </c>
      <c r="D5101" t="str">
        <f>_xlfn.XLOOKUP($B5101,sales_teams!$A$2:$A$36,sales_teams!C$2:C$36)</f>
        <v>Central</v>
      </c>
      <c r="E5101" t="s">
        <v>18</v>
      </c>
      <c r="F5101" t="s">
        <v>111</v>
      </c>
      <c r="G5101" t="s">
        <v>12</v>
      </c>
      <c r="H5101" s="1">
        <v>42938</v>
      </c>
      <c r="I5101" s="1">
        <v>42939</v>
      </c>
      <c r="J5101">
        <v>50</v>
      </c>
    </row>
    <row r="5102" spans="1:10" x14ac:dyDescent="0.3">
      <c r="A5102" t="s">
        <v>5233</v>
      </c>
      <c r="B5102" t="s">
        <v>164</v>
      </c>
      <c r="C5102" t="str">
        <f>_xlfn.XLOOKUP(B5102,
[1]sales_teams!$A$2:$A$100,
[1]sales_teams!$B$2:$B$100)</f>
        <v>Cara Losch</v>
      </c>
      <c r="D5102" t="str">
        <f>_xlfn.XLOOKUP($B5102,sales_teams!$A$2:$A$36,sales_teams!C$2:C$36)</f>
        <v>East</v>
      </c>
      <c r="E5102" t="s">
        <v>15</v>
      </c>
      <c r="F5102" t="s">
        <v>410</v>
      </c>
      <c r="G5102" t="s">
        <v>46</v>
      </c>
      <c r="H5102" s="1">
        <v>42938</v>
      </c>
      <c r="I5102" s="1">
        <v>42949</v>
      </c>
      <c r="J5102">
        <v>0</v>
      </c>
    </row>
    <row r="5103" spans="1:10" x14ac:dyDescent="0.3">
      <c r="A5103" t="s">
        <v>5234</v>
      </c>
      <c r="B5103" t="s">
        <v>164</v>
      </c>
      <c r="C5103" t="str">
        <f>_xlfn.XLOOKUP(B5103,
[1]sales_teams!$A$2:$A$100,
[1]sales_teams!$B$2:$B$100)</f>
        <v>Cara Losch</v>
      </c>
      <c r="D5103" t="str">
        <f>_xlfn.XLOOKUP($B5103,sales_teams!$A$2:$A$36,sales_teams!C$2:C$36)</f>
        <v>East</v>
      </c>
      <c r="E5103" t="s">
        <v>15</v>
      </c>
      <c r="F5103" t="s">
        <v>81</v>
      </c>
      <c r="G5103" t="s">
        <v>46</v>
      </c>
      <c r="H5103" s="1">
        <v>42938</v>
      </c>
      <c r="I5103" s="1">
        <v>42945</v>
      </c>
      <c r="J5103">
        <v>0</v>
      </c>
    </row>
    <row r="5104" spans="1:10" x14ac:dyDescent="0.3">
      <c r="A5104" t="s">
        <v>5235</v>
      </c>
      <c r="B5104" t="s">
        <v>14</v>
      </c>
      <c r="C5104" t="str">
        <f>_xlfn.XLOOKUP(B5104,
[1]sales_teams!$A$2:$A$100,
[1]sales_teams!$B$2:$B$100)</f>
        <v>Melvin Marxen</v>
      </c>
      <c r="D5104" t="str">
        <f>_xlfn.XLOOKUP($B5104,sales_teams!$A$2:$A$36,sales_teams!C$2:C$36)</f>
        <v>Central</v>
      </c>
      <c r="E5104" t="s">
        <v>20</v>
      </c>
      <c r="G5104" t="s">
        <v>40</v>
      </c>
      <c r="H5104" s="1">
        <v>42938</v>
      </c>
    </row>
    <row r="5105" spans="1:10" x14ac:dyDescent="0.3">
      <c r="A5105" t="s">
        <v>5236</v>
      </c>
      <c r="B5105" t="s">
        <v>14</v>
      </c>
      <c r="C5105" t="str">
        <f>_xlfn.XLOOKUP(B5105,
[1]sales_teams!$A$2:$A$100,
[1]sales_teams!$B$2:$B$100)</f>
        <v>Melvin Marxen</v>
      </c>
      <c r="D5105" t="str">
        <f>_xlfn.XLOOKUP($B5105,sales_teams!$A$2:$A$36,sales_teams!C$2:C$36)</f>
        <v>Central</v>
      </c>
      <c r="E5105" t="s">
        <v>10</v>
      </c>
      <c r="G5105" t="s">
        <v>40</v>
      </c>
      <c r="H5105" s="1">
        <v>42938</v>
      </c>
    </row>
    <row r="5106" spans="1:10" x14ac:dyDescent="0.3">
      <c r="A5106" t="s">
        <v>5237</v>
      </c>
      <c r="B5106" t="s">
        <v>14</v>
      </c>
      <c r="C5106" t="str">
        <f>_xlfn.XLOOKUP(B5106,
[1]sales_teams!$A$2:$A$100,
[1]sales_teams!$B$2:$B$100)</f>
        <v>Melvin Marxen</v>
      </c>
      <c r="D5106" t="str">
        <f>_xlfn.XLOOKUP($B5106,sales_teams!$A$2:$A$36,sales_teams!C$2:C$36)</f>
        <v>Central</v>
      </c>
      <c r="E5106" t="s">
        <v>15</v>
      </c>
      <c r="G5106" t="s">
        <v>40</v>
      </c>
      <c r="H5106" s="1">
        <v>42938</v>
      </c>
    </row>
    <row r="5107" spans="1:10" x14ac:dyDescent="0.3">
      <c r="A5107" t="s">
        <v>5238</v>
      </c>
      <c r="B5107" t="s">
        <v>14</v>
      </c>
      <c r="C5107" t="str">
        <f>_xlfn.XLOOKUP(B5107,
[1]sales_teams!$A$2:$A$100,
[1]sales_teams!$B$2:$B$100)</f>
        <v>Melvin Marxen</v>
      </c>
      <c r="D5107" t="str">
        <f>_xlfn.XLOOKUP($B5107,sales_teams!$A$2:$A$36,sales_teams!C$2:C$36)</f>
        <v>Central</v>
      </c>
      <c r="E5107" t="s">
        <v>18</v>
      </c>
      <c r="G5107" t="s">
        <v>40</v>
      </c>
      <c r="H5107" s="1">
        <v>42938</v>
      </c>
    </row>
    <row r="5108" spans="1:10" x14ac:dyDescent="0.3">
      <c r="A5108" t="s">
        <v>5239</v>
      </c>
      <c r="B5108" t="s">
        <v>14</v>
      </c>
      <c r="C5108" t="str">
        <f>_xlfn.XLOOKUP(B5108,
[1]sales_teams!$A$2:$A$100,
[1]sales_teams!$B$2:$B$100)</f>
        <v>Melvin Marxen</v>
      </c>
      <c r="D5108" t="str">
        <f>_xlfn.XLOOKUP($B5108,sales_teams!$A$2:$A$36,sales_teams!C$2:C$36)</f>
        <v>Central</v>
      </c>
      <c r="E5108" t="s">
        <v>15</v>
      </c>
      <c r="F5108" t="s">
        <v>492</v>
      </c>
      <c r="G5108" t="s">
        <v>46</v>
      </c>
      <c r="H5108" s="1">
        <v>42938</v>
      </c>
      <c r="I5108" s="1">
        <v>42940</v>
      </c>
      <c r="J5108">
        <v>0</v>
      </c>
    </row>
    <row r="5109" spans="1:10" x14ac:dyDescent="0.3">
      <c r="A5109" t="s">
        <v>5240</v>
      </c>
      <c r="B5109" t="s">
        <v>14</v>
      </c>
      <c r="C5109" t="str">
        <f>_xlfn.XLOOKUP(B5109,
[1]sales_teams!$A$2:$A$100,
[1]sales_teams!$B$2:$B$100)</f>
        <v>Melvin Marxen</v>
      </c>
      <c r="D5109" t="str">
        <f>_xlfn.XLOOKUP($B5109,sales_teams!$A$2:$A$36,sales_teams!C$2:C$36)</f>
        <v>Central</v>
      </c>
      <c r="E5109" t="s">
        <v>10</v>
      </c>
      <c r="F5109" t="s">
        <v>109</v>
      </c>
      <c r="G5109" t="s">
        <v>12</v>
      </c>
      <c r="H5109" s="1">
        <v>42938</v>
      </c>
      <c r="I5109" s="1">
        <v>42945</v>
      </c>
      <c r="J5109">
        <v>927</v>
      </c>
    </row>
    <row r="5110" spans="1:10" x14ac:dyDescent="0.3">
      <c r="A5110" t="s">
        <v>5241</v>
      </c>
      <c r="B5110" t="s">
        <v>14</v>
      </c>
      <c r="C5110" t="str">
        <f>_xlfn.XLOOKUP(B5110,
[1]sales_teams!$A$2:$A$100,
[1]sales_teams!$B$2:$B$100)</f>
        <v>Melvin Marxen</v>
      </c>
      <c r="D5110" t="str">
        <f>_xlfn.XLOOKUP($B5110,sales_teams!$A$2:$A$36,sales_teams!C$2:C$36)</f>
        <v>Central</v>
      </c>
      <c r="E5110" t="s">
        <v>15</v>
      </c>
      <c r="F5110" t="s">
        <v>91</v>
      </c>
      <c r="G5110" t="s">
        <v>12</v>
      </c>
      <c r="H5110" s="1">
        <v>42938</v>
      </c>
      <c r="I5110" s="1">
        <v>42983</v>
      </c>
      <c r="J5110">
        <v>5113</v>
      </c>
    </row>
    <row r="5111" spans="1:10" x14ac:dyDescent="0.3">
      <c r="A5111" t="s">
        <v>5242</v>
      </c>
      <c r="B5111" t="s">
        <v>67</v>
      </c>
      <c r="C5111" t="str">
        <f>_xlfn.XLOOKUP(B5111,
[1]sales_teams!$A$2:$A$100,
[1]sales_teams!$B$2:$B$100)</f>
        <v>Celia Rouche</v>
      </c>
      <c r="D5111" t="str">
        <f>_xlfn.XLOOKUP($B5111,sales_teams!$A$2:$A$36,sales_teams!C$2:C$36)</f>
        <v>West</v>
      </c>
      <c r="E5111" t="s">
        <v>18</v>
      </c>
      <c r="F5111" t="s">
        <v>313</v>
      </c>
      <c r="G5111" t="s">
        <v>12</v>
      </c>
      <c r="H5111" s="1">
        <v>42938</v>
      </c>
      <c r="I5111" s="1">
        <v>42939</v>
      </c>
      <c r="J5111">
        <v>51</v>
      </c>
    </row>
    <row r="5112" spans="1:10" x14ac:dyDescent="0.3">
      <c r="A5112" t="s">
        <v>5243</v>
      </c>
      <c r="B5112" t="s">
        <v>44</v>
      </c>
      <c r="C5112" t="str">
        <f>_xlfn.XLOOKUP(B5112,
[1]sales_teams!$A$2:$A$100,
[1]sales_teams!$B$2:$B$100)</f>
        <v>Melvin Marxen</v>
      </c>
      <c r="D5112" t="str">
        <f>_xlfn.XLOOKUP($B5112,sales_teams!$A$2:$A$36,sales_teams!C$2:C$36)</f>
        <v>Central</v>
      </c>
      <c r="E5112" t="s">
        <v>20</v>
      </c>
      <c r="G5112" t="s">
        <v>40</v>
      </c>
      <c r="H5112" s="1">
        <v>42938</v>
      </c>
    </row>
    <row r="5113" spans="1:10" x14ac:dyDescent="0.3">
      <c r="A5113" t="s">
        <v>5244</v>
      </c>
      <c r="B5113" t="s">
        <v>44</v>
      </c>
      <c r="C5113" t="str">
        <f>_xlfn.XLOOKUP(B5113,
[1]sales_teams!$A$2:$A$100,
[1]sales_teams!$B$2:$B$100)</f>
        <v>Melvin Marxen</v>
      </c>
      <c r="D5113" t="str">
        <f>_xlfn.XLOOKUP($B5113,sales_teams!$A$2:$A$36,sales_teams!C$2:C$36)</f>
        <v>Central</v>
      </c>
      <c r="E5113" t="s">
        <v>10</v>
      </c>
      <c r="F5113" t="s">
        <v>135</v>
      </c>
      <c r="G5113" t="s">
        <v>40</v>
      </c>
      <c r="H5113" s="1">
        <v>42938</v>
      </c>
    </row>
    <row r="5114" spans="1:10" x14ac:dyDescent="0.3">
      <c r="A5114" t="s">
        <v>5245</v>
      </c>
      <c r="B5114" t="s">
        <v>44</v>
      </c>
      <c r="C5114" t="str">
        <f>_xlfn.XLOOKUP(B5114,
[1]sales_teams!$A$2:$A$100,
[1]sales_teams!$B$2:$B$100)</f>
        <v>Melvin Marxen</v>
      </c>
      <c r="D5114" t="str">
        <f>_xlfn.XLOOKUP($B5114,sales_teams!$A$2:$A$36,sales_teams!C$2:C$36)</f>
        <v>Central</v>
      </c>
      <c r="E5114" t="s">
        <v>18</v>
      </c>
      <c r="F5114" t="s">
        <v>140</v>
      </c>
      <c r="G5114" t="s">
        <v>40</v>
      </c>
      <c r="H5114" s="1">
        <v>42938</v>
      </c>
    </row>
    <row r="5115" spans="1:10" x14ac:dyDescent="0.3">
      <c r="A5115" t="s">
        <v>5246</v>
      </c>
      <c r="B5115" t="s">
        <v>44</v>
      </c>
      <c r="C5115" t="str">
        <f>_xlfn.XLOOKUP(B5115,
[1]sales_teams!$A$2:$A$100,
[1]sales_teams!$B$2:$B$100)</f>
        <v>Melvin Marxen</v>
      </c>
      <c r="D5115" t="str">
        <f>_xlfn.XLOOKUP($B5115,sales_teams!$A$2:$A$36,sales_teams!C$2:C$36)</f>
        <v>Central</v>
      </c>
      <c r="E5115" t="s">
        <v>18</v>
      </c>
      <c r="G5115" t="s">
        <v>40</v>
      </c>
      <c r="H5115" s="1">
        <v>42938</v>
      </c>
    </row>
    <row r="5116" spans="1:10" x14ac:dyDescent="0.3">
      <c r="A5116" t="s">
        <v>5247</v>
      </c>
      <c r="B5116" t="s">
        <v>44</v>
      </c>
      <c r="C5116" t="str">
        <f>_xlfn.XLOOKUP(B5116,
[1]sales_teams!$A$2:$A$100,
[1]sales_teams!$B$2:$B$100)</f>
        <v>Melvin Marxen</v>
      </c>
      <c r="D5116" t="str">
        <f>_xlfn.XLOOKUP($B5116,sales_teams!$A$2:$A$36,sales_teams!C$2:C$36)</f>
        <v>Central</v>
      </c>
      <c r="E5116" t="s">
        <v>39</v>
      </c>
      <c r="F5116" t="s">
        <v>106</v>
      </c>
      <c r="G5116" t="s">
        <v>40</v>
      </c>
      <c r="H5116" s="1">
        <v>42938</v>
      </c>
    </row>
    <row r="5117" spans="1:10" x14ac:dyDescent="0.3">
      <c r="A5117" t="s">
        <v>5248</v>
      </c>
      <c r="B5117" t="s">
        <v>54</v>
      </c>
      <c r="C5117" t="str">
        <f>_xlfn.XLOOKUP(B5117,
[1]sales_teams!$A$2:$A$100,
[1]sales_teams!$B$2:$B$100)</f>
        <v>Celia Rouche</v>
      </c>
      <c r="D5117" t="str">
        <f>_xlfn.XLOOKUP($B5117,sales_teams!$A$2:$A$36,sales_teams!C$2:C$36)</f>
        <v>West</v>
      </c>
      <c r="E5117" t="s">
        <v>18</v>
      </c>
      <c r="F5117" t="s">
        <v>55</v>
      </c>
      <c r="G5117" t="s">
        <v>12</v>
      </c>
      <c r="H5117" s="1">
        <v>42938</v>
      </c>
      <c r="I5117" s="1">
        <v>42992</v>
      </c>
      <c r="J5117">
        <v>64</v>
      </c>
    </row>
    <row r="5118" spans="1:10" x14ac:dyDescent="0.3">
      <c r="A5118" t="s">
        <v>5249</v>
      </c>
      <c r="B5118" t="s">
        <v>38</v>
      </c>
      <c r="C5118" t="str">
        <f>_xlfn.XLOOKUP(B5118,
[1]sales_teams!$A$2:$A$100,
[1]sales_teams!$B$2:$B$100)</f>
        <v>Summer Sewald</v>
      </c>
      <c r="D5118" t="str">
        <f>_xlfn.XLOOKUP($B5118,sales_teams!$A$2:$A$36,sales_teams!C$2:C$36)</f>
        <v>West</v>
      </c>
      <c r="E5118" t="s">
        <v>18</v>
      </c>
      <c r="G5118" t="s">
        <v>40</v>
      </c>
      <c r="H5118" s="1">
        <v>42938</v>
      </c>
    </row>
    <row r="5119" spans="1:10" x14ac:dyDescent="0.3">
      <c r="A5119" t="s">
        <v>5250</v>
      </c>
      <c r="B5119" t="s">
        <v>252</v>
      </c>
      <c r="C5119" t="str">
        <f>_xlfn.XLOOKUP(B5119,
[1]sales_teams!$A$2:$A$100,
[1]sales_teams!$B$2:$B$100)</f>
        <v>Melvin Marxen</v>
      </c>
      <c r="D5119" t="str">
        <f>_xlfn.XLOOKUP($B5119,sales_teams!$A$2:$A$36,sales_teams!C$2:C$36)</f>
        <v>Central</v>
      </c>
      <c r="E5119" t="s">
        <v>10</v>
      </c>
      <c r="G5119" t="s">
        <v>40</v>
      </c>
      <c r="H5119" s="1">
        <v>42938</v>
      </c>
    </row>
    <row r="5120" spans="1:10" x14ac:dyDescent="0.3">
      <c r="A5120" t="s">
        <v>5251</v>
      </c>
      <c r="B5120" t="s">
        <v>252</v>
      </c>
      <c r="C5120" t="str">
        <f>_xlfn.XLOOKUP(B5120,
[1]sales_teams!$A$2:$A$100,
[1]sales_teams!$B$2:$B$100)</f>
        <v>Melvin Marxen</v>
      </c>
      <c r="D5120" t="str">
        <f>_xlfn.XLOOKUP($B5120,sales_teams!$A$2:$A$36,sales_teams!C$2:C$36)</f>
        <v>Central</v>
      </c>
      <c r="E5120" t="s">
        <v>20</v>
      </c>
      <c r="F5120" t="s">
        <v>126</v>
      </c>
      <c r="G5120" t="s">
        <v>46</v>
      </c>
      <c r="H5120" s="1">
        <v>42938</v>
      </c>
      <c r="I5120" s="1">
        <v>43044</v>
      </c>
      <c r="J5120">
        <v>0</v>
      </c>
    </row>
    <row r="5121" spans="1:10" x14ac:dyDescent="0.3">
      <c r="A5121" t="s">
        <v>5252</v>
      </c>
      <c r="B5121" t="s">
        <v>252</v>
      </c>
      <c r="C5121" t="str">
        <f>_xlfn.XLOOKUP(B5121,
[1]sales_teams!$A$2:$A$100,
[1]sales_teams!$B$2:$B$100)</f>
        <v>Melvin Marxen</v>
      </c>
      <c r="D5121" t="str">
        <f>_xlfn.XLOOKUP($B5121,sales_teams!$A$2:$A$36,sales_teams!C$2:C$36)</f>
        <v>Central</v>
      </c>
      <c r="E5121" t="s">
        <v>10</v>
      </c>
      <c r="F5121" t="s">
        <v>207</v>
      </c>
      <c r="G5121" t="s">
        <v>46</v>
      </c>
      <c r="H5121" s="1">
        <v>42938</v>
      </c>
      <c r="I5121" s="1">
        <v>42940</v>
      </c>
      <c r="J5121">
        <v>0</v>
      </c>
    </row>
    <row r="5122" spans="1:10" x14ac:dyDescent="0.3">
      <c r="A5122" t="s">
        <v>5253</v>
      </c>
      <c r="B5122" t="s">
        <v>252</v>
      </c>
      <c r="C5122" t="str">
        <f>_xlfn.XLOOKUP(B5122,
[1]sales_teams!$A$2:$A$100,
[1]sales_teams!$B$2:$B$100)</f>
        <v>Melvin Marxen</v>
      </c>
      <c r="D5122" t="str">
        <f>_xlfn.XLOOKUP($B5122,sales_teams!$A$2:$A$36,sales_teams!C$2:C$36)</f>
        <v>Central</v>
      </c>
      <c r="E5122" t="s">
        <v>15</v>
      </c>
      <c r="F5122" t="s">
        <v>315</v>
      </c>
      <c r="G5122" t="s">
        <v>46</v>
      </c>
      <c r="H5122" s="1">
        <v>42938</v>
      </c>
      <c r="I5122" s="1">
        <v>43051</v>
      </c>
      <c r="J5122">
        <v>0</v>
      </c>
    </row>
    <row r="5123" spans="1:10" x14ac:dyDescent="0.3">
      <c r="A5123" t="s">
        <v>5254</v>
      </c>
      <c r="B5123" t="s">
        <v>95</v>
      </c>
      <c r="C5123" t="str">
        <f>_xlfn.XLOOKUP(B5123,
[1]sales_teams!$A$2:$A$100,
[1]sales_teams!$B$2:$B$100)</f>
        <v>Summer Sewald</v>
      </c>
      <c r="D5123" t="str">
        <f>_xlfn.XLOOKUP($B5123,sales_teams!$A$2:$A$36,sales_teams!C$2:C$36)</f>
        <v>West</v>
      </c>
      <c r="E5123" t="s">
        <v>20</v>
      </c>
      <c r="F5123" t="s">
        <v>199</v>
      </c>
      <c r="G5123" t="s">
        <v>12</v>
      </c>
      <c r="H5123" s="1">
        <v>42938</v>
      </c>
      <c r="I5123" s="1">
        <v>42939</v>
      </c>
      <c r="J5123">
        <v>442</v>
      </c>
    </row>
    <row r="5124" spans="1:10" x14ac:dyDescent="0.3">
      <c r="A5124" t="s">
        <v>5255</v>
      </c>
      <c r="B5124" t="s">
        <v>133</v>
      </c>
      <c r="C5124" t="str">
        <f>_xlfn.XLOOKUP(B5124,
[1]sales_teams!$A$2:$A$100,
[1]sales_teams!$B$2:$B$100)</f>
        <v>Dustin Brinkmann</v>
      </c>
      <c r="D5124" t="str">
        <f>_xlfn.XLOOKUP($B5124,sales_teams!$A$2:$A$36,sales_teams!C$2:C$36)</f>
        <v>Central</v>
      </c>
      <c r="E5124" t="s">
        <v>20</v>
      </c>
      <c r="G5124" t="s">
        <v>40</v>
      </c>
      <c r="H5124" s="1">
        <v>42938</v>
      </c>
    </row>
    <row r="5125" spans="1:10" x14ac:dyDescent="0.3">
      <c r="A5125" t="s">
        <v>5256</v>
      </c>
      <c r="B5125" t="s">
        <v>133</v>
      </c>
      <c r="C5125" t="str">
        <f>_xlfn.XLOOKUP(B5125,
[1]sales_teams!$A$2:$A$100,
[1]sales_teams!$B$2:$B$100)</f>
        <v>Dustin Brinkmann</v>
      </c>
      <c r="D5125" t="str">
        <f>_xlfn.XLOOKUP($B5125,sales_teams!$A$2:$A$36,sales_teams!C$2:C$36)</f>
        <v>Central</v>
      </c>
      <c r="E5125" t="s">
        <v>10</v>
      </c>
      <c r="G5125" t="s">
        <v>40</v>
      </c>
      <c r="H5125" s="1">
        <v>42938</v>
      </c>
    </row>
    <row r="5126" spans="1:10" x14ac:dyDescent="0.3">
      <c r="A5126" t="s">
        <v>5257</v>
      </c>
      <c r="B5126" t="s">
        <v>133</v>
      </c>
      <c r="C5126" t="str">
        <f>_xlfn.XLOOKUP(B5126,
[1]sales_teams!$A$2:$A$100,
[1]sales_teams!$B$2:$B$100)</f>
        <v>Dustin Brinkmann</v>
      </c>
      <c r="D5126" t="str">
        <f>_xlfn.XLOOKUP($B5126,sales_teams!$A$2:$A$36,sales_teams!C$2:C$36)</f>
        <v>Central</v>
      </c>
      <c r="E5126" t="s">
        <v>48</v>
      </c>
      <c r="G5126" t="s">
        <v>40</v>
      </c>
      <c r="H5126" s="1">
        <v>42938</v>
      </c>
    </row>
    <row r="5127" spans="1:10" x14ac:dyDescent="0.3">
      <c r="A5127" t="s">
        <v>5258</v>
      </c>
      <c r="B5127" t="s">
        <v>133</v>
      </c>
      <c r="C5127" t="str">
        <f>_xlfn.XLOOKUP(B5127,
[1]sales_teams!$A$2:$A$100,
[1]sales_teams!$B$2:$B$100)</f>
        <v>Dustin Brinkmann</v>
      </c>
      <c r="D5127" t="str">
        <f>_xlfn.XLOOKUP($B5127,sales_teams!$A$2:$A$36,sales_teams!C$2:C$36)</f>
        <v>Central</v>
      </c>
      <c r="E5127" t="s">
        <v>39</v>
      </c>
      <c r="G5127" t="s">
        <v>40</v>
      </c>
      <c r="H5127" s="1">
        <v>42938</v>
      </c>
    </row>
    <row r="5128" spans="1:10" x14ac:dyDescent="0.3">
      <c r="A5128" t="s">
        <v>5259</v>
      </c>
      <c r="B5128" t="s">
        <v>32</v>
      </c>
      <c r="C5128" t="str">
        <f>_xlfn.XLOOKUP(B5128,
[1]sales_teams!$A$2:$A$100,
[1]sales_teams!$B$2:$B$100)</f>
        <v>Celia Rouche</v>
      </c>
      <c r="D5128" t="str">
        <f>_xlfn.XLOOKUP($B5128,sales_teams!$A$2:$A$36,sales_teams!C$2:C$36)</f>
        <v>West</v>
      </c>
      <c r="E5128" t="s">
        <v>15</v>
      </c>
      <c r="F5128" t="s">
        <v>70</v>
      </c>
      <c r="G5128" t="s">
        <v>46</v>
      </c>
      <c r="H5128" s="1">
        <v>42938</v>
      </c>
      <c r="I5128" s="1">
        <v>42946</v>
      </c>
      <c r="J5128">
        <v>0</v>
      </c>
    </row>
    <row r="5129" spans="1:10" x14ac:dyDescent="0.3">
      <c r="A5129" t="s">
        <v>5260</v>
      </c>
      <c r="B5129" t="s">
        <v>32</v>
      </c>
      <c r="C5129" t="str">
        <f>_xlfn.XLOOKUP(B5129,
[1]sales_teams!$A$2:$A$100,
[1]sales_teams!$B$2:$B$100)</f>
        <v>Celia Rouche</v>
      </c>
      <c r="D5129" t="str">
        <f>_xlfn.XLOOKUP($B5129,sales_teams!$A$2:$A$36,sales_teams!C$2:C$36)</f>
        <v>West</v>
      </c>
      <c r="E5129" t="s">
        <v>39</v>
      </c>
      <c r="F5129" t="s">
        <v>313</v>
      </c>
      <c r="G5129" t="s">
        <v>12</v>
      </c>
      <c r="H5129" s="1">
        <v>42938</v>
      </c>
      <c r="I5129" s="1">
        <v>43008</v>
      </c>
      <c r="J5129">
        <v>3015</v>
      </c>
    </row>
    <row r="5130" spans="1:10" x14ac:dyDescent="0.3">
      <c r="A5130" t="s">
        <v>5261</v>
      </c>
      <c r="B5130" t="s">
        <v>116</v>
      </c>
      <c r="C5130" t="str">
        <f>_xlfn.XLOOKUP(B5130,
[1]sales_teams!$A$2:$A$100,
[1]sales_teams!$B$2:$B$100)</f>
        <v>Melvin Marxen</v>
      </c>
      <c r="D5130" t="str">
        <f>_xlfn.XLOOKUP($B5130,sales_teams!$A$2:$A$36,sales_teams!C$2:C$36)</f>
        <v>Central</v>
      </c>
      <c r="E5130" t="s">
        <v>39</v>
      </c>
      <c r="F5130" t="s">
        <v>11</v>
      </c>
      <c r="G5130" t="s">
        <v>46</v>
      </c>
      <c r="H5130" s="1">
        <v>42938</v>
      </c>
      <c r="I5130" s="1">
        <v>42940</v>
      </c>
      <c r="J5130">
        <v>0</v>
      </c>
    </row>
    <row r="5131" spans="1:10" x14ac:dyDescent="0.3">
      <c r="A5131" t="s">
        <v>5262</v>
      </c>
      <c r="B5131" t="s">
        <v>51</v>
      </c>
      <c r="C5131" t="str">
        <f>_xlfn.XLOOKUP(B5131,
[1]sales_teams!$A$2:$A$100,
[1]sales_teams!$B$2:$B$100)</f>
        <v>Summer Sewald</v>
      </c>
      <c r="D5131" t="str">
        <f>_xlfn.XLOOKUP($B5131,sales_teams!$A$2:$A$36,sales_teams!C$2:C$36)</f>
        <v>West</v>
      </c>
      <c r="E5131" t="s">
        <v>48</v>
      </c>
      <c r="F5131" t="s">
        <v>93</v>
      </c>
      <c r="G5131" t="s">
        <v>46</v>
      </c>
      <c r="H5131" s="1">
        <v>42938</v>
      </c>
      <c r="I5131" s="1">
        <v>42939</v>
      </c>
      <c r="J5131">
        <v>0</v>
      </c>
    </row>
    <row r="5132" spans="1:10" x14ac:dyDescent="0.3">
      <c r="A5132" t="s">
        <v>5263</v>
      </c>
      <c r="B5132" t="s">
        <v>9</v>
      </c>
      <c r="C5132" t="str">
        <f>_xlfn.XLOOKUP(B5132,
[1]sales_teams!$A$2:$A$100,
[1]sales_teams!$B$2:$B$100)</f>
        <v>Dustin Brinkmann</v>
      </c>
      <c r="D5132" t="str">
        <f>_xlfn.XLOOKUP($B5132,sales_teams!$A$2:$A$36,sales_teams!C$2:C$36)</f>
        <v>Central</v>
      </c>
      <c r="E5132" t="s">
        <v>18</v>
      </c>
      <c r="F5132" t="s">
        <v>179</v>
      </c>
      <c r="G5132" t="s">
        <v>40</v>
      </c>
      <c r="H5132" s="1">
        <v>42938</v>
      </c>
    </row>
    <row r="5133" spans="1:10" x14ac:dyDescent="0.3">
      <c r="A5133" t="s">
        <v>5264</v>
      </c>
      <c r="B5133" t="s">
        <v>9</v>
      </c>
      <c r="C5133" t="str">
        <f>_xlfn.XLOOKUP(B5133,
[1]sales_teams!$A$2:$A$100,
[1]sales_teams!$B$2:$B$100)</f>
        <v>Dustin Brinkmann</v>
      </c>
      <c r="D5133" t="str">
        <f>_xlfn.XLOOKUP($B5133,sales_teams!$A$2:$A$36,sales_teams!C$2:C$36)</f>
        <v>Central</v>
      </c>
      <c r="E5133" t="s">
        <v>18</v>
      </c>
      <c r="G5133" t="s">
        <v>40</v>
      </c>
      <c r="H5133" s="1">
        <v>42938</v>
      </c>
    </row>
    <row r="5134" spans="1:10" x14ac:dyDescent="0.3">
      <c r="A5134" t="s">
        <v>5265</v>
      </c>
      <c r="B5134" t="s">
        <v>9</v>
      </c>
      <c r="C5134" t="str">
        <f>_xlfn.XLOOKUP(B5134,
[1]sales_teams!$A$2:$A$100,
[1]sales_teams!$B$2:$B$100)</f>
        <v>Dustin Brinkmann</v>
      </c>
      <c r="D5134" t="str">
        <f>_xlfn.XLOOKUP($B5134,sales_teams!$A$2:$A$36,sales_teams!C$2:C$36)</f>
        <v>Central</v>
      </c>
      <c r="E5134" t="s">
        <v>39</v>
      </c>
      <c r="G5134" t="s">
        <v>40</v>
      </c>
      <c r="H5134" s="1">
        <v>42938</v>
      </c>
    </row>
    <row r="5135" spans="1:10" x14ac:dyDescent="0.3">
      <c r="A5135" t="s">
        <v>5266</v>
      </c>
      <c r="B5135" t="s">
        <v>9</v>
      </c>
      <c r="C5135" t="str">
        <f>_xlfn.XLOOKUP(B5135,
[1]sales_teams!$A$2:$A$100,
[1]sales_teams!$B$2:$B$100)</f>
        <v>Dustin Brinkmann</v>
      </c>
      <c r="D5135" t="str">
        <f>_xlfn.XLOOKUP($B5135,sales_teams!$A$2:$A$36,sales_teams!C$2:C$36)</f>
        <v>Central</v>
      </c>
      <c r="E5135" t="s">
        <v>39</v>
      </c>
      <c r="G5135" t="s">
        <v>40</v>
      </c>
      <c r="H5135" s="1">
        <v>42938</v>
      </c>
    </row>
    <row r="5136" spans="1:10" x14ac:dyDescent="0.3">
      <c r="A5136" t="s">
        <v>5267</v>
      </c>
      <c r="B5136" t="s">
        <v>9</v>
      </c>
      <c r="C5136" t="str">
        <f>_xlfn.XLOOKUP(B5136,
[1]sales_teams!$A$2:$A$100,
[1]sales_teams!$B$2:$B$100)</f>
        <v>Dustin Brinkmann</v>
      </c>
      <c r="D5136" t="str">
        <f>_xlfn.XLOOKUP($B5136,sales_teams!$A$2:$A$36,sales_teams!C$2:C$36)</f>
        <v>Central</v>
      </c>
      <c r="E5136" t="s">
        <v>39</v>
      </c>
      <c r="G5136" t="s">
        <v>40</v>
      </c>
      <c r="H5136" s="1">
        <v>42938</v>
      </c>
    </row>
    <row r="5137" spans="1:10" x14ac:dyDescent="0.3">
      <c r="A5137" t="s">
        <v>5268</v>
      </c>
      <c r="B5137" t="s">
        <v>9</v>
      </c>
      <c r="C5137" t="str">
        <f>_xlfn.XLOOKUP(B5137,
[1]sales_teams!$A$2:$A$100,
[1]sales_teams!$B$2:$B$100)</f>
        <v>Dustin Brinkmann</v>
      </c>
      <c r="D5137" t="str">
        <f>_xlfn.XLOOKUP($B5137,sales_teams!$A$2:$A$36,sales_teams!C$2:C$36)</f>
        <v>Central</v>
      </c>
      <c r="E5137" t="s">
        <v>39</v>
      </c>
      <c r="F5137" t="s">
        <v>218</v>
      </c>
      <c r="G5137" t="s">
        <v>46</v>
      </c>
      <c r="H5137" s="1">
        <v>42938</v>
      </c>
      <c r="I5137" s="1">
        <v>42939</v>
      </c>
      <c r="J5137">
        <v>0</v>
      </c>
    </row>
    <row r="5138" spans="1:10" x14ac:dyDescent="0.3">
      <c r="A5138" t="s">
        <v>5269</v>
      </c>
      <c r="B5138" t="s">
        <v>9</v>
      </c>
      <c r="C5138" t="str">
        <f>_xlfn.XLOOKUP(B5138,
[1]sales_teams!$A$2:$A$100,
[1]sales_teams!$B$2:$B$100)</f>
        <v>Dustin Brinkmann</v>
      </c>
      <c r="D5138" t="str">
        <f>_xlfn.XLOOKUP($B5138,sales_teams!$A$2:$A$36,sales_teams!C$2:C$36)</f>
        <v>Central</v>
      </c>
      <c r="E5138" t="s">
        <v>10</v>
      </c>
      <c r="F5138" t="s">
        <v>111</v>
      </c>
      <c r="G5138" t="s">
        <v>12</v>
      </c>
      <c r="H5138" s="1">
        <v>42938</v>
      </c>
      <c r="I5138" s="1">
        <v>42939</v>
      </c>
      <c r="J5138">
        <v>1174</v>
      </c>
    </row>
    <row r="5139" spans="1:10" x14ac:dyDescent="0.3">
      <c r="A5139" t="s">
        <v>5270</v>
      </c>
      <c r="B5139" t="s">
        <v>35</v>
      </c>
      <c r="C5139" t="str">
        <f>_xlfn.XLOOKUP(B5139,
[1]sales_teams!$A$2:$A$100,
[1]sales_teams!$B$2:$B$100)</f>
        <v>Melvin Marxen</v>
      </c>
      <c r="D5139" t="str">
        <f>_xlfn.XLOOKUP($B5139,sales_teams!$A$2:$A$36,sales_teams!C$2:C$36)</f>
        <v>Central</v>
      </c>
      <c r="E5139" t="s">
        <v>39</v>
      </c>
      <c r="F5139" t="s">
        <v>151</v>
      </c>
      <c r="G5139" t="s">
        <v>12</v>
      </c>
      <c r="H5139" s="1">
        <v>42938</v>
      </c>
      <c r="I5139" s="1">
        <v>43006</v>
      </c>
      <c r="J5139">
        <v>3696</v>
      </c>
    </row>
    <row r="5140" spans="1:10" x14ac:dyDescent="0.3">
      <c r="A5140" t="s">
        <v>5271</v>
      </c>
      <c r="B5140" t="s">
        <v>97</v>
      </c>
      <c r="C5140" t="str">
        <f>_xlfn.XLOOKUP(B5140,
[1]sales_teams!$A$2:$A$100,
[1]sales_teams!$B$2:$B$100)</f>
        <v>Rocco Neubert</v>
      </c>
      <c r="D5140" t="str">
        <f>_xlfn.XLOOKUP($B5140,sales_teams!$A$2:$A$36,sales_teams!C$2:C$36)</f>
        <v>East</v>
      </c>
      <c r="E5140" t="s">
        <v>20</v>
      </c>
      <c r="F5140" t="s">
        <v>106</v>
      </c>
      <c r="G5140" t="s">
        <v>46</v>
      </c>
      <c r="H5140" s="1">
        <v>42938</v>
      </c>
      <c r="I5140" s="1">
        <v>42946</v>
      </c>
      <c r="J5140">
        <v>0</v>
      </c>
    </row>
    <row r="5141" spans="1:10" x14ac:dyDescent="0.3">
      <c r="A5141" t="s">
        <v>5272</v>
      </c>
      <c r="B5141" t="s">
        <v>97</v>
      </c>
      <c r="C5141" t="str">
        <f>_xlfn.XLOOKUP(B5141,
[1]sales_teams!$A$2:$A$100,
[1]sales_teams!$B$2:$B$100)</f>
        <v>Rocco Neubert</v>
      </c>
      <c r="D5141" t="str">
        <f>_xlfn.XLOOKUP($B5141,sales_teams!$A$2:$A$36,sales_teams!C$2:C$36)</f>
        <v>East</v>
      </c>
      <c r="E5141" t="s">
        <v>39</v>
      </c>
      <c r="F5141" t="s">
        <v>204</v>
      </c>
      <c r="G5141" t="s">
        <v>12</v>
      </c>
      <c r="H5141" s="1">
        <v>42938</v>
      </c>
      <c r="I5141" s="1">
        <v>43042</v>
      </c>
      <c r="J5141">
        <v>3252</v>
      </c>
    </row>
    <row r="5142" spans="1:10" x14ac:dyDescent="0.3">
      <c r="A5142" t="s">
        <v>5273</v>
      </c>
      <c r="B5142" t="s">
        <v>61</v>
      </c>
      <c r="C5142" t="str">
        <f>_xlfn.XLOOKUP(B5142,
[1]sales_teams!$A$2:$A$100,
[1]sales_teams!$B$2:$B$100)</f>
        <v>Dustin Brinkmann</v>
      </c>
      <c r="D5142" t="str">
        <f>_xlfn.XLOOKUP($B5142,sales_teams!$A$2:$A$36,sales_teams!C$2:C$36)</f>
        <v>Central</v>
      </c>
      <c r="E5142" t="s">
        <v>18</v>
      </c>
      <c r="G5142" t="s">
        <v>40</v>
      </c>
      <c r="H5142" s="1">
        <v>42938</v>
      </c>
    </row>
    <row r="5143" spans="1:10" x14ac:dyDescent="0.3">
      <c r="A5143" t="s">
        <v>5274</v>
      </c>
      <c r="B5143" t="s">
        <v>61</v>
      </c>
      <c r="C5143" t="str">
        <f>_xlfn.XLOOKUP(B5143,
[1]sales_teams!$A$2:$A$100,
[1]sales_teams!$B$2:$B$100)</f>
        <v>Dustin Brinkmann</v>
      </c>
      <c r="D5143" t="str">
        <f>_xlfn.XLOOKUP($B5143,sales_teams!$A$2:$A$36,sales_teams!C$2:C$36)</f>
        <v>Central</v>
      </c>
      <c r="E5143" t="s">
        <v>18</v>
      </c>
      <c r="G5143" t="s">
        <v>40</v>
      </c>
      <c r="H5143" s="1">
        <v>42938</v>
      </c>
    </row>
    <row r="5144" spans="1:10" x14ac:dyDescent="0.3">
      <c r="A5144" t="s">
        <v>5275</v>
      </c>
      <c r="B5144" t="s">
        <v>61</v>
      </c>
      <c r="C5144" t="str">
        <f>_xlfn.XLOOKUP(B5144,
[1]sales_teams!$A$2:$A$100,
[1]sales_teams!$B$2:$B$100)</f>
        <v>Dustin Brinkmann</v>
      </c>
      <c r="D5144" t="str">
        <f>_xlfn.XLOOKUP($B5144,sales_teams!$A$2:$A$36,sales_teams!C$2:C$36)</f>
        <v>Central</v>
      </c>
      <c r="E5144" t="s">
        <v>18</v>
      </c>
      <c r="G5144" t="s">
        <v>40</v>
      </c>
      <c r="H5144" s="1">
        <v>42938</v>
      </c>
    </row>
    <row r="5145" spans="1:10" x14ac:dyDescent="0.3">
      <c r="A5145" t="s">
        <v>5276</v>
      </c>
      <c r="B5145" t="s">
        <v>61</v>
      </c>
      <c r="C5145" t="str">
        <f>_xlfn.XLOOKUP(B5145,
[1]sales_teams!$A$2:$A$100,
[1]sales_teams!$B$2:$B$100)</f>
        <v>Dustin Brinkmann</v>
      </c>
      <c r="D5145" t="str">
        <f>_xlfn.XLOOKUP($B5145,sales_teams!$A$2:$A$36,sales_teams!C$2:C$36)</f>
        <v>Central</v>
      </c>
      <c r="E5145" t="s">
        <v>39</v>
      </c>
      <c r="G5145" t="s">
        <v>40</v>
      </c>
      <c r="H5145" s="1">
        <v>42938</v>
      </c>
    </row>
    <row r="5146" spans="1:10" x14ac:dyDescent="0.3">
      <c r="A5146" t="s">
        <v>5277</v>
      </c>
      <c r="B5146" t="s">
        <v>61</v>
      </c>
      <c r="C5146" t="str">
        <f>_xlfn.XLOOKUP(B5146,
[1]sales_teams!$A$2:$A$100,
[1]sales_teams!$B$2:$B$100)</f>
        <v>Dustin Brinkmann</v>
      </c>
      <c r="D5146" t="str">
        <f>_xlfn.XLOOKUP($B5146,sales_teams!$A$2:$A$36,sales_teams!C$2:C$36)</f>
        <v>Central</v>
      </c>
      <c r="E5146" t="s">
        <v>18</v>
      </c>
      <c r="F5146" t="s">
        <v>45</v>
      </c>
      <c r="G5146" t="s">
        <v>46</v>
      </c>
      <c r="H5146" s="1">
        <v>42938</v>
      </c>
      <c r="I5146" s="1">
        <v>43043</v>
      </c>
      <c r="J5146">
        <v>0</v>
      </c>
    </row>
    <row r="5147" spans="1:10" x14ac:dyDescent="0.3">
      <c r="A5147" t="s">
        <v>5278</v>
      </c>
      <c r="B5147" t="s">
        <v>61</v>
      </c>
      <c r="C5147" t="str">
        <f>_xlfn.XLOOKUP(B5147,
[1]sales_teams!$A$2:$A$100,
[1]sales_teams!$B$2:$B$100)</f>
        <v>Dustin Brinkmann</v>
      </c>
      <c r="D5147" t="str">
        <f>_xlfn.XLOOKUP($B5147,sales_teams!$A$2:$A$36,sales_teams!C$2:C$36)</f>
        <v>Central</v>
      </c>
      <c r="E5147" t="s">
        <v>18</v>
      </c>
      <c r="F5147" t="s">
        <v>213</v>
      </c>
      <c r="G5147" t="s">
        <v>46</v>
      </c>
      <c r="H5147" s="1">
        <v>42938</v>
      </c>
      <c r="I5147" s="1">
        <v>42939</v>
      </c>
      <c r="J5147">
        <v>0</v>
      </c>
    </row>
    <row r="5148" spans="1:10" x14ac:dyDescent="0.3">
      <c r="A5148" t="s">
        <v>5279</v>
      </c>
      <c r="B5148" t="s">
        <v>29</v>
      </c>
      <c r="C5148" t="str">
        <f>_xlfn.XLOOKUP(B5148,
[1]sales_teams!$A$2:$A$100,
[1]sales_teams!$B$2:$B$100)</f>
        <v>Celia Rouche</v>
      </c>
      <c r="D5148" t="str">
        <f>_xlfn.XLOOKUP($B5148,sales_teams!$A$2:$A$36,sales_teams!C$2:C$36)</f>
        <v>West</v>
      </c>
      <c r="E5148" t="s">
        <v>15</v>
      </c>
      <c r="F5148" t="s">
        <v>224</v>
      </c>
      <c r="G5148" t="s">
        <v>46</v>
      </c>
      <c r="H5148" s="1">
        <v>42938</v>
      </c>
      <c r="I5148" s="1">
        <v>42939</v>
      </c>
      <c r="J5148">
        <v>0</v>
      </c>
    </row>
    <row r="5149" spans="1:10" x14ac:dyDescent="0.3">
      <c r="A5149" t="s">
        <v>5280</v>
      </c>
      <c r="B5149" t="s">
        <v>29</v>
      </c>
      <c r="C5149" t="str">
        <f>_xlfn.XLOOKUP(B5149,
[1]sales_teams!$A$2:$A$100,
[1]sales_teams!$B$2:$B$100)</f>
        <v>Celia Rouche</v>
      </c>
      <c r="D5149" t="str">
        <f>_xlfn.XLOOKUP($B5149,sales_teams!$A$2:$A$36,sales_teams!C$2:C$36)</f>
        <v>West</v>
      </c>
      <c r="E5149" t="s">
        <v>18</v>
      </c>
      <c r="F5149" t="s">
        <v>315</v>
      </c>
      <c r="G5149" t="s">
        <v>12</v>
      </c>
      <c r="H5149" s="1">
        <v>42938</v>
      </c>
      <c r="I5149" s="1">
        <v>43001</v>
      </c>
      <c r="J5149">
        <v>65</v>
      </c>
    </row>
    <row r="5150" spans="1:10" x14ac:dyDescent="0.3">
      <c r="A5150" t="s">
        <v>5281</v>
      </c>
      <c r="B5150" t="s">
        <v>23</v>
      </c>
      <c r="C5150" t="str">
        <f>_xlfn.XLOOKUP(B5150,
[1]sales_teams!$A$2:$A$100,
[1]sales_teams!$B$2:$B$100)</f>
        <v>Summer Sewald</v>
      </c>
      <c r="D5150" t="str">
        <f>_xlfn.XLOOKUP($B5150,sales_teams!$A$2:$A$36,sales_teams!C$2:C$36)</f>
        <v>West</v>
      </c>
      <c r="E5150" t="s">
        <v>10</v>
      </c>
      <c r="F5150" t="s">
        <v>187</v>
      </c>
      <c r="G5150" t="s">
        <v>40</v>
      </c>
      <c r="H5150" s="1">
        <v>42938</v>
      </c>
    </row>
    <row r="5151" spans="1:10" x14ac:dyDescent="0.3">
      <c r="A5151" t="s">
        <v>5282</v>
      </c>
      <c r="B5151" t="s">
        <v>26</v>
      </c>
      <c r="C5151" t="str">
        <f>_xlfn.XLOOKUP(B5151,
[1]sales_teams!$A$2:$A$100,
[1]sales_teams!$B$2:$B$100)</f>
        <v>Dustin Brinkmann</v>
      </c>
      <c r="D5151" t="str">
        <f>_xlfn.XLOOKUP($B5151,sales_teams!$A$2:$A$36,sales_teams!C$2:C$36)</f>
        <v>Central</v>
      </c>
      <c r="E5151" t="s">
        <v>18</v>
      </c>
      <c r="G5151" t="s">
        <v>40</v>
      </c>
      <c r="H5151" s="1">
        <v>42939</v>
      </c>
    </row>
    <row r="5152" spans="1:10" x14ac:dyDescent="0.3">
      <c r="A5152" t="s">
        <v>5283</v>
      </c>
      <c r="B5152" t="s">
        <v>26</v>
      </c>
      <c r="C5152" t="str">
        <f>_xlfn.XLOOKUP(B5152,
[1]sales_teams!$A$2:$A$100,
[1]sales_teams!$B$2:$B$100)</f>
        <v>Dustin Brinkmann</v>
      </c>
      <c r="D5152" t="str">
        <f>_xlfn.XLOOKUP($B5152,sales_teams!$A$2:$A$36,sales_teams!C$2:C$36)</f>
        <v>Central</v>
      </c>
      <c r="E5152" t="s">
        <v>18</v>
      </c>
      <c r="G5152" t="s">
        <v>40</v>
      </c>
      <c r="H5152" s="1">
        <v>42939</v>
      </c>
    </row>
    <row r="5153" spans="1:10" x14ac:dyDescent="0.3">
      <c r="A5153" t="s">
        <v>5284</v>
      </c>
      <c r="B5153" t="s">
        <v>26</v>
      </c>
      <c r="C5153" t="str">
        <f>_xlfn.XLOOKUP(B5153,
[1]sales_teams!$A$2:$A$100,
[1]sales_teams!$B$2:$B$100)</f>
        <v>Dustin Brinkmann</v>
      </c>
      <c r="D5153" t="str">
        <f>_xlfn.XLOOKUP($B5153,sales_teams!$A$2:$A$36,sales_teams!C$2:C$36)</f>
        <v>Central</v>
      </c>
      <c r="E5153" t="s">
        <v>39</v>
      </c>
      <c r="G5153" t="s">
        <v>40</v>
      </c>
      <c r="H5153" s="1">
        <v>42939</v>
      </c>
    </row>
    <row r="5154" spans="1:10" x14ac:dyDescent="0.3">
      <c r="A5154" t="s">
        <v>5285</v>
      </c>
      <c r="B5154" t="s">
        <v>118</v>
      </c>
      <c r="C5154" t="str">
        <f>_xlfn.XLOOKUP(B5154,
[1]sales_teams!$A$2:$A$100,
[1]sales_teams!$B$2:$B$100)</f>
        <v>Rocco Neubert</v>
      </c>
      <c r="D5154" t="str">
        <f>_xlfn.XLOOKUP($B5154,sales_teams!$A$2:$A$36,sales_teams!C$2:C$36)</f>
        <v>East</v>
      </c>
      <c r="E5154" t="s">
        <v>48</v>
      </c>
      <c r="G5154" t="s">
        <v>40</v>
      </c>
      <c r="H5154" s="1">
        <v>42939</v>
      </c>
    </row>
    <row r="5155" spans="1:10" x14ac:dyDescent="0.3">
      <c r="A5155" t="s">
        <v>5286</v>
      </c>
      <c r="B5155" t="s">
        <v>118</v>
      </c>
      <c r="C5155" t="str">
        <f>_xlfn.XLOOKUP(B5155,
[1]sales_teams!$A$2:$A$100,
[1]sales_teams!$B$2:$B$100)</f>
        <v>Rocco Neubert</v>
      </c>
      <c r="D5155" t="str">
        <f>_xlfn.XLOOKUP($B5155,sales_teams!$A$2:$A$36,sales_teams!C$2:C$36)</f>
        <v>East</v>
      </c>
      <c r="E5155" t="s">
        <v>10</v>
      </c>
      <c r="F5155" t="s">
        <v>278</v>
      </c>
      <c r="G5155" t="s">
        <v>12</v>
      </c>
      <c r="H5155" s="1">
        <v>42939</v>
      </c>
      <c r="I5155" s="1">
        <v>42983</v>
      </c>
      <c r="J5155">
        <v>904</v>
      </c>
    </row>
    <row r="5156" spans="1:10" x14ac:dyDescent="0.3">
      <c r="A5156" t="s">
        <v>5287</v>
      </c>
      <c r="B5156" t="s">
        <v>202</v>
      </c>
      <c r="C5156" t="str">
        <f>_xlfn.XLOOKUP(B5156,
[1]sales_teams!$A$2:$A$100,
[1]sales_teams!$B$2:$B$100)</f>
        <v>Dustin Brinkmann</v>
      </c>
      <c r="D5156" t="str">
        <f>_xlfn.XLOOKUP($B5156,sales_teams!$A$2:$A$36,sales_teams!C$2:C$36)</f>
        <v>Central</v>
      </c>
      <c r="E5156" t="s">
        <v>20</v>
      </c>
      <c r="F5156" t="s">
        <v>170</v>
      </c>
      <c r="G5156" t="s">
        <v>12</v>
      </c>
      <c r="H5156" s="1">
        <v>42939</v>
      </c>
      <c r="I5156" s="1">
        <v>42940</v>
      </c>
      <c r="J5156">
        <v>541</v>
      </c>
    </row>
    <row r="5157" spans="1:10" x14ac:dyDescent="0.3">
      <c r="A5157" t="s">
        <v>5288</v>
      </c>
      <c r="B5157" t="s">
        <v>164</v>
      </c>
      <c r="C5157" t="str">
        <f>_xlfn.XLOOKUP(B5157,
[1]sales_teams!$A$2:$A$100,
[1]sales_teams!$B$2:$B$100)</f>
        <v>Cara Losch</v>
      </c>
      <c r="D5157" t="str">
        <f>_xlfn.XLOOKUP($B5157,sales_teams!$A$2:$A$36,sales_teams!C$2:C$36)</f>
        <v>East</v>
      </c>
      <c r="E5157" t="s">
        <v>20</v>
      </c>
      <c r="F5157" t="s">
        <v>179</v>
      </c>
      <c r="G5157" t="s">
        <v>12</v>
      </c>
      <c r="H5157" s="1">
        <v>42939</v>
      </c>
      <c r="I5157" s="1">
        <v>42941</v>
      </c>
      <c r="J5157">
        <v>630</v>
      </c>
    </row>
    <row r="5158" spans="1:10" x14ac:dyDescent="0.3">
      <c r="A5158" t="s">
        <v>5289</v>
      </c>
      <c r="B5158" t="s">
        <v>64</v>
      </c>
      <c r="C5158" t="str">
        <f>_xlfn.XLOOKUP(B5158,
[1]sales_teams!$A$2:$A$100,
[1]sales_teams!$B$2:$B$100)</f>
        <v>Rocco Neubert</v>
      </c>
      <c r="D5158" t="str">
        <f>_xlfn.XLOOKUP($B5158,sales_teams!$A$2:$A$36,sales_teams!C$2:C$36)</f>
        <v>East</v>
      </c>
      <c r="E5158" t="s">
        <v>10</v>
      </c>
      <c r="F5158" t="s">
        <v>65</v>
      </c>
      <c r="G5158" t="s">
        <v>12</v>
      </c>
      <c r="H5158" s="1">
        <v>42939</v>
      </c>
      <c r="I5158" s="1">
        <v>42946</v>
      </c>
      <c r="J5158">
        <v>1231</v>
      </c>
    </row>
    <row r="5159" spans="1:10" x14ac:dyDescent="0.3">
      <c r="A5159" t="s">
        <v>5290</v>
      </c>
      <c r="B5159" t="s">
        <v>14</v>
      </c>
      <c r="C5159" t="str">
        <f>_xlfn.XLOOKUP(B5159,
[1]sales_teams!$A$2:$A$100,
[1]sales_teams!$B$2:$B$100)</f>
        <v>Melvin Marxen</v>
      </c>
      <c r="D5159" t="str">
        <f>_xlfn.XLOOKUP($B5159,sales_teams!$A$2:$A$36,sales_teams!C$2:C$36)</f>
        <v>Central</v>
      </c>
      <c r="E5159" t="s">
        <v>20</v>
      </c>
      <c r="G5159" t="s">
        <v>40</v>
      </c>
      <c r="H5159" s="1">
        <v>42939</v>
      </c>
    </row>
    <row r="5160" spans="1:10" x14ac:dyDescent="0.3">
      <c r="A5160" t="s">
        <v>5291</v>
      </c>
      <c r="B5160" t="s">
        <v>14</v>
      </c>
      <c r="C5160" t="str">
        <f>_xlfn.XLOOKUP(B5160,
[1]sales_teams!$A$2:$A$100,
[1]sales_teams!$B$2:$B$100)</f>
        <v>Melvin Marxen</v>
      </c>
      <c r="D5160" t="str">
        <f>_xlfn.XLOOKUP($B5160,sales_teams!$A$2:$A$36,sales_teams!C$2:C$36)</f>
        <v>Central</v>
      </c>
      <c r="E5160" t="s">
        <v>10</v>
      </c>
      <c r="G5160" t="s">
        <v>40</v>
      </c>
      <c r="H5160" s="1">
        <v>42939</v>
      </c>
    </row>
    <row r="5161" spans="1:10" x14ac:dyDescent="0.3">
      <c r="A5161" t="s">
        <v>5292</v>
      </c>
      <c r="B5161" t="s">
        <v>14</v>
      </c>
      <c r="C5161" t="str">
        <f>_xlfn.XLOOKUP(B5161,
[1]sales_teams!$A$2:$A$100,
[1]sales_teams!$B$2:$B$100)</f>
        <v>Melvin Marxen</v>
      </c>
      <c r="D5161" t="str">
        <f>_xlfn.XLOOKUP($B5161,sales_teams!$A$2:$A$36,sales_teams!C$2:C$36)</f>
        <v>Central</v>
      </c>
      <c r="E5161" t="s">
        <v>10</v>
      </c>
      <c r="G5161" t="s">
        <v>40</v>
      </c>
      <c r="H5161" s="1">
        <v>42939</v>
      </c>
    </row>
    <row r="5162" spans="1:10" x14ac:dyDescent="0.3">
      <c r="A5162" t="s">
        <v>5293</v>
      </c>
      <c r="B5162" t="s">
        <v>14</v>
      </c>
      <c r="C5162" t="str">
        <f>_xlfn.XLOOKUP(B5162,
[1]sales_teams!$A$2:$A$100,
[1]sales_teams!$B$2:$B$100)</f>
        <v>Melvin Marxen</v>
      </c>
      <c r="D5162" t="str">
        <f>_xlfn.XLOOKUP($B5162,sales_teams!$A$2:$A$36,sales_teams!C$2:C$36)</f>
        <v>Central</v>
      </c>
      <c r="E5162" t="s">
        <v>15</v>
      </c>
      <c r="G5162" t="s">
        <v>40</v>
      </c>
      <c r="H5162" s="1">
        <v>42939</v>
      </c>
    </row>
    <row r="5163" spans="1:10" x14ac:dyDescent="0.3">
      <c r="A5163" t="s">
        <v>5294</v>
      </c>
      <c r="B5163" t="s">
        <v>14</v>
      </c>
      <c r="C5163" t="str">
        <f>_xlfn.XLOOKUP(B5163,
[1]sales_teams!$A$2:$A$100,
[1]sales_teams!$B$2:$B$100)</f>
        <v>Melvin Marxen</v>
      </c>
      <c r="D5163" t="str">
        <f>_xlfn.XLOOKUP($B5163,sales_teams!$A$2:$A$36,sales_teams!C$2:C$36)</f>
        <v>Central</v>
      </c>
      <c r="E5163" t="s">
        <v>20</v>
      </c>
      <c r="F5163" t="s">
        <v>207</v>
      </c>
      <c r="G5163" t="s">
        <v>12</v>
      </c>
      <c r="H5163" s="1">
        <v>42939</v>
      </c>
      <c r="I5163" s="1">
        <v>43059</v>
      </c>
      <c r="J5163">
        <v>556</v>
      </c>
    </row>
    <row r="5164" spans="1:10" x14ac:dyDescent="0.3">
      <c r="A5164" t="s">
        <v>5295</v>
      </c>
      <c r="B5164" t="s">
        <v>14</v>
      </c>
      <c r="C5164" t="str">
        <f>_xlfn.XLOOKUP(B5164,
[1]sales_teams!$A$2:$A$100,
[1]sales_teams!$B$2:$B$100)</f>
        <v>Melvin Marxen</v>
      </c>
      <c r="D5164" t="str">
        <f>_xlfn.XLOOKUP($B5164,sales_teams!$A$2:$A$36,sales_teams!C$2:C$36)</f>
        <v>Central</v>
      </c>
      <c r="E5164" t="s">
        <v>10</v>
      </c>
      <c r="F5164" t="s">
        <v>111</v>
      </c>
      <c r="G5164" t="s">
        <v>12</v>
      </c>
      <c r="H5164" s="1">
        <v>42939</v>
      </c>
      <c r="I5164" s="1">
        <v>42947</v>
      </c>
      <c r="J5164">
        <v>1070</v>
      </c>
    </row>
    <row r="5165" spans="1:10" x14ac:dyDescent="0.3">
      <c r="A5165" t="s">
        <v>5296</v>
      </c>
      <c r="B5165" t="s">
        <v>67</v>
      </c>
      <c r="C5165" t="str">
        <f>_xlfn.XLOOKUP(B5165,
[1]sales_teams!$A$2:$A$100,
[1]sales_teams!$B$2:$B$100)</f>
        <v>Celia Rouche</v>
      </c>
      <c r="D5165" t="str">
        <f>_xlfn.XLOOKUP($B5165,sales_teams!$A$2:$A$36,sales_teams!C$2:C$36)</f>
        <v>West</v>
      </c>
      <c r="E5165" t="s">
        <v>18</v>
      </c>
      <c r="F5165" t="s">
        <v>555</v>
      </c>
      <c r="G5165" t="s">
        <v>12</v>
      </c>
      <c r="H5165" s="1">
        <v>42939</v>
      </c>
      <c r="I5165" s="1">
        <v>42941</v>
      </c>
      <c r="J5165">
        <v>57</v>
      </c>
    </row>
    <row r="5166" spans="1:10" x14ac:dyDescent="0.3">
      <c r="A5166" t="s">
        <v>5297</v>
      </c>
      <c r="B5166" t="s">
        <v>44</v>
      </c>
      <c r="C5166" t="str">
        <f>_xlfn.XLOOKUP(B5166,
[1]sales_teams!$A$2:$A$100,
[1]sales_teams!$B$2:$B$100)</f>
        <v>Melvin Marxen</v>
      </c>
      <c r="D5166" t="str">
        <f>_xlfn.XLOOKUP($B5166,sales_teams!$A$2:$A$36,sales_teams!C$2:C$36)</f>
        <v>Central</v>
      </c>
      <c r="E5166" t="s">
        <v>18</v>
      </c>
      <c r="G5166" t="s">
        <v>40</v>
      </c>
      <c r="H5166" s="1">
        <v>42939</v>
      </c>
    </row>
    <row r="5167" spans="1:10" x14ac:dyDescent="0.3">
      <c r="A5167" t="s">
        <v>5298</v>
      </c>
      <c r="B5167" t="s">
        <v>44</v>
      </c>
      <c r="C5167" t="str">
        <f>_xlfn.XLOOKUP(B5167,
[1]sales_teams!$A$2:$A$100,
[1]sales_teams!$B$2:$B$100)</f>
        <v>Melvin Marxen</v>
      </c>
      <c r="D5167" t="str">
        <f>_xlfn.XLOOKUP($B5167,sales_teams!$A$2:$A$36,sales_teams!C$2:C$36)</f>
        <v>Central</v>
      </c>
      <c r="E5167" t="s">
        <v>18</v>
      </c>
      <c r="G5167" t="s">
        <v>40</v>
      </c>
      <c r="H5167" s="1">
        <v>42939</v>
      </c>
    </row>
    <row r="5168" spans="1:10" x14ac:dyDescent="0.3">
      <c r="A5168" t="s">
        <v>5299</v>
      </c>
      <c r="B5168" t="s">
        <v>54</v>
      </c>
      <c r="C5168" t="str">
        <f>_xlfn.XLOOKUP(B5168,
[1]sales_teams!$A$2:$A$100,
[1]sales_teams!$B$2:$B$100)</f>
        <v>Celia Rouche</v>
      </c>
      <c r="D5168" t="str">
        <f>_xlfn.XLOOKUP($B5168,sales_teams!$A$2:$A$36,sales_teams!C$2:C$36)</f>
        <v>West</v>
      </c>
      <c r="E5168" t="s">
        <v>10</v>
      </c>
      <c r="F5168" t="s">
        <v>24</v>
      </c>
      <c r="G5168" t="s">
        <v>46</v>
      </c>
      <c r="H5168" s="1">
        <v>42939</v>
      </c>
      <c r="I5168" s="1">
        <v>42947</v>
      </c>
      <c r="J5168">
        <v>0</v>
      </c>
    </row>
    <row r="5169" spans="1:10" x14ac:dyDescent="0.3">
      <c r="A5169" t="s">
        <v>5300</v>
      </c>
      <c r="B5169" t="s">
        <v>38</v>
      </c>
      <c r="C5169" t="str">
        <f>_xlfn.XLOOKUP(B5169,
[1]sales_teams!$A$2:$A$100,
[1]sales_teams!$B$2:$B$100)</f>
        <v>Summer Sewald</v>
      </c>
      <c r="D5169" t="str">
        <f>_xlfn.XLOOKUP($B5169,sales_teams!$A$2:$A$36,sales_teams!C$2:C$36)</f>
        <v>West</v>
      </c>
      <c r="E5169" t="s">
        <v>48</v>
      </c>
      <c r="F5169" t="s">
        <v>30</v>
      </c>
      <c r="G5169" t="s">
        <v>12</v>
      </c>
      <c r="H5169" s="1">
        <v>42939</v>
      </c>
      <c r="I5169" s="1">
        <v>42941</v>
      </c>
      <c r="J5169">
        <v>4824</v>
      </c>
    </row>
    <row r="5170" spans="1:10" x14ac:dyDescent="0.3">
      <c r="A5170" t="s">
        <v>5301</v>
      </c>
      <c r="B5170" t="s">
        <v>252</v>
      </c>
      <c r="C5170" t="str">
        <f>_xlfn.XLOOKUP(B5170,
[1]sales_teams!$A$2:$A$100,
[1]sales_teams!$B$2:$B$100)</f>
        <v>Melvin Marxen</v>
      </c>
      <c r="D5170" t="str">
        <f>_xlfn.XLOOKUP($B5170,sales_teams!$A$2:$A$36,sales_teams!C$2:C$36)</f>
        <v>Central</v>
      </c>
      <c r="E5170" t="s">
        <v>48</v>
      </c>
      <c r="F5170" t="s">
        <v>492</v>
      </c>
      <c r="G5170" t="s">
        <v>12</v>
      </c>
      <c r="H5170" s="1">
        <v>42939</v>
      </c>
      <c r="I5170" s="1">
        <v>43058</v>
      </c>
      <c r="J5170">
        <v>6049</v>
      </c>
    </row>
    <row r="5171" spans="1:10" x14ac:dyDescent="0.3">
      <c r="A5171" t="s">
        <v>5302</v>
      </c>
      <c r="B5171" t="s">
        <v>78</v>
      </c>
      <c r="C5171" t="str">
        <f>_xlfn.XLOOKUP(B5171,
[1]sales_teams!$A$2:$A$100,
[1]sales_teams!$B$2:$B$100)</f>
        <v>Summer Sewald</v>
      </c>
      <c r="D5171" t="str">
        <f>_xlfn.XLOOKUP($B5171,sales_teams!$A$2:$A$36,sales_teams!C$2:C$36)</f>
        <v>West</v>
      </c>
      <c r="E5171" t="s">
        <v>18</v>
      </c>
      <c r="F5171" t="s">
        <v>224</v>
      </c>
      <c r="G5171" t="s">
        <v>12</v>
      </c>
      <c r="H5171" s="1">
        <v>42939</v>
      </c>
      <c r="I5171" s="1">
        <v>42944</v>
      </c>
      <c r="J5171">
        <v>58</v>
      </c>
    </row>
    <row r="5172" spans="1:10" x14ac:dyDescent="0.3">
      <c r="A5172" t="s">
        <v>5303</v>
      </c>
      <c r="B5172" t="s">
        <v>78</v>
      </c>
      <c r="C5172" t="str">
        <f>_xlfn.XLOOKUP(B5172,
[1]sales_teams!$A$2:$A$100,
[1]sales_teams!$B$2:$B$100)</f>
        <v>Summer Sewald</v>
      </c>
      <c r="D5172" t="str">
        <f>_xlfn.XLOOKUP($B5172,sales_teams!$A$2:$A$36,sales_teams!C$2:C$36)</f>
        <v>West</v>
      </c>
      <c r="E5172" t="s">
        <v>39</v>
      </c>
      <c r="F5172" t="s">
        <v>199</v>
      </c>
      <c r="G5172" t="s">
        <v>12</v>
      </c>
      <c r="H5172" s="1">
        <v>42939</v>
      </c>
      <c r="I5172" s="1">
        <v>42967</v>
      </c>
      <c r="J5172">
        <v>3335</v>
      </c>
    </row>
    <row r="5173" spans="1:10" x14ac:dyDescent="0.3">
      <c r="A5173" t="s">
        <v>5304</v>
      </c>
      <c r="B5173" t="s">
        <v>95</v>
      </c>
      <c r="C5173" t="str">
        <f>_xlfn.XLOOKUP(B5173,
[1]sales_teams!$A$2:$A$100,
[1]sales_teams!$B$2:$B$100)</f>
        <v>Summer Sewald</v>
      </c>
      <c r="D5173" t="str">
        <f>_xlfn.XLOOKUP($B5173,sales_teams!$A$2:$A$36,sales_teams!C$2:C$36)</f>
        <v>West</v>
      </c>
      <c r="E5173" t="s">
        <v>10</v>
      </c>
      <c r="F5173" t="s">
        <v>224</v>
      </c>
      <c r="G5173" t="s">
        <v>46</v>
      </c>
      <c r="H5173" s="1">
        <v>42939</v>
      </c>
      <c r="I5173" s="1">
        <v>42946</v>
      </c>
      <c r="J5173">
        <v>0</v>
      </c>
    </row>
    <row r="5174" spans="1:10" x14ac:dyDescent="0.3">
      <c r="A5174" t="s">
        <v>5305</v>
      </c>
      <c r="B5174" t="s">
        <v>133</v>
      </c>
      <c r="C5174" t="str">
        <f>_xlfn.XLOOKUP(B5174,
[1]sales_teams!$A$2:$A$100,
[1]sales_teams!$B$2:$B$100)</f>
        <v>Dustin Brinkmann</v>
      </c>
      <c r="D5174" t="str">
        <f>_xlfn.XLOOKUP($B5174,sales_teams!$A$2:$A$36,sales_teams!C$2:C$36)</f>
        <v>Central</v>
      </c>
      <c r="E5174" t="s">
        <v>20</v>
      </c>
      <c r="G5174" t="s">
        <v>40</v>
      </c>
      <c r="H5174" s="1">
        <v>42939</v>
      </c>
    </row>
    <row r="5175" spans="1:10" x14ac:dyDescent="0.3">
      <c r="A5175" t="s">
        <v>5306</v>
      </c>
      <c r="B5175" t="s">
        <v>133</v>
      </c>
      <c r="C5175" t="str">
        <f>_xlfn.XLOOKUP(B5175,
[1]sales_teams!$A$2:$A$100,
[1]sales_teams!$B$2:$B$100)</f>
        <v>Dustin Brinkmann</v>
      </c>
      <c r="D5175" t="str">
        <f>_xlfn.XLOOKUP($B5175,sales_teams!$A$2:$A$36,sales_teams!C$2:C$36)</f>
        <v>Central</v>
      </c>
      <c r="E5175" t="s">
        <v>20</v>
      </c>
      <c r="G5175" t="s">
        <v>40</v>
      </c>
      <c r="H5175" s="1">
        <v>42939</v>
      </c>
    </row>
    <row r="5176" spans="1:10" x14ac:dyDescent="0.3">
      <c r="A5176" t="s">
        <v>5307</v>
      </c>
      <c r="B5176" t="s">
        <v>32</v>
      </c>
      <c r="C5176" t="str">
        <f>_xlfn.XLOOKUP(B5176,
[1]sales_teams!$A$2:$A$100,
[1]sales_teams!$B$2:$B$100)</f>
        <v>Celia Rouche</v>
      </c>
      <c r="D5176" t="str">
        <f>_xlfn.XLOOKUP($B5176,sales_teams!$A$2:$A$36,sales_teams!C$2:C$36)</f>
        <v>West</v>
      </c>
      <c r="E5176" t="s">
        <v>145</v>
      </c>
      <c r="F5176" t="s">
        <v>126</v>
      </c>
      <c r="G5176" t="s">
        <v>40</v>
      </c>
      <c r="H5176" s="1">
        <v>42939</v>
      </c>
    </row>
    <row r="5177" spans="1:10" x14ac:dyDescent="0.3">
      <c r="A5177" t="s">
        <v>5308</v>
      </c>
      <c r="B5177" t="s">
        <v>32</v>
      </c>
      <c r="C5177" t="str">
        <f>_xlfn.XLOOKUP(B5177,
[1]sales_teams!$A$2:$A$100,
[1]sales_teams!$B$2:$B$100)</f>
        <v>Celia Rouche</v>
      </c>
      <c r="D5177" t="str">
        <f>_xlfn.XLOOKUP($B5177,sales_teams!$A$2:$A$36,sales_teams!C$2:C$36)</f>
        <v>West</v>
      </c>
      <c r="E5177" t="s">
        <v>15</v>
      </c>
      <c r="F5177" t="s">
        <v>155</v>
      </c>
      <c r="G5177" t="s">
        <v>46</v>
      </c>
      <c r="H5177" s="1">
        <v>42939</v>
      </c>
      <c r="I5177" s="1">
        <v>43046</v>
      </c>
      <c r="J5177">
        <v>0</v>
      </c>
    </row>
    <row r="5178" spans="1:10" x14ac:dyDescent="0.3">
      <c r="A5178" t="s">
        <v>5309</v>
      </c>
      <c r="B5178" t="s">
        <v>116</v>
      </c>
      <c r="C5178" t="str">
        <f>_xlfn.XLOOKUP(B5178,
[1]sales_teams!$A$2:$A$100,
[1]sales_teams!$B$2:$B$100)</f>
        <v>Melvin Marxen</v>
      </c>
      <c r="D5178" t="str">
        <f>_xlfn.XLOOKUP($B5178,sales_teams!$A$2:$A$36,sales_teams!C$2:C$36)</f>
        <v>Central</v>
      </c>
      <c r="E5178" t="s">
        <v>10</v>
      </c>
      <c r="F5178" t="s">
        <v>197</v>
      </c>
      <c r="G5178" t="s">
        <v>46</v>
      </c>
      <c r="H5178" s="1">
        <v>42939</v>
      </c>
      <c r="I5178" s="1">
        <v>42941</v>
      </c>
      <c r="J5178">
        <v>0</v>
      </c>
    </row>
    <row r="5179" spans="1:10" x14ac:dyDescent="0.3">
      <c r="A5179" t="s">
        <v>5310</v>
      </c>
      <c r="B5179" t="s">
        <v>116</v>
      </c>
      <c r="C5179" t="str">
        <f>_xlfn.XLOOKUP(B5179,
[1]sales_teams!$A$2:$A$100,
[1]sales_teams!$B$2:$B$100)</f>
        <v>Melvin Marxen</v>
      </c>
      <c r="D5179" t="str">
        <f>_xlfn.XLOOKUP($B5179,sales_teams!$A$2:$A$36,sales_teams!C$2:C$36)</f>
        <v>Central</v>
      </c>
      <c r="E5179" t="s">
        <v>10</v>
      </c>
      <c r="F5179" t="s">
        <v>170</v>
      </c>
      <c r="G5179" t="s">
        <v>12</v>
      </c>
      <c r="H5179" s="1">
        <v>42939</v>
      </c>
      <c r="I5179" s="1">
        <v>42954</v>
      </c>
      <c r="J5179">
        <v>1006</v>
      </c>
    </row>
    <row r="5180" spans="1:10" x14ac:dyDescent="0.3">
      <c r="A5180" t="s">
        <v>5311</v>
      </c>
      <c r="B5180" t="s">
        <v>116</v>
      </c>
      <c r="C5180" t="str">
        <f>_xlfn.XLOOKUP(B5180,
[1]sales_teams!$A$2:$A$100,
[1]sales_teams!$B$2:$B$100)</f>
        <v>Melvin Marxen</v>
      </c>
      <c r="D5180" t="str">
        <f>_xlfn.XLOOKUP($B5180,sales_teams!$A$2:$A$36,sales_teams!C$2:C$36)</f>
        <v>Central</v>
      </c>
      <c r="E5180" t="s">
        <v>39</v>
      </c>
      <c r="F5180" t="s">
        <v>492</v>
      </c>
      <c r="G5180" t="s">
        <v>12</v>
      </c>
      <c r="H5180" s="1">
        <v>42939</v>
      </c>
      <c r="I5180" s="1">
        <v>42949</v>
      </c>
      <c r="J5180">
        <v>3367</v>
      </c>
    </row>
    <row r="5181" spans="1:10" x14ac:dyDescent="0.3">
      <c r="A5181" t="s">
        <v>5312</v>
      </c>
      <c r="B5181" t="s">
        <v>51</v>
      </c>
      <c r="C5181" t="str">
        <f>_xlfn.XLOOKUP(B5181,
[1]sales_teams!$A$2:$A$100,
[1]sales_teams!$B$2:$B$100)</f>
        <v>Summer Sewald</v>
      </c>
      <c r="D5181" t="str">
        <f>_xlfn.XLOOKUP($B5181,sales_teams!$A$2:$A$36,sales_teams!C$2:C$36)</f>
        <v>West</v>
      </c>
      <c r="E5181" t="s">
        <v>20</v>
      </c>
      <c r="F5181" t="s">
        <v>55</v>
      </c>
      <c r="G5181" t="s">
        <v>46</v>
      </c>
      <c r="H5181" s="1">
        <v>42939</v>
      </c>
      <c r="I5181" s="1">
        <v>43049</v>
      </c>
      <c r="J5181">
        <v>0</v>
      </c>
    </row>
    <row r="5182" spans="1:10" x14ac:dyDescent="0.3">
      <c r="A5182" t="s">
        <v>5313</v>
      </c>
      <c r="B5182" t="s">
        <v>51</v>
      </c>
      <c r="C5182" t="str">
        <f>_xlfn.XLOOKUP(B5182,
[1]sales_teams!$A$2:$A$100,
[1]sales_teams!$B$2:$B$100)</f>
        <v>Summer Sewald</v>
      </c>
      <c r="D5182" t="str">
        <f>_xlfn.XLOOKUP($B5182,sales_teams!$A$2:$A$36,sales_teams!C$2:C$36)</f>
        <v>West</v>
      </c>
      <c r="E5182" t="s">
        <v>10</v>
      </c>
      <c r="F5182" t="s">
        <v>52</v>
      </c>
      <c r="G5182" t="s">
        <v>46</v>
      </c>
      <c r="H5182" s="1">
        <v>42939</v>
      </c>
      <c r="I5182" s="1">
        <v>42944</v>
      </c>
      <c r="J5182">
        <v>0</v>
      </c>
    </row>
    <row r="5183" spans="1:10" x14ac:dyDescent="0.3">
      <c r="A5183" t="s">
        <v>5314</v>
      </c>
      <c r="B5183" t="s">
        <v>9</v>
      </c>
      <c r="C5183" t="str">
        <f>_xlfn.XLOOKUP(B5183,
[1]sales_teams!$A$2:$A$100,
[1]sales_teams!$B$2:$B$100)</f>
        <v>Dustin Brinkmann</v>
      </c>
      <c r="D5183" t="str">
        <f>_xlfn.XLOOKUP($B5183,sales_teams!$A$2:$A$36,sales_teams!C$2:C$36)</f>
        <v>Central</v>
      </c>
      <c r="E5183" t="s">
        <v>20</v>
      </c>
      <c r="G5183" t="s">
        <v>40</v>
      </c>
      <c r="H5183" s="1">
        <v>42939</v>
      </c>
    </row>
    <row r="5184" spans="1:10" x14ac:dyDescent="0.3">
      <c r="A5184" t="s">
        <v>5315</v>
      </c>
      <c r="B5184" t="s">
        <v>9</v>
      </c>
      <c r="C5184" t="str">
        <f>_xlfn.XLOOKUP(B5184,
[1]sales_teams!$A$2:$A$100,
[1]sales_teams!$B$2:$B$100)</f>
        <v>Dustin Brinkmann</v>
      </c>
      <c r="D5184" t="str">
        <f>_xlfn.XLOOKUP($B5184,sales_teams!$A$2:$A$36,sales_teams!C$2:C$36)</f>
        <v>Central</v>
      </c>
      <c r="E5184" t="s">
        <v>18</v>
      </c>
      <c r="F5184" t="s">
        <v>187</v>
      </c>
      <c r="G5184" t="s">
        <v>46</v>
      </c>
      <c r="H5184" s="1">
        <v>42939</v>
      </c>
      <c r="I5184" s="1">
        <v>42953</v>
      </c>
      <c r="J5184">
        <v>0</v>
      </c>
    </row>
    <row r="5185" spans="1:10" x14ac:dyDescent="0.3">
      <c r="A5185" t="s">
        <v>5316</v>
      </c>
      <c r="B5185" t="s">
        <v>35</v>
      </c>
      <c r="C5185" t="str">
        <f>_xlfn.XLOOKUP(B5185,
[1]sales_teams!$A$2:$A$100,
[1]sales_teams!$B$2:$B$100)</f>
        <v>Melvin Marxen</v>
      </c>
      <c r="D5185" t="str">
        <f>_xlfn.XLOOKUP($B5185,sales_teams!$A$2:$A$36,sales_teams!C$2:C$36)</f>
        <v>Central</v>
      </c>
      <c r="E5185" t="s">
        <v>10</v>
      </c>
      <c r="F5185" t="s">
        <v>65</v>
      </c>
      <c r="G5185" t="s">
        <v>40</v>
      </c>
      <c r="H5185" s="1">
        <v>42939</v>
      </c>
    </row>
    <row r="5186" spans="1:10" x14ac:dyDescent="0.3">
      <c r="A5186" t="s">
        <v>5317</v>
      </c>
      <c r="B5186" t="s">
        <v>35</v>
      </c>
      <c r="C5186" t="str">
        <f>_xlfn.XLOOKUP(B5186,
[1]sales_teams!$A$2:$A$100,
[1]sales_teams!$B$2:$B$100)</f>
        <v>Melvin Marxen</v>
      </c>
      <c r="D5186" t="str">
        <f>_xlfn.XLOOKUP($B5186,sales_teams!$A$2:$A$36,sales_teams!C$2:C$36)</f>
        <v>Central</v>
      </c>
      <c r="E5186" t="s">
        <v>39</v>
      </c>
      <c r="G5186" t="s">
        <v>40</v>
      </c>
      <c r="H5186" s="1">
        <v>42939</v>
      </c>
    </row>
    <row r="5187" spans="1:10" x14ac:dyDescent="0.3">
      <c r="A5187" t="s">
        <v>5318</v>
      </c>
      <c r="B5187" t="s">
        <v>35</v>
      </c>
      <c r="C5187" t="str">
        <f>_xlfn.XLOOKUP(B5187,
[1]sales_teams!$A$2:$A$100,
[1]sales_teams!$B$2:$B$100)</f>
        <v>Melvin Marxen</v>
      </c>
      <c r="D5187" t="str">
        <f>_xlfn.XLOOKUP($B5187,sales_teams!$A$2:$A$36,sales_teams!C$2:C$36)</f>
        <v>Central</v>
      </c>
      <c r="E5187" t="s">
        <v>10</v>
      </c>
      <c r="F5187" t="s">
        <v>11</v>
      </c>
      <c r="G5187" t="s">
        <v>46</v>
      </c>
      <c r="H5187" s="1">
        <v>42939</v>
      </c>
      <c r="I5187" s="1">
        <v>42941</v>
      </c>
      <c r="J5187">
        <v>0</v>
      </c>
    </row>
    <row r="5188" spans="1:10" x14ac:dyDescent="0.3">
      <c r="A5188" t="s">
        <v>5319</v>
      </c>
      <c r="B5188" t="s">
        <v>97</v>
      </c>
      <c r="C5188" t="str">
        <f>_xlfn.XLOOKUP(B5188,
[1]sales_teams!$A$2:$A$100,
[1]sales_teams!$B$2:$B$100)</f>
        <v>Rocco Neubert</v>
      </c>
      <c r="D5188" t="str">
        <f>_xlfn.XLOOKUP($B5188,sales_teams!$A$2:$A$36,sales_teams!C$2:C$36)</f>
        <v>East</v>
      </c>
      <c r="E5188" t="s">
        <v>15</v>
      </c>
      <c r="F5188" t="s">
        <v>177</v>
      </c>
      <c r="G5188" t="s">
        <v>46</v>
      </c>
      <c r="H5188" s="1">
        <v>42939</v>
      </c>
      <c r="I5188" s="1">
        <v>42947</v>
      </c>
      <c r="J5188">
        <v>0</v>
      </c>
    </row>
    <row r="5189" spans="1:10" x14ac:dyDescent="0.3">
      <c r="A5189" t="s">
        <v>5320</v>
      </c>
      <c r="B5189" t="s">
        <v>97</v>
      </c>
      <c r="C5189" t="str">
        <f>_xlfn.XLOOKUP(B5189,
[1]sales_teams!$A$2:$A$100,
[1]sales_teams!$B$2:$B$100)</f>
        <v>Rocco Neubert</v>
      </c>
      <c r="D5189" t="str">
        <f>_xlfn.XLOOKUP($B5189,sales_teams!$A$2:$A$36,sales_teams!C$2:C$36)</f>
        <v>East</v>
      </c>
      <c r="E5189" t="s">
        <v>20</v>
      </c>
      <c r="F5189" t="s">
        <v>65</v>
      </c>
      <c r="G5189" t="s">
        <v>12</v>
      </c>
      <c r="H5189" s="1">
        <v>42939</v>
      </c>
      <c r="I5189" s="1">
        <v>42947</v>
      </c>
      <c r="J5189">
        <v>494</v>
      </c>
    </row>
    <row r="5190" spans="1:10" x14ac:dyDescent="0.3">
      <c r="A5190" t="s">
        <v>5321</v>
      </c>
      <c r="B5190" t="s">
        <v>97</v>
      </c>
      <c r="C5190" t="str">
        <f>_xlfn.XLOOKUP(B5190,
[1]sales_teams!$A$2:$A$100,
[1]sales_teams!$B$2:$B$100)</f>
        <v>Rocco Neubert</v>
      </c>
      <c r="D5190" t="str">
        <f>_xlfn.XLOOKUP($B5190,sales_teams!$A$2:$A$36,sales_teams!C$2:C$36)</f>
        <v>East</v>
      </c>
      <c r="E5190" t="s">
        <v>15</v>
      </c>
      <c r="F5190" t="s">
        <v>177</v>
      </c>
      <c r="G5190" t="s">
        <v>12</v>
      </c>
      <c r="H5190" s="1">
        <v>42939</v>
      </c>
      <c r="I5190" s="1">
        <v>42946</v>
      </c>
      <c r="J5190">
        <v>4434</v>
      </c>
    </row>
    <row r="5191" spans="1:10" x14ac:dyDescent="0.3">
      <c r="A5191" t="s">
        <v>5322</v>
      </c>
      <c r="B5191" t="s">
        <v>61</v>
      </c>
      <c r="C5191" t="str">
        <f>_xlfn.XLOOKUP(B5191,
[1]sales_teams!$A$2:$A$100,
[1]sales_teams!$B$2:$B$100)</f>
        <v>Dustin Brinkmann</v>
      </c>
      <c r="D5191" t="str">
        <f>_xlfn.XLOOKUP($B5191,sales_teams!$A$2:$A$36,sales_teams!C$2:C$36)</f>
        <v>Central</v>
      </c>
      <c r="E5191" t="s">
        <v>10</v>
      </c>
      <c r="F5191" t="s">
        <v>179</v>
      </c>
      <c r="G5191" t="s">
        <v>40</v>
      </c>
      <c r="H5191" s="1">
        <v>42939</v>
      </c>
    </row>
    <row r="5192" spans="1:10" x14ac:dyDescent="0.3">
      <c r="A5192" t="s">
        <v>5323</v>
      </c>
      <c r="B5192" t="s">
        <v>61</v>
      </c>
      <c r="C5192" t="str">
        <f>_xlfn.XLOOKUP(B5192,
[1]sales_teams!$A$2:$A$100,
[1]sales_teams!$B$2:$B$100)</f>
        <v>Dustin Brinkmann</v>
      </c>
      <c r="D5192" t="str">
        <f>_xlfn.XLOOKUP($B5192,sales_teams!$A$2:$A$36,sales_teams!C$2:C$36)</f>
        <v>Central</v>
      </c>
      <c r="E5192" t="s">
        <v>18</v>
      </c>
      <c r="G5192" t="s">
        <v>40</v>
      </c>
      <c r="H5192" s="1">
        <v>42939</v>
      </c>
    </row>
    <row r="5193" spans="1:10" x14ac:dyDescent="0.3">
      <c r="A5193" t="s">
        <v>5324</v>
      </c>
      <c r="B5193" t="s">
        <v>61</v>
      </c>
      <c r="C5193" t="str">
        <f>_xlfn.XLOOKUP(B5193,
[1]sales_teams!$A$2:$A$100,
[1]sales_teams!$B$2:$B$100)</f>
        <v>Dustin Brinkmann</v>
      </c>
      <c r="D5193" t="str">
        <f>_xlfn.XLOOKUP($B5193,sales_teams!$A$2:$A$36,sales_teams!C$2:C$36)</f>
        <v>Central</v>
      </c>
      <c r="E5193" t="s">
        <v>18</v>
      </c>
      <c r="F5193" t="s">
        <v>62</v>
      </c>
      <c r="G5193" t="s">
        <v>46</v>
      </c>
      <c r="H5193" s="1">
        <v>42939</v>
      </c>
      <c r="I5193" s="1">
        <v>42944</v>
      </c>
      <c r="J5193">
        <v>0</v>
      </c>
    </row>
    <row r="5194" spans="1:10" x14ac:dyDescent="0.3">
      <c r="A5194" t="s">
        <v>5325</v>
      </c>
      <c r="B5194" t="s">
        <v>61</v>
      </c>
      <c r="C5194" t="str">
        <f>_xlfn.XLOOKUP(B5194,
[1]sales_teams!$A$2:$A$100,
[1]sales_teams!$B$2:$B$100)</f>
        <v>Dustin Brinkmann</v>
      </c>
      <c r="D5194" t="str">
        <f>_xlfn.XLOOKUP($B5194,sales_teams!$A$2:$A$36,sales_teams!C$2:C$36)</f>
        <v>Central</v>
      </c>
      <c r="E5194" t="s">
        <v>39</v>
      </c>
      <c r="F5194" t="s">
        <v>36</v>
      </c>
      <c r="G5194" t="s">
        <v>46</v>
      </c>
      <c r="H5194" s="1">
        <v>42939</v>
      </c>
      <c r="I5194" s="1">
        <v>42983</v>
      </c>
      <c r="J5194">
        <v>0</v>
      </c>
    </row>
    <row r="5195" spans="1:10" x14ac:dyDescent="0.3">
      <c r="A5195" t="s">
        <v>5326</v>
      </c>
      <c r="B5195" t="s">
        <v>73</v>
      </c>
      <c r="C5195" t="str">
        <f>_xlfn.XLOOKUP(B5195,
[1]sales_teams!$A$2:$A$100,
[1]sales_teams!$B$2:$B$100)</f>
        <v>Cara Losch</v>
      </c>
      <c r="D5195" t="str">
        <f>_xlfn.XLOOKUP($B5195,sales_teams!$A$2:$A$36,sales_teams!C$2:C$36)</f>
        <v>East</v>
      </c>
      <c r="E5195" t="s">
        <v>18</v>
      </c>
      <c r="F5195" t="s">
        <v>240</v>
      </c>
      <c r="G5195" t="s">
        <v>12</v>
      </c>
      <c r="H5195" s="1">
        <v>42939</v>
      </c>
      <c r="I5195" s="1">
        <v>42979</v>
      </c>
      <c r="J5195">
        <v>54</v>
      </c>
    </row>
    <row r="5196" spans="1:10" x14ac:dyDescent="0.3">
      <c r="A5196" t="s">
        <v>5327</v>
      </c>
      <c r="B5196" t="s">
        <v>73</v>
      </c>
      <c r="C5196" t="str">
        <f>_xlfn.XLOOKUP(B5196,
[1]sales_teams!$A$2:$A$100,
[1]sales_teams!$B$2:$B$100)</f>
        <v>Cara Losch</v>
      </c>
      <c r="D5196" t="str">
        <f>_xlfn.XLOOKUP($B5196,sales_teams!$A$2:$A$36,sales_teams!C$2:C$36)</f>
        <v>East</v>
      </c>
      <c r="E5196" t="s">
        <v>18</v>
      </c>
      <c r="F5196" t="s">
        <v>155</v>
      </c>
      <c r="G5196" t="s">
        <v>12</v>
      </c>
      <c r="H5196" s="1">
        <v>42939</v>
      </c>
      <c r="I5196" s="1">
        <v>42953</v>
      </c>
      <c r="J5196">
        <v>48</v>
      </c>
    </row>
    <row r="5197" spans="1:10" x14ac:dyDescent="0.3">
      <c r="A5197" t="s">
        <v>5328</v>
      </c>
      <c r="B5197" t="s">
        <v>73</v>
      </c>
      <c r="C5197" t="str">
        <f>_xlfn.XLOOKUP(B5197,
[1]sales_teams!$A$2:$A$100,
[1]sales_teams!$B$2:$B$100)</f>
        <v>Cara Losch</v>
      </c>
      <c r="D5197" t="str">
        <f>_xlfn.XLOOKUP($B5197,sales_teams!$A$2:$A$36,sales_teams!C$2:C$36)</f>
        <v>East</v>
      </c>
      <c r="E5197" t="s">
        <v>39</v>
      </c>
      <c r="F5197" t="s">
        <v>410</v>
      </c>
      <c r="G5197" t="s">
        <v>12</v>
      </c>
      <c r="H5197" s="1">
        <v>42939</v>
      </c>
      <c r="I5197" s="1">
        <v>42990</v>
      </c>
      <c r="J5197">
        <v>2855</v>
      </c>
    </row>
    <row r="5198" spans="1:10" x14ac:dyDescent="0.3">
      <c r="A5198" t="s">
        <v>5329</v>
      </c>
      <c r="B5198" t="s">
        <v>102</v>
      </c>
      <c r="C5198" t="str">
        <f>_xlfn.XLOOKUP(B5198,
[1]sales_teams!$A$2:$A$100,
[1]sales_teams!$B$2:$B$100)</f>
        <v>Cara Losch</v>
      </c>
      <c r="D5198" t="str">
        <f>_xlfn.XLOOKUP($B5198,sales_teams!$A$2:$A$36,sales_teams!C$2:C$36)</f>
        <v>East</v>
      </c>
      <c r="E5198" t="s">
        <v>20</v>
      </c>
      <c r="F5198" t="s">
        <v>179</v>
      </c>
      <c r="G5198" t="s">
        <v>12</v>
      </c>
      <c r="H5198" s="1">
        <v>42939</v>
      </c>
      <c r="I5198" s="1">
        <v>42946</v>
      </c>
      <c r="J5198">
        <v>538</v>
      </c>
    </row>
    <row r="5199" spans="1:10" x14ac:dyDescent="0.3">
      <c r="A5199" t="s">
        <v>5330</v>
      </c>
      <c r="B5199" t="s">
        <v>23</v>
      </c>
      <c r="C5199" t="str">
        <f>_xlfn.XLOOKUP(B5199,
[1]sales_teams!$A$2:$A$100,
[1]sales_teams!$B$2:$B$100)</f>
        <v>Summer Sewald</v>
      </c>
      <c r="D5199" t="str">
        <f>_xlfn.XLOOKUP($B5199,sales_teams!$A$2:$A$36,sales_teams!C$2:C$36)</f>
        <v>West</v>
      </c>
      <c r="E5199" t="s">
        <v>20</v>
      </c>
      <c r="G5199" t="s">
        <v>40</v>
      </c>
      <c r="H5199" s="1">
        <v>42939</v>
      </c>
    </row>
    <row r="5200" spans="1:10" x14ac:dyDescent="0.3">
      <c r="A5200" t="s">
        <v>5331</v>
      </c>
      <c r="B5200" t="s">
        <v>23</v>
      </c>
      <c r="C5200" t="str">
        <f>_xlfn.XLOOKUP(B5200,
[1]sales_teams!$A$2:$A$100,
[1]sales_teams!$B$2:$B$100)</f>
        <v>Summer Sewald</v>
      </c>
      <c r="D5200" t="str">
        <f>_xlfn.XLOOKUP($B5200,sales_teams!$A$2:$A$36,sales_teams!C$2:C$36)</f>
        <v>West</v>
      </c>
      <c r="E5200" t="s">
        <v>48</v>
      </c>
      <c r="F5200" t="s">
        <v>30</v>
      </c>
      <c r="G5200" t="s">
        <v>46</v>
      </c>
      <c r="H5200" s="1">
        <v>42939</v>
      </c>
      <c r="I5200" s="1">
        <v>43007</v>
      </c>
      <c r="J5200">
        <v>0</v>
      </c>
    </row>
    <row r="5201" spans="1:10" x14ac:dyDescent="0.3">
      <c r="A5201" t="s">
        <v>5332</v>
      </c>
      <c r="B5201" t="s">
        <v>26</v>
      </c>
      <c r="C5201" t="str">
        <f>_xlfn.XLOOKUP(B5201,
[1]sales_teams!$A$2:$A$100,
[1]sales_teams!$B$2:$B$100)</f>
        <v>Dustin Brinkmann</v>
      </c>
      <c r="D5201" t="str">
        <f>_xlfn.XLOOKUP($B5201,sales_teams!$A$2:$A$36,sales_teams!C$2:C$36)</f>
        <v>Central</v>
      </c>
      <c r="E5201" t="s">
        <v>48</v>
      </c>
      <c r="F5201" t="s">
        <v>59</v>
      </c>
      <c r="G5201" t="s">
        <v>40</v>
      </c>
      <c r="H5201" s="1">
        <v>42940</v>
      </c>
    </row>
    <row r="5202" spans="1:10" x14ac:dyDescent="0.3">
      <c r="A5202" t="s">
        <v>5333</v>
      </c>
      <c r="B5202" t="s">
        <v>26</v>
      </c>
      <c r="C5202" t="str">
        <f>_xlfn.XLOOKUP(B5202,
[1]sales_teams!$A$2:$A$100,
[1]sales_teams!$B$2:$B$100)</f>
        <v>Dustin Brinkmann</v>
      </c>
      <c r="D5202" t="str">
        <f>_xlfn.XLOOKUP($B5202,sales_teams!$A$2:$A$36,sales_teams!C$2:C$36)</f>
        <v>Central</v>
      </c>
      <c r="E5202" t="s">
        <v>48</v>
      </c>
      <c r="G5202" t="s">
        <v>40</v>
      </c>
      <c r="H5202" s="1">
        <v>42940</v>
      </c>
    </row>
    <row r="5203" spans="1:10" x14ac:dyDescent="0.3">
      <c r="A5203" t="s">
        <v>5334</v>
      </c>
      <c r="B5203" t="s">
        <v>26</v>
      </c>
      <c r="C5203" t="str">
        <f>_xlfn.XLOOKUP(B5203,
[1]sales_teams!$A$2:$A$100,
[1]sales_teams!$B$2:$B$100)</f>
        <v>Dustin Brinkmann</v>
      </c>
      <c r="D5203" t="str">
        <f>_xlfn.XLOOKUP($B5203,sales_teams!$A$2:$A$36,sales_teams!C$2:C$36)</f>
        <v>Central</v>
      </c>
      <c r="E5203" t="s">
        <v>48</v>
      </c>
      <c r="F5203" t="s">
        <v>135</v>
      </c>
      <c r="G5203" t="s">
        <v>46</v>
      </c>
      <c r="H5203" s="1">
        <v>42940</v>
      </c>
      <c r="I5203" s="1">
        <v>42981</v>
      </c>
      <c r="J5203">
        <v>0</v>
      </c>
    </row>
    <row r="5204" spans="1:10" x14ac:dyDescent="0.3">
      <c r="A5204" t="s">
        <v>5335</v>
      </c>
      <c r="B5204" t="s">
        <v>118</v>
      </c>
      <c r="C5204" t="str">
        <f>_xlfn.XLOOKUP(B5204,
[1]sales_teams!$A$2:$A$100,
[1]sales_teams!$B$2:$B$100)</f>
        <v>Rocco Neubert</v>
      </c>
      <c r="D5204" t="str">
        <f>_xlfn.XLOOKUP($B5204,sales_teams!$A$2:$A$36,sales_teams!C$2:C$36)</f>
        <v>East</v>
      </c>
      <c r="E5204" t="s">
        <v>39</v>
      </c>
      <c r="G5204" t="s">
        <v>40</v>
      </c>
      <c r="H5204" s="1">
        <v>42940</v>
      </c>
    </row>
    <row r="5205" spans="1:10" x14ac:dyDescent="0.3">
      <c r="A5205" t="s">
        <v>5336</v>
      </c>
      <c r="B5205" t="s">
        <v>164</v>
      </c>
      <c r="C5205" t="str">
        <f>_xlfn.XLOOKUP(B5205,
[1]sales_teams!$A$2:$A$100,
[1]sales_teams!$B$2:$B$100)</f>
        <v>Cara Losch</v>
      </c>
      <c r="D5205" t="str">
        <f>_xlfn.XLOOKUP($B5205,sales_teams!$A$2:$A$36,sales_teams!C$2:C$36)</f>
        <v>East</v>
      </c>
      <c r="E5205" t="s">
        <v>20</v>
      </c>
      <c r="F5205" t="s">
        <v>89</v>
      </c>
      <c r="G5205" t="s">
        <v>12</v>
      </c>
      <c r="H5205" s="1">
        <v>42940</v>
      </c>
      <c r="I5205" s="1">
        <v>42942</v>
      </c>
      <c r="J5205">
        <v>458</v>
      </c>
    </row>
    <row r="5206" spans="1:10" x14ac:dyDescent="0.3">
      <c r="A5206" t="s">
        <v>5337</v>
      </c>
      <c r="B5206" t="s">
        <v>14</v>
      </c>
      <c r="C5206" t="str">
        <f>_xlfn.XLOOKUP(B5206,
[1]sales_teams!$A$2:$A$100,
[1]sales_teams!$B$2:$B$100)</f>
        <v>Melvin Marxen</v>
      </c>
      <c r="D5206" t="str">
        <f>_xlfn.XLOOKUP($B5206,sales_teams!$A$2:$A$36,sales_teams!C$2:C$36)</f>
        <v>Central</v>
      </c>
      <c r="E5206" t="s">
        <v>15</v>
      </c>
      <c r="F5206" t="s">
        <v>197</v>
      </c>
      <c r="G5206" t="s">
        <v>40</v>
      </c>
      <c r="H5206" s="1">
        <v>42940</v>
      </c>
    </row>
    <row r="5207" spans="1:10" x14ac:dyDescent="0.3">
      <c r="A5207" t="s">
        <v>5338</v>
      </c>
      <c r="B5207" t="s">
        <v>14</v>
      </c>
      <c r="C5207" t="str">
        <f>_xlfn.XLOOKUP(B5207,
[1]sales_teams!$A$2:$A$100,
[1]sales_teams!$B$2:$B$100)</f>
        <v>Melvin Marxen</v>
      </c>
      <c r="D5207" t="str">
        <f>_xlfn.XLOOKUP($B5207,sales_teams!$A$2:$A$36,sales_teams!C$2:C$36)</f>
        <v>Central</v>
      </c>
      <c r="E5207" t="s">
        <v>15</v>
      </c>
      <c r="G5207" t="s">
        <v>40</v>
      </c>
      <c r="H5207" s="1">
        <v>42940</v>
      </c>
    </row>
    <row r="5208" spans="1:10" x14ac:dyDescent="0.3">
      <c r="A5208" t="s">
        <v>5339</v>
      </c>
      <c r="B5208" t="s">
        <v>14</v>
      </c>
      <c r="C5208" t="str">
        <f>_xlfn.XLOOKUP(B5208,
[1]sales_teams!$A$2:$A$100,
[1]sales_teams!$B$2:$B$100)</f>
        <v>Melvin Marxen</v>
      </c>
      <c r="D5208" t="str">
        <f>_xlfn.XLOOKUP($B5208,sales_teams!$A$2:$A$36,sales_teams!C$2:C$36)</f>
        <v>Central</v>
      </c>
      <c r="E5208" t="s">
        <v>15</v>
      </c>
      <c r="G5208" t="s">
        <v>40</v>
      </c>
      <c r="H5208" s="1">
        <v>42940</v>
      </c>
    </row>
    <row r="5209" spans="1:10" x14ac:dyDescent="0.3">
      <c r="A5209" t="s">
        <v>5340</v>
      </c>
      <c r="B5209" t="s">
        <v>14</v>
      </c>
      <c r="C5209" t="str">
        <f>_xlfn.XLOOKUP(B5209,
[1]sales_teams!$A$2:$A$100,
[1]sales_teams!$B$2:$B$100)</f>
        <v>Melvin Marxen</v>
      </c>
      <c r="D5209" t="str">
        <f>_xlfn.XLOOKUP($B5209,sales_teams!$A$2:$A$36,sales_teams!C$2:C$36)</f>
        <v>Central</v>
      </c>
      <c r="E5209" t="s">
        <v>18</v>
      </c>
      <c r="G5209" t="s">
        <v>40</v>
      </c>
      <c r="H5209" s="1">
        <v>42940</v>
      </c>
    </row>
    <row r="5210" spans="1:10" x14ac:dyDescent="0.3">
      <c r="A5210" t="s">
        <v>5341</v>
      </c>
      <c r="B5210" t="s">
        <v>14</v>
      </c>
      <c r="C5210" t="str">
        <f>_xlfn.XLOOKUP(B5210,
[1]sales_teams!$A$2:$A$100,
[1]sales_teams!$B$2:$B$100)</f>
        <v>Melvin Marxen</v>
      </c>
      <c r="D5210" t="str">
        <f>_xlfn.XLOOKUP($B5210,sales_teams!$A$2:$A$36,sales_teams!C$2:C$36)</f>
        <v>Central</v>
      </c>
      <c r="E5210" t="s">
        <v>39</v>
      </c>
      <c r="G5210" t="s">
        <v>40</v>
      </c>
      <c r="H5210" s="1">
        <v>42940</v>
      </c>
    </row>
    <row r="5211" spans="1:10" x14ac:dyDescent="0.3">
      <c r="A5211" t="s">
        <v>5342</v>
      </c>
      <c r="B5211" t="s">
        <v>14</v>
      </c>
      <c r="C5211" t="str">
        <f>_xlfn.XLOOKUP(B5211,
[1]sales_teams!$A$2:$A$100,
[1]sales_teams!$B$2:$B$100)</f>
        <v>Melvin Marxen</v>
      </c>
      <c r="D5211" t="str">
        <f>_xlfn.XLOOKUP($B5211,sales_teams!$A$2:$A$36,sales_teams!C$2:C$36)</f>
        <v>Central</v>
      </c>
      <c r="E5211" t="s">
        <v>10</v>
      </c>
      <c r="F5211" t="s">
        <v>76</v>
      </c>
      <c r="G5211" t="s">
        <v>12</v>
      </c>
      <c r="H5211" s="1">
        <v>42940</v>
      </c>
      <c r="I5211" s="1">
        <v>42954</v>
      </c>
      <c r="J5211">
        <v>996</v>
      </c>
    </row>
    <row r="5212" spans="1:10" x14ac:dyDescent="0.3">
      <c r="A5212" t="s">
        <v>5343</v>
      </c>
      <c r="B5212" t="s">
        <v>14</v>
      </c>
      <c r="C5212" t="str">
        <f>_xlfn.XLOOKUP(B5212,
[1]sales_teams!$A$2:$A$100,
[1]sales_teams!$B$2:$B$100)</f>
        <v>Melvin Marxen</v>
      </c>
      <c r="D5212" t="str">
        <f>_xlfn.XLOOKUP($B5212,sales_teams!$A$2:$A$36,sales_teams!C$2:C$36)</f>
        <v>Central</v>
      </c>
      <c r="E5212" t="s">
        <v>15</v>
      </c>
      <c r="F5212" t="s">
        <v>45</v>
      </c>
      <c r="G5212" t="s">
        <v>12</v>
      </c>
      <c r="H5212" s="1">
        <v>42940</v>
      </c>
      <c r="I5212" s="1">
        <v>42947</v>
      </c>
      <c r="J5212">
        <v>4772</v>
      </c>
    </row>
    <row r="5213" spans="1:10" x14ac:dyDescent="0.3">
      <c r="A5213" t="s">
        <v>5344</v>
      </c>
      <c r="B5213" t="s">
        <v>142</v>
      </c>
      <c r="C5213" t="str">
        <f>_xlfn.XLOOKUP(B5213,
[1]sales_teams!$A$2:$A$100,
[1]sales_teams!$B$2:$B$100)</f>
        <v>Rocco Neubert</v>
      </c>
      <c r="D5213" t="str">
        <f>_xlfn.XLOOKUP($B5213,sales_teams!$A$2:$A$36,sales_teams!C$2:C$36)</f>
        <v>East</v>
      </c>
      <c r="E5213" t="s">
        <v>15</v>
      </c>
      <c r="F5213" t="s">
        <v>240</v>
      </c>
      <c r="G5213" t="s">
        <v>12</v>
      </c>
      <c r="H5213" s="1">
        <v>42940</v>
      </c>
      <c r="I5213" s="1">
        <v>42942</v>
      </c>
      <c r="J5213">
        <v>4490</v>
      </c>
    </row>
    <row r="5214" spans="1:10" x14ac:dyDescent="0.3">
      <c r="A5214" t="s">
        <v>5345</v>
      </c>
      <c r="B5214" t="s">
        <v>142</v>
      </c>
      <c r="C5214" t="str">
        <f>_xlfn.XLOOKUP(B5214,
[1]sales_teams!$A$2:$A$100,
[1]sales_teams!$B$2:$B$100)</f>
        <v>Rocco Neubert</v>
      </c>
      <c r="D5214" t="str">
        <f>_xlfn.XLOOKUP($B5214,sales_teams!$A$2:$A$36,sales_teams!C$2:C$36)</f>
        <v>East</v>
      </c>
      <c r="E5214" t="s">
        <v>39</v>
      </c>
      <c r="F5214" t="s">
        <v>237</v>
      </c>
      <c r="G5214" t="s">
        <v>12</v>
      </c>
      <c r="H5214" s="1">
        <v>42940</v>
      </c>
      <c r="I5214" s="1">
        <v>43041</v>
      </c>
      <c r="J5214">
        <v>3260</v>
      </c>
    </row>
    <row r="5215" spans="1:10" x14ac:dyDescent="0.3">
      <c r="A5215" t="s">
        <v>5346</v>
      </c>
      <c r="B5215" t="s">
        <v>67</v>
      </c>
      <c r="C5215" t="str">
        <f>_xlfn.XLOOKUP(B5215,
[1]sales_teams!$A$2:$A$100,
[1]sales_teams!$B$2:$B$100)</f>
        <v>Celia Rouche</v>
      </c>
      <c r="D5215" t="str">
        <f>_xlfn.XLOOKUP($B5215,sales_teams!$A$2:$A$36,sales_teams!C$2:C$36)</f>
        <v>West</v>
      </c>
      <c r="E5215" t="s">
        <v>20</v>
      </c>
      <c r="F5215" t="s">
        <v>224</v>
      </c>
      <c r="G5215" t="s">
        <v>12</v>
      </c>
      <c r="H5215" s="1">
        <v>42940</v>
      </c>
      <c r="I5215" s="1">
        <v>42953</v>
      </c>
      <c r="J5215">
        <v>584</v>
      </c>
    </row>
    <row r="5216" spans="1:10" x14ac:dyDescent="0.3">
      <c r="A5216" t="s">
        <v>5347</v>
      </c>
      <c r="B5216" t="s">
        <v>67</v>
      </c>
      <c r="C5216" t="str">
        <f>_xlfn.XLOOKUP(B5216,
[1]sales_teams!$A$2:$A$100,
[1]sales_teams!$B$2:$B$100)</f>
        <v>Celia Rouche</v>
      </c>
      <c r="D5216" t="str">
        <f>_xlfn.XLOOKUP($B5216,sales_teams!$A$2:$A$36,sales_teams!C$2:C$36)</f>
        <v>West</v>
      </c>
      <c r="E5216" t="s">
        <v>39</v>
      </c>
      <c r="F5216" t="s">
        <v>155</v>
      </c>
      <c r="G5216" t="s">
        <v>12</v>
      </c>
      <c r="H5216" s="1">
        <v>42940</v>
      </c>
      <c r="I5216" s="1">
        <v>42946</v>
      </c>
      <c r="J5216">
        <v>3371</v>
      </c>
    </row>
    <row r="5217" spans="1:10" x14ac:dyDescent="0.3">
      <c r="A5217" t="s">
        <v>5348</v>
      </c>
      <c r="B5217" t="s">
        <v>44</v>
      </c>
      <c r="C5217" t="str">
        <f>_xlfn.XLOOKUP(B5217,
[1]sales_teams!$A$2:$A$100,
[1]sales_teams!$B$2:$B$100)</f>
        <v>Melvin Marxen</v>
      </c>
      <c r="D5217" t="str">
        <f>_xlfn.XLOOKUP($B5217,sales_teams!$A$2:$A$36,sales_teams!C$2:C$36)</f>
        <v>Central</v>
      </c>
      <c r="E5217" t="s">
        <v>20</v>
      </c>
      <c r="G5217" t="s">
        <v>40</v>
      </c>
      <c r="H5217" s="1">
        <v>42940</v>
      </c>
    </row>
    <row r="5218" spans="1:10" x14ac:dyDescent="0.3">
      <c r="A5218" t="s">
        <v>5349</v>
      </c>
      <c r="B5218" t="s">
        <v>44</v>
      </c>
      <c r="C5218" t="str">
        <f>_xlfn.XLOOKUP(B5218,
[1]sales_teams!$A$2:$A$100,
[1]sales_teams!$B$2:$B$100)</f>
        <v>Melvin Marxen</v>
      </c>
      <c r="D5218" t="str">
        <f>_xlfn.XLOOKUP($B5218,sales_teams!$A$2:$A$36,sales_teams!C$2:C$36)</f>
        <v>Central</v>
      </c>
      <c r="E5218" t="s">
        <v>48</v>
      </c>
      <c r="F5218" t="s">
        <v>159</v>
      </c>
      <c r="G5218" t="s">
        <v>40</v>
      </c>
      <c r="H5218" s="1">
        <v>42940</v>
      </c>
    </row>
    <row r="5219" spans="1:10" x14ac:dyDescent="0.3">
      <c r="A5219" t="s">
        <v>5350</v>
      </c>
      <c r="B5219" t="s">
        <v>44</v>
      </c>
      <c r="C5219" t="str">
        <f>_xlfn.XLOOKUP(B5219,
[1]sales_teams!$A$2:$A$100,
[1]sales_teams!$B$2:$B$100)</f>
        <v>Melvin Marxen</v>
      </c>
      <c r="D5219" t="str">
        <f>_xlfn.XLOOKUP($B5219,sales_teams!$A$2:$A$36,sales_teams!C$2:C$36)</f>
        <v>Central</v>
      </c>
      <c r="E5219" t="s">
        <v>15</v>
      </c>
      <c r="F5219" t="s">
        <v>218</v>
      </c>
      <c r="G5219" t="s">
        <v>12</v>
      </c>
      <c r="H5219" s="1">
        <v>42940</v>
      </c>
      <c r="I5219" s="1">
        <v>43005</v>
      </c>
      <c r="J5219">
        <v>4868</v>
      </c>
    </row>
    <row r="5220" spans="1:10" x14ac:dyDescent="0.3">
      <c r="A5220" t="s">
        <v>5351</v>
      </c>
      <c r="B5220" t="s">
        <v>44</v>
      </c>
      <c r="C5220" t="str">
        <f>_xlfn.XLOOKUP(B5220,
[1]sales_teams!$A$2:$A$100,
[1]sales_teams!$B$2:$B$100)</f>
        <v>Melvin Marxen</v>
      </c>
      <c r="D5220" t="str">
        <f>_xlfn.XLOOKUP($B5220,sales_teams!$A$2:$A$36,sales_teams!C$2:C$36)</f>
        <v>Central</v>
      </c>
      <c r="E5220" t="s">
        <v>39</v>
      </c>
      <c r="F5220" t="s">
        <v>151</v>
      </c>
      <c r="G5220" t="s">
        <v>12</v>
      </c>
      <c r="H5220" s="1">
        <v>42940</v>
      </c>
      <c r="I5220" s="1">
        <v>42954</v>
      </c>
      <c r="J5220">
        <v>3271</v>
      </c>
    </row>
    <row r="5221" spans="1:10" x14ac:dyDescent="0.3">
      <c r="A5221" t="s">
        <v>5352</v>
      </c>
      <c r="B5221" t="s">
        <v>252</v>
      </c>
      <c r="C5221" t="str">
        <f>_xlfn.XLOOKUP(B5221,
[1]sales_teams!$A$2:$A$100,
[1]sales_teams!$B$2:$B$100)</f>
        <v>Melvin Marxen</v>
      </c>
      <c r="D5221" t="str">
        <f>_xlfn.XLOOKUP($B5221,sales_teams!$A$2:$A$36,sales_teams!C$2:C$36)</f>
        <v>Central</v>
      </c>
      <c r="E5221" t="s">
        <v>20</v>
      </c>
      <c r="G5221" t="s">
        <v>40</v>
      </c>
      <c r="H5221" s="1">
        <v>42940</v>
      </c>
    </row>
    <row r="5222" spans="1:10" x14ac:dyDescent="0.3">
      <c r="A5222" t="s">
        <v>5353</v>
      </c>
      <c r="B5222" t="s">
        <v>252</v>
      </c>
      <c r="C5222" t="str">
        <f>_xlfn.XLOOKUP(B5222,
[1]sales_teams!$A$2:$A$100,
[1]sales_teams!$B$2:$B$100)</f>
        <v>Melvin Marxen</v>
      </c>
      <c r="D5222" t="str">
        <f>_xlfn.XLOOKUP($B5222,sales_teams!$A$2:$A$36,sales_teams!C$2:C$36)</f>
        <v>Central</v>
      </c>
      <c r="E5222" t="s">
        <v>15</v>
      </c>
      <c r="F5222" t="s">
        <v>62</v>
      </c>
      <c r="G5222" t="s">
        <v>46</v>
      </c>
      <c r="H5222" s="1">
        <v>42940</v>
      </c>
      <c r="I5222" s="1">
        <v>42941</v>
      </c>
      <c r="J5222">
        <v>0</v>
      </c>
    </row>
    <row r="5223" spans="1:10" x14ac:dyDescent="0.3">
      <c r="A5223" t="s">
        <v>5354</v>
      </c>
      <c r="B5223" t="s">
        <v>133</v>
      </c>
      <c r="C5223" t="str">
        <f>_xlfn.XLOOKUP(B5223,
[1]sales_teams!$A$2:$A$100,
[1]sales_teams!$B$2:$B$100)</f>
        <v>Dustin Brinkmann</v>
      </c>
      <c r="D5223" t="str">
        <f>_xlfn.XLOOKUP($B5223,sales_teams!$A$2:$A$36,sales_teams!C$2:C$36)</f>
        <v>Central</v>
      </c>
      <c r="E5223" t="s">
        <v>20</v>
      </c>
      <c r="G5223" t="s">
        <v>40</v>
      </c>
      <c r="H5223" s="1">
        <v>42940</v>
      </c>
    </row>
    <row r="5224" spans="1:10" x14ac:dyDescent="0.3">
      <c r="A5224" t="s">
        <v>5355</v>
      </c>
      <c r="B5224" t="s">
        <v>133</v>
      </c>
      <c r="C5224" t="str">
        <f>_xlfn.XLOOKUP(B5224,
[1]sales_teams!$A$2:$A$100,
[1]sales_teams!$B$2:$B$100)</f>
        <v>Dustin Brinkmann</v>
      </c>
      <c r="D5224" t="str">
        <f>_xlfn.XLOOKUP($B5224,sales_teams!$A$2:$A$36,sales_teams!C$2:C$36)</f>
        <v>Central</v>
      </c>
      <c r="E5224" t="s">
        <v>18</v>
      </c>
      <c r="F5224" t="s">
        <v>218</v>
      </c>
      <c r="G5224" t="s">
        <v>46</v>
      </c>
      <c r="H5224" s="1">
        <v>42940</v>
      </c>
      <c r="I5224" s="1">
        <v>42975</v>
      </c>
      <c r="J5224">
        <v>0</v>
      </c>
    </row>
    <row r="5225" spans="1:10" x14ac:dyDescent="0.3">
      <c r="A5225" t="s">
        <v>5356</v>
      </c>
      <c r="B5225" t="s">
        <v>116</v>
      </c>
      <c r="C5225" t="str">
        <f>_xlfn.XLOOKUP(B5225,
[1]sales_teams!$A$2:$A$100,
[1]sales_teams!$B$2:$B$100)</f>
        <v>Melvin Marxen</v>
      </c>
      <c r="D5225" t="str">
        <f>_xlfn.XLOOKUP($B5225,sales_teams!$A$2:$A$36,sales_teams!C$2:C$36)</f>
        <v>Central</v>
      </c>
      <c r="E5225" t="s">
        <v>20</v>
      </c>
      <c r="G5225" t="s">
        <v>40</v>
      </c>
      <c r="H5225" s="1">
        <v>42940</v>
      </c>
    </row>
    <row r="5226" spans="1:10" x14ac:dyDescent="0.3">
      <c r="A5226" t="s">
        <v>5357</v>
      </c>
      <c r="B5226" t="s">
        <v>116</v>
      </c>
      <c r="C5226" t="str">
        <f>_xlfn.XLOOKUP(B5226,
[1]sales_teams!$A$2:$A$100,
[1]sales_teams!$B$2:$B$100)</f>
        <v>Melvin Marxen</v>
      </c>
      <c r="D5226" t="str">
        <f>_xlfn.XLOOKUP($B5226,sales_teams!$A$2:$A$36,sales_teams!C$2:C$36)</f>
        <v>Central</v>
      </c>
      <c r="E5226" t="s">
        <v>10</v>
      </c>
      <c r="G5226" t="s">
        <v>40</v>
      </c>
      <c r="H5226" s="1">
        <v>42940</v>
      </c>
    </row>
    <row r="5227" spans="1:10" x14ac:dyDescent="0.3">
      <c r="A5227" t="s">
        <v>5358</v>
      </c>
      <c r="B5227" t="s">
        <v>116</v>
      </c>
      <c r="C5227" t="str">
        <f>_xlfn.XLOOKUP(B5227,
[1]sales_teams!$A$2:$A$100,
[1]sales_teams!$B$2:$B$100)</f>
        <v>Melvin Marxen</v>
      </c>
      <c r="D5227" t="str">
        <f>_xlfn.XLOOKUP($B5227,sales_teams!$A$2:$A$36,sales_teams!C$2:C$36)</f>
        <v>Central</v>
      </c>
      <c r="E5227" t="s">
        <v>10</v>
      </c>
      <c r="F5227" t="s">
        <v>113</v>
      </c>
      <c r="G5227" t="s">
        <v>12</v>
      </c>
      <c r="H5227" s="1">
        <v>42940</v>
      </c>
      <c r="I5227" s="1">
        <v>42941</v>
      </c>
      <c r="J5227">
        <v>1171</v>
      </c>
    </row>
    <row r="5228" spans="1:10" x14ac:dyDescent="0.3">
      <c r="A5228" t="s">
        <v>5359</v>
      </c>
      <c r="B5228" t="s">
        <v>51</v>
      </c>
      <c r="C5228" t="str">
        <f>_xlfn.XLOOKUP(B5228,
[1]sales_teams!$A$2:$A$100,
[1]sales_teams!$B$2:$B$100)</f>
        <v>Summer Sewald</v>
      </c>
      <c r="D5228" t="str">
        <f>_xlfn.XLOOKUP($B5228,sales_teams!$A$2:$A$36,sales_teams!C$2:C$36)</f>
        <v>West</v>
      </c>
      <c r="E5228" t="s">
        <v>18</v>
      </c>
      <c r="G5228" t="s">
        <v>40</v>
      </c>
      <c r="H5228" s="1">
        <v>42940</v>
      </c>
    </row>
    <row r="5229" spans="1:10" x14ac:dyDescent="0.3">
      <c r="A5229" t="s">
        <v>5360</v>
      </c>
      <c r="B5229" t="s">
        <v>9</v>
      </c>
      <c r="C5229" t="str">
        <f>_xlfn.XLOOKUP(B5229,
[1]sales_teams!$A$2:$A$100,
[1]sales_teams!$B$2:$B$100)</f>
        <v>Dustin Brinkmann</v>
      </c>
      <c r="D5229" t="str">
        <f>_xlfn.XLOOKUP($B5229,sales_teams!$A$2:$A$36,sales_teams!C$2:C$36)</f>
        <v>Central</v>
      </c>
      <c r="E5229" t="s">
        <v>20</v>
      </c>
      <c r="F5229" t="s">
        <v>148</v>
      </c>
      <c r="G5229" t="s">
        <v>40</v>
      </c>
      <c r="H5229" s="1">
        <v>42940</v>
      </c>
    </row>
    <row r="5230" spans="1:10" x14ac:dyDescent="0.3">
      <c r="A5230" t="s">
        <v>5361</v>
      </c>
      <c r="B5230" t="s">
        <v>9</v>
      </c>
      <c r="C5230" t="str">
        <f>_xlfn.XLOOKUP(B5230,
[1]sales_teams!$A$2:$A$100,
[1]sales_teams!$B$2:$B$100)</f>
        <v>Dustin Brinkmann</v>
      </c>
      <c r="D5230" t="str">
        <f>_xlfn.XLOOKUP($B5230,sales_teams!$A$2:$A$36,sales_teams!C$2:C$36)</f>
        <v>Central</v>
      </c>
      <c r="E5230" t="s">
        <v>18</v>
      </c>
      <c r="F5230" t="s">
        <v>222</v>
      </c>
      <c r="G5230" t="s">
        <v>40</v>
      </c>
      <c r="H5230" s="1">
        <v>42940</v>
      </c>
    </row>
    <row r="5231" spans="1:10" x14ac:dyDescent="0.3">
      <c r="A5231" t="s">
        <v>5362</v>
      </c>
      <c r="B5231" t="s">
        <v>9</v>
      </c>
      <c r="C5231" t="str">
        <f>_xlfn.XLOOKUP(B5231,
[1]sales_teams!$A$2:$A$100,
[1]sales_teams!$B$2:$B$100)</f>
        <v>Dustin Brinkmann</v>
      </c>
      <c r="D5231" t="str">
        <f>_xlfn.XLOOKUP($B5231,sales_teams!$A$2:$A$36,sales_teams!C$2:C$36)</f>
        <v>Central</v>
      </c>
      <c r="E5231" t="s">
        <v>18</v>
      </c>
      <c r="F5231" t="s">
        <v>318</v>
      </c>
      <c r="G5231" t="s">
        <v>12</v>
      </c>
      <c r="H5231" s="1">
        <v>42940</v>
      </c>
      <c r="I5231" s="1">
        <v>42941</v>
      </c>
      <c r="J5231">
        <v>58</v>
      </c>
    </row>
    <row r="5232" spans="1:10" x14ac:dyDescent="0.3">
      <c r="A5232" t="s">
        <v>5363</v>
      </c>
      <c r="B5232" t="s">
        <v>35</v>
      </c>
      <c r="C5232" t="str">
        <f>_xlfn.XLOOKUP(B5232,
[1]sales_teams!$A$2:$A$100,
[1]sales_teams!$B$2:$B$100)</f>
        <v>Melvin Marxen</v>
      </c>
      <c r="D5232" t="str">
        <f>_xlfn.XLOOKUP($B5232,sales_teams!$A$2:$A$36,sales_teams!C$2:C$36)</f>
        <v>Central</v>
      </c>
      <c r="E5232" t="s">
        <v>15</v>
      </c>
      <c r="G5232" t="s">
        <v>40</v>
      </c>
      <c r="H5232" s="1">
        <v>42940</v>
      </c>
    </row>
    <row r="5233" spans="1:10" x14ac:dyDescent="0.3">
      <c r="A5233" t="s">
        <v>5364</v>
      </c>
      <c r="B5233" t="s">
        <v>35</v>
      </c>
      <c r="C5233" t="str">
        <f>_xlfn.XLOOKUP(B5233,
[1]sales_teams!$A$2:$A$100,
[1]sales_teams!$B$2:$B$100)</f>
        <v>Melvin Marxen</v>
      </c>
      <c r="D5233" t="str">
        <f>_xlfn.XLOOKUP($B5233,sales_teams!$A$2:$A$36,sales_teams!C$2:C$36)</f>
        <v>Central</v>
      </c>
      <c r="E5233" t="s">
        <v>20</v>
      </c>
      <c r="F5233" t="s">
        <v>492</v>
      </c>
      <c r="G5233" t="s">
        <v>46</v>
      </c>
      <c r="H5233" s="1">
        <v>42940</v>
      </c>
      <c r="I5233" s="1">
        <v>43045</v>
      </c>
      <c r="J5233">
        <v>0</v>
      </c>
    </row>
    <row r="5234" spans="1:10" x14ac:dyDescent="0.3">
      <c r="A5234" t="s">
        <v>5365</v>
      </c>
      <c r="B5234" t="s">
        <v>88</v>
      </c>
      <c r="C5234" t="str">
        <f>_xlfn.XLOOKUP(B5234,
[1]sales_teams!$A$2:$A$100,
[1]sales_teams!$B$2:$B$100)</f>
        <v>Cara Losch</v>
      </c>
      <c r="D5234" t="str">
        <f>_xlfn.XLOOKUP($B5234,sales_teams!$A$2:$A$36,sales_teams!C$2:C$36)</f>
        <v>East</v>
      </c>
      <c r="E5234" t="s">
        <v>15</v>
      </c>
      <c r="F5234" t="s">
        <v>278</v>
      </c>
      <c r="G5234" t="s">
        <v>46</v>
      </c>
      <c r="H5234" s="1">
        <v>42940</v>
      </c>
      <c r="I5234" s="1">
        <v>42942</v>
      </c>
      <c r="J5234">
        <v>0</v>
      </c>
    </row>
    <row r="5235" spans="1:10" x14ac:dyDescent="0.3">
      <c r="A5235" t="s">
        <v>5366</v>
      </c>
      <c r="B5235" t="s">
        <v>88</v>
      </c>
      <c r="C5235" t="str">
        <f>_xlfn.XLOOKUP(B5235,
[1]sales_teams!$A$2:$A$100,
[1]sales_teams!$B$2:$B$100)</f>
        <v>Cara Losch</v>
      </c>
      <c r="D5235" t="str">
        <f>_xlfn.XLOOKUP($B5235,sales_teams!$A$2:$A$36,sales_teams!C$2:C$36)</f>
        <v>East</v>
      </c>
      <c r="E5235" t="s">
        <v>18</v>
      </c>
      <c r="F5235" t="s">
        <v>89</v>
      </c>
      <c r="G5235" t="s">
        <v>12</v>
      </c>
      <c r="H5235" s="1">
        <v>42940</v>
      </c>
      <c r="I5235" s="1">
        <v>42941</v>
      </c>
      <c r="J5235">
        <v>59</v>
      </c>
    </row>
    <row r="5236" spans="1:10" x14ac:dyDescent="0.3">
      <c r="A5236" t="s">
        <v>5367</v>
      </c>
      <c r="B5236" t="s">
        <v>61</v>
      </c>
      <c r="C5236" t="str">
        <f>_xlfn.XLOOKUP(B5236,
[1]sales_teams!$A$2:$A$100,
[1]sales_teams!$B$2:$B$100)</f>
        <v>Dustin Brinkmann</v>
      </c>
      <c r="D5236" t="str">
        <f>_xlfn.XLOOKUP($B5236,sales_teams!$A$2:$A$36,sales_teams!C$2:C$36)</f>
        <v>Central</v>
      </c>
      <c r="E5236" t="s">
        <v>20</v>
      </c>
      <c r="F5236" t="s">
        <v>300</v>
      </c>
      <c r="G5236" t="s">
        <v>40</v>
      </c>
      <c r="H5236" s="1">
        <v>42940</v>
      </c>
    </row>
    <row r="5237" spans="1:10" x14ac:dyDescent="0.3">
      <c r="A5237" t="s">
        <v>5368</v>
      </c>
      <c r="B5237" t="s">
        <v>61</v>
      </c>
      <c r="C5237" t="str">
        <f>_xlfn.XLOOKUP(B5237,
[1]sales_teams!$A$2:$A$100,
[1]sales_teams!$B$2:$B$100)</f>
        <v>Dustin Brinkmann</v>
      </c>
      <c r="D5237" t="str">
        <f>_xlfn.XLOOKUP($B5237,sales_teams!$A$2:$A$36,sales_teams!C$2:C$36)</f>
        <v>Central</v>
      </c>
      <c r="E5237" t="s">
        <v>10</v>
      </c>
      <c r="G5237" t="s">
        <v>40</v>
      </c>
      <c r="H5237" s="1">
        <v>42940</v>
      </c>
    </row>
    <row r="5238" spans="1:10" x14ac:dyDescent="0.3">
      <c r="A5238" t="s">
        <v>5369</v>
      </c>
      <c r="B5238" t="s">
        <v>61</v>
      </c>
      <c r="C5238" t="str">
        <f>_xlfn.XLOOKUP(B5238,
[1]sales_teams!$A$2:$A$100,
[1]sales_teams!$B$2:$B$100)</f>
        <v>Dustin Brinkmann</v>
      </c>
      <c r="D5238" t="str">
        <f>_xlfn.XLOOKUP($B5238,sales_teams!$A$2:$A$36,sales_teams!C$2:C$36)</f>
        <v>Central</v>
      </c>
      <c r="E5238" t="s">
        <v>18</v>
      </c>
      <c r="G5238" t="s">
        <v>40</v>
      </c>
      <c r="H5238" s="1">
        <v>42940</v>
      </c>
    </row>
    <row r="5239" spans="1:10" x14ac:dyDescent="0.3">
      <c r="A5239" t="s">
        <v>5370</v>
      </c>
      <c r="B5239" t="s">
        <v>61</v>
      </c>
      <c r="C5239" t="str">
        <f>_xlfn.XLOOKUP(B5239,
[1]sales_teams!$A$2:$A$100,
[1]sales_teams!$B$2:$B$100)</f>
        <v>Dustin Brinkmann</v>
      </c>
      <c r="D5239" t="str">
        <f>_xlfn.XLOOKUP($B5239,sales_teams!$A$2:$A$36,sales_teams!C$2:C$36)</f>
        <v>Central</v>
      </c>
      <c r="E5239" t="s">
        <v>18</v>
      </c>
      <c r="G5239" t="s">
        <v>40</v>
      </c>
      <c r="H5239" s="1">
        <v>42940</v>
      </c>
    </row>
    <row r="5240" spans="1:10" x14ac:dyDescent="0.3">
      <c r="A5240" t="s">
        <v>5371</v>
      </c>
      <c r="B5240" t="s">
        <v>61</v>
      </c>
      <c r="C5240" t="str">
        <f>_xlfn.XLOOKUP(B5240,
[1]sales_teams!$A$2:$A$100,
[1]sales_teams!$B$2:$B$100)</f>
        <v>Dustin Brinkmann</v>
      </c>
      <c r="D5240" t="str">
        <f>_xlfn.XLOOKUP($B5240,sales_teams!$A$2:$A$36,sales_teams!C$2:C$36)</f>
        <v>Central</v>
      </c>
      <c r="E5240" t="s">
        <v>18</v>
      </c>
      <c r="G5240" t="s">
        <v>40</v>
      </c>
      <c r="H5240" s="1">
        <v>42940</v>
      </c>
    </row>
    <row r="5241" spans="1:10" x14ac:dyDescent="0.3">
      <c r="A5241" t="s">
        <v>5372</v>
      </c>
      <c r="B5241" t="s">
        <v>61</v>
      </c>
      <c r="C5241" t="str">
        <f>_xlfn.XLOOKUP(B5241,
[1]sales_teams!$A$2:$A$100,
[1]sales_teams!$B$2:$B$100)</f>
        <v>Dustin Brinkmann</v>
      </c>
      <c r="D5241" t="str">
        <f>_xlfn.XLOOKUP($B5241,sales_teams!$A$2:$A$36,sales_teams!C$2:C$36)</f>
        <v>Central</v>
      </c>
      <c r="E5241" t="s">
        <v>39</v>
      </c>
      <c r="F5241" t="s">
        <v>224</v>
      </c>
      <c r="G5241" t="s">
        <v>40</v>
      </c>
      <c r="H5241" s="1">
        <v>42940</v>
      </c>
    </row>
    <row r="5242" spans="1:10" x14ac:dyDescent="0.3">
      <c r="A5242" t="s">
        <v>5373</v>
      </c>
      <c r="B5242" t="s">
        <v>61</v>
      </c>
      <c r="C5242" t="str">
        <f>_xlfn.XLOOKUP(B5242,
[1]sales_teams!$A$2:$A$100,
[1]sales_teams!$B$2:$B$100)</f>
        <v>Dustin Brinkmann</v>
      </c>
      <c r="D5242" t="str">
        <f>_xlfn.XLOOKUP($B5242,sales_teams!$A$2:$A$36,sales_teams!C$2:C$36)</f>
        <v>Central</v>
      </c>
      <c r="E5242" t="s">
        <v>39</v>
      </c>
      <c r="F5242" t="s">
        <v>27</v>
      </c>
      <c r="G5242" t="s">
        <v>40</v>
      </c>
      <c r="H5242" s="1">
        <v>42940</v>
      </c>
    </row>
    <row r="5243" spans="1:10" x14ac:dyDescent="0.3">
      <c r="A5243" t="s">
        <v>5374</v>
      </c>
      <c r="B5243" t="s">
        <v>61</v>
      </c>
      <c r="C5243" t="str">
        <f>_xlfn.XLOOKUP(B5243,
[1]sales_teams!$A$2:$A$100,
[1]sales_teams!$B$2:$B$100)</f>
        <v>Dustin Brinkmann</v>
      </c>
      <c r="D5243" t="str">
        <f>_xlfn.XLOOKUP($B5243,sales_teams!$A$2:$A$36,sales_teams!C$2:C$36)</f>
        <v>Central</v>
      </c>
      <c r="E5243" t="s">
        <v>18</v>
      </c>
      <c r="F5243" t="s">
        <v>315</v>
      </c>
      <c r="G5243" t="s">
        <v>12</v>
      </c>
      <c r="H5243" s="1">
        <v>42940</v>
      </c>
      <c r="I5243" s="1">
        <v>42947</v>
      </c>
      <c r="J5243">
        <v>50</v>
      </c>
    </row>
    <row r="5244" spans="1:10" x14ac:dyDescent="0.3">
      <c r="A5244" t="s">
        <v>5375</v>
      </c>
      <c r="B5244" t="s">
        <v>29</v>
      </c>
      <c r="C5244" t="str">
        <f>_xlfn.XLOOKUP(B5244,
[1]sales_teams!$A$2:$A$100,
[1]sales_teams!$B$2:$B$100)</f>
        <v>Celia Rouche</v>
      </c>
      <c r="D5244" t="str">
        <f>_xlfn.XLOOKUP($B5244,sales_teams!$A$2:$A$36,sales_teams!C$2:C$36)</f>
        <v>West</v>
      </c>
      <c r="E5244" t="s">
        <v>48</v>
      </c>
      <c r="F5244" t="s">
        <v>24</v>
      </c>
      <c r="G5244" t="s">
        <v>46</v>
      </c>
      <c r="H5244" s="1">
        <v>42940</v>
      </c>
      <c r="I5244" s="1">
        <v>43060</v>
      </c>
      <c r="J5244">
        <v>0</v>
      </c>
    </row>
    <row r="5245" spans="1:10" x14ac:dyDescent="0.3">
      <c r="A5245" t="s">
        <v>5376</v>
      </c>
      <c r="B5245" t="s">
        <v>73</v>
      </c>
      <c r="C5245" t="str">
        <f>_xlfn.XLOOKUP(B5245,
[1]sales_teams!$A$2:$A$100,
[1]sales_teams!$B$2:$B$100)</f>
        <v>Cara Losch</v>
      </c>
      <c r="D5245" t="str">
        <f>_xlfn.XLOOKUP($B5245,sales_teams!$A$2:$A$36,sales_teams!C$2:C$36)</f>
        <v>East</v>
      </c>
      <c r="E5245" t="s">
        <v>18</v>
      </c>
      <c r="F5245" t="s">
        <v>179</v>
      </c>
      <c r="G5245" t="s">
        <v>46</v>
      </c>
      <c r="H5245" s="1">
        <v>42940</v>
      </c>
      <c r="I5245" s="1">
        <v>42946</v>
      </c>
      <c r="J5245">
        <v>0</v>
      </c>
    </row>
    <row r="5246" spans="1:10" x14ac:dyDescent="0.3">
      <c r="A5246" t="s">
        <v>5377</v>
      </c>
      <c r="B5246" t="s">
        <v>26</v>
      </c>
      <c r="C5246" t="str">
        <f>_xlfn.XLOOKUP(B5246,
[1]sales_teams!$A$2:$A$100,
[1]sales_teams!$B$2:$B$100)</f>
        <v>Dustin Brinkmann</v>
      </c>
      <c r="D5246" t="str">
        <f>_xlfn.XLOOKUP($B5246,sales_teams!$A$2:$A$36,sales_teams!C$2:C$36)</f>
        <v>Central</v>
      </c>
      <c r="E5246" t="s">
        <v>18</v>
      </c>
      <c r="F5246" t="s">
        <v>174</v>
      </c>
      <c r="G5246" t="s">
        <v>40</v>
      </c>
      <c r="H5246" s="1">
        <v>42941</v>
      </c>
    </row>
    <row r="5247" spans="1:10" x14ac:dyDescent="0.3">
      <c r="A5247" t="s">
        <v>5378</v>
      </c>
      <c r="B5247" t="s">
        <v>26</v>
      </c>
      <c r="C5247" t="str">
        <f>_xlfn.XLOOKUP(B5247,
[1]sales_teams!$A$2:$A$100,
[1]sales_teams!$B$2:$B$100)</f>
        <v>Dustin Brinkmann</v>
      </c>
      <c r="D5247" t="str">
        <f>_xlfn.XLOOKUP($B5247,sales_teams!$A$2:$A$36,sales_teams!C$2:C$36)</f>
        <v>Central</v>
      </c>
      <c r="E5247" t="s">
        <v>39</v>
      </c>
      <c r="F5247" t="s">
        <v>174</v>
      </c>
      <c r="G5247" t="s">
        <v>40</v>
      </c>
      <c r="H5247" s="1">
        <v>42941</v>
      </c>
    </row>
    <row r="5248" spans="1:10" x14ac:dyDescent="0.3">
      <c r="A5248" t="s">
        <v>5379</v>
      </c>
      <c r="B5248" t="s">
        <v>26</v>
      </c>
      <c r="C5248" t="str">
        <f>_xlfn.XLOOKUP(B5248,
[1]sales_teams!$A$2:$A$100,
[1]sales_teams!$B$2:$B$100)</f>
        <v>Dustin Brinkmann</v>
      </c>
      <c r="D5248" t="str">
        <f>_xlfn.XLOOKUP($B5248,sales_teams!$A$2:$A$36,sales_teams!C$2:C$36)</f>
        <v>Central</v>
      </c>
      <c r="E5248" t="s">
        <v>39</v>
      </c>
      <c r="F5248" t="s">
        <v>209</v>
      </c>
      <c r="G5248" t="s">
        <v>40</v>
      </c>
      <c r="H5248" s="1">
        <v>42941</v>
      </c>
    </row>
    <row r="5249" spans="1:10" x14ac:dyDescent="0.3">
      <c r="A5249" t="s">
        <v>5380</v>
      </c>
      <c r="B5249" t="s">
        <v>139</v>
      </c>
      <c r="C5249" t="str">
        <f>_xlfn.XLOOKUP(B5249,
[1]sales_teams!$A$2:$A$100,
[1]sales_teams!$B$2:$B$100)</f>
        <v>Rocco Neubert</v>
      </c>
      <c r="D5249" t="str">
        <f>_xlfn.XLOOKUP($B5249,sales_teams!$A$2:$A$36,sales_teams!C$2:C$36)</f>
        <v>East</v>
      </c>
      <c r="E5249" t="s">
        <v>20</v>
      </c>
      <c r="F5249" t="s">
        <v>140</v>
      </c>
      <c r="G5249" t="s">
        <v>46</v>
      </c>
      <c r="H5249" s="1">
        <v>42941</v>
      </c>
      <c r="I5249" s="1">
        <v>42950</v>
      </c>
      <c r="J5249">
        <v>0</v>
      </c>
    </row>
    <row r="5250" spans="1:10" x14ac:dyDescent="0.3">
      <c r="A5250" t="s">
        <v>5381</v>
      </c>
      <c r="B5250" t="s">
        <v>139</v>
      </c>
      <c r="C5250" t="str">
        <f>_xlfn.XLOOKUP(B5250,
[1]sales_teams!$A$2:$A$100,
[1]sales_teams!$B$2:$B$100)</f>
        <v>Rocco Neubert</v>
      </c>
      <c r="D5250" t="str">
        <f>_xlfn.XLOOKUP($B5250,sales_teams!$A$2:$A$36,sales_teams!C$2:C$36)</f>
        <v>East</v>
      </c>
      <c r="E5250" t="s">
        <v>18</v>
      </c>
      <c r="F5250" t="s">
        <v>518</v>
      </c>
      <c r="G5250" t="s">
        <v>12</v>
      </c>
      <c r="H5250" s="1">
        <v>42941</v>
      </c>
      <c r="I5250" s="1">
        <v>42948</v>
      </c>
      <c r="J5250">
        <v>48</v>
      </c>
    </row>
    <row r="5251" spans="1:10" x14ac:dyDescent="0.3">
      <c r="A5251" t="s">
        <v>5382</v>
      </c>
      <c r="B5251" t="s">
        <v>118</v>
      </c>
      <c r="C5251" t="str">
        <f>_xlfn.XLOOKUP(B5251,
[1]sales_teams!$A$2:$A$100,
[1]sales_teams!$B$2:$B$100)</f>
        <v>Rocco Neubert</v>
      </c>
      <c r="D5251" t="str">
        <f>_xlfn.XLOOKUP($B5251,sales_teams!$A$2:$A$36,sales_teams!C$2:C$36)</f>
        <v>East</v>
      </c>
      <c r="E5251" t="s">
        <v>20</v>
      </c>
      <c r="F5251" t="s">
        <v>192</v>
      </c>
      <c r="G5251" t="s">
        <v>12</v>
      </c>
      <c r="H5251" s="1">
        <v>42941</v>
      </c>
      <c r="I5251" s="1">
        <v>42968</v>
      </c>
      <c r="J5251">
        <v>511</v>
      </c>
    </row>
    <row r="5252" spans="1:10" x14ac:dyDescent="0.3">
      <c r="A5252" t="s">
        <v>5383</v>
      </c>
      <c r="B5252" t="s">
        <v>118</v>
      </c>
      <c r="C5252" t="str">
        <f>_xlfn.XLOOKUP(B5252,
[1]sales_teams!$A$2:$A$100,
[1]sales_teams!$B$2:$B$100)</f>
        <v>Rocco Neubert</v>
      </c>
      <c r="D5252" t="str">
        <f>_xlfn.XLOOKUP($B5252,sales_teams!$A$2:$A$36,sales_teams!C$2:C$36)</f>
        <v>East</v>
      </c>
      <c r="E5252" t="s">
        <v>10</v>
      </c>
      <c r="F5252" t="s">
        <v>222</v>
      </c>
      <c r="G5252" t="s">
        <v>12</v>
      </c>
      <c r="H5252" s="1">
        <v>42941</v>
      </c>
      <c r="I5252" s="1">
        <v>42945</v>
      </c>
      <c r="J5252">
        <v>1311</v>
      </c>
    </row>
    <row r="5253" spans="1:10" x14ac:dyDescent="0.3">
      <c r="A5253" t="s">
        <v>5384</v>
      </c>
      <c r="B5253" t="s">
        <v>202</v>
      </c>
      <c r="C5253" t="str">
        <f>_xlfn.XLOOKUP(B5253,
[1]sales_teams!$A$2:$A$100,
[1]sales_teams!$B$2:$B$100)</f>
        <v>Dustin Brinkmann</v>
      </c>
      <c r="D5253" t="str">
        <f>_xlfn.XLOOKUP($B5253,sales_teams!$A$2:$A$36,sales_teams!C$2:C$36)</f>
        <v>Central</v>
      </c>
      <c r="E5253" t="s">
        <v>20</v>
      </c>
      <c r="G5253" t="s">
        <v>40</v>
      </c>
      <c r="H5253" s="1">
        <v>42941</v>
      </c>
    </row>
    <row r="5254" spans="1:10" x14ac:dyDescent="0.3">
      <c r="A5254" t="s">
        <v>5385</v>
      </c>
      <c r="B5254" t="s">
        <v>202</v>
      </c>
      <c r="C5254" t="str">
        <f>_xlfn.XLOOKUP(B5254,
[1]sales_teams!$A$2:$A$100,
[1]sales_teams!$B$2:$B$100)</f>
        <v>Dustin Brinkmann</v>
      </c>
      <c r="D5254" t="str">
        <f>_xlfn.XLOOKUP($B5254,sales_teams!$A$2:$A$36,sales_teams!C$2:C$36)</f>
        <v>Central</v>
      </c>
      <c r="E5254" t="s">
        <v>39</v>
      </c>
      <c r="F5254" t="s">
        <v>109</v>
      </c>
      <c r="G5254" t="s">
        <v>40</v>
      </c>
      <c r="H5254" s="1">
        <v>42941</v>
      </c>
    </row>
    <row r="5255" spans="1:10" x14ac:dyDescent="0.3">
      <c r="A5255" t="s">
        <v>5386</v>
      </c>
      <c r="B5255" t="s">
        <v>202</v>
      </c>
      <c r="C5255" t="str">
        <f>_xlfn.XLOOKUP(B5255,
[1]sales_teams!$A$2:$A$100,
[1]sales_teams!$B$2:$B$100)</f>
        <v>Dustin Brinkmann</v>
      </c>
      <c r="D5255" t="str">
        <f>_xlfn.XLOOKUP($B5255,sales_teams!$A$2:$A$36,sales_teams!C$2:C$36)</f>
        <v>Central</v>
      </c>
      <c r="E5255" t="s">
        <v>18</v>
      </c>
      <c r="F5255" t="s">
        <v>197</v>
      </c>
      <c r="G5255" t="s">
        <v>46</v>
      </c>
      <c r="H5255" s="1">
        <v>42941</v>
      </c>
      <c r="I5255" s="1">
        <v>42943</v>
      </c>
      <c r="J5255">
        <v>0</v>
      </c>
    </row>
    <row r="5256" spans="1:10" x14ac:dyDescent="0.3">
      <c r="A5256" t="s">
        <v>5387</v>
      </c>
      <c r="B5256" t="s">
        <v>164</v>
      </c>
      <c r="C5256" t="str">
        <f>_xlfn.XLOOKUP(B5256,
[1]sales_teams!$A$2:$A$100,
[1]sales_teams!$B$2:$B$100)</f>
        <v>Cara Losch</v>
      </c>
      <c r="D5256" t="str">
        <f>_xlfn.XLOOKUP($B5256,sales_teams!$A$2:$A$36,sales_teams!C$2:C$36)</f>
        <v>East</v>
      </c>
      <c r="E5256" t="s">
        <v>20</v>
      </c>
      <c r="F5256" t="s">
        <v>155</v>
      </c>
      <c r="G5256" t="s">
        <v>46</v>
      </c>
      <c r="H5256" s="1">
        <v>42941</v>
      </c>
      <c r="I5256" s="1">
        <v>42949</v>
      </c>
      <c r="J5256">
        <v>0</v>
      </c>
    </row>
    <row r="5257" spans="1:10" x14ac:dyDescent="0.3">
      <c r="A5257" t="s">
        <v>5388</v>
      </c>
      <c r="B5257" t="s">
        <v>64</v>
      </c>
      <c r="C5257" t="str">
        <f>_xlfn.XLOOKUP(B5257,
[1]sales_teams!$A$2:$A$100,
[1]sales_teams!$B$2:$B$100)</f>
        <v>Rocco Neubert</v>
      </c>
      <c r="D5257" t="str">
        <f>_xlfn.XLOOKUP($B5257,sales_teams!$A$2:$A$36,sales_teams!C$2:C$36)</f>
        <v>East</v>
      </c>
      <c r="E5257" t="s">
        <v>48</v>
      </c>
      <c r="F5257" t="s">
        <v>215</v>
      </c>
      <c r="G5257" t="s">
        <v>12</v>
      </c>
      <c r="H5257" s="1">
        <v>42941</v>
      </c>
      <c r="I5257" s="1">
        <v>42943</v>
      </c>
      <c r="J5257">
        <v>6100</v>
      </c>
    </row>
    <row r="5258" spans="1:10" x14ac:dyDescent="0.3">
      <c r="A5258" t="s">
        <v>5389</v>
      </c>
      <c r="B5258" t="s">
        <v>64</v>
      </c>
      <c r="C5258" t="str">
        <f>_xlfn.XLOOKUP(B5258,
[1]sales_teams!$A$2:$A$100,
[1]sales_teams!$B$2:$B$100)</f>
        <v>Rocco Neubert</v>
      </c>
      <c r="D5258" t="str">
        <f>_xlfn.XLOOKUP($B5258,sales_teams!$A$2:$A$36,sales_teams!C$2:C$36)</f>
        <v>East</v>
      </c>
      <c r="E5258" t="s">
        <v>18</v>
      </c>
      <c r="F5258" t="s">
        <v>143</v>
      </c>
      <c r="G5258" t="s">
        <v>12</v>
      </c>
      <c r="H5258" s="1">
        <v>42941</v>
      </c>
      <c r="I5258" s="1">
        <v>42948</v>
      </c>
      <c r="J5258">
        <v>61</v>
      </c>
    </row>
    <row r="5259" spans="1:10" x14ac:dyDescent="0.3">
      <c r="A5259" t="s">
        <v>5390</v>
      </c>
      <c r="B5259" t="s">
        <v>14</v>
      </c>
      <c r="C5259" t="str">
        <f>_xlfn.XLOOKUP(B5259,
[1]sales_teams!$A$2:$A$100,
[1]sales_teams!$B$2:$B$100)</f>
        <v>Melvin Marxen</v>
      </c>
      <c r="D5259" t="str">
        <f>_xlfn.XLOOKUP($B5259,sales_teams!$A$2:$A$36,sales_teams!C$2:C$36)</f>
        <v>Central</v>
      </c>
      <c r="E5259" t="s">
        <v>20</v>
      </c>
      <c r="G5259" t="s">
        <v>40</v>
      </c>
      <c r="H5259" s="1">
        <v>42941</v>
      </c>
    </row>
    <row r="5260" spans="1:10" x14ac:dyDescent="0.3">
      <c r="A5260" t="s">
        <v>5391</v>
      </c>
      <c r="B5260" t="s">
        <v>14</v>
      </c>
      <c r="C5260" t="str">
        <f>_xlfn.XLOOKUP(B5260,
[1]sales_teams!$A$2:$A$100,
[1]sales_teams!$B$2:$B$100)</f>
        <v>Melvin Marxen</v>
      </c>
      <c r="D5260" t="str">
        <f>_xlfn.XLOOKUP($B5260,sales_teams!$A$2:$A$36,sales_teams!C$2:C$36)</f>
        <v>Central</v>
      </c>
      <c r="E5260" t="s">
        <v>20</v>
      </c>
      <c r="G5260" t="s">
        <v>40</v>
      </c>
      <c r="H5260" s="1">
        <v>42941</v>
      </c>
    </row>
    <row r="5261" spans="1:10" x14ac:dyDescent="0.3">
      <c r="A5261" t="s">
        <v>5392</v>
      </c>
      <c r="B5261" t="s">
        <v>14</v>
      </c>
      <c r="C5261" t="str">
        <f>_xlfn.XLOOKUP(B5261,
[1]sales_teams!$A$2:$A$100,
[1]sales_teams!$B$2:$B$100)</f>
        <v>Melvin Marxen</v>
      </c>
      <c r="D5261" t="str">
        <f>_xlfn.XLOOKUP($B5261,sales_teams!$A$2:$A$36,sales_teams!C$2:C$36)</f>
        <v>Central</v>
      </c>
      <c r="E5261" t="s">
        <v>15</v>
      </c>
      <c r="F5261" t="s">
        <v>16</v>
      </c>
      <c r="G5261" t="s">
        <v>40</v>
      </c>
      <c r="H5261" s="1">
        <v>42941</v>
      </c>
    </row>
    <row r="5262" spans="1:10" x14ac:dyDescent="0.3">
      <c r="A5262" t="s">
        <v>5393</v>
      </c>
      <c r="B5262" t="s">
        <v>14</v>
      </c>
      <c r="C5262" t="str">
        <f>_xlfn.XLOOKUP(B5262,
[1]sales_teams!$A$2:$A$100,
[1]sales_teams!$B$2:$B$100)</f>
        <v>Melvin Marxen</v>
      </c>
      <c r="D5262" t="str">
        <f>_xlfn.XLOOKUP($B5262,sales_teams!$A$2:$A$36,sales_teams!C$2:C$36)</f>
        <v>Central</v>
      </c>
      <c r="E5262" t="s">
        <v>15</v>
      </c>
      <c r="F5262" t="s">
        <v>16</v>
      </c>
      <c r="G5262" t="s">
        <v>40</v>
      </c>
      <c r="H5262" s="1">
        <v>42941</v>
      </c>
    </row>
    <row r="5263" spans="1:10" x14ac:dyDescent="0.3">
      <c r="A5263" t="s">
        <v>5394</v>
      </c>
      <c r="B5263" t="s">
        <v>14</v>
      </c>
      <c r="C5263" t="str">
        <f>_xlfn.XLOOKUP(B5263,
[1]sales_teams!$A$2:$A$100,
[1]sales_teams!$B$2:$B$100)</f>
        <v>Melvin Marxen</v>
      </c>
      <c r="D5263" t="str">
        <f>_xlfn.XLOOKUP($B5263,sales_teams!$A$2:$A$36,sales_teams!C$2:C$36)</f>
        <v>Central</v>
      </c>
      <c r="E5263" t="s">
        <v>15</v>
      </c>
      <c r="G5263" t="s">
        <v>40</v>
      </c>
      <c r="H5263" s="1">
        <v>42941</v>
      </c>
    </row>
    <row r="5264" spans="1:10" x14ac:dyDescent="0.3">
      <c r="A5264" t="s">
        <v>5395</v>
      </c>
      <c r="B5264" t="s">
        <v>14</v>
      </c>
      <c r="C5264" t="str">
        <f>_xlfn.XLOOKUP(B5264,
[1]sales_teams!$A$2:$A$100,
[1]sales_teams!$B$2:$B$100)</f>
        <v>Melvin Marxen</v>
      </c>
      <c r="D5264" t="str">
        <f>_xlfn.XLOOKUP($B5264,sales_teams!$A$2:$A$36,sales_teams!C$2:C$36)</f>
        <v>Central</v>
      </c>
      <c r="E5264" t="s">
        <v>15</v>
      </c>
      <c r="G5264" t="s">
        <v>40</v>
      </c>
      <c r="H5264" s="1">
        <v>42941</v>
      </c>
    </row>
    <row r="5265" spans="1:10" x14ac:dyDescent="0.3">
      <c r="A5265" t="s">
        <v>5396</v>
      </c>
      <c r="B5265" t="s">
        <v>14</v>
      </c>
      <c r="C5265" t="str">
        <f>_xlfn.XLOOKUP(B5265,
[1]sales_teams!$A$2:$A$100,
[1]sales_teams!$B$2:$B$100)</f>
        <v>Melvin Marxen</v>
      </c>
      <c r="D5265" t="str">
        <f>_xlfn.XLOOKUP($B5265,sales_teams!$A$2:$A$36,sales_teams!C$2:C$36)</f>
        <v>Central</v>
      </c>
      <c r="E5265" t="s">
        <v>39</v>
      </c>
      <c r="G5265" t="s">
        <v>40</v>
      </c>
      <c r="H5265" s="1">
        <v>42941</v>
      </c>
    </row>
    <row r="5266" spans="1:10" x14ac:dyDescent="0.3">
      <c r="A5266" t="s">
        <v>5397</v>
      </c>
      <c r="B5266" t="s">
        <v>14</v>
      </c>
      <c r="C5266" t="str">
        <f>_xlfn.XLOOKUP(B5266,
[1]sales_teams!$A$2:$A$100,
[1]sales_teams!$B$2:$B$100)</f>
        <v>Melvin Marxen</v>
      </c>
      <c r="D5266" t="str">
        <f>_xlfn.XLOOKUP($B5266,sales_teams!$A$2:$A$36,sales_teams!C$2:C$36)</f>
        <v>Central</v>
      </c>
      <c r="E5266" t="s">
        <v>10</v>
      </c>
      <c r="F5266" t="s">
        <v>16</v>
      </c>
      <c r="G5266" t="s">
        <v>46</v>
      </c>
      <c r="H5266" s="1">
        <v>42941</v>
      </c>
      <c r="I5266" s="1">
        <v>43052</v>
      </c>
      <c r="J5266">
        <v>0</v>
      </c>
    </row>
    <row r="5267" spans="1:10" x14ac:dyDescent="0.3">
      <c r="A5267" t="s">
        <v>5398</v>
      </c>
      <c r="B5267" t="s">
        <v>14</v>
      </c>
      <c r="C5267" t="str">
        <f>_xlfn.XLOOKUP(B5267,
[1]sales_teams!$A$2:$A$100,
[1]sales_teams!$B$2:$B$100)</f>
        <v>Melvin Marxen</v>
      </c>
      <c r="D5267" t="str">
        <f>_xlfn.XLOOKUP($B5267,sales_teams!$A$2:$A$36,sales_teams!C$2:C$36)</f>
        <v>Central</v>
      </c>
      <c r="E5267" t="s">
        <v>15</v>
      </c>
      <c r="F5267" t="s">
        <v>91</v>
      </c>
      <c r="G5267" t="s">
        <v>46</v>
      </c>
      <c r="H5267" s="1">
        <v>42941</v>
      </c>
      <c r="I5267" s="1">
        <v>42955</v>
      </c>
      <c r="J5267">
        <v>0</v>
      </c>
    </row>
    <row r="5268" spans="1:10" x14ac:dyDescent="0.3">
      <c r="A5268" t="s">
        <v>5399</v>
      </c>
      <c r="B5268" t="s">
        <v>14</v>
      </c>
      <c r="C5268" t="str">
        <f>_xlfn.XLOOKUP(B5268,
[1]sales_teams!$A$2:$A$100,
[1]sales_teams!$B$2:$B$100)</f>
        <v>Melvin Marxen</v>
      </c>
      <c r="D5268" t="str">
        <f>_xlfn.XLOOKUP($B5268,sales_teams!$A$2:$A$36,sales_teams!C$2:C$36)</f>
        <v>Central</v>
      </c>
      <c r="E5268" t="s">
        <v>20</v>
      </c>
      <c r="F5268" t="s">
        <v>27</v>
      </c>
      <c r="G5268" t="s">
        <v>12</v>
      </c>
      <c r="H5268" s="1">
        <v>42941</v>
      </c>
      <c r="I5268" s="1">
        <v>42950</v>
      </c>
      <c r="J5268">
        <v>528</v>
      </c>
    </row>
    <row r="5269" spans="1:10" x14ac:dyDescent="0.3">
      <c r="A5269" t="s">
        <v>5400</v>
      </c>
      <c r="B5269" t="s">
        <v>14</v>
      </c>
      <c r="C5269" t="str">
        <f>_xlfn.XLOOKUP(B5269,
[1]sales_teams!$A$2:$A$100,
[1]sales_teams!$B$2:$B$100)</f>
        <v>Melvin Marxen</v>
      </c>
      <c r="D5269" t="str">
        <f>_xlfn.XLOOKUP($B5269,sales_teams!$A$2:$A$36,sales_teams!C$2:C$36)</f>
        <v>Central</v>
      </c>
      <c r="E5269" t="s">
        <v>20</v>
      </c>
      <c r="F5269" t="s">
        <v>111</v>
      </c>
      <c r="G5269" t="s">
        <v>12</v>
      </c>
      <c r="H5269" s="1">
        <v>42941</v>
      </c>
      <c r="I5269" s="1">
        <v>42947</v>
      </c>
      <c r="J5269">
        <v>581</v>
      </c>
    </row>
    <row r="5270" spans="1:10" x14ac:dyDescent="0.3">
      <c r="A5270" t="s">
        <v>5401</v>
      </c>
      <c r="B5270" t="s">
        <v>14</v>
      </c>
      <c r="C5270" t="str">
        <f>_xlfn.XLOOKUP(B5270,
[1]sales_teams!$A$2:$A$100,
[1]sales_teams!$B$2:$B$100)</f>
        <v>Melvin Marxen</v>
      </c>
      <c r="D5270" t="str">
        <f>_xlfn.XLOOKUP($B5270,sales_teams!$A$2:$A$36,sales_teams!C$2:C$36)</f>
        <v>Central</v>
      </c>
      <c r="E5270" t="s">
        <v>48</v>
      </c>
      <c r="F5270" t="s">
        <v>170</v>
      </c>
      <c r="G5270" t="s">
        <v>12</v>
      </c>
      <c r="H5270" s="1">
        <v>42941</v>
      </c>
      <c r="I5270" s="1">
        <v>43007</v>
      </c>
      <c r="J5270">
        <v>5947</v>
      </c>
    </row>
    <row r="5271" spans="1:10" x14ac:dyDescent="0.3">
      <c r="A5271" t="s">
        <v>5402</v>
      </c>
      <c r="B5271" t="s">
        <v>142</v>
      </c>
      <c r="C5271" t="str">
        <f>_xlfn.XLOOKUP(B5271,
[1]sales_teams!$A$2:$A$100,
[1]sales_teams!$B$2:$B$100)</f>
        <v>Rocco Neubert</v>
      </c>
      <c r="D5271" t="str">
        <f>_xlfn.XLOOKUP($B5271,sales_teams!$A$2:$A$36,sales_teams!C$2:C$36)</f>
        <v>East</v>
      </c>
      <c r="E5271" t="s">
        <v>39</v>
      </c>
      <c r="F5271" t="s">
        <v>237</v>
      </c>
      <c r="G5271" t="s">
        <v>46</v>
      </c>
      <c r="H5271" s="1">
        <v>42941</v>
      </c>
      <c r="I5271" s="1">
        <v>42949</v>
      </c>
      <c r="J5271">
        <v>0</v>
      </c>
    </row>
    <row r="5272" spans="1:10" x14ac:dyDescent="0.3">
      <c r="A5272" t="s">
        <v>5403</v>
      </c>
      <c r="B5272" t="s">
        <v>44</v>
      </c>
      <c r="C5272" t="str">
        <f>_xlfn.XLOOKUP(B5272,
[1]sales_teams!$A$2:$A$100,
[1]sales_teams!$B$2:$B$100)</f>
        <v>Melvin Marxen</v>
      </c>
      <c r="D5272" t="str">
        <f>_xlfn.XLOOKUP($B5272,sales_teams!$A$2:$A$36,sales_teams!C$2:C$36)</f>
        <v>Central</v>
      </c>
      <c r="E5272" t="s">
        <v>20</v>
      </c>
      <c r="G5272" t="s">
        <v>40</v>
      </c>
      <c r="H5272" s="1">
        <v>42941</v>
      </c>
    </row>
    <row r="5273" spans="1:10" x14ac:dyDescent="0.3">
      <c r="A5273" t="s">
        <v>5404</v>
      </c>
      <c r="B5273" t="s">
        <v>44</v>
      </c>
      <c r="C5273" t="str">
        <f>_xlfn.XLOOKUP(B5273,
[1]sales_teams!$A$2:$A$100,
[1]sales_teams!$B$2:$B$100)</f>
        <v>Melvin Marxen</v>
      </c>
      <c r="D5273" t="str">
        <f>_xlfn.XLOOKUP($B5273,sales_teams!$A$2:$A$36,sales_teams!C$2:C$36)</f>
        <v>Central</v>
      </c>
      <c r="E5273" t="s">
        <v>39</v>
      </c>
      <c r="G5273" t="s">
        <v>40</v>
      </c>
      <c r="H5273" s="1">
        <v>42941</v>
      </c>
    </row>
    <row r="5274" spans="1:10" x14ac:dyDescent="0.3">
      <c r="A5274" t="s">
        <v>5405</v>
      </c>
      <c r="B5274" t="s">
        <v>44</v>
      </c>
      <c r="C5274" t="str">
        <f>_xlfn.XLOOKUP(B5274,
[1]sales_teams!$A$2:$A$100,
[1]sales_teams!$B$2:$B$100)</f>
        <v>Melvin Marxen</v>
      </c>
      <c r="D5274" t="str">
        <f>_xlfn.XLOOKUP($B5274,sales_teams!$A$2:$A$36,sales_teams!C$2:C$36)</f>
        <v>Central</v>
      </c>
      <c r="E5274" t="s">
        <v>15</v>
      </c>
      <c r="F5274" t="s">
        <v>16</v>
      </c>
      <c r="G5274" t="s">
        <v>46</v>
      </c>
      <c r="H5274" s="1">
        <v>42941</v>
      </c>
      <c r="I5274" s="1">
        <v>43044</v>
      </c>
      <c r="J5274">
        <v>0</v>
      </c>
    </row>
    <row r="5275" spans="1:10" x14ac:dyDescent="0.3">
      <c r="A5275" t="s">
        <v>5406</v>
      </c>
      <c r="B5275" t="s">
        <v>54</v>
      </c>
      <c r="C5275" t="str">
        <f>_xlfn.XLOOKUP(B5275,
[1]sales_teams!$A$2:$A$100,
[1]sales_teams!$B$2:$B$100)</f>
        <v>Celia Rouche</v>
      </c>
      <c r="D5275" t="str">
        <f>_xlfn.XLOOKUP($B5275,sales_teams!$A$2:$A$36,sales_teams!C$2:C$36)</f>
        <v>West</v>
      </c>
      <c r="E5275" t="s">
        <v>39</v>
      </c>
      <c r="G5275" t="s">
        <v>40</v>
      </c>
      <c r="H5275" s="1">
        <v>42941</v>
      </c>
    </row>
    <row r="5276" spans="1:10" x14ac:dyDescent="0.3">
      <c r="A5276" t="s">
        <v>5407</v>
      </c>
      <c r="B5276" t="s">
        <v>252</v>
      </c>
      <c r="C5276" t="str">
        <f>_xlfn.XLOOKUP(B5276,
[1]sales_teams!$A$2:$A$100,
[1]sales_teams!$B$2:$B$100)</f>
        <v>Melvin Marxen</v>
      </c>
      <c r="D5276" t="str">
        <f>_xlfn.XLOOKUP($B5276,sales_teams!$A$2:$A$36,sales_teams!C$2:C$36)</f>
        <v>Central</v>
      </c>
      <c r="E5276" t="s">
        <v>20</v>
      </c>
      <c r="G5276" t="s">
        <v>40</v>
      </c>
      <c r="H5276" s="1">
        <v>42941</v>
      </c>
    </row>
    <row r="5277" spans="1:10" x14ac:dyDescent="0.3">
      <c r="A5277" t="s">
        <v>5408</v>
      </c>
      <c r="B5277" t="s">
        <v>78</v>
      </c>
      <c r="C5277" t="str">
        <f>_xlfn.XLOOKUP(B5277,
[1]sales_teams!$A$2:$A$100,
[1]sales_teams!$B$2:$B$100)</f>
        <v>Summer Sewald</v>
      </c>
      <c r="D5277" t="str">
        <f>_xlfn.XLOOKUP($B5277,sales_teams!$A$2:$A$36,sales_teams!C$2:C$36)</f>
        <v>West</v>
      </c>
      <c r="E5277" t="s">
        <v>20</v>
      </c>
      <c r="F5277" t="s">
        <v>100</v>
      </c>
      <c r="G5277" t="s">
        <v>12</v>
      </c>
      <c r="H5277" s="1">
        <v>42941</v>
      </c>
      <c r="I5277" s="1">
        <v>43071</v>
      </c>
      <c r="J5277">
        <v>508</v>
      </c>
    </row>
    <row r="5278" spans="1:10" x14ac:dyDescent="0.3">
      <c r="A5278" t="s">
        <v>5409</v>
      </c>
      <c r="B5278" t="s">
        <v>95</v>
      </c>
      <c r="C5278" t="str">
        <f>_xlfn.XLOOKUP(B5278,
[1]sales_teams!$A$2:$A$100,
[1]sales_teams!$B$2:$B$100)</f>
        <v>Summer Sewald</v>
      </c>
      <c r="D5278" t="str">
        <f>_xlfn.XLOOKUP($B5278,sales_teams!$A$2:$A$36,sales_teams!C$2:C$36)</f>
        <v>West</v>
      </c>
      <c r="E5278" t="s">
        <v>18</v>
      </c>
      <c r="G5278" t="s">
        <v>40</v>
      </c>
      <c r="H5278" s="1">
        <v>42941</v>
      </c>
    </row>
    <row r="5279" spans="1:10" x14ac:dyDescent="0.3">
      <c r="A5279" t="s">
        <v>5410</v>
      </c>
      <c r="B5279" t="s">
        <v>133</v>
      </c>
      <c r="C5279" t="str">
        <f>_xlfn.XLOOKUP(B5279,
[1]sales_teams!$A$2:$A$100,
[1]sales_teams!$B$2:$B$100)</f>
        <v>Dustin Brinkmann</v>
      </c>
      <c r="D5279" t="str">
        <f>_xlfn.XLOOKUP($B5279,sales_teams!$A$2:$A$36,sales_teams!C$2:C$36)</f>
        <v>Central</v>
      </c>
      <c r="E5279" t="s">
        <v>18</v>
      </c>
      <c r="F5279" t="s">
        <v>315</v>
      </c>
      <c r="G5279" t="s">
        <v>40</v>
      </c>
      <c r="H5279" s="1">
        <v>42941</v>
      </c>
    </row>
    <row r="5280" spans="1:10" x14ac:dyDescent="0.3">
      <c r="A5280" t="s">
        <v>5411</v>
      </c>
      <c r="B5280" t="s">
        <v>133</v>
      </c>
      <c r="C5280" t="str">
        <f>_xlfn.XLOOKUP(B5280,
[1]sales_teams!$A$2:$A$100,
[1]sales_teams!$B$2:$B$100)</f>
        <v>Dustin Brinkmann</v>
      </c>
      <c r="D5280" t="str">
        <f>_xlfn.XLOOKUP($B5280,sales_teams!$A$2:$A$36,sales_teams!C$2:C$36)</f>
        <v>Central</v>
      </c>
      <c r="E5280" t="s">
        <v>39</v>
      </c>
      <c r="F5280" t="s">
        <v>189</v>
      </c>
      <c r="G5280" t="s">
        <v>40</v>
      </c>
      <c r="H5280" s="1">
        <v>42941</v>
      </c>
    </row>
    <row r="5281" spans="1:10" x14ac:dyDescent="0.3">
      <c r="A5281" t="s">
        <v>5412</v>
      </c>
      <c r="B5281" t="s">
        <v>133</v>
      </c>
      <c r="C5281" t="str">
        <f>_xlfn.XLOOKUP(B5281,
[1]sales_teams!$A$2:$A$100,
[1]sales_teams!$B$2:$B$100)</f>
        <v>Dustin Brinkmann</v>
      </c>
      <c r="D5281" t="str">
        <f>_xlfn.XLOOKUP($B5281,sales_teams!$A$2:$A$36,sales_teams!C$2:C$36)</f>
        <v>Central</v>
      </c>
      <c r="E5281" t="s">
        <v>39</v>
      </c>
      <c r="G5281" t="s">
        <v>40</v>
      </c>
      <c r="H5281" s="1">
        <v>42941</v>
      </c>
    </row>
    <row r="5282" spans="1:10" x14ac:dyDescent="0.3">
      <c r="A5282" t="s">
        <v>5413</v>
      </c>
      <c r="B5282" t="s">
        <v>133</v>
      </c>
      <c r="C5282" t="str">
        <f>_xlfn.XLOOKUP(B5282,
[1]sales_teams!$A$2:$A$100,
[1]sales_teams!$B$2:$B$100)</f>
        <v>Dustin Brinkmann</v>
      </c>
      <c r="D5282" t="str">
        <f>_xlfn.XLOOKUP($B5282,sales_teams!$A$2:$A$36,sales_teams!C$2:C$36)</f>
        <v>Central</v>
      </c>
      <c r="E5282" t="s">
        <v>20</v>
      </c>
      <c r="F5282" t="s">
        <v>197</v>
      </c>
      <c r="G5282" t="s">
        <v>46</v>
      </c>
      <c r="H5282" s="1">
        <v>42941</v>
      </c>
      <c r="I5282" s="1">
        <v>42947</v>
      </c>
      <c r="J5282">
        <v>0</v>
      </c>
    </row>
    <row r="5283" spans="1:10" x14ac:dyDescent="0.3">
      <c r="A5283" t="s">
        <v>5414</v>
      </c>
      <c r="B5283" t="s">
        <v>133</v>
      </c>
      <c r="C5283" t="str">
        <f>_xlfn.XLOOKUP(B5283,
[1]sales_teams!$A$2:$A$100,
[1]sales_teams!$B$2:$B$100)</f>
        <v>Dustin Brinkmann</v>
      </c>
      <c r="D5283" t="str">
        <f>_xlfn.XLOOKUP($B5283,sales_teams!$A$2:$A$36,sales_teams!C$2:C$36)</f>
        <v>Central</v>
      </c>
      <c r="E5283" t="s">
        <v>20</v>
      </c>
      <c r="F5283" t="s">
        <v>113</v>
      </c>
      <c r="G5283" t="s">
        <v>12</v>
      </c>
      <c r="H5283" s="1">
        <v>42941</v>
      </c>
      <c r="I5283" s="1">
        <v>42946</v>
      </c>
      <c r="J5283">
        <v>537</v>
      </c>
    </row>
    <row r="5284" spans="1:10" x14ac:dyDescent="0.3">
      <c r="A5284" t="s">
        <v>5415</v>
      </c>
      <c r="B5284" t="s">
        <v>32</v>
      </c>
      <c r="C5284" t="str">
        <f>_xlfn.XLOOKUP(B5284,
[1]sales_teams!$A$2:$A$100,
[1]sales_teams!$B$2:$B$100)</f>
        <v>Celia Rouche</v>
      </c>
      <c r="D5284" t="str">
        <f>_xlfn.XLOOKUP($B5284,sales_teams!$A$2:$A$36,sales_teams!C$2:C$36)</f>
        <v>West</v>
      </c>
      <c r="E5284" t="s">
        <v>10</v>
      </c>
      <c r="F5284" t="s">
        <v>313</v>
      </c>
      <c r="G5284" t="s">
        <v>46</v>
      </c>
      <c r="H5284" s="1">
        <v>42941</v>
      </c>
      <c r="I5284" s="1">
        <v>43066</v>
      </c>
      <c r="J5284">
        <v>0</v>
      </c>
    </row>
    <row r="5285" spans="1:10" x14ac:dyDescent="0.3">
      <c r="A5285" t="s">
        <v>5416</v>
      </c>
      <c r="B5285" t="s">
        <v>116</v>
      </c>
      <c r="C5285" t="str">
        <f>_xlfn.XLOOKUP(B5285,
[1]sales_teams!$A$2:$A$100,
[1]sales_teams!$B$2:$B$100)</f>
        <v>Melvin Marxen</v>
      </c>
      <c r="D5285" t="str">
        <f>_xlfn.XLOOKUP($B5285,sales_teams!$A$2:$A$36,sales_teams!C$2:C$36)</f>
        <v>Central</v>
      </c>
      <c r="E5285" t="s">
        <v>20</v>
      </c>
      <c r="F5285" t="s">
        <v>89</v>
      </c>
      <c r="G5285" t="s">
        <v>40</v>
      </c>
      <c r="H5285" s="1">
        <v>42941</v>
      </c>
    </row>
    <row r="5286" spans="1:10" x14ac:dyDescent="0.3">
      <c r="A5286" t="s">
        <v>5417</v>
      </c>
      <c r="B5286" t="s">
        <v>116</v>
      </c>
      <c r="C5286" t="str">
        <f>_xlfn.XLOOKUP(B5286,
[1]sales_teams!$A$2:$A$100,
[1]sales_teams!$B$2:$B$100)</f>
        <v>Melvin Marxen</v>
      </c>
      <c r="D5286" t="str">
        <f>_xlfn.XLOOKUP($B5286,sales_teams!$A$2:$A$36,sales_teams!C$2:C$36)</f>
        <v>Central</v>
      </c>
      <c r="E5286" t="s">
        <v>48</v>
      </c>
      <c r="G5286" t="s">
        <v>40</v>
      </c>
      <c r="H5286" s="1">
        <v>42941</v>
      </c>
    </row>
    <row r="5287" spans="1:10" x14ac:dyDescent="0.3">
      <c r="A5287" t="s">
        <v>5418</v>
      </c>
      <c r="B5287" t="s">
        <v>116</v>
      </c>
      <c r="C5287" t="str">
        <f>_xlfn.XLOOKUP(B5287,
[1]sales_teams!$A$2:$A$100,
[1]sales_teams!$B$2:$B$100)</f>
        <v>Melvin Marxen</v>
      </c>
      <c r="D5287" t="str">
        <f>_xlfn.XLOOKUP($B5287,sales_teams!$A$2:$A$36,sales_teams!C$2:C$36)</f>
        <v>Central</v>
      </c>
      <c r="E5287" t="s">
        <v>18</v>
      </c>
      <c r="F5287" t="s">
        <v>62</v>
      </c>
      <c r="G5287" t="s">
        <v>40</v>
      </c>
      <c r="H5287" s="1">
        <v>42941</v>
      </c>
    </row>
    <row r="5288" spans="1:10" x14ac:dyDescent="0.3">
      <c r="A5288" t="s">
        <v>5419</v>
      </c>
      <c r="B5288" t="s">
        <v>116</v>
      </c>
      <c r="C5288" t="str">
        <f>_xlfn.XLOOKUP(B5288,
[1]sales_teams!$A$2:$A$100,
[1]sales_teams!$B$2:$B$100)</f>
        <v>Melvin Marxen</v>
      </c>
      <c r="D5288" t="str">
        <f>_xlfn.XLOOKUP($B5288,sales_teams!$A$2:$A$36,sales_teams!C$2:C$36)</f>
        <v>Central</v>
      </c>
      <c r="E5288" t="s">
        <v>10</v>
      </c>
      <c r="F5288" t="s">
        <v>11</v>
      </c>
      <c r="G5288" t="s">
        <v>12</v>
      </c>
      <c r="H5288" s="1">
        <v>42941</v>
      </c>
      <c r="I5288" s="1">
        <v>42943</v>
      </c>
      <c r="J5288">
        <v>1031</v>
      </c>
    </row>
    <row r="5289" spans="1:10" x14ac:dyDescent="0.3">
      <c r="A5289" t="s">
        <v>5420</v>
      </c>
      <c r="B5289" t="s">
        <v>9</v>
      </c>
      <c r="C5289" t="str">
        <f>_xlfn.XLOOKUP(B5289,
[1]sales_teams!$A$2:$A$100,
[1]sales_teams!$B$2:$B$100)</f>
        <v>Dustin Brinkmann</v>
      </c>
      <c r="D5289" t="str">
        <f>_xlfn.XLOOKUP($B5289,sales_teams!$A$2:$A$36,sales_teams!C$2:C$36)</f>
        <v>Central</v>
      </c>
      <c r="E5289" t="s">
        <v>20</v>
      </c>
      <c r="G5289" t="s">
        <v>40</v>
      </c>
      <c r="H5289" s="1">
        <v>42941</v>
      </c>
    </row>
    <row r="5290" spans="1:10" x14ac:dyDescent="0.3">
      <c r="A5290" t="s">
        <v>5421</v>
      </c>
      <c r="B5290" t="s">
        <v>9</v>
      </c>
      <c r="C5290" t="str">
        <f>_xlfn.XLOOKUP(B5290,
[1]sales_teams!$A$2:$A$100,
[1]sales_teams!$B$2:$B$100)</f>
        <v>Dustin Brinkmann</v>
      </c>
      <c r="D5290" t="str">
        <f>_xlfn.XLOOKUP($B5290,sales_teams!$A$2:$A$36,sales_teams!C$2:C$36)</f>
        <v>Central</v>
      </c>
      <c r="E5290" t="s">
        <v>39</v>
      </c>
      <c r="F5290" t="s">
        <v>93</v>
      </c>
      <c r="G5290" t="s">
        <v>40</v>
      </c>
      <c r="H5290" s="1">
        <v>42941</v>
      </c>
    </row>
    <row r="5291" spans="1:10" x14ac:dyDescent="0.3">
      <c r="A5291" t="s">
        <v>5422</v>
      </c>
      <c r="B5291" t="s">
        <v>35</v>
      </c>
      <c r="C5291" t="str">
        <f>_xlfn.XLOOKUP(B5291,
[1]sales_teams!$A$2:$A$100,
[1]sales_teams!$B$2:$B$100)</f>
        <v>Melvin Marxen</v>
      </c>
      <c r="D5291" t="str">
        <f>_xlfn.XLOOKUP($B5291,sales_teams!$A$2:$A$36,sales_teams!C$2:C$36)</f>
        <v>Central</v>
      </c>
      <c r="E5291" t="s">
        <v>10</v>
      </c>
      <c r="F5291" t="s">
        <v>199</v>
      </c>
      <c r="G5291" t="s">
        <v>40</v>
      </c>
      <c r="H5291" s="1">
        <v>42941</v>
      </c>
    </row>
    <row r="5292" spans="1:10" x14ac:dyDescent="0.3">
      <c r="A5292" t="s">
        <v>5423</v>
      </c>
      <c r="B5292" t="s">
        <v>35</v>
      </c>
      <c r="C5292" t="str">
        <f>_xlfn.XLOOKUP(B5292,
[1]sales_teams!$A$2:$A$100,
[1]sales_teams!$B$2:$B$100)</f>
        <v>Melvin Marxen</v>
      </c>
      <c r="D5292" t="str">
        <f>_xlfn.XLOOKUP($B5292,sales_teams!$A$2:$A$36,sales_teams!C$2:C$36)</f>
        <v>Central</v>
      </c>
      <c r="E5292" t="s">
        <v>10</v>
      </c>
      <c r="G5292" t="s">
        <v>40</v>
      </c>
      <c r="H5292" s="1">
        <v>42941</v>
      </c>
    </row>
    <row r="5293" spans="1:10" x14ac:dyDescent="0.3">
      <c r="A5293" t="s">
        <v>5424</v>
      </c>
      <c r="B5293" t="s">
        <v>35</v>
      </c>
      <c r="C5293" t="str">
        <f>_xlfn.XLOOKUP(B5293,
[1]sales_teams!$A$2:$A$100,
[1]sales_teams!$B$2:$B$100)</f>
        <v>Melvin Marxen</v>
      </c>
      <c r="D5293" t="str">
        <f>_xlfn.XLOOKUP($B5293,sales_teams!$A$2:$A$36,sales_teams!C$2:C$36)</f>
        <v>Central</v>
      </c>
      <c r="E5293" t="s">
        <v>39</v>
      </c>
      <c r="F5293" t="s">
        <v>194</v>
      </c>
      <c r="G5293" t="s">
        <v>40</v>
      </c>
      <c r="H5293" s="1">
        <v>42941</v>
      </c>
    </row>
    <row r="5294" spans="1:10" x14ac:dyDescent="0.3">
      <c r="A5294" t="s">
        <v>5425</v>
      </c>
      <c r="B5294" t="s">
        <v>35</v>
      </c>
      <c r="C5294" t="str">
        <f>_xlfn.XLOOKUP(B5294,
[1]sales_teams!$A$2:$A$100,
[1]sales_teams!$B$2:$B$100)</f>
        <v>Melvin Marxen</v>
      </c>
      <c r="D5294" t="str">
        <f>_xlfn.XLOOKUP($B5294,sales_teams!$A$2:$A$36,sales_teams!C$2:C$36)</f>
        <v>Central</v>
      </c>
      <c r="E5294" t="s">
        <v>10</v>
      </c>
      <c r="F5294" t="s">
        <v>91</v>
      </c>
      <c r="G5294" t="s">
        <v>12</v>
      </c>
      <c r="H5294" s="1">
        <v>42941</v>
      </c>
      <c r="I5294" s="1">
        <v>43042</v>
      </c>
      <c r="J5294">
        <v>1077</v>
      </c>
    </row>
    <row r="5295" spans="1:10" x14ac:dyDescent="0.3">
      <c r="A5295" t="s">
        <v>5426</v>
      </c>
      <c r="B5295" t="s">
        <v>57</v>
      </c>
      <c r="C5295" t="str">
        <f>_xlfn.XLOOKUP(B5295,
[1]sales_teams!$A$2:$A$100,
[1]sales_teams!$B$2:$B$100)</f>
        <v>Celia Rouche</v>
      </c>
      <c r="D5295" t="str">
        <f>_xlfn.XLOOKUP($B5295,sales_teams!$A$2:$A$36,sales_teams!C$2:C$36)</f>
        <v>West</v>
      </c>
      <c r="E5295" t="s">
        <v>18</v>
      </c>
      <c r="G5295" t="s">
        <v>40</v>
      </c>
      <c r="H5295" s="1">
        <v>42941</v>
      </c>
    </row>
    <row r="5296" spans="1:10" x14ac:dyDescent="0.3">
      <c r="A5296" t="s">
        <v>5427</v>
      </c>
      <c r="B5296" t="s">
        <v>61</v>
      </c>
      <c r="C5296" t="str">
        <f>_xlfn.XLOOKUP(B5296,
[1]sales_teams!$A$2:$A$100,
[1]sales_teams!$B$2:$B$100)</f>
        <v>Dustin Brinkmann</v>
      </c>
      <c r="D5296" t="str">
        <f>_xlfn.XLOOKUP($B5296,sales_teams!$A$2:$A$36,sales_teams!C$2:C$36)</f>
        <v>Central</v>
      </c>
      <c r="E5296" t="s">
        <v>20</v>
      </c>
      <c r="G5296" t="s">
        <v>40</v>
      </c>
      <c r="H5296" s="1">
        <v>42941</v>
      </c>
    </row>
    <row r="5297" spans="1:10" x14ac:dyDescent="0.3">
      <c r="A5297" t="s">
        <v>5428</v>
      </c>
      <c r="B5297" t="s">
        <v>61</v>
      </c>
      <c r="C5297" t="str">
        <f>_xlfn.XLOOKUP(B5297,
[1]sales_teams!$A$2:$A$100,
[1]sales_teams!$B$2:$B$100)</f>
        <v>Dustin Brinkmann</v>
      </c>
      <c r="D5297" t="str">
        <f>_xlfn.XLOOKUP($B5297,sales_teams!$A$2:$A$36,sales_teams!C$2:C$36)</f>
        <v>Central</v>
      </c>
      <c r="E5297" t="s">
        <v>18</v>
      </c>
      <c r="F5297" t="s">
        <v>52</v>
      </c>
      <c r="G5297" t="s">
        <v>40</v>
      </c>
      <c r="H5297" s="1">
        <v>42941</v>
      </c>
    </row>
    <row r="5298" spans="1:10" x14ac:dyDescent="0.3">
      <c r="A5298" t="s">
        <v>5429</v>
      </c>
      <c r="B5298" t="s">
        <v>61</v>
      </c>
      <c r="C5298" t="str">
        <f>_xlfn.XLOOKUP(B5298,
[1]sales_teams!$A$2:$A$100,
[1]sales_teams!$B$2:$B$100)</f>
        <v>Dustin Brinkmann</v>
      </c>
      <c r="D5298" t="str">
        <f>_xlfn.XLOOKUP($B5298,sales_teams!$A$2:$A$36,sales_teams!C$2:C$36)</f>
        <v>Central</v>
      </c>
      <c r="E5298" t="s">
        <v>39</v>
      </c>
      <c r="F5298" t="s">
        <v>197</v>
      </c>
      <c r="G5298" t="s">
        <v>12</v>
      </c>
      <c r="H5298" s="1">
        <v>42941</v>
      </c>
      <c r="I5298" s="1">
        <v>43043</v>
      </c>
      <c r="J5298">
        <v>3306</v>
      </c>
    </row>
    <row r="5299" spans="1:10" x14ac:dyDescent="0.3">
      <c r="A5299" t="s">
        <v>5430</v>
      </c>
      <c r="B5299" t="s">
        <v>73</v>
      </c>
      <c r="C5299" t="str">
        <f>_xlfn.XLOOKUP(B5299,
[1]sales_teams!$A$2:$A$100,
[1]sales_teams!$B$2:$B$100)</f>
        <v>Cara Losch</v>
      </c>
      <c r="D5299" t="str">
        <f>_xlfn.XLOOKUP($B5299,sales_teams!$A$2:$A$36,sales_teams!C$2:C$36)</f>
        <v>East</v>
      </c>
      <c r="E5299" t="s">
        <v>20</v>
      </c>
      <c r="F5299" t="s">
        <v>165</v>
      </c>
      <c r="G5299" t="s">
        <v>12</v>
      </c>
      <c r="H5299" s="1">
        <v>42941</v>
      </c>
      <c r="I5299" s="1">
        <v>42942</v>
      </c>
      <c r="J5299">
        <v>491</v>
      </c>
    </row>
    <row r="5300" spans="1:10" x14ac:dyDescent="0.3">
      <c r="A5300" t="s">
        <v>5431</v>
      </c>
      <c r="B5300" t="s">
        <v>26</v>
      </c>
      <c r="C5300" t="str">
        <f>_xlfn.XLOOKUP(B5300,
[1]sales_teams!$A$2:$A$100,
[1]sales_teams!$B$2:$B$100)</f>
        <v>Dustin Brinkmann</v>
      </c>
      <c r="D5300" t="str">
        <f>_xlfn.XLOOKUP($B5300,sales_teams!$A$2:$A$36,sales_teams!C$2:C$36)</f>
        <v>Central</v>
      </c>
      <c r="E5300" t="s">
        <v>18</v>
      </c>
      <c r="F5300" t="s">
        <v>113</v>
      </c>
      <c r="G5300" t="s">
        <v>40</v>
      </c>
      <c r="H5300" s="1">
        <v>42942</v>
      </c>
    </row>
    <row r="5301" spans="1:10" x14ac:dyDescent="0.3">
      <c r="A5301" t="s">
        <v>5432</v>
      </c>
      <c r="B5301" t="s">
        <v>26</v>
      </c>
      <c r="C5301" t="str">
        <f>_xlfn.XLOOKUP(B5301,
[1]sales_teams!$A$2:$A$100,
[1]sales_teams!$B$2:$B$100)</f>
        <v>Dustin Brinkmann</v>
      </c>
      <c r="D5301" t="str">
        <f>_xlfn.XLOOKUP($B5301,sales_teams!$A$2:$A$36,sales_teams!C$2:C$36)</f>
        <v>Central</v>
      </c>
      <c r="E5301" t="s">
        <v>18</v>
      </c>
      <c r="G5301" t="s">
        <v>40</v>
      </c>
      <c r="H5301" s="1">
        <v>42942</v>
      </c>
    </row>
    <row r="5302" spans="1:10" x14ac:dyDescent="0.3">
      <c r="A5302" t="s">
        <v>5433</v>
      </c>
      <c r="B5302" t="s">
        <v>26</v>
      </c>
      <c r="C5302" t="str">
        <f>_xlfn.XLOOKUP(B5302,
[1]sales_teams!$A$2:$A$100,
[1]sales_teams!$B$2:$B$100)</f>
        <v>Dustin Brinkmann</v>
      </c>
      <c r="D5302" t="str">
        <f>_xlfn.XLOOKUP($B5302,sales_teams!$A$2:$A$36,sales_teams!C$2:C$36)</f>
        <v>Central</v>
      </c>
      <c r="E5302" t="s">
        <v>18</v>
      </c>
      <c r="F5302" t="s">
        <v>492</v>
      </c>
      <c r="G5302" t="s">
        <v>12</v>
      </c>
      <c r="H5302" s="1">
        <v>42942</v>
      </c>
      <c r="I5302" s="1">
        <v>43071</v>
      </c>
      <c r="J5302">
        <v>53</v>
      </c>
    </row>
    <row r="5303" spans="1:10" x14ac:dyDescent="0.3">
      <c r="A5303" t="s">
        <v>5434</v>
      </c>
      <c r="B5303" t="s">
        <v>118</v>
      </c>
      <c r="C5303" t="str">
        <f>_xlfn.XLOOKUP(B5303,
[1]sales_teams!$A$2:$A$100,
[1]sales_teams!$B$2:$B$100)</f>
        <v>Rocco Neubert</v>
      </c>
      <c r="D5303" t="str">
        <f>_xlfn.XLOOKUP($B5303,sales_teams!$A$2:$A$36,sales_teams!C$2:C$36)</f>
        <v>East</v>
      </c>
      <c r="E5303" t="s">
        <v>10</v>
      </c>
      <c r="F5303" t="s">
        <v>745</v>
      </c>
      <c r="G5303" t="s">
        <v>40</v>
      </c>
      <c r="H5303" s="1">
        <v>42942</v>
      </c>
    </row>
    <row r="5304" spans="1:10" x14ac:dyDescent="0.3">
      <c r="A5304" t="s">
        <v>5435</v>
      </c>
      <c r="B5304" t="s">
        <v>118</v>
      </c>
      <c r="C5304" t="str">
        <f>_xlfn.XLOOKUP(B5304,
[1]sales_teams!$A$2:$A$100,
[1]sales_teams!$B$2:$B$100)</f>
        <v>Rocco Neubert</v>
      </c>
      <c r="D5304" t="str">
        <f>_xlfn.XLOOKUP($B5304,sales_teams!$A$2:$A$36,sales_teams!C$2:C$36)</f>
        <v>East</v>
      </c>
      <c r="E5304" t="s">
        <v>48</v>
      </c>
      <c r="F5304" t="s">
        <v>240</v>
      </c>
      <c r="G5304" t="s">
        <v>12</v>
      </c>
      <c r="H5304" s="1">
        <v>42942</v>
      </c>
      <c r="I5304" s="1">
        <v>43005</v>
      </c>
      <c r="J5304">
        <v>5228</v>
      </c>
    </row>
    <row r="5305" spans="1:10" x14ac:dyDescent="0.3">
      <c r="A5305" t="s">
        <v>5436</v>
      </c>
      <c r="B5305" t="s">
        <v>202</v>
      </c>
      <c r="C5305" t="str">
        <f>_xlfn.XLOOKUP(B5305,
[1]sales_teams!$A$2:$A$100,
[1]sales_teams!$B$2:$B$100)</f>
        <v>Dustin Brinkmann</v>
      </c>
      <c r="D5305" t="str">
        <f>_xlfn.XLOOKUP($B5305,sales_teams!$A$2:$A$36,sales_teams!C$2:C$36)</f>
        <v>Central</v>
      </c>
      <c r="E5305" t="s">
        <v>48</v>
      </c>
      <c r="F5305" t="s">
        <v>207</v>
      </c>
      <c r="G5305" t="s">
        <v>46</v>
      </c>
      <c r="H5305" s="1">
        <v>42942</v>
      </c>
      <c r="I5305" s="1">
        <v>42947</v>
      </c>
      <c r="J5305">
        <v>0</v>
      </c>
    </row>
    <row r="5306" spans="1:10" x14ac:dyDescent="0.3">
      <c r="A5306" t="s">
        <v>5437</v>
      </c>
      <c r="B5306" t="s">
        <v>14</v>
      </c>
      <c r="C5306" t="str">
        <f>_xlfn.XLOOKUP(B5306,
[1]sales_teams!$A$2:$A$100,
[1]sales_teams!$B$2:$B$100)</f>
        <v>Melvin Marxen</v>
      </c>
      <c r="D5306" t="str">
        <f>_xlfn.XLOOKUP($B5306,sales_teams!$A$2:$A$36,sales_teams!C$2:C$36)</f>
        <v>Central</v>
      </c>
      <c r="E5306" t="s">
        <v>10</v>
      </c>
      <c r="F5306" t="s">
        <v>179</v>
      </c>
      <c r="G5306" t="s">
        <v>40</v>
      </c>
      <c r="H5306" s="1">
        <v>42942</v>
      </c>
    </row>
    <row r="5307" spans="1:10" x14ac:dyDescent="0.3">
      <c r="A5307" t="s">
        <v>5438</v>
      </c>
      <c r="B5307" t="s">
        <v>14</v>
      </c>
      <c r="C5307" t="str">
        <f>_xlfn.XLOOKUP(B5307,
[1]sales_teams!$A$2:$A$100,
[1]sales_teams!$B$2:$B$100)</f>
        <v>Melvin Marxen</v>
      </c>
      <c r="D5307" t="str">
        <f>_xlfn.XLOOKUP($B5307,sales_teams!$A$2:$A$36,sales_teams!C$2:C$36)</f>
        <v>Central</v>
      </c>
      <c r="E5307" t="s">
        <v>48</v>
      </c>
      <c r="F5307" t="s">
        <v>318</v>
      </c>
      <c r="G5307" t="s">
        <v>40</v>
      </c>
      <c r="H5307" s="1">
        <v>42942</v>
      </c>
    </row>
    <row r="5308" spans="1:10" x14ac:dyDescent="0.3">
      <c r="A5308" t="s">
        <v>5439</v>
      </c>
      <c r="B5308" t="s">
        <v>14</v>
      </c>
      <c r="C5308" t="str">
        <f>_xlfn.XLOOKUP(B5308,
[1]sales_teams!$A$2:$A$100,
[1]sales_teams!$B$2:$B$100)</f>
        <v>Melvin Marxen</v>
      </c>
      <c r="D5308" t="str">
        <f>_xlfn.XLOOKUP($B5308,sales_teams!$A$2:$A$36,sales_teams!C$2:C$36)</f>
        <v>Central</v>
      </c>
      <c r="E5308" t="s">
        <v>15</v>
      </c>
      <c r="F5308" t="s">
        <v>329</v>
      </c>
      <c r="G5308" t="s">
        <v>40</v>
      </c>
      <c r="H5308" s="1">
        <v>42942</v>
      </c>
    </row>
    <row r="5309" spans="1:10" x14ac:dyDescent="0.3">
      <c r="A5309" t="s">
        <v>5440</v>
      </c>
      <c r="B5309" t="s">
        <v>14</v>
      </c>
      <c r="C5309" t="str">
        <f>_xlfn.XLOOKUP(B5309,
[1]sales_teams!$A$2:$A$100,
[1]sales_teams!$B$2:$B$100)</f>
        <v>Melvin Marxen</v>
      </c>
      <c r="D5309" t="str">
        <f>_xlfn.XLOOKUP($B5309,sales_teams!$A$2:$A$36,sales_teams!C$2:C$36)</f>
        <v>Central</v>
      </c>
      <c r="E5309" t="s">
        <v>15</v>
      </c>
      <c r="G5309" t="s">
        <v>40</v>
      </c>
      <c r="H5309" s="1">
        <v>42942</v>
      </c>
    </row>
    <row r="5310" spans="1:10" x14ac:dyDescent="0.3">
      <c r="A5310" t="s">
        <v>5441</v>
      </c>
      <c r="B5310" t="s">
        <v>14</v>
      </c>
      <c r="C5310" t="str">
        <f>_xlfn.XLOOKUP(B5310,
[1]sales_teams!$A$2:$A$100,
[1]sales_teams!$B$2:$B$100)</f>
        <v>Melvin Marxen</v>
      </c>
      <c r="D5310" t="str">
        <f>_xlfn.XLOOKUP($B5310,sales_teams!$A$2:$A$36,sales_teams!C$2:C$36)</f>
        <v>Central</v>
      </c>
      <c r="E5310" t="s">
        <v>15</v>
      </c>
      <c r="G5310" t="s">
        <v>40</v>
      </c>
      <c r="H5310" s="1">
        <v>42942</v>
      </c>
    </row>
    <row r="5311" spans="1:10" x14ac:dyDescent="0.3">
      <c r="A5311" t="s">
        <v>5442</v>
      </c>
      <c r="B5311" t="s">
        <v>14</v>
      </c>
      <c r="C5311" t="str">
        <f>_xlfn.XLOOKUP(B5311,
[1]sales_teams!$A$2:$A$100,
[1]sales_teams!$B$2:$B$100)</f>
        <v>Melvin Marxen</v>
      </c>
      <c r="D5311" t="str">
        <f>_xlfn.XLOOKUP($B5311,sales_teams!$A$2:$A$36,sales_teams!C$2:C$36)</f>
        <v>Central</v>
      </c>
      <c r="E5311" t="s">
        <v>39</v>
      </c>
      <c r="G5311" t="s">
        <v>40</v>
      </c>
      <c r="H5311" s="1">
        <v>42942</v>
      </c>
    </row>
    <row r="5312" spans="1:10" x14ac:dyDescent="0.3">
      <c r="A5312" t="s">
        <v>5443</v>
      </c>
      <c r="B5312" t="s">
        <v>14</v>
      </c>
      <c r="C5312" t="str">
        <f>_xlfn.XLOOKUP(B5312,
[1]sales_teams!$A$2:$A$100,
[1]sales_teams!$B$2:$B$100)</f>
        <v>Melvin Marxen</v>
      </c>
      <c r="D5312" t="str">
        <f>_xlfn.XLOOKUP($B5312,sales_teams!$A$2:$A$36,sales_teams!C$2:C$36)</f>
        <v>Central</v>
      </c>
      <c r="E5312" t="s">
        <v>15</v>
      </c>
      <c r="F5312" t="s">
        <v>492</v>
      </c>
      <c r="G5312" t="s">
        <v>46</v>
      </c>
      <c r="H5312" s="1">
        <v>42942</v>
      </c>
      <c r="I5312" s="1">
        <v>43056</v>
      </c>
      <c r="J5312">
        <v>0</v>
      </c>
    </row>
    <row r="5313" spans="1:10" x14ac:dyDescent="0.3">
      <c r="A5313" t="s">
        <v>5444</v>
      </c>
      <c r="B5313" t="s">
        <v>14</v>
      </c>
      <c r="C5313" t="str">
        <f>_xlfn.XLOOKUP(B5313,
[1]sales_teams!$A$2:$A$100,
[1]sales_teams!$B$2:$B$100)</f>
        <v>Melvin Marxen</v>
      </c>
      <c r="D5313" t="str">
        <f>_xlfn.XLOOKUP($B5313,sales_teams!$A$2:$A$36,sales_teams!C$2:C$36)</f>
        <v>Central</v>
      </c>
      <c r="E5313" t="s">
        <v>15</v>
      </c>
      <c r="F5313" t="s">
        <v>207</v>
      </c>
      <c r="G5313" t="s">
        <v>12</v>
      </c>
      <c r="H5313" s="1">
        <v>42942</v>
      </c>
      <c r="I5313" s="1">
        <v>42943</v>
      </c>
      <c r="J5313">
        <v>4677</v>
      </c>
    </row>
    <row r="5314" spans="1:10" x14ac:dyDescent="0.3">
      <c r="A5314" t="s">
        <v>5445</v>
      </c>
      <c r="B5314" t="s">
        <v>142</v>
      </c>
      <c r="C5314" t="str">
        <f>_xlfn.XLOOKUP(B5314,
[1]sales_teams!$A$2:$A$100,
[1]sales_teams!$B$2:$B$100)</f>
        <v>Rocco Neubert</v>
      </c>
      <c r="D5314" t="str">
        <f>_xlfn.XLOOKUP($B5314,sales_teams!$A$2:$A$36,sales_teams!C$2:C$36)</f>
        <v>East</v>
      </c>
      <c r="E5314" t="s">
        <v>10</v>
      </c>
      <c r="F5314" t="s">
        <v>98</v>
      </c>
      <c r="G5314" t="s">
        <v>46</v>
      </c>
      <c r="H5314" s="1">
        <v>42942</v>
      </c>
      <c r="I5314" s="1">
        <v>43007</v>
      </c>
      <c r="J5314">
        <v>0</v>
      </c>
    </row>
    <row r="5315" spans="1:10" x14ac:dyDescent="0.3">
      <c r="A5315" t="s">
        <v>5446</v>
      </c>
      <c r="B5315" t="s">
        <v>142</v>
      </c>
      <c r="C5315" t="str">
        <f>_xlfn.XLOOKUP(B5315,
[1]sales_teams!$A$2:$A$100,
[1]sales_teams!$B$2:$B$100)</f>
        <v>Rocco Neubert</v>
      </c>
      <c r="D5315" t="str">
        <f>_xlfn.XLOOKUP($B5315,sales_teams!$A$2:$A$36,sales_teams!C$2:C$36)</f>
        <v>East</v>
      </c>
      <c r="E5315" t="s">
        <v>15</v>
      </c>
      <c r="F5315" t="s">
        <v>155</v>
      </c>
      <c r="G5315" t="s">
        <v>46</v>
      </c>
      <c r="H5315" s="1">
        <v>42942</v>
      </c>
      <c r="I5315" s="1">
        <v>43004</v>
      </c>
      <c r="J5315">
        <v>0</v>
      </c>
    </row>
    <row r="5316" spans="1:10" x14ac:dyDescent="0.3">
      <c r="A5316" t="s">
        <v>5447</v>
      </c>
      <c r="B5316" t="s">
        <v>142</v>
      </c>
      <c r="C5316" t="str">
        <f>_xlfn.XLOOKUP(B5316,
[1]sales_teams!$A$2:$A$100,
[1]sales_teams!$B$2:$B$100)</f>
        <v>Rocco Neubert</v>
      </c>
      <c r="D5316" t="str">
        <f>_xlfn.XLOOKUP($B5316,sales_teams!$A$2:$A$36,sales_teams!C$2:C$36)</f>
        <v>East</v>
      </c>
      <c r="E5316" t="s">
        <v>20</v>
      </c>
      <c r="F5316" t="s">
        <v>65</v>
      </c>
      <c r="G5316" t="s">
        <v>12</v>
      </c>
      <c r="H5316" s="1">
        <v>42942</v>
      </c>
      <c r="I5316" s="1">
        <v>42944</v>
      </c>
      <c r="J5316">
        <v>554</v>
      </c>
    </row>
    <row r="5317" spans="1:10" x14ac:dyDescent="0.3">
      <c r="A5317" t="s">
        <v>5448</v>
      </c>
      <c r="B5317" t="s">
        <v>44</v>
      </c>
      <c r="C5317" t="str">
        <f>_xlfn.XLOOKUP(B5317,
[1]sales_teams!$A$2:$A$100,
[1]sales_teams!$B$2:$B$100)</f>
        <v>Melvin Marxen</v>
      </c>
      <c r="D5317" t="str">
        <f>_xlfn.XLOOKUP($B5317,sales_teams!$A$2:$A$36,sales_teams!C$2:C$36)</f>
        <v>Central</v>
      </c>
      <c r="E5317" t="s">
        <v>18</v>
      </c>
      <c r="G5317" t="s">
        <v>40</v>
      </c>
      <c r="H5317" s="1">
        <v>42942</v>
      </c>
    </row>
    <row r="5318" spans="1:10" x14ac:dyDescent="0.3">
      <c r="A5318" t="s">
        <v>5449</v>
      </c>
      <c r="B5318" t="s">
        <v>44</v>
      </c>
      <c r="C5318" t="str">
        <f>_xlfn.XLOOKUP(B5318,
[1]sales_teams!$A$2:$A$100,
[1]sales_teams!$B$2:$B$100)</f>
        <v>Melvin Marxen</v>
      </c>
      <c r="D5318" t="str">
        <f>_xlfn.XLOOKUP($B5318,sales_teams!$A$2:$A$36,sales_teams!C$2:C$36)</f>
        <v>Central</v>
      </c>
      <c r="E5318" t="s">
        <v>18</v>
      </c>
      <c r="G5318" t="s">
        <v>40</v>
      </c>
      <c r="H5318" s="1">
        <v>42942</v>
      </c>
    </row>
    <row r="5319" spans="1:10" x14ac:dyDescent="0.3">
      <c r="A5319" t="s">
        <v>5450</v>
      </c>
      <c r="B5319" t="s">
        <v>44</v>
      </c>
      <c r="C5319" t="str">
        <f>_xlfn.XLOOKUP(B5319,
[1]sales_teams!$A$2:$A$100,
[1]sales_teams!$B$2:$B$100)</f>
        <v>Melvin Marxen</v>
      </c>
      <c r="D5319" t="str">
        <f>_xlfn.XLOOKUP($B5319,sales_teams!$A$2:$A$36,sales_teams!C$2:C$36)</f>
        <v>Central</v>
      </c>
      <c r="E5319" t="s">
        <v>39</v>
      </c>
      <c r="F5319" t="s">
        <v>93</v>
      </c>
      <c r="G5319" t="s">
        <v>40</v>
      </c>
      <c r="H5319" s="1">
        <v>42942</v>
      </c>
    </row>
    <row r="5320" spans="1:10" x14ac:dyDescent="0.3">
      <c r="A5320" t="s">
        <v>5451</v>
      </c>
      <c r="B5320" t="s">
        <v>44</v>
      </c>
      <c r="C5320" t="str">
        <f>_xlfn.XLOOKUP(B5320,
[1]sales_teams!$A$2:$A$100,
[1]sales_teams!$B$2:$B$100)</f>
        <v>Melvin Marxen</v>
      </c>
      <c r="D5320" t="str">
        <f>_xlfn.XLOOKUP($B5320,sales_teams!$A$2:$A$36,sales_teams!C$2:C$36)</f>
        <v>Central</v>
      </c>
      <c r="E5320" t="s">
        <v>48</v>
      </c>
      <c r="F5320" t="s">
        <v>91</v>
      </c>
      <c r="G5320" t="s">
        <v>12</v>
      </c>
      <c r="H5320" s="1">
        <v>42942</v>
      </c>
      <c r="I5320" s="1">
        <v>43001</v>
      </c>
      <c r="J5320">
        <v>5548</v>
      </c>
    </row>
    <row r="5321" spans="1:10" x14ac:dyDescent="0.3">
      <c r="A5321" t="s">
        <v>5452</v>
      </c>
      <c r="B5321" t="s">
        <v>44</v>
      </c>
      <c r="C5321" t="str">
        <f>_xlfn.XLOOKUP(B5321,
[1]sales_teams!$A$2:$A$100,
[1]sales_teams!$B$2:$B$100)</f>
        <v>Melvin Marxen</v>
      </c>
      <c r="D5321" t="str">
        <f>_xlfn.XLOOKUP($B5321,sales_teams!$A$2:$A$36,sales_teams!C$2:C$36)</f>
        <v>Central</v>
      </c>
      <c r="E5321" t="s">
        <v>39</v>
      </c>
      <c r="F5321" t="s">
        <v>135</v>
      </c>
      <c r="G5321" t="s">
        <v>12</v>
      </c>
      <c r="H5321" s="1">
        <v>42942</v>
      </c>
      <c r="I5321" s="1">
        <v>42944</v>
      </c>
      <c r="J5321">
        <v>3809</v>
      </c>
    </row>
    <row r="5322" spans="1:10" x14ac:dyDescent="0.3">
      <c r="A5322" t="s">
        <v>5453</v>
      </c>
      <c r="B5322" t="s">
        <v>38</v>
      </c>
      <c r="C5322" t="str">
        <f>_xlfn.XLOOKUP(B5322,
[1]sales_teams!$A$2:$A$100,
[1]sales_teams!$B$2:$B$100)</f>
        <v>Summer Sewald</v>
      </c>
      <c r="D5322" t="str">
        <f>_xlfn.XLOOKUP($B5322,sales_teams!$A$2:$A$36,sales_teams!C$2:C$36)</f>
        <v>West</v>
      </c>
      <c r="E5322" t="s">
        <v>15</v>
      </c>
      <c r="F5322" t="s">
        <v>209</v>
      </c>
      <c r="G5322" t="s">
        <v>40</v>
      </c>
      <c r="H5322" s="1">
        <v>42942</v>
      </c>
    </row>
    <row r="5323" spans="1:10" x14ac:dyDescent="0.3">
      <c r="A5323" t="s">
        <v>5454</v>
      </c>
      <c r="B5323" t="s">
        <v>252</v>
      </c>
      <c r="C5323" t="str">
        <f>_xlfn.XLOOKUP(B5323,
[1]sales_teams!$A$2:$A$100,
[1]sales_teams!$B$2:$B$100)</f>
        <v>Melvin Marxen</v>
      </c>
      <c r="D5323" t="str">
        <f>_xlfn.XLOOKUP($B5323,sales_teams!$A$2:$A$36,sales_teams!C$2:C$36)</f>
        <v>Central</v>
      </c>
      <c r="E5323" t="s">
        <v>20</v>
      </c>
      <c r="G5323" t="s">
        <v>40</v>
      </c>
      <c r="H5323" s="1">
        <v>42942</v>
      </c>
    </row>
    <row r="5324" spans="1:10" x14ac:dyDescent="0.3">
      <c r="A5324" t="s">
        <v>5455</v>
      </c>
      <c r="B5324" t="s">
        <v>252</v>
      </c>
      <c r="C5324" t="str">
        <f>_xlfn.XLOOKUP(B5324,
[1]sales_teams!$A$2:$A$100,
[1]sales_teams!$B$2:$B$100)</f>
        <v>Melvin Marxen</v>
      </c>
      <c r="D5324" t="str">
        <f>_xlfn.XLOOKUP($B5324,sales_teams!$A$2:$A$36,sales_teams!C$2:C$36)</f>
        <v>Central</v>
      </c>
      <c r="E5324" t="s">
        <v>20</v>
      </c>
      <c r="F5324" t="s">
        <v>213</v>
      </c>
      <c r="G5324" t="s">
        <v>46</v>
      </c>
      <c r="H5324" s="1">
        <v>42942</v>
      </c>
      <c r="I5324" s="1">
        <v>42946</v>
      </c>
      <c r="J5324">
        <v>0</v>
      </c>
    </row>
    <row r="5325" spans="1:10" x14ac:dyDescent="0.3">
      <c r="A5325" t="s">
        <v>5456</v>
      </c>
      <c r="B5325" t="s">
        <v>95</v>
      </c>
      <c r="C5325" t="str">
        <f>_xlfn.XLOOKUP(B5325,
[1]sales_teams!$A$2:$A$100,
[1]sales_teams!$B$2:$B$100)</f>
        <v>Summer Sewald</v>
      </c>
      <c r="D5325" t="str">
        <f>_xlfn.XLOOKUP($B5325,sales_teams!$A$2:$A$36,sales_teams!C$2:C$36)</f>
        <v>West</v>
      </c>
      <c r="E5325" t="s">
        <v>48</v>
      </c>
      <c r="G5325" t="s">
        <v>40</v>
      </c>
      <c r="H5325" s="1">
        <v>42942</v>
      </c>
    </row>
    <row r="5326" spans="1:10" x14ac:dyDescent="0.3">
      <c r="A5326" t="s">
        <v>5457</v>
      </c>
      <c r="B5326" t="s">
        <v>95</v>
      </c>
      <c r="C5326" t="str">
        <f>_xlfn.XLOOKUP(B5326,
[1]sales_teams!$A$2:$A$100,
[1]sales_teams!$B$2:$B$100)</f>
        <v>Summer Sewald</v>
      </c>
      <c r="D5326" t="str">
        <f>_xlfn.XLOOKUP($B5326,sales_teams!$A$2:$A$36,sales_teams!C$2:C$36)</f>
        <v>West</v>
      </c>
      <c r="E5326" t="s">
        <v>18</v>
      </c>
      <c r="F5326" t="s">
        <v>59</v>
      </c>
      <c r="G5326" t="s">
        <v>12</v>
      </c>
      <c r="H5326" s="1">
        <v>42942</v>
      </c>
      <c r="I5326" s="1">
        <v>42957</v>
      </c>
      <c r="J5326">
        <v>53</v>
      </c>
    </row>
    <row r="5327" spans="1:10" x14ac:dyDescent="0.3">
      <c r="A5327" t="s">
        <v>5458</v>
      </c>
      <c r="B5327" t="s">
        <v>133</v>
      </c>
      <c r="C5327" t="str">
        <f>_xlfn.XLOOKUP(B5327,
[1]sales_teams!$A$2:$A$100,
[1]sales_teams!$B$2:$B$100)</f>
        <v>Dustin Brinkmann</v>
      </c>
      <c r="D5327" t="str">
        <f>_xlfn.XLOOKUP($B5327,sales_teams!$A$2:$A$36,sales_teams!C$2:C$36)</f>
        <v>Central</v>
      </c>
      <c r="E5327" t="s">
        <v>48</v>
      </c>
      <c r="G5327" t="s">
        <v>40</v>
      </c>
      <c r="H5327" s="1">
        <v>42942</v>
      </c>
    </row>
    <row r="5328" spans="1:10" x14ac:dyDescent="0.3">
      <c r="A5328" t="s">
        <v>5459</v>
      </c>
      <c r="B5328" t="s">
        <v>133</v>
      </c>
      <c r="C5328" t="str">
        <f>_xlfn.XLOOKUP(B5328,
[1]sales_teams!$A$2:$A$100,
[1]sales_teams!$B$2:$B$100)</f>
        <v>Dustin Brinkmann</v>
      </c>
      <c r="D5328" t="str">
        <f>_xlfn.XLOOKUP($B5328,sales_teams!$A$2:$A$36,sales_teams!C$2:C$36)</f>
        <v>Central</v>
      </c>
      <c r="E5328" t="s">
        <v>39</v>
      </c>
      <c r="F5328" t="s">
        <v>103</v>
      </c>
      <c r="G5328" t="s">
        <v>40</v>
      </c>
      <c r="H5328" s="1">
        <v>42942</v>
      </c>
    </row>
    <row r="5329" spans="1:10" x14ac:dyDescent="0.3">
      <c r="A5329" t="s">
        <v>5460</v>
      </c>
      <c r="B5329" t="s">
        <v>133</v>
      </c>
      <c r="C5329" t="str">
        <f>_xlfn.XLOOKUP(B5329,
[1]sales_teams!$A$2:$A$100,
[1]sales_teams!$B$2:$B$100)</f>
        <v>Dustin Brinkmann</v>
      </c>
      <c r="D5329" t="str">
        <f>_xlfn.XLOOKUP($B5329,sales_teams!$A$2:$A$36,sales_teams!C$2:C$36)</f>
        <v>Central</v>
      </c>
      <c r="E5329" t="s">
        <v>39</v>
      </c>
      <c r="G5329" t="s">
        <v>40</v>
      </c>
      <c r="H5329" s="1">
        <v>42942</v>
      </c>
    </row>
    <row r="5330" spans="1:10" x14ac:dyDescent="0.3">
      <c r="A5330" t="s">
        <v>5461</v>
      </c>
      <c r="B5330" t="s">
        <v>133</v>
      </c>
      <c r="C5330" t="str">
        <f>_xlfn.XLOOKUP(B5330,
[1]sales_teams!$A$2:$A$100,
[1]sales_teams!$B$2:$B$100)</f>
        <v>Dustin Brinkmann</v>
      </c>
      <c r="D5330" t="str">
        <f>_xlfn.XLOOKUP($B5330,sales_teams!$A$2:$A$36,sales_teams!C$2:C$36)</f>
        <v>Central</v>
      </c>
      <c r="E5330" t="s">
        <v>39</v>
      </c>
      <c r="F5330" t="s">
        <v>303</v>
      </c>
      <c r="G5330" t="s">
        <v>46</v>
      </c>
      <c r="H5330" s="1">
        <v>42942</v>
      </c>
      <c r="I5330" s="1">
        <v>42946</v>
      </c>
      <c r="J5330">
        <v>0</v>
      </c>
    </row>
    <row r="5331" spans="1:10" x14ac:dyDescent="0.3">
      <c r="A5331" t="s">
        <v>5462</v>
      </c>
      <c r="B5331" t="s">
        <v>116</v>
      </c>
      <c r="C5331" t="str">
        <f>_xlfn.XLOOKUP(B5331,
[1]sales_teams!$A$2:$A$100,
[1]sales_teams!$B$2:$B$100)</f>
        <v>Melvin Marxen</v>
      </c>
      <c r="D5331" t="str">
        <f>_xlfn.XLOOKUP($B5331,sales_teams!$A$2:$A$36,sales_teams!C$2:C$36)</f>
        <v>Central</v>
      </c>
      <c r="E5331" t="s">
        <v>10</v>
      </c>
      <c r="F5331" t="s">
        <v>27</v>
      </c>
      <c r="G5331" t="s">
        <v>12</v>
      </c>
      <c r="H5331" s="1">
        <v>42942</v>
      </c>
      <c r="I5331" s="1">
        <v>42944</v>
      </c>
      <c r="J5331">
        <v>1044</v>
      </c>
    </row>
    <row r="5332" spans="1:10" x14ac:dyDescent="0.3">
      <c r="A5332" t="s">
        <v>5463</v>
      </c>
      <c r="B5332" t="s">
        <v>51</v>
      </c>
      <c r="C5332" t="str">
        <f>_xlfn.XLOOKUP(B5332,
[1]sales_teams!$A$2:$A$100,
[1]sales_teams!$B$2:$B$100)</f>
        <v>Summer Sewald</v>
      </c>
      <c r="D5332" t="str">
        <f>_xlfn.XLOOKUP($B5332,sales_teams!$A$2:$A$36,sales_teams!C$2:C$36)</f>
        <v>West</v>
      </c>
      <c r="E5332" t="s">
        <v>15</v>
      </c>
      <c r="F5332" t="s">
        <v>155</v>
      </c>
      <c r="G5332" t="s">
        <v>46</v>
      </c>
      <c r="H5332" s="1">
        <v>42942</v>
      </c>
      <c r="I5332" s="1">
        <v>42946</v>
      </c>
      <c r="J5332">
        <v>0</v>
      </c>
    </row>
    <row r="5333" spans="1:10" x14ac:dyDescent="0.3">
      <c r="A5333" t="s">
        <v>5464</v>
      </c>
      <c r="B5333" t="s">
        <v>9</v>
      </c>
      <c r="C5333" t="str">
        <f>_xlfn.XLOOKUP(B5333,
[1]sales_teams!$A$2:$A$100,
[1]sales_teams!$B$2:$B$100)</f>
        <v>Dustin Brinkmann</v>
      </c>
      <c r="D5333" t="str">
        <f>_xlfn.XLOOKUP($B5333,sales_teams!$A$2:$A$36,sales_teams!C$2:C$36)</f>
        <v>Central</v>
      </c>
      <c r="E5333" t="s">
        <v>18</v>
      </c>
      <c r="G5333" t="s">
        <v>40</v>
      </c>
      <c r="H5333" s="1">
        <v>42942</v>
      </c>
    </row>
    <row r="5334" spans="1:10" x14ac:dyDescent="0.3">
      <c r="A5334" t="s">
        <v>5465</v>
      </c>
      <c r="B5334" t="s">
        <v>9</v>
      </c>
      <c r="C5334" t="str">
        <f>_xlfn.XLOOKUP(B5334,
[1]sales_teams!$A$2:$A$100,
[1]sales_teams!$B$2:$B$100)</f>
        <v>Dustin Brinkmann</v>
      </c>
      <c r="D5334" t="str">
        <f>_xlfn.XLOOKUP($B5334,sales_teams!$A$2:$A$36,sales_teams!C$2:C$36)</f>
        <v>Central</v>
      </c>
      <c r="E5334" t="s">
        <v>39</v>
      </c>
      <c r="G5334" t="s">
        <v>40</v>
      </c>
      <c r="H5334" s="1">
        <v>42942</v>
      </c>
    </row>
    <row r="5335" spans="1:10" x14ac:dyDescent="0.3">
      <c r="A5335" t="s">
        <v>5466</v>
      </c>
      <c r="B5335" t="s">
        <v>9</v>
      </c>
      <c r="C5335" t="str">
        <f>_xlfn.XLOOKUP(B5335,
[1]sales_teams!$A$2:$A$100,
[1]sales_teams!$B$2:$B$100)</f>
        <v>Dustin Brinkmann</v>
      </c>
      <c r="D5335" t="str">
        <f>_xlfn.XLOOKUP($B5335,sales_teams!$A$2:$A$36,sales_teams!C$2:C$36)</f>
        <v>Central</v>
      </c>
      <c r="E5335" t="s">
        <v>39</v>
      </c>
      <c r="G5335" t="s">
        <v>40</v>
      </c>
      <c r="H5335" s="1">
        <v>42942</v>
      </c>
    </row>
    <row r="5336" spans="1:10" x14ac:dyDescent="0.3">
      <c r="A5336" t="s">
        <v>5467</v>
      </c>
      <c r="B5336" t="s">
        <v>35</v>
      </c>
      <c r="C5336" t="str">
        <f>_xlfn.XLOOKUP(B5336,
[1]sales_teams!$A$2:$A$100,
[1]sales_teams!$B$2:$B$100)</f>
        <v>Melvin Marxen</v>
      </c>
      <c r="D5336" t="str">
        <f>_xlfn.XLOOKUP($B5336,sales_teams!$A$2:$A$36,sales_teams!C$2:C$36)</f>
        <v>Central</v>
      </c>
      <c r="E5336" t="s">
        <v>10</v>
      </c>
      <c r="F5336" t="s">
        <v>189</v>
      </c>
      <c r="G5336" t="s">
        <v>40</v>
      </c>
      <c r="H5336" s="1">
        <v>42942</v>
      </c>
    </row>
    <row r="5337" spans="1:10" x14ac:dyDescent="0.3">
      <c r="A5337" t="s">
        <v>5468</v>
      </c>
      <c r="B5337" t="s">
        <v>29</v>
      </c>
      <c r="C5337" t="str">
        <f>_xlfn.XLOOKUP(B5337,
[1]sales_teams!$A$2:$A$100,
[1]sales_teams!$B$2:$B$100)</f>
        <v>Celia Rouche</v>
      </c>
      <c r="D5337" t="str">
        <f>_xlfn.XLOOKUP($B5337,sales_teams!$A$2:$A$36,sales_teams!C$2:C$36)</f>
        <v>West</v>
      </c>
      <c r="E5337" t="s">
        <v>15</v>
      </c>
      <c r="G5337" t="s">
        <v>40</v>
      </c>
      <c r="H5337" s="1">
        <v>42942</v>
      </c>
    </row>
    <row r="5338" spans="1:10" x14ac:dyDescent="0.3">
      <c r="A5338" t="s">
        <v>5469</v>
      </c>
      <c r="B5338" t="s">
        <v>29</v>
      </c>
      <c r="C5338" t="str">
        <f>_xlfn.XLOOKUP(B5338,
[1]sales_teams!$A$2:$A$100,
[1]sales_teams!$B$2:$B$100)</f>
        <v>Celia Rouche</v>
      </c>
      <c r="D5338" t="str">
        <f>_xlfn.XLOOKUP($B5338,sales_teams!$A$2:$A$36,sales_teams!C$2:C$36)</f>
        <v>West</v>
      </c>
      <c r="E5338" t="s">
        <v>15</v>
      </c>
      <c r="F5338" t="s">
        <v>194</v>
      </c>
      <c r="G5338" t="s">
        <v>46</v>
      </c>
      <c r="H5338" s="1">
        <v>42942</v>
      </c>
      <c r="I5338" s="1">
        <v>42953</v>
      </c>
      <c r="J5338">
        <v>0</v>
      </c>
    </row>
    <row r="5339" spans="1:10" x14ac:dyDescent="0.3">
      <c r="A5339" t="s">
        <v>5470</v>
      </c>
      <c r="B5339" t="s">
        <v>102</v>
      </c>
      <c r="C5339" t="str">
        <f>_xlfn.XLOOKUP(B5339,
[1]sales_teams!$A$2:$A$100,
[1]sales_teams!$B$2:$B$100)</f>
        <v>Cara Losch</v>
      </c>
      <c r="D5339" t="str">
        <f>_xlfn.XLOOKUP($B5339,sales_teams!$A$2:$A$36,sales_teams!C$2:C$36)</f>
        <v>East</v>
      </c>
      <c r="E5339" t="s">
        <v>39</v>
      </c>
      <c r="F5339" t="s">
        <v>65</v>
      </c>
      <c r="G5339" t="s">
        <v>12</v>
      </c>
      <c r="H5339" s="1">
        <v>42942</v>
      </c>
      <c r="I5339" s="1">
        <v>42944</v>
      </c>
      <c r="J5339">
        <v>3596</v>
      </c>
    </row>
    <row r="5340" spans="1:10" x14ac:dyDescent="0.3">
      <c r="A5340" t="s">
        <v>5471</v>
      </c>
      <c r="B5340" t="s">
        <v>23</v>
      </c>
      <c r="C5340" t="str">
        <f>_xlfn.XLOOKUP(B5340,
[1]sales_teams!$A$2:$A$100,
[1]sales_teams!$B$2:$B$100)</f>
        <v>Summer Sewald</v>
      </c>
      <c r="D5340" t="str">
        <f>_xlfn.XLOOKUP($B5340,sales_teams!$A$2:$A$36,sales_teams!C$2:C$36)</f>
        <v>West</v>
      </c>
      <c r="E5340" t="s">
        <v>20</v>
      </c>
      <c r="G5340" t="s">
        <v>40</v>
      </c>
      <c r="H5340" s="1">
        <v>42942</v>
      </c>
    </row>
    <row r="5341" spans="1:10" x14ac:dyDescent="0.3">
      <c r="A5341" t="s">
        <v>5472</v>
      </c>
      <c r="B5341" t="s">
        <v>23</v>
      </c>
      <c r="C5341" t="str">
        <f>_xlfn.XLOOKUP(B5341,
[1]sales_teams!$A$2:$A$100,
[1]sales_teams!$B$2:$B$100)</f>
        <v>Summer Sewald</v>
      </c>
      <c r="D5341" t="str">
        <f>_xlfn.XLOOKUP($B5341,sales_teams!$A$2:$A$36,sales_teams!C$2:C$36)</f>
        <v>West</v>
      </c>
      <c r="E5341" t="s">
        <v>10</v>
      </c>
      <c r="F5341" t="s">
        <v>315</v>
      </c>
      <c r="G5341" t="s">
        <v>46</v>
      </c>
      <c r="H5341" s="1">
        <v>42942</v>
      </c>
      <c r="I5341" s="1">
        <v>42943</v>
      </c>
      <c r="J5341">
        <v>0</v>
      </c>
    </row>
    <row r="5342" spans="1:10" x14ac:dyDescent="0.3">
      <c r="A5342" t="s">
        <v>5473</v>
      </c>
      <c r="B5342" t="s">
        <v>23</v>
      </c>
      <c r="C5342" t="str">
        <f>_xlfn.XLOOKUP(B5342,
[1]sales_teams!$A$2:$A$100,
[1]sales_teams!$B$2:$B$100)</f>
        <v>Summer Sewald</v>
      </c>
      <c r="D5342" t="str">
        <f>_xlfn.XLOOKUP($B5342,sales_teams!$A$2:$A$36,sales_teams!C$2:C$36)</f>
        <v>West</v>
      </c>
      <c r="E5342" t="s">
        <v>10</v>
      </c>
      <c r="F5342" t="s">
        <v>273</v>
      </c>
      <c r="G5342" t="s">
        <v>12</v>
      </c>
      <c r="H5342" s="1">
        <v>42942</v>
      </c>
      <c r="I5342" s="1">
        <v>43070</v>
      </c>
      <c r="J5342">
        <v>1091</v>
      </c>
    </row>
    <row r="5343" spans="1:10" x14ac:dyDescent="0.3">
      <c r="A5343" t="s">
        <v>5474</v>
      </c>
      <c r="B5343" t="s">
        <v>23</v>
      </c>
      <c r="C5343" t="str">
        <f>_xlfn.XLOOKUP(B5343,
[1]sales_teams!$A$2:$A$100,
[1]sales_teams!$B$2:$B$100)</f>
        <v>Summer Sewald</v>
      </c>
      <c r="D5343" t="str">
        <f>_xlfn.XLOOKUP($B5343,sales_teams!$A$2:$A$36,sales_teams!C$2:C$36)</f>
        <v>West</v>
      </c>
      <c r="E5343" t="s">
        <v>15</v>
      </c>
      <c r="F5343" t="s">
        <v>124</v>
      </c>
      <c r="G5343" t="s">
        <v>12</v>
      </c>
      <c r="H5343" s="1">
        <v>42942</v>
      </c>
      <c r="I5343" s="1">
        <v>43004</v>
      </c>
      <c r="J5343">
        <v>6000</v>
      </c>
    </row>
    <row r="5344" spans="1:10" x14ac:dyDescent="0.3">
      <c r="A5344" t="s">
        <v>5475</v>
      </c>
      <c r="B5344" t="s">
        <v>26</v>
      </c>
      <c r="C5344" t="str">
        <f>_xlfn.XLOOKUP(B5344,
[1]sales_teams!$A$2:$A$100,
[1]sales_teams!$B$2:$B$100)</f>
        <v>Dustin Brinkmann</v>
      </c>
      <c r="D5344" t="str">
        <f>_xlfn.XLOOKUP($B5344,sales_teams!$A$2:$A$36,sales_teams!C$2:C$36)</f>
        <v>Central</v>
      </c>
      <c r="E5344" t="s">
        <v>48</v>
      </c>
      <c r="G5344" t="s">
        <v>40</v>
      </c>
      <c r="H5344" s="1">
        <v>42943</v>
      </c>
    </row>
    <row r="5345" spans="1:10" x14ac:dyDescent="0.3">
      <c r="A5345" t="s">
        <v>5476</v>
      </c>
      <c r="B5345" t="s">
        <v>26</v>
      </c>
      <c r="C5345" t="str">
        <f>_xlfn.XLOOKUP(B5345,
[1]sales_teams!$A$2:$A$100,
[1]sales_teams!$B$2:$B$100)</f>
        <v>Dustin Brinkmann</v>
      </c>
      <c r="D5345" t="str">
        <f>_xlfn.XLOOKUP($B5345,sales_teams!$A$2:$A$36,sales_teams!C$2:C$36)</f>
        <v>Central</v>
      </c>
      <c r="E5345" t="s">
        <v>48</v>
      </c>
      <c r="G5345" t="s">
        <v>40</v>
      </c>
      <c r="H5345" s="1">
        <v>42943</v>
      </c>
    </row>
    <row r="5346" spans="1:10" x14ac:dyDescent="0.3">
      <c r="A5346" t="s">
        <v>5477</v>
      </c>
      <c r="B5346" t="s">
        <v>26</v>
      </c>
      <c r="C5346" t="str">
        <f>_xlfn.XLOOKUP(B5346,
[1]sales_teams!$A$2:$A$100,
[1]sales_teams!$B$2:$B$100)</f>
        <v>Dustin Brinkmann</v>
      </c>
      <c r="D5346" t="str">
        <f>_xlfn.XLOOKUP($B5346,sales_teams!$A$2:$A$36,sales_teams!C$2:C$36)</f>
        <v>Central</v>
      </c>
      <c r="E5346" t="s">
        <v>18</v>
      </c>
      <c r="F5346" t="s">
        <v>122</v>
      </c>
      <c r="G5346" t="s">
        <v>40</v>
      </c>
      <c r="H5346" s="1">
        <v>42943</v>
      </c>
    </row>
    <row r="5347" spans="1:10" x14ac:dyDescent="0.3">
      <c r="A5347" t="s">
        <v>5478</v>
      </c>
      <c r="B5347" t="s">
        <v>26</v>
      </c>
      <c r="C5347" t="str">
        <f>_xlfn.XLOOKUP(B5347,
[1]sales_teams!$A$2:$A$100,
[1]sales_teams!$B$2:$B$100)</f>
        <v>Dustin Brinkmann</v>
      </c>
      <c r="D5347" t="str">
        <f>_xlfn.XLOOKUP($B5347,sales_teams!$A$2:$A$36,sales_teams!C$2:C$36)</f>
        <v>Central</v>
      </c>
      <c r="E5347" t="s">
        <v>18</v>
      </c>
      <c r="G5347" t="s">
        <v>40</v>
      </c>
      <c r="H5347" s="1">
        <v>42943</v>
      </c>
    </row>
    <row r="5348" spans="1:10" x14ac:dyDescent="0.3">
      <c r="A5348" t="s">
        <v>5479</v>
      </c>
      <c r="B5348" t="s">
        <v>26</v>
      </c>
      <c r="C5348" t="str">
        <f>_xlfn.XLOOKUP(B5348,
[1]sales_teams!$A$2:$A$100,
[1]sales_teams!$B$2:$B$100)</f>
        <v>Dustin Brinkmann</v>
      </c>
      <c r="D5348" t="str">
        <f>_xlfn.XLOOKUP($B5348,sales_teams!$A$2:$A$36,sales_teams!C$2:C$36)</f>
        <v>Central</v>
      </c>
      <c r="E5348" t="s">
        <v>48</v>
      </c>
      <c r="F5348" t="s">
        <v>42</v>
      </c>
      <c r="G5348" t="s">
        <v>12</v>
      </c>
      <c r="H5348" s="1">
        <v>42943</v>
      </c>
      <c r="I5348" s="1">
        <v>42945</v>
      </c>
      <c r="J5348">
        <v>5068</v>
      </c>
    </row>
    <row r="5349" spans="1:10" x14ac:dyDescent="0.3">
      <c r="A5349" t="s">
        <v>5480</v>
      </c>
      <c r="B5349" t="s">
        <v>26</v>
      </c>
      <c r="C5349" t="str">
        <f>_xlfn.XLOOKUP(B5349,
[1]sales_teams!$A$2:$A$100,
[1]sales_teams!$B$2:$B$100)</f>
        <v>Dustin Brinkmann</v>
      </c>
      <c r="D5349" t="str">
        <f>_xlfn.XLOOKUP($B5349,sales_teams!$A$2:$A$36,sales_teams!C$2:C$36)</f>
        <v>Central</v>
      </c>
      <c r="E5349" t="s">
        <v>18</v>
      </c>
      <c r="F5349" t="s">
        <v>213</v>
      </c>
      <c r="G5349" t="s">
        <v>12</v>
      </c>
      <c r="H5349" s="1">
        <v>42943</v>
      </c>
      <c r="I5349" s="1">
        <v>42945</v>
      </c>
      <c r="J5349">
        <v>46</v>
      </c>
    </row>
    <row r="5350" spans="1:10" x14ac:dyDescent="0.3">
      <c r="A5350" t="s">
        <v>5481</v>
      </c>
      <c r="B5350" t="s">
        <v>118</v>
      </c>
      <c r="C5350" t="str">
        <f>_xlfn.XLOOKUP(B5350,
[1]sales_teams!$A$2:$A$100,
[1]sales_teams!$B$2:$B$100)</f>
        <v>Rocco Neubert</v>
      </c>
      <c r="D5350" t="str">
        <f>_xlfn.XLOOKUP($B5350,sales_teams!$A$2:$A$36,sales_teams!C$2:C$36)</f>
        <v>East</v>
      </c>
      <c r="E5350" t="s">
        <v>39</v>
      </c>
      <c r="F5350" t="s">
        <v>74</v>
      </c>
      <c r="G5350" t="s">
        <v>46</v>
      </c>
      <c r="H5350" s="1">
        <v>42943</v>
      </c>
      <c r="I5350" s="1">
        <v>43081</v>
      </c>
      <c r="J5350">
        <v>0</v>
      </c>
    </row>
    <row r="5351" spans="1:10" x14ac:dyDescent="0.3">
      <c r="A5351" t="s">
        <v>5482</v>
      </c>
      <c r="B5351" t="s">
        <v>202</v>
      </c>
      <c r="C5351" t="str">
        <f>_xlfn.XLOOKUP(B5351,
[1]sales_teams!$A$2:$A$100,
[1]sales_teams!$B$2:$B$100)</f>
        <v>Dustin Brinkmann</v>
      </c>
      <c r="D5351" t="str">
        <f>_xlfn.XLOOKUP($B5351,sales_teams!$A$2:$A$36,sales_teams!C$2:C$36)</f>
        <v>Central</v>
      </c>
      <c r="E5351" t="s">
        <v>10</v>
      </c>
      <c r="G5351" t="s">
        <v>40</v>
      </c>
      <c r="H5351" s="1">
        <v>42943</v>
      </c>
    </row>
    <row r="5352" spans="1:10" x14ac:dyDescent="0.3">
      <c r="A5352" t="s">
        <v>5483</v>
      </c>
      <c r="B5352" t="s">
        <v>202</v>
      </c>
      <c r="C5352" t="str">
        <f>_xlfn.XLOOKUP(B5352,
[1]sales_teams!$A$2:$A$100,
[1]sales_teams!$B$2:$B$100)</f>
        <v>Dustin Brinkmann</v>
      </c>
      <c r="D5352" t="str">
        <f>_xlfn.XLOOKUP($B5352,sales_teams!$A$2:$A$36,sales_teams!C$2:C$36)</f>
        <v>Central</v>
      </c>
      <c r="E5352" t="s">
        <v>39</v>
      </c>
      <c r="F5352" t="s">
        <v>231</v>
      </c>
      <c r="G5352" t="s">
        <v>12</v>
      </c>
      <c r="H5352" s="1">
        <v>42943</v>
      </c>
      <c r="I5352" s="1">
        <v>42949</v>
      </c>
      <c r="J5352">
        <v>3025</v>
      </c>
    </row>
    <row r="5353" spans="1:10" x14ac:dyDescent="0.3">
      <c r="A5353" t="s">
        <v>5484</v>
      </c>
      <c r="B5353" t="s">
        <v>164</v>
      </c>
      <c r="C5353" t="str">
        <f>_xlfn.XLOOKUP(B5353,
[1]sales_teams!$A$2:$A$100,
[1]sales_teams!$B$2:$B$100)</f>
        <v>Cara Losch</v>
      </c>
      <c r="D5353" t="str">
        <f>_xlfn.XLOOKUP($B5353,sales_teams!$A$2:$A$36,sales_teams!C$2:C$36)</f>
        <v>East</v>
      </c>
      <c r="E5353" t="s">
        <v>10</v>
      </c>
      <c r="F5353" t="s">
        <v>410</v>
      </c>
      <c r="G5353" t="s">
        <v>46</v>
      </c>
      <c r="H5353" s="1">
        <v>42943</v>
      </c>
      <c r="I5353" s="1">
        <v>42945</v>
      </c>
      <c r="J5353">
        <v>0</v>
      </c>
    </row>
    <row r="5354" spans="1:10" x14ac:dyDescent="0.3">
      <c r="A5354" t="s">
        <v>5485</v>
      </c>
      <c r="B5354" t="s">
        <v>14</v>
      </c>
      <c r="C5354" t="str">
        <f>_xlfn.XLOOKUP(B5354,
[1]sales_teams!$A$2:$A$100,
[1]sales_teams!$B$2:$B$100)</f>
        <v>Melvin Marxen</v>
      </c>
      <c r="D5354" t="str">
        <f>_xlfn.XLOOKUP($B5354,sales_teams!$A$2:$A$36,sales_teams!C$2:C$36)</f>
        <v>Central</v>
      </c>
      <c r="E5354" t="s">
        <v>10</v>
      </c>
      <c r="G5354" t="s">
        <v>40</v>
      </c>
      <c r="H5354" s="1">
        <v>42943</v>
      </c>
    </row>
    <row r="5355" spans="1:10" x14ac:dyDescent="0.3">
      <c r="A5355" t="s">
        <v>5486</v>
      </c>
      <c r="B5355" t="s">
        <v>14</v>
      </c>
      <c r="C5355" t="str">
        <f>_xlfn.XLOOKUP(B5355,
[1]sales_teams!$A$2:$A$100,
[1]sales_teams!$B$2:$B$100)</f>
        <v>Melvin Marxen</v>
      </c>
      <c r="D5355" t="str">
        <f>_xlfn.XLOOKUP($B5355,sales_teams!$A$2:$A$36,sales_teams!C$2:C$36)</f>
        <v>Central</v>
      </c>
      <c r="E5355" t="s">
        <v>15</v>
      </c>
      <c r="F5355" t="s">
        <v>55</v>
      </c>
      <c r="G5355" t="s">
        <v>40</v>
      </c>
      <c r="H5355" s="1">
        <v>42943</v>
      </c>
    </row>
    <row r="5356" spans="1:10" x14ac:dyDescent="0.3">
      <c r="A5356" t="s">
        <v>5487</v>
      </c>
      <c r="B5356" t="s">
        <v>14</v>
      </c>
      <c r="C5356" t="str">
        <f>_xlfn.XLOOKUP(B5356,
[1]sales_teams!$A$2:$A$100,
[1]sales_teams!$B$2:$B$100)</f>
        <v>Melvin Marxen</v>
      </c>
      <c r="D5356" t="str">
        <f>_xlfn.XLOOKUP($B5356,sales_teams!$A$2:$A$36,sales_teams!C$2:C$36)</f>
        <v>Central</v>
      </c>
      <c r="E5356" t="s">
        <v>15</v>
      </c>
      <c r="F5356" t="s">
        <v>135</v>
      </c>
      <c r="G5356" t="s">
        <v>40</v>
      </c>
      <c r="H5356" s="1">
        <v>42943</v>
      </c>
    </row>
    <row r="5357" spans="1:10" x14ac:dyDescent="0.3">
      <c r="A5357" t="s">
        <v>5488</v>
      </c>
      <c r="B5357" t="s">
        <v>14</v>
      </c>
      <c r="C5357" t="str">
        <f>_xlfn.XLOOKUP(B5357,
[1]sales_teams!$A$2:$A$100,
[1]sales_teams!$B$2:$B$100)</f>
        <v>Melvin Marxen</v>
      </c>
      <c r="D5357" t="str">
        <f>_xlfn.XLOOKUP($B5357,sales_teams!$A$2:$A$36,sales_teams!C$2:C$36)</f>
        <v>Central</v>
      </c>
      <c r="E5357" t="s">
        <v>15</v>
      </c>
      <c r="F5357" t="s">
        <v>199</v>
      </c>
      <c r="G5357" t="s">
        <v>40</v>
      </c>
      <c r="H5357" s="1">
        <v>42943</v>
      </c>
    </row>
    <row r="5358" spans="1:10" x14ac:dyDescent="0.3">
      <c r="A5358" t="s">
        <v>5489</v>
      </c>
      <c r="B5358" t="s">
        <v>14</v>
      </c>
      <c r="C5358" t="str">
        <f>_xlfn.XLOOKUP(B5358,
[1]sales_teams!$A$2:$A$100,
[1]sales_teams!$B$2:$B$100)</f>
        <v>Melvin Marxen</v>
      </c>
      <c r="D5358" t="str">
        <f>_xlfn.XLOOKUP($B5358,sales_teams!$A$2:$A$36,sales_teams!C$2:C$36)</f>
        <v>Central</v>
      </c>
      <c r="E5358" t="s">
        <v>15</v>
      </c>
      <c r="G5358" t="s">
        <v>40</v>
      </c>
      <c r="H5358" s="1">
        <v>42943</v>
      </c>
    </row>
    <row r="5359" spans="1:10" x14ac:dyDescent="0.3">
      <c r="A5359" t="s">
        <v>5490</v>
      </c>
      <c r="B5359" t="s">
        <v>14</v>
      </c>
      <c r="C5359" t="str">
        <f>_xlfn.XLOOKUP(B5359,
[1]sales_teams!$A$2:$A$100,
[1]sales_teams!$B$2:$B$100)</f>
        <v>Melvin Marxen</v>
      </c>
      <c r="D5359" t="str">
        <f>_xlfn.XLOOKUP($B5359,sales_teams!$A$2:$A$36,sales_teams!C$2:C$36)</f>
        <v>Central</v>
      </c>
      <c r="E5359" t="s">
        <v>15</v>
      </c>
      <c r="G5359" t="s">
        <v>40</v>
      </c>
      <c r="H5359" s="1">
        <v>42943</v>
      </c>
    </row>
    <row r="5360" spans="1:10" x14ac:dyDescent="0.3">
      <c r="A5360" t="s">
        <v>5491</v>
      </c>
      <c r="B5360" t="s">
        <v>14</v>
      </c>
      <c r="C5360" t="str">
        <f>_xlfn.XLOOKUP(B5360,
[1]sales_teams!$A$2:$A$100,
[1]sales_teams!$B$2:$B$100)</f>
        <v>Melvin Marxen</v>
      </c>
      <c r="D5360" t="str">
        <f>_xlfn.XLOOKUP($B5360,sales_teams!$A$2:$A$36,sales_teams!C$2:C$36)</f>
        <v>Central</v>
      </c>
      <c r="E5360" t="s">
        <v>15</v>
      </c>
      <c r="G5360" t="s">
        <v>40</v>
      </c>
      <c r="H5360" s="1">
        <v>42943</v>
      </c>
    </row>
    <row r="5361" spans="1:10" x14ac:dyDescent="0.3">
      <c r="A5361" t="s">
        <v>5492</v>
      </c>
      <c r="B5361" t="s">
        <v>14</v>
      </c>
      <c r="C5361" t="str">
        <f>_xlfn.XLOOKUP(B5361,
[1]sales_teams!$A$2:$A$100,
[1]sales_teams!$B$2:$B$100)</f>
        <v>Melvin Marxen</v>
      </c>
      <c r="D5361" t="str">
        <f>_xlfn.XLOOKUP($B5361,sales_teams!$A$2:$A$36,sales_teams!C$2:C$36)</f>
        <v>Central</v>
      </c>
      <c r="E5361" t="s">
        <v>15</v>
      </c>
      <c r="G5361" t="s">
        <v>40</v>
      </c>
      <c r="H5361" s="1">
        <v>42943</v>
      </c>
    </row>
    <row r="5362" spans="1:10" x14ac:dyDescent="0.3">
      <c r="A5362" t="s">
        <v>5493</v>
      </c>
      <c r="B5362" t="s">
        <v>14</v>
      </c>
      <c r="C5362" t="str">
        <f>_xlfn.XLOOKUP(B5362,
[1]sales_teams!$A$2:$A$100,
[1]sales_teams!$B$2:$B$100)</f>
        <v>Melvin Marxen</v>
      </c>
      <c r="D5362" t="str">
        <f>_xlfn.XLOOKUP($B5362,sales_teams!$A$2:$A$36,sales_teams!C$2:C$36)</f>
        <v>Central</v>
      </c>
      <c r="E5362" t="s">
        <v>39</v>
      </c>
      <c r="G5362" t="s">
        <v>40</v>
      </c>
      <c r="H5362" s="1">
        <v>42943</v>
      </c>
    </row>
    <row r="5363" spans="1:10" x14ac:dyDescent="0.3">
      <c r="A5363" t="s">
        <v>5494</v>
      </c>
      <c r="B5363" t="s">
        <v>14</v>
      </c>
      <c r="C5363" t="str">
        <f>_xlfn.XLOOKUP(B5363,
[1]sales_teams!$A$2:$A$100,
[1]sales_teams!$B$2:$B$100)</f>
        <v>Melvin Marxen</v>
      </c>
      <c r="D5363" t="str">
        <f>_xlfn.XLOOKUP($B5363,sales_teams!$A$2:$A$36,sales_teams!C$2:C$36)</f>
        <v>Central</v>
      </c>
      <c r="E5363" t="s">
        <v>39</v>
      </c>
      <c r="G5363" t="s">
        <v>40</v>
      </c>
      <c r="H5363" s="1">
        <v>42943</v>
      </c>
    </row>
    <row r="5364" spans="1:10" x14ac:dyDescent="0.3">
      <c r="A5364" t="s">
        <v>5495</v>
      </c>
      <c r="B5364" t="s">
        <v>14</v>
      </c>
      <c r="C5364" t="str">
        <f>_xlfn.XLOOKUP(B5364,
[1]sales_teams!$A$2:$A$100,
[1]sales_teams!$B$2:$B$100)</f>
        <v>Melvin Marxen</v>
      </c>
      <c r="D5364" t="str">
        <f>_xlfn.XLOOKUP($B5364,sales_teams!$A$2:$A$36,sales_teams!C$2:C$36)</f>
        <v>Central</v>
      </c>
      <c r="E5364" t="s">
        <v>15</v>
      </c>
      <c r="F5364" t="s">
        <v>91</v>
      </c>
      <c r="G5364" t="s">
        <v>12</v>
      </c>
      <c r="H5364" s="1">
        <v>42943</v>
      </c>
      <c r="I5364" s="1">
        <v>42956</v>
      </c>
      <c r="J5364">
        <v>4790</v>
      </c>
    </row>
    <row r="5365" spans="1:10" x14ac:dyDescent="0.3">
      <c r="A5365" t="s">
        <v>5496</v>
      </c>
      <c r="B5365" t="s">
        <v>14</v>
      </c>
      <c r="C5365" t="str">
        <f>_xlfn.XLOOKUP(B5365,
[1]sales_teams!$A$2:$A$100,
[1]sales_teams!$B$2:$B$100)</f>
        <v>Melvin Marxen</v>
      </c>
      <c r="D5365" t="str">
        <f>_xlfn.XLOOKUP($B5365,sales_teams!$A$2:$A$36,sales_teams!C$2:C$36)</f>
        <v>Central</v>
      </c>
      <c r="E5365" t="s">
        <v>15</v>
      </c>
      <c r="F5365" t="s">
        <v>36</v>
      </c>
      <c r="G5365" t="s">
        <v>12</v>
      </c>
      <c r="H5365" s="1">
        <v>42943</v>
      </c>
      <c r="I5365" s="1">
        <v>42970</v>
      </c>
      <c r="J5365">
        <v>4861</v>
      </c>
    </row>
    <row r="5366" spans="1:10" x14ac:dyDescent="0.3">
      <c r="A5366" t="s">
        <v>5497</v>
      </c>
      <c r="B5366" t="s">
        <v>44</v>
      </c>
      <c r="C5366" t="str">
        <f>_xlfn.XLOOKUP(B5366,
[1]sales_teams!$A$2:$A$100,
[1]sales_teams!$B$2:$B$100)</f>
        <v>Melvin Marxen</v>
      </c>
      <c r="D5366" t="str">
        <f>_xlfn.XLOOKUP($B5366,sales_teams!$A$2:$A$36,sales_teams!C$2:C$36)</f>
        <v>Central</v>
      </c>
      <c r="E5366" t="s">
        <v>48</v>
      </c>
      <c r="G5366" t="s">
        <v>40</v>
      </c>
      <c r="H5366" s="1">
        <v>42943</v>
      </c>
    </row>
    <row r="5367" spans="1:10" x14ac:dyDescent="0.3">
      <c r="A5367" t="s">
        <v>5498</v>
      </c>
      <c r="B5367" t="s">
        <v>44</v>
      </c>
      <c r="C5367" t="str">
        <f>_xlfn.XLOOKUP(B5367,
[1]sales_teams!$A$2:$A$100,
[1]sales_teams!$B$2:$B$100)</f>
        <v>Melvin Marxen</v>
      </c>
      <c r="D5367" t="str">
        <f>_xlfn.XLOOKUP($B5367,sales_teams!$A$2:$A$36,sales_teams!C$2:C$36)</f>
        <v>Central</v>
      </c>
      <c r="E5367" t="s">
        <v>39</v>
      </c>
      <c r="G5367" t="s">
        <v>40</v>
      </c>
      <c r="H5367" s="1">
        <v>42943</v>
      </c>
    </row>
    <row r="5368" spans="1:10" x14ac:dyDescent="0.3">
      <c r="A5368" t="s">
        <v>5499</v>
      </c>
      <c r="B5368" t="s">
        <v>44</v>
      </c>
      <c r="C5368" t="str">
        <f>_xlfn.XLOOKUP(B5368,
[1]sales_teams!$A$2:$A$100,
[1]sales_teams!$B$2:$B$100)</f>
        <v>Melvin Marxen</v>
      </c>
      <c r="D5368" t="str">
        <f>_xlfn.XLOOKUP($B5368,sales_teams!$A$2:$A$36,sales_teams!C$2:C$36)</f>
        <v>Central</v>
      </c>
      <c r="E5368" t="s">
        <v>20</v>
      </c>
      <c r="F5368" t="s">
        <v>11</v>
      </c>
      <c r="G5368" t="s">
        <v>46</v>
      </c>
      <c r="H5368" s="1">
        <v>42943</v>
      </c>
      <c r="I5368" s="1">
        <v>42993</v>
      </c>
      <c r="J5368">
        <v>0</v>
      </c>
    </row>
    <row r="5369" spans="1:10" x14ac:dyDescent="0.3">
      <c r="A5369" t="s">
        <v>5500</v>
      </c>
      <c r="B5369" t="s">
        <v>54</v>
      </c>
      <c r="C5369" t="str">
        <f>_xlfn.XLOOKUP(B5369,
[1]sales_teams!$A$2:$A$100,
[1]sales_teams!$B$2:$B$100)</f>
        <v>Celia Rouche</v>
      </c>
      <c r="D5369" t="str">
        <f>_xlfn.XLOOKUP($B5369,sales_teams!$A$2:$A$36,sales_teams!C$2:C$36)</f>
        <v>West</v>
      </c>
      <c r="E5369" t="s">
        <v>10</v>
      </c>
      <c r="G5369" t="s">
        <v>40</v>
      </c>
      <c r="H5369" s="1">
        <v>42943</v>
      </c>
    </row>
    <row r="5370" spans="1:10" x14ac:dyDescent="0.3">
      <c r="A5370" t="s">
        <v>5501</v>
      </c>
      <c r="B5370" t="s">
        <v>38</v>
      </c>
      <c r="C5370" t="str">
        <f>_xlfn.XLOOKUP(B5370,
[1]sales_teams!$A$2:$A$100,
[1]sales_teams!$B$2:$B$100)</f>
        <v>Summer Sewald</v>
      </c>
      <c r="D5370" t="str">
        <f>_xlfn.XLOOKUP($B5370,sales_teams!$A$2:$A$36,sales_teams!C$2:C$36)</f>
        <v>West</v>
      </c>
      <c r="E5370" t="s">
        <v>20</v>
      </c>
      <c r="F5370" t="s">
        <v>315</v>
      </c>
      <c r="G5370" t="s">
        <v>12</v>
      </c>
      <c r="H5370" s="1">
        <v>42943</v>
      </c>
      <c r="I5370" s="1">
        <v>42993</v>
      </c>
      <c r="J5370">
        <v>586</v>
      </c>
    </row>
    <row r="5371" spans="1:10" x14ac:dyDescent="0.3">
      <c r="A5371" t="s">
        <v>5502</v>
      </c>
      <c r="B5371" t="s">
        <v>252</v>
      </c>
      <c r="C5371" t="str">
        <f>_xlfn.XLOOKUP(B5371,
[1]sales_teams!$A$2:$A$100,
[1]sales_teams!$B$2:$B$100)</f>
        <v>Melvin Marxen</v>
      </c>
      <c r="D5371" t="str">
        <f>_xlfn.XLOOKUP($B5371,sales_teams!$A$2:$A$36,sales_teams!C$2:C$36)</f>
        <v>Central</v>
      </c>
      <c r="E5371" t="s">
        <v>20</v>
      </c>
      <c r="G5371" t="s">
        <v>40</v>
      </c>
      <c r="H5371" s="1">
        <v>42943</v>
      </c>
    </row>
    <row r="5372" spans="1:10" x14ac:dyDescent="0.3">
      <c r="A5372" t="s">
        <v>5503</v>
      </c>
      <c r="B5372" t="s">
        <v>252</v>
      </c>
      <c r="C5372" t="str">
        <f>_xlfn.XLOOKUP(B5372,
[1]sales_teams!$A$2:$A$100,
[1]sales_teams!$B$2:$B$100)</f>
        <v>Melvin Marxen</v>
      </c>
      <c r="D5372" t="str">
        <f>_xlfn.XLOOKUP($B5372,sales_teams!$A$2:$A$36,sales_teams!C$2:C$36)</f>
        <v>Central</v>
      </c>
      <c r="E5372" t="s">
        <v>20</v>
      </c>
      <c r="G5372" t="s">
        <v>40</v>
      </c>
      <c r="H5372" s="1">
        <v>42943</v>
      </c>
    </row>
    <row r="5373" spans="1:10" x14ac:dyDescent="0.3">
      <c r="A5373" t="s">
        <v>5504</v>
      </c>
      <c r="B5373" t="s">
        <v>252</v>
      </c>
      <c r="C5373" t="str">
        <f>_xlfn.XLOOKUP(B5373,
[1]sales_teams!$A$2:$A$100,
[1]sales_teams!$B$2:$B$100)</f>
        <v>Melvin Marxen</v>
      </c>
      <c r="D5373" t="str">
        <f>_xlfn.XLOOKUP($B5373,sales_teams!$A$2:$A$36,sales_teams!C$2:C$36)</f>
        <v>Central</v>
      </c>
      <c r="E5373" t="s">
        <v>10</v>
      </c>
      <c r="F5373" t="s">
        <v>273</v>
      </c>
      <c r="G5373" t="s">
        <v>40</v>
      </c>
      <c r="H5373" s="1">
        <v>42943</v>
      </c>
    </row>
    <row r="5374" spans="1:10" x14ac:dyDescent="0.3">
      <c r="A5374" t="s">
        <v>5505</v>
      </c>
      <c r="B5374" t="s">
        <v>252</v>
      </c>
      <c r="C5374" t="str">
        <f>_xlfn.XLOOKUP(B5374,
[1]sales_teams!$A$2:$A$100,
[1]sales_teams!$B$2:$B$100)</f>
        <v>Melvin Marxen</v>
      </c>
      <c r="D5374" t="str">
        <f>_xlfn.XLOOKUP($B5374,sales_teams!$A$2:$A$36,sales_teams!C$2:C$36)</f>
        <v>Central</v>
      </c>
      <c r="E5374" t="s">
        <v>10</v>
      </c>
      <c r="G5374" t="s">
        <v>40</v>
      </c>
      <c r="H5374" s="1">
        <v>42943</v>
      </c>
    </row>
    <row r="5375" spans="1:10" x14ac:dyDescent="0.3">
      <c r="A5375" t="s">
        <v>5506</v>
      </c>
      <c r="B5375" t="s">
        <v>78</v>
      </c>
      <c r="C5375" t="str">
        <f>_xlfn.XLOOKUP(B5375,
[1]sales_teams!$A$2:$A$100,
[1]sales_teams!$B$2:$B$100)</f>
        <v>Summer Sewald</v>
      </c>
      <c r="D5375" t="str">
        <f>_xlfn.XLOOKUP($B5375,sales_teams!$A$2:$A$36,sales_teams!C$2:C$36)</f>
        <v>West</v>
      </c>
      <c r="E5375" t="s">
        <v>20</v>
      </c>
      <c r="F5375" t="s">
        <v>59</v>
      </c>
      <c r="G5375" t="s">
        <v>12</v>
      </c>
      <c r="H5375" s="1">
        <v>42943</v>
      </c>
      <c r="I5375" s="1">
        <v>42957</v>
      </c>
      <c r="J5375">
        <v>514</v>
      </c>
    </row>
    <row r="5376" spans="1:10" x14ac:dyDescent="0.3">
      <c r="A5376" t="s">
        <v>5507</v>
      </c>
      <c r="B5376" t="s">
        <v>32</v>
      </c>
      <c r="C5376" t="str">
        <f>_xlfn.XLOOKUP(B5376,
[1]sales_teams!$A$2:$A$100,
[1]sales_teams!$B$2:$B$100)</f>
        <v>Celia Rouche</v>
      </c>
      <c r="D5376" t="str">
        <f>_xlfn.XLOOKUP($B5376,sales_teams!$A$2:$A$36,sales_teams!C$2:C$36)</f>
        <v>West</v>
      </c>
      <c r="E5376" t="s">
        <v>15</v>
      </c>
      <c r="F5376" t="s">
        <v>199</v>
      </c>
      <c r="G5376" t="s">
        <v>12</v>
      </c>
      <c r="H5376" s="1">
        <v>42943</v>
      </c>
      <c r="I5376" s="1">
        <v>42944</v>
      </c>
      <c r="J5376">
        <v>4209</v>
      </c>
    </row>
    <row r="5377" spans="1:10" x14ac:dyDescent="0.3">
      <c r="A5377" t="s">
        <v>5508</v>
      </c>
      <c r="B5377" t="s">
        <v>116</v>
      </c>
      <c r="C5377" t="str">
        <f>_xlfn.XLOOKUP(B5377,
[1]sales_teams!$A$2:$A$100,
[1]sales_teams!$B$2:$B$100)</f>
        <v>Melvin Marxen</v>
      </c>
      <c r="D5377" t="str">
        <f>_xlfn.XLOOKUP($B5377,sales_teams!$A$2:$A$36,sales_teams!C$2:C$36)</f>
        <v>Central</v>
      </c>
      <c r="E5377" t="s">
        <v>20</v>
      </c>
      <c r="G5377" t="s">
        <v>40</v>
      </c>
      <c r="H5377" s="1">
        <v>42943</v>
      </c>
    </row>
    <row r="5378" spans="1:10" x14ac:dyDescent="0.3">
      <c r="A5378" t="s">
        <v>5509</v>
      </c>
      <c r="B5378" t="s">
        <v>116</v>
      </c>
      <c r="C5378" t="str">
        <f>_xlfn.XLOOKUP(B5378,
[1]sales_teams!$A$2:$A$100,
[1]sales_teams!$B$2:$B$100)</f>
        <v>Melvin Marxen</v>
      </c>
      <c r="D5378" t="str">
        <f>_xlfn.XLOOKUP($B5378,sales_teams!$A$2:$A$36,sales_teams!C$2:C$36)</f>
        <v>Central</v>
      </c>
      <c r="E5378" t="s">
        <v>10</v>
      </c>
      <c r="F5378" t="s">
        <v>273</v>
      </c>
      <c r="G5378" t="s">
        <v>40</v>
      </c>
      <c r="H5378" s="1">
        <v>42943</v>
      </c>
    </row>
    <row r="5379" spans="1:10" x14ac:dyDescent="0.3">
      <c r="A5379" t="s">
        <v>5510</v>
      </c>
      <c r="B5379" t="s">
        <v>116</v>
      </c>
      <c r="C5379" t="str">
        <f>_xlfn.XLOOKUP(B5379,
[1]sales_teams!$A$2:$A$100,
[1]sales_teams!$B$2:$B$100)</f>
        <v>Melvin Marxen</v>
      </c>
      <c r="D5379" t="str">
        <f>_xlfn.XLOOKUP($B5379,sales_teams!$A$2:$A$36,sales_teams!C$2:C$36)</f>
        <v>Central</v>
      </c>
      <c r="E5379" t="s">
        <v>10</v>
      </c>
      <c r="F5379" t="s">
        <v>159</v>
      </c>
      <c r="G5379" t="s">
        <v>40</v>
      </c>
      <c r="H5379" s="1">
        <v>42943</v>
      </c>
    </row>
    <row r="5380" spans="1:10" x14ac:dyDescent="0.3">
      <c r="A5380" t="s">
        <v>5511</v>
      </c>
      <c r="B5380" t="s">
        <v>116</v>
      </c>
      <c r="C5380" t="str">
        <f>_xlfn.XLOOKUP(B5380,
[1]sales_teams!$A$2:$A$100,
[1]sales_teams!$B$2:$B$100)</f>
        <v>Melvin Marxen</v>
      </c>
      <c r="D5380" t="str">
        <f>_xlfn.XLOOKUP($B5380,sales_teams!$A$2:$A$36,sales_teams!C$2:C$36)</f>
        <v>Central</v>
      </c>
      <c r="E5380" t="s">
        <v>18</v>
      </c>
      <c r="F5380" t="s">
        <v>45</v>
      </c>
      <c r="G5380" t="s">
        <v>46</v>
      </c>
      <c r="H5380" s="1">
        <v>42943</v>
      </c>
      <c r="I5380" s="1">
        <v>42948</v>
      </c>
      <c r="J5380">
        <v>0</v>
      </c>
    </row>
    <row r="5381" spans="1:10" x14ac:dyDescent="0.3">
      <c r="A5381" t="s">
        <v>5512</v>
      </c>
      <c r="B5381" t="s">
        <v>116</v>
      </c>
      <c r="C5381" t="str">
        <f>_xlfn.XLOOKUP(B5381,
[1]sales_teams!$A$2:$A$100,
[1]sales_teams!$B$2:$B$100)</f>
        <v>Melvin Marxen</v>
      </c>
      <c r="D5381" t="str">
        <f>_xlfn.XLOOKUP($B5381,sales_teams!$A$2:$A$36,sales_teams!C$2:C$36)</f>
        <v>Central</v>
      </c>
      <c r="E5381" t="s">
        <v>10</v>
      </c>
      <c r="F5381" t="s">
        <v>207</v>
      </c>
      <c r="G5381" t="s">
        <v>12</v>
      </c>
      <c r="H5381" s="1">
        <v>42943</v>
      </c>
      <c r="I5381" s="1">
        <v>42954</v>
      </c>
      <c r="J5381">
        <v>965</v>
      </c>
    </row>
    <row r="5382" spans="1:10" x14ac:dyDescent="0.3">
      <c r="A5382" t="s">
        <v>5513</v>
      </c>
      <c r="B5382" t="s">
        <v>9</v>
      </c>
      <c r="C5382" t="str">
        <f>_xlfn.XLOOKUP(B5382,
[1]sales_teams!$A$2:$A$100,
[1]sales_teams!$B$2:$B$100)</f>
        <v>Dustin Brinkmann</v>
      </c>
      <c r="D5382" t="str">
        <f>_xlfn.XLOOKUP($B5382,sales_teams!$A$2:$A$36,sales_teams!C$2:C$36)</f>
        <v>Central</v>
      </c>
      <c r="E5382" t="s">
        <v>20</v>
      </c>
      <c r="G5382" t="s">
        <v>40</v>
      </c>
      <c r="H5382" s="1">
        <v>42943</v>
      </c>
    </row>
    <row r="5383" spans="1:10" x14ac:dyDescent="0.3">
      <c r="A5383" t="s">
        <v>5514</v>
      </c>
      <c r="B5383" t="s">
        <v>35</v>
      </c>
      <c r="C5383" t="str">
        <f>_xlfn.XLOOKUP(B5383,
[1]sales_teams!$A$2:$A$100,
[1]sales_teams!$B$2:$B$100)</f>
        <v>Melvin Marxen</v>
      </c>
      <c r="D5383" t="str">
        <f>_xlfn.XLOOKUP($B5383,sales_teams!$A$2:$A$36,sales_teams!C$2:C$36)</f>
        <v>Central</v>
      </c>
      <c r="E5383" t="s">
        <v>20</v>
      </c>
      <c r="G5383" t="s">
        <v>40</v>
      </c>
      <c r="H5383" s="1">
        <v>42943</v>
      </c>
    </row>
    <row r="5384" spans="1:10" x14ac:dyDescent="0.3">
      <c r="A5384" t="s">
        <v>5515</v>
      </c>
      <c r="B5384" t="s">
        <v>35</v>
      </c>
      <c r="C5384" t="str">
        <f>_xlfn.XLOOKUP(B5384,
[1]sales_teams!$A$2:$A$100,
[1]sales_teams!$B$2:$B$100)</f>
        <v>Melvin Marxen</v>
      </c>
      <c r="D5384" t="str">
        <f>_xlfn.XLOOKUP($B5384,sales_teams!$A$2:$A$36,sales_teams!C$2:C$36)</f>
        <v>Central</v>
      </c>
      <c r="E5384" t="s">
        <v>18</v>
      </c>
      <c r="G5384" t="s">
        <v>40</v>
      </c>
      <c r="H5384" s="1">
        <v>42943</v>
      </c>
    </row>
    <row r="5385" spans="1:10" x14ac:dyDescent="0.3">
      <c r="A5385" t="s">
        <v>5516</v>
      </c>
      <c r="B5385" t="s">
        <v>57</v>
      </c>
      <c r="C5385" t="str">
        <f>_xlfn.XLOOKUP(B5385,
[1]sales_teams!$A$2:$A$100,
[1]sales_teams!$B$2:$B$100)</f>
        <v>Celia Rouche</v>
      </c>
      <c r="D5385" t="str">
        <f>_xlfn.XLOOKUP($B5385,sales_teams!$A$2:$A$36,sales_teams!C$2:C$36)</f>
        <v>West</v>
      </c>
      <c r="E5385" t="s">
        <v>145</v>
      </c>
      <c r="G5385" t="s">
        <v>40</v>
      </c>
      <c r="H5385" s="1">
        <v>42943</v>
      </c>
    </row>
    <row r="5386" spans="1:10" x14ac:dyDescent="0.3">
      <c r="A5386" t="s">
        <v>5517</v>
      </c>
      <c r="B5386" t="s">
        <v>57</v>
      </c>
      <c r="C5386" t="str">
        <f>_xlfn.XLOOKUP(B5386,
[1]sales_teams!$A$2:$A$100,
[1]sales_teams!$B$2:$B$100)</f>
        <v>Celia Rouche</v>
      </c>
      <c r="D5386" t="str">
        <f>_xlfn.XLOOKUP($B5386,sales_teams!$A$2:$A$36,sales_teams!C$2:C$36)</f>
        <v>West</v>
      </c>
      <c r="E5386" t="s">
        <v>48</v>
      </c>
      <c r="F5386" t="s">
        <v>555</v>
      </c>
      <c r="G5386" t="s">
        <v>46</v>
      </c>
      <c r="H5386" s="1">
        <v>42943</v>
      </c>
      <c r="I5386" s="1">
        <v>42944</v>
      </c>
      <c r="J5386">
        <v>0</v>
      </c>
    </row>
    <row r="5387" spans="1:10" x14ac:dyDescent="0.3">
      <c r="A5387" t="s">
        <v>5518</v>
      </c>
      <c r="B5387" t="s">
        <v>61</v>
      </c>
      <c r="C5387" t="str">
        <f>_xlfn.XLOOKUP(B5387,
[1]sales_teams!$A$2:$A$100,
[1]sales_teams!$B$2:$B$100)</f>
        <v>Dustin Brinkmann</v>
      </c>
      <c r="D5387" t="str">
        <f>_xlfn.XLOOKUP($B5387,sales_teams!$A$2:$A$36,sales_teams!C$2:C$36)</f>
        <v>Central</v>
      </c>
      <c r="E5387" t="s">
        <v>48</v>
      </c>
      <c r="F5387" t="s">
        <v>65</v>
      </c>
      <c r="G5387" t="s">
        <v>40</v>
      </c>
      <c r="H5387" s="1">
        <v>42943</v>
      </c>
    </row>
    <row r="5388" spans="1:10" x14ac:dyDescent="0.3">
      <c r="A5388" t="s">
        <v>5519</v>
      </c>
      <c r="B5388" t="s">
        <v>61</v>
      </c>
      <c r="C5388" t="str">
        <f>_xlfn.XLOOKUP(B5388,
[1]sales_teams!$A$2:$A$100,
[1]sales_teams!$B$2:$B$100)</f>
        <v>Dustin Brinkmann</v>
      </c>
      <c r="D5388" t="str">
        <f>_xlfn.XLOOKUP($B5388,sales_teams!$A$2:$A$36,sales_teams!C$2:C$36)</f>
        <v>Central</v>
      </c>
      <c r="E5388" t="s">
        <v>18</v>
      </c>
      <c r="G5388" t="s">
        <v>40</v>
      </c>
      <c r="H5388" s="1">
        <v>42943</v>
      </c>
    </row>
    <row r="5389" spans="1:10" x14ac:dyDescent="0.3">
      <c r="A5389" t="s">
        <v>5520</v>
      </c>
      <c r="B5389" t="s">
        <v>29</v>
      </c>
      <c r="C5389" t="str">
        <f>_xlfn.XLOOKUP(B5389,
[1]sales_teams!$A$2:$A$100,
[1]sales_teams!$B$2:$B$100)</f>
        <v>Celia Rouche</v>
      </c>
      <c r="D5389" t="str">
        <f>_xlfn.XLOOKUP($B5389,sales_teams!$A$2:$A$36,sales_teams!C$2:C$36)</f>
        <v>West</v>
      </c>
      <c r="E5389" t="s">
        <v>20</v>
      </c>
      <c r="F5389" t="s">
        <v>398</v>
      </c>
      <c r="G5389" t="s">
        <v>12</v>
      </c>
      <c r="H5389" s="1">
        <v>42943</v>
      </c>
      <c r="I5389" s="1">
        <v>42953</v>
      </c>
      <c r="J5389">
        <v>651</v>
      </c>
    </row>
    <row r="5390" spans="1:10" x14ac:dyDescent="0.3">
      <c r="A5390" t="s">
        <v>5521</v>
      </c>
      <c r="B5390" t="s">
        <v>23</v>
      </c>
      <c r="C5390" t="str">
        <f>_xlfn.XLOOKUP(B5390,
[1]sales_teams!$A$2:$A$100,
[1]sales_teams!$B$2:$B$100)</f>
        <v>Summer Sewald</v>
      </c>
      <c r="D5390" t="str">
        <f>_xlfn.XLOOKUP($B5390,sales_teams!$A$2:$A$36,sales_teams!C$2:C$36)</f>
        <v>West</v>
      </c>
      <c r="E5390" t="s">
        <v>15</v>
      </c>
      <c r="F5390" t="s">
        <v>170</v>
      </c>
      <c r="G5390" t="s">
        <v>40</v>
      </c>
      <c r="H5390" s="1">
        <v>42943</v>
      </c>
    </row>
    <row r="5391" spans="1:10" x14ac:dyDescent="0.3">
      <c r="A5391" t="s">
        <v>5522</v>
      </c>
      <c r="B5391" t="s">
        <v>26</v>
      </c>
      <c r="C5391" t="str">
        <f>_xlfn.XLOOKUP(B5391,
[1]sales_teams!$A$2:$A$100,
[1]sales_teams!$B$2:$B$100)</f>
        <v>Dustin Brinkmann</v>
      </c>
      <c r="D5391" t="str">
        <f>_xlfn.XLOOKUP($B5391,sales_teams!$A$2:$A$36,sales_teams!C$2:C$36)</f>
        <v>Central</v>
      </c>
      <c r="E5391" t="s">
        <v>20</v>
      </c>
      <c r="F5391" t="s">
        <v>278</v>
      </c>
      <c r="G5391" t="s">
        <v>40</v>
      </c>
      <c r="H5391" s="1">
        <v>42944</v>
      </c>
    </row>
    <row r="5392" spans="1:10" x14ac:dyDescent="0.3">
      <c r="A5392" t="s">
        <v>5523</v>
      </c>
      <c r="B5392" t="s">
        <v>26</v>
      </c>
      <c r="C5392" t="str">
        <f>_xlfn.XLOOKUP(B5392,
[1]sales_teams!$A$2:$A$100,
[1]sales_teams!$B$2:$B$100)</f>
        <v>Dustin Brinkmann</v>
      </c>
      <c r="D5392" t="str">
        <f>_xlfn.XLOOKUP($B5392,sales_teams!$A$2:$A$36,sales_teams!C$2:C$36)</f>
        <v>Central</v>
      </c>
      <c r="E5392" t="s">
        <v>18</v>
      </c>
      <c r="G5392" t="s">
        <v>40</v>
      </c>
      <c r="H5392" s="1">
        <v>42944</v>
      </c>
    </row>
    <row r="5393" spans="1:10" x14ac:dyDescent="0.3">
      <c r="A5393" t="s">
        <v>5524</v>
      </c>
      <c r="B5393" t="s">
        <v>26</v>
      </c>
      <c r="C5393" t="str">
        <f>_xlfn.XLOOKUP(B5393,
[1]sales_teams!$A$2:$A$100,
[1]sales_teams!$B$2:$B$100)</f>
        <v>Dustin Brinkmann</v>
      </c>
      <c r="D5393" t="str">
        <f>_xlfn.XLOOKUP($B5393,sales_teams!$A$2:$A$36,sales_teams!C$2:C$36)</f>
        <v>Central</v>
      </c>
      <c r="E5393" t="s">
        <v>39</v>
      </c>
      <c r="F5393" t="s">
        <v>120</v>
      </c>
      <c r="G5393" t="s">
        <v>46</v>
      </c>
      <c r="H5393" s="1">
        <v>42944</v>
      </c>
      <c r="I5393" s="1">
        <v>42950</v>
      </c>
      <c r="J5393">
        <v>0</v>
      </c>
    </row>
    <row r="5394" spans="1:10" x14ac:dyDescent="0.3">
      <c r="A5394" t="s">
        <v>5525</v>
      </c>
      <c r="B5394" t="s">
        <v>139</v>
      </c>
      <c r="C5394" t="str">
        <f>_xlfn.XLOOKUP(B5394,
[1]sales_teams!$A$2:$A$100,
[1]sales_teams!$B$2:$B$100)</f>
        <v>Rocco Neubert</v>
      </c>
      <c r="D5394" t="str">
        <f>_xlfn.XLOOKUP($B5394,sales_teams!$A$2:$A$36,sales_teams!C$2:C$36)</f>
        <v>East</v>
      </c>
      <c r="E5394" t="s">
        <v>20</v>
      </c>
      <c r="G5394" t="s">
        <v>40</v>
      </c>
      <c r="H5394" s="1">
        <v>42944</v>
      </c>
    </row>
    <row r="5395" spans="1:10" x14ac:dyDescent="0.3">
      <c r="A5395" t="s">
        <v>5526</v>
      </c>
      <c r="B5395" t="s">
        <v>118</v>
      </c>
      <c r="C5395" t="str">
        <f>_xlfn.XLOOKUP(B5395,
[1]sales_teams!$A$2:$A$100,
[1]sales_teams!$B$2:$B$100)</f>
        <v>Rocco Neubert</v>
      </c>
      <c r="D5395" t="str">
        <f>_xlfn.XLOOKUP($B5395,sales_teams!$A$2:$A$36,sales_teams!C$2:C$36)</f>
        <v>East</v>
      </c>
      <c r="E5395" t="s">
        <v>10</v>
      </c>
      <c r="F5395" t="s">
        <v>189</v>
      </c>
      <c r="G5395" t="s">
        <v>46</v>
      </c>
      <c r="H5395" s="1">
        <v>42944</v>
      </c>
      <c r="I5395" s="1">
        <v>43046</v>
      </c>
      <c r="J5395">
        <v>0</v>
      </c>
    </row>
    <row r="5396" spans="1:10" x14ac:dyDescent="0.3">
      <c r="A5396" t="s">
        <v>5527</v>
      </c>
      <c r="B5396" t="s">
        <v>164</v>
      </c>
      <c r="C5396" t="str">
        <f>_xlfn.XLOOKUP(B5396,
[1]sales_teams!$A$2:$A$100,
[1]sales_teams!$B$2:$B$100)</f>
        <v>Cara Losch</v>
      </c>
      <c r="D5396" t="str">
        <f>_xlfn.XLOOKUP($B5396,sales_teams!$A$2:$A$36,sales_teams!C$2:C$36)</f>
        <v>East</v>
      </c>
      <c r="E5396" t="s">
        <v>20</v>
      </c>
      <c r="F5396" t="s">
        <v>81</v>
      </c>
      <c r="G5396" t="s">
        <v>12</v>
      </c>
      <c r="H5396" s="1">
        <v>42944</v>
      </c>
      <c r="I5396" s="1">
        <v>43050</v>
      </c>
      <c r="J5396">
        <v>550</v>
      </c>
    </row>
    <row r="5397" spans="1:10" x14ac:dyDescent="0.3">
      <c r="A5397" t="s">
        <v>5528</v>
      </c>
      <c r="B5397" t="s">
        <v>64</v>
      </c>
      <c r="C5397" t="str">
        <f>_xlfn.XLOOKUP(B5397,
[1]sales_teams!$A$2:$A$100,
[1]sales_teams!$B$2:$B$100)</f>
        <v>Rocco Neubert</v>
      </c>
      <c r="D5397" t="str">
        <f>_xlfn.XLOOKUP($B5397,sales_teams!$A$2:$A$36,sales_teams!C$2:C$36)</f>
        <v>East</v>
      </c>
      <c r="E5397" t="s">
        <v>10</v>
      </c>
      <c r="G5397" t="s">
        <v>40</v>
      </c>
      <c r="H5397" s="1">
        <v>42944</v>
      </c>
    </row>
    <row r="5398" spans="1:10" x14ac:dyDescent="0.3">
      <c r="A5398" t="s">
        <v>5529</v>
      </c>
      <c r="B5398" t="s">
        <v>14</v>
      </c>
      <c r="C5398" t="str">
        <f>_xlfn.XLOOKUP(B5398,
[1]sales_teams!$A$2:$A$100,
[1]sales_teams!$B$2:$B$100)</f>
        <v>Melvin Marxen</v>
      </c>
      <c r="D5398" t="str">
        <f>_xlfn.XLOOKUP($B5398,sales_teams!$A$2:$A$36,sales_teams!C$2:C$36)</f>
        <v>Central</v>
      </c>
      <c r="E5398" t="s">
        <v>10</v>
      </c>
      <c r="F5398" t="s">
        <v>187</v>
      </c>
      <c r="G5398" t="s">
        <v>40</v>
      </c>
      <c r="H5398" s="1">
        <v>42944</v>
      </c>
    </row>
    <row r="5399" spans="1:10" x14ac:dyDescent="0.3">
      <c r="A5399" t="s">
        <v>5530</v>
      </c>
      <c r="B5399" t="s">
        <v>14</v>
      </c>
      <c r="C5399" t="str">
        <f>_xlfn.XLOOKUP(B5399,
[1]sales_teams!$A$2:$A$100,
[1]sales_teams!$B$2:$B$100)</f>
        <v>Melvin Marxen</v>
      </c>
      <c r="D5399" t="str">
        <f>_xlfn.XLOOKUP($B5399,sales_teams!$A$2:$A$36,sales_teams!C$2:C$36)</f>
        <v>Central</v>
      </c>
      <c r="E5399" t="s">
        <v>15</v>
      </c>
      <c r="F5399" t="s">
        <v>65</v>
      </c>
      <c r="G5399" t="s">
        <v>40</v>
      </c>
      <c r="H5399" s="1">
        <v>42944</v>
      </c>
    </row>
    <row r="5400" spans="1:10" x14ac:dyDescent="0.3">
      <c r="A5400" t="s">
        <v>5531</v>
      </c>
      <c r="B5400" t="s">
        <v>14</v>
      </c>
      <c r="C5400" t="str">
        <f>_xlfn.XLOOKUP(B5400,
[1]sales_teams!$A$2:$A$100,
[1]sales_teams!$B$2:$B$100)</f>
        <v>Melvin Marxen</v>
      </c>
      <c r="D5400" t="str">
        <f>_xlfn.XLOOKUP($B5400,sales_teams!$A$2:$A$36,sales_teams!C$2:C$36)</f>
        <v>Central</v>
      </c>
      <c r="E5400" t="s">
        <v>15</v>
      </c>
      <c r="G5400" t="s">
        <v>40</v>
      </c>
      <c r="H5400" s="1">
        <v>42944</v>
      </c>
    </row>
    <row r="5401" spans="1:10" x14ac:dyDescent="0.3">
      <c r="A5401" t="s">
        <v>5532</v>
      </c>
      <c r="B5401" t="s">
        <v>14</v>
      </c>
      <c r="C5401" t="str">
        <f>_xlfn.XLOOKUP(B5401,
[1]sales_teams!$A$2:$A$100,
[1]sales_teams!$B$2:$B$100)</f>
        <v>Melvin Marxen</v>
      </c>
      <c r="D5401" t="str">
        <f>_xlfn.XLOOKUP($B5401,sales_teams!$A$2:$A$36,sales_teams!C$2:C$36)</f>
        <v>Central</v>
      </c>
      <c r="E5401" t="s">
        <v>18</v>
      </c>
      <c r="G5401" t="s">
        <v>40</v>
      </c>
      <c r="H5401" s="1">
        <v>42944</v>
      </c>
    </row>
    <row r="5402" spans="1:10" x14ac:dyDescent="0.3">
      <c r="A5402" t="s">
        <v>5533</v>
      </c>
      <c r="B5402" t="s">
        <v>14</v>
      </c>
      <c r="C5402" t="str">
        <f>_xlfn.XLOOKUP(B5402,
[1]sales_teams!$A$2:$A$100,
[1]sales_teams!$B$2:$B$100)</f>
        <v>Melvin Marxen</v>
      </c>
      <c r="D5402" t="str">
        <f>_xlfn.XLOOKUP($B5402,sales_teams!$A$2:$A$36,sales_teams!C$2:C$36)</f>
        <v>Central</v>
      </c>
      <c r="E5402" t="s">
        <v>15</v>
      </c>
      <c r="F5402" t="s">
        <v>27</v>
      </c>
      <c r="G5402" t="s">
        <v>46</v>
      </c>
      <c r="H5402" s="1">
        <v>42944</v>
      </c>
      <c r="I5402" s="1">
        <v>42945</v>
      </c>
      <c r="J5402">
        <v>0</v>
      </c>
    </row>
    <row r="5403" spans="1:10" x14ac:dyDescent="0.3">
      <c r="A5403" t="s">
        <v>5534</v>
      </c>
      <c r="B5403" t="s">
        <v>14</v>
      </c>
      <c r="C5403" t="str">
        <f>_xlfn.XLOOKUP(B5403,
[1]sales_teams!$A$2:$A$100,
[1]sales_teams!$B$2:$B$100)</f>
        <v>Melvin Marxen</v>
      </c>
      <c r="D5403" t="str">
        <f>_xlfn.XLOOKUP($B5403,sales_teams!$A$2:$A$36,sales_teams!C$2:C$36)</f>
        <v>Central</v>
      </c>
      <c r="E5403" t="s">
        <v>20</v>
      </c>
      <c r="F5403" t="s">
        <v>120</v>
      </c>
      <c r="G5403" t="s">
        <v>12</v>
      </c>
      <c r="H5403" s="1">
        <v>42944</v>
      </c>
      <c r="I5403" s="1">
        <v>42970</v>
      </c>
      <c r="J5403">
        <v>589</v>
      </c>
    </row>
    <row r="5404" spans="1:10" x14ac:dyDescent="0.3">
      <c r="A5404" t="s">
        <v>5535</v>
      </c>
      <c r="B5404" t="s">
        <v>14</v>
      </c>
      <c r="C5404" t="str">
        <f>_xlfn.XLOOKUP(B5404,
[1]sales_teams!$A$2:$A$100,
[1]sales_teams!$B$2:$B$100)</f>
        <v>Melvin Marxen</v>
      </c>
      <c r="D5404" t="str">
        <f>_xlfn.XLOOKUP($B5404,sales_teams!$A$2:$A$36,sales_teams!C$2:C$36)</f>
        <v>Central</v>
      </c>
      <c r="E5404" t="s">
        <v>15</v>
      </c>
      <c r="F5404" t="s">
        <v>318</v>
      </c>
      <c r="G5404" t="s">
        <v>12</v>
      </c>
      <c r="H5404" s="1">
        <v>42944</v>
      </c>
      <c r="I5404" s="1">
        <v>42946</v>
      </c>
      <c r="J5404">
        <v>4387</v>
      </c>
    </row>
    <row r="5405" spans="1:10" x14ac:dyDescent="0.3">
      <c r="A5405" t="s">
        <v>5536</v>
      </c>
      <c r="B5405" t="s">
        <v>14</v>
      </c>
      <c r="C5405" t="str">
        <f>_xlfn.XLOOKUP(B5405,
[1]sales_teams!$A$2:$A$100,
[1]sales_teams!$B$2:$B$100)</f>
        <v>Melvin Marxen</v>
      </c>
      <c r="D5405" t="str">
        <f>_xlfn.XLOOKUP($B5405,sales_teams!$A$2:$A$36,sales_teams!C$2:C$36)</f>
        <v>Central</v>
      </c>
      <c r="E5405" t="s">
        <v>15</v>
      </c>
      <c r="F5405" t="s">
        <v>492</v>
      </c>
      <c r="G5405" t="s">
        <v>12</v>
      </c>
      <c r="H5405" s="1">
        <v>42944</v>
      </c>
      <c r="I5405" s="1">
        <v>42946</v>
      </c>
      <c r="J5405">
        <v>4555</v>
      </c>
    </row>
    <row r="5406" spans="1:10" x14ac:dyDescent="0.3">
      <c r="A5406" t="s">
        <v>5537</v>
      </c>
      <c r="B5406" t="s">
        <v>142</v>
      </c>
      <c r="C5406" t="str">
        <f>_xlfn.XLOOKUP(B5406,
[1]sales_teams!$A$2:$A$100,
[1]sales_teams!$B$2:$B$100)</f>
        <v>Rocco Neubert</v>
      </c>
      <c r="D5406" t="str">
        <f>_xlfn.XLOOKUP($B5406,sales_teams!$A$2:$A$36,sales_teams!C$2:C$36)</f>
        <v>East</v>
      </c>
      <c r="E5406" t="s">
        <v>15</v>
      </c>
      <c r="F5406" t="s">
        <v>222</v>
      </c>
      <c r="G5406" t="s">
        <v>46</v>
      </c>
      <c r="H5406" s="1">
        <v>42944</v>
      </c>
      <c r="I5406" s="1">
        <v>42953</v>
      </c>
      <c r="J5406">
        <v>0</v>
      </c>
    </row>
    <row r="5407" spans="1:10" x14ac:dyDescent="0.3">
      <c r="A5407" t="s">
        <v>5538</v>
      </c>
      <c r="B5407" t="s">
        <v>67</v>
      </c>
      <c r="C5407" t="str">
        <f>_xlfn.XLOOKUP(B5407,
[1]sales_teams!$A$2:$A$100,
[1]sales_teams!$B$2:$B$100)</f>
        <v>Celia Rouche</v>
      </c>
      <c r="D5407" t="str">
        <f>_xlfn.XLOOKUP($B5407,sales_teams!$A$2:$A$36,sales_teams!C$2:C$36)</f>
        <v>West</v>
      </c>
      <c r="E5407" t="s">
        <v>20</v>
      </c>
      <c r="F5407" t="s">
        <v>100</v>
      </c>
      <c r="G5407" t="s">
        <v>12</v>
      </c>
      <c r="H5407" s="1">
        <v>42944</v>
      </c>
      <c r="I5407" s="1">
        <v>42945</v>
      </c>
      <c r="J5407">
        <v>514</v>
      </c>
    </row>
    <row r="5408" spans="1:10" x14ac:dyDescent="0.3">
      <c r="A5408" t="s">
        <v>5539</v>
      </c>
      <c r="B5408" t="s">
        <v>44</v>
      </c>
      <c r="C5408" t="str">
        <f>_xlfn.XLOOKUP(B5408,
[1]sales_teams!$A$2:$A$100,
[1]sales_teams!$B$2:$B$100)</f>
        <v>Melvin Marxen</v>
      </c>
      <c r="D5408" t="str">
        <f>_xlfn.XLOOKUP($B5408,sales_teams!$A$2:$A$36,sales_teams!C$2:C$36)</f>
        <v>Central</v>
      </c>
      <c r="E5408" t="s">
        <v>15</v>
      </c>
      <c r="F5408" t="s">
        <v>555</v>
      </c>
      <c r="G5408" t="s">
        <v>40</v>
      </c>
      <c r="H5408" s="1">
        <v>42944</v>
      </c>
    </row>
    <row r="5409" spans="1:10" x14ac:dyDescent="0.3">
      <c r="A5409" t="s">
        <v>5540</v>
      </c>
      <c r="B5409" t="s">
        <v>54</v>
      </c>
      <c r="C5409" t="str">
        <f>_xlfn.XLOOKUP(B5409,
[1]sales_teams!$A$2:$A$100,
[1]sales_teams!$B$2:$B$100)</f>
        <v>Celia Rouche</v>
      </c>
      <c r="D5409" t="str">
        <f>_xlfn.XLOOKUP($B5409,sales_teams!$A$2:$A$36,sales_teams!C$2:C$36)</f>
        <v>West</v>
      </c>
      <c r="E5409" t="s">
        <v>10</v>
      </c>
      <c r="F5409" t="s">
        <v>157</v>
      </c>
      <c r="G5409" t="s">
        <v>46</v>
      </c>
      <c r="H5409" s="1">
        <v>42944</v>
      </c>
      <c r="I5409" s="1">
        <v>42945</v>
      </c>
      <c r="J5409">
        <v>0</v>
      </c>
    </row>
    <row r="5410" spans="1:10" x14ac:dyDescent="0.3">
      <c r="A5410" t="s">
        <v>5541</v>
      </c>
      <c r="B5410" t="s">
        <v>252</v>
      </c>
      <c r="C5410" t="str">
        <f>_xlfn.XLOOKUP(B5410,
[1]sales_teams!$A$2:$A$100,
[1]sales_teams!$B$2:$B$100)</f>
        <v>Melvin Marxen</v>
      </c>
      <c r="D5410" t="str">
        <f>_xlfn.XLOOKUP($B5410,sales_teams!$A$2:$A$36,sales_teams!C$2:C$36)</f>
        <v>Central</v>
      </c>
      <c r="E5410" t="s">
        <v>20</v>
      </c>
      <c r="G5410" t="s">
        <v>40</v>
      </c>
      <c r="H5410" s="1">
        <v>42944</v>
      </c>
    </row>
    <row r="5411" spans="1:10" x14ac:dyDescent="0.3">
      <c r="A5411" t="s">
        <v>5542</v>
      </c>
      <c r="B5411" t="s">
        <v>252</v>
      </c>
      <c r="C5411" t="str">
        <f>_xlfn.XLOOKUP(B5411,
[1]sales_teams!$A$2:$A$100,
[1]sales_teams!$B$2:$B$100)</f>
        <v>Melvin Marxen</v>
      </c>
      <c r="D5411" t="str">
        <f>_xlfn.XLOOKUP($B5411,sales_teams!$A$2:$A$36,sales_teams!C$2:C$36)</f>
        <v>Central</v>
      </c>
      <c r="E5411" t="s">
        <v>15</v>
      </c>
      <c r="G5411" t="s">
        <v>40</v>
      </c>
      <c r="H5411" s="1">
        <v>42944</v>
      </c>
    </row>
    <row r="5412" spans="1:10" x14ac:dyDescent="0.3">
      <c r="A5412" t="s">
        <v>5543</v>
      </c>
      <c r="B5412" t="s">
        <v>252</v>
      </c>
      <c r="C5412" t="str">
        <f>_xlfn.XLOOKUP(B5412,
[1]sales_teams!$A$2:$A$100,
[1]sales_teams!$B$2:$B$100)</f>
        <v>Melvin Marxen</v>
      </c>
      <c r="D5412" t="str">
        <f>_xlfn.XLOOKUP($B5412,sales_teams!$A$2:$A$36,sales_teams!C$2:C$36)</f>
        <v>Central</v>
      </c>
      <c r="E5412" t="s">
        <v>15</v>
      </c>
      <c r="F5412" t="s">
        <v>11</v>
      </c>
      <c r="G5412" t="s">
        <v>12</v>
      </c>
      <c r="H5412" s="1">
        <v>42944</v>
      </c>
      <c r="I5412" s="1">
        <v>42945</v>
      </c>
      <c r="J5412">
        <v>4671</v>
      </c>
    </row>
    <row r="5413" spans="1:10" x14ac:dyDescent="0.3">
      <c r="A5413" t="s">
        <v>5544</v>
      </c>
      <c r="B5413" t="s">
        <v>78</v>
      </c>
      <c r="C5413" t="str">
        <f>_xlfn.XLOOKUP(B5413,
[1]sales_teams!$A$2:$A$100,
[1]sales_teams!$B$2:$B$100)</f>
        <v>Summer Sewald</v>
      </c>
      <c r="D5413" t="str">
        <f>_xlfn.XLOOKUP($B5413,sales_teams!$A$2:$A$36,sales_teams!C$2:C$36)</f>
        <v>West</v>
      </c>
      <c r="E5413" t="s">
        <v>18</v>
      </c>
      <c r="F5413" t="s">
        <v>86</v>
      </c>
      <c r="G5413" t="s">
        <v>46</v>
      </c>
      <c r="H5413" s="1">
        <v>42944</v>
      </c>
      <c r="I5413" s="1">
        <v>42945</v>
      </c>
      <c r="J5413">
        <v>0</v>
      </c>
    </row>
    <row r="5414" spans="1:10" x14ac:dyDescent="0.3">
      <c r="A5414" t="s">
        <v>5545</v>
      </c>
      <c r="B5414" t="s">
        <v>78</v>
      </c>
      <c r="C5414" t="str">
        <f>_xlfn.XLOOKUP(B5414,
[1]sales_teams!$A$2:$A$100,
[1]sales_teams!$B$2:$B$100)</f>
        <v>Summer Sewald</v>
      </c>
      <c r="D5414" t="str">
        <f>_xlfn.XLOOKUP($B5414,sales_teams!$A$2:$A$36,sales_teams!C$2:C$36)</f>
        <v>West</v>
      </c>
      <c r="E5414" t="s">
        <v>20</v>
      </c>
      <c r="F5414" t="s">
        <v>273</v>
      </c>
      <c r="G5414" t="s">
        <v>12</v>
      </c>
      <c r="H5414" s="1">
        <v>42944</v>
      </c>
      <c r="I5414" s="1">
        <v>43054</v>
      </c>
      <c r="J5414">
        <v>518</v>
      </c>
    </row>
    <row r="5415" spans="1:10" x14ac:dyDescent="0.3">
      <c r="A5415" t="s">
        <v>5546</v>
      </c>
      <c r="B5415" t="s">
        <v>133</v>
      </c>
      <c r="C5415" t="str">
        <f>_xlfn.XLOOKUP(B5415,
[1]sales_teams!$A$2:$A$100,
[1]sales_teams!$B$2:$B$100)</f>
        <v>Dustin Brinkmann</v>
      </c>
      <c r="D5415" t="str">
        <f>_xlfn.XLOOKUP($B5415,sales_teams!$A$2:$A$36,sales_teams!C$2:C$36)</f>
        <v>Central</v>
      </c>
      <c r="E5415" t="s">
        <v>20</v>
      </c>
      <c r="F5415" t="s">
        <v>157</v>
      </c>
      <c r="G5415" t="s">
        <v>40</v>
      </c>
      <c r="H5415" s="1">
        <v>42944</v>
      </c>
    </row>
    <row r="5416" spans="1:10" x14ac:dyDescent="0.3">
      <c r="A5416" t="s">
        <v>5547</v>
      </c>
      <c r="B5416" t="s">
        <v>133</v>
      </c>
      <c r="C5416" t="str">
        <f>_xlfn.XLOOKUP(B5416,
[1]sales_teams!$A$2:$A$100,
[1]sales_teams!$B$2:$B$100)</f>
        <v>Dustin Brinkmann</v>
      </c>
      <c r="D5416" t="str">
        <f>_xlfn.XLOOKUP($B5416,sales_teams!$A$2:$A$36,sales_teams!C$2:C$36)</f>
        <v>Central</v>
      </c>
      <c r="E5416" t="s">
        <v>20</v>
      </c>
      <c r="G5416" t="s">
        <v>40</v>
      </c>
      <c r="H5416" s="1">
        <v>42944</v>
      </c>
    </row>
    <row r="5417" spans="1:10" x14ac:dyDescent="0.3">
      <c r="A5417" t="s">
        <v>5548</v>
      </c>
      <c r="B5417" t="s">
        <v>133</v>
      </c>
      <c r="C5417" t="str">
        <f>_xlfn.XLOOKUP(B5417,
[1]sales_teams!$A$2:$A$100,
[1]sales_teams!$B$2:$B$100)</f>
        <v>Dustin Brinkmann</v>
      </c>
      <c r="D5417" t="str">
        <f>_xlfn.XLOOKUP($B5417,sales_teams!$A$2:$A$36,sales_teams!C$2:C$36)</f>
        <v>Central</v>
      </c>
      <c r="E5417" t="s">
        <v>20</v>
      </c>
      <c r="G5417" t="s">
        <v>40</v>
      </c>
      <c r="H5417" s="1">
        <v>42944</v>
      </c>
    </row>
    <row r="5418" spans="1:10" x14ac:dyDescent="0.3">
      <c r="A5418" t="s">
        <v>5549</v>
      </c>
      <c r="B5418" t="s">
        <v>133</v>
      </c>
      <c r="C5418" t="str">
        <f>_xlfn.XLOOKUP(B5418,
[1]sales_teams!$A$2:$A$100,
[1]sales_teams!$B$2:$B$100)</f>
        <v>Dustin Brinkmann</v>
      </c>
      <c r="D5418" t="str">
        <f>_xlfn.XLOOKUP($B5418,sales_teams!$A$2:$A$36,sales_teams!C$2:C$36)</f>
        <v>Central</v>
      </c>
      <c r="E5418" t="s">
        <v>18</v>
      </c>
      <c r="F5418" t="s">
        <v>174</v>
      </c>
      <c r="G5418" t="s">
        <v>40</v>
      </c>
      <c r="H5418" s="1">
        <v>42944</v>
      </c>
    </row>
    <row r="5419" spans="1:10" x14ac:dyDescent="0.3">
      <c r="A5419" t="s">
        <v>5550</v>
      </c>
      <c r="B5419" t="s">
        <v>116</v>
      </c>
      <c r="C5419" t="str">
        <f>_xlfn.XLOOKUP(B5419,
[1]sales_teams!$A$2:$A$100,
[1]sales_teams!$B$2:$B$100)</f>
        <v>Melvin Marxen</v>
      </c>
      <c r="D5419" t="str">
        <f>_xlfn.XLOOKUP($B5419,sales_teams!$A$2:$A$36,sales_teams!C$2:C$36)</f>
        <v>Central</v>
      </c>
      <c r="E5419" t="s">
        <v>20</v>
      </c>
      <c r="G5419" t="s">
        <v>40</v>
      </c>
      <c r="H5419" s="1">
        <v>42944</v>
      </c>
    </row>
    <row r="5420" spans="1:10" x14ac:dyDescent="0.3">
      <c r="A5420" t="s">
        <v>5551</v>
      </c>
      <c r="B5420" t="s">
        <v>116</v>
      </c>
      <c r="C5420" t="str">
        <f>_xlfn.XLOOKUP(B5420,
[1]sales_teams!$A$2:$A$100,
[1]sales_teams!$B$2:$B$100)</f>
        <v>Melvin Marxen</v>
      </c>
      <c r="D5420" t="str">
        <f>_xlfn.XLOOKUP($B5420,sales_teams!$A$2:$A$36,sales_teams!C$2:C$36)</f>
        <v>Central</v>
      </c>
      <c r="E5420" t="s">
        <v>10</v>
      </c>
      <c r="G5420" t="s">
        <v>40</v>
      </c>
      <c r="H5420" s="1">
        <v>42944</v>
      </c>
    </row>
    <row r="5421" spans="1:10" x14ac:dyDescent="0.3">
      <c r="A5421" t="s">
        <v>5552</v>
      </c>
      <c r="B5421" t="s">
        <v>116</v>
      </c>
      <c r="C5421" t="str">
        <f>_xlfn.XLOOKUP(B5421,
[1]sales_teams!$A$2:$A$100,
[1]sales_teams!$B$2:$B$100)</f>
        <v>Melvin Marxen</v>
      </c>
      <c r="D5421" t="str">
        <f>_xlfn.XLOOKUP($B5421,sales_teams!$A$2:$A$36,sales_teams!C$2:C$36)</f>
        <v>Central</v>
      </c>
      <c r="E5421" t="s">
        <v>15</v>
      </c>
      <c r="F5421" t="s">
        <v>11</v>
      </c>
      <c r="G5421" t="s">
        <v>12</v>
      </c>
      <c r="H5421" s="1">
        <v>42944</v>
      </c>
      <c r="I5421" s="1">
        <v>42945</v>
      </c>
      <c r="J5421">
        <v>4172</v>
      </c>
    </row>
    <row r="5422" spans="1:10" x14ac:dyDescent="0.3">
      <c r="A5422" t="s">
        <v>5553</v>
      </c>
      <c r="B5422" t="s">
        <v>9</v>
      </c>
      <c r="C5422" t="str">
        <f>_xlfn.XLOOKUP(B5422,
[1]sales_teams!$A$2:$A$100,
[1]sales_teams!$B$2:$B$100)</f>
        <v>Dustin Brinkmann</v>
      </c>
      <c r="D5422" t="str">
        <f>_xlfn.XLOOKUP($B5422,sales_teams!$A$2:$A$36,sales_teams!C$2:C$36)</f>
        <v>Central</v>
      </c>
      <c r="E5422" t="s">
        <v>18</v>
      </c>
      <c r="G5422" t="s">
        <v>40</v>
      </c>
      <c r="H5422" s="1">
        <v>42944</v>
      </c>
    </row>
    <row r="5423" spans="1:10" x14ac:dyDescent="0.3">
      <c r="A5423" t="s">
        <v>5554</v>
      </c>
      <c r="B5423" t="s">
        <v>9</v>
      </c>
      <c r="C5423" t="str">
        <f>_xlfn.XLOOKUP(B5423,
[1]sales_teams!$A$2:$A$100,
[1]sales_teams!$B$2:$B$100)</f>
        <v>Dustin Brinkmann</v>
      </c>
      <c r="D5423" t="str">
        <f>_xlfn.XLOOKUP($B5423,sales_teams!$A$2:$A$36,sales_teams!C$2:C$36)</f>
        <v>Central</v>
      </c>
      <c r="E5423" t="s">
        <v>48</v>
      </c>
      <c r="F5423" t="s">
        <v>91</v>
      </c>
      <c r="G5423" t="s">
        <v>46</v>
      </c>
      <c r="H5423" s="1">
        <v>42944</v>
      </c>
      <c r="I5423" s="1">
        <v>42957</v>
      </c>
      <c r="J5423">
        <v>0</v>
      </c>
    </row>
    <row r="5424" spans="1:10" x14ac:dyDescent="0.3">
      <c r="A5424" t="s">
        <v>5555</v>
      </c>
      <c r="B5424" t="s">
        <v>35</v>
      </c>
      <c r="C5424" t="str">
        <f>_xlfn.XLOOKUP(B5424,
[1]sales_teams!$A$2:$A$100,
[1]sales_teams!$B$2:$B$100)</f>
        <v>Melvin Marxen</v>
      </c>
      <c r="D5424" t="str">
        <f>_xlfn.XLOOKUP($B5424,sales_teams!$A$2:$A$36,sales_teams!C$2:C$36)</f>
        <v>Central</v>
      </c>
      <c r="E5424" t="s">
        <v>39</v>
      </c>
      <c r="F5424" t="s">
        <v>62</v>
      </c>
      <c r="G5424" t="s">
        <v>40</v>
      </c>
      <c r="H5424" s="1">
        <v>42944</v>
      </c>
    </row>
    <row r="5425" spans="1:10" x14ac:dyDescent="0.3">
      <c r="A5425" t="s">
        <v>5556</v>
      </c>
      <c r="B5425" t="s">
        <v>97</v>
      </c>
      <c r="C5425" t="str">
        <f>_xlfn.XLOOKUP(B5425,
[1]sales_teams!$A$2:$A$100,
[1]sales_teams!$B$2:$B$100)</f>
        <v>Rocco Neubert</v>
      </c>
      <c r="D5425" t="str">
        <f>_xlfn.XLOOKUP($B5425,sales_teams!$A$2:$A$36,sales_teams!C$2:C$36)</f>
        <v>East</v>
      </c>
      <c r="E5425" t="s">
        <v>18</v>
      </c>
      <c r="F5425" t="s">
        <v>222</v>
      </c>
      <c r="G5425" t="s">
        <v>12</v>
      </c>
      <c r="H5425" s="1">
        <v>42944</v>
      </c>
      <c r="I5425" s="1">
        <v>42957</v>
      </c>
      <c r="J5425">
        <v>53</v>
      </c>
    </row>
    <row r="5426" spans="1:10" x14ac:dyDescent="0.3">
      <c r="A5426" t="s">
        <v>5557</v>
      </c>
      <c r="B5426" t="s">
        <v>57</v>
      </c>
      <c r="C5426" t="str">
        <f>_xlfn.XLOOKUP(B5426,
[1]sales_teams!$A$2:$A$100,
[1]sales_teams!$B$2:$B$100)</f>
        <v>Celia Rouche</v>
      </c>
      <c r="D5426" t="str">
        <f>_xlfn.XLOOKUP($B5426,sales_teams!$A$2:$A$36,sales_teams!C$2:C$36)</f>
        <v>West</v>
      </c>
      <c r="E5426" t="s">
        <v>20</v>
      </c>
      <c r="G5426" t="s">
        <v>40</v>
      </c>
      <c r="H5426" s="1">
        <v>42944</v>
      </c>
    </row>
    <row r="5427" spans="1:10" x14ac:dyDescent="0.3">
      <c r="A5427" t="s">
        <v>5558</v>
      </c>
      <c r="B5427" t="s">
        <v>88</v>
      </c>
      <c r="C5427" t="str">
        <f>_xlfn.XLOOKUP(B5427,
[1]sales_teams!$A$2:$A$100,
[1]sales_teams!$B$2:$B$100)</f>
        <v>Cara Losch</v>
      </c>
      <c r="D5427" t="str">
        <f>_xlfn.XLOOKUP($B5427,sales_teams!$A$2:$A$36,sales_teams!C$2:C$36)</f>
        <v>East</v>
      </c>
      <c r="E5427" t="s">
        <v>39</v>
      </c>
      <c r="F5427" t="s">
        <v>237</v>
      </c>
      <c r="G5427" t="s">
        <v>46</v>
      </c>
      <c r="H5427" s="1">
        <v>42944</v>
      </c>
      <c r="I5427" s="1">
        <v>43066</v>
      </c>
      <c r="J5427">
        <v>0</v>
      </c>
    </row>
    <row r="5428" spans="1:10" x14ac:dyDescent="0.3">
      <c r="A5428" t="s">
        <v>5559</v>
      </c>
      <c r="B5428" t="s">
        <v>61</v>
      </c>
      <c r="C5428" t="str">
        <f>_xlfn.XLOOKUP(B5428,
[1]sales_teams!$A$2:$A$100,
[1]sales_teams!$B$2:$B$100)</f>
        <v>Dustin Brinkmann</v>
      </c>
      <c r="D5428" t="str">
        <f>_xlfn.XLOOKUP($B5428,sales_teams!$A$2:$A$36,sales_teams!C$2:C$36)</f>
        <v>Central</v>
      </c>
      <c r="E5428" t="s">
        <v>20</v>
      </c>
      <c r="F5428" t="s">
        <v>155</v>
      </c>
      <c r="G5428" t="s">
        <v>40</v>
      </c>
      <c r="H5428" s="1">
        <v>42944</v>
      </c>
    </row>
    <row r="5429" spans="1:10" x14ac:dyDescent="0.3">
      <c r="A5429" t="s">
        <v>5560</v>
      </c>
      <c r="B5429" t="s">
        <v>61</v>
      </c>
      <c r="C5429" t="str">
        <f>_xlfn.XLOOKUP(B5429,
[1]sales_teams!$A$2:$A$100,
[1]sales_teams!$B$2:$B$100)</f>
        <v>Dustin Brinkmann</v>
      </c>
      <c r="D5429" t="str">
        <f>_xlfn.XLOOKUP($B5429,sales_teams!$A$2:$A$36,sales_teams!C$2:C$36)</f>
        <v>Central</v>
      </c>
      <c r="E5429" t="s">
        <v>18</v>
      </c>
      <c r="F5429" t="s">
        <v>42</v>
      </c>
      <c r="G5429" t="s">
        <v>12</v>
      </c>
      <c r="H5429" s="1">
        <v>42944</v>
      </c>
      <c r="I5429" s="1">
        <v>42966</v>
      </c>
      <c r="J5429">
        <v>53</v>
      </c>
    </row>
    <row r="5430" spans="1:10" x14ac:dyDescent="0.3">
      <c r="A5430" t="s">
        <v>5561</v>
      </c>
      <c r="B5430" t="s">
        <v>61</v>
      </c>
      <c r="C5430" t="str">
        <f>_xlfn.XLOOKUP(B5430,
[1]sales_teams!$A$2:$A$100,
[1]sales_teams!$B$2:$B$100)</f>
        <v>Dustin Brinkmann</v>
      </c>
      <c r="D5430" t="str">
        <f>_xlfn.XLOOKUP($B5430,sales_teams!$A$2:$A$36,sales_teams!C$2:C$36)</f>
        <v>Central</v>
      </c>
      <c r="E5430" t="s">
        <v>18</v>
      </c>
      <c r="F5430" t="s">
        <v>218</v>
      </c>
      <c r="G5430" t="s">
        <v>12</v>
      </c>
      <c r="H5430" s="1">
        <v>42944</v>
      </c>
      <c r="I5430" s="1">
        <v>42950</v>
      </c>
      <c r="J5430">
        <v>60</v>
      </c>
    </row>
    <row r="5431" spans="1:10" x14ac:dyDescent="0.3">
      <c r="A5431" t="s">
        <v>5562</v>
      </c>
      <c r="B5431" t="s">
        <v>61</v>
      </c>
      <c r="C5431" t="str">
        <f>_xlfn.XLOOKUP(B5431,
[1]sales_teams!$A$2:$A$100,
[1]sales_teams!$B$2:$B$100)</f>
        <v>Dustin Brinkmann</v>
      </c>
      <c r="D5431" t="str">
        <f>_xlfn.XLOOKUP($B5431,sales_teams!$A$2:$A$36,sales_teams!C$2:C$36)</f>
        <v>Central</v>
      </c>
      <c r="E5431" t="s">
        <v>18</v>
      </c>
      <c r="F5431" t="s">
        <v>318</v>
      </c>
      <c r="G5431" t="s">
        <v>12</v>
      </c>
      <c r="H5431" s="1">
        <v>42944</v>
      </c>
      <c r="I5431" s="1">
        <v>43040</v>
      </c>
      <c r="J5431">
        <v>53</v>
      </c>
    </row>
    <row r="5432" spans="1:10" x14ac:dyDescent="0.3">
      <c r="A5432" t="s">
        <v>5563</v>
      </c>
      <c r="B5432" t="s">
        <v>73</v>
      </c>
      <c r="C5432" t="str">
        <f>_xlfn.XLOOKUP(B5432,
[1]sales_teams!$A$2:$A$100,
[1]sales_teams!$B$2:$B$100)</f>
        <v>Cara Losch</v>
      </c>
      <c r="D5432" t="str">
        <f>_xlfn.XLOOKUP($B5432,sales_teams!$A$2:$A$36,sales_teams!C$2:C$36)</f>
        <v>East</v>
      </c>
      <c r="E5432" t="s">
        <v>15</v>
      </c>
      <c r="F5432" t="s">
        <v>98</v>
      </c>
      <c r="G5432" t="s">
        <v>46</v>
      </c>
      <c r="H5432" s="1">
        <v>42944</v>
      </c>
      <c r="I5432" s="1">
        <v>42945</v>
      </c>
      <c r="J5432">
        <v>0</v>
      </c>
    </row>
    <row r="5433" spans="1:10" x14ac:dyDescent="0.3">
      <c r="A5433" t="s">
        <v>5564</v>
      </c>
      <c r="B5433" t="s">
        <v>102</v>
      </c>
      <c r="C5433" t="str">
        <f>_xlfn.XLOOKUP(B5433,
[1]sales_teams!$A$2:$A$100,
[1]sales_teams!$B$2:$B$100)</f>
        <v>Cara Losch</v>
      </c>
      <c r="D5433" t="str">
        <f>_xlfn.XLOOKUP($B5433,sales_teams!$A$2:$A$36,sales_teams!C$2:C$36)</f>
        <v>East</v>
      </c>
      <c r="E5433" t="s">
        <v>18</v>
      </c>
      <c r="F5433" t="s">
        <v>300</v>
      </c>
      <c r="G5433" t="s">
        <v>46</v>
      </c>
      <c r="H5433" s="1">
        <v>42944</v>
      </c>
      <c r="I5433" s="1">
        <v>43071</v>
      </c>
      <c r="J5433">
        <v>0</v>
      </c>
    </row>
    <row r="5434" spans="1:10" x14ac:dyDescent="0.3">
      <c r="A5434" t="s">
        <v>5565</v>
      </c>
      <c r="B5434" t="s">
        <v>23</v>
      </c>
      <c r="C5434" t="str">
        <f>_xlfn.XLOOKUP(B5434,
[1]sales_teams!$A$2:$A$100,
[1]sales_teams!$B$2:$B$100)</f>
        <v>Summer Sewald</v>
      </c>
      <c r="D5434" t="str">
        <f>_xlfn.XLOOKUP($B5434,sales_teams!$A$2:$A$36,sales_teams!C$2:C$36)</f>
        <v>West</v>
      </c>
      <c r="E5434" t="s">
        <v>20</v>
      </c>
      <c r="F5434" t="s">
        <v>100</v>
      </c>
      <c r="G5434" t="s">
        <v>46</v>
      </c>
      <c r="H5434" s="1">
        <v>42944</v>
      </c>
      <c r="I5434" s="1">
        <v>42946</v>
      </c>
      <c r="J5434">
        <v>0</v>
      </c>
    </row>
    <row r="5435" spans="1:10" x14ac:dyDescent="0.3">
      <c r="A5435" t="s">
        <v>5566</v>
      </c>
      <c r="B5435" t="s">
        <v>26</v>
      </c>
      <c r="C5435" t="str">
        <f>_xlfn.XLOOKUP(B5435,
[1]sales_teams!$A$2:$A$100,
[1]sales_teams!$B$2:$B$100)</f>
        <v>Dustin Brinkmann</v>
      </c>
      <c r="D5435" t="str">
        <f>_xlfn.XLOOKUP($B5435,sales_teams!$A$2:$A$36,sales_teams!C$2:C$36)</f>
        <v>Central</v>
      </c>
      <c r="E5435" t="s">
        <v>48</v>
      </c>
      <c r="G5435" t="s">
        <v>40</v>
      </c>
      <c r="H5435" s="1">
        <v>42945</v>
      </c>
    </row>
    <row r="5436" spans="1:10" x14ac:dyDescent="0.3">
      <c r="A5436" t="s">
        <v>5567</v>
      </c>
      <c r="B5436" t="s">
        <v>26</v>
      </c>
      <c r="C5436" t="str">
        <f>_xlfn.XLOOKUP(B5436,
[1]sales_teams!$A$2:$A$100,
[1]sales_teams!$B$2:$B$100)</f>
        <v>Dustin Brinkmann</v>
      </c>
      <c r="D5436" t="str">
        <f>_xlfn.XLOOKUP($B5436,sales_teams!$A$2:$A$36,sales_teams!C$2:C$36)</f>
        <v>Central</v>
      </c>
      <c r="E5436" t="s">
        <v>39</v>
      </c>
      <c r="G5436" t="s">
        <v>40</v>
      </c>
      <c r="H5436" s="1">
        <v>42945</v>
      </c>
    </row>
    <row r="5437" spans="1:10" x14ac:dyDescent="0.3">
      <c r="A5437" t="s">
        <v>5568</v>
      </c>
      <c r="B5437" t="s">
        <v>26</v>
      </c>
      <c r="C5437" t="str">
        <f>_xlfn.XLOOKUP(B5437,
[1]sales_teams!$A$2:$A$100,
[1]sales_teams!$B$2:$B$100)</f>
        <v>Dustin Brinkmann</v>
      </c>
      <c r="D5437" t="str">
        <f>_xlfn.XLOOKUP($B5437,sales_teams!$A$2:$A$36,sales_teams!C$2:C$36)</f>
        <v>Central</v>
      </c>
      <c r="E5437" t="s">
        <v>48</v>
      </c>
      <c r="F5437" t="s">
        <v>16</v>
      </c>
      <c r="G5437" t="s">
        <v>12</v>
      </c>
      <c r="H5437" s="1">
        <v>42945</v>
      </c>
      <c r="I5437" s="1">
        <v>42952</v>
      </c>
      <c r="J5437">
        <v>4603</v>
      </c>
    </row>
    <row r="5438" spans="1:10" x14ac:dyDescent="0.3">
      <c r="A5438" t="s">
        <v>5569</v>
      </c>
      <c r="B5438" t="s">
        <v>202</v>
      </c>
      <c r="C5438" t="str">
        <f>_xlfn.XLOOKUP(B5438,
[1]sales_teams!$A$2:$A$100,
[1]sales_teams!$B$2:$B$100)</f>
        <v>Dustin Brinkmann</v>
      </c>
      <c r="D5438" t="str">
        <f>_xlfn.XLOOKUP($B5438,sales_teams!$A$2:$A$36,sales_teams!C$2:C$36)</f>
        <v>Central</v>
      </c>
      <c r="E5438" t="s">
        <v>18</v>
      </c>
      <c r="G5438" t="s">
        <v>40</v>
      </c>
      <c r="H5438" s="1">
        <v>42945</v>
      </c>
    </row>
    <row r="5439" spans="1:10" x14ac:dyDescent="0.3">
      <c r="A5439" t="s">
        <v>5570</v>
      </c>
      <c r="B5439" t="s">
        <v>202</v>
      </c>
      <c r="C5439" t="str">
        <f>_xlfn.XLOOKUP(B5439,
[1]sales_teams!$A$2:$A$100,
[1]sales_teams!$B$2:$B$100)</f>
        <v>Dustin Brinkmann</v>
      </c>
      <c r="D5439" t="str">
        <f>_xlfn.XLOOKUP($B5439,sales_teams!$A$2:$A$36,sales_teams!C$2:C$36)</f>
        <v>Central</v>
      </c>
      <c r="E5439" t="s">
        <v>20</v>
      </c>
      <c r="F5439" t="s">
        <v>129</v>
      </c>
      <c r="G5439" t="s">
        <v>12</v>
      </c>
      <c r="H5439" s="1">
        <v>42945</v>
      </c>
      <c r="I5439" s="1">
        <v>42983</v>
      </c>
      <c r="J5439">
        <v>610</v>
      </c>
    </row>
    <row r="5440" spans="1:10" x14ac:dyDescent="0.3">
      <c r="A5440" t="s">
        <v>5571</v>
      </c>
      <c r="B5440" t="s">
        <v>164</v>
      </c>
      <c r="C5440" t="str">
        <f>_xlfn.XLOOKUP(B5440,
[1]sales_teams!$A$2:$A$100,
[1]sales_teams!$B$2:$B$100)</f>
        <v>Cara Losch</v>
      </c>
      <c r="D5440" t="str">
        <f>_xlfn.XLOOKUP($B5440,sales_teams!$A$2:$A$36,sales_teams!C$2:C$36)</f>
        <v>East</v>
      </c>
      <c r="E5440" t="s">
        <v>39</v>
      </c>
      <c r="G5440" t="s">
        <v>40</v>
      </c>
      <c r="H5440" s="1">
        <v>42945</v>
      </c>
    </row>
    <row r="5441" spans="1:10" x14ac:dyDescent="0.3">
      <c r="A5441" t="s">
        <v>5572</v>
      </c>
      <c r="B5441" t="s">
        <v>64</v>
      </c>
      <c r="C5441" t="str">
        <f>_xlfn.XLOOKUP(B5441,
[1]sales_teams!$A$2:$A$100,
[1]sales_teams!$B$2:$B$100)</f>
        <v>Rocco Neubert</v>
      </c>
      <c r="D5441" t="str">
        <f>_xlfn.XLOOKUP($B5441,sales_teams!$A$2:$A$36,sales_teams!C$2:C$36)</f>
        <v>East</v>
      </c>
      <c r="E5441" t="s">
        <v>10</v>
      </c>
      <c r="F5441" t="s">
        <v>199</v>
      </c>
      <c r="G5441" t="s">
        <v>12</v>
      </c>
      <c r="H5441" s="1">
        <v>42945</v>
      </c>
      <c r="I5441" s="1">
        <v>42953</v>
      </c>
      <c r="J5441">
        <v>1189</v>
      </c>
    </row>
    <row r="5442" spans="1:10" x14ac:dyDescent="0.3">
      <c r="A5442" t="s">
        <v>5573</v>
      </c>
      <c r="B5442" t="s">
        <v>14</v>
      </c>
      <c r="C5442" t="str">
        <f>_xlfn.XLOOKUP(B5442,
[1]sales_teams!$A$2:$A$100,
[1]sales_teams!$B$2:$B$100)</f>
        <v>Melvin Marxen</v>
      </c>
      <c r="D5442" t="str">
        <f>_xlfn.XLOOKUP($B5442,sales_teams!$A$2:$A$36,sales_teams!C$2:C$36)</f>
        <v>Central</v>
      </c>
      <c r="E5442" t="s">
        <v>20</v>
      </c>
      <c r="F5442" t="s">
        <v>21</v>
      </c>
      <c r="G5442" t="s">
        <v>40</v>
      </c>
      <c r="H5442" s="1">
        <v>42945</v>
      </c>
    </row>
    <row r="5443" spans="1:10" x14ac:dyDescent="0.3">
      <c r="A5443" t="s">
        <v>5574</v>
      </c>
      <c r="B5443" t="s">
        <v>14</v>
      </c>
      <c r="C5443" t="str">
        <f>_xlfn.XLOOKUP(B5443,
[1]sales_teams!$A$2:$A$100,
[1]sales_teams!$B$2:$B$100)</f>
        <v>Melvin Marxen</v>
      </c>
      <c r="D5443" t="str">
        <f>_xlfn.XLOOKUP($B5443,sales_teams!$A$2:$A$36,sales_teams!C$2:C$36)</f>
        <v>Central</v>
      </c>
      <c r="E5443" t="s">
        <v>10</v>
      </c>
      <c r="G5443" t="s">
        <v>40</v>
      </c>
      <c r="H5443" s="1">
        <v>42945</v>
      </c>
    </row>
    <row r="5444" spans="1:10" x14ac:dyDescent="0.3">
      <c r="A5444" t="s">
        <v>5575</v>
      </c>
      <c r="B5444" t="s">
        <v>14</v>
      </c>
      <c r="C5444" t="str">
        <f>_xlfn.XLOOKUP(B5444,
[1]sales_teams!$A$2:$A$100,
[1]sales_teams!$B$2:$B$100)</f>
        <v>Melvin Marxen</v>
      </c>
      <c r="D5444" t="str">
        <f>_xlfn.XLOOKUP($B5444,sales_teams!$A$2:$A$36,sales_teams!C$2:C$36)</f>
        <v>Central</v>
      </c>
      <c r="E5444" t="s">
        <v>15</v>
      </c>
      <c r="F5444" t="s">
        <v>103</v>
      </c>
      <c r="G5444" t="s">
        <v>40</v>
      </c>
      <c r="H5444" s="1">
        <v>42945</v>
      </c>
    </row>
    <row r="5445" spans="1:10" x14ac:dyDescent="0.3">
      <c r="A5445" t="s">
        <v>5576</v>
      </c>
      <c r="B5445" t="s">
        <v>14</v>
      </c>
      <c r="C5445" t="str">
        <f>_xlfn.XLOOKUP(B5445,
[1]sales_teams!$A$2:$A$100,
[1]sales_teams!$B$2:$B$100)</f>
        <v>Melvin Marxen</v>
      </c>
      <c r="D5445" t="str">
        <f>_xlfn.XLOOKUP($B5445,sales_teams!$A$2:$A$36,sales_teams!C$2:C$36)</f>
        <v>Central</v>
      </c>
      <c r="E5445" t="s">
        <v>15</v>
      </c>
      <c r="G5445" t="s">
        <v>40</v>
      </c>
      <c r="H5445" s="1">
        <v>42945</v>
      </c>
    </row>
    <row r="5446" spans="1:10" x14ac:dyDescent="0.3">
      <c r="A5446" t="s">
        <v>5577</v>
      </c>
      <c r="B5446" t="s">
        <v>14</v>
      </c>
      <c r="C5446" t="str">
        <f>_xlfn.XLOOKUP(B5446,
[1]sales_teams!$A$2:$A$100,
[1]sales_teams!$B$2:$B$100)</f>
        <v>Melvin Marxen</v>
      </c>
      <c r="D5446" t="str">
        <f>_xlfn.XLOOKUP($B5446,sales_teams!$A$2:$A$36,sales_teams!C$2:C$36)</f>
        <v>Central</v>
      </c>
      <c r="E5446" t="s">
        <v>15</v>
      </c>
      <c r="G5446" t="s">
        <v>40</v>
      </c>
      <c r="H5446" s="1">
        <v>42945</v>
      </c>
    </row>
    <row r="5447" spans="1:10" x14ac:dyDescent="0.3">
      <c r="A5447" t="s">
        <v>5578</v>
      </c>
      <c r="B5447" t="s">
        <v>14</v>
      </c>
      <c r="C5447" t="str">
        <f>_xlfn.XLOOKUP(B5447,
[1]sales_teams!$A$2:$A$100,
[1]sales_teams!$B$2:$B$100)</f>
        <v>Melvin Marxen</v>
      </c>
      <c r="D5447" t="str">
        <f>_xlfn.XLOOKUP($B5447,sales_teams!$A$2:$A$36,sales_teams!C$2:C$36)</f>
        <v>Central</v>
      </c>
      <c r="E5447" t="s">
        <v>18</v>
      </c>
      <c r="F5447" t="s">
        <v>273</v>
      </c>
      <c r="G5447" t="s">
        <v>40</v>
      </c>
      <c r="H5447" s="1">
        <v>42945</v>
      </c>
    </row>
    <row r="5448" spans="1:10" x14ac:dyDescent="0.3">
      <c r="A5448" t="s">
        <v>5579</v>
      </c>
      <c r="B5448" t="s">
        <v>142</v>
      </c>
      <c r="C5448" t="str">
        <f>_xlfn.XLOOKUP(B5448,
[1]sales_teams!$A$2:$A$100,
[1]sales_teams!$B$2:$B$100)</f>
        <v>Rocco Neubert</v>
      </c>
      <c r="D5448" t="str">
        <f>_xlfn.XLOOKUP($B5448,sales_teams!$A$2:$A$36,sales_teams!C$2:C$36)</f>
        <v>East</v>
      </c>
      <c r="E5448" t="s">
        <v>15</v>
      </c>
      <c r="F5448" t="s">
        <v>222</v>
      </c>
      <c r="G5448" t="s">
        <v>46</v>
      </c>
      <c r="H5448" s="1">
        <v>42945</v>
      </c>
      <c r="I5448" s="1">
        <v>42946</v>
      </c>
      <c r="J5448">
        <v>0</v>
      </c>
    </row>
    <row r="5449" spans="1:10" x14ac:dyDescent="0.3">
      <c r="A5449" t="s">
        <v>5580</v>
      </c>
      <c r="B5449" t="s">
        <v>142</v>
      </c>
      <c r="C5449" t="str">
        <f>_xlfn.XLOOKUP(B5449,
[1]sales_teams!$A$2:$A$100,
[1]sales_teams!$B$2:$B$100)</f>
        <v>Rocco Neubert</v>
      </c>
      <c r="D5449" t="str">
        <f>_xlfn.XLOOKUP($B5449,sales_teams!$A$2:$A$36,sales_teams!C$2:C$36)</f>
        <v>East</v>
      </c>
      <c r="E5449" t="s">
        <v>48</v>
      </c>
      <c r="F5449" t="s">
        <v>329</v>
      </c>
      <c r="G5449" t="s">
        <v>12</v>
      </c>
      <c r="H5449" s="1">
        <v>42945</v>
      </c>
      <c r="I5449" s="1">
        <v>42947</v>
      </c>
      <c r="J5449">
        <v>5480</v>
      </c>
    </row>
    <row r="5450" spans="1:10" x14ac:dyDescent="0.3">
      <c r="A5450" t="s">
        <v>5581</v>
      </c>
      <c r="B5450" t="s">
        <v>67</v>
      </c>
      <c r="C5450" t="str">
        <f>_xlfn.XLOOKUP(B5450,
[1]sales_teams!$A$2:$A$100,
[1]sales_teams!$B$2:$B$100)</f>
        <v>Celia Rouche</v>
      </c>
      <c r="D5450" t="str">
        <f>_xlfn.XLOOKUP($B5450,sales_teams!$A$2:$A$36,sales_teams!C$2:C$36)</f>
        <v>West</v>
      </c>
      <c r="E5450" t="s">
        <v>18</v>
      </c>
      <c r="F5450" t="s">
        <v>52</v>
      </c>
      <c r="G5450" t="s">
        <v>12</v>
      </c>
      <c r="H5450" s="1">
        <v>42945</v>
      </c>
      <c r="I5450" s="1">
        <v>43041</v>
      </c>
      <c r="J5450">
        <v>56</v>
      </c>
    </row>
    <row r="5451" spans="1:10" x14ac:dyDescent="0.3">
      <c r="A5451" t="s">
        <v>5582</v>
      </c>
      <c r="B5451" t="s">
        <v>105</v>
      </c>
      <c r="C5451" t="str">
        <f>_xlfn.XLOOKUP(B5451,
[1]sales_teams!$A$2:$A$100,
[1]sales_teams!$B$2:$B$100)</f>
        <v>Cara Losch</v>
      </c>
      <c r="D5451" t="str">
        <f>_xlfn.XLOOKUP($B5451,sales_teams!$A$2:$A$36,sales_teams!C$2:C$36)</f>
        <v>East</v>
      </c>
      <c r="E5451" t="s">
        <v>10</v>
      </c>
      <c r="F5451" t="s">
        <v>177</v>
      </c>
      <c r="G5451" t="s">
        <v>46</v>
      </c>
      <c r="H5451" s="1">
        <v>42945</v>
      </c>
      <c r="I5451" s="1">
        <v>42949</v>
      </c>
      <c r="J5451">
        <v>0</v>
      </c>
    </row>
    <row r="5452" spans="1:10" x14ac:dyDescent="0.3">
      <c r="A5452" t="s">
        <v>5583</v>
      </c>
      <c r="B5452" t="s">
        <v>105</v>
      </c>
      <c r="C5452" t="str">
        <f>_xlfn.XLOOKUP(B5452,
[1]sales_teams!$A$2:$A$100,
[1]sales_teams!$B$2:$B$100)</f>
        <v>Cara Losch</v>
      </c>
      <c r="D5452" t="str">
        <f>_xlfn.XLOOKUP($B5452,sales_teams!$A$2:$A$36,sales_teams!C$2:C$36)</f>
        <v>East</v>
      </c>
      <c r="E5452" t="s">
        <v>10</v>
      </c>
      <c r="F5452" t="s">
        <v>89</v>
      </c>
      <c r="G5452" t="s">
        <v>12</v>
      </c>
      <c r="H5452" s="1">
        <v>42945</v>
      </c>
      <c r="I5452" s="1">
        <v>42994</v>
      </c>
      <c r="J5452">
        <v>983</v>
      </c>
    </row>
    <row r="5453" spans="1:10" x14ac:dyDescent="0.3">
      <c r="A5453" t="s">
        <v>5584</v>
      </c>
      <c r="B5453" t="s">
        <v>105</v>
      </c>
      <c r="C5453" t="str">
        <f>_xlfn.XLOOKUP(B5453,
[1]sales_teams!$A$2:$A$100,
[1]sales_teams!$B$2:$B$100)</f>
        <v>Cara Losch</v>
      </c>
      <c r="D5453" t="str">
        <f>_xlfn.XLOOKUP($B5453,sales_teams!$A$2:$A$36,sales_teams!C$2:C$36)</f>
        <v>East</v>
      </c>
      <c r="E5453" t="s">
        <v>15</v>
      </c>
      <c r="F5453" t="s">
        <v>222</v>
      </c>
      <c r="G5453" t="s">
        <v>12</v>
      </c>
      <c r="H5453" s="1">
        <v>42945</v>
      </c>
      <c r="I5453" s="1">
        <v>42963</v>
      </c>
      <c r="J5453">
        <v>5319</v>
      </c>
    </row>
    <row r="5454" spans="1:10" x14ac:dyDescent="0.3">
      <c r="A5454" t="s">
        <v>5585</v>
      </c>
      <c r="B5454" t="s">
        <v>44</v>
      </c>
      <c r="C5454" t="str">
        <f>_xlfn.XLOOKUP(B5454,
[1]sales_teams!$A$2:$A$100,
[1]sales_teams!$B$2:$B$100)</f>
        <v>Melvin Marxen</v>
      </c>
      <c r="D5454" t="str">
        <f>_xlfn.XLOOKUP($B5454,sales_teams!$A$2:$A$36,sales_teams!C$2:C$36)</f>
        <v>Central</v>
      </c>
      <c r="E5454" t="s">
        <v>18</v>
      </c>
      <c r="G5454" t="s">
        <v>40</v>
      </c>
      <c r="H5454" s="1">
        <v>42945</v>
      </c>
    </row>
    <row r="5455" spans="1:10" x14ac:dyDescent="0.3">
      <c r="A5455" t="s">
        <v>5586</v>
      </c>
      <c r="B5455" t="s">
        <v>38</v>
      </c>
      <c r="C5455" t="str">
        <f>_xlfn.XLOOKUP(B5455,
[1]sales_teams!$A$2:$A$100,
[1]sales_teams!$B$2:$B$100)</f>
        <v>Summer Sewald</v>
      </c>
      <c r="D5455" t="str">
        <f>_xlfn.XLOOKUP($B5455,sales_teams!$A$2:$A$36,sales_teams!C$2:C$36)</f>
        <v>West</v>
      </c>
      <c r="E5455" t="s">
        <v>15</v>
      </c>
      <c r="F5455" t="s">
        <v>199</v>
      </c>
      <c r="G5455" t="s">
        <v>12</v>
      </c>
      <c r="H5455" s="1">
        <v>42945</v>
      </c>
      <c r="I5455" s="1">
        <v>42955</v>
      </c>
      <c r="J5455">
        <v>4941</v>
      </c>
    </row>
    <row r="5456" spans="1:10" x14ac:dyDescent="0.3">
      <c r="A5456" t="s">
        <v>5587</v>
      </c>
      <c r="B5456" t="s">
        <v>38</v>
      </c>
      <c r="C5456" t="str">
        <f>_xlfn.XLOOKUP(B5456,
[1]sales_teams!$A$2:$A$100,
[1]sales_teams!$B$2:$B$100)</f>
        <v>Summer Sewald</v>
      </c>
      <c r="D5456" t="str">
        <f>_xlfn.XLOOKUP($B5456,sales_teams!$A$2:$A$36,sales_teams!C$2:C$36)</f>
        <v>West</v>
      </c>
      <c r="E5456" t="s">
        <v>39</v>
      </c>
      <c r="F5456" t="s">
        <v>49</v>
      </c>
      <c r="G5456" t="s">
        <v>12</v>
      </c>
      <c r="H5456" s="1">
        <v>42945</v>
      </c>
      <c r="I5456" s="1">
        <v>42949</v>
      </c>
      <c r="J5456">
        <v>3260</v>
      </c>
    </row>
    <row r="5457" spans="1:10" x14ac:dyDescent="0.3">
      <c r="A5457" t="s">
        <v>5588</v>
      </c>
      <c r="B5457" t="s">
        <v>252</v>
      </c>
      <c r="C5457" t="str">
        <f>_xlfn.XLOOKUP(B5457,
[1]sales_teams!$A$2:$A$100,
[1]sales_teams!$B$2:$B$100)</f>
        <v>Melvin Marxen</v>
      </c>
      <c r="D5457" t="str">
        <f>_xlfn.XLOOKUP($B5457,sales_teams!$A$2:$A$36,sales_teams!C$2:C$36)</f>
        <v>Central</v>
      </c>
      <c r="E5457" t="s">
        <v>10</v>
      </c>
      <c r="G5457" t="s">
        <v>40</v>
      </c>
      <c r="H5457" s="1">
        <v>42945</v>
      </c>
    </row>
    <row r="5458" spans="1:10" x14ac:dyDescent="0.3">
      <c r="A5458" t="s">
        <v>5589</v>
      </c>
      <c r="B5458" t="s">
        <v>252</v>
      </c>
      <c r="C5458" t="str">
        <f>_xlfn.XLOOKUP(B5458,
[1]sales_teams!$A$2:$A$100,
[1]sales_teams!$B$2:$B$100)</f>
        <v>Melvin Marxen</v>
      </c>
      <c r="D5458" t="str">
        <f>_xlfn.XLOOKUP($B5458,sales_teams!$A$2:$A$36,sales_teams!C$2:C$36)</f>
        <v>Central</v>
      </c>
      <c r="E5458" t="s">
        <v>18</v>
      </c>
      <c r="G5458" t="s">
        <v>40</v>
      </c>
      <c r="H5458" s="1">
        <v>42945</v>
      </c>
    </row>
    <row r="5459" spans="1:10" x14ac:dyDescent="0.3">
      <c r="A5459" t="s">
        <v>5590</v>
      </c>
      <c r="B5459" t="s">
        <v>78</v>
      </c>
      <c r="C5459" t="str">
        <f>_xlfn.XLOOKUP(B5459,
[1]sales_teams!$A$2:$A$100,
[1]sales_teams!$B$2:$B$100)</f>
        <v>Summer Sewald</v>
      </c>
      <c r="D5459" t="str">
        <f>_xlfn.XLOOKUP($B5459,sales_teams!$A$2:$A$36,sales_teams!C$2:C$36)</f>
        <v>West</v>
      </c>
      <c r="E5459" t="s">
        <v>10</v>
      </c>
      <c r="F5459" t="s">
        <v>745</v>
      </c>
      <c r="G5459" t="s">
        <v>40</v>
      </c>
      <c r="H5459" s="1">
        <v>42945</v>
      </c>
    </row>
    <row r="5460" spans="1:10" x14ac:dyDescent="0.3">
      <c r="A5460" t="s">
        <v>5591</v>
      </c>
      <c r="B5460" t="s">
        <v>78</v>
      </c>
      <c r="C5460" t="str">
        <f>_xlfn.XLOOKUP(B5460,
[1]sales_teams!$A$2:$A$100,
[1]sales_teams!$B$2:$B$100)</f>
        <v>Summer Sewald</v>
      </c>
      <c r="D5460" t="str">
        <f>_xlfn.XLOOKUP($B5460,sales_teams!$A$2:$A$36,sales_teams!C$2:C$36)</f>
        <v>West</v>
      </c>
      <c r="E5460" t="s">
        <v>39</v>
      </c>
      <c r="G5460" t="s">
        <v>40</v>
      </c>
      <c r="H5460" s="1">
        <v>42945</v>
      </c>
    </row>
    <row r="5461" spans="1:10" x14ac:dyDescent="0.3">
      <c r="A5461" t="s">
        <v>5592</v>
      </c>
      <c r="B5461" t="s">
        <v>78</v>
      </c>
      <c r="C5461" t="str">
        <f>_xlfn.XLOOKUP(B5461,
[1]sales_teams!$A$2:$A$100,
[1]sales_teams!$B$2:$B$100)</f>
        <v>Summer Sewald</v>
      </c>
      <c r="D5461" t="str">
        <f>_xlfn.XLOOKUP($B5461,sales_teams!$A$2:$A$36,sales_teams!C$2:C$36)</f>
        <v>West</v>
      </c>
      <c r="E5461" t="s">
        <v>10</v>
      </c>
      <c r="F5461" t="s">
        <v>315</v>
      </c>
      <c r="G5461" t="s">
        <v>46</v>
      </c>
      <c r="H5461" s="1">
        <v>42945</v>
      </c>
      <c r="I5461" s="1">
        <v>42950</v>
      </c>
      <c r="J5461">
        <v>0</v>
      </c>
    </row>
    <row r="5462" spans="1:10" x14ac:dyDescent="0.3">
      <c r="A5462" t="s">
        <v>5593</v>
      </c>
      <c r="B5462" t="s">
        <v>78</v>
      </c>
      <c r="C5462" t="str">
        <f>_xlfn.XLOOKUP(B5462,
[1]sales_teams!$A$2:$A$100,
[1]sales_teams!$B$2:$B$100)</f>
        <v>Summer Sewald</v>
      </c>
      <c r="D5462" t="str">
        <f>_xlfn.XLOOKUP($B5462,sales_teams!$A$2:$A$36,sales_teams!C$2:C$36)</f>
        <v>West</v>
      </c>
      <c r="E5462" t="s">
        <v>48</v>
      </c>
      <c r="F5462" t="s">
        <v>148</v>
      </c>
      <c r="G5462" t="s">
        <v>12</v>
      </c>
      <c r="H5462" s="1">
        <v>42945</v>
      </c>
      <c r="I5462" s="1">
        <v>42947</v>
      </c>
      <c r="J5462">
        <v>4842</v>
      </c>
    </row>
    <row r="5463" spans="1:10" x14ac:dyDescent="0.3">
      <c r="A5463" t="s">
        <v>5594</v>
      </c>
      <c r="B5463" t="s">
        <v>78</v>
      </c>
      <c r="C5463" t="str">
        <f>_xlfn.XLOOKUP(B5463,
[1]sales_teams!$A$2:$A$100,
[1]sales_teams!$B$2:$B$100)</f>
        <v>Summer Sewald</v>
      </c>
      <c r="D5463" t="str">
        <f>_xlfn.XLOOKUP($B5463,sales_teams!$A$2:$A$36,sales_teams!C$2:C$36)</f>
        <v>West</v>
      </c>
      <c r="E5463" t="s">
        <v>39</v>
      </c>
      <c r="F5463" t="s">
        <v>313</v>
      </c>
      <c r="G5463" t="s">
        <v>12</v>
      </c>
      <c r="H5463" s="1">
        <v>42945</v>
      </c>
      <c r="I5463" s="1">
        <v>43007</v>
      </c>
      <c r="J5463">
        <v>3463</v>
      </c>
    </row>
    <row r="5464" spans="1:10" x14ac:dyDescent="0.3">
      <c r="A5464" t="s">
        <v>5595</v>
      </c>
      <c r="B5464" t="s">
        <v>133</v>
      </c>
      <c r="C5464" t="str">
        <f>_xlfn.XLOOKUP(B5464,
[1]sales_teams!$A$2:$A$100,
[1]sales_teams!$B$2:$B$100)</f>
        <v>Dustin Brinkmann</v>
      </c>
      <c r="D5464" t="str">
        <f>_xlfn.XLOOKUP($B5464,sales_teams!$A$2:$A$36,sales_teams!C$2:C$36)</f>
        <v>Central</v>
      </c>
      <c r="E5464" t="s">
        <v>20</v>
      </c>
      <c r="G5464" t="s">
        <v>40</v>
      </c>
      <c r="H5464" s="1">
        <v>42945</v>
      </c>
    </row>
    <row r="5465" spans="1:10" x14ac:dyDescent="0.3">
      <c r="A5465" t="s">
        <v>5596</v>
      </c>
      <c r="B5465" t="s">
        <v>133</v>
      </c>
      <c r="C5465" t="str">
        <f>_xlfn.XLOOKUP(B5465,
[1]sales_teams!$A$2:$A$100,
[1]sales_teams!$B$2:$B$100)</f>
        <v>Dustin Brinkmann</v>
      </c>
      <c r="D5465" t="str">
        <f>_xlfn.XLOOKUP($B5465,sales_teams!$A$2:$A$36,sales_teams!C$2:C$36)</f>
        <v>Central</v>
      </c>
      <c r="E5465" t="s">
        <v>18</v>
      </c>
      <c r="F5465" t="s">
        <v>36</v>
      </c>
      <c r="G5465" t="s">
        <v>40</v>
      </c>
      <c r="H5465" s="1">
        <v>42945</v>
      </c>
    </row>
    <row r="5466" spans="1:10" x14ac:dyDescent="0.3">
      <c r="A5466" t="s">
        <v>5597</v>
      </c>
      <c r="B5466" t="s">
        <v>133</v>
      </c>
      <c r="C5466" t="str">
        <f>_xlfn.XLOOKUP(B5466,
[1]sales_teams!$A$2:$A$100,
[1]sales_teams!$B$2:$B$100)</f>
        <v>Dustin Brinkmann</v>
      </c>
      <c r="D5466" t="str">
        <f>_xlfn.XLOOKUP($B5466,sales_teams!$A$2:$A$36,sales_teams!C$2:C$36)</f>
        <v>Central</v>
      </c>
      <c r="E5466" t="s">
        <v>20</v>
      </c>
      <c r="F5466" t="s">
        <v>113</v>
      </c>
      <c r="G5466" t="s">
        <v>46</v>
      </c>
      <c r="H5466" s="1">
        <v>42945</v>
      </c>
      <c r="I5466" s="1">
        <v>42948</v>
      </c>
      <c r="J5466">
        <v>0</v>
      </c>
    </row>
    <row r="5467" spans="1:10" x14ac:dyDescent="0.3">
      <c r="A5467" t="s">
        <v>5598</v>
      </c>
      <c r="B5467" t="s">
        <v>116</v>
      </c>
      <c r="C5467" t="str">
        <f>_xlfn.XLOOKUP(B5467,
[1]sales_teams!$A$2:$A$100,
[1]sales_teams!$B$2:$B$100)</f>
        <v>Melvin Marxen</v>
      </c>
      <c r="D5467" t="str">
        <f>_xlfn.XLOOKUP($B5467,sales_teams!$A$2:$A$36,sales_teams!C$2:C$36)</f>
        <v>Central</v>
      </c>
      <c r="E5467" t="s">
        <v>20</v>
      </c>
      <c r="G5467" t="s">
        <v>40</v>
      </c>
      <c r="H5467" s="1">
        <v>42945</v>
      </c>
    </row>
    <row r="5468" spans="1:10" x14ac:dyDescent="0.3">
      <c r="A5468" t="s">
        <v>5599</v>
      </c>
      <c r="B5468" t="s">
        <v>51</v>
      </c>
      <c r="C5468" t="str">
        <f>_xlfn.XLOOKUP(B5468,
[1]sales_teams!$A$2:$A$100,
[1]sales_teams!$B$2:$B$100)</f>
        <v>Summer Sewald</v>
      </c>
      <c r="D5468" t="str">
        <f>_xlfn.XLOOKUP($B5468,sales_teams!$A$2:$A$36,sales_teams!C$2:C$36)</f>
        <v>West</v>
      </c>
      <c r="E5468" t="s">
        <v>20</v>
      </c>
      <c r="F5468" t="s">
        <v>555</v>
      </c>
      <c r="G5468" t="s">
        <v>46</v>
      </c>
      <c r="H5468" s="1">
        <v>42945</v>
      </c>
      <c r="I5468" s="1">
        <v>42946</v>
      </c>
      <c r="J5468">
        <v>0</v>
      </c>
    </row>
    <row r="5469" spans="1:10" x14ac:dyDescent="0.3">
      <c r="A5469" t="s">
        <v>5600</v>
      </c>
      <c r="B5469" t="s">
        <v>97</v>
      </c>
      <c r="C5469" t="str">
        <f>_xlfn.XLOOKUP(B5469,
[1]sales_teams!$A$2:$A$100,
[1]sales_teams!$B$2:$B$100)</f>
        <v>Rocco Neubert</v>
      </c>
      <c r="D5469" t="str">
        <f>_xlfn.XLOOKUP($B5469,sales_teams!$A$2:$A$36,sales_teams!C$2:C$36)</f>
        <v>East</v>
      </c>
      <c r="E5469" t="s">
        <v>15</v>
      </c>
      <c r="F5469" t="s">
        <v>106</v>
      </c>
      <c r="G5469" t="s">
        <v>12</v>
      </c>
      <c r="H5469" s="1">
        <v>42945</v>
      </c>
      <c r="I5469" s="1">
        <v>42955</v>
      </c>
      <c r="J5469">
        <v>4252</v>
      </c>
    </row>
    <row r="5470" spans="1:10" x14ac:dyDescent="0.3">
      <c r="A5470" t="s">
        <v>5601</v>
      </c>
      <c r="B5470" t="s">
        <v>88</v>
      </c>
      <c r="C5470" t="str">
        <f>_xlfn.XLOOKUP(B5470,
[1]sales_teams!$A$2:$A$100,
[1]sales_teams!$B$2:$B$100)</f>
        <v>Cara Losch</v>
      </c>
      <c r="D5470" t="str">
        <f>_xlfn.XLOOKUP($B5470,sales_teams!$A$2:$A$36,sales_teams!C$2:C$36)</f>
        <v>East</v>
      </c>
      <c r="E5470" t="s">
        <v>15</v>
      </c>
      <c r="F5470" t="s">
        <v>89</v>
      </c>
      <c r="G5470" t="s">
        <v>12</v>
      </c>
      <c r="H5470" s="1">
        <v>42945</v>
      </c>
      <c r="I5470" s="1">
        <v>42982</v>
      </c>
      <c r="J5470">
        <v>4906</v>
      </c>
    </row>
    <row r="5471" spans="1:10" x14ac:dyDescent="0.3">
      <c r="A5471" t="s">
        <v>5602</v>
      </c>
      <c r="B5471" t="s">
        <v>61</v>
      </c>
      <c r="C5471" t="str">
        <f>_xlfn.XLOOKUP(B5471,
[1]sales_teams!$A$2:$A$100,
[1]sales_teams!$B$2:$B$100)</f>
        <v>Dustin Brinkmann</v>
      </c>
      <c r="D5471" t="str">
        <f>_xlfn.XLOOKUP($B5471,sales_teams!$A$2:$A$36,sales_teams!C$2:C$36)</f>
        <v>Central</v>
      </c>
      <c r="E5471" t="s">
        <v>48</v>
      </c>
      <c r="G5471" t="s">
        <v>40</v>
      </c>
      <c r="H5471" s="1">
        <v>42945</v>
      </c>
    </row>
    <row r="5472" spans="1:10" x14ac:dyDescent="0.3">
      <c r="A5472" t="s">
        <v>5603</v>
      </c>
      <c r="B5472" t="s">
        <v>61</v>
      </c>
      <c r="C5472" t="str">
        <f>_xlfn.XLOOKUP(B5472,
[1]sales_teams!$A$2:$A$100,
[1]sales_teams!$B$2:$B$100)</f>
        <v>Dustin Brinkmann</v>
      </c>
      <c r="D5472" t="str">
        <f>_xlfn.XLOOKUP($B5472,sales_teams!$A$2:$A$36,sales_teams!C$2:C$36)</f>
        <v>Central</v>
      </c>
      <c r="E5472" t="s">
        <v>18</v>
      </c>
      <c r="F5472" t="s">
        <v>278</v>
      </c>
      <c r="G5472" t="s">
        <v>40</v>
      </c>
      <c r="H5472" s="1">
        <v>42945</v>
      </c>
    </row>
    <row r="5473" spans="1:10" x14ac:dyDescent="0.3">
      <c r="A5473" t="s">
        <v>5604</v>
      </c>
      <c r="B5473" t="s">
        <v>61</v>
      </c>
      <c r="C5473" t="str">
        <f>_xlfn.XLOOKUP(B5473,
[1]sales_teams!$A$2:$A$100,
[1]sales_teams!$B$2:$B$100)</f>
        <v>Dustin Brinkmann</v>
      </c>
      <c r="D5473" t="str">
        <f>_xlfn.XLOOKUP($B5473,sales_teams!$A$2:$A$36,sales_teams!C$2:C$36)</f>
        <v>Central</v>
      </c>
      <c r="E5473" t="s">
        <v>18</v>
      </c>
      <c r="G5473" t="s">
        <v>40</v>
      </c>
      <c r="H5473" s="1">
        <v>42945</v>
      </c>
    </row>
    <row r="5474" spans="1:10" x14ac:dyDescent="0.3">
      <c r="A5474" t="s">
        <v>5605</v>
      </c>
      <c r="B5474" t="s">
        <v>61</v>
      </c>
      <c r="C5474" t="str">
        <f>_xlfn.XLOOKUP(B5474,
[1]sales_teams!$A$2:$A$100,
[1]sales_teams!$B$2:$B$100)</f>
        <v>Dustin Brinkmann</v>
      </c>
      <c r="D5474" t="str">
        <f>_xlfn.XLOOKUP($B5474,sales_teams!$A$2:$A$36,sales_teams!C$2:C$36)</f>
        <v>Central</v>
      </c>
      <c r="E5474" t="s">
        <v>18</v>
      </c>
      <c r="F5474" t="s">
        <v>318</v>
      </c>
      <c r="G5474" t="s">
        <v>46</v>
      </c>
      <c r="H5474" s="1">
        <v>42945</v>
      </c>
      <c r="I5474" s="1">
        <v>42957</v>
      </c>
      <c r="J5474">
        <v>0</v>
      </c>
    </row>
    <row r="5475" spans="1:10" x14ac:dyDescent="0.3">
      <c r="A5475" t="s">
        <v>5606</v>
      </c>
      <c r="B5475" t="s">
        <v>102</v>
      </c>
      <c r="C5475" t="str">
        <f>_xlfn.XLOOKUP(B5475,
[1]sales_teams!$A$2:$A$100,
[1]sales_teams!$B$2:$B$100)</f>
        <v>Cara Losch</v>
      </c>
      <c r="D5475" t="str">
        <f>_xlfn.XLOOKUP($B5475,sales_teams!$A$2:$A$36,sales_teams!C$2:C$36)</f>
        <v>East</v>
      </c>
      <c r="E5475" t="s">
        <v>39</v>
      </c>
      <c r="G5475" t="s">
        <v>40</v>
      </c>
      <c r="H5475" s="1">
        <v>42945</v>
      </c>
    </row>
    <row r="5476" spans="1:10" x14ac:dyDescent="0.3">
      <c r="A5476" t="s">
        <v>5607</v>
      </c>
      <c r="B5476" t="s">
        <v>26</v>
      </c>
      <c r="C5476" t="str">
        <f>_xlfn.XLOOKUP(B5476,
[1]sales_teams!$A$2:$A$100,
[1]sales_teams!$B$2:$B$100)</f>
        <v>Dustin Brinkmann</v>
      </c>
      <c r="D5476" t="str">
        <f>_xlfn.XLOOKUP($B5476,sales_teams!$A$2:$A$36,sales_teams!C$2:C$36)</f>
        <v>Central</v>
      </c>
      <c r="E5476" t="s">
        <v>20</v>
      </c>
      <c r="G5476" t="s">
        <v>40</v>
      </c>
      <c r="H5476" s="1">
        <v>42946</v>
      </c>
    </row>
    <row r="5477" spans="1:10" x14ac:dyDescent="0.3">
      <c r="A5477" t="s">
        <v>5608</v>
      </c>
      <c r="B5477" t="s">
        <v>26</v>
      </c>
      <c r="C5477" t="str">
        <f>_xlfn.XLOOKUP(B5477,
[1]sales_teams!$A$2:$A$100,
[1]sales_teams!$B$2:$B$100)</f>
        <v>Dustin Brinkmann</v>
      </c>
      <c r="D5477" t="str">
        <f>_xlfn.XLOOKUP($B5477,sales_teams!$A$2:$A$36,sales_teams!C$2:C$36)</f>
        <v>Central</v>
      </c>
      <c r="E5477" t="s">
        <v>20</v>
      </c>
      <c r="G5477" t="s">
        <v>40</v>
      </c>
      <c r="H5477" s="1">
        <v>42946</v>
      </c>
    </row>
    <row r="5478" spans="1:10" x14ac:dyDescent="0.3">
      <c r="A5478" t="s">
        <v>5609</v>
      </c>
      <c r="B5478" t="s">
        <v>26</v>
      </c>
      <c r="C5478" t="str">
        <f>_xlfn.XLOOKUP(B5478,
[1]sales_teams!$A$2:$A$100,
[1]sales_teams!$B$2:$B$100)</f>
        <v>Dustin Brinkmann</v>
      </c>
      <c r="D5478" t="str">
        <f>_xlfn.XLOOKUP($B5478,sales_teams!$A$2:$A$36,sales_teams!C$2:C$36)</f>
        <v>Central</v>
      </c>
      <c r="E5478" t="s">
        <v>18</v>
      </c>
      <c r="G5478" t="s">
        <v>40</v>
      </c>
      <c r="H5478" s="1">
        <v>42946</v>
      </c>
    </row>
    <row r="5479" spans="1:10" x14ac:dyDescent="0.3">
      <c r="A5479" t="s">
        <v>5610</v>
      </c>
      <c r="B5479" t="s">
        <v>26</v>
      </c>
      <c r="C5479" t="str">
        <f>_xlfn.XLOOKUP(B5479,
[1]sales_teams!$A$2:$A$100,
[1]sales_teams!$B$2:$B$100)</f>
        <v>Dustin Brinkmann</v>
      </c>
      <c r="D5479" t="str">
        <f>_xlfn.XLOOKUP($B5479,sales_teams!$A$2:$A$36,sales_teams!C$2:C$36)</f>
        <v>Central</v>
      </c>
      <c r="E5479" t="s">
        <v>18</v>
      </c>
      <c r="G5479" t="s">
        <v>40</v>
      </c>
      <c r="H5479" s="1">
        <v>42946</v>
      </c>
    </row>
    <row r="5480" spans="1:10" x14ac:dyDescent="0.3">
      <c r="A5480" t="s">
        <v>5611</v>
      </c>
      <c r="B5480" t="s">
        <v>26</v>
      </c>
      <c r="C5480" t="str">
        <f>_xlfn.XLOOKUP(B5480,
[1]sales_teams!$A$2:$A$100,
[1]sales_teams!$B$2:$B$100)</f>
        <v>Dustin Brinkmann</v>
      </c>
      <c r="D5480" t="str">
        <f>_xlfn.XLOOKUP($B5480,sales_teams!$A$2:$A$36,sales_teams!C$2:C$36)</f>
        <v>Central</v>
      </c>
      <c r="E5480" t="s">
        <v>48</v>
      </c>
      <c r="F5480" t="s">
        <v>129</v>
      </c>
      <c r="G5480" t="s">
        <v>46</v>
      </c>
      <c r="H5480" s="1">
        <v>42946</v>
      </c>
      <c r="I5480" s="1">
        <v>42954</v>
      </c>
      <c r="J5480">
        <v>0</v>
      </c>
    </row>
    <row r="5481" spans="1:10" x14ac:dyDescent="0.3">
      <c r="A5481" t="s">
        <v>5612</v>
      </c>
      <c r="B5481" t="s">
        <v>139</v>
      </c>
      <c r="C5481" t="str">
        <f>_xlfn.XLOOKUP(B5481,
[1]sales_teams!$A$2:$A$100,
[1]sales_teams!$B$2:$B$100)</f>
        <v>Rocco Neubert</v>
      </c>
      <c r="D5481" t="str">
        <f>_xlfn.XLOOKUP($B5481,sales_teams!$A$2:$A$36,sales_teams!C$2:C$36)</f>
        <v>East</v>
      </c>
      <c r="E5481" t="s">
        <v>18</v>
      </c>
      <c r="F5481" t="s">
        <v>98</v>
      </c>
      <c r="G5481" t="s">
        <v>40</v>
      </c>
      <c r="H5481" s="1">
        <v>42946</v>
      </c>
    </row>
    <row r="5482" spans="1:10" x14ac:dyDescent="0.3">
      <c r="A5482" t="s">
        <v>5613</v>
      </c>
      <c r="B5482" t="s">
        <v>118</v>
      </c>
      <c r="C5482" t="str">
        <f>_xlfn.XLOOKUP(B5482,
[1]sales_teams!$A$2:$A$100,
[1]sales_teams!$B$2:$B$100)</f>
        <v>Rocco Neubert</v>
      </c>
      <c r="D5482" t="str">
        <f>_xlfn.XLOOKUP($B5482,sales_teams!$A$2:$A$36,sales_teams!C$2:C$36)</f>
        <v>East</v>
      </c>
      <c r="E5482" t="s">
        <v>10</v>
      </c>
      <c r="G5482" t="s">
        <v>40</v>
      </c>
      <c r="H5482" s="1">
        <v>42946</v>
      </c>
    </row>
    <row r="5483" spans="1:10" x14ac:dyDescent="0.3">
      <c r="A5483" t="s">
        <v>5614</v>
      </c>
      <c r="B5483" t="s">
        <v>202</v>
      </c>
      <c r="C5483" t="str">
        <f>_xlfn.XLOOKUP(B5483,
[1]sales_teams!$A$2:$A$100,
[1]sales_teams!$B$2:$B$100)</f>
        <v>Dustin Brinkmann</v>
      </c>
      <c r="D5483" t="str">
        <f>_xlfn.XLOOKUP($B5483,sales_teams!$A$2:$A$36,sales_teams!C$2:C$36)</f>
        <v>Central</v>
      </c>
      <c r="E5483" t="s">
        <v>39</v>
      </c>
      <c r="G5483" t="s">
        <v>40</v>
      </c>
      <c r="H5483" s="1">
        <v>42946</v>
      </c>
    </row>
    <row r="5484" spans="1:10" x14ac:dyDescent="0.3">
      <c r="A5484" t="s">
        <v>5615</v>
      </c>
      <c r="B5484" t="s">
        <v>164</v>
      </c>
      <c r="C5484" t="str">
        <f>_xlfn.XLOOKUP(B5484,
[1]sales_teams!$A$2:$A$100,
[1]sales_teams!$B$2:$B$100)</f>
        <v>Cara Losch</v>
      </c>
      <c r="D5484" t="str">
        <f>_xlfn.XLOOKUP($B5484,sales_teams!$A$2:$A$36,sales_teams!C$2:C$36)</f>
        <v>East</v>
      </c>
      <c r="E5484" t="s">
        <v>39</v>
      </c>
      <c r="F5484" t="s">
        <v>189</v>
      </c>
      <c r="G5484" t="s">
        <v>12</v>
      </c>
      <c r="H5484" s="1">
        <v>42946</v>
      </c>
      <c r="I5484" s="1">
        <v>43057</v>
      </c>
      <c r="J5484">
        <v>3113</v>
      </c>
    </row>
    <row r="5485" spans="1:10" x14ac:dyDescent="0.3">
      <c r="A5485" t="s">
        <v>5616</v>
      </c>
      <c r="B5485" t="s">
        <v>64</v>
      </c>
      <c r="C5485" t="str">
        <f>_xlfn.XLOOKUP(B5485,
[1]sales_teams!$A$2:$A$100,
[1]sales_teams!$B$2:$B$100)</f>
        <v>Rocco Neubert</v>
      </c>
      <c r="D5485" t="str">
        <f>_xlfn.XLOOKUP($B5485,sales_teams!$A$2:$A$36,sales_teams!C$2:C$36)</f>
        <v>East</v>
      </c>
      <c r="E5485" t="s">
        <v>10</v>
      </c>
      <c r="F5485" t="s">
        <v>745</v>
      </c>
      <c r="G5485" t="s">
        <v>12</v>
      </c>
      <c r="H5485" s="1">
        <v>42946</v>
      </c>
      <c r="I5485" s="1">
        <v>42957</v>
      </c>
      <c r="J5485">
        <v>1097</v>
      </c>
    </row>
    <row r="5486" spans="1:10" x14ac:dyDescent="0.3">
      <c r="A5486" t="s">
        <v>5617</v>
      </c>
      <c r="B5486" t="s">
        <v>14</v>
      </c>
      <c r="C5486" t="str">
        <f>_xlfn.XLOOKUP(B5486,
[1]sales_teams!$A$2:$A$100,
[1]sales_teams!$B$2:$B$100)</f>
        <v>Melvin Marxen</v>
      </c>
      <c r="D5486" t="str">
        <f>_xlfn.XLOOKUP($B5486,sales_teams!$A$2:$A$36,sales_teams!C$2:C$36)</f>
        <v>Central</v>
      </c>
      <c r="E5486" t="s">
        <v>20</v>
      </c>
      <c r="G5486" t="s">
        <v>40</v>
      </c>
      <c r="H5486" s="1">
        <v>42946</v>
      </c>
    </row>
    <row r="5487" spans="1:10" x14ac:dyDescent="0.3">
      <c r="A5487" t="s">
        <v>5618</v>
      </c>
      <c r="B5487" t="s">
        <v>14</v>
      </c>
      <c r="C5487" t="str">
        <f>_xlfn.XLOOKUP(B5487,
[1]sales_teams!$A$2:$A$100,
[1]sales_teams!$B$2:$B$100)</f>
        <v>Melvin Marxen</v>
      </c>
      <c r="D5487" t="str">
        <f>_xlfn.XLOOKUP($B5487,sales_teams!$A$2:$A$36,sales_teams!C$2:C$36)</f>
        <v>Central</v>
      </c>
      <c r="E5487" t="s">
        <v>10</v>
      </c>
      <c r="G5487" t="s">
        <v>40</v>
      </c>
      <c r="H5487" s="1">
        <v>42946</v>
      </c>
    </row>
    <row r="5488" spans="1:10" x14ac:dyDescent="0.3">
      <c r="A5488" t="s">
        <v>5619</v>
      </c>
      <c r="B5488" t="s">
        <v>14</v>
      </c>
      <c r="C5488" t="str">
        <f>_xlfn.XLOOKUP(B5488,
[1]sales_teams!$A$2:$A$100,
[1]sales_teams!$B$2:$B$100)</f>
        <v>Melvin Marxen</v>
      </c>
      <c r="D5488" t="str">
        <f>_xlfn.XLOOKUP($B5488,sales_teams!$A$2:$A$36,sales_teams!C$2:C$36)</f>
        <v>Central</v>
      </c>
      <c r="E5488" t="s">
        <v>48</v>
      </c>
      <c r="F5488" t="s">
        <v>231</v>
      </c>
      <c r="G5488" t="s">
        <v>40</v>
      </c>
      <c r="H5488" s="1">
        <v>42946</v>
      </c>
    </row>
    <row r="5489" spans="1:10" x14ac:dyDescent="0.3">
      <c r="A5489" t="s">
        <v>5620</v>
      </c>
      <c r="B5489" t="s">
        <v>14</v>
      </c>
      <c r="C5489" t="str">
        <f>_xlfn.XLOOKUP(B5489,
[1]sales_teams!$A$2:$A$100,
[1]sales_teams!$B$2:$B$100)</f>
        <v>Melvin Marxen</v>
      </c>
      <c r="D5489" t="str">
        <f>_xlfn.XLOOKUP($B5489,sales_teams!$A$2:$A$36,sales_teams!C$2:C$36)</f>
        <v>Central</v>
      </c>
      <c r="E5489" t="s">
        <v>15</v>
      </c>
      <c r="F5489" t="s">
        <v>30</v>
      </c>
      <c r="G5489" t="s">
        <v>40</v>
      </c>
      <c r="H5489" s="1">
        <v>42946</v>
      </c>
    </row>
    <row r="5490" spans="1:10" x14ac:dyDescent="0.3">
      <c r="A5490" t="s">
        <v>5621</v>
      </c>
      <c r="B5490" t="s">
        <v>14</v>
      </c>
      <c r="C5490" t="str">
        <f>_xlfn.XLOOKUP(B5490,
[1]sales_teams!$A$2:$A$100,
[1]sales_teams!$B$2:$B$100)</f>
        <v>Melvin Marxen</v>
      </c>
      <c r="D5490" t="str">
        <f>_xlfn.XLOOKUP($B5490,sales_teams!$A$2:$A$36,sales_teams!C$2:C$36)</f>
        <v>Central</v>
      </c>
      <c r="E5490" t="s">
        <v>39</v>
      </c>
      <c r="G5490" t="s">
        <v>40</v>
      </c>
      <c r="H5490" s="1">
        <v>42946</v>
      </c>
    </row>
    <row r="5491" spans="1:10" x14ac:dyDescent="0.3">
      <c r="A5491" t="s">
        <v>5622</v>
      </c>
      <c r="B5491" t="s">
        <v>14</v>
      </c>
      <c r="C5491" t="str">
        <f>_xlfn.XLOOKUP(B5491,
[1]sales_teams!$A$2:$A$100,
[1]sales_teams!$B$2:$B$100)</f>
        <v>Melvin Marxen</v>
      </c>
      <c r="D5491" t="str">
        <f>_xlfn.XLOOKUP($B5491,sales_teams!$A$2:$A$36,sales_teams!C$2:C$36)</f>
        <v>Central</v>
      </c>
      <c r="E5491" t="s">
        <v>39</v>
      </c>
      <c r="G5491" t="s">
        <v>40</v>
      </c>
      <c r="H5491" s="1">
        <v>42946</v>
      </c>
    </row>
    <row r="5492" spans="1:10" x14ac:dyDescent="0.3">
      <c r="A5492" t="s">
        <v>5623</v>
      </c>
      <c r="B5492" t="s">
        <v>14</v>
      </c>
      <c r="C5492" t="str">
        <f>_xlfn.XLOOKUP(B5492,
[1]sales_teams!$A$2:$A$100,
[1]sales_teams!$B$2:$B$100)</f>
        <v>Melvin Marxen</v>
      </c>
      <c r="D5492" t="str">
        <f>_xlfn.XLOOKUP($B5492,sales_teams!$A$2:$A$36,sales_teams!C$2:C$36)</f>
        <v>Central</v>
      </c>
      <c r="E5492" t="s">
        <v>39</v>
      </c>
      <c r="F5492" t="s">
        <v>315</v>
      </c>
      <c r="G5492" t="s">
        <v>46</v>
      </c>
      <c r="H5492" s="1">
        <v>42946</v>
      </c>
      <c r="I5492" s="1">
        <v>42952</v>
      </c>
      <c r="J5492">
        <v>0</v>
      </c>
    </row>
    <row r="5493" spans="1:10" x14ac:dyDescent="0.3">
      <c r="A5493" t="s">
        <v>5624</v>
      </c>
      <c r="B5493" t="s">
        <v>14</v>
      </c>
      <c r="C5493" t="str">
        <f>_xlfn.XLOOKUP(B5493,
[1]sales_teams!$A$2:$A$100,
[1]sales_teams!$B$2:$B$100)</f>
        <v>Melvin Marxen</v>
      </c>
      <c r="D5493" t="str">
        <f>_xlfn.XLOOKUP($B5493,sales_teams!$A$2:$A$36,sales_teams!C$2:C$36)</f>
        <v>Central</v>
      </c>
      <c r="E5493" t="s">
        <v>10</v>
      </c>
      <c r="F5493" t="s">
        <v>218</v>
      </c>
      <c r="G5493" t="s">
        <v>12</v>
      </c>
      <c r="H5493" s="1">
        <v>42946</v>
      </c>
      <c r="I5493" s="1">
        <v>43073</v>
      </c>
      <c r="J5493">
        <v>1245</v>
      </c>
    </row>
    <row r="5494" spans="1:10" x14ac:dyDescent="0.3">
      <c r="A5494" t="s">
        <v>5625</v>
      </c>
      <c r="B5494" t="s">
        <v>14</v>
      </c>
      <c r="C5494" t="str">
        <f>_xlfn.XLOOKUP(B5494,
[1]sales_teams!$A$2:$A$100,
[1]sales_teams!$B$2:$B$100)</f>
        <v>Melvin Marxen</v>
      </c>
      <c r="D5494" t="str">
        <f>_xlfn.XLOOKUP($B5494,sales_teams!$A$2:$A$36,sales_teams!C$2:C$36)</f>
        <v>Central</v>
      </c>
      <c r="E5494" t="s">
        <v>10</v>
      </c>
      <c r="F5494" t="s">
        <v>231</v>
      </c>
      <c r="G5494" t="s">
        <v>12</v>
      </c>
      <c r="H5494" s="1">
        <v>42946</v>
      </c>
      <c r="I5494" s="1">
        <v>42951</v>
      </c>
      <c r="J5494">
        <v>1160</v>
      </c>
    </row>
    <row r="5495" spans="1:10" x14ac:dyDescent="0.3">
      <c r="A5495" t="s">
        <v>5626</v>
      </c>
      <c r="B5495" t="s">
        <v>14</v>
      </c>
      <c r="C5495" t="str">
        <f>_xlfn.XLOOKUP(B5495,
[1]sales_teams!$A$2:$A$100,
[1]sales_teams!$B$2:$B$100)</f>
        <v>Melvin Marxen</v>
      </c>
      <c r="D5495" t="str">
        <f>_xlfn.XLOOKUP($B5495,sales_teams!$A$2:$A$36,sales_teams!C$2:C$36)</f>
        <v>Central</v>
      </c>
      <c r="E5495" t="s">
        <v>18</v>
      </c>
      <c r="F5495" t="s">
        <v>42</v>
      </c>
      <c r="G5495" t="s">
        <v>12</v>
      </c>
      <c r="H5495" s="1">
        <v>42946</v>
      </c>
      <c r="I5495" s="1">
        <v>42947</v>
      </c>
      <c r="J5495">
        <v>53</v>
      </c>
    </row>
    <row r="5496" spans="1:10" x14ac:dyDescent="0.3">
      <c r="A5496" t="s">
        <v>5627</v>
      </c>
      <c r="B5496" t="s">
        <v>142</v>
      </c>
      <c r="C5496" t="str">
        <f>_xlfn.XLOOKUP(B5496,
[1]sales_teams!$A$2:$A$100,
[1]sales_teams!$B$2:$B$100)</f>
        <v>Rocco Neubert</v>
      </c>
      <c r="D5496" t="str">
        <f>_xlfn.XLOOKUP($B5496,sales_teams!$A$2:$A$36,sales_teams!C$2:C$36)</f>
        <v>East</v>
      </c>
      <c r="E5496" t="s">
        <v>15</v>
      </c>
      <c r="F5496" t="s">
        <v>240</v>
      </c>
      <c r="G5496" t="s">
        <v>46</v>
      </c>
      <c r="H5496" s="1">
        <v>42946</v>
      </c>
      <c r="I5496" s="1">
        <v>42958</v>
      </c>
      <c r="J5496">
        <v>0</v>
      </c>
    </row>
    <row r="5497" spans="1:10" x14ac:dyDescent="0.3">
      <c r="A5497" t="s">
        <v>5628</v>
      </c>
      <c r="B5497" t="s">
        <v>44</v>
      </c>
      <c r="C5497" t="str">
        <f>_xlfn.XLOOKUP(B5497,
[1]sales_teams!$A$2:$A$100,
[1]sales_teams!$B$2:$B$100)</f>
        <v>Melvin Marxen</v>
      </c>
      <c r="D5497" t="str">
        <f>_xlfn.XLOOKUP($B5497,sales_teams!$A$2:$A$36,sales_teams!C$2:C$36)</f>
        <v>Central</v>
      </c>
      <c r="E5497" t="s">
        <v>10</v>
      </c>
      <c r="G5497" t="s">
        <v>40</v>
      </c>
      <c r="H5497" s="1">
        <v>42946</v>
      </c>
    </row>
    <row r="5498" spans="1:10" x14ac:dyDescent="0.3">
      <c r="A5498" t="s">
        <v>5629</v>
      </c>
      <c r="B5498" t="s">
        <v>44</v>
      </c>
      <c r="C5498" t="str">
        <f>_xlfn.XLOOKUP(B5498,
[1]sales_teams!$A$2:$A$100,
[1]sales_teams!$B$2:$B$100)</f>
        <v>Melvin Marxen</v>
      </c>
      <c r="D5498" t="str">
        <f>_xlfn.XLOOKUP($B5498,sales_teams!$A$2:$A$36,sales_teams!C$2:C$36)</f>
        <v>Central</v>
      </c>
      <c r="E5498" t="s">
        <v>15</v>
      </c>
      <c r="G5498" t="s">
        <v>40</v>
      </c>
      <c r="H5498" s="1">
        <v>42946</v>
      </c>
    </row>
    <row r="5499" spans="1:10" x14ac:dyDescent="0.3">
      <c r="A5499" t="s">
        <v>5630</v>
      </c>
      <c r="B5499" t="s">
        <v>44</v>
      </c>
      <c r="C5499" t="str">
        <f>_xlfn.XLOOKUP(B5499,
[1]sales_teams!$A$2:$A$100,
[1]sales_teams!$B$2:$B$100)</f>
        <v>Melvin Marxen</v>
      </c>
      <c r="D5499" t="str">
        <f>_xlfn.XLOOKUP($B5499,sales_teams!$A$2:$A$36,sales_teams!C$2:C$36)</f>
        <v>Central</v>
      </c>
      <c r="E5499" t="s">
        <v>18</v>
      </c>
      <c r="G5499" t="s">
        <v>40</v>
      </c>
      <c r="H5499" s="1">
        <v>42946</v>
      </c>
    </row>
    <row r="5500" spans="1:10" x14ac:dyDescent="0.3">
      <c r="A5500" t="s">
        <v>5631</v>
      </c>
      <c r="B5500" t="s">
        <v>44</v>
      </c>
      <c r="C5500" t="str">
        <f>_xlfn.XLOOKUP(B5500,
[1]sales_teams!$A$2:$A$100,
[1]sales_teams!$B$2:$B$100)</f>
        <v>Melvin Marxen</v>
      </c>
      <c r="D5500" t="str">
        <f>_xlfn.XLOOKUP($B5500,sales_teams!$A$2:$A$36,sales_teams!C$2:C$36)</f>
        <v>Central</v>
      </c>
      <c r="E5500" t="s">
        <v>39</v>
      </c>
      <c r="F5500" t="s">
        <v>135</v>
      </c>
      <c r="G5500" t="s">
        <v>46</v>
      </c>
      <c r="H5500" s="1">
        <v>42946</v>
      </c>
      <c r="I5500" s="1">
        <v>42953</v>
      </c>
      <c r="J5500">
        <v>0</v>
      </c>
    </row>
    <row r="5501" spans="1:10" x14ac:dyDescent="0.3">
      <c r="A5501" t="s">
        <v>5632</v>
      </c>
      <c r="B5501" t="s">
        <v>54</v>
      </c>
      <c r="C5501" t="str">
        <f>_xlfn.XLOOKUP(B5501,
[1]sales_teams!$A$2:$A$100,
[1]sales_teams!$B$2:$B$100)</f>
        <v>Celia Rouche</v>
      </c>
      <c r="D5501" t="str">
        <f>_xlfn.XLOOKUP($B5501,sales_teams!$A$2:$A$36,sales_teams!C$2:C$36)</f>
        <v>West</v>
      </c>
      <c r="E5501" t="s">
        <v>39</v>
      </c>
      <c r="F5501" t="s">
        <v>555</v>
      </c>
      <c r="G5501" t="s">
        <v>46</v>
      </c>
      <c r="H5501" s="1">
        <v>42946</v>
      </c>
      <c r="I5501" s="1">
        <v>42947</v>
      </c>
      <c r="J5501">
        <v>0</v>
      </c>
    </row>
    <row r="5502" spans="1:10" x14ac:dyDescent="0.3">
      <c r="A5502" t="s">
        <v>5633</v>
      </c>
      <c r="B5502" t="s">
        <v>38</v>
      </c>
      <c r="C5502" t="str">
        <f>_xlfn.XLOOKUP(B5502,
[1]sales_teams!$A$2:$A$100,
[1]sales_teams!$B$2:$B$100)</f>
        <v>Summer Sewald</v>
      </c>
      <c r="D5502" t="str">
        <f>_xlfn.XLOOKUP($B5502,sales_teams!$A$2:$A$36,sales_teams!C$2:C$36)</f>
        <v>West</v>
      </c>
      <c r="E5502" t="s">
        <v>15</v>
      </c>
      <c r="F5502" t="s">
        <v>33</v>
      </c>
      <c r="G5502" t="s">
        <v>12</v>
      </c>
      <c r="H5502" s="1">
        <v>42946</v>
      </c>
      <c r="I5502" s="1">
        <v>42988</v>
      </c>
      <c r="J5502">
        <v>5031</v>
      </c>
    </row>
    <row r="5503" spans="1:10" x14ac:dyDescent="0.3">
      <c r="A5503" t="s">
        <v>5634</v>
      </c>
      <c r="B5503" t="s">
        <v>252</v>
      </c>
      <c r="C5503" t="str">
        <f>_xlfn.XLOOKUP(B5503,
[1]sales_teams!$A$2:$A$100,
[1]sales_teams!$B$2:$B$100)</f>
        <v>Melvin Marxen</v>
      </c>
      <c r="D5503" t="str">
        <f>_xlfn.XLOOKUP($B5503,sales_teams!$A$2:$A$36,sales_teams!C$2:C$36)</f>
        <v>Central</v>
      </c>
      <c r="E5503" t="s">
        <v>15</v>
      </c>
      <c r="F5503" t="s">
        <v>151</v>
      </c>
      <c r="G5503" t="s">
        <v>12</v>
      </c>
      <c r="H5503" s="1">
        <v>42946</v>
      </c>
      <c r="I5503" s="1">
        <v>42947</v>
      </c>
      <c r="J5503">
        <v>5741</v>
      </c>
    </row>
    <row r="5504" spans="1:10" x14ac:dyDescent="0.3">
      <c r="A5504" t="s">
        <v>5635</v>
      </c>
      <c r="B5504" t="s">
        <v>78</v>
      </c>
      <c r="C5504" t="str">
        <f>_xlfn.XLOOKUP(B5504,
[1]sales_teams!$A$2:$A$100,
[1]sales_teams!$B$2:$B$100)</f>
        <v>Summer Sewald</v>
      </c>
      <c r="D5504" t="str">
        <f>_xlfn.XLOOKUP($B5504,sales_teams!$A$2:$A$36,sales_teams!C$2:C$36)</f>
        <v>West</v>
      </c>
      <c r="E5504" t="s">
        <v>18</v>
      </c>
      <c r="G5504" t="s">
        <v>40</v>
      </c>
      <c r="H5504" s="1">
        <v>42946</v>
      </c>
    </row>
    <row r="5505" spans="1:10" x14ac:dyDescent="0.3">
      <c r="A5505" t="s">
        <v>5636</v>
      </c>
      <c r="B5505" t="s">
        <v>78</v>
      </c>
      <c r="C5505" t="str">
        <f>_xlfn.XLOOKUP(B5505,
[1]sales_teams!$A$2:$A$100,
[1]sales_teams!$B$2:$B$100)</f>
        <v>Summer Sewald</v>
      </c>
      <c r="D5505" t="str">
        <f>_xlfn.XLOOKUP($B5505,sales_teams!$A$2:$A$36,sales_teams!C$2:C$36)</f>
        <v>West</v>
      </c>
      <c r="E5505" t="s">
        <v>10</v>
      </c>
      <c r="F5505" t="s">
        <v>168</v>
      </c>
      <c r="G5505" t="s">
        <v>12</v>
      </c>
      <c r="H5505" s="1">
        <v>42946</v>
      </c>
      <c r="I5505" s="1">
        <v>42956</v>
      </c>
      <c r="J5505">
        <v>1038</v>
      </c>
    </row>
    <row r="5506" spans="1:10" x14ac:dyDescent="0.3">
      <c r="A5506" t="s">
        <v>5637</v>
      </c>
      <c r="B5506" t="s">
        <v>95</v>
      </c>
      <c r="C5506" t="str">
        <f>_xlfn.XLOOKUP(B5506,
[1]sales_teams!$A$2:$A$100,
[1]sales_teams!$B$2:$B$100)</f>
        <v>Summer Sewald</v>
      </c>
      <c r="D5506" t="str">
        <f>_xlfn.XLOOKUP($B5506,sales_teams!$A$2:$A$36,sales_teams!C$2:C$36)</f>
        <v>West</v>
      </c>
      <c r="E5506" t="s">
        <v>20</v>
      </c>
      <c r="G5506" t="s">
        <v>40</v>
      </c>
      <c r="H5506" s="1">
        <v>42946</v>
      </c>
    </row>
    <row r="5507" spans="1:10" x14ac:dyDescent="0.3">
      <c r="A5507" t="s">
        <v>5638</v>
      </c>
      <c r="B5507" t="s">
        <v>95</v>
      </c>
      <c r="C5507" t="str">
        <f>_xlfn.XLOOKUP(B5507,
[1]sales_teams!$A$2:$A$100,
[1]sales_teams!$B$2:$B$100)</f>
        <v>Summer Sewald</v>
      </c>
      <c r="D5507" t="str">
        <f>_xlfn.XLOOKUP($B5507,sales_teams!$A$2:$A$36,sales_teams!C$2:C$36)</f>
        <v>West</v>
      </c>
      <c r="E5507" t="s">
        <v>20</v>
      </c>
      <c r="F5507" t="s">
        <v>218</v>
      </c>
      <c r="G5507" t="s">
        <v>46</v>
      </c>
      <c r="H5507" s="1">
        <v>42946</v>
      </c>
      <c r="I5507" s="1">
        <v>42952</v>
      </c>
      <c r="J5507">
        <v>0</v>
      </c>
    </row>
    <row r="5508" spans="1:10" x14ac:dyDescent="0.3">
      <c r="A5508" t="s">
        <v>5639</v>
      </c>
      <c r="B5508" t="s">
        <v>95</v>
      </c>
      <c r="C5508" t="str">
        <f>_xlfn.XLOOKUP(B5508,
[1]sales_teams!$A$2:$A$100,
[1]sales_teams!$B$2:$B$100)</f>
        <v>Summer Sewald</v>
      </c>
      <c r="D5508" t="str">
        <f>_xlfn.XLOOKUP($B5508,sales_teams!$A$2:$A$36,sales_teams!C$2:C$36)</f>
        <v>West</v>
      </c>
      <c r="E5508" t="s">
        <v>20</v>
      </c>
      <c r="F5508" t="s">
        <v>30</v>
      </c>
      <c r="G5508" t="s">
        <v>46</v>
      </c>
      <c r="H5508" s="1">
        <v>42946</v>
      </c>
      <c r="I5508" s="1">
        <v>43059</v>
      </c>
      <c r="J5508">
        <v>0</v>
      </c>
    </row>
    <row r="5509" spans="1:10" x14ac:dyDescent="0.3">
      <c r="A5509" t="s">
        <v>5640</v>
      </c>
      <c r="B5509" t="s">
        <v>133</v>
      </c>
      <c r="C5509" t="str">
        <f>_xlfn.XLOOKUP(B5509,
[1]sales_teams!$A$2:$A$100,
[1]sales_teams!$B$2:$B$100)</f>
        <v>Dustin Brinkmann</v>
      </c>
      <c r="D5509" t="str">
        <f>_xlfn.XLOOKUP($B5509,sales_teams!$A$2:$A$36,sales_teams!C$2:C$36)</f>
        <v>Central</v>
      </c>
      <c r="E5509" t="s">
        <v>20</v>
      </c>
      <c r="G5509" t="s">
        <v>40</v>
      </c>
      <c r="H5509" s="1">
        <v>42946</v>
      </c>
    </row>
    <row r="5510" spans="1:10" x14ac:dyDescent="0.3">
      <c r="A5510" t="s">
        <v>5641</v>
      </c>
      <c r="B5510" t="s">
        <v>133</v>
      </c>
      <c r="C5510" t="str">
        <f>_xlfn.XLOOKUP(B5510,
[1]sales_teams!$A$2:$A$100,
[1]sales_teams!$B$2:$B$100)</f>
        <v>Dustin Brinkmann</v>
      </c>
      <c r="D5510" t="str">
        <f>_xlfn.XLOOKUP($B5510,sales_teams!$A$2:$A$36,sales_teams!C$2:C$36)</f>
        <v>Central</v>
      </c>
      <c r="E5510" t="s">
        <v>18</v>
      </c>
      <c r="F5510" t="s">
        <v>42</v>
      </c>
      <c r="G5510" t="s">
        <v>40</v>
      </c>
      <c r="H5510" s="1">
        <v>42946</v>
      </c>
    </row>
    <row r="5511" spans="1:10" x14ac:dyDescent="0.3">
      <c r="A5511" t="s">
        <v>5642</v>
      </c>
      <c r="B5511" t="s">
        <v>133</v>
      </c>
      <c r="C5511" t="str">
        <f>_xlfn.XLOOKUP(B5511,
[1]sales_teams!$A$2:$A$100,
[1]sales_teams!$B$2:$B$100)</f>
        <v>Dustin Brinkmann</v>
      </c>
      <c r="D5511" t="str">
        <f>_xlfn.XLOOKUP($B5511,sales_teams!$A$2:$A$36,sales_teams!C$2:C$36)</f>
        <v>Central</v>
      </c>
      <c r="E5511" t="s">
        <v>20</v>
      </c>
      <c r="F5511" t="s">
        <v>135</v>
      </c>
      <c r="G5511" t="s">
        <v>12</v>
      </c>
      <c r="H5511" s="1">
        <v>42946</v>
      </c>
      <c r="I5511" s="1">
        <v>42956</v>
      </c>
      <c r="J5511">
        <v>502</v>
      </c>
    </row>
    <row r="5512" spans="1:10" x14ac:dyDescent="0.3">
      <c r="A5512" t="s">
        <v>5643</v>
      </c>
      <c r="B5512" t="s">
        <v>116</v>
      </c>
      <c r="C5512" t="str">
        <f>_xlfn.XLOOKUP(B5512,
[1]sales_teams!$A$2:$A$100,
[1]sales_teams!$B$2:$B$100)</f>
        <v>Melvin Marxen</v>
      </c>
      <c r="D5512" t="str">
        <f>_xlfn.XLOOKUP($B5512,sales_teams!$A$2:$A$36,sales_teams!C$2:C$36)</f>
        <v>Central</v>
      </c>
      <c r="E5512" t="s">
        <v>10</v>
      </c>
      <c r="G5512" t="s">
        <v>40</v>
      </c>
      <c r="H5512" s="1">
        <v>42946</v>
      </c>
    </row>
    <row r="5513" spans="1:10" x14ac:dyDescent="0.3">
      <c r="A5513" t="s">
        <v>5644</v>
      </c>
      <c r="B5513" t="s">
        <v>116</v>
      </c>
      <c r="C5513" t="str">
        <f>_xlfn.XLOOKUP(B5513,
[1]sales_teams!$A$2:$A$100,
[1]sales_teams!$B$2:$B$100)</f>
        <v>Melvin Marxen</v>
      </c>
      <c r="D5513" t="str">
        <f>_xlfn.XLOOKUP($B5513,sales_teams!$A$2:$A$36,sales_teams!C$2:C$36)</f>
        <v>Central</v>
      </c>
      <c r="E5513" t="s">
        <v>18</v>
      </c>
      <c r="G5513" t="s">
        <v>40</v>
      </c>
      <c r="H5513" s="1">
        <v>42946</v>
      </c>
    </row>
    <row r="5514" spans="1:10" x14ac:dyDescent="0.3">
      <c r="A5514" t="s">
        <v>5645</v>
      </c>
      <c r="B5514" t="s">
        <v>51</v>
      </c>
      <c r="C5514" t="str">
        <f>_xlfn.XLOOKUP(B5514,
[1]sales_teams!$A$2:$A$100,
[1]sales_teams!$B$2:$B$100)</f>
        <v>Summer Sewald</v>
      </c>
      <c r="D5514" t="str">
        <f>_xlfn.XLOOKUP($B5514,sales_teams!$A$2:$A$36,sales_teams!C$2:C$36)</f>
        <v>West</v>
      </c>
      <c r="E5514" t="s">
        <v>10</v>
      </c>
      <c r="G5514" t="s">
        <v>40</v>
      </c>
      <c r="H5514" s="1">
        <v>42946</v>
      </c>
    </row>
    <row r="5515" spans="1:10" x14ac:dyDescent="0.3">
      <c r="A5515" t="s">
        <v>5646</v>
      </c>
      <c r="B5515" t="s">
        <v>51</v>
      </c>
      <c r="C5515" t="str">
        <f>_xlfn.XLOOKUP(B5515,
[1]sales_teams!$A$2:$A$100,
[1]sales_teams!$B$2:$B$100)</f>
        <v>Summer Sewald</v>
      </c>
      <c r="D5515" t="str">
        <f>_xlfn.XLOOKUP($B5515,sales_teams!$A$2:$A$36,sales_teams!C$2:C$36)</f>
        <v>West</v>
      </c>
      <c r="E5515" t="s">
        <v>15</v>
      </c>
      <c r="F5515" t="s">
        <v>157</v>
      </c>
      <c r="G5515" t="s">
        <v>12</v>
      </c>
      <c r="H5515" s="1">
        <v>42946</v>
      </c>
      <c r="I5515" s="1">
        <v>42947</v>
      </c>
      <c r="J5515">
        <v>4913</v>
      </c>
    </row>
    <row r="5516" spans="1:10" x14ac:dyDescent="0.3">
      <c r="A5516" t="s">
        <v>5647</v>
      </c>
      <c r="B5516" t="s">
        <v>9</v>
      </c>
      <c r="C5516" t="str">
        <f>_xlfn.XLOOKUP(B5516,
[1]sales_teams!$A$2:$A$100,
[1]sales_teams!$B$2:$B$100)</f>
        <v>Dustin Brinkmann</v>
      </c>
      <c r="D5516" t="str">
        <f>_xlfn.XLOOKUP($B5516,sales_teams!$A$2:$A$36,sales_teams!C$2:C$36)</f>
        <v>Central</v>
      </c>
      <c r="E5516" t="s">
        <v>20</v>
      </c>
      <c r="G5516" t="s">
        <v>40</v>
      </c>
      <c r="H5516" s="1">
        <v>42946</v>
      </c>
    </row>
    <row r="5517" spans="1:10" x14ac:dyDescent="0.3">
      <c r="A5517" t="s">
        <v>5648</v>
      </c>
      <c r="B5517" t="s">
        <v>9</v>
      </c>
      <c r="C5517" t="str">
        <f>_xlfn.XLOOKUP(B5517,
[1]sales_teams!$A$2:$A$100,
[1]sales_teams!$B$2:$B$100)</f>
        <v>Dustin Brinkmann</v>
      </c>
      <c r="D5517" t="str">
        <f>_xlfn.XLOOKUP($B5517,sales_teams!$A$2:$A$36,sales_teams!C$2:C$36)</f>
        <v>Central</v>
      </c>
      <c r="E5517" t="s">
        <v>18</v>
      </c>
      <c r="F5517" t="s">
        <v>168</v>
      </c>
      <c r="G5517" t="s">
        <v>40</v>
      </c>
      <c r="H5517" s="1">
        <v>42946</v>
      </c>
    </row>
    <row r="5518" spans="1:10" x14ac:dyDescent="0.3">
      <c r="A5518" t="s">
        <v>5649</v>
      </c>
      <c r="B5518" t="s">
        <v>9</v>
      </c>
      <c r="C5518" t="str">
        <f>_xlfn.XLOOKUP(B5518,
[1]sales_teams!$A$2:$A$100,
[1]sales_teams!$B$2:$B$100)</f>
        <v>Dustin Brinkmann</v>
      </c>
      <c r="D5518" t="str">
        <f>_xlfn.XLOOKUP($B5518,sales_teams!$A$2:$A$36,sales_teams!C$2:C$36)</f>
        <v>Central</v>
      </c>
      <c r="E5518" t="s">
        <v>39</v>
      </c>
      <c r="F5518" t="s">
        <v>126</v>
      </c>
      <c r="G5518" t="s">
        <v>12</v>
      </c>
      <c r="H5518" s="1">
        <v>42946</v>
      </c>
      <c r="I5518" s="1">
        <v>42997</v>
      </c>
      <c r="J5518">
        <v>3457</v>
      </c>
    </row>
    <row r="5519" spans="1:10" x14ac:dyDescent="0.3">
      <c r="A5519" t="s">
        <v>5650</v>
      </c>
      <c r="B5519" t="s">
        <v>35</v>
      </c>
      <c r="C5519" t="str">
        <f>_xlfn.XLOOKUP(B5519,
[1]sales_teams!$A$2:$A$100,
[1]sales_teams!$B$2:$B$100)</f>
        <v>Melvin Marxen</v>
      </c>
      <c r="D5519" t="str">
        <f>_xlfn.XLOOKUP($B5519,sales_teams!$A$2:$A$36,sales_teams!C$2:C$36)</f>
        <v>Central</v>
      </c>
      <c r="E5519" t="s">
        <v>20</v>
      </c>
      <c r="F5519" t="s">
        <v>209</v>
      </c>
      <c r="G5519" t="s">
        <v>40</v>
      </c>
      <c r="H5519" s="1">
        <v>42946</v>
      </c>
    </row>
    <row r="5520" spans="1:10" x14ac:dyDescent="0.3">
      <c r="A5520" t="s">
        <v>5651</v>
      </c>
      <c r="B5520" t="s">
        <v>35</v>
      </c>
      <c r="C5520" t="str">
        <f>_xlfn.XLOOKUP(B5520,
[1]sales_teams!$A$2:$A$100,
[1]sales_teams!$B$2:$B$100)</f>
        <v>Melvin Marxen</v>
      </c>
      <c r="D5520" t="str">
        <f>_xlfn.XLOOKUP($B5520,sales_teams!$A$2:$A$36,sales_teams!C$2:C$36)</f>
        <v>Central</v>
      </c>
      <c r="E5520" t="s">
        <v>20</v>
      </c>
      <c r="G5520" t="s">
        <v>40</v>
      </c>
      <c r="H5520" s="1">
        <v>42946</v>
      </c>
    </row>
    <row r="5521" spans="1:10" x14ac:dyDescent="0.3">
      <c r="A5521" t="s">
        <v>5652</v>
      </c>
      <c r="B5521" t="s">
        <v>35</v>
      </c>
      <c r="C5521" t="str">
        <f>_xlfn.XLOOKUP(B5521,
[1]sales_teams!$A$2:$A$100,
[1]sales_teams!$B$2:$B$100)</f>
        <v>Melvin Marxen</v>
      </c>
      <c r="D5521" t="str">
        <f>_xlfn.XLOOKUP($B5521,sales_teams!$A$2:$A$36,sales_teams!C$2:C$36)</f>
        <v>Central</v>
      </c>
      <c r="E5521" t="s">
        <v>10</v>
      </c>
      <c r="F5521" t="s">
        <v>197</v>
      </c>
      <c r="G5521" t="s">
        <v>40</v>
      </c>
      <c r="H5521" s="1">
        <v>42946</v>
      </c>
    </row>
    <row r="5522" spans="1:10" x14ac:dyDescent="0.3">
      <c r="A5522" t="s">
        <v>5653</v>
      </c>
      <c r="B5522" t="s">
        <v>35</v>
      </c>
      <c r="C5522" t="str">
        <f>_xlfn.XLOOKUP(B5522,
[1]sales_teams!$A$2:$A$100,
[1]sales_teams!$B$2:$B$100)</f>
        <v>Melvin Marxen</v>
      </c>
      <c r="D5522" t="str">
        <f>_xlfn.XLOOKUP($B5522,sales_teams!$A$2:$A$36,sales_teams!C$2:C$36)</f>
        <v>Central</v>
      </c>
      <c r="E5522" t="s">
        <v>18</v>
      </c>
      <c r="G5522" t="s">
        <v>40</v>
      </c>
      <c r="H5522" s="1">
        <v>42946</v>
      </c>
    </row>
    <row r="5523" spans="1:10" x14ac:dyDescent="0.3">
      <c r="A5523" t="s">
        <v>5654</v>
      </c>
      <c r="B5523" t="s">
        <v>97</v>
      </c>
      <c r="C5523" t="str">
        <f>_xlfn.XLOOKUP(B5523,
[1]sales_teams!$A$2:$A$100,
[1]sales_teams!$B$2:$B$100)</f>
        <v>Rocco Neubert</v>
      </c>
      <c r="D5523" t="str">
        <f>_xlfn.XLOOKUP($B5523,sales_teams!$A$2:$A$36,sales_teams!C$2:C$36)</f>
        <v>East</v>
      </c>
      <c r="E5523" t="s">
        <v>48</v>
      </c>
      <c r="F5523" t="s">
        <v>140</v>
      </c>
      <c r="G5523" t="s">
        <v>12</v>
      </c>
      <c r="H5523" s="1">
        <v>42946</v>
      </c>
      <c r="I5523" s="1">
        <v>42955</v>
      </c>
      <c r="J5523">
        <v>5204</v>
      </c>
    </row>
    <row r="5524" spans="1:10" x14ac:dyDescent="0.3">
      <c r="A5524" t="s">
        <v>5655</v>
      </c>
      <c r="B5524" t="s">
        <v>88</v>
      </c>
      <c r="C5524" t="str">
        <f>_xlfn.XLOOKUP(B5524,
[1]sales_teams!$A$2:$A$100,
[1]sales_teams!$B$2:$B$100)</f>
        <v>Cara Losch</v>
      </c>
      <c r="D5524" t="str">
        <f>_xlfn.XLOOKUP($B5524,sales_teams!$A$2:$A$36,sales_teams!C$2:C$36)</f>
        <v>East</v>
      </c>
      <c r="E5524" t="s">
        <v>39</v>
      </c>
      <c r="F5524" t="s">
        <v>215</v>
      </c>
      <c r="G5524" t="s">
        <v>12</v>
      </c>
      <c r="H5524" s="1">
        <v>42946</v>
      </c>
      <c r="I5524" s="1">
        <v>42954</v>
      </c>
      <c r="J5524">
        <v>3019</v>
      </c>
    </row>
    <row r="5525" spans="1:10" x14ac:dyDescent="0.3">
      <c r="A5525" t="s">
        <v>5656</v>
      </c>
      <c r="B5525" t="s">
        <v>88</v>
      </c>
      <c r="C5525" t="str">
        <f>_xlfn.XLOOKUP(B5525,
[1]sales_teams!$A$2:$A$100,
[1]sales_teams!$B$2:$B$100)</f>
        <v>Cara Losch</v>
      </c>
      <c r="D5525" t="str">
        <f>_xlfn.XLOOKUP($B5525,sales_teams!$A$2:$A$36,sales_teams!C$2:C$36)</f>
        <v>East</v>
      </c>
      <c r="E5525" t="s">
        <v>39</v>
      </c>
      <c r="F5525" t="s">
        <v>329</v>
      </c>
      <c r="G5525" t="s">
        <v>12</v>
      </c>
      <c r="H5525" s="1">
        <v>42946</v>
      </c>
      <c r="I5525" s="1">
        <v>42965</v>
      </c>
      <c r="J5525">
        <v>3453</v>
      </c>
    </row>
    <row r="5526" spans="1:10" x14ac:dyDescent="0.3">
      <c r="A5526" t="s">
        <v>5657</v>
      </c>
      <c r="B5526" t="s">
        <v>61</v>
      </c>
      <c r="C5526" t="str">
        <f>_xlfn.XLOOKUP(B5526,
[1]sales_teams!$A$2:$A$100,
[1]sales_teams!$B$2:$B$100)</f>
        <v>Dustin Brinkmann</v>
      </c>
      <c r="D5526" t="str">
        <f>_xlfn.XLOOKUP($B5526,sales_teams!$A$2:$A$36,sales_teams!C$2:C$36)</f>
        <v>Central</v>
      </c>
      <c r="E5526" t="s">
        <v>18</v>
      </c>
      <c r="G5526" t="s">
        <v>40</v>
      </c>
      <c r="H5526" s="1">
        <v>42946</v>
      </c>
    </row>
    <row r="5527" spans="1:10" x14ac:dyDescent="0.3">
      <c r="A5527" t="s">
        <v>5658</v>
      </c>
      <c r="B5527" t="s">
        <v>61</v>
      </c>
      <c r="C5527" t="str">
        <f>_xlfn.XLOOKUP(B5527,
[1]sales_teams!$A$2:$A$100,
[1]sales_teams!$B$2:$B$100)</f>
        <v>Dustin Brinkmann</v>
      </c>
      <c r="D5527" t="str">
        <f>_xlfn.XLOOKUP($B5527,sales_teams!$A$2:$A$36,sales_teams!C$2:C$36)</f>
        <v>Central</v>
      </c>
      <c r="E5527" t="s">
        <v>39</v>
      </c>
      <c r="G5527" t="s">
        <v>40</v>
      </c>
      <c r="H5527" s="1">
        <v>42946</v>
      </c>
    </row>
    <row r="5528" spans="1:10" x14ac:dyDescent="0.3">
      <c r="A5528" t="s">
        <v>5659</v>
      </c>
      <c r="B5528" t="s">
        <v>29</v>
      </c>
      <c r="C5528" t="str">
        <f>_xlfn.XLOOKUP(B5528,
[1]sales_teams!$A$2:$A$100,
[1]sales_teams!$B$2:$B$100)</f>
        <v>Celia Rouche</v>
      </c>
      <c r="D5528" t="str">
        <f>_xlfn.XLOOKUP($B5528,sales_teams!$A$2:$A$36,sales_teams!C$2:C$36)</f>
        <v>West</v>
      </c>
      <c r="E5528" t="s">
        <v>39</v>
      </c>
      <c r="F5528" t="s">
        <v>86</v>
      </c>
      <c r="G5528" t="s">
        <v>12</v>
      </c>
      <c r="H5528" s="1">
        <v>42946</v>
      </c>
      <c r="I5528" s="1">
        <v>43052</v>
      </c>
      <c r="J5528">
        <v>3464</v>
      </c>
    </row>
    <row r="5529" spans="1:10" x14ac:dyDescent="0.3">
      <c r="A5529" t="s">
        <v>5660</v>
      </c>
      <c r="B5529" t="s">
        <v>73</v>
      </c>
      <c r="C5529" t="str">
        <f>_xlfn.XLOOKUP(B5529,
[1]sales_teams!$A$2:$A$100,
[1]sales_teams!$B$2:$B$100)</f>
        <v>Cara Losch</v>
      </c>
      <c r="D5529" t="str">
        <f>_xlfn.XLOOKUP($B5529,sales_teams!$A$2:$A$36,sales_teams!C$2:C$36)</f>
        <v>East</v>
      </c>
      <c r="E5529" t="s">
        <v>18</v>
      </c>
      <c r="G5529" t="s">
        <v>40</v>
      </c>
      <c r="H5529" s="1">
        <v>42946</v>
      </c>
    </row>
    <row r="5530" spans="1:10" x14ac:dyDescent="0.3">
      <c r="A5530" t="s">
        <v>5661</v>
      </c>
      <c r="B5530" t="s">
        <v>73</v>
      </c>
      <c r="C5530" t="str">
        <f>_xlfn.XLOOKUP(B5530,
[1]sales_teams!$A$2:$A$100,
[1]sales_teams!$B$2:$B$100)</f>
        <v>Cara Losch</v>
      </c>
      <c r="D5530" t="str">
        <f>_xlfn.XLOOKUP($B5530,sales_teams!$A$2:$A$36,sales_teams!C$2:C$36)</f>
        <v>East</v>
      </c>
      <c r="E5530" t="s">
        <v>39</v>
      </c>
      <c r="F5530" t="s">
        <v>300</v>
      </c>
      <c r="G5530" t="s">
        <v>12</v>
      </c>
      <c r="H5530" s="1">
        <v>42946</v>
      </c>
      <c r="I5530" s="1">
        <v>42966</v>
      </c>
      <c r="J5530">
        <v>2937</v>
      </c>
    </row>
    <row r="5531" spans="1:10" x14ac:dyDescent="0.3">
      <c r="A5531" t="s">
        <v>5662</v>
      </c>
      <c r="B5531" t="s">
        <v>102</v>
      </c>
      <c r="C5531" t="str">
        <f>_xlfn.XLOOKUP(B5531,
[1]sales_teams!$A$2:$A$100,
[1]sales_teams!$B$2:$B$100)</f>
        <v>Cara Losch</v>
      </c>
      <c r="D5531" t="str">
        <f>_xlfn.XLOOKUP($B5531,sales_teams!$A$2:$A$36,sales_teams!C$2:C$36)</f>
        <v>East</v>
      </c>
      <c r="E5531" t="s">
        <v>20</v>
      </c>
      <c r="F5531" t="s">
        <v>155</v>
      </c>
      <c r="G5531" t="s">
        <v>12</v>
      </c>
      <c r="H5531" s="1">
        <v>42946</v>
      </c>
      <c r="I5531" s="1">
        <v>42962</v>
      </c>
      <c r="J5531">
        <v>463</v>
      </c>
    </row>
    <row r="5532" spans="1:10" x14ac:dyDescent="0.3">
      <c r="A5532" t="s">
        <v>5663</v>
      </c>
      <c r="B5532" t="s">
        <v>26</v>
      </c>
      <c r="C5532" t="str">
        <f>_xlfn.XLOOKUP(B5532,
[1]sales_teams!$A$2:$A$100,
[1]sales_teams!$B$2:$B$100)</f>
        <v>Dustin Brinkmann</v>
      </c>
      <c r="D5532" t="str">
        <f>_xlfn.XLOOKUP($B5532,sales_teams!$A$2:$A$36,sales_teams!C$2:C$36)</f>
        <v>Central</v>
      </c>
      <c r="E5532" t="s">
        <v>18</v>
      </c>
      <c r="F5532" t="s">
        <v>151</v>
      </c>
      <c r="G5532" t="s">
        <v>40</v>
      </c>
      <c r="H5532" s="1">
        <v>42947</v>
      </c>
    </row>
    <row r="5533" spans="1:10" x14ac:dyDescent="0.3">
      <c r="A5533" t="s">
        <v>5664</v>
      </c>
      <c r="B5533" t="s">
        <v>139</v>
      </c>
      <c r="C5533" t="str">
        <f>_xlfn.XLOOKUP(B5533,
[1]sales_teams!$A$2:$A$100,
[1]sales_teams!$B$2:$B$100)</f>
        <v>Rocco Neubert</v>
      </c>
      <c r="D5533" t="str">
        <f>_xlfn.XLOOKUP($B5533,sales_teams!$A$2:$A$36,sales_teams!C$2:C$36)</f>
        <v>East</v>
      </c>
      <c r="E5533" t="s">
        <v>15</v>
      </c>
      <c r="F5533" t="s">
        <v>745</v>
      </c>
      <c r="G5533" t="s">
        <v>12</v>
      </c>
      <c r="H5533" s="1">
        <v>42947</v>
      </c>
      <c r="I5533" s="1">
        <v>42989</v>
      </c>
      <c r="J5533">
        <v>4096</v>
      </c>
    </row>
    <row r="5534" spans="1:10" x14ac:dyDescent="0.3">
      <c r="A5534" t="s">
        <v>5665</v>
      </c>
      <c r="B5534" t="s">
        <v>202</v>
      </c>
      <c r="C5534" t="str">
        <f>_xlfn.XLOOKUP(B5534,
[1]sales_teams!$A$2:$A$100,
[1]sales_teams!$B$2:$B$100)</f>
        <v>Dustin Brinkmann</v>
      </c>
      <c r="D5534" t="str">
        <f>_xlfn.XLOOKUP($B5534,sales_teams!$A$2:$A$36,sales_teams!C$2:C$36)</f>
        <v>Central</v>
      </c>
      <c r="E5534" t="s">
        <v>39</v>
      </c>
      <c r="G5534" t="s">
        <v>40</v>
      </c>
      <c r="H5534" s="1">
        <v>42947</v>
      </c>
    </row>
    <row r="5535" spans="1:10" x14ac:dyDescent="0.3">
      <c r="A5535" t="s">
        <v>5666</v>
      </c>
      <c r="B5535" t="s">
        <v>14</v>
      </c>
      <c r="C5535" t="str">
        <f>_xlfn.XLOOKUP(B5535,
[1]sales_teams!$A$2:$A$100,
[1]sales_teams!$B$2:$B$100)</f>
        <v>Melvin Marxen</v>
      </c>
      <c r="D5535" t="str">
        <f>_xlfn.XLOOKUP($B5535,sales_teams!$A$2:$A$36,sales_teams!C$2:C$36)</f>
        <v>Central</v>
      </c>
      <c r="E5535" t="s">
        <v>15</v>
      </c>
      <c r="G5535" t="s">
        <v>40</v>
      </c>
      <c r="H5535" s="1">
        <v>42947</v>
      </c>
    </row>
    <row r="5536" spans="1:10" x14ac:dyDescent="0.3">
      <c r="A5536" t="s">
        <v>5667</v>
      </c>
      <c r="B5536" t="s">
        <v>14</v>
      </c>
      <c r="C5536" t="str">
        <f>_xlfn.XLOOKUP(B5536,
[1]sales_teams!$A$2:$A$100,
[1]sales_teams!$B$2:$B$100)</f>
        <v>Melvin Marxen</v>
      </c>
      <c r="D5536" t="str">
        <f>_xlfn.XLOOKUP($B5536,sales_teams!$A$2:$A$36,sales_teams!C$2:C$36)</f>
        <v>Central</v>
      </c>
      <c r="E5536" t="s">
        <v>15</v>
      </c>
      <c r="G5536" t="s">
        <v>40</v>
      </c>
      <c r="H5536" s="1">
        <v>42947</v>
      </c>
    </row>
    <row r="5537" spans="1:10" x14ac:dyDescent="0.3">
      <c r="A5537" t="s">
        <v>5668</v>
      </c>
      <c r="B5537" t="s">
        <v>14</v>
      </c>
      <c r="C5537" t="str">
        <f>_xlfn.XLOOKUP(B5537,
[1]sales_teams!$A$2:$A$100,
[1]sales_teams!$B$2:$B$100)</f>
        <v>Melvin Marxen</v>
      </c>
      <c r="D5537" t="str">
        <f>_xlfn.XLOOKUP($B5537,sales_teams!$A$2:$A$36,sales_teams!C$2:C$36)</f>
        <v>Central</v>
      </c>
      <c r="E5537" t="s">
        <v>18</v>
      </c>
      <c r="G5537" t="s">
        <v>40</v>
      </c>
      <c r="H5537" s="1">
        <v>42947</v>
      </c>
    </row>
    <row r="5538" spans="1:10" x14ac:dyDescent="0.3">
      <c r="A5538" t="s">
        <v>5669</v>
      </c>
      <c r="B5538" t="s">
        <v>44</v>
      </c>
      <c r="C5538" t="str">
        <f>_xlfn.XLOOKUP(B5538,
[1]sales_teams!$A$2:$A$100,
[1]sales_teams!$B$2:$B$100)</f>
        <v>Melvin Marxen</v>
      </c>
      <c r="D5538" t="str">
        <f>_xlfn.XLOOKUP($B5538,sales_teams!$A$2:$A$36,sales_teams!C$2:C$36)</f>
        <v>Central</v>
      </c>
      <c r="E5538" t="s">
        <v>20</v>
      </c>
      <c r="F5538" t="s">
        <v>329</v>
      </c>
      <c r="G5538" t="s">
        <v>40</v>
      </c>
      <c r="H5538" s="1">
        <v>42947</v>
      </c>
    </row>
    <row r="5539" spans="1:10" x14ac:dyDescent="0.3">
      <c r="A5539" t="s">
        <v>5670</v>
      </c>
      <c r="B5539" t="s">
        <v>44</v>
      </c>
      <c r="C5539" t="str">
        <f>_xlfn.XLOOKUP(B5539,
[1]sales_teams!$A$2:$A$100,
[1]sales_teams!$B$2:$B$100)</f>
        <v>Melvin Marxen</v>
      </c>
      <c r="D5539" t="str">
        <f>_xlfn.XLOOKUP($B5539,sales_teams!$A$2:$A$36,sales_teams!C$2:C$36)</f>
        <v>Central</v>
      </c>
      <c r="E5539" t="s">
        <v>39</v>
      </c>
      <c r="F5539" t="s">
        <v>329</v>
      </c>
      <c r="G5539" t="s">
        <v>40</v>
      </c>
      <c r="H5539" s="1">
        <v>42947</v>
      </c>
    </row>
    <row r="5540" spans="1:10" x14ac:dyDescent="0.3">
      <c r="A5540" t="s">
        <v>5671</v>
      </c>
      <c r="B5540" t="s">
        <v>54</v>
      </c>
      <c r="C5540" t="str">
        <f>_xlfn.XLOOKUP(B5540,
[1]sales_teams!$A$2:$A$100,
[1]sales_teams!$B$2:$B$100)</f>
        <v>Celia Rouche</v>
      </c>
      <c r="D5540" t="str">
        <f>_xlfn.XLOOKUP($B5540,sales_teams!$A$2:$A$36,sales_teams!C$2:C$36)</f>
        <v>West</v>
      </c>
      <c r="E5540" t="s">
        <v>39</v>
      </c>
      <c r="G5540" t="s">
        <v>40</v>
      </c>
      <c r="H5540" s="1">
        <v>42947</v>
      </c>
    </row>
    <row r="5541" spans="1:10" x14ac:dyDescent="0.3">
      <c r="A5541" t="s">
        <v>5672</v>
      </c>
      <c r="B5541" t="s">
        <v>38</v>
      </c>
      <c r="C5541" t="str">
        <f>_xlfn.XLOOKUP(B5541,
[1]sales_teams!$A$2:$A$100,
[1]sales_teams!$B$2:$B$100)</f>
        <v>Summer Sewald</v>
      </c>
      <c r="D5541" t="str">
        <f>_xlfn.XLOOKUP($B5541,sales_teams!$A$2:$A$36,sales_teams!C$2:C$36)</f>
        <v>West</v>
      </c>
      <c r="E5541" t="s">
        <v>48</v>
      </c>
      <c r="G5541" t="s">
        <v>40</v>
      </c>
      <c r="H5541" s="1">
        <v>42947</v>
      </c>
    </row>
    <row r="5542" spans="1:10" x14ac:dyDescent="0.3">
      <c r="A5542" t="s">
        <v>5673</v>
      </c>
      <c r="B5542" t="s">
        <v>252</v>
      </c>
      <c r="C5542" t="str">
        <f>_xlfn.XLOOKUP(B5542,
[1]sales_teams!$A$2:$A$100,
[1]sales_teams!$B$2:$B$100)</f>
        <v>Melvin Marxen</v>
      </c>
      <c r="D5542" t="str">
        <f>_xlfn.XLOOKUP($B5542,sales_teams!$A$2:$A$36,sales_teams!C$2:C$36)</f>
        <v>Central</v>
      </c>
      <c r="E5542" t="s">
        <v>20</v>
      </c>
      <c r="G5542" t="s">
        <v>40</v>
      </c>
      <c r="H5542" s="1">
        <v>42947</v>
      </c>
    </row>
    <row r="5543" spans="1:10" x14ac:dyDescent="0.3">
      <c r="A5543" t="s">
        <v>5674</v>
      </c>
      <c r="B5543" t="s">
        <v>133</v>
      </c>
      <c r="C5543" t="str">
        <f>_xlfn.XLOOKUP(B5543,
[1]sales_teams!$A$2:$A$100,
[1]sales_teams!$B$2:$B$100)</f>
        <v>Dustin Brinkmann</v>
      </c>
      <c r="D5543" t="str">
        <f>_xlfn.XLOOKUP($B5543,sales_teams!$A$2:$A$36,sales_teams!C$2:C$36)</f>
        <v>Central</v>
      </c>
      <c r="E5543" t="s">
        <v>20</v>
      </c>
      <c r="G5543" t="s">
        <v>40</v>
      </c>
      <c r="H5543" s="1">
        <v>42947</v>
      </c>
    </row>
    <row r="5544" spans="1:10" x14ac:dyDescent="0.3">
      <c r="A5544" t="s">
        <v>5675</v>
      </c>
      <c r="B5544" t="s">
        <v>133</v>
      </c>
      <c r="C5544" t="str">
        <f>_xlfn.XLOOKUP(B5544,
[1]sales_teams!$A$2:$A$100,
[1]sales_teams!$B$2:$B$100)</f>
        <v>Dustin Brinkmann</v>
      </c>
      <c r="D5544" t="str">
        <f>_xlfn.XLOOKUP($B5544,sales_teams!$A$2:$A$36,sales_teams!C$2:C$36)</f>
        <v>Central</v>
      </c>
      <c r="E5544" t="s">
        <v>10</v>
      </c>
      <c r="G5544" t="s">
        <v>40</v>
      </c>
      <c r="H5544" s="1">
        <v>42947</v>
      </c>
    </row>
    <row r="5545" spans="1:10" x14ac:dyDescent="0.3">
      <c r="A5545" t="s">
        <v>5676</v>
      </c>
      <c r="B5545" t="s">
        <v>133</v>
      </c>
      <c r="C5545" t="str">
        <f>_xlfn.XLOOKUP(B5545,
[1]sales_teams!$A$2:$A$100,
[1]sales_teams!$B$2:$B$100)</f>
        <v>Dustin Brinkmann</v>
      </c>
      <c r="D5545" t="str">
        <f>_xlfn.XLOOKUP($B5545,sales_teams!$A$2:$A$36,sales_teams!C$2:C$36)</f>
        <v>Central</v>
      </c>
      <c r="E5545" t="s">
        <v>39</v>
      </c>
      <c r="F5545" t="s">
        <v>98</v>
      </c>
      <c r="G5545" t="s">
        <v>40</v>
      </c>
      <c r="H5545" s="1">
        <v>42947</v>
      </c>
    </row>
    <row r="5546" spans="1:10" x14ac:dyDescent="0.3">
      <c r="A5546" t="s">
        <v>5677</v>
      </c>
      <c r="B5546" t="s">
        <v>133</v>
      </c>
      <c r="C5546" t="str">
        <f>_xlfn.XLOOKUP(B5546,
[1]sales_teams!$A$2:$A$100,
[1]sales_teams!$B$2:$B$100)</f>
        <v>Dustin Brinkmann</v>
      </c>
      <c r="D5546" t="str">
        <f>_xlfn.XLOOKUP($B5546,sales_teams!$A$2:$A$36,sales_teams!C$2:C$36)</f>
        <v>Central</v>
      </c>
      <c r="E5546" t="s">
        <v>39</v>
      </c>
      <c r="G5546" t="s">
        <v>40</v>
      </c>
      <c r="H5546" s="1">
        <v>42947</v>
      </c>
    </row>
    <row r="5547" spans="1:10" x14ac:dyDescent="0.3">
      <c r="A5547" t="s">
        <v>5678</v>
      </c>
      <c r="B5547" t="s">
        <v>32</v>
      </c>
      <c r="C5547" t="str">
        <f>_xlfn.XLOOKUP(B5547,
[1]sales_teams!$A$2:$A$100,
[1]sales_teams!$B$2:$B$100)</f>
        <v>Celia Rouche</v>
      </c>
      <c r="D5547" t="str">
        <f>_xlfn.XLOOKUP($B5547,sales_teams!$A$2:$A$36,sales_teams!C$2:C$36)</f>
        <v>West</v>
      </c>
      <c r="E5547" t="s">
        <v>48</v>
      </c>
      <c r="G5547" t="s">
        <v>40</v>
      </c>
      <c r="H5547" s="1">
        <v>42947</v>
      </c>
    </row>
    <row r="5548" spans="1:10" x14ac:dyDescent="0.3">
      <c r="A5548" t="s">
        <v>5679</v>
      </c>
      <c r="B5548" t="s">
        <v>32</v>
      </c>
      <c r="C5548" t="str">
        <f>_xlfn.XLOOKUP(B5548,
[1]sales_teams!$A$2:$A$100,
[1]sales_teams!$B$2:$B$100)</f>
        <v>Celia Rouche</v>
      </c>
      <c r="D5548" t="str">
        <f>_xlfn.XLOOKUP($B5548,sales_teams!$A$2:$A$36,sales_teams!C$2:C$36)</f>
        <v>West</v>
      </c>
      <c r="E5548" t="s">
        <v>10</v>
      </c>
      <c r="F5548" t="s">
        <v>124</v>
      </c>
      <c r="G5548" t="s">
        <v>46</v>
      </c>
      <c r="H5548" s="1">
        <v>42947</v>
      </c>
      <c r="I5548" s="1">
        <v>42951</v>
      </c>
      <c r="J5548">
        <v>0</v>
      </c>
    </row>
    <row r="5549" spans="1:10" x14ac:dyDescent="0.3">
      <c r="A5549" t="s">
        <v>5680</v>
      </c>
      <c r="B5549" t="s">
        <v>32</v>
      </c>
      <c r="C5549" t="str">
        <f>_xlfn.XLOOKUP(B5549,
[1]sales_teams!$A$2:$A$100,
[1]sales_teams!$B$2:$B$100)</f>
        <v>Celia Rouche</v>
      </c>
      <c r="D5549" t="str">
        <f>_xlfn.XLOOKUP($B5549,sales_teams!$A$2:$A$36,sales_teams!C$2:C$36)</f>
        <v>West</v>
      </c>
      <c r="E5549" t="s">
        <v>15</v>
      </c>
      <c r="F5549" t="s">
        <v>159</v>
      </c>
      <c r="G5549" t="s">
        <v>46</v>
      </c>
      <c r="H5549" s="1">
        <v>42947</v>
      </c>
      <c r="I5549" s="1">
        <v>43062</v>
      </c>
      <c r="J5549">
        <v>0</v>
      </c>
    </row>
    <row r="5550" spans="1:10" x14ac:dyDescent="0.3">
      <c r="A5550" t="s">
        <v>5681</v>
      </c>
      <c r="B5550" t="s">
        <v>32</v>
      </c>
      <c r="C5550" t="str">
        <f>_xlfn.XLOOKUP(B5550,
[1]sales_teams!$A$2:$A$100,
[1]sales_teams!$B$2:$B$100)</f>
        <v>Celia Rouche</v>
      </c>
      <c r="D5550" t="str">
        <f>_xlfn.XLOOKUP($B5550,sales_teams!$A$2:$A$36,sales_teams!C$2:C$36)</f>
        <v>West</v>
      </c>
      <c r="E5550" t="s">
        <v>39</v>
      </c>
      <c r="F5550" t="s">
        <v>49</v>
      </c>
      <c r="G5550" t="s">
        <v>12</v>
      </c>
      <c r="H5550" s="1">
        <v>42947</v>
      </c>
      <c r="I5550" s="1">
        <v>42957</v>
      </c>
      <c r="J5550">
        <v>3187</v>
      </c>
    </row>
    <row r="5551" spans="1:10" x14ac:dyDescent="0.3">
      <c r="A5551" t="s">
        <v>5682</v>
      </c>
      <c r="B5551" t="s">
        <v>116</v>
      </c>
      <c r="C5551" t="str">
        <f>_xlfn.XLOOKUP(B5551,
[1]sales_teams!$A$2:$A$100,
[1]sales_teams!$B$2:$B$100)</f>
        <v>Melvin Marxen</v>
      </c>
      <c r="D5551" t="str">
        <f>_xlfn.XLOOKUP($B5551,sales_teams!$A$2:$A$36,sales_teams!C$2:C$36)</f>
        <v>Central</v>
      </c>
      <c r="E5551" t="s">
        <v>10</v>
      </c>
      <c r="G5551" t="s">
        <v>40</v>
      </c>
      <c r="H5551" s="1">
        <v>42947</v>
      </c>
    </row>
    <row r="5552" spans="1:10" x14ac:dyDescent="0.3">
      <c r="A5552" t="s">
        <v>5683</v>
      </c>
      <c r="B5552" t="s">
        <v>9</v>
      </c>
      <c r="C5552" t="str">
        <f>_xlfn.XLOOKUP(B5552,
[1]sales_teams!$A$2:$A$100,
[1]sales_teams!$B$2:$B$100)</f>
        <v>Dustin Brinkmann</v>
      </c>
      <c r="D5552" t="str">
        <f>_xlfn.XLOOKUP($B5552,sales_teams!$A$2:$A$36,sales_teams!C$2:C$36)</f>
        <v>Central</v>
      </c>
      <c r="E5552" t="s">
        <v>10</v>
      </c>
      <c r="G5552" t="s">
        <v>40</v>
      </c>
      <c r="H5552" s="1">
        <v>42947</v>
      </c>
    </row>
    <row r="5553" spans="1:10" x14ac:dyDescent="0.3">
      <c r="A5553" t="s">
        <v>5684</v>
      </c>
      <c r="B5553" t="s">
        <v>9</v>
      </c>
      <c r="C5553" t="str">
        <f>_xlfn.XLOOKUP(B5553,
[1]sales_teams!$A$2:$A$100,
[1]sales_teams!$B$2:$B$100)</f>
        <v>Dustin Brinkmann</v>
      </c>
      <c r="D5553" t="str">
        <f>_xlfn.XLOOKUP($B5553,sales_teams!$A$2:$A$36,sales_teams!C$2:C$36)</f>
        <v>Central</v>
      </c>
      <c r="E5553" t="s">
        <v>39</v>
      </c>
      <c r="G5553" t="s">
        <v>40</v>
      </c>
      <c r="H5553" s="1">
        <v>42947</v>
      </c>
    </row>
    <row r="5554" spans="1:10" x14ac:dyDescent="0.3">
      <c r="A5554" t="s">
        <v>5685</v>
      </c>
      <c r="B5554" t="s">
        <v>9</v>
      </c>
      <c r="C5554" t="str">
        <f>_xlfn.XLOOKUP(B5554,
[1]sales_teams!$A$2:$A$100,
[1]sales_teams!$B$2:$B$100)</f>
        <v>Dustin Brinkmann</v>
      </c>
      <c r="D5554" t="str">
        <f>_xlfn.XLOOKUP($B5554,sales_teams!$A$2:$A$36,sales_teams!C$2:C$36)</f>
        <v>Central</v>
      </c>
      <c r="E5554" t="s">
        <v>18</v>
      </c>
      <c r="F5554" t="s">
        <v>11</v>
      </c>
      <c r="G5554" t="s">
        <v>46</v>
      </c>
      <c r="H5554" s="1">
        <v>42947</v>
      </c>
      <c r="I5554" s="1">
        <v>43041</v>
      </c>
      <c r="J5554">
        <v>0</v>
      </c>
    </row>
    <row r="5555" spans="1:10" x14ac:dyDescent="0.3">
      <c r="A5555" t="s">
        <v>5686</v>
      </c>
      <c r="B5555" t="s">
        <v>9</v>
      </c>
      <c r="C5555" t="str">
        <f>_xlfn.XLOOKUP(B5555,
[1]sales_teams!$A$2:$A$100,
[1]sales_teams!$B$2:$B$100)</f>
        <v>Dustin Brinkmann</v>
      </c>
      <c r="D5555" t="str">
        <f>_xlfn.XLOOKUP($B5555,sales_teams!$A$2:$A$36,sales_teams!C$2:C$36)</f>
        <v>Central</v>
      </c>
      <c r="E5555" t="s">
        <v>48</v>
      </c>
      <c r="F5555" t="s">
        <v>151</v>
      </c>
      <c r="G5555" t="s">
        <v>12</v>
      </c>
      <c r="H5555" s="1">
        <v>42947</v>
      </c>
      <c r="I5555" s="1">
        <v>43049</v>
      </c>
      <c r="J5555">
        <v>5234</v>
      </c>
    </row>
    <row r="5556" spans="1:10" x14ac:dyDescent="0.3">
      <c r="A5556" t="s">
        <v>5687</v>
      </c>
      <c r="B5556" t="s">
        <v>35</v>
      </c>
      <c r="C5556" t="str">
        <f>_xlfn.XLOOKUP(B5556,
[1]sales_teams!$A$2:$A$100,
[1]sales_teams!$B$2:$B$100)</f>
        <v>Melvin Marxen</v>
      </c>
      <c r="D5556" t="str">
        <f>_xlfn.XLOOKUP($B5556,sales_teams!$A$2:$A$36,sales_teams!C$2:C$36)</f>
        <v>Central</v>
      </c>
      <c r="E5556" t="s">
        <v>20</v>
      </c>
      <c r="F5556" t="s">
        <v>155</v>
      </c>
      <c r="G5556" t="s">
        <v>40</v>
      </c>
      <c r="H5556" s="1">
        <v>42947</v>
      </c>
    </row>
    <row r="5557" spans="1:10" x14ac:dyDescent="0.3">
      <c r="A5557" t="s">
        <v>5688</v>
      </c>
      <c r="B5557" t="s">
        <v>35</v>
      </c>
      <c r="C5557" t="str">
        <f>_xlfn.XLOOKUP(B5557,
[1]sales_teams!$A$2:$A$100,
[1]sales_teams!$B$2:$B$100)</f>
        <v>Melvin Marxen</v>
      </c>
      <c r="D5557" t="str">
        <f>_xlfn.XLOOKUP($B5557,sales_teams!$A$2:$A$36,sales_teams!C$2:C$36)</f>
        <v>Central</v>
      </c>
      <c r="E5557" t="s">
        <v>10</v>
      </c>
      <c r="G5557" t="s">
        <v>40</v>
      </c>
      <c r="H5557" s="1">
        <v>42947</v>
      </c>
    </row>
    <row r="5558" spans="1:10" x14ac:dyDescent="0.3">
      <c r="A5558" t="s">
        <v>5689</v>
      </c>
      <c r="B5558" t="s">
        <v>97</v>
      </c>
      <c r="C5558" t="str">
        <f>_xlfn.XLOOKUP(B5558,
[1]sales_teams!$A$2:$A$100,
[1]sales_teams!$B$2:$B$100)</f>
        <v>Rocco Neubert</v>
      </c>
      <c r="D5558" t="str">
        <f>_xlfn.XLOOKUP($B5558,sales_teams!$A$2:$A$36,sales_teams!C$2:C$36)</f>
        <v>East</v>
      </c>
      <c r="E5558" t="s">
        <v>48</v>
      </c>
      <c r="F5558" t="s">
        <v>89</v>
      </c>
      <c r="G5558" t="s">
        <v>12</v>
      </c>
      <c r="H5558" s="1">
        <v>42947</v>
      </c>
      <c r="I5558" s="1">
        <v>43006</v>
      </c>
      <c r="J5558">
        <v>6180</v>
      </c>
    </row>
    <row r="5559" spans="1:10" x14ac:dyDescent="0.3">
      <c r="A5559" t="s">
        <v>5690</v>
      </c>
      <c r="B5559" t="s">
        <v>61</v>
      </c>
      <c r="C5559" t="str">
        <f>_xlfn.XLOOKUP(B5559,
[1]sales_teams!$A$2:$A$100,
[1]sales_teams!$B$2:$B$100)</f>
        <v>Dustin Brinkmann</v>
      </c>
      <c r="D5559" t="str">
        <f>_xlfn.XLOOKUP($B5559,sales_teams!$A$2:$A$36,sales_teams!C$2:C$36)</f>
        <v>Central</v>
      </c>
      <c r="E5559" t="s">
        <v>18</v>
      </c>
      <c r="G5559" t="s">
        <v>40</v>
      </c>
      <c r="H5559" s="1">
        <v>42947</v>
      </c>
    </row>
    <row r="5560" spans="1:10" x14ac:dyDescent="0.3">
      <c r="A5560" t="s">
        <v>5691</v>
      </c>
      <c r="B5560" t="s">
        <v>61</v>
      </c>
      <c r="C5560" t="str">
        <f>_xlfn.XLOOKUP(B5560,
[1]sales_teams!$A$2:$A$100,
[1]sales_teams!$B$2:$B$100)</f>
        <v>Dustin Brinkmann</v>
      </c>
      <c r="D5560" t="str">
        <f>_xlfn.XLOOKUP($B5560,sales_teams!$A$2:$A$36,sales_teams!C$2:C$36)</f>
        <v>Central</v>
      </c>
      <c r="E5560" t="s">
        <v>18</v>
      </c>
      <c r="F5560" t="s">
        <v>318</v>
      </c>
      <c r="G5560" t="s">
        <v>12</v>
      </c>
      <c r="H5560" s="1">
        <v>42947</v>
      </c>
      <c r="I5560" s="1">
        <v>42957</v>
      </c>
      <c r="J5560">
        <v>53</v>
      </c>
    </row>
    <row r="5561" spans="1:10" x14ac:dyDescent="0.3">
      <c r="A5561" t="s">
        <v>5692</v>
      </c>
      <c r="B5561" t="s">
        <v>29</v>
      </c>
      <c r="C5561" t="str">
        <f>_xlfn.XLOOKUP(B5561,
[1]sales_teams!$A$2:$A$100,
[1]sales_teams!$B$2:$B$100)</f>
        <v>Celia Rouche</v>
      </c>
      <c r="D5561" t="str">
        <f>_xlfn.XLOOKUP($B5561,sales_teams!$A$2:$A$36,sales_teams!C$2:C$36)</f>
        <v>West</v>
      </c>
      <c r="E5561" t="s">
        <v>18</v>
      </c>
      <c r="F5561" t="s">
        <v>199</v>
      </c>
      <c r="G5561" t="s">
        <v>46</v>
      </c>
      <c r="H5561" s="1">
        <v>42947</v>
      </c>
      <c r="I5561" s="1">
        <v>42952</v>
      </c>
      <c r="J5561">
        <v>0</v>
      </c>
    </row>
    <row r="5562" spans="1:10" x14ac:dyDescent="0.3">
      <c r="A5562" t="s">
        <v>5693</v>
      </c>
      <c r="B5562" t="s">
        <v>29</v>
      </c>
      <c r="C5562" t="str">
        <f>_xlfn.XLOOKUP(B5562,
[1]sales_teams!$A$2:$A$100,
[1]sales_teams!$B$2:$B$100)</f>
        <v>Celia Rouche</v>
      </c>
      <c r="D5562" t="str">
        <f>_xlfn.XLOOKUP($B5562,sales_teams!$A$2:$A$36,sales_teams!C$2:C$36)</f>
        <v>West</v>
      </c>
      <c r="E5562" t="s">
        <v>39</v>
      </c>
      <c r="F5562" t="s">
        <v>33</v>
      </c>
      <c r="G5562" t="s">
        <v>12</v>
      </c>
      <c r="H5562" s="1">
        <v>42947</v>
      </c>
      <c r="I5562" s="1">
        <v>42959</v>
      </c>
      <c r="J5562">
        <v>3687</v>
      </c>
    </row>
    <row r="5563" spans="1:10" x14ac:dyDescent="0.3">
      <c r="A5563" t="s">
        <v>5694</v>
      </c>
      <c r="B5563" t="s">
        <v>73</v>
      </c>
      <c r="C5563" t="str">
        <f>_xlfn.XLOOKUP(B5563,
[1]sales_teams!$A$2:$A$100,
[1]sales_teams!$B$2:$B$100)</f>
        <v>Cara Losch</v>
      </c>
      <c r="D5563" t="str">
        <f>_xlfn.XLOOKUP($B5563,sales_teams!$A$2:$A$36,sales_teams!C$2:C$36)</f>
        <v>East</v>
      </c>
      <c r="E5563" t="s">
        <v>18</v>
      </c>
      <c r="G5563" t="s">
        <v>40</v>
      </c>
      <c r="H5563" s="1">
        <v>42947</v>
      </c>
    </row>
    <row r="5564" spans="1:10" x14ac:dyDescent="0.3">
      <c r="A5564" t="s">
        <v>5695</v>
      </c>
      <c r="B5564" t="s">
        <v>23</v>
      </c>
      <c r="C5564" t="str">
        <f>_xlfn.XLOOKUP(B5564,
[1]sales_teams!$A$2:$A$100,
[1]sales_teams!$B$2:$B$100)</f>
        <v>Summer Sewald</v>
      </c>
      <c r="D5564" t="str">
        <f>_xlfn.XLOOKUP($B5564,sales_teams!$A$2:$A$36,sales_teams!C$2:C$36)</f>
        <v>West</v>
      </c>
      <c r="E5564" t="s">
        <v>15</v>
      </c>
      <c r="F5564" t="s">
        <v>199</v>
      </c>
      <c r="G5564" t="s">
        <v>12</v>
      </c>
      <c r="H5564" s="1">
        <v>42947</v>
      </c>
      <c r="I5564" s="1">
        <v>42967</v>
      </c>
      <c r="J5564">
        <v>6069</v>
      </c>
    </row>
    <row r="5565" spans="1:10" x14ac:dyDescent="0.3">
      <c r="A5565" t="s">
        <v>5696</v>
      </c>
      <c r="B5565" t="s">
        <v>26</v>
      </c>
      <c r="C5565" t="str">
        <f>_xlfn.XLOOKUP(B5565,
[1]sales_teams!$A$2:$A$100,
[1]sales_teams!$B$2:$B$100)</f>
        <v>Dustin Brinkmann</v>
      </c>
      <c r="D5565" t="str">
        <f>_xlfn.XLOOKUP($B5565,sales_teams!$A$2:$A$36,sales_teams!C$2:C$36)</f>
        <v>Central</v>
      </c>
      <c r="E5565" t="s">
        <v>10</v>
      </c>
      <c r="G5565" t="s">
        <v>40</v>
      </c>
      <c r="H5565" s="1">
        <v>42948</v>
      </c>
    </row>
    <row r="5566" spans="1:10" x14ac:dyDescent="0.3">
      <c r="A5566" t="s">
        <v>5697</v>
      </c>
      <c r="B5566" t="s">
        <v>26</v>
      </c>
      <c r="C5566" t="str">
        <f>_xlfn.XLOOKUP(B5566,
[1]sales_teams!$A$2:$A$100,
[1]sales_teams!$B$2:$B$100)</f>
        <v>Dustin Brinkmann</v>
      </c>
      <c r="D5566" t="str">
        <f>_xlfn.XLOOKUP($B5566,sales_teams!$A$2:$A$36,sales_teams!C$2:C$36)</f>
        <v>Central</v>
      </c>
      <c r="E5566" t="s">
        <v>10</v>
      </c>
      <c r="G5566" t="s">
        <v>40</v>
      </c>
      <c r="H5566" s="1">
        <v>42948</v>
      </c>
    </row>
    <row r="5567" spans="1:10" x14ac:dyDescent="0.3">
      <c r="A5567" t="s">
        <v>5698</v>
      </c>
      <c r="B5567" t="s">
        <v>26</v>
      </c>
      <c r="C5567" t="str">
        <f>_xlfn.XLOOKUP(B5567,
[1]sales_teams!$A$2:$A$100,
[1]sales_teams!$B$2:$B$100)</f>
        <v>Dustin Brinkmann</v>
      </c>
      <c r="D5567" t="str">
        <f>_xlfn.XLOOKUP($B5567,sales_teams!$A$2:$A$36,sales_teams!C$2:C$36)</f>
        <v>Central</v>
      </c>
      <c r="E5567" t="s">
        <v>18</v>
      </c>
      <c r="F5567" t="s">
        <v>168</v>
      </c>
      <c r="G5567" t="s">
        <v>40</v>
      </c>
      <c r="H5567" s="1">
        <v>42948</v>
      </c>
    </row>
    <row r="5568" spans="1:10" x14ac:dyDescent="0.3">
      <c r="A5568" t="s">
        <v>5699</v>
      </c>
      <c r="B5568" t="s">
        <v>26</v>
      </c>
      <c r="C5568" t="str">
        <f>_xlfn.XLOOKUP(B5568,
[1]sales_teams!$A$2:$A$100,
[1]sales_teams!$B$2:$B$100)</f>
        <v>Dustin Brinkmann</v>
      </c>
      <c r="D5568" t="str">
        <f>_xlfn.XLOOKUP($B5568,sales_teams!$A$2:$A$36,sales_teams!C$2:C$36)</f>
        <v>Central</v>
      </c>
      <c r="E5568" t="s">
        <v>18</v>
      </c>
      <c r="G5568" t="s">
        <v>40</v>
      </c>
      <c r="H5568" s="1">
        <v>42948</v>
      </c>
    </row>
    <row r="5569" spans="1:10" x14ac:dyDescent="0.3">
      <c r="A5569" t="s">
        <v>5700</v>
      </c>
      <c r="B5569" t="s">
        <v>26</v>
      </c>
      <c r="C5569" t="str">
        <f>_xlfn.XLOOKUP(B5569,
[1]sales_teams!$A$2:$A$100,
[1]sales_teams!$B$2:$B$100)</f>
        <v>Dustin Brinkmann</v>
      </c>
      <c r="D5569" t="str">
        <f>_xlfn.XLOOKUP($B5569,sales_teams!$A$2:$A$36,sales_teams!C$2:C$36)</f>
        <v>Central</v>
      </c>
      <c r="E5569" t="s">
        <v>10</v>
      </c>
      <c r="F5569" t="s">
        <v>45</v>
      </c>
      <c r="G5569" t="s">
        <v>46</v>
      </c>
      <c r="H5569" s="1">
        <v>42948</v>
      </c>
      <c r="I5569" s="1">
        <v>42958</v>
      </c>
      <c r="J5569">
        <v>0</v>
      </c>
    </row>
    <row r="5570" spans="1:10" x14ac:dyDescent="0.3">
      <c r="A5570" t="s">
        <v>5701</v>
      </c>
      <c r="B5570" t="s">
        <v>26</v>
      </c>
      <c r="C5570" t="str">
        <f>_xlfn.XLOOKUP(B5570,
[1]sales_teams!$A$2:$A$100,
[1]sales_teams!$B$2:$B$100)</f>
        <v>Dustin Brinkmann</v>
      </c>
      <c r="D5570" t="str">
        <f>_xlfn.XLOOKUP($B5570,sales_teams!$A$2:$A$36,sales_teams!C$2:C$36)</f>
        <v>Central</v>
      </c>
      <c r="E5570" t="s">
        <v>39</v>
      </c>
      <c r="F5570" t="s">
        <v>113</v>
      </c>
      <c r="G5570" t="s">
        <v>12</v>
      </c>
      <c r="H5570" s="1">
        <v>42948</v>
      </c>
      <c r="I5570" s="1">
        <v>42963</v>
      </c>
      <c r="J5570">
        <v>3452</v>
      </c>
    </row>
    <row r="5571" spans="1:10" x14ac:dyDescent="0.3">
      <c r="A5571" t="s">
        <v>5702</v>
      </c>
      <c r="B5571" t="s">
        <v>118</v>
      </c>
      <c r="C5571" t="str">
        <f>_xlfn.XLOOKUP(B5571,
[1]sales_teams!$A$2:$A$100,
[1]sales_teams!$B$2:$B$100)</f>
        <v>Rocco Neubert</v>
      </c>
      <c r="D5571" t="str">
        <f>_xlfn.XLOOKUP($B5571,sales_teams!$A$2:$A$36,sales_teams!C$2:C$36)</f>
        <v>East</v>
      </c>
      <c r="E5571" t="s">
        <v>39</v>
      </c>
      <c r="G5571" t="s">
        <v>40</v>
      </c>
      <c r="H5571" s="1">
        <v>42948</v>
      </c>
    </row>
    <row r="5572" spans="1:10" x14ac:dyDescent="0.3">
      <c r="A5572" t="s">
        <v>5703</v>
      </c>
      <c r="B5572" t="s">
        <v>118</v>
      </c>
      <c r="C5572" t="str">
        <f>_xlfn.XLOOKUP(B5572,
[1]sales_teams!$A$2:$A$100,
[1]sales_teams!$B$2:$B$100)</f>
        <v>Rocco Neubert</v>
      </c>
      <c r="D5572" t="str">
        <f>_xlfn.XLOOKUP($B5572,sales_teams!$A$2:$A$36,sales_teams!C$2:C$36)</f>
        <v>East</v>
      </c>
      <c r="E5572" t="s">
        <v>39</v>
      </c>
      <c r="F5572" t="s">
        <v>179</v>
      </c>
      <c r="G5572" t="s">
        <v>12</v>
      </c>
      <c r="H5572" s="1">
        <v>42948</v>
      </c>
      <c r="I5572" s="1">
        <v>42956</v>
      </c>
      <c r="J5572">
        <v>3156</v>
      </c>
    </row>
    <row r="5573" spans="1:10" x14ac:dyDescent="0.3">
      <c r="A5573" t="s">
        <v>5704</v>
      </c>
      <c r="B5573" t="s">
        <v>64</v>
      </c>
      <c r="C5573" t="str">
        <f>_xlfn.XLOOKUP(B5573,
[1]sales_teams!$A$2:$A$100,
[1]sales_teams!$B$2:$B$100)</f>
        <v>Rocco Neubert</v>
      </c>
      <c r="D5573" t="str">
        <f>_xlfn.XLOOKUP($B5573,sales_teams!$A$2:$A$36,sales_teams!C$2:C$36)</f>
        <v>East</v>
      </c>
      <c r="E5573" t="s">
        <v>20</v>
      </c>
      <c r="F5573" t="s">
        <v>237</v>
      </c>
      <c r="G5573" t="s">
        <v>46</v>
      </c>
      <c r="H5573" s="1">
        <v>42948</v>
      </c>
      <c r="I5573" s="1">
        <v>42961</v>
      </c>
      <c r="J5573">
        <v>0</v>
      </c>
    </row>
    <row r="5574" spans="1:10" x14ac:dyDescent="0.3">
      <c r="A5574" t="s">
        <v>5705</v>
      </c>
      <c r="B5574" t="s">
        <v>14</v>
      </c>
      <c r="C5574" t="str">
        <f>_xlfn.XLOOKUP(B5574,
[1]sales_teams!$A$2:$A$100,
[1]sales_teams!$B$2:$B$100)</f>
        <v>Melvin Marxen</v>
      </c>
      <c r="D5574" t="str">
        <f>_xlfn.XLOOKUP($B5574,sales_teams!$A$2:$A$36,sales_teams!C$2:C$36)</f>
        <v>Central</v>
      </c>
      <c r="E5574" t="s">
        <v>15</v>
      </c>
      <c r="G5574" t="s">
        <v>40</v>
      </c>
      <c r="H5574" s="1">
        <v>42948</v>
      </c>
    </row>
    <row r="5575" spans="1:10" x14ac:dyDescent="0.3">
      <c r="A5575" t="s">
        <v>5706</v>
      </c>
      <c r="B5575" t="s">
        <v>14</v>
      </c>
      <c r="C5575" t="str">
        <f>_xlfn.XLOOKUP(B5575,
[1]sales_teams!$A$2:$A$100,
[1]sales_teams!$B$2:$B$100)</f>
        <v>Melvin Marxen</v>
      </c>
      <c r="D5575" t="str">
        <f>_xlfn.XLOOKUP($B5575,sales_teams!$A$2:$A$36,sales_teams!C$2:C$36)</f>
        <v>Central</v>
      </c>
      <c r="E5575" t="s">
        <v>15</v>
      </c>
      <c r="G5575" t="s">
        <v>40</v>
      </c>
      <c r="H5575" s="1">
        <v>42948</v>
      </c>
    </row>
    <row r="5576" spans="1:10" x14ac:dyDescent="0.3">
      <c r="A5576" t="s">
        <v>5707</v>
      </c>
      <c r="B5576" t="s">
        <v>14</v>
      </c>
      <c r="C5576" t="str">
        <f>_xlfn.XLOOKUP(B5576,
[1]sales_teams!$A$2:$A$100,
[1]sales_teams!$B$2:$B$100)</f>
        <v>Melvin Marxen</v>
      </c>
      <c r="D5576" t="str">
        <f>_xlfn.XLOOKUP($B5576,sales_teams!$A$2:$A$36,sales_teams!C$2:C$36)</f>
        <v>Central</v>
      </c>
      <c r="E5576" t="s">
        <v>18</v>
      </c>
      <c r="F5576" t="s">
        <v>126</v>
      </c>
      <c r="G5576" t="s">
        <v>40</v>
      </c>
      <c r="H5576" s="1">
        <v>42948</v>
      </c>
    </row>
    <row r="5577" spans="1:10" x14ac:dyDescent="0.3">
      <c r="A5577" t="s">
        <v>5708</v>
      </c>
      <c r="B5577" t="s">
        <v>14</v>
      </c>
      <c r="C5577" t="str">
        <f>_xlfn.XLOOKUP(B5577,
[1]sales_teams!$A$2:$A$100,
[1]sales_teams!$B$2:$B$100)</f>
        <v>Melvin Marxen</v>
      </c>
      <c r="D5577" t="str">
        <f>_xlfn.XLOOKUP($B5577,sales_teams!$A$2:$A$36,sales_teams!C$2:C$36)</f>
        <v>Central</v>
      </c>
      <c r="E5577" t="s">
        <v>18</v>
      </c>
      <c r="G5577" t="s">
        <v>40</v>
      </c>
      <c r="H5577" s="1">
        <v>42948</v>
      </c>
    </row>
    <row r="5578" spans="1:10" x14ac:dyDescent="0.3">
      <c r="A5578" t="s">
        <v>5709</v>
      </c>
      <c r="B5578" t="s">
        <v>14</v>
      </c>
      <c r="C5578" t="str">
        <f>_xlfn.XLOOKUP(B5578,
[1]sales_teams!$A$2:$A$100,
[1]sales_teams!$B$2:$B$100)</f>
        <v>Melvin Marxen</v>
      </c>
      <c r="D5578" t="str">
        <f>_xlfn.XLOOKUP($B5578,sales_teams!$A$2:$A$36,sales_teams!C$2:C$36)</f>
        <v>Central</v>
      </c>
      <c r="E5578" t="s">
        <v>39</v>
      </c>
      <c r="F5578" t="s">
        <v>187</v>
      </c>
      <c r="G5578" t="s">
        <v>46</v>
      </c>
      <c r="H5578" s="1">
        <v>42948</v>
      </c>
      <c r="I5578" s="1">
        <v>43062</v>
      </c>
      <c r="J5578">
        <v>0</v>
      </c>
    </row>
    <row r="5579" spans="1:10" x14ac:dyDescent="0.3">
      <c r="A5579" t="s">
        <v>5710</v>
      </c>
      <c r="B5579" t="s">
        <v>44</v>
      </c>
      <c r="C5579" t="str">
        <f>_xlfn.XLOOKUP(B5579,
[1]sales_teams!$A$2:$A$100,
[1]sales_teams!$B$2:$B$100)</f>
        <v>Melvin Marxen</v>
      </c>
      <c r="D5579" t="str">
        <f>_xlfn.XLOOKUP($B5579,sales_teams!$A$2:$A$36,sales_teams!C$2:C$36)</f>
        <v>Central</v>
      </c>
      <c r="E5579" t="s">
        <v>20</v>
      </c>
      <c r="G5579" t="s">
        <v>40</v>
      </c>
      <c r="H5579" s="1">
        <v>42948</v>
      </c>
    </row>
    <row r="5580" spans="1:10" x14ac:dyDescent="0.3">
      <c r="A5580" t="s">
        <v>5711</v>
      </c>
      <c r="B5580" t="s">
        <v>44</v>
      </c>
      <c r="C5580" t="str">
        <f>_xlfn.XLOOKUP(B5580,
[1]sales_teams!$A$2:$A$100,
[1]sales_teams!$B$2:$B$100)</f>
        <v>Melvin Marxen</v>
      </c>
      <c r="D5580" t="str">
        <f>_xlfn.XLOOKUP($B5580,sales_teams!$A$2:$A$36,sales_teams!C$2:C$36)</f>
        <v>Central</v>
      </c>
      <c r="E5580" t="s">
        <v>10</v>
      </c>
      <c r="G5580" t="s">
        <v>40</v>
      </c>
      <c r="H5580" s="1">
        <v>42948</v>
      </c>
    </row>
    <row r="5581" spans="1:10" x14ac:dyDescent="0.3">
      <c r="A5581" t="s">
        <v>5712</v>
      </c>
      <c r="B5581" t="s">
        <v>44</v>
      </c>
      <c r="C5581" t="str">
        <f>_xlfn.XLOOKUP(B5581,
[1]sales_teams!$A$2:$A$100,
[1]sales_teams!$B$2:$B$100)</f>
        <v>Melvin Marxen</v>
      </c>
      <c r="D5581" t="str">
        <f>_xlfn.XLOOKUP($B5581,sales_teams!$A$2:$A$36,sales_teams!C$2:C$36)</f>
        <v>Central</v>
      </c>
      <c r="E5581" t="s">
        <v>18</v>
      </c>
      <c r="G5581" t="s">
        <v>40</v>
      </c>
      <c r="H5581" s="1">
        <v>42948</v>
      </c>
    </row>
    <row r="5582" spans="1:10" x14ac:dyDescent="0.3">
      <c r="A5582" t="s">
        <v>5713</v>
      </c>
      <c r="B5582" t="s">
        <v>44</v>
      </c>
      <c r="C5582" t="str">
        <f>_xlfn.XLOOKUP(B5582,
[1]sales_teams!$A$2:$A$100,
[1]sales_teams!$B$2:$B$100)</f>
        <v>Melvin Marxen</v>
      </c>
      <c r="D5582" t="str">
        <f>_xlfn.XLOOKUP($B5582,sales_teams!$A$2:$A$36,sales_teams!C$2:C$36)</f>
        <v>Central</v>
      </c>
      <c r="E5582" t="s">
        <v>39</v>
      </c>
      <c r="G5582" t="s">
        <v>40</v>
      </c>
      <c r="H5582" s="1">
        <v>42948</v>
      </c>
    </row>
    <row r="5583" spans="1:10" x14ac:dyDescent="0.3">
      <c r="A5583" t="s">
        <v>5714</v>
      </c>
      <c r="B5583" t="s">
        <v>54</v>
      </c>
      <c r="C5583" t="str">
        <f>_xlfn.XLOOKUP(B5583,
[1]sales_teams!$A$2:$A$100,
[1]sales_teams!$B$2:$B$100)</f>
        <v>Celia Rouche</v>
      </c>
      <c r="D5583" t="str">
        <f>_xlfn.XLOOKUP($B5583,sales_teams!$A$2:$A$36,sales_teams!C$2:C$36)</f>
        <v>West</v>
      </c>
      <c r="E5583" t="s">
        <v>10</v>
      </c>
      <c r="G5583" t="s">
        <v>40</v>
      </c>
      <c r="H5583" s="1">
        <v>42948</v>
      </c>
    </row>
    <row r="5584" spans="1:10" x14ac:dyDescent="0.3">
      <c r="A5584" t="s">
        <v>5715</v>
      </c>
      <c r="B5584" t="s">
        <v>54</v>
      </c>
      <c r="C5584" t="str">
        <f>_xlfn.XLOOKUP(B5584,
[1]sales_teams!$A$2:$A$100,
[1]sales_teams!$B$2:$B$100)</f>
        <v>Celia Rouche</v>
      </c>
      <c r="D5584" t="str">
        <f>_xlfn.XLOOKUP($B5584,sales_teams!$A$2:$A$36,sales_teams!C$2:C$36)</f>
        <v>West</v>
      </c>
      <c r="E5584" t="s">
        <v>10</v>
      </c>
      <c r="F5584" t="s">
        <v>68</v>
      </c>
      <c r="G5584" t="s">
        <v>12</v>
      </c>
      <c r="H5584" s="1">
        <v>42948</v>
      </c>
      <c r="I5584" s="1">
        <v>42953</v>
      </c>
      <c r="J5584">
        <v>1157</v>
      </c>
    </row>
    <row r="5585" spans="1:10" x14ac:dyDescent="0.3">
      <c r="A5585" t="s">
        <v>5716</v>
      </c>
      <c r="B5585" t="s">
        <v>38</v>
      </c>
      <c r="C5585" t="str">
        <f>_xlfn.XLOOKUP(B5585,
[1]sales_teams!$A$2:$A$100,
[1]sales_teams!$B$2:$B$100)</f>
        <v>Summer Sewald</v>
      </c>
      <c r="D5585" t="str">
        <f>_xlfn.XLOOKUP($B5585,sales_teams!$A$2:$A$36,sales_teams!C$2:C$36)</f>
        <v>West</v>
      </c>
      <c r="E5585" t="s">
        <v>10</v>
      </c>
      <c r="F5585" t="s">
        <v>124</v>
      </c>
      <c r="G5585" t="s">
        <v>12</v>
      </c>
      <c r="H5585" s="1">
        <v>42948</v>
      </c>
      <c r="I5585" s="1">
        <v>43061</v>
      </c>
      <c r="J5585">
        <v>1040</v>
      </c>
    </row>
    <row r="5586" spans="1:10" x14ac:dyDescent="0.3">
      <c r="A5586" t="s">
        <v>5717</v>
      </c>
      <c r="B5586" t="s">
        <v>252</v>
      </c>
      <c r="C5586" t="str">
        <f>_xlfn.XLOOKUP(B5586,
[1]sales_teams!$A$2:$A$100,
[1]sales_teams!$B$2:$B$100)</f>
        <v>Melvin Marxen</v>
      </c>
      <c r="D5586" t="str">
        <f>_xlfn.XLOOKUP($B5586,sales_teams!$A$2:$A$36,sales_teams!C$2:C$36)</f>
        <v>Central</v>
      </c>
      <c r="E5586" t="s">
        <v>18</v>
      </c>
      <c r="F5586" t="s">
        <v>492</v>
      </c>
      <c r="G5586" t="s">
        <v>12</v>
      </c>
      <c r="H5586" s="1">
        <v>42948</v>
      </c>
      <c r="I5586" s="1">
        <v>43085</v>
      </c>
      <c r="J5586">
        <v>49</v>
      </c>
    </row>
    <row r="5587" spans="1:10" x14ac:dyDescent="0.3">
      <c r="A5587" t="s">
        <v>5718</v>
      </c>
      <c r="B5587" t="s">
        <v>133</v>
      </c>
      <c r="C5587" t="str">
        <f>_xlfn.XLOOKUP(B5587,
[1]sales_teams!$A$2:$A$100,
[1]sales_teams!$B$2:$B$100)</f>
        <v>Dustin Brinkmann</v>
      </c>
      <c r="D5587" t="str">
        <f>_xlfn.XLOOKUP($B5587,sales_teams!$A$2:$A$36,sales_teams!C$2:C$36)</f>
        <v>Central</v>
      </c>
      <c r="E5587" t="s">
        <v>20</v>
      </c>
      <c r="G5587" t="s">
        <v>40</v>
      </c>
      <c r="H5587" s="1">
        <v>42948</v>
      </c>
    </row>
    <row r="5588" spans="1:10" x14ac:dyDescent="0.3">
      <c r="A5588" t="s">
        <v>5719</v>
      </c>
      <c r="B5588" t="s">
        <v>133</v>
      </c>
      <c r="C5588" t="str">
        <f>_xlfn.XLOOKUP(B5588,
[1]sales_teams!$A$2:$A$100,
[1]sales_teams!$B$2:$B$100)</f>
        <v>Dustin Brinkmann</v>
      </c>
      <c r="D5588" t="str">
        <f>_xlfn.XLOOKUP($B5588,sales_teams!$A$2:$A$36,sales_teams!C$2:C$36)</f>
        <v>Central</v>
      </c>
      <c r="E5588" t="s">
        <v>20</v>
      </c>
      <c r="F5588" t="s">
        <v>318</v>
      </c>
      <c r="G5588" t="s">
        <v>12</v>
      </c>
      <c r="H5588" s="1">
        <v>42948</v>
      </c>
      <c r="I5588" s="1">
        <v>42997</v>
      </c>
      <c r="J5588">
        <v>454</v>
      </c>
    </row>
    <row r="5589" spans="1:10" x14ac:dyDescent="0.3">
      <c r="A5589" t="s">
        <v>5720</v>
      </c>
      <c r="B5589" t="s">
        <v>32</v>
      </c>
      <c r="C5589" t="str">
        <f>_xlfn.XLOOKUP(B5589,
[1]sales_teams!$A$2:$A$100,
[1]sales_teams!$B$2:$B$100)</f>
        <v>Celia Rouche</v>
      </c>
      <c r="D5589" t="str">
        <f>_xlfn.XLOOKUP($B5589,sales_teams!$A$2:$A$36,sales_teams!C$2:C$36)</f>
        <v>West</v>
      </c>
      <c r="E5589" t="s">
        <v>10</v>
      </c>
      <c r="F5589" t="s">
        <v>79</v>
      </c>
      <c r="G5589" t="s">
        <v>12</v>
      </c>
      <c r="H5589" s="1">
        <v>42948</v>
      </c>
      <c r="I5589" s="1">
        <v>43057</v>
      </c>
      <c r="J5589">
        <v>1106</v>
      </c>
    </row>
    <row r="5590" spans="1:10" x14ac:dyDescent="0.3">
      <c r="A5590" t="s">
        <v>5721</v>
      </c>
      <c r="B5590" t="s">
        <v>116</v>
      </c>
      <c r="C5590" t="str">
        <f>_xlfn.XLOOKUP(B5590,
[1]sales_teams!$A$2:$A$100,
[1]sales_teams!$B$2:$B$100)</f>
        <v>Melvin Marxen</v>
      </c>
      <c r="D5590" t="str">
        <f>_xlfn.XLOOKUP($B5590,sales_teams!$A$2:$A$36,sales_teams!C$2:C$36)</f>
        <v>Central</v>
      </c>
      <c r="E5590" t="s">
        <v>145</v>
      </c>
      <c r="G5590" t="s">
        <v>40</v>
      </c>
      <c r="H5590" s="1">
        <v>42948</v>
      </c>
    </row>
    <row r="5591" spans="1:10" x14ac:dyDescent="0.3">
      <c r="A5591" t="s">
        <v>5722</v>
      </c>
      <c r="B5591" t="s">
        <v>116</v>
      </c>
      <c r="C5591" t="str">
        <f>_xlfn.XLOOKUP(B5591,
[1]sales_teams!$A$2:$A$100,
[1]sales_teams!$B$2:$B$100)</f>
        <v>Melvin Marxen</v>
      </c>
      <c r="D5591" t="str">
        <f>_xlfn.XLOOKUP($B5591,sales_teams!$A$2:$A$36,sales_teams!C$2:C$36)</f>
        <v>Central</v>
      </c>
      <c r="E5591" t="s">
        <v>48</v>
      </c>
      <c r="G5591" t="s">
        <v>40</v>
      </c>
      <c r="H5591" s="1">
        <v>42948</v>
      </c>
    </row>
    <row r="5592" spans="1:10" x14ac:dyDescent="0.3">
      <c r="A5592" t="s">
        <v>5723</v>
      </c>
      <c r="B5592" t="s">
        <v>116</v>
      </c>
      <c r="C5592" t="str">
        <f>_xlfn.XLOOKUP(B5592,
[1]sales_teams!$A$2:$A$100,
[1]sales_teams!$B$2:$B$100)</f>
        <v>Melvin Marxen</v>
      </c>
      <c r="D5592" t="str">
        <f>_xlfn.XLOOKUP($B5592,sales_teams!$A$2:$A$36,sales_teams!C$2:C$36)</f>
        <v>Central</v>
      </c>
      <c r="E5592" t="s">
        <v>15</v>
      </c>
      <c r="G5592" t="s">
        <v>40</v>
      </c>
      <c r="H5592" s="1">
        <v>42948</v>
      </c>
    </row>
    <row r="5593" spans="1:10" x14ac:dyDescent="0.3">
      <c r="A5593" t="s">
        <v>5724</v>
      </c>
      <c r="B5593" t="s">
        <v>51</v>
      </c>
      <c r="C5593" t="str">
        <f>_xlfn.XLOOKUP(B5593,
[1]sales_teams!$A$2:$A$100,
[1]sales_teams!$B$2:$B$100)</f>
        <v>Summer Sewald</v>
      </c>
      <c r="D5593" t="str">
        <f>_xlfn.XLOOKUP($B5593,sales_teams!$A$2:$A$36,sales_teams!C$2:C$36)</f>
        <v>West</v>
      </c>
      <c r="E5593" t="s">
        <v>10</v>
      </c>
      <c r="F5593" t="s">
        <v>148</v>
      </c>
      <c r="G5593" t="s">
        <v>12</v>
      </c>
      <c r="H5593" s="1">
        <v>42948</v>
      </c>
      <c r="I5593" s="1">
        <v>42955</v>
      </c>
      <c r="J5593">
        <v>1143</v>
      </c>
    </row>
    <row r="5594" spans="1:10" x14ac:dyDescent="0.3">
      <c r="A5594" t="s">
        <v>5725</v>
      </c>
      <c r="B5594" t="s">
        <v>51</v>
      </c>
      <c r="C5594" t="str">
        <f>_xlfn.XLOOKUP(B5594,
[1]sales_teams!$A$2:$A$100,
[1]sales_teams!$B$2:$B$100)</f>
        <v>Summer Sewald</v>
      </c>
      <c r="D5594" t="str">
        <f>_xlfn.XLOOKUP($B5594,sales_teams!$A$2:$A$36,sales_teams!C$2:C$36)</f>
        <v>West</v>
      </c>
      <c r="E5594" t="s">
        <v>48</v>
      </c>
      <c r="F5594" t="s">
        <v>30</v>
      </c>
      <c r="G5594" t="s">
        <v>12</v>
      </c>
      <c r="H5594" s="1">
        <v>42948</v>
      </c>
      <c r="I5594" s="1">
        <v>43045</v>
      </c>
      <c r="J5594">
        <v>4434</v>
      </c>
    </row>
    <row r="5595" spans="1:10" x14ac:dyDescent="0.3">
      <c r="A5595" t="s">
        <v>5726</v>
      </c>
      <c r="B5595" t="s">
        <v>9</v>
      </c>
      <c r="C5595" t="str">
        <f>_xlfn.XLOOKUP(B5595,
[1]sales_teams!$A$2:$A$100,
[1]sales_teams!$B$2:$B$100)</f>
        <v>Dustin Brinkmann</v>
      </c>
      <c r="D5595" t="str">
        <f>_xlfn.XLOOKUP($B5595,sales_teams!$A$2:$A$36,sales_teams!C$2:C$36)</f>
        <v>Central</v>
      </c>
      <c r="E5595" t="s">
        <v>18</v>
      </c>
      <c r="F5595" t="s">
        <v>215</v>
      </c>
      <c r="G5595" t="s">
        <v>40</v>
      </c>
      <c r="H5595" s="1">
        <v>42948</v>
      </c>
    </row>
    <row r="5596" spans="1:10" x14ac:dyDescent="0.3">
      <c r="A5596" t="s">
        <v>5727</v>
      </c>
      <c r="B5596" t="s">
        <v>35</v>
      </c>
      <c r="C5596" t="str">
        <f>_xlfn.XLOOKUP(B5596,
[1]sales_teams!$A$2:$A$100,
[1]sales_teams!$B$2:$B$100)</f>
        <v>Melvin Marxen</v>
      </c>
      <c r="D5596" t="str">
        <f>_xlfn.XLOOKUP($B5596,sales_teams!$A$2:$A$36,sales_teams!C$2:C$36)</f>
        <v>Central</v>
      </c>
      <c r="E5596" t="s">
        <v>10</v>
      </c>
      <c r="F5596" t="s">
        <v>151</v>
      </c>
      <c r="G5596" t="s">
        <v>40</v>
      </c>
      <c r="H5596" s="1">
        <v>42948</v>
      </c>
    </row>
    <row r="5597" spans="1:10" x14ac:dyDescent="0.3">
      <c r="A5597" t="s">
        <v>5728</v>
      </c>
      <c r="B5597" t="s">
        <v>35</v>
      </c>
      <c r="C5597" t="str">
        <f>_xlfn.XLOOKUP(B5597,
[1]sales_teams!$A$2:$A$100,
[1]sales_teams!$B$2:$B$100)</f>
        <v>Melvin Marxen</v>
      </c>
      <c r="D5597" t="str">
        <f>_xlfn.XLOOKUP($B5597,sales_teams!$A$2:$A$36,sales_teams!C$2:C$36)</f>
        <v>Central</v>
      </c>
      <c r="E5597" t="s">
        <v>15</v>
      </c>
      <c r="F5597" t="s">
        <v>89</v>
      </c>
      <c r="G5597" t="s">
        <v>40</v>
      </c>
      <c r="H5597" s="1">
        <v>42948</v>
      </c>
    </row>
    <row r="5598" spans="1:10" x14ac:dyDescent="0.3">
      <c r="A5598" t="s">
        <v>5729</v>
      </c>
      <c r="B5598" t="s">
        <v>61</v>
      </c>
      <c r="C5598" t="str">
        <f>_xlfn.XLOOKUP(B5598,
[1]sales_teams!$A$2:$A$100,
[1]sales_teams!$B$2:$B$100)</f>
        <v>Dustin Brinkmann</v>
      </c>
      <c r="D5598" t="str">
        <f>_xlfn.XLOOKUP($B5598,sales_teams!$A$2:$A$36,sales_teams!C$2:C$36)</f>
        <v>Central</v>
      </c>
      <c r="E5598" t="s">
        <v>48</v>
      </c>
      <c r="F5598" t="s">
        <v>24</v>
      </c>
      <c r="G5598" t="s">
        <v>40</v>
      </c>
      <c r="H5598" s="1">
        <v>42948</v>
      </c>
    </row>
    <row r="5599" spans="1:10" x14ac:dyDescent="0.3">
      <c r="A5599" t="s">
        <v>5730</v>
      </c>
      <c r="B5599" t="s">
        <v>61</v>
      </c>
      <c r="C5599" t="str">
        <f>_xlfn.XLOOKUP(B5599,
[1]sales_teams!$A$2:$A$100,
[1]sales_teams!$B$2:$B$100)</f>
        <v>Dustin Brinkmann</v>
      </c>
      <c r="D5599" t="str">
        <f>_xlfn.XLOOKUP($B5599,sales_teams!$A$2:$A$36,sales_teams!C$2:C$36)</f>
        <v>Central</v>
      </c>
      <c r="E5599" t="s">
        <v>18</v>
      </c>
      <c r="F5599" t="s">
        <v>11</v>
      </c>
      <c r="G5599" t="s">
        <v>40</v>
      </c>
      <c r="H5599" s="1">
        <v>42948</v>
      </c>
    </row>
    <row r="5600" spans="1:10" x14ac:dyDescent="0.3">
      <c r="A5600" t="s">
        <v>5731</v>
      </c>
      <c r="B5600" t="s">
        <v>61</v>
      </c>
      <c r="C5600" t="str">
        <f>_xlfn.XLOOKUP(B5600,
[1]sales_teams!$A$2:$A$100,
[1]sales_teams!$B$2:$B$100)</f>
        <v>Dustin Brinkmann</v>
      </c>
      <c r="D5600" t="str">
        <f>_xlfn.XLOOKUP($B5600,sales_teams!$A$2:$A$36,sales_teams!C$2:C$36)</f>
        <v>Central</v>
      </c>
      <c r="E5600" t="s">
        <v>18</v>
      </c>
      <c r="F5600" t="s">
        <v>24</v>
      </c>
      <c r="G5600" t="s">
        <v>40</v>
      </c>
      <c r="H5600" s="1">
        <v>42948</v>
      </c>
    </row>
    <row r="5601" spans="1:10" x14ac:dyDescent="0.3">
      <c r="A5601" t="s">
        <v>5732</v>
      </c>
      <c r="B5601" t="s">
        <v>61</v>
      </c>
      <c r="C5601" t="str">
        <f>_xlfn.XLOOKUP(B5601,
[1]sales_teams!$A$2:$A$100,
[1]sales_teams!$B$2:$B$100)</f>
        <v>Dustin Brinkmann</v>
      </c>
      <c r="D5601" t="str">
        <f>_xlfn.XLOOKUP($B5601,sales_teams!$A$2:$A$36,sales_teams!C$2:C$36)</f>
        <v>Central</v>
      </c>
      <c r="E5601" t="s">
        <v>18</v>
      </c>
      <c r="F5601" t="s">
        <v>106</v>
      </c>
      <c r="G5601" t="s">
        <v>40</v>
      </c>
      <c r="H5601" s="1">
        <v>42948</v>
      </c>
    </row>
    <row r="5602" spans="1:10" x14ac:dyDescent="0.3">
      <c r="A5602" t="s">
        <v>5733</v>
      </c>
      <c r="B5602" t="s">
        <v>61</v>
      </c>
      <c r="C5602" t="str">
        <f>_xlfn.XLOOKUP(B5602,
[1]sales_teams!$A$2:$A$100,
[1]sales_teams!$B$2:$B$100)</f>
        <v>Dustin Brinkmann</v>
      </c>
      <c r="D5602" t="str">
        <f>_xlfn.XLOOKUP($B5602,sales_teams!$A$2:$A$36,sales_teams!C$2:C$36)</f>
        <v>Central</v>
      </c>
      <c r="E5602" t="s">
        <v>18</v>
      </c>
      <c r="G5602" t="s">
        <v>40</v>
      </c>
      <c r="H5602" s="1">
        <v>42948</v>
      </c>
    </row>
    <row r="5603" spans="1:10" x14ac:dyDescent="0.3">
      <c r="A5603" t="s">
        <v>5734</v>
      </c>
      <c r="B5603" t="s">
        <v>61</v>
      </c>
      <c r="C5603" t="str">
        <f>_xlfn.XLOOKUP(B5603,
[1]sales_teams!$A$2:$A$100,
[1]sales_teams!$B$2:$B$100)</f>
        <v>Dustin Brinkmann</v>
      </c>
      <c r="D5603" t="str">
        <f>_xlfn.XLOOKUP($B5603,sales_teams!$A$2:$A$36,sales_teams!C$2:C$36)</f>
        <v>Central</v>
      </c>
      <c r="E5603" t="s">
        <v>18</v>
      </c>
      <c r="G5603" t="s">
        <v>40</v>
      </c>
      <c r="H5603" s="1">
        <v>42948</v>
      </c>
    </row>
    <row r="5604" spans="1:10" x14ac:dyDescent="0.3">
      <c r="A5604" t="s">
        <v>5735</v>
      </c>
      <c r="B5604" t="s">
        <v>29</v>
      </c>
      <c r="C5604" t="str">
        <f>_xlfn.XLOOKUP(B5604,
[1]sales_teams!$A$2:$A$100,
[1]sales_teams!$B$2:$B$100)</f>
        <v>Celia Rouche</v>
      </c>
      <c r="D5604" t="str">
        <f>_xlfn.XLOOKUP($B5604,sales_teams!$A$2:$A$36,sales_teams!C$2:C$36)</f>
        <v>West</v>
      </c>
      <c r="E5604" t="s">
        <v>10</v>
      </c>
      <c r="F5604" t="s">
        <v>68</v>
      </c>
      <c r="G5604" t="s">
        <v>12</v>
      </c>
      <c r="H5604" s="1">
        <v>42948</v>
      </c>
      <c r="I5604" s="1">
        <v>43004</v>
      </c>
      <c r="J5604">
        <v>1193</v>
      </c>
    </row>
    <row r="5605" spans="1:10" x14ac:dyDescent="0.3">
      <c r="A5605" t="s">
        <v>5736</v>
      </c>
      <c r="B5605" t="s">
        <v>29</v>
      </c>
      <c r="C5605" t="str">
        <f>_xlfn.XLOOKUP(B5605,
[1]sales_teams!$A$2:$A$100,
[1]sales_teams!$B$2:$B$100)</f>
        <v>Celia Rouche</v>
      </c>
      <c r="D5605" t="str">
        <f>_xlfn.XLOOKUP($B5605,sales_teams!$A$2:$A$36,sales_teams!C$2:C$36)</f>
        <v>West</v>
      </c>
      <c r="E5605" t="s">
        <v>15</v>
      </c>
      <c r="F5605" t="s">
        <v>148</v>
      </c>
      <c r="G5605" t="s">
        <v>12</v>
      </c>
      <c r="H5605" s="1">
        <v>42948</v>
      </c>
      <c r="I5605" s="1">
        <v>42968</v>
      </c>
      <c r="J5605">
        <v>5049</v>
      </c>
    </row>
    <row r="5606" spans="1:10" x14ac:dyDescent="0.3">
      <c r="A5606" t="s">
        <v>5737</v>
      </c>
      <c r="B5606" t="s">
        <v>29</v>
      </c>
      <c r="C5606" t="str">
        <f>_xlfn.XLOOKUP(B5606,
[1]sales_teams!$A$2:$A$100,
[1]sales_teams!$B$2:$B$100)</f>
        <v>Celia Rouche</v>
      </c>
      <c r="D5606" t="str">
        <f>_xlfn.XLOOKUP($B5606,sales_teams!$A$2:$A$36,sales_teams!C$2:C$36)</f>
        <v>West</v>
      </c>
      <c r="E5606" t="s">
        <v>15</v>
      </c>
      <c r="F5606" t="s">
        <v>199</v>
      </c>
      <c r="G5606" t="s">
        <v>12</v>
      </c>
      <c r="H5606" s="1">
        <v>42948</v>
      </c>
      <c r="I5606" s="1">
        <v>42966</v>
      </c>
      <c r="J5606">
        <v>5300</v>
      </c>
    </row>
    <row r="5607" spans="1:10" x14ac:dyDescent="0.3">
      <c r="A5607" t="s">
        <v>5738</v>
      </c>
      <c r="B5607" t="s">
        <v>29</v>
      </c>
      <c r="C5607" t="str">
        <f>_xlfn.XLOOKUP(B5607,
[1]sales_teams!$A$2:$A$100,
[1]sales_teams!$B$2:$B$100)</f>
        <v>Celia Rouche</v>
      </c>
      <c r="D5607" t="str">
        <f>_xlfn.XLOOKUP($B5607,sales_teams!$A$2:$A$36,sales_teams!C$2:C$36)</f>
        <v>West</v>
      </c>
      <c r="E5607" t="s">
        <v>39</v>
      </c>
      <c r="F5607" t="s">
        <v>273</v>
      </c>
      <c r="G5607" t="s">
        <v>12</v>
      </c>
      <c r="H5607" s="1">
        <v>42948</v>
      </c>
      <c r="I5607" s="1">
        <v>43059</v>
      </c>
      <c r="J5607">
        <v>3597</v>
      </c>
    </row>
    <row r="5608" spans="1:10" x14ac:dyDescent="0.3">
      <c r="A5608" t="s">
        <v>5739</v>
      </c>
      <c r="B5608" t="s">
        <v>73</v>
      </c>
      <c r="C5608" t="str">
        <f>_xlfn.XLOOKUP(B5608,
[1]sales_teams!$A$2:$A$100,
[1]sales_teams!$B$2:$B$100)</f>
        <v>Cara Losch</v>
      </c>
      <c r="D5608" t="str">
        <f>_xlfn.XLOOKUP($B5608,sales_teams!$A$2:$A$36,sales_teams!C$2:C$36)</f>
        <v>East</v>
      </c>
      <c r="E5608" t="s">
        <v>15</v>
      </c>
      <c r="F5608" t="s">
        <v>65</v>
      </c>
      <c r="G5608" t="s">
        <v>46</v>
      </c>
      <c r="H5608" s="1">
        <v>42948</v>
      </c>
      <c r="I5608" s="1">
        <v>43050</v>
      </c>
      <c r="J5608">
        <v>0</v>
      </c>
    </row>
    <row r="5609" spans="1:10" x14ac:dyDescent="0.3">
      <c r="A5609" t="s">
        <v>5740</v>
      </c>
      <c r="B5609" t="s">
        <v>23</v>
      </c>
      <c r="C5609" t="str">
        <f>_xlfn.XLOOKUP(B5609,
[1]sales_teams!$A$2:$A$100,
[1]sales_teams!$B$2:$B$100)</f>
        <v>Summer Sewald</v>
      </c>
      <c r="D5609" t="str">
        <f>_xlfn.XLOOKUP($B5609,sales_teams!$A$2:$A$36,sales_teams!C$2:C$36)</f>
        <v>West</v>
      </c>
      <c r="E5609" t="s">
        <v>39</v>
      </c>
      <c r="G5609" t="s">
        <v>40</v>
      </c>
      <c r="H5609" s="1">
        <v>42948</v>
      </c>
    </row>
    <row r="5610" spans="1:10" x14ac:dyDescent="0.3">
      <c r="A5610" t="s">
        <v>5741</v>
      </c>
      <c r="B5610" t="s">
        <v>23</v>
      </c>
      <c r="C5610" t="str">
        <f>_xlfn.XLOOKUP(B5610,
[1]sales_teams!$A$2:$A$100,
[1]sales_teams!$B$2:$B$100)</f>
        <v>Summer Sewald</v>
      </c>
      <c r="D5610" t="str">
        <f>_xlfn.XLOOKUP($B5610,sales_teams!$A$2:$A$36,sales_teams!C$2:C$36)</f>
        <v>West</v>
      </c>
      <c r="E5610" t="s">
        <v>20</v>
      </c>
      <c r="F5610" t="s">
        <v>52</v>
      </c>
      <c r="G5610" t="s">
        <v>12</v>
      </c>
      <c r="H5610" s="1">
        <v>42948</v>
      </c>
      <c r="I5610" s="1">
        <v>42953</v>
      </c>
      <c r="J5610">
        <v>606</v>
      </c>
    </row>
    <row r="5611" spans="1:10" x14ac:dyDescent="0.3">
      <c r="A5611" t="s">
        <v>5742</v>
      </c>
      <c r="B5611" t="s">
        <v>164</v>
      </c>
      <c r="C5611" t="str">
        <f>_xlfn.XLOOKUP(B5611,
[1]sales_teams!$A$2:$A$100,
[1]sales_teams!$B$2:$B$100)</f>
        <v>Cara Losch</v>
      </c>
      <c r="D5611" t="str">
        <f>_xlfn.XLOOKUP($B5611,sales_teams!$A$2:$A$36,sales_teams!C$2:C$36)</f>
        <v>East</v>
      </c>
      <c r="E5611" t="s">
        <v>10</v>
      </c>
      <c r="F5611" t="s">
        <v>218</v>
      </c>
      <c r="G5611" t="s">
        <v>12</v>
      </c>
      <c r="H5611" s="1">
        <v>42949</v>
      </c>
      <c r="I5611" s="1">
        <v>43048</v>
      </c>
      <c r="J5611">
        <v>1123</v>
      </c>
    </row>
    <row r="5612" spans="1:10" x14ac:dyDescent="0.3">
      <c r="A5612" t="s">
        <v>5743</v>
      </c>
      <c r="B5612" t="s">
        <v>164</v>
      </c>
      <c r="C5612" t="str">
        <f>_xlfn.XLOOKUP(B5612,
[1]sales_teams!$A$2:$A$100,
[1]sales_teams!$B$2:$B$100)</f>
        <v>Cara Losch</v>
      </c>
      <c r="D5612" t="str">
        <f>_xlfn.XLOOKUP($B5612,sales_teams!$A$2:$A$36,sales_teams!C$2:C$36)</f>
        <v>East</v>
      </c>
      <c r="E5612" t="s">
        <v>15</v>
      </c>
      <c r="F5612" t="s">
        <v>240</v>
      </c>
      <c r="G5612" t="s">
        <v>12</v>
      </c>
      <c r="H5612" s="1">
        <v>42949</v>
      </c>
      <c r="I5612" s="1">
        <v>42959</v>
      </c>
      <c r="J5612">
        <v>5205</v>
      </c>
    </row>
    <row r="5613" spans="1:10" x14ac:dyDescent="0.3">
      <c r="A5613" t="s">
        <v>5744</v>
      </c>
      <c r="B5613" t="s">
        <v>64</v>
      </c>
      <c r="C5613" t="str">
        <f>_xlfn.XLOOKUP(B5613,
[1]sales_teams!$A$2:$A$100,
[1]sales_teams!$B$2:$B$100)</f>
        <v>Rocco Neubert</v>
      </c>
      <c r="D5613" t="str">
        <f>_xlfn.XLOOKUP($B5613,sales_teams!$A$2:$A$36,sales_teams!C$2:C$36)</f>
        <v>East</v>
      </c>
      <c r="E5613" t="s">
        <v>20</v>
      </c>
      <c r="F5613" t="s">
        <v>278</v>
      </c>
      <c r="G5613" t="s">
        <v>12</v>
      </c>
      <c r="H5613" s="1">
        <v>42949</v>
      </c>
      <c r="I5613" s="1">
        <v>43040</v>
      </c>
      <c r="J5613">
        <v>592</v>
      </c>
    </row>
    <row r="5614" spans="1:10" x14ac:dyDescent="0.3">
      <c r="A5614" t="s">
        <v>5745</v>
      </c>
      <c r="B5614" t="s">
        <v>64</v>
      </c>
      <c r="C5614" t="str">
        <f>_xlfn.XLOOKUP(B5614,
[1]sales_teams!$A$2:$A$100,
[1]sales_teams!$B$2:$B$100)</f>
        <v>Rocco Neubert</v>
      </c>
      <c r="D5614" t="str">
        <f>_xlfn.XLOOKUP($B5614,sales_teams!$A$2:$A$36,sales_teams!C$2:C$36)</f>
        <v>East</v>
      </c>
      <c r="E5614" t="s">
        <v>48</v>
      </c>
      <c r="F5614" t="s">
        <v>189</v>
      </c>
      <c r="G5614" t="s">
        <v>12</v>
      </c>
      <c r="H5614" s="1">
        <v>42949</v>
      </c>
      <c r="I5614" s="1">
        <v>42961</v>
      </c>
      <c r="J5614">
        <v>6284</v>
      </c>
    </row>
    <row r="5615" spans="1:10" x14ac:dyDescent="0.3">
      <c r="A5615" t="s">
        <v>5746</v>
      </c>
      <c r="B5615" t="s">
        <v>44</v>
      </c>
      <c r="C5615" t="str">
        <f>_xlfn.XLOOKUP(B5615,
[1]sales_teams!$A$2:$A$100,
[1]sales_teams!$B$2:$B$100)</f>
        <v>Melvin Marxen</v>
      </c>
      <c r="D5615" t="str">
        <f>_xlfn.XLOOKUP($B5615,sales_teams!$A$2:$A$36,sales_teams!C$2:C$36)</f>
        <v>Central</v>
      </c>
      <c r="E5615" t="s">
        <v>18</v>
      </c>
      <c r="F5615" t="s">
        <v>76</v>
      </c>
      <c r="G5615" t="s">
        <v>46</v>
      </c>
      <c r="H5615" s="1">
        <v>42949</v>
      </c>
      <c r="I5615" s="1">
        <v>43046</v>
      </c>
      <c r="J5615">
        <v>0</v>
      </c>
    </row>
    <row r="5616" spans="1:10" x14ac:dyDescent="0.3">
      <c r="A5616" t="s">
        <v>5747</v>
      </c>
      <c r="B5616" t="s">
        <v>54</v>
      </c>
      <c r="C5616" t="str">
        <f>_xlfn.XLOOKUP(B5616,
[1]sales_teams!$A$2:$A$100,
[1]sales_teams!$B$2:$B$100)</f>
        <v>Celia Rouche</v>
      </c>
      <c r="D5616" t="str">
        <f>_xlfn.XLOOKUP($B5616,sales_teams!$A$2:$A$36,sales_teams!C$2:C$36)</f>
        <v>West</v>
      </c>
      <c r="E5616" t="s">
        <v>39</v>
      </c>
      <c r="F5616" t="s">
        <v>86</v>
      </c>
      <c r="G5616" t="s">
        <v>46</v>
      </c>
      <c r="H5616" s="1">
        <v>42949</v>
      </c>
      <c r="I5616" s="1">
        <v>42957</v>
      </c>
      <c r="J5616">
        <v>0</v>
      </c>
    </row>
    <row r="5617" spans="1:10" x14ac:dyDescent="0.3">
      <c r="A5617" t="s">
        <v>5748</v>
      </c>
      <c r="B5617" t="s">
        <v>38</v>
      </c>
      <c r="C5617" t="str">
        <f>_xlfn.XLOOKUP(B5617,
[1]sales_teams!$A$2:$A$100,
[1]sales_teams!$B$2:$B$100)</f>
        <v>Summer Sewald</v>
      </c>
      <c r="D5617" t="str">
        <f>_xlfn.XLOOKUP($B5617,sales_teams!$A$2:$A$36,sales_teams!C$2:C$36)</f>
        <v>West</v>
      </c>
      <c r="E5617" t="s">
        <v>15</v>
      </c>
      <c r="F5617" t="s">
        <v>184</v>
      </c>
      <c r="G5617" t="s">
        <v>46</v>
      </c>
      <c r="H5617" s="1">
        <v>42949</v>
      </c>
      <c r="I5617" s="1">
        <v>43041</v>
      </c>
      <c r="J5617">
        <v>0</v>
      </c>
    </row>
    <row r="5618" spans="1:10" x14ac:dyDescent="0.3">
      <c r="A5618" t="s">
        <v>5749</v>
      </c>
      <c r="B5618" t="s">
        <v>38</v>
      </c>
      <c r="C5618" t="str">
        <f>_xlfn.XLOOKUP(B5618,
[1]sales_teams!$A$2:$A$100,
[1]sales_teams!$B$2:$B$100)</f>
        <v>Summer Sewald</v>
      </c>
      <c r="D5618" t="str">
        <f>_xlfn.XLOOKUP($B5618,sales_teams!$A$2:$A$36,sales_teams!C$2:C$36)</f>
        <v>West</v>
      </c>
      <c r="E5618" t="s">
        <v>48</v>
      </c>
      <c r="F5618" t="s">
        <v>155</v>
      </c>
      <c r="G5618" t="s">
        <v>12</v>
      </c>
      <c r="H5618" s="1">
        <v>42949</v>
      </c>
      <c r="I5618" s="1">
        <v>42952</v>
      </c>
      <c r="J5618">
        <v>4231</v>
      </c>
    </row>
    <row r="5619" spans="1:10" x14ac:dyDescent="0.3">
      <c r="A5619" t="s">
        <v>5750</v>
      </c>
      <c r="B5619" t="s">
        <v>252</v>
      </c>
      <c r="C5619" t="str">
        <f>_xlfn.XLOOKUP(B5619,
[1]sales_teams!$A$2:$A$100,
[1]sales_teams!$B$2:$B$100)</f>
        <v>Melvin Marxen</v>
      </c>
      <c r="D5619" t="str">
        <f>_xlfn.XLOOKUP($B5619,sales_teams!$A$2:$A$36,sales_teams!C$2:C$36)</f>
        <v>Central</v>
      </c>
      <c r="E5619" t="s">
        <v>20</v>
      </c>
      <c r="G5619" t="s">
        <v>40</v>
      </c>
      <c r="H5619" s="1">
        <v>42949</v>
      </c>
    </row>
    <row r="5620" spans="1:10" x14ac:dyDescent="0.3">
      <c r="A5620" t="s">
        <v>5751</v>
      </c>
      <c r="B5620" t="s">
        <v>133</v>
      </c>
      <c r="C5620" t="str">
        <f>_xlfn.XLOOKUP(B5620,
[1]sales_teams!$A$2:$A$100,
[1]sales_teams!$B$2:$B$100)</f>
        <v>Dustin Brinkmann</v>
      </c>
      <c r="D5620" t="str">
        <f>_xlfn.XLOOKUP($B5620,sales_teams!$A$2:$A$36,sales_teams!C$2:C$36)</f>
        <v>Central</v>
      </c>
      <c r="E5620" t="s">
        <v>48</v>
      </c>
      <c r="F5620" t="s">
        <v>76</v>
      </c>
      <c r="G5620" t="s">
        <v>46</v>
      </c>
      <c r="H5620" s="1">
        <v>42949</v>
      </c>
      <c r="I5620" s="1">
        <v>42960</v>
      </c>
      <c r="J5620">
        <v>0</v>
      </c>
    </row>
    <row r="5621" spans="1:10" x14ac:dyDescent="0.3">
      <c r="A5621" t="s">
        <v>5752</v>
      </c>
      <c r="B5621" t="s">
        <v>133</v>
      </c>
      <c r="C5621" t="str">
        <f>_xlfn.XLOOKUP(B5621,
[1]sales_teams!$A$2:$A$100,
[1]sales_teams!$B$2:$B$100)</f>
        <v>Dustin Brinkmann</v>
      </c>
      <c r="D5621" t="str">
        <f>_xlfn.XLOOKUP($B5621,sales_teams!$A$2:$A$36,sales_teams!C$2:C$36)</f>
        <v>Central</v>
      </c>
      <c r="E5621" t="s">
        <v>39</v>
      </c>
      <c r="F5621" t="s">
        <v>36</v>
      </c>
      <c r="G5621" t="s">
        <v>46</v>
      </c>
      <c r="H5621" s="1">
        <v>42949</v>
      </c>
      <c r="I5621" s="1">
        <v>42960</v>
      </c>
      <c r="J5621">
        <v>0</v>
      </c>
    </row>
    <row r="5622" spans="1:10" x14ac:dyDescent="0.3">
      <c r="A5622" t="s">
        <v>5753</v>
      </c>
      <c r="B5622" t="s">
        <v>9</v>
      </c>
      <c r="C5622" t="str">
        <f>_xlfn.XLOOKUP(B5622,
[1]sales_teams!$A$2:$A$100,
[1]sales_teams!$B$2:$B$100)</f>
        <v>Dustin Brinkmann</v>
      </c>
      <c r="D5622" t="str">
        <f>_xlfn.XLOOKUP($B5622,sales_teams!$A$2:$A$36,sales_teams!C$2:C$36)</f>
        <v>Central</v>
      </c>
      <c r="E5622" t="s">
        <v>39</v>
      </c>
      <c r="F5622" t="s">
        <v>207</v>
      </c>
      <c r="G5622" t="s">
        <v>40</v>
      </c>
      <c r="H5622" s="1">
        <v>42949</v>
      </c>
    </row>
    <row r="5623" spans="1:10" x14ac:dyDescent="0.3">
      <c r="A5623" t="s">
        <v>5754</v>
      </c>
      <c r="B5623" t="s">
        <v>35</v>
      </c>
      <c r="C5623" t="str">
        <f>_xlfn.XLOOKUP(B5623,
[1]sales_teams!$A$2:$A$100,
[1]sales_teams!$B$2:$B$100)</f>
        <v>Melvin Marxen</v>
      </c>
      <c r="D5623" t="str">
        <f>_xlfn.XLOOKUP($B5623,sales_teams!$A$2:$A$36,sales_teams!C$2:C$36)</f>
        <v>Central</v>
      </c>
      <c r="E5623" t="s">
        <v>15</v>
      </c>
      <c r="G5623" t="s">
        <v>40</v>
      </c>
      <c r="H5623" s="1">
        <v>42949</v>
      </c>
    </row>
    <row r="5624" spans="1:10" x14ac:dyDescent="0.3">
      <c r="A5624" t="s">
        <v>5755</v>
      </c>
      <c r="B5624" t="s">
        <v>97</v>
      </c>
      <c r="C5624" t="str">
        <f>_xlfn.XLOOKUP(B5624,
[1]sales_teams!$A$2:$A$100,
[1]sales_teams!$B$2:$B$100)</f>
        <v>Rocco Neubert</v>
      </c>
      <c r="D5624" t="str">
        <f>_xlfn.XLOOKUP($B5624,sales_teams!$A$2:$A$36,sales_teams!C$2:C$36)</f>
        <v>East</v>
      </c>
      <c r="E5624" t="s">
        <v>39</v>
      </c>
      <c r="F5624" t="s">
        <v>179</v>
      </c>
      <c r="G5624" t="s">
        <v>46</v>
      </c>
      <c r="H5624" s="1">
        <v>42949</v>
      </c>
      <c r="I5624" s="1">
        <v>43062</v>
      </c>
      <c r="J5624">
        <v>0</v>
      </c>
    </row>
    <row r="5625" spans="1:10" x14ac:dyDescent="0.3">
      <c r="A5625" t="s">
        <v>5756</v>
      </c>
      <c r="B5625" t="s">
        <v>61</v>
      </c>
      <c r="C5625" t="str">
        <f>_xlfn.XLOOKUP(B5625,
[1]sales_teams!$A$2:$A$100,
[1]sales_teams!$B$2:$B$100)</f>
        <v>Dustin Brinkmann</v>
      </c>
      <c r="D5625" t="str">
        <f>_xlfn.XLOOKUP($B5625,sales_teams!$A$2:$A$36,sales_teams!C$2:C$36)</f>
        <v>Central</v>
      </c>
      <c r="E5625" t="s">
        <v>18</v>
      </c>
      <c r="G5625" t="s">
        <v>40</v>
      </c>
      <c r="H5625" s="1">
        <v>42949</v>
      </c>
    </row>
    <row r="5626" spans="1:10" x14ac:dyDescent="0.3">
      <c r="A5626" t="s">
        <v>5757</v>
      </c>
      <c r="B5626" t="s">
        <v>61</v>
      </c>
      <c r="C5626" t="str">
        <f>_xlfn.XLOOKUP(B5626,
[1]sales_teams!$A$2:$A$100,
[1]sales_teams!$B$2:$B$100)</f>
        <v>Dustin Brinkmann</v>
      </c>
      <c r="D5626" t="str">
        <f>_xlfn.XLOOKUP($B5626,sales_teams!$A$2:$A$36,sales_teams!C$2:C$36)</f>
        <v>Central</v>
      </c>
      <c r="E5626" t="s">
        <v>18</v>
      </c>
      <c r="G5626" t="s">
        <v>40</v>
      </c>
      <c r="H5626" s="1">
        <v>42949</v>
      </c>
    </row>
    <row r="5627" spans="1:10" x14ac:dyDescent="0.3">
      <c r="A5627" t="s">
        <v>5758</v>
      </c>
      <c r="B5627" t="s">
        <v>29</v>
      </c>
      <c r="C5627" t="str">
        <f>_xlfn.XLOOKUP(B5627,
[1]sales_teams!$A$2:$A$100,
[1]sales_teams!$B$2:$B$100)</f>
        <v>Celia Rouche</v>
      </c>
      <c r="D5627" t="str">
        <f>_xlfn.XLOOKUP($B5627,sales_teams!$A$2:$A$36,sales_teams!C$2:C$36)</f>
        <v>West</v>
      </c>
      <c r="E5627" t="s">
        <v>39</v>
      </c>
      <c r="G5627" t="s">
        <v>40</v>
      </c>
      <c r="H5627" s="1">
        <v>42949</v>
      </c>
    </row>
    <row r="5628" spans="1:10" x14ac:dyDescent="0.3">
      <c r="A5628" t="s">
        <v>5759</v>
      </c>
      <c r="B5628" t="s">
        <v>73</v>
      </c>
      <c r="C5628" t="str">
        <f>_xlfn.XLOOKUP(B5628,
[1]sales_teams!$A$2:$A$100,
[1]sales_teams!$B$2:$B$100)</f>
        <v>Cara Losch</v>
      </c>
      <c r="D5628" t="str">
        <f>_xlfn.XLOOKUP($B5628,sales_teams!$A$2:$A$36,sales_teams!C$2:C$36)</f>
        <v>East</v>
      </c>
      <c r="E5628" t="s">
        <v>18</v>
      </c>
      <c r="F5628" t="s">
        <v>745</v>
      </c>
      <c r="G5628" t="s">
        <v>12</v>
      </c>
      <c r="H5628" s="1">
        <v>42949</v>
      </c>
      <c r="I5628" s="1">
        <v>42957</v>
      </c>
      <c r="J5628">
        <v>53</v>
      </c>
    </row>
    <row r="5629" spans="1:10" x14ac:dyDescent="0.3">
      <c r="A5629" t="s">
        <v>5760</v>
      </c>
      <c r="B5629" t="s">
        <v>26</v>
      </c>
      <c r="C5629" t="str">
        <f>_xlfn.XLOOKUP(B5629,
[1]sales_teams!$A$2:$A$100,
[1]sales_teams!$B$2:$B$100)</f>
        <v>Dustin Brinkmann</v>
      </c>
      <c r="D5629" t="str">
        <f>_xlfn.XLOOKUP($B5629,sales_teams!$A$2:$A$36,sales_teams!C$2:C$36)</f>
        <v>Central</v>
      </c>
      <c r="E5629" t="s">
        <v>18</v>
      </c>
      <c r="G5629" t="s">
        <v>40</v>
      </c>
      <c r="H5629" s="1">
        <v>42950</v>
      </c>
    </row>
    <row r="5630" spans="1:10" x14ac:dyDescent="0.3">
      <c r="A5630" t="s">
        <v>5761</v>
      </c>
      <c r="B5630" t="s">
        <v>26</v>
      </c>
      <c r="C5630" t="str">
        <f>_xlfn.XLOOKUP(B5630,
[1]sales_teams!$A$2:$A$100,
[1]sales_teams!$B$2:$B$100)</f>
        <v>Dustin Brinkmann</v>
      </c>
      <c r="D5630" t="str">
        <f>_xlfn.XLOOKUP($B5630,sales_teams!$A$2:$A$36,sales_teams!C$2:C$36)</f>
        <v>Central</v>
      </c>
      <c r="E5630" t="s">
        <v>39</v>
      </c>
      <c r="F5630" t="s">
        <v>81</v>
      </c>
      <c r="G5630" t="s">
        <v>40</v>
      </c>
      <c r="H5630" s="1">
        <v>42950</v>
      </c>
    </row>
    <row r="5631" spans="1:10" x14ac:dyDescent="0.3">
      <c r="A5631" t="s">
        <v>5762</v>
      </c>
      <c r="B5631" t="s">
        <v>26</v>
      </c>
      <c r="C5631" t="str">
        <f>_xlfn.XLOOKUP(B5631,
[1]sales_teams!$A$2:$A$100,
[1]sales_teams!$B$2:$B$100)</f>
        <v>Dustin Brinkmann</v>
      </c>
      <c r="D5631" t="str">
        <f>_xlfn.XLOOKUP($B5631,sales_teams!$A$2:$A$36,sales_teams!C$2:C$36)</f>
        <v>Central</v>
      </c>
      <c r="E5631" t="s">
        <v>18</v>
      </c>
      <c r="F5631" t="s">
        <v>11</v>
      </c>
      <c r="G5631" t="s">
        <v>12</v>
      </c>
      <c r="H5631" s="1">
        <v>42950</v>
      </c>
      <c r="I5631" s="1">
        <v>42963</v>
      </c>
      <c r="J5631">
        <v>52</v>
      </c>
    </row>
    <row r="5632" spans="1:10" x14ac:dyDescent="0.3">
      <c r="A5632" t="s">
        <v>5763</v>
      </c>
      <c r="B5632" t="s">
        <v>139</v>
      </c>
      <c r="C5632" t="str">
        <f>_xlfn.XLOOKUP(B5632,
[1]sales_teams!$A$2:$A$100,
[1]sales_teams!$B$2:$B$100)</f>
        <v>Rocco Neubert</v>
      </c>
      <c r="D5632" t="str">
        <f>_xlfn.XLOOKUP($B5632,sales_teams!$A$2:$A$36,sales_teams!C$2:C$36)</f>
        <v>East</v>
      </c>
      <c r="E5632" t="s">
        <v>10</v>
      </c>
      <c r="F5632" t="s">
        <v>237</v>
      </c>
      <c r="G5632" t="s">
        <v>12</v>
      </c>
      <c r="H5632" s="1">
        <v>42950</v>
      </c>
      <c r="I5632" s="1">
        <v>42969</v>
      </c>
      <c r="J5632">
        <v>938</v>
      </c>
    </row>
    <row r="5633" spans="1:10" x14ac:dyDescent="0.3">
      <c r="A5633" t="s">
        <v>5764</v>
      </c>
      <c r="B5633" t="s">
        <v>118</v>
      </c>
      <c r="C5633" t="str">
        <f>_xlfn.XLOOKUP(B5633,
[1]sales_teams!$A$2:$A$100,
[1]sales_teams!$B$2:$B$100)</f>
        <v>Rocco Neubert</v>
      </c>
      <c r="D5633" t="str">
        <f>_xlfn.XLOOKUP($B5633,sales_teams!$A$2:$A$36,sales_teams!C$2:C$36)</f>
        <v>East</v>
      </c>
      <c r="E5633" t="s">
        <v>48</v>
      </c>
      <c r="G5633" t="s">
        <v>40</v>
      </c>
      <c r="H5633" s="1">
        <v>42950</v>
      </c>
    </row>
    <row r="5634" spans="1:10" x14ac:dyDescent="0.3">
      <c r="A5634" t="s">
        <v>5765</v>
      </c>
      <c r="B5634" t="s">
        <v>202</v>
      </c>
      <c r="C5634" t="str">
        <f>_xlfn.XLOOKUP(B5634,
[1]sales_teams!$A$2:$A$100,
[1]sales_teams!$B$2:$B$100)</f>
        <v>Dustin Brinkmann</v>
      </c>
      <c r="D5634" t="str">
        <f>_xlfn.XLOOKUP($B5634,sales_teams!$A$2:$A$36,sales_teams!C$2:C$36)</f>
        <v>Central</v>
      </c>
      <c r="E5634" t="s">
        <v>39</v>
      </c>
      <c r="G5634" t="s">
        <v>40</v>
      </c>
      <c r="H5634" s="1">
        <v>42950</v>
      </c>
    </row>
    <row r="5635" spans="1:10" x14ac:dyDescent="0.3">
      <c r="A5635" t="s">
        <v>5766</v>
      </c>
      <c r="B5635" t="s">
        <v>14</v>
      </c>
      <c r="C5635" t="str">
        <f>_xlfn.XLOOKUP(B5635,
[1]sales_teams!$A$2:$A$100,
[1]sales_teams!$B$2:$B$100)</f>
        <v>Melvin Marxen</v>
      </c>
      <c r="D5635" t="str">
        <f>_xlfn.XLOOKUP($B5635,sales_teams!$A$2:$A$36,sales_teams!C$2:C$36)</f>
        <v>Central</v>
      </c>
      <c r="E5635" t="s">
        <v>39</v>
      </c>
      <c r="F5635" t="s">
        <v>318</v>
      </c>
      <c r="G5635" t="s">
        <v>46</v>
      </c>
      <c r="H5635" s="1">
        <v>42950</v>
      </c>
      <c r="I5635" s="1">
        <v>42955</v>
      </c>
      <c r="J5635">
        <v>0</v>
      </c>
    </row>
    <row r="5636" spans="1:10" x14ac:dyDescent="0.3">
      <c r="A5636" t="s">
        <v>5767</v>
      </c>
      <c r="B5636" t="s">
        <v>142</v>
      </c>
      <c r="C5636" t="str">
        <f>_xlfn.XLOOKUP(B5636,
[1]sales_teams!$A$2:$A$100,
[1]sales_teams!$B$2:$B$100)</f>
        <v>Rocco Neubert</v>
      </c>
      <c r="D5636" t="str">
        <f>_xlfn.XLOOKUP($B5636,sales_teams!$A$2:$A$36,sales_teams!C$2:C$36)</f>
        <v>East</v>
      </c>
      <c r="E5636" t="s">
        <v>10</v>
      </c>
      <c r="F5636" t="s">
        <v>165</v>
      </c>
      <c r="G5636" t="s">
        <v>12</v>
      </c>
      <c r="H5636" s="1">
        <v>42950</v>
      </c>
      <c r="I5636" s="1">
        <v>42991</v>
      </c>
      <c r="J5636">
        <v>1050</v>
      </c>
    </row>
    <row r="5637" spans="1:10" x14ac:dyDescent="0.3">
      <c r="A5637" t="s">
        <v>5768</v>
      </c>
      <c r="B5637" t="s">
        <v>142</v>
      </c>
      <c r="C5637" t="str">
        <f>_xlfn.XLOOKUP(B5637,
[1]sales_teams!$A$2:$A$100,
[1]sales_teams!$B$2:$B$100)</f>
        <v>Rocco Neubert</v>
      </c>
      <c r="D5637" t="str">
        <f>_xlfn.XLOOKUP($B5637,sales_teams!$A$2:$A$36,sales_teams!C$2:C$36)</f>
        <v>East</v>
      </c>
      <c r="E5637" t="s">
        <v>39</v>
      </c>
      <c r="F5637" t="s">
        <v>74</v>
      </c>
      <c r="G5637" t="s">
        <v>12</v>
      </c>
      <c r="H5637" s="1">
        <v>42950</v>
      </c>
      <c r="I5637" s="1">
        <v>42958</v>
      </c>
      <c r="J5637">
        <v>3440</v>
      </c>
    </row>
    <row r="5638" spans="1:10" x14ac:dyDescent="0.3">
      <c r="A5638" t="s">
        <v>5769</v>
      </c>
      <c r="B5638" t="s">
        <v>67</v>
      </c>
      <c r="C5638" t="str">
        <f>_xlfn.XLOOKUP(B5638,
[1]sales_teams!$A$2:$A$100,
[1]sales_teams!$B$2:$B$100)</f>
        <v>Celia Rouche</v>
      </c>
      <c r="D5638" t="str">
        <f>_xlfn.XLOOKUP($B5638,sales_teams!$A$2:$A$36,sales_teams!C$2:C$36)</f>
        <v>West</v>
      </c>
      <c r="E5638" t="s">
        <v>145</v>
      </c>
      <c r="G5638" t="s">
        <v>40</v>
      </c>
      <c r="H5638" s="1">
        <v>42950</v>
      </c>
    </row>
    <row r="5639" spans="1:10" x14ac:dyDescent="0.3">
      <c r="A5639" t="s">
        <v>5770</v>
      </c>
      <c r="B5639" t="s">
        <v>44</v>
      </c>
      <c r="C5639" t="str">
        <f>_xlfn.XLOOKUP(B5639,
[1]sales_teams!$A$2:$A$100,
[1]sales_teams!$B$2:$B$100)</f>
        <v>Melvin Marxen</v>
      </c>
      <c r="D5639" t="str">
        <f>_xlfn.XLOOKUP($B5639,sales_teams!$A$2:$A$36,sales_teams!C$2:C$36)</f>
        <v>Central</v>
      </c>
      <c r="E5639" t="s">
        <v>18</v>
      </c>
      <c r="F5639" t="s">
        <v>303</v>
      </c>
      <c r="G5639" t="s">
        <v>40</v>
      </c>
      <c r="H5639" s="1">
        <v>42950</v>
      </c>
    </row>
    <row r="5640" spans="1:10" x14ac:dyDescent="0.3">
      <c r="A5640" t="s">
        <v>5771</v>
      </c>
      <c r="B5640" t="s">
        <v>44</v>
      </c>
      <c r="C5640" t="str">
        <f>_xlfn.XLOOKUP(B5640,
[1]sales_teams!$A$2:$A$100,
[1]sales_teams!$B$2:$B$100)</f>
        <v>Melvin Marxen</v>
      </c>
      <c r="D5640" t="str">
        <f>_xlfn.XLOOKUP($B5640,sales_teams!$A$2:$A$36,sales_teams!C$2:C$36)</f>
        <v>Central</v>
      </c>
      <c r="E5640" t="s">
        <v>18</v>
      </c>
      <c r="G5640" t="s">
        <v>40</v>
      </c>
      <c r="H5640" s="1">
        <v>42950</v>
      </c>
    </row>
    <row r="5641" spans="1:10" x14ac:dyDescent="0.3">
      <c r="A5641" t="s">
        <v>5772</v>
      </c>
      <c r="B5641" t="s">
        <v>44</v>
      </c>
      <c r="C5641" t="str">
        <f>_xlfn.XLOOKUP(B5641,
[1]sales_teams!$A$2:$A$100,
[1]sales_teams!$B$2:$B$100)</f>
        <v>Melvin Marxen</v>
      </c>
      <c r="D5641" t="str">
        <f>_xlfn.XLOOKUP($B5641,sales_teams!$A$2:$A$36,sales_teams!C$2:C$36)</f>
        <v>Central</v>
      </c>
      <c r="E5641" t="s">
        <v>15</v>
      </c>
      <c r="F5641" t="s">
        <v>126</v>
      </c>
      <c r="G5641" t="s">
        <v>46</v>
      </c>
      <c r="H5641" s="1">
        <v>42950</v>
      </c>
      <c r="I5641" s="1">
        <v>42962</v>
      </c>
      <c r="J5641">
        <v>0</v>
      </c>
    </row>
    <row r="5642" spans="1:10" x14ac:dyDescent="0.3">
      <c r="A5642" t="s">
        <v>5773</v>
      </c>
      <c r="B5642" t="s">
        <v>252</v>
      </c>
      <c r="C5642" t="str">
        <f>_xlfn.XLOOKUP(B5642,
[1]sales_teams!$A$2:$A$100,
[1]sales_teams!$B$2:$B$100)</f>
        <v>Melvin Marxen</v>
      </c>
      <c r="D5642" t="str">
        <f>_xlfn.XLOOKUP($B5642,sales_teams!$A$2:$A$36,sales_teams!C$2:C$36)</f>
        <v>Central</v>
      </c>
      <c r="E5642" t="s">
        <v>20</v>
      </c>
      <c r="G5642" t="s">
        <v>40</v>
      </c>
      <c r="H5642" s="1">
        <v>42950</v>
      </c>
    </row>
    <row r="5643" spans="1:10" x14ac:dyDescent="0.3">
      <c r="A5643" t="s">
        <v>5774</v>
      </c>
      <c r="B5643" t="s">
        <v>78</v>
      </c>
      <c r="C5643" t="str">
        <f>_xlfn.XLOOKUP(B5643,
[1]sales_teams!$A$2:$A$100,
[1]sales_teams!$B$2:$B$100)</f>
        <v>Summer Sewald</v>
      </c>
      <c r="D5643" t="str">
        <f>_xlfn.XLOOKUP($B5643,sales_teams!$A$2:$A$36,sales_teams!C$2:C$36)</f>
        <v>West</v>
      </c>
      <c r="E5643" t="s">
        <v>18</v>
      </c>
      <c r="F5643" t="s">
        <v>11</v>
      </c>
      <c r="G5643" t="s">
        <v>40</v>
      </c>
      <c r="H5643" s="1">
        <v>42950</v>
      </c>
    </row>
    <row r="5644" spans="1:10" x14ac:dyDescent="0.3">
      <c r="A5644" t="s">
        <v>5775</v>
      </c>
      <c r="B5644" t="s">
        <v>95</v>
      </c>
      <c r="C5644" t="str">
        <f>_xlfn.XLOOKUP(B5644,
[1]sales_teams!$A$2:$A$100,
[1]sales_teams!$B$2:$B$100)</f>
        <v>Summer Sewald</v>
      </c>
      <c r="D5644" t="str">
        <f>_xlfn.XLOOKUP($B5644,sales_teams!$A$2:$A$36,sales_teams!C$2:C$36)</f>
        <v>West</v>
      </c>
      <c r="E5644" t="s">
        <v>20</v>
      </c>
      <c r="G5644" t="s">
        <v>40</v>
      </c>
      <c r="H5644" s="1">
        <v>42950</v>
      </c>
    </row>
    <row r="5645" spans="1:10" x14ac:dyDescent="0.3">
      <c r="A5645" t="s">
        <v>5776</v>
      </c>
      <c r="B5645" t="s">
        <v>95</v>
      </c>
      <c r="C5645" t="str">
        <f>_xlfn.XLOOKUP(B5645,
[1]sales_teams!$A$2:$A$100,
[1]sales_teams!$B$2:$B$100)</f>
        <v>Summer Sewald</v>
      </c>
      <c r="D5645" t="str">
        <f>_xlfn.XLOOKUP($B5645,sales_teams!$A$2:$A$36,sales_teams!C$2:C$36)</f>
        <v>West</v>
      </c>
      <c r="E5645" t="s">
        <v>10</v>
      </c>
      <c r="F5645" t="s">
        <v>199</v>
      </c>
      <c r="G5645" t="s">
        <v>46</v>
      </c>
      <c r="H5645" s="1">
        <v>42950</v>
      </c>
      <c r="I5645" s="1">
        <v>43048</v>
      </c>
      <c r="J5645">
        <v>0</v>
      </c>
    </row>
    <row r="5646" spans="1:10" x14ac:dyDescent="0.3">
      <c r="A5646" t="s">
        <v>5777</v>
      </c>
      <c r="B5646" t="s">
        <v>133</v>
      </c>
      <c r="C5646" t="str">
        <f>_xlfn.XLOOKUP(B5646,
[1]sales_teams!$A$2:$A$100,
[1]sales_teams!$B$2:$B$100)</f>
        <v>Dustin Brinkmann</v>
      </c>
      <c r="D5646" t="str">
        <f>_xlfn.XLOOKUP($B5646,sales_teams!$A$2:$A$36,sales_teams!C$2:C$36)</f>
        <v>Central</v>
      </c>
      <c r="E5646" t="s">
        <v>18</v>
      </c>
      <c r="G5646" t="s">
        <v>40</v>
      </c>
      <c r="H5646" s="1">
        <v>42950</v>
      </c>
    </row>
    <row r="5647" spans="1:10" x14ac:dyDescent="0.3">
      <c r="A5647" t="s">
        <v>5778</v>
      </c>
      <c r="B5647" t="s">
        <v>133</v>
      </c>
      <c r="C5647" t="str">
        <f>_xlfn.XLOOKUP(B5647,
[1]sales_teams!$A$2:$A$100,
[1]sales_teams!$B$2:$B$100)</f>
        <v>Dustin Brinkmann</v>
      </c>
      <c r="D5647" t="str">
        <f>_xlfn.XLOOKUP($B5647,sales_teams!$A$2:$A$36,sales_teams!C$2:C$36)</f>
        <v>Central</v>
      </c>
      <c r="E5647" t="s">
        <v>39</v>
      </c>
      <c r="F5647" t="s">
        <v>98</v>
      </c>
      <c r="G5647" t="s">
        <v>40</v>
      </c>
      <c r="H5647" s="1">
        <v>42950</v>
      </c>
    </row>
    <row r="5648" spans="1:10" x14ac:dyDescent="0.3">
      <c r="A5648" t="s">
        <v>5779</v>
      </c>
      <c r="B5648" t="s">
        <v>116</v>
      </c>
      <c r="C5648" t="str">
        <f>_xlfn.XLOOKUP(B5648,
[1]sales_teams!$A$2:$A$100,
[1]sales_teams!$B$2:$B$100)</f>
        <v>Melvin Marxen</v>
      </c>
      <c r="D5648" t="str">
        <f>_xlfn.XLOOKUP($B5648,sales_teams!$A$2:$A$36,sales_teams!C$2:C$36)</f>
        <v>Central</v>
      </c>
      <c r="E5648" t="s">
        <v>39</v>
      </c>
      <c r="G5648" t="s">
        <v>40</v>
      </c>
      <c r="H5648" s="1">
        <v>42950</v>
      </c>
    </row>
    <row r="5649" spans="1:10" x14ac:dyDescent="0.3">
      <c r="A5649" t="s">
        <v>5780</v>
      </c>
      <c r="B5649" t="s">
        <v>9</v>
      </c>
      <c r="C5649" t="str">
        <f>_xlfn.XLOOKUP(B5649,
[1]sales_teams!$A$2:$A$100,
[1]sales_teams!$B$2:$B$100)</f>
        <v>Dustin Brinkmann</v>
      </c>
      <c r="D5649" t="str">
        <f>_xlfn.XLOOKUP($B5649,sales_teams!$A$2:$A$36,sales_teams!C$2:C$36)</f>
        <v>Central</v>
      </c>
      <c r="E5649" t="s">
        <v>39</v>
      </c>
      <c r="F5649" t="s">
        <v>189</v>
      </c>
      <c r="G5649" t="s">
        <v>40</v>
      </c>
      <c r="H5649" s="1">
        <v>42950</v>
      </c>
    </row>
    <row r="5650" spans="1:10" x14ac:dyDescent="0.3">
      <c r="A5650" t="s">
        <v>5781</v>
      </c>
      <c r="B5650" t="s">
        <v>35</v>
      </c>
      <c r="C5650" t="str">
        <f>_xlfn.XLOOKUP(B5650,
[1]sales_teams!$A$2:$A$100,
[1]sales_teams!$B$2:$B$100)</f>
        <v>Melvin Marxen</v>
      </c>
      <c r="D5650" t="str">
        <f>_xlfn.XLOOKUP($B5650,sales_teams!$A$2:$A$36,sales_teams!C$2:C$36)</f>
        <v>Central</v>
      </c>
      <c r="E5650" t="s">
        <v>10</v>
      </c>
      <c r="F5650" t="s">
        <v>109</v>
      </c>
      <c r="G5650" t="s">
        <v>40</v>
      </c>
      <c r="H5650" s="1">
        <v>42950</v>
      </c>
    </row>
    <row r="5651" spans="1:10" x14ac:dyDescent="0.3">
      <c r="A5651" t="s">
        <v>5782</v>
      </c>
      <c r="B5651" t="s">
        <v>35</v>
      </c>
      <c r="C5651" t="str">
        <f>_xlfn.XLOOKUP(B5651,
[1]sales_teams!$A$2:$A$100,
[1]sales_teams!$B$2:$B$100)</f>
        <v>Melvin Marxen</v>
      </c>
      <c r="D5651" t="str">
        <f>_xlfn.XLOOKUP($B5651,sales_teams!$A$2:$A$36,sales_teams!C$2:C$36)</f>
        <v>Central</v>
      </c>
      <c r="E5651" t="s">
        <v>18</v>
      </c>
      <c r="G5651" t="s">
        <v>40</v>
      </c>
      <c r="H5651" s="1">
        <v>42950</v>
      </c>
    </row>
    <row r="5652" spans="1:10" x14ac:dyDescent="0.3">
      <c r="A5652" t="s">
        <v>5783</v>
      </c>
      <c r="B5652" t="s">
        <v>35</v>
      </c>
      <c r="C5652" t="str">
        <f>_xlfn.XLOOKUP(B5652,
[1]sales_teams!$A$2:$A$100,
[1]sales_teams!$B$2:$B$100)</f>
        <v>Melvin Marxen</v>
      </c>
      <c r="D5652" t="str">
        <f>_xlfn.XLOOKUP($B5652,sales_teams!$A$2:$A$36,sales_teams!C$2:C$36)</f>
        <v>Central</v>
      </c>
      <c r="E5652" t="s">
        <v>10</v>
      </c>
      <c r="F5652" t="s">
        <v>318</v>
      </c>
      <c r="G5652" t="s">
        <v>12</v>
      </c>
      <c r="H5652" s="1">
        <v>42950</v>
      </c>
      <c r="I5652" s="1">
        <v>42968</v>
      </c>
      <c r="J5652">
        <v>1126</v>
      </c>
    </row>
    <row r="5653" spans="1:10" x14ac:dyDescent="0.3">
      <c r="A5653" t="s">
        <v>5784</v>
      </c>
      <c r="B5653" t="s">
        <v>97</v>
      </c>
      <c r="C5653" t="str">
        <f>_xlfn.XLOOKUP(B5653,
[1]sales_teams!$A$2:$A$100,
[1]sales_teams!$B$2:$B$100)</f>
        <v>Rocco Neubert</v>
      </c>
      <c r="D5653" t="str">
        <f>_xlfn.XLOOKUP($B5653,sales_teams!$A$2:$A$36,sales_teams!C$2:C$36)</f>
        <v>East</v>
      </c>
      <c r="E5653" t="s">
        <v>15</v>
      </c>
      <c r="F5653" t="s">
        <v>209</v>
      </c>
      <c r="G5653" t="s">
        <v>12</v>
      </c>
      <c r="H5653" s="1">
        <v>42950</v>
      </c>
      <c r="I5653" s="1">
        <v>42961</v>
      </c>
      <c r="J5653">
        <v>3963</v>
      </c>
    </row>
    <row r="5654" spans="1:10" x14ac:dyDescent="0.3">
      <c r="A5654" t="s">
        <v>5785</v>
      </c>
      <c r="B5654" t="s">
        <v>97</v>
      </c>
      <c r="C5654" t="str">
        <f>_xlfn.XLOOKUP(B5654,
[1]sales_teams!$A$2:$A$100,
[1]sales_teams!$B$2:$B$100)</f>
        <v>Rocco Neubert</v>
      </c>
      <c r="D5654" t="str">
        <f>_xlfn.XLOOKUP($B5654,sales_teams!$A$2:$A$36,sales_teams!C$2:C$36)</f>
        <v>East</v>
      </c>
      <c r="E5654" t="s">
        <v>15</v>
      </c>
      <c r="F5654" t="s">
        <v>179</v>
      </c>
      <c r="G5654" t="s">
        <v>12</v>
      </c>
      <c r="H5654" s="1">
        <v>42950</v>
      </c>
      <c r="I5654" s="1">
        <v>42958</v>
      </c>
      <c r="J5654">
        <v>5401</v>
      </c>
    </row>
    <row r="5655" spans="1:10" x14ac:dyDescent="0.3">
      <c r="A5655" t="s">
        <v>5786</v>
      </c>
      <c r="B5655" t="s">
        <v>88</v>
      </c>
      <c r="C5655" t="str">
        <f>_xlfn.XLOOKUP(B5655,
[1]sales_teams!$A$2:$A$100,
[1]sales_teams!$B$2:$B$100)</f>
        <v>Cara Losch</v>
      </c>
      <c r="D5655" t="str">
        <f>_xlfn.XLOOKUP($B5655,sales_teams!$A$2:$A$36,sales_teams!C$2:C$36)</f>
        <v>East</v>
      </c>
      <c r="E5655" t="s">
        <v>39</v>
      </c>
      <c r="F5655" t="s">
        <v>143</v>
      </c>
      <c r="G5655" t="s">
        <v>46</v>
      </c>
      <c r="H5655" s="1">
        <v>42950</v>
      </c>
      <c r="I5655" s="1">
        <v>42967</v>
      </c>
      <c r="J5655">
        <v>0</v>
      </c>
    </row>
    <row r="5656" spans="1:10" x14ac:dyDescent="0.3">
      <c r="A5656" t="s">
        <v>5787</v>
      </c>
      <c r="B5656" t="s">
        <v>88</v>
      </c>
      <c r="C5656" t="str">
        <f>_xlfn.XLOOKUP(B5656,
[1]sales_teams!$A$2:$A$100,
[1]sales_teams!$B$2:$B$100)</f>
        <v>Cara Losch</v>
      </c>
      <c r="D5656" t="str">
        <f>_xlfn.XLOOKUP($B5656,sales_teams!$A$2:$A$36,sales_teams!C$2:C$36)</f>
        <v>East</v>
      </c>
      <c r="E5656" t="s">
        <v>10</v>
      </c>
      <c r="F5656" t="s">
        <v>143</v>
      </c>
      <c r="G5656" t="s">
        <v>12</v>
      </c>
      <c r="H5656" s="1">
        <v>42950</v>
      </c>
      <c r="I5656" s="1">
        <v>43071</v>
      </c>
      <c r="J5656">
        <v>965</v>
      </c>
    </row>
    <row r="5657" spans="1:10" x14ac:dyDescent="0.3">
      <c r="A5657" t="s">
        <v>5788</v>
      </c>
      <c r="B5657" t="s">
        <v>61</v>
      </c>
      <c r="C5657" t="str">
        <f>_xlfn.XLOOKUP(B5657,
[1]sales_teams!$A$2:$A$100,
[1]sales_teams!$B$2:$B$100)</f>
        <v>Dustin Brinkmann</v>
      </c>
      <c r="D5657" t="str">
        <f>_xlfn.XLOOKUP($B5657,sales_teams!$A$2:$A$36,sales_teams!C$2:C$36)</f>
        <v>Central</v>
      </c>
      <c r="E5657" t="s">
        <v>20</v>
      </c>
      <c r="G5657" t="s">
        <v>40</v>
      </c>
      <c r="H5657" s="1">
        <v>42950</v>
      </c>
    </row>
    <row r="5658" spans="1:10" x14ac:dyDescent="0.3">
      <c r="A5658" t="s">
        <v>5789</v>
      </c>
      <c r="B5658" t="s">
        <v>61</v>
      </c>
      <c r="C5658" t="str">
        <f>_xlfn.XLOOKUP(B5658,
[1]sales_teams!$A$2:$A$100,
[1]sales_teams!$B$2:$B$100)</f>
        <v>Dustin Brinkmann</v>
      </c>
      <c r="D5658" t="str">
        <f>_xlfn.XLOOKUP($B5658,sales_teams!$A$2:$A$36,sales_teams!C$2:C$36)</f>
        <v>Central</v>
      </c>
      <c r="E5658" t="s">
        <v>18</v>
      </c>
      <c r="G5658" t="s">
        <v>40</v>
      </c>
      <c r="H5658" s="1">
        <v>42950</v>
      </c>
    </row>
    <row r="5659" spans="1:10" x14ac:dyDescent="0.3">
      <c r="A5659" t="s">
        <v>5790</v>
      </c>
      <c r="B5659" t="s">
        <v>61</v>
      </c>
      <c r="C5659" t="str">
        <f>_xlfn.XLOOKUP(B5659,
[1]sales_teams!$A$2:$A$100,
[1]sales_teams!$B$2:$B$100)</f>
        <v>Dustin Brinkmann</v>
      </c>
      <c r="D5659" t="str">
        <f>_xlfn.XLOOKUP($B5659,sales_teams!$A$2:$A$36,sales_teams!C$2:C$36)</f>
        <v>Central</v>
      </c>
      <c r="E5659" t="s">
        <v>20</v>
      </c>
      <c r="F5659" t="s">
        <v>315</v>
      </c>
      <c r="G5659" t="s">
        <v>12</v>
      </c>
      <c r="H5659" s="1">
        <v>42950</v>
      </c>
      <c r="I5659" s="1">
        <v>43040</v>
      </c>
      <c r="J5659">
        <v>534</v>
      </c>
    </row>
    <row r="5660" spans="1:10" x14ac:dyDescent="0.3">
      <c r="A5660" t="s">
        <v>5791</v>
      </c>
      <c r="B5660" t="s">
        <v>29</v>
      </c>
      <c r="C5660" t="str">
        <f>_xlfn.XLOOKUP(B5660,
[1]sales_teams!$A$2:$A$100,
[1]sales_teams!$B$2:$B$100)</f>
        <v>Celia Rouche</v>
      </c>
      <c r="D5660" t="str">
        <f>_xlfn.XLOOKUP($B5660,sales_teams!$A$2:$A$36,sales_teams!C$2:C$36)</f>
        <v>West</v>
      </c>
      <c r="E5660" t="s">
        <v>18</v>
      </c>
      <c r="F5660" t="s">
        <v>106</v>
      </c>
      <c r="G5660" t="s">
        <v>40</v>
      </c>
      <c r="H5660" s="1">
        <v>42950</v>
      </c>
    </row>
    <row r="5661" spans="1:10" x14ac:dyDescent="0.3">
      <c r="A5661" t="s">
        <v>5792</v>
      </c>
      <c r="B5661" t="s">
        <v>102</v>
      </c>
      <c r="C5661" t="str">
        <f>_xlfn.XLOOKUP(B5661,
[1]sales_teams!$A$2:$A$100,
[1]sales_teams!$B$2:$B$100)</f>
        <v>Cara Losch</v>
      </c>
      <c r="D5661" t="str">
        <f>_xlfn.XLOOKUP($B5661,sales_teams!$A$2:$A$36,sales_teams!C$2:C$36)</f>
        <v>East</v>
      </c>
      <c r="E5661" t="s">
        <v>18</v>
      </c>
      <c r="F5661" t="s">
        <v>222</v>
      </c>
      <c r="G5661" t="s">
        <v>12</v>
      </c>
      <c r="H5661" s="1">
        <v>42950</v>
      </c>
      <c r="I5661" s="1">
        <v>43060</v>
      </c>
      <c r="J5661">
        <v>50</v>
      </c>
    </row>
    <row r="5662" spans="1:10" x14ac:dyDescent="0.3">
      <c r="A5662" t="s">
        <v>5793</v>
      </c>
      <c r="B5662" t="s">
        <v>164</v>
      </c>
      <c r="C5662" t="str">
        <f>_xlfn.XLOOKUP(B5662,
[1]sales_teams!$A$2:$A$100,
[1]sales_teams!$B$2:$B$100)</f>
        <v>Cara Losch</v>
      </c>
      <c r="D5662" t="str">
        <f>_xlfn.XLOOKUP($B5662,sales_teams!$A$2:$A$36,sales_teams!C$2:C$36)</f>
        <v>East</v>
      </c>
      <c r="E5662" t="s">
        <v>18</v>
      </c>
      <c r="F5662" t="s">
        <v>11</v>
      </c>
      <c r="G5662" t="s">
        <v>40</v>
      </c>
      <c r="H5662" s="1">
        <v>42951</v>
      </c>
    </row>
    <row r="5663" spans="1:10" x14ac:dyDescent="0.3">
      <c r="A5663" t="s">
        <v>5794</v>
      </c>
      <c r="B5663" t="s">
        <v>64</v>
      </c>
      <c r="C5663" t="str">
        <f>_xlfn.XLOOKUP(B5663,
[1]sales_teams!$A$2:$A$100,
[1]sales_teams!$B$2:$B$100)</f>
        <v>Rocco Neubert</v>
      </c>
      <c r="D5663" t="str">
        <f>_xlfn.XLOOKUP($B5663,sales_teams!$A$2:$A$36,sales_teams!C$2:C$36)</f>
        <v>East</v>
      </c>
      <c r="E5663" t="s">
        <v>10</v>
      </c>
      <c r="G5663" t="s">
        <v>40</v>
      </c>
      <c r="H5663" s="1">
        <v>42951</v>
      </c>
    </row>
    <row r="5664" spans="1:10" x14ac:dyDescent="0.3">
      <c r="A5664" t="s">
        <v>5795</v>
      </c>
      <c r="B5664" t="s">
        <v>14</v>
      </c>
      <c r="C5664" t="str">
        <f>_xlfn.XLOOKUP(B5664,
[1]sales_teams!$A$2:$A$100,
[1]sales_teams!$B$2:$B$100)</f>
        <v>Melvin Marxen</v>
      </c>
      <c r="D5664" t="str">
        <f>_xlfn.XLOOKUP($B5664,sales_teams!$A$2:$A$36,sales_teams!C$2:C$36)</f>
        <v>Central</v>
      </c>
      <c r="E5664" t="s">
        <v>15</v>
      </c>
      <c r="G5664" t="s">
        <v>40</v>
      </c>
      <c r="H5664" s="1">
        <v>42951</v>
      </c>
    </row>
    <row r="5665" spans="1:10" x14ac:dyDescent="0.3">
      <c r="A5665" t="s">
        <v>5796</v>
      </c>
      <c r="B5665" t="s">
        <v>14</v>
      </c>
      <c r="C5665" t="str">
        <f>_xlfn.XLOOKUP(B5665,
[1]sales_teams!$A$2:$A$100,
[1]sales_teams!$B$2:$B$100)</f>
        <v>Melvin Marxen</v>
      </c>
      <c r="D5665" t="str">
        <f>_xlfn.XLOOKUP($B5665,sales_teams!$A$2:$A$36,sales_teams!C$2:C$36)</f>
        <v>Central</v>
      </c>
      <c r="E5665" t="s">
        <v>15</v>
      </c>
      <c r="G5665" t="s">
        <v>40</v>
      </c>
      <c r="H5665" s="1">
        <v>42951</v>
      </c>
    </row>
    <row r="5666" spans="1:10" x14ac:dyDescent="0.3">
      <c r="A5666" t="s">
        <v>5797</v>
      </c>
      <c r="B5666" t="s">
        <v>142</v>
      </c>
      <c r="C5666" t="str">
        <f>_xlfn.XLOOKUP(B5666,
[1]sales_teams!$A$2:$A$100,
[1]sales_teams!$B$2:$B$100)</f>
        <v>Rocco Neubert</v>
      </c>
      <c r="D5666" t="str">
        <f>_xlfn.XLOOKUP($B5666,sales_teams!$A$2:$A$36,sales_teams!C$2:C$36)</f>
        <v>East</v>
      </c>
      <c r="E5666" t="s">
        <v>15</v>
      </c>
      <c r="F5666" t="s">
        <v>199</v>
      </c>
      <c r="G5666" t="s">
        <v>12</v>
      </c>
      <c r="H5666" s="1">
        <v>42951</v>
      </c>
      <c r="I5666" s="1">
        <v>42958</v>
      </c>
      <c r="J5666">
        <v>5186</v>
      </c>
    </row>
    <row r="5667" spans="1:10" x14ac:dyDescent="0.3">
      <c r="A5667" t="s">
        <v>5798</v>
      </c>
      <c r="B5667" t="s">
        <v>67</v>
      </c>
      <c r="C5667" t="str">
        <f>_xlfn.XLOOKUP(B5667,
[1]sales_teams!$A$2:$A$100,
[1]sales_teams!$B$2:$B$100)</f>
        <v>Celia Rouche</v>
      </c>
      <c r="D5667" t="str">
        <f>_xlfn.XLOOKUP($B5667,sales_teams!$A$2:$A$36,sales_teams!C$2:C$36)</f>
        <v>West</v>
      </c>
      <c r="E5667" t="s">
        <v>39</v>
      </c>
      <c r="F5667" t="s">
        <v>30</v>
      </c>
      <c r="G5667" t="s">
        <v>12</v>
      </c>
      <c r="H5667" s="1">
        <v>42951</v>
      </c>
      <c r="I5667" s="1">
        <v>43043</v>
      </c>
      <c r="J5667">
        <v>3308</v>
      </c>
    </row>
    <row r="5668" spans="1:10" x14ac:dyDescent="0.3">
      <c r="A5668" t="s">
        <v>5799</v>
      </c>
      <c r="B5668" t="s">
        <v>44</v>
      </c>
      <c r="C5668" t="str">
        <f>_xlfn.XLOOKUP(B5668,
[1]sales_teams!$A$2:$A$100,
[1]sales_teams!$B$2:$B$100)</f>
        <v>Melvin Marxen</v>
      </c>
      <c r="D5668" t="str">
        <f>_xlfn.XLOOKUP($B5668,sales_teams!$A$2:$A$36,sales_teams!C$2:C$36)</f>
        <v>Central</v>
      </c>
      <c r="E5668" t="s">
        <v>18</v>
      </c>
      <c r="G5668" t="s">
        <v>40</v>
      </c>
      <c r="H5668" s="1">
        <v>42951</v>
      </c>
    </row>
    <row r="5669" spans="1:10" x14ac:dyDescent="0.3">
      <c r="A5669" t="s">
        <v>5800</v>
      </c>
      <c r="B5669" t="s">
        <v>44</v>
      </c>
      <c r="C5669" t="str">
        <f>_xlfn.XLOOKUP(B5669,
[1]sales_teams!$A$2:$A$100,
[1]sales_teams!$B$2:$B$100)</f>
        <v>Melvin Marxen</v>
      </c>
      <c r="D5669" t="str">
        <f>_xlfn.XLOOKUP($B5669,sales_teams!$A$2:$A$36,sales_teams!C$2:C$36)</f>
        <v>Central</v>
      </c>
      <c r="E5669" t="s">
        <v>39</v>
      </c>
      <c r="F5669" t="s">
        <v>129</v>
      </c>
      <c r="G5669" t="s">
        <v>12</v>
      </c>
      <c r="H5669" s="1">
        <v>42951</v>
      </c>
      <c r="I5669" s="1">
        <v>43076</v>
      </c>
      <c r="J5669">
        <v>3367</v>
      </c>
    </row>
    <row r="5670" spans="1:10" x14ac:dyDescent="0.3">
      <c r="A5670" t="s">
        <v>5801</v>
      </c>
      <c r="B5670" t="s">
        <v>252</v>
      </c>
      <c r="C5670" t="str">
        <f>_xlfn.XLOOKUP(B5670,
[1]sales_teams!$A$2:$A$100,
[1]sales_teams!$B$2:$B$100)</f>
        <v>Melvin Marxen</v>
      </c>
      <c r="D5670" t="str">
        <f>_xlfn.XLOOKUP($B5670,sales_teams!$A$2:$A$36,sales_teams!C$2:C$36)</f>
        <v>Central</v>
      </c>
      <c r="E5670" t="s">
        <v>10</v>
      </c>
      <c r="G5670" t="s">
        <v>40</v>
      </c>
      <c r="H5670" s="1">
        <v>42951</v>
      </c>
    </row>
    <row r="5671" spans="1:10" x14ac:dyDescent="0.3">
      <c r="A5671" t="s">
        <v>5802</v>
      </c>
      <c r="B5671" t="s">
        <v>95</v>
      </c>
      <c r="C5671" t="str">
        <f>_xlfn.XLOOKUP(B5671,
[1]sales_teams!$A$2:$A$100,
[1]sales_teams!$B$2:$B$100)</f>
        <v>Summer Sewald</v>
      </c>
      <c r="D5671" t="str">
        <f>_xlfn.XLOOKUP($B5671,sales_teams!$A$2:$A$36,sales_teams!C$2:C$36)</f>
        <v>West</v>
      </c>
      <c r="E5671" t="s">
        <v>10</v>
      </c>
      <c r="F5671" t="s">
        <v>86</v>
      </c>
      <c r="G5671" t="s">
        <v>46</v>
      </c>
      <c r="H5671" s="1">
        <v>42951</v>
      </c>
      <c r="I5671" s="1">
        <v>42955</v>
      </c>
      <c r="J5671">
        <v>0</v>
      </c>
    </row>
    <row r="5672" spans="1:10" x14ac:dyDescent="0.3">
      <c r="A5672" t="s">
        <v>5803</v>
      </c>
      <c r="B5672" t="s">
        <v>95</v>
      </c>
      <c r="C5672" t="str">
        <f>_xlfn.XLOOKUP(B5672,
[1]sales_teams!$A$2:$A$100,
[1]sales_teams!$B$2:$B$100)</f>
        <v>Summer Sewald</v>
      </c>
      <c r="D5672" t="str">
        <f>_xlfn.XLOOKUP($B5672,sales_teams!$A$2:$A$36,sales_teams!C$2:C$36)</f>
        <v>West</v>
      </c>
      <c r="E5672" t="s">
        <v>20</v>
      </c>
      <c r="F5672" t="s">
        <v>59</v>
      </c>
      <c r="G5672" t="s">
        <v>12</v>
      </c>
      <c r="H5672" s="1">
        <v>42951</v>
      </c>
      <c r="I5672" s="1">
        <v>42994</v>
      </c>
      <c r="J5672">
        <v>518</v>
      </c>
    </row>
    <row r="5673" spans="1:10" x14ac:dyDescent="0.3">
      <c r="A5673" t="s">
        <v>5804</v>
      </c>
      <c r="B5673" t="s">
        <v>133</v>
      </c>
      <c r="C5673" t="str">
        <f>_xlfn.XLOOKUP(B5673,
[1]sales_teams!$A$2:$A$100,
[1]sales_teams!$B$2:$B$100)</f>
        <v>Dustin Brinkmann</v>
      </c>
      <c r="D5673" t="str">
        <f>_xlfn.XLOOKUP($B5673,sales_teams!$A$2:$A$36,sales_teams!C$2:C$36)</f>
        <v>Central</v>
      </c>
      <c r="E5673" t="s">
        <v>20</v>
      </c>
      <c r="G5673" t="s">
        <v>40</v>
      </c>
      <c r="H5673" s="1">
        <v>42951</v>
      </c>
    </row>
    <row r="5674" spans="1:10" x14ac:dyDescent="0.3">
      <c r="A5674" t="s">
        <v>5805</v>
      </c>
      <c r="B5674" t="s">
        <v>9</v>
      </c>
      <c r="C5674" t="str">
        <f>_xlfn.XLOOKUP(B5674,
[1]sales_teams!$A$2:$A$100,
[1]sales_teams!$B$2:$B$100)</f>
        <v>Dustin Brinkmann</v>
      </c>
      <c r="D5674" t="str">
        <f>_xlfn.XLOOKUP($B5674,sales_teams!$A$2:$A$36,sales_teams!C$2:C$36)</f>
        <v>Central</v>
      </c>
      <c r="E5674" t="s">
        <v>20</v>
      </c>
      <c r="F5674" t="s">
        <v>218</v>
      </c>
      <c r="G5674" t="s">
        <v>40</v>
      </c>
      <c r="H5674" s="1">
        <v>42951</v>
      </c>
    </row>
    <row r="5675" spans="1:10" x14ac:dyDescent="0.3">
      <c r="A5675" t="s">
        <v>5806</v>
      </c>
      <c r="B5675" t="s">
        <v>9</v>
      </c>
      <c r="C5675" t="str">
        <f>_xlfn.XLOOKUP(B5675,
[1]sales_teams!$A$2:$A$100,
[1]sales_teams!$B$2:$B$100)</f>
        <v>Dustin Brinkmann</v>
      </c>
      <c r="D5675" t="str">
        <f>_xlfn.XLOOKUP($B5675,sales_teams!$A$2:$A$36,sales_teams!C$2:C$36)</f>
        <v>Central</v>
      </c>
      <c r="E5675" t="s">
        <v>39</v>
      </c>
      <c r="F5675" t="s">
        <v>135</v>
      </c>
      <c r="G5675" t="s">
        <v>40</v>
      </c>
      <c r="H5675" s="1">
        <v>42951</v>
      </c>
    </row>
    <row r="5676" spans="1:10" x14ac:dyDescent="0.3">
      <c r="A5676" t="s">
        <v>5807</v>
      </c>
      <c r="B5676" t="s">
        <v>35</v>
      </c>
      <c r="C5676" t="str">
        <f>_xlfn.XLOOKUP(B5676,
[1]sales_teams!$A$2:$A$100,
[1]sales_teams!$B$2:$B$100)</f>
        <v>Melvin Marxen</v>
      </c>
      <c r="D5676" t="str">
        <f>_xlfn.XLOOKUP($B5676,sales_teams!$A$2:$A$36,sales_teams!C$2:C$36)</f>
        <v>Central</v>
      </c>
      <c r="E5676" t="s">
        <v>10</v>
      </c>
      <c r="F5676" t="s">
        <v>204</v>
      </c>
      <c r="G5676" t="s">
        <v>40</v>
      </c>
      <c r="H5676" s="1">
        <v>42951</v>
      </c>
    </row>
    <row r="5677" spans="1:10" x14ac:dyDescent="0.3">
      <c r="A5677" t="s">
        <v>5808</v>
      </c>
      <c r="B5677" t="s">
        <v>97</v>
      </c>
      <c r="C5677" t="str">
        <f>_xlfn.XLOOKUP(B5677,
[1]sales_teams!$A$2:$A$100,
[1]sales_teams!$B$2:$B$100)</f>
        <v>Rocco Neubert</v>
      </c>
      <c r="D5677" t="str">
        <f>_xlfn.XLOOKUP($B5677,sales_teams!$A$2:$A$36,sales_teams!C$2:C$36)</f>
        <v>East</v>
      </c>
      <c r="E5677" t="s">
        <v>15</v>
      </c>
      <c r="F5677" t="s">
        <v>240</v>
      </c>
      <c r="G5677" t="s">
        <v>46</v>
      </c>
      <c r="H5677" s="1">
        <v>42951</v>
      </c>
      <c r="I5677" s="1">
        <v>42957</v>
      </c>
      <c r="J5677">
        <v>0</v>
      </c>
    </row>
    <row r="5678" spans="1:10" x14ac:dyDescent="0.3">
      <c r="A5678" t="s">
        <v>5809</v>
      </c>
      <c r="B5678" t="s">
        <v>97</v>
      </c>
      <c r="C5678" t="str">
        <f>_xlfn.XLOOKUP(B5678,
[1]sales_teams!$A$2:$A$100,
[1]sales_teams!$B$2:$B$100)</f>
        <v>Rocco Neubert</v>
      </c>
      <c r="D5678" t="str">
        <f>_xlfn.XLOOKUP($B5678,sales_teams!$A$2:$A$36,sales_teams!C$2:C$36)</f>
        <v>East</v>
      </c>
      <c r="E5678" t="s">
        <v>10</v>
      </c>
      <c r="F5678" t="s">
        <v>155</v>
      </c>
      <c r="G5678" t="s">
        <v>12</v>
      </c>
      <c r="H5678" s="1">
        <v>42951</v>
      </c>
      <c r="I5678" s="1">
        <v>42989</v>
      </c>
      <c r="J5678">
        <v>1128</v>
      </c>
    </row>
    <row r="5679" spans="1:10" x14ac:dyDescent="0.3">
      <c r="A5679" t="s">
        <v>5810</v>
      </c>
      <c r="B5679" t="s">
        <v>97</v>
      </c>
      <c r="C5679" t="str">
        <f>_xlfn.XLOOKUP(B5679,
[1]sales_teams!$A$2:$A$100,
[1]sales_teams!$B$2:$B$100)</f>
        <v>Rocco Neubert</v>
      </c>
      <c r="D5679" t="str">
        <f>_xlfn.XLOOKUP($B5679,sales_teams!$A$2:$A$36,sales_teams!C$2:C$36)</f>
        <v>East</v>
      </c>
      <c r="E5679" t="s">
        <v>48</v>
      </c>
      <c r="F5679" t="s">
        <v>165</v>
      </c>
      <c r="G5679" t="s">
        <v>12</v>
      </c>
      <c r="H5679" s="1">
        <v>42951</v>
      </c>
      <c r="I5679" s="1">
        <v>43085</v>
      </c>
      <c r="J5679">
        <v>6318</v>
      </c>
    </row>
    <row r="5680" spans="1:10" x14ac:dyDescent="0.3">
      <c r="A5680" t="s">
        <v>5811</v>
      </c>
      <c r="B5680" t="s">
        <v>73</v>
      </c>
      <c r="C5680" t="str">
        <f>_xlfn.XLOOKUP(B5680,
[1]sales_teams!$A$2:$A$100,
[1]sales_teams!$B$2:$B$100)</f>
        <v>Cara Losch</v>
      </c>
      <c r="D5680" t="str">
        <f>_xlfn.XLOOKUP($B5680,sales_teams!$A$2:$A$36,sales_teams!C$2:C$36)</f>
        <v>East</v>
      </c>
      <c r="E5680" t="s">
        <v>18</v>
      </c>
      <c r="G5680" t="s">
        <v>40</v>
      </c>
      <c r="H5680" s="1">
        <v>42951</v>
      </c>
    </row>
    <row r="5681" spans="1:10" x14ac:dyDescent="0.3">
      <c r="A5681" t="s">
        <v>5812</v>
      </c>
      <c r="B5681" t="s">
        <v>26</v>
      </c>
      <c r="C5681" t="str">
        <f>_xlfn.XLOOKUP(B5681,
[1]sales_teams!$A$2:$A$100,
[1]sales_teams!$B$2:$B$100)</f>
        <v>Dustin Brinkmann</v>
      </c>
      <c r="D5681" t="str">
        <f>_xlfn.XLOOKUP($B5681,sales_teams!$A$2:$A$36,sales_teams!C$2:C$36)</f>
        <v>Central</v>
      </c>
      <c r="E5681" t="s">
        <v>20</v>
      </c>
      <c r="G5681" t="s">
        <v>40</v>
      </c>
      <c r="H5681" s="1">
        <v>42952</v>
      </c>
    </row>
    <row r="5682" spans="1:10" x14ac:dyDescent="0.3">
      <c r="A5682" t="s">
        <v>5813</v>
      </c>
      <c r="B5682" t="s">
        <v>26</v>
      </c>
      <c r="C5682" t="str">
        <f>_xlfn.XLOOKUP(B5682,
[1]sales_teams!$A$2:$A$100,
[1]sales_teams!$B$2:$B$100)</f>
        <v>Dustin Brinkmann</v>
      </c>
      <c r="D5682" t="str">
        <f>_xlfn.XLOOKUP($B5682,sales_teams!$A$2:$A$36,sales_teams!C$2:C$36)</f>
        <v>Central</v>
      </c>
      <c r="E5682" t="s">
        <v>48</v>
      </c>
      <c r="G5682" t="s">
        <v>40</v>
      </c>
      <c r="H5682" s="1">
        <v>42952</v>
      </c>
    </row>
    <row r="5683" spans="1:10" x14ac:dyDescent="0.3">
      <c r="A5683" t="s">
        <v>5814</v>
      </c>
      <c r="B5683" t="s">
        <v>26</v>
      </c>
      <c r="C5683" t="str">
        <f>_xlfn.XLOOKUP(B5683,
[1]sales_teams!$A$2:$A$100,
[1]sales_teams!$B$2:$B$100)</f>
        <v>Dustin Brinkmann</v>
      </c>
      <c r="D5683" t="str">
        <f>_xlfn.XLOOKUP($B5683,sales_teams!$A$2:$A$36,sales_teams!C$2:C$36)</f>
        <v>Central</v>
      </c>
      <c r="E5683" t="s">
        <v>18</v>
      </c>
      <c r="G5683" t="s">
        <v>40</v>
      </c>
      <c r="H5683" s="1">
        <v>42952</v>
      </c>
    </row>
    <row r="5684" spans="1:10" x14ac:dyDescent="0.3">
      <c r="A5684" t="s">
        <v>5815</v>
      </c>
      <c r="B5684" t="s">
        <v>26</v>
      </c>
      <c r="C5684" t="str">
        <f>_xlfn.XLOOKUP(B5684,
[1]sales_teams!$A$2:$A$100,
[1]sales_teams!$B$2:$B$100)</f>
        <v>Dustin Brinkmann</v>
      </c>
      <c r="D5684" t="str">
        <f>_xlfn.XLOOKUP($B5684,sales_teams!$A$2:$A$36,sales_teams!C$2:C$36)</f>
        <v>Central</v>
      </c>
      <c r="E5684" t="s">
        <v>18</v>
      </c>
      <c r="G5684" t="s">
        <v>40</v>
      </c>
      <c r="H5684" s="1">
        <v>42952</v>
      </c>
    </row>
    <row r="5685" spans="1:10" x14ac:dyDescent="0.3">
      <c r="A5685" t="s">
        <v>5816</v>
      </c>
      <c r="B5685" t="s">
        <v>26</v>
      </c>
      <c r="C5685" t="str">
        <f>_xlfn.XLOOKUP(B5685,
[1]sales_teams!$A$2:$A$100,
[1]sales_teams!$B$2:$B$100)</f>
        <v>Dustin Brinkmann</v>
      </c>
      <c r="D5685" t="str">
        <f>_xlfn.XLOOKUP($B5685,sales_teams!$A$2:$A$36,sales_teams!C$2:C$36)</f>
        <v>Central</v>
      </c>
      <c r="E5685" t="s">
        <v>39</v>
      </c>
      <c r="F5685" t="s">
        <v>11</v>
      </c>
      <c r="G5685" t="s">
        <v>46</v>
      </c>
      <c r="H5685" s="1">
        <v>42952</v>
      </c>
      <c r="I5685" s="1">
        <v>43065</v>
      </c>
      <c r="J5685">
        <v>0</v>
      </c>
    </row>
    <row r="5686" spans="1:10" x14ac:dyDescent="0.3">
      <c r="A5686" t="s">
        <v>5817</v>
      </c>
      <c r="B5686" t="s">
        <v>139</v>
      </c>
      <c r="C5686" t="str">
        <f>_xlfn.XLOOKUP(B5686,
[1]sales_teams!$A$2:$A$100,
[1]sales_teams!$B$2:$B$100)</f>
        <v>Rocco Neubert</v>
      </c>
      <c r="D5686" t="str">
        <f>_xlfn.XLOOKUP($B5686,sales_teams!$A$2:$A$36,sales_teams!C$2:C$36)</f>
        <v>East</v>
      </c>
      <c r="E5686" t="s">
        <v>15</v>
      </c>
      <c r="G5686" t="s">
        <v>40</v>
      </c>
      <c r="H5686" s="1">
        <v>42952</v>
      </c>
    </row>
    <row r="5687" spans="1:10" x14ac:dyDescent="0.3">
      <c r="A5687" t="s">
        <v>5818</v>
      </c>
      <c r="B5687" t="s">
        <v>64</v>
      </c>
      <c r="C5687" t="str">
        <f>_xlfn.XLOOKUP(B5687,
[1]sales_teams!$A$2:$A$100,
[1]sales_teams!$B$2:$B$100)</f>
        <v>Rocco Neubert</v>
      </c>
      <c r="D5687" t="str">
        <f>_xlfn.XLOOKUP($B5687,sales_teams!$A$2:$A$36,sales_teams!C$2:C$36)</f>
        <v>East</v>
      </c>
      <c r="E5687" t="s">
        <v>15</v>
      </c>
      <c r="F5687" t="s">
        <v>42</v>
      </c>
      <c r="G5687" t="s">
        <v>40</v>
      </c>
      <c r="H5687" s="1">
        <v>42952</v>
      </c>
    </row>
    <row r="5688" spans="1:10" x14ac:dyDescent="0.3">
      <c r="A5688" t="s">
        <v>5819</v>
      </c>
      <c r="B5688" t="s">
        <v>64</v>
      </c>
      <c r="C5688" t="str">
        <f>_xlfn.XLOOKUP(B5688,
[1]sales_teams!$A$2:$A$100,
[1]sales_teams!$B$2:$B$100)</f>
        <v>Rocco Neubert</v>
      </c>
      <c r="D5688" t="str">
        <f>_xlfn.XLOOKUP($B5688,sales_teams!$A$2:$A$36,sales_teams!C$2:C$36)</f>
        <v>East</v>
      </c>
      <c r="E5688" t="s">
        <v>15</v>
      </c>
      <c r="F5688" t="s">
        <v>177</v>
      </c>
      <c r="G5688" t="s">
        <v>12</v>
      </c>
      <c r="H5688" s="1">
        <v>42952</v>
      </c>
      <c r="I5688" s="1">
        <v>42997</v>
      </c>
      <c r="J5688">
        <v>4935</v>
      </c>
    </row>
    <row r="5689" spans="1:10" x14ac:dyDescent="0.3">
      <c r="A5689" t="s">
        <v>5820</v>
      </c>
      <c r="B5689" t="s">
        <v>14</v>
      </c>
      <c r="C5689" t="str">
        <f>_xlfn.XLOOKUP(B5689,
[1]sales_teams!$A$2:$A$100,
[1]sales_teams!$B$2:$B$100)</f>
        <v>Melvin Marxen</v>
      </c>
      <c r="D5689" t="str">
        <f>_xlfn.XLOOKUP($B5689,sales_teams!$A$2:$A$36,sales_teams!C$2:C$36)</f>
        <v>Central</v>
      </c>
      <c r="E5689" t="s">
        <v>48</v>
      </c>
      <c r="G5689" t="s">
        <v>40</v>
      </c>
      <c r="H5689" s="1">
        <v>42952</v>
      </c>
    </row>
    <row r="5690" spans="1:10" x14ac:dyDescent="0.3">
      <c r="A5690" t="s">
        <v>5821</v>
      </c>
      <c r="B5690" t="s">
        <v>14</v>
      </c>
      <c r="C5690" t="str">
        <f>_xlfn.XLOOKUP(B5690,
[1]sales_teams!$A$2:$A$100,
[1]sales_teams!$B$2:$B$100)</f>
        <v>Melvin Marxen</v>
      </c>
      <c r="D5690" t="str">
        <f>_xlfn.XLOOKUP($B5690,sales_teams!$A$2:$A$36,sales_teams!C$2:C$36)</f>
        <v>Central</v>
      </c>
      <c r="E5690" t="s">
        <v>48</v>
      </c>
      <c r="G5690" t="s">
        <v>40</v>
      </c>
      <c r="H5690" s="1">
        <v>42952</v>
      </c>
    </row>
    <row r="5691" spans="1:10" x14ac:dyDescent="0.3">
      <c r="A5691" t="s">
        <v>5822</v>
      </c>
      <c r="B5691" t="s">
        <v>14</v>
      </c>
      <c r="C5691" t="str">
        <f>_xlfn.XLOOKUP(B5691,
[1]sales_teams!$A$2:$A$100,
[1]sales_teams!$B$2:$B$100)</f>
        <v>Melvin Marxen</v>
      </c>
      <c r="D5691" t="str">
        <f>_xlfn.XLOOKUP($B5691,sales_teams!$A$2:$A$36,sales_teams!C$2:C$36)</f>
        <v>Central</v>
      </c>
      <c r="E5691" t="s">
        <v>10</v>
      </c>
      <c r="F5691" t="s">
        <v>231</v>
      </c>
      <c r="G5691" t="s">
        <v>12</v>
      </c>
      <c r="H5691" s="1">
        <v>42952</v>
      </c>
      <c r="I5691" s="1">
        <v>43089</v>
      </c>
      <c r="J5691">
        <v>1013</v>
      </c>
    </row>
    <row r="5692" spans="1:10" x14ac:dyDescent="0.3">
      <c r="A5692" t="s">
        <v>5823</v>
      </c>
      <c r="B5692" t="s">
        <v>142</v>
      </c>
      <c r="C5692" t="str">
        <f>_xlfn.XLOOKUP(B5692,
[1]sales_teams!$A$2:$A$100,
[1]sales_teams!$B$2:$B$100)</f>
        <v>Rocco Neubert</v>
      </c>
      <c r="D5692" t="str">
        <f>_xlfn.XLOOKUP($B5692,sales_teams!$A$2:$A$36,sales_teams!C$2:C$36)</f>
        <v>East</v>
      </c>
      <c r="E5692" t="s">
        <v>20</v>
      </c>
      <c r="F5692" t="s">
        <v>278</v>
      </c>
      <c r="G5692" t="s">
        <v>12</v>
      </c>
      <c r="H5692" s="1">
        <v>42952</v>
      </c>
      <c r="I5692" s="1">
        <v>43089</v>
      </c>
      <c r="J5692">
        <v>573</v>
      </c>
    </row>
    <row r="5693" spans="1:10" x14ac:dyDescent="0.3">
      <c r="A5693" t="s">
        <v>5824</v>
      </c>
      <c r="B5693" t="s">
        <v>142</v>
      </c>
      <c r="C5693" t="str">
        <f>_xlfn.XLOOKUP(B5693,
[1]sales_teams!$A$2:$A$100,
[1]sales_teams!$B$2:$B$100)</f>
        <v>Rocco Neubert</v>
      </c>
      <c r="D5693" t="str">
        <f>_xlfn.XLOOKUP($B5693,sales_teams!$A$2:$A$36,sales_teams!C$2:C$36)</f>
        <v>East</v>
      </c>
      <c r="E5693" t="s">
        <v>20</v>
      </c>
      <c r="F5693" t="s">
        <v>300</v>
      </c>
      <c r="G5693" t="s">
        <v>12</v>
      </c>
      <c r="H5693" s="1">
        <v>42952</v>
      </c>
      <c r="I5693" s="1">
        <v>43073</v>
      </c>
      <c r="J5693">
        <v>535</v>
      </c>
    </row>
    <row r="5694" spans="1:10" x14ac:dyDescent="0.3">
      <c r="A5694" t="s">
        <v>5825</v>
      </c>
      <c r="B5694" t="s">
        <v>67</v>
      </c>
      <c r="C5694" t="str">
        <f>_xlfn.XLOOKUP(B5694,
[1]sales_teams!$A$2:$A$100,
[1]sales_teams!$B$2:$B$100)</f>
        <v>Celia Rouche</v>
      </c>
      <c r="D5694" t="str">
        <f>_xlfn.XLOOKUP($B5694,sales_teams!$A$2:$A$36,sales_teams!C$2:C$36)</f>
        <v>West</v>
      </c>
      <c r="E5694" t="s">
        <v>18</v>
      </c>
      <c r="F5694" t="s">
        <v>165</v>
      </c>
      <c r="G5694" t="s">
        <v>40</v>
      </c>
      <c r="H5694" s="1">
        <v>42952</v>
      </c>
    </row>
    <row r="5695" spans="1:10" x14ac:dyDescent="0.3">
      <c r="A5695" t="s">
        <v>5826</v>
      </c>
      <c r="B5695" t="s">
        <v>67</v>
      </c>
      <c r="C5695" t="str">
        <f>_xlfn.XLOOKUP(B5695,
[1]sales_teams!$A$2:$A$100,
[1]sales_teams!$B$2:$B$100)</f>
        <v>Celia Rouche</v>
      </c>
      <c r="D5695" t="str">
        <f>_xlfn.XLOOKUP($B5695,sales_teams!$A$2:$A$36,sales_teams!C$2:C$36)</f>
        <v>West</v>
      </c>
      <c r="E5695" t="s">
        <v>39</v>
      </c>
      <c r="F5695" t="s">
        <v>70</v>
      </c>
      <c r="G5695" t="s">
        <v>46</v>
      </c>
      <c r="H5695" s="1">
        <v>42952</v>
      </c>
      <c r="I5695" s="1">
        <v>43068</v>
      </c>
      <c r="J5695">
        <v>0</v>
      </c>
    </row>
    <row r="5696" spans="1:10" x14ac:dyDescent="0.3">
      <c r="A5696" t="s">
        <v>5827</v>
      </c>
      <c r="B5696" t="s">
        <v>95</v>
      </c>
      <c r="C5696" t="str">
        <f>_xlfn.XLOOKUP(B5696,
[1]sales_teams!$A$2:$A$100,
[1]sales_teams!$B$2:$B$100)</f>
        <v>Summer Sewald</v>
      </c>
      <c r="D5696" t="str">
        <f>_xlfn.XLOOKUP($B5696,sales_teams!$A$2:$A$36,sales_teams!C$2:C$36)</f>
        <v>West</v>
      </c>
      <c r="E5696" t="s">
        <v>48</v>
      </c>
      <c r="F5696" t="s">
        <v>204</v>
      </c>
      <c r="G5696" t="s">
        <v>40</v>
      </c>
      <c r="H5696" s="1">
        <v>42952</v>
      </c>
    </row>
    <row r="5697" spans="1:10" x14ac:dyDescent="0.3">
      <c r="A5697" t="s">
        <v>5828</v>
      </c>
      <c r="B5697" t="s">
        <v>133</v>
      </c>
      <c r="C5697" t="str">
        <f>_xlfn.XLOOKUP(B5697,
[1]sales_teams!$A$2:$A$100,
[1]sales_teams!$B$2:$B$100)</f>
        <v>Dustin Brinkmann</v>
      </c>
      <c r="D5697" t="str">
        <f>_xlfn.XLOOKUP($B5697,sales_teams!$A$2:$A$36,sales_teams!C$2:C$36)</f>
        <v>Central</v>
      </c>
      <c r="E5697" t="s">
        <v>10</v>
      </c>
      <c r="F5697" t="s">
        <v>218</v>
      </c>
      <c r="G5697" t="s">
        <v>12</v>
      </c>
      <c r="H5697" s="1">
        <v>42952</v>
      </c>
      <c r="I5697" s="1">
        <v>43041</v>
      </c>
      <c r="J5697">
        <v>1080</v>
      </c>
    </row>
    <row r="5698" spans="1:10" x14ac:dyDescent="0.3">
      <c r="A5698" t="s">
        <v>5829</v>
      </c>
      <c r="B5698" t="s">
        <v>116</v>
      </c>
      <c r="C5698" t="str">
        <f>_xlfn.XLOOKUP(B5698,
[1]sales_teams!$A$2:$A$100,
[1]sales_teams!$B$2:$B$100)</f>
        <v>Melvin Marxen</v>
      </c>
      <c r="D5698" t="str">
        <f>_xlfn.XLOOKUP($B5698,sales_teams!$A$2:$A$36,sales_teams!C$2:C$36)</f>
        <v>Central</v>
      </c>
      <c r="E5698" t="s">
        <v>20</v>
      </c>
      <c r="F5698" t="s">
        <v>129</v>
      </c>
      <c r="G5698" t="s">
        <v>12</v>
      </c>
      <c r="H5698" s="1">
        <v>42952</v>
      </c>
      <c r="I5698" s="1">
        <v>43083</v>
      </c>
      <c r="J5698">
        <v>609</v>
      </c>
    </row>
    <row r="5699" spans="1:10" x14ac:dyDescent="0.3">
      <c r="A5699" t="s">
        <v>5830</v>
      </c>
      <c r="B5699" t="s">
        <v>9</v>
      </c>
      <c r="C5699" t="str">
        <f>_xlfn.XLOOKUP(B5699,
[1]sales_teams!$A$2:$A$100,
[1]sales_teams!$B$2:$B$100)</f>
        <v>Dustin Brinkmann</v>
      </c>
      <c r="D5699" t="str">
        <f>_xlfn.XLOOKUP($B5699,sales_teams!$A$2:$A$36,sales_teams!C$2:C$36)</f>
        <v>Central</v>
      </c>
      <c r="E5699" t="s">
        <v>20</v>
      </c>
      <c r="F5699" t="s">
        <v>373</v>
      </c>
      <c r="G5699" t="s">
        <v>40</v>
      </c>
      <c r="H5699" s="1">
        <v>42952</v>
      </c>
    </row>
    <row r="5700" spans="1:10" x14ac:dyDescent="0.3">
      <c r="A5700" t="s">
        <v>5831</v>
      </c>
      <c r="B5700" t="s">
        <v>9</v>
      </c>
      <c r="C5700" t="str">
        <f>_xlfn.XLOOKUP(B5700,
[1]sales_teams!$A$2:$A$100,
[1]sales_teams!$B$2:$B$100)</f>
        <v>Dustin Brinkmann</v>
      </c>
      <c r="D5700" t="str">
        <f>_xlfn.XLOOKUP($B5700,sales_teams!$A$2:$A$36,sales_teams!C$2:C$36)</f>
        <v>Central</v>
      </c>
      <c r="E5700" t="s">
        <v>10</v>
      </c>
      <c r="F5700" t="s">
        <v>62</v>
      </c>
      <c r="G5700" t="s">
        <v>40</v>
      </c>
      <c r="H5700" s="1">
        <v>42952</v>
      </c>
    </row>
    <row r="5701" spans="1:10" x14ac:dyDescent="0.3">
      <c r="A5701" t="s">
        <v>5832</v>
      </c>
      <c r="B5701" t="s">
        <v>9</v>
      </c>
      <c r="C5701" t="str">
        <f>_xlfn.XLOOKUP(B5701,
[1]sales_teams!$A$2:$A$100,
[1]sales_teams!$B$2:$B$100)</f>
        <v>Dustin Brinkmann</v>
      </c>
      <c r="D5701" t="str">
        <f>_xlfn.XLOOKUP($B5701,sales_teams!$A$2:$A$36,sales_teams!C$2:C$36)</f>
        <v>Central</v>
      </c>
      <c r="E5701" t="s">
        <v>20</v>
      </c>
      <c r="F5701" t="s">
        <v>42</v>
      </c>
      <c r="G5701" t="s">
        <v>46</v>
      </c>
      <c r="H5701" s="1">
        <v>42952</v>
      </c>
      <c r="I5701" s="1">
        <v>43050</v>
      </c>
      <c r="J5701">
        <v>0</v>
      </c>
    </row>
    <row r="5702" spans="1:10" x14ac:dyDescent="0.3">
      <c r="A5702" t="s">
        <v>5833</v>
      </c>
      <c r="B5702" t="s">
        <v>9</v>
      </c>
      <c r="C5702" t="str">
        <f>_xlfn.XLOOKUP(B5702,
[1]sales_teams!$A$2:$A$100,
[1]sales_teams!$B$2:$B$100)</f>
        <v>Dustin Brinkmann</v>
      </c>
      <c r="D5702" t="str">
        <f>_xlfn.XLOOKUP($B5702,sales_teams!$A$2:$A$36,sales_teams!C$2:C$36)</f>
        <v>Central</v>
      </c>
      <c r="E5702" t="s">
        <v>18</v>
      </c>
      <c r="F5702" t="s">
        <v>231</v>
      </c>
      <c r="G5702" t="s">
        <v>46</v>
      </c>
      <c r="H5702" s="1">
        <v>42952</v>
      </c>
      <c r="I5702" s="1">
        <v>42962</v>
      </c>
      <c r="J5702">
        <v>0</v>
      </c>
    </row>
    <row r="5703" spans="1:10" x14ac:dyDescent="0.3">
      <c r="A5703" t="s">
        <v>5834</v>
      </c>
      <c r="B5703" t="s">
        <v>61</v>
      </c>
      <c r="C5703" t="str">
        <f>_xlfn.XLOOKUP(B5703,
[1]sales_teams!$A$2:$A$100,
[1]sales_teams!$B$2:$B$100)</f>
        <v>Dustin Brinkmann</v>
      </c>
      <c r="D5703" t="str">
        <f>_xlfn.XLOOKUP($B5703,sales_teams!$A$2:$A$36,sales_teams!C$2:C$36)</f>
        <v>Central</v>
      </c>
      <c r="E5703" t="s">
        <v>18</v>
      </c>
      <c r="G5703" t="s">
        <v>40</v>
      </c>
      <c r="H5703" s="1">
        <v>42952</v>
      </c>
    </row>
    <row r="5704" spans="1:10" x14ac:dyDescent="0.3">
      <c r="A5704" t="s">
        <v>5835</v>
      </c>
      <c r="B5704" t="s">
        <v>61</v>
      </c>
      <c r="C5704" t="str">
        <f>_xlfn.XLOOKUP(B5704,
[1]sales_teams!$A$2:$A$100,
[1]sales_teams!$B$2:$B$100)</f>
        <v>Dustin Brinkmann</v>
      </c>
      <c r="D5704" t="str">
        <f>_xlfn.XLOOKUP($B5704,sales_teams!$A$2:$A$36,sales_teams!C$2:C$36)</f>
        <v>Central</v>
      </c>
      <c r="E5704" t="s">
        <v>39</v>
      </c>
      <c r="F5704" t="s">
        <v>109</v>
      </c>
      <c r="G5704" t="s">
        <v>46</v>
      </c>
      <c r="H5704" s="1">
        <v>42952</v>
      </c>
      <c r="I5704" s="1">
        <v>43047</v>
      </c>
      <c r="J5704">
        <v>0</v>
      </c>
    </row>
    <row r="5705" spans="1:10" x14ac:dyDescent="0.3">
      <c r="A5705" t="s">
        <v>5836</v>
      </c>
      <c r="B5705" t="s">
        <v>61</v>
      </c>
      <c r="C5705" t="str">
        <f>_xlfn.XLOOKUP(B5705,
[1]sales_teams!$A$2:$A$100,
[1]sales_teams!$B$2:$B$100)</f>
        <v>Dustin Brinkmann</v>
      </c>
      <c r="D5705" t="str">
        <f>_xlfn.XLOOKUP($B5705,sales_teams!$A$2:$A$36,sales_teams!C$2:C$36)</f>
        <v>Central</v>
      </c>
      <c r="E5705" t="s">
        <v>20</v>
      </c>
      <c r="F5705" t="s">
        <v>126</v>
      </c>
      <c r="G5705" t="s">
        <v>12</v>
      </c>
      <c r="H5705" s="1">
        <v>42952</v>
      </c>
      <c r="I5705" s="1">
        <v>43048</v>
      </c>
      <c r="J5705">
        <v>563</v>
      </c>
    </row>
    <row r="5706" spans="1:10" x14ac:dyDescent="0.3">
      <c r="A5706" t="s">
        <v>5837</v>
      </c>
      <c r="B5706" t="s">
        <v>29</v>
      </c>
      <c r="C5706" t="str">
        <f>_xlfn.XLOOKUP(B5706,
[1]sales_teams!$A$2:$A$100,
[1]sales_teams!$B$2:$B$100)</f>
        <v>Celia Rouche</v>
      </c>
      <c r="D5706" t="str">
        <f>_xlfn.XLOOKUP($B5706,sales_teams!$A$2:$A$36,sales_teams!C$2:C$36)</f>
        <v>West</v>
      </c>
      <c r="E5706" t="s">
        <v>39</v>
      </c>
      <c r="F5706" t="s">
        <v>207</v>
      </c>
      <c r="G5706" t="s">
        <v>40</v>
      </c>
      <c r="H5706" s="1">
        <v>42952</v>
      </c>
    </row>
    <row r="5707" spans="1:10" x14ac:dyDescent="0.3">
      <c r="A5707" t="s">
        <v>5838</v>
      </c>
      <c r="B5707" t="s">
        <v>23</v>
      </c>
      <c r="C5707" t="str">
        <f>_xlfn.XLOOKUP(B5707,
[1]sales_teams!$A$2:$A$100,
[1]sales_teams!$B$2:$B$100)</f>
        <v>Summer Sewald</v>
      </c>
      <c r="D5707" t="str">
        <f>_xlfn.XLOOKUP($B5707,sales_teams!$A$2:$A$36,sales_teams!C$2:C$36)</f>
        <v>West</v>
      </c>
      <c r="E5707" t="s">
        <v>15</v>
      </c>
      <c r="F5707" t="s">
        <v>124</v>
      </c>
      <c r="G5707" t="s">
        <v>46</v>
      </c>
      <c r="H5707" s="1">
        <v>42952</v>
      </c>
      <c r="I5707" s="1">
        <v>43046</v>
      </c>
      <c r="J5707">
        <v>0</v>
      </c>
    </row>
    <row r="5708" spans="1:10" x14ac:dyDescent="0.3">
      <c r="A5708" t="s">
        <v>5839</v>
      </c>
      <c r="B5708" t="s">
        <v>26</v>
      </c>
      <c r="C5708" t="str">
        <f>_xlfn.XLOOKUP(B5708,
[1]sales_teams!$A$2:$A$100,
[1]sales_teams!$B$2:$B$100)</f>
        <v>Dustin Brinkmann</v>
      </c>
      <c r="D5708" t="str">
        <f>_xlfn.XLOOKUP($B5708,sales_teams!$A$2:$A$36,sales_teams!C$2:C$36)</f>
        <v>Central</v>
      </c>
      <c r="E5708" t="s">
        <v>18</v>
      </c>
      <c r="F5708" t="s">
        <v>303</v>
      </c>
      <c r="G5708" t="s">
        <v>46</v>
      </c>
      <c r="H5708" s="1">
        <v>42953</v>
      </c>
      <c r="I5708" s="1">
        <v>43068</v>
      </c>
      <c r="J5708">
        <v>0</v>
      </c>
    </row>
    <row r="5709" spans="1:10" x14ac:dyDescent="0.3">
      <c r="A5709" t="s">
        <v>5840</v>
      </c>
      <c r="B5709" t="s">
        <v>139</v>
      </c>
      <c r="C5709" t="str">
        <f>_xlfn.XLOOKUP(B5709,
[1]sales_teams!$A$2:$A$100,
[1]sales_teams!$B$2:$B$100)</f>
        <v>Rocco Neubert</v>
      </c>
      <c r="D5709" t="str">
        <f>_xlfn.XLOOKUP($B5709,sales_teams!$A$2:$A$36,sales_teams!C$2:C$36)</f>
        <v>East</v>
      </c>
      <c r="E5709" t="s">
        <v>48</v>
      </c>
      <c r="G5709" t="s">
        <v>40</v>
      </c>
      <c r="H5709" s="1">
        <v>42953</v>
      </c>
    </row>
    <row r="5710" spans="1:10" x14ac:dyDescent="0.3">
      <c r="A5710" t="s">
        <v>5841</v>
      </c>
      <c r="B5710" t="s">
        <v>139</v>
      </c>
      <c r="C5710" t="str">
        <f>_xlfn.XLOOKUP(B5710,
[1]sales_teams!$A$2:$A$100,
[1]sales_teams!$B$2:$B$100)</f>
        <v>Rocco Neubert</v>
      </c>
      <c r="D5710" t="str">
        <f>_xlfn.XLOOKUP($B5710,sales_teams!$A$2:$A$36,sales_teams!C$2:C$36)</f>
        <v>East</v>
      </c>
      <c r="E5710" t="s">
        <v>18</v>
      </c>
      <c r="F5710" t="s">
        <v>74</v>
      </c>
      <c r="G5710" t="s">
        <v>40</v>
      </c>
      <c r="H5710" s="1">
        <v>42953</v>
      </c>
    </row>
    <row r="5711" spans="1:10" x14ac:dyDescent="0.3">
      <c r="A5711" t="s">
        <v>5842</v>
      </c>
      <c r="B5711" t="s">
        <v>202</v>
      </c>
      <c r="C5711" t="str">
        <f>_xlfn.XLOOKUP(B5711,
[1]sales_teams!$A$2:$A$100,
[1]sales_teams!$B$2:$B$100)</f>
        <v>Dustin Brinkmann</v>
      </c>
      <c r="D5711" t="str">
        <f>_xlfn.XLOOKUP($B5711,sales_teams!$A$2:$A$36,sales_teams!C$2:C$36)</f>
        <v>Central</v>
      </c>
      <c r="E5711" t="s">
        <v>18</v>
      </c>
      <c r="F5711" t="s">
        <v>492</v>
      </c>
      <c r="G5711" t="s">
        <v>40</v>
      </c>
      <c r="H5711" s="1">
        <v>42953</v>
      </c>
    </row>
    <row r="5712" spans="1:10" x14ac:dyDescent="0.3">
      <c r="A5712" t="s">
        <v>5843</v>
      </c>
      <c r="B5712" t="s">
        <v>164</v>
      </c>
      <c r="C5712" t="str">
        <f>_xlfn.XLOOKUP(B5712,
[1]sales_teams!$A$2:$A$100,
[1]sales_teams!$B$2:$B$100)</f>
        <v>Cara Losch</v>
      </c>
      <c r="D5712" t="str">
        <f>_xlfn.XLOOKUP($B5712,sales_teams!$A$2:$A$36,sales_teams!C$2:C$36)</f>
        <v>East</v>
      </c>
      <c r="E5712" t="s">
        <v>10</v>
      </c>
      <c r="F5712" t="s">
        <v>199</v>
      </c>
      <c r="G5712" t="s">
        <v>46</v>
      </c>
      <c r="H5712" s="1">
        <v>42953</v>
      </c>
      <c r="I5712" s="1">
        <v>43043</v>
      </c>
      <c r="J5712">
        <v>0</v>
      </c>
    </row>
    <row r="5713" spans="1:10" x14ac:dyDescent="0.3">
      <c r="A5713" t="s">
        <v>5844</v>
      </c>
      <c r="B5713" t="s">
        <v>164</v>
      </c>
      <c r="C5713" t="str">
        <f>_xlfn.XLOOKUP(B5713,
[1]sales_teams!$A$2:$A$100,
[1]sales_teams!$B$2:$B$100)</f>
        <v>Cara Losch</v>
      </c>
      <c r="D5713" t="str">
        <f>_xlfn.XLOOKUP($B5713,sales_teams!$A$2:$A$36,sales_teams!C$2:C$36)</f>
        <v>East</v>
      </c>
      <c r="E5713" t="s">
        <v>18</v>
      </c>
      <c r="F5713" t="s">
        <v>745</v>
      </c>
      <c r="G5713" t="s">
        <v>12</v>
      </c>
      <c r="H5713" s="1">
        <v>42953</v>
      </c>
      <c r="I5713" s="1">
        <v>43070</v>
      </c>
      <c r="J5713">
        <v>59</v>
      </c>
    </row>
    <row r="5714" spans="1:10" x14ac:dyDescent="0.3">
      <c r="A5714" t="s">
        <v>5845</v>
      </c>
      <c r="B5714" t="s">
        <v>164</v>
      </c>
      <c r="C5714" t="str">
        <f>_xlfn.XLOOKUP(B5714,
[1]sales_teams!$A$2:$A$100,
[1]sales_teams!$B$2:$B$100)</f>
        <v>Cara Losch</v>
      </c>
      <c r="D5714" t="str">
        <f>_xlfn.XLOOKUP($B5714,sales_teams!$A$2:$A$36,sales_teams!C$2:C$36)</f>
        <v>East</v>
      </c>
      <c r="E5714" t="s">
        <v>18</v>
      </c>
      <c r="F5714" t="s">
        <v>209</v>
      </c>
      <c r="G5714" t="s">
        <v>12</v>
      </c>
      <c r="H5714" s="1">
        <v>42953</v>
      </c>
      <c r="I5714" s="1">
        <v>43053</v>
      </c>
      <c r="J5714">
        <v>54</v>
      </c>
    </row>
    <row r="5715" spans="1:10" x14ac:dyDescent="0.3">
      <c r="A5715" t="s">
        <v>5846</v>
      </c>
      <c r="B5715" t="s">
        <v>64</v>
      </c>
      <c r="C5715" t="str">
        <f>_xlfn.XLOOKUP(B5715,
[1]sales_teams!$A$2:$A$100,
[1]sales_teams!$B$2:$B$100)</f>
        <v>Rocco Neubert</v>
      </c>
      <c r="D5715" t="str">
        <f>_xlfn.XLOOKUP($B5715,sales_teams!$A$2:$A$36,sales_teams!C$2:C$36)</f>
        <v>East</v>
      </c>
      <c r="E5715" t="s">
        <v>39</v>
      </c>
      <c r="F5715" t="s">
        <v>209</v>
      </c>
      <c r="G5715" t="s">
        <v>46</v>
      </c>
      <c r="H5715" s="1">
        <v>42953</v>
      </c>
      <c r="I5715" s="1">
        <v>43047</v>
      </c>
      <c r="J5715">
        <v>0</v>
      </c>
    </row>
    <row r="5716" spans="1:10" x14ac:dyDescent="0.3">
      <c r="A5716" t="s">
        <v>5847</v>
      </c>
      <c r="B5716" t="s">
        <v>14</v>
      </c>
      <c r="C5716" t="str">
        <f>_xlfn.XLOOKUP(B5716,
[1]sales_teams!$A$2:$A$100,
[1]sales_teams!$B$2:$B$100)</f>
        <v>Melvin Marxen</v>
      </c>
      <c r="D5716" t="str">
        <f>_xlfn.XLOOKUP($B5716,sales_teams!$A$2:$A$36,sales_teams!C$2:C$36)</f>
        <v>Central</v>
      </c>
      <c r="E5716" t="s">
        <v>15</v>
      </c>
      <c r="G5716" t="s">
        <v>40</v>
      </c>
      <c r="H5716" s="1">
        <v>42953</v>
      </c>
    </row>
    <row r="5717" spans="1:10" x14ac:dyDescent="0.3">
      <c r="A5717" t="s">
        <v>5848</v>
      </c>
      <c r="B5717" t="s">
        <v>14</v>
      </c>
      <c r="C5717" t="str">
        <f>_xlfn.XLOOKUP(B5717,
[1]sales_teams!$A$2:$A$100,
[1]sales_teams!$B$2:$B$100)</f>
        <v>Melvin Marxen</v>
      </c>
      <c r="D5717" t="str">
        <f>_xlfn.XLOOKUP($B5717,sales_teams!$A$2:$A$36,sales_teams!C$2:C$36)</f>
        <v>Central</v>
      </c>
      <c r="E5717" t="s">
        <v>10</v>
      </c>
      <c r="F5717" t="s">
        <v>11</v>
      </c>
      <c r="G5717" t="s">
        <v>46</v>
      </c>
      <c r="H5717" s="1">
        <v>42953</v>
      </c>
      <c r="I5717" s="1">
        <v>42961</v>
      </c>
      <c r="J5717">
        <v>0</v>
      </c>
    </row>
    <row r="5718" spans="1:10" x14ac:dyDescent="0.3">
      <c r="A5718" t="s">
        <v>5849</v>
      </c>
      <c r="B5718" t="s">
        <v>142</v>
      </c>
      <c r="C5718" t="str">
        <f>_xlfn.XLOOKUP(B5718,
[1]sales_teams!$A$2:$A$100,
[1]sales_teams!$B$2:$B$100)</f>
        <v>Rocco Neubert</v>
      </c>
      <c r="D5718" t="str">
        <f>_xlfn.XLOOKUP($B5718,sales_teams!$A$2:$A$36,sales_teams!C$2:C$36)</f>
        <v>East</v>
      </c>
      <c r="E5718" t="s">
        <v>39</v>
      </c>
      <c r="F5718" t="s">
        <v>106</v>
      </c>
      <c r="G5718" t="s">
        <v>12</v>
      </c>
      <c r="H5718" s="1">
        <v>42953</v>
      </c>
      <c r="I5718" s="1">
        <v>42958</v>
      </c>
      <c r="J5718">
        <v>3114</v>
      </c>
    </row>
    <row r="5719" spans="1:10" x14ac:dyDescent="0.3">
      <c r="A5719" t="s">
        <v>5850</v>
      </c>
      <c r="B5719" t="s">
        <v>67</v>
      </c>
      <c r="C5719" t="str">
        <f>_xlfn.XLOOKUP(B5719,
[1]sales_teams!$A$2:$A$100,
[1]sales_teams!$B$2:$B$100)</f>
        <v>Celia Rouche</v>
      </c>
      <c r="D5719" t="str">
        <f>_xlfn.XLOOKUP($B5719,sales_teams!$A$2:$A$36,sales_teams!C$2:C$36)</f>
        <v>West</v>
      </c>
      <c r="E5719" t="s">
        <v>18</v>
      </c>
      <c r="F5719" t="s">
        <v>68</v>
      </c>
      <c r="G5719" t="s">
        <v>12</v>
      </c>
      <c r="H5719" s="1">
        <v>42953</v>
      </c>
      <c r="I5719" s="1">
        <v>42964</v>
      </c>
      <c r="J5719">
        <v>60</v>
      </c>
    </row>
    <row r="5720" spans="1:10" x14ac:dyDescent="0.3">
      <c r="A5720" t="s">
        <v>5851</v>
      </c>
      <c r="B5720" t="s">
        <v>105</v>
      </c>
      <c r="C5720" t="str">
        <f>_xlfn.XLOOKUP(B5720,
[1]sales_teams!$A$2:$A$100,
[1]sales_teams!$B$2:$B$100)</f>
        <v>Cara Losch</v>
      </c>
      <c r="D5720" t="str">
        <f>_xlfn.XLOOKUP($B5720,sales_teams!$A$2:$A$36,sales_teams!C$2:C$36)</f>
        <v>East</v>
      </c>
      <c r="E5720" t="s">
        <v>20</v>
      </c>
      <c r="F5720" t="s">
        <v>410</v>
      </c>
      <c r="G5720" t="s">
        <v>46</v>
      </c>
      <c r="H5720" s="1">
        <v>42953</v>
      </c>
      <c r="I5720" s="1">
        <v>43047</v>
      </c>
      <c r="J5720">
        <v>0</v>
      </c>
    </row>
    <row r="5721" spans="1:10" x14ac:dyDescent="0.3">
      <c r="A5721" t="s">
        <v>5852</v>
      </c>
      <c r="B5721" t="s">
        <v>105</v>
      </c>
      <c r="C5721" t="str">
        <f>_xlfn.XLOOKUP(B5721,
[1]sales_teams!$A$2:$A$100,
[1]sales_teams!$B$2:$B$100)</f>
        <v>Cara Losch</v>
      </c>
      <c r="D5721" t="str">
        <f>_xlfn.XLOOKUP($B5721,sales_teams!$A$2:$A$36,sales_teams!C$2:C$36)</f>
        <v>East</v>
      </c>
      <c r="E5721" t="s">
        <v>20</v>
      </c>
      <c r="F5721" t="s">
        <v>155</v>
      </c>
      <c r="G5721" t="s">
        <v>12</v>
      </c>
      <c r="H5721" s="1">
        <v>42953</v>
      </c>
      <c r="I5721" s="1">
        <v>42974</v>
      </c>
      <c r="J5721">
        <v>422</v>
      </c>
    </row>
    <row r="5722" spans="1:10" x14ac:dyDescent="0.3">
      <c r="A5722" t="s">
        <v>5853</v>
      </c>
      <c r="B5722" t="s">
        <v>105</v>
      </c>
      <c r="C5722" t="str">
        <f>_xlfn.XLOOKUP(B5722,
[1]sales_teams!$A$2:$A$100,
[1]sales_teams!$B$2:$B$100)</f>
        <v>Cara Losch</v>
      </c>
      <c r="D5722" t="str">
        <f>_xlfn.XLOOKUP($B5722,sales_teams!$A$2:$A$36,sales_teams!C$2:C$36)</f>
        <v>East</v>
      </c>
      <c r="E5722" t="s">
        <v>39</v>
      </c>
      <c r="F5722" t="s">
        <v>199</v>
      </c>
      <c r="G5722" t="s">
        <v>12</v>
      </c>
      <c r="H5722" s="1">
        <v>42953</v>
      </c>
      <c r="I5722" s="1">
        <v>42998</v>
      </c>
      <c r="J5722">
        <v>3971</v>
      </c>
    </row>
    <row r="5723" spans="1:10" x14ac:dyDescent="0.3">
      <c r="A5723" t="s">
        <v>5854</v>
      </c>
      <c r="B5723" t="s">
        <v>44</v>
      </c>
      <c r="C5723" t="str">
        <f>_xlfn.XLOOKUP(B5723,
[1]sales_teams!$A$2:$A$100,
[1]sales_teams!$B$2:$B$100)</f>
        <v>Melvin Marxen</v>
      </c>
      <c r="D5723" t="str">
        <f>_xlfn.XLOOKUP($B5723,sales_teams!$A$2:$A$36,sales_teams!C$2:C$36)</f>
        <v>Central</v>
      </c>
      <c r="E5723" t="s">
        <v>15</v>
      </c>
      <c r="F5723" t="s">
        <v>168</v>
      </c>
      <c r="G5723" t="s">
        <v>40</v>
      </c>
      <c r="H5723" s="1">
        <v>42953</v>
      </c>
    </row>
    <row r="5724" spans="1:10" x14ac:dyDescent="0.3">
      <c r="A5724" t="s">
        <v>5855</v>
      </c>
      <c r="B5724" t="s">
        <v>78</v>
      </c>
      <c r="C5724" t="str">
        <f>_xlfn.XLOOKUP(B5724,
[1]sales_teams!$A$2:$A$100,
[1]sales_teams!$B$2:$B$100)</f>
        <v>Summer Sewald</v>
      </c>
      <c r="D5724" t="str">
        <f>_xlfn.XLOOKUP($B5724,sales_teams!$A$2:$A$36,sales_teams!C$2:C$36)</f>
        <v>West</v>
      </c>
      <c r="E5724" t="s">
        <v>20</v>
      </c>
      <c r="G5724" t="s">
        <v>40</v>
      </c>
      <c r="H5724" s="1">
        <v>42953</v>
      </c>
    </row>
    <row r="5725" spans="1:10" x14ac:dyDescent="0.3">
      <c r="A5725" t="s">
        <v>5856</v>
      </c>
      <c r="B5725" t="s">
        <v>78</v>
      </c>
      <c r="C5725" t="str">
        <f>_xlfn.XLOOKUP(B5725,
[1]sales_teams!$A$2:$A$100,
[1]sales_teams!$B$2:$B$100)</f>
        <v>Summer Sewald</v>
      </c>
      <c r="D5725" t="str">
        <f>_xlfn.XLOOKUP($B5725,sales_teams!$A$2:$A$36,sales_teams!C$2:C$36)</f>
        <v>West</v>
      </c>
      <c r="E5725" t="s">
        <v>10</v>
      </c>
      <c r="F5725" t="s">
        <v>194</v>
      </c>
      <c r="G5725" t="s">
        <v>46</v>
      </c>
      <c r="H5725" s="1">
        <v>42953</v>
      </c>
      <c r="I5725" s="1">
        <v>43043</v>
      </c>
      <c r="J5725">
        <v>0</v>
      </c>
    </row>
    <row r="5726" spans="1:10" x14ac:dyDescent="0.3">
      <c r="A5726" t="s">
        <v>5857</v>
      </c>
      <c r="B5726" t="s">
        <v>78</v>
      </c>
      <c r="C5726" t="str">
        <f>_xlfn.XLOOKUP(B5726,
[1]sales_teams!$A$2:$A$100,
[1]sales_teams!$B$2:$B$100)</f>
        <v>Summer Sewald</v>
      </c>
      <c r="D5726" t="str">
        <f>_xlfn.XLOOKUP($B5726,sales_teams!$A$2:$A$36,sales_teams!C$2:C$36)</f>
        <v>West</v>
      </c>
      <c r="E5726" t="s">
        <v>20</v>
      </c>
      <c r="F5726" t="s">
        <v>199</v>
      </c>
      <c r="G5726" t="s">
        <v>12</v>
      </c>
      <c r="H5726" s="1">
        <v>42953</v>
      </c>
      <c r="I5726" s="1">
        <v>43087</v>
      </c>
      <c r="J5726">
        <v>510</v>
      </c>
    </row>
    <row r="5727" spans="1:10" x14ac:dyDescent="0.3">
      <c r="A5727" t="s">
        <v>5858</v>
      </c>
      <c r="B5727" t="s">
        <v>78</v>
      </c>
      <c r="C5727" t="str">
        <f>_xlfn.XLOOKUP(B5727,
[1]sales_teams!$A$2:$A$100,
[1]sales_teams!$B$2:$B$100)</f>
        <v>Summer Sewald</v>
      </c>
      <c r="D5727" t="str">
        <f>_xlfn.XLOOKUP($B5727,sales_teams!$A$2:$A$36,sales_teams!C$2:C$36)</f>
        <v>West</v>
      </c>
      <c r="E5727" t="s">
        <v>39</v>
      </c>
      <c r="F5727" t="s">
        <v>59</v>
      </c>
      <c r="G5727" t="s">
        <v>12</v>
      </c>
      <c r="H5727" s="1">
        <v>42953</v>
      </c>
      <c r="I5727" s="1">
        <v>43058</v>
      </c>
      <c r="J5727">
        <v>4032</v>
      </c>
    </row>
    <row r="5728" spans="1:10" x14ac:dyDescent="0.3">
      <c r="A5728" t="s">
        <v>5859</v>
      </c>
      <c r="B5728" t="s">
        <v>95</v>
      </c>
      <c r="C5728" t="str">
        <f>_xlfn.XLOOKUP(B5728,
[1]sales_teams!$A$2:$A$100,
[1]sales_teams!$B$2:$B$100)</f>
        <v>Summer Sewald</v>
      </c>
      <c r="D5728" t="str">
        <f>_xlfn.XLOOKUP($B5728,sales_teams!$A$2:$A$36,sales_teams!C$2:C$36)</f>
        <v>West</v>
      </c>
      <c r="E5728" t="s">
        <v>15</v>
      </c>
      <c r="G5728" t="s">
        <v>40</v>
      </c>
      <c r="H5728" s="1">
        <v>42953</v>
      </c>
    </row>
    <row r="5729" spans="1:10" x14ac:dyDescent="0.3">
      <c r="A5729" t="s">
        <v>5860</v>
      </c>
      <c r="B5729" t="s">
        <v>133</v>
      </c>
      <c r="C5729" t="str">
        <f>_xlfn.XLOOKUP(B5729,
[1]sales_teams!$A$2:$A$100,
[1]sales_teams!$B$2:$B$100)</f>
        <v>Dustin Brinkmann</v>
      </c>
      <c r="D5729" t="str">
        <f>_xlfn.XLOOKUP($B5729,sales_teams!$A$2:$A$36,sales_teams!C$2:C$36)</f>
        <v>Central</v>
      </c>
      <c r="E5729" t="s">
        <v>39</v>
      </c>
      <c r="F5729" t="s">
        <v>213</v>
      </c>
      <c r="G5729" t="s">
        <v>40</v>
      </c>
      <c r="H5729" s="1">
        <v>42953</v>
      </c>
    </row>
    <row r="5730" spans="1:10" x14ac:dyDescent="0.3">
      <c r="A5730" t="s">
        <v>5861</v>
      </c>
      <c r="B5730" t="s">
        <v>133</v>
      </c>
      <c r="C5730" t="str">
        <f>_xlfn.XLOOKUP(B5730,
[1]sales_teams!$A$2:$A$100,
[1]sales_teams!$B$2:$B$100)</f>
        <v>Dustin Brinkmann</v>
      </c>
      <c r="D5730" t="str">
        <f>_xlfn.XLOOKUP($B5730,sales_teams!$A$2:$A$36,sales_teams!C$2:C$36)</f>
        <v>Central</v>
      </c>
      <c r="E5730" t="s">
        <v>20</v>
      </c>
      <c r="F5730" t="s">
        <v>197</v>
      </c>
      <c r="G5730" t="s">
        <v>46</v>
      </c>
      <c r="H5730" s="1">
        <v>42953</v>
      </c>
      <c r="I5730" s="1">
        <v>43079</v>
      </c>
      <c r="J5730">
        <v>0</v>
      </c>
    </row>
    <row r="5731" spans="1:10" x14ac:dyDescent="0.3">
      <c r="A5731" t="s">
        <v>5862</v>
      </c>
      <c r="B5731" t="s">
        <v>116</v>
      </c>
      <c r="C5731" t="str">
        <f>_xlfn.XLOOKUP(B5731,
[1]sales_teams!$A$2:$A$100,
[1]sales_teams!$B$2:$B$100)</f>
        <v>Melvin Marxen</v>
      </c>
      <c r="D5731" t="str">
        <f>_xlfn.XLOOKUP($B5731,sales_teams!$A$2:$A$36,sales_teams!C$2:C$36)</f>
        <v>Central</v>
      </c>
      <c r="E5731" t="s">
        <v>48</v>
      </c>
      <c r="G5731" t="s">
        <v>40</v>
      </c>
      <c r="H5731" s="1">
        <v>42953</v>
      </c>
    </row>
    <row r="5732" spans="1:10" x14ac:dyDescent="0.3">
      <c r="A5732" t="s">
        <v>5863</v>
      </c>
      <c r="B5732" t="s">
        <v>88</v>
      </c>
      <c r="C5732" t="str">
        <f>_xlfn.XLOOKUP(B5732,
[1]sales_teams!$A$2:$A$100,
[1]sales_teams!$B$2:$B$100)</f>
        <v>Cara Losch</v>
      </c>
      <c r="D5732" t="str">
        <f>_xlfn.XLOOKUP($B5732,sales_teams!$A$2:$A$36,sales_teams!C$2:C$36)</f>
        <v>East</v>
      </c>
      <c r="E5732" t="s">
        <v>48</v>
      </c>
      <c r="G5732" t="s">
        <v>40</v>
      </c>
      <c r="H5732" s="1">
        <v>42953</v>
      </c>
    </row>
    <row r="5733" spans="1:10" x14ac:dyDescent="0.3">
      <c r="A5733" t="s">
        <v>5864</v>
      </c>
      <c r="B5733" t="s">
        <v>88</v>
      </c>
      <c r="C5733" t="str">
        <f>_xlfn.XLOOKUP(B5733,
[1]sales_teams!$A$2:$A$100,
[1]sales_teams!$B$2:$B$100)</f>
        <v>Cara Losch</v>
      </c>
      <c r="D5733" t="str">
        <f>_xlfn.XLOOKUP($B5733,sales_teams!$A$2:$A$36,sales_teams!C$2:C$36)</f>
        <v>East</v>
      </c>
      <c r="E5733" t="s">
        <v>18</v>
      </c>
      <c r="F5733" t="s">
        <v>215</v>
      </c>
      <c r="G5733" t="s">
        <v>12</v>
      </c>
      <c r="H5733" s="1">
        <v>42953</v>
      </c>
      <c r="I5733" s="1">
        <v>42959</v>
      </c>
      <c r="J5733">
        <v>52</v>
      </c>
    </row>
    <row r="5734" spans="1:10" x14ac:dyDescent="0.3">
      <c r="A5734" t="s">
        <v>5865</v>
      </c>
      <c r="B5734" t="s">
        <v>61</v>
      </c>
      <c r="C5734" t="str">
        <f>_xlfn.XLOOKUP(B5734,
[1]sales_teams!$A$2:$A$100,
[1]sales_teams!$B$2:$B$100)</f>
        <v>Dustin Brinkmann</v>
      </c>
      <c r="D5734" t="str">
        <f>_xlfn.XLOOKUP($B5734,sales_teams!$A$2:$A$36,sales_teams!C$2:C$36)</f>
        <v>Central</v>
      </c>
      <c r="E5734" t="s">
        <v>39</v>
      </c>
      <c r="G5734" t="s">
        <v>40</v>
      </c>
      <c r="H5734" s="1">
        <v>42953</v>
      </c>
    </row>
    <row r="5735" spans="1:10" x14ac:dyDescent="0.3">
      <c r="A5735" t="s">
        <v>5866</v>
      </c>
      <c r="B5735" t="s">
        <v>61</v>
      </c>
      <c r="C5735" t="str">
        <f>_xlfn.XLOOKUP(B5735,
[1]sales_teams!$A$2:$A$100,
[1]sales_teams!$B$2:$B$100)</f>
        <v>Dustin Brinkmann</v>
      </c>
      <c r="D5735" t="str">
        <f>_xlfn.XLOOKUP($B5735,sales_teams!$A$2:$A$36,sales_teams!C$2:C$36)</f>
        <v>Central</v>
      </c>
      <c r="E5735" t="s">
        <v>39</v>
      </c>
      <c r="G5735" t="s">
        <v>40</v>
      </c>
      <c r="H5735" s="1">
        <v>42953</v>
      </c>
    </row>
    <row r="5736" spans="1:10" x14ac:dyDescent="0.3">
      <c r="A5736" t="s">
        <v>5867</v>
      </c>
      <c r="B5736" t="s">
        <v>26</v>
      </c>
      <c r="C5736" t="str">
        <f>_xlfn.XLOOKUP(B5736,
[1]sales_teams!$A$2:$A$100,
[1]sales_teams!$B$2:$B$100)</f>
        <v>Dustin Brinkmann</v>
      </c>
      <c r="D5736" t="str">
        <f>_xlfn.XLOOKUP($B5736,sales_teams!$A$2:$A$36,sales_teams!C$2:C$36)</f>
        <v>Central</v>
      </c>
      <c r="E5736" t="s">
        <v>10</v>
      </c>
      <c r="F5736" t="s">
        <v>155</v>
      </c>
      <c r="G5736" t="s">
        <v>40</v>
      </c>
      <c r="H5736" s="1">
        <v>42954</v>
      </c>
    </row>
    <row r="5737" spans="1:10" x14ac:dyDescent="0.3">
      <c r="A5737" t="s">
        <v>5868</v>
      </c>
      <c r="B5737" t="s">
        <v>139</v>
      </c>
      <c r="C5737" t="str">
        <f>_xlfn.XLOOKUP(B5737,
[1]sales_teams!$A$2:$A$100,
[1]sales_teams!$B$2:$B$100)</f>
        <v>Rocco Neubert</v>
      </c>
      <c r="D5737" t="str">
        <f>_xlfn.XLOOKUP($B5737,sales_teams!$A$2:$A$36,sales_teams!C$2:C$36)</f>
        <v>East</v>
      </c>
      <c r="E5737" t="s">
        <v>20</v>
      </c>
      <c r="F5737" t="s">
        <v>135</v>
      </c>
      <c r="G5737" t="s">
        <v>40</v>
      </c>
      <c r="H5737" s="1">
        <v>42954</v>
      </c>
    </row>
    <row r="5738" spans="1:10" x14ac:dyDescent="0.3">
      <c r="A5738" t="s">
        <v>5869</v>
      </c>
      <c r="B5738" t="s">
        <v>139</v>
      </c>
      <c r="C5738" t="str">
        <f>_xlfn.XLOOKUP(B5738,
[1]sales_teams!$A$2:$A$100,
[1]sales_teams!$B$2:$B$100)</f>
        <v>Rocco Neubert</v>
      </c>
      <c r="D5738" t="str">
        <f>_xlfn.XLOOKUP($B5738,sales_teams!$A$2:$A$36,sales_teams!C$2:C$36)</f>
        <v>East</v>
      </c>
      <c r="E5738" t="s">
        <v>39</v>
      </c>
      <c r="F5738" t="s">
        <v>329</v>
      </c>
      <c r="G5738" t="s">
        <v>46</v>
      </c>
      <c r="H5738" s="1">
        <v>42954</v>
      </c>
      <c r="I5738" s="1">
        <v>43077</v>
      </c>
      <c r="J5738">
        <v>0</v>
      </c>
    </row>
    <row r="5739" spans="1:10" x14ac:dyDescent="0.3">
      <c r="A5739" t="s">
        <v>5870</v>
      </c>
      <c r="B5739" t="s">
        <v>202</v>
      </c>
      <c r="C5739" t="str">
        <f>_xlfn.XLOOKUP(B5739,
[1]sales_teams!$A$2:$A$100,
[1]sales_teams!$B$2:$B$100)</f>
        <v>Dustin Brinkmann</v>
      </c>
      <c r="D5739" t="str">
        <f>_xlfn.XLOOKUP($B5739,sales_teams!$A$2:$A$36,sales_teams!C$2:C$36)</f>
        <v>Central</v>
      </c>
      <c r="E5739" t="s">
        <v>39</v>
      </c>
      <c r="F5739" t="s">
        <v>213</v>
      </c>
      <c r="G5739" t="s">
        <v>12</v>
      </c>
      <c r="H5739" s="1">
        <v>42954</v>
      </c>
      <c r="I5739" s="1">
        <v>43056</v>
      </c>
      <c r="J5739">
        <v>3684</v>
      </c>
    </row>
    <row r="5740" spans="1:10" x14ac:dyDescent="0.3">
      <c r="A5740" t="s">
        <v>5871</v>
      </c>
      <c r="B5740" t="s">
        <v>164</v>
      </c>
      <c r="C5740" t="str">
        <f>_xlfn.XLOOKUP(B5740,
[1]sales_teams!$A$2:$A$100,
[1]sales_teams!$B$2:$B$100)</f>
        <v>Cara Losch</v>
      </c>
      <c r="D5740" t="str">
        <f>_xlfn.XLOOKUP($B5740,sales_teams!$A$2:$A$36,sales_teams!C$2:C$36)</f>
        <v>East</v>
      </c>
      <c r="E5740" t="s">
        <v>10</v>
      </c>
      <c r="F5740" t="s">
        <v>329</v>
      </c>
      <c r="G5740" t="s">
        <v>46</v>
      </c>
      <c r="H5740" s="1">
        <v>42954</v>
      </c>
      <c r="I5740" s="1">
        <v>43088</v>
      </c>
      <c r="J5740">
        <v>0</v>
      </c>
    </row>
    <row r="5741" spans="1:10" x14ac:dyDescent="0.3">
      <c r="A5741" t="s">
        <v>5872</v>
      </c>
      <c r="B5741" t="s">
        <v>164</v>
      </c>
      <c r="C5741" t="str">
        <f>_xlfn.XLOOKUP(B5741,
[1]sales_teams!$A$2:$A$100,
[1]sales_teams!$B$2:$B$100)</f>
        <v>Cara Losch</v>
      </c>
      <c r="D5741" t="str">
        <f>_xlfn.XLOOKUP($B5741,sales_teams!$A$2:$A$36,sales_teams!C$2:C$36)</f>
        <v>East</v>
      </c>
      <c r="E5741" t="s">
        <v>48</v>
      </c>
      <c r="F5741" t="s">
        <v>89</v>
      </c>
      <c r="G5741" t="s">
        <v>12</v>
      </c>
      <c r="H5741" s="1">
        <v>42954</v>
      </c>
      <c r="I5741" s="1">
        <v>43058</v>
      </c>
      <c r="J5741">
        <v>4648</v>
      </c>
    </row>
    <row r="5742" spans="1:10" x14ac:dyDescent="0.3">
      <c r="A5742" t="s">
        <v>5873</v>
      </c>
      <c r="B5742" t="s">
        <v>164</v>
      </c>
      <c r="C5742" t="str">
        <f>_xlfn.XLOOKUP(B5742,
[1]sales_teams!$A$2:$A$100,
[1]sales_teams!$B$2:$B$100)</f>
        <v>Cara Losch</v>
      </c>
      <c r="D5742" t="str">
        <f>_xlfn.XLOOKUP($B5742,sales_teams!$A$2:$A$36,sales_teams!C$2:C$36)</f>
        <v>East</v>
      </c>
      <c r="E5742" t="s">
        <v>15</v>
      </c>
      <c r="F5742" t="s">
        <v>237</v>
      </c>
      <c r="G5742" t="s">
        <v>12</v>
      </c>
      <c r="H5742" s="1">
        <v>42954</v>
      </c>
      <c r="I5742" s="1">
        <v>43074</v>
      </c>
      <c r="J5742">
        <v>4639</v>
      </c>
    </row>
    <row r="5743" spans="1:10" x14ac:dyDescent="0.3">
      <c r="A5743" t="s">
        <v>5874</v>
      </c>
      <c r="B5743" t="s">
        <v>14</v>
      </c>
      <c r="C5743" t="str">
        <f>_xlfn.XLOOKUP(B5743,
[1]sales_teams!$A$2:$A$100,
[1]sales_teams!$B$2:$B$100)</f>
        <v>Melvin Marxen</v>
      </c>
      <c r="D5743" t="str">
        <f>_xlfn.XLOOKUP($B5743,sales_teams!$A$2:$A$36,sales_teams!C$2:C$36)</f>
        <v>Central</v>
      </c>
      <c r="E5743" t="s">
        <v>15</v>
      </c>
      <c r="F5743" t="s">
        <v>303</v>
      </c>
      <c r="G5743" t="s">
        <v>46</v>
      </c>
      <c r="H5743" s="1">
        <v>42954</v>
      </c>
      <c r="I5743" s="1">
        <v>42965</v>
      </c>
      <c r="J5743">
        <v>0</v>
      </c>
    </row>
    <row r="5744" spans="1:10" x14ac:dyDescent="0.3">
      <c r="A5744" t="s">
        <v>5875</v>
      </c>
      <c r="B5744" t="s">
        <v>14</v>
      </c>
      <c r="C5744" t="str">
        <f>_xlfn.XLOOKUP(B5744,
[1]sales_teams!$A$2:$A$100,
[1]sales_teams!$B$2:$B$100)</f>
        <v>Melvin Marxen</v>
      </c>
      <c r="D5744" t="str">
        <f>_xlfn.XLOOKUP($B5744,sales_teams!$A$2:$A$36,sales_teams!C$2:C$36)</f>
        <v>Central</v>
      </c>
      <c r="E5744" t="s">
        <v>48</v>
      </c>
      <c r="F5744" t="s">
        <v>318</v>
      </c>
      <c r="G5744" t="s">
        <v>12</v>
      </c>
      <c r="H5744" s="1">
        <v>42954</v>
      </c>
      <c r="I5744" s="1">
        <v>42995</v>
      </c>
      <c r="J5744">
        <v>6360</v>
      </c>
    </row>
    <row r="5745" spans="1:10" x14ac:dyDescent="0.3">
      <c r="A5745" t="s">
        <v>5876</v>
      </c>
      <c r="B5745" t="s">
        <v>67</v>
      </c>
      <c r="C5745" t="str">
        <f>_xlfn.XLOOKUP(B5745,
[1]sales_teams!$A$2:$A$100,
[1]sales_teams!$B$2:$B$100)</f>
        <v>Celia Rouche</v>
      </c>
      <c r="D5745" t="str">
        <f>_xlfn.XLOOKUP($B5745,sales_teams!$A$2:$A$36,sales_teams!C$2:C$36)</f>
        <v>West</v>
      </c>
      <c r="E5745" t="s">
        <v>10</v>
      </c>
      <c r="F5745" t="s">
        <v>273</v>
      </c>
      <c r="G5745" t="s">
        <v>46</v>
      </c>
      <c r="H5745" s="1">
        <v>42954</v>
      </c>
      <c r="I5745" s="1">
        <v>43088</v>
      </c>
      <c r="J5745">
        <v>0</v>
      </c>
    </row>
    <row r="5746" spans="1:10" x14ac:dyDescent="0.3">
      <c r="A5746" t="s">
        <v>5877</v>
      </c>
      <c r="B5746" t="s">
        <v>44</v>
      </c>
      <c r="C5746" t="str">
        <f>_xlfn.XLOOKUP(B5746,
[1]sales_teams!$A$2:$A$100,
[1]sales_teams!$B$2:$B$100)</f>
        <v>Melvin Marxen</v>
      </c>
      <c r="D5746" t="str">
        <f>_xlfn.XLOOKUP($B5746,sales_teams!$A$2:$A$36,sales_teams!C$2:C$36)</f>
        <v>Central</v>
      </c>
      <c r="E5746" t="s">
        <v>15</v>
      </c>
      <c r="F5746" t="s">
        <v>318</v>
      </c>
      <c r="G5746" t="s">
        <v>12</v>
      </c>
      <c r="H5746" s="1">
        <v>42954</v>
      </c>
      <c r="I5746" s="1">
        <v>43000</v>
      </c>
      <c r="J5746">
        <v>4722</v>
      </c>
    </row>
    <row r="5747" spans="1:10" x14ac:dyDescent="0.3">
      <c r="A5747" t="s">
        <v>5878</v>
      </c>
      <c r="B5747" t="s">
        <v>54</v>
      </c>
      <c r="C5747" t="str">
        <f>_xlfn.XLOOKUP(B5747,
[1]sales_teams!$A$2:$A$100,
[1]sales_teams!$B$2:$B$100)</f>
        <v>Celia Rouche</v>
      </c>
      <c r="D5747" t="str">
        <f>_xlfn.XLOOKUP($B5747,sales_teams!$A$2:$A$36,sales_teams!C$2:C$36)</f>
        <v>West</v>
      </c>
      <c r="E5747" t="s">
        <v>10</v>
      </c>
      <c r="F5747" t="s">
        <v>68</v>
      </c>
      <c r="G5747" t="s">
        <v>46</v>
      </c>
      <c r="H5747" s="1">
        <v>42954</v>
      </c>
      <c r="I5747" s="1">
        <v>42973</v>
      </c>
      <c r="J5747">
        <v>0</v>
      </c>
    </row>
    <row r="5748" spans="1:10" x14ac:dyDescent="0.3">
      <c r="A5748" t="s">
        <v>5879</v>
      </c>
      <c r="B5748" t="s">
        <v>38</v>
      </c>
      <c r="C5748" t="str">
        <f>_xlfn.XLOOKUP(B5748,
[1]sales_teams!$A$2:$A$100,
[1]sales_teams!$B$2:$B$100)</f>
        <v>Summer Sewald</v>
      </c>
      <c r="D5748" t="str">
        <f>_xlfn.XLOOKUP($B5748,sales_teams!$A$2:$A$36,sales_teams!C$2:C$36)</f>
        <v>West</v>
      </c>
      <c r="E5748" t="s">
        <v>39</v>
      </c>
      <c r="F5748" t="s">
        <v>49</v>
      </c>
      <c r="G5748" t="s">
        <v>12</v>
      </c>
      <c r="H5748" s="1">
        <v>42954</v>
      </c>
      <c r="I5748" s="1">
        <v>42964</v>
      </c>
      <c r="J5748">
        <v>3039</v>
      </c>
    </row>
    <row r="5749" spans="1:10" x14ac:dyDescent="0.3">
      <c r="A5749" t="s">
        <v>5880</v>
      </c>
      <c r="B5749" t="s">
        <v>252</v>
      </c>
      <c r="C5749" t="str">
        <f>_xlfn.XLOOKUP(B5749,
[1]sales_teams!$A$2:$A$100,
[1]sales_teams!$B$2:$B$100)</f>
        <v>Melvin Marxen</v>
      </c>
      <c r="D5749" t="str">
        <f>_xlfn.XLOOKUP($B5749,sales_teams!$A$2:$A$36,sales_teams!C$2:C$36)</f>
        <v>Central</v>
      </c>
      <c r="E5749" t="s">
        <v>10</v>
      </c>
      <c r="F5749" t="s">
        <v>126</v>
      </c>
      <c r="G5749" t="s">
        <v>12</v>
      </c>
      <c r="H5749" s="1">
        <v>42954</v>
      </c>
      <c r="I5749" s="1">
        <v>43040</v>
      </c>
      <c r="J5749">
        <v>1080</v>
      </c>
    </row>
    <row r="5750" spans="1:10" x14ac:dyDescent="0.3">
      <c r="A5750" t="s">
        <v>5881</v>
      </c>
      <c r="B5750" t="s">
        <v>78</v>
      </c>
      <c r="C5750" t="str">
        <f>_xlfn.XLOOKUP(B5750,
[1]sales_teams!$A$2:$A$100,
[1]sales_teams!$B$2:$B$100)</f>
        <v>Summer Sewald</v>
      </c>
      <c r="D5750" t="str">
        <f>_xlfn.XLOOKUP($B5750,sales_teams!$A$2:$A$36,sales_teams!C$2:C$36)</f>
        <v>West</v>
      </c>
      <c r="E5750" t="s">
        <v>10</v>
      </c>
      <c r="F5750" t="s">
        <v>313</v>
      </c>
      <c r="G5750" t="s">
        <v>46</v>
      </c>
      <c r="H5750" s="1">
        <v>42954</v>
      </c>
      <c r="I5750" s="1">
        <v>43063</v>
      </c>
      <c r="J5750">
        <v>0</v>
      </c>
    </row>
    <row r="5751" spans="1:10" x14ac:dyDescent="0.3">
      <c r="A5751" t="s">
        <v>5882</v>
      </c>
      <c r="B5751" t="s">
        <v>133</v>
      </c>
      <c r="C5751" t="str">
        <f>_xlfn.XLOOKUP(B5751,
[1]sales_teams!$A$2:$A$100,
[1]sales_teams!$B$2:$B$100)</f>
        <v>Dustin Brinkmann</v>
      </c>
      <c r="D5751" t="str">
        <f>_xlfn.XLOOKUP($B5751,sales_teams!$A$2:$A$36,sales_teams!C$2:C$36)</f>
        <v>Central</v>
      </c>
      <c r="E5751" t="s">
        <v>39</v>
      </c>
      <c r="F5751" t="s">
        <v>213</v>
      </c>
      <c r="G5751" t="s">
        <v>12</v>
      </c>
      <c r="H5751" s="1">
        <v>42954</v>
      </c>
      <c r="I5751" s="1">
        <v>43082</v>
      </c>
      <c r="J5751">
        <v>3063</v>
      </c>
    </row>
    <row r="5752" spans="1:10" x14ac:dyDescent="0.3">
      <c r="A5752" t="s">
        <v>5883</v>
      </c>
      <c r="B5752" t="s">
        <v>32</v>
      </c>
      <c r="C5752" t="str">
        <f>_xlfn.XLOOKUP(B5752,
[1]sales_teams!$A$2:$A$100,
[1]sales_teams!$B$2:$B$100)</f>
        <v>Celia Rouche</v>
      </c>
      <c r="D5752" t="str">
        <f>_xlfn.XLOOKUP($B5752,sales_teams!$A$2:$A$36,sales_teams!C$2:C$36)</f>
        <v>West</v>
      </c>
      <c r="E5752" t="s">
        <v>10</v>
      </c>
      <c r="G5752" t="s">
        <v>40</v>
      </c>
      <c r="H5752" s="1">
        <v>42954</v>
      </c>
    </row>
    <row r="5753" spans="1:10" x14ac:dyDescent="0.3">
      <c r="A5753" t="s">
        <v>5884</v>
      </c>
      <c r="B5753" t="s">
        <v>32</v>
      </c>
      <c r="C5753" t="str">
        <f>_xlfn.XLOOKUP(B5753,
[1]sales_teams!$A$2:$A$100,
[1]sales_teams!$B$2:$B$100)</f>
        <v>Celia Rouche</v>
      </c>
      <c r="D5753" t="str">
        <f>_xlfn.XLOOKUP($B5753,sales_teams!$A$2:$A$36,sales_teams!C$2:C$36)</f>
        <v>West</v>
      </c>
      <c r="E5753" t="s">
        <v>39</v>
      </c>
      <c r="G5753" t="s">
        <v>40</v>
      </c>
      <c r="H5753" s="1">
        <v>42954</v>
      </c>
    </row>
    <row r="5754" spans="1:10" x14ac:dyDescent="0.3">
      <c r="A5754" t="s">
        <v>5885</v>
      </c>
      <c r="B5754" t="s">
        <v>32</v>
      </c>
      <c r="C5754" t="str">
        <f>_xlfn.XLOOKUP(B5754,
[1]sales_teams!$A$2:$A$100,
[1]sales_teams!$B$2:$B$100)</f>
        <v>Celia Rouche</v>
      </c>
      <c r="D5754" t="str">
        <f>_xlfn.XLOOKUP($B5754,sales_teams!$A$2:$A$36,sales_teams!C$2:C$36)</f>
        <v>West</v>
      </c>
      <c r="E5754" t="s">
        <v>20</v>
      </c>
      <c r="F5754" t="s">
        <v>199</v>
      </c>
      <c r="G5754" t="s">
        <v>46</v>
      </c>
      <c r="H5754" s="1">
        <v>42954</v>
      </c>
      <c r="I5754" s="1">
        <v>43056</v>
      </c>
      <c r="J5754">
        <v>0</v>
      </c>
    </row>
    <row r="5755" spans="1:10" x14ac:dyDescent="0.3">
      <c r="A5755" t="s">
        <v>5886</v>
      </c>
      <c r="B5755" t="s">
        <v>35</v>
      </c>
      <c r="C5755" t="str">
        <f>_xlfn.XLOOKUP(B5755,
[1]sales_teams!$A$2:$A$100,
[1]sales_teams!$B$2:$B$100)</f>
        <v>Melvin Marxen</v>
      </c>
      <c r="D5755" t="str">
        <f>_xlfn.XLOOKUP($B5755,sales_teams!$A$2:$A$36,sales_teams!C$2:C$36)</f>
        <v>Central</v>
      </c>
      <c r="E5755" t="s">
        <v>10</v>
      </c>
      <c r="F5755" t="s">
        <v>303</v>
      </c>
      <c r="G5755" t="s">
        <v>40</v>
      </c>
      <c r="H5755" s="1">
        <v>42954</v>
      </c>
    </row>
    <row r="5756" spans="1:10" x14ac:dyDescent="0.3">
      <c r="A5756" t="s">
        <v>5887</v>
      </c>
      <c r="B5756" t="s">
        <v>35</v>
      </c>
      <c r="C5756" t="str">
        <f>_xlfn.XLOOKUP(B5756,
[1]sales_teams!$A$2:$A$100,
[1]sales_teams!$B$2:$B$100)</f>
        <v>Melvin Marxen</v>
      </c>
      <c r="D5756" t="str">
        <f>_xlfn.XLOOKUP($B5756,sales_teams!$A$2:$A$36,sales_teams!C$2:C$36)</f>
        <v>Central</v>
      </c>
      <c r="E5756" t="s">
        <v>15</v>
      </c>
      <c r="G5756" t="s">
        <v>40</v>
      </c>
      <c r="H5756" s="1">
        <v>42954</v>
      </c>
    </row>
    <row r="5757" spans="1:10" x14ac:dyDescent="0.3">
      <c r="A5757" t="s">
        <v>5888</v>
      </c>
      <c r="B5757" t="s">
        <v>29</v>
      </c>
      <c r="C5757" t="str">
        <f>_xlfn.XLOOKUP(B5757,
[1]sales_teams!$A$2:$A$100,
[1]sales_teams!$B$2:$B$100)</f>
        <v>Celia Rouche</v>
      </c>
      <c r="D5757" t="str">
        <f>_xlfn.XLOOKUP($B5757,sales_teams!$A$2:$A$36,sales_teams!C$2:C$36)</f>
        <v>West</v>
      </c>
      <c r="E5757" t="s">
        <v>20</v>
      </c>
      <c r="G5757" t="s">
        <v>40</v>
      </c>
      <c r="H5757" s="1">
        <v>42954</v>
      </c>
    </row>
    <row r="5758" spans="1:10" x14ac:dyDescent="0.3">
      <c r="A5758" t="s">
        <v>5889</v>
      </c>
      <c r="B5758" t="s">
        <v>29</v>
      </c>
      <c r="C5758" t="str">
        <f>_xlfn.XLOOKUP(B5758,
[1]sales_teams!$A$2:$A$100,
[1]sales_teams!$B$2:$B$100)</f>
        <v>Celia Rouche</v>
      </c>
      <c r="D5758" t="str">
        <f>_xlfn.XLOOKUP($B5758,sales_teams!$A$2:$A$36,sales_teams!C$2:C$36)</f>
        <v>West</v>
      </c>
      <c r="E5758" t="s">
        <v>18</v>
      </c>
      <c r="F5758" t="s">
        <v>30</v>
      </c>
      <c r="G5758" t="s">
        <v>46</v>
      </c>
      <c r="H5758" s="1">
        <v>42954</v>
      </c>
      <c r="I5758" s="1">
        <v>42960</v>
      </c>
      <c r="J5758">
        <v>0</v>
      </c>
    </row>
    <row r="5759" spans="1:10" x14ac:dyDescent="0.3">
      <c r="A5759" t="s">
        <v>5890</v>
      </c>
      <c r="B5759" t="s">
        <v>73</v>
      </c>
      <c r="C5759" t="str">
        <f>_xlfn.XLOOKUP(B5759,
[1]sales_teams!$A$2:$A$100,
[1]sales_teams!$B$2:$B$100)</f>
        <v>Cara Losch</v>
      </c>
      <c r="D5759" t="str">
        <f>_xlfn.XLOOKUP($B5759,sales_teams!$A$2:$A$36,sales_teams!C$2:C$36)</f>
        <v>East</v>
      </c>
      <c r="E5759" t="s">
        <v>18</v>
      </c>
      <c r="F5759" t="s">
        <v>98</v>
      </c>
      <c r="G5759" t="s">
        <v>12</v>
      </c>
      <c r="H5759" s="1">
        <v>42954</v>
      </c>
      <c r="I5759" s="1">
        <v>43043</v>
      </c>
      <c r="J5759">
        <v>52</v>
      </c>
    </row>
    <row r="5760" spans="1:10" x14ac:dyDescent="0.3">
      <c r="A5760" t="s">
        <v>5891</v>
      </c>
      <c r="B5760" t="s">
        <v>73</v>
      </c>
      <c r="C5760" t="str">
        <f>_xlfn.XLOOKUP(B5760,
[1]sales_teams!$A$2:$A$100,
[1]sales_teams!$B$2:$B$100)</f>
        <v>Cara Losch</v>
      </c>
      <c r="D5760" t="str">
        <f>_xlfn.XLOOKUP($B5760,sales_teams!$A$2:$A$36,sales_teams!C$2:C$36)</f>
        <v>East</v>
      </c>
      <c r="E5760" t="s">
        <v>18</v>
      </c>
      <c r="F5760" t="s">
        <v>745</v>
      </c>
      <c r="G5760" t="s">
        <v>12</v>
      </c>
      <c r="H5760" s="1">
        <v>42954</v>
      </c>
      <c r="I5760" s="1">
        <v>43048</v>
      </c>
      <c r="J5760">
        <v>51</v>
      </c>
    </row>
    <row r="5761" spans="1:10" x14ac:dyDescent="0.3">
      <c r="A5761" t="s">
        <v>5892</v>
      </c>
      <c r="B5761" t="s">
        <v>23</v>
      </c>
      <c r="C5761" t="str">
        <f>_xlfn.XLOOKUP(B5761,
[1]sales_teams!$A$2:$A$100,
[1]sales_teams!$B$2:$B$100)</f>
        <v>Summer Sewald</v>
      </c>
      <c r="D5761" t="str">
        <f>_xlfn.XLOOKUP($B5761,sales_teams!$A$2:$A$36,sales_teams!C$2:C$36)</f>
        <v>West</v>
      </c>
      <c r="E5761" t="s">
        <v>15</v>
      </c>
      <c r="F5761" t="s">
        <v>218</v>
      </c>
      <c r="G5761" t="s">
        <v>12</v>
      </c>
      <c r="H5761" s="1">
        <v>42954</v>
      </c>
      <c r="I5761" s="1">
        <v>43066</v>
      </c>
      <c r="J5761">
        <v>4480</v>
      </c>
    </row>
    <row r="5762" spans="1:10" x14ac:dyDescent="0.3">
      <c r="A5762" t="s">
        <v>5893</v>
      </c>
      <c r="B5762" t="s">
        <v>26</v>
      </c>
      <c r="C5762" t="str">
        <f>_xlfn.XLOOKUP(B5762,
[1]sales_teams!$A$2:$A$100,
[1]sales_teams!$B$2:$B$100)</f>
        <v>Dustin Brinkmann</v>
      </c>
      <c r="D5762" t="str">
        <f>_xlfn.XLOOKUP($B5762,sales_teams!$A$2:$A$36,sales_teams!C$2:C$36)</f>
        <v>Central</v>
      </c>
      <c r="E5762" t="s">
        <v>18</v>
      </c>
      <c r="F5762" t="s">
        <v>91</v>
      </c>
      <c r="G5762" t="s">
        <v>12</v>
      </c>
      <c r="H5762" s="1">
        <v>42955</v>
      </c>
      <c r="I5762" s="1">
        <v>42965</v>
      </c>
      <c r="J5762">
        <v>53</v>
      </c>
    </row>
    <row r="5763" spans="1:10" x14ac:dyDescent="0.3">
      <c r="A5763" t="s">
        <v>5894</v>
      </c>
      <c r="B5763" t="s">
        <v>118</v>
      </c>
      <c r="C5763" t="str">
        <f>_xlfn.XLOOKUP(B5763,
[1]sales_teams!$A$2:$A$100,
[1]sales_teams!$B$2:$B$100)</f>
        <v>Rocco Neubert</v>
      </c>
      <c r="D5763" t="str">
        <f>_xlfn.XLOOKUP($B5763,sales_teams!$A$2:$A$36,sales_teams!C$2:C$36)</f>
        <v>East</v>
      </c>
      <c r="E5763" t="s">
        <v>20</v>
      </c>
      <c r="F5763" t="s">
        <v>65</v>
      </c>
      <c r="G5763" t="s">
        <v>12</v>
      </c>
      <c r="H5763" s="1">
        <v>42955</v>
      </c>
      <c r="I5763" s="1">
        <v>42974</v>
      </c>
      <c r="J5763">
        <v>582</v>
      </c>
    </row>
    <row r="5764" spans="1:10" x14ac:dyDescent="0.3">
      <c r="A5764" t="s">
        <v>5895</v>
      </c>
      <c r="B5764" t="s">
        <v>202</v>
      </c>
      <c r="C5764" t="str">
        <f>_xlfn.XLOOKUP(B5764,
[1]sales_teams!$A$2:$A$100,
[1]sales_teams!$B$2:$B$100)</f>
        <v>Dustin Brinkmann</v>
      </c>
      <c r="D5764" t="str">
        <f>_xlfn.XLOOKUP($B5764,sales_teams!$A$2:$A$36,sales_teams!C$2:C$36)</f>
        <v>Central</v>
      </c>
      <c r="E5764" t="s">
        <v>39</v>
      </c>
      <c r="G5764" t="s">
        <v>40</v>
      </c>
      <c r="H5764" s="1">
        <v>42955</v>
      </c>
    </row>
    <row r="5765" spans="1:10" x14ac:dyDescent="0.3">
      <c r="A5765" t="s">
        <v>5896</v>
      </c>
      <c r="B5765" t="s">
        <v>202</v>
      </c>
      <c r="C5765" t="str">
        <f>_xlfn.XLOOKUP(B5765,
[1]sales_teams!$A$2:$A$100,
[1]sales_teams!$B$2:$B$100)</f>
        <v>Dustin Brinkmann</v>
      </c>
      <c r="D5765" t="str">
        <f>_xlfn.XLOOKUP($B5765,sales_teams!$A$2:$A$36,sales_teams!C$2:C$36)</f>
        <v>Central</v>
      </c>
      <c r="E5765" t="s">
        <v>48</v>
      </c>
      <c r="F5765" t="s">
        <v>11</v>
      </c>
      <c r="G5765" t="s">
        <v>46</v>
      </c>
      <c r="H5765" s="1">
        <v>42955</v>
      </c>
      <c r="I5765" s="1">
        <v>43040</v>
      </c>
      <c r="J5765">
        <v>0</v>
      </c>
    </row>
    <row r="5766" spans="1:10" x14ac:dyDescent="0.3">
      <c r="A5766" t="s">
        <v>5897</v>
      </c>
      <c r="B5766" t="s">
        <v>202</v>
      </c>
      <c r="C5766" t="str">
        <f>_xlfn.XLOOKUP(B5766,
[1]sales_teams!$A$2:$A$100,
[1]sales_teams!$B$2:$B$100)</f>
        <v>Dustin Brinkmann</v>
      </c>
      <c r="D5766" t="str">
        <f>_xlfn.XLOOKUP($B5766,sales_teams!$A$2:$A$36,sales_teams!C$2:C$36)</f>
        <v>Central</v>
      </c>
      <c r="E5766" t="s">
        <v>39</v>
      </c>
      <c r="F5766" t="s">
        <v>76</v>
      </c>
      <c r="G5766" t="s">
        <v>12</v>
      </c>
      <c r="H5766" s="1">
        <v>42955</v>
      </c>
      <c r="I5766" s="1">
        <v>43047</v>
      </c>
      <c r="J5766">
        <v>3354</v>
      </c>
    </row>
    <row r="5767" spans="1:10" x14ac:dyDescent="0.3">
      <c r="A5767" t="s">
        <v>5898</v>
      </c>
      <c r="B5767" t="s">
        <v>64</v>
      </c>
      <c r="C5767" t="str">
        <f>_xlfn.XLOOKUP(B5767,
[1]sales_teams!$A$2:$A$100,
[1]sales_teams!$B$2:$B$100)</f>
        <v>Rocco Neubert</v>
      </c>
      <c r="D5767" t="str">
        <f>_xlfn.XLOOKUP($B5767,sales_teams!$A$2:$A$36,sales_teams!C$2:C$36)</f>
        <v>East</v>
      </c>
      <c r="E5767" t="s">
        <v>39</v>
      </c>
      <c r="F5767" t="s">
        <v>410</v>
      </c>
      <c r="G5767" t="s">
        <v>46</v>
      </c>
      <c r="H5767" s="1">
        <v>42955</v>
      </c>
      <c r="I5767" s="1">
        <v>42956</v>
      </c>
      <c r="J5767">
        <v>0</v>
      </c>
    </row>
    <row r="5768" spans="1:10" x14ac:dyDescent="0.3">
      <c r="A5768" t="s">
        <v>5899</v>
      </c>
      <c r="B5768" t="s">
        <v>64</v>
      </c>
      <c r="C5768" t="str">
        <f>_xlfn.XLOOKUP(B5768,
[1]sales_teams!$A$2:$A$100,
[1]sales_teams!$B$2:$B$100)</f>
        <v>Rocco Neubert</v>
      </c>
      <c r="D5768" t="str">
        <f>_xlfn.XLOOKUP($B5768,sales_teams!$A$2:$A$36,sales_teams!C$2:C$36)</f>
        <v>East</v>
      </c>
      <c r="E5768" t="s">
        <v>10</v>
      </c>
      <c r="F5768" t="s">
        <v>199</v>
      </c>
      <c r="G5768" t="s">
        <v>12</v>
      </c>
      <c r="H5768" s="1">
        <v>42955</v>
      </c>
      <c r="I5768" s="1">
        <v>43091</v>
      </c>
      <c r="J5768">
        <v>1135</v>
      </c>
    </row>
    <row r="5769" spans="1:10" x14ac:dyDescent="0.3">
      <c r="A5769" t="s">
        <v>5900</v>
      </c>
      <c r="B5769" t="s">
        <v>14</v>
      </c>
      <c r="C5769" t="str">
        <f>_xlfn.XLOOKUP(B5769,
[1]sales_teams!$A$2:$A$100,
[1]sales_teams!$B$2:$B$100)</f>
        <v>Melvin Marxen</v>
      </c>
      <c r="D5769" t="str">
        <f>_xlfn.XLOOKUP($B5769,sales_teams!$A$2:$A$36,sales_teams!C$2:C$36)</f>
        <v>Central</v>
      </c>
      <c r="E5769" t="s">
        <v>15</v>
      </c>
      <c r="G5769" t="s">
        <v>40</v>
      </c>
      <c r="H5769" s="1">
        <v>42955</v>
      </c>
    </row>
    <row r="5770" spans="1:10" x14ac:dyDescent="0.3">
      <c r="A5770" t="s">
        <v>5901</v>
      </c>
      <c r="B5770" t="s">
        <v>142</v>
      </c>
      <c r="C5770" t="str">
        <f>_xlfn.XLOOKUP(B5770,
[1]sales_teams!$A$2:$A$100,
[1]sales_teams!$B$2:$B$100)</f>
        <v>Rocco Neubert</v>
      </c>
      <c r="D5770" t="str">
        <f>_xlfn.XLOOKUP($B5770,sales_teams!$A$2:$A$36,sales_teams!C$2:C$36)</f>
        <v>East</v>
      </c>
      <c r="E5770" t="s">
        <v>15</v>
      </c>
      <c r="F5770" t="s">
        <v>240</v>
      </c>
      <c r="G5770" t="s">
        <v>12</v>
      </c>
      <c r="H5770" s="1">
        <v>42955</v>
      </c>
      <c r="I5770" s="1">
        <v>42958</v>
      </c>
      <c r="J5770">
        <v>4859</v>
      </c>
    </row>
    <row r="5771" spans="1:10" x14ac:dyDescent="0.3">
      <c r="A5771" t="s">
        <v>5902</v>
      </c>
      <c r="B5771" t="s">
        <v>252</v>
      </c>
      <c r="C5771" t="str">
        <f>_xlfn.XLOOKUP(B5771,
[1]sales_teams!$A$2:$A$100,
[1]sales_teams!$B$2:$B$100)</f>
        <v>Melvin Marxen</v>
      </c>
      <c r="D5771" t="str">
        <f>_xlfn.XLOOKUP($B5771,sales_teams!$A$2:$A$36,sales_teams!C$2:C$36)</f>
        <v>Central</v>
      </c>
      <c r="E5771" t="s">
        <v>10</v>
      </c>
      <c r="F5771" t="s">
        <v>170</v>
      </c>
      <c r="G5771" t="s">
        <v>12</v>
      </c>
      <c r="H5771" s="1">
        <v>42955</v>
      </c>
      <c r="I5771" s="1">
        <v>42964</v>
      </c>
      <c r="J5771">
        <v>1085</v>
      </c>
    </row>
    <row r="5772" spans="1:10" x14ac:dyDescent="0.3">
      <c r="A5772" t="s">
        <v>5903</v>
      </c>
      <c r="B5772" t="s">
        <v>78</v>
      </c>
      <c r="C5772" t="str">
        <f>_xlfn.XLOOKUP(B5772,
[1]sales_teams!$A$2:$A$100,
[1]sales_teams!$B$2:$B$100)</f>
        <v>Summer Sewald</v>
      </c>
      <c r="D5772" t="str">
        <f>_xlfn.XLOOKUP($B5772,sales_teams!$A$2:$A$36,sales_teams!C$2:C$36)</f>
        <v>West</v>
      </c>
      <c r="E5772" t="s">
        <v>20</v>
      </c>
      <c r="F5772" t="s">
        <v>11</v>
      </c>
      <c r="G5772" t="s">
        <v>40</v>
      </c>
      <c r="H5772" s="1">
        <v>42955</v>
      </c>
    </row>
    <row r="5773" spans="1:10" x14ac:dyDescent="0.3">
      <c r="A5773" t="s">
        <v>5904</v>
      </c>
      <c r="B5773" t="s">
        <v>95</v>
      </c>
      <c r="C5773" t="str">
        <f>_xlfn.XLOOKUP(B5773,
[1]sales_teams!$A$2:$A$100,
[1]sales_teams!$B$2:$B$100)</f>
        <v>Summer Sewald</v>
      </c>
      <c r="D5773" t="str">
        <f>_xlfn.XLOOKUP($B5773,sales_teams!$A$2:$A$36,sales_teams!C$2:C$36)</f>
        <v>West</v>
      </c>
      <c r="E5773" t="s">
        <v>18</v>
      </c>
      <c r="F5773" t="s">
        <v>273</v>
      </c>
      <c r="G5773" t="s">
        <v>46</v>
      </c>
      <c r="H5773" s="1">
        <v>42955</v>
      </c>
      <c r="I5773" s="1">
        <v>43002</v>
      </c>
      <c r="J5773">
        <v>0</v>
      </c>
    </row>
    <row r="5774" spans="1:10" x14ac:dyDescent="0.3">
      <c r="A5774" t="s">
        <v>5905</v>
      </c>
      <c r="B5774" t="s">
        <v>133</v>
      </c>
      <c r="C5774" t="str">
        <f>_xlfn.XLOOKUP(B5774,
[1]sales_teams!$A$2:$A$100,
[1]sales_teams!$B$2:$B$100)</f>
        <v>Dustin Brinkmann</v>
      </c>
      <c r="D5774" t="str">
        <f>_xlfn.XLOOKUP($B5774,sales_teams!$A$2:$A$36,sales_teams!C$2:C$36)</f>
        <v>Central</v>
      </c>
      <c r="E5774" t="s">
        <v>20</v>
      </c>
      <c r="G5774" t="s">
        <v>40</v>
      </c>
      <c r="H5774" s="1">
        <v>42955</v>
      </c>
    </row>
    <row r="5775" spans="1:10" x14ac:dyDescent="0.3">
      <c r="A5775" t="s">
        <v>5906</v>
      </c>
      <c r="B5775" t="s">
        <v>133</v>
      </c>
      <c r="C5775" t="str">
        <f>_xlfn.XLOOKUP(B5775,
[1]sales_teams!$A$2:$A$100,
[1]sales_teams!$B$2:$B$100)</f>
        <v>Dustin Brinkmann</v>
      </c>
      <c r="D5775" t="str">
        <f>_xlfn.XLOOKUP($B5775,sales_teams!$A$2:$A$36,sales_teams!C$2:C$36)</f>
        <v>Central</v>
      </c>
      <c r="E5775" t="s">
        <v>20</v>
      </c>
      <c r="F5775" t="s">
        <v>129</v>
      </c>
      <c r="G5775" t="s">
        <v>46</v>
      </c>
      <c r="H5775" s="1">
        <v>42955</v>
      </c>
      <c r="I5775" s="1">
        <v>43052</v>
      </c>
      <c r="J5775">
        <v>0</v>
      </c>
    </row>
    <row r="5776" spans="1:10" x14ac:dyDescent="0.3">
      <c r="A5776" t="s">
        <v>5907</v>
      </c>
      <c r="B5776" t="s">
        <v>116</v>
      </c>
      <c r="C5776" t="str">
        <f>_xlfn.XLOOKUP(B5776,
[1]sales_teams!$A$2:$A$100,
[1]sales_teams!$B$2:$B$100)</f>
        <v>Melvin Marxen</v>
      </c>
      <c r="D5776" t="str">
        <f>_xlfn.XLOOKUP($B5776,sales_teams!$A$2:$A$36,sales_teams!C$2:C$36)</f>
        <v>Central</v>
      </c>
      <c r="E5776" t="s">
        <v>10</v>
      </c>
      <c r="F5776" t="s">
        <v>36</v>
      </c>
      <c r="G5776" t="s">
        <v>12</v>
      </c>
      <c r="H5776" s="1">
        <v>42955</v>
      </c>
      <c r="I5776" s="1">
        <v>43046</v>
      </c>
      <c r="J5776">
        <v>1196</v>
      </c>
    </row>
    <row r="5777" spans="1:10" x14ac:dyDescent="0.3">
      <c r="A5777" t="s">
        <v>5908</v>
      </c>
      <c r="B5777" t="s">
        <v>116</v>
      </c>
      <c r="C5777" t="str">
        <f>_xlfn.XLOOKUP(B5777,
[1]sales_teams!$A$2:$A$100,
[1]sales_teams!$B$2:$B$100)</f>
        <v>Melvin Marxen</v>
      </c>
      <c r="D5777" t="str">
        <f>_xlfn.XLOOKUP($B5777,sales_teams!$A$2:$A$36,sales_teams!C$2:C$36)</f>
        <v>Central</v>
      </c>
      <c r="E5777" t="s">
        <v>48</v>
      </c>
      <c r="F5777" t="s">
        <v>76</v>
      </c>
      <c r="G5777" t="s">
        <v>12</v>
      </c>
      <c r="H5777" s="1">
        <v>42955</v>
      </c>
      <c r="I5777" s="1">
        <v>42966</v>
      </c>
      <c r="J5777">
        <v>5572</v>
      </c>
    </row>
    <row r="5778" spans="1:10" x14ac:dyDescent="0.3">
      <c r="A5778" t="s">
        <v>5909</v>
      </c>
      <c r="B5778" t="s">
        <v>51</v>
      </c>
      <c r="C5778" t="str">
        <f>_xlfn.XLOOKUP(B5778,
[1]sales_teams!$A$2:$A$100,
[1]sales_teams!$B$2:$B$100)</f>
        <v>Summer Sewald</v>
      </c>
      <c r="D5778" t="str">
        <f>_xlfn.XLOOKUP($B5778,sales_teams!$A$2:$A$36,sales_teams!C$2:C$36)</f>
        <v>West</v>
      </c>
      <c r="E5778" t="s">
        <v>39</v>
      </c>
      <c r="F5778" t="s">
        <v>30</v>
      </c>
      <c r="G5778" t="s">
        <v>12</v>
      </c>
      <c r="H5778" s="1">
        <v>42955</v>
      </c>
      <c r="I5778" s="1">
        <v>43045</v>
      </c>
      <c r="J5778">
        <v>3415</v>
      </c>
    </row>
    <row r="5779" spans="1:10" x14ac:dyDescent="0.3">
      <c r="A5779" t="s">
        <v>5910</v>
      </c>
      <c r="B5779" t="s">
        <v>88</v>
      </c>
      <c r="C5779" t="str">
        <f>_xlfn.XLOOKUP(B5779,
[1]sales_teams!$A$2:$A$100,
[1]sales_teams!$B$2:$B$100)</f>
        <v>Cara Losch</v>
      </c>
      <c r="D5779" t="str">
        <f>_xlfn.XLOOKUP($B5779,sales_teams!$A$2:$A$36,sales_teams!C$2:C$36)</f>
        <v>East</v>
      </c>
      <c r="E5779" t="s">
        <v>39</v>
      </c>
      <c r="G5779" t="s">
        <v>40</v>
      </c>
      <c r="H5779" s="1">
        <v>42955</v>
      </c>
    </row>
    <row r="5780" spans="1:10" x14ac:dyDescent="0.3">
      <c r="A5780" t="s">
        <v>5911</v>
      </c>
      <c r="B5780" t="s">
        <v>61</v>
      </c>
      <c r="C5780" t="str">
        <f>_xlfn.XLOOKUP(B5780,
[1]sales_teams!$A$2:$A$100,
[1]sales_teams!$B$2:$B$100)</f>
        <v>Dustin Brinkmann</v>
      </c>
      <c r="D5780" t="str">
        <f>_xlfn.XLOOKUP($B5780,sales_teams!$A$2:$A$36,sales_teams!C$2:C$36)</f>
        <v>Central</v>
      </c>
      <c r="E5780" t="s">
        <v>18</v>
      </c>
      <c r="F5780" t="s">
        <v>231</v>
      </c>
      <c r="G5780" t="s">
        <v>46</v>
      </c>
      <c r="H5780" s="1">
        <v>42955</v>
      </c>
      <c r="I5780" s="1">
        <v>42962</v>
      </c>
      <c r="J5780">
        <v>0</v>
      </c>
    </row>
    <row r="5781" spans="1:10" x14ac:dyDescent="0.3">
      <c r="A5781" t="s">
        <v>5912</v>
      </c>
      <c r="B5781" t="s">
        <v>26</v>
      </c>
      <c r="C5781" t="str">
        <f>_xlfn.XLOOKUP(B5781,
[1]sales_teams!$A$2:$A$100,
[1]sales_teams!$B$2:$B$100)</f>
        <v>Dustin Brinkmann</v>
      </c>
      <c r="D5781" t="str">
        <f>_xlfn.XLOOKUP($B5781,sales_teams!$A$2:$A$36,sales_teams!C$2:C$36)</f>
        <v>Central</v>
      </c>
      <c r="E5781" t="s">
        <v>48</v>
      </c>
      <c r="G5781" t="s">
        <v>40</v>
      </c>
      <c r="H5781" s="1">
        <v>42956</v>
      </c>
    </row>
    <row r="5782" spans="1:10" x14ac:dyDescent="0.3">
      <c r="A5782" t="s">
        <v>5913</v>
      </c>
      <c r="B5782" t="s">
        <v>118</v>
      </c>
      <c r="C5782" t="str">
        <f>_xlfn.XLOOKUP(B5782,
[1]sales_teams!$A$2:$A$100,
[1]sales_teams!$B$2:$B$100)</f>
        <v>Rocco Neubert</v>
      </c>
      <c r="D5782" t="str">
        <f>_xlfn.XLOOKUP($B5782,sales_teams!$A$2:$A$36,sales_teams!C$2:C$36)</f>
        <v>East</v>
      </c>
      <c r="E5782" t="s">
        <v>20</v>
      </c>
      <c r="G5782" t="s">
        <v>40</v>
      </c>
      <c r="H5782" s="1">
        <v>42956</v>
      </c>
    </row>
    <row r="5783" spans="1:10" x14ac:dyDescent="0.3">
      <c r="A5783" t="s">
        <v>5914</v>
      </c>
      <c r="B5783" t="s">
        <v>118</v>
      </c>
      <c r="C5783" t="str">
        <f>_xlfn.XLOOKUP(B5783,
[1]sales_teams!$A$2:$A$100,
[1]sales_teams!$B$2:$B$100)</f>
        <v>Rocco Neubert</v>
      </c>
      <c r="D5783" t="str">
        <f>_xlfn.XLOOKUP($B5783,sales_teams!$A$2:$A$36,sales_teams!C$2:C$36)</f>
        <v>East</v>
      </c>
      <c r="E5783" t="s">
        <v>20</v>
      </c>
      <c r="F5783" t="s">
        <v>179</v>
      </c>
      <c r="G5783" t="s">
        <v>46</v>
      </c>
      <c r="H5783" s="1">
        <v>42956</v>
      </c>
      <c r="I5783" s="1">
        <v>43074</v>
      </c>
      <c r="J5783">
        <v>0</v>
      </c>
    </row>
    <row r="5784" spans="1:10" x14ac:dyDescent="0.3">
      <c r="A5784" t="s">
        <v>5915</v>
      </c>
      <c r="B5784" t="s">
        <v>64</v>
      </c>
      <c r="C5784" t="str">
        <f>_xlfn.XLOOKUP(B5784,
[1]sales_teams!$A$2:$A$100,
[1]sales_teams!$B$2:$B$100)</f>
        <v>Rocco Neubert</v>
      </c>
      <c r="D5784" t="str">
        <f>_xlfn.XLOOKUP($B5784,sales_teams!$A$2:$A$36,sales_teams!C$2:C$36)</f>
        <v>East</v>
      </c>
      <c r="E5784" t="s">
        <v>10</v>
      </c>
      <c r="F5784" t="s">
        <v>74</v>
      </c>
      <c r="G5784" t="s">
        <v>46</v>
      </c>
      <c r="H5784" s="1">
        <v>42956</v>
      </c>
      <c r="I5784" s="1">
        <v>43051</v>
      </c>
      <c r="J5784">
        <v>0</v>
      </c>
    </row>
    <row r="5785" spans="1:10" x14ac:dyDescent="0.3">
      <c r="A5785" t="s">
        <v>5916</v>
      </c>
      <c r="B5785" t="s">
        <v>64</v>
      </c>
      <c r="C5785" t="str">
        <f>_xlfn.XLOOKUP(B5785,
[1]sales_teams!$A$2:$A$100,
[1]sales_teams!$B$2:$B$100)</f>
        <v>Rocco Neubert</v>
      </c>
      <c r="D5785" t="str">
        <f>_xlfn.XLOOKUP($B5785,sales_teams!$A$2:$A$36,sales_teams!C$2:C$36)</f>
        <v>East</v>
      </c>
      <c r="E5785" t="s">
        <v>10</v>
      </c>
      <c r="F5785" t="s">
        <v>215</v>
      </c>
      <c r="G5785" t="s">
        <v>12</v>
      </c>
      <c r="H5785" s="1">
        <v>42956</v>
      </c>
      <c r="I5785" s="1">
        <v>43002</v>
      </c>
      <c r="J5785">
        <v>1176</v>
      </c>
    </row>
    <row r="5786" spans="1:10" x14ac:dyDescent="0.3">
      <c r="A5786" t="s">
        <v>5917</v>
      </c>
      <c r="B5786" t="s">
        <v>14</v>
      </c>
      <c r="C5786" t="str">
        <f>_xlfn.XLOOKUP(B5786,
[1]sales_teams!$A$2:$A$100,
[1]sales_teams!$B$2:$B$100)</f>
        <v>Melvin Marxen</v>
      </c>
      <c r="D5786" t="str">
        <f>_xlfn.XLOOKUP($B5786,sales_teams!$A$2:$A$36,sales_teams!C$2:C$36)</f>
        <v>Central</v>
      </c>
      <c r="E5786" t="s">
        <v>10</v>
      </c>
      <c r="F5786" t="s">
        <v>148</v>
      </c>
      <c r="G5786" t="s">
        <v>40</v>
      </c>
      <c r="H5786" s="1">
        <v>42956</v>
      </c>
    </row>
    <row r="5787" spans="1:10" x14ac:dyDescent="0.3">
      <c r="A5787" t="s">
        <v>5918</v>
      </c>
      <c r="B5787" t="s">
        <v>14</v>
      </c>
      <c r="C5787" t="str">
        <f>_xlfn.XLOOKUP(B5787,
[1]sales_teams!$A$2:$A$100,
[1]sales_teams!$B$2:$B$100)</f>
        <v>Melvin Marxen</v>
      </c>
      <c r="D5787" t="str">
        <f>_xlfn.XLOOKUP($B5787,sales_teams!$A$2:$A$36,sales_teams!C$2:C$36)</f>
        <v>Central</v>
      </c>
      <c r="E5787" t="s">
        <v>15</v>
      </c>
      <c r="G5787" t="s">
        <v>40</v>
      </c>
      <c r="H5787" s="1">
        <v>42956</v>
      </c>
    </row>
    <row r="5788" spans="1:10" x14ac:dyDescent="0.3">
      <c r="A5788" t="s">
        <v>5919</v>
      </c>
      <c r="B5788" t="s">
        <v>14</v>
      </c>
      <c r="C5788" t="str">
        <f>_xlfn.XLOOKUP(B5788,
[1]sales_teams!$A$2:$A$100,
[1]sales_teams!$B$2:$B$100)</f>
        <v>Melvin Marxen</v>
      </c>
      <c r="D5788" t="str">
        <f>_xlfn.XLOOKUP($B5788,sales_teams!$A$2:$A$36,sales_teams!C$2:C$36)</f>
        <v>Central</v>
      </c>
      <c r="E5788" t="s">
        <v>15</v>
      </c>
      <c r="F5788" t="s">
        <v>492</v>
      </c>
      <c r="G5788" t="s">
        <v>12</v>
      </c>
      <c r="H5788" s="1">
        <v>42956</v>
      </c>
      <c r="I5788" s="1">
        <v>43041</v>
      </c>
      <c r="J5788">
        <v>4313</v>
      </c>
    </row>
    <row r="5789" spans="1:10" x14ac:dyDescent="0.3">
      <c r="A5789" t="s">
        <v>5920</v>
      </c>
      <c r="B5789" t="s">
        <v>142</v>
      </c>
      <c r="C5789" t="str">
        <f>_xlfn.XLOOKUP(B5789,
[1]sales_teams!$A$2:$A$100,
[1]sales_teams!$B$2:$B$100)</f>
        <v>Rocco Neubert</v>
      </c>
      <c r="D5789" t="str">
        <f>_xlfn.XLOOKUP($B5789,sales_teams!$A$2:$A$36,sales_teams!C$2:C$36)</f>
        <v>East</v>
      </c>
      <c r="E5789" t="s">
        <v>15</v>
      </c>
      <c r="F5789" t="s">
        <v>199</v>
      </c>
      <c r="G5789" t="s">
        <v>12</v>
      </c>
      <c r="H5789" s="1">
        <v>42956</v>
      </c>
      <c r="I5789" s="1">
        <v>42993</v>
      </c>
      <c r="J5789">
        <v>4662</v>
      </c>
    </row>
    <row r="5790" spans="1:10" x14ac:dyDescent="0.3">
      <c r="A5790" t="s">
        <v>5921</v>
      </c>
      <c r="B5790" t="s">
        <v>67</v>
      </c>
      <c r="C5790" t="str">
        <f>_xlfn.XLOOKUP(B5790,
[1]sales_teams!$A$2:$A$100,
[1]sales_teams!$B$2:$B$100)</f>
        <v>Celia Rouche</v>
      </c>
      <c r="D5790" t="str">
        <f>_xlfn.XLOOKUP($B5790,sales_teams!$A$2:$A$36,sales_teams!C$2:C$36)</f>
        <v>West</v>
      </c>
      <c r="E5790" t="s">
        <v>20</v>
      </c>
      <c r="F5790" t="s">
        <v>273</v>
      </c>
      <c r="G5790" t="s">
        <v>46</v>
      </c>
      <c r="H5790" s="1">
        <v>42956</v>
      </c>
      <c r="I5790" s="1">
        <v>42959</v>
      </c>
      <c r="J5790">
        <v>0</v>
      </c>
    </row>
    <row r="5791" spans="1:10" x14ac:dyDescent="0.3">
      <c r="A5791" t="s">
        <v>5922</v>
      </c>
      <c r="B5791" t="s">
        <v>67</v>
      </c>
      <c r="C5791" t="str">
        <f>_xlfn.XLOOKUP(B5791,
[1]sales_teams!$A$2:$A$100,
[1]sales_teams!$B$2:$B$100)</f>
        <v>Celia Rouche</v>
      </c>
      <c r="D5791" t="str">
        <f>_xlfn.XLOOKUP($B5791,sales_teams!$A$2:$A$36,sales_teams!C$2:C$36)</f>
        <v>West</v>
      </c>
      <c r="E5791" t="s">
        <v>39</v>
      </c>
      <c r="F5791" t="s">
        <v>33</v>
      </c>
      <c r="G5791" t="s">
        <v>46</v>
      </c>
      <c r="H5791" s="1">
        <v>42956</v>
      </c>
      <c r="I5791" s="1">
        <v>43057</v>
      </c>
      <c r="J5791">
        <v>0</v>
      </c>
    </row>
    <row r="5792" spans="1:10" x14ac:dyDescent="0.3">
      <c r="A5792" t="s">
        <v>5923</v>
      </c>
      <c r="B5792" t="s">
        <v>105</v>
      </c>
      <c r="C5792" t="str">
        <f>_xlfn.XLOOKUP(B5792,
[1]sales_teams!$A$2:$A$100,
[1]sales_teams!$B$2:$B$100)</f>
        <v>Cara Losch</v>
      </c>
      <c r="D5792" t="str">
        <f>_xlfn.XLOOKUP($B5792,sales_teams!$A$2:$A$36,sales_teams!C$2:C$36)</f>
        <v>East</v>
      </c>
      <c r="E5792" t="s">
        <v>15</v>
      </c>
      <c r="F5792" t="s">
        <v>65</v>
      </c>
      <c r="G5792" t="s">
        <v>46</v>
      </c>
      <c r="H5792" s="1">
        <v>42956</v>
      </c>
      <c r="I5792" s="1">
        <v>43059</v>
      </c>
      <c r="J5792">
        <v>0</v>
      </c>
    </row>
    <row r="5793" spans="1:10" x14ac:dyDescent="0.3">
      <c r="A5793" t="s">
        <v>5924</v>
      </c>
      <c r="B5793" t="s">
        <v>105</v>
      </c>
      <c r="C5793" t="str">
        <f>_xlfn.XLOOKUP(B5793,
[1]sales_teams!$A$2:$A$100,
[1]sales_teams!$B$2:$B$100)</f>
        <v>Cara Losch</v>
      </c>
      <c r="D5793" t="str">
        <f>_xlfn.XLOOKUP($B5793,sales_teams!$A$2:$A$36,sales_teams!C$2:C$36)</f>
        <v>East</v>
      </c>
      <c r="E5793" t="s">
        <v>39</v>
      </c>
      <c r="F5793" t="s">
        <v>215</v>
      </c>
      <c r="G5793" t="s">
        <v>12</v>
      </c>
      <c r="H5793" s="1">
        <v>42956</v>
      </c>
      <c r="I5793" s="1">
        <v>43046</v>
      </c>
      <c r="J5793">
        <v>2715</v>
      </c>
    </row>
    <row r="5794" spans="1:10" x14ac:dyDescent="0.3">
      <c r="A5794" t="s">
        <v>5925</v>
      </c>
      <c r="B5794" t="s">
        <v>54</v>
      </c>
      <c r="C5794" t="str">
        <f>_xlfn.XLOOKUP(B5794,
[1]sales_teams!$A$2:$A$100,
[1]sales_teams!$B$2:$B$100)</f>
        <v>Celia Rouche</v>
      </c>
      <c r="D5794" t="str">
        <f>_xlfn.XLOOKUP($B5794,sales_teams!$A$2:$A$36,sales_teams!C$2:C$36)</f>
        <v>West</v>
      </c>
      <c r="E5794" t="s">
        <v>10</v>
      </c>
      <c r="F5794" t="s">
        <v>24</v>
      </c>
      <c r="G5794" t="s">
        <v>46</v>
      </c>
      <c r="H5794" s="1">
        <v>42956</v>
      </c>
      <c r="I5794" s="1">
        <v>43058</v>
      </c>
      <c r="J5794">
        <v>0</v>
      </c>
    </row>
    <row r="5795" spans="1:10" x14ac:dyDescent="0.3">
      <c r="A5795" t="s">
        <v>5926</v>
      </c>
      <c r="B5795" t="s">
        <v>38</v>
      </c>
      <c r="C5795" t="str">
        <f>_xlfn.XLOOKUP(B5795,
[1]sales_teams!$A$2:$A$100,
[1]sales_teams!$B$2:$B$100)</f>
        <v>Summer Sewald</v>
      </c>
      <c r="D5795" t="str">
        <f>_xlfn.XLOOKUP($B5795,sales_teams!$A$2:$A$36,sales_teams!C$2:C$36)</f>
        <v>West</v>
      </c>
      <c r="E5795" t="s">
        <v>20</v>
      </c>
      <c r="F5795" t="s">
        <v>315</v>
      </c>
      <c r="G5795" t="s">
        <v>12</v>
      </c>
      <c r="H5795" s="1">
        <v>42956</v>
      </c>
      <c r="I5795" s="1">
        <v>43088</v>
      </c>
      <c r="J5795">
        <v>511</v>
      </c>
    </row>
    <row r="5796" spans="1:10" x14ac:dyDescent="0.3">
      <c r="A5796" t="s">
        <v>5927</v>
      </c>
      <c r="B5796" t="s">
        <v>252</v>
      </c>
      <c r="C5796" t="str">
        <f>_xlfn.XLOOKUP(B5796,
[1]sales_teams!$A$2:$A$100,
[1]sales_teams!$B$2:$B$100)</f>
        <v>Melvin Marxen</v>
      </c>
      <c r="D5796" t="str">
        <f>_xlfn.XLOOKUP($B5796,sales_teams!$A$2:$A$36,sales_teams!C$2:C$36)</f>
        <v>Central</v>
      </c>
      <c r="E5796" t="s">
        <v>20</v>
      </c>
      <c r="G5796" t="s">
        <v>40</v>
      </c>
      <c r="H5796" s="1">
        <v>42956</v>
      </c>
    </row>
    <row r="5797" spans="1:10" x14ac:dyDescent="0.3">
      <c r="A5797" t="s">
        <v>5928</v>
      </c>
      <c r="B5797" t="s">
        <v>133</v>
      </c>
      <c r="C5797" t="str">
        <f>_xlfn.XLOOKUP(B5797,
[1]sales_teams!$A$2:$A$100,
[1]sales_teams!$B$2:$B$100)</f>
        <v>Dustin Brinkmann</v>
      </c>
      <c r="D5797" t="str">
        <f>_xlfn.XLOOKUP($B5797,sales_teams!$A$2:$A$36,sales_teams!C$2:C$36)</f>
        <v>Central</v>
      </c>
      <c r="E5797" t="s">
        <v>20</v>
      </c>
      <c r="F5797" t="s">
        <v>103</v>
      </c>
      <c r="G5797" t="s">
        <v>40</v>
      </c>
      <c r="H5797" s="1">
        <v>42956</v>
      </c>
    </row>
    <row r="5798" spans="1:10" x14ac:dyDescent="0.3">
      <c r="A5798" t="s">
        <v>5929</v>
      </c>
      <c r="B5798" t="s">
        <v>32</v>
      </c>
      <c r="C5798" t="str">
        <f>_xlfn.XLOOKUP(B5798,
[1]sales_teams!$A$2:$A$100,
[1]sales_teams!$B$2:$B$100)</f>
        <v>Celia Rouche</v>
      </c>
      <c r="D5798" t="str">
        <f>_xlfn.XLOOKUP($B5798,sales_teams!$A$2:$A$36,sales_teams!C$2:C$36)</f>
        <v>West</v>
      </c>
      <c r="E5798" t="s">
        <v>10</v>
      </c>
      <c r="F5798" t="s">
        <v>148</v>
      </c>
      <c r="G5798" t="s">
        <v>12</v>
      </c>
      <c r="H5798" s="1">
        <v>42956</v>
      </c>
      <c r="I5798" s="1">
        <v>43077</v>
      </c>
      <c r="J5798">
        <v>1017</v>
      </c>
    </row>
    <row r="5799" spans="1:10" x14ac:dyDescent="0.3">
      <c r="A5799" t="s">
        <v>5930</v>
      </c>
      <c r="B5799" t="s">
        <v>116</v>
      </c>
      <c r="C5799" t="str">
        <f>_xlfn.XLOOKUP(B5799,
[1]sales_teams!$A$2:$A$100,
[1]sales_teams!$B$2:$B$100)</f>
        <v>Melvin Marxen</v>
      </c>
      <c r="D5799" t="str">
        <f>_xlfn.XLOOKUP($B5799,sales_teams!$A$2:$A$36,sales_teams!C$2:C$36)</f>
        <v>Central</v>
      </c>
      <c r="E5799" t="s">
        <v>48</v>
      </c>
      <c r="F5799" t="s">
        <v>24</v>
      </c>
      <c r="G5799" t="s">
        <v>40</v>
      </c>
      <c r="H5799" s="1">
        <v>42956</v>
      </c>
    </row>
    <row r="5800" spans="1:10" x14ac:dyDescent="0.3">
      <c r="A5800" t="s">
        <v>5931</v>
      </c>
      <c r="B5800" t="s">
        <v>116</v>
      </c>
      <c r="C5800" t="str">
        <f>_xlfn.XLOOKUP(B5800,
[1]sales_teams!$A$2:$A$100,
[1]sales_teams!$B$2:$B$100)</f>
        <v>Melvin Marxen</v>
      </c>
      <c r="D5800" t="str">
        <f>_xlfn.XLOOKUP($B5800,sales_teams!$A$2:$A$36,sales_teams!C$2:C$36)</f>
        <v>Central</v>
      </c>
      <c r="E5800" t="s">
        <v>39</v>
      </c>
      <c r="G5800" t="s">
        <v>40</v>
      </c>
      <c r="H5800" s="1">
        <v>42956</v>
      </c>
    </row>
    <row r="5801" spans="1:10" x14ac:dyDescent="0.3">
      <c r="A5801" t="s">
        <v>5932</v>
      </c>
      <c r="B5801" t="s">
        <v>51</v>
      </c>
      <c r="C5801" t="str">
        <f>_xlfn.XLOOKUP(B5801,
[1]sales_teams!$A$2:$A$100,
[1]sales_teams!$B$2:$B$100)</f>
        <v>Summer Sewald</v>
      </c>
      <c r="D5801" t="str">
        <f>_xlfn.XLOOKUP($B5801,sales_teams!$A$2:$A$36,sales_teams!C$2:C$36)</f>
        <v>West</v>
      </c>
      <c r="E5801" t="s">
        <v>10</v>
      </c>
      <c r="F5801" t="s">
        <v>86</v>
      </c>
      <c r="G5801" t="s">
        <v>46</v>
      </c>
      <c r="H5801" s="1">
        <v>42956</v>
      </c>
      <c r="I5801" s="1">
        <v>42967</v>
      </c>
      <c r="J5801">
        <v>0</v>
      </c>
    </row>
    <row r="5802" spans="1:10" x14ac:dyDescent="0.3">
      <c r="A5802" t="s">
        <v>5933</v>
      </c>
      <c r="B5802" t="s">
        <v>51</v>
      </c>
      <c r="C5802" t="str">
        <f>_xlfn.XLOOKUP(B5802,
[1]sales_teams!$A$2:$A$100,
[1]sales_teams!$B$2:$B$100)</f>
        <v>Summer Sewald</v>
      </c>
      <c r="D5802" t="str">
        <f>_xlfn.XLOOKUP($B5802,sales_teams!$A$2:$A$36,sales_teams!C$2:C$36)</f>
        <v>West</v>
      </c>
      <c r="E5802" t="s">
        <v>10</v>
      </c>
      <c r="F5802" t="s">
        <v>199</v>
      </c>
      <c r="G5802" t="s">
        <v>12</v>
      </c>
      <c r="H5802" s="1">
        <v>42956</v>
      </c>
      <c r="I5802" s="1">
        <v>42957</v>
      </c>
      <c r="J5802">
        <v>1102</v>
      </c>
    </row>
    <row r="5803" spans="1:10" x14ac:dyDescent="0.3">
      <c r="A5803" t="s">
        <v>5934</v>
      </c>
      <c r="B5803" t="s">
        <v>51</v>
      </c>
      <c r="C5803" t="str">
        <f>_xlfn.XLOOKUP(B5803,
[1]sales_teams!$A$2:$A$100,
[1]sales_teams!$B$2:$B$100)</f>
        <v>Summer Sewald</v>
      </c>
      <c r="D5803" t="str">
        <f>_xlfn.XLOOKUP($B5803,sales_teams!$A$2:$A$36,sales_teams!C$2:C$36)</f>
        <v>West</v>
      </c>
      <c r="E5803" t="s">
        <v>18</v>
      </c>
      <c r="F5803" t="s">
        <v>155</v>
      </c>
      <c r="G5803" t="s">
        <v>12</v>
      </c>
      <c r="H5803" s="1">
        <v>42956</v>
      </c>
      <c r="I5803" s="1">
        <v>43073</v>
      </c>
      <c r="J5803">
        <v>67</v>
      </c>
    </row>
    <row r="5804" spans="1:10" x14ac:dyDescent="0.3">
      <c r="A5804" t="s">
        <v>5935</v>
      </c>
      <c r="B5804" t="s">
        <v>9</v>
      </c>
      <c r="C5804" t="str">
        <f>_xlfn.XLOOKUP(B5804,
[1]sales_teams!$A$2:$A$100,
[1]sales_teams!$B$2:$B$100)</f>
        <v>Dustin Brinkmann</v>
      </c>
      <c r="D5804" t="str">
        <f>_xlfn.XLOOKUP($B5804,sales_teams!$A$2:$A$36,sales_teams!C$2:C$36)</f>
        <v>Central</v>
      </c>
      <c r="E5804" t="s">
        <v>18</v>
      </c>
      <c r="F5804" t="s">
        <v>45</v>
      </c>
      <c r="G5804" t="s">
        <v>12</v>
      </c>
      <c r="H5804" s="1">
        <v>42956</v>
      </c>
      <c r="I5804" s="1">
        <v>42987</v>
      </c>
      <c r="J5804">
        <v>59</v>
      </c>
    </row>
    <row r="5805" spans="1:10" x14ac:dyDescent="0.3">
      <c r="A5805" t="s">
        <v>5936</v>
      </c>
      <c r="B5805" t="s">
        <v>35</v>
      </c>
      <c r="C5805" t="str">
        <f>_xlfn.XLOOKUP(B5805,
[1]sales_teams!$A$2:$A$100,
[1]sales_teams!$B$2:$B$100)</f>
        <v>Melvin Marxen</v>
      </c>
      <c r="D5805" t="str">
        <f>_xlfn.XLOOKUP($B5805,sales_teams!$A$2:$A$36,sales_teams!C$2:C$36)</f>
        <v>Central</v>
      </c>
      <c r="E5805" t="s">
        <v>48</v>
      </c>
      <c r="F5805" t="s">
        <v>207</v>
      </c>
      <c r="G5805" t="s">
        <v>46</v>
      </c>
      <c r="H5805" s="1">
        <v>42956</v>
      </c>
      <c r="I5805" s="1">
        <v>43064</v>
      </c>
      <c r="J5805">
        <v>0</v>
      </c>
    </row>
    <row r="5806" spans="1:10" x14ac:dyDescent="0.3">
      <c r="A5806" t="s">
        <v>5937</v>
      </c>
      <c r="B5806" t="s">
        <v>35</v>
      </c>
      <c r="C5806" t="str">
        <f>_xlfn.XLOOKUP(B5806,
[1]sales_teams!$A$2:$A$100,
[1]sales_teams!$B$2:$B$100)</f>
        <v>Melvin Marxen</v>
      </c>
      <c r="D5806" t="str">
        <f>_xlfn.XLOOKUP($B5806,sales_teams!$A$2:$A$36,sales_teams!C$2:C$36)</f>
        <v>Central</v>
      </c>
      <c r="E5806" t="s">
        <v>20</v>
      </c>
      <c r="F5806" t="s">
        <v>315</v>
      </c>
      <c r="G5806" t="s">
        <v>12</v>
      </c>
      <c r="H5806" s="1">
        <v>42956</v>
      </c>
      <c r="I5806" s="1">
        <v>43078</v>
      </c>
      <c r="J5806">
        <v>569</v>
      </c>
    </row>
    <row r="5807" spans="1:10" x14ac:dyDescent="0.3">
      <c r="A5807" t="s">
        <v>5938</v>
      </c>
      <c r="B5807" t="s">
        <v>97</v>
      </c>
      <c r="C5807" t="str">
        <f>_xlfn.XLOOKUP(B5807,
[1]sales_teams!$A$2:$A$100,
[1]sales_teams!$B$2:$B$100)</f>
        <v>Rocco Neubert</v>
      </c>
      <c r="D5807" t="str">
        <f>_xlfn.XLOOKUP($B5807,sales_teams!$A$2:$A$36,sales_teams!C$2:C$36)</f>
        <v>East</v>
      </c>
      <c r="E5807" t="s">
        <v>20</v>
      </c>
      <c r="F5807" t="s">
        <v>65</v>
      </c>
      <c r="G5807" t="s">
        <v>12</v>
      </c>
      <c r="H5807" s="1">
        <v>42956</v>
      </c>
      <c r="I5807" s="1">
        <v>43082</v>
      </c>
      <c r="J5807">
        <v>517</v>
      </c>
    </row>
    <row r="5808" spans="1:10" x14ac:dyDescent="0.3">
      <c r="A5808" t="s">
        <v>5939</v>
      </c>
      <c r="B5808" t="s">
        <v>29</v>
      </c>
      <c r="C5808" t="str">
        <f>_xlfn.XLOOKUP(B5808,
[1]sales_teams!$A$2:$A$100,
[1]sales_teams!$B$2:$B$100)</f>
        <v>Celia Rouche</v>
      </c>
      <c r="D5808" t="str">
        <f>_xlfn.XLOOKUP($B5808,sales_teams!$A$2:$A$36,sales_teams!C$2:C$36)</f>
        <v>West</v>
      </c>
      <c r="E5808" t="s">
        <v>20</v>
      </c>
      <c r="G5808" t="s">
        <v>40</v>
      </c>
      <c r="H5808" s="1">
        <v>42956</v>
      </c>
    </row>
    <row r="5809" spans="1:10" x14ac:dyDescent="0.3">
      <c r="A5809" t="s">
        <v>5940</v>
      </c>
      <c r="B5809" t="s">
        <v>102</v>
      </c>
      <c r="C5809" t="str">
        <f>_xlfn.XLOOKUP(B5809,
[1]sales_teams!$A$2:$A$100,
[1]sales_teams!$B$2:$B$100)</f>
        <v>Cara Losch</v>
      </c>
      <c r="D5809" t="str">
        <f>_xlfn.XLOOKUP($B5809,sales_teams!$A$2:$A$36,sales_teams!C$2:C$36)</f>
        <v>East</v>
      </c>
      <c r="E5809" t="s">
        <v>20</v>
      </c>
      <c r="F5809" t="s">
        <v>518</v>
      </c>
      <c r="G5809" t="s">
        <v>46</v>
      </c>
      <c r="H5809" s="1">
        <v>42956</v>
      </c>
      <c r="I5809" s="1">
        <v>43042</v>
      </c>
      <c r="J5809">
        <v>0</v>
      </c>
    </row>
    <row r="5810" spans="1:10" x14ac:dyDescent="0.3">
      <c r="A5810" t="s">
        <v>5941</v>
      </c>
      <c r="B5810" t="s">
        <v>139</v>
      </c>
      <c r="C5810" t="str">
        <f>_xlfn.XLOOKUP(B5810,
[1]sales_teams!$A$2:$A$100,
[1]sales_teams!$B$2:$B$100)</f>
        <v>Rocco Neubert</v>
      </c>
      <c r="D5810" t="str">
        <f>_xlfn.XLOOKUP($B5810,sales_teams!$A$2:$A$36,sales_teams!C$2:C$36)</f>
        <v>East</v>
      </c>
      <c r="E5810" t="s">
        <v>10</v>
      </c>
      <c r="F5810" t="s">
        <v>410</v>
      </c>
      <c r="G5810" t="s">
        <v>12</v>
      </c>
      <c r="H5810" s="1">
        <v>42957</v>
      </c>
      <c r="I5810" s="1">
        <v>42969</v>
      </c>
      <c r="J5810">
        <v>1171</v>
      </c>
    </row>
    <row r="5811" spans="1:10" x14ac:dyDescent="0.3">
      <c r="A5811" t="s">
        <v>5942</v>
      </c>
      <c r="B5811" t="s">
        <v>164</v>
      </c>
      <c r="C5811" t="str">
        <f>_xlfn.XLOOKUP(B5811,
[1]sales_teams!$A$2:$A$100,
[1]sales_teams!$B$2:$B$100)</f>
        <v>Cara Losch</v>
      </c>
      <c r="D5811" t="str">
        <f>_xlfn.XLOOKUP($B5811,sales_teams!$A$2:$A$36,sales_teams!C$2:C$36)</f>
        <v>East</v>
      </c>
      <c r="E5811" t="s">
        <v>20</v>
      </c>
      <c r="F5811" t="s">
        <v>179</v>
      </c>
      <c r="G5811" t="s">
        <v>46</v>
      </c>
      <c r="H5811" s="1">
        <v>42957</v>
      </c>
      <c r="I5811" s="1">
        <v>42969</v>
      </c>
      <c r="J5811">
        <v>0</v>
      </c>
    </row>
    <row r="5812" spans="1:10" x14ac:dyDescent="0.3">
      <c r="A5812" t="s">
        <v>5943</v>
      </c>
      <c r="B5812" t="s">
        <v>164</v>
      </c>
      <c r="C5812" t="str">
        <f>_xlfn.XLOOKUP(B5812,
[1]sales_teams!$A$2:$A$100,
[1]sales_teams!$B$2:$B$100)</f>
        <v>Cara Losch</v>
      </c>
      <c r="D5812" t="str">
        <f>_xlfn.XLOOKUP($B5812,sales_teams!$A$2:$A$36,sales_teams!C$2:C$36)</f>
        <v>East</v>
      </c>
      <c r="E5812" t="s">
        <v>10</v>
      </c>
      <c r="F5812" t="s">
        <v>209</v>
      </c>
      <c r="G5812" t="s">
        <v>12</v>
      </c>
      <c r="H5812" s="1">
        <v>42957</v>
      </c>
      <c r="I5812" s="1">
        <v>42967</v>
      </c>
      <c r="J5812">
        <v>1143</v>
      </c>
    </row>
    <row r="5813" spans="1:10" x14ac:dyDescent="0.3">
      <c r="A5813" t="s">
        <v>5944</v>
      </c>
      <c r="B5813" t="s">
        <v>64</v>
      </c>
      <c r="C5813" t="str">
        <f>_xlfn.XLOOKUP(B5813,
[1]sales_teams!$A$2:$A$100,
[1]sales_teams!$B$2:$B$100)</f>
        <v>Rocco Neubert</v>
      </c>
      <c r="D5813" t="str">
        <f>_xlfn.XLOOKUP($B5813,sales_teams!$A$2:$A$36,sales_teams!C$2:C$36)</f>
        <v>East</v>
      </c>
      <c r="E5813" t="s">
        <v>15</v>
      </c>
      <c r="F5813" t="s">
        <v>155</v>
      </c>
      <c r="G5813" t="s">
        <v>12</v>
      </c>
      <c r="H5813" s="1">
        <v>42957</v>
      </c>
      <c r="I5813" s="1">
        <v>43076</v>
      </c>
      <c r="J5813">
        <v>5315</v>
      </c>
    </row>
    <row r="5814" spans="1:10" x14ac:dyDescent="0.3">
      <c r="A5814" t="s">
        <v>5945</v>
      </c>
      <c r="B5814" t="s">
        <v>14</v>
      </c>
      <c r="C5814" t="str">
        <f>_xlfn.XLOOKUP(B5814,
[1]sales_teams!$A$2:$A$100,
[1]sales_teams!$B$2:$B$100)</f>
        <v>Melvin Marxen</v>
      </c>
      <c r="D5814" t="str">
        <f>_xlfn.XLOOKUP($B5814,sales_teams!$A$2:$A$36,sales_teams!C$2:C$36)</f>
        <v>Central</v>
      </c>
      <c r="E5814" t="s">
        <v>48</v>
      </c>
      <c r="G5814" t="s">
        <v>40</v>
      </c>
      <c r="H5814" s="1">
        <v>42957</v>
      </c>
    </row>
    <row r="5815" spans="1:10" x14ac:dyDescent="0.3">
      <c r="A5815" t="s">
        <v>5946</v>
      </c>
      <c r="B5815" t="s">
        <v>14</v>
      </c>
      <c r="C5815" t="str">
        <f>_xlfn.XLOOKUP(B5815,
[1]sales_teams!$A$2:$A$100,
[1]sales_teams!$B$2:$B$100)</f>
        <v>Melvin Marxen</v>
      </c>
      <c r="D5815" t="str">
        <f>_xlfn.XLOOKUP($B5815,sales_teams!$A$2:$A$36,sales_teams!C$2:C$36)</f>
        <v>Central</v>
      </c>
      <c r="E5815" t="s">
        <v>39</v>
      </c>
      <c r="F5815" t="s">
        <v>21</v>
      </c>
      <c r="G5815" t="s">
        <v>46</v>
      </c>
      <c r="H5815" s="1">
        <v>42957</v>
      </c>
      <c r="I5815" s="1">
        <v>42959</v>
      </c>
      <c r="J5815">
        <v>0</v>
      </c>
    </row>
    <row r="5816" spans="1:10" x14ac:dyDescent="0.3">
      <c r="A5816" t="s">
        <v>5947</v>
      </c>
      <c r="B5816" t="s">
        <v>67</v>
      </c>
      <c r="C5816" t="str">
        <f>_xlfn.XLOOKUP(B5816,
[1]sales_teams!$A$2:$A$100,
[1]sales_teams!$B$2:$B$100)</f>
        <v>Celia Rouche</v>
      </c>
      <c r="D5816" t="str">
        <f>_xlfn.XLOOKUP($B5816,sales_teams!$A$2:$A$36,sales_teams!C$2:C$36)</f>
        <v>West</v>
      </c>
      <c r="E5816" t="s">
        <v>18</v>
      </c>
      <c r="F5816" t="s">
        <v>59</v>
      </c>
      <c r="G5816" t="s">
        <v>12</v>
      </c>
      <c r="H5816" s="1">
        <v>42957</v>
      </c>
      <c r="I5816" s="1">
        <v>42963</v>
      </c>
      <c r="J5816">
        <v>49</v>
      </c>
    </row>
    <row r="5817" spans="1:10" x14ac:dyDescent="0.3">
      <c r="A5817" t="s">
        <v>5948</v>
      </c>
      <c r="B5817" t="s">
        <v>105</v>
      </c>
      <c r="C5817" t="str">
        <f>_xlfn.XLOOKUP(B5817,
[1]sales_teams!$A$2:$A$100,
[1]sales_teams!$B$2:$B$100)</f>
        <v>Cara Losch</v>
      </c>
      <c r="D5817" t="str">
        <f>_xlfn.XLOOKUP($B5817,sales_teams!$A$2:$A$36,sales_teams!C$2:C$36)</f>
        <v>East</v>
      </c>
      <c r="E5817" t="s">
        <v>48</v>
      </c>
      <c r="F5817" t="s">
        <v>192</v>
      </c>
      <c r="G5817" t="s">
        <v>46</v>
      </c>
      <c r="H5817" s="1">
        <v>42957</v>
      </c>
      <c r="I5817" s="1">
        <v>43045</v>
      </c>
      <c r="J5817">
        <v>0</v>
      </c>
    </row>
    <row r="5818" spans="1:10" x14ac:dyDescent="0.3">
      <c r="A5818" t="s">
        <v>5949</v>
      </c>
      <c r="B5818" t="s">
        <v>54</v>
      </c>
      <c r="C5818" t="str">
        <f>_xlfn.XLOOKUP(B5818,
[1]sales_teams!$A$2:$A$100,
[1]sales_teams!$B$2:$B$100)</f>
        <v>Celia Rouche</v>
      </c>
      <c r="D5818" t="str">
        <f>_xlfn.XLOOKUP($B5818,sales_teams!$A$2:$A$36,sales_teams!C$2:C$36)</f>
        <v>West</v>
      </c>
      <c r="E5818" t="s">
        <v>10</v>
      </c>
      <c r="G5818" t="s">
        <v>40</v>
      </c>
      <c r="H5818" s="1">
        <v>42957</v>
      </c>
    </row>
    <row r="5819" spans="1:10" x14ac:dyDescent="0.3">
      <c r="A5819" t="s">
        <v>5950</v>
      </c>
      <c r="B5819" t="s">
        <v>54</v>
      </c>
      <c r="C5819" t="str">
        <f>_xlfn.XLOOKUP(B5819,
[1]sales_teams!$A$2:$A$100,
[1]sales_teams!$B$2:$B$100)</f>
        <v>Celia Rouche</v>
      </c>
      <c r="D5819" t="str">
        <f>_xlfn.XLOOKUP($B5819,sales_teams!$A$2:$A$36,sales_teams!C$2:C$36)</f>
        <v>West</v>
      </c>
      <c r="E5819" t="s">
        <v>39</v>
      </c>
      <c r="F5819" t="s">
        <v>30</v>
      </c>
      <c r="G5819" t="s">
        <v>12</v>
      </c>
      <c r="H5819" s="1">
        <v>42957</v>
      </c>
      <c r="I5819" s="1">
        <v>42960</v>
      </c>
      <c r="J5819">
        <v>3511</v>
      </c>
    </row>
    <row r="5820" spans="1:10" x14ac:dyDescent="0.3">
      <c r="A5820" t="s">
        <v>5951</v>
      </c>
      <c r="B5820" t="s">
        <v>252</v>
      </c>
      <c r="C5820" t="str">
        <f>_xlfn.XLOOKUP(B5820,
[1]sales_teams!$A$2:$A$100,
[1]sales_teams!$B$2:$B$100)</f>
        <v>Melvin Marxen</v>
      </c>
      <c r="D5820" t="str">
        <f>_xlfn.XLOOKUP($B5820,sales_teams!$A$2:$A$36,sales_teams!C$2:C$36)</f>
        <v>Central</v>
      </c>
      <c r="E5820" t="s">
        <v>20</v>
      </c>
      <c r="F5820" t="s">
        <v>124</v>
      </c>
      <c r="G5820" t="s">
        <v>40</v>
      </c>
      <c r="H5820" s="1">
        <v>42957</v>
      </c>
    </row>
    <row r="5821" spans="1:10" x14ac:dyDescent="0.3">
      <c r="A5821" t="s">
        <v>5952</v>
      </c>
      <c r="B5821" t="s">
        <v>252</v>
      </c>
      <c r="C5821" t="str">
        <f>_xlfn.XLOOKUP(B5821,
[1]sales_teams!$A$2:$A$100,
[1]sales_teams!$B$2:$B$100)</f>
        <v>Melvin Marxen</v>
      </c>
      <c r="D5821" t="str">
        <f>_xlfn.XLOOKUP($B5821,sales_teams!$A$2:$A$36,sales_teams!C$2:C$36)</f>
        <v>Central</v>
      </c>
      <c r="E5821" t="s">
        <v>15</v>
      </c>
      <c r="F5821" t="s">
        <v>21</v>
      </c>
      <c r="G5821" t="s">
        <v>46</v>
      </c>
      <c r="H5821" s="1">
        <v>42957</v>
      </c>
      <c r="I5821" s="1">
        <v>43062</v>
      </c>
      <c r="J5821">
        <v>0</v>
      </c>
    </row>
    <row r="5822" spans="1:10" x14ac:dyDescent="0.3">
      <c r="A5822" t="s">
        <v>5953</v>
      </c>
      <c r="B5822" t="s">
        <v>95</v>
      </c>
      <c r="C5822" t="str">
        <f>_xlfn.XLOOKUP(B5822,
[1]sales_teams!$A$2:$A$100,
[1]sales_teams!$B$2:$B$100)</f>
        <v>Summer Sewald</v>
      </c>
      <c r="D5822" t="str">
        <f>_xlfn.XLOOKUP($B5822,sales_teams!$A$2:$A$36,sales_teams!C$2:C$36)</f>
        <v>West</v>
      </c>
      <c r="E5822" t="s">
        <v>15</v>
      </c>
      <c r="F5822" t="s">
        <v>159</v>
      </c>
      <c r="G5822" t="s">
        <v>46</v>
      </c>
      <c r="H5822" s="1">
        <v>42957</v>
      </c>
      <c r="I5822" s="1">
        <v>43059</v>
      </c>
      <c r="J5822">
        <v>0</v>
      </c>
    </row>
    <row r="5823" spans="1:10" x14ac:dyDescent="0.3">
      <c r="A5823" t="s">
        <v>5954</v>
      </c>
      <c r="B5823" t="s">
        <v>133</v>
      </c>
      <c r="C5823" t="str">
        <f>_xlfn.XLOOKUP(B5823,
[1]sales_teams!$A$2:$A$100,
[1]sales_teams!$B$2:$B$100)</f>
        <v>Dustin Brinkmann</v>
      </c>
      <c r="D5823" t="str">
        <f>_xlfn.XLOOKUP($B5823,sales_teams!$A$2:$A$36,sales_teams!C$2:C$36)</f>
        <v>Central</v>
      </c>
      <c r="E5823" t="s">
        <v>10</v>
      </c>
      <c r="G5823" t="s">
        <v>40</v>
      </c>
      <c r="H5823" s="1">
        <v>42957</v>
      </c>
    </row>
    <row r="5824" spans="1:10" x14ac:dyDescent="0.3">
      <c r="A5824" t="s">
        <v>5955</v>
      </c>
      <c r="B5824" t="s">
        <v>32</v>
      </c>
      <c r="C5824" t="str">
        <f>_xlfn.XLOOKUP(B5824,
[1]sales_teams!$A$2:$A$100,
[1]sales_teams!$B$2:$B$100)</f>
        <v>Celia Rouche</v>
      </c>
      <c r="D5824" t="str">
        <f>_xlfn.XLOOKUP($B5824,sales_teams!$A$2:$A$36,sales_teams!C$2:C$36)</f>
        <v>West</v>
      </c>
      <c r="E5824" t="s">
        <v>20</v>
      </c>
      <c r="G5824" t="s">
        <v>40</v>
      </c>
      <c r="H5824" s="1">
        <v>42957</v>
      </c>
    </row>
    <row r="5825" spans="1:10" x14ac:dyDescent="0.3">
      <c r="A5825" t="s">
        <v>5956</v>
      </c>
      <c r="B5825" t="s">
        <v>116</v>
      </c>
      <c r="C5825" t="str">
        <f>_xlfn.XLOOKUP(B5825,
[1]sales_teams!$A$2:$A$100,
[1]sales_teams!$B$2:$B$100)</f>
        <v>Melvin Marxen</v>
      </c>
      <c r="D5825" t="str">
        <f>_xlfn.XLOOKUP($B5825,sales_teams!$A$2:$A$36,sales_teams!C$2:C$36)</f>
        <v>Central</v>
      </c>
      <c r="E5825" t="s">
        <v>48</v>
      </c>
      <c r="F5825" t="s">
        <v>329</v>
      </c>
      <c r="G5825" t="s">
        <v>40</v>
      </c>
      <c r="H5825" s="1">
        <v>42957</v>
      </c>
    </row>
    <row r="5826" spans="1:10" x14ac:dyDescent="0.3">
      <c r="A5826" t="s">
        <v>5957</v>
      </c>
      <c r="B5826" t="s">
        <v>116</v>
      </c>
      <c r="C5826" t="str">
        <f>_xlfn.XLOOKUP(B5826,
[1]sales_teams!$A$2:$A$100,
[1]sales_teams!$B$2:$B$100)</f>
        <v>Melvin Marxen</v>
      </c>
      <c r="D5826" t="str">
        <f>_xlfn.XLOOKUP($B5826,sales_teams!$A$2:$A$36,sales_teams!C$2:C$36)</f>
        <v>Central</v>
      </c>
      <c r="E5826" t="s">
        <v>18</v>
      </c>
      <c r="G5826" t="s">
        <v>40</v>
      </c>
      <c r="H5826" s="1">
        <v>42957</v>
      </c>
    </row>
    <row r="5827" spans="1:10" x14ac:dyDescent="0.3">
      <c r="A5827" t="s">
        <v>5958</v>
      </c>
      <c r="B5827" t="s">
        <v>116</v>
      </c>
      <c r="C5827" t="str">
        <f>_xlfn.XLOOKUP(B5827,
[1]sales_teams!$A$2:$A$100,
[1]sales_teams!$B$2:$B$100)</f>
        <v>Melvin Marxen</v>
      </c>
      <c r="D5827" t="str">
        <f>_xlfn.XLOOKUP($B5827,sales_teams!$A$2:$A$36,sales_teams!C$2:C$36)</f>
        <v>Central</v>
      </c>
      <c r="E5827" t="s">
        <v>10</v>
      </c>
      <c r="F5827" t="s">
        <v>21</v>
      </c>
      <c r="G5827" t="s">
        <v>12</v>
      </c>
      <c r="H5827" s="1">
        <v>42957</v>
      </c>
      <c r="I5827" s="1">
        <v>42974</v>
      </c>
      <c r="J5827">
        <v>1108</v>
      </c>
    </row>
    <row r="5828" spans="1:10" x14ac:dyDescent="0.3">
      <c r="A5828" t="s">
        <v>5959</v>
      </c>
      <c r="B5828" t="s">
        <v>51</v>
      </c>
      <c r="C5828" t="str">
        <f>_xlfn.XLOOKUP(B5828,
[1]sales_teams!$A$2:$A$100,
[1]sales_teams!$B$2:$B$100)</f>
        <v>Summer Sewald</v>
      </c>
      <c r="D5828" t="str">
        <f>_xlfn.XLOOKUP($B5828,sales_teams!$A$2:$A$36,sales_teams!C$2:C$36)</f>
        <v>West</v>
      </c>
      <c r="E5828" t="s">
        <v>18</v>
      </c>
      <c r="F5828" t="s">
        <v>122</v>
      </c>
      <c r="G5828" t="s">
        <v>46</v>
      </c>
      <c r="H5828" s="1">
        <v>42957</v>
      </c>
      <c r="I5828" s="1">
        <v>43046</v>
      </c>
      <c r="J5828">
        <v>0</v>
      </c>
    </row>
    <row r="5829" spans="1:10" x14ac:dyDescent="0.3">
      <c r="A5829" t="s">
        <v>5960</v>
      </c>
      <c r="B5829" t="s">
        <v>51</v>
      </c>
      <c r="C5829" t="str">
        <f>_xlfn.XLOOKUP(B5829,
[1]sales_teams!$A$2:$A$100,
[1]sales_teams!$B$2:$B$100)</f>
        <v>Summer Sewald</v>
      </c>
      <c r="D5829" t="str">
        <f>_xlfn.XLOOKUP($B5829,sales_teams!$A$2:$A$36,sales_teams!C$2:C$36)</f>
        <v>West</v>
      </c>
      <c r="E5829" t="s">
        <v>18</v>
      </c>
      <c r="F5829" t="s">
        <v>398</v>
      </c>
      <c r="G5829" t="s">
        <v>46</v>
      </c>
      <c r="H5829" s="1">
        <v>42957</v>
      </c>
      <c r="I5829" s="1">
        <v>43042</v>
      </c>
      <c r="J5829">
        <v>0</v>
      </c>
    </row>
    <row r="5830" spans="1:10" x14ac:dyDescent="0.3">
      <c r="A5830" t="s">
        <v>5961</v>
      </c>
      <c r="B5830" t="s">
        <v>35</v>
      </c>
      <c r="C5830" t="str">
        <f>_xlfn.XLOOKUP(B5830,
[1]sales_teams!$A$2:$A$100,
[1]sales_teams!$B$2:$B$100)</f>
        <v>Melvin Marxen</v>
      </c>
      <c r="D5830" t="str">
        <f>_xlfn.XLOOKUP($B5830,sales_teams!$A$2:$A$36,sales_teams!C$2:C$36)</f>
        <v>Central</v>
      </c>
      <c r="E5830" t="s">
        <v>10</v>
      </c>
      <c r="G5830" t="s">
        <v>40</v>
      </c>
      <c r="H5830" s="1">
        <v>42957</v>
      </c>
    </row>
    <row r="5831" spans="1:10" x14ac:dyDescent="0.3">
      <c r="A5831" t="s">
        <v>5962</v>
      </c>
      <c r="B5831" t="s">
        <v>35</v>
      </c>
      <c r="C5831" t="str">
        <f>_xlfn.XLOOKUP(B5831,
[1]sales_teams!$A$2:$A$100,
[1]sales_teams!$B$2:$B$100)</f>
        <v>Melvin Marxen</v>
      </c>
      <c r="D5831" t="str">
        <f>_xlfn.XLOOKUP($B5831,sales_teams!$A$2:$A$36,sales_teams!C$2:C$36)</f>
        <v>Central</v>
      </c>
      <c r="E5831" t="s">
        <v>20</v>
      </c>
      <c r="F5831" t="s">
        <v>111</v>
      </c>
      <c r="G5831" t="s">
        <v>46</v>
      </c>
      <c r="H5831" s="1">
        <v>42957</v>
      </c>
      <c r="I5831" s="1">
        <v>42994</v>
      </c>
      <c r="J5831">
        <v>0</v>
      </c>
    </row>
    <row r="5832" spans="1:10" x14ac:dyDescent="0.3">
      <c r="A5832" t="s">
        <v>5963</v>
      </c>
      <c r="B5832" t="s">
        <v>35</v>
      </c>
      <c r="C5832" t="str">
        <f>_xlfn.XLOOKUP(B5832,
[1]sales_teams!$A$2:$A$100,
[1]sales_teams!$B$2:$B$100)</f>
        <v>Melvin Marxen</v>
      </c>
      <c r="D5832" t="str">
        <f>_xlfn.XLOOKUP($B5832,sales_teams!$A$2:$A$36,sales_teams!C$2:C$36)</f>
        <v>Central</v>
      </c>
      <c r="E5832" t="s">
        <v>48</v>
      </c>
      <c r="F5832" t="s">
        <v>318</v>
      </c>
      <c r="G5832" t="s">
        <v>12</v>
      </c>
      <c r="H5832" s="1">
        <v>42957</v>
      </c>
      <c r="I5832" s="1">
        <v>42972</v>
      </c>
      <c r="J5832">
        <v>5671</v>
      </c>
    </row>
    <row r="5833" spans="1:10" x14ac:dyDescent="0.3">
      <c r="A5833" t="s">
        <v>5964</v>
      </c>
      <c r="B5833" t="s">
        <v>88</v>
      </c>
      <c r="C5833" t="str">
        <f>_xlfn.XLOOKUP(B5833,
[1]sales_teams!$A$2:$A$100,
[1]sales_teams!$B$2:$B$100)</f>
        <v>Cara Losch</v>
      </c>
      <c r="D5833" t="str">
        <f>_xlfn.XLOOKUP($B5833,sales_teams!$A$2:$A$36,sales_teams!C$2:C$36)</f>
        <v>East</v>
      </c>
      <c r="E5833" t="s">
        <v>15</v>
      </c>
      <c r="F5833" t="s">
        <v>194</v>
      </c>
      <c r="G5833" t="s">
        <v>40</v>
      </c>
      <c r="H5833" s="1">
        <v>42957</v>
      </c>
    </row>
    <row r="5834" spans="1:10" x14ac:dyDescent="0.3">
      <c r="A5834" t="s">
        <v>5965</v>
      </c>
      <c r="B5834" t="s">
        <v>88</v>
      </c>
      <c r="C5834" t="str">
        <f>_xlfn.XLOOKUP(B5834,
[1]sales_teams!$A$2:$A$100,
[1]sales_teams!$B$2:$B$100)</f>
        <v>Cara Losch</v>
      </c>
      <c r="D5834" t="str">
        <f>_xlfn.XLOOKUP($B5834,sales_teams!$A$2:$A$36,sales_teams!C$2:C$36)</f>
        <v>East</v>
      </c>
      <c r="E5834" t="s">
        <v>20</v>
      </c>
      <c r="F5834" t="s">
        <v>192</v>
      </c>
      <c r="G5834" t="s">
        <v>46</v>
      </c>
      <c r="H5834" s="1">
        <v>42957</v>
      </c>
      <c r="I5834" s="1">
        <v>42987</v>
      </c>
      <c r="J5834">
        <v>0</v>
      </c>
    </row>
    <row r="5835" spans="1:10" x14ac:dyDescent="0.3">
      <c r="A5835" t="s">
        <v>5966</v>
      </c>
      <c r="B5835" t="s">
        <v>61</v>
      </c>
      <c r="C5835" t="str">
        <f>_xlfn.XLOOKUP(B5835,
[1]sales_teams!$A$2:$A$100,
[1]sales_teams!$B$2:$B$100)</f>
        <v>Dustin Brinkmann</v>
      </c>
      <c r="D5835" t="str">
        <f>_xlfn.XLOOKUP($B5835,sales_teams!$A$2:$A$36,sales_teams!C$2:C$36)</f>
        <v>Central</v>
      </c>
      <c r="E5835" t="s">
        <v>20</v>
      </c>
      <c r="F5835" t="s">
        <v>42</v>
      </c>
      <c r="G5835" t="s">
        <v>12</v>
      </c>
      <c r="H5835" s="1">
        <v>42957</v>
      </c>
      <c r="I5835" s="1">
        <v>43002</v>
      </c>
      <c r="J5835">
        <v>546</v>
      </c>
    </row>
    <row r="5836" spans="1:10" x14ac:dyDescent="0.3">
      <c r="A5836" t="s">
        <v>5967</v>
      </c>
      <c r="B5836" t="s">
        <v>29</v>
      </c>
      <c r="C5836" t="str">
        <f>_xlfn.XLOOKUP(B5836,
[1]sales_teams!$A$2:$A$100,
[1]sales_teams!$B$2:$B$100)</f>
        <v>Celia Rouche</v>
      </c>
      <c r="D5836" t="str">
        <f>_xlfn.XLOOKUP($B5836,sales_teams!$A$2:$A$36,sales_teams!C$2:C$36)</f>
        <v>West</v>
      </c>
      <c r="E5836" t="s">
        <v>18</v>
      </c>
      <c r="F5836" t="s">
        <v>122</v>
      </c>
      <c r="G5836" t="s">
        <v>12</v>
      </c>
      <c r="H5836" s="1">
        <v>42957</v>
      </c>
      <c r="I5836" s="1">
        <v>43075</v>
      </c>
      <c r="J5836">
        <v>57</v>
      </c>
    </row>
    <row r="5837" spans="1:10" x14ac:dyDescent="0.3">
      <c r="A5837" t="s">
        <v>5968</v>
      </c>
      <c r="B5837" t="s">
        <v>29</v>
      </c>
      <c r="C5837" t="str">
        <f>_xlfn.XLOOKUP(B5837,
[1]sales_teams!$A$2:$A$100,
[1]sales_teams!$B$2:$B$100)</f>
        <v>Celia Rouche</v>
      </c>
      <c r="D5837" t="str">
        <f>_xlfn.XLOOKUP($B5837,sales_teams!$A$2:$A$36,sales_teams!C$2:C$36)</f>
        <v>West</v>
      </c>
      <c r="E5837" t="s">
        <v>39</v>
      </c>
      <c r="F5837" t="s">
        <v>224</v>
      </c>
      <c r="G5837" t="s">
        <v>12</v>
      </c>
      <c r="H5837" s="1">
        <v>42957</v>
      </c>
      <c r="I5837" s="1">
        <v>43006</v>
      </c>
      <c r="J5837">
        <v>3195</v>
      </c>
    </row>
    <row r="5838" spans="1:10" x14ac:dyDescent="0.3">
      <c r="A5838" t="s">
        <v>5969</v>
      </c>
      <c r="B5838" t="s">
        <v>73</v>
      </c>
      <c r="C5838" t="str">
        <f>_xlfn.XLOOKUP(B5838,
[1]sales_teams!$A$2:$A$100,
[1]sales_teams!$B$2:$B$100)</f>
        <v>Cara Losch</v>
      </c>
      <c r="D5838" t="str">
        <f>_xlfn.XLOOKUP($B5838,sales_teams!$A$2:$A$36,sales_teams!C$2:C$36)</f>
        <v>East</v>
      </c>
      <c r="E5838" t="s">
        <v>20</v>
      </c>
      <c r="F5838" t="s">
        <v>89</v>
      </c>
      <c r="G5838" t="s">
        <v>46</v>
      </c>
      <c r="H5838" s="1">
        <v>42957</v>
      </c>
      <c r="I5838" s="1">
        <v>43045</v>
      </c>
      <c r="J5838">
        <v>0</v>
      </c>
    </row>
    <row r="5839" spans="1:10" x14ac:dyDescent="0.3">
      <c r="A5839" t="s">
        <v>5970</v>
      </c>
      <c r="B5839" t="s">
        <v>26</v>
      </c>
      <c r="C5839" t="str">
        <f>_xlfn.XLOOKUP(B5839,
[1]sales_teams!$A$2:$A$100,
[1]sales_teams!$B$2:$B$100)</f>
        <v>Dustin Brinkmann</v>
      </c>
      <c r="D5839" t="str">
        <f>_xlfn.XLOOKUP($B5839,sales_teams!$A$2:$A$36,sales_teams!C$2:C$36)</f>
        <v>Central</v>
      </c>
      <c r="E5839" t="s">
        <v>18</v>
      </c>
      <c r="F5839" t="s">
        <v>213</v>
      </c>
      <c r="G5839" t="s">
        <v>46</v>
      </c>
      <c r="H5839" s="1">
        <v>42958</v>
      </c>
      <c r="I5839" s="1">
        <v>43045</v>
      </c>
      <c r="J5839">
        <v>0</v>
      </c>
    </row>
    <row r="5840" spans="1:10" x14ac:dyDescent="0.3">
      <c r="A5840" t="s">
        <v>5971</v>
      </c>
      <c r="B5840" t="s">
        <v>26</v>
      </c>
      <c r="C5840" t="str">
        <f>_xlfn.XLOOKUP(B5840,
[1]sales_teams!$A$2:$A$100,
[1]sales_teams!$B$2:$B$100)</f>
        <v>Dustin Brinkmann</v>
      </c>
      <c r="D5840" t="str">
        <f>_xlfn.XLOOKUP($B5840,sales_teams!$A$2:$A$36,sales_teams!C$2:C$36)</f>
        <v>Central</v>
      </c>
      <c r="E5840" t="s">
        <v>18</v>
      </c>
      <c r="F5840" t="s">
        <v>213</v>
      </c>
      <c r="G5840" t="s">
        <v>46</v>
      </c>
      <c r="H5840" s="1">
        <v>42958</v>
      </c>
      <c r="I5840" s="1">
        <v>42970</v>
      </c>
      <c r="J5840">
        <v>0</v>
      </c>
    </row>
    <row r="5841" spans="1:10" x14ac:dyDescent="0.3">
      <c r="A5841" t="s">
        <v>5972</v>
      </c>
      <c r="B5841" t="s">
        <v>26</v>
      </c>
      <c r="C5841" t="str">
        <f>_xlfn.XLOOKUP(B5841,
[1]sales_teams!$A$2:$A$100,
[1]sales_teams!$B$2:$B$100)</f>
        <v>Dustin Brinkmann</v>
      </c>
      <c r="D5841" t="str">
        <f>_xlfn.XLOOKUP($B5841,sales_teams!$A$2:$A$36,sales_teams!C$2:C$36)</f>
        <v>Central</v>
      </c>
      <c r="E5841" t="s">
        <v>18</v>
      </c>
      <c r="F5841" t="s">
        <v>197</v>
      </c>
      <c r="G5841" t="s">
        <v>12</v>
      </c>
      <c r="H5841" s="1">
        <v>42958</v>
      </c>
      <c r="I5841" s="1">
        <v>42965</v>
      </c>
      <c r="J5841">
        <v>46</v>
      </c>
    </row>
    <row r="5842" spans="1:10" x14ac:dyDescent="0.3">
      <c r="A5842" t="s">
        <v>5973</v>
      </c>
      <c r="B5842" t="s">
        <v>26</v>
      </c>
      <c r="C5842" t="str">
        <f>_xlfn.XLOOKUP(B5842,
[1]sales_teams!$A$2:$A$100,
[1]sales_teams!$B$2:$B$100)</f>
        <v>Dustin Brinkmann</v>
      </c>
      <c r="D5842" t="str">
        <f>_xlfn.XLOOKUP($B5842,sales_teams!$A$2:$A$36,sales_teams!C$2:C$36)</f>
        <v>Central</v>
      </c>
      <c r="E5842" t="s">
        <v>18</v>
      </c>
      <c r="F5842" t="s">
        <v>492</v>
      </c>
      <c r="G5842" t="s">
        <v>12</v>
      </c>
      <c r="H5842" s="1">
        <v>42958</v>
      </c>
      <c r="I5842" s="1">
        <v>43046</v>
      </c>
      <c r="J5842">
        <v>65</v>
      </c>
    </row>
    <row r="5843" spans="1:10" x14ac:dyDescent="0.3">
      <c r="A5843" t="s">
        <v>5974</v>
      </c>
      <c r="B5843" t="s">
        <v>67</v>
      </c>
      <c r="C5843" t="str">
        <f>_xlfn.XLOOKUP(B5843,
[1]sales_teams!$A$2:$A$100,
[1]sales_teams!$B$2:$B$100)</f>
        <v>Celia Rouche</v>
      </c>
      <c r="D5843" t="str">
        <f>_xlfn.XLOOKUP($B5843,sales_teams!$A$2:$A$36,sales_teams!C$2:C$36)</f>
        <v>West</v>
      </c>
      <c r="E5843" t="s">
        <v>20</v>
      </c>
      <c r="G5843" t="s">
        <v>40</v>
      </c>
      <c r="H5843" s="1">
        <v>42958</v>
      </c>
    </row>
    <row r="5844" spans="1:10" x14ac:dyDescent="0.3">
      <c r="A5844" t="s">
        <v>5975</v>
      </c>
      <c r="B5844" t="s">
        <v>44</v>
      </c>
      <c r="C5844" t="str">
        <f>_xlfn.XLOOKUP(B5844,
[1]sales_teams!$A$2:$A$100,
[1]sales_teams!$B$2:$B$100)</f>
        <v>Melvin Marxen</v>
      </c>
      <c r="D5844" t="str">
        <f>_xlfn.XLOOKUP($B5844,sales_teams!$A$2:$A$36,sales_teams!C$2:C$36)</f>
        <v>Central</v>
      </c>
      <c r="E5844" t="s">
        <v>48</v>
      </c>
      <c r="F5844" t="s">
        <v>103</v>
      </c>
      <c r="G5844" t="s">
        <v>40</v>
      </c>
      <c r="H5844" s="1">
        <v>42958</v>
      </c>
    </row>
    <row r="5845" spans="1:10" x14ac:dyDescent="0.3">
      <c r="A5845" t="s">
        <v>5976</v>
      </c>
      <c r="B5845" t="s">
        <v>38</v>
      </c>
      <c r="C5845" t="str">
        <f>_xlfn.XLOOKUP(B5845,
[1]sales_teams!$A$2:$A$100,
[1]sales_teams!$B$2:$B$100)</f>
        <v>Summer Sewald</v>
      </c>
      <c r="D5845" t="str">
        <f>_xlfn.XLOOKUP($B5845,sales_teams!$A$2:$A$36,sales_teams!C$2:C$36)</f>
        <v>West</v>
      </c>
      <c r="E5845" t="s">
        <v>15</v>
      </c>
      <c r="F5845" t="s">
        <v>33</v>
      </c>
      <c r="G5845" t="s">
        <v>46</v>
      </c>
      <c r="H5845" s="1">
        <v>42958</v>
      </c>
      <c r="I5845" s="1">
        <v>42971</v>
      </c>
      <c r="J5845">
        <v>0</v>
      </c>
    </row>
    <row r="5846" spans="1:10" x14ac:dyDescent="0.3">
      <c r="A5846" t="s">
        <v>5977</v>
      </c>
      <c r="B5846" t="s">
        <v>252</v>
      </c>
      <c r="C5846" t="str">
        <f>_xlfn.XLOOKUP(B5846,
[1]sales_teams!$A$2:$A$100,
[1]sales_teams!$B$2:$B$100)</f>
        <v>Melvin Marxen</v>
      </c>
      <c r="D5846" t="str">
        <f>_xlfn.XLOOKUP($B5846,sales_teams!$A$2:$A$36,sales_teams!C$2:C$36)</f>
        <v>Central</v>
      </c>
      <c r="E5846" t="s">
        <v>20</v>
      </c>
      <c r="F5846" t="s">
        <v>151</v>
      </c>
      <c r="G5846" t="s">
        <v>12</v>
      </c>
      <c r="H5846" s="1">
        <v>42958</v>
      </c>
      <c r="I5846" s="1">
        <v>43050</v>
      </c>
      <c r="J5846">
        <v>526</v>
      </c>
    </row>
    <row r="5847" spans="1:10" x14ac:dyDescent="0.3">
      <c r="A5847" t="s">
        <v>5978</v>
      </c>
      <c r="B5847" t="s">
        <v>252</v>
      </c>
      <c r="C5847" t="str">
        <f>_xlfn.XLOOKUP(B5847,
[1]sales_teams!$A$2:$A$100,
[1]sales_teams!$B$2:$B$100)</f>
        <v>Melvin Marxen</v>
      </c>
      <c r="D5847" t="str">
        <f>_xlfn.XLOOKUP($B5847,sales_teams!$A$2:$A$36,sales_teams!C$2:C$36)</f>
        <v>Central</v>
      </c>
      <c r="E5847" t="s">
        <v>15</v>
      </c>
      <c r="F5847" t="s">
        <v>45</v>
      </c>
      <c r="G5847" t="s">
        <v>12</v>
      </c>
      <c r="H5847" s="1">
        <v>42958</v>
      </c>
      <c r="I5847" s="1">
        <v>43049</v>
      </c>
      <c r="J5847">
        <v>4809</v>
      </c>
    </row>
    <row r="5848" spans="1:10" x14ac:dyDescent="0.3">
      <c r="A5848" t="s">
        <v>5979</v>
      </c>
      <c r="B5848" t="s">
        <v>32</v>
      </c>
      <c r="C5848" t="str">
        <f>_xlfn.XLOOKUP(B5848,
[1]sales_teams!$A$2:$A$100,
[1]sales_teams!$B$2:$B$100)</f>
        <v>Celia Rouche</v>
      </c>
      <c r="D5848" t="str">
        <f>_xlfn.XLOOKUP($B5848,sales_teams!$A$2:$A$36,sales_teams!C$2:C$36)</f>
        <v>West</v>
      </c>
      <c r="E5848" t="s">
        <v>18</v>
      </c>
      <c r="G5848" t="s">
        <v>40</v>
      </c>
      <c r="H5848" s="1">
        <v>42958</v>
      </c>
    </row>
    <row r="5849" spans="1:10" x14ac:dyDescent="0.3">
      <c r="A5849" t="s">
        <v>5980</v>
      </c>
      <c r="B5849" t="s">
        <v>32</v>
      </c>
      <c r="C5849" t="str">
        <f>_xlfn.XLOOKUP(B5849,
[1]sales_teams!$A$2:$A$100,
[1]sales_teams!$B$2:$B$100)</f>
        <v>Celia Rouche</v>
      </c>
      <c r="D5849" t="str">
        <f>_xlfn.XLOOKUP($B5849,sales_teams!$A$2:$A$36,sales_teams!C$2:C$36)</f>
        <v>West</v>
      </c>
      <c r="E5849" t="s">
        <v>10</v>
      </c>
      <c r="F5849" t="s">
        <v>100</v>
      </c>
      <c r="G5849" t="s">
        <v>12</v>
      </c>
      <c r="H5849" s="1">
        <v>42958</v>
      </c>
      <c r="I5849" s="1">
        <v>42961</v>
      </c>
      <c r="J5849">
        <v>1105</v>
      </c>
    </row>
    <row r="5850" spans="1:10" x14ac:dyDescent="0.3">
      <c r="A5850" t="s">
        <v>5981</v>
      </c>
      <c r="B5850" t="s">
        <v>116</v>
      </c>
      <c r="C5850" t="str">
        <f>_xlfn.XLOOKUP(B5850,
[1]sales_teams!$A$2:$A$100,
[1]sales_teams!$B$2:$B$100)</f>
        <v>Melvin Marxen</v>
      </c>
      <c r="D5850" t="str">
        <f>_xlfn.XLOOKUP($B5850,sales_teams!$A$2:$A$36,sales_teams!C$2:C$36)</f>
        <v>Central</v>
      </c>
      <c r="E5850" t="s">
        <v>39</v>
      </c>
      <c r="F5850" t="s">
        <v>492</v>
      </c>
      <c r="G5850" t="s">
        <v>40</v>
      </c>
      <c r="H5850" s="1">
        <v>42958</v>
      </c>
    </row>
    <row r="5851" spans="1:10" x14ac:dyDescent="0.3">
      <c r="A5851" t="s">
        <v>5982</v>
      </c>
      <c r="B5851" t="s">
        <v>51</v>
      </c>
      <c r="C5851" t="str">
        <f>_xlfn.XLOOKUP(B5851,
[1]sales_teams!$A$2:$A$100,
[1]sales_teams!$B$2:$B$100)</f>
        <v>Summer Sewald</v>
      </c>
      <c r="D5851" t="str">
        <f>_xlfn.XLOOKUP($B5851,sales_teams!$A$2:$A$36,sales_teams!C$2:C$36)</f>
        <v>West</v>
      </c>
      <c r="E5851" t="s">
        <v>20</v>
      </c>
      <c r="G5851" t="s">
        <v>40</v>
      </c>
      <c r="H5851" s="1">
        <v>42958</v>
      </c>
    </row>
    <row r="5852" spans="1:10" x14ac:dyDescent="0.3">
      <c r="A5852" t="s">
        <v>5983</v>
      </c>
      <c r="B5852" t="s">
        <v>61</v>
      </c>
      <c r="C5852" t="str">
        <f>_xlfn.XLOOKUP(B5852,
[1]sales_teams!$A$2:$A$100,
[1]sales_teams!$B$2:$B$100)</f>
        <v>Dustin Brinkmann</v>
      </c>
      <c r="D5852" t="str">
        <f>_xlfn.XLOOKUP($B5852,sales_teams!$A$2:$A$36,sales_teams!C$2:C$36)</f>
        <v>Central</v>
      </c>
      <c r="E5852" t="s">
        <v>18</v>
      </c>
      <c r="G5852" t="s">
        <v>40</v>
      </c>
      <c r="H5852" s="1">
        <v>42958</v>
      </c>
    </row>
    <row r="5853" spans="1:10" x14ac:dyDescent="0.3">
      <c r="A5853" t="s">
        <v>5984</v>
      </c>
      <c r="B5853" t="s">
        <v>61</v>
      </c>
      <c r="C5853" t="str">
        <f>_xlfn.XLOOKUP(B5853,
[1]sales_teams!$A$2:$A$100,
[1]sales_teams!$B$2:$B$100)</f>
        <v>Dustin Brinkmann</v>
      </c>
      <c r="D5853" t="str">
        <f>_xlfn.XLOOKUP($B5853,sales_teams!$A$2:$A$36,sales_teams!C$2:C$36)</f>
        <v>Central</v>
      </c>
      <c r="E5853" t="s">
        <v>18</v>
      </c>
      <c r="F5853" t="s">
        <v>42</v>
      </c>
      <c r="G5853" t="s">
        <v>46</v>
      </c>
      <c r="H5853" s="1">
        <v>42958</v>
      </c>
      <c r="I5853" s="1">
        <v>42964</v>
      </c>
      <c r="J5853">
        <v>0</v>
      </c>
    </row>
    <row r="5854" spans="1:10" x14ac:dyDescent="0.3">
      <c r="A5854" t="s">
        <v>5985</v>
      </c>
      <c r="B5854" t="s">
        <v>29</v>
      </c>
      <c r="C5854" t="str">
        <f>_xlfn.XLOOKUP(B5854,
[1]sales_teams!$A$2:$A$100,
[1]sales_teams!$B$2:$B$100)</f>
        <v>Celia Rouche</v>
      </c>
      <c r="D5854" t="str">
        <f>_xlfn.XLOOKUP($B5854,sales_teams!$A$2:$A$36,sales_teams!C$2:C$36)</f>
        <v>West</v>
      </c>
      <c r="E5854" t="s">
        <v>18</v>
      </c>
      <c r="F5854" t="s">
        <v>49</v>
      </c>
      <c r="G5854" t="s">
        <v>12</v>
      </c>
      <c r="H5854" s="1">
        <v>42958</v>
      </c>
      <c r="I5854" s="1">
        <v>42963</v>
      </c>
      <c r="J5854">
        <v>56</v>
      </c>
    </row>
    <row r="5855" spans="1:10" x14ac:dyDescent="0.3">
      <c r="A5855" t="s">
        <v>5986</v>
      </c>
      <c r="B5855" t="s">
        <v>73</v>
      </c>
      <c r="C5855" t="str">
        <f>_xlfn.XLOOKUP(B5855,
[1]sales_teams!$A$2:$A$100,
[1]sales_teams!$B$2:$B$100)</f>
        <v>Cara Losch</v>
      </c>
      <c r="D5855" t="str">
        <f>_xlfn.XLOOKUP($B5855,sales_teams!$A$2:$A$36,sales_teams!C$2:C$36)</f>
        <v>East</v>
      </c>
      <c r="E5855" t="s">
        <v>10</v>
      </c>
      <c r="F5855" t="s">
        <v>518</v>
      </c>
      <c r="G5855" t="s">
        <v>46</v>
      </c>
      <c r="H5855" s="1">
        <v>42958</v>
      </c>
      <c r="I5855" s="1">
        <v>43048</v>
      </c>
      <c r="J5855">
        <v>0</v>
      </c>
    </row>
    <row r="5856" spans="1:10" x14ac:dyDescent="0.3">
      <c r="A5856" t="s">
        <v>5987</v>
      </c>
      <c r="B5856" t="s">
        <v>23</v>
      </c>
      <c r="C5856" t="str">
        <f>_xlfn.XLOOKUP(B5856,
[1]sales_teams!$A$2:$A$100,
[1]sales_teams!$B$2:$B$100)</f>
        <v>Summer Sewald</v>
      </c>
      <c r="D5856" t="str">
        <f>_xlfn.XLOOKUP($B5856,sales_teams!$A$2:$A$36,sales_teams!C$2:C$36)</f>
        <v>West</v>
      </c>
      <c r="E5856" t="s">
        <v>15</v>
      </c>
      <c r="F5856" t="s">
        <v>24</v>
      </c>
      <c r="G5856" t="s">
        <v>46</v>
      </c>
      <c r="H5856" s="1">
        <v>42958</v>
      </c>
      <c r="I5856" s="1">
        <v>43068</v>
      </c>
      <c r="J5856">
        <v>0</v>
      </c>
    </row>
    <row r="5857" spans="1:10" x14ac:dyDescent="0.3">
      <c r="A5857" t="s">
        <v>5988</v>
      </c>
      <c r="B5857" t="s">
        <v>118</v>
      </c>
      <c r="C5857" t="str">
        <f>_xlfn.XLOOKUP(B5857,
[1]sales_teams!$A$2:$A$100,
[1]sales_teams!$B$2:$B$100)</f>
        <v>Rocco Neubert</v>
      </c>
      <c r="D5857" t="str">
        <f>_xlfn.XLOOKUP($B5857,sales_teams!$A$2:$A$36,sales_teams!C$2:C$36)</f>
        <v>East</v>
      </c>
      <c r="E5857" t="s">
        <v>15</v>
      </c>
      <c r="G5857" t="s">
        <v>40</v>
      </c>
      <c r="H5857" s="1">
        <v>42959</v>
      </c>
    </row>
    <row r="5858" spans="1:10" x14ac:dyDescent="0.3">
      <c r="A5858" t="s">
        <v>5989</v>
      </c>
      <c r="B5858" t="s">
        <v>118</v>
      </c>
      <c r="C5858" t="str">
        <f>_xlfn.XLOOKUP(B5858,
[1]sales_teams!$A$2:$A$100,
[1]sales_teams!$B$2:$B$100)</f>
        <v>Rocco Neubert</v>
      </c>
      <c r="D5858" t="str">
        <f>_xlfn.XLOOKUP($B5858,sales_teams!$A$2:$A$36,sales_teams!C$2:C$36)</f>
        <v>East</v>
      </c>
      <c r="E5858" t="s">
        <v>20</v>
      </c>
      <c r="F5858" t="s">
        <v>300</v>
      </c>
      <c r="G5858" t="s">
        <v>46</v>
      </c>
      <c r="H5858" s="1">
        <v>42959</v>
      </c>
      <c r="I5858" s="1">
        <v>42971</v>
      </c>
      <c r="J5858">
        <v>0</v>
      </c>
    </row>
    <row r="5859" spans="1:10" x14ac:dyDescent="0.3">
      <c r="A5859" t="s">
        <v>5990</v>
      </c>
      <c r="B5859" t="s">
        <v>118</v>
      </c>
      <c r="C5859" t="str">
        <f>_xlfn.XLOOKUP(B5859,
[1]sales_teams!$A$2:$A$100,
[1]sales_teams!$B$2:$B$100)</f>
        <v>Rocco Neubert</v>
      </c>
      <c r="D5859" t="str">
        <f>_xlfn.XLOOKUP($B5859,sales_teams!$A$2:$A$36,sales_teams!C$2:C$36)</f>
        <v>East</v>
      </c>
      <c r="E5859" t="s">
        <v>15</v>
      </c>
      <c r="F5859" t="s">
        <v>81</v>
      </c>
      <c r="G5859" t="s">
        <v>12</v>
      </c>
      <c r="H5859" s="1">
        <v>42959</v>
      </c>
      <c r="I5859" s="1">
        <v>43049</v>
      </c>
      <c r="J5859">
        <v>4161</v>
      </c>
    </row>
    <row r="5860" spans="1:10" x14ac:dyDescent="0.3">
      <c r="A5860" t="s">
        <v>5991</v>
      </c>
      <c r="B5860" t="s">
        <v>202</v>
      </c>
      <c r="C5860" t="str">
        <f>_xlfn.XLOOKUP(B5860,
[1]sales_teams!$A$2:$A$100,
[1]sales_teams!$B$2:$B$100)</f>
        <v>Dustin Brinkmann</v>
      </c>
      <c r="D5860" t="str">
        <f>_xlfn.XLOOKUP($B5860,sales_teams!$A$2:$A$36,sales_teams!C$2:C$36)</f>
        <v>Central</v>
      </c>
      <c r="E5860" t="s">
        <v>18</v>
      </c>
      <c r="G5860" t="s">
        <v>40</v>
      </c>
      <c r="H5860" s="1">
        <v>42959</v>
      </c>
    </row>
    <row r="5861" spans="1:10" x14ac:dyDescent="0.3">
      <c r="A5861" t="s">
        <v>5992</v>
      </c>
      <c r="B5861" t="s">
        <v>202</v>
      </c>
      <c r="C5861" t="str">
        <f>_xlfn.XLOOKUP(B5861,
[1]sales_teams!$A$2:$A$100,
[1]sales_teams!$B$2:$B$100)</f>
        <v>Dustin Brinkmann</v>
      </c>
      <c r="D5861" t="str">
        <f>_xlfn.XLOOKUP($B5861,sales_teams!$A$2:$A$36,sales_teams!C$2:C$36)</f>
        <v>Central</v>
      </c>
      <c r="E5861" t="s">
        <v>39</v>
      </c>
      <c r="G5861" t="s">
        <v>40</v>
      </c>
      <c r="H5861" s="1">
        <v>42959</v>
      </c>
    </row>
    <row r="5862" spans="1:10" x14ac:dyDescent="0.3">
      <c r="A5862" t="s">
        <v>5993</v>
      </c>
      <c r="B5862" t="s">
        <v>202</v>
      </c>
      <c r="C5862" t="str">
        <f>_xlfn.XLOOKUP(B5862,
[1]sales_teams!$A$2:$A$100,
[1]sales_teams!$B$2:$B$100)</f>
        <v>Dustin Brinkmann</v>
      </c>
      <c r="D5862" t="str">
        <f>_xlfn.XLOOKUP($B5862,sales_teams!$A$2:$A$36,sales_teams!C$2:C$36)</f>
        <v>Central</v>
      </c>
      <c r="E5862" t="s">
        <v>18</v>
      </c>
      <c r="F5862" t="s">
        <v>21</v>
      </c>
      <c r="G5862" t="s">
        <v>12</v>
      </c>
      <c r="H5862" s="1">
        <v>42959</v>
      </c>
      <c r="I5862" s="1">
        <v>43062</v>
      </c>
      <c r="J5862">
        <v>65</v>
      </c>
    </row>
    <row r="5863" spans="1:10" x14ac:dyDescent="0.3">
      <c r="A5863" t="s">
        <v>5994</v>
      </c>
      <c r="B5863" t="s">
        <v>164</v>
      </c>
      <c r="C5863" t="str">
        <f>_xlfn.XLOOKUP(B5863,
[1]sales_teams!$A$2:$A$100,
[1]sales_teams!$B$2:$B$100)</f>
        <v>Cara Losch</v>
      </c>
      <c r="D5863" t="str">
        <f>_xlfn.XLOOKUP($B5863,sales_teams!$A$2:$A$36,sales_teams!C$2:C$36)</f>
        <v>East</v>
      </c>
      <c r="E5863" t="s">
        <v>15</v>
      </c>
      <c r="F5863" t="s">
        <v>189</v>
      </c>
      <c r="G5863" t="s">
        <v>46</v>
      </c>
      <c r="H5863" s="1">
        <v>42959</v>
      </c>
      <c r="I5863" s="1">
        <v>42960</v>
      </c>
      <c r="J5863">
        <v>0</v>
      </c>
    </row>
    <row r="5864" spans="1:10" x14ac:dyDescent="0.3">
      <c r="A5864" t="s">
        <v>5995</v>
      </c>
      <c r="B5864" t="s">
        <v>164</v>
      </c>
      <c r="C5864" t="str">
        <f>_xlfn.XLOOKUP(B5864,
[1]sales_teams!$A$2:$A$100,
[1]sales_teams!$B$2:$B$100)</f>
        <v>Cara Losch</v>
      </c>
      <c r="D5864" t="str">
        <f>_xlfn.XLOOKUP($B5864,sales_teams!$A$2:$A$36,sales_teams!C$2:C$36)</f>
        <v>East</v>
      </c>
      <c r="E5864" t="s">
        <v>20</v>
      </c>
      <c r="F5864" t="s">
        <v>300</v>
      </c>
      <c r="G5864" t="s">
        <v>12</v>
      </c>
      <c r="H5864" s="1">
        <v>42959</v>
      </c>
      <c r="I5864" s="1">
        <v>42981</v>
      </c>
      <c r="J5864">
        <v>524</v>
      </c>
    </row>
    <row r="5865" spans="1:10" x14ac:dyDescent="0.3">
      <c r="A5865" t="s">
        <v>5996</v>
      </c>
      <c r="B5865" t="s">
        <v>14</v>
      </c>
      <c r="C5865" t="str">
        <f>_xlfn.XLOOKUP(B5865,
[1]sales_teams!$A$2:$A$100,
[1]sales_teams!$B$2:$B$100)</f>
        <v>Melvin Marxen</v>
      </c>
      <c r="D5865" t="str">
        <f>_xlfn.XLOOKUP($B5865,sales_teams!$A$2:$A$36,sales_teams!C$2:C$36)</f>
        <v>Central</v>
      </c>
      <c r="E5865" t="s">
        <v>18</v>
      </c>
      <c r="F5865" t="s">
        <v>55</v>
      </c>
      <c r="G5865" t="s">
        <v>40</v>
      </c>
      <c r="H5865" s="1">
        <v>42959</v>
      </c>
    </row>
    <row r="5866" spans="1:10" x14ac:dyDescent="0.3">
      <c r="A5866" t="s">
        <v>5997</v>
      </c>
      <c r="B5866" t="s">
        <v>14</v>
      </c>
      <c r="C5866" t="str">
        <f>_xlfn.XLOOKUP(B5866,
[1]sales_teams!$A$2:$A$100,
[1]sales_teams!$B$2:$B$100)</f>
        <v>Melvin Marxen</v>
      </c>
      <c r="D5866" t="str">
        <f>_xlfn.XLOOKUP($B5866,sales_teams!$A$2:$A$36,sales_teams!C$2:C$36)</f>
        <v>Central</v>
      </c>
      <c r="E5866" t="s">
        <v>15</v>
      </c>
      <c r="F5866" t="s">
        <v>27</v>
      </c>
      <c r="G5866" t="s">
        <v>46</v>
      </c>
      <c r="H5866" s="1">
        <v>42959</v>
      </c>
      <c r="I5866" s="1">
        <v>43040</v>
      </c>
      <c r="J5866">
        <v>0</v>
      </c>
    </row>
    <row r="5867" spans="1:10" x14ac:dyDescent="0.3">
      <c r="A5867" t="s">
        <v>5998</v>
      </c>
      <c r="B5867" t="s">
        <v>14</v>
      </c>
      <c r="C5867" t="str">
        <f>_xlfn.XLOOKUP(B5867,
[1]sales_teams!$A$2:$A$100,
[1]sales_teams!$B$2:$B$100)</f>
        <v>Melvin Marxen</v>
      </c>
      <c r="D5867" t="str">
        <f>_xlfn.XLOOKUP($B5867,sales_teams!$A$2:$A$36,sales_teams!C$2:C$36)</f>
        <v>Central</v>
      </c>
      <c r="E5867" t="s">
        <v>20</v>
      </c>
      <c r="F5867" t="s">
        <v>318</v>
      </c>
      <c r="G5867" t="s">
        <v>12</v>
      </c>
      <c r="H5867" s="1">
        <v>42959</v>
      </c>
      <c r="I5867" s="1">
        <v>43059</v>
      </c>
      <c r="J5867">
        <v>481</v>
      </c>
    </row>
    <row r="5868" spans="1:10" x14ac:dyDescent="0.3">
      <c r="A5868" t="s">
        <v>5999</v>
      </c>
      <c r="B5868" t="s">
        <v>14</v>
      </c>
      <c r="C5868" t="str">
        <f>_xlfn.XLOOKUP(B5868,
[1]sales_teams!$A$2:$A$100,
[1]sales_teams!$B$2:$B$100)</f>
        <v>Melvin Marxen</v>
      </c>
      <c r="D5868" t="str">
        <f>_xlfn.XLOOKUP($B5868,sales_teams!$A$2:$A$36,sales_teams!C$2:C$36)</f>
        <v>Central</v>
      </c>
      <c r="E5868" t="s">
        <v>20</v>
      </c>
      <c r="F5868" t="s">
        <v>62</v>
      </c>
      <c r="G5868" t="s">
        <v>12</v>
      </c>
      <c r="H5868" s="1">
        <v>42959</v>
      </c>
      <c r="I5868" s="1">
        <v>43050</v>
      </c>
      <c r="J5868">
        <v>520</v>
      </c>
    </row>
    <row r="5869" spans="1:10" x14ac:dyDescent="0.3">
      <c r="A5869" t="s">
        <v>6000</v>
      </c>
      <c r="B5869" t="s">
        <v>14</v>
      </c>
      <c r="C5869" t="str">
        <f>_xlfn.XLOOKUP(B5869,
[1]sales_teams!$A$2:$A$100,
[1]sales_teams!$B$2:$B$100)</f>
        <v>Melvin Marxen</v>
      </c>
      <c r="D5869" t="str">
        <f>_xlfn.XLOOKUP($B5869,sales_teams!$A$2:$A$36,sales_teams!C$2:C$36)</f>
        <v>Central</v>
      </c>
      <c r="E5869" t="s">
        <v>15</v>
      </c>
      <c r="F5869" t="s">
        <v>21</v>
      </c>
      <c r="G5869" t="s">
        <v>12</v>
      </c>
      <c r="H5869" s="1">
        <v>42959</v>
      </c>
      <c r="I5869" s="1">
        <v>43043</v>
      </c>
      <c r="J5869">
        <v>4582</v>
      </c>
    </row>
    <row r="5870" spans="1:10" x14ac:dyDescent="0.3">
      <c r="A5870" t="s">
        <v>6001</v>
      </c>
      <c r="B5870" t="s">
        <v>67</v>
      </c>
      <c r="C5870" t="str">
        <f>_xlfn.XLOOKUP(B5870,
[1]sales_teams!$A$2:$A$100,
[1]sales_teams!$B$2:$B$100)</f>
        <v>Celia Rouche</v>
      </c>
      <c r="D5870" t="str">
        <f>_xlfn.XLOOKUP($B5870,sales_teams!$A$2:$A$36,sales_teams!C$2:C$36)</f>
        <v>West</v>
      </c>
      <c r="E5870" t="s">
        <v>18</v>
      </c>
      <c r="F5870" t="s">
        <v>70</v>
      </c>
      <c r="G5870" t="s">
        <v>12</v>
      </c>
      <c r="H5870" s="1">
        <v>42959</v>
      </c>
      <c r="I5870" s="1">
        <v>42968</v>
      </c>
      <c r="J5870">
        <v>53</v>
      </c>
    </row>
    <row r="5871" spans="1:10" x14ac:dyDescent="0.3">
      <c r="A5871" t="s">
        <v>6002</v>
      </c>
      <c r="B5871" t="s">
        <v>38</v>
      </c>
      <c r="C5871" t="str">
        <f>_xlfn.XLOOKUP(B5871,
[1]sales_teams!$A$2:$A$100,
[1]sales_teams!$B$2:$B$100)</f>
        <v>Summer Sewald</v>
      </c>
      <c r="D5871" t="str">
        <f>_xlfn.XLOOKUP($B5871,sales_teams!$A$2:$A$36,sales_teams!C$2:C$36)</f>
        <v>West</v>
      </c>
      <c r="E5871" t="s">
        <v>20</v>
      </c>
      <c r="G5871" t="s">
        <v>40</v>
      </c>
      <c r="H5871" s="1">
        <v>42959</v>
      </c>
    </row>
    <row r="5872" spans="1:10" x14ac:dyDescent="0.3">
      <c r="A5872" t="s">
        <v>6003</v>
      </c>
      <c r="B5872" t="s">
        <v>95</v>
      </c>
      <c r="C5872" t="str">
        <f>_xlfn.XLOOKUP(B5872,
[1]sales_teams!$A$2:$A$100,
[1]sales_teams!$B$2:$B$100)</f>
        <v>Summer Sewald</v>
      </c>
      <c r="D5872" t="str">
        <f>_xlfn.XLOOKUP($B5872,sales_teams!$A$2:$A$36,sales_teams!C$2:C$36)</f>
        <v>West</v>
      </c>
      <c r="E5872" t="s">
        <v>10</v>
      </c>
      <c r="F5872" t="s">
        <v>86</v>
      </c>
      <c r="G5872" t="s">
        <v>46</v>
      </c>
      <c r="H5872" s="1">
        <v>42959</v>
      </c>
      <c r="I5872" s="1">
        <v>43072</v>
      </c>
      <c r="J5872">
        <v>0</v>
      </c>
    </row>
    <row r="5873" spans="1:10" x14ac:dyDescent="0.3">
      <c r="A5873" t="s">
        <v>6004</v>
      </c>
      <c r="B5873" t="s">
        <v>133</v>
      </c>
      <c r="C5873" t="str">
        <f>_xlfn.XLOOKUP(B5873,
[1]sales_teams!$A$2:$A$100,
[1]sales_teams!$B$2:$B$100)</f>
        <v>Dustin Brinkmann</v>
      </c>
      <c r="D5873" t="str">
        <f>_xlfn.XLOOKUP($B5873,sales_teams!$A$2:$A$36,sales_teams!C$2:C$36)</f>
        <v>Central</v>
      </c>
      <c r="E5873" t="s">
        <v>20</v>
      </c>
      <c r="F5873" t="s">
        <v>111</v>
      </c>
      <c r="G5873" t="s">
        <v>46</v>
      </c>
      <c r="H5873" s="1">
        <v>42959</v>
      </c>
      <c r="I5873" s="1">
        <v>42990</v>
      </c>
      <c r="J5873">
        <v>0</v>
      </c>
    </row>
    <row r="5874" spans="1:10" x14ac:dyDescent="0.3">
      <c r="A5874" t="s">
        <v>6005</v>
      </c>
      <c r="B5874" t="s">
        <v>116</v>
      </c>
      <c r="C5874" t="str">
        <f>_xlfn.XLOOKUP(B5874,
[1]sales_teams!$A$2:$A$100,
[1]sales_teams!$B$2:$B$100)</f>
        <v>Melvin Marxen</v>
      </c>
      <c r="D5874" t="str">
        <f>_xlfn.XLOOKUP($B5874,sales_teams!$A$2:$A$36,sales_teams!C$2:C$36)</f>
        <v>Central</v>
      </c>
      <c r="E5874" t="s">
        <v>20</v>
      </c>
      <c r="F5874" t="s">
        <v>745</v>
      </c>
      <c r="G5874" t="s">
        <v>40</v>
      </c>
      <c r="H5874" s="1">
        <v>42959</v>
      </c>
    </row>
    <row r="5875" spans="1:10" x14ac:dyDescent="0.3">
      <c r="A5875" t="s">
        <v>6006</v>
      </c>
      <c r="B5875" t="s">
        <v>51</v>
      </c>
      <c r="C5875" t="str">
        <f>_xlfn.XLOOKUP(B5875,
[1]sales_teams!$A$2:$A$100,
[1]sales_teams!$B$2:$B$100)</f>
        <v>Summer Sewald</v>
      </c>
      <c r="D5875" t="str">
        <f>_xlfn.XLOOKUP($B5875,sales_teams!$A$2:$A$36,sales_teams!C$2:C$36)</f>
        <v>West</v>
      </c>
      <c r="E5875" t="s">
        <v>10</v>
      </c>
      <c r="G5875" t="s">
        <v>40</v>
      </c>
      <c r="H5875" s="1">
        <v>42959</v>
      </c>
    </row>
    <row r="5876" spans="1:10" x14ac:dyDescent="0.3">
      <c r="A5876" t="s">
        <v>6007</v>
      </c>
      <c r="B5876" t="s">
        <v>51</v>
      </c>
      <c r="C5876" t="str">
        <f>_xlfn.XLOOKUP(B5876,
[1]sales_teams!$A$2:$A$100,
[1]sales_teams!$B$2:$B$100)</f>
        <v>Summer Sewald</v>
      </c>
      <c r="D5876" t="str">
        <f>_xlfn.XLOOKUP($B5876,sales_teams!$A$2:$A$36,sales_teams!C$2:C$36)</f>
        <v>West</v>
      </c>
      <c r="E5876" t="s">
        <v>20</v>
      </c>
      <c r="F5876" t="s">
        <v>315</v>
      </c>
      <c r="G5876" t="s">
        <v>12</v>
      </c>
      <c r="H5876" s="1">
        <v>42959</v>
      </c>
      <c r="I5876" s="1">
        <v>43000</v>
      </c>
      <c r="J5876">
        <v>559</v>
      </c>
    </row>
    <row r="5877" spans="1:10" x14ac:dyDescent="0.3">
      <c r="A5877" t="s">
        <v>6008</v>
      </c>
      <c r="B5877" t="s">
        <v>9</v>
      </c>
      <c r="C5877" t="str">
        <f>_xlfn.XLOOKUP(B5877,
[1]sales_teams!$A$2:$A$100,
[1]sales_teams!$B$2:$B$100)</f>
        <v>Dustin Brinkmann</v>
      </c>
      <c r="D5877" t="str">
        <f>_xlfn.XLOOKUP($B5877,sales_teams!$A$2:$A$36,sales_teams!C$2:C$36)</f>
        <v>Central</v>
      </c>
      <c r="E5877" t="s">
        <v>18</v>
      </c>
      <c r="F5877" t="s">
        <v>79</v>
      </c>
      <c r="G5877" t="s">
        <v>40</v>
      </c>
      <c r="H5877" s="1">
        <v>42959</v>
      </c>
    </row>
    <row r="5878" spans="1:10" x14ac:dyDescent="0.3">
      <c r="A5878" t="s">
        <v>6009</v>
      </c>
      <c r="B5878" t="s">
        <v>9</v>
      </c>
      <c r="C5878" t="str">
        <f>_xlfn.XLOOKUP(B5878,
[1]sales_teams!$A$2:$A$100,
[1]sales_teams!$B$2:$B$100)</f>
        <v>Dustin Brinkmann</v>
      </c>
      <c r="D5878" t="str">
        <f>_xlfn.XLOOKUP($B5878,sales_teams!$A$2:$A$36,sales_teams!C$2:C$36)</f>
        <v>Central</v>
      </c>
      <c r="E5878" t="s">
        <v>18</v>
      </c>
      <c r="G5878" t="s">
        <v>40</v>
      </c>
      <c r="H5878" s="1">
        <v>42959</v>
      </c>
    </row>
    <row r="5879" spans="1:10" x14ac:dyDescent="0.3">
      <c r="A5879" t="s">
        <v>6010</v>
      </c>
      <c r="B5879" t="s">
        <v>9</v>
      </c>
      <c r="C5879" t="str">
        <f>_xlfn.XLOOKUP(B5879,
[1]sales_teams!$A$2:$A$100,
[1]sales_teams!$B$2:$B$100)</f>
        <v>Dustin Brinkmann</v>
      </c>
      <c r="D5879" t="str">
        <f>_xlfn.XLOOKUP($B5879,sales_teams!$A$2:$A$36,sales_teams!C$2:C$36)</f>
        <v>Central</v>
      </c>
      <c r="E5879" t="s">
        <v>18</v>
      </c>
      <c r="G5879" t="s">
        <v>40</v>
      </c>
      <c r="H5879" s="1">
        <v>42959</v>
      </c>
    </row>
    <row r="5880" spans="1:10" x14ac:dyDescent="0.3">
      <c r="A5880" t="s">
        <v>6011</v>
      </c>
      <c r="B5880" t="s">
        <v>9</v>
      </c>
      <c r="C5880" t="str">
        <f>_xlfn.XLOOKUP(B5880,
[1]sales_teams!$A$2:$A$100,
[1]sales_teams!$B$2:$B$100)</f>
        <v>Dustin Brinkmann</v>
      </c>
      <c r="D5880" t="str">
        <f>_xlfn.XLOOKUP($B5880,sales_teams!$A$2:$A$36,sales_teams!C$2:C$36)</f>
        <v>Central</v>
      </c>
      <c r="E5880" t="s">
        <v>39</v>
      </c>
      <c r="F5880" t="s">
        <v>16</v>
      </c>
      <c r="G5880" t="s">
        <v>46</v>
      </c>
      <c r="H5880" s="1">
        <v>42959</v>
      </c>
      <c r="I5880" s="1">
        <v>42964</v>
      </c>
      <c r="J5880">
        <v>0</v>
      </c>
    </row>
    <row r="5881" spans="1:10" x14ac:dyDescent="0.3">
      <c r="A5881" t="s">
        <v>6012</v>
      </c>
      <c r="B5881" t="s">
        <v>61</v>
      </c>
      <c r="C5881" t="str">
        <f>_xlfn.XLOOKUP(B5881,
[1]sales_teams!$A$2:$A$100,
[1]sales_teams!$B$2:$B$100)</f>
        <v>Dustin Brinkmann</v>
      </c>
      <c r="D5881" t="str">
        <f>_xlfn.XLOOKUP($B5881,sales_teams!$A$2:$A$36,sales_teams!C$2:C$36)</f>
        <v>Central</v>
      </c>
      <c r="E5881" t="s">
        <v>18</v>
      </c>
      <c r="F5881" t="s">
        <v>237</v>
      </c>
      <c r="G5881" t="s">
        <v>40</v>
      </c>
      <c r="H5881" s="1">
        <v>42959</v>
      </c>
    </row>
    <row r="5882" spans="1:10" x14ac:dyDescent="0.3">
      <c r="A5882" t="s">
        <v>6013</v>
      </c>
      <c r="B5882" t="s">
        <v>61</v>
      </c>
      <c r="C5882" t="str">
        <f>_xlfn.XLOOKUP(B5882,
[1]sales_teams!$A$2:$A$100,
[1]sales_teams!$B$2:$B$100)</f>
        <v>Dustin Brinkmann</v>
      </c>
      <c r="D5882" t="str">
        <f>_xlfn.XLOOKUP($B5882,sales_teams!$A$2:$A$36,sales_teams!C$2:C$36)</f>
        <v>Central</v>
      </c>
      <c r="E5882" t="s">
        <v>39</v>
      </c>
      <c r="F5882" t="s">
        <v>62</v>
      </c>
      <c r="G5882" t="s">
        <v>12</v>
      </c>
      <c r="H5882" s="1">
        <v>42959</v>
      </c>
      <c r="I5882" s="1">
        <v>43068</v>
      </c>
      <c r="J5882">
        <v>3165</v>
      </c>
    </row>
    <row r="5883" spans="1:10" x14ac:dyDescent="0.3">
      <c r="A5883" t="s">
        <v>6014</v>
      </c>
      <c r="B5883" t="s">
        <v>29</v>
      </c>
      <c r="C5883" t="str">
        <f>_xlfn.XLOOKUP(B5883,
[1]sales_teams!$A$2:$A$100,
[1]sales_teams!$B$2:$B$100)</f>
        <v>Celia Rouche</v>
      </c>
      <c r="D5883" t="str">
        <f>_xlfn.XLOOKUP($B5883,sales_teams!$A$2:$A$36,sales_teams!C$2:C$36)</f>
        <v>West</v>
      </c>
      <c r="E5883" t="s">
        <v>20</v>
      </c>
      <c r="G5883" t="s">
        <v>40</v>
      </c>
      <c r="H5883" s="1">
        <v>42959</v>
      </c>
    </row>
    <row r="5884" spans="1:10" x14ac:dyDescent="0.3">
      <c r="A5884" t="s">
        <v>6015</v>
      </c>
      <c r="B5884" t="s">
        <v>29</v>
      </c>
      <c r="C5884" t="str">
        <f>_xlfn.XLOOKUP(B5884,
[1]sales_teams!$A$2:$A$100,
[1]sales_teams!$B$2:$B$100)</f>
        <v>Celia Rouche</v>
      </c>
      <c r="D5884" t="str">
        <f>_xlfn.XLOOKUP($B5884,sales_teams!$A$2:$A$36,sales_teams!C$2:C$36)</f>
        <v>West</v>
      </c>
      <c r="E5884" t="s">
        <v>20</v>
      </c>
      <c r="G5884" t="s">
        <v>40</v>
      </c>
      <c r="H5884" s="1">
        <v>42959</v>
      </c>
    </row>
    <row r="5885" spans="1:10" x14ac:dyDescent="0.3">
      <c r="A5885" t="s">
        <v>6016</v>
      </c>
      <c r="B5885" t="s">
        <v>29</v>
      </c>
      <c r="C5885" t="str">
        <f>_xlfn.XLOOKUP(B5885,
[1]sales_teams!$A$2:$A$100,
[1]sales_teams!$B$2:$B$100)</f>
        <v>Celia Rouche</v>
      </c>
      <c r="D5885" t="str">
        <f>_xlfn.XLOOKUP($B5885,sales_teams!$A$2:$A$36,sales_teams!C$2:C$36)</f>
        <v>West</v>
      </c>
      <c r="E5885" t="s">
        <v>48</v>
      </c>
      <c r="G5885" t="s">
        <v>40</v>
      </c>
      <c r="H5885" s="1">
        <v>42959</v>
      </c>
    </row>
    <row r="5886" spans="1:10" x14ac:dyDescent="0.3">
      <c r="A5886" t="s">
        <v>6017</v>
      </c>
      <c r="B5886" t="s">
        <v>29</v>
      </c>
      <c r="C5886" t="str">
        <f>_xlfn.XLOOKUP(B5886,
[1]sales_teams!$A$2:$A$100,
[1]sales_teams!$B$2:$B$100)</f>
        <v>Celia Rouche</v>
      </c>
      <c r="D5886" t="str">
        <f>_xlfn.XLOOKUP($B5886,sales_teams!$A$2:$A$36,sales_teams!C$2:C$36)</f>
        <v>West</v>
      </c>
      <c r="E5886" t="s">
        <v>15</v>
      </c>
      <c r="F5886" t="s">
        <v>11</v>
      </c>
      <c r="G5886" t="s">
        <v>40</v>
      </c>
      <c r="H5886" s="1">
        <v>42959</v>
      </c>
    </row>
    <row r="5887" spans="1:10" x14ac:dyDescent="0.3">
      <c r="A5887" t="s">
        <v>6018</v>
      </c>
      <c r="B5887" t="s">
        <v>29</v>
      </c>
      <c r="C5887" t="str">
        <f>_xlfn.XLOOKUP(B5887,
[1]sales_teams!$A$2:$A$100,
[1]sales_teams!$B$2:$B$100)</f>
        <v>Celia Rouche</v>
      </c>
      <c r="D5887" t="str">
        <f>_xlfn.XLOOKUP($B5887,sales_teams!$A$2:$A$36,sales_teams!C$2:C$36)</f>
        <v>West</v>
      </c>
      <c r="E5887" t="s">
        <v>39</v>
      </c>
      <c r="F5887" t="s">
        <v>313</v>
      </c>
      <c r="G5887" t="s">
        <v>12</v>
      </c>
      <c r="H5887" s="1">
        <v>42959</v>
      </c>
      <c r="I5887" s="1">
        <v>43053</v>
      </c>
      <c r="J5887">
        <v>3779</v>
      </c>
    </row>
    <row r="5888" spans="1:10" x14ac:dyDescent="0.3">
      <c r="A5888" t="s">
        <v>6019</v>
      </c>
      <c r="B5888" t="s">
        <v>73</v>
      </c>
      <c r="C5888" t="str">
        <f>_xlfn.XLOOKUP(B5888,
[1]sales_teams!$A$2:$A$100,
[1]sales_teams!$B$2:$B$100)</f>
        <v>Cara Losch</v>
      </c>
      <c r="D5888" t="str">
        <f>_xlfn.XLOOKUP($B5888,sales_teams!$A$2:$A$36,sales_teams!C$2:C$36)</f>
        <v>East</v>
      </c>
      <c r="E5888" t="s">
        <v>20</v>
      </c>
      <c r="G5888" t="s">
        <v>40</v>
      </c>
      <c r="H5888" s="1">
        <v>42959</v>
      </c>
    </row>
    <row r="5889" spans="1:10" x14ac:dyDescent="0.3">
      <c r="A5889" t="s">
        <v>6020</v>
      </c>
      <c r="B5889" t="s">
        <v>73</v>
      </c>
      <c r="C5889" t="str">
        <f>_xlfn.XLOOKUP(B5889,
[1]sales_teams!$A$2:$A$100,
[1]sales_teams!$B$2:$B$100)</f>
        <v>Cara Losch</v>
      </c>
      <c r="D5889" t="str">
        <f>_xlfn.XLOOKUP($B5889,sales_teams!$A$2:$A$36,sales_teams!C$2:C$36)</f>
        <v>East</v>
      </c>
      <c r="E5889" t="s">
        <v>18</v>
      </c>
      <c r="F5889" t="s">
        <v>209</v>
      </c>
      <c r="G5889" t="s">
        <v>12</v>
      </c>
      <c r="H5889" s="1">
        <v>42959</v>
      </c>
      <c r="I5889" s="1">
        <v>43051</v>
      </c>
      <c r="J5889">
        <v>48</v>
      </c>
    </row>
    <row r="5890" spans="1:10" x14ac:dyDescent="0.3">
      <c r="A5890" t="s">
        <v>6021</v>
      </c>
      <c r="B5890" t="s">
        <v>26</v>
      </c>
      <c r="C5890" t="str">
        <f>_xlfn.XLOOKUP(B5890,
[1]sales_teams!$A$2:$A$100,
[1]sales_teams!$B$2:$B$100)</f>
        <v>Dustin Brinkmann</v>
      </c>
      <c r="D5890" t="str">
        <f>_xlfn.XLOOKUP($B5890,sales_teams!$A$2:$A$36,sales_teams!C$2:C$36)</f>
        <v>Central</v>
      </c>
      <c r="E5890" t="s">
        <v>18</v>
      </c>
      <c r="F5890" t="s">
        <v>492</v>
      </c>
      <c r="G5890" t="s">
        <v>12</v>
      </c>
      <c r="H5890" s="1">
        <v>42960</v>
      </c>
      <c r="I5890" s="1">
        <v>43041</v>
      </c>
      <c r="J5890">
        <v>50</v>
      </c>
    </row>
    <row r="5891" spans="1:10" x14ac:dyDescent="0.3">
      <c r="A5891" t="s">
        <v>6022</v>
      </c>
      <c r="B5891" t="s">
        <v>139</v>
      </c>
      <c r="C5891" t="str">
        <f>_xlfn.XLOOKUP(B5891,
[1]sales_teams!$A$2:$A$100,
[1]sales_teams!$B$2:$B$100)</f>
        <v>Rocco Neubert</v>
      </c>
      <c r="D5891" t="str">
        <f>_xlfn.XLOOKUP($B5891,sales_teams!$A$2:$A$36,sales_teams!C$2:C$36)</f>
        <v>East</v>
      </c>
      <c r="E5891" t="s">
        <v>18</v>
      </c>
      <c r="F5891" t="s">
        <v>189</v>
      </c>
      <c r="G5891" t="s">
        <v>46</v>
      </c>
      <c r="H5891" s="1">
        <v>42960</v>
      </c>
      <c r="I5891" s="1">
        <v>43061</v>
      </c>
      <c r="J5891">
        <v>0</v>
      </c>
    </row>
    <row r="5892" spans="1:10" x14ac:dyDescent="0.3">
      <c r="A5892" t="s">
        <v>6023</v>
      </c>
      <c r="B5892" t="s">
        <v>118</v>
      </c>
      <c r="C5892" t="str">
        <f>_xlfn.XLOOKUP(B5892,
[1]sales_teams!$A$2:$A$100,
[1]sales_teams!$B$2:$B$100)</f>
        <v>Rocco Neubert</v>
      </c>
      <c r="D5892" t="str">
        <f>_xlfn.XLOOKUP($B5892,sales_teams!$A$2:$A$36,sales_teams!C$2:C$36)</f>
        <v>East</v>
      </c>
      <c r="E5892" t="s">
        <v>39</v>
      </c>
      <c r="F5892" t="s">
        <v>65</v>
      </c>
      <c r="G5892" t="s">
        <v>46</v>
      </c>
      <c r="H5892" s="1">
        <v>42960</v>
      </c>
      <c r="I5892" s="1">
        <v>43063</v>
      </c>
      <c r="J5892">
        <v>0</v>
      </c>
    </row>
    <row r="5893" spans="1:10" x14ac:dyDescent="0.3">
      <c r="A5893" t="s">
        <v>6024</v>
      </c>
      <c r="B5893" t="s">
        <v>164</v>
      </c>
      <c r="C5893" t="str">
        <f>_xlfn.XLOOKUP(B5893,
[1]sales_teams!$A$2:$A$100,
[1]sales_teams!$B$2:$B$100)</f>
        <v>Cara Losch</v>
      </c>
      <c r="D5893" t="str">
        <f>_xlfn.XLOOKUP($B5893,sales_teams!$A$2:$A$36,sales_teams!C$2:C$36)</f>
        <v>East</v>
      </c>
      <c r="E5893" t="s">
        <v>39</v>
      </c>
      <c r="G5893" t="s">
        <v>40</v>
      </c>
      <c r="H5893" s="1">
        <v>42960</v>
      </c>
    </row>
    <row r="5894" spans="1:10" x14ac:dyDescent="0.3">
      <c r="A5894" t="s">
        <v>6025</v>
      </c>
      <c r="B5894" t="s">
        <v>164</v>
      </c>
      <c r="C5894" t="str">
        <f>_xlfn.XLOOKUP(B5894,
[1]sales_teams!$A$2:$A$100,
[1]sales_teams!$B$2:$B$100)</f>
        <v>Cara Losch</v>
      </c>
      <c r="D5894" t="str">
        <f>_xlfn.XLOOKUP($B5894,sales_teams!$A$2:$A$36,sales_teams!C$2:C$36)</f>
        <v>East</v>
      </c>
      <c r="E5894" t="s">
        <v>15</v>
      </c>
      <c r="F5894" t="s">
        <v>89</v>
      </c>
      <c r="G5894" t="s">
        <v>12</v>
      </c>
      <c r="H5894" s="1">
        <v>42960</v>
      </c>
      <c r="I5894" s="1">
        <v>42969</v>
      </c>
      <c r="J5894">
        <v>4498</v>
      </c>
    </row>
    <row r="5895" spans="1:10" x14ac:dyDescent="0.3">
      <c r="A5895" t="s">
        <v>6026</v>
      </c>
      <c r="B5895" t="s">
        <v>164</v>
      </c>
      <c r="C5895" t="str">
        <f>_xlfn.XLOOKUP(B5895,
[1]sales_teams!$A$2:$A$100,
[1]sales_teams!$B$2:$B$100)</f>
        <v>Cara Losch</v>
      </c>
      <c r="D5895" t="str">
        <f>_xlfn.XLOOKUP($B5895,sales_teams!$A$2:$A$36,sales_teams!C$2:C$36)</f>
        <v>East</v>
      </c>
      <c r="E5895" t="s">
        <v>18</v>
      </c>
      <c r="F5895" t="s">
        <v>373</v>
      </c>
      <c r="G5895" t="s">
        <v>12</v>
      </c>
      <c r="H5895" s="1">
        <v>42960</v>
      </c>
      <c r="I5895" s="1">
        <v>42979</v>
      </c>
      <c r="J5895">
        <v>59</v>
      </c>
    </row>
    <row r="5896" spans="1:10" x14ac:dyDescent="0.3">
      <c r="A5896" t="s">
        <v>6027</v>
      </c>
      <c r="B5896" t="s">
        <v>64</v>
      </c>
      <c r="C5896" t="str">
        <f>_xlfn.XLOOKUP(B5896,
[1]sales_teams!$A$2:$A$100,
[1]sales_teams!$B$2:$B$100)</f>
        <v>Rocco Neubert</v>
      </c>
      <c r="D5896" t="str">
        <f>_xlfn.XLOOKUP($B5896,sales_teams!$A$2:$A$36,sales_teams!C$2:C$36)</f>
        <v>East</v>
      </c>
      <c r="E5896" t="s">
        <v>15</v>
      </c>
      <c r="F5896" t="s">
        <v>103</v>
      </c>
      <c r="G5896" t="s">
        <v>46</v>
      </c>
      <c r="H5896" s="1">
        <v>42960</v>
      </c>
      <c r="I5896" s="1">
        <v>42964</v>
      </c>
      <c r="J5896">
        <v>0</v>
      </c>
    </row>
    <row r="5897" spans="1:10" x14ac:dyDescent="0.3">
      <c r="A5897" t="s">
        <v>6028</v>
      </c>
      <c r="B5897" t="s">
        <v>14</v>
      </c>
      <c r="C5897" t="str">
        <f>_xlfn.XLOOKUP(B5897,
[1]sales_teams!$A$2:$A$100,
[1]sales_teams!$B$2:$B$100)</f>
        <v>Melvin Marxen</v>
      </c>
      <c r="D5897" t="str">
        <f>_xlfn.XLOOKUP($B5897,sales_teams!$A$2:$A$36,sales_teams!C$2:C$36)</f>
        <v>Central</v>
      </c>
      <c r="E5897" t="s">
        <v>10</v>
      </c>
      <c r="G5897" t="s">
        <v>40</v>
      </c>
      <c r="H5897" s="1">
        <v>42960</v>
      </c>
    </row>
    <row r="5898" spans="1:10" x14ac:dyDescent="0.3">
      <c r="A5898" t="s">
        <v>6029</v>
      </c>
      <c r="B5898" t="s">
        <v>14</v>
      </c>
      <c r="C5898" t="str">
        <f>_xlfn.XLOOKUP(B5898,
[1]sales_teams!$A$2:$A$100,
[1]sales_teams!$B$2:$B$100)</f>
        <v>Melvin Marxen</v>
      </c>
      <c r="D5898" t="str">
        <f>_xlfn.XLOOKUP($B5898,sales_teams!$A$2:$A$36,sales_teams!C$2:C$36)</f>
        <v>Central</v>
      </c>
      <c r="E5898" t="s">
        <v>15</v>
      </c>
      <c r="F5898" t="s">
        <v>197</v>
      </c>
      <c r="G5898" t="s">
        <v>12</v>
      </c>
      <c r="H5898" s="1">
        <v>42960</v>
      </c>
      <c r="I5898" s="1">
        <v>43044</v>
      </c>
      <c r="J5898">
        <v>4810</v>
      </c>
    </row>
    <row r="5899" spans="1:10" x14ac:dyDescent="0.3">
      <c r="A5899" t="s">
        <v>6030</v>
      </c>
      <c r="B5899" t="s">
        <v>44</v>
      </c>
      <c r="C5899" t="str">
        <f>_xlfn.XLOOKUP(B5899,
[1]sales_teams!$A$2:$A$100,
[1]sales_teams!$B$2:$B$100)</f>
        <v>Melvin Marxen</v>
      </c>
      <c r="D5899" t="str">
        <f>_xlfn.XLOOKUP($B5899,sales_teams!$A$2:$A$36,sales_teams!C$2:C$36)</f>
        <v>Central</v>
      </c>
      <c r="E5899" t="s">
        <v>20</v>
      </c>
      <c r="G5899" t="s">
        <v>40</v>
      </c>
      <c r="H5899" s="1">
        <v>42960</v>
      </c>
    </row>
    <row r="5900" spans="1:10" x14ac:dyDescent="0.3">
      <c r="A5900" t="s">
        <v>6031</v>
      </c>
      <c r="B5900" t="s">
        <v>54</v>
      </c>
      <c r="C5900" t="str">
        <f>_xlfn.XLOOKUP(B5900,
[1]sales_teams!$A$2:$A$100,
[1]sales_teams!$B$2:$B$100)</f>
        <v>Celia Rouche</v>
      </c>
      <c r="D5900" t="str">
        <f>_xlfn.XLOOKUP($B5900,sales_teams!$A$2:$A$36,sales_teams!C$2:C$36)</f>
        <v>West</v>
      </c>
      <c r="E5900" t="s">
        <v>10</v>
      </c>
      <c r="G5900" t="s">
        <v>40</v>
      </c>
      <c r="H5900" s="1">
        <v>42960</v>
      </c>
    </row>
    <row r="5901" spans="1:10" x14ac:dyDescent="0.3">
      <c r="A5901" t="s">
        <v>6032</v>
      </c>
      <c r="B5901" t="s">
        <v>54</v>
      </c>
      <c r="C5901" t="str">
        <f>_xlfn.XLOOKUP(B5901,
[1]sales_teams!$A$2:$A$100,
[1]sales_teams!$B$2:$B$100)</f>
        <v>Celia Rouche</v>
      </c>
      <c r="D5901" t="str">
        <f>_xlfn.XLOOKUP($B5901,sales_teams!$A$2:$A$36,sales_teams!C$2:C$36)</f>
        <v>West</v>
      </c>
      <c r="E5901" t="s">
        <v>48</v>
      </c>
      <c r="G5901" t="s">
        <v>40</v>
      </c>
      <c r="H5901" s="1">
        <v>42960</v>
      </c>
    </row>
    <row r="5902" spans="1:10" x14ac:dyDescent="0.3">
      <c r="A5902" t="s">
        <v>6033</v>
      </c>
      <c r="B5902" t="s">
        <v>38</v>
      </c>
      <c r="C5902" t="str">
        <f>_xlfn.XLOOKUP(B5902,
[1]sales_teams!$A$2:$A$100,
[1]sales_teams!$B$2:$B$100)</f>
        <v>Summer Sewald</v>
      </c>
      <c r="D5902" t="str">
        <f>_xlfn.XLOOKUP($B5902,sales_teams!$A$2:$A$36,sales_teams!C$2:C$36)</f>
        <v>West</v>
      </c>
      <c r="E5902" t="s">
        <v>39</v>
      </c>
      <c r="F5902" t="s">
        <v>155</v>
      </c>
      <c r="G5902" t="s">
        <v>12</v>
      </c>
      <c r="H5902" s="1">
        <v>42960</v>
      </c>
      <c r="I5902" s="1">
        <v>43046</v>
      </c>
      <c r="J5902">
        <v>3972</v>
      </c>
    </row>
    <row r="5903" spans="1:10" x14ac:dyDescent="0.3">
      <c r="A5903" t="s">
        <v>6034</v>
      </c>
      <c r="B5903" t="s">
        <v>95</v>
      </c>
      <c r="C5903" t="str">
        <f>_xlfn.XLOOKUP(B5903,
[1]sales_teams!$A$2:$A$100,
[1]sales_teams!$B$2:$B$100)</f>
        <v>Summer Sewald</v>
      </c>
      <c r="D5903" t="str">
        <f>_xlfn.XLOOKUP($B5903,sales_teams!$A$2:$A$36,sales_teams!C$2:C$36)</f>
        <v>West</v>
      </c>
      <c r="E5903" t="s">
        <v>48</v>
      </c>
      <c r="F5903" t="s">
        <v>155</v>
      </c>
      <c r="G5903" t="s">
        <v>40</v>
      </c>
      <c r="H5903" s="1">
        <v>42960</v>
      </c>
    </row>
    <row r="5904" spans="1:10" x14ac:dyDescent="0.3">
      <c r="A5904" t="s">
        <v>6035</v>
      </c>
      <c r="B5904" t="s">
        <v>95</v>
      </c>
      <c r="C5904" t="str">
        <f>_xlfn.XLOOKUP(B5904,
[1]sales_teams!$A$2:$A$100,
[1]sales_teams!$B$2:$B$100)</f>
        <v>Summer Sewald</v>
      </c>
      <c r="D5904" t="str">
        <f>_xlfn.XLOOKUP($B5904,sales_teams!$A$2:$A$36,sales_teams!C$2:C$36)</f>
        <v>West</v>
      </c>
      <c r="E5904" t="s">
        <v>18</v>
      </c>
      <c r="F5904" t="s">
        <v>30</v>
      </c>
      <c r="G5904" t="s">
        <v>46</v>
      </c>
      <c r="H5904" s="1">
        <v>42960</v>
      </c>
      <c r="I5904" s="1">
        <v>42971</v>
      </c>
      <c r="J5904">
        <v>0</v>
      </c>
    </row>
    <row r="5905" spans="1:10" x14ac:dyDescent="0.3">
      <c r="A5905" t="s">
        <v>6036</v>
      </c>
      <c r="B5905" t="s">
        <v>95</v>
      </c>
      <c r="C5905" t="str">
        <f>_xlfn.XLOOKUP(B5905,
[1]sales_teams!$A$2:$A$100,
[1]sales_teams!$B$2:$B$100)</f>
        <v>Summer Sewald</v>
      </c>
      <c r="D5905" t="str">
        <f>_xlfn.XLOOKUP($B5905,sales_teams!$A$2:$A$36,sales_teams!C$2:C$36)</f>
        <v>West</v>
      </c>
      <c r="E5905" t="s">
        <v>20</v>
      </c>
      <c r="F5905" t="s">
        <v>199</v>
      </c>
      <c r="G5905" t="s">
        <v>12</v>
      </c>
      <c r="H5905" s="1">
        <v>42960</v>
      </c>
      <c r="I5905" s="1">
        <v>42965</v>
      </c>
      <c r="J5905">
        <v>573</v>
      </c>
    </row>
    <row r="5906" spans="1:10" x14ac:dyDescent="0.3">
      <c r="A5906" t="s">
        <v>6037</v>
      </c>
      <c r="B5906" t="s">
        <v>133</v>
      </c>
      <c r="C5906" t="str">
        <f>_xlfn.XLOOKUP(B5906,
[1]sales_teams!$A$2:$A$100,
[1]sales_teams!$B$2:$B$100)</f>
        <v>Dustin Brinkmann</v>
      </c>
      <c r="D5906" t="str">
        <f>_xlfn.XLOOKUP($B5906,sales_teams!$A$2:$A$36,sales_teams!C$2:C$36)</f>
        <v>Central</v>
      </c>
      <c r="E5906" t="s">
        <v>20</v>
      </c>
      <c r="G5906" t="s">
        <v>40</v>
      </c>
      <c r="H5906" s="1">
        <v>42960</v>
      </c>
    </row>
    <row r="5907" spans="1:10" x14ac:dyDescent="0.3">
      <c r="A5907" t="s">
        <v>6038</v>
      </c>
      <c r="B5907" t="s">
        <v>133</v>
      </c>
      <c r="C5907" t="str">
        <f>_xlfn.XLOOKUP(B5907,
[1]sales_teams!$A$2:$A$100,
[1]sales_teams!$B$2:$B$100)</f>
        <v>Dustin Brinkmann</v>
      </c>
      <c r="D5907" t="str">
        <f>_xlfn.XLOOKUP($B5907,sales_teams!$A$2:$A$36,sales_teams!C$2:C$36)</f>
        <v>Central</v>
      </c>
      <c r="E5907" t="s">
        <v>18</v>
      </c>
      <c r="F5907" t="s">
        <v>240</v>
      </c>
      <c r="G5907" t="s">
        <v>40</v>
      </c>
      <c r="H5907" s="1">
        <v>42960</v>
      </c>
    </row>
    <row r="5908" spans="1:10" x14ac:dyDescent="0.3">
      <c r="A5908" t="s">
        <v>6039</v>
      </c>
      <c r="B5908" t="s">
        <v>32</v>
      </c>
      <c r="C5908" t="str">
        <f>_xlfn.XLOOKUP(B5908,
[1]sales_teams!$A$2:$A$100,
[1]sales_teams!$B$2:$B$100)</f>
        <v>Celia Rouche</v>
      </c>
      <c r="D5908" t="str">
        <f>_xlfn.XLOOKUP($B5908,sales_teams!$A$2:$A$36,sales_teams!C$2:C$36)</f>
        <v>West</v>
      </c>
      <c r="E5908" t="s">
        <v>39</v>
      </c>
      <c r="G5908" t="s">
        <v>40</v>
      </c>
      <c r="H5908" s="1">
        <v>42960</v>
      </c>
    </row>
    <row r="5909" spans="1:10" x14ac:dyDescent="0.3">
      <c r="A5909" t="s">
        <v>6040</v>
      </c>
      <c r="B5909" t="s">
        <v>32</v>
      </c>
      <c r="C5909" t="str">
        <f>_xlfn.XLOOKUP(B5909,
[1]sales_teams!$A$2:$A$100,
[1]sales_teams!$B$2:$B$100)</f>
        <v>Celia Rouche</v>
      </c>
      <c r="D5909" t="str">
        <f>_xlfn.XLOOKUP($B5909,sales_teams!$A$2:$A$36,sales_teams!C$2:C$36)</f>
        <v>West</v>
      </c>
      <c r="E5909" t="s">
        <v>48</v>
      </c>
      <c r="F5909" t="s">
        <v>70</v>
      </c>
      <c r="G5909" t="s">
        <v>46</v>
      </c>
      <c r="H5909" s="1">
        <v>42960</v>
      </c>
      <c r="I5909" s="1">
        <v>43057</v>
      </c>
      <c r="J5909">
        <v>0</v>
      </c>
    </row>
    <row r="5910" spans="1:10" x14ac:dyDescent="0.3">
      <c r="A5910" t="s">
        <v>6041</v>
      </c>
      <c r="B5910" t="s">
        <v>32</v>
      </c>
      <c r="C5910" t="str">
        <f>_xlfn.XLOOKUP(B5910,
[1]sales_teams!$A$2:$A$100,
[1]sales_teams!$B$2:$B$100)</f>
        <v>Celia Rouche</v>
      </c>
      <c r="D5910" t="str">
        <f>_xlfn.XLOOKUP($B5910,sales_teams!$A$2:$A$36,sales_teams!C$2:C$36)</f>
        <v>West</v>
      </c>
      <c r="E5910" t="s">
        <v>15</v>
      </c>
      <c r="F5910" t="s">
        <v>148</v>
      </c>
      <c r="G5910" t="s">
        <v>46</v>
      </c>
      <c r="H5910" s="1">
        <v>42960</v>
      </c>
      <c r="I5910" s="1">
        <v>42968</v>
      </c>
      <c r="J5910">
        <v>0</v>
      </c>
    </row>
    <row r="5911" spans="1:10" x14ac:dyDescent="0.3">
      <c r="A5911" t="s">
        <v>6042</v>
      </c>
      <c r="B5911" t="s">
        <v>32</v>
      </c>
      <c r="C5911" t="str">
        <f>_xlfn.XLOOKUP(B5911,
[1]sales_teams!$A$2:$A$100,
[1]sales_teams!$B$2:$B$100)</f>
        <v>Celia Rouche</v>
      </c>
      <c r="D5911" t="str">
        <f>_xlfn.XLOOKUP($B5911,sales_teams!$A$2:$A$36,sales_teams!C$2:C$36)</f>
        <v>West</v>
      </c>
      <c r="E5911" t="s">
        <v>15</v>
      </c>
      <c r="F5911" t="s">
        <v>79</v>
      </c>
      <c r="G5911" t="s">
        <v>12</v>
      </c>
      <c r="H5911" s="1">
        <v>42960</v>
      </c>
      <c r="I5911" s="1">
        <v>43067</v>
      </c>
      <c r="J5911">
        <v>5540</v>
      </c>
    </row>
    <row r="5912" spans="1:10" x14ac:dyDescent="0.3">
      <c r="A5912" t="s">
        <v>6043</v>
      </c>
      <c r="B5912" t="s">
        <v>116</v>
      </c>
      <c r="C5912" t="str">
        <f>_xlfn.XLOOKUP(B5912,
[1]sales_teams!$A$2:$A$100,
[1]sales_teams!$B$2:$B$100)</f>
        <v>Melvin Marxen</v>
      </c>
      <c r="D5912" t="str">
        <f>_xlfn.XLOOKUP($B5912,sales_teams!$A$2:$A$36,sales_teams!C$2:C$36)</f>
        <v>Central</v>
      </c>
      <c r="E5912" t="s">
        <v>10</v>
      </c>
      <c r="G5912" t="s">
        <v>40</v>
      </c>
      <c r="H5912" s="1">
        <v>42960</v>
      </c>
    </row>
    <row r="5913" spans="1:10" x14ac:dyDescent="0.3">
      <c r="A5913" t="s">
        <v>6044</v>
      </c>
      <c r="B5913" t="s">
        <v>116</v>
      </c>
      <c r="C5913" t="str">
        <f>_xlfn.XLOOKUP(B5913,
[1]sales_teams!$A$2:$A$100,
[1]sales_teams!$B$2:$B$100)</f>
        <v>Melvin Marxen</v>
      </c>
      <c r="D5913" t="str">
        <f>_xlfn.XLOOKUP($B5913,sales_teams!$A$2:$A$36,sales_teams!C$2:C$36)</f>
        <v>Central</v>
      </c>
      <c r="E5913" t="s">
        <v>15</v>
      </c>
      <c r="G5913" t="s">
        <v>40</v>
      </c>
      <c r="H5913" s="1">
        <v>42960</v>
      </c>
    </row>
    <row r="5914" spans="1:10" x14ac:dyDescent="0.3">
      <c r="A5914" t="s">
        <v>6045</v>
      </c>
      <c r="B5914" t="s">
        <v>116</v>
      </c>
      <c r="C5914" t="str">
        <f>_xlfn.XLOOKUP(B5914,
[1]sales_teams!$A$2:$A$100,
[1]sales_teams!$B$2:$B$100)</f>
        <v>Melvin Marxen</v>
      </c>
      <c r="D5914" t="str">
        <f>_xlfn.XLOOKUP($B5914,sales_teams!$A$2:$A$36,sales_teams!C$2:C$36)</f>
        <v>Central</v>
      </c>
      <c r="E5914" t="s">
        <v>18</v>
      </c>
      <c r="F5914" t="s">
        <v>113</v>
      </c>
      <c r="G5914" t="s">
        <v>46</v>
      </c>
      <c r="H5914" s="1">
        <v>42960</v>
      </c>
      <c r="I5914" s="1">
        <v>43064</v>
      </c>
      <c r="J5914">
        <v>0</v>
      </c>
    </row>
    <row r="5915" spans="1:10" x14ac:dyDescent="0.3">
      <c r="A5915" t="s">
        <v>6046</v>
      </c>
      <c r="B5915" t="s">
        <v>51</v>
      </c>
      <c r="C5915" t="str">
        <f>_xlfn.XLOOKUP(B5915,
[1]sales_teams!$A$2:$A$100,
[1]sales_teams!$B$2:$B$100)</f>
        <v>Summer Sewald</v>
      </c>
      <c r="D5915" t="str">
        <f>_xlfn.XLOOKUP($B5915,sales_teams!$A$2:$A$36,sales_teams!C$2:C$36)</f>
        <v>West</v>
      </c>
      <c r="E5915" t="s">
        <v>18</v>
      </c>
      <c r="G5915" t="s">
        <v>40</v>
      </c>
      <c r="H5915" s="1">
        <v>42960</v>
      </c>
    </row>
    <row r="5916" spans="1:10" x14ac:dyDescent="0.3">
      <c r="A5916" t="s">
        <v>6047</v>
      </c>
      <c r="B5916" t="s">
        <v>51</v>
      </c>
      <c r="C5916" t="str">
        <f>_xlfn.XLOOKUP(B5916,
[1]sales_teams!$A$2:$A$100,
[1]sales_teams!$B$2:$B$100)</f>
        <v>Summer Sewald</v>
      </c>
      <c r="D5916" t="str">
        <f>_xlfn.XLOOKUP($B5916,sales_teams!$A$2:$A$36,sales_teams!C$2:C$36)</f>
        <v>West</v>
      </c>
      <c r="E5916" t="s">
        <v>10</v>
      </c>
      <c r="F5916" t="s">
        <v>33</v>
      </c>
      <c r="G5916" t="s">
        <v>12</v>
      </c>
      <c r="H5916" s="1">
        <v>42960</v>
      </c>
      <c r="I5916" s="1">
        <v>42971</v>
      </c>
      <c r="J5916">
        <v>1130</v>
      </c>
    </row>
    <row r="5917" spans="1:10" x14ac:dyDescent="0.3">
      <c r="A5917" t="s">
        <v>6048</v>
      </c>
      <c r="B5917" t="s">
        <v>9</v>
      </c>
      <c r="C5917" t="str">
        <f>_xlfn.XLOOKUP(B5917,
[1]sales_teams!$A$2:$A$100,
[1]sales_teams!$B$2:$B$100)</f>
        <v>Dustin Brinkmann</v>
      </c>
      <c r="D5917" t="str">
        <f>_xlfn.XLOOKUP($B5917,sales_teams!$A$2:$A$36,sales_teams!C$2:C$36)</f>
        <v>Central</v>
      </c>
      <c r="E5917" t="s">
        <v>39</v>
      </c>
      <c r="G5917" t="s">
        <v>40</v>
      </c>
      <c r="H5917" s="1">
        <v>42960</v>
      </c>
    </row>
    <row r="5918" spans="1:10" x14ac:dyDescent="0.3">
      <c r="A5918" t="s">
        <v>6049</v>
      </c>
      <c r="B5918" t="s">
        <v>97</v>
      </c>
      <c r="C5918" t="str">
        <f>_xlfn.XLOOKUP(B5918,
[1]sales_teams!$A$2:$A$100,
[1]sales_teams!$B$2:$B$100)</f>
        <v>Rocco Neubert</v>
      </c>
      <c r="D5918" t="str">
        <f>_xlfn.XLOOKUP($B5918,sales_teams!$A$2:$A$36,sales_teams!C$2:C$36)</f>
        <v>East</v>
      </c>
      <c r="E5918" t="s">
        <v>15</v>
      </c>
      <c r="F5918" t="s">
        <v>89</v>
      </c>
      <c r="G5918" t="s">
        <v>12</v>
      </c>
      <c r="H5918" s="1">
        <v>42960</v>
      </c>
      <c r="I5918" s="1">
        <v>43041</v>
      </c>
      <c r="J5918">
        <v>4743</v>
      </c>
    </row>
    <row r="5919" spans="1:10" x14ac:dyDescent="0.3">
      <c r="A5919" t="s">
        <v>6050</v>
      </c>
      <c r="B5919" t="s">
        <v>97</v>
      </c>
      <c r="C5919" t="str">
        <f>_xlfn.XLOOKUP(B5919,
[1]sales_teams!$A$2:$A$100,
[1]sales_teams!$B$2:$B$100)</f>
        <v>Rocco Neubert</v>
      </c>
      <c r="D5919" t="str">
        <f>_xlfn.XLOOKUP($B5919,sales_teams!$A$2:$A$36,sales_teams!C$2:C$36)</f>
        <v>East</v>
      </c>
      <c r="E5919" t="s">
        <v>39</v>
      </c>
      <c r="F5919" t="s">
        <v>215</v>
      </c>
      <c r="G5919" t="s">
        <v>12</v>
      </c>
      <c r="H5919" s="1">
        <v>42960</v>
      </c>
      <c r="I5919" s="1">
        <v>42976</v>
      </c>
      <c r="J5919">
        <v>3732</v>
      </c>
    </row>
    <row r="5920" spans="1:10" x14ac:dyDescent="0.3">
      <c r="A5920" t="s">
        <v>6051</v>
      </c>
      <c r="B5920" t="s">
        <v>29</v>
      </c>
      <c r="C5920" t="str">
        <f>_xlfn.XLOOKUP(B5920,
[1]sales_teams!$A$2:$A$100,
[1]sales_teams!$B$2:$B$100)</f>
        <v>Celia Rouche</v>
      </c>
      <c r="D5920" t="str">
        <f>_xlfn.XLOOKUP($B5920,sales_teams!$A$2:$A$36,sales_teams!C$2:C$36)</f>
        <v>West</v>
      </c>
      <c r="E5920" t="s">
        <v>18</v>
      </c>
      <c r="F5920" t="s">
        <v>55</v>
      </c>
      <c r="G5920" t="s">
        <v>12</v>
      </c>
      <c r="H5920" s="1">
        <v>42960</v>
      </c>
      <c r="I5920" s="1">
        <v>43065</v>
      </c>
      <c r="J5920">
        <v>59</v>
      </c>
    </row>
    <row r="5921" spans="1:10" x14ac:dyDescent="0.3">
      <c r="A5921" t="s">
        <v>6052</v>
      </c>
      <c r="B5921" t="s">
        <v>23</v>
      </c>
      <c r="C5921" t="str">
        <f>_xlfn.XLOOKUP(B5921,
[1]sales_teams!$A$2:$A$100,
[1]sales_teams!$B$2:$B$100)</f>
        <v>Summer Sewald</v>
      </c>
      <c r="D5921" t="str">
        <f>_xlfn.XLOOKUP($B5921,sales_teams!$A$2:$A$36,sales_teams!C$2:C$36)</f>
        <v>West</v>
      </c>
      <c r="E5921" t="s">
        <v>15</v>
      </c>
      <c r="F5921" t="s">
        <v>148</v>
      </c>
      <c r="G5921" t="s">
        <v>46</v>
      </c>
      <c r="H5921" s="1">
        <v>42960</v>
      </c>
      <c r="I5921" s="1">
        <v>43046</v>
      </c>
      <c r="J5921">
        <v>0</v>
      </c>
    </row>
    <row r="5922" spans="1:10" x14ac:dyDescent="0.3">
      <c r="A5922" t="s">
        <v>6053</v>
      </c>
      <c r="B5922" t="s">
        <v>23</v>
      </c>
      <c r="C5922" t="str">
        <f>_xlfn.XLOOKUP(B5922,
[1]sales_teams!$A$2:$A$100,
[1]sales_teams!$B$2:$B$100)</f>
        <v>Summer Sewald</v>
      </c>
      <c r="D5922" t="str">
        <f>_xlfn.XLOOKUP($B5922,sales_teams!$A$2:$A$36,sales_teams!C$2:C$36)</f>
        <v>West</v>
      </c>
      <c r="E5922" t="s">
        <v>20</v>
      </c>
      <c r="F5922" t="s">
        <v>199</v>
      </c>
      <c r="G5922" t="s">
        <v>12</v>
      </c>
      <c r="H5922" s="1">
        <v>42960</v>
      </c>
      <c r="I5922" s="1">
        <v>43054</v>
      </c>
      <c r="J5922">
        <v>510</v>
      </c>
    </row>
    <row r="5923" spans="1:10" x14ac:dyDescent="0.3">
      <c r="A5923" t="s">
        <v>6054</v>
      </c>
      <c r="B5923" t="s">
        <v>26</v>
      </c>
      <c r="C5923" t="str">
        <f>_xlfn.XLOOKUP(B5923,
[1]sales_teams!$A$2:$A$100,
[1]sales_teams!$B$2:$B$100)</f>
        <v>Dustin Brinkmann</v>
      </c>
      <c r="D5923" t="str">
        <f>_xlfn.XLOOKUP($B5923,sales_teams!$A$2:$A$36,sales_teams!C$2:C$36)</f>
        <v>Central</v>
      </c>
      <c r="E5923" t="s">
        <v>10</v>
      </c>
      <c r="G5923" t="s">
        <v>40</v>
      </c>
      <c r="H5923" s="1">
        <v>42961</v>
      </c>
    </row>
    <row r="5924" spans="1:10" x14ac:dyDescent="0.3">
      <c r="A5924" t="s">
        <v>6055</v>
      </c>
      <c r="B5924" t="s">
        <v>26</v>
      </c>
      <c r="C5924" t="str">
        <f>_xlfn.XLOOKUP(B5924,
[1]sales_teams!$A$2:$A$100,
[1]sales_teams!$B$2:$B$100)</f>
        <v>Dustin Brinkmann</v>
      </c>
      <c r="D5924" t="str">
        <f>_xlfn.XLOOKUP($B5924,sales_teams!$A$2:$A$36,sales_teams!C$2:C$36)</f>
        <v>Central</v>
      </c>
      <c r="E5924" t="s">
        <v>48</v>
      </c>
      <c r="F5924" t="s">
        <v>42</v>
      </c>
      <c r="G5924" t="s">
        <v>40</v>
      </c>
      <c r="H5924" s="1">
        <v>42961</v>
      </c>
    </row>
    <row r="5925" spans="1:10" x14ac:dyDescent="0.3">
      <c r="A5925" t="s">
        <v>6056</v>
      </c>
      <c r="B5925" t="s">
        <v>26</v>
      </c>
      <c r="C5925" t="str">
        <f>_xlfn.XLOOKUP(B5925,
[1]sales_teams!$A$2:$A$100,
[1]sales_teams!$B$2:$B$100)</f>
        <v>Dustin Brinkmann</v>
      </c>
      <c r="D5925" t="str">
        <f>_xlfn.XLOOKUP($B5925,sales_teams!$A$2:$A$36,sales_teams!C$2:C$36)</f>
        <v>Central</v>
      </c>
      <c r="E5925" t="s">
        <v>18</v>
      </c>
      <c r="G5925" t="s">
        <v>40</v>
      </c>
      <c r="H5925" s="1">
        <v>42961</v>
      </c>
    </row>
    <row r="5926" spans="1:10" x14ac:dyDescent="0.3">
      <c r="A5926" t="s">
        <v>6057</v>
      </c>
      <c r="B5926" t="s">
        <v>26</v>
      </c>
      <c r="C5926" t="str">
        <f>_xlfn.XLOOKUP(B5926,
[1]sales_teams!$A$2:$A$100,
[1]sales_teams!$B$2:$B$100)</f>
        <v>Dustin Brinkmann</v>
      </c>
      <c r="D5926" t="str">
        <f>_xlfn.XLOOKUP($B5926,sales_teams!$A$2:$A$36,sales_teams!C$2:C$36)</f>
        <v>Central</v>
      </c>
      <c r="E5926" t="s">
        <v>18</v>
      </c>
      <c r="G5926" t="s">
        <v>40</v>
      </c>
      <c r="H5926" s="1">
        <v>42961</v>
      </c>
    </row>
    <row r="5927" spans="1:10" x14ac:dyDescent="0.3">
      <c r="A5927" t="s">
        <v>6058</v>
      </c>
      <c r="B5927" t="s">
        <v>26</v>
      </c>
      <c r="C5927" t="str">
        <f>_xlfn.XLOOKUP(B5927,
[1]sales_teams!$A$2:$A$100,
[1]sales_teams!$B$2:$B$100)</f>
        <v>Dustin Brinkmann</v>
      </c>
      <c r="D5927" t="str">
        <f>_xlfn.XLOOKUP($B5927,sales_teams!$A$2:$A$36,sales_teams!C$2:C$36)</f>
        <v>Central</v>
      </c>
      <c r="E5927" t="s">
        <v>48</v>
      </c>
      <c r="F5927" t="s">
        <v>318</v>
      </c>
      <c r="G5927" t="s">
        <v>46</v>
      </c>
      <c r="H5927" s="1">
        <v>42961</v>
      </c>
      <c r="I5927" s="1">
        <v>42967</v>
      </c>
      <c r="J5927">
        <v>0</v>
      </c>
    </row>
    <row r="5928" spans="1:10" x14ac:dyDescent="0.3">
      <c r="A5928" t="s">
        <v>6059</v>
      </c>
      <c r="B5928" t="s">
        <v>118</v>
      </c>
      <c r="C5928" t="str">
        <f>_xlfn.XLOOKUP(B5928,
[1]sales_teams!$A$2:$A$100,
[1]sales_teams!$B$2:$B$100)</f>
        <v>Rocco Neubert</v>
      </c>
      <c r="D5928" t="str">
        <f>_xlfn.XLOOKUP($B5928,sales_teams!$A$2:$A$36,sales_teams!C$2:C$36)</f>
        <v>East</v>
      </c>
      <c r="E5928" t="s">
        <v>15</v>
      </c>
      <c r="G5928" t="s">
        <v>40</v>
      </c>
      <c r="H5928" s="1">
        <v>42961</v>
      </c>
    </row>
    <row r="5929" spans="1:10" x14ac:dyDescent="0.3">
      <c r="A5929" t="s">
        <v>6060</v>
      </c>
      <c r="B5929" t="s">
        <v>118</v>
      </c>
      <c r="C5929" t="str">
        <f>_xlfn.XLOOKUP(B5929,
[1]sales_teams!$A$2:$A$100,
[1]sales_teams!$B$2:$B$100)</f>
        <v>Rocco Neubert</v>
      </c>
      <c r="D5929" t="str">
        <f>_xlfn.XLOOKUP($B5929,sales_teams!$A$2:$A$36,sales_teams!C$2:C$36)</f>
        <v>East</v>
      </c>
      <c r="E5929" t="s">
        <v>39</v>
      </c>
      <c r="F5929" t="s">
        <v>81</v>
      </c>
      <c r="G5929" t="s">
        <v>46</v>
      </c>
      <c r="H5929" s="1">
        <v>42961</v>
      </c>
      <c r="I5929" s="1">
        <v>42969</v>
      </c>
      <c r="J5929">
        <v>0</v>
      </c>
    </row>
    <row r="5930" spans="1:10" x14ac:dyDescent="0.3">
      <c r="A5930" t="s">
        <v>6061</v>
      </c>
      <c r="B5930" t="s">
        <v>118</v>
      </c>
      <c r="C5930" t="str">
        <f>_xlfn.XLOOKUP(B5930,
[1]sales_teams!$A$2:$A$100,
[1]sales_teams!$B$2:$B$100)</f>
        <v>Rocco Neubert</v>
      </c>
      <c r="D5930" t="str">
        <f>_xlfn.XLOOKUP($B5930,sales_teams!$A$2:$A$36,sales_teams!C$2:C$36)</f>
        <v>East</v>
      </c>
      <c r="E5930" t="s">
        <v>10</v>
      </c>
      <c r="F5930" t="s">
        <v>155</v>
      </c>
      <c r="G5930" t="s">
        <v>12</v>
      </c>
      <c r="H5930" s="1">
        <v>42961</v>
      </c>
      <c r="I5930" s="1">
        <v>42977</v>
      </c>
      <c r="J5930">
        <v>907</v>
      </c>
    </row>
    <row r="5931" spans="1:10" x14ac:dyDescent="0.3">
      <c r="A5931" t="s">
        <v>6062</v>
      </c>
      <c r="B5931" t="s">
        <v>118</v>
      </c>
      <c r="C5931" t="str">
        <f>_xlfn.XLOOKUP(B5931,
[1]sales_teams!$A$2:$A$100,
[1]sales_teams!$B$2:$B$100)</f>
        <v>Rocco Neubert</v>
      </c>
      <c r="D5931" t="str">
        <f>_xlfn.XLOOKUP($B5931,sales_teams!$A$2:$A$36,sales_teams!C$2:C$36)</f>
        <v>East</v>
      </c>
      <c r="E5931" t="s">
        <v>48</v>
      </c>
      <c r="F5931" t="s">
        <v>98</v>
      </c>
      <c r="G5931" t="s">
        <v>12</v>
      </c>
      <c r="H5931" s="1">
        <v>42961</v>
      </c>
      <c r="I5931" s="1">
        <v>43090</v>
      </c>
      <c r="J5931">
        <v>5881</v>
      </c>
    </row>
    <row r="5932" spans="1:10" x14ac:dyDescent="0.3">
      <c r="A5932" t="s">
        <v>6063</v>
      </c>
      <c r="B5932" t="s">
        <v>202</v>
      </c>
      <c r="C5932" t="str">
        <f>_xlfn.XLOOKUP(B5932,
[1]sales_teams!$A$2:$A$100,
[1]sales_teams!$B$2:$B$100)</f>
        <v>Dustin Brinkmann</v>
      </c>
      <c r="D5932" t="str">
        <f>_xlfn.XLOOKUP($B5932,sales_teams!$A$2:$A$36,sales_teams!C$2:C$36)</f>
        <v>Central</v>
      </c>
      <c r="E5932" t="s">
        <v>48</v>
      </c>
      <c r="F5932" t="s">
        <v>303</v>
      </c>
      <c r="G5932" t="s">
        <v>46</v>
      </c>
      <c r="H5932" s="1">
        <v>42961</v>
      </c>
      <c r="I5932" s="1">
        <v>43048</v>
      </c>
      <c r="J5932">
        <v>0</v>
      </c>
    </row>
    <row r="5933" spans="1:10" x14ac:dyDescent="0.3">
      <c r="A5933" t="s">
        <v>6064</v>
      </c>
      <c r="B5933" t="s">
        <v>14</v>
      </c>
      <c r="C5933" t="str">
        <f>_xlfn.XLOOKUP(B5933,
[1]sales_teams!$A$2:$A$100,
[1]sales_teams!$B$2:$B$100)</f>
        <v>Melvin Marxen</v>
      </c>
      <c r="D5933" t="str">
        <f>_xlfn.XLOOKUP($B5933,sales_teams!$A$2:$A$36,sales_teams!C$2:C$36)</f>
        <v>Central</v>
      </c>
      <c r="E5933" t="s">
        <v>15</v>
      </c>
      <c r="G5933" t="s">
        <v>40</v>
      </c>
      <c r="H5933" s="1">
        <v>42961</v>
      </c>
    </row>
    <row r="5934" spans="1:10" x14ac:dyDescent="0.3">
      <c r="A5934" t="s">
        <v>6065</v>
      </c>
      <c r="B5934" t="s">
        <v>14</v>
      </c>
      <c r="C5934" t="str">
        <f>_xlfn.XLOOKUP(B5934,
[1]sales_teams!$A$2:$A$100,
[1]sales_teams!$B$2:$B$100)</f>
        <v>Melvin Marxen</v>
      </c>
      <c r="D5934" t="str">
        <f>_xlfn.XLOOKUP($B5934,sales_teams!$A$2:$A$36,sales_teams!C$2:C$36)</f>
        <v>Central</v>
      </c>
      <c r="E5934" t="s">
        <v>15</v>
      </c>
      <c r="G5934" t="s">
        <v>40</v>
      </c>
      <c r="H5934" s="1">
        <v>42961</v>
      </c>
    </row>
    <row r="5935" spans="1:10" x14ac:dyDescent="0.3">
      <c r="A5935" t="s">
        <v>6066</v>
      </c>
      <c r="B5935" t="s">
        <v>14</v>
      </c>
      <c r="C5935" t="str">
        <f>_xlfn.XLOOKUP(B5935,
[1]sales_teams!$A$2:$A$100,
[1]sales_teams!$B$2:$B$100)</f>
        <v>Melvin Marxen</v>
      </c>
      <c r="D5935" t="str">
        <f>_xlfn.XLOOKUP($B5935,sales_teams!$A$2:$A$36,sales_teams!C$2:C$36)</f>
        <v>Central</v>
      </c>
      <c r="E5935" t="s">
        <v>15</v>
      </c>
      <c r="F5935" t="s">
        <v>126</v>
      </c>
      <c r="G5935" t="s">
        <v>12</v>
      </c>
      <c r="H5935" s="1">
        <v>42961</v>
      </c>
      <c r="I5935" s="1">
        <v>43043</v>
      </c>
      <c r="J5935">
        <v>3902</v>
      </c>
    </row>
    <row r="5936" spans="1:10" x14ac:dyDescent="0.3">
      <c r="A5936" t="s">
        <v>6067</v>
      </c>
      <c r="B5936" t="s">
        <v>67</v>
      </c>
      <c r="C5936" t="str">
        <f>_xlfn.XLOOKUP(B5936,
[1]sales_teams!$A$2:$A$100,
[1]sales_teams!$B$2:$B$100)</f>
        <v>Celia Rouche</v>
      </c>
      <c r="D5936" t="str">
        <f>_xlfn.XLOOKUP($B5936,sales_teams!$A$2:$A$36,sales_teams!C$2:C$36)</f>
        <v>West</v>
      </c>
      <c r="E5936" t="s">
        <v>18</v>
      </c>
      <c r="G5936" t="s">
        <v>40</v>
      </c>
      <c r="H5936" s="1">
        <v>42961</v>
      </c>
    </row>
    <row r="5937" spans="1:10" x14ac:dyDescent="0.3">
      <c r="A5937" t="s">
        <v>6068</v>
      </c>
      <c r="B5937" t="s">
        <v>54</v>
      </c>
      <c r="C5937" t="str">
        <f>_xlfn.XLOOKUP(B5937,
[1]sales_teams!$A$2:$A$100,
[1]sales_teams!$B$2:$B$100)</f>
        <v>Celia Rouche</v>
      </c>
      <c r="D5937" t="str">
        <f>_xlfn.XLOOKUP($B5937,sales_teams!$A$2:$A$36,sales_teams!C$2:C$36)</f>
        <v>West</v>
      </c>
      <c r="E5937" t="s">
        <v>39</v>
      </c>
      <c r="G5937" t="s">
        <v>40</v>
      </c>
      <c r="H5937" s="1">
        <v>42961</v>
      </c>
    </row>
    <row r="5938" spans="1:10" x14ac:dyDescent="0.3">
      <c r="A5938" t="s">
        <v>6069</v>
      </c>
      <c r="B5938" t="s">
        <v>54</v>
      </c>
      <c r="C5938" t="str">
        <f>_xlfn.XLOOKUP(B5938,
[1]sales_teams!$A$2:$A$100,
[1]sales_teams!$B$2:$B$100)</f>
        <v>Celia Rouche</v>
      </c>
      <c r="D5938" t="str">
        <f>_xlfn.XLOOKUP($B5938,sales_teams!$A$2:$A$36,sales_teams!C$2:C$36)</f>
        <v>West</v>
      </c>
      <c r="E5938" t="s">
        <v>39</v>
      </c>
      <c r="F5938" t="s">
        <v>159</v>
      </c>
      <c r="G5938" t="s">
        <v>46</v>
      </c>
      <c r="H5938" s="1">
        <v>42961</v>
      </c>
      <c r="I5938" s="1">
        <v>43068</v>
      </c>
      <c r="J5938">
        <v>0</v>
      </c>
    </row>
    <row r="5939" spans="1:10" x14ac:dyDescent="0.3">
      <c r="A5939" t="s">
        <v>6070</v>
      </c>
      <c r="B5939" t="s">
        <v>252</v>
      </c>
      <c r="C5939" t="str">
        <f>_xlfn.XLOOKUP(B5939,
[1]sales_teams!$A$2:$A$100,
[1]sales_teams!$B$2:$B$100)</f>
        <v>Melvin Marxen</v>
      </c>
      <c r="D5939" t="str">
        <f>_xlfn.XLOOKUP($B5939,sales_teams!$A$2:$A$36,sales_teams!C$2:C$36)</f>
        <v>Central</v>
      </c>
      <c r="E5939" t="s">
        <v>20</v>
      </c>
      <c r="G5939" t="s">
        <v>40</v>
      </c>
      <c r="H5939" s="1">
        <v>42961</v>
      </c>
    </row>
    <row r="5940" spans="1:10" x14ac:dyDescent="0.3">
      <c r="A5940" t="s">
        <v>6071</v>
      </c>
      <c r="B5940" t="s">
        <v>252</v>
      </c>
      <c r="C5940" t="str">
        <f>_xlfn.XLOOKUP(B5940,
[1]sales_teams!$A$2:$A$100,
[1]sales_teams!$B$2:$B$100)</f>
        <v>Melvin Marxen</v>
      </c>
      <c r="D5940" t="str">
        <f>_xlfn.XLOOKUP($B5940,sales_teams!$A$2:$A$36,sales_teams!C$2:C$36)</f>
        <v>Central</v>
      </c>
      <c r="E5940" t="s">
        <v>10</v>
      </c>
      <c r="G5940" t="s">
        <v>40</v>
      </c>
      <c r="H5940" s="1">
        <v>42961</v>
      </c>
    </row>
    <row r="5941" spans="1:10" x14ac:dyDescent="0.3">
      <c r="A5941" t="s">
        <v>6072</v>
      </c>
      <c r="B5941" t="s">
        <v>252</v>
      </c>
      <c r="C5941" t="str">
        <f>_xlfn.XLOOKUP(B5941,
[1]sales_teams!$A$2:$A$100,
[1]sales_teams!$B$2:$B$100)</f>
        <v>Melvin Marxen</v>
      </c>
      <c r="D5941" t="str">
        <f>_xlfn.XLOOKUP($B5941,sales_teams!$A$2:$A$36,sales_teams!C$2:C$36)</f>
        <v>Central</v>
      </c>
      <c r="E5941" t="s">
        <v>15</v>
      </c>
      <c r="G5941" t="s">
        <v>40</v>
      </c>
      <c r="H5941" s="1">
        <v>42961</v>
      </c>
    </row>
    <row r="5942" spans="1:10" x14ac:dyDescent="0.3">
      <c r="A5942" t="s">
        <v>6073</v>
      </c>
      <c r="B5942" t="s">
        <v>78</v>
      </c>
      <c r="C5942" t="str">
        <f>_xlfn.XLOOKUP(B5942,
[1]sales_teams!$A$2:$A$100,
[1]sales_teams!$B$2:$B$100)</f>
        <v>Summer Sewald</v>
      </c>
      <c r="D5942" t="str">
        <f>_xlfn.XLOOKUP($B5942,sales_teams!$A$2:$A$36,sales_teams!C$2:C$36)</f>
        <v>West</v>
      </c>
      <c r="E5942" t="s">
        <v>48</v>
      </c>
      <c r="F5942" t="s">
        <v>148</v>
      </c>
      <c r="G5942" t="s">
        <v>12</v>
      </c>
      <c r="H5942" s="1">
        <v>42961</v>
      </c>
      <c r="I5942" s="1">
        <v>43049</v>
      </c>
      <c r="J5942">
        <v>6186</v>
      </c>
    </row>
    <row r="5943" spans="1:10" x14ac:dyDescent="0.3">
      <c r="A5943" t="s">
        <v>6074</v>
      </c>
      <c r="B5943" t="s">
        <v>95</v>
      </c>
      <c r="C5943" t="str">
        <f>_xlfn.XLOOKUP(B5943,
[1]sales_teams!$A$2:$A$100,
[1]sales_teams!$B$2:$B$100)</f>
        <v>Summer Sewald</v>
      </c>
      <c r="D5943" t="str">
        <f>_xlfn.XLOOKUP($B5943,sales_teams!$A$2:$A$36,sales_teams!C$2:C$36)</f>
        <v>West</v>
      </c>
      <c r="E5943" t="s">
        <v>10</v>
      </c>
      <c r="F5943" t="s">
        <v>124</v>
      </c>
      <c r="G5943" t="s">
        <v>12</v>
      </c>
      <c r="H5943" s="1">
        <v>42961</v>
      </c>
      <c r="I5943" s="1">
        <v>42971</v>
      </c>
      <c r="J5943">
        <v>1094</v>
      </c>
    </row>
    <row r="5944" spans="1:10" x14ac:dyDescent="0.3">
      <c r="A5944" t="s">
        <v>6075</v>
      </c>
      <c r="B5944" t="s">
        <v>133</v>
      </c>
      <c r="C5944" t="str">
        <f>_xlfn.XLOOKUP(B5944,
[1]sales_teams!$A$2:$A$100,
[1]sales_teams!$B$2:$B$100)</f>
        <v>Dustin Brinkmann</v>
      </c>
      <c r="D5944" t="str">
        <f>_xlfn.XLOOKUP($B5944,sales_teams!$A$2:$A$36,sales_teams!C$2:C$36)</f>
        <v>Central</v>
      </c>
      <c r="E5944" t="s">
        <v>39</v>
      </c>
      <c r="F5944" t="s">
        <v>215</v>
      </c>
      <c r="G5944" t="s">
        <v>40</v>
      </c>
      <c r="H5944" s="1">
        <v>42961</v>
      </c>
    </row>
    <row r="5945" spans="1:10" x14ac:dyDescent="0.3">
      <c r="A5945" t="s">
        <v>6076</v>
      </c>
      <c r="B5945" t="s">
        <v>116</v>
      </c>
      <c r="C5945" t="str">
        <f>_xlfn.XLOOKUP(B5945,
[1]sales_teams!$A$2:$A$100,
[1]sales_teams!$B$2:$B$100)</f>
        <v>Melvin Marxen</v>
      </c>
      <c r="D5945" t="str">
        <f>_xlfn.XLOOKUP($B5945,sales_teams!$A$2:$A$36,sales_teams!C$2:C$36)</f>
        <v>Central</v>
      </c>
      <c r="E5945" t="s">
        <v>39</v>
      </c>
      <c r="F5945" t="s">
        <v>273</v>
      </c>
      <c r="G5945" t="s">
        <v>40</v>
      </c>
      <c r="H5945" s="1">
        <v>42961</v>
      </c>
    </row>
    <row r="5946" spans="1:10" x14ac:dyDescent="0.3">
      <c r="A5946" t="s">
        <v>6077</v>
      </c>
      <c r="B5946" t="s">
        <v>51</v>
      </c>
      <c r="C5946" t="str">
        <f>_xlfn.XLOOKUP(B5946,
[1]sales_teams!$A$2:$A$100,
[1]sales_teams!$B$2:$B$100)</f>
        <v>Summer Sewald</v>
      </c>
      <c r="D5946" t="str">
        <f>_xlfn.XLOOKUP($B5946,sales_teams!$A$2:$A$36,sales_teams!C$2:C$36)</f>
        <v>West</v>
      </c>
      <c r="E5946" t="s">
        <v>15</v>
      </c>
      <c r="G5946" t="s">
        <v>40</v>
      </c>
      <c r="H5946" s="1">
        <v>42961</v>
      </c>
    </row>
    <row r="5947" spans="1:10" x14ac:dyDescent="0.3">
      <c r="A5947" t="s">
        <v>6078</v>
      </c>
      <c r="B5947" t="s">
        <v>51</v>
      </c>
      <c r="C5947" t="str">
        <f>_xlfn.XLOOKUP(B5947,
[1]sales_teams!$A$2:$A$100,
[1]sales_teams!$B$2:$B$100)</f>
        <v>Summer Sewald</v>
      </c>
      <c r="D5947" t="str">
        <f>_xlfn.XLOOKUP($B5947,sales_teams!$A$2:$A$36,sales_teams!C$2:C$36)</f>
        <v>West</v>
      </c>
      <c r="E5947" t="s">
        <v>10</v>
      </c>
      <c r="F5947" t="s">
        <v>122</v>
      </c>
      <c r="G5947" t="s">
        <v>46</v>
      </c>
      <c r="H5947" s="1">
        <v>42961</v>
      </c>
      <c r="I5947" s="1">
        <v>42975</v>
      </c>
      <c r="J5947">
        <v>0</v>
      </c>
    </row>
    <row r="5948" spans="1:10" x14ac:dyDescent="0.3">
      <c r="A5948" t="s">
        <v>6079</v>
      </c>
      <c r="B5948" t="s">
        <v>88</v>
      </c>
      <c r="C5948" t="str">
        <f>_xlfn.XLOOKUP(B5948,
[1]sales_teams!$A$2:$A$100,
[1]sales_teams!$B$2:$B$100)</f>
        <v>Cara Losch</v>
      </c>
      <c r="D5948" t="str">
        <f>_xlfn.XLOOKUP($B5948,sales_teams!$A$2:$A$36,sales_teams!C$2:C$36)</f>
        <v>East</v>
      </c>
      <c r="E5948" t="s">
        <v>15</v>
      </c>
      <c r="G5948" t="s">
        <v>40</v>
      </c>
      <c r="H5948" s="1">
        <v>42961</v>
      </c>
    </row>
    <row r="5949" spans="1:10" x14ac:dyDescent="0.3">
      <c r="A5949" t="s">
        <v>6080</v>
      </c>
      <c r="B5949" t="s">
        <v>61</v>
      </c>
      <c r="C5949" t="str">
        <f>_xlfn.XLOOKUP(B5949,
[1]sales_teams!$A$2:$A$100,
[1]sales_teams!$B$2:$B$100)</f>
        <v>Dustin Brinkmann</v>
      </c>
      <c r="D5949" t="str">
        <f>_xlfn.XLOOKUP($B5949,sales_teams!$A$2:$A$36,sales_teams!C$2:C$36)</f>
        <v>Central</v>
      </c>
      <c r="E5949" t="s">
        <v>18</v>
      </c>
      <c r="F5949" t="s">
        <v>151</v>
      </c>
      <c r="G5949" t="s">
        <v>12</v>
      </c>
      <c r="H5949" s="1">
        <v>42961</v>
      </c>
      <c r="I5949" s="1">
        <v>43069</v>
      </c>
      <c r="J5949">
        <v>53</v>
      </c>
    </row>
    <row r="5950" spans="1:10" x14ac:dyDescent="0.3">
      <c r="A5950" t="s">
        <v>6081</v>
      </c>
      <c r="B5950" t="s">
        <v>29</v>
      </c>
      <c r="C5950" t="str">
        <f>_xlfn.XLOOKUP(B5950,
[1]sales_teams!$A$2:$A$100,
[1]sales_teams!$B$2:$B$100)</f>
        <v>Celia Rouche</v>
      </c>
      <c r="D5950" t="str">
        <f>_xlfn.XLOOKUP($B5950,sales_teams!$A$2:$A$36,sales_teams!C$2:C$36)</f>
        <v>West</v>
      </c>
      <c r="E5950" t="s">
        <v>39</v>
      </c>
      <c r="F5950" t="s">
        <v>518</v>
      </c>
      <c r="G5950" t="s">
        <v>40</v>
      </c>
      <c r="H5950" s="1">
        <v>42961</v>
      </c>
    </row>
    <row r="5951" spans="1:10" x14ac:dyDescent="0.3">
      <c r="A5951" t="s">
        <v>6082</v>
      </c>
      <c r="B5951" t="s">
        <v>29</v>
      </c>
      <c r="C5951" t="str">
        <f>_xlfn.XLOOKUP(B5951,
[1]sales_teams!$A$2:$A$100,
[1]sales_teams!$B$2:$B$100)</f>
        <v>Celia Rouche</v>
      </c>
      <c r="D5951" t="str">
        <f>_xlfn.XLOOKUP($B5951,sales_teams!$A$2:$A$36,sales_teams!C$2:C$36)</f>
        <v>West</v>
      </c>
      <c r="E5951" t="s">
        <v>20</v>
      </c>
      <c r="F5951" t="s">
        <v>124</v>
      </c>
      <c r="G5951" t="s">
        <v>12</v>
      </c>
      <c r="H5951" s="1">
        <v>42961</v>
      </c>
      <c r="I5951" s="1">
        <v>42966</v>
      </c>
      <c r="J5951">
        <v>551</v>
      </c>
    </row>
    <row r="5952" spans="1:10" x14ac:dyDescent="0.3">
      <c r="A5952" t="s">
        <v>6083</v>
      </c>
      <c r="B5952" t="s">
        <v>102</v>
      </c>
      <c r="C5952" t="str">
        <f>_xlfn.XLOOKUP(B5952,
[1]sales_teams!$A$2:$A$100,
[1]sales_teams!$B$2:$B$100)</f>
        <v>Cara Losch</v>
      </c>
      <c r="D5952" t="str">
        <f>_xlfn.XLOOKUP($B5952,sales_teams!$A$2:$A$36,sales_teams!C$2:C$36)</f>
        <v>East</v>
      </c>
      <c r="E5952" t="s">
        <v>39</v>
      </c>
      <c r="G5952" t="s">
        <v>40</v>
      </c>
      <c r="H5952" s="1">
        <v>42961</v>
      </c>
    </row>
    <row r="5953" spans="1:10" x14ac:dyDescent="0.3">
      <c r="A5953" t="s">
        <v>6084</v>
      </c>
      <c r="B5953" t="s">
        <v>23</v>
      </c>
      <c r="C5953" t="str">
        <f>_xlfn.XLOOKUP(B5953,
[1]sales_teams!$A$2:$A$100,
[1]sales_teams!$B$2:$B$100)</f>
        <v>Summer Sewald</v>
      </c>
      <c r="D5953" t="str">
        <f>_xlfn.XLOOKUP($B5953,sales_teams!$A$2:$A$36,sales_teams!C$2:C$36)</f>
        <v>West</v>
      </c>
      <c r="E5953" t="s">
        <v>18</v>
      </c>
      <c r="F5953" t="s">
        <v>313</v>
      </c>
      <c r="G5953" t="s">
        <v>46</v>
      </c>
      <c r="H5953" s="1">
        <v>42961</v>
      </c>
      <c r="I5953" s="1">
        <v>42965</v>
      </c>
      <c r="J5953">
        <v>0</v>
      </c>
    </row>
    <row r="5954" spans="1:10" x14ac:dyDescent="0.3">
      <c r="A5954" t="s">
        <v>6085</v>
      </c>
      <c r="B5954" t="s">
        <v>26</v>
      </c>
      <c r="C5954" t="str">
        <f>_xlfn.XLOOKUP(B5954,
[1]sales_teams!$A$2:$A$100,
[1]sales_teams!$B$2:$B$100)</f>
        <v>Dustin Brinkmann</v>
      </c>
      <c r="D5954" t="str">
        <f>_xlfn.XLOOKUP($B5954,sales_teams!$A$2:$A$36,sales_teams!C$2:C$36)</f>
        <v>Central</v>
      </c>
      <c r="E5954" t="s">
        <v>18</v>
      </c>
      <c r="G5954" t="s">
        <v>40</v>
      </c>
      <c r="H5954" s="1">
        <v>42962</v>
      </c>
    </row>
    <row r="5955" spans="1:10" x14ac:dyDescent="0.3">
      <c r="A5955" t="s">
        <v>6086</v>
      </c>
      <c r="B5955" t="s">
        <v>26</v>
      </c>
      <c r="C5955" t="str">
        <f>_xlfn.XLOOKUP(B5955,
[1]sales_teams!$A$2:$A$100,
[1]sales_teams!$B$2:$B$100)</f>
        <v>Dustin Brinkmann</v>
      </c>
      <c r="D5955" t="str">
        <f>_xlfn.XLOOKUP($B5955,sales_teams!$A$2:$A$36,sales_teams!C$2:C$36)</f>
        <v>Central</v>
      </c>
      <c r="E5955" t="s">
        <v>10</v>
      </c>
      <c r="F5955" t="s">
        <v>303</v>
      </c>
      <c r="G5955" t="s">
        <v>46</v>
      </c>
      <c r="H5955" s="1">
        <v>42962</v>
      </c>
      <c r="I5955" s="1">
        <v>43005</v>
      </c>
      <c r="J5955">
        <v>0</v>
      </c>
    </row>
    <row r="5956" spans="1:10" x14ac:dyDescent="0.3">
      <c r="A5956" t="s">
        <v>6087</v>
      </c>
      <c r="B5956" t="s">
        <v>26</v>
      </c>
      <c r="C5956" t="str">
        <f>_xlfn.XLOOKUP(B5956,
[1]sales_teams!$A$2:$A$100,
[1]sales_teams!$B$2:$B$100)</f>
        <v>Dustin Brinkmann</v>
      </c>
      <c r="D5956" t="str">
        <f>_xlfn.XLOOKUP($B5956,sales_teams!$A$2:$A$36,sales_teams!C$2:C$36)</f>
        <v>Central</v>
      </c>
      <c r="E5956" t="s">
        <v>48</v>
      </c>
      <c r="F5956" t="s">
        <v>318</v>
      </c>
      <c r="G5956" t="s">
        <v>46</v>
      </c>
      <c r="H5956" s="1">
        <v>42962</v>
      </c>
      <c r="I5956" s="1">
        <v>43054</v>
      </c>
      <c r="J5956">
        <v>0</v>
      </c>
    </row>
    <row r="5957" spans="1:10" x14ac:dyDescent="0.3">
      <c r="A5957" t="s">
        <v>6088</v>
      </c>
      <c r="B5957" t="s">
        <v>26</v>
      </c>
      <c r="C5957" t="str">
        <f>_xlfn.XLOOKUP(B5957,
[1]sales_teams!$A$2:$A$100,
[1]sales_teams!$B$2:$B$100)</f>
        <v>Dustin Brinkmann</v>
      </c>
      <c r="D5957" t="str">
        <f>_xlfn.XLOOKUP($B5957,sales_teams!$A$2:$A$36,sales_teams!C$2:C$36)</f>
        <v>Central</v>
      </c>
      <c r="E5957" t="s">
        <v>18</v>
      </c>
      <c r="F5957" t="s">
        <v>213</v>
      </c>
      <c r="G5957" t="s">
        <v>12</v>
      </c>
      <c r="H5957" s="1">
        <v>42962</v>
      </c>
      <c r="I5957" s="1">
        <v>43044</v>
      </c>
      <c r="J5957">
        <v>57</v>
      </c>
    </row>
    <row r="5958" spans="1:10" x14ac:dyDescent="0.3">
      <c r="A5958" t="s">
        <v>6089</v>
      </c>
      <c r="B5958" t="s">
        <v>118</v>
      </c>
      <c r="C5958" t="str">
        <f>_xlfn.XLOOKUP(B5958,
[1]sales_teams!$A$2:$A$100,
[1]sales_teams!$B$2:$B$100)</f>
        <v>Rocco Neubert</v>
      </c>
      <c r="D5958" t="str">
        <f>_xlfn.XLOOKUP($B5958,sales_teams!$A$2:$A$36,sales_teams!C$2:C$36)</f>
        <v>East</v>
      </c>
      <c r="E5958" t="s">
        <v>39</v>
      </c>
      <c r="G5958" t="s">
        <v>40</v>
      </c>
      <c r="H5958" s="1">
        <v>42962</v>
      </c>
    </row>
    <row r="5959" spans="1:10" x14ac:dyDescent="0.3">
      <c r="A5959" t="s">
        <v>6090</v>
      </c>
      <c r="B5959" t="s">
        <v>118</v>
      </c>
      <c r="C5959" t="str">
        <f>_xlfn.XLOOKUP(B5959,
[1]sales_teams!$A$2:$A$100,
[1]sales_teams!$B$2:$B$100)</f>
        <v>Rocco Neubert</v>
      </c>
      <c r="D5959" t="str">
        <f>_xlfn.XLOOKUP($B5959,sales_teams!$A$2:$A$36,sales_teams!C$2:C$36)</f>
        <v>East</v>
      </c>
      <c r="E5959" t="s">
        <v>20</v>
      </c>
      <c r="F5959" t="s">
        <v>237</v>
      </c>
      <c r="G5959" t="s">
        <v>12</v>
      </c>
      <c r="H5959" s="1">
        <v>42962</v>
      </c>
      <c r="I5959" s="1">
        <v>42972</v>
      </c>
      <c r="J5959">
        <v>552</v>
      </c>
    </row>
    <row r="5960" spans="1:10" x14ac:dyDescent="0.3">
      <c r="A5960" t="s">
        <v>6091</v>
      </c>
      <c r="B5960" t="s">
        <v>164</v>
      </c>
      <c r="C5960" t="str">
        <f>_xlfn.XLOOKUP(B5960,
[1]sales_teams!$A$2:$A$100,
[1]sales_teams!$B$2:$B$100)</f>
        <v>Cara Losch</v>
      </c>
      <c r="D5960" t="str">
        <f>_xlfn.XLOOKUP($B5960,sales_teams!$A$2:$A$36,sales_teams!C$2:C$36)</f>
        <v>East</v>
      </c>
      <c r="E5960" t="s">
        <v>39</v>
      </c>
      <c r="F5960" t="s">
        <v>218</v>
      </c>
      <c r="G5960" t="s">
        <v>46</v>
      </c>
      <c r="H5960" s="1">
        <v>42962</v>
      </c>
      <c r="I5960" s="1">
        <v>42975</v>
      </c>
      <c r="J5960">
        <v>0</v>
      </c>
    </row>
    <row r="5961" spans="1:10" x14ac:dyDescent="0.3">
      <c r="A5961" t="s">
        <v>6092</v>
      </c>
      <c r="B5961" t="s">
        <v>164</v>
      </c>
      <c r="C5961" t="str">
        <f>_xlfn.XLOOKUP(B5961,
[1]sales_teams!$A$2:$A$100,
[1]sales_teams!$B$2:$B$100)</f>
        <v>Cara Losch</v>
      </c>
      <c r="D5961" t="str">
        <f>_xlfn.XLOOKUP($B5961,sales_teams!$A$2:$A$36,sales_teams!C$2:C$36)</f>
        <v>East</v>
      </c>
      <c r="E5961" t="s">
        <v>48</v>
      </c>
      <c r="F5961" t="s">
        <v>103</v>
      </c>
      <c r="G5961" t="s">
        <v>12</v>
      </c>
      <c r="H5961" s="1">
        <v>42962</v>
      </c>
      <c r="I5961" s="1">
        <v>42979</v>
      </c>
      <c r="J5961">
        <v>4520</v>
      </c>
    </row>
    <row r="5962" spans="1:10" x14ac:dyDescent="0.3">
      <c r="A5962" t="s">
        <v>6093</v>
      </c>
      <c r="B5962" t="s">
        <v>164</v>
      </c>
      <c r="C5962" t="str">
        <f>_xlfn.XLOOKUP(B5962,
[1]sales_teams!$A$2:$A$100,
[1]sales_teams!$B$2:$B$100)</f>
        <v>Cara Losch</v>
      </c>
      <c r="D5962" t="str">
        <f>_xlfn.XLOOKUP($B5962,sales_teams!$A$2:$A$36,sales_teams!C$2:C$36)</f>
        <v>East</v>
      </c>
      <c r="E5962" t="s">
        <v>15</v>
      </c>
      <c r="F5962" t="s">
        <v>189</v>
      </c>
      <c r="G5962" t="s">
        <v>12</v>
      </c>
      <c r="H5962" s="1">
        <v>42962</v>
      </c>
      <c r="I5962" s="1">
        <v>43048</v>
      </c>
      <c r="J5962">
        <v>5868</v>
      </c>
    </row>
    <row r="5963" spans="1:10" x14ac:dyDescent="0.3">
      <c r="A5963" t="s">
        <v>6094</v>
      </c>
      <c r="B5963" t="s">
        <v>64</v>
      </c>
      <c r="C5963" t="str">
        <f>_xlfn.XLOOKUP(B5963,
[1]sales_teams!$A$2:$A$100,
[1]sales_teams!$B$2:$B$100)</f>
        <v>Rocco Neubert</v>
      </c>
      <c r="D5963" t="str">
        <f>_xlfn.XLOOKUP($B5963,sales_teams!$A$2:$A$36,sales_teams!C$2:C$36)</f>
        <v>East</v>
      </c>
      <c r="E5963" t="s">
        <v>39</v>
      </c>
      <c r="F5963" t="s">
        <v>165</v>
      </c>
      <c r="G5963" t="s">
        <v>12</v>
      </c>
      <c r="H5963" s="1">
        <v>42962</v>
      </c>
      <c r="I5963" s="1">
        <v>42969</v>
      </c>
      <c r="J5963">
        <v>2682</v>
      </c>
    </row>
    <row r="5964" spans="1:10" x14ac:dyDescent="0.3">
      <c r="A5964" t="s">
        <v>6095</v>
      </c>
      <c r="B5964" t="s">
        <v>14</v>
      </c>
      <c r="C5964" t="str">
        <f>_xlfn.XLOOKUP(B5964,
[1]sales_teams!$A$2:$A$100,
[1]sales_teams!$B$2:$B$100)</f>
        <v>Melvin Marxen</v>
      </c>
      <c r="D5964" t="str">
        <f>_xlfn.XLOOKUP($B5964,sales_teams!$A$2:$A$36,sales_teams!C$2:C$36)</f>
        <v>Central</v>
      </c>
      <c r="E5964" t="s">
        <v>10</v>
      </c>
      <c r="F5964" t="s">
        <v>197</v>
      </c>
      <c r="G5964" t="s">
        <v>46</v>
      </c>
      <c r="H5964" s="1">
        <v>42962</v>
      </c>
      <c r="I5964" s="1">
        <v>43072</v>
      </c>
      <c r="J5964">
        <v>0</v>
      </c>
    </row>
    <row r="5965" spans="1:10" x14ac:dyDescent="0.3">
      <c r="A5965" t="s">
        <v>6096</v>
      </c>
      <c r="B5965" t="s">
        <v>14</v>
      </c>
      <c r="C5965" t="str">
        <f>_xlfn.XLOOKUP(B5965,
[1]sales_teams!$A$2:$A$100,
[1]sales_teams!$B$2:$B$100)</f>
        <v>Melvin Marxen</v>
      </c>
      <c r="D5965" t="str">
        <f>_xlfn.XLOOKUP($B5965,sales_teams!$A$2:$A$36,sales_teams!C$2:C$36)</f>
        <v>Central</v>
      </c>
      <c r="E5965" t="s">
        <v>15</v>
      </c>
      <c r="F5965" t="s">
        <v>27</v>
      </c>
      <c r="G5965" t="s">
        <v>46</v>
      </c>
      <c r="H5965" s="1">
        <v>42962</v>
      </c>
      <c r="I5965" s="1">
        <v>43059</v>
      </c>
      <c r="J5965">
        <v>0</v>
      </c>
    </row>
    <row r="5966" spans="1:10" x14ac:dyDescent="0.3">
      <c r="A5966" t="s">
        <v>6097</v>
      </c>
      <c r="B5966" t="s">
        <v>14</v>
      </c>
      <c r="C5966" t="str">
        <f>_xlfn.XLOOKUP(B5966,
[1]sales_teams!$A$2:$A$100,
[1]sales_teams!$B$2:$B$100)</f>
        <v>Melvin Marxen</v>
      </c>
      <c r="D5966" t="str">
        <f>_xlfn.XLOOKUP($B5966,sales_teams!$A$2:$A$36,sales_teams!C$2:C$36)</f>
        <v>Central</v>
      </c>
      <c r="E5966" t="s">
        <v>10</v>
      </c>
      <c r="F5966" t="s">
        <v>126</v>
      </c>
      <c r="G5966" t="s">
        <v>12</v>
      </c>
      <c r="H5966" s="1">
        <v>42962</v>
      </c>
      <c r="I5966" s="1">
        <v>42972</v>
      </c>
      <c r="J5966">
        <v>1104</v>
      </c>
    </row>
    <row r="5967" spans="1:10" x14ac:dyDescent="0.3">
      <c r="A5967" t="s">
        <v>6098</v>
      </c>
      <c r="B5967" t="s">
        <v>14</v>
      </c>
      <c r="C5967" t="str">
        <f>_xlfn.XLOOKUP(B5967,
[1]sales_teams!$A$2:$A$100,
[1]sales_teams!$B$2:$B$100)</f>
        <v>Melvin Marxen</v>
      </c>
      <c r="D5967" t="str">
        <f>_xlfn.XLOOKUP($B5967,sales_teams!$A$2:$A$36,sales_teams!C$2:C$36)</f>
        <v>Central</v>
      </c>
      <c r="E5967" t="s">
        <v>15</v>
      </c>
      <c r="F5967" t="s">
        <v>213</v>
      </c>
      <c r="G5967" t="s">
        <v>12</v>
      </c>
      <c r="H5967" s="1">
        <v>42962</v>
      </c>
      <c r="I5967" s="1">
        <v>43048</v>
      </c>
      <c r="J5967">
        <v>5107</v>
      </c>
    </row>
    <row r="5968" spans="1:10" x14ac:dyDescent="0.3">
      <c r="A5968" t="s">
        <v>6099</v>
      </c>
      <c r="B5968" t="s">
        <v>142</v>
      </c>
      <c r="C5968" t="str">
        <f>_xlfn.XLOOKUP(B5968,
[1]sales_teams!$A$2:$A$100,
[1]sales_teams!$B$2:$B$100)</f>
        <v>Rocco Neubert</v>
      </c>
      <c r="D5968" t="str">
        <f>_xlfn.XLOOKUP($B5968,sales_teams!$A$2:$A$36,sales_teams!C$2:C$36)</f>
        <v>East</v>
      </c>
      <c r="E5968" t="s">
        <v>20</v>
      </c>
      <c r="F5968" t="s">
        <v>177</v>
      </c>
      <c r="G5968" t="s">
        <v>12</v>
      </c>
      <c r="H5968" s="1">
        <v>42962</v>
      </c>
      <c r="I5968" s="1">
        <v>43064</v>
      </c>
      <c r="J5968">
        <v>533</v>
      </c>
    </row>
    <row r="5969" spans="1:10" x14ac:dyDescent="0.3">
      <c r="A5969" t="s">
        <v>6100</v>
      </c>
      <c r="B5969" t="s">
        <v>142</v>
      </c>
      <c r="C5969" t="str">
        <f>_xlfn.XLOOKUP(B5969,
[1]sales_teams!$A$2:$A$100,
[1]sales_teams!$B$2:$B$100)</f>
        <v>Rocco Neubert</v>
      </c>
      <c r="D5969" t="str">
        <f>_xlfn.XLOOKUP($B5969,sales_teams!$A$2:$A$36,sales_teams!C$2:C$36)</f>
        <v>East</v>
      </c>
      <c r="E5969" t="s">
        <v>48</v>
      </c>
      <c r="F5969" t="s">
        <v>215</v>
      </c>
      <c r="G5969" t="s">
        <v>12</v>
      </c>
      <c r="H5969" s="1">
        <v>42962</v>
      </c>
      <c r="I5969" s="1">
        <v>43080</v>
      </c>
      <c r="J5969">
        <v>5454</v>
      </c>
    </row>
    <row r="5970" spans="1:10" x14ac:dyDescent="0.3">
      <c r="A5970" t="s">
        <v>6101</v>
      </c>
      <c r="B5970" t="s">
        <v>44</v>
      </c>
      <c r="C5970" t="str">
        <f>_xlfn.XLOOKUP(B5970,
[1]sales_teams!$A$2:$A$100,
[1]sales_teams!$B$2:$B$100)</f>
        <v>Melvin Marxen</v>
      </c>
      <c r="D5970" t="str">
        <f>_xlfn.XLOOKUP($B5970,sales_teams!$A$2:$A$36,sales_teams!C$2:C$36)</f>
        <v>Central</v>
      </c>
      <c r="E5970" t="s">
        <v>48</v>
      </c>
      <c r="F5970" t="s">
        <v>76</v>
      </c>
      <c r="G5970" t="s">
        <v>46</v>
      </c>
      <c r="H5970" s="1">
        <v>42962</v>
      </c>
      <c r="I5970" s="1">
        <v>42983</v>
      </c>
      <c r="J5970">
        <v>0</v>
      </c>
    </row>
    <row r="5971" spans="1:10" x14ac:dyDescent="0.3">
      <c r="A5971" t="s">
        <v>6102</v>
      </c>
      <c r="B5971" t="s">
        <v>44</v>
      </c>
      <c r="C5971" t="str">
        <f>_xlfn.XLOOKUP(B5971,
[1]sales_teams!$A$2:$A$100,
[1]sales_teams!$B$2:$B$100)</f>
        <v>Melvin Marxen</v>
      </c>
      <c r="D5971" t="str">
        <f>_xlfn.XLOOKUP($B5971,sales_teams!$A$2:$A$36,sales_teams!C$2:C$36)</f>
        <v>Central</v>
      </c>
      <c r="E5971" t="s">
        <v>15</v>
      </c>
      <c r="F5971" t="s">
        <v>91</v>
      </c>
      <c r="G5971" t="s">
        <v>46</v>
      </c>
      <c r="H5971" s="1">
        <v>42962</v>
      </c>
      <c r="I5971" s="1">
        <v>43040</v>
      </c>
      <c r="J5971">
        <v>0</v>
      </c>
    </row>
    <row r="5972" spans="1:10" x14ac:dyDescent="0.3">
      <c r="A5972" t="s">
        <v>6103</v>
      </c>
      <c r="B5972" t="s">
        <v>38</v>
      </c>
      <c r="C5972" t="str">
        <f>_xlfn.XLOOKUP(B5972,
[1]sales_teams!$A$2:$A$100,
[1]sales_teams!$B$2:$B$100)</f>
        <v>Summer Sewald</v>
      </c>
      <c r="D5972" t="str">
        <f>_xlfn.XLOOKUP($B5972,sales_teams!$A$2:$A$36,sales_teams!C$2:C$36)</f>
        <v>West</v>
      </c>
      <c r="E5972" t="s">
        <v>39</v>
      </c>
      <c r="G5972" t="s">
        <v>40</v>
      </c>
      <c r="H5972" s="1">
        <v>42962</v>
      </c>
    </row>
    <row r="5973" spans="1:10" x14ac:dyDescent="0.3">
      <c r="A5973" t="s">
        <v>6104</v>
      </c>
      <c r="B5973" t="s">
        <v>38</v>
      </c>
      <c r="C5973" t="str">
        <f>_xlfn.XLOOKUP(B5973,
[1]sales_teams!$A$2:$A$100,
[1]sales_teams!$B$2:$B$100)</f>
        <v>Summer Sewald</v>
      </c>
      <c r="D5973" t="str">
        <f>_xlfn.XLOOKUP($B5973,sales_teams!$A$2:$A$36,sales_teams!C$2:C$36)</f>
        <v>West</v>
      </c>
      <c r="E5973" t="s">
        <v>48</v>
      </c>
      <c r="F5973" t="s">
        <v>168</v>
      </c>
      <c r="G5973" t="s">
        <v>12</v>
      </c>
      <c r="H5973" s="1">
        <v>42962</v>
      </c>
      <c r="I5973" s="1">
        <v>42981</v>
      </c>
      <c r="J5973">
        <v>5533</v>
      </c>
    </row>
    <row r="5974" spans="1:10" x14ac:dyDescent="0.3">
      <c r="A5974" t="s">
        <v>6105</v>
      </c>
      <c r="B5974" t="s">
        <v>252</v>
      </c>
      <c r="C5974" t="str">
        <f>_xlfn.XLOOKUP(B5974,
[1]sales_teams!$A$2:$A$100,
[1]sales_teams!$B$2:$B$100)</f>
        <v>Melvin Marxen</v>
      </c>
      <c r="D5974" t="str">
        <f>_xlfn.XLOOKUP($B5974,sales_teams!$A$2:$A$36,sales_teams!C$2:C$36)</f>
        <v>Central</v>
      </c>
      <c r="E5974" t="s">
        <v>18</v>
      </c>
      <c r="F5974" t="s">
        <v>187</v>
      </c>
      <c r="G5974" t="s">
        <v>12</v>
      </c>
      <c r="H5974" s="1">
        <v>42962</v>
      </c>
      <c r="I5974" s="1">
        <v>43051</v>
      </c>
      <c r="J5974">
        <v>57</v>
      </c>
    </row>
    <row r="5975" spans="1:10" x14ac:dyDescent="0.3">
      <c r="A5975" t="s">
        <v>6106</v>
      </c>
      <c r="B5975" t="s">
        <v>78</v>
      </c>
      <c r="C5975" t="str">
        <f>_xlfn.XLOOKUP(B5975,
[1]sales_teams!$A$2:$A$100,
[1]sales_teams!$B$2:$B$100)</f>
        <v>Summer Sewald</v>
      </c>
      <c r="D5975" t="str">
        <f>_xlfn.XLOOKUP($B5975,sales_teams!$A$2:$A$36,sales_teams!C$2:C$36)</f>
        <v>West</v>
      </c>
      <c r="E5975" t="s">
        <v>20</v>
      </c>
      <c r="F5975" t="s">
        <v>59</v>
      </c>
      <c r="G5975" t="s">
        <v>12</v>
      </c>
      <c r="H5975" s="1">
        <v>42962</v>
      </c>
      <c r="I5975" s="1">
        <v>42970</v>
      </c>
      <c r="J5975">
        <v>557</v>
      </c>
    </row>
    <row r="5976" spans="1:10" x14ac:dyDescent="0.3">
      <c r="A5976" t="s">
        <v>6107</v>
      </c>
      <c r="B5976" t="s">
        <v>133</v>
      </c>
      <c r="C5976" t="str">
        <f>_xlfn.XLOOKUP(B5976,
[1]sales_teams!$A$2:$A$100,
[1]sales_teams!$B$2:$B$100)</f>
        <v>Dustin Brinkmann</v>
      </c>
      <c r="D5976" t="str">
        <f>_xlfn.XLOOKUP($B5976,sales_teams!$A$2:$A$36,sales_teams!C$2:C$36)</f>
        <v>Central</v>
      </c>
      <c r="E5976" t="s">
        <v>20</v>
      </c>
      <c r="G5976" t="s">
        <v>40</v>
      </c>
      <c r="H5976" s="1">
        <v>42962</v>
      </c>
    </row>
    <row r="5977" spans="1:10" x14ac:dyDescent="0.3">
      <c r="A5977" t="s">
        <v>6108</v>
      </c>
      <c r="B5977" t="s">
        <v>32</v>
      </c>
      <c r="C5977" t="str">
        <f>_xlfn.XLOOKUP(B5977,
[1]sales_teams!$A$2:$A$100,
[1]sales_teams!$B$2:$B$100)</f>
        <v>Celia Rouche</v>
      </c>
      <c r="D5977" t="str">
        <f>_xlfn.XLOOKUP($B5977,sales_teams!$A$2:$A$36,sales_teams!C$2:C$36)</f>
        <v>West</v>
      </c>
      <c r="E5977" t="s">
        <v>48</v>
      </c>
      <c r="G5977" t="s">
        <v>40</v>
      </c>
      <c r="H5977" s="1">
        <v>42962</v>
      </c>
    </row>
    <row r="5978" spans="1:10" x14ac:dyDescent="0.3">
      <c r="A5978" t="s">
        <v>6109</v>
      </c>
      <c r="B5978" t="s">
        <v>32</v>
      </c>
      <c r="C5978" t="str">
        <f>_xlfn.XLOOKUP(B5978,
[1]sales_teams!$A$2:$A$100,
[1]sales_teams!$B$2:$B$100)</f>
        <v>Celia Rouche</v>
      </c>
      <c r="D5978" t="str">
        <f>_xlfn.XLOOKUP($B5978,sales_teams!$A$2:$A$36,sales_teams!C$2:C$36)</f>
        <v>West</v>
      </c>
      <c r="E5978" t="s">
        <v>10</v>
      </c>
      <c r="F5978" t="s">
        <v>59</v>
      </c>
      <c r="G5978" t="s">
        <v>46</v>
      </c>
      <c r="H5978" s="1">
        <v>42962</v>
      </c>
      <c r="I5978" s="1">
        <v>43051</v>
      </c>
      <c r="J5978">
        <v>0</v>
      </c>
    </row>
    <row r="5979" spans="1:10" x14ac:dyDescent="0.3">
      <c r="A5979" t="s">
        <v>6110</v>
      </c>
      <c r="B5979" t="s">
        <v>32</v>
      </c>
      <c r="C5979" t="str">
        <f>_xlfn.XLOOKUP(B5979,
[1]sales_teams!$A$2:$A$100,
[1]sales_teams!$B$2:$B$100)</f>
        <v>Celia Rouche</v>
      </c>
      <c r="D5979" t="str">
        <f>_xlfn.XLOOKUP($B5979,sales_teams!$A$2:$A$36,sales_teams!C$2:C$36)</f>
        <v>West</v>
      </c>
      <c r="E5979" t="s">
        <v>39</v>
      </c>
      <c r="F5979" t="s">
        <v>70</v>
      </c>
      <c r="G5979" t="s">
        <v>12</v>
      </c>
      <c r="H5979" s="1">
        <v>42962</v>
      </c>
      <c r="I5979" s="1">
        <v>42973</v>
      </c>
      <c r="J5979">
        <v>3271</v>
      </c>
    </row>
    <row r="5980" spans="1:10" x14ac:dyDescent="0.3">
      <c r="A5980" t="s">
        <v>6111</v>
      </c>
      <c r="B5980" t="s">
        <v>116</v>
      </c>
      <c r="C5980" t="str">
        <f>_xlfn.XLOOKUP(B5980,
[1]sales_teams!$A$2:$A$100,
[1]sales_teams!$B$2:$B$100)</f>
        <v>Melvin Marxen</v>
      </c>
      <c r="D5980" t="str">
        <f>_xlfn.XLOOKUP($B5980,sales_teams!$A$2:$A$36,sales_teams!C$2:C$36)</f>
        <v>Central</v>
      </c>
      <c r="E5980" t="s">
        <v>48</v>
      </c>
      <c r="F5980" t="s">
        <v>16</v>
      </c>
      <c r="G5980" t="s">
        <v>46</v>
      </c>
      <c r="H5980" s="1">
        <v>42962</v>
      </c>
      <c r="I5980" s="1">
        <v>42974</v>
      </c>
      <c r="J5980">
        <v>0</v>
      </c>
    </row>
    <row r="5981" spans="1:10" x14ac:dyDescent="0.3">
      <c r="A5981" t="s">
        <v>6112</v>
      </c>
      <c r="B5981" t="s">
        <v>9</v>
      </c>
      <c r="C5981" t="str">
        <f>_xlfn.XLOOKUP(B5981,
[1]sales_teams!$A$2:$A$100,
[1]sales_teams!$B$2:$B$100)</f>
        <v>Dustin Brinkmann</v>
      </c>
      <c r="D5981" t="str">
        <f>_xlfn.XLOOKUP($B5981,sales_teams!$A$2:$A$36,sales_teams!C$2:C$36)</f>
        <v>Central</v>
      </c>
      <c r="E5981" t="s">
        <v>18</v>
      </c>
      <c r="F5981" t="s">
        <v>21</v>
      </c>
      <c r="G5981" t="s">
        <v>46</v>
      </c>
      <c r="H5981" s="1">
        <v>42962</v>
      </c>
      <c r="I5981" s="1">
        <v>43049</v>
      </c>
      <c r="J5981">
        <v>0</v>
      </c>
    </row>
    <row r="5982" spans="1:10" x14ac:dyDescent="0.3">
      <c r="A5982" t="s">
        <v>6113</v>
      </c>
      <c r="B5982" t="s">
        <v>9</v>
      </c>
      <c r="C5982" t="str">
        <f>_xlfn.XLOOKUP(B5982,
[1]sales_teams!$A$2:$A$100,
[1]sales_teams!$B$2:$B$100)</f>
        <v>Dustin Brinkmann</v>
      </c>
      <c r="D5982" t="str">
        <f>_xlfn.XLOOKUP($B5982,sales_teams!$A$2:$A$36,sales_teams!C$2:C$36)</f>
        <v>Central</v>
      </c>
      <c r="E5982" t="s">
        <v>20</v>
      </c>
      <c r="F5982" t="s">
        <v>231</v>
      </c>
      <c r="G5982" t="s">
        <v>12</v>
      </c>
      <c r="H5982" s="1">
        <v>42962</v>
      </c>
      <c r="I5982" s="1">
        <v>43087</v>
      </c>
      <c r="J5982">
        <v>716</v>
      </c>
    </row>
    <row r="5983" spans="1:10" x14ac:dyDescent="0.3">
      <c r="A5983" t="s">
        <v>6114</v>
      </c>
      <c r="B5983" t="s">
        <v>35</v>
      </c>
      <c r="C5983" t="str">
        <f>_xlfn.XLOOKUP(B5983,
[1]sales_teams!$A$2:$A$100,
[1]sales_teams!$B$2:$B$100)</f>
        <v>Melvin Marxen</v>
      </c>
      <c r="D5983" t="str">
        <f>_xlfn.XLOOKUP($B5983,sales_teams!$A$2:$A$36,sales_teams!C$2:C$36)</f>
        <v>Central</v>
      </c>
      <c r="E5983" t="s">
        <v>10</v>
      </c>
      <c r="G5983" t="s">
        <v>40</v>
      </c>
      <c r="H5983" s="1">
        <v>42962</v>
      </c>
    </row>
    <row r="5984" spans="1:10" x14ac:dyDescent="0.3">
      <c r="A5984" t="s">
        <v>6115</v>
      </c>
      <c r="B5984" t="s">
        <v>35</v>
      </c>
      <c r="C5984" t="str">
        <f>_xlfn.XLOOKUP(B5984,
[1]sales_teams!$A$2:$A$100,
[1]sales_teams!$B$2:$B$100)</f>
        <v>Melvin Marxen</v>
      </c>
      <c r="D5984" t="str">
        <f>_xlfn.XLOOKUP($B5984,sales_teams!$A$2:$A$36,sales_teams!C$2:C$36)</f>
        <v>Central</v>
      </c>
      <c r="E5984" t="s">
        <v>15</v>
      </c>
      <c r="G5984" t="s">
        <v>40</v>
      </c>
      <c r="H5984" s="1">
        <v>42962</v>
      </c>
    </row>
    <row r="5985" spans="1:10" x14ac:dyDescent="0.3">
      <c r="A5985" t="s">
        <v>6116</v>
      </c>
      <c r="B5985" t="s">
        <v>97</v>
      </c>
      <c r="C5985" t="str">
        <f>_xlfn.XLOOKUP(B5985,
[1]sales_teams!$A$2:$A$100,
[1]sales_teams!$B$2:$B$100)</f>
        <v>Rocco Neubert</v>
      </c>
      <c r="D5985" t="str">
        <f>_xlfn.XLOOKUP($B5985,sales_teams!$A$2:$A$36,sales_teams!C$2:C$36)</f>
        <v>East</v>
      </c>
      <c r="E5985" t="s">
        <v>10</v>
      </c>
      <c r="F5985" t="s">
        <v>373</v>
      </c>
      <c r="G5985" t="s">
        <v>12</v>
      </c>
      <c r="H5985" s="1">
        <v>42962</v>
      </c>
      <c r="I5985" s="1">
        <v>42981</v>
      </c>
      <c r="J5985">
        <v>1024</v>
      </c>
    </row>
    <row r="5986" spans="1:10" x14ac:dyDescent="0.3">
      <c r="A5986" t="s">
        <v>6117</v>
      </c>
      <c r="B5986" t="s">
        <v>97</v>
      </c>
      <c r="C5986" t="str">
        <f>_xlfn.XLOOKUP(B5986,
[1]sales_teams!$A$2:$A$100,
[1]sales_teams!$B$2:$B$100)</f>
        <v>Rocco Neubert</v>
      </c>
      <c r="D5986" t="str">
        <f>_xlfn.XLOOKUP($B5986,sales_teams!$A$2:$A$36,sales_teams!C$2:C$36)</f>
        <v>East</v>
      </c>
      <c r="E5986" t="s">
        <v>15</v>
      </c>
      <c r="F5986" t="s">
        <v>106</v>
      </c>
      <c r="G5986" t="s">
        <v>12</v>
      </c>
      <c r="H5986" s="1">
        <v>42962</v>
      </c>
      <c r="I5986" s="1">
        <v>42970</v>
      </c>
      <c r="J5986">
        <v>4545</v>
      </c>
    </row>
    <row r="5987" spans="1:10" x14ac:dyDescent="0.3">
      <c r="A5987" t="s">
        <v>6118</v>
      </c>
      <c r="B5987" t="s">
        <v>88</v>
      </c>
      <c r="C5987" t="str">
        <f>_xlfn.XLOOKUP(B5987,
[1]sales_teams!$A$2:$A$100,
[1]sales_teams!$B$2:$B$100)</f>
        <v>Cara Losch</v>
      </c>
      <c r="D5987" t="str">
        <f>_xlfn.XLOOKUP($B5987,sales_teams!$A$2:$A$36,sales_teams!C$2:C$36)</f>
        <v>East</v>
      </c>
      <c r="E5987" t="s">
        <v>18</v>
      </c>
      <c r="F5987" t="s">
        <v>98</v>
      </c>
      <c r="G5987" t="s">
        <v>46</v>
      </c>
      <c r="H5987" s="1">
        <v>42962</v>
      </c>
      <c r="I5987" s="1">
        <v>43056</v>
      </c>
      <c r="J5987">
        <v>0</v>
      </c>
    </row>
    <row r="5988" spans="1:10" x14ac:dyDescent="0.3">
      <c r="A5988" t="s">
        <v>6119</v>
      </c>
      <c r="B5988" t="s">
        <v>61</v>
      </c>
      <c r="C5988" t="str">
        <f>_xlfn.XLOOKUP(B5988,
[1]sales_teams!$A$2:$A$100,
[1]sales_teams!$B$2:$B$100)</f>
        <v>Dustin Brinkmann</v>
      </c>
      <c r="D5988" t="str">
        <f>_xlfn.XLOOKUP($B5988,sales_teams!$A$2:$A$36,sales_teams!C$2:C$36)</f>
        <v>Central</v>
      </c>
      <c r="E5988" t="s">
        <v>18</v>
      </c>
      <c r="F5988" t="s">
        <v>129</v>
      </c>
      <c r="G5988" t="s">
        <v>40</v>
      </c>
      <c r="H5988" s="1">
        <v>42962</v>
      </c>
    </row>
    <row r="5989" spans="1:10" x14ac:dyDescent="0.3">
      <c r="A5989" t="s">
        <v>6120</v>
      </c>
      <c r="B5989" t="s">
        <v>29</v>
      </c>
      <c r="C5989" t="str">
        <f>_xlfn.XLOOKUP(B5989,
[1]sales_teams!$A$2:$A$100,
[1]sales_teams!$B$2:$B$100)</f>
        <v>Celia Rouche</v>
      </c>
      <c r="D5989" t="str">
        <f>_xlfn.XLOOKUP($B5989,sales_teams!$A$2:$A$36,sales_teams!C$2:C$36)</f>
        <v>West</v>
      </c>
      <c r="E5989" t="s">
        <v>15</v>
      </c>
      <c r="G5989" t="s">
        <v>40</v>
      </c>
      <c r="H5989" s="1">
        <v>42962</v>
      </c>
    </row>
    <row r="5990" spans="1:10" x14ac:dyDescent="0.3">
      <c r="A5990" t="s">
        <v>6121</v>
      </c>
      <c r="B5990" t="s">
        <v>29</v>
      </c>
      <c r="C5990" t="str">
        <f>_xlfn.XLOOKUP(B5990,
[1]sales_teams!$A$2:$A$100,
[1]sales_teams!$B$2:$B$100)</f>
        <v>Celia Rouche</v>
      </c>
      <c r="D5990" t="str">
        <f>_xlfn.XLOOKUP($B5990,sales_teams!$A$2:$A$36,sales_teams!C$2:C$36)</f>
        <v>West</v>
      </c>
      <c r="E5990" t="s">
        <v>15</v>
      </c>
      <c r="F5990" t="s">
        <v>194</v>
      </c>
      <c r="G5990" t="s">
        <v>46</v>
      </c>
      <c r="H5990" s="1">
        <v>42962</v>
      </c>
      <c r="I5990" s="1">
        <v>42970</v>
      </c>
      <c r="J5990">
        <v>0</v>
      </c>
    </row>
    <row r="5991" spans="1:10" x14ac:dyDescent="0.3">
      <c r="A5991" t="s">
        <v>6122</v>
      </c>
      <c r="B5991" t="s">
        <v>73</v>
      </c>
      <c r="C5991" t="str">
        <f>_xlfn.XLOOKUP(B5991,
[1]sales_teams!$A$2:$A$100,
[1]sales_teams!$B$2:$B$100)</f>
        <v>Cara Losch</v>
      </c>
      <c r="D5991" t="str">
        <f>_xlfn.XLOOKUP($B5991,sales_teams!$A$2:$A$36,sales_teams!C$2:C$36)</f>
        <v>East</v>
      </c>
      <c r="E5991" t="s">
        <v>18</v>
      </c>
      <c r="F5991" t="s">
        <v>209</v>
      </c>
      <c r="G5991" t="s">
        <v>12</v>
      </c>
      <c r="H5991" s="1">
        <v>42962</v>
      </c>
      <c r="I5991" s="1">
        <v>43062</v>
      </c>
      <c r="J5991">
        <v>55</v>
      </c>
    </row>
    <row r="5992" spans="1:10" x14ac:dyDescent="0.3">
      <c r="A5992" t="s">
        <v>6123</v>
      </c>
      <c r="B5992" t="s">
        <v>23</v>
      </c>
      <c r="C5992" t="str">
        <f>_xlfn.XLOOKUP(B5992,
[1]sales_teams!$A$2:$A$100,
[1]sales_teams!$B$2:$B$100)</f>
        <v>Summer Sewald</v>
      </c>
      <c r="D5992" t="str">
        <f>_xlfn.XLOOKUP($B5992,sales_teams!$A$2:$A$36,sales_teams!C$2:C$36)</f>
        <v>West</v>
      </c>
      <c r="E5992" t="s">
        <v>15</v>
      </c>
      <c r="F5992" t="s">
        <v>100</v>
      </c>
      <c r="G5992" t="s">
        <v>40</v>
      </c>
      <c r="H5992" s="1">
        <v>42962</v>
      </c>
    </row>
    <row r="5993" spans="1:10" x14ac:dyDescent="0.3">
      <c r="A5993" t="s">
        <v>6124</v>
      </c>
      <c r="B5993" t="s">
        <v>26</v>
      </c>
      <c r="C5993" t="str">
        <f>_xlfn.XLOOKUP(B5993,
[1]sales_teams!$A$2:$A$100,
[1]sales_teams!$B$2:$B$100)</f>
        <v>Dustin Brinkmann</v>
      </c>
      <c r="D5993" t="str">
        <f>_xlfn.XLOOKUP($B5993,sales_teams!$A$2:$A$36,sales_teams!C$2:C$36)</f>
        <v>Central</v>
      </c>
      <c r="E5993" t="s">
        <v>18</v>
      </c>
      <c r="F5993" t="s">
        <v>62</v>
      </c>
      <c r="G5993" t="s">
        <v>12</v>
      </c>
      <c r="H5993" s="1">
        <v>42963</v>
      </c>
      <c r="I5993" s="1">
        <v>42976</v>
      </c>
      <c r="J5993">
        <v>53</v>
      </c>
    </row>
    <row r="5994" spans="1:10" x14ac:dyDescent="0.3">
      <c r="A5994" t="s">
        <v>6125</v>
      </c>
      <c r="B5994" t="s">
        <v>139</v>
      </c>
      <c r="C5994" t="str">
        <f>_xlfn.XLOOKUP(B5994,
[1]sales_teams!$A$2:$A$100,
[1]sales_teams!$B$2:$B$100)</f>
        <v>Rocco Neubert</v>
      </c>
      <c r="D5994" t="str">
        <f>_xlfn.XLOOKUP($B5994,sales_teams!$A$2:$A$36,sales_teams!C$2:C$36)</f>
        <v>East</v>
      </c>
      <c r="E5994" t="s">
        <v>10</v>
      </c>
      <c r="F5994" t="s">
        <v>111</v>
      </c>
      <c r="G5994" t="s">
        <v>40</v>
      </c>
      <c r="H5994" s="1">
        <v>42963</v>
      </c>
    </row>
    <row r="5995" spans="1:10" x14ac:dyDescent="0.3">
      <c r="A5995" t="s">
        <v>6126</v>
      </c>
      <c r="B5995" t="s">
        <v>139</v>
      </c>
      <c r="C5995" t="str">
        <f>_xlfn.XLOOKUP(B5995,
[1]sales_teams!$A$2:$A$100,
[1]sales_teams!$B$2:$B$100)</f>
        <v>Rocco Neubert</v>
      </c>
      <c r="D5995" t="str">
        <f>_xlfn.XLOOKUP($B5995,sales_teams!$A$2:$A$36,sales_teams!C$2:C$36)</f>
        <v>East</v>
      </c>
      <c r="E5995" t="s">
        <v>15</v>
      </c>
      <c r="F5995" t="s">
        <v>155</v>
      </c>
      <c r="G5995" t="s">
        <v>12</v>
      </c>
      <c r="H5995" s="1">
        <v>42963</v>
      </c>
      <c r="I5995" s="1">
        <v>43065</v>
      </c>
      <c r="J5995">
        <v>4732</v>
      </c>
    </row>
    <row r="5996" spans="1:10" x14ac:dyDescent="0.3">
      <c r="A5996" t="s">
        <v>6127</v>
      </c>
      <c r="B5996" t="s">
        <v>118</v>
      </c>
      <c r="C5996" t="str">
        <f>_xlfn.XLOOKUP(B5996,
[1]sales_teams!$A$2:$A$100,
[1]sales_teams!$B$2:$B$100)</f>
        <v>Rocco Neubert</v>
      </c>
      <c r="D5996" t="str">
        <f>_xlfn.XLOOKUP($B5996,sales_teams!$A$2:$A$36,sales_teams!C$2:C$36)</f>
        <v>East</v>
      </c>
      <c r="E5996" t="s">
        <v>20</v>
      </c>
      <c r="F5996" t="s">
        <v>373</v>
      </c>
      <c r="G5996" t="s">
        <v>12</v>
      </c>
      <c r="H5996" s="1">
        <v>42963</v>
      </c>
      <c r="I5996" s="1">
        <v>43055</v>
      </c>
      <c r="J5996">
        <v>578</v>
      </c>
    </row>
    <row r="5997" spans="1:10" x14ac:dyDescent="0.3">
      <c r="A5997" t="s">
        <v>6128</v>
      </c>
      <c r="B5997" t="s">
        <v>78</v>
      </c>
      <c r="C5997" t="str">
        <f>_xlfn.XLOOKUP(B5997,
[1]sales_teams!$A$2:$A$100,
[1]sales_teams!$B$2:$B$100)</f>
        <v>Summer Sewald</v>
      </c>
      <c r="D5997" t="str">
        <f>_xlfn.XLOOKUP($B5997,sales_teams!$A$2:$A$36,sales_teams!C$2:C$36)</f>
        <v>West</v>
      </c>
      <c r="E5997" t="s">
        <v>20</v>
      </c>
      <c r="F5997" t="s">
        <v>313</v>
      </c>
      <c r="G5997" t="s">
        <v>12</v>
      </c>
      <c r="H5997" s="1">
        <v>42963</v>
      </c>
      <c r="I5997" s="1">
        <v>42970</v>
      </c>
      <c r="J5997">
        <v>557</v>
      </c>
    </row>
    <row r="5998" spans="1:10" x14ac:dyDescent="0.3">
      <c r="A5998" t="s">
        <v>6129</v>
      </c>
      <c r="B5998" t="s">
        <v>78</v>
      </c>
      <c r="C5998" t="str">
        <f>_xlfn.XLOOKUP(B5998,
[1]sales_teams!$A$2:$A$100,
[1]sales_teams!$B$2:$B$100)</f>
        <v>Summer Sewald</v>
      </c>
      <c r="D5998" t="str">
        <f>_xlfn.XLOOKUP($B5998,sales_teams!$A$2:$A$36,sales_teams!C$2:C$36)</f>
        <v>West</v>
      </c>
      <c r="E5998" t="s">
        <v>18</v>
      </c>
      <c r="F5998" t="s">
        <v>55</v>
      </c>
      <c r="G5998" t="s">
        <v>12</v>
      </c>
      <c r="H5998" s="1">
        <v>42963</v>
      </c>
      <c r="I5998" s="1">
        <v>42982</v>
      </c>
      <c r="J5998">
        <v>57</v>
      </c>
    </row>
    <row r="5999" spans="1:10" x14ac:dyDescent="0.3">
      <c r="A5999" t="s">
        <v>6130</v>
      </c>
      <c r="B5999" t="s">
        <v>32</v>
      </c>
      <c r="C5999" t="str">
        <f>_xlfn.XLOOKUP(B5999,
[1]sales_teams!$A$2:$A$100,
[1]sales_teams!$B$2:$B$100)</f>
        <v>Celia Rouche</v>
      </c>
      <c r="D5999" t="str">
        <f>_xlfn.XLOOKUP($B5999,sales_teams!$A$2:$A$36,sales_teams!C$2:C$36)</f>
        <v>West</v>
      </c>
      <c r="E5999" t="s">
        <v>20</v>
      </c>
      <c r="F5999" t="s">
        <v>155</v>
      </c>
      <c r="G5999" t="s">
        <v>46</v>
      </c>
      <c r="H5999" s="1">
        <v>42963</v>
      </c>
      <c r="I5999" s="1">
        <v>42973</v>
      </c>
      <c r="J5999">
        <v>0</v>
      </c>
    </row>
    <row r="6000" spans="1:10" x14ac:dyDescent="0.3">
      <c r="A6000" t="s">
        <v>6131</v>
      </c>
      <c r="B6000" t="s">
        <v>88</v>
      </c>
      <c r="C6000" t="str">
        <f>_xlfn.XLOOKUP(B6000,
[1]sales_teams!$A$2:$A$100,
[1]sales_teams!$B$2:$B$100)</f>
        <v>Cara Losch</v>
      </c>
      <c r="D6000" t="str">
        <f>_xlfn.XLOOKUP($B6000,sales_teams!$A$2:$A$36,sales_teams!C$2:C$36)</f>
        <v>East</v>
      </c>
      <c r="E6000" t="s">
        <v>20</v>
      </c>
      <c r="F6000" t="s">
        <v>155</v>
      </c>
      <c r="G6000" t="s">
        <v>12</v>
      </c>
      <c r="H6000" s="1">
        <v>42963</v>
      </c>
      <c r="I6000" s="1">
        <v>43002</v>
      </c>
      <c r="J6000">
        <v>501</v>
      </c>
    </row>
    <row r="6001" spans="1:10" x14ac:dyDescent="0.3">
      <c r="A6001" t="s">
        <v>6132</v>
      </c>
      <c r="B6001" t="s">
        <v>61</v>
      </c>
      <c r="C6001" t="str">
        <f>_xlfn.XLOOKUP(B6001,
[1]sales_teams!$A$2:$A$100,
[1]sales_teams!$B$2:$B$100)</f>
        <v>Dustin Brinkmann</v>
      </c>
      <c r="D6001" t="str">
        <f>_xlfn.XLOOKUP($B6001,sales_teams!$A$2:$A$36,sales_teams!C$2:C$36)</f>
        <v>Central</v>
      </c>
      <c r="E6001" t="s">
        <v>10</v>
      </c>
      <c r="F6001" t="s">
        <v>151</v>
      </c>
      <c r="G6001" t="s">
        <v>12</v>
      </c>
      <c r="H6001" s="1">
        <v>42963</v>
      </c>
      <c r="I6001" s="1">
        <v>42976</v>
      </c>
      <c r="J6001">
        <v>1084</v>
      </c>
    </row>
    <row r="6002" spans="1:10" x14ac:dyDescent="0.3">
      <c r="A6002" t="s">
        <v>6133</v>
      </c>
      <c r="B6002" t="s">
        <v>61</v>
      </c>
      <c r="C6002" t="str">
        <f>_xlfn.XLOOKUP(B6002,
[1]sales_teams!$A$2:$A$100,
[1]sales_teams!$B$2:$B$100)</f>
        <v>Dustin Brinkmann</v>
      </c>
      <c r="D6002" t="str">
        <f>_xlfn.XLOOKUP($B6002,sales_teams!$A$2:$A$36,sales_teams!C$2:C$36)</f>
        <v>Central</v>
      </c>
      <c r="E6002" t="s">
        <v>18</v>
      </c>
      <c r="F6002" t="s">
        <v>197</v>
      </c>
      <c r="G6002" t="s">
        <v>12</v>
      </c>
      <c r="H6002" s="1">
        <v>42963</v>
      </c>
      <c r="I6002" s="1">
        <v>42980</v>
      </c>
      <c r="J6002">
        <v>56</v>
      </c>
    </row>
    <row r="6003" spans="1:10" x14ac:dyDescent="0.3">
      <c r="A6003" t="s">
        <v>6134</v>
      </c>
      <c r="B6003" t="s">
        <v>29</v>
      </c>
      <c r="C6003" t="str">
        <f>_xlfn.XLOOKUP(B6003,
[1]sales_teams!$A$2:$A$100,
[1]sales_teams!$B$2:$B$100)</f>
        <v>Celia Rouche</v>
      </c>
      <c r="D6003" t="str">
        <f>_xlfn.XLOOKUP($B6003,sales_teams!$A$2:$A$36,sales_teams!C$2:C$36)</f>
        <v>West</v>
      </c>
      <c r="E6003" t="s">
        <v>18</v>
      </c>
      <c r="G6003" t="s">
        <v>40</v>
      </c>
      <c r="H6003" s="1">
        <v>42963</v>
      </c>
    </row>
    <row r="6004" spans="1:10" x14ac:dyDescent="0.3">
      <c r="A6004" t="s">
        <v>6135</v>
      </c>
      <c r="B6004" t="s">
        <v>23</v>
      </c>
      <c r="C6004" t="str">
        <f>_xlfn.XLOOKUP(B6004,
[1]sales_teams!$A$2:$A$100,
[1]sales_teams!$B$2:$B$100)</f>
        <v>Summer Sewald</v>
      </c>
      <c r="D6004" t="str">
        <f>_xlfn.XLOOKUP($B6004,sales_teams!$A$2:$A$36,sales_teams!C$2:C$36)</f>
        <v>West</v>
      </c>
      <c r="E6004" t="s">
        <v>20</v>
      </c>
      <c r="F6004" t="s">
        <v>273</v>
      </c>
      <c r="G6004" t="s">
        <v>46</v>
      </c>
      <c r="H6004" s="1">
        <v>42963</v>
      </c>
      <c r="I6004" s="1">
        <v>43052</v>
      </c>
      <c r="J6004">
        <v>0</v>
      </c>
    </row>
    <row r="6005" spans="1:10" x14ac:dyDescent="0.3">
      <c r="A6005" t="s">
        <v>6136</v>
      </c>
      <c r="B6005" t="s">
        <v>26</v>
      </c>
      <c r="C6005" t="str">
        <f>_xlfn.XLOOKUP(B6005,
[1]sales_teams!$A$2:$A$100,
[1]sales_teams!$B$2:$B$100)</f>
        <v>Dustin Brinkmann</v>
      </c>
      <c r="D6005" t="str">
        <f>_xlfn.XLOOKUP($B6005,sales_teams!$A$2:$A$36,sales_teams!C$2:C$36)</f>
        <v>Central</v>
      </c>
      <c r="E6005" t="s">
        <v>48</v>
      </c>
      <c r="F6005" t="s">
        <v>315</v>
      </c>
      <c r="G6005" t="s">
        <v>12</v>
      </c>
      <c r="H6005" s="1">
        <v>42964</v>
      </c>
      <c r="I6005" s="1">
        <v>43061</v>
      </c>
      <c r="J6005">
        <v>5468</v>
      </c>
    </row>
    <row r="6006" spans="1:10" x14ac:dyDescent="0.3">
      <c r="A6006" t="s">
        <v>6137</v>
      </c>
      <c r="B6006" t="s">
        <v>118</v>
      </c>
      <c r="C6006" t="str">
        <f>_xlfn.XLOOKUP(B6006,
[1]sales_teams!$A$2:$A$100,
[1]sales_teams!$B$2:$B$100)</f>
        <v>Rocco Neubert</v>
      </c>
      <c r="D6006" t="str">
        <f>_xlfn.XLOOKUP($B6006,sales_teams!$A$2:$A$36,sales_teams!C$2:C$36)</f>
        <v>East</v>
      </c>
      <c r="E6006" t="s">
        <v>20</v>
      </c>
      <c r="G6006" t="s">
        <v>40</v>
      </c>
      <c r="H6006" s="1">
        <v>42964</v>
      </c>
    </row>
    <row r="6007" spans="1:10" x14ac:dyDescent="0.3">
      <c r="A6007" t="s">
        <v>6138</v>
      </c>
      <c r="B6007" t="s">
        <v>118</v>
      </c>
      <c r="C6007" t="str">
        <f>_xlfn.XLOOKUP(B6007,
[1]sales_teams!$A$2:$A$100,
[1]sales_teams!$B$2:$B$100)</f>
        <v>Rocco Neubert</v>
      </c>
      <c r="D6007" t="str">
        <f>_xlfn.XLOOKUP($B6007,sales_teams!$A$2:$A$36,sales_teams!C$2:C$36)</f>
        <v>East</v>
      </c>
      <c r="E6007" t="s">
        <v>10</v>
      </c>
      <c r="F6007" t="s">
        <v>68</v>
      </c>
      <c r="G6007" t="s">
        <v>40</v>
      </c>
      <c r="H6007" s="1">
        <v>42964</v>
      </c>
    </row>
    <row r="6008" spans="1:10" x14ac:dyDescent="0.3">
      <c r="A6008" t="s">
        <v>6139</v>
      </c>
      <c r="B6008" t="s">
        <v>118</v>
      </c>
      <c r="C6008" t="str">
        <f>_xlfn.XLOOKUP(B6008,
[1]sales_teams!$A$2:$A$100,
[1]sales_teams!$B$2:$B$100)</f>
        <v>Rocco Neubert</v>
      </c>
      <c r="D6008" t="str">
        <f>_xlfn.XLOOKUP($B6008,sales_teams!$A$2:$A$36,sales_teams!C$2:C$36)</f>
        <v>East</v>
      </c>
      <c r="E6008" t="s">
        <v>20</v>
      </c>
      <c r="F6008" t="s">
        <v>373</v>
      </c>
      <c r="G6008" t="s">
        <v>12</v>
      </c>
      <c r="H6008" s="1">
        <v>42964</v>
      </c>
      <c r="I6008" s="1">
        <v>43058</v>
      </c>
      <c r="J6008">
        <v>567</v>
      </c>
    </row>
    <row r="6009" spans="1:10" x14ac:dyDescent="0.3">
      <c r="A6009" t="s">
        <v>6140</v>
      </c>
      <c r="B6009" t="s">
        <v>164</v>
      </c>
      <c r="C6009" t="str">
        <f>_xlfn.XLOOKUP(B6009,
[1]sales_teams!$A$2:$A$100,
[1]sales_teams!$B$2:$B$100)</f>
        <v>Cara Losch</v>
      </c>
      <c r="D6009" t="str">
        <f>_xlfn.XLOOKUP($B6009,sales_teams!$A$2:$A$36,sales_teams!C$2:C$36)</f>
        <v>East</v>
      </c>
      <c r="E6009" t="s">
        <v>10</v>
      </c>
      <c r="F6009" t="s">
        <v>237</v>
      </c>
      <c r="G6009" t="s">
        <v>46</v>
      </c>
      <c r="H6009" s="1">
        <v>42964</v>
      </c>
      <c r="I6009" s="1">
        <v>43044</v>
      </c>
      <c r="J6009">
        <v>0</v>
      </c>
    </row>
    <row r="6010" spans="1:10" x14ac:dyDescent="0.3">
      <c r="A6010" t="s">
        <v>6141</v>
      </c>
      <c r="B6010" t="s">
        <v>64</v>
      </c>
      <c r="C6010" t="str">
        <f>_xlfn.XLOOKUP(B6010,
[1]sales_teams!$A$2:$A$100,
[1]sales_teams!$B$2:$B$100)</f>
        <v>Rocco Neubert</v>
      </c>
      <c r="D6010" t="str">
        <f>_xlfn.XLOOKUP($B6010,sales_teams!$A$2:$A$36,sales_teams!C$2:C$36)</f>
        <v>East</v>
      </c>
      <c r="E6010" t="s">
        <v>15</v>
      </c>
      <c r="G6010" t="s">
        <v>40</v>
      </c>
      <c r="H6010" s="1">
        <v>42964</v>
      </c>
    </row>
    <row r="6011" spans="1:10" x14ac:dyDescent="0.3">
      <c r="A6011" t="s">
        <v>6142</v>
      </c>
      <c r="B6011" t="s">
        <v>64</v>
      </c>
      <c r="C6011" t="str">
        <f>_xlfn.XLOOKUP(B6011,
[1]sales_teams!$A$2:$A$100,
[1]sales_teams!$B$2:$B$100)</f>
        <v>Rocco Neubert</v>
      </c>
      <c r="D6011" t="str">
        <f>_xlfn.XLOOKUP($B6011,sales_teams!$A$2:$A$36,sales_teams!C$2:C$36)</f>
        <v>East</v>
      </c>
      <c r="E6011" t="s">
        <v>15</v>
      </c>
      <c r="G6011" t="s">
        <v>40</v>
      </c>
      <c r="H6011" s="1">
        <v>42964</v>
      </c>
    </row>
    <row r="6012" spans="1:10" x14ac:dyDescent="0.3">
      <c r="A6012" t="s">
        <v>6143</v>
      </c>
      <c r="B6012" t="s">
        <v>14</v>
      </c>
      <c r="C6012" t="str">
        <f>_xlfn.XLOOKUP(B6012,
[1]sales_teams!$A$2:$A$100,
[1]sales_teams!$B$2:$B$100)</f>
        <v>Melvin Marxen</v>
      </c>
      <c r="D6012" t="str">
        <f>_xlfn.XLOOKUP($B6012,sales_teams!$A$2:$A$36,sales_teams!C$2:C$36)</f>
        <v>Central</v>
      </c>
      <c r="E6012" t="s">
        <v>10</v>
      </c>
      <c r="F6012" t="s">
        <v>197</v>
      </c>
      <c r="G6012" t="s">
        <v>12</v>
      </c>
      <c r="H6012" s="1">
        <v>42964</v>
      </c>
      <c r="I6012" s="1">
        <v>43058</v>
      </c>
      <c r="J6012">
        <v>1029</v>
      </c>
    </row>
    <row r="6013" spans="1:10" x14ac:dyDescent="0.3">
      <c r="A6013" t="s">
        <v>6144</v>
      </c>
      <c r="B6013" t="s">
        <v>95</v>
      </c>
      <c r="C6013" t="str">
        <f>_xlfn.XLOOKUP(B6013,
[1]sales_teams!$A$2:$A$100,
[1]sales_teams!$B$2:$B$100)</f>
        <v>Summer Sewald</v>
      </c>
      <c r="D6013" t="str">
        <f>_xlfn.XLOOKUP($B6013,sales_teams!$A$2:$A$36,sales_teams!C$2:C$36)</f>
        <v>West</v>
      </c>
      <c r="E6013" t="s">
        <v>20</v>
      </c>
      <c r="F6013" t="s">
        <v>70</v>
      </c>
      <c r="G6013" t="s">
        <v>12</v>
      </c>
      <c r="H6013" s="1">
        <v>42964</v>
      </c>
      <c r="I6013" s="1">
        <v>43047</v>
      </c>
      <c r="J6013">
        <v>430</v>
      </c>
    </row>
    <row r="6014" spans="1:10" x14ac:dyDescent="0.3">
      <c r="A6014" t="s">
        <v>6145</v>
      </c>
      <c r="B6014" t="s">
        <v>51</v>
      </c>
      <c r="C6014" t="str">
        <f>_xlfn.XLOOKUP(B6014,
[1]sales_teams!$A$2:$A$100,
[1]sales_teams!$B$2:$B$100)</f>
        <v>Summer Sewald</v>
      </c>
      <c r="D6014" t="str">
        <f>_xlfn.XLOOKUP($B6014,sales_teams!$A$2:$A$36,sales_teams!C$2:C$36)</f>
        <v>West</v>
      </c>
      <c r="E6014" t="s">
        <v>15</v>
      </c>
      <c r="F6014" t="s">
        <v>155</v>
      </c>
      <c r="G6014" t="s">
        <v>12</v>
      </c>
      <c r="H6014" s="1">
        <v>42964</v>
      </c>
      <c r="I6014" s="1">
        <v>43056</v>
      </c>
      <c r="J6014">
        <v>5316</v>
      </c>
    </row>
    <row r="6015" spans="1:10" x14ac:dyDescent="0.3">
      <c r="A6015" t="s">
        <v>6146</v>
      </c>
      <c r="B6015" t="s">
        <v>9</v>
      </c>
      <c r="C6015" t="str">
        <f>_xlfn.XLOOKUP(B6015,
[1]sales_teams!$A$2:$A$100,
[1]sales_teams!$B$2:$B$100)</f>
        <v>Dustin Brinkmann</v>
      </c>
      <c r="D6015" t="str">
        <f>_xlfn.XLOOKUP($B6015,sales_teams!$A$2:$A$36,sales_teams!C$2:C$36)</f>
        <v>Central</v>
      </c>
      <c r="E6015" t="s">
        <v>39</v>
      </c>
      <c r="F6015" t="s">
        <v>27</v>
      </c>
      <c r="G6015" t="s">
        <v>46</v>
      </c>
      <c r="H6015" s="1">
        <v>42964</v>
      </c>
      <c r="I6015" s="1">
        <v>42975</v>
      </c>
      <c r="J6015">
        <v>0</v>
      </c>
    </row>
    <row r="6016" spans="1:10" x14ac:dyDescent="0.3">
      <c r="A6016" t="s">
        <v>6147</v>
      </c>
      <c r="B6016" t="s">
        <v>57</v>
      </c>
      <c r="C6016" t="str">
        <f>_xlfn.XLOOKUP(B6016,
[1]sales_teams!$A$2:$A$100,
[1]sales_teams!$B$2:$B$100)</f>
        <v>Celia Rouche</v>
      </c>
      <c r="D6016" t="str">
        <f>_xlfn.XLOOKUP($B6016,sales_teams!$A$2:$A$36,sales_teams!C$2:C$36)</f>
        <v>West</v>
      </c>
      <c r="E6016" t="s">
        <v>18</v>
      </c>
      <c r="F6016" t="s">
        <v>81</v>
      </c>
      <c r="G6016" t="s">
        <v>40</v>
      </c>
      <c r="H6016" s="1">
        <v>42964</v>
      </c>
    </row>
    <row r="6017" spans="1:10" x14ac:dyDescent="0.3">
      <c r="A6017" t="s">
        <v>6148</v>
      </c>
      <c r="B6017" t="s">
        <v>88</v>
      </c>
      <c r="C6017" t="str">
        <f>_xlfn.XLOOKUP(B6017,
[1]sales_teams!$A$2:$A$100,
[1]sales_teams!$B$2:$B$100)</f>
        <v>Cara Losch</v>
      </c>
      <c r="D6017" t="str">
        <f>_xlfn.XLOOKUP($B6017,sales_teams!$A$2:$A$36,sales_teams!C$2:C$36)</f>
        <v>East</v>
      </c>
      <c r="E6017" t="s">
        <v>39</v>
      </c>
      <c r="F6017" t="s">
        <v>155</v>
      </c>
      <c r="G6017" t="s">
        <v>12</v>
      </c>
      <c r="H6017" s="1">
        <v>42964</v>
      </c>
      <c r="I6017" s="1">
        <v>42982</v>
      </c>
      <c r="J6017">
        <v>3913</v>
      </c>
    </row>
    <row r="6018" spans="1:10" x14ac:dyDescent="0.3">
      <c r="A6018" t="s">
        <v>6149</v>
      </c>
      <c r="B6018" t="s">
        <v>61</v>
      </c>
      <c r="C6018" t="str">
        <f>_xlfn.XLOOKUP(B6018,
[1]sales_teams!$A$2:$A$100,
[1]sales_teams!$B$2:$B$100)</f>
        <v>Dustin Brinkmann</v>
      </c>
      <c r="D6018" t="str">
        <f>_xlfn.XLOOKUP($B6018,sales_teams!$A$2:$A$36,sales_teams!C$2:C$36)</f>
        <v>Central</v>
      </c>
      <c r="E6018" t="s">
        <v>20</v>
      </c>
      <c r="F6018" t="s">
        <v>36</v>
      </c>
      <c r="G6018" t="s">
        <v>46</v>
      </c>
      <c r="H6018" s="1">
        <v>42964</v>
      </c>
      <c r="I6018" s="1">
        <v>42971</v>
      </c>
      <c r="J6018">
        <v>0</v>
      </c>
    </row>
    <row r="6019" spans="1:10" x14ac:dyDescent="0.3">
      <c r="A6019" t="s">
        <v>6150</v>
      </c>
      <c r="B6019" t="s">
        <v>61</v>
      </c>
      <c r="C6019" t="str">
        <f>_xlfn.XLOOKUP(B6019,
[1]sales_teams!$A$2:$A$100,
[1]sales_teams!$B$2:$B$100)</f>
        <v>Dustin Brinkmann</v>
      </c>
      <c r="D6019" t="str">
        <f>_xlfn.XLOOKUP($B6019,sales_teams!$A$2:$A$36,sales_teams!C$2:C$36)</f>
        <v>Central</v>
      </c>
      <c r="E6019" t="s">
        <v>18</v>
      </c>
      <c r="F6019" t="s">
        <v>170</v>
      </c>
      <c r="G6019" t="s">
        <v>46</v>
      </c>
      <c r="H6019" s="1">
        <v>42964</v>
      </c>
      <c r="I6019" s="1">
        <v>42967</v>
      </c>
      <c r="J6019">
        <v>0</v>
      </c>
    </row>
    <row r="6020" spans="1:10" x14ac:dyDescent="0.3">
      <c r="A6020" t="s">
        <v>6151</v>
      </c>
      <c r="B6020" t="s">
        <v>29</v>
      </c>
      <c r="C6020" t="str">
        <f>_xlfn.XLOOKUP(B6020,
[1]sales_teams!$A$2:$A$100,
[1]sales_teams!$B$2:$B$100)</f>
        <v>Celia Rouche</v>
      </c>
      <c r="D6020" t="str">
        <f>_xlfn.XLOOKUP($B6020,sales_teams!$A$2:$A$36,sales_teams!C$2:C$36)</f>
        <v>West</v>
      </c>
      <c r="E6020" t="s">
        <v>39</v>
      </c>
      <c r="F6020" t="s">
        <v>218</v>
      </c>
      <c r="G6020" t="s">
        <v>46</v>
      </c>
      <c r="H6020" s="1">
        <v>42964</v>
      </c>
      <c r="I6020" s="1">
        <v>42965</v>
      </c>
      <c r="J6020">
        <v>0</v>
      </c>
    </row>
    <row r="6021" spans="1:10" x14ac:dyDescent="0.3">
      <c r="A6021" t="s">
        <v>6152</v>
      </c>
      <c r="B6021" t="s">
        <v>29</v>
      </c>
      <c r="C6021" t="str">
        <f>_xlfn.XLOOKUP(B6021,
[1]sales_teams!$A$2:$A$100,
[1]sales_teams!$B$2:$B$100)</f>
        <v>Celia Rouche</v>
      </c>
      <c r="D6021" t="str">
        <f>_xlfn.XLOOKUP($B6021,sales_teams!$A$2:$A$36,sales_teams!C$2:C$36)</f>
        <v>West</v>
      </c>
      <c r="E6021" t="s">
        <v>39</v>
      </c>
      <c r="F6021" t="s">
        <v>124</v>
      </c>
      <c r="G6021" t="s">
        <v>46</v>
      </c>
      <c r="H6021" s="1">
        <v>42964</v>
      </c>
      <c r="I6021" s="1">
        <v>43050</v>
      </c>
      <c r="J6021">
        <v>0</v>
      </c>
    </row>
    <row r="6022" spans="1:10" x14ac:dyDescent="0.3">
      <c r="A6022" t="s">
        <v>6153</v>
      </c>
      <c r="B6022" t="s">
        <v>73</v>
      </c>
      <c r="C6022" t="str">
        <f>_xlfn.XLOOKUP(B6022,
[1]sales_teams!$A$2:$A$100,
[1]sales_teams!$B$2:$B$100)</f>
        <v>Cara Losch</v>
      </c>
      <c r="D6022" t="str">
        <f>_xlfn.XLOOKUP($B6022,sales_teams!$A$2:$A$36,sales_teams!C$2:C$36)</f>
        <v>East</v>
      </c>
      <c r="E6022" t="s">
        <v>18</v>
      </c>
      <c r="F6022" t="s">
        <v>24</v>
      </c>
      <c r="G6022" t="s">
        <v>40</v>
      </c>
      <c r="H6022" s="1">
        <v>42964</v>
      </c>
    </row>
    <row r="6023" spans="1:10" x14ac:dyDescent="0.3">
      <c r="A6023" t="s">
        <v>6154</v>
      </c>
      <c r="B6023" t="s">
        <v>23</v>
      </c>
      <c r="C6023" t="str">
        <f>_xlfn.XLOOKUP(B6023,
[1]sales_teams!$A$2:$A$100,
[1]sales_teams!$B$2:$B$100)</f>
        <v>Summer Sewald</v>
      </c>
      <c r="D6023" t="str">
        <f>_xlfn.XLOOKUP($B6023,sales_teams!$A$2:$A$36,sales_teams!C$2:C$36)</f>
        <v>West</v>
      </c>
      <c r="E6023" t="s">
        <v>20</v>
      </c>
      <c r="F6023" t="s">
        <v>315</v>
      </c>
      <c r="G6023" t="s">
        <v>12</v>
      </c>
      <c r="H6023" s="1">
        <v>42964</v>
      </c>
      <c r="I6023" s="1">
        <v>42981</v>
      </c>
      <c r="J6023">
        <v>655</v>
      </c>
    </row>
    <row r="6024" spans="1:10" x14ac:dyDescent="0.3">
      <c r="A6024" t="s">
        <v>6155</v>
      </c>
      <c r="B6024" t="s">
        <v>23</v>
      </c>
      <c r="C6024" t="str">
        <f>_xlfn.XLOOKUP(B6024,
[1]sales_teams!$A$2:$A$100,
[1]sales_teams!$B$2:$B$100)</f>
        <v>Summer Sewald</v>
      </c>
      <c r="D6024" t="str">
        <f>_xlfn.XLOOKUP($B6024,sales_teams!$A$2:$A$36,sales_teams!C$2:C$36)</f>
        <v>West</v>
      </c>
      <c r="E6024" t="s">
        <v>18</v>
      </c>
      <c r="F6024" t="s">
        <v>398</v>
      </c>
      <c r="G6024" t="s">
        <v>12</v>
      </c>
      <c r="H6024" s="1">
        <v>42964</v>
      </c>
      <c r="I6024" s="1">
        <v>42978</v>
      </c>
      <c r="J6024">
        <v>46</v>
      </c>
    </row>
    <row r="6025" spans="1:10" x14ac:dyDescent="0.3">
      <c r="A6025" t="s">
        <v>6156</v>
      </c>
      <c r="B6025" t="s">
        <v>139</v>
      </c>
      <c r="C6025" t="str">
        <f>_xlfn.XLOOKUP(B6025,
[1]sales_teams!$A$2:$A$100,
[1]sales_teams!$B$2:$B$100)</f>
        <v>Rocco Neubert</v>
      </c>
      <c r="D6025" t="str">
        <f>_xlfn.XLOOKUP($B6025,sales_teams!$A$2:$A$36,sales_teams!C$2:C$36)</f>
        <v>East</v>
      </c>
      <c r="E6025" t="s">
        <v>48</v>
      </c>
      <c r="F6025" t="s">
        <v>98</v>
      </c>
      <c r="G6025" t="s">
        <v>46</v>
      </c>
      <c r="H6025" s="1">
        <v>42965</v>
      </c>
      <c r="I6025" s="1">
        <v>42973</v>
      </c>
      <c r="J6025">
        <v>0</v>
      </c>
    </row>
    <row r="6026" spans="1:10" x14ac:dyDescent="0.3">
      <c r="A6026" t="s">
        <v>6157</v>
      </c>
      <c r="B6026" t="s">
        <v>202</v>
      </c>
      <c r="C6026" t="str">
        <f>_xlfn.XLOOKUP(B6026,
[1]sales_teams!$A$2:$A$100,
[1]sales_teams!$B$2:$B$100)</f>
        <v>Dustin Brinkmann</v>
      </c>
      <c r="D6026" t="str">
        <f>_xlfn.XLOOKUP($B6026,sales_teams!$A$2:$A$36,sales_teams!C$2:C$36)</f>
        <v>Central</v>
      </c>
      <c r="E6026" t="s">
        <v>39</v>
      </c>
      <c r="F6026" t="s">
        <v>91</v>
      </c>
      <c r="G6026" t="s">
        <v>46</v>
      </c>
      <c r="H6026" s="1">
        <v>42965</v>
      </c>
      <c r="I6026" s="1">
        <v>42971</v>
      </c>
      <c r="J6026">
        <v>0</v>
      </c>
    </row>
    <row r="6027" spans="1:10" x14ac:dyDescent="0.3">
      <c r="A6027" t="s">
        <v>6158</v>
      </c>
      <c r="B6027" t="s">
        <v>164</v>
      </c>
      <c r="C6027" t="str">
        <f>_xlfn.XLOOKUP(B6027,
[1]sales_teams!$A$2:$A$100,
[1]sales_teams!$B$2:$B$100)</f>
        <v>Cara Losch</v>
      </c>
      <c r="D6027" t="str">
        <f>_xlfn.XLOOKUP($B6027,sales_teams!$A$2:$A$36,sales_teams!C$2:C$36)</f>
        <v>East</v>
      </c>
      <c r="E6027" t="s">
        <v>39</v>
      </c>
      <c r="G6027" t="s">
        <v>40</v>
      </c>
      <c r="H6027" s="1">
        <v>42965</v>
      </c>
    </row>
    <row r="6028" spans="1:10" x14ac:dyDescent="0.3">
      <c r="A6028" t="s">
        <v>6159</v>
      </c>
      <c r="B6028" t="s">
        <v>164</v>
      </c>
      <c r="C6028" t="str">
        <f>_xlfn.XLOOKUP(B6028,
[1]sales_teams!$A$2:$A$100,
[1]sales_teams!$B$2:$B$100)</f>
        <v>Cara Losch</v>
      </c>
      <c r="D6028" t="str">
        <f>_xlfn.XLOOKUP($B6028,sales_teams!$A$2:$A$36,sales_teams!C$2:C$36)</f>
        <v>East</v>
      </c>
      <c r="E6028" t="s">
        <v>39</v>
      </c>
      <c r="F6028" t="s">
        <v>204</v>
      </c>
      <c r="G6028" t="s">
        <v>46</v>
      </c>
      <c r="H6028" s="1">
        <v>42965</v>
      </c>
      <c r="I6028" s="1">
        <v>42978</v>
      </c>
      <c r="J6028">
        <v>0</v>
      </c>
    </row>
    <row r="6029" spans="1:10" x14ac:dyDescent="0.3">
      <c r="A6029" t="s">
        <v>6160</v>
      </c>
      <c r="B6029" t="s">
        <v>164</v>
      </c>
      <c r="C6029" t="str">
        <f>_xlfn.XLOOKUP(B6029,
[1]sales_teams!$A$2:$A$100,
[1]sales_teams!$B$2:$B$100)</f>
        <v>Cara Losch</v>
      </c>
      <c r="D6029" t="str">
        <f>_xlfn.XLOOKUP($B6029,sales_teams!$A$2:$A$36,sales_teams!C$2:C$36)</f>
        <v>East</v>
      </c>
      <c r="E6029" t="s">
        <v>48</v>
      </c>
      <c r="F6029" t="s">
        <v>143</v>
      </c>
      <c r="G6029" t="s">
        <v>12</v>
      </c>
      <c r="H6029" s="1">
        <v>42965</v>
      </c>
      <c r="I6029" s="1">
        <v>43043</v>
      </c>
      <c r="J6029">
        <v>6372</v>
      </c>
    </row>
    <row r="6030" spans="1:10" x14ac:dyDescent="0.3">
      <c r="A6030" t="s">
        <v>6161</v>
      </c>
      <c r="B6030" t="s">
        <v>14</v>
      </c>
      <c r="C6030" t="str">
        <f>_xlfn.XLOOKUP(B6030,
[1]sales_teams!$A$2:$A$100,
[1]sales_teams!$B$2:$B$100)</f>
        <v>Melvin Marxen</v>
      </c>
      <c r="D6030" t="str">
        <f>_xlfn.XLOOKUP($B6030,sales_teams!$A$2:$A$36,sales_teams!C$2:C$36)</f>
        <v>Central</v>
      </c>
      <c r="E6030" t="s">
        <v>10</v>
      </c>
      <c r="F6030" t="s">
        <v>76</v>
      </c>
      <c r="G6030" t="s">
        <v>12</v>
      </c>
      <c r="H6030" s="1">
        <v>42965</v>
      </c>
      <c r="I6030" s="1">
        <v>43052</v>
      </c>
      <c r="J6030">
        <v>986</v>
      </c>
    </row>
    <row r="6031" spans="1:10" x14ac:dyDescent="0.3">
      <c r="A6031" t="s">
        <v>6162</v>
      </c>
      <c r="B6031" t="s">
        <v>14</v>
      </c>
      <c r="C6031" t="str">
        <f>_xlfn.XLOOKUP(B6031,
[1]sales_teams!$A$2:$A$100,
[1]sales_teams!$B$2:$B$100)</f>
        <v>Melvin Marxen</v>
      </c>
      <c r="D6031" t="str">
        <f>_xlfn.XLOOKUP($B6031,sales_teams!$A$2:$A$36,sales_teams!C$2:C$36)</f>
        <v>Central</v>
      </c>
      <c r="E6031" t="s">
        <v>15</v>
      </c>
      <c r="F6031" t="s">
        <v>303</v>
      </c>
      <c r="G6031" t="s">
        <v>12</v>
      </c>
      <c r="H6031" s="1">
        <v>42965</v>
      </c>
      <c r="I6031" s="1">
        <v>42979</v>
      </c>
      <c r="J6031">
        <v>4817</v>
      </c>
    </row>
    <row r="6032" spans="1:10" x14ac:dyDescent="0.3">
      <c r="A6032" t="s">
        <v>6163</v>
      </c>
      <c r="B6032" t="s">
        <v>44</v>
      </c>
      <c r="C6032" t="str">
        <f>_xlfn.XLOOKUP(B6032,
[1]sales_teams!$A$2:$A$100,
[1]sales_teams!$B$2:$B$100)</f>
        <v>Melvin Marxen</v>
      </c>
      <c r="D6032" t="str">
        <f>_xlfn.XLOOKUP($B6032,sales_teams!$A$2:$A$36,sales_teams!C$2:C$36)</f>
        <v>Central</v>
      </c>
      <c r="E6032" t="s">
        <v>15</v>
      </c>
      <c r="F6032" t="s">
        <v>111</v>
      </c>
      <c r="G6032" t="s">
        <v>46</v>
      </c>
      <c r="H6032" s="1">
        <v>42965</v>
      </c>
      <c r="I6032" s="1">
        <v>42978</v>
      </c>
      <c r="J6032">
        <v>0</v>
      </c>
    </row>
    <row r="6033" spans="1:10" x14ac:dyDescent="0.3">
      <c r="A6033" t="s">
        <v>6164</v>
      </c>
      <c r="B6033" t="s">
        <v>54</v>
      </c>
      <c r="C6033" t="str">
        <f>_xlfn.XLOOKUP(B6033,
[1]sales_teams!$A$2:$A$100,
[1]sales_teams!$B$2:$B$100)</f>
        <v>Celia Rouche</v>
      </c>
      <c r="D6033" t="str">
        <f>_xlfn.XLOOKUP($B6033,sales_teams!$A$2:$A$36,sales_teams!C$2:C$36)</f>
        <v>West</v>
      </c>
      <c r="E6033" t="s">
        <v>48</v>
      </c>
      <c r="F6033" t="s">
        <v>100</v>
      </c>
      <c r="G6033" t="s">
        <v>12</v>
      </c>
      <c r="H6033" s="1">
        <v>42965</v>
      </c>
      <c r="I6033" s="1">
        <v>42967</v>
      </c>
      <c r="J6033">
        <v>6529</v>
      </c>
    </row>
    <row r="6034" spans="1:10" x14ac:dyDescent="0.3">
      <c r="A6034" t="s">
        <v>6165</v>
      </c>
      <c r="B6034" t="s">
        <v>252</v>
      </c>
      <c r="C6034" t="str">
        <f>_xlfn.XLOOKUP(B6034,
[1]sales_teams!$A$2:$A$100,
[1]sales_teams!$B$2:$B$100)</f>
        <v>Melvin Marxen</v>
      </c>
      <c r="D6034" t="str">
        <f>_xlfn.XLOOKUP($B6034,sales_teams!$A$2:$A$36,sales_teams!C$2:C$36)</f>
        <v>Central</v>
      </c>
      <c r="E6034" t="s">
        <v>15</v>
      </c>
      <c r="F6034" t="s">
        <v>231</v>
      </c>
      <c r="G6034" t="s">
        <v>46</v>
      </c>
      <c r="H6034" s="1">
        <v>42965</v>
      </c>
      <c r="I6034" s="1">
        <v>42972</v>
      </c>
      <c r="J6034">
        <v>0</v>
      </c>
    </row>
    <row r="6035" spans="1:10" x14ac:dyDescent="0.3">
      <c r="A6035" t="s">
        <v>6166</v>
      </c>
      <c r="B6035" t="s">
        <v>78</v>
      </c>
      <c r="C6035" t="str">
        <f>_xlfn.XLOOKUP(B6035,
[1]sales_teams!$A$2:$A$100,
[1]sales_teams!$B$2:$B$100)</f>
        <v>Summer Sewald</v>
      </c>
      <c r="D6035" t="str">
        <f>_xlfn.XLOOKUP($B6035,sales_teams!$A$2:$A$36,sales_teams!C$2:C$36)</f>
        <v>West</v>
      </c>
      <c r="E6035" t="s">
        <v>15</v>
      </c>
      <c r="G6035" t="s">
        <v>40</v>
      </c>
      <c r="H6035" s="1">
        <v>42965</v>
      </c>
    </row>
    <row r="6036" spans="1:10" x14ac:dyDescent="0.3">
      <c r="A6036" t="s">
        <v>6167</v>
      </c>
      <c r="B6036" t="s">
        <v>95</v>
      </c>
      <c r="C6036" t="str">
        <f>_xlfn.XLOOKUP(B6036,
[1]sales_teams!$A$2:$A$100,
[1]sales_teams!$B$2:$B$100)</f>
        <v>Summer Sewald</v>
      </c>
      <c r="D6036" t="str">
        <f>_xlfn.XLOOKUP($B6036,sales_teams!$A$2:$A$36,sales_teams!C$2:C$36)</f>
        <v>West</v>
      </c>
      <c r="E6036" t="s">
        <v>20</v>
      </c>
      <c r="G6036" t="s">
        <v>40</v>
      </c>
      <c r="H6036" s="1">
        <v>42965</v>
      </c>
    </row>
    <row r="6037" spans="1:10" x14ac:dyDescent="0.3">
      <c r="A6037" t="s">
        <v>6168</v>
      </c>
      <c r="B6037" t="s">
        <v>95</v>
      </c>
      <c r="C6037" t="str">
        <f>_xlfn.XLOOKUP(B6037,
[1]sales_teams!$A$2:$A$100,
[1]sales_teams!$B$2:$B$100)</f>
        <v>Summer Sewald</v>
      </c>
      <c r="D6037" t="str">
        <f>_xlfn.XLOOKUP($B6037,sales_teams!$A$2:$A$36,sales_teams!C$2:C$36)</f>
        <v>West</v>
      </c>
      <c r="E6037" t="s">
        <v>20</v>
      </c>
      <c r="F6037" t="s">
        <v>315</v>
      </c>
      <c r="G6037" t="s">
        <v>46</v>
      </c>
      <c r="H6037" s="1">
        <v>42965</v>
      </c>
      <c r="I6037" s="1">
        <v>43053</v>
      </c>
      <c r="J6037">
        <v>0</v>
      </c>
    </row>
    <row r="6038" spans="1:10" x14ac:dyDescent="0.3">
      <c r="A6038" t="s">
        <v>6169</v>
      </c>
      <c r="B6038" t="s">
        <v>95</v>
      </c>
      <c r="C6038" t="str">
        <f>_xlfn.XLOOKUP(B6038,
[1]sales_teams!$A$2:$A$100,
[1]sales_teams!$B$2:$B$100)</f>
        <v>Summer Sewald</v>
      </c>
      <c r="D6038" t="str">
        <f>_xlfn.XLOOKUP($B6038,sales_teams!$A$2:$A$36,sales_teams!C$2:C$36)</f>
        <v>West</v>
      </c>
      <c r="E6038" t="s">
        <v>48</v>
      </c>
      <c r="F6038" t="s">
        <v>218</v>
      </c>
      <c r="G6038" t="s">
        <v>12</v>
      </c>
      <c r="H6038" s="1">
        <v>42965</v>
      </c>
      <c r="I6038" s="1">
        <v>43053</v>
      </c>
      <c r="J6038">
        <v>4454</v>
      </c>
    </row>
    <row r="6039" spans="1:10" x14ac:dyDescent="0.3">
      <c r="A6039" t="s">
        <v>6170</v>
      </c>
      <c r="B6039" t="s">
        <v>32</v>
      </c>
      <c r="C6039" t="str">
        <f>_xlfn.XLOOKUP(B6039,
[1]sales_teams!$A$2:$A$100,
[1]sales_teams!$B$2:$B$100)</f>
        <v>Celia Rouche</v>
      </c>
      <c r="D6039" t="str">
        <f>_xlfn.XLOOKUP($B6039,sales_teams!$A$2:$A$36,sales_teams!C$2:C$36)</f>
        <v>West</v>
      </c>
      <c r="E6039" t="s">
        <v>10</v>
      </c>
      <c r="F6039" t="s">
        <v>33</v>
      </c>
      <c r="G6039" t="s">
        <v>12</v>
      </c>
      <c r="H6039" s="1">
        <v>42965</v>
      </c>
      <c r="I6039" s="1">
        <v>42992</v>
      </c>
      <c r="J6039">
        <v>1002</v>
      </c>
    </row>
    <row r="6040" spans="1:10" x14ac:dyDescent="0.3">
      <c r="A6040" t="s">
        <v>6171</v>
      </c>
      <c r="B6040" t="s">
        <v>32</v>
      </c>
      <c r="C6040" t="str">
        <f>_xlfn.XLOOKUP(B6040,
[1]sales_teams!$A$2:$A$100,
[1]sales_teams!$B$2:$B$100)</f>
        <v>Celia Rouche</v>
      </c>
      <c r="D6040" t="str">
        <f>_xlfn.XLOOKUP($B6040,sales_teams!$A$2:$A$36,sales_teams!C$2:C$36)</f>
        <v>West</v>
      </c>
      <c r="E6040" t="s">
        <v>18</v>
      </c>
      <c r="F6040" t="s">
        <v>100</v>
      </c>
      <c r="G6040" t="s">
        <v>12</v>
      </c>
      <c r="H6040" s="1">
        <v>42965</v>
      </c>
      <c r="I6040" s="1">
        <v>43043</v>
      </c>
      <c r="J6040">
        <v>63</v>
      </c>
    </row>
    <row r="6041" spans="1:10" x14ac:dyDescent="0.3">
      <c r="A6041" t="s">
        <v>6172</v>
      </c>
      <c r="B6041" t="s">
        <v>116</v>
      </c>
      <c r="C6041" t="str">
        <f>_xlfn.XLOOKUP(B6041,
[1]sales_teams!$A$2:$A$100,
[1]sales_teams!$B$2:$B$100)</f>
        <v>Melvin Marxen</v>
      </c>
      <c r="D6041" t="str">
        <f>_xlfn.XLOOKUP($B6041,sales_teams!$A$2:$A$36,sales_teams!C$2:C$36)</f>
        <v>Central</v>
      </c>
      <c r="E6041" t="s">
        <v>20</v>
      </c>
      <c r="F6041" t="s">
        <v>27</v>
      </c>
      <c r="G6041" t="s">
        <v>12</v>
      </c>
      <c r="H6041" s="1">
        <v>42965</v>
      </c>
      <c r="I6041" s="1">
        <v>43099</v>
      </c>
      <c r="J6041">
        <v>580</v>
      </c>
    </row>
    <row r="6042" spans="1:10" x14ac:dyDescent="0.3">
      <c r="A6042" t="s">
        <v>6173</v>
      </c>
      <c r="B6042" t="s">
        <v>51</v>
      </c>
      <c r="C6042" t="str">
        <f>_xlfn.XLOOKUP(B6042,
[1]sales_teams!$A$2:$A$100,
[1]sales_teams!$B$2:$B$100)</f>
        <v>Summer Sewald</v>
      </c>
      <c r="D6042" t="str">
        <f>_xlfn.XLOOKUP($B6042,sales_teams!$A$2:$A$36,sales_teams!C$2:C$36)</f>
        <v>West</v>
      </c>
      <c r="E6042" t="s">
        <v>20</v>
      </c>
      <c r="F6042" t="s">
        <v>209</v>
      </c>
      <c r="G6042" t="s">
        <v>40</v>
      </c>
      <c r="H6042" s="1">
        <v>42965</v>
      </c>
    </row>
    <row r="6043" spans="1:10" x14ac:dyDescent="0.3">
      <c r="A6043" t="s">
        <v>6174</v>
      </c>
      <c r="B6043" t="s">
        <v>29</v>
      </c>
      <c r="C6043" t="str">
        <f>_xlfn.XLOOKUP(B6043,
[1]sales_teams!$A$2:$A$100,
[1]sales_teams!$B$2:$B$100)</f>
        <v>Celia Rouche</v>
      </c>
      <c r="D6043" t="str">
        <f>_xlfn.XLOOKUP($B6043,sales_teams!$A$2:$A$36,sales_teams!C$2:C$36)</f>
        <v>West</v>
      </c>
      <c r="E6043" t="s">
        <v>39</v>
      </c>
      <c r="G6043" t="s">
        <v>40</v>
      </c>
      <c r="H6043" s="1">
        <v>42965</v>
      </c>
    </row>
    <row r="6044" spans="1:10" x14ac:dyDescent="0.3">
      <c r="A6044" t="s">
        <v>6175</v>
      </c>
      <c r="B6044" t="s">
        <v>73</v>
      </c>
      <c r="C6044" t="str">
        <f>_xlfn.XLOOKUP(B6044,
[1]sales_teams!$A$2:$A$100,
[1]sales_teams!$B$2:$B$100)</f>
        <v>Cara Losch</v>
      </c>
      <c r="D6044" t="str">
        <f>_xlfn.XLOOKUP($B6044,sales_teams!$A$2:$A$36,sales_teams!C$2:C$36)</f>
        <v>East</v>
      </c>
      <c r="E6044" t="s">
        <v>18</v>
      </c>
      <c r="F6044" t="s">
        <v>74</v>
      </c>
      <c r="G6044" t="s">
        <v>12</v>
      </c>
      <c r="H6044" s="1">
        <v>42965</v>
      </c>
      <c r="I6044" s="1">
        <v>43076</v>
      </c>
      <c r="J6044">
        <v>49</v>
      </c>
    </row>
    <row r="6045" spans="1:10" x14ac:dyDescent="0.3">
      <c r="A6045" t="s">
        <v>6176</v>
      </c>
      <c r="B6045" t="s">
        <v>139</v>
      </c>
      <c r="C6045" t="str">
        <f>_xlfn.XLOOKUP(B6045,
[1]sales_teams!$A$2:$A$100,
[1]sales_teams!$B$2:$B$100)</f>
        <v>Rocco Neubert</v>
      </c>
      <c r="D6045" t="str">
        <f>_xlfn.XLOOKUP($B6045,sales_teams!$A$2:$A$36,sales_teams!C$2:C$36)</f>
        <v>East</v>
      </c>
      <c r="E6045" t="s">
        <v>48</v>
      </c>
      <c r="F6045" t="s">
        <v>106</v>
      </c>
      <c r="G6045" t="s">
        <v>12</v>
      </c>
      <c r="H6045" s="1">
        <v>42966</v>
      </c>
      <c r="I6045" s="1">
        <v>43072</v>
      </c>
      <c r="J6045">
        <v>5703</v>
      </c>
    </row>
    <row r="6046" spans="1:10" x14ac:dyDescent="0.3">
      <c r="A6046" t="s">
        <v>6177</v>
      </c>
      <c r="B6046" t="s">
        <v>118</v>
      </c>
      <c r="C6046" t="str">
        <f>_xlfn.XLOOKUP(B6046,
[1]sales_teams!$A$2:$A$100,
[1]sales_teams!$B$2:$B$100)</f>
        <v>Rocco Neubert</v>
      </c>
      <c r="D6046" t="str">
        <f>_xlfn.XLOOKUP($B6046,sales_teams!$A$2:$A$36,sales_teams!C$2:C$36)</f>
        <v>East</v>
      </c>
      <c r="E6046" t="s">
        <v>18</v>
      </c>
      <c r="F6046" t="s">
        <v>140</v>
      </c>
      <c r="G6046" t="s">
        <v>46</v>
      </c>
      <c r="H6046" s="1">
        <v>42966</v>
      </c>
      <c r="I6046" s="1">
        <v>42973</v>
      </c>
      <c r="J6046">
        <v>0</v>
      </c>
    </row>
    <row r="6047" spans="1:10" x14ac:dyDescent="0.3">
      <c r="A6047" t="s">
        <v>6178</v>
      </c>
      <c r="B6047" t="s">
        <v>64</v>
      </c>
      <c r="C6047" t="str">
        <f>_xlfn.XLOOKUP(B6047,
[1]sales_teams!$A$2:$A$100,
[1]sales_teams!$B$2:$B$100)</f>
        <v>Rocco Neubert</v>
      </c>
      <c r="D6047" t="str">
        <f>_xlfn.XLOOKUP($B6047,sales_teams!$A$2:$A$36,sales_teams!C$2:C$36)</f>
        <v>East</v>
      </c>
      <c r="E6047" t="s">
        <v>18</v>
      </c>
      <c r="G6047" t="s">
        <v>40</v>
      </c>
      <c r="H6047" s="1">
        <v>42966</v>
      </c>
    </row>
    <row r="6048" spans="1:10" x14ac:dyDescent="0.3">
      <c r="A6048" t="s">
        <v>6179</v>
      </c>
      <c r="B6048" t="s">
        <v>14</v>
      </c>
      <c r="C6048" t="str">
        <f>_xlfn.XLOOKUP(B6048,
[1]sales_teams!$A$2:$A$100,
[1]sales_teams!$B$2:$B$100)</f>
        <v>Melvin Marxen</v>
      </c>
      <c r="D6048" t="str">
        <f>_xlfn.XLOOKUP($B6048,sales_teams!$A$2:$A$36,sales_teams!C$2:C$36)</f>
        <v>Central</v>
      </c>
      <c r="E6048" t="s">
        <v>20</v>
      </c>
      <c r="F6048" t="s">
        <v>129</v>
      </c>
      <c r="G6048" t="s">
        <v>46</v>
      </c>
      <c r="H6048" s="1">
        <v>42966</v>
      </c>
      <c r="I6048" s="1">
        <v>42969</v>
      </c>
      <c r="J6048">
        <v>0</v>
      </c>
    </row>
    <row r="6049" spans="1:10" x14ac:dyDescent="0.3">
      <c r="A6049" t="s">
        <v>6180</v>
      </c>
      <c r="B6049" t="s">
        <v>14</v>
      </c>
      <c r="C6049" t="str">
        <f>_xlfn.XLOOKUP(B6049,
[1]sales_teams!$A$2:$A$100,
[1]sales_teams!$B$2:$B$100)</f>
        <v>Melvin Marxen</v>
      </c>
      <c r="D6049" t="str">
        <f>_xlfn.XLOOKUP($B6049,sales_teams!$A$2:$A$36,sales_teams!C$2:C$36)</f>
        <v>Central</v>
      </c>
      <c r="E6049" t="s">
        <v>39</v>
      </c>
      <c r="F6049" t="s">
        <v>197</v>
      </c>
      <c r="G6049" t="s">
        <v>46</v>
      </c>
      <c r="H6049" s="1">
        <v>42966</v>
      </c>
      <c r="I6049" s="1">
        <v>42973</v>
      </c>
      <c r="J6049">
        <v>0</v>
      </c>
    </row>
    <row r="6050" spans="1:10" x14ac:dyDescent="0.3">
      <c r="A6050" t="s">
        <v>6181</v>
      </c>
      <c r="B6050" t="s">
        <v>142</v>
      </c>
      <c r="C6050" t="str">
        <f>_xlfn.XLOOKUP(B6050,
[1]sales_teams!$A$2:$A$100,
[1]sales_teams!$B$2:$B$100)</f>
        <v>Rocco Neubert</v>
      </c>
      <c r="D6050" t="str">
        <f>_xlfn.XLOOKUP($B6050,sales_teams!$A$2:$A$36,sales_teams!C$2:C$36)</f>
        <v>East</v>
      </c>
      <c r="E6050" t="s">
        <v>15</v>
      </c>
      <c r="F6050" t="s">
        <v>155</v>
      </c>
      <c r="G6050" t="s">
        <v>46</v>
      </c>
      <c r="H6050" s="1">
        <v>42966</v>
      </c>
      <c r="I6050" s="1">
        <v>43050</v>
      </c>
      <c r="J6050">
        <v>0</v>
      </c>
    </row>
    <row r="6051" spans="1:10" x14ac:dyDescent="0.3">
      <c r="A6051" t="s">
        <v>6182</v>
      </c>
      <c r="B6051" t="s">
        <v>252</v>
      </c>
      <c r="C6051" t="str">
        <f>_xlfn.XLOOKUP(B6051,
[1]sales_teams!$A$2:$A$100,
[1]sales_teams!$B$2:$B$100)</f>
        <v>Melvin Marxen</v>
      </c>
      <c r="D6051" t="str">
        <f>_xlfn.XLOOKUP($B6051,sales_teams!$A$2:$A$36,sales_teams!C$2:C$36)</f>
        <v>Central</v>
      </c>
      <c r="E6051" t="s">
        <v>10</v>
      </c>
      <c r="F6051" t="s">
        <v>135</v>
      </c>
      <c r="G6051" t="s">
        <v>12</v>
      </c>
      <c r="H6051" s="1">
        <v>42966</v>
      </c>
      <c r="I6051" s="1">
        <v>43070</v>
      </c>
      <c r="J6051">
        <v>1148</v>
      </c>
    </row>
    <row r="6052" spans="1:10" x14ac:dyDescent="0.3">
      <c r="A6052" t="s">
        <v>6183</v>
      </c>
      <c r="B6052" t="s">
        <v>78</v>
      </c>
      <c r="C6052" t="str">
        <f>_xlfn.XLOOKUP(B6052,
[1]sales_teams!$A$2:$A$100,
[1]sales_teams!$B$2:$B$100)</f>
        <v>Summer Sewald</v>
      </c>
      <c r="D6052" t="str">
        <f>_xlfn.XLOOKUP($B6052,sales_teams!$A$2:$A$36,sales_teams!C$2:C$36)</f>
        <v>West</v>
      </c>
      <c r="E6052" t="s">
        <v>20</v>
      </c>
      <c r="F6052" t="s">
        <v>273</v>
      </c>
      <c r="G6052" t="s">
        <v>46</v>
      </c>
      <c r="H6052" s="1">
        <v>42966</v>
      </c>
      <c r="I6052" s="1">
        <v>42972</v>
      </c>
      <c r="J6052">
        <v>0</v>
      </c>
    </row>
    <row r="6053" spans="1:10" x14ac:dyDescent="0.3">
      <c r="A6053" t="s">
        <v>6184</v>
      </c>
      <c r="B6053" t="s">
        <v>95</v>
      </c>
      <c r="C6053" t="str">
        <f>_xlfn.XLOOKUP(B6053,
[1]sales_teams!$A$2:$A$100,
[1]sales_teams!$B$2:$B$100)</f>
        <v>Summer Sewald</v>
      </c>
      <c r="D6053" t="str">
        <f>_xlfn.XLOOKUP($B6053,sales_teams!$A$2:$A$36,sales_teams!C$2:C$36)</f>
        <v>West</v>
      </c>
      <c r="E6053" t="s">
        <v>20</v>
      </c>
      <c r="F6053" t="s">
        <v>30</v>
      </c>
      <c r="G6053" t="s">
        <v>46</v>
      </c>
      <c r="H6053" s="1">
        <v>42966</v>
      </c>
      <c r="I6053" s="1">
        <v>42975</v>
      </c>
      <c r="J6053">
        <v>0</v>
      </c>
    </row>
    <row r="6054" spans="1:10" x14ac:dyDescent="0.3">
      <c r="A6054" t="s">
        <v>6185</v>
      </c>
      <c r="B6054" t="s">
        <v>95</v>
      </c>
      <c r="C6054" t="str">
        <f>_xlfn.XLOOKUP(B6054,
[1]sales_teams!$A$2:$A$100,
[1]sales_teams!$B$2:$B$100)</f>
        <v>Summer Sewald</v>
      </c>
      <c r="D6054" t="str">
        <f>_xlfn.XLOOKUP($B6054,sales_teams!$A$2:$A$36,sales_teams!C$2:C$36)</f>
        <v>West</v>
      </c>
      <c r="E6054" t="s">
        <v>10</v>
      </c>
      <c r="F6054" t="s">
        <v>398</v>
      </c>
      <c r="G6054" t="s">
        <v>46</v>
      </c>
      <c r="H6054" s="1">
        <v>42966</v>
      </c>
      <c r="I6054" s="1">
        <v>43065</v>
      </c>
      <c r="J6054">
        <v>0</v>
      </c>
    </row>
    <row r="6055" spans="1:10" x14ac:dyDescent="0.3">
      <c r="A6055" t="s">
        <v>6186</v>
      </c>
      <c r="B6055" t="s">
        <v>95</v>
      </c>
      <c r="C6055" t="str">
        <f>_xlfn.XLOOKUP(B6055,
[1]sales_teams!$A$2:$A$100,
[1]sales_teams!$B$2:$B$100)</f>
        <v>Summer Sewald</v>
      </c>
      <c r="D6055" t="str">
        <f>_xlfn.XLOOKUP($B6055,sales_teams!$A$2:$A$36,sales_teams!C$2:C$36)</f>
        <v>West</v>
      </c>
      <c r="E6055" t="s">
        <v>15</v>
      </c>
      <c r="F6055" t="s">
        <v>315</v>
      </c>
      <c r="G6055" t="s">
        <v>12</v>
      </c>
      <c r="H6055" s="1">
        <v>42966</v>
      </c>
      <c r="I6055" s="1">
        <v>43093</v>
      </c>
      <c r="J6055">
        <v>4009</v>
      </c>
    </row>
    <row r="6056" spans="1:10" x14ac:dyDescent="0.3">
      <c r="A6056" t="s">
        <v>6187</v>
      </c>
      <c r="B6056" t="s">
        <v>133</v>
      </c>
      <c r="C6056" t="str">
        <f>_xlfn.XLOOKUP(B6056,
[1]sales_teams!$A$2:$A$100,
[1]sales_teams!$B$2:$B$100)</f>
        <v>Dustin Brinkmann</v>
      </c>
      <c r="D6056" t="str">
        <f>_xlfn.XLOOKUP($B6056,sales_teams!$A$2:$A$36,sales_teams!C$2:C$36)</f>
        <v>Central</v>
      </c>
      <c r="E6056" t="s">
        <v>39</v>
      </c>
      <c r="F6056" t="s">
        <v>151</v>
      </c>
      <c r="G6056" t="s">
        <v>12</v>
      </c>
      <c r="H6056" s="1">
        <v>42966</v>
      </c>
      <c r="I6056" s="1">
        <v>43041</v>
      </c>
      <c r="J6056">
        <v>3024</v>
      </c>
    </row>
    <row r="6057" spans="1:10" x14ac:dyDescent="0.3">
      <c r="A6057" t="s">
        <v>6188</v>
      </c>
      <c r="B6057" t="s">
        <v>51</v>
      </c>
      <c r="C6057" t="str">
        <f>_xlfn.XLOOKUP(B6057,
[1]sales_teams!$A$2:$A$100,
[1]sales_teams!$B$2:$B$100)</f>
        <v>Summer Sewald</v>
      </c>
      <c r="D6057" t="str">
        <f>_xlfn.XLOOKUP($B6057,sales_teams!$A$2:$A$36,sales_teams!C$2:C$36)</f>
        <v>West</v>
      </c>
      <c r="E6057" t="s">
        <v>10</v>
      </c>
      <c r="F6057" t="s">
        <v>155</v>
      </c>
      <c r="G6057" t="s">
        <v>40</v>
      </c>
      <c r="H6057" s="1">
        <v>42966</v>
      </c>
    </row>
    <row r="6058" spans="1:10" x14ac:dyDescent="0.3">
      <c r="A6058" t="s">
        <v>6189</v>
      </c>
      <c r="B6058" t="s">
        <v>9</v>
      </c>
      <c r="C6058" t="str">
        <f>_xlfn.XLOOKUP(B6058,
[1]sales_teams!$A$2:$A$100,
[1]sales_teams!$B$2:$B$100)</f>
        <v>Dustin Brinkmann</v>
      </c>
      <c r="D6058" t="str">
        <f>_xlfn.XLOOKUP($B6058,sales_teams!$A$2:$A$36,sales_teams!C$2:C$36)</f>
        <v>Central</v>
      </c>
      <c r="E6058" t="s">
        <v>39</v>
      </c>
      <c r="F6058" t="s">
        <v>135</v>
      </c>
      <c r="G6058" t="s">
        <v>46</v>
      </c>
      <c r="H6058" s="1">
        <v>42966</v>
      </c>
      <c r="I6058" s="1">
        <v>43059</v>
      </c>
      <c r="J6058">
        <v>0</v>
      </c>
    </row>
    <row r="6059" spans="1:10" x14ac:dyDescent="0.3">
      <c r="A6059" t="s">
        <v>6190</v>
      </c>
      <c r="B6059" t="s">
        <v>88</v>
      </c>
      <c r="C6059" t="str">
        <f>_xlfn.XLOOKUP(B6059,
[1]sales_teams!$A$2:$A$100,
[1]sales_teams!$B$2:$B$100)</f>
        <v>Cara Losch</v>
      </c>
      <c r="D6059" t="str">
        <f>_xlfn.XLOOKUP($B6059,sales_teams!$A$2:$A$36,sales_teams!C$2:C$36)</f>
        <v>East</v>
      </c>
      <c r="E6059" t="s">
        <v>18</v>
      </c>
      <c r="F6059" t="s">
        <v>65</v>
      </c>
      <c r="G6059" t="s">
        <v>46</v>
      </c>
      <c r="H6059" s="1">
        <v>42966</v>
      </c>
      <c r="I6059" s="1">
        <v>43050</v>
      </c>
      <c r="J6059">
        <v>0</v>
      </c>
    </row>
    <row r="6060" spans="1:10" x14ac:dyDescent="0.3">
      <c r="A6060" t="s">
        <v>6191</v>
      </c>
      <c r="B6060" t="s">
        <v>29</v>
      </c>
      <c r="C6060" t="str">
        <f>_xlfn.XLOOKUP(B6060,
[1]sales_teams!$A$2:$A$100,
[1]sales_teams!$B$2:$B$100)</f>
        <v>Celia Rouche</v>
      </c>
      <c r="D6060" t="str">
        <f>_xlfn.XLOOKUP($B6060,sales_teams!$A$2:$A$36,sales_teams!C$2:C$36)</f>
        <v>West</v>
      </c>
      <c r="E6060" t="s">
        <v>15</v>
      </c>
      <c r="F6060" t="s">
        <v>224</v>
      </c>
      <c r="G6060" t="s">
        <v>12</v>
      </c>
      <c r="H6060" s="1">
        <v>42966</v>
      </c>
      <c r="I6060" s="1">
        <v>43066</v>
      </c>
      <c r="J6060">
        <v>5058</v>
      </c>
    </row>
    <row r="6061" spans="1:10" x14ac:dyDescent="0.3">
      <c r="A6061" t="s">
        <v>6192</v>
      </c>
      <c r="B6061" t="s">
        <v>23</v>
      </c>
      <c r="C6061" t="str">
        <f>_xlfn.XLOOKUP(B6061,
[1]sales_teams!$A$2:$A$100,
[1]sales_teams!$B$2:$B$100)</f>
        <v>Summer Sewald</v>
      </c>
      <c r="D6061" t="str">
        <f>_xlfn.XLOOKUP($B6061,sales_teams!$A$2:$A$36,sales_teams!C$2:C$36)</f>
        <v>West</v>
      </c>
      <c r="E6061" t="s">
        <v>20</v>
      </c>
      <c r="F6061" t="s">
        <v>33</v>
      </c>
      <c r="G6061" t="s">
        <v>46</v>
      </c>
      <c r="H6061" s="1">
        <v>42966</v>
      </c>
      <c r="I6061" s="1">
        <v>43064</v>
      </c>
      <c r="J6061">
        <v>0</v>
      </c>
    </row>
    <row r="6062" spans="1:10" x14ac:dyDescent="0.3">
      <c r="A6062" t="s">
        <v>6193</v>
      </c>
      <c r="B6062" t="s">
        <v>139</v>
      </c>
      <c r="C6062" t="str">
        <f>_xlfn.XLOOKUP(B6062,
[1]sales_teams!$A$2:$A$100,
[1]sales_teams!$B$2:$B$100)</f>
        <v>Rocco Neubert</v>
      </c>
      <c r="D6062" t="str">
        <f>_xlfn.XLOOKUP($B6062,sales_teams!$A$2:$A$36,sales_teams!C$2:C$36)</f>
        <v>East</v>
      </c>
      <c r="E6062" t="s">
        <v>15</v>
      </c>
      <c r="F6062" t="s">
        <v>177</v>
      </c>
      <c r="G6062" t="s">
        <v>46</v>
      </c>
      <c r="H6062" s="1">
        <v>42967</v>
      </c>
      <c r="I6062" s="1">
        <v>42980</v>
      </c>
      <c r="J6062">
        <v>0</v>
      </c>
    </row>
    <row r="6063" spans="1:10" x14ac:dyDescent="0.3">
      <c r="A6063" t="s">
        <v>6194</v>
      </c>
      <c r="B6063" t="s">
        <v>118</v>
      </c>
      <c r="C6063" t="str">
        <f>_xlfn.XLOOKUP(B6063,
[1]sales_teams!$A$2:$A$100,
[1]sales_teams!$B$2:$B$100)</f>
        <v>Rocco Neubert</v>
      </c>
      <c r="D6063" t="str">
        <f>_xlfn.XLOOKUP($B6063,sales_teams!$A$2:$A$36,sales_teams!C$2:C$36)</f>
        <v>East</v>
      </c>
      <c r="E6063" t="s">
        <v>20</v>
      </c>
      <c r="F6063" t="s">
        <v>745</v>
      </c>
      <c r="G6063" t="s">
        <v>12</v>
      </c>
      <c r="H6063" s="1">
        <v>42967</v>
      </c>
      <c r="I6063" s="1">
        <v>42989</v>
      </c>
      <c r="J6063">
        <v>566</v>
      </c>
    </row>
    <row r="6064" spans="1:10" x14ac:dyDescent="0.3">
      <c r="A6064" t="s">
        <v>6195</v>
      </c>
      <c r="B6064" t="s">
        <v>118</v>
      </c>
      <c r="C6064" t="str">
        <f>_xlfn.XLOOKUP(B6064,
[1]sales_teams!$A$2:$A$100,
[1]sales_teams!$B$2:$B$100)</f>
        <v>Rocco Neubert</v>
      </c>
      <c r="D6064" t="str">
        <f>_xlfn.XLOOKUP($B6064,sales_teams!$A$2:$A$36,sales_teams!C$2:C$36)</f>
        <v>East</v>
      </c>
      <c r="E6064" t="s">
        <v>20</v>
      </c>
      <c r="F6064" t="s">
        <v>209</v>
      </c>
      <c r="G6064" t="s">
        <v>12</v>
      </c>
      <c r="H6064" s="1">
        <v>42967</v>
      </c>
      <c r="I6064" s="1">
        <v>43041</v>
      </c>
      <c r="J6064">
        <v>578</v>
      </c>
    </row>
    <row r="6065" spans="1:10" x14ac:dyDescent="0.3">
      <c r="A6065" t="s">
        <v>6196</v>
      </c>
      <c r="B6065" t="s">
        <v>14</v>
      </c>
      <c r="C6065" t="str">
        <f>_xlfn.XLOOKUP(B6065,
[1]sales_teams!$A$2:$A$100,
[1]sales_teams!$B$2:$B$100)</f>
        <v>Melvin Marxen</v>
      </c>
      <c r="D6065" t="str">
        <f>_xlfn.XLOOKUP($B6065,sales_teams!$A$2:$A$36,sales_teams!C$2:C$36)</f>
        <v>Central</v>
      </c>
      <c r="E6065" t="s">
        <v>20</v>
      </c>
      <c r="F6065" t="s">
        <v>170</v>
      </c>
      <c r="G6065" t="s">
        <v>12</v>
      </c>
      <c r="H6065" s="1">
        <v>42967</v>
      </c>
      <c r="I6065" s="1">
        <v>42977</v>
      </c>
      <c r="J6065">
        <v>620</v>
      </c>
    </row>
    <row r="6066" spans="1:10" x14ac:dyDescent="0.3">
      <c r="A6066" t="s">
        <v>6197</v>
      </c>
      <c r="B6066" t="s">
        <v>14</v>
      </c>
      <c r="C6066" t="str">
        <f>_xlfn.XLOOKUP(B6066,
[1]sales_teams!$A$2:$A$100,
[1]sales_teams!$B$2:$B$100)</f>
        <v>Melvin Marxen</v>
      </c>
      <c r="D6066" t="str">
        <f>_xlfn.XLOOKUP($B6066,sales_teams!$A$2:$A$36,sales_teams!C$2:C$36)</f>
        <v>Central</v>
      </c>
      <c r="E6066" t="s">
        <v>15</v>
      </c>
      <c r="F6066" t="s">
        <v>129</v>
      </c>
      <c r="G6066" t="s">
        <v>12</v>
      </c>
      <c r="H6066" s="1">
        <v>42967</v>
      </c>
      <c r="I6066" s="1">
        <v>42981</v>
      </c>
      <c r="J6066">
        <v>4310</v>
      </c>
    </row>
    <row r="6067" spans="1:10" x14ac:dyDescent="0.3">
      <c r="A6067" t="s">
        <v>6198</v>
      </c>
      <c r="B6067" t="s">
        <v>54</v>
      </c>
      <c r="C6067" t="str">
        <f>_xlfn.XLOOKUP(B6067,
[1]sales_teams!$A$2:$A$100,
[1]sales_teams!$B$2:$B$100)</f>
        <v>Celia Rouche</v>
      </c>
      <c r="D6067" t="str">
        <f>_xlfn.XLOOKUP($B6067,sales_teams!$A$2:$A$36,sales_teams!C$2:C$36)</f>
        <v>West</v>
      </c>
      <c r="E6067" t="s">
        <v>39</v>
      </c>
      <c r="F6067" t="s">
        <v>59</v>
      </c>
      <c r="G6067" t="s">
        <v>12</v>
      </c>
      <c r="H6067" s="1">
        <v>42967</v>
      </c>
      <c r="I6067" s="1">
        <v>42968</v>
      </c>
      <c r="J6067">
        <v>3448</v>
      </c>
    </row>
    <row r="6068" spans="1:10" x14ac:dyDescent="0.3">
      <c r="A6068" t="s">
        <v>6199</v>
      </c>
      <c r="B6068" t="s">
        <v>38</v>
      </c>
      <c r="C6068" t="str">
        <f>_xlfn.XLOOKUP(B6068,
[1]sales_teams!$A$2:$A$100,
[1]sales_teams!$B$2:$B$100)</f>
        <v>Summer Sewald</v>
      </c>
      <c r="D6068" t="str">
        <f>_xlfn.XLOOKUP($B6068,sales_teams!$A$2:$A$36,sales_teams!C$2:C$36)</f>
        <v>West</v>
      </c>
      <c r="E6068" t="s">
        <v>20</v>
      </c>
      <c r="F6068" t="s">
        <v>24</v>
      </c>
      <c r="G6068" t="s">
        <v>46</v>
      </c>
      <c r="H6068" s="1">
        <v>42967</v>
      </c>
      <c r="I6068" s="1">
        <v>43067</v>
      </c>
      <c r="J6068">
        <v>0</v>
      </c>
    </row>
    <row r="6069" spans="1:10" x14ac:dyDescent="0.3">
      <c r="A6069" t="s">
        <v>6200</v>
      </c>
      <c r="B6069" t="s">
        <v>78</v>
      </c>
      <c r="C6069" t="str">
        <f>_xlfn.XLOOKUP(B6069,
[1]sales_teams!$A$2:$A$100,
[1]sales_teams!$B$2:$B$100)</f>
        <v>Summer Sewald</v>
      </c>
      <c r="D6069" t="str">
        <f>_xlfn.XLOOKUP($B6069,sales_teams!$A$2:$A$36,sales_teams!C$2:C$36)</f>
        <v>West</v>
      </c>
      <c r="E6069" t="s">
        <v>39</v>
      </c>
      <c r="F6069" t="s">
        <v>93</v>
      </c>
      <c r="G6069" t="s">
        <v>12</v>
      </c>
      <c r="H6069" s="1">
        <v>42967</v>
      </c>
      <c r="I6069" s="1">
        <v>43058</v>
      </c>
      <c r="J6069">
        <v>3517</v>
      </c>
    </row>
    <row r="6070" spans="1:10" x14ac:dyDescent="0.3">
      <c r="A6070" t="s">
        <v>6201</v>
      </c>
      <c r="B6070" t="s">
        <v>95</v>
      </c>
      <c r="C6070" t="str">
        <f>_xlfn.XLOOKUP(B6070,
[1]sales_teams!$A$2:$A$100,
[1]sales_teams!$B$2:$B$100)</f>
        <v>Summer Sewald</v>
      </c>
      <c r="D6070" t="str">
        <f>_xlfn.XLOOKUP($B6070,sales_teams!$A$2:$A$36,sales_teams!C$2:C$36)</f>
        <v>West</v>
      </c>
      <c r="E6070" t="s">
        <v>20</v>
      </c>
      <c r="G6070" t="s">
        <v>40</v>
      </c>
      <c r="H6070" s="1">
        <v>42967</v>
      </c>
    </row>
    <row r="6071" spans="1:10" x14ac:dyDescent="0.3">
      <c r="A6071" t="s">
        <v>6202</v>
      </c>
      <c r="B6071" t="s">
        <v>95</v>
      </c>
      <c r="C6071" t="str">
        <f>_xlfn.XLOOKUP(B6071,
[1]sales_teams!$A$2:$A$100,
[1]sales_teams!$B$2:$B$100)</f>
        <v>Summer Sewald</v>
      </c>
      <c r="D6071" t="str">
        <f>_xlfn.XLOOKUP($B6071,sales_teams!$A$2:$A$36,sales_teams!C$2:C$36)</f>
        <v>West</v>
      </c>
      <c r="E6071" t="s">
        <v>10</v>
      </c>
      <c r="F6071" t="s">
        <v>86</v>
      </c>
      <c r="G6071" t="s">
        <v>40</v>
      </c>
      <c r="H6071" s="1">
        <v>42967</v>
      </c>
    </row>
    <row r="6072" spans="1:10" x14ac:dyDescent="0.3">
      <c r="A6072" t="s">
        <v>6203</v>
      </c>
      <c r="B6072" t="s">
        <v>51</v>
      </c>
      <c r="C6072" t="str">
        <f>_xlfn.XLOOKUP(B6072,
[1]sales_teams!$A$2:$A$100,
[1]sales_teams!$B$2:$B$100)</f>
        <v>Summer Sewald</v>
      </c>
      <c r="D6072" t="str">
        <f>_xlfn.XLOOKUP($B6072,sales_teams!$A$2:$A$36,sales_teams!C$2:C$36)</f>
        <v>West</v>
      </c>
      <c r="E6072" t="s">
        <v>15</v>
      </c>
      <c r="G6072" t="s">
        <v>40</v>
      </c>
      <c r="H6072" s="1">
        <v>42967</v>
      </c>
    </row>
    <row r="6073" spans="1:10" x14ac:dyDescent="0.3">
      <c r="A6073" t="s">
        <v>6204</v>
      </c>
      <c r="B6073" t="s">
        <v>51</v>
      </c>
      <c r="C6073" t="str">
        <f>_xlfn.XLOOKUP(B6073,
[1]sales_teams!$A$2:$A$100,
[1]sales_teams!$B$2:$B$100)</f>
        <v>Summer Sewald</v>
      </c>
      <c r="D6073" t="str">
        <f>_xlfn.XLOOKUP($B6073,sales_teams!$A$2:$A$36,sales_teams!C$2:C$36)</f>
        <v>West</v>
      </c>
      <c r="E6073" t="s">
        <v>15</v>
      </c>
      <c r="F6073" t="s">
        <v>155</v>
      </c>
      <c r="G6073" t="s">
        <v>12</v>
      </c>
      <c r="H6073" s="1">
        <v>42967</v>
      </c>
      <c r="I6073" s="1">
        <v>43094</v>
      </c>
      <c r="J6073">
        <v>3854</v>
      </c>
    </row>
    <row r="6074" spans="1:10" x14ac:dyDescent="0.3">
      <c r="A6074" t="s">
        <v>6205</v>
      </c>
      <c r="B6074" t="s">
        <v>9</v>
      </c>
      <c r="C6074" t="str">
        <f>_xlfn.XLOOKUP(B6074,
[1]sales_teams!$A$2:$A$100,
[1]sales_teams!$B$2:$B$100)</f>
        <v>Dustin Brinkmann</v>
      </c>
      <c r="D6074" t="str">
        <f>_xlfn.XLOOKUP($B6074,sales_teams!$A$2:$A$36,sales_teams!C$2:C$36)</f>
        <v>Central</v>
      </c>
      <c r="E6074" t="s">
        <v>39</v>
      </c>
      <c r="F6074" t="s">
        <v>111</v>
      </c>
      <c r="G6074" t="s">
        <v>12</v>
      </c>
      <c r="H6074" s="1">
        <v>42967</v>
      </c>
      <c r="I6074" s="1">
        <v>43086</v>
      </c>
      <c r="J6074">
        <v>3894</v>
      </c>
    </row>
    <row r="6075" spans="1:10" x14ac:dyDescent="0.3">
      <c r="A6075" t="s">
        <v>6206</v>
      </c>
      <c r="B6075" t="s">
        <v>29</v>
      </c>
      <c r="C6075" t="str">
        <f>_xlfn.XLOOKUP(B6075,
[1]sales_teams!$A$2:$A$100,
[1]sales_teams!$B$2:$B$100)</f>
        <v>Celia Rouche</v>
      </c>
      <c r="D6075" t="str">
        <f>_xlfn.XLOOKUP($B6075,sales_teams!$A$2:$A$36,sales_teams!C$2:C$36)</f>
        <v>West</v>
      </c>
      <c r="E6075" t="s">
        <v>18</v>
      </c>
      <c r="F6075" t="s">
        <v>106</v>
      </c>
      <c r="G6075" t="s">
        <v>40</v>
      </c>
      <c r="H6075" s="1">
        <v>42967</v>
      </c>
    </row>
    <row r="6076" spans="1:10" x14ac:dyDescent="0.3">
      <c r="A6076" t="s">
        <v>6207</v>
      </c>
      <c r="B6076" t="s">
        <v>29</v>
      </c>
      <c r="C6076" t="str">
        <f>_xlfn.XLOOKUP(B6076,
[1]sales_teams!$A$2:$A$100,
[1]sales_teams!$B$2:$B$100)</f>
        <v>Celia Rouche</v>
      </c>
      <c r="D6076" t="str">
        <f>_xlfn.XLOOKUP($B6076,sales_teams!$A$2:$A$36,sales_teams!C$2:C$36)</f>
        <v>West</v>
      </c>
      <c r="E6076" t="s">
        <v>39</v>
      </c>
      <c r="F6076" t="s">
        <v>68</v>
      </c>
      <c r="G6076" t="s">
        <v>12</v>
      </c>
      <c r="H6076" s="1">
        <v>42967</v>
      </c>
      <c r="I6076" s="1">
        <v>43091</v>
      </c>
      <c r="J6076">
        <v>2833</v>
      </c>
    </row>
    <row r="6077" spans="1:10" x14ac:dyDescent="0.3">
      <c r="A6077" t="s">
        <v>6208</v>
      </c>
      <c r="B6077" t="s">
        <v>73</v>
      </c>
      <c r="C6077" t="str">
        <f>_xlfn.XLOOKUP(B6077,
[1]sales_teams!$A$2:$A$100,
[1]sales_teams!$B$2:$B$100)</f>
        <v>Cara Losch</v>
      </c>
      <c r="D6077" t="str">
        <f>_xlfn.XLOOKUP($B6077,sales_teams!$A$2:$A$36,sales_teams!C$2:C$36)</f>
        <v>East</v>
      </c>
      <c r="E6077" t="s">
        <v>39</v>
      </c>
      <c r="F6077" t="s">
        <v>74</v>
      </c>
      <c r="G6077" t="s">
        <v>46</v>
      </c>
      <c r="H6077" s="1">
        <v>42967</v>
      </c>
      <c r="I6077" s="1">
        <v>42984</v>
      </c>
      <c r="J6077">
        <v>0</v>
      </c>
    </row>
    <row r="6078" spans="1:10" x14ac:dyDescent="0.3">
      <c r="A6078" t="s">
        <v>6209</v>
      </c>
      <c r="B6078" t="s">
        <v>26</v>
      </c>
      <c r="C6078" t="str">
        <f>_xlfn.XLOOKUP(B6078,
[1]sales_teams!$A$2:$A$100,
[1]sales_teams!$B$2:$B$100)</f>
        <v>Dustin Brinkmann</v>
      </c>
      <c r="D6078" t="str">
        <f>_xlfn.XLOOKUP($B6078,sales_teams!$A$2:$A$36,sales_teams!C$2:C$36)</f>
        <v>Central</v>
      </c>
      <c r="E6078" t="s">
        <v>18</v>
      </c>
      <c r="F6078" t="s">
        <v>207</v>
      </c>
      <c r="G6078" t="s">
        <v>12</v>
      </c>
      <c r="H6078" s="1">
        <v>42968</v>
      </c>
      <c r="I6078" s="1">
        <v>43042</v>
      </c>
      <c r="J6078">
        <v>54</v>
      </c>
    </row>
    <row r="6079" spans="1:10" x14ac:dyDescent="0.3">
      <c r="A6079" t="s">
        <v>6210</v>
      </c>
      <c r="B6079" t="s">
        <v>139</v>
      </c>
      <c r="C6079" t="str">
        <f>_xlfn.XLOOKUP(B6079,
[1]sales_teams!$A$2:$A$100,
[1]sales_teams!$B$2:$B$100)</f>
        <v>Rocco Neubert</v>
      </c>
      <c r="D6079" t="str">
        <f>_xlfn.XLOOKUP($B6079,sales_teams!$A$2:$A$36,sales_teams!C$2:C$36)</f>
        <v>East</v>
      </c>
      <c r="E6079" t="s">
        <v>10</v>
      </c>
      <c r="F6079" t="s">
        <v>218</v>
      </c>
      <c r="G6079" t="s">
        <v>40</v>
      </c>
      <c r="H6079" s="1">
        <v>42968</v>
      </c>
    </row>
    <row r="6080" spans="1:10" x14ac:dyDescent="0.3">
      <c r="A6080" t="s">
        <v>6211</v>
      </c>
      <c r="B6080" t="s">
        <v>14</v>
      </c>
      <c r="C6080" t="str">
        <f>_xlfn.XLOOKUP(B6080,
[1]sales_teams!$A$2:$A$100,
[1]sales_teams!$B$2:$B$100)</f>
        <v>Melvin Marxen</v>
      </c>
      <c r="D6080" t="str">
        <f>_xlfn.XLOOKUP($B6080,sales_teams!$A$2:$A$36,sales_teams!C$2:C$36)</f>
        <v>Central</v>
      </c>
      <c r="E6080" t="s">
        <v>10</v>
      </c>
      <c r="F6080" t="s">
        <v>21</v>
      </c>
      <c r="G6080" t="s">
        <v>46</v>
      </c>
      <c r="H6080" s="1">
        <v>42968</v>
      </c>
      <c r="I6080" s="1">
        <v>43066</v>
      </c>
      <c r="J6080">
        <v>0</v>
      </c>
    </row>
    <row r="6081" spans="1:10" x14ac:dyDescent="0.3">
      <c r="A6081" t="s">
        <v>6212</v>
      </c>
      <c r="B6081" t="s">
        <v>14</v>
      </c>
      <c r="C6081" t="str">
        <f>_xlfn.XLOOKUP(B6081,
[1]sales_teams!$A$2:$A$100,
[1]sales_teams!$B$2:$B$100)</f>
        <v>Melvin Marxen</v>
      </c>
      <c r="D6081" t="str">
        <f>_xlfn.XLOOKUP($B6081,sales_teams!$A$2:$A$36,sales_teams!C$2:C$36)</f>
        <v>Central</v>
      </c>
      <c r="E6081" t="s">
        <v>20</v>
      </c>
      <c r="F6081" t="s">
        <v>135</v>
      </c>
      <c r="G6081" t="s">
        <v>12</v>
      </c>
      <c r="H6081" s="1">
        <v>42968</v>
      </c>
      <c r="I6081" s="1">
        <v>43051</v>
      </c>
      <c r="J6081">
        <v>509</v>
      </c>
    </row>
    <row r="6082" spans="1:10" x14ac:dyDescent="0.3">
      <c r="A6082" t="s">
        <v>6213</v>
      </c>
      <c r="B6082" t="s">
        <v>44</v>
      </c>
      <c r="C6082" t="str">
        <f>_xlfn.XLOOKUP(B6082,
[1]sales_teams!$A$2:$A$100,
[1]sales_teams!$B$2:$B$100)</f>
        <v>Melvin Marxen</v>
      </c>
      <c r="D6082" t="str">
        <f>_xlfn.XLOOKUP($B6082,sales_teams!$A$2:$A$36,sales_teams!C$2:C$36)</f>
        <v>Central</v>
      </c>
      <c r="E6082" t="s">
        <v>39</v>
      </c>
      <c r="F6082" t="s">
        <v>62</v>
      </c>
      <c r="G6082" t="s">
        <v>12</v>
      </c>
      <c r="H6082" s="1">
        <v>42968</v>
      </c>
      <c r="I6082" s="1">
        <v>43075</v>
      </c>
      <c r="J6082">
        <v>3436</v>
      </c>
    </row>
    <row r="6083" spans="1:10" x14ac:dyDescent="0.3">
      <c r="A6083" t="s">
        <v>6214</v>
      </c>
      <c r="B6083" t="s">
        <v>54</v>
      </c>
      <c r="C6083" t="str">
        <f>_xlfn.XLOOKUP(B6083,
[1]sales_teams!$A$2:$A$100,
[1]sales_teams!$B$2:$B$100)</f>
        <v>Celia Rouche</v>
      </c>
      <c r="D6083" t="str">
        <f>_xlfn.XLOOKUP($B6083,sales_teams!$A$2:$A$36,sales_teams!C$2:C$36)</f>
        <v>West</v>
      </c>
      <c r="E6083" t="s">
        <v>39</v>
      </c>
      <c r="F6083" t="s">
        <v>168</v>
      </c>
      <c r="G6083" t="s">
        <v>12</v>
      </c>
      <c r="H6083" s="1">
        <v>42968</v>
      </c>
      <c r="I6083" s="1">
        <v>43066</v>
      </c>
      <c r="J6083">
        <v>3514</v>
      </c>
    </row>
    <row r="6084" spans="1:10" x14ac:dyDescent="0.3">
      <c r="A6084" t="s">
        <v>6215</v>
      </c>
      <c r="B6084" t="s">
        <v>252</v>
      </c>
      <c r="C6084" t="str">
        <f>_xlfn.XLOOKUP(B6084,
[1]sales_teams!$A$2:$A$100,
[1]sales_teams!$B$2:$B$100)</f>
        <v>Melvin Marxen</v>
      </c>
      <c r="D6084" t="str">
        <f>_xlfn.XLOOKUP($B6084,sales_teams!$A$2:$A$36,sales_teams!C$2:C$36)</f>
        <v>Central</v>
      </c>
      <c r="E6084" t="s">
        <v>20</v>
      </c>
      <c r="F6084" t="s">
        <v>151</v>
      </c>
      <c r="G6084" t="s">
        <v>12</v>
      </c>
      <c r="H6084" s="1">
        <v>42968</v>
      </c>
      <c r="I6084" s="1">
        <v>43099</v>
      </c>
      <c r="J6084">
        <v>611</v>
      </c>
    </row>
    <row r="6085" spans="1:10" x14ac:dyDescent="0.3">
      <c r="A6085" t="s">
        <v>6216</v>
      </c>
      <c r="B6085" t="s">
        <v>78</v>
      </c>
      <c r="C6085" t="str">
        <f>_xlfn.XLOOKUP(B6085,
[1]sales_teams!$A$2:$A$100,
[1]sales_teams!$B$2:$B$100)</f>
        <v>Summer Sewald</v>
      </c>
      <c r="D6085" t="str">
        <f>_xlfn.XLOOKUP($B6085,sales_teams!$A$2:$A$36,sales_teams!C$2:C$36)</f>
        <v>West</v>
      </c>
      <c r="E6085" t="s">
        <v>10</v>
      </c>
      <c r="G6085" t="s">
        <v>40</v>
      </c>
      <c r="H6085" s="1">
        <v>42968</v>
      </c>
    </row>
    <row r="6086" spans="1:10" x14ac:dyDescent="0.3">
      <c r="A6086" t="s">
        <v>6217</v>
      </c>
      <c r="B6086" t="s">
        <v>95</v>
      </c>
      <c r="C6086" t="str">
        <f>_xlfn.XLOOKUP(B6086,
[1]sales_teams!$A$2:$A$100,
[1]sales_teams!$B$2:$B$100)</f>
        <v>Summer Sewald</v>
      </c>
      <c r="D6086" t="str">
        <f>_xlfn.XLOOKUP($B6086,sales_teams!$A$2:$A$36,sales_teams!C$2:C$36)</f>
        <v>West</v>
      </c>
      <c r="E6086" t="s">
        <v>18</v>
      </c>
      <c r="F6086" t="s">
        <v>224</v>
      </c>
      <c r="G6086" t="s">
        <v>12</v>
      </c>
      <c r="H6086" s="1">
        <v>42968</v>
      </c>
      <c r="I6086" s="1">
        <v>43047</v>
      </c>
      <c r="J6086">
        <v>58</v>
      </c>
    </row>
    <row r="6087" spans="1:10" x14ac:dyDescent="0.3">
      <c r="A6087" t="s">
        <v>6218</v>
      </c>
      <c r="B6087" t="s">
        <v>133</v>
      </c>
      <c r="C6087" t="str">
        <f>_xlfn.XLOOKUP(B6087,
[1]sales_teams!$A$2:$A$100,
[1]sales_teams!$B$2:$B$100)</f>
        <v>Dustin Brinkmann</v>
      </c>
      <c r="D6087" t="str">
        <f>_xlfn.XLOOKUP($B6087,sales_teams!$A$2:$A$36,sales_teams!C$2:C$36)</f>
        <v>Central</v>
      </c>
      <c r="E6087" t="s">
        <v>39</v>
      </c>
      <c r="F6087" t="s">
        <v>129</v>
      </c>
      <c r="G6087" t="s">
        <v>46</v>
      </c>
      <c r="H6087" s="1">
        <v>42968</v>
      </c>
      <c r="I6087" s="1">
        <v>43056</v>
      </c>
      <c r="J6087">
        <v>0</v>
      </c>
    </row>
    <row r="6088" spans="1:10" x14ac:dyDescent="0.3">
      <c r="A6088" t="s">
        <v>6219</v>
      </c>
      <c r="B6088" t="s">
        <v>133</v>
      </c>
      <c r="C6088" t="str">
        <f>_xlfn.XLOOKUP(B6088,
[1]sales_teams!$A$2:$A$100,
[1]sales_teams!$B$2:$B$100)</f>
        <v>Dustin Brinkmann</v>
      </c>
      <c r="D6088" t="str">
        <f>_xlfn.XLOOKUP($B6088,sales_teams!$A$2:$A$36,sales_teams!C$2:C$36)</f>
        <v>Central</v>
      </c>
      <c r="E6088" t="s">
        <v>20</v>
      </c>
      <c r="F6088" t="s">
        <v>492</v>
      </c>
      <c r="G6088" t="s">
        <v>12</v>
      </c>
      <c r="H6088" s="1">
        <v>42968</v>
      </c>
      <c r="I6088" s="1">
        <v>43082</v>
      </c>
      <c r="J6088">
        <v>513</v>
      </c>
    </row>
    <row r="6089" spans="1:10" x14ac:dyDescent="0.3">
      <c r="A6089" t="s">
        <v>6220</v>
      </c>
      <c r="B6089" t="s">
        <v>32</v>
      </c>
      <c r="C6089" t="str">
        <f>_xlfn.XLOOKUP(B6089,
[1]sales_teams!$A$2:$A$100,
[1]sales_teams!$B$2:$B$100)</f>
        <v>Celia Rouche</v>
      </c>
      <c r="D6089" t="str">
        <f>_xlfn.XLOOKUP($B6089,sales_teams!$A$2:$A$36,sales_teams!C$2:C$36)</f>
        <v>West</v>
      </c>
      <c r="E6089" t="s">
        <v>18</v>
      </c>
      <c r="G6089" t="s">
        <v>40</v>
      </c>
      <c r="H6089" s="1">
        <v>42968</v>
      </c>
    </row>
    <row r="6090" spans="1:10" x14ac:dyDescent="0.3">
      <c r="A6090" t="s">
        <v>6221</v>
      </c>
      <c r="B6090" t="s">
        <v>32</v>
      </c>
      <c r="C6090" t="str">
        <f>_xlfn.XLOOKUP(B6090,
[1]sales_teams!$A$2:$A$100,
[1]sales_teams!$B$2:$B$100)</f>
        <v>Celia Rouche</v>
      </c>
      <c r="D6090" t="str">
        <f>_xlfn.XLOOKUP($B6090,sales_teams!$A$2:$A$36,sales_teams!C$2:C$36)</f>
        <v>West</v>
      </c>
      <c r="E6090" t="s">
        <v>10</v>
      </c>
      <c r="F6090" t="s">
        <v>555</v>
      </c>
      <c r="G6090" t="s">
        <v>46</v>
      </c>
      <c r="H6090" s="1">
        <v>42968</v>
      </c>
      <c r="I6090" s="1">
        <v>42976</v>
      </c>
      <c r="J6090">
        <v>0</v>
      </c>
    </row>
    <row r="6091" spans="1:10" x14ac:dyDescent="0.3">
      <c r="A6091" t="s">
        <v>6222</v>
      </c>
      <c r="B6091" t="s">
        <v>9</v>
      </c>
      <c r="C6091" t="str">
        <f>_xlfn.XLOOKUP(B6091,
[1]sales_teams!$A$2:$A$100,
[1]sales_teams!$B$2:$B$100)</f>
        <v>Dustin Brinkmann</v>
      </c>
      <c r="D6091" t="str">
        <f>_xlfn.XLOOKUP($B6091,sales_teams!$A$2:$A$36,sales_teams!C$2:C$36)</f>
        <v>Central</v>
      </c>
      <c r="E6091" t="s">
        <v>10</v>
      </c>
      <c r="F6091" t="s">
        <v>21</v>
      </c>
      <c r="G6091" t="s">
        <v>46</v>
      </c>
      <c r="H6091" s="1">
        <v>42968</v>
      </c>
      <c r="I6091" s="1">
        <v>43042</v>
      </c>
      <c r="J6091">
        <v>0</v>
      </c>
    </row>
    <row r="6092" spans="1:10" x14ac:dyDescent="0.3">
      <c r="A6092" t="s">
        <v>6223</v>
      </c>
      <c r="B6092" t="s">
        <v>57</v>
      </c>
      <c r="C6092" t="str">
        <f>_xlfn.XLOOKUP(B6092,
[1]sales_teams!$A$2:$A$100,
[1]sales_teams!$B$2:$B$100)</f>
        <v>Celia Rouche</v>
      </c>
      <c r="D6092" t="str">
        <f>_xlfn.XLOOKUP($B6092,sales_teams!$A$2:$A$36,sales_teams!C$2:C$36)</f>
        <v>West</v>
      </c>
      <c r="E6092" t="s">
        <v>18</v>
      </c>
      <c r="F6092" t="s">
        <v>93</v>
      </c>
      <c r="G6092" t="s">
        <v>40</v>
      </c>
      <c r="H6092" s="1">
        <v>42968</v>
      </c>
    </row>
    <row r="6093" spans="1:10" x14ac:dyDescent="0.3">
      <c r="A6093" t="s">
        <v>6224</v>
      </c>
      <c r="B6093" t="s">
        <v>61</v>
      </c>
      <c r="C6093" t="str">
        <f>_xlfn.XLOOKUP(B6093,
[1]sales_teams!$A$2:$A$100,
[1]sales_teams!$B$2:$B$100)</f>
        <v>Dustin Brinkmann</v>
      </c>
      <c r="D6093" t="str">
        <f>_xlfn.XLOOKUP($B6093,sales_teams!$A$2:$A$36,sales_teams!C$2:C$36)</f>
        <v>Central</v>
      </c>
      <c r="E6093" t="s">
        <v>18</v>
      </c>
      <c r="F6093" t="s">
        <v>62</v>
      </c>
      <c r="G6093" t="s">
        <v>12</v>
      </c>
      <c r="H6093" s="1">
        <v>42968</v>
      </c>
      <c r="I6093" s="1">
        <v>42986</v>
      </c>
      <c r="J6093">
        <v>54</v>
      </c>
    </row>
    <row r="6094" spans="1:10" x14ac:dyDescent="0.3">
      <c r="A6094" t="s">
        <v>6225</v>
      </c>
      <c r="B6094" t="s">
        <v>29</v>
      </c>
      <c r="C6094" t="str">
        <f>_xlfn.XLOOKUP(B6094,
[1]sales_teams!$A$2:$A$100,
[1]sales_teams!$B$2:$B$100)</f>
        <v>Celia Rouche</v>
      </c>
      <c r="D6094" t="str">
        <f>_xlfn.XLOOKUP($B6094,sales_teams!$A$2:$A$36,sales_teams!C$2:C$36)</f>
        <v>West</v>
      </c>
      <c r="E6094" t="s">
        <v>18</v>
      </c>
      <c r="G6094" t="s">
        <v>40</v>
      </c>
      <c r="H6094" s="1">
        <v>42968</v>
      </c>
    </row>
    <row r="6095" spans="1:10" x14ac:dyDescent="0.3">
      <c r="A6095" t="s">
        <v>6226</v>
      </c>
      <c r="B6095" t="s">
        <v>29</v>
      </c>
      <c r="C6095" t="str">
        <f>_xlfn.XLOOKUP(B6095,
[1]sales_teams!$A$2:$A$100,
[1]sales_teams!$B$2:$B$100)</f>
        <v>Celia Rouche</v>
      </c>
      <c r="D6095" t="str">
        <f>_xlfn.XLOOKUP($B6095,sales_teams!$A$2:$A$36,sales_teams!C$2:C$36)</f>
        <v>West</v>
      </c>
      <c r="E6095" t="s">
        <v>20</v>
      </c>
      <c r="F6095" t="s">
        <v>157</v>
      </c>
      <c r="G6095" t="s">
        <v>12</v>
      </c>
      <c r="H6095" s="1">
        <v>42968</v>
      </c>
      <c r="I6095" s="1">
        <v>43092</v>
      </c>
      <c r="J6095">
        <v>547</v>
      </c>
    </row>
    <row r="6096" spans="1:10" x14ac:dyDescent="0.3">
      <c r="A6096" t="s">
        <v>6227</v>
      </c>
      <c r="B6096" t="s">
        <v>73</v>
      </c>
      <c r="C6096" t="str">
        <f>_xlfn.XLOOKUP(B6096,
[1]sales_teams!$A$2:$A$100,
[1]sales_teams!$B$2:$B$100)</f>
        <v>Cara Losch</v>
      </c>
      <c r="D6096" t="str">
        <f>_xlfn.XLOOKUP($B6096,sales_teams!$A$2:$A$36,sales_teams!C$2:C$36)</f>
        <v>East</v>
      </c>
      <c r="E6096" t="s">
        <v>39</v>
      </c>
      <c r="F6096" t="s">
        <v>278</v>
      </c>
      <c r="G6096" t="s">
        <v>46</v>
      </c>
      <c r="H6096" s="1">
        <v>42968</v>
      </c>
      <c r="I6096" s="1">
        <v>43077</v>
      </c>
      <c r="J6096">
        <v>0</v>
      </c>
    </row>
    <row r="6097" spans="1:10" x14ac:dyDescent="0.3">
      <c r="A6097" t="s">
        <v>6228</v>
      </c>
      <c r="B6097" t="s">
        <v>73</v>
      </c>
      <c r="C6097" t="str">
        <f>_xlfn.XLOOKUP(B6097,
[1]sales_teams!$A$2:$A$100,
[1]sales_teams!$B$2:$B$100)</f>
        <v>Cara Losch</v>
      </c>
      <c r="D6097" t="str">
        <f>_xlfn.XLOOKUP($B6097,sales_teams!$A$2:$A$36,sales_teams!C$2:C$36)</f>
        <v>East</v>
      </c>
      <c r="E6097" t="s">
        <v>20</v>
      </c>
      <c r="F6097" t="s">
        <v>81</v>
      </c>
      <c r="G6097" t="s">
        <v>12</v>
      </c>
      <c r="H6097" s="1">
        <v>42968</v>
      </c>
      <c r="I6097" s="1">
        <v>42973</v>
      </c>
      <c r="J6097">
        <v>592</v>
      </c>
    </row>
    <row r="6098" spans="1:10" x14ac:dyDescent="0.3">
      <c r="A6098" t="s">
        <v>6229</v>
      </c>
      <c r="B6098" t="s">
        <v>102</v>
      </c>
      <c r="C6098" t="str">
        <f>_xlfn.XLOOKUP(B6098,
[1]sales_teams!$A$2:$A$100,
[1]sales_teams!$B$2:$B$100)</f>
        <v>Cara Losch</v>
      </c>
      <c r="D6098" t="str">
        <f>_xlfn.XLOOKUP($B6098,sales_teams!$A$2:$A$36,sales_teams!C$2:C$36)</f>
        <v>East</v>
      </c>
      <c r="E6098" t="s">
        <v>39</v>
      </c>
      <c r="F6098" t="s">
        <v>103</v>
      </c>
      <c r="G6098" t="s">
        <v>46</v>
      </c>
      <c r="H6098" s="1">
        <v>42968</v>
      </c>
      <c r="I6098" s="1">
        <v>43080</v>
      </c>
      <c r="J6098">
        <v>0</v>
      </c>
    </row>
    <row r="6099" spans="1:10" x14ac:dyDescent="0.3">
      <c r="A6099" t="s">
        <v>6230</v>
      </c>
      <c r="B6099" t="s">
        <v>118</v>
      </c>
      <c r="C6099" t="str">
        <f>_xlfn.XLOOKUP(B6099,
[1]sales_teams!$A$2:$A$100,
[1]sales_teams!$B$2:$B$100)</f>
        <v>Rocco Neubert</v>
      </c>
      <c r="D6099" t="str">
        <f>_xlfn.XLOOKUP($B6099,sales_teams!$A$2:$A$36,sales_teams!C$2:C$36)</f>
        <v>East</v>
      </c>
      <c r="E6099" t="s">
        <v>39</v>
      </c>
      <c r="G6099" t="s">
        <v>40</v>
      </c>
      <c r="H6099" s="1">
        <v>42969</v>
      </c>
    </row>
    <row r="6100" spans="1:10" x14ac:dyDescent="0.3">
      <c r="A6100" t="s">
        <v>6231</v>
      </c>
      <c r="B6100" t="s">
        <v>118</v>
      </c>
      <c r="C6100" t="str">
        <f>_xlfn.XLOOKUP(B6100,
[1]sales_teams!$A$2:$A$100,
[1]sales_teams!$B$2:$B$100)</f>
        <v>Rocco Neubert</v>
      </c>
      <c r="D6100" t="str">
        <f>_xlfn.XLOOKUP($B6100,sales_teams!$A$2:$A$36,sales_teams!C$2:C$36)</f>
        <v>East</v>
      </c>
      <c r="E6100" t="s">
        <v>39</v>
      </c>
      <c r="F6100" t="s">
        <v>81</v>
      </c>
      <c r="G6100" t="s">
        <v>46</v>
      </c>
      <c r="H6100" s="1">
        <v>42969</v>
      </c>
      <c r="I6100" s="1">
        <v>43074</v>
      </c>
      <c r="J6100">
        <v>0</v>
      </c>
    </row>
    <row r="6101" spans="1:10" x14ac:dyDescent="0.3">
      <c r="A6101" t="s">
        <v>6232</v>
      </c>
      <c r="B6101" t="s">
        <v>164</v>
      </c>
      <c r="C6101" t="str">
        <f>_xlfn.XLOOKUP(B6101,
[1]sales_teams!$A$2:$A$100,
[1]sales_teams!$B$2:$B$100)</f>
        <v>Cara Losch</v>
      </c>
      <c r="D6101" t="str">
        <f>_xlfn.XLOOKUP($B6101,sales_teams!$A$2:$A$36,sales_teams!C$2:C$36)</f>
        <v>East</v>
      </c>
      <c r="E6101" t="s">
        <v>48</v>
      </c>
      <c r="F6101" t="s">
        <v>103</v>
      </c>
      <c r="G6101" t="s">
        <v>12</v>
      </c>
      <c r="H6101" s="1">
        <v>42969</v>
      </c>
      <c r="I6101" s="1">
        <v>43045</v>
      </c>
      <c r="J6101">
        <v>5529</v>
      </c>
    </row>
    <row r="6102" spans="1:10" x14ac:dyDescent="0.3">
      <c r="A6102" t="s">
        <v>6233</v>
      </c>
      <c r="B6102" t="s">
        <v>164</v>
      </c>
      <c r="C6102" t="str">
        <f>_xlfn.XLOOKUP(B6102,
[1]sales_teams!$A$2:$A$100,
[1]sales_teams!$B$2:$B$100)</f>
        <v>Cara Losch</v>
      </c>
      <c r="D6102" t="str">
        <f>_xlfn.XLOOKUP($B6102,sales_teams!$A$2:$A$36,sales_teams!C$2:C$36)</f>
        <v>East</v>
      </c>
      <c r="E6102" t="s">
        <v>15</v>
      </c>
      <c r="F6102" t="s">
        <v>237</v>
      </c>
      <c r="G6102" t="s">
        <v>12</v>
      </c>
      <c r="H6102" s="1">
        <v>42969</v>
      </c>
      <c r="I6102" s="1">
        <v>42980</v>
      </c>
      <c r="J6102">
        <v>5002</v>
      </c>
    </row>
    <row r="6103" spans="1:10" x14ac:dyDescent="0.3">
      <c r="A6103" t="s">
        <v>6234</v>
      </c>
      <c r="B6103" t="s">
        <v>142</v>
      </c>
      <c r="C6103" t="str">
        <f>_xlfn.XLOOKUP(B6103,
[1]sales_teams!$A$2:$A$100,
[1]sales_teams!$B$2:$B$100)</f>
        <v>Rocco Neubert</v>
      </c>
      <c r="D6103" t="str">
        <f>_xlfn.XLOOKUP($B6103,sales_teams!$A$2:$A$36,sales_teams!C$2:C$36)</f>
        <v>East</v>
      </c>
      <c r="E6103" t="s">
        <v>20</v>
      </c>
      <c r="F6103" t="s">
        <v>189</v>
      </c>
      <c r="G6103" t="s">
        <v>46</v>
      </c>
      <c r="H6103" s="1">
        <v>42969</v>
      </c>
      <c r="I6103" s="1">
        <v>42979</v>
      </c>
      <c r="J6103">
        <v>0</v>
      </c>
    </row>
    <row r="6104" spans="1:10" x14ac:dyDescent="0.3">
      <c r="A6104" t="s">
        <v>6235</v>
      </c>
      <c r="B6104" t="s">
        <v>142</v>
      </c>
      <c r="C6104" t="str">
        <f>_xlfn.XLOOKUP(B6104,
[1]sales_teams!$A$2:$A$100,
[1]sales_teams!$B$2:$B$100)</f>
        <v>Rocco Neubert</v>
      </c>
      <c r="D6104" t="str">
        <f>_xlfn.XLOOKUP($B6104,sales_teams!$A$2:$A$36,sales_teams!C$2:C$36)</f>
        <v>East</v>
      </c>
      <c r="E6104" t="s">
        <v>15</v>
      </c>
      <c r="F6104" t="s">
        <v>89</v>
      </c>
      <c r="G6104" t="s">
        <v>46</v>
      </c>
      <c r="H6104" s="1">
        <v>42969</v>
      </c>
      <c r="I6104" s="1">
        <v>43040</v>
      </c>
      <c r="J6104">
        <v>0</v>
      </c>
    </row>
    <row r="6105" spans="1:10" x14ac:dyDescent="0.3">
      <c r="A6105" t="s">
        <v>6236</v>
      </c>
      <c r="B6105" t="s">
        <v>38</v>
      </c>
      <c r="C6105" t="str">
        <f>_xlfn.XLOOKUP(B6105,
[1]sales_teams!$A$2:$A$100,
[1]sales_teams!$B$2:$B$100)</f>
        <v>Summer Sewald</v>
      </c>
      <c r="D6105" t="str">
        <f>_xlfn.XLOOKUP($B6105,sales_teams!$A$2:$A$36,sales_teams!C$2:C$36)</f>
        <v>West</v>
      </c>
      <c r="E6105" t="s">
        <v>20</v>
      </c>
      <c r="F6105" t="s">
        <v>100</v>
      </c>
      <c r="G6105" t="s">
        <v>12</v>
      </c>
      <c r="H6105" s="1">
        <v>42969</v>
      </c>
      <c r="I6105" s="1">
        <v>43089</v>
      </c>
      <c r="J6105">
        <v>476</v>
      </c>
    </row>
    <row r="6106" spans="1:10" x14ac:dyDescent="0.3">
      <c r="A6106" t="s">
        <v>6237</v>
      </c>
      <c r="B6106" t="s">
        <v>32</v>
      </c>
      <c r="C6106" t="str">
        <f>_xlfn.XLOOKUP(B6106,
[1]sales_teams!$A$2:$A$100,
[1]sales_teams!$B$2:$B$100)</f>
        <v>Celia Rouche</v>
      </c>
      <c r="D6106" t="str">
        <f>_xlfn.XLOOKUP($B6106,sales_teams!$A$2:$A$36,sales_teams!C$2:C$36)</f>
        <v>West</v>
      </c>
      <c r="E6106" t="s">
        <v>18</v>
      </c>
      <c r="F6106" t="s">
        <v>174</v>
      </c>
      <c r="G6106" t="s">
        <v>12</v>
      </c>
      <c r="H6106" s="1">
        <v>42969</v>
      </c>
      <c r="I6106" s="1">
        <v>43057</v>
      </c>
      <c r="J6106">
        <v>56</v>
      </c>
    </row>
    <row r="6107" spans="1:10" x14ac:dyDescent="0.3">
      <c r="A6107" t="s">
        <v>6238</v>
      </c>
      <c r="B6107" t="s">
        <v>116</v>
      </c>
      <c r="C6107" t="str">
        <f>_xlfn.XLOOKUP(B6107,
[1]sales_teams!$A$2:$A$100,
[1]sales_teams!$B$2:$B$100)</f>
        <v>Melvin Marxen</v>
      </c>
      <c r="D6107" t="str">
        <f>_xlfn.XLOOKUP($B6107,sales_teams!$A$2:$A$36,sales_teams!C$2:C$36)</f>
        <v>Central</v>
      </c>
      <c r="E6107" t="s">
        <v>48</v>
      </c>
      <c r="F6107" t="s">
        <v>16</v>
      </c>
      <c r="G6107" t="s">
        <v>46</v>
      </c>
      <c r="H6107" s="1">
        <v>42969</v>
      </c>
      <c r="I6107" s="1">
        <v>42978</v>
      </c>
      <c r="J6107">
        <v>0</v>
      </c>
    </row>
    <row r="6108" spans="1:10" x14ac:dyDescent="0.3">
      <c r="A6108" t="s">
        <v>6239</v>
      </c>
      <c r="B6108" t="s">
        <v>51</v>
      </c>
      <c r="C6108" t="str">
        <f>_xlfn.XLOOKUP(B6108,
[1]sales_teams!$A$2:$A$100,
[1]sales_teams!$B$2:$B$100)</f>
        <v>Summer Sewald</v>
      </c>
      <c r="D6108" t="str">
        <f>_xlfn.XLOOKUP($B6108,sales_teams!$A$2:$A$36,sales_teams!C$2:C$36)</f>
        <v>West</v>
      </c>
      <c r="E6108" t="s">
        <v>10</v>
      </c>
      <c r="F6108" t="s">
        <v>199</v>
      </c>
      <c r="G6108" t="s">
        <v>46</v>
      </c>
      <c r="H6108" s="1">
        <v>42969</v>
      </c>
      <c r="I6108" s="1">
        <v>43070</v>
      </c>
      <c r="J6108">
        <v>0</v>
      </c>
    </row>
    <row r="6109" spans="1:10" x14ac:dyDescent="0.3">
      <c r="A6109" t="s">
        <v>6240</v>
      </c>
      <c r="B6109" t="s">
        <v>51</v>
      </c>
      <c r="C6109" t="str">
        <f>_xlfn.XLOOKUP(B6109,
[1]sales_teams!$A$2:$A$100,
[1]sales_teams!$B$2:$B$100)</f>
        <v>Summer Sewald</v>
      </c>
      <c r="D6109" t="str">
        <f>_xlfn.XLOOKUP($B6109,sales_teams!$A$2:$A$36,sales_teams!C$2:C$36)</f>
        <v>West</v>
      </c>
      <c r="E6109" t="s">
        <v>20</v>
      </c>
      <c r="F6109" t="s">
        <v>273</v>
      </c>
      <c r="G6109" t="s">
        <v>12</v>
      </c>
      <c r="H6109" s="1">
        <v>42969</v>
      </c>
      <c r="I6109" s="1">
        <v>43069</v>
      </c>
      <c r="J6109">
        <v>601</v>
      </c>
    </row>
    <row r="6110" spans="1:10" x14ac:dyDescent="0.3">
      <c r="A6110" t="s">
        <v>6241</v>
      </c>
      <c r="B6110" t="s">
        <v>51</v>
      </c>
      <c r="C6110" t="str">
        <f>_xlfn.XLOOKUP(B6110,
[1]sales_teams!$A$2:$A$100,
[1]sales_teams!$B$2:$B$100)</f>
        <v>Summer Sewald</v>
      </c>
      <c r="D6110" t="str">
        <f>_xlfn.XLOOKUP($B6110,sales_teams!$A$2:$A$36,sales_teams!C$2:C$36)</f>
        <v>West</v>
      </c>
      <c r="E6110" t="s">
        <v>10</v>
      </c>
      <c r="F6110" t="s">
        <v>224</v>
      </c>
      <c r="G6110" t="s">
        <v>12</v>
      </c>
      <c r="H6110" s="1">
        <v>42969</v>
      </c>
      <c r="I6110" s="1">
        <v>43097</v>
      </c>
      <c r="J6110">
        <v>1005</v>
      </c>
    </row>
    <row r="6111" spans="1:10" x14ac:dyDescent="0.3">
      <c r="A6111" t="s">
        <v>6242</v>
      </c>
      <c r="B6111" t="s">
        <v>9</v>
      </c>
      <c r="C6111" t="str">
        <f>_xlfn.XLOOKUP(B6111,
[1]sales_teams!$A$2:$A$100,
[1]sales_teams!$B$2:$B$100)</f>
        <v>Dustin Brinkmann</v>
      </c>
      <c r="D6111" t="str">
        <f>_xlfn.XLOOKUP($B6111,sales_teams!$A$2:$A$36,sales_teams!C$2:C$36)</f>
        <v>Central</v>
      </c>
      <c r="E6111" t="s">
        <v>48</v>
      </c>
      <c r="F6111" t="s">
        <v>76</v>
      </c>
      <c r="G6111" t="s">
        <v>12</v>
      </c>
      <c r="H6111" s="1">
        <v>42969</v>
      </c>
      <c r="I6111" s="1">
        <v>43050</v>
      </c>
      <c r="J6111">
        <v>4731</v>
      </c>
    </row>
    <row r="6112" spans="1:10" x14ac:dyDescent="0.3">
      <c r="A6112" t="s">
        <v>6243</v>
      </c>
      <c r="B6112" t="s">
        <v>97</v>
      </c>
      <c r="C6112" t="str">
        <f>_xlfn.XLOOKUP(B6112,
[1]sales_teams!$A$2:$A$100,
[1]sales_teams!$B$2:$B$100)</f>
        <v>Rocco Neubert</v>
      </c>
      <c r="D6112" t="str">
        <f>_xlfn.XLOOKUP($B6112,sales_teams!$A$2:$A$36,sales_teams!C$2:C$36)</f>
        <v>East</v>
      </c>
      <c r="E6112" t="s">
        <v>48</v>
      </c>
      <c r="F6112" t="s">
        <v>192</v>
      </c>
      <c r="G6112" t="s">
        <v>46</v>
      </c>
      <c r="H6112" s="1">
        <v>42969</v>
      </c>
      <c r="I6112" s="1">
        <v>43049</v>
      </c>
      <c r="J6112">
        <v>0</v>
      </c>
    </row>
    <row r="6113" spans="1:10" x14ac:dyDescent="0.3">
      <c r="A6113" t="s">
        <v>6244</v>
      </c>
      <c r="B6113" t="s">
        <v>97</v>
      </c>
      <c r="C6113" t="str">
        <f>_xlfn.XLOOKUP(B6113,
[1]sales_teams!$A$2:$A$100,
[1]sales_teams!$B$2:$B$100)</f>
        <v>Rocco Neubert</v>
      </c>
      <c r="D6113" t="str">
        <f>_xlfn.XLOOKUP($B6113,sales_teams!$A$2:$A$36,sales_teams!C$2:C$36)</f>
        <v>East</v>
      </c>
      <c r="E6113" t="s">
        <v>15</v>
      </c>
      <c r="F6113" t="s">
        <v>81</v>
      </c>
      <c r="G6113" t="s">
        <v>12</v>
      </c>
      <c r="H6113" s="1">
        <v>42969</v>
      </c>
      <c r="I6113" s="1">
        <v>42980</v>
      </c>
      <c r="J6113">
        <v>4649</v>
      </c>
    </row>
    <row r="6114" spans="1:10" x14ac:dyDescent="0.3">
      <c r="A6114" t="s">
        <v>6245</v>
      </c>
      <c r="B6114" t="s">
        <v>88</v>
      </c>
      <c r="C6114" t="str">
        <f>_xlfn.XLOOKUP(B6114,
[1]sales_teams!$A$2:$A$100,
[1]sales_teams!$B$2:$B$100)</f>
        <v>Cara Losch</v>
      </c>
      <c r="D6114" t="str">
        <f>_xlfn.XLOOKUP($B6114,sales_teams!$A$2:$A$36,sales_teams!C$2:C$36)</f>
        <v>East</v>
      </c>
      <c r="E6114" t="s">
        <v>15</v>
      </c>
      <c r="F6114" t="s">
        <v>189</v>
      </c>
      <c r="G6114" t="s">
        <v>12</v>
      </c>
      <c r="H6114" s="1">
        <v>42969</v>
      </c>
      <c r="I6114" s="1">
        <v>42979</v>
      </c>
      <c r="J6114">
        <v>4787</v>
      </c>
    </row>
    <row r="6115" spans="1:10" x14ac:dyDescent="0.3">
      <c r="A6115" t="s">
        <v>6246</v>
      </c>
      <c r="B6115" t="s">
        <v>102</v>
      </c>
      <c r="C6115" t="str">
        <f>_xlfn.XLOOKUP(B6115,
[1]sales_teams!$A$2:$A$100,
[1]sales_teams!$B$2:$B$100)</f>
        <v>Cara Losch</v>
      </c>
      <c r="D6115" t="str">
        <f>_xlfn.XLOOKUP($B6115,sales_teams!$A$2:$A$36,sales_teams!C$2:C$36)</f>
        <v>East</v>
      </c>
      <c r="E6115" t="s">
        <v>39</v>
      </c>
      <c r="G6115" t="s">
        <v>40</v>
      </c>
      <c r="H6115" s="1">
        <v>42969</v>
      </c>
    </row>
    <row r="6116" spans="1:10" x14ac:dyDescent="0.3">
      <c r="A6116" t="s">
        <v>6247</v>
      </c>
      <c r="B6116" t="s">
        <v>102</v>
      </c>
      <c r="C6116" t="str">
        <f>_xlfn.XLOOKUP(B6116,
[1]sales_teams!$A$2:$A$100,
[1]sales_teams!$B$2:$B$100)</f>
        <v>Cara Losch</v>
      </c>
      <c r="D6116" t="str">
        <f>_xlfn.XLOOKUP($B6116,sales_teams!$A$2:$A$36,sales_teams!C$2:C$36)</f>
        <v>East</v>
      </c>
      <c r="E6116" t="s">
        <v>39</v>
      </c>
      <c r="F6116" t="s">
        <v>103</v>
      </c>
      <c r="G6116" t="s">
        <v>12</v>
      </c>
      <c r="H6116" s="1">
        <v>42969</v>
      </c>
      <c r="I6116" s="1">
        <v>43091</v>
      </c>
      <c r="J6116">
        <v>2994</v>
      </c>
    </row>
    <row r="6117" spans="1:10" x14ac:dyDescent="0.3">
      <c r="A6117" t="s">
        <v>6248</v>
      </c>
      <c r="B6117" t="s">
        <v>23</v>
      </c>
      <c r="C6117" t="str">
        <f>_xlfn.XLOOKUP(B6117,
[1]sales_teams!$A$2:$A$100,
[1]sales_teams!$B$2:$B$100)</f>
        <v>Summer Sewald</v>
      </c>
      <c r="D6117" t="str">
        <f>_xlfn.XLOOKUP($B6117,sales_teams!$A$2:$A$36,sales_teams!C$2:C$36)</f>
        <v>West</v>
      </c>
      <c r="E6117" t="s">
        <v>10</v>
      </c>
      <c r="G6117" t="s">
        <v>40</v>
      </c>
      <c r="H6117" s="1">
        <v>42969</v>
      </c>
    </row>
    <row r="6118" spans="1:10" x14ac:dyDescent="0.3">
      <c r="A6118" t="s">
        <v>6249</v>
      </c>
      <c r="B6118" t="s">
        <v>23</v>
      </c>
      <c r="C6118" t="str">
        <f>_xlfn.XLOOKUP(B6118,
[1]sales_teams!$A$2:$A$100,
[1]sales_teams!$B$2:$B$100)</f>
        <v>Summer Sewald</v>
      </c>
      <c r="D6118" t="str">
        <f>_xlfn.XLOOKUP($B6118,sales_teams!$A$2:$A$36,sales_teams!C$2:C$36)</f>
        <v>West</v>
      </c>
      <c r="E6118" t="s">
        <v>15</v>
      </c>
      <c r="G6118" t="s">
        <v>40</v>
      </c>
      <c r="H6118" s="1">
        <v>42969</v>
      </c>
    </row>
    <row r="6119" spans="1:10" x14ac:dyDescent="0.3">
      <c r="A6119" t="s">
        <v>6250</v>
      </c>
      <c r="B6119" t="s">
        <v>26</v>
      </c>
      <c r="C6119" t="str">
        <f>_xlfn.XLOOKUP(B6119,
[1]sales_teams!$A$2:$A$100,
[1]sales_teams!$B$2:$B$100)</f>
        <v>Dustin Brinkmann</v>
      </c>
      <c r="D6119" t="str">
        <f>_xlfn.XLOOKUP($B6119,sales_teams!$A$2:$A$36,sales_teams!C$2:C$36)</f>
        <v>Central</v>
      </c>
      <c r="E6119" t="s">
        <v>39</v>
      </c>
      <c r="F6119" t="s">
        <v>135</v>
      </c>
      <c r="G6119" t="s">
        <v>46</v>
      </c>
      <c r="H6119" s="1">
        <v>42970</v>
      </c>
      <c r="I6119" s="1">
        <v>43047</v>
      </c>
      <c r="J6119">
        <v>0</v>
      </c>
    </row>
    <row r="6120" spans="1:10" x14ac:dyDescent="0.3">
      <c r="A6120" t="s">
        <v>6251</v>
      </c>
      <c r="B6120" t="s">
        <v>26</v>
      </c>
      <c r="C6120" t="str">
        <f>_xlfn.XLOOKUP(B6120,
[1]sales_teams!$A$2:$A$100,
[1]sales_teams!$B$2:$B$100)</f>
        <v>Dustin Brinkmann</v>
      </c>
      <c r="D6120" t="str">
        <f>_xlfn.XLOOKUP($B6120,sales_teams!$A$2:$A$36,sales_teams!C$2:C$36)</f>
        <v>Central</v>
      </c>
      <c r="E6120" t="s">
        <v>18</v>
      </c>
      <c r="F6120" t="s">
        <v>218</v>
      </c>
      <c r="G6120" t="s">
        <v>12</v>
      </c>
      <c r="H6120" s="1">
        <v>42970</v>
      </c>
      <c r="I6120" s="1">
        <v>43053</v>
      </c>
      <c r="J6120">
        <v>58</v>
      </c>
    </row>
    <row r="6121" spans="1:10" x14ac:dyDescent="0.3">
      <c r="A6121" t="s">
        <v>6252</v>
      </c>
      <c r="B6121" t="s">
        <v>139</v>
      </c>
      <c r="C6121" t="str">
        <f>_xlfn.XLOOKUP(B6121,
[1]sales_teams!$A$2:$A$100,
[1]sales_teams!$B$2:$B$100)</f>
        <v>Rocco Neubert</v>
      </c>
      <c r="D6121" t="str">
        <f>_xlfn.XLOOKUP($B6121,sales_teams!$A$2:$A$36,sales_teams!C$2:C$36)</f>
        <v>East</v>
      </c>
      <c r="E6121" t="s">
        <v>39</v>
      </c>
      <c r="G6121" t="s">
        <v>40</v>
      </c>
      <c r="H6121" s="1">
        <v>42970</v>
      </c>
    </row>
    <row r="6122" spans="1:10" x14ac:dyDescent="0.3">
      <c r="A6122" t="s">
        <v>6253</v>
      </c>
      <c r="B6122" t="s">
        <v>202</v>
      </c>
      <c r="C6122" t="str">
        <f>_xlfn.XLOOKUP(B6122,
[1]sales_teams!$A$2:$A$100,
[1]sales_teams!$B$2:$B$100)</f>
        <v>Dustin Brinkmann</v>
      </c>
      <c r="D6122" t="str">
        <f>_xlfn.XLOOKUP($B6122,sales_teams!$A$2:$A$36,sales_teams!C$2:C$36)</f>
        <v>Central</v>
      </c>
      <c r="E6122" t="s">
        <v>10</v>
      </c>
      <c r="F6122" t="s">
        <v>303</v>
      </c>
      <c r="G6122" t="s">
        <v>12</v>
      </c>
      <c r="H6122" s="1">
        <v>42970</v>
      </c>
      <c r="I6122" s="1">
        <v>43052</v>
      </c>
      <c r="J6122">
        <v>1074</v>
      </c>
    </row>
    <row r="6123" spans="1:10" x14ac:dyDescent="0.3">
      <c r="A6123" t="s">
        <v>6254</v>
      </c>
      <c r="B6123" t="s">
        <v>202</v>
      </c>
      <c r="C6123" t="str">
        <f>_xlfn.XLOOKUP(B6123,
[1]sales_teams!$A$2:$A$100,
[1]sales_teams!$B$2:$B$100)</f>
        <v>Dustin Brinkmann</v>
      </c>
      <c r="D6123" t="str">
        <f>_xlfn.XLOOKUP($B6123,sales_teams!$A$2:$A$36,sales_teams!C$2:C$36)</f>
        <v>Central</v>
      </c>
      <c r="E6123" t="s">
        <v>18</v>
      </c>
      <c r="F6123" t="s">
        <v>16</v>
      </c>
      <c r="G6123" t="s">
        <v>12</v>
      </c>
      <c r="H6123" s="1">
        <v>42970</v>
      </c>
      <c r="I6123" s="1">
        <v>42973</v>
      </c>
      <c r="J6123">
        <v>54</v>
      </c>
    </row>
    <row r="6124" spans="1:10" x14ac:dyDescent="0.3">
      <c r="A6124" t="s">
        <v>6255</v>
      </c>
      <c r="B6124" t="s">
        <v>64</v>
      </c>
      <c r="C6124" t="str">
        <f>_xlfn.XLOOKUP(B6124,
[1]sales_teams!$A$2:$A$100,
[1]sales_teams!$B$2:$B$100)</f>
        <v>Rocco Neubert</v>
      </c>
      <c r="D6124" t="str">
        <f>_xlfn.XLOOKUP($B6124,sales_teams!$A$2:$A$36,sales_teams!C$2:C$36)</f>
        <v>East</v>
      </c>
      <c r="E6124" t="s">
        <v>15</v>
      </c>
      <c r="G6124" t="s">
        <v>40</v>
      </c>
      <c r="H6124" s="1">
        <v>42970</v>
      </c>
    </row>
    <row r="6125" spans="1:10" x14ac:dyDescent="0.3">
      <c r="A6125" t="s">
        <v>6256</v>
      </c>
      <c r="B6125" t="s">
        <v>64</v>
      </c>
      <c r="C6125" t="str">
        <f>_xlfn.XLOOKUP(B6125,
[1]sales_teams!$A$2:$A$100,
[1]sales_teams!$B$2:$B$100)</f>
        <v>Rocco Neubert</v>
      </c>
      <c r="D6125" t="str">
        <f>_xlfn.XLOOKUP($B6125,sales_teams!$A$2:$A$36,sales_teams!C$2:C$36)</f>
        <v>East</v>
      </c>
      <c r="E6125" t="s">
        <v>20</v>
      </c>
      <c r="F6125" t="s">
        <v>81</v>
      </c>
      <c r="G6125" t="s">
        <v>46</v>
      </c>
      <c r="H6125" s="1">
        <v>42970</v>
      </c>
      <c r="I6125" s="1">
        <v>43040</v>
      </c>
      <c r="J6125">
        <v>0</v>
      </c>
    </row>
    <row r="6126" spans="1:10" x14ac:dyDescent="0.3">
      <c r="A6126" t="s">
        <v>6257</v>
      </c>
      <c r="B6126" t="s">
        <v>64</v>
      </c>
      <c r="C6126" t="str">
        <f>_xlfn.XLOOKUP(B6126,
[1]sales_teams!$A$2:$A$100,
[1]sales_teams!$B$2:$B$100)</f>
        <v>Rocco Neubert</v>
      </c>
      <c r="D6126" t="str">
        <f>_xlfn.XLOOKUP($B6126,sales_teams!$A$2:$A$36,sales_teams!C$2:C$36)</f>
        <v>East</v>
      </c>
      <c r="E6126" t="s">
        <v>10</v>
      </c>
      <c r="F6126" t="s">
        <v>81</v>
      </c>
      <c r="G6126" t="s">
        <v>12</v>
      </c>
      <c r="H6126" s="1">
        <v>42970</v>
      </c>
      <c r="I6126" s="1">
        <v>43072</v>
      </c>
      <c r="J6126">
        <v>1054</v>
      </c>
    </row>
    <row r="6127" spans="1:10" x14ac:dyDescent="0.3">
      <c r="A6127" t="s">
        <v>6258</v>
      </c>
      <c r="B6127" t="s">
        <v>14</v>
      </c>
      <c r="C6127" t="str">
        <f>_xlfn.XLOOKUP(B6127,
[1]sales_teams!$A$2:$A$100,
[1]sales_teams!$B$2:$B$100)</f>
        <v>Melvin Marxen</v>
      </c>
      <c r="D6127" t="str">
        <f>_xlfn.XLOOKUP($B6127,sales_teams!$A$2:$A$36,sales_teams!C$2:C$36)</f>
        <v>Central</v>
      </c>
      <c r="E6127" t="s">
        <v>15</v>
      </c>
      <c r="F6127" t="s">
        <v>303</v>
      </c>
      <c r="G6127" t="s">
        <v>12</v>
      </c>
      <c r="H6127" s="1">
        <v>42970</v>
      </c>
      <c r="I6127" s="1">
        <v>43053</v>
      </c>
      <c r="J6127">
        <v>4833</v>
      </c>
    </row>
    <row r="6128" spans="1:10" x14ac:dyDescent="0.3">
      <c r="A6128" t="s">
        <v>6259</v>
      </c>
      <c r="B6128" t="s">
        <v>14</v>
      </c>
      <c r="C6128" t="str">
        <f>_xlfn.XLOOKUP(B6128,
[1]sales_teams!$A$2:$A$100,
[1]sales_teams!$B$2:$B$100)</f>
        <v>Melvin Marxen</v>
      </c>
      <c r="D6128" t="str">
        <f>_xlfn.XLOOKUP($B6128,sales_teams!$A$2:$A$36,sales_teams!C$2:C$36)</f>
        <v>Central</v>
      </c>
      <c r="E6128" t="s">
        <v>15</v>
      </c>
      <c r="F6128" t="s">
        <v>197</v>
      </c>
      <c r="G6128" t="s">
        <v>12</v>
      </c>
      <c r="H6128" s="1">
        <v>42970</v>
      </c>
      <c r="I6128" s="1">
        <v>43089</v>
      </c>
      <c r="J6128">
        <v>4744</v>
      </c>
    </row>
    <row r="6129" spans="1:10" x14ac:dyDescent="0.3">
      <c r="A6129" t="s">
        <v>6260</v>
      </c>
      <c r="B6129" t="s">
        <v>105</v>
      </c>
      <c r="C6129" t="str">
        <f>_xlfn.XLOOKUP(B6129,
[1]sales_teams!$A$2:$A$100,
[1]sales_teams!$B$2:$B$100)</f>
        <v>Cara Losch</v>
      </c>
      <c r="D6129" t="str">
        <f>_xlfn.XLOOKUP($B6129,sales_teams!$A$2:$A$36,sales_teams!C$2:C$36)</f>
        <v>East</v>
      </c>
      <c r="E6129" t="s">
        <v>39</v>
      </c>
      <c r="F6129" t="s">
        <v>215</v>
      </c>
      <c r="G6129" t="s">
        <v>46</v>
      </c>
      <c r="H6129" s="1">
        <v>42970</v>
      </c>
      <c r="I6129" s="1">
        <v>43042</v>
      </c>
      <c r="J6129">
        <v>0</v>
      </c>
    </row>
    <row r="6130" spans="1:10" x14ac:dyDescent="0.3">
      <c r="A6130" t="s">
        <v>6261</v>
      </c>
      <c r="B6130" t="s">
        <v>38</v>
      </c>
      <c r="C6130" t="str">
        <f>_xlfn.XLOOKUP(B6130,
[1]sales_teams!$A$2:$A$100,
[1]sales_teams!$B$2:$B$100)</f>
        <v>Summer Sewald</v>
      </c>
      <c r="D6130" t="str">
        <f>_xlfn.XLOOKUP($B6130,sales_teams!$A$2:$A$36,sales_teams!C$2:C$36)</f>
        <v>West</v>
      </c>
      <c r="E6130" t="s">
        <v>20</v>
      </c>
      <c r="F6130" t="s">
        <v>86</v>
      </c>
      <c r="G6130" t="s">
        <v>12</v>
      </c>
      <c r="H6130" s="1">
        <v>42970</v>
      </c>
      <c r="I6130" s="1">
        <v>43068</v>
      </c>
      <c r="J6130">
        <v>508</v>
      </c>
    </row>
    <row r="6131" spans="1:10" x14ac:dyDescent="0.3">
      <c r="A6131" t="s">
        <v>6262</v>
      </c>
      <c r="B6131" t="s">
        <v>252</v>
      </c>
      <c r="C6131" t="str">
        <f>_xlfn.XLOOKUP(B6131,
[1]sales_teams!$A$2:$A$100,
[1]sales_teams!$B$2:$B$100)</f>
        <v>Melvin Marxen</v>
      </c>
      <c r="D6131" t="str">
        <f>_xlfn.XLOOKUP($B6131,sales_teams!$A$2:$A$36,sales_teams!C$2:C$36)</f>
        <v>Central</v>
      </c>
      <c r="E6131" t="s">
        <v>18</v>
      </c>
      <c r="F6131" t="s">
        <v>109</v>
      </c>
      <c r="G6131" t="s">
        <v>12</v>
      </c>
      <c r="H6131" s="1">
        <v>42970</v>
      </c>
      <c r="I6131" s="1">
        <v>43058</v>
      </c>
      <c r="J6131">
        <v>57</v>
      </c>
    </row>
    <row r="6132" spans="1:10" x14ac:dyDescent="0.3">
      <c r="A6132" t="s">
        <v>6263</v>
      </c>
      <c r="B6132" t="s">
        <v>78</v>
      </c>
      <c r="C6132" t="str">
        <f>_xlfn.XLOOKUP(B6132,
[1]sales_teams!$A$2:$A$100,
[1]sales_teams!$B$2:$B$100)</f>
        <v>Summer Sewald</v>
      </c>
      <c r="D6132" t="str">
        <f>_xlfn.XLOOKUP($B6132,sales_teams!$A$2:$A$36,sales_teams!C$2:C$36)</f>
        <v>West</v>
      </c>
      <c r="E6132" t="s">
        <v>20</v>
      </c>
      <c r="F6132" t="s">
        <v>184</v>
      </c>
      <c r="G6132" t="s">
        <v>40</v>
      </c>
      <c r="H6132" s="1">
        <v>42970</v>
      </c>
    </row>
    <row r="6133" spans="1:10" x14ac:dyDescent="0.3">
      <c r="A6133" t="s">
        <v>6264</v>
      </c>
      <c r="B6133" t="s">
        <v>95</v>
      </c>
      <c r="C6133" t="str">
        <f>_xlfn.XLOOKUP(B6133,
[1]sales_teams!$A$2:$A$100,
[1]sales_teams!$B$2:$B$100)</f>
        <v>Summer Sewald</v>
      </c>
      <c r="D6133" t="str">
        <f>_xlfn.XLOOKUP($B6133,sales_teams!$A$2:$A$36,sales_teams!C$2:C$36)</f>
        <v>West</v>
      </c>
      <c r="E6133" t="s">
        <v>10</v>
      </c>
      <c r="F6133" t="s">
        <v>30</v>
      </c>
      <c r="G6133" t="s">
        <v>46</v>
      </c>
      <c r="H6133" s="1">
        <v>42970</v>
      </c>
      <c r="I6133" s="1">
        <v>42991</v>
      </c>
      <c r="J6133">
        <v>0</v>
      </c>
    </row>
    <row r="6134" spans="1:10" x14ac:dyDescent="0.3">
      <c r="A6134" t="s">
        <v>6265</v>
      </c>
      <c r="B6134" t="s">
        <v>95</v>
      </c>
      <c r="C6134" t="str">
        <f>_xlfn.XLOOKUP(B6134,
[1]sales_teams!$A$2:$A$100,
[1]sales_teams!$B$2:$B$100)</f>
        <v>Summer Sewald</v>
      </c>
      <c r="D6134" t="str">
        <f>_xlfn.XLOOKUP($B6134,sales_teams!$A$2:$A$36,sales_teams!C$2:C$36)</f>
        <v>West</v>
      </c>
      <c r="E6134" t="s">
        <v>15</v>
      </c>
      <c r="F6134" t="s">
        <v>59</v>
      </c>
      <c r="G6134" t="s">
        <v>12</v>
      </c>
      <c r="H6134" s="1">
        <v>42970</v>
      </c>
      <c r="I6134" s="1">
        <v>43054</v>
      </c>
      <c r="J6134">
        <v>5280</v>
      </c>
    </row>
    <row r="6135" spans="1:10" x14ac:dyDescent="0.3">
      <c r="A6135" t="s">
        <v>6266</v>
      </c>
      <c r="B6135" t="s">
        <v>95</v>
      </c>
      <c r="C6135" t="str">
        <f>_xlfn.XLOOKUP(B6135,
[1]sales_teams!$A$2:$A$100,
[1]sales_teams!$B$2:$B$100)</f>
        <v>Summer Sewald</v>
      </c>
      <c r="D6135" t="str">
        <f>_xlfn.XLOOKUP($B6135,sales_teams!$A$2:$A$36,sales_teams!C$2:C$36)</f>
        <v>West</v>
      </c>
      <c r="E6135" t="s">
        <v>18</v>
      </c>
      <c r="F6135" t="s">
        <v>49</v>
      </c>
      <c r="G6135" t="s">
        <v>12</v>
      </c>
      <c r="H6135" s="1">
        <v>42970</v>
      </c>
      <c r="I6135" s="1">
        <v>42972</v>
      </c>
      <c r="J6135">
        <v>62</v>
      </c>
    </row>
    <row r="6136" spans="1:10" x14ac:dyDescent="0.3">
      <c r="A6136" t="s">
        <v>6267</v>
      </c>
      <c r="B6136" t="s">
        <v>133</v>
      </c>
      <c r="C6136" t="str">
        <f>_xlfn.XLOOKUP(B6136,
[1]sales_teams!$A$2:$A$100,
[1]sales_teams!$B$2:$B$100)</f>
        <v>Dustin Brinkmann</v>
      </c>
      <c r="D6136" t="str">
        <f>_xlfn.XLOOKUP($B6136,sales_teams!$A$2:$A$36,sales_teams!C$2:C$36)</f>
        <v>Central</v>
      </c>
      <c r="E6136" t="s">
        <v>39</v>
      </c>
      <c r="F6136" t="s">
        <v>315</v>
      </c>
      <c r="G6136" t="s">
        <v>46</v>
      </c>
      <c r="H6136" s="1">
        <v>42970</v>
      </c>
      <c r="I6136" s="1">
        <v>43046</v>
      </c>
      <c r="J6136">
        <v>0</v>
      </c>
    </row>
    <row r="6137" spans="1:10" x14ac:dyDescent="0.3">
      <c r="A6137" t="s">
        <v>6268</v>
      </c>
      <c r="B6137" t="s">
        <v>133</v>
      </c>
      <c r="C6137" t="str">
        <f>_xlfn.XLOOKUP(B6137,
[1]sales_teams!$A$2:$A$100,
[1]sales_teams!$B$2:$B$100)</f>
        <v>Dustin Brinkmann</v>
      </c>
      <c r="D6137" t="str">
        <f>_xlfn.XLOOKUP($B6137,sales_teams!$A$2:$A$36,sales_teams!C$2:C$36)</f>
        <v>Central</v>
      </c>
      <c r="E6137" t="s">
        <v>20</v>
      </c>
      <c r="F6137" t="s">
        <v>318</v>
      </c>
      <c r="G6137" t="s">
        <v>12</v>
      </c>
      <c r="H6137" s="1">
        <v>42970</v>
      </c>
      <c r="I6137" s="1">
        <v>43060</v>
      </c>
      <c r="J6137">
        <v>528</v>
      </c>
    </row>
    <row r="6138" spans="1:10" x14ac:dyDescent="0.3">
      <c r="A6138" t="s">
        <v>6269</v>
      </c>
      <c r="B6138" t="s">
        <v>51</v>
      </c>
      <c r="C6138" t="str">
        <f>_xlfn.XLOOKUP(B6138,
[1]sales_teams!$A$2:$A$100,
[1]sales_teams!$B$2:$B$100)</f>
        <v>Summer Sewald</v>
      </c>
      <c r="D6138" t="str">
        <f>_xlfn.XLOOKUP($B6138,sales_teams!$A$2:$A$36,sales_teams!C$2:C$36)</f>
        <v>West</v>
      </c>
      <c r="E6138" t="s">
        <v>10</v>
      </c>
      <c r="F6138" t="s">
        <v>86</v>
      </c>
      <c r="G6138" t="s">
        <v>12</v>
      </c>
      <c r="H6138" s="1">
        <v>42970</v>
      </c>
      <c r="I6138" s="1">
        <v>42974</v>
      </c>
      <c r="J6138">
        <v>993</v>
      </c>
    </row>
    <row r="6139" spans="1:10" x14ac:dyDescent="0.3">
      <c r="A6139" t="s">
        <v>6270</v>
      </c>
      <c r="B6139" t="s">
        <v>51</v>
      </c>
      <c r="C6139" t="str">
        <f>_xlfn.XLOOKUP(B6139,
[1]sales_teams!$A$2:$A$100,
[1]sales_teams!$B$2:$B$100)</f>
        <v>Summer Sewald</v>
      </c>
      <c r="D6139" t="str">
        <f>_xlfn.XLOOKUP($B6139,sales_teams!$A$2:$A$36,sales_teams!C$2:C$36)</f>
        <v>West</v>
      </c>
      <c r="E6139" t="s">
        <v>10</v>
      </c>
      <c r="F6139" t="s">
        <v>159</v>
      </c>
      <c r="G6139" t="s">
        <v>12</v>
      </c>
      <c r="H6139" s="1">
        <v>42970</v>
      </c>
      <c r="I6139" s="1">
        <v>42988</v>
      </c>
      <c r="J6139">
        <v>1121</v>
      </c>
    </row>
    <row r="6140" spans="1:10" x14ac:dyDescent="0.3">
      <c r="A6140" t="s">
        <v>6271</v>
      </c>
      <c r="B6140" t="s">
        <v>51</v>
      </c>
      <c r="C6140" t="str">
        <f>_xlfn.XLOOKUP(B6140,
[1]sales_teams!$A$2:$A$100,
[1]sales_teams!$B$2:$B$100)</f>
        <v>Summer Sewald</v>
      </c>
      <c r="D6140" t="str">
        <f>_xlfn.XLOOKUP($B6140,sales_teams!$A$2:$A$36,sales_teams!C$2:C$36)</f>
        <v>West</v>
      </c>
      <c r="E6140" t="s">
        <v>48</v>
      </c>
      <c r="F6140" t="s">
        <v>194</v>
      </c>
      <c r="G6140" t="s">
        <v>12</v>
      </c>
      <c r="H6140" s="1">
        <v>42970</v>
      </c>
      <c r="I6140" s="1">
        <v>43072</v>
      </c>
      <c r="J6140">
        <v>5110</v>
      </c>
    </row>
    <row r="6141" spans="1:10" x14ac:dyDescent="0.3">
      <c r="A6141" t="s">
        <v>6272</v>
      </c>
      <c r="B6141" t="s">
        <v>9</v>
      </c>
      <c r="C6141" t="str">
        <f>_xlfn.XLOOKUP(B6141,
[1]sales_teams!$A$2:$A$100,
[1]sales_teams!$B$2:$B$100)</f>
        <v>Dustin Brinkmann</v>
      </c>
      <c r="D6141" t="str">
        <f>_xlfn.XLOOKUP($B6141,sales_teams!$A$2:$A$36,sales_teams!C$2:C$36)</f>
        <v>Central</v>
      </c>
      <c r="E6141" t="s">
        <v>18</v>
      </c>
      <c r="F6141" t="s">
        <v>120</v>
      </c>
      <c r="G6141" t="s">
        <v>12</v>
      </c>
      <c r="H6141" s="1">
        <v>42970</v>
      </c>
      <c r="I6141" s="1">
        <v>43082</v>
      </c>
      <c r="J6141">
        <v>51</v>
      </c>
    </row>
    <row r="6142" spans="1:10" x14ac:dyDescent="0.3">
      <c r="A6142" t="s">
        <v>6273</v>
      </c>
      <c r="B6142" t="s">
        <v>35</v>
      </c>
      <c r="C6142" t="str">
        <f>_xlfn.XLOOKUP(B6142,
[1]sales_teams!$A$2:$A$100,
[1]sales_teams!$B$2:$B$100)</f>
        <v>Melvin Marxen</v>
      </c>
      <c r="D6142" t="str">
        <f>_xlfn.XLOOKUP($B6142,sales_teams!$A$2:$A$36,sales_teams!C$2:C$36)</f>
        <v>Central</v>
      </c>
      <c r="E6142" t="s">
        <v>20</v>
      </c>
      <c r="F6142" t="s">
        <v>16</v>
      </c>
      <c r="G6142" t="s">
        <v>46</v>
      </c>
      <c r="H6142" s="1">
        <v>42970</v>
      </c>
      <c r="I6142" s="1">
        <v>42983</v>
      </c>
      <c r="J6142">
        <v>0</v>
      </c>
    </row>
    <row r="6143" spans="1:10" x14ac:dyDescent="0.3">
      <c r="A6143" t="s">
        <v>6274</v>
      </c>
      <c r="B6143" t="s">
        <v>88</v>
      </c>
      <c r="C6143" t="str">
        <f>_xlfn.XLOOKUP(B6143,
[1]sales_teams!$A$2:$A$100,
[1]sales_teams!$B$2:$B$100)</f>
        <v>Cara Losch</v>
      </c>
      <c r="D6143" t="str">
        <f>_xlfn.XLOOKUP($B6143,sales_teams!$A$2:$A$36,sales_teams!C$2:C$36)</f>
        <v>East</v>
      </c>
      <c r="E6143" t="s">
        <v>48</v>
      </c>
      <c r="F6143" t="s">
        <v>155</v>
      </c>
      <c r="G6143" t="s">
        <v>46</v>
      </c>
      <c r="H6143" s="1">
        <v>42970</v>
      </c>
      <c r="I6143" s="1">
        <v>43100</v>
      </c>
      <c r="J6143">
        <v>0</v>
      </c>
    </row>
    <row r="6144" spans="1:10" x14ac:dyDescent="0.3">
      <c r="A6144" t="s">
        <v>6275</v>
      </c>
      <c r="B6144" t="s">
        <v>88</v>
      </c>
      <c r="C6144" t="str">
        <f>_xlfn.XLOOKUP(B6144,
[1]sales_teams!$A$2:$A$100,
[1]sales_teams!$B$2:$B$100)</f>
        <v>Cara Losch</v>
      </c>
      <c r="D6144" t="str">
        <f>_xlfn.XLOOKUP($B6144,sales_teams!$A$2:$A$36,sales_teams!C$2:C$36)</f>
        <v>East</v>
      </c>
      <c r="E6144" t="s">
        <v>39</v>
      </c>
      <c r="F6144" t="s">
        <v>143</v>
      </c>
      <c r="G6144" t="s">
        <v>46</v>
      </c>
      <c r="H6144" s="1">
        <v>42970</v>
      </c>
      <c r="I6144" s="1">
        <v>43067</v>
      </c>
      <c r="J6144">
        <v>0</v>
      </c>
    </row>
    <row r="6145" spans="1:10" x14ac:dyDescent="0.3">
      <c r="A6145" t="s">
        <v>6276</v>
      </c>
      <c r="B6145" t="s">
        <v>61</v>
      </c>
      <c r="C6145" t="str">
        <f>_xlfn.XLOOKUP(B6145,
[1]sales_teams!$A$2:$A$100,
[1]sales_teams!$B$2:$B$100)</f>
        <v>Dustin Brinkmann</v>
      </c>
      <c r="D6145" t="str">
        <f>_xlfn.XLOOKUP($B6145,sales_teams!$A$2:$A$36,sales_teams!C$2:C$36)</f>
        <v>Central</v>
      </c>
      <c r="E6145" t="s">
        <v>18</v>
      </c>
      <c r="F6145" t="s">
        <v>36</v>
      </c>
      <c r="G6145" t="s">
        <v>46</v>
      </c>
      <c r="H6145" s="1">
        <v>42970</v>
      </c>
      <c r="I6145" s="1">
        <v>42983</v>
      </c>
      <c r="J6145">
        <v>0</v>
      </c>
    </row>
    <row r="6146" spans="1:10" x14ac:dyDescent="0.3">
      <c r="A6146" t="s">
        <v>6277</v>
      </c>
      <c r="B6146" t="s">
        <v>29</v>
      </c>
      <c r="C6146" t="str">
        <f>_xlfn.XLOOKUP(B6146,
[1]sales_teams!$A$2:$A$100,
[1]sales_teams!$B$2:$B$100)</f>
        <v>Celia Rouche</v>
      </c>
      <c r="D6146" t="str">
        <f>_xlfn.XLOOKUP($B6146,sales_teams!$A$2:$A$36,sales_teams!C$2:C$36)</f>
        <v>West</v>
      </c>
      <c r="E6146" t="s">
        <v>20</v>
      </c>
      <c r="G6146" t="s">
        <v>40</v>
      </c>
      <c r="H6146" s="1">
        <v>42970</v>
      </c>
    </row>
    <row r="6147" spans="1:10" x14ac:dyDescent="0.3">
      <c r="A6147" t="s">
        <v>6278</v>
      </c>
      <c r="B6147" t="s">
        <v>29</v>
      </c>
      <c r="C6147" t="str">
        <f>_xlfn.XLOOKUP(B6147,
[1]sales_teams!$A$2:$A$100,
[1]sales_teams!$B$2:$B$100)</f>
        <v>Celia Rouche</v>
      </c>
      <c r="D6147" t="str">
        <f>_xlfn.XLOOKUP($B6147,sales_teams!$A$2:$A$36,sales_teams!C$2:C$36)</f>
        <v>West</v>
      </c>
      <c r="E6147" t="s">
        <v>18</v>
      </c>
      <c r="F6147" t="s">
        <v>16</v>
      </c>
      <c r="G6147" t="s">
        <v>40</v>
      </c>
      <c r="H6147" s="1">
        <v>42970</v>
      </c>
    </row>
    <row r="6148" spans="1:10" x14ac:dyDescent="0.3">
      <c r="A6148" t="s">
        <v>6279</v>
      </c>
      <c r="B6148" t="s">
        <v>73</v>
      </c>
      <c r="C6148" t="str">
        <f>_xlfn.XLOOKUP(B6148,
[1]sales_teams!$A$2:$A$100,
[1]sales_teams!$B$2:$B$100)</f>
        <v>Cara Losch</v>
      </c>
      <c r="D6148" t="str">
        <f>_xlfn.XLOOKUP($B6148,sales_teams!$A$2:$A$36,sales_teams!C$2:C$36)</f>
        <v>East</v>
      </c>
      <c r="E6148" t="s">
        <v>15</v>
      </c>
      <c r="G6148" t="s">
        <v>40</v>
      </c>
      <c r="H6148" s="1">
        <v>42970</v>
      </c>
    </row>
    <row r="6149" spans="1:10" x14ac:dyDescent="0.3">
      <c r="A6149" t="s">
        <v>6280</v>
      </c>
      <c r="B6149" t="s">
        <v>73</v>
      </c>
      <c r="C6149" t="str">
        <f>_xlfn.XLOOKUP(B6149,
[1]sales_teams!$A$2:$A$100,
[1]sales_teams!$B$2:$B$100)</f>
        <v>Cara Losch</v>
      </c>
      <c r="D6149" t="str">
        <f>_xlfn.XLOOKUP($B6149,sales_teams!$A$2:$A$36,sales_teams!C$2:C$36)</f>
        <v>East</v>
      </c>
      <c r="E6149" t="s">
        <v>20</v>
      </c>
      <c r="F6149" t="s">
        <v>81</v>
      </c>
      <c r="G6149" t="s">
        <v>12</v>
      </c>
      <c r="H6149" s="1">
        <v>42970</v>
      </c>
      <c r="I6149" s="1">
        <v>43077</v>
      </c>
      <c r="J6149">
        <v>542</v>
      </c>
    </row>
    <row r="6150" spans="1:10" x14ac:dyDescent="0.3">
      <c r="A6150" t="s">
        <v>6281</v>
      </c>
      <c r="B6150" t="s">
        <v>73</v>
      </c>
      <c r="C6150" t="str">
        <f>_xlfn.XLOOKUP(B6150,
[1]sales_teams!$A$2:$A$100,
[1]sales_teams!$B$2:$B$100)</f>
        <v>Cara Losch</v>
      </c>
      <c r="D6150" t="str">
        <f>_xlfn.XLOOKUP($B6150,sales_teams!$A$2:$A$36,sales_teams!C$2:C$36)</f>
        <v>East</v>
      </c>
      <c r="E6150" t="s">
        <v>20</v>
      </c>
      <c r="F6150" t="s">
        <v>278</v>
      </c>
      <c r="G6150" t="s">
        <v>12</v>
      </c>
      <c r="H6150" s="1">
        <v>42970</v>
      </c>
      <c r="I6150" s="1">
        <v>43090</v>
      </c>
      <c r="J6150">
        <v>576</v>
      </c>
    </row>
    <row r="6151" spans="1:10" x14ac:dyDescent="0.3">
      <c r="A6151" t="s">
        <v>6282</v>
      </c>
      <c r="B6151" t="s">
        <v>102</v>
      </c>
      <c r="C6151" t="str">
        <f>_xlfn.XLOOKUP(B6151,
[1]sales_teams!$A$2:$A$100,
[1]sales_teams!$B$2:$B$100)</f>
        <v>Cara Losch</v>
      </c>
      <c r="D6151" t="str">
        <f>_xlfn.XLOOKUP($B6151,sales_teams!$A$2:$A$36,sales_teams!C$2:C$36)</f>
        <v>East</v>
      </c>
      <c r="E6151" t="s">
        <v>48</v>
      </c>
      <c r="F6151" t="s">
        <v>209</v>
      </c>
      <c r="G6151" t="s">
        <v>46</v>
      </c>
      <c r="H6151" s="1">
        <v>42970</v>
      </c>
      <c r="I6151" s="1">
        <v>42978</v>
      </c>
      <c r="J6151">
        <v>0</v>
      </c>
    </row>
    <row r="6152" spans="1:10" x14ac:dyDescent="0.3">
      <c r="A6152" t="s">
        <v>6283</v>
      </c>
      <c r="B6152" t="s">
        <v>118</v>
      </c>
      <c r="C6152" t="str">
        <f>_xlfn.XLOOKUP(B6152,
[1]sales_teams!$A$2:$A$100,
[1]sales_teams!$B$2:$B$100)</f>
        <v>Rocco Neubert</v>
      </c>
      <c r="D6152" t="str">
        <f>_xlfn.XLOOKUP($B6152,sales_teams!$A$2:$A$36,sales_teams!C$2:C$36)</f>
        <v>East</v>
      </c>
      <c r="E6152" t="s">
        <v>15</v>
      </c>
      <c r="G6152" t="s">
        <v>40</v>
      </c>
      <c r="H6152" s="1">
        <v>42971</v>
      </c>
    </row>
    <row r="6153" spans="1:10" x14ac:dyDescent="0.3">
      <c r="A6153" t="s">
        <v>6284</v>
      </c>
      <c r="B6153" t="s">
        <v>64</v>
      </c>
      <c r="C6153" t="str">
        <f>_xlfn.XLOOKUP(B6153,
[1]sales_teams!$A$2:$A$100,
[1]sales_teams!$B$2:$B$100)</f>
        <v>Rocco Neubert</v>
      </c>
      <c r="D6153" t="str">
        <f>_xlfn.XLOOKUP($B6153,sales_teams!$A$2:$A$36,sales_teams!C$2:C$36)</f>
        <v>East</v>
      </c>
      <c r="E6153" t="s">
        <v>10</v>
      </c>
      <c r="F6153" t="s">
        <v>111</v>
      </c>
      <c r="G6153" t="s">
        <v>40</v>
      </c>
      <c r="H6153" s="1">
        <v>42971</v>
      </c>
    </row>
    <row r="6154" spans="1:10" x14ac:dyDescent="0.3">
      <c r="A6154" t="s">
        <v>6285</v>
      </c>
      <c r="B6154" t="s">
        <v>64</v>
      </c>
      <c r="C6154" t="str">
        <f>_xlfn.XLOOKUP(B6154,
[1]sales_teams!$A$2:$A$100,
[1]sales_teams!$B$2:$B$100)</f>
        <v>Rocco Neubert</v>
      </c>
      <c r="D6154" t="str">
        <f>_xlfn.XLOOKUP($B6154,sales_teams!$A$2:$A$36,sales_teams!C$2:C$36)</f>
        <v>East</v>
      </c>
      <c r="E6154" t="s">
        <v>48</v>
      </c>
      <c r="G6154" t="s">
        <v>40</v>
      </c>
      <c r="H6154" s="1">
        <v>42971</v>
      </c>
    </row>
    <row r="6155" spans="1:10" x14ac:dyDescent="0.3">
      <c r="A6155" t="s">
        <v>6286</v>
      </c>
      <c r="B6155" t="s">
        <v>142</v>
      </c>
      <c r="C6155" t="str">
        <f>_xlfn.XLOOKUP(B6155,
[1]sales_teams!$A$2:$A$100,
[1]sales_teams!$B$2:$B$100)</f>
        <v>Rocco Neubert</v>
      </c>
      <c r="D6155" t="str">
        <f>_xlfn.XLOOKUP($B6155,sales_teams!$A$2:$A$36,sales_teams!C$2:C$36)</f>
        <v>East</v>
      </c>
      <c r="E6155" t="s">
        <v>15</v>
      </c>
      <c r="F6155" t="s">
        <v>89</v>
      </c>
      <c r="G6155" t="s">
        <v>46</v>
      </c>
      <c r="H6155" s="1">
        <v>42971</v>
      </c>
      <c r="I6155" s="1">
        <v>43067</v>
      </c>
      <c r="J6155">
        <v>0</v>
      </c>
    </row>
    <row r="6156" spans="1:10" x14ac:dyDescent="0.3">
      <c r="A6156" t="s">
        <v>6287</v>
      </c>
      <c r="B6156" t="s">
        <v>38</v>
      </c>
      <c r="C6156" t="str">
        <f>_xlfn.XLOOKUP(B6156,
[1]sales_teams!$A$2:$A$100,
[1]sales_teams!$B$2:$B$100)</f>
        <v>Summer Sewald</v>
      </c>
      <c r="D6156" t="str">
        <f>_xlfn.XLOOKUP($B6156,sales_teams!$A$2:$A$36,sales_teams!C$2:C$36)</f>
        <v>West</v>
      </c>
      <c r="E6156" t="s">
        <v>20</v>
      </c>
      <c r="F6156" t="s">
        <v>79</v>
      </c>
      <c r="G6156" t="s">
        <v>46</v>
      </c>
      <c r="H6156" s="1">
        <v>42971</v>
      </c>
      <c r="I6156" s="1">
        <v>43093</v>
      </c>
      <c r="J6156">
        <v>0</v>
      </c>
    </row>
    <row r="6157" spans="1:10" x14ac:dyDescent="0.3">
      <c r="A6157" t="s">
        <v>6288</v>
      </c>
      <c r="B6157" t="s">
        <v>38</v>
      </c>
      <c r="C6157" t="str">
        <f>_xlfn.XLOOKUP(B6157,
[1]sales_teams!$A$2:$A$100,
[1]sales_teams!$B$2:$B$100)</f>
        <v>Summer Sewald</v>
      </c>
      <c r="D6157" t="str">
        <f>_xlfn.XLOOKUP($B6157,sales_teams!$A$2:$A$36,sales_teams!C$2:C$36)</f>
        <v>West</v>
      </c>
      <c r="E6157" t="s">
        <v>20</v>
      </c>
      <c r="F6157" t="s">
        <v>315</v>
      </c>
      <c r="G6157" t="s">
        <v>12</v>
      </c>
      <c r="H6157" s="1">
        <v>42971</v>
      </c>
      <c r="I6157" s="1">
        <v>42977</v>
      </c>
      <c r="J6157">
        <v>551</v>
      </c>
    </row>
    <row r="6158" spans="1:10" x14ac:dyDescent="0.3">
      <c r="A6158" t="s">
        <v>6289</v>
      </c>
      <c r="B6158" t="s">
        <v>78</v>
      </c>
      <c r="C6158" t="str">
        <f>_xlfn.XLOOKUP(B6158,
[1]sales_teams!$A$2:$A$100,
[1]sales_teams!$B$2:$B$100)</f>
        <v>Summer Sewald</v>
      </c>
      <c r="D6158" t="str">
        <f>_xlfn.XLOOKUP($B6158,sales_teams!$A$2:$A$36,sales_teams!C$2:C$36)</f>
        <v>West</v>
      </c>
      <c r="E6158" t="s">
        <v>15</v>
      </c>
      <c r="G6158" t="s">
        <v>40</v>
      </c>
      <c r="H6158" s="1">
        <v>42971</v>
      </c>
    </row>
    <row r="6159" spans="1:10" x14ac:dyDescent="0.3">
      <c r="A6159" t="s">
        <v>6290</v>
      </c>
      <c r="B6159" t="s">
        <v>78</v>
      </c>
      <c r="C6159" t="str">
        <f>_xlfn.XLOOKUP(B6159,
[1]sales_teams!$A$2:$A$100,
[1]sales_teams!$B$2:$B$100)</f>
        <v>Summer Sewald</v>
      </c>
      <c r="D6159" t="str">
        <f>_xlfn.XLOOKUP($B6159,sales_teams!$A$2:$A$36,sales_teams!C$2:C$36)</f>
        <v>West</v>
      </c>
      <c r="E6159" t="s">
        <v>20</v>
      </c>
      <c r="F6159" t="s">
        <v>273</v>
      </c>
      <c r="G6159" t="s">
        <v>12</v>
      </c>
      <c r="H6159" s="1">
        <v>42971</v>
      </c>
      <c r="I6159" s="1">
        <v>42988</v>
      </c>
      <c r="J6159">
        <v>597</v>
      </c>
    </row>
    <row r="6160" spans="1:10" x14ac:dyDescent="0.3">
      <c r="A6160" t="s">
        <v>6291</v>
      </c>
      <c r="B6160" t="s">
        <v>95</v>
      </c>
      <c r="C6160" t="str">
        <f>_xlfn.XLOOKUP(B6160,
[1]sales_teams!$A$2:$A$100,
[1]sales_teams!$B$2:$B$100)</f>
        <v>Summer Sewald</v>
      </c>
      <c r="D6160" t="str">
        <f>_xlfn.XLOOKUP($B6160,sales_teams!$A$2:$A$36,sales_teams!C$2:C$36)</f>
        <v>West</v>
      </c>
      <c r="E6160" t="s">
        <v>10</v>
      </c>
      <c r="F6160" t="s">
        <v>184</v>
      </c>
      <c r="G6160" t="s">
        <v>12</v>
      </c>
      <c r="H6160" s="1">
        <v>42971</v>
      </c>
      <c r="I6160" s="1">
        <v>43052</v>
      </c>
      <c r="J6160">
        <v>948</v>
      </c>
    </row>
    <row r="6161" spans="1:10" x14ac:dyDescent="0.3">
      <c r="A6161" t="s">
        <v>6292</v>
      </c>
      <c r="B6161" t="s">
        <v>95</v>
      </c>
      <c r="C6161" t="str">
        <f>_xlfn.XLOOKUP(B6161,
[1]sales_teams!$A$2:$A$100,
[1]sales_teams!$B$2:$B$100)</f>
        <v>Summer Sewald</v>
      </c>
      <c r="D6161" t="str">
        <f>_xlfn.XLOOKUP($B6161,sales_teams!$A$2:$A$36,sales_teams!C$2:C$36)</f>
        <v>West</v>
      </c>
      <c r="E6161" t="s">
        <v>18</v>
      </c>
      <c r="F6161" t="s">
        <v>79</v>
      </c>
      <c r="G6161" t="s">
        <v>12</v>
      </c>
      <c r="H6161" s="1">
        <v>42971</v>
      </c>
      <c r="I6161" s="1">
        <v>43087</v>
      </c>
      <c r="J6161">
        <v>62</v>
      </c>
    </row>
    <row r="6162" spans="1:10" x14ac:dyDescent="0.3">
      <c r="A6162" t="s">
        <v>6293</v>
      </c>
      <c r="B6162" t="s">
        <v>32</v>
      </c>
      <c r="C6162" t="str">
        <f>_xlfn.XLOOKUP(B6162,
[1]sales_teams!$A$2:$A$100,
[1]sales_teams!$B$2:$B$100)</f>
        <v>Celia Rouche</v>
      </c>
      <c r="D6162" t="str">
        <f>_xlfn.XLOOKUP($B6162,sales_teams!$A$2:$A$36,sales_teams!C$2:C$36)</f>
        <v>West</v>
      </c>
      <c r="E6162" t="s">
        <v>39</v>
      </c>
      <c r="F6162" t="s">
        <v>59</v>
      </c>
      <c r="G6162" t="s">
        <v>12</v>
      </c>
      <c r="H6162" s="1">
        <v>42971</v>
      </c>
      <c r="I6162" s="1">
        <v>43077</v>
      </c>
      <c r="J6162">
        <v>4139</v>
      </c>
    </row>
    <row r="6163" spans="1:10" x14ac:dyDescent="0.3">
      <c r="A6163" t="s">
        <v>6294</v>
      </c>
      <c r="B6163" t="s">
        <v>116</v>
      </c>
      <c r="C6163" t="str">
        <f>_xlfn.XLOOKUP(B6163,
[1]sales_teams!$A$2:$A$100,
[1]sales_teams!$B$2:$B$100)</f>
        <v>Melvin Marxen</v>
      </c>
      <c r="D6163" t="str">
        <f>_xlfn.XLOOKUP($B6163,sales_teams!$A$2:$A$36,sales_teams!C$2:C$36)</f>
        <v>Central</v>
      </c>
      <c r="E6163" t="s">
        <v>48</v>
      </c>
      <c r="F6163" t="s">
        <v>91</v>
      </c>
      <c r="G6163" t="s">
        <v>12</v>
      </c>
      <c r="H6163" s="1">
        <v>42971</v>
      </c>
      <c r="I6163" s="1">
        <v>43042</v>
      </c>
      <c r="J6163">
        <v>6322</v>
      </c>
    </row>
    <row r="6164" spans="1:10" x14ac:dyDescent="0.3">
      <c r="A6164" t="s">
        <v>6295</v>
      </c>
      <c r="B6164" t="s">
        <v>51</v>
      </c>
      <c r="C6164" t="str">
        <f>_xlfn.XLOOKUP(B6164,
[1]sales_teams!$A$2:$A$100,
[1]sales_teams!$B$2:$B$100)</f>
        <v>Summer Sewald</v>
      </c>
      <c r="D6164" t="str">
        <f>_xlfn.XLOOKUP($B6164,sales_teams!$A$2:$A$36,sales_teams!C$2:C$36)</f>
        <v>West</v>
      </c>
      <c r="E6164" t="s">
        <v>20</v>
      </c>
      <c r="F6164" t="s">
        <v>199</v>
      </c>
      <c r="G6164" t="s">
        <v>46</v>
      </c>
      <c r="H6164" s="1">
        <v>42971</v>
      </c>
      <c r="I6164" s="1">
        <v>42978</v>
      </c>
      <c r="J6164">
        <v>0</v>
      </c>
    </row>
    <row r="6165" spans="1:10" x14ac:dyDescent="0.3">
      <c r="A6165" t="s">
        <v>6296</v>
      </c>
      <c r="B6165" t="s">
        <v>35</v>
      </c>
      <c r="C6165" t="str">
        <f>_xlfn.XLOOKUP(B6165,
[1]sales_teams!$A$2:$A$100,
[1]sales_teams!$B$2:$B$100)</f>
        <v>Melvin Marxen</v>
      </c>
      <c r="D6165" t="str">
        <f>_xlfn.XLOOKUP($B6165,sales_teams!$A$2:$A$36,sales_teams!C$2:C$36)</f>
        <v>Central</v>
      </c>
      <c r="E6165" t="s">
        <v>18</v>
      </c>
      <c r="F6165" t="s">
        <v>129</v>
      </c>
      <c r="G6165" t="s">
        <v>46</v>
      </c>
      <c r="H6165" s="1">
        <v>42971</v>
      </c>
      <c r="I6165" s="1">
        <v>42978</v>
      </c>
      <c r="J6165">
        <v>0</v>
      </c>
    </row>
    <row r="6166" spans="1:10" x14ac:dyDescent="0.3">
      <c r="A6166" t="s">
        <v>6297</v>
      </c>
      <c r="B6166" t="s">
        <v>97</v>
      </c>
      <c r="C6166" t="str">
        <f>_xlfn.XLOOKUP(B6166,
[1]sales_teams!$A$2:$A$100,
[1]sales_teams!$B$2:$B$100)</f>
        <v>Rocco Neubert</v>
      </c>
      <c r="D6166" t="str">
        <f>_xlfn.XLOOKUP($B6166,sales_teams!$A$2:$A$36,sales_teams!C$2:C$36)</f>
        <v>East</v>
      </c>
      <c r="E6166" t="s">
        <v>48</v>
      </c>
      <c r="F6166" t="s">
        <v>155</v>
      </c>
      <c r="G6166" t="s">
        <v>12</v>
      </c>
      <c r="H6166" s="1">
        <v>42971</v>
      </c>
      <c r="I6166" s="1">
        <v>42980</v>
      </c>
      <c r="J6166">
        <v>5415</v>
      </c>
    </row>
    <row r="6167" spans="1:10" x14ac:dyDescent="0.3">
      <c r="A6167" t="s">
        <v>6298</v>
      </c>
      <c r="B6167" t="s">
        <v>57</v>
      </c>
      <c r="C6167" t="str">
        <f>_xlfn.XLOOKUP(B6167,
[1]sales_teams!$A$2:$A$100,
[1]sales_teams!$B$2:$B$100)</f>
        <v>Celia Rouche</v>
      </c>
      <c r="D6167" t="str">
        <f>_xlfn.XLOOKUP($B6167,sales_teams!$A$2:$A$36,sales_teams!C$2:C$36)</f>
        <v>West</v>
      </c>
      <c r="E6167" t="s">
        <v>20</v>
      </c>
      <c r="F6167" t="s">
        <v>52</v>
      </c>
      <c r="G6167" t="s">
        <v>12</v>
      </c>
      <c r="H6167" s="1">
        <v>42971</v>
      </c>
      <c r="I6167" s="1">
        <v>43056</v>
      </c>
      <c r="J6167">
        <v>432</v>
      </c>
    </row>
    <row r="6168" spans="1:10" x14ac:dyDescent="0.3">
      <c r="A6168" t="s">
        <v>6299</v>
      </c>
      <c r="B6168" t="s">
        <v>57</v>
      </c>
      <c r="C6168" t="str">
        <f>_xlfn.XLOOKUP(B6168,
[1]sales_teams!$A$2:$A$100,
[1]sales_teams!$B$2:$B$100)</f>
        <v>Celia Rouche</v>
      </c>
      <c r="D6168" t="str">
        <f>_xlfn.XLOOKUP($B6168,sales_teams!$A$2:$A$36,sales_teams!C$2:C$36)</f>
        <v>West</v>
      </c>
      <c r="E6168" t="s">
        <v>18</v>
      </c>
      <c r="F6168" t="s">
        <v>218</v>
      </c>
      <c r="G6168" t="s">
        <v>12</v>
      </c>
      <c r="H6168" s="1">
        <v>42971</v>
      </c>
      <c r="I6168" s="1">
        <v>42977</v>
      </c>
      <c r="J6168">
        <v>53</v>
      </c>
    </row>
    <row r="6169" spans="1:10" x14ac:dyDescent="0.3">
      <c r="A6169" t="s">
        <v>6300</v>
      </c>
      <c r="B6169" t="s">
        <v>61</v>
      </c>
      <c r="C6169" t="str">
        <f>_xlfn.XLOOKUP(B6169,
[1]sales_teams!$A$2:$A$100,
[1]sales_teams!$B$2:$B$100)</f>
        <v>Dustin Brinkmann</v>
      </c>
      <c r="D6169" t="str">
        <f>_xlfn.XLOOKUP($B6169,sales_teams!$A$2:$A$36,sales_teams!C$2:C$36)</f>
        <v>Central</v>
      </c>
      <c r="E6169" t="s">
        <v>18</v>
      </c>
      <c r="F6169" t="s">
        <v>126</v>
      </c>
      <c r="G6169" t="s">
        <v>12</v>
      </c>
      <c r="H6169" s="1">
        <v>42971</v>
      </c>
      <c r="I6169" s="1">
        <v>42981</v>
      </c>
      <c r="J6169">
        <v>57</v>
      </c>
    </row>
    <row r="6170" spans="1:10" x14ac:dyDescent="0.3">
      <c r="A6170" t="s">
        <v>6301</v>
      </c>
      <c r="B6170" t="s">
        <v>61</v>
      </c>
      <c r="C6170" t="str">
        <f>_xlfn.XLOOKUP(B6170,
[1]sales_teams!$A$2:$A$100,
[1]sales_teams!$B$2:$B$100)</f>
        <v>Dustin Brinkmann</v>
      </c>
      <c r="D6170" t="str">
        <f>_xlfn.XLOOKUP($B6170,sales_teams!$A$2:$A$36,sales_teams!C$2:C$36)</f>
        <v>Central</v>
      </c>
      <c r="E6170" t="s">
        <v>18</v>
      </c>
      <c r="F6170" t="s">
        <v>492</v>
      </c>
      <c r="G6170" t="s">
        <v>12</v>
      </c>
      <c r="H6170" s="1">
        <v>42971</v>
      </c>
      <c r="I6170" s="1">
        <v>43078</v>
      </c>
      <c r="J6170">
        <v>56</v>
      </c>
    </row>
    <row r="6171" spans="1:10" x14ac:dyDescent="0.3">
      <c r="A6171" t="s">
        <v>6302</v>
      </c>
      <c r="B6171" t="s">
        <v>73</v>
      </c>
      <c r="C6171" t="str">
        <f>_xlfn.XLOOKUP(B6171,
[1]sales_teams!$A$2:$A$100,
[1]sales_teams!$B$2:$B$100)</f>
        <v>Cara Losch</v>
      </c>
      <c r="D6171" t="str">
        <f>_xlfn.XLOOKUP($B6171,sales_teams!$A$2:$A$36,sales_teams!C$2:C$36)</f>
        <v>East</v>
      </c>
      <c r="E6171" t="s">
        <v>18</v>
      </c>
      <c r="F6171" t="s">
        <v>410</v>
      </c>
      <c r="G6171" t="s">
        <v>12</v>
      </c>
      <c r="H6171" s="1">
        <v>42971</v>
      </c>
      <c r="I6171" s="1">
        <v>42981</v>
      </c>
      <c r="J6171">
        <v>55</v>
      </c>
    </row>
    <row r="6172" spans="1:10" x14ac:dyDescent="0.3">
      <c r="A6172" t="s">
        <v>6303</v>
      </c>
      <c r="B6172" t="s">
        <v>73</v>
      </c>
      <c r="C6172" t="str">
        <f>_xlfn.XLOOKUP(B6172,
[1]sales_teams!$A$2:$A$100,
[1]sales_teams!$B$2:$B$100)</f>
        <v>Cara Losch</v>
      </c>
      <c r="D6172" t="str">
        <f>_xlfn.XLOOKUP($B6172,sales_teams!$A$2:$A$36,sales_teams!C$2:C$36)</f>
        <v>East</v>
      </c>
      <c r="E6172" t="s">
        <v>39</v>
      </c>
      <c r="F6172" t="s">
        <v>98</v>
      </c>
      <c r="G6172" t="s">
        <v>12</v>
      </c>
      <c r="H6172" s="1">
        <v>42971</v>
      </c>
      <c r="I6172" s="1">
        <v>42972</v>
      </c>
      <c r="J6172">
        <v>3146</v>
      </c>
    </row>
    <row r="6173" spans="1:10" x14ac:dyDescent="0.3">
      <c r="A6173" t="s">
        <v>6304</v>
      </c>
      <c r="B6173" t="s">
        <v>23</v>
      </c>
      <c r="C6173" t="str">
        <f>_xlfn.XLOOKUP(B6173,
[1]sales_teams!$A$2:$A$100,
[1]sales_teams!$B$2:$B$100)</f>
        <v>Summer Sewald</v>
      </c>
      <c r="D6173" t="str">
        <f>_xlfn.XLOOKUP($B6173,sales_teams!$A$2:$A$36,sales_teams!C$2:C$36)</f>
        <v>West</v>
      </c>
      <c r="E6173" t="s">
        <v>20</v>
      </c>
      <c r="G6173" t="s">
        <v>40</v>
      </c>
      <c r="H6173" s="1">
        <v>42971</v>
      </c>
    </row>
    <row r="6174" spans="1:10" x14ac:dyDescent="0.3">
      <c r="A6174" t="s">
        <v>6305</v>
      </c>
      <c r="B6174" t="s">
        <v>26</v>
      </c>
      <c r="C6174" t="str">
        <f>_xlfn.XLOOKUP(B6174,
[1]sales_teams!$A$2:$A$100,
[1]sales_teams!$B$2:$B$100)</f>
        <v>Dustin Brinkmann</v>
      </c>
      <c r="D6174" t="str">
        <f>_xlfn.XLOOKUP($B6174,sales_teams!$A$2:$A$36,sales_teams!C$2:C$36)</f>
        <v>Central</v>
      </c>
      <c r="E6174" t="s">
        <v>18</v>
      </c>
      <c r="F6174" t="s">
        <v>111</v>
      </c>
      <c r="G6174" t="s">
        <v>12</v>
      </c>
      <c r="H6174" s="1">
        <v>42972</v>
      </c>
      <c r="I6174" s="1">
        <v>43042</v>
      </c>
      <c r="J6174">
        <v>67</v>
      </c>
    </row>
    <row r="6175" spans="1:10" x14ac:dyDescent="0.3">
      <c r="A6175" t="s">
        <v>6306</v>
      </c>
      <c r="B6175" t="s">
        <v>118</v>
      </c>
      <c r="C6175" t="str">
        <f>_xlfn.XLOOKUP(B6175,
[1]sales_teams!$A$2:$A$100,
[1]sales_teams!$B$2:$B$100)</f>
        <v>Rocco Neubert</v>
      </c>
      <c r="D6175" t="str">
        <f>_xlfn.XLOOKUP($B6175,sales_teams!$A$2:$A$36,sales_teams!C$2:C$36)</f>
        <v>East</v>
      </c>
      <c r="E6175" t="s">
        <v>20</v>
      </c>
      <c r="F6175" t="s">
        <v>155</v>
      </c>
      <c r="G6175" t="s">
        <v>46</v>
      </c>
      <c r="H6175" s="1">
        <v>42972</v>
      </c>
      <c r="I6175" s="1">
        <v>43042</v>
      </c>
      <c r="J6175">
        <v>0</v>
      </c>
    </row>
    <row r="6176" spans="1:10" x14ac:dyDescent="0.3">
      <c r="A6176" t="s">
        <v>6307</v>
      </c>
      <c r="B6176" t="s">
        <v>118</v>
      </c>
      <c r="C6176" t="str">
        <f>_xlfn.XLOOKUP(B6176,
[1]sales_teams!$A$2:$A$100,
[1]sales_teams!$B$2:$B$100)</f>
        <v>Rocco Neubert</v>
      </c>
      <c r="D6176" t="str">
        <f>_xlfn.XLOOKUP($B6176,sales_teams!$A$2:$A$36,sales_teams!C$2:C$36)</f>
        <v>East</v>
      </c>
      <c r="E6176" t="s">
        <v>39</v>
      </c>
      <c r="F6176" t="s">
        <v>81</v>
      </c>
      <c r="G6176" t="s">
        <v>12</v>
      </c>
      <c r="H6176" s="1">
        <v>42972</v>
      </c>
      <c r="I6176" s="1">
        <v>43073</v>
      </c>
      <c r="J6176">
        <v>2613</v>
      </c>
    </row>
    <row r="6177" spans="1:10" x14ac:dyDescent="0.3">
      <c r="A6177" t="s">
        <v>6308</v>
      </c>
      <c r="B6177" t="s">
        <v>164</v>
      </c>
      <c r="C6177" t="str">
        <f>_xlfn.XLOOKUP(B6177,
[1]sales_teams!$A$2:$A$100,
[1]sales_teams!$B$2:$B$100)</f>
        <v>Cara Losch</v>
      </c>
      <c r="D6177" t="str">
        <f>_xlfn.XLOOKUP($B6177,sales_teams!$A$2:$A$36,sales_teams!C$2:C$36)</f>
        <v>East</v>
      </c>
      <c r="E6177" t="s">
        <v>48</v>
      </c>
      <c r="G6177" t="s">
        <v>40</v>
      </c>
      <c r="H6177" s="1">
        <v>42972</v>
      </c>
    </row>
    <row r="6178" spans="1:10" x14ac:dyDescent="0.3">
      <c r="A6178" t="s">
        <v>6309</v>
      </c>
      <c r="B6178" t="s">
        <v>164</v>
      </c>
      <c r="C6178" t="str">
        <f>_xlfn.XLOOKUP(B6178,
[1]sales_teams!$A$2:$A$100,
[1]sales_teams!$B$2:$B$100)</f>
        <v>Cara Losch</v>
      </c>
      <c r="D6178" t="str">
        <f>_xlfn.XLOOKUP($B6178,sales_teams!$A$2:$A$36,sales_teams!C$2:C$36)</f>
        <v>East</v>
      </c>
      <c r="E6178" t="s">
        <v>10</v>
      </c>
      <c r="F6178" t="s">
        <v>278</v>
      </c>
      <c r="G6178" t="s">
        <v>12</v>
      </c>
      <c r="H6178" s="1">
        <v>42972</v>
      </c>
      <c r="I6178" s="1">
        <v>43041</v>
      </c>
      <c r="J6178">
        <v>977</v>
      </c>
    </row>
    <row r="6179" spans="1:10" x14ac:dyDescent="0.3">
      <c r="A6179" t="s">
        <v>6310</v>
      </c>
      <c r="B6179" t="s">
        <v>64</v>
      </c>
      <c r="C6179" t="str">
        <f>_xlfn.XLOOKUP(B6179,
[1]sales_teams!$A$2:$A$100,
[1]sales_teams!$B$2:$B$100)</f>
        <v>Rocco Neubert</v>
      </c>
      <c r="D6179" t="str">
        <f>_xlfn.XLOOKUP($B6179,sales_teams!$A$2:$A$36,sales_teams!C$2:C$36)</f>
        <v>East</v>
      </c>
      <c r="E6179" t="s">
        <v>10</v>
      </c>
      <c r="F6179" t="s">
        <v>231</v>
      </c>
      <c r="G6179" t="s">
        <v>40</v>
      </c>
      <c r="H6179" s="1">
        <v>42972</v>
      </c>
    </row>
    <row r="6180" spans="1:10" x14ac:dyDescent="0.3">
      <c r="A6180" t="s">
        <v>6311</v>
      </c>
      <c r="B6180" t="s">
        <v>64</v>
      </c>
      <c r="C6180" t="str">
        <f>_xlfn.XLOOKUP(B6180,
[1]sales_teams!$A$2:$A$100,
[1]sales_teams!$B$2:$B$100)</f>
        <v>Rocco Neubert</v>
      </c>
      <c r="D6180" t="str">
        <f>_xlfn.XLOOKUP($B6180,sales_teams!$A$2:$A$36,sales_teams!C$2:C$36)</f>
        <v>East</v>
      </c>
      <c r="E6180" t="s">
        <v>39</v>
      </c>
      <c r="F6180" t="s">
        <v>192</v>
      </c>
      <c r="G6180" t="s">
        <v>46</v>
      </c>
      <c r="H6180" s="1">
        <v>42972</v>
      </c>
      <c r="I6180" s="1">
        <v>43064</v>
      </c>
      <c r="J6180">
        <v>0</v>
      </c>
    </row>
    <row r="6181" spans="1:10" x14ac:dyDescent="0.3">
      <c r="A6181" t="s">
        <v>6312</v>
      </c>
      <c r="B6181" t="s">
        <v>64</v>
      </c>
      <c r="C6181" t="str">
        <f>_xlfn.XLOOKUP(B6181,
[1]sales_teams!$A$2:$A$100,
[1]sales_teams!$B$2:$B$100)</f>
        <v>Rocco Neubert</v>
      </c>
      <c r="D6181" t="str">
        <f>_xlfn.XLOOKUP($B6181,sales_teams!$A$2:$A$36,sales_teams!C$2:C$36)</f>
        <v>East</v>
      </c>
      <c r="E6181" t="s">
        <v>15</v>
      </c>
      <c r="F6181" t="s">
        <v>237</v>
      </c>
      <c r="G6181" t="s">
        <v>12</v>
      </c>
      <c r="H6181" s="1">
        <v>42972</v>
      </c>
      <c r="I6181" s="1">
        <v>42985</v>
      </c>
      <c r="J6181">
        <v>4445</v>
      </c>
    </row>
    <row r="6182" spans="1:10" x14ac:dyDescent="0.3">
      <c r="A6182" t="s">
        <v>6313</v>
      </c>
      <c r="B6182" t="s">
        <v>142</v>
      </c>
      <c r="C6182" t="str">
        <f>_xlfn.XLOOKUP(B6182,
[1]sales_teams!$A$2:$A$100,
[1]sales_teams!$B$2:$B$100)</f>
        <v>Rocco Neubert</v>
      </c>
      <c r="D6182" t="str">
        <f>_xlfn.XLOOKUP($B6182,sales_teams!$A$2:$A$36,sales_teams!C$2:C$36)</f>
        <v>East</v>
      </c>
      <c r="E6182" t="s">
        <v>10</v>
      </c>
      <c r="F6182" t="s">
        <v>209</v>
      </c>
      <c r="G6182" t="s">
        <v>46</v>
      </c>
      <c r="H6182" s="1">
        <v>42972</v>
      </c>
      <c r="I6182" s="1">
        <v>43057</v>
      </c>
      <c r="J6182">
        <v>0</v>
      </c>
    </row>
    <row r="6183" spans="1:10" x14ac:dyDescent="0.3">
      <c r="A6183" t="s">
        <v>6314</v>
      </c>
      <c r="B6183" t="s">
        <v>105</v>
      </c>
      <c r="C6183" t="str">
        <f>_xlfn.XLOOKUP(B6183,
[1]sales_teams!$A$2:$A$100,
[1]sales_teams!$B$2:$B$100)</f>
        <v>Cara Losch</v>
      </c>
      <c r="D6183" t="str">
        <f>_xlfn.XLOOKUP($B6183,sales_teams!$A$2:$A$36,sales_teams!C$2:C$36)</f>
        <v>East</v>
      </c>
      <c r="E6183" t="s">
        <v>18</v>
      </c>
      <c r="F6183" t="s">
        <v>89</v>
      </c>
      <c r="G6183" t="s">
        <v>12</v>
      </c>
      <c r="H6183" s="1">
        <v>42972</v>
      </c>
      <c r="I6183" s="1">
        <v>43098</v>
      </c>
      <c r="J6183">
        <v>54</v>
      </c>
    </row>
    <row r="6184" spans="1:10" x14ac:dyDescent="0.3">
      <c r="A6184" t="s">
        <v>6315</v>
      </c>
      <c r="B6184" t="s">
        <v>54</v>
      </c>
      <c r="C6184" t="str">
        <f>_xlfn.XLOOKUP(B6184,
[1]sales_teams!$A$2:$A$100,
[1]sales_teams!$B$2:$B$100)</f>
        <v>Celia Rouche</v>
      </c>
      <c r="D6184" t="str">
        <f>_xlfn.XLOOKUP($B6184,sales_teams!$A$2:$A$36,sales_teams!C$2:C$36)</f>
        <v>West</v>
      </c>
      <c r="E6184" t="s">
        <v>39</v>
      </c>
      <c r="F6184" t="s">
        <v>86</v>
      </c>
      <c r="G6184" t="s">
        <v>12</v>
      </c>
      <c r="H6184" s="1">
        <v>42972</v>
      </c>
      <c r="I6184" s="1">
        <v>43070</v>
      </c>
      <c r="J6184">
        <v>3331</v>
      </c>
    </row>
    <row r="6185" spans="1:10" x14ac:dyDescent="0.3">
      <c r="A6185" t="s">
        <v>6316</v>
      </c>
      <c r="B6185" t="s">
        <v>252</v>
      </c>
      <c r="C6185" t="str">
        <f>_xlfn.XLOOKUP(B6185,
[1]sales_teams!$A$2:$A$100,
[1]sales_teams!$B$2:$B$100)</f>
        <v>Melvin Marxen</v>
      </c>
      <c r="D6185" t="str">
        <f>_xlfn.XLOOKUP($B6185,sales_teams!$A$2:$A$36,sales_teams!C$2:C$36)</f>
        <v>Central</v>
      </c>
      <c r="E6185" t="s">
        <v>20</v>
      </c>
      <c r="F6185" t="s">
        <v>197</v>
      </c>
      <c r="G6185" t="s">
        <v>12</v>
      </c>
      <c r="H6185" s="1">
        <v>42972</v>
      </c>
      <c r="I6185" s="1">
        <v>42983</v>
      </c>
      <c r="J6185">
        <v>474</v>
      </c>
    </row>
    <row r="6186" spans="1:10" x14ac:dyDescent="0.3">
      <c r="A6186" t="s">
        <v>6317</v>
      </c>
      <c r="B6186" t="s">
        <v>78</v>
      </c>
      <c r="C6186" t="str">
        <f>_xlfn.XLOOKUP(B6186,
[1]sales_teams!$A$2:$A$100,
[1]sales_teams!$B$2:$B$100)</f>
        <v>Summer Sewald</v>
      </c>
      <c r="D6186" t="str">
        <f>_xlfn.XLOOKUP($B6186,sales_teams!$A$2:$A$36,sales_teams!C$2:C$36)</f>
        <v>West</v>
      </c>
      <c r="E6186" t="s">
        <v>10</v>
      </c>
      <c r="F6186" t="s">
        <v>313</v>
      </c>
      <c r="G6186" t="s">
        <v>46</v>
      </c>
      <c r="H6186" s="1">
        <v>42972</v>
      </c>
      <c r="I6186" s="1">
        <v>42978</v>
      </c>
      <c r="J6186">
        <v>0</v>
      </c>
    </row>
    <row r="6187" spans="1:10" x14ac:dyDescent="0.3">
      <c r="A6187" t="s">
        <v>6318</v>
      </c>
      <c r="B6187" t="s">
        <v>78</v>
      </c>
      <c r="C6187" t="str">
        <f>_xlfn.XLOOKUP(B6187,
[1]sales_teams!$A$2:$A$100,
[1]sales_teams!$B$2:$B$100)</f>
        <v>Summer Sewald</v>
      </c>
      <c r="D6187" t="str">
        <f>_xlfn.XLOOKUP($B6187,sales_teams!$A$2:$A$36,sales_teams!C$2:C$36)</f>
        <v>West</v>
      </c>
      <c r="E6187" t="s">
        <v>10</v>
      </c>
      <c r="F6187" t="s">
        <v>218</v>
      </c>
      <c r="G6187" t="s">
        <v>12</v>
      </c>
      <c r="H6187" s="1">
        <v>42972</v>
      </c>
      <c r="I6187" s="1">
        <v>43052</v>
      </c>
      <c r="J6187">
        <v>994</v>
      </c>
    </row>
    <row r="6188" spans="1:10" x14ac:dyDescent="0.3">
      <c r="A6188" t="s">
        <v>6319</v>
      </c>
      <c r="B6188" t="s">
        <v>78</v>
      </c>
      <c r="C6188" t="str">
        <f>_xlfn.XLOOKUP(B6188,
[1]sales_teams!$A$2:$A$100,
[1]sales_teams!$B$2:$B$100)</f>
        <v>Summer Sewald</v>
      </c>
      <c r="D6188" t="str">
        <f>_xlfn.XLOOKUP($B6188,sales_teams!$A$2:$A$36,sales_teams!C$2:C$36)</f>
        <v>West</v>
      </c>
      <c r="E6188" t="s">
        <v>48</v>
      </c>
      <c r="F6188" t="s">
        <v>273</v>
      </c>
      <c r="G6188" t="s">
        <v>12</v>
      </c>
      <c r="H6188" s="1">
        <v>42972</v>
      </c>
      <c r="I6188" s="1">
        <v>43062</v>
      </c>
      <c r="J6188">
        <v>4773</v>
      </c>
    </row>
    <row r="6189" spans="1:10" x14ac:dyDescent="0.3">
      <c r="A6189" t="s">
        <v>6320</v>
      </c>
      <c r="B6189" t="s">
        <v>133</v>
      </c>
      <c r="C6189" t="str">
        <f>_xlfn.XLOOKUP(B6189,
[1]sales_teams!$A$2:$A$100,
[1]sales_teams!$B$2:$B$100)</f>
        <v>Dustin Brinkmann</v>
      </c>
      <c r="D6189" t="str">
        <f>_xlfn.XLOOKUP($B6189,sales_teams!$A$2:$A$36,sales_teams!C$2:C$36)</f>
        <v>Central</v>
      </c>
      <c r="E6189" t="s">
        <v>18</v>
      </c>
      <c r="F6189" t="s">
        <v>91</v>
      </c>
      <c r="G6189" t="s">
        <v>46</v>
      </c>
      <c r="H6189" s="1">
        <v>42972</v>
      </c>
      <c r="I6189" s="1">
        <v>43064</v>
      </c>
      <c r="J6189">
        <v>0</v>
      </c>
    </row>
    <row r="6190" spans="1:10" x14ac:dyDescent="0.3">
      <c r="A6190" t="s">
        <v>6321</v>
      </c>
      <c r="B6190" t="s">
        <v>32</v>
      </c>
      <c r="C6190" t="str">
        <f>_xlfn.XLOOKUP(B6190,
[1]sales_teams!$A$2:$A$100,
[1]sales_teams!$B$2:$B$100)</f>
        <v>Celia Rouche</v>
      </c>
      <c r="D6190" t="str">
        <f>_xlfn.XLOOKUP($B6190,sales_teams!$A$2:$A$36,sales_teams!C$2:C$36)</f>
        <v>West</v>
      </c>
      <c r="E6190" t="s">
        <v>10</v>
      </c>
      <c r="G6190" t="s">
        <v>40</v>
      </c>
      <c r="H6190" s="1">
        <v>42972</v>
      </c>
    </row>
    <row r="6191" spans="1:10" x14ac:dyDescent="0.3">
      <c r="A6191" t="s">
        <v>6322</v>
      </c>
      <c r="B6191" t="s">
        <v>35</v>
      </c>
      <c r="C6191" t="str">
        <f>_xlfn.XLOOKUP(B6191,
[1]sales_teams!$A$2:$A$100,
[1]sales_teams!$B$2:$B$100)</f>
        <v>Melvin Marxen</v>
      </c>
      <c r="D6191" t="str">
        <f>_xlfn.XLOOKUP($B6191,sales_teams!$A$2:$A$36,sales_teams!C$2:C$36)</f>
        <v>Central</v>
      </c>
      <c r="E6191" t="s">
        <v>10</v>
      </c>
      <c r="F6191" t="s">
        <v>111</v>
      </c>
      <c r="G6191" t="s">
        <v>46</v>
      </c>
      <c r="H6191" s="1">
        <v>42972</v>
      </c>
      <c r="I6191" s="1">
        <v>42977</v>
      </c>
      <c r="J6191">
        <v>0</v>
      </c>
    </row>
    <row r="6192" spans="1:10" x14ac:dyDescent="0.3">
      <c r="A6192" t="s">
        <v>6323</v>
      </c>
      <c r="B6192" t="s">
        <v>35</v>
      </c>
      <c r="C6192" t="str">
        <f>_xlfn.XLOOKUP(B6192,
[1]sales_teams!$A$2:$A$100,
[1]sales_teams!$B$2:$B$100)</f>
        <v>Melvin Marxen</v>
      </c>
      <c r="D6192" t="str">
        <f>_xlfn.XLOOKUP($B6192,sales_teams!$A$2:$A$36,sales_teams!C$2:C$36)</f>
        <v>Central</v>
      </c>
      <c r="E6192" t="s">
        <v>18</v>
      </c>
      <c r="F6192" t="s">
        <v>151</v>
      </c>
      <c r="G6192" t="s">
        <v>12</v>
      </c>
      <c r="H6192" s="1">
        <v>42972</v>
      </c>
      <c r="I6192" s="1">
        <v>43061</v>
      </c>
      <c r="J6192">
        <v>63</v>
      </c>
    </row>
    <row r="6193" spans="1:10" x14ac:dyDescent="0.3">
      <c r="A6193" t="s">
        <v>6324</v>
      </c>
      <c r="B6193" t="s">
        <v>57</v>
      </c>
      <c r="C6193" t="str">
        <f>_xlfn.XLOOKUP(B6193,
[1]sales_teams!$A$2:$A$100,
[1]sales_teams!$B$2:$B$100)</f>
        <v>Celia Rouche</v>
      </c>
      <c r="D6193" t="str">
        <f>_xlfn.XLOOKUP($B6193,sales_teams!$A$2:$A$36,sales_teams!C$2:C$36)</f>
        <v>West</v>
      </c>
      <c r="E6193" t="s">
        <v>48</v>
      </c>
      <c r="F6193" t="s">
        <v>24</v>
      </c>
      <c r="G6193" t="s">
        <v>12</v>
      </c>
      <c r="H6193" s="1">
        <v>42972</v>
      </c>
      <c r="I6193" s="1">
        <v>42991</v>
      </c>
      <c r="J6193">
        <v>6391</v>
      </c>
    </row>
    <row r="6194" spans="1:10" x14ac:dyDescent="0.3">
      <c r="A6194" t="s">
        <v>6325</v>
      </c>
      <c r="B6194" t="s">
        <v>88</v>
      </c>
      <c r="C6194" t="str">
        <f>_xlfn.XLOOKUP(B6194,
[1]sales_teams!$A$2:$A$100,
[1]sales_teams!$B$2:$B$100)</f>
        <v>Cara Losch</v>
      </c>
      <c r="D6194" t="str">
        <f>_xlfn.XLOOKUP($B6194,sales_teams!$A$2:$A$36,sales_teams!C$2:C$36)</f>
        <v>East</v>
      </c>
      <c r="E6194" t="s">
        <v>18</v>
      </c>
      <c r="F6194" t="s">
        <v>410</v>
      </c>
      <c r="G6194" t="s">
        <v>12</v>
      </c>
      <c r="H6194" s="1">
        <v>42972</v>
      </c>
      <c r="I6194" s="1">
        <v>43084</v>
      </c>
      <c r="J6194">
        <v>58</v>
      </c>
    </row>
    <row r="6195" spans="1:10" x14ac:dyDescent="0.3">
      <c r="A6195" t="s">
        <v>6326</v>
      </c>
      <c r="B6195" t="s">
        <v>61</v>
      </c>
      <c r="C6195" t="str">
        <f>_xlfn.XLOOKUP(B6195,
[1]sales_teams!$A$2:$A$100,
[1]sales_teams!$B$2:$B$100)</f>
        <v>Dustin Brinkmann</v>
      </c>
      <c r="D6195" t="str">
        <f>_xlfn.XLOOKUP($B6195,sales_teams!$A$2:$A$36,sales_teams!C$2:C$36)</f>
        <v>Central</v>
      </c>
      <c r="E6195" t="s">
        <v>18</v>
      </c>
      <c r="F6195" t="s">
        <v>129</v>
      </c>
      <c r="G6195" t="s">
        <v>12</v>
      </c>
      <c r="H6195" s="1">
        <v>42972</v>
      </c>
      <c r="I6195" s="1">
        <v>43073</v>
      </c>
      <c r="J6195">
        <v>54</v>
      </c>
    </row>
    <row r="6196" spans="1:10" x14ac:dyDescent="0.3">
      <c r="A6196" t="s">
        <v>6327</v>
      </c>
      <c r="B6196" t="s">
        <v>29</v>
      </c>
      <c r="C6196" t="str">
        <f>_xlfn.XLOOKUP(B6196,
[1]sales_teams!$A$2:$A$100,
[1]sales_teams!$B$2:$B$100)</f>
        <v>Celia Rouche</v>
      </c>
      <c r="D6196" t="str">
        <f>_xlfn.XLOOKUP($B6196,sales_teams!$A$2:$A$36,sales_teams!C$2:C$36)</f>
        <v>West</v>
      </c>
      <c r="E6196" t="s">
        <v>48</v>
      </c>
      <c r="F6196" t="s">
        <v>124</v>
      </c>
      <c r="G6196" t="s">
        <v>46</v>
      </c>
      <c r="H6196" s="1">
        <v>42972</v>
      </c>
      <c r="I6196" s="1">
        <v>43061</v>
      </c>
      <c r="J6196">
        <v>0</v>
      </c>
    </row>
    <row r="6197" spans="1:10" x14ac:dyDescent="0.3">
      <c r="A6197" t="s">
        <v>6328</v>
      </c>
      <c r="B6197" t="s">
        <v>29</v>
      </c>
      <c r="C6197" t="str">
        <f>_xlfn.XLOOKUP(B6197,
[1]sales_teams!$A$2:$A$100,
[1]sales_teams!$B$2:$B$100)</f>
        <v>Celia Rouche</v>
      </c>
      <c r="D6197" t="str">
        <f>_xlfn.XLOOKUP($B6197,sales_teams!$A$2:$A$36,sales_teams!C$2:C$36)</f>
        <v>West</v>
      </c>
      <c r="E6197" t="s">
        <v>48</v>
      </c>
      <c r="F6197" t="s">
        <v>68</v>
      </c>
      <c r="G6197" t="s">
        <v>12</v>
      </c>
      <c r="H6197" s="1">
        <v>42972</v>
      </c>
      <c r="I6197" s="1">
        <v>43060</v>
      </c>
      <c r="J6197">
        <v>5129</v>
      </c>
    </row>
    <row r="6198" spans="1:10" x14ac:dyDescent="0.3">
      <c r="A6198" t="s">
        <v>6329</v>
      </c>
      <c r="B6198" t="s">
        <v>73</v>
      </c>
      <c r="C6198" t="str">
        <f>_xlfn.XLOOKUP(B6198,
[1]sales_teams!$A$2:$A$100,
[1]sales_teams!$B$2:$B$100)</f>
        <v>Cara Losch</v>
      </c>
      <c r="D6198" t="str">
        <f>_xlfn.XLOOKUP($B6198,sales_teams!$A$2:$A$36,sales_teams!C$2:C$36)</f>
        <v>East</v>
      </c>
      <c r="E6198" t="s">
        <v>18</v>
      </c>
      <c r="F6198" t="s">
        <v>74</v>
      </c>
      <c r="G6198" t="s">
        <v>40</v>
      </c>
      <c r="H6198" s="1">
        <v>42972</v>
      </c>
    </row>
    <row r="6199" spans="1:10" x14ac:dyDescent="0.3">
      <c r="A6199" t="s">
        <v>6330</v>
      </c>
      <c r="B6199" t="s">
        <v>73</v>
      </c>
      <c r="C6199" t="str">
        <f>_xlfn.XLOOKUP(B6199,
[1]sales_teams!$A$2:$A$100,
[1]sales_teams!$B$2:$B$100)</f>
        <v>Cara Losch</v>
      </c>
      <c r="D6199" t="str">
        <f>_xlfn.XLOOKUP($B6199,sales_teams!$A$2:$A$36,sales_teams!C$2:C$36)</f>
        <v>East</v>
      </c>
      <c r="E6199" t="s">
        <v>39</v>
      </c>
      <c r="F6199" t="s">
        <v>81</v>
      </c>
      <c r="G6199" t="s">
        <v>46</v>
      </c>
      <c r="H6199" s="1">
        <v>42972</v>
      </c>
      <c r="I6199" s="1">
        <v>42977</v>
      </c>
      <c r="J6199">
        <v>0</v>
      </c>
    </row>
    <row r="6200" spans="1:10" x14ac:dyDescent="0.3">
      <c r="A6200" t="s">
        <v>6331</v>
      </c>
      <c r="B6200" t="s">
        <v>23</v>
      </c>
      <c r="C6200" t="str">
        <f>_xlfn.XLOOKUP(B6200,
[1]sales_teams!$A$2:$A$100,
[1]sales_teams!$B$2:$B$100)</f>
        <v>Summer Sewald</v>
      </c>
      <c r="D6200" t="str">
        <f>_xlfn.XLOOKUP($B6200,sales_teams!$A$2:$A$36,sales_teams!C$2:C$36)</f>
        <v>West</v>
      </c>
      <c r="E6200" t="s">
        <v>10</v>
      </c>
      <c r="F6200" t="s">
        <v>86</v>
      </c>
      <c r="G6200" t="s">
        <v>40</v>
      </c>
      <c r="H6200" s="1">
        <v>42972</v>
      </c>
    </row>
    <row r="6201" spans="1:10" x14ac:dyDescent="0.3">
      <c r="A6201" t="s">
        <v>6332</v>
      </c>
      <c r="B6201" t="s">
        <v>23</v>
      </c>
      <c r="C6201" t="str">
        <f>_xlfn.XLOOKUP(B6201,
[1]sales_teams!$A$2:$A$100,
[1]sales_teams!$B$2:$B$100)</f>
        <v>Summer Sewald</v>
      </c>
      <c r="D6201" t="str">
        <f>_xlfn.XLOOKUP($B6201,sales_teams!$A$2:$A$36,sales_teams!C$2:C$36)</f>
        <v>West</v>
      </c>
      <c r="E6201" t="s">
        <v>15</v>
      </c>
      <c r="F6201" t="s">
        <v>218</v>
      </c>
      <c r="G6201" t="s">
        <v>40</v>
      </c>
      <c r="H6201" s="1">
        <v>42972</v>
      </c>
    </row>
    <row r="6202" spans="1:10" x14ac:dyDescent="0.3">
      <c r="A6202" t="s">
        <v>6333</v>
      </c>
      <c r="B6202" t="s">
        <v>23</v>
      </c>
      <c r="C6202" t="str">
        <f>_xlfn.XLOOKUP(B6202,
[1]sales_teams!$A$2:$A$100,
[1]sales_teams!$B$2:$B$100)</f>
        <v>Summer Sewald</v>
      </c>
      <c r="D6202" t="str">
        <f>_xlfn.XLOOKUP($B6202,sales_teams!$A$2:$A$36,sales_teams!C$2:C$36)</f>
        <v>West</v>
      </c>
      <c r="E6202" t="s">
        <v>20</v>
      </c>
      <c r="F6202" t="s">
        <v>24</v>
      </c>
      <c r="G6202" t="s">
        <v>12</v>
      </c>
      <c r="H6202" s="1">
        <v>42972</v>
      </c>
      <c r="I6202" s="1">
        <v>43058</v>
      </c>
      <c r="J6202">
        <v>454</v>
      </c>
    </row>
    <row r="6203" spans="1:10" x14ac:dyDescent="0.3">
      <c r="A6203" t="s">
        <v>6334</v>
      </c>
      <c r="B6203" t="s">
        <v>26</v>
      </c>
      <c r="C6203" t="str">
        <f>_xlfn.XLOOKUP(B6203,
[1]sales_teams!$A$2:$A$100,
[1]sales_teams!$B$2:$B$100)</f>
        <v>Dustin Brinkmann</v>
      </c>
      <c r="D6203" t="str">
        <f>_xlfn.XLOOKUP($B6203,sales_teams!$A$2:$A$36,sales_teams!C$2:C$36)</f>
        <v>Central</v>
      </c>
      <c r="E6203" t="s">
        <v>48</v>
      </c>
      <c r="F6203" t="s">
        <v>42</v>
      </c>
      <c r="G6203" t="s">
        <v>12</v>
      </c>
      <c r="H6203" s="1">
        <v>42973</v>
      </c>
      <c r="I6203" s="1">
        <v>43041</v>
      </c>
      <c r="J6203">
        <v>6659</v>
      </c>
    </row>
    <row r="6204" spans="1:10" x14ac:dyDescent="0.3">
      <c r="A6204" t="s">
        <v>6335</v>
      </c>
      <c r="B6204" t="s">
        <v>118</v>
      </c>
      <c r="C6204" t="str">
        <f>_xlfn.XLOOKUP(B6204,
[1]sales_teams!$A$2:$A$100,
[1]sales_teams!$B$2:$B$100)</f>
        <v>Rocco Neubert</v>
      </c>
      <c r="D6204" t="str">
        <f>_xlfn.XLOOKUP($B6204,sales_teams!$A$2:$A$36,sales_teams!C$2:C$36)</f>
        <v>East</v>
      </c>
      <c r="E6204" t="s">
        <v>20</v>
      </c>
      <c r="F6204" t="s">
        <v>165</v>
      </c>
      <c r="G6204" t="s">
        <v>12</v>
      </c>
      <c r="H6204" s="1">
        <v>42973</v>
      </c>
      <c r="I6204" s="1">
        <v>42986</v>
      </c>
      <c r="J6204">
        <v>572</v>
      </c>
    </row>
    <row r="6205" spans="1:10" x14ac:dyDescent="0.3">
      <c r="A6205" t="s">
        <v>6336</v>
      </c>
      <c r="B6205" t="s">
        <v>164</v>
      </c>
      <c r="C6205" t="str">
        <f>_xlfn.XLOOKUP(B6205,
[1]sales_teams!$A$2:$A$100,
[1]sales_teams!$B$2:$B$100)</f>
        <v>Cara Losch</v>
      </c>
      <c r="D6205" t="str">
        <f>_xlfn.XLOOKUP($B6205,sales_teams!$A$2:$A$36,sales_teams!C$2:C$36)</f>
        <v>East</v>
      </c>
      <c r="E6205" t="s">
        <v>10</v>
      </c>
      <c r="F6205" t="s">
        <v>192</v>
      </c>
      <c r="G6205" t="s">
        <v>12</v>
      </c>
      <c r="H6205" s="1">
        <v>42973</v>
      </c>
      <c r="I6205" s="1">
        <v>43058</v>
      </c>
      <c r="J6205">
        <v>1046</v>
      </c>
    </row>
    <row r="6206" spans="1:10" x14ac:dyDescent="0.3">
      <c r="A6206" t="s">
        <v>6337</v>
      </c>
      <c r="B6206" t="s">
        <v>64</v>
      </c>
      <c r="C6206" t="str">
        <f>_xlfn.XLOOKUP(B6206,
[1]sales_teams!$A$2:$A$100,
[1]sales_teams!$B$2:$B$100)</f>
        <v>Rocco Neubert</v>
      </c>
      <c r="D6206" t="str">
        <f>_xlfn.XLOOKUP($B6206,sales_teams!$A$2:$A$36,sales_teams!C$2:C$36)</f>
        <v>East</v>
      </c>
      <c r="E6206" t="s">
        <v>10</v>
      </c>
      <c r="G6206" t="s">
        <v>40</v>
      </c>
      <c r="H6206" s="1">
        <v>42973</v>
      </c>
    </row>
    <row r="6207" spans="1:10" x14ac:dyDescent="0.3">
      <c r="A6207" t="s">
        <v>6338</v>
      </c>
      <c r="B6207" t="s">
        <v>142</v>
      </c>
      <c r="C6207" t="str">
        <f>_xlfn.XLOOKUP(B6207,
[1]sales_teams!$A$2:$A$100,
[1]sales_teams!$B$2:$B$100)</f>
        <v>Rocco Neubert</v>
      </c>
      <c r="D6207" t="str">
        <f>_xlfn.XLOOKUP($B6207,sales_teams!$A$2:$A$36,sales_teams!C$2:C$36)</f>
        <v>East</v>
      </c>
      <c r="E6207" t="s">
        <v>39</v>
      </c>
      <c r="F6207" t="s">
        <v>237</v>
      </c>
      <c r="G6207" t="s">
        <v>12</v>
      </c>
      <c r="H6207" s="1">
        <v>42973</v>
      </c>
      <c r="I6207" s="1">
        <v>43070</v>
      </c>
      <c r="J6207">
        <v>3281</v>
      </c>
    </row>
    <row r="6208" spans="1:10" x14ac:dyDescent="0.3">
      <c r="A6208" t="s">
        <v>6339</v>
      </c>
      <c r="B6208" t="s">
        <v>44</v>
      </c>
      <c r="C6208" t="str">
        <f>_xlfn.XLOOKUP(B6208,
[1]sales_teams!$A$2:$A$100,
[1]sales_teams!$B$2:$B$100)</f>
        <v>Melvin Marxen</v>
      </c>
      <c r="D6208" t="str">
        <f>_xlfn.XLOOKUP($B6208,sales_teams!$A$2:$A$36,sales_teams!C$2:C$36)</f>
        <v>Central</v>
      </c>
      <c r="E6208" t="s">
        <v>18</v>
      </c>
      <c r="F6208" t="s">
        <v>187</v>
      </c>
      <c r="G6208" t="s">
        <v>46</v>
      </c>
      <c r="H6208" s="1">
        <v>42973</v>
      </c>
      <c r="I6208" s="1">
        <v>42983</v>
      </c>
      <c r="J6208">
        <v>0</v>
      </c>
    </row>
    <row r="6209" spans="1:10" x14ac:dyDescent="0.3">
      <c r="A6209" t="s">
        <v>6340</v>
      </c>
      <c r="B6209" t="s">
        <v>54</v>
      </c>
      <c r="C6209" t="str">
        <f>_xlfn.XLOOKUP(B6209,
[1]sales_teams!$A$2:$A$100,
[1]sales_teams!$B$2:$B$100)</f>
        <v>Celia Rouche</v>
      </c>
      <c r="D6209" t="str">
        <f>_xlfn.XLOOKUP($B6209,sales_teams!$A$2:$A$36,sales_teams!C$2:C$36)</f>
        <v>West</v>
      </c>
      <c r="E6209" t="s">
        <v>39</v>
      </c>
      <c r="F6209" t="s">
        <v>273</v>
      </c>
      <c r="G6209" t="s">
        <v>12</v>
      </c>
      <c r="H6209" s="1">
        <v>42973</v>
      </c>
      <c r="I6209" s="1">
        <v>42988</v>
      </c>
      <c r="J6209">
        <v>3462</v>
      </c>
    </row>
    <row r="6210" spans="1:10" x14ac:dyDescent="0.3">
      <c r="A6210" t="s">
        <v>6341</v>
      </c>
      <c r="B6210" t="s">
        <v>38</v>
      </c>
      <c r="C6210" t="str">
        <f>_xlfn.XLOOKUP(B6210,
[1]sales_teams!$A$2:$A$100,
[1]sales_teams!$B$2:$B$100)</f>
        <v>Summer Sewald</v>
      </c>
      <c r="D6210" t="str">
        <f>_xlfn.XLOOKUP($B6210,sales_teams!$A$2:$A$36,sales_teams!C$2:C$36)</f>
        <v>West</v>
      </c>
      <c r="E6210" t="s">
        <v>48</v>
      </c>
      <c r="F6210" t="s">
        <v>59</v>
      </c>
      <c r="G6210" t="s">
        <v>12</v>
      </c>
      <c r="H6210" s="1">
        <v>42973</v>
      </c>
      <c r="I6210" s="1">
        <v>42984</v>
      </c>
      <c r="J6210">
        <v>6029</v>
      </c>
    </row>
    <row r="6211" spans="1:10" x14ac:dyDescent="0.3">
      <c r="A6211" t="s">
        <v>6342</v>
      </c>
      <c r="B6211" t="s">
        <v>78</v>
      </c>
      <c r="C6211" t="str">
        <f>_xlfn.XLOOKUP(B6211,
[1]sales_teams!$A$2:$A$100,
[1]sales_teams!$B$2:$B$100)</f>
        <v>Summer Sewald</v>
      </c>
      <c r="D6211" t="str">
        <f>_xlfn.XLOOKUP($B6211,sales_teams!$A$2:$A$36,sales_teams!C$2:C$36)</f>
        <v>West</v>
      </c>
      <c r="E6211" t="s">
        <v>48</v>
      </c>
      <c r="F6211" t="s">
        <v>86</v>
      </c>
      <c r="G6211" t="s">
        <v>40</v>
      </c>
      <c r="H6211" s="1">
        <v>42973</v>
      </c>
    </row>
    <row r="6212" spans="1:10" x14ac:dyDescent="0.3">
      <c r="A6212" t="s">
        <v>6343</v>
      </c>
      <c r="B6212" t="s">
        <v>78</v>
      </c>
      <c r="C6212" t="str">
        <f>_xlfn.XLOOKUP(B6212,
[1]sales_teams!$A$2:$A$100,
[1]sales_teams!$B$2:$B$100)</f>
        <v>Summer Sewald</v>
      </c>
      <c r="D6212" t="str">
        <f>_xlfn.XLOOKUP($B6212,sales_teams!$A$2:$A$36,sales_teams!C$2:C$36)</f>
        <v>West</v>
      </c>
      <c r="E6212" t="s">
        <v>20</v>
      </c>
      <c r="F6212" t="s">
        <v>55</v>
      </c>
      <c r="G6212" t="s">
        <v>12</v>
      </c>
      <c r="H6212" s="1">
        <v>42973</v>
      </c>
      <c r="I6212" s="1">
        <v>43073</v>
      </c>
      <c r="J6212">
        <v>566</v>
      </c>
    </row>
    <row r="6213" spans="1:10" x14ac:dyDescent="0.3">
      <c r="A6213" t="s">
        <v>6344</v>
      </c>
      <c r="B6213" t="s">
        <v>95</v>
      </c>
      <c r="C6213" t="str">
        <f>_xlfn.XLOOKUP(B6213,
[1]sales_teams!$A$2:$A$100,
[1]sales_teams!$B$2:$B$100)</f>
        <v>Summer Sewald</v>
      </c>
      <c r="D6213" t="str">
        <f>_xlfn.XLOOKUP($B6213,sales_teams!$A$2:$A$36,sales_teams!C$2:C$36)</f>
        <v>West</v>
      </c>
      <c r="E6213" t="s">
        <v>15</v>
      </c>
      <c r="F6213" t="s">
        <v>70</v>
      </c>
      <c r="G6213" t="s">
        <v>46</v>
      </c>
      <c r="H6213" s="1">
        <v>42973</v>
      </c>
      <c r="I6213" s="1">
        <v>43047</v>
      </c>
      <c r="J6213">
        <v>0</v>
      </c>
    </row>
    <row r="6214" spans="1:10" x14ac:dyDescent="0.3">
      <c r="A6214" t="s">
        <v>6345</v>
      </c>
      <c r="B6214" t="s">
        <v>9</v>
      </c>
      <c r="C6214" t="str">
        <f>_xlfn.XLOOKUP(B6214,
[1]sales_teams!$A$2:$A$100,
[1]sales_teams!$B$2:$B$100)</f>
        <v>Dustin Brinkmann</v>
      </c>
      <c r="D6214" t="str">
        <f>_xlfn.XLOOKUP($B6214,sales_teams!$A$2:$A$36,sales_teams!C$2:C$36)</f>
        <v>Central</v>
      </c>
      <c r="E6214" t="s">
        <v>18</v>
      </c>
      <c r="F6214" t="s">
        <v>231</v>
      </c>
      <c r="G6214" t="s">
        <v>46</v>
      </c>
      <c r="H6214" s="1">
        <v>42973</v>
      </c>
      <c r="I6214" s="1">
        <v>43051</v>
      </c>
      <c r="J6214">
        <v>0</v>
      </c>
    </row>
    <row r="6215" spans="1:10" x14ac:dyDescent="0.3">
      <c r="A6215" t="s">
        <v>6346</v>
      </c>
      <c r="B6215" t="s">
        <v>9</v>
      </c>
      <c r="C6215" t="str">
        <f>_xlfn.XLOOKUP(B6215,
[1]sales_teams!$A$2:$A$100,
[1]sales_teams!$B$2:$B$100)</f>
        <v>Dustin Brinkmann</v>
      </c>
      <c r="D6215" t="str">
        <f>_xlfn.XLOOKUP($B6215,sales_teams!$A$2:$A$36,sales_teams!C$2:C$36)</f>
        <v>Central</v>
      </c>
      <c r="E6215" t="s">
        <v>10</v>
      </c>
      <c r="F6215" t="s">
        <v>16</v>
      </c>
      <c r="G6215" t="s">
        <v>12</v>
      </c>
      <c r="H6215" s="1">
        <v>42973</v>
      </c>
      <c r="I6215" s="1">
        <v>43052</v>
      </c>
      <c r="J6215">
        <v>1042</v>
      </c>
    </row>
    <row r="6216" spans="1:10" x14ac:dyDescent="0.3">
      <c r="A6216" t="s">
        <v>6347</v>
      </c>
      <c r="B6216" t="s">
        <v>97</v>
      </c>
      <c r="C6216" t="str">
        <f>_xlfn.XLOOKUP(B6216,
[1]sales_teams!$A$2:$A$100,
[1]sales_teams!$B$2:$B$100)</f>
        <v>Rocco Neubert</v>
      </c>
      <c r="D6216" t="str">
        <f>_xlfn.XLOOKUP($B6216,sales_teams!$A$2:$A$36,sales_teams!C$2:C$36)</f>
        <v>East</v>
      </c>
      <c r="E6216" t="s">
        <v>20</v>
      </c>
      <c r="F6216" t="s">
        <v>204</v>
      </c>
      <c r="G6216" t="s">
        <v>12</v>
      </c>
      <c r="H6216" s="1">
        <v>42973</v>
      </c>
      <c r="I6216" s="1">
        <v>43046</v>
      </c>
      <c r="J6216">
        <v>539</v>
      </c>
    </row>
    <row r="6217" spans="1:10" x14ac:dyDescent="0.3">
      <c r="A6217" t="s">
        <v>6348</v>
      </c>
      <c r="B6217" t="s">
        <v>57</v>
      </c>
      <c r="C6217" t="str">
        <f>_xlfn.XLOOKUP(B6217,
[1]sales_teams!$A$2:$A$100,
[1]sales_teams!$B$2:$B$100)</f>
        <v>Celia Rouche</v>
      </c>
      <c r="D6217" t="str">
        <f>_xlfn.XLOOKUP($B6217,sales_teams!$A$2:$A$36,sales_teams!C$2:C$36)</f>
        <v>West</v>
      </c>
      <c r="E6217" t="s">
        <v>18</v>
      </c>
      <c r="G6217" t="s">
        <v>40</v>
      </c>
      <c r="H6217" s="1">
        <v>42973</v>
      </c>
    </row>
    <row r="6218" spans="1:10" x14ac:dyDescent="0.3">
      <c r="A6218" t="s">
        <v>6349</v>
      </c>
      <c r="B6218" t="s">
        <v>57</v>
      </c>
      <c r="C6218" t="str">
        <f>_xlfn.XLOOKUP(B6218,
[1]sales_teams!$A$2:$A$100,
[1]sales_teams!$B$2:$B$100)</f>
        <v>Celia Rouche</v>
      </c>
      <c r="D6218" t="str">
        <f>_xlfn.XLOOKUP($B6218,sales_teams!$A$2:$A$36,sales_teams!C$2:C$36)</f>
        <v>West</v>
      </c>
      <c r="E6218" t="s">
        <v>18</v>
      </c>
      <c r="F6218" t="s">
        <v>155</v>
      </c>
      <c r="G6218" t="s">
        <v>12</v>
      </c>
      <c r="H6218" s="1">
        <v>42973</v>
      </c>
      <c r="I6218" s="1">
        <v>43055</v>
      </c>
      <c r="J6218">
        <v>56</v>
      </c>
    </row>
    <row r="6219" spans="1:10" x14ac:dyDescent="0.3">
      <c r="A6219" t="s">
        <v>6350</v>
      </c>
      <c r="B6219" t="s">
        <v>61</v>
      </c>
      <c r="C6219" t="str">
        <f>_xlfn.XLOOKUP(B6219,
[1]sales_teams!$A$2:$A$100,
[1]sales_teams!$B$2:$B$100)</f>
        <v>Dustin Brinkmann</v>
      </c>
      <c r="D6219" t="str">
        <f>_xlfn.XLOOKUP($B6219,sales_teams!$A$2:$A$36,sales_teams!C$2:C$36)</f>
        <v>Central</v>
      </c>
      <c r="E6219" t="s">
        <v>18</v>
      </c>
      <c r="F6219" t="s">
        <v>109</v>
      </c>
      <c r="G6219" t="s">
        <v>12</v>
      </c>
      <c r="H6219" s="1">
        <v>42973</v>
      </c>
      <c r="I6219" s="1">
        <v>43067</v>
      </c>
      <c r="J6219">
        <v>60</v>
      </c>
    </row>
    <row r="6220" spans="1:10" x14ac:dyDescent="0.3">
      <c r="A6220" t="s">
        <v>6351</v>
      </c>
      <c r="B6220" t="s">
        <v>29</v>
      </c>
      <c r="C6220" t="str">
        <f>_xlfn.XLOOKUP(B6220,
[1]sales_teams!$A$2:$A$100,
[1]sales_teams!$B$2:$B$100)</f>
        <v>Celia Rouche</v>
      </c>
      <c r="D6220" t="str">
        <f>_xlfn.XLOOKUP($B6220,sales_teams!$A$2:$A$36,sales_teams!C$2:C$36)</f>
        <v>West</v>
      </c>
      <c r="E6220" t="s">
        <v>18</v>
      </c>
      <c r="F6220" t="s">
        <v>59</v>
      </c>
      <c r="G6220" t="s">
        <v>46</v>
      </c>
      <c r="H6220" s="1">
        <v>42973</v>
      </c>
      <c r="I6220" s="1">
        <v>42974</v>
      </c>
      <c r="J6220">
        <v>0</v>
      </c>
    </row>
    <row r="6221" spans="1:10" x14ac:dyDescent="0.3">
      <c r="A6221" t="s">
        <v>6352</v>
      </c>
      <c r="B6221" t="s">
        <v>29</v>
      </c>
      <c r="C6221" t="str">
        <f>_xlfn.XLOOKUP(B6221,
[1]sales_teams!$A$2:$A$100,
[1]sales_teams!$B$2:$B$100)</f>
        <v>Celia Rouche</v>
      </c>
      <c r="D6221" t="str">
        <f>_xlfn.XLOOKUP($B6221,sales_teams!$A$2:$A$36,sales_teams!C$2:C$36)</f>
        <v>West</v>
      </c>
      <c r="E6221" t="s">
        <v>39</v>
      </c>
      <c r="F6221" t="s">
        <v>49</v>
      </c>
      <c r="G6221" t="s">
        <v>12</v>
      </c>
      <c r="H6221" s="1">
        <v>42973</v>
      </c>
      <c r="I6221" s="1">
        <v>43043</v>
      </c>
      <c r="J6221">
        <v>3966</v>
      </c>
    </row>
    <row r="6222" spans="1:10" x14ac:dyDescent="0.3">
      <c r="A6222" t="s">
        <v>6353</v>
      </c>
      <c r="B6222" t="s">
        <v>73</v>
      </c>
      <c r="C6222" t="str">
        <f>_xlfn.XLOOKUP(B6222,
[1]sales_teams!$A$2:$A$100,
[1]sales_teams!$B$2:$B$100)</f>
        <v>Cara Losch</v>
      </c>
      <c r="D6222" t="str">
        <f>_xlfn.XLOOKUP($B6222,sales_teams!$A$2:$A$36,sales_teams!C$2:C$36)</f>
        <v>East</v>
      </c>
      <c r="E6222" t="s">
        <v>18</v>
      </c>
      <c r="F6222" t="s">
        <v>745</v>
      </c>
      <c r="G6222" t="s">
        <v>46</v>
      </c>
      <c r="H6222" s="1">
        <v>42973</v>
      </c>
      <c r="I6222" s="1">
        <v>42974</v>
      </c>
      <c r="J6222">
        <v>0</v>
      </c>
    </row>
    <row r="6223" spans="1:10" x14ac:dyDescent="0.3">
      <c r="A6223" t="s">
        <v>6354</v>
      </c>
      <c r="B6223" t="s">
        <v>102</v>
      </c>
      <c r="C6223" t="str">
        <f>_xlfn.XLOOKUP(B6223,
[1]sales_teams!$A$2:$A$100,
[1]sales_teams!$B$2:$B$100)</f>
        <v>Cara Losch</v>
      </c>
      <c r="D6223" t="str">
        <f>_xlfn.XLOOKUP($B6223,sales_teams!$A$2:$A$36,sales_teams!C$2:C$36)</f>
        <v>East</v>
      </c>
      <c r="E6223" t="s">
        <v>20</v>
      </c>
      <c r="F6223" t="s">
        <v>189</v>
      </c>
      <c r="G6223" t="s">
        <v>12</v>
      </c>
      <c r="H6223" s="1">
        <v>42973</v>
      </c>
      <c r="I6223" s="1">
        <v>43062</v>
      </c>
      <c r="J6223">
        <v>471</v>
      </c>
    </row>
    <row r="6224" spans="1:10" x14ac:dyDescent="0.3">
      <c r="A6224" t="s">
        <v>6355</v>
      </c>
      <c r="B6224" t="s">
        <v>23</v>
      </c>
      <c r="C6224" t="str">
        <f>_xlfn.XLOOKUP(B6224,
[1]sales_teams!$A$2:$A$100,
[1]sales_teams!$B$2:$B$100)</f>
        <v>Summer Sewald</v>
      </c>
      <c r="D6224" t="str">
        <f>_xlfn.XLOOKUP($B6224,sales_teams!$A$2:$A$36,sales_teams!C$2:C$36)</f>
        <v>West</v>
      </c>
      <c r="E6224" t="s">
        <v>15</v>
      </c>
      <c r="G6224" t="s">
        <v>40</v>
      </c>
      <c r="H6224" s="1">
        <v>42973</v>
      </c>
    </row>
    <row r="6225" spans="1:10" x14ac:dyDescent="0.3">
      <c r="A6225" t="s">
        <v>6356</v>
      </c>
      <c r="B6225" t="s">
        <v>26</v>
      </c>
      <c r="C6225" t="str">
        <f>_xlfn.XLOOKUP(B6225,
[1]sales_teams!$A$2:$A$100,
[1]sales_teams!$B$2:$B$100)</f>
        <v>Dustin Brinkmann</v>
      </c>
      <c r="D6225" t="str">
        <f>_xlfn.XLOOKUP($B6225,sales_teams!$A$2:$A$36,sales_teams!C$2:C$36)</f>
        <v>Central</v>
      </c>
      <c r="E6225" t="s">
        <v>20</v>
      </c>
      <c r="F6225" t="s">
        <v>11</v>
      </c>
      <c r="G6225" t="s">
        <v>12</v>
      </c>
      <c r="H6225" s="1">
        <v>42974</v>
      </c>
      <c r="I6225" s="1">
        <v>42983</v>
      </c>
      <c r="J6225">
        <v>597</v>
      </c>
    </row>
    <row r="6226" spans="1:10" x14ac:dyDescent="0.3">
      <c r="A6226" t="s">
        <v>6357</v>
      </c>
      <c r="B6226" t="s">
        <v>26</v>
      </c>
      <c r="C6226" t="str">
        <f>_xlfn.XLOOKUP(B6226,
[1]sales_teams!$A$2:$A$100,
[1]sales_teams!$B$2:$B$100)</f>
        <v>Dustin Brinkmann</v>
      </c>
      <c r="D6226" t="str">
        <f>_xlfn.XLOOKUP($B6226,sales_teams!$A$2:$A$36,sales_teams!C$2:C$36)</f>
        <v>Central</v>
      </c>
      <c r="E6226" t="s">
        <v>18</v>
      </c>
      <c r="F6226" t="s">
        <v>218</v>
      </c>
      <c r="G6226" t="s">
        <v>12</v>
      </c>
      <c r="H6226" s="1">
        <v>42974</v>
      </c>
      <c r="I6226" s="1">
        <v>43053</v>
      </c>
      <c r="J6226">
        <v>53</v>
      </c>
    </row>
    <row r="6227" spans="1:10" x14ac:dyDescent="0.3">
      <c r="A6227" t="s">
        <v>6358</v>
      </c>
      <c r="B6227" t="s">
        <v>26</v>
      </c>
      <c r="C6227" t="str">
        <f>_xlfn.XLOOKUP(B6227,
[1]sales_teams!$A$2:$A$100,
[1]sales_teams!$B$2:$B$100)</f>
        <v>Dustin Brinkmann</v>
      </c>
      <c r="D6227" t="str">
        <f>_xlfn.XLOOKUP($B6227,sales_teams!$A$2:$A$36,sales_teams!C$2:C$36)</f>
        <v>Central</v>
      </c>
      <c r="E6227" t="s">
        <v>18</v>
      </c>
      <c r="F6227" t="s">
        <v>197</v>
      </c>
      <c r="G6227" t="s">
        <v>12</v>
      </c>
      <c r="H6227" s="1">
        <v>42974</v>
      </c>
      <c r="I6227" s="1">
        <v>42991</v>
      </c>
      <c r="J6227">
        <v>59</v>
      </c>
    </row>
    <row r="6228" spans="1:10" x14ac:dyDescent="0.3">
      <c r="A6228" t="s">
        <v>6359</v>
      </c>
      <c r="B6228" t="s">
        <v>118</v>
      </c>
      <c r="C6228" t="str">
        <f>_xlfn.XLOOKUP(B6228,
[1]sales_teams!$A$2:$A$100,
[1]sales_teams!$B$2:$B$100)</f>
        <v>Rocco Neubert</v>
      </c>
      <c r="D6228" t="str">
        <f>_xlfn.XLOOKUP($B6228,sales_teams!$A$2:$A$36,sales_teams!C$2:C$36)</f>
        <v>East</v>
      </c>
      <c r="E6228" t="s">
        <v>10</v>
      </c>
      <c r="F6228" t="s">
        <v>159</v>
      </c>
      <c r="G6228" t="s">
        <v>40</v>
      </c>
      <c r="H6228" s="1">
        <v>42974</v>
      </c>
    </row>
    <row r="6229" spans="1:10" x14ac:dyDescent="0.3">
      <c r="A6229" t="s">
        <v>6360</v>
      </c>
      <c r="B6229" t="s">
        <v>118</v>
      </c>
      <c r="C6229" t="str">
        <f>_xlfn.XLOOKUP(B6229,
[1]sales_teams!$A$2:$A$100,
[1]sales_teams!$B$2:$B$100)</f>
        <v>Rocco Neubert</v>
      </c>
      <c r="D6229" t="str">
        <f>_xlfn.XLOOKUP($B6229,sales_teams!$A$2:$A$36,sales_teams!C$2:C$36)</f>
        <v>East</v>
      </c>
      <c r="E6229" t="s">
        <v>20</v>
      </c>
      <c r="F6229" t="s">
        <v>192</v>
      </c>
      <c r="G6229" t="s">
        <v>12</v>
      </c>
      <c r="H6229" s="1">
        <v>42974</v>
      </c>
      <c r="I6229" s="1">
        <v>43077</v>
      </c>
      <c r="J6229">
        <v>606</v>
      </c>
    </row>
    <row r="6230" spans="1:10" x14ac:dyDescent="0.3">
      <c r="A6230" t="s">
        <v>6361</v>
      </c>
      <c r="B6230" t="s">
        <v>164</v>
      </c>
      <c r="C6230" t="str">
        <f>_xlfn.XLOOKUP(B6230,
[1]sales_teams!$A$2:$A$100,
[1]sales_teams!$B$2:$B$100)</f>
        <v>Cara Losch</v>
      </c>
      <c r="D6230" t="str">
        <f>_xlfn.XLOOKUP($B6230,sales_teams!$A$2:$A$36,sales_teams!C$2:C$36)</f>
        <v>East</v>
      </c>
      <c r="E6230" t="s">
        <v>48</v>
      </c>
      <c r="F6230" t="s">
        <v>184</v>
      </c>
      <c r="G6230" t="s">
        <v>40</v>
      </c>
      <c r="H6230" s="1">
        <v>42974</v>
      </c>
    </row>
    <row r="6231" spans="1:10" x14ac:dyDescent="0.3">
      <c r="A6231" t="s">
        <v>6362</v>
      </c>
      <c r="B6231" t="s">
        <v>142</v>
      </c>
      <c r="C6231" t="str">
        <f>_xlfn.XLOOKUP(B6231,
[1]sales_teams!$A$2:$A$100,
[1]sales_teams!$B$2:$B$100)</f>
        <v>Rocco Neubert</v>
      </c>
      <c r="D6231" t="str">
        <f>_xlfn.XLOOKUP($B6231,sales_teams!$A$2:$A$36,sales_teams!C$2:C$36)</f>
        <v>East</v>
      </c>
      <c r="E6231" t="s">
        <v>10</v>
      </c>
      <c r="F6231" t="s">
        <v>155</v>
      </c>
      <c r="G6231" t="s">
        <v>46</v>
      </c>
      <c r="H6231" s="1">
        <v>42974</v>
      </c>
      <c r="I6231" s="1">
        <v>43059</v>
      </c>
      <c r="J6231">
        <v>0</v>
      </c>
    </row>
    <row r="6232" spans="1:10" x14ac:dyDescent="0.3">
      <c r="A6232" t="s">
        <v>6363</v>
      </c>
      <c r="B6232" t="s">
        <v>142</v>
      </c>
      <c r="C6232" t="str">
        <f>_xlfn.XLOOKUP(B6232,
[1]sales_teams!$A$2:$A$100,
[1]sales_teams!$B$2:$B$100)</f>
        <v>Rocco Neubert</v>
      </c>
      <c r="D6232" t="str">
        <f>_xlfn.XLOOKUP($B6232,sales_teams!$A$2:$A$36,sales_teams!C$2:C$36)</f>
        <v>East</v>
      </c>
      <c r="E6232" t="s">
        <v>15</v>
      </c>
      <c r="F6232" t="s">
        <v>89</v>
      </c>
      <c r="G6232" t="s">
        <v>12</v>
      </c>
      <c r="H6232" s="1">
        <v>42974</v>
      </c>
      <c r="I6232" s="1">
        <v>43064</v>
      </c>
      <c r="J6232">
        <v>5305</v>
      </c>
    </row>
    <row r="6233" spans="1:10" x14ac:dyDescent="0.3">
      <c r="A6233" t="s">
        <v>6364</v>
      </c>
      <c r="B6233" t="s">
        <v>54</v>
      </c>
      <c r="C6233" t="str">
        <f>_xlfn.XLOOKUP(B6233,
[1]sales_teams!$A$2:$A$100,
[1]sales_teams!$B$2:$B$100)</f>
        <v>Celia Rouche</v>
      </c>
      <c r="D6233" t="str">
        <f>_xlfn.XLOOKUP($B6233,sales_teams!$A$2:$A$36,sales_teams!C$2:C$36)</f>
        <v>West</v>
      </c>
      <c r="E6233" t="s">
        <v>10</v>
      </c>
      <c r="F6233" t="s">
        <v>79</v>
      </c>
      <c r="G6233" t="s">
        <v>46</v>
      </c>
      <c r="H6233" s="1">
        <v>42974</v>
      </c>
      <c r="I6233" s="1">
        <v>43041</v>
      </c>
      <c r="J6233">
        <v>0</v>
      </c>
    </row>
    <row r="6234" spans="1:10" x14ac:dyDescent="0.3">
      <c r="A6234" t="s">
        <v>6365</v>
      </c>
      <c r="B6234" t="s">
        <v>78</v>
      </c>
      <c r="C6234" t="str">
        <f>_xlfn.XLOOKUP(B6234,
[1]sales_teams!$A$2:$A$100,
[1]sales_teams!$B$2:$B$100)</f>
        <v>Summer Sewald</v>
      </c>
      <c r="D6234" t="str">
        <f>_xlfn.XLOOKUP($B6234,sales_teams!$A$2:$A$36,sales_teams!C$2:C$36)</f>
        <v>West</v>
      </c>
      <c r="E6234" t="s">
        <v>15</v>
      </c>
      <c r="G6234" t="s">
        <v>40</v>
      </c>
      <c r="H6234" s="1">
        <v>42974</v>
      </c>
    </row>
    <row r="6235" spans="1:10" x14ac:dyDescent="0.3">
      <c r="A6235" t="s">
        <v>6366</v>
      </c>
      <c r="B6235" t="s">
        <v>78</v>
      </c>
      <c r="C6235" t="str">
        <f>_xlfn.XLOOKUP(B6235,
[1]sales_teams!$A$2:$A$100,
[1]sales_teams!$B$2:$B$100)</f>
        <v>Summer Sewald</v>
      </c>
      <c r="D6235" t="str">
        <f>_xlfn.XLOOKUP($B6235,sales_teams!$A$2:$A$36,sales_teams!C$2:C$36)</f>
        <v>West</v>
      </c>
      <c r="E6235" t="s">
        <v>18</v>
      </c>
      <c r="G6235" t="s">
        <v>40</v>
      </c>
      <c r="H6235" s="1">
        <v>42974</v>
      </c>
    </row>
    <row r="6236" spans="1:10" x14ac:dyDescent="0.3">
      <c r="A6236" t="s">
        <v>6367</v>
      </c>
      <c r="B6236" t="s">
        <v>78</v>
      </c>
      <c r="C6236" t="str">
        <f>_xlfn.XLOOKUP(B6236,
[1]sales_teams!$A$2:$A$100,
[1]sales_teams!$B$2:$B$100)</f>
        <v>Summer Sewald</v>
      </c>
      <c r="D6236" t="str">
        <f>_xlfn.XLOOKUP($B6236,sales_teams!$A$2:$A$36,sales_teams!C$2:C$36)</f>
        <v>West</v>
      </c>
      <c r="E6236" t="s">
        <v>20</v>
      </c>
      <c r="F6236" t="s">
        <v>155</v>
      </c>
      <c r="G6236" t="s">
        <v>46</v>
      </c>
      <c r="H6236" s="1">
        <v>42974</v>
      </c>
      <c r="I6236" s="1">
        <v>43055</v>
      </c>
      <c r="J6236">
        <v>0</v>
      </c>
    </row>
    <row r="6237" spans="1:10" x14ac:dyDescent="0.3">
      <c r="A6237" t="s">
        <v>6368</v>
      </c>
      <c r="B6237" t="s">
        <v>78</v>
      </c>
      <c r="C6237" t="str">
        <f>_xlfn.XLOOKUP(B6237,
[1]sales_teams!$A$2:$A$100,
[1]sales_teams!$B$2:$B$100)</f>
        <v>Summer Sewald</v>
      </c>
      <c r="D6237" t="str">
        <f>_xlfn.XLOOKUP($B6237,sales_teams!$A$2:$A$36,sales_teams!C$2:C$36)</f>
        <v>West</v>
      </c>
      <c r="E6237" t="s">
        <v>20</v>
      </c>
      <c r="F6237" t="s">
        <v>100</v>
      </c>
      <c r="G6237" t="s">
        <v>12</v>
      </c>
      <c r="H6237" s="1">
        <v>42974</v>
      </c>
      <c r="I6237" s="1">
        <v>42987</v>
      </c>
      <c r="J6237">
        <v>596</v>
      </c>
    </row>
    <row r="6238" spans="1:10" x14ac:dyDescent="0.3">
      <c r="A6238" t="s">
        <v>6369</v>
      </c>
      <c r="B6238" t="s">
        <v>95</v>
      </c>
      <c r="C6238" t="str">
        <f>_xlfn.XLOOKUP(B6238,
[1]sales_teams!$A$2:$A$100,
[1]sales_teams!$B$2:$B$100)</f>
        <v>Summer Sewald</v>
      </c>
      <c r="D6238" t="str">
        <f>_xlfn.XLOOKUP($B6238,sales_teams!$A$2:$A$36,sales_teams!C$2:C$36)</f>
        <v>West</v>
      </c>
      <c r="E6238" t="s">
        <v>20</v>
      </c>
      <c r="F6238" t="s">
        <v>273</v>
      </c>
      <c r="G6238" t="s">
        <v>12</v>
      </c>
      <c r="H6238" s="1">
        <v>42974</v>
      </c>
      <c r="I6238" s="1">
        <v>43043</v>
      </c>
      <c r="J6238">
        <v>545</v>
      </c>
    </row>
    <row r="6239" spans="1:10" x14ac:dyDescent="0.3">
      <c r="A6239" t="s">
        <v>6370</v>
      </c>
      <c r="B6239" t="s">
        <v>32</v>
      </c>
      <c r="C6239" t="str">
        <f>_xlfn.XLOOKUP(B6239,
[1]sales_teams!$A$2:$A$100,
[1]sales_teams!$B$2:$B$100)</f>
        <v>Celia Rouche</v>
      </c>
      <c r="D6239" t="str">
        <f>_xlfn.XLOOKUP($B6239,sales_teams!$A$2:$A$36,sales_teams!C$2:C$36)</f>
        <v>West</v>
      </c>
      <c r="E6239" t="s">
        <v>20</v>
      </c>
      <c r="F6239" t="s">
        <v>86</v>
      </c>
      <c r="G6239" t="s">
        <v>12</v>
      </c>
      <c r="H6239" s="1">
        <v>42974</v>
      </c>
      <c r="I6239" s="1">
        <v>42976</v>
      </c>
      <c r="J6239">
        <v>548</v>
      </c>
    </row>
    <row r="6240" spans="1:10" x14ac:dyDescent="0.3">
      <c r="A6240" t="s">
        <v>6371</v>
      </c>
      <c r="B6240" t="s">
        <v>116</v>
      </c>
      <c r="C6240" t="str">
        <f>_xlfn.XLOOKUP(B6240,
[1]sales_teams!$A$2:$A$100,
[1]sales_teams!$B$2:$B$100)</f>
        <v>Melvin Marxen</v>
      </c>
      <c r="D6240" t="str">
        <f>_xlfn.XLOOKUP($B6240,sales_teams!$A$2:$A$36,sales_teams!C$2:C$36)</f>
        <v>Central</v>
      </c>
      <c r="E6240" t="s">
        <v>39</v>
      </c>
      <c r="F6240" t="s">
        <v>129</v>
      </c>
      <c r="G6240" t="s">
        <v>46</v>
      </c>
      <c r="H6240" s="1">
        <v>42974</v>
      </c>
      <c r="I6240" s="1">
        <v>43084</v>
      </c>
      <c r="J6240">
        <v>0</v>
      </c>
    </row>
    <row r="6241" spans="1:10" x14ac:dyDescent="0.3">
      <c r="A6241" t="s">
        <v>6372</v>
      </c>
      <c r="B6241" t="s">
        <v>97</v>
      </c>
      <c r="C6241" t="str">
        <f>_xlfn.XLOOKUP(B6241,
[1]sales_teams!$A$2:$A$100,
[1]sales_teams!$B$2:$B$100)</f>
        <v>Rocco Neubert</v>
      </c>
      <c r="D6241" t="str">
        <f>_xlfn.XLOOKUP($B6241,sales_teams!$A$2:$A$36,sales_teams!C$2:C$36)</f>
        <v>East</v>
      </c>
      <c r="E6241" t="s">
        <v>20</v>
      </c>
      <c r="F6241" t="s">
        <v>189</v>
      </c>
      <c r="G6241" t="s">
        <v>12</v>
      </c>
      <c r="H6241" s="1">
        <v>42974</v>
      </c>
      <c r="I6241" s="1">
        <v>42999</v>
      </c>
      <c r="J6241">
        <v>415</v>
      </c>
    </row>
    <row r="6242" spans="1:10" x14ac:dyDescent="0.3">
      <c r="A6242" t="s">
        <v>6373</v>
      </c>
      <c r="B6242" t="s">
        <v>29</v>
      </c>
      <c r="C6242" t="str">
        <f>_xlfn.XLOOKUP(B6242,
[1]sales_teams!$A$2:$A$100,
[1]sales_teams!$B$2:$B$100)</f>
        <v>Celia Rouche</v>
      </c>
      <c r="D6242" t="str">
        <f>_xlfn.XLOOKUP($B6242,sales_teams!$A$2:$A$36,sales_teams!C$2:C$36)</f>
        <v>West</v>
      </c>
      <c r="E6242" t="s">
        <v>15</v>
      </c>
      <c r="F6242" t="s">
        <v>273</v>
      </c>
      <c r="G6242" t="s">
        <v>12</v>
      </c>
      <c r="H6242" s="1">
        <v>42974</v>
      </c>
      <c r="I6242" s="1">
        <v>42975</v>
      </c>
      <c r="J6242">
        <v>3754</v>
      </c>
    </row>
    <row r="6243" spans="1:10" x14ac:dyDescent="0.3">
      <c r="A6243" t="s">
        <v>6374</v>
      </c>
      <c r="B6243" t="s">
        <v>23</v>
      </c>
      <c r="C6243" t="str">
        <f>_xlfn.XLOOKUP(B6243,
[1]sales_teams!$A$2:$A$100,
[1]sales_teams!$B$2:$B$100)</f>
        <v>Summer Sewald</v>
      </c>
      <c r="D6243" t="str">
        <f>_xlfn.XLOOKUP($B6243,sales_teams!$A$2:$A$36,sales_teams!C$2:C$36)</f>
        <v>West</v>
      </c>
      <c r="E6243" t="s">
        <v>20</v>
      </c>
      <c r="G6243" t="s">
        <v>40</v>
      </c>
      <c r="H6243" s="1">
        <v>42974</v>
      </c>
    </row>
    <row r="6244" spans="1:10" x14ac:dyDescent="0.3">
      <c r="A6244" t="s">
        <v>6375</v>
      </c>
      <c r="B6244" t="s">
        <v>23</v>
      </c>
      <c r="C6244" t="str">
        <f>_xlfn.XLOOKUP(B6244,
[1]sales_teams!$A$2:$A$100,
[1]sales_teams!$B$2:$B$100)</f>
        <v>Summer Sewald</v>
      </c>
      <c r="D6244" t="str">
        <f>_xlfn.XLOOKUP($B6244,sales_teams!$A$2:$A$36,sales_teams!C$2:C$36)</f>
        <v>West</v>
      </c>
      <c r="E6244" t="s">
        <v>20</v>
      </c>
      <c r="G6244" t="s">
        <v>40</v>
      </c>
      <c r="H6244" s="1">
        <v>42974</v>
      </c>
    </row>
    <row r="6245" spans="1:10" x14ac:dyDescent="0.3">
      <c r="A6245" t="s">
        <v>6376</v>
      </c>
      <c r="B6245" t="s">
        <v>23</v>
      </c>
      <c r="C6245" t="str">
        <f>_xlfn.XLOOKUP(B6245,
[1]sales_teams!$A$2:$A$100,
[1]sales_teams!$B$2:$B$100)</f>
        <v>Summer Sewald</v>
      </c>
      <c r="D6245" t="str">
        <f>_xlfn.XLOOKUP($B6245,sales_teams!$A$2:$A$36,sales_teams!C$2:C$36)</f>
        <v>West</v>
      </c>
      <c r="E6245" t="s">
        <v>20</v>
      </c>
      <c r="F6245" t="s">
        <v>168</v>
      </c>
      <c r="G6245" t="s">
        <v>12</v>
      </c>
      <c r="H6245" s="1">
        <v>42974</v>
      </c>
      <c r="I6245" s="1">
        <v>43068</v>
      </c>
      <c r="J6245">
        <v>498</v>
      </c>
    </row>
    <row r="6246" spans="1:10" x14ac:dyDescent="0.3">
      <c r="A6246" t="s">
        <v>6377</v>
      </c>
      <c r="B6246" t="s">
        <v>139</v>
      </c>
      <c r="C6246" t="str">
        <f>_xlfn.XLOOKUP(B6246,
[1]sales_teams!$A$2:$A$100,
[1]sales_teams!$B$2:$B$100)</f>
        <v>Rocco Neubert</v>
      </c>
      <c r="D6246" t="str">
        <f>_xlfn.XLOOKUP($B6246,sales_teams!$A$2:$A$36,sales_teams!C$2:C$36)</f>
        <v>East</v>
      </c>
      <c r="E6246" t="s">
        <v>20</v>
      </c>
      <c r="F6246" t="s">
        <v>218</v>
      </c>
      <c r="G6246" t="s">
        <v>12</v>
      </c>
      <c r="H6246" s="1">
        <v>42975</v>
      </c>
      <c r="I6246" s="1">
        <v>43090</v>
      </c>
      <c r="J6246">
        <v>489</v>
      </c>
    </row>
    <row r="6247" spans="1:10" x14ac:dyDescent="0.3">
      <c r="A6247" t="s">
        <v>6378</v>
      </c>
      <c r="B6247" t="s">
        <v>139</v>
      </c>
      <c r="C6247" t="str">
        <f>_xlfn.XLOOKUP(B6247,
[1]sales_teams!$A$2:$A$100,
[1]sales_teams!$B$2:$B$100)</f>
        <v>Rocco Neubert</v>
      </c>
      <c r="D6247" t="str">
        <f>_xlfn.XLOOKUP($B6247,sales_teams!$A$2:$A$36,sales_teams!C$2:C$36)</f>
        <v>East</v>
      </c>
      <c r="E6247" t="s">
        <v>10</v>
      </c>
      <c r="F6247" t="s">
        <v>177</v>
      </c>
      <c r="G6247" t="s">
        <v>12</v>
      </c>
      <c r="H6247" s="1">
        <v>42975</v>
      </c>
      <c r="I6247" s="1">
        <v>42983</v>
      </c>
      <c r="J6247">
        <v>1022</v>
      </c>
    </row>
    <row r="6248" spans="1:10" x14ac:dyDescent="0.3">
      <c r="A6248" t="s">
        <v>6379</v>
      </c>
      <c r="B6248" t="s">
        <v>164</v>
      </c>
      <c r="C6248" t="str">
        <f>_xlfn.XLOOKUP(B6248,
[1]sales_teams!$A$2:$A$100,
[1]sales_teams!$B$2:$B$100)</f>
        <v>Cara Losch</v>
      </c>
      <c r="D6248" t="str">
        <f>_xlfn.XLOOKUP($B6248,sales_teams!$A$2:$A$36,sales_teams!C$2:C$36)</f>
        <v>East</v>
      </c>
      <c r="E6248" t="s">
        <v>48</v>
      </c>
      <c r="F6248" t="s">
        <v>98</v>
      </c>
      <c r="G6248" t="s">
        <v>46</v>
      </c>
      <c r="H6248" s="1">
        <v>42975</v>
      </c>
      <c r="I6248" s="1">
        <v>43046</v>
      </c>
      <c r="J6248">
        <v>0</v>
      </c>
    </row>
    <row r="6249" spans="1:10" x14ac:dyDescent="0.3">
      <c r="A6249" t="s">
        <v>6380</v>
      </c>
      <c r="B6249" t="s">
        <v>14</v>
      </c>
      <c r="C6249" t="str">
        <f>_xlfn.XLOOKUP(B6249,
[1]sales_teams!$A$2:$A$100,
[1]sales_teams!$B$2:$B$100)</f>
        <v>Melvin Marxen</v>
      </c>
      <c r="D6249" t="str">
        <f>_xlfn.XLOOKUP($B6249,sales_teams!$A$2:$A$36,sales_teams!C$2:C$36)</f>
        <v>Central</v>
      </c>
      <c r="E6249" t="s">
        <v>20</v>
      </c>
      <c r="F6249" t="s">
        <v>11</v>
      </c>
      <c r="G6249" t="s">
        <v>12</v>
      </c>
      <c r="H6249" s="1">
        <v>42975</v>
      </c>
      <c r="I6249" s="1">
        <v>42989</v>
      </c>
      <c r="J6249">
        <v>525</v>
      </c>
    </row>
    <row r="6250" spans="1:10" x14ac:dyDescent="0.3">
      <c r="A6250" t="s">
        <v>6381</v>
      </c>
      <c r="B6250" t="s">
        <v>14</v>
      </c>
      <c r="C6250" t="str">
        <f>_xlfn.XLOOKUP(B6250,
[1]sales_teams!$A$2:$A$100,
[1]sales_teams!$B$2:$B$100)</f>
        <v>Melvin Marxen</v>
      </c>
      <c r="D6250" t="str">
        <f>_xlfn.XLOOKUP($B6250,sales_teams!$A$2:$A$36,sales_teams!C$2:C$36)</f>
        <v>Central</v>
      </c>
      <c r="E6250" t="s">
        <v>10</v>
      </c>
      <c r="F6250" t="s">
        <v>21</v>
      </c>
      <c r="G6250" t="s">
        <v>12</v>
      </c>
      <c r="H6250" s="1">
        <v>42975</v>
      </c>
      <c r="I6250" s="1">
        <v>42985</v>
      </c>
      <c r="J6250">
        <v>1252</v>
      </c>
    </row>
    <row r="6251" spans="1:10" x14ac:dyDescent="0.3">
      <c r="A6251" t="s">
        <v>6382</v>
      </c>
      <c r="B6251" t="s">
        <v>67</v>
      </c>
      <c r="C6251" t="str">
        <f>_xlfn.XLOOKUP(B6251,
[1]sales_teams!$A$2:$A$100,
[1]sales_teams!$B$2:$B$100)</f>
        <v>Celia Rouche</v>
      </c>
      <c r="D6251" t="str">
        <f>_xlfn.XLOOKUP($B6251,sales_teams!$A$2:$A$36,sales_teams!C$2:C$36)</f>
        <v>West</v>
      </c>
      <c r="E6251" t="s">
        <v>15</v>
      </c>
      <c r="G6251" t="s">
        <v>40</v>
      </c>
      <c r="H6251" s="1">
        <v>42975</v>
      </c>
    </row>
    <row r="6252" spans="1:10" x14ac:dyDescent="0.3">
      <c r="A6252" t="s">
        <v>6383</v>
      </c>
      <c r="B6252" t="s">
        <v>44</v>
      </c>
      <c r="C6252" t="str">
        <f>_xlfn.XLOOKUP(B6252,
[1]sales_teams!$A$2:$A$100,
[1]sales_teams!$B$2:$B$100)</f>
        <v>Melvin Marxen</v>
      </c>
      <c r="D6252" t="str">
        <f>_xlfn.XLOOKUP($B6252,sales_teams!$A$2:$A$36,sales_teams!C$2:C$36)</f>
        <v>Central</v>
      </c>
      <c r="E6252" t="s">
        <v>39</v>
      </c>
      <c r="F6252" t="s">
        <v>91</v>
      </c>
      <c r="G6252" t="s">
        <v>46</v>
      </c>
      <c r="H6252" s="1">
        <v>42975</v>
      </c>
      <c r="I6252" s="1">
        <v>43064</v>
      </c>
      <c r="J6252">
        <v>0</v>
      </c>
    </row>
    <row r="6253" spans="1:10" x14ac:dyDescent="0.3">
      <c r="A6253" t="s">
        <v>6384</v>
      </c>
      <c r="B6253" t="s">
        <v>44</v>
      </c>
      <c r="C6253" t="str">
        <f>_xlfn.XLOOKUP(B6253,
[1]sales_teams!$A$2:$A$100,
[1]sales_teams!$B$2:$B$100)</f>
        <v>Melvin Marxen</v>
      </c>
      <c r="D6253" t="str">
        <f>_xlfn.XLOOKUP($B6253,sales_teams!$A$2:$A$36,sales_teams!C$2:C$36)</f>
        <v>Central</v>
      </c>
      <c r="E6253" t="s">
        <v>18</v>
      </c>
      <c r="F6253" t="s">
        <v>120</v>
      </c>
      <c r="G6253" t="s">
        <v>12</v>
      </c>
      <c r="H6253" s="1">
        <v>42975</v>
      </c>
      <c r="I6253" s="1">
        <v>42989</v>
      </c>
      <c r="J6253">
        <v>63</v>
      </c>
    </row>
    <row r="6254" spans="1:10" x14ac:dyDescent="0.3">
      <c r="A6254" t="s">
        <v>6385</v>
      </c>
      <c r="B6254" t="s">
        <v>54</v>
      </c>
      <c r="C6254" t="str">
        <f>_xlfn.XLOOKUP(B6254,
[1]sales_teams!$A$2:$A$100,
[1]sales_teams!$B$2:$B$100)</f>
        <v>Celia Rouche</v>
      </c>
      <c r="D6254" t="str">
        <f>_xlfn.XLOOKUP($B6254,sales_teams!$A$2:$A$36,sales_teams!C$2:C$36)</f>
        <v>West</v>
      </c>
      <c r="E6254" t="s">
        <v>18</v>
      </c>
      <c r="F6254" t="s">
        <v>30</v>
      </c>
      <c r="G6254" t="s">
        <v>46</v>
      </c>
      <c r="H6254" s="1">
        <v>42975</v>
      </c>
      <c r="I6254" s="1">
        <v>43050</v>
      </c>
      <c r="J6254">
        <v>0</v>
      </c>
    </row>
    <row r="6255" spans="1:10" x14ac:dyDescent="0.3">
      <c r="A6255" t="s">
        <v>6386</v>
      </c>
      <c r="B6255" t="s">
        <v>78</v>
      </c>
      <c r="C6255" t="str">
        <f>_xlfn.XLOOKUP(B6255,
[1]sales_teams!$A$2:$A$100,
[1]sales_teams!$B$2:$B$100)</f>
        <v>Summer Sewald</v>
      </c>
      <c r="D6255" t="str">
        <f>_xlfn.XLOOKUP($B6255,sales_teams!$A$2:$A$36,sales_teams!C$2:C$36)</f>
        <v>West</v>
      </c>
      <c r="E6255" t="s">
        <v>20</v>
      </c>
      <c r="F6255" t="s">
        <v>79</v>
      </c>
      <c r="G6255" t="s">
        <v>12</v>
      </c>
      <c r="H6255" s="1">
        <v>42975</v>
      </c>
      <c r="I6255" s="1">
        <v>43097</v>
      </c>
      <c r="J6255">
        <v>474</v>
      </c>
    </row>
    <row r="6256" spans="1:10" x14ac:dyDescent="0.3">
      <c r="A6256" t="s">
        <v>6387</v>
      </c>
      <c r="B6256" t="s">
        <v>78</v>
      </c>
      <c r="C6256" t="str">
        <f>_xlfn.XLOOKUP(B6256,
[1]sales_teams!$A$2:$A$100,
[1]sales_teams!$B$2:$B$100)</f>
        <v>Summer Sewald</v>
      </c>
      <c r="D6256" t="str">
        <f>_xlfn.XLOOKUP($B6256,sales_teams!$A$2:$A$36,sales_teams!C$2:C$36)</f>
        <v>West</v>
      </c>
      <c r="E6256" t="s">
        <v>10</v>
      </c>
      <c r="F6256" t="s">
        <v>93</v>
      </c>
      <c r="G6256" t="s">
        <v>12</v>
      </c>
      <c r="H6256" s="1">
        <v>42975</v>
      </c>
      <c r="I6256" s="1">
        <v>43058</v>
      </c>
      <c r="J6256">
        <v>1132</v>
      </c>
    </row>
    <row r="6257" spans="1:10" x14ac:dyDescent="0.3">
      <c r="A6257" t="s">
        <v>6388</v>
      </c>
      <c r="B6257" t="s">
        <v>133</v>
      </c>
      <c r="C6257" t="str">
        <f>_xlfn.XLOOKUP(B6257,
[1]sales_teams!$A$2:$A$100,
[1]sales_teams!$B$2:$B$100)</f>
        <v>Dustin Brinkmann</v>
      </c>
      <c r="D6257" t="str">
        <f>_xlfn.XLOOKUP($B6257,sales_teams!$A$2:$A$36,sales_teams!C$2:C$36)</f>
        <v>Central</v>
      </c>
      <c r="E6257" t="s">
        <v>10</v>
      </c>
      <c r="F6257" t="s">
        <v>76</v>
      </c>
      <c r="G6257" t="s">
        <v>46</v>
      </c>
      <c r="H6257" s="1">
        <v>42975</v>
      </c>
      <c r="I6257" s="1">
        <v>42992</v>
      </c>
      <c r="J6257">
        <v>0</v>
      </c>
    </row>
    <row r="6258" spans="1:10" x14ac:dyDescent="0.3">
      <c r="A6258" t="s">
        <v>6389</v>
      </c>
      <c r="B6258" t="s">
        <v>133</v>
      </c>
      <c r="C6258" t="str">
        <f>_xlfn.XLOOKUP(B6258,
[1]sales_teams!$A$2:$A$100,
[1]sales_teams!$B$2:$B$100)</f>
        <v>Dustin Brinkmann</v>
      </c>
      <c r="D6258" t="str">
        <f>_xlfn.XLOOKUP($B6258,sales_teams!$A$2:$A$36,sales_teams!C$2:C$36)</f>
        <v>Central</v>
      </c>
      <c r="E6258" t="s">
        <v>10</v>
      </c>
      <c r="F6258" t="s">
        <v>91</v>
      </c>
      <c r="G6258" t="s">
        <v>12</v>
      </c>
      <c r="H6258" s="1">
        <v>42975</v>
      </c>
      <c r="I6258" s="1">
        <v>43051</v>
      </c>
      <c r="J6258">
        <v>1215</v>
      </c>
    </row>
    <row r="6259" spans="1:10" x14ac:dyDescent="0.3">
      <c r="A6259" t="s">
        <v>6390</v>
      </c>
      <c r="B6259" t="s">
        <v>32</v>
      </c>
      <c r="C6259" t="str">
        <f>_xlfn.XLOOKUP(B6259,
[1]sales_teams!$A$2:$A$100,
[1]sales_teams!$B$2:$B$100)</f>
        <v>Celia Rouche</v>
      </c>
      <c r="D6259" t="str">
        <f>_xlfn.XLOOKUP($B6259,sales_teams!$A$2:$A$36,sales_teams!C$2:C$36)</f>
        <v>West</v>
      </c>
      <c r="E6259" t="s">
        <v>10</v>
      </c>
      <c r="F6259" t="s">
        <v>155</v>
      </c>
      <c r="G6259" t="s">
        <v>12</v>
      </c>
      <c r="H6259" s="1">
        <v>42975</v>
      </c>
      <c r="I6259" s="1">
        <v>43005</v>
      </c>
      <c r="J6259">
        <v>1081</v>
      </c>
    </row>
    <row r="6260" spans="1:10" x14ac:dyDescent="0.3">
      <c r="A6260" t="s">
        <v>6391</v>
      </c>
      <c r="B6260" t="s">
        <v>32</v>
      </c>
      <c r="C6260" t="str">
        <f>_xlfn.XLOOKUP(B6260,
[1]sales_teams!$A$2:$A$100,
[1]sales_teams!$B$2:$B$100)</f>
        <v>Celia Rouche</v>
      </c>
      <c r="D6260" t="str">
        <f>_xlfn.XLOOKUP($B6260,sales_teams!$A$2:$A$36,sales_teams!C$2:C$36)</f>
        <v>West</v>
      </c>
      <c r="E6260" t="s">
        <v>18</v>
      </c>
      <c r="F6260" t="s">
        <v>52</v>
      </c>
      <c r="G6260" t="s">
        <v>12</v>
      </c>
      <c r="H6260" s="1">
        <v>42975</v>
      </c>
      <c r="I6260" s="1">
        <v>43046</v>
      </c>
      <c r="J6260">
        <v>49</v>
      </c>
    </row>
    <row r="6261" spans="1:10" x14ac:dyDescent="0.3">
      <c r="A6261" t="s">
        <v>6392</v>
      </c>
      <c r="B6261" t="s">
        <v>51</v>
      </c>
      <c r="C6261" t="str">
        <f>_xlfn.XLOOKUP(B6261,
[1]sales_teams!$A$2:$A$100,
[1]sales_teams!$B$2:$B$100)</f>
        <v>Summer Sewald</v>
      </c>
      <c r="D6261" t="str">
        <f>_xlfn.XLOOKUP($B6261,sales_teams!$A$2:$A$36,sales_teams!C$2:C$36)</f>
        <v>West</v>
      </c>
      <c r="E6261" t="s">
        <v>20</v>
      </c>
      <c r="F6261" t="s">
        <v>315</v>
      </c>
      <c r="G6261" t="s">
        <v>12</v>
      </c>
      <c r="H6261" s="1">
        <v>42975</v>
      </c>
      <c r="I6261" s="1">
        <v>42992</v>
      </c>
      <c r="J6261">
        <v>653</v>
      </c>
    </row>
    <row r="6262" spans="1:10" x14ac:dyDescent="0.3">
      <c r="A6262" t="s">
        <v>6393</v>
      </c>
      <c r="B6262" t="s">
        <v>9</v>
      </c>
      <c r="C6262" t="str">
        <f>_xlfn.XLOOKUP(B6262,
[1]sales_teams!$A$2:$A$100,
[1]sales_teams!$B$2:$B$100)</f>
        <v>Dustin Brinkmann</v>
      </c>
      <c r="D6262" t="str">
        <f>_xlfn.XLOOKUP($B6262,sales_teams!$A$2:$A$36,sales_teams!C$2:C$36)</f>
        <v>Central</v>
      </c>
      <c r="E6262" t="s">
        <v>10</v>
      </c>
      <c r="F6262" t="s">
        <v>126</v>
      </c>
      <c r="G6262" t="s">
        <v>46</v>
      </c>
      <c r="H6262" s="1">
        <v>42975</v>
      </c>
      <c r="I6262" s="1">
        <v>43069</v>
      </c>
      <c r="J6262">
        <v>0</v>
      </c>
    </row>
    <row r="6263" spans="1:10" x14ac:dyDescent="0.3">
      <c r="A6263" t="s">
        <v>6394</v>
      </c>
      <c r="B6263" t="s">
        <v>9</v>
      </c>
      <c r="C6263" t="str">
        <f>_xlfn.XLOOKUP(B6263,
[1]sales_teams!$A$2:$A$100,
[1]sales_teams!$B$2:$B$100)</f>
        <v>Dustin Brinkmann</v>
      </c>
      <c r="D6263" t="str">
        <f>_xlfn.XLOOKUP($B6263,sales_teams!$A$2:$A$36,sales_teams!C$2:C$36)</f>
        <v>Central</v>
      </c>
      <c r="E6263" t="s">
        <v>39</v>
      </c>
      <c r="F6263" t="s">
        <v>45</v>
      </c>
      <c r="G6263" t="s">
        <v>46</v>
      </c>
      <c r="H6263" s="1">
        <v>42975</v>
      </c>
      <c r="I6263" s="1">
        <v>43066</v>
      </c>
      <c r="J6263">
        <v>0</v>
      </c>
    </row>
    <row r="6264" spans="1:10" x14ac:dyDescent="0.3">
      <c r="A6264" t="s">
        <v>6395</v>
      </c>
      <c r="B6264" t="s">
        <v>35</v>
      </c>
      <c r="C6264" t="str">
        <f>_xlfn.XLOOKUP(B6264,
[1]sales_teams!$A$2:$A$100,
[1]sales_teams!$B$2:$B$100)</f>
        <v>Melvin Marxen</v>
      </c>
      <c r="D6264" t="str">
        <f>_xlfn.XLOOKUP($B6264,sales_teams!$A$2:$A$36,sales_teams!C$2:C$36)</f>
        <v>Central</v>
      </c>
      <c r="E6264" t="s">
        <v>10</v>
      </c>
      <c r="F6264" t="s">
        <v>126</v>
      </c>
      <c r="G6264" t="s">
        <v>12</v>
      </c>
      <c r="H6264" s="1">
        <v>42975</v>
      </c>
      <c r="I6264" s="1">
        <v>42991</v>
      </c>
      <c r="J6264">
        <v>1105</v>
      </c>
    </row>
    <row r="6265" spans="1:10" x14ac:dyDescent="0.3">
      <c r="A6265" t="s">
        <v>6396</v>
      </c>
      <c r="B6265" t="s">
        <v>97</v>
      </c>
      <c r="C6265" t="str">
        <f>_xlfn.XLOOKUP(B6265,
[1]sales_teams!$A$2:$A$100,
[1]sales_teams!$B$2:$B$100)</f>
        <v>Rocco Neubert</v>
      </c>
      <c r="D6265" t="str">
        <f>_xlfn.XLOOKUP($B6265,sales_teams!$A$2:$A$36,sales_teams!C$2:C$36)</f>
        <v>East</v>
      </c>
      <c r="E6265" t="s">
        <v>10</v>
      </c>
      <c r="F6265" t="s">
        <v>103</v>
      </c>
      <c r="G6265" t="s">
        <v>12</v>
      </c>
      <c r="H6265" s="1">
        <v>42975</v>
      </c>
      <c r="I6265" s="1">
        <v>42999</v>
      </c>
      <c r="J6265">
        <v>948</v>
      </c>
    </row>
    <row r="6266" spans="1:10" x14ac:dyDescent="0.3">
      <c r="A6266" t="s">
        <v>6397</v>
      </c>
      <c r="B6266" t="s">
        <v>29</v>
      </c>
      <c r="C6266" t="str">
        <f>_xlfn.XLOOKUP(B6266,
[1]sales_teams!$A$2:$A$100,
[1]sales_teams!$B$2:$B$100)</f>
        <v>Celia Rouche</v>
      </c>
      <c r="D6266" t="str">
        <f>_xlfn.XLOOKUP($B6266,sales_teams!$A$2:$A$36,sales_teams!C$2:C$36)</f>
        <v>West</v>
      </c>
      <c r="E6266" t="s">
        <v>39</v>
      </c>
      <c r="F6266" t="s">
        <v>79</v>
      </c>
      <c r="G6266" t="s">
        <v>46</v>
      </c>
      <c r="H6266" s="1">
        <v>42975</v>
      </c>
      <c r="I6266" s="1">
        <v>42988</v>
      </c>
      <c r="J6266">
        <v>0</v>
      </c>
    </row>
    <row r="6267" spans="1:10" x14ac:dyDescent="0.3">
      <c r="A6267" t="s">
        <v>6398</v>
      </c>
      <c r="B6267" t="s">
        <v>73</v>
      </c>
      <c r="C6267" t="str">
        <f>_xlfn.XLOOKUP(B6267,
[1]sales_teams!$A$2:$A$100,
[1]sales_teams!$B$2:$B$100)</f>
        <v>Cara Losch</v>
      </c>
      <c r="D6267" t="str">
        <f>_xlfn.XLOOKUP($B6267,sales_teams!$A$2:$A$36,sales_teams!C$2:C$36)</f>
        <v>East</v>
      </c>
      <c r="E6267" t="s">
        <v>18</v>
      </c>
      <c r="F6267" t="s">
        <v>745</v>
      </c>
      <c r="G6267" t="s">
        <v>46</v>
      </c>
      <c r="H6267" s="1">
        <v>42975</v>
      </c>
      <c r="I6267" s="1">
        <v>43050</v>
      </c>
      <c r="J6267">
        <v>0</v>
      </c>
    </row>
    <row r="6268" spans="1:10" x14ac:dyDescent="0.3">
      <c r="A6268" t="s">
        <v>6399</v>
      </c>
      <c r="B6268" t="s">
        <v>26</v>
      </c>
      <c r="C6268" t="str">
        <f>_xlfn.XLOOKUP(B6268,
[1]sales_teams!$A$2:$A$100,
[1]sales_teams!$B$2:$B$100)</f>
        <v>Dustin Brinkmann</v>
      </c>
      <c r="D6268" t="str">
        <f>_xlfn.XLOOKUP($B6268,sales_teams!$A$2:$A$36,sales_teams!C$2:C$36)</f>
        <v>Central</v>
      </c>
      <c r="E6268" t="s">
        <v>10</v>
      </c>
      <c r="F6268" t="s">
        <v>492</v>
      </c>
      <c r="G6268" t="s">
        <v>46</v>
      </c>
      <c r="H6268" s="1">
        <v>42976</v>
      </c>
      <c r="I6268" s="1">
        <v>42983</v>
      </c>
      <c r="J6268">
        <v>0</v>
      </c>
    </row>
    <row r="6269" spans="1:10" x14ac:dyDescent="0.3">
      <c r="A6269" t="s">
        <v>6400</v>
      </c>
      <c r="B6269" t="s">
        <v>26</v>
      </c>
      <c r="C6269" t="str">
        <f>_xlfn.XLOOKUP(B6269,
[1]sales_teams!$A$2:$A$100,
[1]sales_teams!$B$2:$B$100)</f>
        <v>Dustin Brinkmann</v>
      </c>
      <c r="D6269" t="str">
        <f>_xlfn.XLOOKUP($B6269,sales_teams!$A$2:$A$36,sales_teams!C$2:C$36)</f>
        <v>Central</v>
      </c>
      <c r="E6269" t="s">
        <v>18</v>
      </c>
      <c r="F6269" t="s">
        <v>109</v>
      </c>
      <c r="G6269" t="s">
        <v>12</v>
      </c>
      <c r="H6269" s="1">
        <v>42976</v>
      </c>
      <c r="I6269" s="1">
        <v>43072</v>
      </c>
      <c r="J6269">
        <v>44</v>
      </c>
    </row>
    <row r="6270" spans="1:10" x14ac:dyDescent="0.3">
      <c r="A6270" t="s">
        <v>6401</v>
      </c>
      <c r="B6270" t="s">
        <v>118</v>
      </c>
      <c r="C6270" t="str">
        <f>_xlfn.XLOOKUP(B6270,
[1]sales_teams!$A$2:$A$100,
[1]sales_teams!$B$2:$B$100)</f>
        <v>Rocco Neubert</v>
      </c>
      <c r="D6270" t="str">
        <f>_xlfn.XLOOKUP($B6270,sales_teams!$A$2:$A$36,sales_teams!C$2:C$36)</f>
        <v>East</v>
      </c>
      <c r="E6270" t="s">
        <v>10</v>
      </c>
      <c r="F6270" t="s">
        <v>68</v>
      </c>
      <c r="G6270" t="s">
        <v>40</v>
      </c>
      <c r="H6270" s="1">
        <v>42976</v>
      </c>
    </row>
    <row r="6271" spans="1:10" x14ac:dyDescent="0.3">
      <c r="A6271" t="s">
        <v>6402</v>
      </c>
      <c r="B6271" t="s">
        <v>118</v>
      </c>
      <c r="C6271" t="str">
        <f>_xlfn.XLOOKUP(B6271,
[1]sales_teams!$A$2:$A$100,
[1]sales_teams!$B$2:$B$100)</f>
        <v>Rocco Neubert</v>
      </c>
      <c r="D6271" t="str">
        <f>_xlfn.XLOOKUP($B6271,sales_teams!$A$2:$A$36,sales_teams!C$2:C$36)</f>
        <v>East</v>
      </c>
      <c r="E6271" t="s">
        <v>15</v>
      </c>
      <c r="F6271" t="s">
        <v>140</v>
      </c>
      <c r="G6271" t="s">
        <v>12</v>
      </c>
      <c r="H6271" s="1">
        <v>42976</v>
      </c>
      <c r="I6271" s="1">
        <v>43054</v>
      </c>
      <c r="J6271">
        <v>4343</v>
      </c>
    </row>
    <row r="6272" spans="1:10" x14ac:dyDescent="0.3">
      <c r="A6272" t="s">
        <v>6403</v>
      </c>
      <c r="B6272" t="s">
        <v>202</v>
      </c>
      <c r="C6272" t="str">
        <f>_xlfn.XLOOKUP(B6272,
[1]sales_teams!$A$2:$A$100,
[1]sales_teams!$B$2:$B$100)</f>
        <v>Dustin Brinkmann</v>
      </c>
      <c r="D6272" t="str">
        <f>_xlfn.XLOOKUP($B6272,sales_teams!$A$2:$A$36,sales_teams!C$2:C$36)</f>
        <v>Central</v>
      </c>
      <c r="E6272" t="s">
        <v>48</v>
      </c>
      <c r="F6272" t="s">
        <v>62</v>
      </c>
      <c r="G6272" t="s">
        <v>12</v>
      </c>
      <c r="H6272" s="1">
        <v>42976</v>
      </c>
      <c r="I6272" s="1">
        <v>42991</v>
      </c>
      <c r="J6272">
        <v>5096</v>
      </c>
    </row>
    <row r="6273" spans="1:10" x14ac:dyDescent="0.3">
      <c r="A6273" t="s">
        <v>6404</v>
      </c>
      <c r="B6273" t="s">
        <v>202</v>
      </c>
      <c r="C6273" t="str">
        <f>_xlfn.XLOOKUP(B6273,
[1]sales_teams!$A$2:$A$100,
[1]sales_teams!$B$2:$B$100)</f>
        <v>Dustin Brinkmann</v>
      </c>
      <c r="D6273" t="str">
        <f>_xlfn.XLOOKUP($B6273,sales_teams!$A$2:$A$36,sales_teams!C$2:C$36)</f>
        <v>Central</v>
      </c>
      <c r="E6273" t="s">
        <v>48</v>
      </c>
      <c r="F6273" t="s">
        <v>76</v>
      </c>
      <c r="G6273" t="s">
        <v>12</v>
      </c>
      <c r="H6273" s="1">
        <v>42976</v>
      </c>
      <c r="I6273" s="1">
        <v>43008</v>
      </c>
      <c r="J6273">
        <v>4994</v>
      </c>
    </row>
    <row r="6274" spans="1:10" x14ac:dyDescent="0.3">
      <c r="A6274" t="s">
        <v>6405</v>
      </c>
      <c r="B6274" t="s">
        <v>164</v>
      </c>
      <c r="C6274" t="str">
        <f>_xlfn.XLOOKUP(B6274,
[1]sales_teams!$A$2:$A$100,
[1]sales_teams!$B$2:$B$100)</f>
        <v>Cara Losch</v>
      </c>
      <c r="D6274" t="str">
        <f>_xlfn.XLOOKUP($B6274,sales_teams!$A$2:$A$36,sales_teams!C$2:C$36)</f>
        <v>East</v>
      </c>
      <c r="E6274" t="s">
        <v>10</v>
      </c>
      <c r="F6274" t="s">
        <v>209</v>
      </c>
      <c r="G6274" t="s">
        <v>12</v>
      </c>
      <c r="H6274" s="1">
        <v>42976</v>
      </c>
      <c r="I6274" s="1">
        <v>43070</v>
      </c>
      <c r="J6274">
        <v>1251</v>
      </c>
    </row>
    <row r="6275" spans="1:10" x14ac:dyDescent="0.3">
      <c r="A6275" t="s">
        <v>6406</v>
      </c>
      <c r="B6275" t="s">
        <v>142</v>
      </c>
      <c r="C6275" t="str">
        <f>_xlfn.XLOOKUP(B6275,
[1]sales_teams!$A$2:$A$100,
[1]sales_teams!$B$2:$B$100)</f>
        <v>Rocco Neubert</v>
      </c>
      <c r="D6275" t="str">
        <f>_xlfn.XLOOKUP($B6275,sales_teams!$A$2:$A$36,sales_teams!C$2:C$36)</f>
        <v>East</v>
      </c>
      <c r="E6275" t="s">
        <v>20</v>
      </c>
      <c r="F6275" t="s">
        <v>237</v>
      </c>
      <c r="G6275" t="s">
        <v>12</v>
      </c>
      <c r="H6275" s="1">
        <v>42976</v>
      </c>
      <c r="I6275" s="1">
        <v>43050</v>
      </c>
      <c r="J6275">
        <v>602</v>
      </c>
    </row>
    <row r="6276" spans="1:10" x14ac:dyDescent="0.3">
      <c r="A6276" t="s">
        <v>6407</v>
      </c>
      <c r="B6276" t="s">
        <v>142</v>
      </c>
      <c r="C6276" t="str">
        <f>_xlfn.XLOOKUP(B6276,
[1]sales_teams!$A$2:$A$100,
[1]sales_teams!$B$2:$B$100)</f>
        <v>Rocco Neubert</v>
      </c>
      <c r="D6276" t="str">
        <f>_xlfn.XLOOKUP($B6276,sales_teams!$A$2:$A$36,sales_teams!C$2:C$36)</f>
        <v>East</v>
      </c>
      <c r="E6276" t="s">
        <v>20</v>
      </c>
      <c r="F6276" t="s">
        <v>329</v>
      </c>
      <c r="G6276" t="s">
        <v>12</v>
      </c>
      <c r="H6276" s="1">
        <v>42976</v>
      </c>
      <c r="I6276" s="1">
        <v>42986</v>
      </c>
      <c r="J6276">
        <v>600</v>
      </c>
    </row>
    <row r="6277" spans="1:10" x14ac:dyDescent="0.3">
      <c r="A6277" t="s">
        <v>6408</v>
      </c>
      <c r="B6277" t="s">
        <v>142</v>
      </c>
      <c r="C6277" t="str">
        <f>_xlfn.XLOOKUP(B6277,
[1]sales_teams!$A$2:$A$100,
[1]sales_teams!$B$2:$B$100)</f>
        <v>Rocco Neubert</v>
      </c>
      <c r="D6277" t="str">
        <f>_xlfn.XLOOKUP($B6277,sales_teams!$A$2:$A$36,sales_teams!C$2:C$36)</f>
        <v>East</v>
      </c>
      <c r="E6277" t="s">
        <v>20</v>
      </c>
      <c r="F6277" t="s">
        <v>278</v>
      </c>
      <c r="G6277" t="s">
        <v>12</v>
      </c>
      <c r="H6277" s="1">
        <v>42976</v>
      </c>
      <c r="I6277" s="1">
        <v>42987</v>
      </c>
      <c r="J6277">
        <v>595</v>
      </c>
    </row>
    <row r="6278" spans="1:10" x14ac:dyDescent="0.3">
      <c r="A6278" t="s">
        <v>6409</v>
      </c>
      <c r="B6278" t="s">
        <v>67</v>
      </c>
      <c r="C6278" t="str">
        <f>_xlfn.XLOOKUP(B6278,
[1]sales_teams!$A$2:$A$100,
[1]sales_teams!$B$2:$B$100)</f>
        <v>Celia Rouche</v>
      </c>
      <c r="D6278" t="str">
        <f>_xlfn.XLOOKUP($B6278,sales_teams!$A$2:$A$36,sales_teams!C$2:C$36)</f>
        <v>West</v>
      </c>
      <c r="E6278" t="s">
        <v>18</v>
      </c>
      <c r="F6278" t="s">
        <v>52</v>
      </c>
      <c r="G6278" t="s">
        <v>46</v>
      </c>
      <c r="H6278" s="1">
        <v>42976</v>
      </c>
      <c r="I6278" s="1">
        <v>43064</v>
      </c>
      <c r="J6278">
        <v>0</v>
      </c>
    </row>
    <row r="6279" spans="1:10" x14ac:dyDescent="0.3">
      <c r="A6279" t="s">
        <v>6410</v>
      </c>
      <c r="B6279" t="s">
        <v>44</v>
      </c>
      <c r="C6279" t="str">
        <f>_xlfn.XLOOKUP(B6279,
[1]sales_teams!$A$2:$A$100,
[1]sales_teams!$B$2:$B$100)</f>
        <v>Melvin Marxen</v>
      </c>
      <c r="D6279" t="str">
        <f>_xlfn.XLOOKUP($B6279,sales_teams!$A$2:$A$36,sales_teams!C$2:C$36)</f>
        <v>Central</v>
      </c>
      <c r="E6279" t="s">
        <v>15</v>
      </c>
      <c r="F6279" t="s">
        <v>21</v>
      </c>
      <c r="G6279" t="s">
        <v>46</v>
      </c>
      <c r="H6279" s="1">
        <v>42976</v>
      </c>
      <c r="I6279" s="1">
        <v>43040</v>
      </c>
      <c r="J6279">
        <v>0</v>
      </c>
    </row>
    <row r="6280" spans="1:10" x14ac:dyDescent="0.3">
      <c r="A6280" t="s">
        <v>6411</v>
      </c>
      <c r="B6280" t="s">
        <v>54</v>
      </c>
      <c r="C6280" t="str">
        <f>_xlfn.XLOOKUP(B6280,
[1]sales_teams!$A$2:$A$100,
[1]sales_teams!$B$2:$B$100)</f>
        <v>Celia Rouche</v>
      </c>
      <c r="D6280" t="str">
        <f>_xlfn.XLOOKUP($B6280,sales_teams!$A$2:$A$36,sales_teams!C$2:C$36)</f>
        <v>West</v>
      </c>
      <c r="E6280" t="s">
        <v>39</v>
      </c>
      <c r="F6280" t="s">
        <v>315</v>
      </c>
      <c r="G6280" t="s">
        <v>12</v>
      </c>
      <c r="H6280" s="1">
        <v>42976</v>
      </c>
      <c r="I6280" s="1">
        <v>43100</v>
      </c>
      <c r="J6280">
        <v>3064</v>
      </c>
    </row>
    <row r="6281" spans="1:10" x14ac:dyDescent="0.3">
      <c r="A6281" t="s">
        <v>6412</v>
      </c>
      <c r="B6281" t="s">
        <v>32</v>
      </c>
      <c r="C6281" t="str">
        <f>_xlfn.XLOOKUP(B6281,
[1]sales_teams!$A$2:$A$100,
[1]sales_teams!$B$2:$B$100)</f>
        <v>Celia Rouche</v>
      </c>
      <c r="D6281" t="str">
        <f>_xlfn.XLOOKUP($B6281,sales_teams!$A$2:$A$36,sales_teams!C$2:C$36)</f>
        <v>West</v>
      </c>
      <c r="E6281" t="s">
        <v>39</v>
      </c>
      <c r="F6281" t="s">
        <v>518</v>
      </c>
      <c r="G6281" t="s">
        <v>40</v>
      </c>
      <c r="H6281" s="1">
        <v>42976</v>
      </c>
    </row>
    <row r="6282" spans="1:10" x14ac:dyDescent="0.3">
      <c r="A6282" t="s">
        <v>6413</v>
      </c>
      <c r="B6282" t="s">
        <v>9</v>
      </c>
      <c r="C6282" t="str">
        <f>_xlfn.XLOOKUP(B6282,
[1]sales_teams!$A$2:$A$100,
[1]sales_teams!$B$2:$B$100)</f>
        <v>Dustin Brinkmann</v>
      </c>
      <c r="D6282" t="str">
        <f>_xlfn.XLOOKUP($B6282,sales_teams!$A$2:$A$36,sales_teams!C$2:C$36)</f>
        <v>Central</v>
      </c>
      <c r="E6282" t="s">
        <v>18</v>
      </c>
      <c r="F6282" t="s">
        <v>27</v>
      </c>
      <c r="G6282" t="s">
        <v>46</v>
      </c>
      <c r="H6282" s="1">
        <v>42976</v>
      </c>
      <c r="I6282" s="1">
        <v>43055</v>
      </c>
      <c r="J6282">
        <v>0</v>
      </c>
    </row>
    <row r="6283" spans="1:10" x14ac:dyDescent="0.3">
      <c r="A6283" t="s">
        <v>6414</v>
      </c>
      <c r="B6283" t="s">
        <v>35</v>
      </c>
      <c r="C6283" t="str">
        <f>_xlfn.XLOOKUP(B6283,
[1]sales_teams!$A$2:$A$100,
[1]sales_teams!$B$2:$B$100)</f>
        <v>Melvin Marxen</v>
      </c>
      <c r="D6283" t="str">
        <f>_xlfn.XLOOKUP($B6283,sales_teams!$A$2:$A$36,sales_teams!C$2:C$36)</f>
        <v>Central</v>
      </c>
      <c r="E6283" t="s">
        <v>39</v>
      </c>
      <c r="F6283" t="s">
        <v>36</v>
      </c>
      <c r="G6283" t="s">
        <v>46</v>
      </c>
      <c r="H6283" s="1">
        <v>42976</v>
      </c>
      <c r="I6283" s="1">
        <v>43067</v>
      </c>
      <c r="J6283">
        <v>0</v>
      </c>
    </row>
    <row r="6284" spans="1:10" x14ac:dyDescent="0.3">
      <c r="A6284" t="s">
        <v>6415</v>
      </c>
      <c r="B6284" t="s">
        <v>97</v>
      </c>
      <c r="C6284" t="str">
        <f>_xlfn.XLOOKUP(B6284,
[1]sales_teams!$A$2:$A$100,
[1]sales_teams!$B$2:$B$100)</f>
        <v>Rocco Neubert</v>
      </c>
      <c r="D6284" t="str">
        <f>_xlfn.XLOOKUP($B6284,sales_teams!$A$2:$A$36,sales_teams!C$2:C$36)</f>
        <v>East</v>
      </c>
      <c r="E6284" t="s">
        <v>48</v>
      </c>
      <c r="F6284" t="s">
        <v>98</v>
      </c>
      <c r="G6284" t="s">
        <v>12</v>
      </c>
      <c r="H6284" s="1">
        <v>42976</v>
      </c>
      <c r="I6284" s="1">
        <v>43094</v>
      </c>
      <c r="J6284">
        <v>5790</v>
      </c>
    </row>
    <row r="6285" spans="1:10" x14ac:dyDescent="0.3">
      <c r="A6285" t="s">
        <v>6416</v>
      </c>
      <c r="B6285" t="s">
        <v>88</v>
      </c>
      <c r="C6285" t="str">
        <f>_xlfn.XLOOKUP(B6285,
[1]sales_teams!$A$2:$A$100,
[1]sales_teams!$B$2:$B$100)</f>
        <v>Cara Losch</v>
      </c>
      <c r="D6285" t="str">
        <f>_xlfn.XLOOKUP($B6285,sales_teams!$A$2:$A$36,sales_teams!C$2:C$36)</f>
        <v>East</v>
      </c>
      <c r="E6285" t="s">
        <v>15</v>
      </c>
      <c r="F6285" t="s">
        <v>74</v>
      </c>
      <c r="G6285" t="s">
        <v>12</v>
      </c>
      <c r="H6285" s="1">
        <v>42976</v>
      </c>
      <c r="I6285" s="1">
        <v>42983</v>
      </c>
      <c r="J6285">
        <v>5688</v>
      </c>
    </row>
    <row r="6286" spans="1:10" x14ac:dyDescent="0.3">
      <c r="A6286" t="s">
        <v>6417</v>
      </c>
      <c r="B6286" t="s">
        <v>61</v>
      </c>
      <c r="C6286" t="str">
        <f>_xlfn.XLOOKUP(B6286,
[1]sales_teams!$A$2:$A$100,
[1]sales_teams!$B$2:$B$100)</f>
        <v>Dustin Brinkmann</v>
      </c>
      <c r="D6286" t="str">
        <f>_xlfn.XLOOKUP($B6286,sales_teams!$A$2:$A$36,sales_teams!C$2:C$36)</f>
        <v>Central</v>
      </c>
      <c r="E6286" t="s">
        <v>20</v>
      </c>
      <c r="F6286" t="s">
        <v>11</v>
      </c>
      <c r="G6286" t="s">
        <v>12</v>
      </c>
      <c r="H6286" s="1">
        <v>42976</v>
      </c>
      <c r="I6286" s="1">
        <v>43041</v>
      </c>
      <c r="J6286">
        <v>672</v>
      </c>
    </row>
    <row r="6287" spans="1:10" x14ac:dyDescent="0.3">
      <c r="A6287" t="s">
        <v>6418</v>
      </c>
      <c r="B6287" t="s">
        <v>61</v>
      </c>
      <c r="C6287" t="str">
        <f>_xlfn.XLOOKUP(B6287,
[1]sales_teams!$A$2:$A$100,
[1]sales_teams!$B$2:$B$100)</f>
        <v>Dustin Brinkmann</v>
      </c>
      <c r="D6287" t="str">
        <f>_xlfn.XLOOKUP($B6287,sales_teams!$A$2:$A$36,sales_teams!C$2:C$36)</f>
        <v>Central</v>
      </c>
      <c r="E6287" t="s">
        <v>18</v>
      </c>
      <c r="F6287" t="s">
        <v>42</v>
      </c>
      <c r="G6287" t="s">
        <v>12</v>
      </c>
      <c r="H6287" s="1">
        <v>42976</v>
      </c>
      <c r="I6287" s="1">
        <v>43077</v>
      </c>
      <c r="J6287">
        <v>62</v>
      </c>
    </row>
    <row r="6288" spans="1:10" x14ac:dyDescent="0.3">
      <c r="A6288" t="s">
        <v>6419</v>
      </c>
      <c r="B6288" t="s">
        <v>29</v>
      </c>
      <c r="C6288" t="str">
        <f>_xlfn.XLOOKUP(B6288,
[1]sales_teams!$A$2:$A$100,
[1]sales_teams!$B$2:$B$100)</f>
        <v>Celia Rouche</v>
      </c>
      <c r="D6288" t="str">
        <f>_xlfn.XLOOKUP($B6288,sales_teams!$A$2:$A$36,sales_teams!C$2:C$36)</f>
        <v>West</v>
      </c>
      <c r="E6288" t="s">
        <v>15</v>
      </c>
      <c r="F6288" t="s">
        <v>70</v>
      </c>
      <c r="G6288" t="s">
        <v>12</v>
      </c>
      <c r="H6288" s="1">
        <v>42976</v>
      </c>
      <c r="I6288" s="1">
        <v>43088</v>
      </c>
      <c r="J6288">
        <v>4577</v>
      </c>
    </row>
    <row r="6289" spans="1:10" x14ac:dyDescent="0.3">
      <c r="A6289" t="s">
        <v>6420</v>
      </c>
      <c r="B6289" t="s">
        <v>73</v>
      </c>
      <c r="C6289" t="str">
        <f>_xlfn.XLOOKUP(B6289,
[1]sales_teams!$A$2:$A$100,
[1]sales_teams!$B$2:$B$100)</f>
        <v>Cara Losch</v>
      </c>
      <c r="D6289" t="str">
        <f>_xlfn.XLOOKUP($B6289,sales_teams!$A$2:$A$36,sales_teams!C$2:C$36)</f>
        <v>East</v>
      </c>
      <c r="E6289" t="s">
        <v>20</v>
      </c>
      <c r="G6289" t="s">
        <v>40</v>
      </c>
      <c r="H6289" s="1">
        <v>42976</v>
      </c>
    </row>
    <row r="6290" spans="1:10" x14ac:dyDescent="0.3">
      <c r="A6290" t="s">
        <v>6421</v>
      </c>
      <c r="B6290" t="s">
        <v>26</v>
      </c>
      <c r="C6290" t="str">
        <f>_xlfn.XLOOKUP(B6290,
[1]sales_teams!$A$2:$A$100,
[1]sales_teams!$B$2:$B$100)</f>
        <v>Dustin Brinkmann</v>
      </c>
      <c r="D6290" t="str">
        <f>_xlfn.XLOOKUP($B6290,sales_teams!$A$2:$A$36,sales_teams!C$2:C$36)</f>
        <v>Central</v>
      </c>
      <c r="E6290" t="s">
        <v>18</v>
      </c>
      <c r="F6290" t="s">
        <v>135</v>
      </c>
      <c r="G6290" t="s">
        <v>46</v>
      </c>
      <c r="H6290" s="1">
        <v>42977</v>
      </c>
      <c r="I6290" s="1">
        <v>43058</v>
      </c>
      <c r="J6290">
        <v>0</v>
      </c>
    </row>
    <row r="6291" spans="1:10" x14ac:dyDescent="0.3">
      <c r="A6291" t="s">
        <v>6422</v>
      </c>
      <c r="B6291" t="s">
        <v>26</v>
      </c>
      <c r="C6291" t="str">
        <f>_xlfn.XLOOKUP(B6291,
[1]sales_teams!$A$2:$A$100,
[1]sales_teams!$B$2:$B$100)</f>
        <v>Dustin Brinkmann</v>
      </c>
      <c r="D6291" t="str">
        <f>_xlfn.XLOOKUP($B6291,sales_teams!$A$2:$A$36,sales_teams!C$2:C$36)</f>
        <v>Central</v>
      </c>
      <c r="E6291" t="s">
        <v>10</v>
      </c>
      <c r="F6291" t="s">
        <v>76</v>
      </c>
      <c r="G6291" t="s">
        <v>12</v>
      </c>
      <c r="H6291" s="1">
        <v>42977</v>
      </c>
      <c r="I6291" s="1">
        <v>43095</v>
      </c>
      <c r="J6291">
        <v>1118</v>
      </c>
    </row>
    <row r="6292" spans="1:10" x14ac:dyDescent="0.3">
      <c r="A6292" t="s">
        <v>6423</v>
      </c>
      <c r="B6292" t="s">
        <v>26</v>
      </c>
      <c r="C6292" t="str">
        <f>_xlfn.XLOOKUP(B6292,
[1]sales_teams!$A$2:$A$100,
[1]sales_teams!$B$2:$B$100)</f>
        <v>Dustin Brinkmann</v>
      </c>
      <c r="D6292" t="str">
        <f>_xlfn.XLOOKUP($B6292,sales_teams!$A$2:$A$36,sales_teams!C$2:C$36)</f>
        <v>Central</v>
      </c>
      <c r="E6292" t="s">
        <v>18</v>
      </c>
      <c r="F6292" t="s">
        <v>187</v>
      </c>
      <c r="G6292" t="s">
        <v>12</v>
      </c>
      <c r="H6292" s="1">
        <v>42977</v>
      </c>
      <c r="I6292" s="1">
        <v>42986</v>
      </c>
      <c r="J6292">
        <v>55</v>
      </c>
    </row>
    <row r="6293" spans="1:10" x14ac:dyDescent="0.3">
      <c r="A6293" t="s">
        <v>6424</v>
      </c>
      <c r="B6293" t="s">
        <v>139</v>
      </c>
      <c r="C6293" t="str">
        <f>_xlfn.XLOOKUP(B6293,
[1]sales_teams!$A$2:$A$100,
[1]sales_teams!$B$2:$B$100)</f>
        <v>Rocco Neubert</v>
      </c>
      <c r="D6293" t="str">
        <f>_xlfn.XLOOKUP($B6293,sales_teams!$A$2:$A$36,sales_teams!C$2:C$36)</f>
        <v>East</v>
      </c>
      <c r="E6293" t="s">
        <v>15</v>
      </c>
      <c r="F6293" t="s">
        <v>81</v>
      </c>
      <c r="G6293" t="s">
        <v>12</v>
      </c>
      <c r="H6293" s="1">
        <v>42977</v>
      </c>
      <c r="I6293" s="1">
        <v>43090</v>
      </c>
      <c r="J6293">
        <v>5052</v>
      </c>
    </row>
    <row r="6294" spans="1:10" x14ac:dyDescent="0.3">
      <c r="A6294" t="s">
        <v>6425</v>
      </c>
      <c r="B6294" t="s">
        <v>139</v>
      </c>
      <c r="C6294" t="str">
        <f>_xlfn.XLOOKUP(B6294,
[1]sales_teams!$A$2:$A$100,
[1]sales_teams!$B$2:$B$100)</f>
        <v>Rocco Neubert</v>
      </c>
      <c r="D6294" t="str">
        <f>_xlfn.XLOOKUP($B6294,sales_teams!$A$2:$A$36,sales_teams!C$2:C$36)</f>
        <v>East</v>
      </c>
      <c r="E6294" t="s">
        <v>15</v>
      </c>
      <c r="F6294" t="s">
        <v>89</v>
      </c>
      <c r="G6294" t="s">
        <v>12</v>
      </c>
      <c r="H6294" s="1">
        <v>42977</v>
      </c>
      <c r="I6294" s="1">
        <v>42982</v>
      </c>
      <c r="J6294">
        <v>4023</v>
      </c>
    </row>
    <row r="6295" spans="1:10" x14ac:dyDescent="0.3">
      <c r="A6295" t="s">
        <v>6426</v>
      </c>
      <c r="B6295" t="s">
        <v>118</v>
      </c>
      <c r="C6295" t="str">
        <f>_xlfn.XLOOKUP(B6295,
[1]sales_teams!$A$2:$A$100,
[1]sales_teams!$B$2:$B$100)</f>
        <v>Rocco Neubert</v>
      </c>
      <c r="D6295" t="str">
        <f>_xlfn.XLOOKUP($B6295,sales_teams!$A$2:$A$36,sales_teams!C$2:C$36)</f>
        <v>East</v>
      </c>
      <c r="E6295" t="s">
        <v>18</v>
      </c>
      <c r="G6295" t="s">
        <v>40</v>
      </c>
      <c r="H6295" s="1">
        <v>42977</v>
      </c>
    </row>
    <row r="6296" spans="1:10" x14ac:dyDescent="0.3">
      <c r="A6296" t="s">
        <v>6427</v>
      </c>
      <c r="B6296" t="s">
        <v>118</v>
      </c>
      <c r="C6296" t="str">
        <f>_xlfn.XLOOKUP(B6296,
[1]sales_teams!$A$2:$A$100,
[1]sales_teams!$B$2:$B$100)</f>
        <v>Rocco Neubert</v>
      </c>
      <c r="D6296" t="str">
        <f>_xlfn.XLOOKUP($B6296,sales_teams!$A$2:$A$36,sales_teams!C$2:C$36)</f>
        <v>East</v>
      </c>
      <c r="E6296" t="s">
        <v>18</v>
      </c>
      <c r="F6296" t="s">
        <v>518</v>
      </c>
      <c r="G6296" t="s">
        <v>12</v>
      </c>
      <c r="H6296" s="1">
        <v>42977</v>
      </c>
      <c r="I6296" s="1">
        <v>42986</v>
      </c>
      <c r="J6296">
        <v>57</v>
      </c>
    </row>
    <row r="6297" spans="1:10" x14ac:dyDescent="0.3">
      <c r="A6297" t="s">
        <v>6428</v>
      </c>
      <c r="B6297" t="s">
        <v>164</v>
      </c>
      <c r="C6297" t="str">
        <f>_xlfn.XLOOKUP(B6297,
[1]sales_teams!$A$2:$A$100,
[1]sales_teams!$B$2:$B$100)</f>
        <v>Cara Losch</v>
      </c>
      <c r="D6297" t="str">
        <f>_xlfn.XLOOKUP($B6297,sales_teams!$A$2:$A$36,sales_teams!C$2:C$36)</f>
        <v>East</v>
      </c>
      <c r="E6297" t="s">
        <v>18</v>
      </c>
      <c r="F6297" t="s">
        <v>237</v>
      </c>
      <c r="G6297" t="s">
        <v>12</v>
      </c>
      <c r="H6297" s="1">
        <v>42977</v>
      </c>
      <c r="I6297" s="1">
        <v>43062</v>
      </c>
      <c r="J6297">
        <v>59</v>
      </c>
    </row>
    <row r="6298" spans="1:10" x14ac:dyDescent="0.3">
      <c r="A6298" t="s">
        <v>6429</v>
      </c>
      <c r="B6298" t="s">
        <v>64</v>
      </c>
      <c r="C6298" t="str">
        <f>_xlfn.XLOOKUP(B6298,
[1]sales_teams!$A$2:$A$100,
[1]sales_teams!$B$2:$B$100)</f>
        <v>Rocco Neubert</v>
      </c>
      <c r="D6298" t="str">
        <f>_xlfn.XLOOKUP($B6298,sales_teams!$A$2:$A$36,sales_teams!C$2:C$36)</f>
        <v>East</v>
      </c>
      <c r="E6298" t="s">
        <v>18</v>
      </c>
      <c r="F6298" t="s">
        <v>65</v>
      </c>
      <c r="G6298" t="s">
        <v>46</v>
      </c>
      <c r="H6298" s="1">
        <v>42977</v>
      </c>
      <c r="I6298" s="1">
        <v>43057</v>
      </c>
      <c r="J6298">
        <v>0</v>
      </c>
    </row>
    <row r="6299" spans="1:10" x14ac:dyDescent="0.3">
      <c r="A6299" t="s">
        <v>6430</v>
      </c>
      <c r="B6299" t="s">
        <v>64</v>
      </c>
      <c r="C6299" t="str">
        <f>_xlfn.XLOOKUP(B6299,
[1]sales_teams!$A$2:$A$100,
[1]sales_teams!$B$2:$B$100)</f>
        <v>Rocco Neubert</v>
      </c>
      <c r="D6299" t="str">
        <f>_xlfn.XLOOKUP($B6299,sales_teams!$A$2:$A$36,sales_teams!C$2:C$36)</f>
        <v>East</v>
      </c>
      <c r="E6299" t="s">
        <v>15</v>
      </c>
      <c r="F6299" t="s">
        <v>179</v>
      </c>
      <c r="G6299" t="s">
        <v>12</v>
      </c>
      <c r="H6299" s="1">
        <v>42977</v>
      </c>
      <c r="I6299" s="1">
        <v>42985</v>
      </c>
      <c r="J6299">
        <v>5544</v>
      </c>
    </row>
    <row r="6300" spans="1:10" x14ac:dyDescent="0.3">
      <c r="A6300" t="s">
        <v>6431</v>
      </c>
      <c r="B6300" t="s">
        <v>14</v>
      </c>
      <c r="C6300" t="str">
        <f>_xlfn.XLOOKUP(B6300,
[1]sales_teams!$A$2:$A$100,
[1]sales_teams!$B$2:$B$100)</f>
        <v>Melvin Marxen</v>
      </c>
      <c r="D6300" t="str">
        <f>_xlfn.XLOOKUP($B6300,sales_teams!$A$2:$A$36,sales_teams!C$2:C$36)</f>
        <v>Central</v>
      </c>
      <c r="E6300" t="s">
        <v>15</v>
      </c>
      <c r="F6300" t="s">
        <v>76</v>
      </c>
      <c r="G6300" t="s">
        <v>46</v>
      </c>
      <c r="H6300" s="1">
        <v>42977</v>
      </c>
      <c r="I6300" s="1">
        <v>43054</v>
      </c>
      <c r="J6300">
        <v>0</v>
      </c>
    </row>
    <row r="6301" spans="1:10" x14ac:dyDescent="0.3">
      <c r="A6301" t="s">
        <v>6432</v>
      </c>
      <c r="B6301" t="s">
        <v>14</v>
      </c>
      <c r="C6301" t="str">
        <f>_xlfn.XLOOKUP(B6301,
[1]sales_teams!$A$2:$A$100,
[1]sales_teams!$B$2:$B$100)</f>
        <v>Melvin Marxen</v>
      </c>
      <c r="D6301" t="str">
        <f>_xlfn.XLOOKUP($B6301,sales_teams!$A$2:$A$36,sales_teams!C$2:C$36)</f>
        <v>Central</v>
      </c>
      <c r="E6301" t="s">
        <v>18</v>
      </c>
      <c r="F6301" t="s">
        <v>62</v>
      </c>
      <c r="G6301" t="s">
        <v>46</v>
      </c>
      <c r="H6301" s="1">
        <v>42977</v>
      </c>
      <c r="I6301" s="1">
        <v>42978</v>
      </c>
      <c r="J6301">
        <v>0</v>
      </c>
    </row>
    <row r="6302" spans="1:10" x14ac:dyDescent="0.3">
      <c r="A6302" t="s">
        <v>6433</v>
      </c>
      <c r="B6302" t="s">
        <v>14</v>
      </c>
      <c r="C6302" t="str">
        <f>_xlfn.XLOOKUP(B6302,
[1]sales_teams!$A$2:$A$100,
[1]sales_teams!$B$2:$B$100)</f>
        <v>Melvin Marxen</v>
      </c>
      <c r="D6302" t="str">
        <f>_xlfn.XLOOKUP($B6302,sales_teams!$A$2:$A$36,sales_teams!C$2:C$36)</f>
        <v>Central</v>
      </c>
      <c r="E6302" t="s">
        <v>15</v>
      </c>
      <c r="F6302" t="s">
        <v>218</v>
      </c>
      <c r="G6302" t="s">
        <v>12</v>
      </c>
      <c r="H6302" s="1">
        <v>42977</v>
      </c>
      <c r="I6302" s="1">
        <v>42996</v>
      </c>
      <c r="J6302">
        <v>4598</v>
      </c>
    </row>
    <row r="6303" spans="1:10" x14ac:dyDescent="0.3">
      <c r="A6303" t="s">
        <v>6434</v>
      </c>
      <c r="B6303" t="s">
        <v>14</v>
      </c>
      <c r="C6303" t="str">
        <f>_xlfn.XLOOKUP(B6303,
[1]sales_teams!$A$2:$A$100,
[1]sales_teams!$B$2:$B$100)</f>
        <v>Melvin Marxen</v>
      </c>
      <c r="D6303" t="str">
        <f>_xlfn.XLOOKUP($B6303,sales_teams!$A$2:$A$36,sales_teams!C$2:C$36)</f>
        <v>Central</v>
      </c>
      <c r="E6303" t="s">
        <v>15</v>
      </c>
      <c r="F6303" t="s">
        <v>120</v>
      </c>
      <c r="G6303" t="s">
        <v>12</v>
      </c>
      <c r="H6303" s="1">
        <v>42977</v>
      </c>
      <c r="I6303" s="1">
        <v>42988</v>
      </c>
      <c r="J6303">
        <v>5008</v>
      </c>
    </row>
    <row r="6304" spans="1:10" x14ac:dyDescent="0.3">
      <c r="A6304" t="s">
        <v>6435</v>
      </c>
      <c r="B6304" t="s">
        <v>14</v>
      </c>
      <c r="C6304" t="str">
        <f>_xlfn.XLOOKUP(B6304,
[1]sales_teams!$A$2:$A$100,
[1]sales_teams!$B$2:$B$100)</f>
        <v>Melvin Marxen</v>
      </c>
      <c r="D6304" t="str">
        <f>_xlfn.XLOOKUP($B6304,sales_teams!$A$2:$A$36,sales_teams!C$2:C$36)</f>
        <v>Central</v>
      </c>
      <c r="E6304" t="s">
        <v>15</v>
      </c>
      <c r="F6304" t="s">
        <v>187</v>
      </c>
      <c r="G6304" t="s">
        <v>12</v>
      </c>
      <c r="H6304" s="1">
        <v>42977</v>
      </c>
      <c r="I6304" s="1">
        <v>43078</v>
      </c>
      <c r="J6304">
        <v>3932</v>
      </c>
    </row>
    <row r="6305" spans="1:10" x14ac:dyDescent="0.3">
      <c r="A6305" t="s">
        <v>6436</v>
      </c>
      <c r="B6305" t="s">
        <v>142</v>
      </c>
      <c r="C6305" t="str">
        <f>_xlfn.XLOOKUP(B6305,
[1]sales_teams!$A$2:$A$100,
[1]sales_teams!$B$2:$B$100)</f>
        <v>Rocco Neubert</v>
      </c>
      <c r="D6305" t="str">
        <f>_xlfn.XLOOKUP($B6305,sales_teams!$A$2:$A$36,sales_teams!C$2:C$36)</f>
        <v>East</v>
      </c>
      <c r="E6305" t="s">
        <v>10</v>
      </c>
      <c r="F6305" t="s">
        <v>300</v>
      </c>
      <c r="G6305" t="s">
        <v>12</v>
      </c>
      <c r="H6305" s="1">
        <v>42977</v>
      </c>
      <c r="I6305" s="1">
        <v>43098</v>
      </c>
      <c r="J6305">
        <v>1166</v>
      </c>
    </row>
    <row r="6306" spans="1:10" x14ac:dyDescent="0.3">
      <c r="A6306" t="s">
        <v>6437</v>
      </c>
      <c r="B6306" t="s">
        <v>44</v>
      </c>
      <c r="C6306" t="str">
        <f>_xlfn.XLOOKUP(B6306,
[1]sales_teams!$A$2:$A$100,
[1]sales_teams!$B$2:$B$100)</f>
        <v>Melvin Marxen</v>
      </c>
      <c r="D6306" t="str">
        <f>_xlfn.XLOOKUP($B6306,sales_teams!$A$2:$A$36,sales_teams!C$2:C$36)</f>
        <v>Central</v>
      </c>
      <c r="E6306" t="s">
        <v>10</v>
      </c>
      <c r="F6306" t="s">
        <v>27</v>
      </c>
      <c r="G6306" t="s">
        <v>46</v>
      </c>
      <c r="H6306" s="1">
        <v>42977</v>
      </c>
      <c r="I6306" s="1">
        <v>43075</v>
      </c>
      <c r="J6306">
        <v>0</v>
      </c>
    </row>
    <row r="6307" spans="1:10" x14ac:dyDescent="0.3">
      <c r="A6307" t="s">
        <v>6438</v>
      </c>
      <c r="B6307" t="s">
        <v>54</v>
      </c>
      <c r="C6307" t="str">
        <f>_xlfn.XLOOKUP(B6307,
[1]sales_teams!$A$2:$A$100,
[1]sales_teams!$B$2:$B$100)</f>
        <v>Celia Rouche</v>
      </c>
      <c r="D6307" t="str">
        <f>_xlfn.XLOOKUP($B6307,sales_teams!$A$2:$A$36,sales_teams!C$2:C$36)</f>
        <v>West</v>
      </c>
      <c r="E6307" t="s">
        <v>10</v>
      </c>
      <c r="F6307" t="s">
        <v>174</v>
      </c>
      <c r="G6307" t="s">
        <v>12</v>
      </c>
      <c r="H6307" s="1">
        <v>42977</v>
      </c>
      <c r="I6307" s="1">
        <v>42984</v>
      </c>
      <c r="J6307">
        <v>1195</v>
      </c>
    </row>
    <row r="6308" spans="1:10" x14ac:dyDescent="0.3">
      <c r="A6308" t="s">
        <v>6439</v>
      </c>
      <c r="B6308" t="s">
        <v>38</v>
      </c>
      <c r="C6308" t="str">
        <f>_xlfn.XLOOKUP(B6308,
[1]sales_teams!$A$2:$A$100,
[1]sales_teams!$B$2:$B$100)</f>
        <v>Summer Sewald</v>
      </c>
      <c r="D6308" t="str">
        <f>_xlfn.XLOOKUP($B6308,sales_teams!$A$2:$A$36,sales_teams!C$2:C$36)</f>
        <v>West</v>
      </c>
      <c r="E6308" t="s">
        <v>18</v>
      </c>
      <c r="F6308" t="s">
        <v>93</v>
      </c>
      <c r="G6308" t="s">
        <v>46</v>
      </c>
      <c r="H6308" s="1">
        <v>42977</v>
      </c>
      <c r="I6308" s="1">
        <v>43043</v>
      </c>
      <c r="J6308">
        <v>0</v>
      </c>
    </row>
    <row r="6309" spans="1:10" x14ac:dyDescent="0.3">
      <c r="A6309" t="s">
        <v>6440</v>
      </c>
      <c r="B6309" t="s">
        <v>252</v>
      </c>
      <c r="C6309" t="str">
        <f>_xlfn.XLOOKUP(B6309,
[1]sales_teams!$A$2:$A$100,
[1]sales_teams!$B$2:$B$100)</f>
        <v>Melvin Marxen</v>
      </c>
      <c r="D6309" t="str">
        <f>_xlfn.XLOOKUP($B6309,sales_teams!$A$2:$A$36,sales_teams!C$2:C$36)</f>
        <v>Central</v>
      </c>
      <c r="E6309" t="s">
        <v>20</v>
      </c>
      <c r="F6309" t="s">
        <v>45</v>
      </c>
      <c r="G6309" t="s">
        <v>12</v>
      </c>
      <c r="H6309" s="1">
        <v>42977</v>
      </c>
      <c r="I6309" s="1">
        <v>43092</v>
      </c>
      <c r="J6309">
        <v>551</v>
      </c>
    </row>
    <row r="6310" spans="1:10" x14ac:dyDescent="0.3">
      <c r="A6310" t="s">
        <v>6441</v>
      </c>
      <c r="B6310" t="s">
        <v>252</v>
      </c>
      <c r="C6310" t="str">
        <f>_xlfn.XLOOKUP(B6310,
[1]sales_teams!$A$2:$A$100,
[1]sales_teams!$B$2:$B$100)</f>
        <v>Melvin Marxen</v>
      </c>
      <c r="D6310" t="str">
        <f>_xlfn.XLOOKUP($B6310,sales_teams!$A$2:$A$36,sales_teams!C$2:C$36)</f>
        <v>Central</v>
      </c>
      <c r="E6310" t="s">
        <v>20</v>
      </c>
      <c r="F6310" t="s">
        <v>213</v>
      </c>
      <c r="G6310" t="s">
        <v>12</v>
      </c>
      <c r="H6310" s="1">
        <v>42977</v>
      </c>
      <c r="I6310" s="1">
        <v>42986</v>
      </c>
      <c r="J6310">
        <v>623</v>
      </c>
    </row>
    <row r="6311" spans="1:10" x14ac:dyDescent="0.3">
      <c r="A6311" t="s">
        <v>6442</v>
      </c>
      <c r="B6311" t="s">
        <v>95</v>
      </c>
      <c r="C6311" t="str">
        <f>_xlfn.XLOOKUP(B6311,
[1]sales_teams!$A$2:$A$100,
[1]sales_teams!$B$2:$B$100)</f>
        <v>Summer Sewald</v>
      </c>
      <c r="D6311" t="str">
        <f>_xlfn.XLOOKUP($B6311,sales_teams!$A$2:$A$36,sales_teams!C$2:C$36)</f>
        <v>West</v>
      </c>
      <c r="E6311" t="s">
        <v>15</v>
      </c>
      <c r="F6311" t="s">
        <v>155</v>
      </c>
      <c r="G6311" t="s">
        <v>46</v>
      </c>
      <c r="H6311" s="1">
        <v>42977</v>
      </c>
      <c r="I6311" s="1">
        <v>43055</v>
      </c>
      <c r="J6311">
        <v>0</v>
      </c>
    </row>
    <row r="6312" spans="1:10" x14ac:dyDescent="0.3">
      <c r="A6312" t="s">
        <v>6443</v>
      </c>
      <c r="B6312" t="s">
        <v>95</v>
      </c>
      <c r="C6312" t="str">
        <f>_xlfn.XLOOKUP(B6312,
[1]sales_teams!$A$2:$A$100,
[1]sales_teams!$B$2:$B$100)</f>
        <v>Summer Sewald</v>
      </c>
      <c r="D6312" t="str">
        <f>_xlfn.XLOOKUP($B6312,sales_teams!$A$2:$A$36,sales_teams!C$2:C$36)</f>
        <v>West</v>
      </c>
      <c r="E6312" t="s">
        <v>18</v>
      </c>
      <c r="F6312" t="s">
        <v>124</v>
      </c>
      <c r="G6312" t="s">
        <v>46</v>
      </c>
      <c r="H6312" s="1">
        <v>42977</v>
      </c>
      <c r="I6312" s="1">
        <v>43044</v>
      </c>
      <c r="J6312">
        <v>0</v>
      </c>
    </row>
    <row r="6313" spans="1:10" x14ac:dyDescent="0.3">
      <c r="A6313" t="s">
        <v>6444</v>
      </c>
      <c r="B6313" t="s">
        <v>133</v>
      </c>
      <c r="C6313" t="str">
        <f>_xlfn.XLOOKUP(B6313,
[1]sales_teams!$A$2:$A$100,
[1]sales_teams!$B$2:$B$100)</f>
        <v>Dustin Brinkmann</v>
      </c>
      <c r="D6313" t="str">
        <f>_xlfn.XLOOKUP($B6313,sales_teams!$A$2:$A$36,sales_teams!C$2:C$36)</f>
        <v>Central</v>
      </c>
      <c r="E6313" t="s">
        <v>18</v>
      </c>
      <c r="F6313" t="s">
        <v>45</v>
      </c>
      <c r="G6313" t="s">
        <v>46</v>
      </c>
      <c r="H6313" s="1">
        <v>42977</v>
      </c>
      <c r="I6313" s="1">
        <v>42988</v>
      </c>
      <c r="J6313">
        <v>0</v>
      </c>
    </row>
    <row r="6314" spans="1:10" x14ac:dyDescent="0.3">
      <c r="A6314" t="s">
        <v>6445</v>
      </c>
      <c r="B6314" t="s">
        <v>32</v>
      </c>
      <c r="C6314" t="str">
        <f>_xlfn.XLOOKUP(B6314,
[1]sales_teams!$A$2:$A$100,
[1]sales_teams!$B$2:$B$100)</f>
        <v>Celia Rouche</v>
      </c>
      <c r="D6314" t="str">
        <f>_xlfn.XLOOKUP($B6314,sales_teams!$A$2:$A$36,sales_teams!C$2:C$36)</f>
        <v>West</v>
      </c>
      <c r="E6314" t="s">
        <v>18</v>
      </c>
      <c r="G6314" t="s">
        <v>40</v>
      </c>
      <c r="H6314" s="1">
        <v>42977</v>
      </c>
    </row>
    <row r="6315" spans="1:10" x14ac:dyDescent="0.3">
      <c r="A6315" t="s">
        <v>6446</v>
      </c>
      <c r="B6315" t="s">
        <v>32</v>
      </c>
      <c r="C6315" t="str">
        <f>_xlfn.XLOOKUP(B6315,
[1]sales_teams!$A$2:$A$100,
[1]sales_teams!$B$2:$B$100)</f>
        <v>Celia Rouche</v>
      </c>
      <c r="D6315" t="str">
        <f>_xlfn.XLOOKUP($B6315,sales_teams!$A$2:$A$36,sales_teams!C$2:C$36)</f>
        <v>West</v>
      </c>
      <c r="E6315" t="s">
        <v>20</v>
      </c>
      <c r="F6315" t="s">
        <v>86</v>
      </c>
      <c r="G6315" t="s">
        <v>46</v>
      </c>
      <c r="H6315" s="1">
        <v>42977</v>
      </c>
      <c r="I6315" s="1">
        <v>42997</v>
      </c>
      <c r="J6315">
        <v>0</v>
      </c>
    </row>
    <row r="6316" spans="1:10" x14ac:dyDescent="0.3">
      <c r="A6316" t="s">
        <v>6447</v>
      </c>
      <c r="B6316" t="s">
        <v>32</v>
      </c>
      <c r="C6316" t="str">
        <f>_xlfn.XLOOKUP(B6316,
[1]sales_teams!$A$2:$A$100,
[1]sales_teams!$B$2:$B$100)</f>
        <v>Celia Rouche</v>
      </c>
      <c r="D6316" t="str">
        <f>_xlfn.XLOOKUP($B6316,sales_teams!$A$2:$A$36,sales_teams!C$2:C$36)</f>
        <v>West</v>
      </c>
      <c r="E6316" t="s">
        <v>15</v>
      </c>
      <c r="F6316" t="s">
        <v>93</v>
      </c>
      <c r="G6316" t="s">
        <v>12</v>
      </c>
      <c r="H6316" s="1">
        <v>42977</v>
      </c>
      <c r="I6316" s="1">
        <v>42993</v>
      </c>
      <c r="J6316">
        <v>4592</v>
      </c>
    </row>
    <row r="6317" spans="1:10" x14ac:dyDescent="0.3">
      <c r="A6317" t="s">
        <v>6448</v>
      </c>
      <c r="B6317" t="s">
        <v>116</v>
      </c>
      <c r="C6317" t="str">
        <f>_xlfn.XLOOKUP(B6317,
[1]sales_teams!$A$2:$A$100,
[1]sales_teams!$B$2:$B$100)</f>
        <v>Melvin Marxen</v>
      </c>
      <c r="D6317" t="str">
        <f>_xlfn.XLOOKUP($B6317,sales_teams!$A$2:$A$36,sales_teams!C$2:C$36)</f>
        <v>Central</v>
      </c>
      <c r="E6317" t="s">
        <v>20</v>
      </c>
      <c r="F6317" t="s">
        <v>218</v>
      </c>
      <c r="G6317" t="s">
        <v>12</v>
      </c>
      <c r="H6317" s="1">
        <v>42977</v>
      </c>
      <c r="I6317" s="1">
        <v>43091</v>
      </c>
      <c r="J6317">
        <v>555</v>
      </c>
    </row>
    <row r="6318" spans="1:10" x14ac:dyDescent="0.3">
      <c r="A6318" t="s">
        <v>6449</v>
      </c>
      <c r="B6318" t="s">
        <v>116</v>
      </c>
      <c r="C6318" t="str">
        <f>_xlfn.XLOOKUP(B6318,
[1]sales_teams!$A$2:$A$100,
[1]sales_teams!$B$2:$B$100)</f>
        <v>Melvin Marxen</v>
      </c>
      <c r="D6318" t="str">
        <f>_xlfn.XLOOKUP($B6318,sales_teams!$A$2:$A$36,sales_teams!C$2:C$36)</f>
        <v>Central</v>
      </c>
      <c r="E6318" t="s">
        <v>39</v>
      </c>
      <c r="F6318" t="s">
        <v>197</v>
      </c>
      <c r="G6318" t="s">
        <v>12</v>
      </c>
      <c r="H6318" s="1">
        <v>42977</v>
      </c>
      <c r="I6318" s="1">
        <v>43053</v>
      </c>
      <c r="J6318">
        <v>3703</v>
      </c>
    </row>
    <row r="6319" spans="1:10" x14ac:dyDescent="0.3">
      <c r="A6319" t="s">
        <v>6450</v>
      </c>
      <c r="B6319" t="s">
        <v>51</v>
      </c>
      <c r="C6319" t="str">
        <f>_xlfn.XLOOKUP(B6319,
[1]sales_teams!$A$2:$A$100,
[1]sales_teams!$B$2:$B$100)</f>
        <v>Summer Sewald</v>
      </c>
      <c r="D6319" t="str">
        <f>_xlfn.XLOOKUP($B6319,sales_teams!$A$2:$A$36,sales_teams!C$2:C$36)</f>
        <v>West</v>
      </c>
      <c r="E6319" t="s">
        <v>10</v>
      </c>
      <c r="F6319" t="s">
        <v>59</v>
      </c>
      <c r="G6319" t="s">
        <v>12</v>
      </c>
      <c r="H6319" s="1">
        <v>42977</v>
      </c>
      <c r="I6319" s="1">
        <v>43082</v>
      </c>
      <c r="J6319">
        <v>942</v>
      </c>
    </row>
    <row r="6320" spans="1:10" x14ac:dyDescent="0.3">
      <c r="A6320" t="s">
        <v>6451</v>
      </c>
      <c r="B6320" t="s">
        <v>51</v>
      </c>
      <c r="C6320" t="str">
        <f>_xlfn.XLOOKUP(B6320,
[1]sales_teams!$A$2:$A$100,
[1]sales_teams!$B$2:$B$100)</f>
        <v>Summer Sewald</v>
      </c>
      <c r="D6320" t="str">
        <f>_xlfn.XLOOKUP($B6320,sales_teams!$A$2:$A$36,sales_teams!C$2:C$36)</f>
        <v>West</v>
      </c>
      <c r="E6320" t="s">
        <v>48</v>
      </c>
      <c r="F6320" t="s">
        <v>398</v>
      </c>
      <c r="G6320" t="s">
        <v>12</v>
      </c>
      <c r="H6320" s="1">
        <v>42977</v>
      </c>
      <c r="I6320" s="1">
        <v>43077</v>
      </c>
      <c r="J6320">
        <v>6489</v>
      </c>
    </row>
    <row r="6321" spans="1:10" x14ac:dyDescent="0.3">
      <c r="A6321" t="s">
        <v>6452</v>
      </c>
      <c r="B6321" t="s">
        <v>35</v>
      </c>
      <c r="C6321" t="str">
        <f>_xlfn.XLOOKUP(B6321,
[1]sales_teams!$A$2:$A$100,
[1]sales_teams!$B$2:$B$100)</f>
        <v>Melvin Marxen</v>
      </c>
      <c r="D6321" t="str">
        <f>_xlfn.XLOOKUP($B6321,sales_teams!$A$2:$A$36,sales_teams!C$2:C$36)</f>
        <v>Central</v>
      </c>
      <c r="E6321" t="s">
        <v>15</v>
      </c>
      <c r="F6321" t="s">
        <v>11</v>
      </c>
      <c r="G6321" t="s">
        <v>46</v>
      </c>
      <c r="H6321" s="1">
        <v>42977</v>
      </c>
      <c r="I6321" s="1">
        <v>43059</v>
      </c>
      <c r="J6321">
        <v>0</v>
      </c>
    </row>
    <row r="6322" spans="1:10" x14ac:dyDescent="0.3">
      <c r="A6322" t="s">
        <v>6453</v>
      </c>
      <c r="B6322" t="s">
        <v>57</v>
      </c>
      <c r="C6322" t="str">
        <f>_xlfn.XLOOKUP(B6322,
[1]sales_teams!$A$2:$A$100,
[1]sales_teams!$B$2:$B$100)</f>
        <v>Celia Rouche</v>
      </c>
      <c r="D6322" t="str">
        <f>_xlfn.XLOOKUP($B6322,sales_teams!$A$2:$A$36,sales_teams!C$2:C$36)</f>
        <v>West</v>
      </c>
      <c r="E6322" t="s">
        <v>18</v>
      </c>
      <c r="G6322" t="s">
        <v>40</v>
      </c>
      <c r="H6322" s="1">
        <v>42977</v>
      </c>
    </row>
    <row r="6323" spans="1:10" x14ac:dyDescent="0.3">
      <c r="A6323" t="s">
        <v>6454</v>
      </c>
      <c r="B6323" t="s">
        <v>57</v>
      </c>
      <c r="C6323" t="str">
        <f>_xlfn.XLOOKUP(B6323,
[1]sales_teams!$A$2:$A$100,
[1]sales_teams!$B$2:$B$100)</f>
        <v>Celia Rouche</v>
      </c>
      <c r="D6323" t="str">
        <f>_xlfn.XLOOKUP($B6323,sales_teams!$A$2:$A$36,sales_teams!C$2:C$36)</f>
        <v>West</v>
      </c>
      <c r="E6323" t="s">
        <v>18</v>
      </c>
      <c r="F6323" t="s">
        <v>49</v>
      </c>
      <c r="G6323" t="s">
        <v>12</v>
      </c>
      <c r="H6323" s="1">
        <v>42977</v>
      </c>
      <c r="I6323" s="1">
        <v>43056</v>
      </c>
      <c r="J6323">
        <v>63</v>
      </c>
    </row>
    <row r="6324" spans="1:10" x14ac:dyDescent="0.3">
      <c r="A6324" t="s">
        <v>6455</v>
      </c>
      <c r="B6324" t="s">
        <v>88</v>
      </c>
      <c r="C6324" t="str">
        <f>_xlfn.XLOOKUP(B6324,
[1]sales_teams!$A$2:$A$100,
[1]sales_teams!$B$2:$B$100)</f>
        <v>Cara Losch</v>
      </c>
      <c r="D6324" t="str">
        <f>_xlfn.XLOOKUP($B6324,sales_teams!$A$2:$A$36,sales_teams!C$2:C$36)</f>
        <v>East</v>
      </c>
      <c r="E6324" t="s">
        <v>15</v>
      </c>
      <c r="F6324" t="s">
        <v>192</v>
      </c>
      <c r="G6324" t="s">
        <v>12</v>
      </c>
      <c r="H6324" s="1">
        <v>42977</v>
      </c>
      <c r="I6324" s="1">
        <v>43077</v>
      </c>
      <c r="J6324">
        <v>3974</v>
      </c>
    </row>
    <row r="6325" spans="1:10" x14ac:dyDescent="0.3">
      <c r="A6325" t="s">
        <v>6456</v>
      </c>
      <c r="B6325" t="s">
        <v>61</v>
      </c>
      <c r="C6325" t="str">
        <f>_xlfn.XLOOKUP(B6325,
[1]sales_teams!$A$2:$A$100,
[1]sales_teams!$B$2:$B$100)</f>
        <v>Dustin Brinkmann</v>
      </c>
      <c r="D6325" t="str">
        <f>_xlfn.XLOOKUP($B6325,sales_teams!$A$2:$A$36,sales_teams!C$2:C$36)</f>
        <v>Central</v>
      </c>
      <c r="E6325" t="s">
        <v>18</v>
      </c>
      <c r="F6325" t="s">
        <v>120</v>
      </c>
      <c r="G6325" t="s">
        <v>12</v>
      </c>
      <c r="H6325" s="1">
        <v>42977</v>
      </c>
      <c r="I6325" s="1">
        <v>43055</v>
      </c>
      <c r="J6325">
        <v>66</v>
      </c>
    </row>
    <row r="6326" spans="1:10" x14ac:dyDescent="0.3">
      <c r="A6326" t="s">
        <v>6457</v>
      </c>
      <c r="B6326" t="s">
        <v>29</v>
      </c>
      <c r="C6326" t="str">
        <f>_xlfn.XLOOKUP(B6326,
[1]sales_teams!$A$2:$A$100,
[1]sales_teams!$B$2:$B$100)</f>
        <v>Celia Rouche</v>
      </c>
      <c r="D6326" t="str">
        <f>_xlfn.XLOOKUP($B6326,sales_teams!$A$2:$A$36,sales_teams!C$2:C$36)</f>
        <v>West</v>
      </c>
      <c r="E6326" t="s">
        <v>20</v>
      </c>
      <c r="F6326" t="s">
        <v>55</v>
      </c>
      <c r="G6326" t="s">
        <v>12</v>
      </c>
      <c r="H6326" s="1">
        <v>42977</v>
      </c>
      <c r="I6326" s="1">
        <v>43083</v>
      </c>
      <c r="J6326">
        <v>532</v>
      </c>
    </row>
    <row r="6327" spans="1:10" x14ac:dyDescent="0.3">
      <c r="A6327" t="s">
        <v>6458</v>
      </c>
      <c r="B6327" t="s">
        <v>73</v>
      </c>
      <c r="C6327" t="str">
        <f>_xlfn.XLOOKUP(B6327,
[1]sales_teams!$A$2:$A$100,
[1]sales_teams!$B$2:$B$100)</f>
        <v>Cara Losch</v>
      </c>
      <c r="D6327" t="str">
        <f>_xlfn.XLOOKUP($B6327,sales_teams!$A$2:$A$36,sales_teams!C$2:C$36)</f>
        <v>East</v>
      </c>
      <c r="E6327" t="s">
        <v>18</v>
      </c>
      <c r="G6327" t="s">
        <v>40</v>
      </c>
      <c r="H6327" s="1">
        <v>42977</v>
      </c>
    </row>
    <row r="6328" spans="1:10" x14ac:dyDescent="0.3">
      <c r="A6328" t="s">
        <v>6459</v>
      </c>
      <c r="B6328" t="s">
        <v>23</v>
      </c>
      <c r="C6328" t="str">
        <f>_xlfn.XLOOKUP(B6328,
[1]sales_teams!$A$2:$A$100,
[1]sales_teams!$B$2:$B$100)</f>
        <v>Summer Sewald</v>
      </c>
      <c r="D6328" t="str">
        <f>_xlfn.XLOOKUP($B6328,sales_teams!$A$2:$A$36,sales_teams!C$2:C$36)</f>
        <v>West</v>
      </c>
      <c r="E6328" t="s">
        <v>20</v>
      </c>
      <c r="F6328" t="s">
        <v>174</v>
      </c>
      <c r="G6328" t="s">
        <v>12</v>
      </c>
      <c r="H6328" s="1">
        <v>42977</v>
      </c>
      <c r="I6328" s="1">
        <v>43090</v>
      </c>
      <c r="J6328">
        <v>503</v>
      </c>
    </row>
    <row r="6329" spans="1:10" x14ac:dyDescent="0.3">
      <c r="A6329" t="s">
        <v>6460</v>
      </c>
      <c r="B6329" t="s">
        <v>26</v>
      </c>
      <c r="C6329" t="str">
        <f>_xlfn.XLOOKUP(B6329,
[1]sales_teams!$A$2:$A$100,
[1]sales_teams!$B$2:$B$100)</f>
        <v>Dustin Brinkmann</v>
      </c>
      <c r="D6329" t="str">
        <f>_xlfn.XLOOKUP($B6329,sales_teams!$A$2:$A$36,sales_teams!C$2:C$36)</f>
        <v>Central</v>
      </c>
      <c r="E6329" t="s">
        <v>20</v>
      </c>
      <c r="F6329" t="s">
        <v>36</v>
      </c>
      <c r="G6329" t="s">
        <v>12</v>
      </c>
      <c r="H6329" s="1">
        <v>42978</v>
      </c>
      <c r="I6329" s="1">
        <v>43063</v>
      </c>
      <c r="J6329">
        <v>594</v>
      </c>
    </row>
    <row r="6330" spans="1:10" x14ac:dyDescent="0.3">
      <c r="A6330" t="s">
        <v>6461</v>
      </c>
      <c r="B6330" t="s">
        <v>139</v>
      </c>
      <c r="C6330" t="str">
        <f>_xlfn.XLOOKUP(B6330,
[1]sales_teams!$A$2:$A$100,
[1]sales_teams!$B$2:$B$100)</f>
        <v>Rocco Neubert</v>
      </c>
      <c r="D6330" t="str">
        <f>_xlfn.XLOOKUP($B6330,sales_teams!$A$2:$A$36,sales_teams!C$2:C$36)</f>
        <v>East</v>
      </c>
      <c r="E6330" t="s">
        <v>20</v>
      </c>
      <c r="G6330" t="s">
        <v>40</v>
      </c>
      <c r="H6330" s="1">
        <v>42978</v>
      </c>
    </row>
    <row r="6331" spans="1:10" x14ac:dyDescent="0.3">
      <c r="A6331" t="s">
        <v>6462</v>
      </c>
      <c r="B6331" t="s">
        <v>118</v>
      </c>
      <c r="C6331" t="str">
        <f>_xlfn.XLOOKUP(B6331,
[1]sales_teams!$A$2:$A$100,
[1]sales_teams!$B$2:$B$100)</f>
        <v>Rocco Neubert</v>
      </c>
      <c r="D6331" t="str">
        <f>_xlfn.XLOOKUP($B6331,sales_teams!$A$2:$A$36,sales_teams!C$2:C$36)</f>
        <v>East</v>
      </c>
      <c r="E6331" t="s">
        <v>15</v>
      </c>
      <c r="F6331" t="s">
        <v>81</v>
      </c>
      <c r="G6331" t="s">
        <v>12</v>
      </c>
      <c r="H6331" s="1">
        <v>42978</v>
      </c>
      <c r="I6331" s="1">
        <v>42980</v>
      </c>
      <c r="J6331">
        <v>4958</v>
      </c>
    </row>
    <row r="6332" spans="1:10" x14ac:dyDescent="0.3">
      <c r="A6332" t="s">
        <v>6463</v>
      </c>
      <c r="B6332" t="s">
        <v>118</v>
      </c>
      <c r="C6332" t="str">
        <f>_xlfn.XLOOKUP(B6332,
[1]sales_teams!$A$2:$A$100,
[1]sales_teams!$B$2:$B$100)</f>
        <v>Rocco Neubert</v>
      </c>
      <c r="D6332" t="str">
        <f>_xlfn.XLOOKUP($B6332,sales_teams!$A$2:$A$36,sales_teams!C$2:C$36)</f>
        <v>East</v>
      </c>
      <c r="E6332" t="s">
        <v>15</v>
      </c>
      <c r="F6332" t="s">
        <v>106</v>
      </c>
      <c r="G6332" t="s">
        <v>12</v>
      </c>
      <c r="H6332" s="1">
        <v>42978</v>
      </c>
      <c r="I6332" s="1">
        <v>43069</v>
      </c>
      <c r="J6332">
        <v>4201</v>
      </c>
    </row>
    <row r="6333" spans="1:10" x14ac:dyDescent="0.3">
      <c r="A6333" t="s">
        <v>6464</v>
      </c>
      <c r="B6333" t="s">
        <v>202</v>
      </c>
      <c r="C6333" t="str">
        <f>_xlfn.XLOOKUP(B6333,
[1]sales_teams!$A$2:$A$100,
[1]sales_teams!$B$2:$B$100)</f>
        <v>Dustin Brinkmann</v>
      </c>
      <c r="D6333" t="str">
        <f>_xlfn.XLOOKUP($B6333,sales_teams!$A$2:$A$36,sales_teams!C$2:C$36)</f>
        <v>Central</v>
      </c>
      <c r="E6333" t="s">
        <v>18</v>
      </c>
      <c r="F6333" t="s">
        <v>492</v>
      </c>
      <c r="G6333" t="s">
        <v>46</v>
      </c>
      <c r="H6333" s="1">
        <v>42978</v>
      </c>
      <c r="I6333" s="1">
        <v>42991</v>
      </c>
      <c r="J6333">
        <v>0</v>
      </c>
    </row>
    <row r="6334" spans="1:10" x14ac:dyDescent="0.3">
      <c r="A6334" t="s">
        <v>6465</v>
      </c>
      <c r="B6334" t="s">
        <v>164</v>
      </c>
      <c r="C6334" t="str">
        <f>_xlfn.XLOOKUP(B6334,
[1]sales_teams!$A$2:$A$100,
[1]sales_teams!$B$2:$B$100)</f>
        <v>Cara Losch</v>
      </c>
      <c r="D6334" t="str">
        <f>_xlfn.XLOOKUP($B6334,sales_teams!$A$2:$A$36,sales_teams!C$2:C$36)</f>
        <v>East</v>
      </c>
      <c r="E6334" t="s">
        <v>39</v>
      </c>
      <c r="F6334" t="s">
        <v>215</v>
      </c>
      <c r="G6334" t="s">
        <v>46</v>
      </c>
      <c r="H6334" s="1">
        <v>42978</v>
      </c>
      <c r="I6334" s="1">
        <v>43052</v>
      </c>
      <c r="J6334">
        <v>0</v>
      </c>
    </row>
    <row r="6335" spans="1:10" x14ac:dyDescent="0.3">
      <c r="A6335" t="s">
        <v>6466</v>
      </c>
      <c r="B6335" t="s">
        <v>64</v>
      </c>
      <c r="C6335" t="str">
        <f>_xlfn.XLOOKUP(B6335,
[1]sales_teams!$A$2:$A$100,
[1]sales_teams!$B$2:$B$100)</f>
        <v>Rocco Neubert</v>
      </c>
      <c r="D6335" t="str">
        <f>_xlfn.XLOOKUP($B6335,sales_teams!$A$2:$A$36,sales_teams!C$2:C$36)</f>
        <v>East</v>
      </c>
      <c r="E6335" t="s">
        <v>48</v>
      </c>
      <c r="F6335" t="s">
        <v>106</v>
      </c>
      <c r="G6335" t="s">
        <v>46</v>
      </c>
      <c r="H6335" s="1">
        <v>42978</v>
      </c>
      <c r="I6335" s="1">
        <v>43045</v>
      </c>
      <c r="J6335">
        <v>0</v>
      </c>
    </row>
    <row r="6336" spans="1:10" x14ac:dyDescent="0.3">
      <c r="A6336" t="s">
        <v>6467</v>
      </c>
      <c r="B6336" t="s">
        <v>14</v>
      </c>
      <c r="C6336" t="str">
        <f>_xlfn.XLOOKUP(B6336,
[1]sales_teams!$A$2:$A$100,
[1]sales_teams!$B$2:$B$100)</f>
        <v>Melvin Marxen</v>
      </c>
      <c r="D6336" t="str">
        <f>_xlfn.XLOOKUP($B6336,sales_teams!$A$2:$A$36,sales_teams!C$2:C$36)</f>
        <v>Central</v>
      </c>
      <c r="E6336" t="s">
        <v>48</v>
      </c>
      <c r="F6336" t="s">
        <v>129</v>
      </c>
      <c r="G6336" t="s">
        <v>12</v>
      </c>
      <c r="H6336" s="1">
        <v>42978</v>
      </c>
      <c r="I6336" s="1">
        <v>42988</v>
      </c>
      <c r="J6336">
        <v>5293</v>
      </c>
    </row>
    <row r="6337" spans="1:10" x14ac:dyDescent="0.3">
      <c r="A6337" t="s">
        <v>6468</v>
      </c>
      <c r="B6337" t="s">
        <v>142</v>
      </c>
      <c r="C6337" t="str">
        <f>_xlfn.XLOOKUP(B6337,
[1]sales_teams!$A$2:$A$100,
[1]sales_teams!$B$2:$B$100)</f>
        <v>Rocco Neubert</v>
      </c>
      <c r="D6337" t="str">
        <f>_xlfn.XLOOKUP($B6337,sales_teams!$A$2:$A$36,sales_teams!C$2:C$36)</f>
        <v>East</v>
      </c>
      <c r="E6337" t="s">
        <v>39</v>
      </c>
      <c r="F6337" t="s">
        <v>81</v>
      </c>
      <c r="G6337" t="s">
        <v>12</v>
      </c>
      <c r="H6337" s="1">
        <v>42978</v>
      </c>
      <c r="I6337" s="1">
        <v>43065</v>
      </c>
      <c r="J6337">
        <v>4456</v>
      </c>
    </row>
    <row r="6338" spans="1:10" x14ac:dyDescent="0.3">
      <c r="A6338" t="s">
        <v>6469</v>
      </c>
      <c r="B6338" t="s">
        <v>54</v>
      </c>
      <c r="C6338" t="str">
        <f>_xlfn.XLOOKUP(B6338,
[1]sales_teams!$A$2:$A$100,
[1]sales_teams!$B$2:$B$100)</f>
        <v>Celia Rouche</v>
      </c>
      <c r="D6338" t="str">
        <f>_xlfn.XLOOKUP($B6338,sales_teams!$A$2:$A$36,sales_teams!C$2:C$36)</f>
        <v>West</v>
      </c>
      <c r="E6338" t="s">
        <v>10</v>
      </c>
      <c r="F6338" t="s">
        <v>555</v>
      </c>
      <c r="G6338" t="s">
        <v>46</v>
      </c>
      <c r="H6338" s="1">
        <v>42978</v>
      </c>
      <c r="I6338" s="1">
        <v>43057</v>
      </c>
      <c r="J6338">
        <v>0</v>
      </c>
    </row>
    <row r="6339" spans="1:10" x14ac:dyDescent="0.3">
      <c r="A6339" t="s">
        <v>6470</v>
      </c>
      <c r="B6339" t="s">
        <v>252</v>
      </c>
      <c r="C6339" t="str">
        <f>_xlfn.XLOOKUP(B6339,
[1]sales_teams!$A$2:$A$100,
[1]sales_teams!$B$2:$B$100)</f>
        <v>Melvin Marxen</v>
      </c>
      <c r="D6339" t="str">
        <f>_xlfn.XLOOKUP($B6339,sales_teams!$A$2:$A$36,sales_teams!C$2:C$36)</f>
        <v>Central</v>
      </c>
      <c r="E6339" t="s">
        <v>15</v>
      </c>
      <c r="F6339" t="s">
        <v>213</v>
      </c>
      <c r="G6339" t="s">
        <v>46</v>
      </c>
      <c r="H6339" s="1">
        <v>42978</v>
      </c>
      <c r="I6339" s="1">
        <v>43057</v>
      </c>
      <c r="J6339">
        <v>0</v>
      </c>
    </row>
    <row r="6340" spans="1:10" x14ac:dyDescent="0.3">
      <c r="A6340" t="s">
        <v>6471</v>
      </c>
      <c r="B6340" t="s">
        <v>252</v>
      </c>
      <c r="C6340" t="str">
        <f>_xlfn.XLOOKUP(B6340,
[1]sales_teams!$A$2:$A$100,
[1]sales_teams!$B$2:$B$100)</f>
        <v>Melvin Marxen</v>
      </c>
      <c r="D6340" t="str">
        <f>_xlfn.XLOOKUP($B6340,sales_teams!$A$2:$A$36,sales_teams!C$2:C$36)</f>
        <v>Central</v>
      </c>
      <c r="E6340" t="s">
        <v>20</v>
      </c>
      <c r="F6340" t="s">
        <v>213</v>
      </c>
      <c r="G6340" t="s">
        <v>12</v>
      </c>
      <c r="H6340" s="1">
        <v>42978</v>
      </c>
      <c r="I6340" s="1">
        <v>43089</v>
      </c>
      <c r="J6340">
        <v>525</v>
      </c>
    </row>
    <row r="6341" spans="1:10" x14ac:dyDescent="0.3">
      <c r="A6341" t="s">
        <v>6472</v>
      </c>
      <c r="B6341" t="s">
        <v>78</v>
      </c>
      <c r="C6341" t="str">
        <f>_xlfn.XLOOKUP(B6341,
[1]sales_teams!$A$2:$A$100,
[1]sales_teams!$B$2:$B$100)</f>
        <v>Summer Sewald</v>
      </c>
      <c r="D6341" t="str">
        <f>_xlfn.XLOOKUP($B6341,sales_teams!$A$2:$A$36,sales_teams!C$2:C$36)</f>
        <v>West</v>
      </c>
      <c r="E6341" t="s">
        <v>15</v>
      </c>
      <c r="F6341" t="s">
        <v>140</v>
      </c>
      <c r="G6341" t="s">
        <v>40</v>
      </c>
      <c r="H6341" s="1">
        <v>42978</v>
      </c>
    </row>
    <row r="6342" spans="1:10" x14ac:dyDescent="0.3">
      <c r="A6342" t="s">
        <v>6473</v>
      </c>
      <c r="B6342" t="s">
        <v>95</v>
      </c>
      <c r="C6342" t="str">
        <f>_xlfn.XLOOKUP(B6342,
[1]sales_teams!$A$2:$A$100,
[1]sales_teams!$B$2:$B$100)</f>
        <v>Summer Sewald</v>
      </c>
      <c r="D6342" t="str">
        <f>_xlfn.XLOOKUP($B6342,sales_teams!$A$2:$A$36,sales_teams!C$2:C$36)</f>
        <v>West</v>
      </c>
      <c r="E6342" t="s">
        <v>20</v>
      </c>
      <c r="F6342" t="s">
        <v>129</v>
      </c>
      <c r="G6342" t="s">
        <v>40</v>
      </c>
      <c r="H6342" s="1">
        <v>42978</v>
      </c>
    </row>
    <row r="6343" spans="1:10" x14ac:dyDescent="0.3">
      <c r="A6343" t="s">
        <v>6474</v>
      </c>
      <c r="B6343" t="s">
        <v>95</v>
      </c>
      <c r="C6343" t="str">
        <f>_xlfn.XLOOKUP(B6343,
[1]sales_teams!$A$2:$A$100,
[1]sales_teams!$B$2:$B$100)</f>
        <v>Summer Sewald</v>
      </c>
      <c r="D6343" t="str">
        <f>_xlfn.XLOOKUP($B6343,sales_teams!$A$2:$A$36,sales_teams!C$2:C$36)</f>
        <v>West</v>
      </c>
      <c r="E6343" t="s">
        <v>15</v>
      </c>
      <c r="G6343" t="s">
        <v>40</v>
      </c>
      <c r="H6343" s="1">
        <v>42978</v>
      </c>
    </row>
    <row r="6344" spans="1:10" x14ac:dyDescent="0.3">
      <c r="A6344" t="s">
        <v>6475</v>
      </c>
      <c r="B6344" t="s">
        <v>116</v>
      </c>
      <c r="C6344" t="str">
        <f>_xlfn.XLOOKUP(B6344,
[1]sales_teams!$A$2:$A$100,
[1]sales_teams!$B$2:$B$100)</f>
        <v>Melvin Marxen</v>
      </c>
      <c r="D6344" t="str">
        <f>_xlfn.XLOOKUP($B6344,sales_teams!$A$2:$A$36,sales_teams!C$2:C$36)</f>
        <v>Central</v>
      </c>
      <c r="E6344" t="s">
        <v>48</v>
      </c>
      <c r="F6344" t="s">
        <v>197</v>
      </c>
      <c r="G6344" t="s">
        <v>12</v>
      </c>
      <c r="H6344" s="1">
        <v>42978</v>
      </c>
      <c r="I6344" s="1">
        <v>42994</v>
      </c>
      <c r="J6344">
        <v>4809</v>
      </c>
    </row>
    <row r="6345" spans="1:10" x14ac:dyDescent="0.3">
      <c r="A6345" t="s">
        <v>6476</v>
      </c>
      <c r="B6345" t="s">
        <v>51</v>
      </c>
      <c r="C6345" t="str">
        <f>_xlfn.XLOOKUP(B6345,
[1]sales_teams!$A$2:$A$100,
[1]sales_teams!$B$2:$B$100)</f>
        <v>Summer Sewald</v>
      </c>
      <c r="D6345" t="str">
        <f>_xlfn.XLOOKUP($B6345,sales_teams!$A$2:$A$36,sales_teams!C$2:C$36)</f>
        <v>West</v>
      </c>
      <c r="E6345" t="s">
        <v>10</v>
      </c>
      <c r="G6345" t="s">
        <v>40</v>
      </c>
      <c r="H6345" s="1">
        <v>42978</v>
      </c>
    </row>
    <row r="6346" spans="1:10" x14ac:dyDescent="0.3">
      <c r="A6346" t="s">
        <v>6477</v>
      </c>
      <c r="B6346" t="s">
        <v>9</v>
      </c>
      <c r="C6346" t="str">
        <f>_xlfn.XLOOKUP(B6346,
[1]sales_teams!$A$2:$A$100,
[1]sales_teams!$B$2:$B$100)</f>
        <v>Dustin Brinkmann</v>
      </c>
      <c r="D6346" t="str">
        <f>_xlfn.XLOOKUP($B6346,sales_teams!$A$2:$A$36,sales_teams!C$2:C$36)</f>
        <v>Central</v>
      </c>
      <c r="E6346" t="s">
        <v>10</v>
      </c>
      <c r="F6346" t="s">
        <v>76</v>
      </c>
      <c r="G6346" t="s">
        <v>12</v>
      </c>
      <c r="H6346" s="1">
        <v>42978</v>
      </c>
      <c r="I6346" s="1">
        <v>43086</v>
      </c>
      <c r="J6346">
        <v>1374</v>
      </c>
    </row>
    <row r="6347" spans="1:10" x14ac:dyDescent="0.3">
      <c r="A6347" t="s">
        <v>6478</v>
      </c>
      <c r="B6347" t="s">
        <v>9</v>
      </c>
      <c r="C6347" t="str">
        <f>_xlfn.XLOOKUP(B6347,
[1]sales_teams!$A$2:$A$100,
[1]sales_teams!$B$2:$B$100)</f>
        <v>Dustin Brinkmann</v>
      </c>
      <c r="D6347" t="str">
        <f>_xlfn.XLOOKUP($B6347,sales_teams!$A$2:$A$36,sales_teams!C$2:C$36)</f>
        <v>Central</v>
      </c>
      <c r="E6347" t="s">
        <v>18</v>
      </c>
      <c r="F6347" t="s">
        <v>231</v>
      </c>
      <c r="G6347" t="s">
        <v>12</v>
      </c>
      <c r="H6347" s="1">
        <v>42978</v>
      </c>
      <c r="I6347" s="1">
        <v>43047</v>
      </c>
      <c r="J6347">
        <v>57</v>
      </c>
    </row>
    <row r="6348" spans="1:10" x14ac:dyDescent="0.3">
      <c r="A6348" t="s">
        <v>6479</v>
      </c>
      <c r="B6348" t="s">
        <v>88</v>
      </c>
      <c r="C6348" t="str">
        <f>_xlfn.XLOOKUP(B6348,
[1]sales_teams!$A$2:$A$100,
[1]sales_teams!$B$2:$B$100)</f>
        <v>Cara Losch</v>
      </c>
      <c r="D6348" t="str">
        <f>_xlfn.XLOOKUP($B6348,sales_teams!$A$2:$A$36,sales_teams!C$2:C$36)</f>
        <v>East</v>
      </c>
      <c r="E6348" t="s">
        <v>20</v>
      </c>
      <c r="G6348" t="s">
        <v>40</v>
      </c>
      <c r="H6348" s="1">
        <v>42978</v>
      </c>
    </row>
    <row r="6349" spans="1:10" x14ac:dyDescent="0.3">
      <c r="A6349" t="s">
        <v>6480</v>
      </c>
      <c r="B6349" t="s">
        <v>61</v>
      </c>
      <c r="C6349" t="str">
        <f>_xlfn.XLOOKUP(B6349,
[1]sales_teams!$A$2:$A$100,
[1]sales_teams!$B$2:$B$100)</f>
        <v>Dustin Brinkmann</v>
      </c>
      <c r="D6349" t="str">
        <f>_xlfn.XLOOKUP($B6349,sales_teams!$A$2:$A$36,sales_teams!C$2:C$36)</f>
        <v>Central</v>
      </c>
      <c r="E6349" t="s">
        <v>20</v>
      </c>
      <c r="F6349" t="s">
        <v>36</v>
      </c>
      <c r="G6349" t="s">
        <v>12</v>
      </c>
      <c r="H6349" s="1">
        <v>42978</v>
      </c>
      <c r="I6349" s="1">
        <v>42993</v>
      </c>
      <c r="J6349">
        <v>552</v>
      </c>
    </row>
    <row r="6350" spans="1:10" x14ac:dyDescent="0.3">
      <c r="A6350" t="s">
        <v>6481</v>
      </c>
      <c r="B6350" t="s">
        <v>61</v>
      </c>
      <c r="C6350" t="str">
        <f>_xlfn.XLOOKUP(B6350,
[1]sales_teams!$A$2:$A$100,
[1]sales_teams!$B$2:$B$100)</f>
        <v>Dustin Brinkmann</v>
      </c>
      <c r="D6350" t="str">
        <f>_xlfn.XLOOKUP($B6350,sales_teams!$A$2:$A$36,sales_teams!C$2:C$36)</f>
        <v>Central</v>
      </c>
      <c r="E6350" t="s">
        <v>18</v>
      </c>
      <c r="F6350" t="s">
        <v>170</v>
      </c>
      <c r="G6350" t="s">
        <v>12</v>
      </c>
      <c r="H6350" s="1">
        <v>42978</v>
      </c>
      <c r="I6350" s="1">
        <v>42981</v>
      </c>
      <c r="J6350">
        <v>59</v>
      </c>
    </row>
    <row r="6351" spans="1:10" x14ac:dyDescent="0.3">
      <c r="A6351" t="s">
        <v>6482</v>
      </c>
      <c r="B6351" t="s">
        <v>61</v>
      </c>
      <c r="C6351" t="str">
        <f>_xlfn.XLOOKUP(B6351,
[1]sales_teams!$A$2:$A$100,
[1]sales_teams!$B$2:$B$100)</f>
        <v>Dustin Brinkmann</v>
      </c>
      <c r="D6351" t="str">
        <f>_xlfn.XLOOKUP($B6351,sales_teams!$A$2:$A$36,sales_teams!C$2:C$36)</f>
        <v>Central</v>
      </c>
      <c r="E6351" t="s">
        <v>39</v>
      </c>
      <c r="F6351" t="s">
        <v>303</v>
      </c>
      <c r="G6351" t="s">
        <v>12</v>
      </c>
      <c r="H6351" s="1">
        <v>42978</v>
      </c>
      <c r="I6351" s="1">
        <v>43008</v>
      </c>
      <c r="J6351">
        <v>4011</v>
      </c>
    </row>
    <row r="6352" spans="1:10" x14ac:dyDescent="0.3">
      <c r="A6352" t="s">
        <v>6483</v>
      </c>
      <c r="B6352" t="s">
        <v>29</v>
      </c>
      <c r="C6352" t="str">
        <f>_xlfn.XLOOKUP(B6352,
[1]sales_teams!$A$2:$A$100,
[1]sales_teams!$B$2:$B$100)</f>
        <v>Celia Rouche</v>
      </c>
      <c r="D6352" t="str">
        <f>_xlfn.XLOOKUP($B6352,sales_teams!$A$2:$A$36,sales_teams!C$2:C$36)</f>
        <v>West</v>
      </c>
      <c r="E6352" t="s">
        <v>20</v>
      </c>
      <c r="G6352" t="s">
        <v>40</v>
      </c>
      <c r="H6352" s="1">
        <v>42978</v>
      </c>
    </row>
    <row r="6353" spans="1:10" x14ac:dyDescent="0.3">
      <c r="A6353" t="s">
        <v>6484</v>
      </c>
      <c r="B6353" t="s">
        <v>29</v>
      </c>
      <c r="C6353" t="str">
        <f>_xlfn.XLOOKUP(B6353,
[1]sales_teams!$A$2:$A$100,
[1]sales_teams!$B$2:$B$100)</f>
        <v>Celia Rouche</v>
      </c>
      <c r="D6353" t="str">
        <f>_xlfn.XLOOKUP($B6353,sales_teams!$A$2:$A$36,sales_teams!C$2:C$36)</f>
        <v>West</v>
      </c>
      <c r="E6353" t="s">
        <v>18</v>
      </c>
      <c r="F6353" t="s">
        <v>68</v>
      </c>
      <c r="G6353" t="s">
        <v>12</v>
      </c>
      <c r="H6353" s="1">
        <v>42978</v>
      </c>
      <c r="I6353" s="1">
        <v>43089</v>
      </c>
      <c r="J6353">
        <v>54</v>
      </c>
    </row>
    <row r="6354" spans="1:10" x14ac:dyDescent="0.3">
      <c r="A6354" t="s">
        <v>6485</v>
      </c>
      <c r="B6354" t="s">
        <v>29</v>
      </c>
      <c r="C6354" t="str">
        <f>_xlfn.XLOOKUP(B6354,
[1]sales_teams!$A$2:$A$100,
[1]sales_teams!$B$2:$B$100)</f>
        <v>Celia Rouche</v>
      </c>
      <c r="D6354" t="str">
        <f>_xlfn.XLOOKUP($B6354,sales_teams!$A$2:$A$36,sales_teams!C$2:C$36)</f>
        <v>West</v>
      </c>
      <c r="E6354" t="s">
        <v>39</v>
      </c>
      <c r="F6354" t="s">
        <v>100</v>
      </c>
      <c r="G6354" t="s">
        <v>12</v>
      </c>
      <c r="H6354" s="1">
        <v>42978</v>
      </c>
      <c r="I6354" s="1">
        <v>42985</v>
      </c>
      <c r="J6354">
        <v>3337</v>
      </c>
    </row>
    <row r="6355" spans="1:10" x14ac:dyDescent="0.3">
      <c r="A6355" t="s">
        <v>6486</v>
      </c>
      <c r="B6355" t="s">
        <v>73</v>
      </c>
      <c r="C6355" t="str">
        <f>_xlfn.XLOOKUP(B6355,
[1]sales_teams!$A$2:$A$100,
[1]sales_teams!$B$2:$B$100)</f>
        <v>Cara Losch</v>
      </c>
      <c r="D6355" t="str">
        <f>_xlfn.XLOOKUP($B6355,sales_teams!$A$2:$A$36,sales_teams!C$2:C$36)</f>
        <v>East</v>
      </c>
      <c r="E6355" t="s">
        <v>18</v>
      </c>
      <c r="F6355" t="s">
        <v>278</v>
      </c>
      <c r="G6355" t="s">
        <v>12</v>
      </c>
      <c r="H6355" s="1">
        <v>42978</v>
      </c>
      <c r="I6355" s="1">
        <v>43000</v>
      </c>
      <c r="J6355">
        <v>60</v>
      </c>
    </row>
    <row r="6356" spans="1:10" x14ac:dyDescent="0.3">
      <c r="A6356" t="s">
        <v>6487</v>
      </c>
      <c r="B6356" t="s">
        <v>23</v>
      </c>
      <c r="C6356" t="str">
        <f>_xlfn.XLOOKUP(B6356,
[1]sales_teams!$A$2:$A$100,
[1]sales_teams!$B$2:$B$100)</f>
        <v>Summer Sewald</v>
      </c>
      <c r="D6356" t="str">
        <f>_xlfn.XLOOKUP($B6356,sales_teams!$A$2:$A$36,sales_teams!C$2:C$36)</f>
        <v>West</v>
      </c>
      <c r="E6356" t="s">
        <v>20</v>
      </c>
      <c r="G6356" t="s">
        <v>40</v>
      </c>
      <c r="H6356" s="1">
        <v>42978</v>
      </c>
    </row>
    <row r="6357" spans="1:10" x14ac:dyDescent="0.3">
      <c r="A6357" t="s">
        <v>6488</v>
      </c>
      <c r="B6357" t="s">
        <v>23</v>
      </c>
      <c r="C6357" t="str">
        <f>_xlfn.XLOOKUP(B6357,
[1]sales_teams!$A$2:$A$100,
[1]sales_teams!$B$2:$B$100)</f>
        <v>Summer Sewald</v>
      </c>
      <c r="D6357" t="str">
        <f>_xlfn.XLOOKUP($B6357,sales_teams!$A$2:$A$36,sales_teams!C$2:C$36)</f>
        <v>West</v>
      </c>
      <c r="E6357" t="s">
        <v>10</v>
      </c>
      <c r="F6357" t="s">
        <v>313</v>
      </c>
      <c r="G6357" t="s">
        <v>12</v>
      </c>
      <c r="H6357" s="1">
        <v>42978</v>
      </c>
      <c r="I6357" s="1">
        <v>43058</v>
      </c>
      <c r="J6357">
        <v>1011</v>
      </c>
    </row>
    <row r="6358" spans="1:10" x14ac:dyDescent="0.3">
      <c r="A6358" t="s">
        <v>6489</v>
      </c>
      <c r="B6358" t="s">
        <v>26</v>
      </c>
      <c r="C6358" t="str">
        <f>_xlfn.XLOOKUP(B6358,
[1]sales_teams!$A$2:$A$100,
[1]sales_teams!$B$2:$B$100)</f>
        <v>Dustin Brinkmann</v>
      </c>
      <c r="D6358" t="str">
        <f>_xlfn.XLOOKUP($B6358,sales_teams!$A$2:$A$36,sales_teams!C$2:C$36)</f>
        <v>Central</v>
      </c>
      <c r="E6358" t="s">
        <v>20</v>
      </c>
      <c r="F6358" t="s">
        <v>111</v>
      </c>
      <c r="G6358" t="s">
        <v>12</v>
      </c>
      <c r="H6358" s="1">
        <v>42979</v>
      </c>
      <c r="I6358" s="1">
        <v>43072</v>
      </c>
      <c r="J6358">
        <v>514</v>
      </c>
    </row>
    <row r="6359" spans="1:10" x14ac:dyDescent="0.3">
      <c r="A6359" t="s">
        <v>6490</v>
      </c>
      <c r="B6359" t="s">
        <v>26</v>
      </c>
      <c r="C6359" t="str">
        <f>_xlfn.XLOOKUP(B6359,
[1]sales_teams!$A$2:$A$100,
[1]sales_teams!$B$2:$B$100)</f>
        <v>Dustin Brinkmann</v>
      </c>
      <c r="D6359" t="str">
        <f>_xlfn.XLOOKUP($B6359,sales_teams!$A$2:$A$36,sales_teams!C$2:C$36)</f>
        <v>Central</v>
      </c>
      <c r="E6359" t="s">
        <v>10</v>
      </c>
      <c r="F6359" t="s">
        <v>492</v>
      </c>
      <c r="G6359" t="s">
        <v>12</v>
      </c>
      <c r="H6359" s="1">
        <v>42979</v>
      </c>
      <c r="I6359" s="1">
        <v>43052</v>
      </c>
      <c r="J6359">
        <v>1060</v>
      </c>
    </row>
    <row r="6360" spans="1:10" x14ac:dyDescent="0.3">
      <c r="A6360" t="s">
        <v>6491</v>
      </c>
      <c r="B6360" t="s">
        <v>26</v>
      </c>
      <c r="C6360" t="str">
        <f>_xlfn.XLOOKUP(B6360,
[1]sales_teams!$A$2:$A$100,
[1]sales_teams!$B$2:$B$100)</f>
        <v>Dustin Brinkmann</v>
      </c>
      <c r="D6360" t="str">
        <f>_xlfn.XLOOKUP($B6360,sales_teams!$A$2:$A$36,sales_teams!C$2:C$36)</f>
        <v>Central</v>
      </c>
      <c r="E6360" t="s">
        <v>18</v>
      </c>
      <c r="F6360" t="s">
        <v>62</v>
      </c>
      <c r="G6360" t="s">
        <v>12</v>
      </c>
      <c r="H6360" s="1">
        <v>42979</v>
      </c>
      <c r="I6360" s="1">
        <v>43047</v>
      </c>
      <c r="J6360">
        <v>58</v>
      </c>
    </row>
    <row r="6361" spans="1:10" x14ac:dyDescent="0.3">
      <c r="A6361" t="s">
        <v>6492</v>
      </c>
      <c r="B6361" t="s">
        <v>118</v>
      </c>
      <c r="C6361" t="str">
        <f>_xlfn.XLOOKUP(B6361,
[1]sales_teams!$A$2:$A$100,
[1]sales_teams!$B$2:$B$100)</f>
        <v>Rocco Neubert</v>
      </c>
      <c r="D6361" t="str">
        <f>_xlfn.XLOOKUP($B6361,sales_teams!$A$2:$A$36,sales_teams!C$2:C$36)</f>
        <v>East</v>
      </c>
      <c r="E6361" t="s">
        <v>15</v>
      </c>
      <c r="F6361" t="s">
        <v>89</v>
      </c>
      <c r="G6361" t="s">
        <v>40</v>
      </c>
      <c r="H6361" s="1">
        <v>42979</v>
      </c>
    </row>
    <row r="6362" spans="1:10" x14ac:dyDescent="0.3">
      <c r="A6362" t="s">
        <v>6493</v>
      </c>
      <c r="B6362" t="s">
        <v>202</v>
      </c>
      <c r="C6362" t="str">
        <f>_xlfn.XLOOKUP(B6362,
[1]sales_teams!$A$2:$A$100,
[1]sales_teams!$B$2:$B$100)</f>
        <v>Dustin Brinkmann</v>
      </c>
      <c r="D6362" t="str">
        <f>_xlfn.XLOOKUP($B6362,sales_teams!$A$2:$A$36,sales_teams!C$2:C$36)</f>
        <v>Central</v>
      </c>
      <c r="E6362" t="s">
        <v>39</v>
      </c>
      <c r="F6362" t="s">
        <v>16</v>
      </c>
      <c r="G6362" t="s">
        <v>46</v>
      </c>
      <c r="H6362" s="1">
        <v>42979</v>
      </c>
      <c r="I6362" s="1">
        <v>43070</v>
      </c>
      <c r="J6362">
        <v>0</v>
      </c>
    </row>
    <row r="6363" spans="1:10" x14ac:dyDescent="0.3">
      <c r="A6363" t="s">
        <v>6494</v>
      </c>
      <c r="B6363" t="s">
        <v>164</v>
      </c>
      <c r="C6363" t="str">
        <f>_xlfn.XLOOKUP(B6363,
[1]sales_teams!$A$2:$A$100,
[1]sales_teams!$B$2:$B$100)</f>
        <v>Cara Losch</v>
      </c>
      <c r="D6363" t="str">
        <f>_xlfn.XLOOKUP($B6363,sales_teams!$A$2:$A$36,sales_teams!C$2:C$36)</f>
        <v>East</v>
      </c>
      <c r="E6363" t="s">
        <v>48</v>
      </c>
      <c r="F6363" t="s">
        <v>148</v>
      </c>
      <c r="G6363" t="s">
        <v>40</v>
      </c>
      <c r="H6363" s="1">
        <v>42979</v>
      </c>
    </row>
    <row r="6364" spans="1:10" x14ac:dyDescent="0.3">
      <c r="A6364" t="s">
        <v>6495</v>
      </c>
      <c r="B6364" t="s">
        <v>14</v>
      </c>
      <c r="C6364" t="str">
        <f>_xlfn.XLOOKUP(B6364,
[1]sales_teams!$A$2:$A$100,
[1]sales_teams!$B$2:$B$100)</f>
        <v>Melvin Marxen</v>
      </c>
      <c r="D6364" t="str">
        <f>_xlfn.XLOOKUP($B6364,sales_teams!$A$2:$A$36,sales_teams!C$2:C$36)</f>
        <v>Central</v>
      </c>
      <c r="E6364" t="s">
        <v>15</v>
      </c>
      <c r="F6364" t="s">
        <v>16</v>
      </c>
      <c r="G6364" t="s">
        <v>46</v>
      </c>
      <c r="H6364" s="1">
        <v>42979</v>
      </c>
      <c r="I6364" s="1">
        <v>42995</v>
      </c>
      <c r="J6364">
        <v>0</v>
      </c>
    </row>
    <row r="6365" spans="1:10" x14ac:dyDescent="0.3">
      <c r="A6365" t="s">
        <v>6496</v>
      </c>
      <c r="B6365" t="s">
        <v>14</v>
      </c>
      <c r="C6365" t="str">
        <f>_xlfn.XLOOKUP(B6365,
[1]sales_teams!$A$2:$A$100,
[1]sales_teams!$B$2:$B$100)</f>
        <v>Melvin Marxen</v>
      </c>
      <c r="D6365" t="str">
        <f>_xlfn.XLOOKUP($B6365,sales_teams!$A$2:$A$36,sales_teams!C$2:C$36)</f>
        <v>Central</v>
      </c>
      <c r="E6365" t="s">
        <v>15</v>
      </c>
      <c r="F6365" t="s">
        <v>11</v>
      </c>
      <c r="G6365" t="s">
        <v>12</v>
      </c>
      <c r="H6365" s="1">
        <v>42979</v>
      </c>
      <c r="I6365" s="1">
        <v>42990</v>
      </c>
      <c r="J6365">
        <v>4375</v>
      </c>
    </row>
    <row r="6366" spans="1:10" x14ac:dyDescent="0.3">
      <c r="A6366" t="s">
        <v>6497</v>
      </c>
      <c r="B6366" t="s">
        <v>14</v>
      </c>
      <c r="C6366" t="str">
        <f>_xlfn.XLOOKUP(B6366,
[1]sales_teams!$A$2:$A$100,
[1]sales_teams!$B$2:$B$100)</f>
        <v>Melvin Marxen</v>
      </c>
      <c r="D6366" t="str">
        <f>_xlfn.XLOOKUP($B6366,sales_teams!$A$2:$A$36,sales_teams!C$2:C$36)</f>
        <v>Central</v>
      </c>
      <c r="E6366" t="s">
        <v>15</v>
      </c>
      <c r="F6366" t="s">
        <v>126</v>
      </c>
      <c r="G6366" t="s">
        <v>12</v>
      </c>
      <c r="H6366" s="1">
        <v>42979</v>
      </c>
      <c r="I6366" s="1">
        <v>43073</v>
      </c>
      <c r="J6366">
        <v>4819</v>
      </c>
    </row>
    <row r="6367" spans="1:10" x14ac:dyDescent="0.3">
      <c r="A6367" t="s">
        <v>6498</v>
      </c>
      <c r="B6367" t="s">
        <v>67</v>
      </c>
      <c r="C6367" t="str">
        <f>_xlfn.XLOOKUP(B6367,
[1]sales_teams!$A$2:$A$100,
[1]sales_teams!$B$2:$B$100)</f>
        <v>Celia Rouche</v>
      </c>
      <c r="D6367" t="str">
        <f>_xlfn.XLOOKUP($B6367,sales_teams!$A$2:$A$36,sales_teams!C$2:C$36)</f>
        <v>West</v>
      </c>
      <c r="E6367" t="s">
        <v>18</v>
      </c>
      <c r="G6367" t="s">
        <v>40</v>
      </c>
      <c r="H6367" s="1">
        <v>42979</v>
      </c>
    </row>
    <row r="6368" spans="1:10" x14ac:dyDescent="0.3">
      <c r="A6368" t="s">
        <v>6499</v>
      </c>
      <c r="B6368" t="s">
        <v>44</v>
      </c>
      <c r="C6368" t="str">
        <f>_xlfn.XLOOKUP(B6368,
[1]sales_teams!$A$2:$A$100,
[1]sales_teams!$B$2:$B$100)</f>
        <v>Melvin Marxen</v>
      </c>
      <c r="D6368" t="str">
        <f>_xlfn.XLOOKUP($B6368,sales_teams!$A$2:$A$36,sales_teams!C$2:C$36)</f>
        <v>Central</v>
      </c>
      <c r="E6368" t="s">
        <v>15</v>
      </c>
      <c r="F6368" t="s">
        <v>111</v>
      </c>
      <c r="G6368" t="s">
        <v>12</v>
      </c>
      <c r="H6368" s="1">
        <v>42979</v>
      </c>
      <c r="I6368" s="1">
        <v>43043</v>
      </c>
      <c r="J6368">
        <v>5729</v>
      </c>
    </row>
    <row r="6369" spans="1:10" x14ac:dyDescent="0.3">
      <c r="A6369" t="s">
        <v>6500</v>
      </c>
      <c r="B6369" t="s">
        <v>44</v>
      </c>
      <c r="C6369" t="str">
        <f>_xlfn.XLOOKUP(B6369,
[1]sales_teams!$A$2:$A$100,
[1]sales_teams!$B$2:$B$100)</f>
        <v>Melvin Marxen</v>
      </c>
      <c r="D6369" t="str">
        <f>_xlfn.XLOOKUP($B6369,sales_teams!$A$2:$A$36,sales_teams!C$2:C$36)</f>
        <v>Central</v>
      </c>
      <c r="E6369" t="s">
        <v>39</v>
      </c>
      <c r="F6369" t="s">
        <v>76</v>
      </c>
      <c r="G6369" t="s">
        <v>12</v>
      </c>
      <c r="H6369" s="1">
        <v>42979</v>
      </c>
      <c r="I6369" s="1">
        <v>43045</v>
      </c>
      <c r="J6369">
        <v>3447</v>
      </c>
    </row>
    <row r="6370" spans="1:10" x14ac:dyDescent="0.3">
      <c r="A6370" t="s">
        <v>6501</v>
      </c>
      <c r="B6370" t="s">
        <v>38</v>
      </c>
      <c r="C6370" t="str">
        <f>_xlfn.XLOOKUP(B6370,
[1]sales_teams!$A$2:$A$100,
[1]sales_teams!$B$2:$B$100)</f>
        <v>Summer Sewald</v>
      </c>
      <c r="D6370" t="str">
        <f>_xlfn.XLOOKUP($B6370,sales_teams!$A$2:$A$36,sales_teams!C$2:C$36)</f>
        <v>West</v>
      </c>
      <c r="E6370" t="s">
        <v>48</v>
      </c>
      <c r="G6370" t="s">
        <v>40</v>
      </c>
      <c r="H6370" s="1">
        <v>42979</v>
      </c>
    </row>
    <row r="6371" spans="1:10" x14ac:dyDescent="0.3">
      <c r="A6371" t="s">
        <v>6502</v>
      </c>
      <c r="B6371" t="s">
        <v>38</v>
      </c>
      <c r="C6371" t="str">
        <f>_xlfn.XLOOKUP(B6371,
[1]sales_teams!$A$2:$A$100,
[1]sales_teams!$B$2:$B$100)</f>
        <v>Summer Sewald</v>
      </c>
      <c r="D6371" t="str">
        <f>_xlfn.XLOOKUP($B6371,sales_teams!$A$2:$A$36,sales_teams!C$2:C$36)</f>
        <v>West</v>
      </c>
      <c r="E6371" t="s">
        <v>48</v>
      </c>
      <c r="F6371" t="s">
        <v>224</v>
      </c>
      <c r="G6371" t="s">
        <v>12</v>
      </c>
      <c r="H6371" s="1">
        <v>42979</v>
      </c>
      <c r="I6371" s="1">
        <v>43052</v>
      </c>
      <c r="J6371">
        <v>6101</v>
      </c>
    </row>
    <row r="6372" spans="1:10" x14ac:dyDescent="0.3">
      <c r="A6372" t="s">
        <v>6503</v>
      </c>
      <c r="B6372" t="s">
        <v>78</v>
      </c>
      <c r="C6372" t="str">
        <f>_xlfn.XLOOKUP(B6372,
[1]sales_teams!$A$2:$A$100,
[1]sales_teams!$B$2:$B$100)</f>
        <v>Summer Sewald</v>
      </c>
      <c r="D6372" t="str">
        <f>_xlfn.XLOOKUP($B6372,sales_teams!$A$2:$A$36,sales_teams!C$2:C$36)</f>
        <v>West</v>
      </c>
      <c r="E6372" t="s">
        <v>10</v>
      </c>
      <c r="F6372" t="s">
        <v>30</v>
      </c>
      <c r="G6372" t="s">
        <v>12</v>
      </c>
      <c r="H6372" s="1">
        <v>42979</v>
      </c>
      <c r="I6372" s="1">
        <v>42996</v>
      </c>
      <c r="J6372">
        <v>1088</v>
      </c>
    </row>
    <row r="6373" spans="1:10" x14ac:dyDescent="0.3">
      <c r="A6373" t="s">
        <v>6504</v>
      </c>
      <c r="B6373" t="s">
        <v>78</v>
      </c>
      <c r="C6373" t="str">
        <f>_xlfn.XLOOKUP(B6373,
[1]sales_teams!$A$2:$A$100,
[1]sales_teams!$B$2:$B$100)</f>
        <v>Summer Sewald</v>
      </c>
      <c r="D6373" t="str">
        <f>_xlfn.XLOOKUP($B6373,sales_teams!$A$2:$A$36,sales_teams!C$2:C$36)</f>
        <v>West</v>
      </c>
      <c r="E6373" t="s">
        <v>48</v>
      </c>
      <c r="F6373" t="s">
        <v>49</v>
      </c>
      <c r="G6373" t="s">
        <v>12</v>
      </c>
      <c r="H6373" s="1">
        <v>42979</v>
      </c>
      <c r="I6373" s="1">
        <v>42995</v>
      </c>
      <c r="J6373">
        <v>5431</v>
      </c>
    </row>
    <row r="6374" spans="1:10" x14ac:dyDescent="0.3">
      <c r="A6374" t="s">
        <v>6505</v>
      </c>
      <c r="B6374" t="s">
        <v>78</v>
      </c>
      <c r="C6374" t="str">
        <f>_xlfn.XLOOKUP(B6374,
[1]sales_teams!$A$2:$A$100,
[1]sales_teams!$B$2:$B$100)</f>
        <v>Summer Sewald</v>
      </c>
      <c r="D6374" t="str">
        <f>_xlfn.XLOOKUP($B6374,sales_teams!$A$2:$A$36,sales_teams!C$2:C$36)</f>
        <v>West</v>
      </c>
      <c r="E6374" t="s">
        <v>18</v>
      </c>
      <c r="F6374" t="s">
        <v>315</v>
      </c>
      <c r="G6374" t="s">
        <v>12</v>
      </c>
      <c r="H6374" s="1">
        <v>42979</v>
      </c>
      <c r="I6374" s="1">
        <v>43082</v>
      </c>
      <c r="J6374">
        <v>50</v>
      </c>
    </row>
    <row r="6375" spans="1:10" x14ac:dyDescent="0.3">
      <c r="A6375" t="s">
        <v>6506</v>
      </c>
      <c r="B6375" t="s">
        <v>78</v>
      </c>
      <c r="C6375" t="str">
        <f>_xlfn.XLOOKUP(B6375,
[1]sales_teams!$A$2:$A$100,
[1]sales_teams!$B$2:$B$100)</f>
        <v>Summer Sewald</v>
      </c>
      <c r="D6375" t="str">
        <f>_xlfn.XLOOKUP($B6375,sales_teams!$A$2:$A$36,sales_teams!C$2:C$36)</f>
        <v>West</v>
      </c>
      <c r="E6375" t="s">
        <v>18</v>
      </c>
      <c r="F6375" t="s">
        <v>199</v>
      </c>
      <c r="G6375" t="s">
        <v>12</v>
      </c>
      <c r="H6375" s="1">
        <v>42979</v>
      </c>
      <c r="I6375" s="1">
        <v>43064</v>
      </c>
      <c r="J6375">
        <v>62</v>
      </c>
    </row>
    <row r="6376" spans="1:10" x14ac:dyDescent="0.3">
      <c r="A6376" t="s">
        <v>6507</v>
      </c>
      <c r="B6376" t="s">
        <v>95</v>
      </c>
      <c r="C6376" t="str">
        <f>_xlfn.XLOOKUP(B6376,
[1]sales_teams!$A$2:$A$100,
[1]sales_teams!$B$2:$B$100)</f>
        <v>Summer Sewald</v>
      </c>
      <c r="D6376" t="str">
        <f>_xlfn.XLOOKUP($B6376,sales_teams!$A$2:$A$36,sales_teams!C$2:C$36)</f>
        <v>West</v>
      </c>
      <c r="E6376" t="s">
        <v>18</v>
      </c>
      <c r="F6376" t="s">
        <v>79</v>
      </c>
      <c r="G6376" t="s">
        <v>12</v>
      </c>
      <c r="H6376" s="1">
        <v>42979</v>
      </c>
      <c r="I6376" s="1">
        <v>43068</v>
      </c>
      <c r="J6376">
        <v>57</v>
      </c>
    </row>
    <row r="6377" spans="1:10" x14ac:dyDescent="0.3">
      <c r="A6377" t="s">
        <v>6508</v>
      </c>
      <c r="B6377" t="s">
        <v>35</v>
      </c>
      <c r="C6377" t="str">
        <f>_xlfn.XLOOKUP(B6377,
[1]sales_teams!$A$2:$A$100,
[1]sales_teams!$B$2:$B$100)</f>
        <v>Melvin Marxen</v>
      </c>
      <c r="D6377" t="str">
        <f>_xlfn.XLOOKUP($B6377,sales_teams!$A$2:$A$36,sales_teams!C$2:C$36)</f>
        <v>Central</v>
      </c>
      <c r="E6377" t="s">
        <v>10</v>
      </c>
      <c r="F6377" t="s">
        <v>36</v>
      </c>
      <c r="G6377" t="s">
        <v>12</v>
      </c>
      <c r="H6377" s="1">
        <v>42979</v>
      </c>
      <c r="I6377" s="1">
        <v>42992</v>
      </c>
      <c r="J6377">
        <v>1098</v>
      </c>
    </row>
    <row r="6378" spans="1:10" x14ac:dyDescent="0.3">
      <c r="A6378" t="s">
        <v>6509</v>
      </c>
      <c r="B6378" t="s">
        <v>88</v>
      </c>
      <c r="C6378" t="str">
        <f>_xlfn.XLOOKUP(B6378,
[1]sales_teams!$A$2:$A$100,
[1]sales_teams!$B$2:$B$100)</f>
        <v>Cara Losch</v>
      </c>
      <c r="D6378" t="str">
        <f>_xlfn.XLOOKUP($B6378,sales_teams!$A$2:$A$36,sales_teams!C$2:C$36)</f>
        <v>East</v>
      </c>
      <c r="E6378" t="s">
        <v>10</v>
      </c>
      <c r="F6378" t="s">
        <v>189</v>
      </c>
      <c r="G6378" t="s">
        <v>12</v>
      </c>
      <c r="H6378" s="1">
        <v>42979</v>
      </c>
      <c r="I6378" s="1">
        <v>43055</v>
      </c>
      <c r="J6378">
        <v>975</v>
      </c>
    </row>
    <row r="6379" spans="1:10" x14ac:dyDescent="0.3">
      <c r="A6379" t="s">
        <v>6510</v>
      </c>
      <c r="B6379" t="s">
        <v>88</v>
      </c>
      <c r="C6379" t="str">
        <f>_xlfn.XLOOKUP(B6379,
[1]sales_teams!$A$2:$A$100,
[1]sales_teams!$B$2:$B$100)</f>
        <v>Cara Losch</v>
      </c>
      <c r="D6379" t="str">
        <f>_xlfn.XLOOKUP($B6379,sales_teams!$A$2:$A$36,sales_teams!C$2:C$36)</f>
        <v>East</v>
      </c>
      <c r="E6379" t="s">
        <v>18</v>
      </c>
      <c r="F6379" t="s">
        <v>215</v>
      </c>
      <c r="G6379" t="s">
        <v>12</v>
      </c>
      <c r="H6379" s="1">
        <v>42979</v>
      </c>
      <c r="I6379" s="1">
        <v>43044</v>
      </c>
      <c r="J6379">
        <v>56</v>
      </c>
    </row>
    <row r="6380" spans="1:10" x14ac:dyDescent="0.3">
      <c r="A6380" t="s">
        <v>6511</v>
      </c>
      <c r="B6380" t="s">
        <v>61</v>
      </c>
      <c r="C6380" t="str">
        <f>_xlfn.XLOOKUP(B6380,
[1]sales_teams!$A$2:$A$100,
[1]sales_teams!$B$2:$B$100)</f>
        <v>Dustin Brinkmann</v>
      </c>
      <c r="D6380" t="str">
        <f>_xlfn.XLOOKUP($B6380,sales_teams!$A$2:$A$36,sales_teams!C$2:C$36)</f>
        <v>Central</v>
      </c>
      <c r="E6380" t="s">
        <v>18</v>
      </c>
      <c r="F6380" t="s">
        <v>213</v>
      </c>
      <c r="G6380" t="s">
        <v>12</v>
      </c>
      <c r="H6380" s="1">
        <v>42979</v>
      </c>
      <c r="I6380" s="1">
        <v>42992</v>
      </c>
      <c r="J6380">
        <v>63</v>
      </c>
    </row>
    <row r="6381" spans="1:10" x14ac:dyDescent="0.3">
      <c r="A6381" t="s">
        <v>6512</v>
      </c>
      <c r="B6381" t="s">
        <v>61</v>
      </c>
      <c r="C6381" t="str">
        <f>_xlfn.XLOOKUP(B6381,
[1]sales_teams!$A$2:$A$100,
[1]sales_teams!$B$2:$B$100)</f>
        <v>Dustin Brinkmann</v>
      </c>
      <c r="D6381" t="str">
        <f>_xlfn.XLOOKUP($B6381,sales_teams!$A$2:$A$36,sales_teams!C$2:C$36)</f>
        <v>Central</v>
      </c>
      <c r="E6381" t="s">
        <v>18</v>
      </c>
      <c r="F6381" t="s">
        <v>16</v>
      </c>
      <c r="G6381" t="s">
        <v>12</v>
      </c>
      <c r="H6381" s="1">
        <v>42979</v>
      </c>
      <c r="I6381" s="1">
        <v>42989</v>
      </c>
      <c r="J6381">
        <v>61</v>
      </c>
    </row>
    <row r="6382" spans="1:10" x14ac:dyDescent="0.3">
      <c r="A6382" t="s">
        <v>6513</v>
      </c>
      <c r="B6382" t="s">
        <v>23</v>
      </c>
      <c r="C6382" t="str">
        <f>_xlfn.XLOOKUP(B6382,
[1]sales_teams!$A$2:$A$100,
[1]sales_teams!$B$2:$B$100)</f>
        <v>Summer Sewald</v>
      </c>
      <c r="D6382" t="str">
        <f>_xlfn.XLOOKUP($B6382,sales_teams!$A$2:$A$36,sales_teams!C$2:C$36)</f>
        <v>West</v>
      </c>
      <c r="E6382" t="s">
        <v>20</v>
      </c>
      <c r="F6382" t="s">
        <v>86</v>
      </c>
      <c r="G6382" t="s">
        <v>12</v>
      </c>
      <c r="H6382" s="1">
        <v>42979</v>
      </c>
      <c r="I6382" s="1">
        <v>43072</v>
      </c>
      <c r="J6382">
        <v>614</v>
      </c>
    </row>
    <row r="6383" spans="1:10" x14ac:dyDescent="0.3">
      <c r="A6383" t="s">
        <v>6514</v>
      </c>
      <c r="B6383" t="s">
        <v>26</v>
      </c>
      <c r="C6383" t="str">
        <f>_xlfn.XLOOKUP(B6383,
[1]sales_teams!$A$2:$A$100,
[1]sales_teams!$B$2:$B$100)</f>
        <v>Dustin Brinkmann</v>
      </c>
      <c r="D6383" t="str">
        <f>_xlfn.XLOOKUP($B6383,sales_teams!$A$2:$A$36,sales_teams!C$2:C$36)</f>
        <v>Central</v>
      </c>
      <c r="E6383" t="s">
        <v>18</v>
      </c>
      <c r="F6383" t="s">
        <v>109</v>
      </c>
      <c r="G6383" t="s">
        <v>46</v>
      </c>
      <c r="H6383" s="1">
        <v>42980</v>
      </c>
      <c r="I6383" s="1">
        <v>43043</v>
      </c>
      <c r="J6383">
        <v>0</v>
      </c>
    </row>
    <row r="6384" spans="1:10" x14ac:dyDescent="0.3">
      <c r="A6384" t="s">
        <v>6515</v>
      </c>
      <c r="B6384" t="s">
        <v>14</v>
      </c>
      <c r="C6384" t="str">
        <f>_xlfn.XLOOKUP(B6384,
[1]sales_teams!$A$2:$A$100,
[1]sales_teams!$B$2:$B$100)</f>
        <v>Melvin Marxen</v>
      </c>
      <c r="D6384" t="str">
        <f>_xlfn.XLOOKUP($B6384,sales_teams!$A$2:$A$36,sales_teams!C$2:C$36)</f>
        <v>Central</v>
      </c>
      <c r="E6384" t="s">
        <v>15</v>
      </c>
      <c r="F6384" t="s">
        <v>303</v>
      </c>
      <c r="G6384" t="s">
        <v>46</v>
      </c>
      <c r="H6384" s="1">
        <v>42980</v>
      </c>
      <c r="I6384" s="1">
        <v>43082</v>
      </c>
      <c r="J6384">
        <v>0</v>
      </c>
    </row>
    <row r="6385" spans="1:10" x14ac:dyDescent="0.3">
      <c r="A6385" t="s">
        <v>6516</v>
      </c>
      <c r="B6385" t="s">
        <v>67</v>
      </c>
      <c r="C6385" t="str">
        <f>_xlfn.XLOOKUP(B6385,
[1]sales_teams!$A$2:$A$100,
[1]sales_teams!$B$2:$B$100)</f>
        <v>Celia Rouche</v>
      </c>
      <c r="D6385" t="str">
        <f>_xlfn.XLOOKUP($B6385,sales_teams!$A$2:$A$36,sales_teams!C$2:C$36)</f>
        <v>West</v>
      </c>
      <c r="E6385" t="s">
        <v>48</v>
      </c>
      <c r="F6385" t="s">
        <v>124</v>
      </c>
      <c r="G6385" t="s">
        <v>40</v>
      </c>
      <c r="H6385" s="1">
        <v>42980</v>
      </c>
    </row>
    <row r="6386" spans="1:10" x14ac:dyDescent="0.3">
      <c r="A6386" t="s">
        <v>6517</v>
      </c>
      <c r="B6386" t="s">
        <v>105</v>
      </c>
      <c r="C6386" t="str">
        <f>_xlfn.XLOOKUP(B6386,
[1]sales_teams!$A$2:$A$100,
[1]sales_teams!$B$2:$B$100)</f>
        <v>Cara Losch</v>
      </c>
      <c r="D6386" t="str">
        <f>_xlfn.XLOOKUP($B6386,sales_teams!$A$2:$A$36,sales_teams!C$2:C$36)</f>
        <v>East</v>
      </c>
      <c r="E6386" t="s">
        <v>18</v>
      </c>
      <c r="F6386" t="s">
        <v>98</v>
      </c>
      <c r="G6386" t="s">
        <v>12</v>
      </c>
      <c r="H6386" s="1">
        <v>42980</v>
      </c>
      <c r="I6386" s="1">
        <v>42995</v>
      </c>
      <c r="J6386">
        <v>57</v>
      </c>
    </row>
    <row r="6387" spans="1:10" x14ac:dyDescent="0.3">
      <c r="A6387" t="s">
        <v>6518</v>
      </c>
      <c r="B6387" t="s">
        <v>44</v>
      </c>
      <c r="C6387" t="str">
        <f>_xlfn.XLOOKUP(B6387,
[1]sales_teams!$A$2:$A$100,
[1]sales_teams!$B$2:$B$100)</f>
        <v>Melvin Marxen</v>
      </c>
      <c r="D6387" t="str">
        <f>_xlfn.XLOOKUP($B6387,sales_teams!$A$2:$A$36,sales_teams!C$2:C$36)</f>
        <v>Central</v>
      </c>
      <c r="E6387" t="s">
        <v>18</v>
      </c>
      <c r="F6387" t="s">
        <v>207</v>
      </c>
      <c r="G6387" t="s">
        <v>12</v>
      </c>
      <c r="H6387" s="1">
        <v>42980</v>
      </c>
      <c r="I6387" s="1">
        <v>43073</v>
      </c>
      <c r="J6387">
        <v>58</v>
      </c>
    </row>
    <row r="6388" spans="1:10" x14ac:dyDescent="0.3">
      <c r="A6388" t="s">
        <v>6519</v>
      </c>
      <c r="B6388" t="s">
        <v>54</v>
      </c>
      <c r="C6388" t="str">
        <f>_xlfn.XLOOKUP(B6388,
[1]sales_teams!$A$2:$A$100,
[1]sales_teams!$B$2:$B$100)</f>
        <v>Celia Rouche</v>
      </c>
      <c r="D6388" t="str">
        <f>_xlfn.XLOOKUP($B6388,sales_teams!$A$2:$A$36,sales_teams!C$2:C$36)</f>
        <v>West</v>
      </c>
      <c r="E6388" t="s">
        <v>10</v>
      </c>
      <c r="F6388" t="s">
        <v>24</v>
      </c>
      <c r="G6388" t="s">
        <v>46</v>
      </c>
      <c r="H6388" s="1">
        <v>42980</v>
      </c>
      <c r="I6388" s="1">
        <v>43089</v>
      </c>
      <c r="J6388">
        <v>0</v>
      </c>
    </row>
    <row r="6389" spans="1:10" x14ac:dyDescent="0.3">
      <c r="A6389" t="s">
        <v>6520</v>
      </c>
      <c r="B6389" t="s">
        <v>54</v>
      </c>
      <c r="C6389" t="str">
        <f>_xlfn.XLOOKUP(B6389,
[1]sales_teams!$A$2:$A$100,
[1]sales_teams!$B$2:$B$100)</f>
        <v>Celia Rouche</v>
      </c>
      <c r="D6389" t="str">
        <f>_xlfn.XLOOKUP($B6389,sales_teams!$A$2:$A$36,sales_teams!C$2:C$36)</f>
        <v>West</v>
      </c>
      <c r="E6389" t="s">
        <v>39</v>
      </c>
      <c r="F6389" t="s">
        <v>148</v>
      </c>
      <c r="G6389" t="s">
        <v>12</v>
      </c>
      <c r="H6389" s="1">
        <v>42980</v>
      </c>
      <c r="I6389" s="1">
        <v>43084</v>
      </c>
      <c r="J6389">
        <v>3482</v>
      </c>
    </row>
    <row r="6390" spans="1:10" x14ac:dyDescent="0.3">
      <c r="A6390" t="s">
        <v>6521</v>
      </c>
      <c r="B6390" t="s">
        <v>38</v>
      </c>
      <c r="C6390" t="str">
        <f>_xlfn.XLOOKUP(B6390,
[1]sales_teams!$A$2:$A$100,
[1]sales_teams!$B$2:$B$100)</f>
        <v>Summer Sewald</v>
      </c>
      <c r="D6390" t="str">
        <f>_xlfn.XLOOKUP($B6390,sales_teams!$A$2:$A$36,sales_teams!C$2:C$36)</f>
        <v>West</v>
      </c>
      <c r="E6390" t="s">
        <v>48</v>
      </c>
      <c r="F6390" t="s">
        <v>24</v>
      </c>
      <c r="G6390" t="s">
        <v>46</v>
      </c>
      <c r="H6390" s="1">
        <v>42980</v>
      </c>
      <c r="I6390" s="1">
        <v>43044</v>
      </c>
      <c r="J6390">
        <v>0</v>
      </c>
    </row>
    <row r="6391" spans="1:10" x14ac:dyDescent="0.3">
      <c r="A6391" t="s">
        <v>6522</v>
      </c>
      <c r="B6391" t="s">
        <v>38</v>
      </c>
      <c r="C6391" t="str">
        <f>_xlfn.XLOOKUP(B6391,
[1]sales_teams!$A$2:$A$100,
[1]sales_teams!$B$2:$B$100)</f>
        <v>Summer Sewald</v>
      </c>
      <c r="D6391" t="str">
        <f>_xlfn.XLOOKUP($B6391,sales_teams!$A$2:$A$36,sales_teams!C$2:C$36)</f>
        <v>West</v>
      </c>
      <c r="E6391" t="s">
        <v>48</v>
      </c>
      <c r="F6391" t="s">
        <v>273</v>
      </c>
      <c r="G6391" t="s">
        <v>46</v>
      </c>
      <c r="H6391" s="1">
        <v>42980</v>
      </c>
      <c r="I6391" s="1">
        <v>43050</v>
      </c>
      <c r="J6391">
        <v>0</v>
      </c>
    </row>
    <row r="6392" spans="1:10" x14ac:dyDescent="0.3">
      <c r="A6392" t="s">
        <v>6523</v>
      </c>
      <c r="B6392" t="s">
        <v>38</v>
      </c>
      <c r="C6392" t="str">
        <f>_xlfn.XLOOKUP(B6392,
[1]sales_teams!$A$2:$A$100,
[1]sales_teams!$B$2:$B$100)</f>
        <v>Summer Sewald</v>
      </c>
      <c r="D6392" t="str">
        <f>_xlfn.XLOOKUP($B6392,sales_teams!$A$2:$A$36,sales_teams!C$2:C$36)</f>
        <v>West</v>
      </c>
      <c r="E6392" t="s">
        <v>20</v>
      </c>
      <c r="F6392" t="s">
        <v>168</v>
      </c>
      <c r="G6392" t="s">
        <v>12</v>
      </c>
      <c r="H6392" s="1">
        <v>42980</v>
      </c>
      <c r="I6392" s="1">
        <v>43063</v>
      </c>
      <c r="J6392">
        <v>529</v>
      </c>
    </row>
    <row r="6393" spans="1:10" x14ac:dyDescent="0.3">
      <c r="A6393" t="s">
        <v>6524</v>
      </c>
      <c r="B6393" t="s">
        <v>95</v>
      </c>
      <c r="C6393" t="str">
        <f>_xlfn.XLOOKUP(B6393,
[1]sales_teams!$A$2:$A$100,
[1]sales_teams!$B$2:$B$100)</f>
        <v>Summer Sewald</v>
      </c>
      <c r="D6393" t="str">
        <f>_xlfn.XLOOKUP($B6393,sales_teams!$A$2:$A$36,sales_teams!C$2:C$36)</f>
        <v>West</v>
      </c>
      <c r="E6393" t="s">
        <v>39</v>
      </c>
      <c r="F6393" t="s">
        <v>313</v>
      </c>
      <c r="G6393" t="s">
        <v>46</v>
      </c>
      <c r="H6393" s="1">
        <v>42980</v>
      </c>
      <c r="I6393" s="1">
        <v>43063</v>
      </c>
      <c r="J6393">
        <v>0</v>
      </c>
    </row>
    <row r="6394" spans="1:10" x14ac:dyDescent="0.3">
      <c r="A6394" t="s">
        <v>6525</v>
      </c>
      <c r="B6394" t="s">
        <v>95</v>
      </c>
      <c r="C6394" t="str">
        <f>_xlfn.XLOOKUP(B6394,
[1]sales_teams!$A$2:$A$100,
[1]sales_teams!$B$2:$B$100)</f>
        <v>Summer Sewald</v>
      </c>
      <c r="D6394" t="str">
        <f>_xlfn.XLOOKUP($B6394,sales_teams!$A$2:$A$36,sales_teams!C$2:C$36)</f>
        <v>West</v>
      </c>
      <c r="E6394" t="s">
        <v>20</v>
      </c>
      <c r="F6394" t="s">
        <v>168</v>
      </c>
      <c r="G6394" t="s">
        <v>12</v>
      </c>
      <c r="H6394" s="1">
        <v>42980</v>
      </c>
      <c r="I6394" s="1">
        <v>43047</v>
      </c>
      <c r="J6394">
        <v>505</v>
      </c>
    </row>
    <row r="6395" spans="1:10" x14ac:dyDescent="0.3">
      <c r="A6395" t="s">
        <v>6526</v>
      </c>
      <c r="B6395" t="s">
        <v>32</v>
      </c>
      <c r="C6395" t="str">
        <f>_xlfn.XLOOKUP(B6395,
[1]sales_teams!$A$2:$A$100,
[1]sales_teams!$B$2:$B$100)</f>
        <v>Celia Rouche</v>
      </c>
      <c r="D6395" t="str">
        <f>_xlfn.XLOOKUP($B6395,sales_teams!$A$2:$A$36,sales_teams!C$2:C$36)</f>
        <v>West</v>
      </c>
      <c r="E6395" t="s">
        <v>20</v>
      </c>
      <c r="F6395" t="s">
        <v>52</v>
      </c>
      <c r="G6395" t="s">
        <v>12</v>
      </c>
      <c r="H6395" s="1">
        <v>42980</v>
      </c>
      <c r="I6395" s="1">
        <v>43096</v>
      </c>
      <c r="J6395">
        <v>456</v>
      </c>
    </row>
    <row r="6396" spans="1:10" x14ac:dyDescent="0.3">
      <c r="A6396" t="s">
        <v>6527</v>
      </c>
      <c r="B6396" t="s">
        <v>116</v>
      </c>
      <c r="C6396" t="str">
        <f>_xlfn.XLOOKUP(B6396,
[1]sales_teams!$A$2:$A$100,
[1]sales_teams!$B$2:$B$100)</f>
        <v>Melvin Marxen</v>
      </c>
      <c r="D6396" t="str">
        <f>_xlfn.XLOOKUP($B6396,sales_teams!$A$2:$A$36,sales_teams!C$2:C$36)</f>
        <v>Central</v>
      </c>
      <c r="E6396" t="s">
        <v>10</v>
      </c>
      <c r="F6396" t="s">
        <v>42</v>
      </c>
      <c r="G6396" t="s">
        <v>46</v>
      </c>
      <c r="H6396" s="1">
        <v>42980</v>
      </c>
      <c r="I6396" s="1">
        <v>43082</v>
      </c>
      <c r="J6396">
        <v>0</v>
      </c>
    </row>
    <row r="6397" spans="1:10" x14ac:dyDescent="0.3">
      <c r="A6397" t="s">
        <v>6528</v>
      </c>
      <c r="B6397" t="s">
        <v>116</v>
      </c>
      <c r="C6397" t="str">
        <f>_xlfn.XLOOKUP(B6397,
[1]sales_teams!$A$2:$A$100,
[1]sales_teams!$B$2:$B$100)</f>
        <v>Melvin Marxen</v>
      </c>
      <c r="D6397" t="str">
        <f>_xlfn.XLOOKUP($B6397,sales_teams!$A$2:$A$36,sales_teams!C$2:C$36)</f>
        <v>Central</v>
      </c>
      <c r="E6397" t="s">
        <v>10</v>
      </c>
      <c r="F6397" t="s">
        <v>111</v>
      </c>
      <c r="G6397" t="s">
        <v>46</v>
      </c>
      <c r="H6397" s="1">
        <v>42980</v>
      </c>
      <c r="I6397" s="1">
        <v>43068</v>
      </c>
      <c r="J6397">
        <v>0</v>
      </c>
    </row>
    <row r="6398" spans="1:10" x14ac:dyDescent="0.3">
      <c r="A6398" t="s">
        <v>6529</v>
      </c>
      <c r="B6398" t="s">
        <v>61</v>
      </c>
      <c r="C6398" t="str">
        <f>_xlfn.XLOOKUP(B6398,
[1]sales_teams!$A$2:$A$100,
[1]sales_teams!$B$2:$B$100)</f>
        <v>Dustin Brinkmann</v>
      </c>
      <c r="D6398" t="str">
        <f>_xlfn.XLOOKUP($B6398,sales_teams!$A$2:$A$36,sales_teams!C$2:C$36)</f>
        <v>Central</v>
      </c>
      <c r="E6398" t="s">
        <v>20</v>
      </c>
      <c r="F6398" t="s">
        <v>213</v>
      </c>
      <c r="G6398" t="s">
        <v>46</v>
      </c>
      <c r="H6398" s="1">
        <v>42980</v>
      </c>
      <c r="I6398" s="1">
        <v>43050</v>
      </c>
      <c r="J6398">
        <v>0</v>
      </c>
    </row>
    <row r="6399" spans="1:10" x14ac:dyDescent="0.3">
      <c r="A6399" t="s">
        <v>6530</v>
      </c>
      <c r="B6399" t="s">
        <v>61</v>
      </c>
      <c r="C6399" t="str">
        <f>_xlfn.XLOOKUP(B6399,
[1]sales_teams!$A$2:$A$100,
[1]sales_teams!$B$2:$B$100)</f>
        <v>Dustin Brinkmann</v>
      </c>
      <c r="D6399" t="str">
        <f>_xlfn.XLOOKUP($B6399,sales_teams!$A$2:$A$36,sales_teams!C$2:C$36)</f>
        <v>Central</v>
      </c>
      <c r="E6399" t="s">
        <v>18</v>
      </c>
      <c r="F6399" t="s">
        <v>315</v>
      </c>
      <c r="G6399" t="s">
        <v>46</v>
      </c>
      <c r="H6399" s="1">
        <v>42980</v>
      </c>
      <c r="I6399" s="1">
        <v>43069</v>
      </c>
      <c r="J6399">
        <v>0</v>
      </c>
    </row>
    <row r="6400" spans="1:10" x14ac:dyDescent="0.3">
      <c r="A6400" t="s">
        <v>6531</v>
      </c>
      <c r="B6400" t="s">
        <v>29</v>
      </c>
      <c r="C6400" t="str">
        <f>_xlfn.XLOOKUP(B6400,
[1]sales_teams!$A$2:$A$100,
[1]sales_teams!$B$2:$B$100)</f>
        <v>Celia Rouche</v>
      </c>
      <c r="D6400" t="str">
        <f>_xlfn.XLOOKUP($B6400,sales_teams!$A$2:$A$36,sales_teams!C$2:C$36)</f>
        <v>West</v>
      </c>
      <c r="E6400" t="s">
        <v>20</v>
      </c>
      <c r="F6400" t="s">
        <v>184</v>
      </c>
      <c r="G6400" t="s">
        <v>12</v>
      </c>
      <c r="H6400" s="1">
        <v>42980</v>
      </c>
      <c r="I6400" s="1">
        <v>42994</v>
      </c>
      <c r="J6400">
        <v>555</v>
      </c>
    </row>
    <row r="6401" spans="1:10" x14ac:dyDescent="0.3">
      <c r="A6401" t="s">
        <v>6532</v>
      </c>
      <c r="B6401" t="s">
        <v>29</v>
      </c>
      <c r="C6401" t="str">
        <f>_xlfn.XLOOKUP(B6401,
[1]sales_teams!$A$2:$A$100,
[1]sales_teams!$B$2:$B$100)</f>
        <v>Celia Rouche</v>
      </c>
      <c r="D6401" t="str">
        <f>_xlfn.XLOOKUP($B6401,sales_teams!$A$2:$A$36,sales_teams!C$2:C$36)</f>
        <v>West</v>
      </c>
      <c r="E6401" t="s">
        <v>18</v>
      </c>
      <c r="F6401" t="s">
        <v>199</v>
      </c>
      <c r="G6401" t="s">
        <v>12</v>
      </c>
      <c r="H6401" s="1">
        <v>42980</v>
      </c>
      <c r="I6401" s="1">
        <v>43001</v>
      </c>
      <c r="J6401">
        <v>47</v>
      </c>
    </row>
    <row r="6402" spans="1:10" x14ac:dyDescent="0.3">
      <c r="A6402" t="s">
        <v>6533</v>
      </c>
      <c r="B6402" t="s">
        <v>23</v>
      </c>
      <c r="C6402" t="str">
        <f>_xlfn.XLOOKUP(B6402,
[1]sales_teams!$A$2:$A$100,
[1]sales_teams!$B$2:$B$100)</f>
        <v>Summer Sewald</v>
      </c>
      <c r="D6402" t="str">
        <f>_xlfn.XLOOKUP($B6402,sales_teams!$A$2:$A$36,sales_teams!C$2:C$36)</f>
        <v>West</v>
      </c>
      <c r="E6402" t="s">
        <v>48</v>
      </c>
      <c r="G6402" t="s">
        <v>40</v>
      </c>
      <c r="H6402" s="1">
        <v>42980</v>
      </c>
    </row>
    <row r="6403" spans="1:10" x14ac:dyDescent="0.3">
      <c r="A6403" t="s">
        <v>6534</v>
      </c>
      <c r="B6403" t="s">
        <v>23</v>
      </c>
      <c r="C6403" t="str">
        <f>_xlfn.XLOOKUP(B6403,
[1]sales_teams!$A$2:$A$100,
[1]sales_teams!$B$2:$B$100)</f>
        <v>Summer Sewald</v>
      </c>
      <c r="D6403" t="str">
        <f>_xlfn.XLOOKUP($B6403,sales_teams!$A$2:$A$36,sales_teams!C$2:C$36)</f>
        <v>West</v>
      </c>
      <c r="E6403" t="s">
        <v>20</v>
      </c>
      <c r="F6403" t="s">
        <v>55</v>
      </c>
      <c r="G6403" t="s">
        <v>12</v>
      </c>
      <c r="H6403" s="1">
        <v>42980</v>
      </c>
      <c r="I6403" s="1">
        <v>43073</v>
      </c>
      <c r="J6403">
        <v>585</v>
      </c>
    </row>
    <row r="6404" spans="1:10" x14ac:dyDescent="0.3">
      <c r="A6404" t="s">
        <v>6535</v>
      </c>
      <c r="B6404" t="s">
        <v>26</v>
      </c>
      <c r="C6404" t="str">
        <f>_xlfn.XLOOKUP(B6404,
[1]sales_teams!$A$2:$A$100,
[1]sales_teams!$B$2:$B$100)</f>
        <v>Dustin Brinkmann</v>
      </c>
      <c r="D6404" t="str">
        <f>_xlfn.XLOOKUP($B6404,sales_teams!$A$2:$A$36,sales_teams!C$2:C$36)</f>
        <v>Central</v>
      </c>
      <c r="E6404" t="s">
        <v>18</v>
      </c>
      <c r="F6404" t="s">
        <v>42</v>
      </c>
      <c r="G6404" t="s">
        <v>12</v>
      </c>
      <c r="H6404" s="1">
        <v>42981</v>
      </c>
      <c r="I6404" s="1">
        <v>42984</v>
      </c>
      <c r="J6404">
        <v>64</v>
      </c>
    </row>
    <row r="6405" spans="1:10" x14ac:dyDescent="0.3">
      <c r="A6405" t="s">
        <v>6536</v>
      </c>
      <c r="B6405" t="s">
        <v>26</v>
      </c>
      <c r="C6405" t="str">
        <f>_xlfn.XLOOKUP(B6405,
[1]sales_teams!$A$2:$A$100,
[1]sales_teams!$B$2:$B$100)</f>
        <v>Dustin Brinkmann</v>
      </c>
      <c r="D6405" t="str">
        <f>_xlfn.XLOOKUP($B6405,sales_teams!$A$2:$A$36,sales_teams!C$2:C$36)</f>
        <v>Central</v>
      </c>
      <c r="E6405" t="s">
        <v>18</v>
      </c>
      <c r="F6405" t="s">
        <v>318</v>
      </c>
      <c r="G6405" t="s">
        <v>12</v>
      </c>
      <c r="H6405" s="1">
        <v>42981</v>
      </c>
      <c r="I6405" s="1">
        <v>43060</v>
      </c>
      <c r="J6405">
        <v>58</v>
      </c>
    </row>
    <row r="6406" spans="1:10" x14ac:dyDescent="0.3">
      <c r="A6406" t="s">
        <v>6537</v>
      </c>
      <c r="B6406" t="s">
        <v>118</v>
      </c>
      <c r="C6406" t="str">
        <f>_xlfn.XLOOKUP(B6406,
[1]sales_teams!$A$2:$A$100,
[1]sales_teams!$B$2:$B$100)</f>
        <v>Rocco Neubert</v>
      </c>
      <c r="D6406" t="str">
        <f>_xlfn.XLOOKUP($B6406,sales_teams!$A$2:$A$36,sales_teams!C$2:C$36)</f>
        <v>East</v>
      </c>
      <c r="E6406" t="s">
        <v>20</v>
      </c>
      <c r="G6406" t="s">
        <v>40</v>
      </c>
      <c r="H6406" s="1">
        <v>42981</v>
      </c>
    </row>
    <row r="6407" spans="1:10" x14ac:dyDescent="0.3">
      <c r="A6407" t="s">
        <v>6538</v>
      </c>
      <c r="B6407" t="s">
        <v>142</v>
      </c>
      <c r="C6407" t="str">
        <f>_xlfn.XLOOKUP(B6407,
[1]sales_teams!$A$2:$A$100,
[1]sales_teams!$B$2:$B$100)</f>
        <v>Rocco Neubert</v>
      </c>
      <c r="D6407" t="str">
        <f>_xlfn.XLOOKUP($B6407,sales_teams!$A$2:$A$36,sales_teams!C$2:C$36)</f>
        <v>East</v>
      </c>
      <c r="E6407" t="s">
        <v>20</v>
      </c>
      <c r="F6407" t="s">
        <v>237</v>
      </c>
      <c r="G6407" t="s">
        <v>12</v>
      </c>
      <c r="H6407" s="1">
        <v>42981</v>
      </c>
      <c r="I6407" s="1">
        <v>42986</v>
      </c>
      <c r="J6407">
        <v>635</v>
      </c>
    </row>
    <row r="6408" spans="1:10" x14ac:dyDescent="0.3">
      <c r="A6408" t="s">
        <v>6539</v>
      </c>
      <c r="B6408" t="s">
        <v>142</v>
      </c>
      <c r="C6408" t="str">
        <f>_xlfn.XLOOKUP(B6408,
[1]sales_teams!$A$2:$A$100,
[1]sales_teams!$B$2:$B$100)</f>
        <v>Rocco Neubert</v>
      </c>
      <c r="D6408" t="str">
        <f>_xlfn.XLOOKUP($B6408,sales_teams!$A$2:$A$36,sales_teams!C$2:C$36)</f>
        <v>East</v>
      </c>
      <c r="E6408" t="s">
        <v>15</v>
      </c>
      <c r="F6408" t="s">
        <v>209</v>
      </c>
      <c r="G6408" t="s">
        <v>12</v>
      </c>
      <c r="H6408" s="1">
        <v>42981</v>
      </c>
      <c r="I6408" s="1">
        <v>42991</v>
      </c>
      <c r="J6408">
        <v>5626</v>
      </c>
    </row>
    <row r="6409" spans="1:10" x14ac:dyDescent="0.3">
      <c r="A6409" t="s">
        <v>6540</v>
      </c>
      <c r="B6409" t="s">
        <v>142</v>
      </c>
      <c r="C6409" t="str">
        <f>_xlfn.XLOOKUP(B6409,
[1]sales_teams!$A$2:$A$100,
[1]sales_teams!$B$2:$B$100)</f>
        <v>Rocco Neubert</v>
      </c>
      <c r="D6409" t="str">
        <f>_xlfn.XLOOKUP($B6409,sales_teams!$A$2:$A$36,sales_teams!C$2:C$36)</f>
        <v>East</v>
      </c>
      <c r="E6409" t="s">
        <v>39</v>
      </c>
      <c r="F6409" t="s">
        <v>65</v>
      </c>
      <c r="G6409" t="s">
        <v>12</v>
      </c>
      <c r="H6409" s="1">
        <v>42981</v>
      </c>
      <c r="I6409" s="1">
        <v>43083</v>
      </c>
      <c r="J6409">
        <v>3595</v>
      </c>
    </row>
    <row r="6410" spans="1:10" x14ac:dyDescent="0.3">
      <c r="A6410" t="s">
        <v>6541</v>
      </c>
      <c r="B6410" t="s">
        <v>67</v>
      </c>
      <c r="C6410" t="str">
        <f>_xlfn.XLOOKUP(B6410,
[1]sales_teams!$A$2:$A$100,
[1]sales_teams!$B$2:$B$100)</f>
        <v>Celia Rouche</v>
      </c>
      <c r="D6410" t="str">
        <f>_xlfn.XLOOKUP($B6410,sales_teams!$A$2:$A$36,sales_teams!C$2:C$36)</f>
        <v>West</v>
      </c>
      <c r="E6410" t="s">
        <v>18</v>
      </c>
      <c r="G6410" t="s">
        <v>40</v>
      </c>
      <c r="H6410" s="1">
        <v>42981</v>
      </c>
    </row>
    <row r="6411" spans="1:10" x14ac:dyDescent="0.3">
      <c r="A6411" t="s">
        <v>6542</v>
      </c>
      <c r="B6411" t="s">
        <v>44</v>
      </c>
      <c r="C6411" t="str">
        <f>_xlfn.XLOOKUP(B6411,
[1]sales_teams!$A$2:$A$100,
[1]sales_teams!$B$2:$B$100)</f>
        <v>Melvin Marxen</v>
      </c>
      <c r="D6411" t="str">
        <f>_xlfn.XLOOKUP($B6411,sales_teams!$A$2:$A$36,sales_teams!C$2:C$36)</f>
        <v>Central</v>
      </c>
      <c r="E6411" t="s">
        <v>15</v>
      </c>
      <c r="F6411" t="s">
        <v>62</v>
      </c>
      <c r="G6411" t="s">
        <v>46</v>
      </c>
      <c r="H6411" s="1">
        <v>42981</v>
      </c>
      <c r="I6411" s="1">
        <v>43043</v>
      </c>
      <c r="J6411">
        <v>0</v>
      </c>
    </row>
    <row r="6412" spans="1:10" x14ac:dyDescent="0.3">
      <c r="A6412" t="s">
        <v>6543</v>
      </c>
      <c r="B6412" t="s">
        <v>44</v>
      </c>
      <c r="C6412" t="str">
        <f>_xlfn.XLOOKUP(B6412,
[1]sales_teams!$A$2:$A$100,
[1]sales_teams!$B$2:$B$100)</f>
        <v>Melvin Marxen</v>
      </c>
      <c r="D6412" t="str">
        <f>_xlfn.XLOOKUP($B6412,sales_teams!$A$2:$A$36,sales_teams!C$2:C$36)</f>
        <v>Central</v>
      </c>
      <c r="E6412" t="s">
        <v>15</v>
      </c>
      <c r="F6412" t="s">
        <v>318</v>
      </c>
      <c r="G6412" t="s">
        <v>12</v>
      </c>
      <c r="H6412" s="1">
        <v>42981</v>
      </c>
      <c r="I6412" s="1">
        <v>43071</v>
      </c>
      <c r="J6412">
        <v>4981</v>
      </c>
    </row>
    <row r="6413" spans="1:10" x14ac:dyDescent="0.3">
      <c r="A6413" t="s">
        <v>6544</v>
      </c>
      <c r="B6413" t="s">
        <v>54</v>
      </c>
      <c r="C6413" t="str">
        <f>_xlfn.XLOOKUP(B6413,
[1]sales_teams!$A$2:$A$100,
[1]sales_teams!$B$2:$B$100)</f>
        <v>Celia Rouche</v>
      </c>
      <c r="D6413" t="str">
        <f>_xlfn.XLOOKUP($B6413,sales_teams!$A$2:$A$36,sales_teams!C$2:C$36)</f>
        <v>West</v>
      </c>
      <c r="E6413" t="s">
        <v>10</v>
      </c>
      <c r="G6413" t="s">
        <v>40</v>
      </c>
      <c r="H6413" s="1">
        <v>42981</v>
      </c>
    </row>
    <row r="6414" spans="1:10" x14ac:dyDescent="0.3">
      <c r="A6414" t="s">
        <v>6545</v>
      </c>
      <c r="B6414" t="s">
        <v>54</v>
      </c>
      <c r="C6414" t="str">
        <f>_xlfn.XLOOKUP(B6414,
[1]sales_teams!$A$2:$A$100,
[1]sales_teams!$B$2:$B$100)</f>
        <v>Celia Rouche</v>
      </c>
      <c r="D6414" t="str">
        <f>_xlfn.XLOOKUP($B6414,sales_teams!$A$2:$A$36,sales_teams!C$2:C$36)</f>
        <v>West</v>
      </c>
      <c r="E6414" t="s">
        <v>18</v>
      </c>
      <c r="F6414" t="s">
        <v>129</v>
      </c>
      <c r="G6414" t="s">
        <v>40</v>
      </c>
      <c r="H6414" s="1">
        <v>42981</v>
      </c>
    </row>
    <row r="6415" spans="1:10" x14ac:dyDescent="0.3">
      <c r="A6415" t="s">
        <v>6546</v>
      </c>
      <c r="B6415" t="s">
        <v>38</v>
      </c>
      <c r="C6415" t="str">
        <f>_xlfn.XLOOKUP(B6415,
[1]sales_teams!$A$2:$A$100,
[1]sales_teams!$B$2:$B$100)</f>
        <v>Summer Sewald</v>
      </c>
      <c r="D6415" t="str">
        <f>_xlfn.XLOOKUP($B6415,sales_teams!$A$2:$A$36,sales_teams!C$2:C$36)</f>
        <v>West</v>
      </c>
      <c r="E6415" t="s">
        <v>20</v>
      </c>
      <c r="F6415" t="s">
        <v>24</v>
      </c>
      <c r="G6415" t="s">
        <v>12</v>
      </c>
      <c r="H6415" s="1">
        <v>42981</v>
      </c>
      <c r="I6415" s="1">
        <v>42992</v>
      </c>
      <c r="J6415">
        <v>524</v>
      </c>
    </row>
    <row r="6416" spans="1:10" x14ac:dyDescent="0.3">
      <c r="A6416" t="s">
        <v>6547</v>
      </c>
      <c r="B6416" t="s">
        <v>38</v>
      </c>
      <c r="C6416" t="str">
        <f>_xlfn.XLOOKUP(B6416,
[1]sales_teams!$A$2:$A$100,
[1]sales_teams!$B$2:$B$100)</f>
        <v>Summer Sewald</v>
      </c>
      <c r="D6416" t="str">
        <f>_xlfn.XLOOKUP($B6416,sales_teams!$A$2:$A$36,sales_teams!C$2:C$36)</f>
        <v>West</v>
      </c>
      <c r="E6416" t="s">
        <v>18</v>
      </c>
      <c r="F6416" t="s">
        <v>157</v>
      </c>
      <c r="G6416" t="s">
        <v>12</v>
      </c>
      <c r="H6416" s="1">
        <v>42981</v>
      </c>
      <c r="I6416" s="1">
        <v>43075</v>
      </c>
      <c r="J6416">
        <v>54</v>
      </c>
    </row>
    <row r="6417" spans="1:10" x14ac:dyDescent="0.3">
      <c r="A6417" t="s">
        <v>6548</v>
      </c>
      <c r="B6417" t="s">
        <v>252</v>
      </c>
      <c r="C6417" t="str">
        <f>_xlfn.XLOOKUP(B6417,
[1]sales_teams!$A$2:$A$100,
[1]sales_teams!$B$2:$B$100)</f>
        <v>Melvin Marxen</v>
      </c>
      <c r="D6417" t="str">
        <f>_xlfn.XLOOKUP($B6417,sales_teams!$A$2:$A$36,sales_teams!C$2:C$36)</f>
        <v>Central</v>
      </c>
      <c r="E6417" t="s">
        <v>15</v>
      </c>
      <c r="F6417" t="s">
        <v>135</v>
      </c>
      <c r="G6417" t="s">
        <v>12</v>
      </c>
      <c r="H6417" s="1">
        <v>42981</v>
      </c>
      <c r="I6417" s="1">
        <v>42994</v>
      </c>
      <c r="J6417">
        <v>5080</v>
      </c>
    </row>
    <row r="6418" spans="1:10" x14ac:dyDescent="0.3">
      <c r="A6418" t="s">
        <v>6549</v>
      </c>
      <c r="B6418" t="s">
        <v>95</v>
      </c>
      <c r="C6418" t="str">
        <f>_xlfn.XLOOKUP(B6418,
[1]sales_teams!$A$2:$A$100,
[1]sales_teams!$B$2:$B$100)</f>
        <v>Summer Sewald</v>
      </c>
      <c r="D6418" t="str">
        <f>_xlfn.XLOOKUP($B6418,sales_teams!$A$2:$A$36,sales_teams!C$2:C$36)</f>
        <v>West</v>
      </c>
      <c r="E6418" t="s">
        <v>48</v>
      </c>
      <c r="G6418" t="s">
        <v>40</v>
      </c>
      <c r="H6418" s="1">
        <v>42981</v>
      </c>
    </row>
    <row r="6419" spans="1:10" x14ac:dyDescent="0.3">
      <c r="A6419" t="s">
        <v>6550</v>
      </c>
      <c r="B6419" t="s">
        <v>32</v>
      </c>
      <c r="C6419" t="str">
        <f>_xlfn.XLOOKUP(B6419,
[1]sales_teams!$A$2:$A$100,
[1]sales_teams!$B$2:$B$100)</f>
        <v>Celia Rouche</v>
      </c>
      <c r="D6419" t="str">
        <f>_xlfn.XLOOKUP($B6419,sales_teams!$A$2:$A$36,sales_teams!C$2:C$36)</f>
        <v>West</v>
      </c>
      <c r="E6419" t="s">
        <v>18</v>
      </c>
      <c r="F6419" t="s">
        <v>59</v>
      </c>
      <c r="G6419" t="s">
        <v>12</v>
      </c>
      <c r="H6419" s="1">
        <v>42981</v>
      </c>
      <c r="I6419" s="1">
        <v>43081</v>
      </c>
      <c r="J6419">
        <v>50</v>
      </c>
    </row>
    <row r="6420" spans="1:10" x14ac:dyDescent="0.3">
      <c r="A6420" t="s">
        <v>6551</v>
      </c>
      <c r="B6420" t="s">
        <v>51</v>
      </c>
      <c r="C6420" t="str">
        <f>_xlfn.XLOOKUP(B6420,
[1]sales_teams!$A$2:$A$100,
[1]sales_teams!$B$2:$B$100)</f>
        <v>Summer Sewald</v>
      </c>
      <c r="D6420" t="str">
        <f>_xlfn.XLOOKUP($B6420,sales_teams!$A$2:$A$36,sales_teams!C$2:C$36)</f>
        <v>West</v>
      </c>
      <c r="E6420" t="s">
        <v>48</v>
      </c>
      <c r="F6420" t="s">
        <v>157</v>
      </c>
      <c r="G6420" t="s">
        <v>12</v>
      </c>
      <c r="H6420" s="1">
        <v>42981</v>
      </c>
      <c r="I6420" s="1">
        <v>42987</v>
      </c>
      <c r="J6420">
        <v>6656</v>
      </c>
    </row>
    <row r="6421" spans="1:10" x14ac:dyDescent="0.3">
      <c r="A6421" t="s">
        <v>6552</v>
      </c>
      <c r="B6421" t="s">
        <v>97</v>
      </c>
      <c r="C6421" t="str">
        <f>_xlfn.XLOOKUP(B6421,
[1]sales_teams!$A$2:$A$100,
[1]sales_teams!$B$2:$B$100)</f>
        <v>Rocco Neubert</v>
      </c>
      <c r="D6421" t="str">
        <f>_xlfn.XLOOKUP($B6421,sales_teams!$A$2:$A$36,sales_teams!C$2:C$36)</f>
        <v>East</v>
      </c>
      <c r="E6421" t="s">
        <v>15</v>
      </c>
      <c r="F6421" t="s">
        <v>209</v>
      </c>
      <c r="G6421" t="s">
        <v>12</v>
      </c>
      <c r="H6421" s="1">
        <v>42981</v>
      </c>
      <c r="I6421" s="1">
        <v>42988</v>
      </c>
      <c r="J6421">
        <v>4641</v>
      </c>
    </row>
    <row r="6422" spans="1:10" x14ac:dyDescent="0.3">
      <c r="A6422" t="s">
        <v>6553</v>
      </c>
      <c r="B6422" t="s">
        <v>57</v>
      </c>
      <c r="C6422" t="str">
        <f>_xlfn.XLOOKUP(B6422,
[1]sales_teams!$A$2:$A$100,
[1]sales_teams!$B$2:$B$100)</f>
        <v>Celia Rouche</v>
      </c>
      <c r="D6422" t="str">
        <f>_xlfn.XLOOKUP($B6422,sales_teams!$A$2:$A$36,sales_teams!C$2:C$36)</f>
        <v>West</v>
      </c>
      <c r="E6422" t="s">
        <v>145</v>
      </c>
      <c r="F6422" t="s">
        <v>93</v>
      </c>
      <c r="G6422" t="s">
        <v>12</v>
      </c>
      <c r="H6422" s="1">
        <v>42981</v>
      </c>
      <c r="I6422" s="1">
        <v>43049</v>
      </c>
      <c r="J6422">
        <v>26186</v>
      </c>
    </row>
    <row r="6423" spans="1:10" x14ac:dyDescent="0.3">
      <c r="A6423" t="s">
        <v>6554</v>
      </c>
      <c r="B6423" t="s">
        <v>29</v>
      </c>
      <c r="C6423" t="str">
        <f>_xlfn.XLOOKUP(B6423,
[1]sales_teams!$A$2:$A$100,
[1]sales_teams!$B$2:$B$100)</f>
        <v>Celia Rouche</v>
      </c>
      <c r="D6423" t="str">
        <f>_xlfn.XLOOKUP($B6423,sales_teams!$A$2:$A$36,sales_teams!C$2:C$36)</f>
        <v>West</v>
      </c>
      <c r="E6423" t="s">
        <v>18</v>
      </c>
      <c r="G6423" t="s">
        <v>40</v>
      </c>
      <c r="H6423" s="1">
        <v>42981</v>
      </c>
    </row>
    <row r="6424" spans="1:10" x14ac:dyDescent="0.3">
      <c r="A6424" t="s">
        <v>6555</v>
      </c>
      <c r="B6424" t="s">
        <v>29</v>
      </c>
      <c r="C6424" t="str">
        <f>_xlfn.XLOOKUP(B6424,
[1]sales_teams!$A$2:$A$100,
[1]sales_teams!$B$2:$B$100)</f>
        <v>Celia Rouche</v>
      </c>
      <c r="D6424" t="str">
        <f>_xlfn.XLOOKUP($B6424,sales_teams!$A$2:$A$36,sales_teams!C$2:C$36)</f>
        <v>West</v>
      </c>
      <c r="E6424" t="s">
        <v>39</v>
      </c>
      <c r="F6424" t="s">
        <v>555</v>
      </c>
      <c r="G6424" t="s">
        <v>12</v>
      </c>
      <c r="H6424" s="1">
        <v>42981</v>
      </c>
      <c r="I6424" s="1">
        <v>42992</v>
      </c>
      <c r="J6424">
        <v>4251</v>
      </c>
    </row>
    <row r="6425" spans="1:10" x14ac:dyDescent="0.3">
      <c r="A6425" t="s">
        <v>6556</v>
      </c>
      <c r="B6425" t="s">
        <v>73</v>
      </c>
      <c r="C6425" t="str">
        <f>_xlfn.XLOOKUP(B6425,
[1]sales_teams!$A$2:$A$100,
[1]sales_teams!$B$2:$B$100)</f>
        <v>Cara Losch</v>
      </c>
      <c r="D6425" t="str">
        <f>_xlfn.XLOOKUP($B6425,sales_teams!$A$2:$A$36,sales_teams!C$2:C$36)</f>
        <v>East</v>
      </c>
      <c r="E6425" t="s">
        <v>20</v>
      </c>
      <c r="G6425" t="s">
        <v>40</v>
      </c>
      <c r="H6425" s="1">
        <v>42981</v>
      </c>
    </row>
    <row r="6426" spans="1:10" x14ac:dyDescent="0.3">
      <c r="A6426" t="s">
        <v>6557</v>
      </c>
      <c r="B6426" t="s">
        <v>73</v>
      </c>
      <c r="C6426" t="str">
        <f>_xlfn.XLOOKUP(B6426,
[1]sales_teams!$A$2:$A$100,
[1]sales_teams!$B$2:$B$100)</f>
        <v>Cara Losch</v>
      </c>
      <c r="D6426" t="str">
        <f>_xlfn.XLOOKUP($B6426,sales_teams!$A$2:$A$36,sales_teams!C$2:C$36)</f>
        <v>East</v>
      </c>
      <c r="E6426" t="s">
        <v>18</v>
      </c>
      <c r="F6426" t="s">
        <v>81</v>
      </c>
      <c r="G6426" t="s">
        <v>12</v>
      </c>
      <c r="H6426" s="1">
        <v>42981</v>
      </c>
      <c r="I6426" s="1">
        <v>42989</v>
      </c>
      <c r="J6426">
        <v>51</v>
      </c>
    </row>
    <row r="6427" spans="1:10" x14ac:dyDescent="0.3">
      <c r="A6427" t="s">
        <v>6558</v>
      </c>
      <c r="B6427" t="s">
        <v>73</v>
      </c>
      <c r="C6427" t="str">
        <f>_xlfn.XLOOKUP(B6427,
[1]sales_teams!$A$2:$A$100,
[1]sales_teams!$B$2:$B$100)</f>
        <v>Cara Losch</v>
      </c>
      <c r="D6427" t="str">
        <f>_xlfn.XLOOKUP($B6427,sales_teams!$A$2:$A$36,sales_teams!C$2:C$36)</f>
        <v>East</v>
      </c>
      <c r="E6427" t="s">
        <v>18</v>
      </c>
      <c r="F6427" t="s">
        <v>237</v>
      </c>
      <c r="G6427" t="s">
        <v>12</v>
      </c>
      <c r="H6427" s="1">
        <v>42981</v>
      </c>
      <c r="I6427" s="1">
        <v>43048</v>
      </c>
      <c r="J6427">
        <v>62</v>
      </c>
    </row>
    <row r="6428" spans="1:10" x14ac:dyDescent="0.3">
      <c r="A6428" t="s">
        <v>6559</v>
      </c>
      <c r="B6428" t="s">
        <v>23</v>
      </c>
      <c r="C6428" t="str">
        <f>_xlfn.XLOOKUP(B6428,
[1]sales_teams!$A$2:$A$100,
[1]sales_teams!$B$2:$B$100)</f>
        <v>Summer Sewald</v>
      </c>
      <c r="D6428" t="str">
        <f>_xlfn.XLOOKUP($B6428,sales_teams!$A$2:$A$36,sales_teams!C$2:C$36)</f>
        <v>West</v>
      </c>
      <c r="E6428" t="s">
        <v>20</v>
      </c>
      <c r="F6428" t="s">
        <v>122</v>
      </c>
      <c r="G6428" t="s">
        <v>46</v>
      </c>
      <c r="H6428" s="1">
        <v>42981</v>
      </c>
      <c r="I6428" s="1">
        <v>43040</v>
      </c>
      <c r="J6428">
        <v>0</v>
      </c>
    </row>
    <row r="6429" spans="1:10" x14ac:dyDescent="0.3">
      <c r="A6429" t="s">
        <v>6560</v>
      </c>
      <c r="B6429" t="s">
        <v>26</v>
      </c>
      <c r="C6429" t="str">
        <f>_xlfn.XLOOKUP(B6429,
[1]sales_teams!$A$2:$A$100,
[1]sales_teams!$B$2:$B$100)</f>
        <v>Dustin Brinkmann</v>
      </c>
      <c r="D6429" t="str">
        <f>_xlfn.XLOOKUP($B6429,sales_teams!$A$2:$A$36,sales_teams!C$2:C$36)</f>
        <v>Central</v>
      </c>
      <c r="E6429" t="s">
        <v>39</v>
      </c>
      <c r="F6429" t="s">
        <v>111</v>
      </c>
      <c r="G6429" t="s">
        <v>46</v>
      </c>
      <c r="H6429" s="1">
        <v>42982</v>
      </c>
      <c r="I6429" s="1">
        <v>43051</v>
      </c>
      <c r="J6429">
        <v>0</v>
      </c>
    </row>
    <row r="6430" spans="1:10" x14ac:dyDescent="0.3">
      <c r="A6430" t="s">
        <v>6561</v>
      </c>
      <c r="B6430" t="s">
        <v>26</v>
      </c>
      <c r="C6430" t="str">
        <f>_xlfn.XLOOKUP(B6430,
[1]sales_teams!$A$2:$A$100,
[1]sales_teams!$B$2:$B$100)</f>
        <v>Dustin Brinkmann</v>
      </c>
      <c r="D6430" t="str">
        <f>_xlfn.XLOOKUP($B6430,sales_teams!$A$2:$A$36,sales_teams!C$2:C$36)</f>
        <v>Central</v>
      </c>
      <c r="E6430" t="s">
        <v>18</v>
      </c>
      <c r="F6430" t="s">
        <v>231</v>
      </c>
      <c r="G6430" t="s">
        <v>12</v>
      </c>
      <c r="H6430" s="1">
        <v>42982</v>
      </c>
      <c r="I6430" s="1">
        <v>43060</v>
      </c>
      <c r="J6430">
        <v>58</v>
      </c>
    </row>
    <row r="6431" spans="1:10" x14ac:dyDescent="0.3">
      <c r="A6431" t="s">
        <v>6562</v>
      </c>
      <c r="B6431" t="s">
        <v>139</v>
      </c>
      <c r="C6431" t="str">
        <f>_xlfn.XLOOKUP(B6431,
[1]sales_teams!$A$2:$A$100,
[1]sales_teams!$B$2:$B$100)</f>
        <v>Rocco Neubert</v>
      </c>
      <c r="D6431" t="str">
        <f>_xlfn.XLOOKUP($B6431,sales_teams!$A$2:$A$36,sales_teams!C$2:C$36)</f>
        <v>East</v>
      </c>
      <c r="E6431" t="s">
        <v>10</v>
      </c>
      <c r="F6431" t="s">
        <v>410</v>
      </c>
      <c r="G6431" t="s">
        <v>12</v>
      </c>
      <c r="H6431" s="1">
        <v>42982</v>
      </c>
      <c r="I6431" s="1">
        <v>43050</v>
      </c>
      <c r="J6431">
        <v>973</v>
      </c>
    </row>
    <row r="6432" spans="1:10" x14ac:dyDescent="0.3">
      <c r="A6432" t="s">
        <v>6563</v>
      </c>
      <c r="B6432" t="s">
        <v>139</v>
      </c>
      <c r="C6432" t="str">
        <f>_xlfn.XLOOKUP(B6432,
[1]sales_teams!$A$2:$A$100,
[1]sales_teams!$B$2:$B$100)</f>
        <v>Rocco Neubert</v>
      </c>
      <c r="D6432" t="str">
        <f>_xlfn.XLOOKUP($B6432,sales_teams!$A$2:$A$36,sales_teams!C$2:C$36)</f>
        <v>East</v>
      </c>
      <c r="E6432" t="s">
        <v>48</v>
      </c>
      <c r="F6432" t="s">
        <v>179</v>
      </c>
      <c r="G6432" t="s">
        <v>12</v>
      </c>
      <c r="H6432" s="1">
        <v>42982</v>
      </c>
      <c r="I6432" s="1">
        <v>42991</v>
      </c>
      <c r="J6432">
        <v>4954</v>
      </c>
    </row>
    <row r="6433" spans="1:10" x14ac:dyDescent="0.3">
      <c r="A6433" t="s">
        <v>6564</v>
      </c>
      <c r="B6433" t="s">
        <v>118</v>
      </c>
      <c r="C6433" t="str">
        <f>_xlfn.XLOOKUP(B6433,
[1]sales_teams!$A$2:$A$100,
[1]sales_teams!$B$2:$B$100)</f>
        <v>Rocco Neubert</v>
      </c>
      <c r="D6433" t="str">
        <f>_xlfn.XLOOKUP($B6433,sales_teams!$A$2:$A$36,sales_teams!C$2:C$36)</f>
        <v>East</v>
      </c>
      <c r="E6433" t="s">
        <v>15</v>
      </c>
      <c r="F6433" t="s">
        <v>218</v>
      </c>
      <c r="G6433" t="s">
        <v>12</v>
      </c>
      <c r="H6433" s="1">
        <v>42982</v>
      </c>
      <c r="I6433" s="1">
        <v>42984</v>
      </c>
      <c r="J6433">
        <v>5113</v>
      </c>
    </row>
    <row r="6434" spans="1:10" x14ac:dyDescent="0.3">
      <c r="A6434" t="s">
        <v>6565</v>
      </c>
      <c r="B6434" t="s">
        <v>164</v>
      </c>
      <c r="C6434" t="str">
        <f>_xlfn.XLOOKUP(B6434,
[1]sales_teams!$A$2:$A$100,
[1]sales_teams!$B$2:$B$100)</f>
        <v>Cara Losch</v>
      </c>
      <c r="D6434" t="str">
        <f>_xlfn.XLOOKUP($B6434,sales_teams!$A$2:$A$36,sales_teams!C$2:C$36)</f>
        <v>East</v>
      </c>
      <c r="E6434" t="s">
        <v>15</v>
      </c>
      <c r="G6434" t="s">
        <v>40</v>
      </c>
      <c r="H6434" s="1">
        <v>42982</v>
      </c>
    </row>
    <row r="6435" spans="1:10" x14ac:dyDescent="0.3">
      <c r="A6435" t="s">
        <v>6566</v>
      </c>
      <c r="B6435" t="s">
        <v>164</v>
      </c>
      <c r="C6435" t="str">
        <f>_xlfn.XLOOKUP(B6435,
[1]sales_teams!$A$2:$A$100,
[1]sales_teams!$B$2:$B$100)</f>
        <v>Cara Losch</v>
      </c>
      <c r="D6435" t="str">
        <f>_xlfn.XLOOKUP($B6435,sales_teams!$A$2:$A$36,sales_teams!C$2:C$36)</f>
        <v>East</v>
      </c>
      <c r="E6435" t="s">
        <v>48</v>
      </c>
      <c r="F6435" t="s">
        <v>65</v>
      </c>
      <c r="G6435" t="s">
        <v>12</v>
      </c>
      <c r="H6435" s="1">
        <v>42982</v>
      </c>
      <c r="I6435" s="1">
        <v>43095</v>
      </c>
      <c r="J6435">
        <v>4631</v>
      </c>
    </row>
    <row r="6436" spans="1:10" x14ac:dyDescent="0.3">
      <c r="A6436" t="s">
        <v>6567</v>
      </c>
      <c r="B6436" t="s">
        <v>64</v>
      </c>
      <c r="C6436" t="str">
        <f>_xlfn.XLOOKUP(B6436,
[1]sales_teams!$A$2:$A$100,
[1]sales_teams!$B$2:$B$100)</f>
        <v>Rocco Neubert</v>
      </c>
      <c r="D6436" t="str">
        <f>_xlfn.XLOOKUP($B6436,sales_teams!$A$2:$A$36,sales_teams!C$2:C$36)</f>
        <v>East</v>
      </c>
      <c r="E6436" t="s">
        <v>48</v>
      </c>
      <c r="F6436" t="s">
        <v>218</v>
      </c>
      <c r="G6436" t="s">
        <v>12</v>
      </c>
      <c r="H6436" s="1">
        <v>42982</v>
      </c>
      <c r="I6436" s="1">
        <v>43040</v>
      </c>
      <c r="J6436">
        <v>5807</v>
      </c>
    </row>
    <row r="6437" spans="1:10" x14ac:dyDescent="0.3">
      <c r="A6437" t="s">
        <v>6568</v>
      </c>
      <c r="B6437" t="s">
        <v>14</v>
      </c>
      <c r="C6437" t="str">
        <f>_xlfn.XLOOKUP(B6437,
[1]sales_teams!$A$2:$A$100,
[1]sales_teams!$B$2:$B$100)</f>
        <v>Melvin Marxen</v>
      </c>
      <c r="D6437" t="str">
        <f>_xlfn.XLOOKUP($B6437,sales_teams!$A$2:$A$36,sales_teams!C$2:C$36)</f>
        <v>Central</v>
      </c>
      <c r="E6437" t="s">
        <v>10</v>
      </c>
      <c r="F6437" t="s">
        <v>315</v>
      </c>
      <c r="G6437" t="s">
        <v>46</v>
      </c>
      <c r="H6437" s="1">
        <v>42982</v>
      </c>
      <c r="I6437" s="1">
        <v>43069</v>
      </c>
      <c r="J6437">
        <v>0</v>
      </c>
    </row>
    <row r="6438" spans="1:10" x14ac:dyDescent="0.3">
      <c r="A6438" t="s">
        <v>6569</v>
      </c>
      <c r="B6438" t="s">
        <v>44</v>
      </c>
      <c r="C6438" t="str">
        <f>_xlfn.XLOOKUP(B6438,
[1]sales_teams!$A$2:$A$100,
[1]sales_teams!$B$2:$B$100)</f>
        <v>Melvin Marxen</v>
      </c>
      <c r="D6438" t="str">
        <f>_xlfn.XLOOKUP($B6438,sales_teams!$A$2:$A$36,sales_teams!C$2:C$36)</f>
        <v>Central</v>
      </c>
      <c r="E6438" t="s">
        <v>20</v>
      </c>
      <c r="F6438" t="s">
        <v>36</v>
      </c>
      <c r="G6438" t="s">
        <v>12</v>
      </c>
      <c r="H6438" s="1">
        <v>42982</v>
      </c>
      <c r="I6438" s="1">
        <v>43083</v>
      </c>
      <c r="J6438">
        <v>640</v>
      </c>
    </row>
    <row r="6439" spans="1:10" x14ac:dyDescent="0.3">
      <c r="A6439" t="s">
        <v>6570</v>
      </c>
      <c r="B6439" t="s">
        <v>44</v>
      </c>
      <c r="C6439" t="str">
        <f>_xlfn.XLOOKUP(B6439,
[1]sales_teams!$A$2:$A$100,
[1]sales_teams!$B$2:$B$100)</f>
        <v>Melvin Marxen</v>
      </c>
      <c r="D6439" t="str">
        <f>_xlfn.XLOOKUP($B6439,sales_teams!$A$2:$A$36,sales_teams!C$2:C$36)</f>
        <v>Central</v>
      </c>
      <c r="E6439" t="s">
        <v>39</v>
      </c>
      <c r="F6439" t="s">
        <v>113</v>
      </c>
      <c r="G6439" t="s">
        <v>12</v>
      </c>
      <c r="H6439" s="1">
        <v>42982</v>
      </c>
      <c r="I6439" s="1">
        <v>43064</v>
      </c>
      <c r="J6439">
        <v>3830</v>
      </c>
    </row>
    <row r="6440" spans="1:10" x14ac:dyDescent="0.3">
      <c r="A6440" t="s">
        <v>6571</v>
      </c>
      <c r="B6440" t="s">
        <v>38</v>
      </c>
      <c r="C6440" t="str">
        <f>_xlfn.XLOOKUP(B6440,
[1]sales_teams!$A$2:$A$100,
[1]sales_teams!$B$2:$B$100)</f>
        <v>Summer Sewald</v>
      </c>
      <c r="D6440" t="str">
        <f>_xlfn.XLOOKUP($B6440,sales_teams!$A$2:$A$36,sales_teams!C$2:C$36)</f>
        <v>West</v>
      </c>
      <c r="E6440" t="s">
        <v>48</v>
      </c>
      <c r="F6440" t="s">
        <v>33</v>
      </c>
      <c r="G6440" t="s">
        <v>12</v>
      </c>
      <c r="H6440" s="1">
        <v>42982</v>
      </c>
      <c r="I6440" s="1">
        <v>43097</v>
      </c>
      <c r="J6440">
        <v>5285</v>
      </c>
    </row>
    <row r="6441" spans="1:10" x14ac:dyDescent="0.3">
      <c r="A6441" t="s">
        <v>6572</v>
      </c>
      <c r="B6441" t="s">
        <v>252</v>
      </c>
      <c r="C6441" t="str">
        <f>_xlfn.XLOOKUP(B6441,
[1]sales_teams!$A$2:$A$100,
[1]sales_teams!$B$2:$B$100)</f>
        <v>Melvin Marxen</v>
      </c>
      <c r="D6441" t="str">
        <f>_xlfn.XLOOKUP($B6441,sales_teams!$A$2:$A$36,sales_teams!C$2:C$36)</f>
        <v>Central</v>
      </c>
      <c r="E6441" t="s">
        <v>15</v>
      </c>
      <c r="F6441" t="s">
        <v>303</v>
      </c>
      <c r="G6441" t="s">
        <v>46</v>
      </c>
      <c r="H6441" s="1">
        <v>42982</v>
      </c>
      <c r="I6441" s="1">
        <v>43058</v>
      </c>
      <c r="J6441">
        <v>0</v>
      </c>
    </row>
    <row r="6442" spans="1:10" x14ac:dyDescent="0.3">
      <c r="A6442" t="s">
        <v>6573</v>
      </c>
      <c r="B6442" t="s">
        <v>78</v>
      </c>
      <c r="C6442" t="str">
        <f>_xlfn.XLOOKUP(B6442,
[1]sales_teams!$A$2:$A$100,
[1]sales_teams!$B$2:$B$100)</f>
        <v>Summer Sewald</v>
      </c>
      <c r="D6442" t="str">
        <f>_xlfn.XLOOKUP($B6442,sales_teams!$A$2:$A$36,sales_teams!C$2:C$36)</f>
        <v>West</v>
      </c>
      <c r="E6442" t="s">
        <v>20</v>
      </c>
      <c r="F6442" t="s">
        <v>93</v>
      </c>
      <c r="G6442" t="s">
        <v>46</v>
      </c>
      <c r="H6442" s="1">
        <v>42982</v>
      </c>
      <c r="I6442" s="1">
        <v>43057</v>
      </c>
      <c r="J6442">
        <v>0</v>
      </c>
    </row>
    <row r="6443" spans="1:10" x14ac:dyDescent="0.3">
      <c r="A6443" t="s">
        <v>6574</v>
      </c>
      <c r="B6443" t="s">
        <v>9</v>
      </c>
      <c r="C6443" t="str">
        <f>_xlfn.XLOOKUP(B6443,
[1]sales_teams!$A$2:$A$100,
[1]sales_teams!$B$2:$B$100)</f>
        <v>Dustin Brinkmann</v>
      </c>
      <c r="D6443" t="str">
        <f>_xlfn.XLOOKUP($B6443,sales_teams!$A$2:$A$36,sales_teams!C$2:C$36)</f>
        <v>Central</v>
      </c>
      <c r="E6443" t="s">
        <v>10</v>
      </c>
      <c r="F6443" t="s">
        <v>207</v>
      </c>
      <c r="G6443" t="s">
        <v>12</v>
      </c>
      <c r="H6443" s="1">
        <v>42982</v>
      </c>
      <c r="I6443" s="1">
        <v>43100</v>
      </c>
      <c r="J6443">
        <v>975</v>
      </c>
    </row>
    <row r="6444" spans="1:10" x14ac:dyDescent="0.3">
      <c r="A6444" t="s">
        <v>6575</v>
      </c>
      <c r="B6444" t="s">
        <v>9</v>
      </c>
      <c r="C6444" t="str">
        <f>_xlfn.XLOOKUP(B6444,
[1]sales_teams!$A$2:$A$100,
[1]sales_teams!$B$2:$B$100)</f>
        <v>Dustin Brinkmann</v>
      </c>
      <c r="D6444" t="str">
        <f>_xlfn.XLOOKUP($B6444,sales_teams!$A$2:$A$36,sales_teams!C$2:C$36)</f>
        <v>Central</v>
      </c>
      <c r="E6444" t="s">
        <v>10</v>
      </c>
      <c r="F6444" t="s">
        <v>135</v>
      </c>
      <c r="G6444" t="s">
        <v>12</v>
      </c>
      <c r="H6444" s="1">
        <v>42982</v>
      </c>
      <c r="I6444" s="1">
        <v>43082</v>
      </c>
      <c r="J6444">
        <v>847</v>
      </c>
    </row>
    <row r="6445" spans="1:10" x14ac:dyDescent="0.3">
      <c r="A6445" t="s">
        <v>6576</v>
      </c>
      <c r="B6445" t="s">
        <v>35</v>
      </c>
      <c r="C6445" t="str">
        <f>_xlfn.XLOOKUP(B6445,
[1]sales_teams!$A$2:$A$100,
[1]sales_teams!$B$2:$B$100)</f>
        <v>Melvin Marxen</v>
      </c>
      <c r="D6445" t="str">
        <f>_xlfn.XLOOKUP($B6445,sales_teams!$A$2:$A$36,sales_teams!C$2:C$36)</f>
        <v>Central</v>
      </c>
      <c r="E6445" t="s">
        <v>39</v>
      </c>
      <c r="F6445" t="s">
        <v>151</v>
      </c>
      <c r="G6445" t="s">
        <v>12</v>
      </c>
      <c r="H6445" s="1">
        <v>42982</v>
      </c>
      <c r="I6445" s="1">
        <v>43084</v>
      </c>
      <c r="J6445">
        <v>2814</v>
      </c>
    </row>
    <row r="6446" spans="1:10" x14ac:dyDescent="0.3">
      <c r="A6446" t="s">
        <v>6577</v>
      </c>
      <c r="B6446" t="s">
        <v>57</v>
      </c>
      <c r="C6446" t="str">
        <f>_xlfn.XLOOKUP(B6446,
[1]sales_teams!$A$2:$A$100,
[1]sales_teams!$B$2:$B$100)</f>
        <v>Celia Rouche</v>
      </c>
      <c r="D6446" t="str">
        <f>_xlfn.XLOOKUP($B6446,sales_teams!$A$2:$A$36,sales_teams!C$2:C$36)</f>
        <v>West</v>
      </c>
      <c r="E6446" t="s">
        <v>39</v>
      </c>
      <c r="F6446" t="s">
        <v>184</v>
      </c>
      <c r="G6446" t="s">
        <v>12</v>
      </c>
      <c r="H6446" s="1">
        <v>42982</v>
      </c>
      <c r="I6446" s="1">
        <v>43045</v>
      </c>
      <c r="J6446">
        <v>3275</v>
      </c>
    </row>
    <row r="6447" spans="1:10" x14ac:dyDescent="0.3">
      <c r="A6447" t="s">
        <v>6578</v>
      </c>
      <c r="B6447" t="s">
        <v>61</v>
      </c>
      <c r="C6447" t="str">
        <f>_xlfn.XLOOKUP(B6447,
[1]sales_teams!$A$2:$A$100,
[1]sales_teams!$B$2:$B$100)</f>
        <v>Dustin Brinkmann</v>
      </c>
      <c r="D6447" t="str">
        <f>_xlfn.XLOOKUP($B6447,sales_teams!$A$2:$A$36,sales_teams!C$2:C$36)</f>
        <v>Central</v>
      </c>
      <c r="E6447" t="s">
        <v>18</v>
      </c>
      <c r="F6447" t="s">
        <v>303</v>
      </c>
      <c r="G6447" t="s">
        <v>12</v>
      </c>
      <c r="H6447" s="1">
        <v>42982</v>
      </c>
      <c r="I6447" s="1">
        <v>43095</v>
      </c>
      <c r="J6447">
        <v>41</v>
      </c>
    </row>
    <row r="6448" spans="1:10" x14ac:dyDescent="0.3">
      <c r="A6448" t="s">
        <v>6579</v>
      </c>
      <c r="B6448" t="s">
        <v>29</v>
      </c>
      <c r="C6448" t="str">
        <f>_xlfn.XLOOKUP(B6448,
[1]sales_teams!$A$2:$A$100,
[1]sales_teams!$B$2:$B$100)</f>
        <v>Celia Rouche</v>
      </c>
      <c r="D6448" t="str">
        <f>_xlfn.XLOOKUP($B6448,sales_teams!$A$2:$A$36,sales_teams!C$2:C$36)</f>
        <v>West</v>
      </c>
      <c r="E6448" t="s">
        <v>48</v>
      </c>
      <c r="F6448" t="s">
        <v>174</v>
      </c>
      <c r="G6448" t="s">
        <v>12</v>
      </c>
      <c r="H6448" s="1">
        <v>42982</v>
      </c>
      <c r="I6448" s="1">
        <v>43058</v>
      </c>
      <c r="J6448">
        <v>5185</v>
      </c>
    </row>
    <row r="6449" spans="1:10" x14ac:dyDescent="0.3">
      <c r="A6449" t="s">
        <v>6580</v>
      </c>
      <c r="B6449" t="s">
        <v>29</v>
      </c>
      <c r="C6449" t="str">
        <f>_xlfn.XLOOKUP(B6449,
[1]sales_teams!$A$2:$A$100,
[1]sales_teams!$B$2:$B$100)</f>
        <v>Celia Rouche</v>
      </c>
      <c r="D6449" t="str">
        <f>_xlfn.XLOOKUP($B6449,sales_teams!$A$2:$A$36,sales_teams!C$2:C$36)</f>
        <v>West</v>
      </c>
      <c r="E6449" t="s">
        <v>15</v>
      </c>
      <c r="F6449" t="s">
        <v>174</v>
      </c>
      <c r="G6449" t="s">
        <v>12</v>
      </c>
      <c r="H6449" s="1">
        <v>42982</v>
      </c>
      <c r="I6449" s="1">
        <v>42993</v>
      </c>
      <c r="J6449">
        <v>5191</v>
      </c>
    </row>
    <row r="6450" spans="1:10" x14ac:dyDescent="0.3">
      <c r="A6450" t="s">
        <v>6581</v>
      </c>
      <c r="B6450" t="s">
        <v>73</v>
      </c>
      <c r="C6450" t="str">
        <f>_xlfn.XLOOKUP(B6450,
[1]sales_teams!$A$2:$A$100,
[1]sales_teams!$B$2:$B$100)</f>
        <v>Cara Losch</v>
      </c>
      <c r="D6450" t="str">
        <f>_xlfn.XLOOKUP($B6450,sales_teams!$A$2:$A$36,sales_teams!C$2:C$36)</f>
        <v>East</v>
      </c>
      <c r="E6450" t="s">
        <v>10</v>
      </c>
      <c r="G6450" t="s">
        <v>40</v>
      </c>
      <c r="H6450" s="1">
        <v>42982</v>
      </c>
    </row>
    <row r="6451" spans="1:10" x14ac:dyDescent="0.3">
      <c r="A6451" t="s">
        <v>6582</v>
      </c>
      <c r="B6451" t="s">
        <v>73</v>
      </c>
      <c r="C6451" t="str">
        <f>_xlfn.XLOOKUP(B6451,
[1]sales_teams!$A$2:$A$100,
[1]sales_teams!$B$2:$B$100)</f>
        <v>Cara Losch</v>
      </c>
      <c r="D6451" t="str">
        <f>_xlfn.XLOOKUP($B6451,sales_teams!$A$2:$A$36,sales_teams!C$2:C$36)</f>
        <v>East</v>
      </c>
      <c r="E6451" t="s">
        <v>18</v>
      </c>
      <c r="F6451" t="s">
        <v>106</v>
      </c>
      <c r="G6451" t="s">
        <v>12</v>
      </c>
      <c r="H6451" s="1">
        <v>42982</v>
      </c>
      <c r="I6451" s="1">
        <v>43046</v>
      </c>
      <c r="J6451">
        <v>59</v>
      </c>
    </row>
    <row r="6452" spans="1:10" x14ac:dyDescent="0.3">
      <c r="A6452" t="s">
        <v>6583</v>
      </c>
      <c r="B6452" t="s">
        <v>73</v>
      </c>
      <c r="C6452" t="str">
        <f>_xlfn.XLOOKUP(B6452,
[1]sales_teams!$A$2:$A$100,
[1]sales_teams!$B$2:$B$100)</f>
        <v>Cara Losch</v>
      </c>
      <c r="D6452" t="str">
        <f>_xlfn.XLOOKUP($B6452,sales_teams!$A$2:$A$36,sales_teams!C$2:C$36)</f>
        <v>East</v>
      </c>
      <c r="E6452" t="s">
        <v>18</v>
      </c>
      <c r="F6452" t="s">
        <v>143</v>
      </c>
      <c r="G6452" t="s">
        <v>12</v>
      </c>
      <c r="H6452" s="1">
        <v>42982</v>
      </c>
      <c r="I6452" s="1">
        <v>43077</v>
      </c>
      <c r="J6452">
        <v>54</v>
      </c>
    </row>
    <row r="6453" spans="1:10" x14ac:dyDescent="0.3">
      <c r="A6453" t="s">
        <v>6584</v>
      </c>
      <c r="B6453" t="s">
        <v>23</v>
      </c>
      <c r="C6453" t="str">
        <f>_xlfn.XLOOKUP(B6453,
[1]sales_teams!$A$2:$A$100,
[1]sales_teams!$B$2:$B$100)</f>
        <v>Summer Sewald</v>
      </c>
      <c r="D6453" t="str">
        <f>_xlfn.XLOOKUP($B6453,sales_teams!$A$2:$A$36,sales_teams!C$2:C$36)</f>
        <v>West</v>
      </c>
      <c r="E6453" t="s">
        <v>20</v>
      </c>
      <c r="G6453" t="s">
        <v>40</v>
      </c>
      <c r="H6453" s="1">
        <v>42982</v>
      </c>
    </row>
    <row r="6454" spans="1:10" x14ac:dyDescent="0.3">
      <c r="A6454" t="s">
        <v>6585</v>
      </c>
      <c r="B6454" t="s">
        <v>23</v>
      </c>
      <c r="C6454" t="str">
        <f>_xlfn.XLOOKUP(B6454,
[1]sales_teams!$A$2:$A$100,
[1]sales_teams!$B$2:$B$100)</f>
        <v>Summer Sewald</v>
      </c>
      <c r="D6454" t="str">
        <f>_xlfn.XLOOKUP($B6454,sales_teams!$A$2:$A$36,sales_teams!C$2:C$36)</f>
        <v>West</v>
      </c>
      <c r="E6454" t="s">
        <v>39</v>
      </c>
      <c r="G6454" t="s">
        <v>40</v>
      </c>
      <c r="H6454" s="1">
        <v>42982</v>
      </c>
    </row>
    <row r="6455" spans="1:10" x14ac:dyDescent="0.3">
      <c r="A6455" t="s">
        <v>6586</v>
      </c>
      <c r="B6455" t="s">
        <v>139</v>
      </c>
      <c r="C6455" t="str">
        <f>_xlfn.XLOOKUP(B6455,
[1]sales_teams!$A$2:$A$100,
[1]sales_teams!$B$2:$B$100)</f>
        <v>Rocco Neubert</v>
      </c>
      <c r="D6455" t="str">
        <f>_xlfn.XLOOKUP($B6455,sales_teams!$A$2:$A$36,sales_teams!C$2:C$36)</f>
        <v>East</v>
      </c>
      <c r="E6455" t="s">
        <v>15</v>
      </c>
      <c r="G6455" t="s">
        <v>40</v>
      </c>
      <c r="H6455" s="1">
        <v>42983</v>
      </c>
    </row>
    <row r="6456" spans="1:10" x14ac:dyDescent="0.3">
      <c r="A6456" t="s">
        <v>6587</v>
      </c>
      <c r="B6456" t="s">
        <v>164</v>
      </c>
      <c r="C6456" t="str">
        <f>_xlfn.XLOOKUP(B6456,
[1]sales_teams!$A$2:$A$100,
[1]sales_teams!$B$2:$B$100)</f>
        <v>Cara Losch</v>
      </c>
      <c r="D6456" t="str">
        <f>_xlfn.XLOOKUP($B6456,sales_teams!$A$2:$A$36,sales_teams!C$2:C$36)</f>
        <v>East</v>
      </c>
      <c r="E6456" t="s">
        <v>10</v>
      </c>
      <c r="F6456" t="s">
        <v>518</v>
      </c>
      <c r="G6456" t="s">
        <v>12</v>
      </c>
      <c r="H6456" s="1">
        <v>42983</v>
      </c>
      <c r="I6456" s="1">
        <v>43056</v>
      </c>
      <c r="J6456">
        <v>1076</v>
      </c>
    </row>
    <row r="6457" spans="1:10" x14ac:dyDescent="0.3">
      <c r="A6457" t="s">
        <v>6588</v>
      </c>
      <c r="B6457" t="s">
        <v>64</v>
      </c>
      <c r="C6457" t="str">
        <f>_xlfn.XLOOKUP(B6457,
[1]sales_teams!$A$2:$A$100,
[1]sales_teams!$B$2:$B$100)</f>
        <v>Rocco Neubert</v>
      </c>
      <c r="D6457" t="str">
        <f>_xlfn.XLOOKUP($B6457,sales_teams!$A$2:$A$36,sales_teams!C$2:C$36)</f>
        <v>East</v>
      </c>
      <c r="E6457" t="s">
        <v>20</v>
      </c>
      <c r="F6457" t="s">
        <v>215</v>
      </c>
      <c r="G6457" t="s">
        <v>12</v>
      </c>
      <c r="H6457" s="1">
        <v>42983</v>
      </c>
      <c r="I6457" s="1">
        <v>43059</v>
      </c>
      <c r="J6457">
        <v>490</v>
      </c>
    </row>
    <row r="6458" spans="1:10" x14ac:dyDescent="0.3">
      <c r="A6458" t="s">
        <v>6589</v>
      </c>
      <c r="B6458" t="s">
        <v>14</v>
      </c>
      <c r="C6458" t="str">
        <f>_xlfn.XLOOKUP(B6458,
[1]sales_teams!$A$2:$A$100,
[1]sales_teams!$B$2:$B$100)</f>
        <v>Melvin Marxen</v>
      </c>
      <c r="D6458" t="str">
        <f>_xlfn.XLOOKUP($B6458,sales_teams!$A$2:$A$36,sales_teams!C$2:C$36)</f>
        <v>Central</v>
      </c>
      <c r="E6458" t="s">
        <v>48</v>
      </c>
      <c r="F6458" t="s">
        <v>91</v>
      </c>
      <c r="G6458" t="s">
        <v>46</v>
      </c>
      <c r="H6458" s="1">
        <v>42983</v>
      </c>
      <c r="I6458" s="1">
        <v>43063</v>
      </c>
      <c r="J6458">
        <v>0</v>
      </c>
    </row>
    <row r="6459" spans="1:10" x14ac:dyDescent="0.3">
      <c r="A6459" t="s">
        <v>6590</v>
      </c>
      <c r="B6459" t="s">
        <v>14</v>
      </c>
      <c r="C6459" t="str">
        <f>_xlfn.XLOOKUP(B6459,
[1]sales_teams!$A$2:$A$100,
[1]sales_teams!$B$2:$B$100)</f>
        <v>Melvin Marxen</v>
      </c>
      <c r="D6459" t="str">
        <f>_xlfn.XLOOKUP($B6459,sales_teams!$A$2:$A$36,sales_teams!C$2:C$36)</f>
        <v>Central</v>
      </c>
      <c r="E6459" t="s">
        <v>15</v>
      </c>
      <c r="F6459" t="s">
        <v>303</v>
      </c>
      <c r="G6459" t="s">
        <v>46</v>
      </c>
      <c r="H6459" s="1">
        <v>42983</v>
      </c>
      <c r="I6459" s="1">
        <v>42991</v>
      </c>
      <c r="J6459">
        <v>0</v>
      </c>
    </row>
    <row r="6460" spans="1:10" x14ac:dyDescent="0.3">
      <c r="A6460" t="s">
        <v>6591</v>
      </c>
      <c r="B6460" t="s">
        <v>44</v>
      </c>
      <c r="C6460" t="str">
        <f>_xlfn.XLOOKUP(B6460,
[1]sales_teams!$A$2:$A$100,
[1]sales_teams!$B$2:$B$100)</f>
        <v>Melvin Marxen</v>
      </c>
      <c r="D6460" t="str">
        <f>_xlfn.XLOOKUP($B6460,sales_teams!$A$2:$A$36,sales_teams!C$2:C$36)</f>
        <v>Central</v>
      </c>
      <c r="E6460" t="s">
        <v>18</v>
      </c>
      <c r="F6460" t="s">
        <v>303</v>
      </c>
      <c r="G6460" t="s">
        <v>46</v>
      </c>
      <c r="H6460" s="1">
        <v>42983</v>
      </c>
      <c r="I6460" s="1">
        <v>43079</v>
      </c>
      <c r="J6460">
        <v>0</v>
      </c>
    </row>
    <row r="6461" spans="1:10" x14ac:dyDescent="0.3">
      <c r="A6461" t="s">
        <v>6592</v>
      </c>
      <c r="B6461" t="s">
        <v>54</v>
      </c>
      <c r="C6461" t="str">
        <f>_xlfn.XLOOKUP(B6461,
[1]sales_teams!$A$2:$A$100,
[1]sales_teams!$B$2:$B$100)</f>
        <v>Celia Rouche</v>
      </c>
      <c r="D6461" t="str">
        <f>_xlfn.XLOOKUP($B6461,sales_teams!$A$2:$A$36,sales_teams!C$2:C$36)</f>
        <v>West</v>
      </c>
      <c r="E6461" t="s">
        <v>48</v>
      </c>
      <c r="F6461" t="s">
        <v>113</v>
      </c>
      <c r="G6461" t="s">
        <v>40</v>
      </c>
      <c r="H6461" s="1">
        <v>42983</v>
      </c>
    </row>
    <row r="6462" spans="1:10" x14ac:dyDescent="0.3">
      <c r="A6462" t="s">
        <v>6593</v>
      </c>
      <c r="B6462" t="s">
        <v>78</v>
      </c>
      <c r="C6462" t="str">
        <f>_xlfn.XLOOKUP(B6462,
[1]sales_teams!$A$2:$A$100,
[1]sales_teams!$B$2:$B$100)</f>
        <v>Summer Sewald</v>
      </c>
      <c r="D6462" t="str">
        <f>_xlfn.XLOOKUP($B6462,sales_teams!$A$2:$A$36,sales_teams!C$2:C$36)</f>
        <v>West</v>
      </c>
      <c r="E6462" t="s">
        <v>20</v>
      </c>
      <c r="G6462" t="s">
        <v>40</v>
      </c>
      <c r="H6462" s="1">
        <v>42983</v>
      </c>
    </row>
    <row r="6463" spans="1:10" x14ac:dyDescent="0.3">
      <c r="A6463" t="s">
        <v>6594</v>
      </c>
      <c r="B6463" t="s">
        <v>95</v>
      </c>
      <c r="C6463" t="str">
        <f>_xlfn.XLOOKUP(B6463,
[1]sales_teams!$A$2:$A$100,
[1]sales_teams!$B$2:$B$100)</f>
        <v>Summer Sewald</v>
      </c>
      <c r="D6463" t="str">
        <f>_xlfn.XLOOKUP($B6463,sales_teams!$A$2:$A$36,sales_teams!C$2:C$36)</f>
        <v>West</v>
      </c>
      <c r="E6463" t="s">
        <v>20</v>
      </c>
      <c r="F6463" t="s">
        <v>199</v>
      </c>
      <c r="G6463" t="s">
        <v>46</v>
      </c>
      <c r="H6463" s="1">
        <v>42983</v>
      </c>
      <c r="I6463" s="1">
        <v>43052</v>
      </c>
      <c r="J6463">
        <v>0</v>
      </c>
    </row>
    <row r="6464" spans="1:10" x14ac:dyDescent="0.3">
      <c r="A6464" t="s">
        <v>6595</v>
      </c>
      <c r="B6464" t="s">
        <v>95</v>
      </c>
      <c r="C6464" t="str">
        <f>_xlfn.XLOOKUP(B6464,
[1]sales_teams!$A$2:$A$100,
[1]sales_teams!$B$2:$B$100)</f>
        <v>Summer Sewald</v>
      </c>
      <c r="D6464" t="str">
        <f>_xlfn.XLOOKUP($B6464,sales_teams!$A$2:$A$36,sales_teams!C$2:C$36)</f>
        <v>West</v>
      </c>
      <c r="E6464" t="s">
        <v>15</v>
      </c>
      <c r="F6464" t="s">
        <v>86</v>
      </c>
      <c r="G6464" t="s">
        <v>12</v>
      </c>
      <c r="H6464" s="1">
        <v>42983</v>
      </c>
      <c r="I6464" s="1">
        <v>43096</v>
      </c>
      <c r="J6464">
        <v>5663</v>
      </c>
    </row>
    <row r="6465" spans="1:10" x14ac:dyDescent="0.3">
      <c r="A6465" t="s">
        <v>6596</v>
      </c>
      <c r="B6465" t="s">
        <v>32</v>
      </c>
      <c r="C6465" t="str">
        <f>_xlfn.XLOOKUP(B6465,
[1]sales_teams!$A$2:$A$100,
[1]sales_teams!$B$2:$B$100)</f>
        <v>Celia Rouche</v>
      </c>
      <c r="D6465" t="str">
        <f>_xlfn.XLOOKUP($B6465,sales_teams!$A$2:$A$36,sales_teams!C$2:C$36)</f>
        <v>West</v>
      </c>
      <c r="E6465" t="s">
        <v>10</v>
      </c>
      <c r="F6465" t="s">
        <v>315</v>
      </c>
      <c r="G6465" t="s">
        <v>46</v>
      </c>
      <c r="H6465" s="1">
        <v>42983</v>
      </c>
      <c r="I6465" s="1">
        <v>43045</v>
      </c>
      <c r="J6465">
        <v>0</v>
      </c>
    </row>
    <row r="6466" spans="1:10" x14ac:dyDescent="0.3">
      <c r="A6466" t="s">
        <v>6597</v>
      </c>
      <c r="B6466" t="s">
        <v>51</v>
      </c>
      <c r="C6466" t="str">
        <f>_xlfn.XLOOKUP(B6466,
[1]sales_teams!$A$2:$A$100,
[1]sales_teams!$B$2:$B$100)</f>
        <v>Summer Sewald</v>
      </c>
      <c r="D6466" t="str">
        <f>_xlfn.XLOOKUP($B6466,sales_teams!$A$2:$A$36,sales_teams!C$2:C$36)</f>
        <v>West</v>
      </c>
      <c r="E6466" t="s">
        <v>20</v>
      </c>
      <c r="F6466" t="s">
        <v>165</v>
      </c>
      <c r="G6466" t="s">
        <v>40</v>
      </c>
      <c r="H6466" s="1">
        <v>42983</v>
      </c>
    </row>
    <row r="6467" spans="1:10" x14ac:dyDescent="0.3">
      <c r="A6467" t="s">
        <v>6598</v>
      </c>
      <c r="B6467" t="s">
        <v>35</v>
      </c>
      <c r="C6467" t="str">
        <f>_xlfn.XLOOKUP(B6467,
[1]sales_teams!$A$2:$A$100,
[1]sales_teams!$B$2:$B$100)</f>
        <v>Melvin Marxen</v>
      </c>
      <c r="D6467" t="str">
        <f>_xlfn.XLOOKUP($B6467,sales_teams!$A$2:$A$36,sales_teams!C$2:C$36)</f>
        <v>Central</v>
      </c>
      <c r="E6467" t="s">
        <v>10</v>
      </c>
      <c r="F6467" t="s">
        <v>126</v>
      </c>
      <c r="G6467" t="s">
        <v>46</v>
      </c>
      <c r="H6467" s="1">
        <v>42983</v>
      </c>
      <c r="I6467" s="1">
        <v>43065</v>
      </c>
      <c r="J6467">
        <v>0</v>
      </c>
    </row>
    <row r="6468" spans="1:10" x14ac:dyDescent="0.3">
      <c r="A6468" t="s">
        <v>6599</v>
      </c>
      <c r="B6468" t="s">
        <v>35</v>
      </c>
      <c r="C6468" t="str">
        <f>_xlfn.XLOOKUP(B6468,
[1]sales_teams!$A$2:$A$100,
[1]sales_teams!$B$2:$B$100)</f>
        <v>Melvin Marxen</v>
      </c>
      <c r="D6468" t="str">
        <f>_xlfn.XLOOKUP($B6468,sales_teams!$A$2:$A$36,sales_teams!C$2:C$36)</f>
        <v>Central</v>
      </c>
      <c r="E6468" t="s">
        <v>10</v>
      </c>
      <c r="F6468" t="s">
        <v>197</v>
      </c>
      <c r="G6468" t="s">
        <v>12</v>
      </c>
      <c r="H6468" s="1">
        <v>42983</v>
      </c>
      <c r="I6468" s="1">
        <v>42994</v>
      </c>
      <c r="J6468">
        <v>1166</v>
      </c>
    </row>
    <row r="6469" spans="1:10" x14ac:dyDescent="0.3">
      <c r="A6469" t="s">
        <v>6600</v>
      </c>
      <c r="B6469" t="s">
        <v>57</v>
      </c>
      <c r="C6469" t="str">
        <f>_xlfn.XLOOKUP(B6469,
[1]sales_teams!$A$2:$A$100,
[1]sales_teams!$B$2:$B$100)</f>
        <v>Celia Rouche</v>
      </c>
      <c r="D6469" t="str">
        <f>_xlfn.XLOOKUP($B6469,sales_teams!$A$2:$A$36,sales_teams!C$2:C$36)</f>
        <v>West</v>
      </c>
      <c r="E6469" t="s">
        <v>18</v>
      </c>
      <c r="F6469" t="s">
        <v>157</v>
      </c>
      <c r="G6469" t="s">
        <v>46</v>
      </c>
      <c r="H6469" s="1">
        <v>42983</v>
      </c>
      <c r="I6469" s="1">
        <v>42992</v>
      </c>
      <c r="J6469">
        <v>0</v>
      </c>
    </row>
    <row r="6470" spans="1:10" x14ac:dyDescent="0.3">
      <c r="A6470" t="s">
        <v>6601</v>
      </c>
      <c r="B6470" t="s">
        <v>61</v>
      </c>
      <c r="C6470" t="str">
        <f>_xlfn.XLOOKUP(B6470,
[1]sales_teams!$A$2:$A$100,
[1]sales_teams!$B$2:$B$100)</f>
        <v>Dustin Brinkmann</v>
      </c>
      <c r="D6470" t="str">
        <f>_xlfn.XLOOKUP($B6470,sales_teams!$A$2:$A$36,sales_teams!C$2:C$36)</f>
        <v>Central</v>
      </c>
      <c r="E6470" t="s">
        <v>18</v>
      </c>
      <c r="F6470" t="s">
        <v>113</v>
      </c>
      <c r="G6470" t="s">
        <v>46</v>
      </c>
      <c r="H6470" s="1">
        <v>42983</v>
      </c>
      <c r="I6470" s="1">
        <v>42993</v>
      </c>
      <c r="J6470">
        <v>0</v>
      </c>
    </row>
    <row r="6471" spans="1:10" x14ac:dyDescent="0.3">
      <c r="A6471" t="s">
        <v>6602</v>
      </c>
      <c r="B6471" t="s">
        <v>61</v>
      </c>
      <c r="C6471" t="str">
        <f>_xlfn.XLOOKUP(B6471,
[1]sales_teams!$A$2:$A$100,
[1]sales_teams!$B$2:$B$100)</f>
        <v>Dustin Brinkmann</v>
      </c>
      <c r="D6471" t="str">
        <f>_xlfn.XLOOKUP($B6471,sales_teams!$A$2:$A$36,sales_teams!C$2:C$36)</f>
        <v>Central</v>
      </c>
      <c r="E6471" t="s">
        <v>18</v>
      </c>
      <c r="F6471" t="s">
        <v>151</v>
      </c>
      <c r="G6471" t="s">
        <v>46</v>
      </c>
      <c r="H6471" s="1">
        <v>42983</v>
      </c>
      <c r="I6471" s="1">
        <v>43065</v>
      </c>
      <c r="J6471">
        <v>0</v>
      </c>
    </row>
    <row r="6472" spans="1:10" x14ac:dyDescent="0.3">
      <c r="A6472" t="s">
        <v>6603</v>
      </c>
      <c r="B6472" t="s">
        <v>29</v>
      </c>
      <c r="C6472" t="str">
        <f>_xlfn.XLOOKUP(B6472,
[1]sales_teams!$A$2:$A$100,
[1]sales_teams!$B$2:$B$100)</f>
        <v>Celia Rouche</v>
      </c>
      <c r="D6472" t="str">
        <f>_xlfn.XLOOKUP($B6472,sales_teams!$A$2:$A$36,sales_teams!C$2:C$36)</f>
        <v>West</v>
      </c>
      <c r="E6472" t="s">
        <v>20</v>
      </c>
      <c r="F6472" t="s">
        <v>184</v>
      </c>
      <c r="G6472" t="s">
        <v>12</v>
      </c>
      <c r="H6472" s="1">
        <v>42983</v>
      </c>
      <c r="I6472" s="1">
        <v>43073</v>
      </c>
      <c r="J6472">
        <v>491</v>
      </c>
    </row>
    <row r="6473" spans="1:10" x14ac:dyDescent="0.3">
      <c r="A6473" t="s">
        <v>6604</v>
      </c>
      <c r="B6473" t="s">
        <v>29</v>
      </c>
      <c r="C6473" t="str">
        <f>_xlfn.XLOOKUP(B6473,
[1]sales_teams!$A$2:$A$100,
[1]sales_teams!$B$2:$B$100)</f>
        <v>Celia Rouche</v>
      </c>
      <c r="D6473" t="str">
        <f>_xlfn.XLOOKUP($B6473,sales_teams!$A$2:$A$36,sales_teams!C$2:C$36)</f>
        <v>West</v>
      </c>
      <c r="E6473" t="s">
        <v>48</v>
      </c>
      <c r="F6473" t="s">
        <v>100</v>
      </c>
      <c r="G6473" t="s">
        <v>12</v>
      </c>
      <c r="H6473" s="1">
        <v>42983</v>
      </c>
      <c r="I6473" s="1">
        <v>43046</v>
      </c>
      <c r="J6473">
        <v>5532</v>
      </c>
    </row>
    <row r="6474" spans="1:10" x14ac:dyDescent="0.3">
      <c r="A6474" t="s">
        <v>6605</v>
      </c>
      <c r="B6474" t="s">
        <v>29</v>
      </c>
      <c r="C6474" t="str">
        <f>_xlfn.XLOOKUP(B6474,
[1]sales_teams!$A$2:$A$100,
[1]sales_teams!$B$2:$B$100)</f>
        <v>Celia Rouche</v>
      </c>
      <c r="D6474" t="str">
        <f>_xlfn.XLOOKUP($B6474,sales_teams!$A$2:$A$36,sales_teams!C$2:C$36)</f>
        <v>West</v>
      </c>
      <c r="E6474" t="s">
        <v>39</v>
      </c>
      <c r="F6474" t="s">
        <v>313</v>
      </c>
      <c r="G6474" t="s">
        <v>12</v>
      </c>
      <c r="H6474" s="1">
        <v>42983</v>
      </c>
      <c r="I6474" s="1">
        <v>43053</v>
      </c>
      <c r="J6474">
        <v>3930</v>
      </c>
    </row>
    <row r="6475" spans="1:10" x14ac:dyDescent="0.3">
      <c r="A6475" t="s">
        <v>6606</v>
      </c>
      <c r="B6475" t="s">
        <v>29</v>
      </c>
      <c r="C6475" t="str">
        <f>_xlfn.XLOOKUP(B6475,
[1]sales_teams!$A$2:$A$100,
[1]sales_teams!$B$2:$B$100)</f>
        <v>Celia Rouche</v>
      </c>
      <c r="D6475" t="str">
        <f>_xlfn.XLOOKUP($B6475,sales_teams!$A$2:$A$36,sales_teams!C$2:C$36)</f>
        <v>West</v>
      </c>
      <c r="E6475" t="s">
        <v>39</v>
      </c>
      <c r="F6475" t="s">
        <v>86</v>
      </c>
      <c r="G6475" t="s">
        <v>12</v>
      </c>
      <c r="H6475" s="1">
        <v>42983</v>
      </c>
      <c r="I6475" s="1">
        <v>43060</v>
      </c>
      <c r="J6475">
        <v>2689</v>
      </c>
    </row>
    <row r="6476" spans="1:10" x14ac:dyDescent="0.3">
      <c r="A6476" t="s">
        <v>6607</v>
      </c>
      <c r="B6476" t="s">
        <v>118</v>
      </c>
      <c r="C6476" t="str">
        <f>_xlfn.XLOOKUP(B6476,
[1]sales_teams!$A$2:$A$100,
[1]sales_teams!$B$2:$B$100)</f>
        <v>Rocco Neubert</v>
      </c>
      <c r="D6476" t="str">
        <f>_xlfn.XLOOKUP($B6476,sales_teams!$A$2:$A$36,sales_teams!C$2:C$36)</f>
        <v>East</v>
      </c>
      <c r="E6476" t="s">
        <v>20</v>
      </c>
      <c r="G6476" t="s">
        <v>40</v>
      </c>
      <c r="H6476" s="1">
        <v>42984</v>
      </c>
    </row>
    <row r="6477" spans="1:10" x14ac:dyDescent="0.3">
      <c r="A6477" t="s">
        <v>6608</v>
      </c>
      <c r="B6477" t="s">
        <v>118</v>
      </c>
      <c r="C6477" t="str">
        <f>_xlfn.XLOOKUP(B6477,
[1]sales_teams!$A$2:$A$100,
[1]sales_teams!$B$2:$B$100)</f>
        <v>Rocco Neubert</v>
      </c>
      <c r="D6477" t="str">
        <f>_xlfn.XLOOKUP($B6477,sales_teams!$A$2:$A$36,sales_teams!C$2:C$36)</f>
        <v>East</v>
      </c>
      <c r="E6477" t="s">
        <v>10</v>
      </c>
      <c r="F6477" t="s">
        <v>177</v>
      </c>
      <c r="G6477" t="s">
        <v>40</v>
      </c>
      <c r="H6477" s="1">
        <v>42984</v>
      </c>
    </row>
    <row r="6478" spans="1:10" x14ac:dyDescent="0.3">
      <c r="A6478" t="s">
        <v>6609</v>
      </c>
      <c r="B6478" t="s">
        <v>64</v>
      </c>
      <c r="C6478" t="str">
        <f>_xlfn.XLOOKUP(B6478,
[1]sales_teams!$A$2:$A$100,
[1]sales_teams!$B$2:$B$100)</f>
        <v>Rocco Neubert</v>
      </c>
      <c r="D6478" t="str">
        <f>_xlfn.XLOOKUP($B6478,sales_teams!$A$2:$A$36,sales_teams!C$2:C$36)</f>
        <v>East</v>
      </c>
      <c r="E6478" t="s">
        <v>20</v>
      </c>
      <c r="G6478" t="s">
        <v>40</v>
      </c>
      <c r="H6478" s="1">
        <v>42984</v>
      </c>
    </row>
    <row r="6479" spans="1:10" x14ac:dyDescent="0.3">
      <c r="A6479" t="s">
        <v>6610</v>
      </c>
      <c r="B6479" t="s">
        <v>14</v>
      </c>
      <c r="C6479" t="str">
        <f>_xlfn.XLOOKUP(B6479,
[1]sales_teams!$A$2:$A$100,
[1]sales_teams!$B$2:$B$100)</f>
        <v>Melvin Marxen</v>
      </c>
      <c r="D6479" t="str">
        <f>_xlfn.XLOOKUP($B6479,sales_teams!$A$2:$A$36,sales_teams!C$2:C$36)</f>
        <v>Central</v>
      </c>
      <c r="E6479" t="s">
        <v>15</v>
      </c>
      <c r="F6479" t="s">
        <v>21</v>
      </c>
      <c r="G6479" t="s">
        <v>12</v>
      </c>
      <c r="H6479" s="1">
        <v>42984</v>
      </c>
      <c r="I6479" s="1">
        <v>43058</v>
      </c>
      <c r="J6479">
        <v>5987</v>
      </c>
    </row>
    <row r="6480" spans="1:10" x14ac:dyDescent="0.3">
      <c r="A6480" t="s">
        <v>6611</v>
      </c>
      <c r="B6480" t="s">
        <v>14</v>
      </c>
      <c r="C6480" t="str">
        <f>_xlfn.XLOOKUP(B6480,
[1]sales_teams!$A$2:$A$100,
[1]sales_teams!$B$2:$B$100)</f>
        <v>Melvin Marxen</v>
      </c>
      <c r="D6480" t="str">
        <f>_xlfn.XLOOKUP($B6480,sales_teams!$A$2:$A$36,sales_teams!C$2:C$36)</f>
        <v>Central</v>
      </c>
      <c r="E6480" t="s">
        <v>15</v>
      </c>
      <c r="F6480" t="s">
        <v>62</v>
      </c>
      <c r="G6480" t="s">
        <v>12</v>
      </c>
      <c r="H6480" s="1">
        <v>42984</v>
      </c>
      <c r="I6480" s="1">
        <v>43099</v>
      </c>
      <c r="J6480">
        <v>5141</v>
      </c>
    </row>
    <row r="6481" spans="1:10" x14ac:dyDescent="0.3">
      <c r="A6481" t="s">
        <v>6612</v>
      </c>
      <c r="B6481" t="s">
        <v>14</v>
      </c>
      <c r="C6481" t="str">
        <f>_xlfn.XLOOKUP(B6481,
[1]sales_teams!$A$2:$A$100,
[1]sales_teams!$B$2:$B$100)</f>
        <v>Melvin Marxen</v>
      </c>
      <c r="D6481" t="str">
        <f>_xlfn.XLOOKUP($B6481,sales_teams!$A$2:$A$36,sales_teams!C$2:C$36)</f>
        <v>Central</v>
      </c>
      <c r="E6481" t="s">
        <v>18</v>
      </c>
      <c r="F6481" t="s">
        <v>21</v>
      </c>
      <c r="G6481" t="s">
        <v>12</v>
      </c>
      <c r="H6481" s="1">
        <v>42984</v>
      </c>
      <c r="I6481" s="1">
        <v>42991</v>
      </c>
      <c r="J6481">
        <v>48</v>
      </c>
    </row>
    <row r="6482" spans="1:10" x14ac:dyDescent="0.3">
      <c r="A6482" t="s">
        <v>6613</v>
      </c>
      <c r="B6482" t="s">
        <v>142</v>
      </c>
      <c r="C6482" t="str">
        <f>_xlfn.XLOOKUP(B6482,
[1]sales_teams!$A$2:$A$100,
[1]sales_teams!$B$2:$B$100)</f>
        <v>Rocco Neubert</v>
      </c>
      <c r="D6482" t="str">
        <f>_xlfn.XLOOKUP($B6482,sales_teams!$A$2:$A$36,sales_teams!C$2:C$36)</f>
        <v>East</v>
      </c>
      <c r="E6482" t="s">
        <v>15</v>
      </c>
      <c r="F6482" t="s">
        <v>215</v>
      </c>
      <c r="G6482" t="s">
        <v>46</v>
      </c>
      <c r="H6482" s="1">
        <v>42984</v>
      </c>
      <c r="I6482" s="1">
        <v>43042</v>
      </c>
      <c r="J6482">
        <v>0</v>
      </c>
    </row>
    <row r="6483" spans="1:10" x14ac:dyDescent="0.3">
      <c r="A6483" t="s">
        <v>6614</v>
      </c>
      <c r="B6483" t="s">
        <v>142</v>
      </c>
      <c r="C6483" t="str">
        <f>_xlfn.XLOOKUP(B6483,
[1]sales_teams!$A$2:$A$100,
[1]sales_teams!$B$2:$B$100)</f>
        <v>Rocco Neubert</v>
      </c>
      <c r="D6483" t="str">
        <f>_xlfn.XLOOKUP($B6483,sales_teams!$A$2:$A$36,sales_teams!C$2:C$36)</f>
        <v>East</v>
      </c>
      <c r="E6483" t="s">
        <v>39</v>
      </c>
      <c r="F6483" t="s">
        <v>65</v>
      </c>
      <c r="G6483" t="s">
        <v>12</v>
      </c>
      <c r="H6483" s="1">
        <v>42984</v>
      </c>
      <c r="I6483" s="1">
        <v>42998</v>
      </c>
      <c r="J6483">
        <v>3206</v>
      </c>
    </row>
    <row r="6484" spans="1:10" x14ac:dyDescent="0.3">
      <c r="A6484" t="s">
        <v>6615</v>
      </c>
      <c r="B6484" t="s">
        <v>67</v>
      </c>
      <c r="C6484" t="str">
        <f>_xlfn.XLOOKUP(B6484,
[1]sales_teams!$A$2:$A$100,
[1]sales_teams!$B$2:$B$100)</f>
        <v>Celia Rouche</v>
      </c>
      <c r="D6484" t="str">
        <f>_xlfn.XLOOKUP($B6484,sales_teams!$A$2:$A$36,sales_teams!C$2:C$36)</f>
        <v>West</v>
      </c>
      <c r="E6484" t="s">
        <v>18</v>
      </c>
      <c r="F6484" t="s">
        <v>86</v>
      </c>
      <c r="G6484" t="s">
        <v>12</v>
      </c>
      <c r="H6484" s="1">
        <v>42984</v>
      </c>
      <c r="I6484" s="1">
        <v>43068</v>
      </c>
      <c r="J6484">
        <v>61</v>
      </c>
    </row>
    <row r="6485" spans="1:10" x14ac:dyDescent="0.3">
      <c r="A6485" t="s">
        <v>6616</v>
      </c>
      <c r="B6485" t="s">
        <v>105</v>
      </c>
      <c r="C6485" t="str">
        <f>_xlfn.XLOOKUP(B6485,
[1]sales_teams!$A$2:$A$100,
[1]sales_teams!$B$2:$B$100)</f>
        <v>Cara Losch</v>
      </c>
      <c r="D6485" t="str">
        <f>_xlfn.XLOOKUP($B6485,sales_teams!$A$2:$A$36,sales_teams!C$2:C$36)</f>
        <v>East</v>
      </c>
      <c r="E6485" t="s">
        <v>10</v>
      </c>
      <c r="F6485" t="s">
        <v>98</v>
      </c>
      <c r="G6485" t="s">
        <v>46</v>
      </c>
      <c r="H6485" s="1">
        <v>42984</v>
      </c>
      <c r="I6485" s="1">
        <v>43073</v>
      </c>
      <c r="J6485">
        <v>0</v>
      </c>
    </row>
    <row r="6486" spans="1:10" x14ac:dyDescent="0.3">
      <c r="A6486" t="s">
        <v>6617</v>
      </c>
      <c r="B6486" t="s">
        <v>44</v>
      </c>
      <c r="C6486" t="str">
        <f>_xlfn.XLOOKUP(B6486,
[1]sales_teams!$A$2:$A$100,
[1]sales_teams!$B$2:$B$100)</f>
        <v>Melvin Marxen</v>
      </c>
      <c r="D6486" t="str">
        <f>_xlfn.XLOOKUP($B6486,sales_teams!$A$2:$A$36,sales_teams!C$2:C$36)</f>
        <v>Central</v>
      </c>
      <c r="E6486" t="s">
        <v>15</v>
      </c>
      <c r="F6486" t="s">
        <v>113</v>
      </c>
      <c r="G6486" t="s">
        <v>12</v>
      </c>
      <c r="H6486" s="1">
        <v>42984</v>
      </c>
      <c r="I6486" s="1">
        <v>43061</v>
      </c>
      <c r="J6486">
        <v>5078</v>
      </c>
    </row>
    <row r="6487" spans="1:10" x14ac:dyDescent="0.3">
      <c r="A6487" t="s">
        <v>6618</v>
      </c>
      <c r="B6487" t="s">
        <v>252</v>
      </c>
      <c r="C6487" t="str">
        <f>_xlfn.XLOOKUP(B6487,
[1]sales_teams!$A$2:$A$100,
[1]sales_teams!$B$2:$B$100)</f>
        <v>Melvin Marxen</v>
      </c>
      <c r="D6487" t="str">
        <f>_xlfn.XLOOKUP($B6487,sales_teams!$A$2:$A$36,sales_teams!C$2:C$36)</f>
        <v>Central</v>
      </c>
      <c r="E6487" t="s">
        <v>20</v>
      </c>
      <c r="F6487" t="s">
        <v>187</v>
      </c>
      <c r="G6487" t="s">
        <v>46</v>
      </c>
      <c r="H6487" s="1">
        <v>42984</v>
      </c>
      <c r="I6487" s="1">
        <v>43058</v>
      </c>
      <c r="J6487">
        <v>0</v>
      </c>
    </row>
    <row r="6488" spans="1:10" x14ac:dyDescent="0.3">
      <c r="A6488" t="s">
        <v>6619</v>
      </c>
      <c r="B6488" t="s">
        <v>252</v>
      </c>
      <c r="C6488" t="str">
        <f>_xlfn.XLOOKUP(B6488,
[1]sales_teams!$A$2:$A$100,
[1]sales_teams!$B$2:$B$100)</f>
        <v>Melvin Marxen</v>
      </c>
      <c r="D6488" t="str">
        <f>_xlfn.XLOOKUP($B6488,sales_teams!$A$2:$A$36,sales_teams!C$2:C$36)</f>
        <v>Central</v>
      </c>
      <c r="E6488" t="s">
        <v>20</v>
      </c>
      <c r="F6488" t="s">
        <v>492</v>
      </c>
      <c r="G6488" t="s">
        <v>12</v>
      </c>
      <c r="H6488" s="1">
        <v>42984</v>
      </c>
      <c r="I6488" s="1">
        <v>43046</v>
      </c>
      <c r="J6488">
        <v>532</v>
      </c>
    </row>
    <row r="6489" spans="1:10" x14ac:dyDescent="0.3">
      <c r="A6489" t="s">
        <v>6620</v>
      </c>
      <c r="B6489" t="s">
        <v>78</v>
      </c>
      <c r="C6489" t="str">
        <f>_xlfn.XLOOKUP(B6489,
[1]sales_teams!$A$2:$A$100,
[1]sales_teams!$B$2:$B$100)</f>
        <v>Summer Sewald</v>
      </c>
      <c r="D6489" t="str">
        <f>_xlfn.XLOOKUP($B6489,sales_teams!$A$2:$A$36,sales_teams!C$2:C$36)</f>
        <v>West</v>
      </c>
      <c r="E6489" t="s">
        <v>20</v>
      </c>
      <c r="G6489" t="s">
        <v>40</v>
      </c>
      <c r="H6489" s="1">
        <v>42984</v>
      </c>
    </row>
    <row r="6490" spans="1:10" x14ac:dyDescent="0.3">
      <c r="A6490" t="s">
        <v>6621</v>
      </c>
      <c r="B6490" t="s">
        <v>78</v>
      </c>
      <c r="C6490" t="str">
        <f>_xlfn.XLOOKUP(B6490,
[1]sales_teams!$A$2:$A$100,
[1]sales_teams!$B$2:$B$100)</f>
        <v>Summer Sewald</v>
      </c>
      <c r="D6490" t="str">
        <f>_xlfn.XLOOKUP($B6490,sales_teams!$A$2:$A$36,sales_teams!C$2:C$36)</f>
        <v>West</v>
      </c>
      <c r="E6490" t="s">
        <v>18</v>
      </c>
      <c r="F6490" t="s">
        <v>184</v>
      </c>
      <c r="G6490" t="s">
        <v>12</v>
      </c>
      <c r="H6490" s="1">
        <v>42984</v>
      </c>
      <c r="I6490" s="1">
        <v>42993</v>
      </c>
      <c r="J6490">
        <v>56</v>
      </c>
    </row>
    <row r="6491" spans="1:10" x14ac:dyDescent="0.3">
      <c r="A6491" t="s">
        <v>6622</v>
      </c>
      <c r="B6491" t="s">
        <v>95</v>
      </c>
      <c r="C6491" t="str">
        <f>_xlfn.XLOOKUP(B6491,
[1]sales_teams!$A$2:$A$100,
[1]sales_teams!$B$2:$B$100)</f>
        <v>Summer Sewald</v>
      </c>
      <c r="D6491" t="str">
        <f>_xlfn.XLOOKUP($B6491,sales_teams!$A$2:$A$36,sales_teams!C$2:C$36)</f>
        <v>West</v>
      </c>
      <c r="E6491" t="s">
        <v>20</v>
      </c>
      <c r="F6491" t="s">
        <v>518</v>
      </c>
      <c r="G6491" t="s">
        <v>40</v>
      </c>
      <c r="H6491" s="1">
        <v>42984</v>
      </c>
    </row>
    <row r="6492" spans="1:10" x14ac:dyDescent="0.3">
      <c r="A6492" t="s">
        <v>6623</v>
      </c>
      <c r="B6492" t="s">
        <v>32</v>
      </c>
      <c r="C6492" t="str">
        <f>_xlfn.XLOOKUP(B6492,
[1]sales_teams!$A$2:$A$100,
[1]sales_teams!$B$2:$B$100)</f>
        <v>Celia Rouche</v>
      </c>
      <c r="D6492" t="str">
        <f>_xlfn.XLOOKUP($B6492,sales_teams!$A$2:$A$36,sales_teams!C$2:C$36)</f>
        <v>West</v>
      </c>
      <c r="E6492" t="s">
        <v>10</v>
      </c>
      <c r="F6492" t="s">
        <v>59</v>
      </c>
      <c r="G6492" t="s">
        <v>12</v>
      </c>
      <c r="H6492" s="1">
        <v>42984</v>
      </c>
      <c r="I6492" s="1">
        <v>43078</v>
      </c>
      <c r="J6492">
        <v>1182</v>
      </c>
    </row>
    <row r="6493" spans="1:10" x14ac:dyDescent="0.3">
      <c r="A6493" t="s">
        <v>6624</v>
      </c>
      <c r="B6493" t="s">
        <v>116</v>
      </c>
      <c r="C6493" t="str">
        <f>_xlfn.XLOOKUP(B6493,
[1]sales_teams!$A$2:$A$100,
[1]sales_teams!$B$2:$B$100)</f>
        <v>Melvin Marxen</v>
      </c>
      <c r="D6493" t="str">
        <f>_xlfn.XLOOKUP($B6493,sales_teams!$A$2:$A$36,sales_teams!C$2:C$36)</f>
        <v>Central</v>
      </c>
      <c r="E6493" t="s">
        <v>48</v>
      </c>
      <c r="F6493" t="s">
        <v>135</v>
      </c>
      <c r="G6493" t="s">
        <v>12</v>
      </c>
      <c r="H6493" s="1">
        <v>42984</v>
      </c>
      <c r="I6493" s="1">
        <v>43089</v>
      </c>
      <c r="J6493">
        <v>5788</v>
      </c>
    </row>
    <row r="6494" spans="1:10" x14ac:dyDescent="0.3">
      <c r="A6494" t="s">
        <v>6625</v>
      </c>
      <c r="B6494" t="s">
        <v>61</v>
      </c>
      <c r="C6494" t="str">
        <f>_xlfn.XLOOKUP(B6494,
[1]sales_teams!$A$2:$A$100,
[1]sales_teams!$B$2:$B$100)</f>
        <v>Dustin Brinkmann</v>
      </c>
      <c r="D6494" t="str">
        <f>_xlfn.XLOOKUP($B6494,sales_teams!$A$2:$A$36,sales_teams!C$2:C$36)</f>
        <v>Central</v>
      </c>
      <c r="E6494" t="s">
        <v>18</v>
      </c>
      <c r="F6494" t="s">
        <v>492</v>
      </c>
      <c r="G6494" t="s">
        <v>46</v>
      </c>
      <c r="H6494" s="1">
        <v>42984</v>
      </c>
      <c r="I6494" s="1">
        <v>42991</v>
      </c>
      <c r="J6494">
        <v>0</v>
      </c>
    </row>
    <row r="6495" spans="1:10" x14ac:dyDescent="0.3">
      <c r="A6495" t="s">
        <v>6626</v>
      </c>
      <c r="B6495" t="s">
        <v>61</v>
      </c>
      <c r="C6495" t="str">
        <f>_xlfn.XLOOKUP(B6495,
[1]sales_teams!$A$2:$A$100,
[1]sales_teams!$B$2:$B$100)</f>
        <v>Dustin Brinkmann</v>
      </c>
      <c r="D6495" t="str">
        <f>_xlfn.XLOOKUP($B6495,sales_teams!$A$2:$A$36,sales_teams!C$2:C$36)</f>
        <v>Central</v>
      </c>
      <c r="E6495" t="s">
        <v>18</v>
      </c>
      <c r="F6495" t="s">
        <v>11</v>
      </c>
      <c r="G6495" t="s">
        <v>12</v>
      </c>
      <c r="H6495" s="1">
        <v>42984</v>
      </c>
      <c r="I6495" s="1">
        <v>42990</v>
      </c>
      <c r="J6495">
        <v>61</v>
      </c>
    </row>
    <row r="6496" spans="1:10" x14ac:dyDescent="0.3">
      <c r="A6496" t="s">
        <v>6627</v>
      </c>
      <c r="B6496" t="s">
        <v>29</v>
      </c>
      <c r="C6496" t="str">
        <f>_xlfn.XLOOKUP(B6496,
[1]sales_teams!$A$2:$A$100,
[1]sales_teams!$B$2:$B$100)</f>
        <v>Celia Rouche</v>
      </c>
      <c r="D6496" t="str">
        <f>_xlfn.XLOOKUP($B6496,sales_teams!$A$2:$A$36,sales_teams!C$2:C$36)</f>
        <v>West</v>
      </c>
      <c r="E6496" t="s">
        <v>15</v>
      </c>
      <c r="F6496" t="s">
        <v>59</v>
      </c>
      <c r="G6496" t="s">
        <v>12</v>
      </c>
      <c r="H6496" s="1">
        <v>42984</v>
      </c>
      <c r="I6496" s="1">
        <v>43085</v>
      </c>
      <c r="J6496">
        <v>5115</v>
      </c>
    </row>
    <row r="6497" spans="1:10" x14ac:dyDescent="0.3">
      <c r="A6497" t="s">
        <v>6628</v>
      </c>
      <c r="B6497" t="s">
        <v>29</v>
      </c>
      <c r="C6497" t="str">
        <f>_xlfn.XLOOKUP(B6497,
[1]sales_teams!$A$2:$A$100,
[1]sales_teams!$B$2:$B$100)</f>
        <v>Celia Rouche</v>
      </c>
      <c r="D6497" t="str">
        <f>_xlfn.XLOOKUP($B6497,sales_teams!$A$2:$A$36,sales_teams!C$2:C$36)</f>
        <v>West</v>
      </c>
      <c r="E6497" t="s">
        <v>15</v>
      </c>
      <c r="F6497" t="s">
        <v>159</v>
      </c>
      <c r="G6497" t="s">
        <v>12</v>
      </c>
      <c r="H6497" s="1">
        <v>42984</v>
      </c>
      <c r="I6497" s="1">
        <v>42993</v>
      </c>
      <c r="J6497">
        <v>5227</v>
      </c>
    </row>
    <row r="6498" spans="1:10" x14ac:dyDescent="0.3">
      <c r="A6498" t="s">
        <v>6629</v>
      </c>
      <c r="B6498" t="s">
        <v>73</v>
      </c>
      <c r="C6498" t="str">
        <f>_xlfn.XLOOKUP(B6498,
[1]sales_teams!$A$2:$A$100,
[1]sales_teams!$B$2:$B$100)</f>
        <v>Cara Losch</v>
      </c>
      <c r="D6498" t="str">
        <f>_xlfn.XLOOKUP($B6498,sales_teams!$A$2:$A$36,sales_teams!C$2:C$36)</f>
        <v>East</v>
      </c>
      <c r="E6498" t="s">
        <v>18</v>
      </c>
      <c r="G6498" t="s">
        <v>40</v>
      </c>
      <c r="H6498" s="1">
        <v>42984</v>
      </c>
    </row>
    <row r="6499" spans="1:10" x14ac:dyDescent="0.3">
      <c r="A6499" t="s">
        <v>6630</v>
      </c>
      <c r="B6499" t="s">
        <v>102</v>
      </c>
      <c r="C6499" t="str">
        <f>_xlfn.XLOOKUP(B6499,
[1]sales_teams!$A$2:$A$100,
[1]sales_teams!$B$2:$B$100)</f>
        <v>Cara Losch</v>
      </c>
      <c r="D6499" t="str">
        <f>_xlfn.XLOOKUP($B6499,sales_teams!$A$2:$A$36,sales_teams!C$2:C$36)</f>
        <v>East</v>
      </c>
      <c r="E6499" t="s">
        <v>10</v>
      </c>
      <c r="F6499" t="s">
        <v>300</v>
      </c>
      <c r="G6499" t="s">
        <v>12</v>
      </c>
      <c r="H6499" s="1">
        <v>42984</v>
      </c>
      <c r="I6499" s="1">
        <v>43075</v>
      </c>
      <c r="J6499">
        <v>1144</v>
      </c>
    </row>
    <row r="6500" spans="1:10" x14ac:dyDescent="0.3">
      <c r="A6500" t="s">
        <v>6631</v>
      </c>
      <c r="B6500" t="s">
        <v>23</v>
      </c>
      <c r="C6500" t="str">
        <f>_xlfn.XLOOKUP(B6500,
[1]sales_teams!$A$2:$A$100,
[1]sales_teams!$B$2:$B$100)</f>
        <v>Summer Sewald</v>
      </c>
      <c r="D6500" t="str">
        <f>_xlfn.XLOOKUP($B6500,sales_teams!$A$2:$A$36,sales_teams!C$2:C$36)</f>
        <v>West</v>
      </c>
      <c r="E6500" t="s">
        <v>18</v>
      </c>
      <c r="F6500" t="s">
        <v>398</v>
      </c>
      <c r="G6500" t="s">
        <v>40</v>
      </c>
      <c r="H6500" s="1">
        <v>42984</v>
      </c>
    </row>
    <row r="6501" spans="1:10" x14ac:dyDescent="0.3">
      <c r="A6501" t="s">
        <v>6632</v>
      </c>
      <c r="B6501" t="s">
        <v>26</v>
      </c>
      <c r="C6501" t="str">
        <f>_xlfn.XLOOKUP(B6501,
[1]sales_teams!$A$2:$A$100,
[1]sales_teams!$B$2:$B$100)</f>
        <v>Dustin Brinkmann</v>
      </c>
      <c r="D6501" t="str">
        <f>_xlfn.XLOOKUP($B6501,sales_teams!$A$2:$A$36,sales_teams!C$2:C$36)</f>
        <v>Central</v>
      </c>
      <c r="E6501" t="s">
        <v>18</v>
      </c>
      <c r="F6501" t="s">
        <v>187</v>
      </c>
      <c r="G6501" t="s">
        <v>46</v>
      </c>
      <c r="H6501" s="1">
        <v>42985</v>
      </c>
      <c r="I6501" s="1">
        <v>43057</v>
      </c>
      <c r="J6501">
        <v>0</v>
      </c>
    </row>
    <row r="6502" spans="1:10" x14ac:dyDescent="0.3">
      <c r="A6502" t="s">
        <v>6633</v>
      </c>
      <c r="B6502" t="s">
        <v>26</v>
      </c>
      <c r="C6502" t="str">
        <f>_xlfn.XLOOKUP(B6502,
[1]sales_teams!$A$2:$A$100,
[1]sales_teams!$B$2:$B$100)</f>
        <v>Dustin Brinkmann</v>
      </c>
      <c r="D6502" t="str">
        <f>_xlfn.XLOOKUP($B6502,sales_teams!$A$2:$A$36,sales_teams!C$2:C$36)</f>
        <v>Central</v>
      </c>
      <c r="E6502" t="s">
        <v>10</v>
      </c>
      <c r="F6502" t="s">
        <v>27</v>
      </c>
      <c r="G6502" t="s">
        <v>12</v>
      </c>
      <c r="H6502" s="1">
        <v>42985</v>
      </c>
      <c r="I6502" s="1">
        <v>43081</v>
      </c>
      <c r="J6502">
        <v>1249</v>
      </c>
    </row>
    <row r="6503" spans="1:10" x14ac:dyDescent="0.3">
      <c r="A6503" t="s">
        <v>6634</v>
      </c>
      <c r="B6503" t="s">
        <v>139</v>
      </c>
      <c r="C6503" t="str">
        <f>_xlfn.XLOOKUP(B6503,
[1]sales_teams!$A$2:$A$100,
[1]sales_teams!$B$2:$B$100)</f>
        <v>Rocco Neubert</v>
      </c>
      <c r="D6503" t="str">
        <f>_xlfn.XLOOKUP($B6503,sales_teams!$A$2:$A$36,sales_teams!C$2:C$36)</f>
        <v>East</v>
      </c>
      <c r="E6503" t="s">
        <v>10</v>
      </c>
      <c r="G6503" t="s">
        <v>40</v>
      </c>
      <c r="H6503" s="1">
        <v>42985</v>
      </c>
    </row>
    <row r="6504" spans="1:10" x14ac:dyDescent="0.3">
      <c r="A6504" t="s">
        <v>6635</v>
      </c>
      <c r="B6504" t="s">
        <v>139</v>
      </c>
      <c r="C6504" t="str">
        <f>_xlfn.XLOOKUP(B6504,
[1]sales_teams!$A$2:$A$100,
[1]sales_teams!$B$2:$B$100)</f>
        <v>Rocco Neubert</v>
      </c>
      <c r="D6504" t="str">
        <f>_xlfn.XLOOKUP($B6504,sales_teams!$A$2:$A$36,sales_teams!C$2:C$36)</f>
        <v>East</v>
      </c>
      <c r="E6504" t="s">
        <v>10</v>
      </c>
      <c r="F6504" t="s">
        <v>329</v>
      </c>
      <c r="G6504" t="s">
        <v>12</v>
      </c>
      <c r="H6504" s="1">
        <v>42985</v>
      </c>
      <c r="I6504" s="1">
        <v>43072</v>
      </c>
      <c r="J6504">
        <v>1106</v>
      </c>
    </row>
    <row r="6505" spans="1:10" x14ac:dyDescent="0.3">
      <c r="A6505" t="s">
        <v>6636</v>
      </c>
      <c r="B6505" t="s">
        <v>118</v>
      </c>
      <c r="C6505" t="str">
        <f>_xlfn.XLOOKUP(B6505,
[1]sales_teams!$A$2:$A$100,
[1]sales_teams!$B$2:$B$100)</f>
        <v>Rocco Neubert</v>
      </c>
      <c r="D6505" t="str">
        <f>_xlfn.XLOOKUP($B6505,sales_teams!$A$2:$A$36,sales_teams!C$2:C$36)</f>
        <v>East</v>
      </c>
      <c r="E6505" t="s">
        <v>10</v>
      </c>
      <c r="F6505" t="s">
        <v>192</v>
      </c>
      <c r="G6505" t="s">
        <v>12</v>
      </c>
      <c r="H6505" s="1">
        <v>42985</v>
      </c>
      <c r="I6505" s="1">
        <v>43057</v>
      </c>
      <c r="J6505">
        <v>1251</v>
      </c>
    </row>
    <row r="6506" spans="1:10" x14ac:dyDescent="0.3">
      <c r="A6506" t="s">
        <v>6637</v>
      </c>
      <c r="B6506" t="s">
        <v>164</v>
      </c>
      <c r="C6506" t="str">
        <f>_xlfn.XLOOKUP(B6506,
[1]sales_teams!$A$2:$A$100,
[1]sales_teams!$B$2:$B$100)</f>
        <v>Cara Losch</v>
      </c>
      <c r="D6506" t="str">
        <f>_xlfn.XLOOKUP($B6506,sales_teams!$A$2:$A$36,sales_teams!C$2:C$36)</f>
        <v>East</v>
      </c>
      <c r="E6506" t="s">
        <v>15</v>
      </c>
      <c r="F6506" t="s">
        <v>215</v>
      </c>
      <c r="G6506" t="s">
        <v>46</v>
      </c>
      <c r="H6506" s="1">
        <v>42985</v>
      </c>
      <c r="I6506" s="1">
        <v>43057</v>
      </c>
      <c r="J6506">
        <v>0</v>
      </c>
    </row>
    <row r="6507" spans="1:10" x14ac:dyDescent="0.3">
      <c r="A6507" t="s">
        <v>6638</v>
      </c>
      <c r="B6507" t="s">
        <v>164</v>
      </c>
      <c r="C6507" t="str">
        <f>_xlfn.XLOOKUP(B6507,
[1]sales_teams!$A$2:$A$100,
[1]sales_teams!$B$2:$B$100)</f>
        <v>Cara Losch</v>
      </c>
      <c r="D6507" t="str">
        <f>_xlfn.XLOOKUP($B6507,sales_teams!$A$2:$A$36,sales_teams!C$2:C$36)</f>
        <v>East</v>
      </c>
      <c r="E6507" t="s">
        <v>15</v>
      </c>
      <c r="F6507" t="s">
        <v>410</v>
      </c>
      <c r="G6507" t="s">
        <v>12</v>
      </c>
      <c r="H6507" s="1">
        <v>42985</v>
      </c>
      <c r="I6507" s="1">
        <v>42996</v>
      </c>
      <c r="J6507">
        <v>4975</v>
      </c>
    </row>
    <row r="6508" spans="1:10" x14ac:dyDescent="0.3">
      <c r="A6508" t="s">
        <v>6639</v>
      </c>
      <c r="B6508" t="s">
        <v>164</v>
      </c>
      <c r="C6508" t="str">
        <f>_xlfn.XLOOKUP(B6508,
[1]sales_teams!$A$2:$A$100,
[1]sales_teams!$B$2:$B$100)</f>
        <v>Cara Losch</v>
      </c>
      <c r="D6508" t="str">
        <f>_xlfn.XLOOKUP($B6508,sales_teams!$A$2:$A$36,sales_teams!C$2:C$36)</f>
        <v>East</v>
      </c>
      <c r="E6508" t="s">
        <v>18</v>
      </c>
      <c r="F6508" t="s">
        <v>189</v>
      </c>
      <c r="G6508" t="s">
        <v>12</v>
      </c>
      <c r="H6508" s="1">
        <v>42985</v>
      </c>
      <c r="I6508" s="1">
        <v>42995</v>
      </c>
      <c r="J6508">
        <v>54</v>
      </c>
    </row>
    <row r="6509" spans="1:10" x14ac:dyDescent="0.3">
      <c r="A6509" t="s">
        <v>6640</v>
      </c>
      <c r="B6509" t="s">
        <v>14</v>
      </c>
      <c r="C6509" t="str">
        <f>_xlfn.XLOOKUP(B6509,
[1]sales_teams!$A$2:$A$100,
[1]sales_teams!$B$2:$B$100)</f>
        <v>Melvin Marxen</v>
      </c>
      <c r="D6509" t="str">
        <f>_xlfn.XLOOKUP($B6509,sales_teams!$A$2:$A$36,sales_teams!C$2:C$36)</f>
        <v>Central</v>
      </c>
      <c r="E6509" t="s">
        <v>15</v>
      </c>
      <c r="F6509" t="s">
        <v>27</v>
      </c>
      <c r="G6509" t="s">
        <v>12</v>
      </c>
      <c r="H6509" s="1">
        <v>42985</v>
      </c>
      <c r="I6509" s="1">
        <v>43048</v>
      </c>
      <c r="J6509">
        <v>3975</v>
      </c>
    </row>
    <row r="6510" spans="1:10" x14ac:dyDescent="0.3">
      <c r="A6510" t="s">
        <v>6641</v>
      </c>
      <c r="B6510" t="s">
        <v>14</v>
      </c>
      <c r="C6510" t="str">
        <f>_xlfn.XLOOKUP(B6510,
[1]sales_teams!$A$2:$A$100,
[1]sales_teams!$B$2:$B$100)</f>
        <v>Melvin Marxen</v>
      </c>
      <c r="D6510" t="str">
        <f>_xlfn.XLOOKUP($B6510,sales_teams!$A$2:$A$36,sales_teams!C$2:C$36)</f>
        <v>Central</v>
      </c>
      <c r="E6510" t="s">
        <v>39</v>
      </c>
      <c r="F6510" t="s">
        <v>21</v>
      </c>
      <c r="G6510" t="s">
        <v>12</v>
      </c>
      <c r="H6510" s="1">
        <v>42985</v>
      </c>
      <c r="I6510" s="1">
        <v>42990</v>
      </c>
      <c r="J6510">
        <v>2969</v>
      </c>
    </row>
    <row r="6511" spans="1:10" x14ac:dyDescent="0.3">
      <c r="A6511" t="s">
        <v>6642</v>
      </c>
      <c r="B6511" t="s">
        <v>105</v>
      </c>
      <c r="C6511" t="str">
        <f>_xlfn.XLOOKUP(B6511,
[1]sales_teams!$A$2:$A$100,
[1]sales_teams!$B$2:$B$100)</f>
        <v>Cara Losch</v>
      </c>
      <c r="D6511" t="str">
        <f>_xlfn.XLOOKUP($B6511,sales_teams!$A$2:$A$36,sales_teams!C$2:C$36)</f>
        <v>East</v>
      </c>
      <c r="E6511" t="s">
        <v>20</v>
      </c>
      <c r="F6511" t="s">
        <v>329</v>
      </c>
      <c r="G6511" t="s">
        <v>12</v>
      </c>
      <c r="H6511" s="1">
        <v>42985</v>
      </c>
      <c r="I6511" s="1">
        <v>42991</v>
      </c>
      <c r="J6511">
        <v>558</v>
      </c>
    </row>
    <row r="6512" spans="1:10" x14ac:dyDescent="0.3">
      <c r="A6512" t="s">
        <v>6643</v>
      </c>
      <c r="B6512" t="s">
        <v>44</v>
      </c>
      <c r="C6512" t="str">
        <f>_xlfn.XLOOKUP(B6512,
[1]sales_teams!$A$2:$A$100,
[1]sales_teams!$B$2:$B$100)</f>
        <v>Melvin Marxen</v>
      </c>
      <c r="D6512" t="str">
        <f>_xlfn.XLOOKUP($B6512,sales_teams!$A$2:$A$36,sales_teams!C$2:C$36)</f>
        <v>Central</v>
      </c>
      <c r="E6512" t="s">
        <v>15</v>
      </c>
      <c r="F6512" t="s">
        <v>16</v>
      </c>
      <c r="G6512" t="s">
        <v>46</v>
      </c>
      <c r="H6512" s="1">
        <v>42985</v>
      </c>
      <c r="I6512" s="1">
        <v>43068</v>
      </c>
      <c r="J6512">
        <v>0</v>
      </c>
    </row>
    <row r="6513" spans="1:10" x14ac:dyDescent="0.3">
      <c r="A6513" t="s">
        <v>6644</v>
      </c>
      <c r="B6513" t="s">
        <v>252</v>
      </c>
      <c r="C6513" t="str">
        <f>_xlfn.XLOOKUP(B6513,
[1]sales_teams!$A$2:$A$100,
[1]sales_teams!$B$2:$B$100)</f>
        <v>Melvin Marxen</v>
      </c>
      <c r="D6513" t="str">
        <f>_xlfn.XLOOKUP($B6513,sales_teams!$A$2:$A$36,sales_teams!C$2:C$36)</f>
        <v>Central</v>
      </c>
      <c r="E6513" t="s">
        <v>20</v>
      </c>
      <c r="F6513" t="s">
        <v>303</v>
      </c>
      <c r="G6513" t="s">
        <v>12</v>
      </c>
      <c r="H6513" s="1">
        <v>42985</v>
      </c>
      <c r="I6513" s="1">
        <v>42996</v>
      </c>
      <c r="J6513">
        <v>585</v>
      </c>
    </row>
    <row r="6514" spans="1:10" x14ac:dyDescent="0.3">
      <c r="A6514" t="s">
        <v>6645</v>
      </c>
      <c r="B6514" t="s">
        <v>95</v>
      </c>
      <c r="C6514" t="str">
        <f>_xlfn.XLOOKUP(B6514,
[1]sales_teams!$A$2:$A$100,
[1]sales_teams!$B$2:$B$100)</f>
        <v>Summer Sewald</v>
      </c>
      <c r="D6514" t="str">
        <f>_xlfn.XLOOKUP($B6514,sales_teams!$A$2:$A$36,sales_teams!C$2:C$36)</f>
        <v>West</v>
      </c>
      <c r="E6514" t="s">
        <v>20</v>
      </c>
      <c r="F6514" t="s">
        <v>124</v>
      </c>
      <c r="G6514" t="s">
        <v>12</v>
      </c>
      <c r="H6514" s="1">
        <v>42985</v>
      </c>
      <c r="I6514" s="1">
        <v>43086</v>
      </c>
      <c r="J6514">
        <v>566</v>
      </c>
    </row>
    <row r="6515" spans="1:10" x14ac:dyDescent="0.3">
      <c r="A6515" t="s">
        <v>6646</v>
      </c>
      <c r="B6515" t="s">
        <v>32</v>
      </c>
      <c r="C6515" t="str">
        <f>_xlfn.XLOOKUP(B6515,
[1]sales_teams!$A$2:$A$100,
[1]sales_teams!$B$2:$B$100)</f>
        <v>Celia Rouche</v>
      </c>
      <c r="D6515" t="str">
        <f>_xlfn.XLOOKUP($B6515,sales_teams!$A$2:$A$36,sales_teams!C$2:C$36)</f>
        <v>West</v>
      </c>
      <c r="E6515" t="s">
        <v>15</v>
      </c>
      <c r="F6515" t="s">
        <v>59</v>
      </c>
      <c r="G6515" t="s">
        <v>12</v>
      </c>
      <c r="H6515" s="1">
        <v>42985</v>
      </c>
      <c r="I6515" s="1">
        <v>43055</v>
      </c>
      <c r="J6515">
        <v>4722</v>
      </c>
    </row>
    <row r="6516" spans="1:10" x14ac:dyDescent="0.3">
      <c r="A6516" t="s">
        <v>6647</v>
      </c>
      <c r="B6516" t="s">
        <v>9</v>
      </c>
      <c r="C6516" t="str">
        <f>_xlfn.XLOOKUP(B6516,
[1]sales_teams!$A$2:$A$100,
[1]sales_teams!$B$2:$B$100)</f>
        <v>Dustin Brinkmann</v>
      </c>
      <c r="D6516" t="str">
        <f>_xlfn.XLOOKUP($B6516,sales_teams!$A$2:$A$36,sales_teams!C$2:C$36)</f>
        <v>Central</v>
      </c>
      <c r="E6516" t="s">
        <v>10</v>
      </c>
      <c r="F6516" t="s">
        <v>218</v>
      </c>
      <c r="G6516" t="s">
        <v>12</v>
      </c>
      <c r="H6516" s="1">
        <v>42985</v>
      </c>
      <c r="I6516" s="1">
        <v>43080</v>
      </c>
      <c r="J6516">
        <v>1033</v>
      </c>
    </row>
    <row r="6517" spans="1:10" x14ac:dyDescent="0.3">
      <c r="A6517" t="s">
        <v>6648</v>
      </c>
      <c r="B6517" t="s">
        <v>35</v>
      </c>
      <c r="C6517" t="str">
        <f>_xlfn.XLOOKUP(B6517,
[1]sales_teams!$A$2:$A$100,
[1]sales_teams!$B$2:$B$100)</f>
        <v>Melvin Marxen</v>
      </c>
      <c r="D6517" t="str">
        <f>_xlfn.XLOOKUP($B6517,sales_teams!$A$2:$A$36,sales_teams!C$2:C$36)</f>
        <v>Central</v>
      </c>
      <c r="E6517" t="s">
        <v>20</v>
      </c>
      <c r="F6517" t="s">
        <v>197</v>
      </c>
      <c r="G6517" t="s">
        <v>12</v>
      </c>
      <c r="H6517" s="1">
        <v>42985</v>
      </c>
      <c r="I6517" s="1">
        <v>43088</v>
      </c>
      <c r="J6517">
        <v>587</v>
      </c>
    </row>
    <row r="6518" spans="1:10" x14ac:dyDescent="0.3">
      <c r="A6518" t="s">
        <v>6649</v>
      </c>
      <c r="B6518" t="s">
        <v>97</v>
      </c>
      <c r="C6518" t="str">
        <f>_xlfn.XLOOKUP(B6518,
[1]sales_teams!$A$2:$A$100,
[1]sales_teams!$B$2:$B$100)</f>
        <v>Rocco Neubert</v>
      </c>
      <c r="D6518" t="str">
        <f>_xlfn.XLOOKUP($B6518,sales_teams!$A$2:$A$36,sales_teams!C$2:C$36)</f>
        <v>East</v>
      </c>
      <c r="E6518" t="s">
        <v>48</v>
      </c>
      <c r="F6518" t="s">
        <v>143</v>
      </c>
      <c r="G6518" t="s">
        <v>46</v>
      </c>
      <c r="H6518" s="1">
        <v>42985</v>
      </c>
      <c r="I6518" s="1">
        <v>43066</v>
      </c>
      <c r="J6518">
        <v>0</v>
      </c>
    </row>
    <row r="6519" spans="1:10" x14ac:dyDescent="0.3">
      <c r="A6519" t="s">
        <v>6650</v>
      </c>
      <c r="B6519" t="s">
        <v>57</v>
      </c>
      <c r="C6519" t="str">
        <f>_xlfn.XLOOKUP(B6519,
[1]sales_teams!$A$2:$A$100,
[1]sales_teams!$B$2:$B$100)</f>
        <v>Celia Rouche</v>
      </c>
      <c r="D6519" t="str">
        <f>_xlfn.XLOOKUP($B6519,sales_teams!$A$2:$A$36,sales_teams!C$2:C$36)</f>
        <v>West</v>
      </c>
      <c r="E6519" t="s">
        <v>18</v>
      </c>
      <c r="F6519" t="s">
        <v>518</v>
      </c>
      <c r="G6519" t="s">
        <v>40</v>
      </c>
      <c r="H6519" s="1">
        <v>42985</v>
      </c>
    </row>
    <row r="6520" spans="1:10" x14ac:dyDescent="0.3">
      <c r="A6520" t="s">
        <v>6651</v>
      </c>
      <c r="B6520" t="s">
        <v>61</v>
      </c>
      <c r="C6520" t="str">
        <f>_xlfn.XLOOKUP(B6520,
[1]sales_teams!$A$2:$A$100,
[1]sales_teams!$B$2:$B$100)</f>
        <v>Dustin Brinkmann</v>
      </c>
      <c r="D6520" t="str">
        <f>_xlfn.XLOOKUP($B6520,sales_teams!$A$2:$A$36,sales_teams!C$2:C$36)</f>
        <v>Central</v>
      </c>
      <c r="E6520" t="s">
        <v>18</v>
      </c>
      <c r="F6520" t="s">
        <v>135</v>
      </c>
      <c r="G6520" t="s">
        <v>12</v>
      </c>
      <c r="H6520" s="1">
        <v>42985</v>
      </c>
      <c r="I6520" s="1">
        <v>43041</v>
      </c>
      <c r="J6520">
        <v>62</v>
      </c>
    </row>
    <row r="6521" spans="1:10" x14ac:dyDescent="0.3">
      <c r="A6521" t="s">
        <v>6652</v>
      </c>
      <c r="B6521" t="s">
        <v>61</v>
      </c>
      <c r="C6521" t="str">
        <f>_xlfn.XLOOKUP(B6521,
[1]sales_teams!$A$2:$A$100,
[1]sales_teams!$B$2:$B$100)</f>
        <v>Dustin Brinkmann</v>
      </c>
      <c r="D6521" t="str">
        <f>_xlfn.XLOOKUP($B6521,sales_teams!$A$2:$A$36,sales_teams!C$2:C$36)</f>
        <v>Central</v>
      </c>
      <c r="E6521" t="s">
        <v>18</v>
      </c>
      <c r="F6521" t="s">
        <v>113</v>
      </c>
      <c r="G6521" t="s">
        <v>12</v>
      </c>
      <c r="H6521" s="1">
        <v>42985</v>
      </c>
      <c r="I6521" s="1">
        <v>43081</v>
      </c>
      <c r="J6521">
        <v>54</v>
      </c>
    </row>
    <row r="6522" spans="1:10" x14ac:dyDescent="0.3">
      <c r="A6522" t="s">
        <v>6653</v>
      </c>
      <c r="B6522" t="s">
        <v>29</v>
      </c>
      <c r="C6522" t="str">
        <f>_xlfn.XLOOKUP(B6522,
[1]sales_teams!$A$2:$A$100,
[1]sales_teams!$B$2:$B$100)</f>
        <v>Celia Rouche</v>
      </c>
      <c r="D6522" t="str">
        <f>_xlfn.XLOOKUP($B6522,sales_teams!$A$2:$A$36,sales_teams!C$2:C$36)</f>
        <v>West</v>
      </c>
      <c r="E6522" t="s">
        <v>20</v>
      </c>
      <c r="F6522" t="s">
        <v>218</v>
      </c>
      <c r="G6522" t="s">
        <v>12</v>
      </c>
      <c r="H6522" s="1">
        <v>42985</v>
      </c>
      <c r="I6522" s="1">
        <v>43042</v>
      </c>
      <c r="J6522">
        <v>499</v>
      </c>
    </row>
    <row r="6523" spans="1:10" x14ac:dyDescent="0.3">
      <c r="A6523" t="s">
        <v>6654</v>
      </c>
      <c r="B6523" t="s">
        <v>102</v>
      </c>
      <c r="C6523" t="str">
        <f>_xlfn.XLOOKUP(B6523,
[1]sales_teams!$A$2:$A$100,
[1]sales_teams!$B$2:$B$100)</f>
        <v>Cara Losch</v>
      </c>
      <c r="D6523" t="str">
        <f>_xlfn.XLOOKUP($B6523,sales_teams!$A$2:$A$36,sales_teams!C$2:C$36)</f>
        <v>East</v>
      </c>
      <c r="E6523" t="s">
        <v>48</v>
      </c>
      <c r="F6523" t="s">
        <v>89</v>
      </c>
      <c r="G6523" t="s">
        <v>46</v>
      </c>
      <c r="H6523" s="1">
        <v>42985</v>
      </c>
      <c r="I6523" s="1">
        <v>43056</v>
      </c>
      <c r="J6523">
        <v>0</v>
      </c>
    </row>
    <row r="6524" spans="1:10" x14ac:dyDescent="0.3">
      <c r="A6524" t="s">
        <v>6655</v>
      </c>
      <c r="B6524" t="s">
        <v>23</v>
      </c>
      <c r="C6524" t="str">
        <f>_xlfn.XLOOKUP(B6524,
[1]sales_teams!$A$2:$A$100,
[1]sales_teams!$B$2:$B$100)</f>
        <v>Summer Sewald</v>
      </c>
      <c r="D6524" t="str">
        <f>_xlfn.XLOOKUP($B6524,sales_teams!$A$2:$A$36,sales_teams!C$2:C$36)</f>
        <v>West</v>
      </c>
      <c r="E6524" t="s">
        <v>20</v>
      </c>
      <c r="F6524" t="s">
        <v>157</v>
      </c>
      <c r="G6524" t="s">
        <v>40</v>
      </c>
      <c r="H6524" s="1">
        <v>42985</v>
      </c>
    </row>
    <row r="6525" spans="1:10" x14ac:dyDescent="0.3">
      <c r="A6525" t="s">
        <v>6656</v>
      </c>
      <c r="B6525" t="s">
        <v>23</v>
      </c>
      <c r="C6525" t="str">
        <f>_xlfn.XLOOKUP(B6525,
[1]sales_teams!$A$2:$A$100,
[1]sales_teams!$B$2:$B$100)</f>
        <v>Summer Sewald</v>
      </c>
      <c r="D6525" t="str">
        <f>_xlfn.XLOOKUP($B6525,sales_teams!$A$2:$A$36,sales_teams!C$2:C$36)</f>
        <v>West</v>
      </c>
      <c r="E6525" t="s">
        <v>20</v>
      </c>
      <c r="F6525" t="s">
        <v>194</v>
      </c>
      <c r="G6525" t="s">
        <v>12</v>
      </c>
      <c r="H6525" s="1">
        <v>42985</v>
      </c>
      <c r="I6525" s="1">
        <v>43065</v>
      </c>
      <c r="J6525">
        <v>458</v>
      </c>
    </row>
    <row r="6526" spans="1:10" x14ac:dyDescent="0.3">
      <c r="A6526" t="s">
        <v>6657</v>
      </c>
      <c r="B6526" t="s">
        <v>23</v>
      </c>
      <c r="C6526" t="str">
        <f>_xlfn.XLOOKUP(B6526,
[1]sales_teams!$A$2:$A$100,
[1]sales_teams!$B$2:$B$100)</f>
        <v>Summer Sewald</v>
      </c>
      <c r="D6526" t="str">
        <f>_xlfn.XLOOKUP($B6526,sales_teams!$A$2:$A$36,sales_teams!C$2:C$36)</f>
        <v>West</v>
      </c>
      <c r="E6526" t="s">
        <v>18</v>
      </c>
      <c r="F6526" t="s">
        <v>218</v>
      </c>
      <c r="G6526" t="s">
        <v>12</v>
      </c>
      <c r="H6526" s="1">
        <v>42985</v>
      </c>
      <c r="I6526" s="1">
        <v>43069</v>
      </c>
      <c r="J6526">
        <v>61</v>
      </c>
    </row>
    <row r="6527" spans="1:10" x14ac:dyDescent="0.3">
      <c r="A6527" t="s">
        <v>6658</v>
      </c>
      <c r="B6527" t="s">
        <v>26</v>
      </c>
      <c r="C6527" t="str">
        <f>_xlfn.XLOOKUP(B6527,
[1]sales_teams!$A$2:$A$100,
[1]sales_teams!$B$2:$B$100)</f>
        <v>Dustin Brinkmann</v>
      </c>
      <c r="D6527" t="str">
        <f>_xlfn.XLOOKUP($B6527,sales_teams!$A$2:$A$36,sales_teams!C$2:C$36)</f>
        <v>Central</v>
      </c>
      <c r="E6527" t="s">
        <v>18</v>
      </c>
      <c r="F6527" t="s">
        <v>62</v>
      </c>
      <c r="G6527" t="s">
        <v>46</v>
      </c>
      <c r="H6527" s="1">
        <v>42986</v>
      </c>
      <c r="I6527" s="1">
        <v>43086</v>
      </c>
      <c r="J6527">
        <v>0</v>
      </c>
    </row>
    <row r="6528" spans="1:10" x14ac:dyDescent="0.3">
      <c r="A6528" t="s">
        <v>6659</v>
      </c>
      <c r="B6528" t="s">
        <v>26</v>
      </c>
      <c r="C6528" t="str">
        <f>_xlfn.XLOOKUP(B6528,
[1]sales_teams!$A$2:$A$100,
[1]sales_teams!$B$2:$B$100)</f>
        <v>Dustin Brinkmann</v>
      </c>
      <c r="D6528" t="str">
        <f>_xlfn.XLOOKUP($B6528,sales_teams!$A$2:$A$36,sales_teams!C$2:C$36)</f>
        <v>Central</v>
      </c>
      <c r="E6528" t="s">
        <v>48</v>
      </c>
      <c r="F6528" t="s">
        <v>135</v>
      </c>
      <c r="G6528" t="s">
        <v>12</v>
      </c>
      <c r="H6528" s="1">
        <v>42986</v>
      </c>
      <c r="I6528" s="1">
        <v>43002</v>
      </c>
      <c r="J6528">
        <v>5600</v>
      </c>
    </row>
    <row r="6529" spans="1:10" x14ac:dyDescent="0.3">
      <c r="A6529" t="s">
        <v>6660</v>
      </c>
      <c r="B6529" t="s">
        <v>139</v>
      </c>
      <c r="C6529" t="str">
        <f>_xlfn.XLOOKUP(B6529,
[1]sales_teams!$A$2:$A$100,
[1]sales_teams!$B$2:$B$100)</f>
        <v>Rocco Neubert</v>
      </c>
      <c r="D6529" t="str">
        <f>_xlfn.XLOOKUP($B6529,sales_teams!$A$2:$A$36,sales_teams!C$2:C$36)</f>
        <v>East</v>
      </c>
      <c r="E6529" t="s">
        <v>48</v>
      </c>
      <c r="F6529" t="s">
        <v>189</v>
      </c>
      <c r="G6529" t="s">
        <v>46</v>
      </c>
      <c r="H6529" s="1">
        <v>42986</v>
      </c>
      <c r="I6529" s="1">
        <v>43058</v>
      </c>
      <c r="J6529">
        <v>0</v>
      </c>
    </row>
    <row r="6530" spans="1:10" x14ac:dyDescent="0.3">
      <c r="A6530" t="s">
        <v>6661</v>
      </c>
      <c r="B6530" t="s">
        <v>139</v>
      </c>
      <c r="C6530" t="str">
        <f>_xlfn.XLOOKUP(B6530,
[1]sales_teams!$A$2:$A$100,
[1]sales_teams!$B$2:$B$100)</f>
        <v>Rocco Neubert</v>
      </c>
      <c r="D6530" t="str">
        <f>_xlfn.XLOOKUP($B6530,sales_teams!$A$2:$A$36,sales_teams!C$2:C$36)</f>
        <v>East</v>
      </c>
      <c r="E6530" t="s">
        <v>10</v>
      </c>
      <c r="F6530" t="s">
        <v>89</v>
      </c>
      <c r="G6530" t="s">
        <v>12</v>
      </c>
      <c r="H6530" s="1">
        <v>42986</v>
      </c>
      <c r="I6530" s="1">
        <v>43086</v>
      </c>
      <c r="J6530">
        <v>1259</v>
      </c>
    </row>
    <row r="6531" spans="1:10" x14ac:dyDescent="0.3">
      <c r="A6531" t="s">
        <v>6662</v>
      </c>
      <c r="B6531" t="s">
        <v>139</v>
      </c>
      <c r="C6531" t="str">
        <f>_xlfn.XLOOKUP(B6531,
[1]sales_teams!$A$2:$A$100,
[1]sales_teams!$B$2:$B$100)</f>
        <v>Rocco Neubert</v>
      </c>
      <c r="D6531" t="str">
        <f>_xlfn.XLOOKUP($B6531,sales_teams!$A$2:$A$36,sales_teams!C$2:C$36)</f>
        <v>East</v>
      </c>
      <c r="E6531" t="s">
        <v>10</v>
      </c>
      <c r="F6531" t="s">
        <v>89</v>
      </c>
      <c r="G6531" t="s">
        <v>12</v>
      </c>
      <c r="H6531" s="1">
        <v>42986</v>
      </c>
      <c r="I6531" s="1">
        <v>42992</v>
      </c>
      <c r="J6531">
        <v>1114</v>
      </c>
    </row>
    <row r="6532" spans="1:10" x14ac:dyDescent="0.3">
      <c r="A6532" t="s">
        <v>6663</v>
      </c>
      <c r="B6532" t="s">
        <v>139</v>
      </c>
      <c r="C6532" t="str">
        <f>_xlfn.XLOOKUP(B6532,
[1]sales_teams!$A$2:$A$100,
[1]sales_teams!$B$2:$B$100)</f>
        <v>Rocco Neubert</v>
      </c>
      <c r="D6532" t="str">
        <f>_xlfn.XLOOKUP($B6532,sales_teams!$A$2:$A$36,sales_teams!C$2:C$36)</f>
        <v>East</v>
      </c>
      <c r="E6532" t="s">
        <v>18</v>
      </c>
      <c r="F6532" t="s">
        <v>179</v>
      </c>
      <c r="G6532" t="s">
        <v>12</v>
      </c>
      <c r="H6532" s="1">
        <v>42986</v>
      </c>
      <c r="I6532" s="1">
        <v>43064</v>
      </c>
      <c r="J6532">
        <v>57</v>
      </c>
    </row>
    <row r="6533" spans="1:10" x14ac:dyDescent="0.3">
      <c r="A6533" t="s">
        <v>6664</v>
      </c>
      <c r="B6533" t="s">
        <v>118</v>
      </c>
      <c r="C6533" t="str">
        <f>_xlfn.XLOOKUP(B6533,
[1]sales_teams!$A$2:$A$100,
[1]sales_teams!$B$2:$B$100)</f>
        <v>Rocco Neubert</v>
      </c>
      <c r="D6533" t="str">
        <f>_xlfn.XLOOKUP($B6533,sales_teams!$A$2:$A$36,sales_teams!C$2:C$36)</f>
        <v>East</v>
      </c>
      <c r="E6533" t="s">
        <v>10</v>
      </c>
      <c r="F6533" t="s">
        <v>209</v>
      </c>
      <c r="G6533" t="s">
        <v>46</v>
      </c>
      <c r="H6533" s="1">
        <v>42986</v>
      </c>
      <c r="I6533" s="1">
        <v>43064</v>
      </c>
      <c r="J6533">
        <v>0</v>
      </c>
    </row>
    <row r="6534" spans="1:10" x14ac:dyDescent="0.3">
      <c r="A6534" t="s">
        <v>6665</v>
      </c>
      <c r="B6534" t="s">
        <v>202</v>
      </c>
      <c r="C6534" t="str">
        <f>_xlfn.XLOOKUP(B6534,
[1]sales_teams!$A$2:$A$100,
[1]sales_teams!$B$2:$B$100)</f>
        <v>Dustin Brinkmann</v>
      </c>
      <c r="D6534" t="str">
        <f>_xlfn.XLOOKUP($B6534,sales_teams!$A$2:$A$36,sales_teams!C$2:C$36)</f>
        <v>Central</v>
      </c>
      <c r="E6534" t="s">
        <v>18</v>
      </c>
      <c r="F6534" t="s">
        <v>231</v>
      </c>
      <c r="G6534" t="s">
        <v>46</v>
      </c>
      <c r="H6534" s="1">
        <v>42986</v>
      </c>
      <c r="I6534" s="1">
        <v>43056</v>
      </c>
      <c r="J6534">
        <v>0</v>
      </c>
    </row>
    <row r="6535" spans="1:10" x14ac:dyDescent="0.3">
      <c r="A6535" t="s">
        <v>6666</v>
      </c>
      <c r="B6535" t="s">
        <v>164</v>
      </c>
      <c r="C6535" t="str">
        <f>_xlfn.XLOOKUP(B6535,
[1]sales_teams!$A$2:$A$100,
[1]sales_teams!$B$2:$B$100)</f>
        <v>Cara Losch</v>
      </c>
      <c r="D6535" t="str">
        <f>_xlfn.XLOOKUP($B6535,sales_teams!$A$2:$A$36,sales_teams!C$2:C$36)</f>
        <v>East</v>
      </c>
      <c r="E6535" t="s">
        <v>15</v>
      </c>
      <c r="F6535" t="s">
        <v>745</v>
      </c>
      <c r="G6535" t="s">
        <v>46</v>
      </c>
      <c r="H6535" s="1">
        <v>42986</v>
      </c>
      <c r="I6535" s="1">
        <v>43099</v>
      </c>
      <c r="J6535">
        <v>0</v>
      </c>
    </row>
    <row r="6536" spans="1:10" x14ac:dyDescent="0.3">
      <c r="A6536" t="s">
        <v>6667</v>
      </c>
      <c r="B6536" t="s">
        <v>64</v>
      </c>
      <c r="C6536" t="str">
        <f>_xlfn.XLOOKUP(B6536,
[1]sales_teams!$A$2:$A$100,
[1]sales_teams!$B$2:$B$100)</f>
        <v>Rocco Neubert</v>
      </c>
      <c r="D6536" t="str">
        <f>_xlfn.XLOOKUP($B6536,sales_teams!$A$2:$A$36,sales_teams!C$2:C$36)</f>
        <v>East</v>
      </c>
      <c r="E6536" t="s">
        <v>15</v>
      </c>
      <c r="F6536" t="s">
        <v>204</v>
      </c>
      <c r="G6536" t="s">
        <v>46</v>
      </c>
      <c r="H6536" s="1">
        <v>42986</v>
      </c>
      <c r="I6536" s="1">
        <v>42997</v>
      </c>
      <c r="J6536">
        <v>0</v>
      </c>
    </row>
    <row r="6537" spans="1:10" x14ac:dyDescent="0.3">
      <c r="A6537" t="s">
        <v>6668</v>
      </c>
      <c r="B6537" t="s">
        <v>14</v>
      </c>
      <c r="C6537" t="str">
        <f>_xlfn.XLOOKUP(B6537,
[1]sales_teams!$A$2:$A$100,
[1]sales_teams!$B$2:$B$100)</f>
        <v>Melvin Marxen</v>
      </c>
      <c r="D6537" t="str">
        <f>_xlfn.XLOOKUP($B6537,sales_teams!$A$2:$A$36,sales_teams!C$2:C$36)</f>
        <v>Central</v>
      </c>
      <c r="E6537" t="s">
        <v>39</v>
      </c>
      <c r="F6537" t="s">
        <v>135</v>
      </c>
      <c r="G6537" t="s">
        <v>12</v>
      </c>
      <c r="H6537" s="1">
        <v>42986</v>
      </c>
      <c r="I6537" s="1">
        <v>42988</v>
      </c>
      <c r="J6537">
        <v>3346</v>
      </c>
    </row>
    <row r="6538" spans="1:10" x14ac:dyDescent="0.3">
      <c r="A6538" t="s">
        <v>6669</v>
      </c>
      <c r="B6538" t="s">
        <v>142</v>
      </c>
      <c r="C6538" t="str">
        <f>_xlfn.XLOOKUP(B6538,
[1]sales_teams!$A$2:$A$100,
[1]sales_teams!$B$2:$B$100)</f>
        <v>Rocco Neubert</v>
      </c>
      <c r="D6538" t="str">
        <f>_xlfn.XLOOKUP($B6538,sales_teams!$A$2:$A$36,sales_teams!C$2:C$36)</f>
        <v>East</v>
      </c>
      <c r="E6538" t="s">
        <v>20</v>
      </c>
      <c r="F6538" t="s">
        <v>155</v>
      </c>
      <c r="G6538" t="s">
        <v>46</v>
      </c>
      <c r="H6538" s="1">
        <v>42986</v>
      </c>
      <c r="I6538" s="1">
        <v>42996</v>
      </c>
      <c r="J6538">
        <v>0</v>
      </c>
    </row>
    <row r="6539" spans="1:10" x14ac:dyDescent="0.3">
      <c r="A6539" t="s">
        <v>6670</v>
      </c>
      <c r="B6539" t="s">
        <v>142</v>
      </c>
      <c r="C6539" t="str">
        <f>_xlfn.XLOOKUP(B6539,
[1]sales_teams!$A$2:$A$100,
[1]sales_teams!$B$2:$B$100)</f>
        <v>Rocco Neubert</v>
      </c>
      <c r="D6539" t="str">
        <f>_xlfn.XLOOKUP($B6539,sales_teams!$A$2:$A$36,sales_teams!C$2:C$36)</f>
        <v>East</v>
      </c>
      <c r="E6539" t="s">
        <v>20</v>
      </c>
      <c r="F6539" t="s">
        <v>155</v>
      </c>
      <c r="G6539" t="s">
        <v>46</v>
      </c>
      <c r="H6539" s="1">
        <v>42986</v>
      </c>
      <c r="I6539" s="1">
        <v>43000</v>
      </c>
      <c r="J6539">
        <v>0</v>
      </c>
    </row>
    <row r="6540" spans="1:10" x14ac:dyDescent="0.3">
      <c r="A6540" t="s">
        <v>6671</v>
      </c>
      <c r="B6540" t="s">
        <v>142</v>
      </c>
      <c r="C6540" t="str">
        <f>_xlfn.XLOOKUP(B6540,
[1]sales_teams!$A$2:$A$100,
[1]sales_teams!$B$2:$B$100)</f>
        <v>Rocco Neubert</v>
      </c>
      <c r="D6540" t="str">
        <f>_xlfn.XLOOKUP($B6540,sales_teams!$A$2:$A$36,sales_teams!C$2:C$36)</f>
        <v>East</v>
      </c>
      <c r="E6540" t="s">
        <v>39</v>
      </c>
      <c r="F6540" t="s">
        <v>177</v>
      </c>
      <c r="G6540" t="s">
        <v>46</v>
      </c>
      <c r="H6540" s="1">
        <v>42986</v>
      </c>
      <c r="I6540" s="1">
        <v>42994</v>
      </c>
      <c r="J6540">
        <v>0</v>
      </c>
    </row>
    <row r="6541" spans="1:10" x14ac:dyDescent="0.3">
      <c r="A6541" t="s">
        <v>6672</v>
      </c>
      <c r="B6541" t="s">
        <v>67</v>
      </c>
      <c r="C6541" t="str">
        <f>_xlfn.XLOOKUP(B6541,
[1]sales_teams!$A$2:$A$100,
[1]sales_teams!$B$2:$B$100)</f>
        <v>Celia Rouche</v>
      </c>
      <c r="D6541" t="str">
        <f>_xlfn.XLOOKUP($B6541,sales_teams!$A$2:$A$36,sales_teams!C$2:C$36)</f>
        <v>West</v>
      </c>
      <c r="E6541" t="s">
        <v>20</v>
      </c>
      <c r="F6541" t="s">
        <v>100</v>
      </c>
      <c r="G6541" t="s">
        <v>46</v>
      </c>
      <c r="H6541" s="1">
        <v>42986</v>
      </c>
      <c r="I6541" s="1">
        <v>43064</v>
      </c>
      <c r="J6541">
        <v>0</v>
      </c>
    </row>
    <row r="6542" spans="1:10" x14ac:dyDescent="0.3">
      <c r="A6542" t="s">
        <v>6673</v>
      </c>
      <c r="B6542" t="s">
        <v>38</v>
      </c>
      <c r="C6542" t="str">
        <f>_xlfn.XLOOKUP(B6542,
[1]sales_teams!$A$2:$A$100,
[1]sales_teams!$B$2:$B$100)</f>
        <v>Summer Sewald</v>
      </c>
      <c r="D6542" t="str">
        <f>_xlfn.XLOOKUP($B6542,sales_teams!$A$2:$A$36,sales_teams!C$2:C$36)</f>
        <v>West</v>
      </c>
      <c r="E6542" t="s">
        <v>15</v>
      </c>
      <c r="G6542" t="s">
        <v>40</v>
      </c>
      <c r="H6542" s="1">
        <v>42986</v>
      </c>
    </row>
    <row r="6543" spans="1:10" x14ac:dyDescent="0.3">
      <c r="A6543" t="s">
        <v>6674</v>
      </c>
      <c r="B6543" t="s">
        <v>38</v>
      </c>
      <c r="C6543" t="str">
        <f>_xlfn.XLOOKUP(B6543,
[1]sales_teams!$A$2:$A$100,
[1]sales_teams!$B$2:$B$100)</f>
        <v>Summer Sewald</v>
      </c>
      <c r="D6543" t="str">
        <f>_xlfn.XLOOKUP($B6543,sales_teams!$A$2:$A$36,sales_teams!C$2:C$36)</f>
        <v>West</v>
      </c>
      <c r="E6543" t="s">
        <v>39</v>
      </c>
      <c r="G6543" t="s">
        <v>40</v>
      </c>
      <c r="H6543" s="1">
        <v>42986</v>
      </c>
    </row>
    <row r="6544" spans="1:10" x14ac:dyDescent="0.3">
      <c r="A6544" t="s">
        <v>6675</v>
      </c>
      <c r="B6544" t="s">
        <v>38</v>
      </c>
      <c r="C6544" t="str">
        <f>_xlfn.XLOOKUP(B6544,
[1]sales_teams!$A$2:$A$100,
[1]sales_teams!$B$2:$B$100)</f>
        <v>Summer Sewald</v>
      </c>
      <c r="D6544" t="str">
        <f>_xlfn.XLOOKUP($B6544,sales_teams!$A$2:$A$36,sales_teams!C$2:C$36)</f>
        <v>West</v>
      </c>
      <c r="E6544" t="s">
        <v>20</v>
      </c>
      <c r="F6544" t="s">
        <v>555</v>
      </c>
      <c r="G6544" t="s">
        <v>12</v>
      </c>
      <c r="H6544" s="1">
        <v>42986</v>
      </c>
      <c r="I6544" s="1">
        <v>43043</v>
      </c>
      <c r="J6544">
        <v>546</v>
      </c>
    </row>
    <row r="6545" spans="1:10" x14ac:dyDescent="0.3">
      <c r="A6545" t="s">
        <v>6676</v>
      </c>
      <c r="B6545" t="s">
        <v>252</v>
      </c>
      <c r="C6545" t="str">
        <f>_xlfn.XLOOKUP(B6545,
[1]sales_teams!$A$2:$A$100,
[1]sales_teams!$B$2:$B$100)</f>
        <v>Melvin Marxen</v>
      </c>
      <c r="D6545" t="str">
        <f>_xlfn.XLOOKUP($B6545,sales_teams!$A$2:$A$36,sales_teams!C$2:C$36)</f>
        <v>Central</v>
      </c>
      <c r="E6545" t="s">
        <v>20</v>
      </c>
      <c r="F6545" t="s">
        <v>42</v>
      </c>
      <c r="G6545" t="s">
        <v>46</v>
      </c>
      <c r="H6545" s="1">
        <v>42986</v>
      </c>
      <c r="I6545" s="1">
        <v>43043</v>
      </c>
      <c r="J6545">
        <v>0</v>
      </c>
    </row>
    <row r="6546" spans="1:10" x14ac:dyDescent="0.3">
      <c r="A6546" t="s">
        <v>6677</v>
      </c>
      <c r="B6546" t="s">
        <v>78</v>
      </c>
      <c r="C6546" t="str">
        <f>_xlfn.XLOOKUP(B6546,
[1]sales_teams!$A$2:$A$100,
[1]sales_teams!$B$2:$B$100)</f>
        <v>Summer Sewald</v>
      </c>
      <c r="D6546" t="str">
        <f>_xlfn.XLOOKUP($B6546,sales_teams!$A$2:$A$36,sales_teams!C$2:C$36)</f>
        <v>West</v>
      </c>
      <c r="E6546" t="s">
        <v>20</v>
      </c>
      <c r="F6546" t="s">
        <v>33</v>
      </c>
      <c r="G6546" t="s">
        <v>46</v>
      </c>
      <c r="H6546" s="1">
        <v>42986</v>
      </c>
      <c r="I6546" s="1">
        <v>43053</v>
      </c>
      <c r="J6546">
        <v>0</v>
      </c>
    </row>
    <row r="6547" spans="1:10" x14ac:dyDescent="0.3">
      <c r="A6547" t="s">
        <v>6678</v>
      </c>
      <c r="B6547" t="s">
        <v>78</v>
      </c>
      <c r="C6547" t="str">
        <f>_xlfn.XLOOKUP(B6547,
[1]sales_teams!$A$2:$A$100,
[1]sales_teams!$B$2:$B$100)</f>
        <v>Summer Sewald</v>
      </c>
      <c r="D6547" t="str">
        <f>_xlfn.XLOOKUP($B6547,sales_teams!$A$2:$A$36,sales_teams!C$2:C$36)</f>
        <v>West</v>
      </c>
      <c r="E6547" t="s">
        <v>20</v>
      </c>
      <c r="F6547" t="s">
        <v>55</v>
      </c>
      <c r="G6547" t="s">
        <v>12</v>
      </c>
      <c r="H6547" s="1">
        <v>42986</v>
      </c>
      <c r="I6547" s="1">
        <v>43063</v>
      </c>
      <c r="J6547">
        <v>596</v>
      </c>
    </row>
    <row r="6548" spans="1:10" x14ac:dyDescent="0.3">
      <c r="A6548" t="s">
        <v>6679</v>
      </c>
      <c r="B6548" t="s">
        <v>95</v>
      </c>
      <c r="C6548" t="str">
        <f>_xlfn.XLOOKUP(B6548,
[1]sales_teams!$A$2:$A$100,
[1]sales_teams!$B$2:$B$100)</f>
        <v>Summer Sewald</v>
      </c>
      <c r="D6548" t="str">
        <f>_xlfn.XLOOKUP($B6548,sales_teams!$A$2:$A$36,sales_teams!C$2:C$36)</f>
        <v>West</v>
      </c>
      <c r="E6548" t="s">
        <v>10</v>
      </c>
      <c r="F6548" t="s">
        <v>52</v>
      </c>
      <c r="G6548" t="s">
        <v>46</v>
      </c>
      <c r="H6548" s="1">
        <v>42986</v>
      </c>
      <c r="I6548" s="1">
        <v>43090</v>
      </c>
      <c r="J6548">
        <v>0</v>
      </c>
    </row>
    <row r="6549" spans="1:10" x14ac:dyDescent="0.3">
      <c r="A6549" t="s">
        <v>6680</v>
      </c>
      <c r="B6549" t="s">
        <v>95</v>
      </c>
      <c r="C6549" t="str">
        <f>_xlfn.XLOOKUP(B6549,
[1]sales_teams!$A$2:$A$100,
[1]sales_teams!$B$2:$B$100)</f>
        <v>Summer Sewald</v>
      </c>
      <c r="D6549" t="str">
        <f>_xlfn.XLOOKUP($B6549,sales_teams!$A$2:$A$36,sales_teams!C$2:C$36)</f>
        <v>West</v>
      </c>
      <c r="E6549" t="s">
        <v>10</v>
      </c>
      <c r="F6549" t="s">
        <v>70</v>
      </c>
      <c r="G6549" t="s">
        <v>12</v>
      </c>
      <c r="H6549" s="1">
        <v>42986</v>
      </c>
      <c r="I6549" s="1">
        <v>43077</v>
      </c>
      <c r="J6549">
        <v>1171</v>
      </c>
    </row>
    <row r="6550" spans="1:10" x14ac:dyDescent="0.3">
      <c r="A6550" t="s">
        <v>6681</v>
      </c>
      <c r="B6550" t="s">
        <v>116</v>
      </c>
      <c r="C6550" t="str">
        <f>_xlfn.XLOOKUP(B6550,
[1]sales_teams!$A$2:$A$100,
[1]sales_teams!$B$2:$B$100)</f>
        <v>Melvin Marxen</v>
      </c>
      <c r="D6550" t="str">
        <f>_xlfn.XLOOKUP($B6550,sales_teams!$A$2:$A$36,sales_teams!C$2:C$36)</f>
        <v>Central</v>
      </c>
      <c r="E6550" t="s">
        <v>10</v>
      </c>
      <c r="F6550" t="s">
        <v>213</v>
      </c>
      <c r="G6550" t="s">
        <v>12</v>
      </c>
      <c r="H6550" s="1">
        <v>42986</v>
      </c>
      <c r="I6550" s="1">
        <v>43072</v>
      </c>
      <c r="J6550">
        <v>1021</v>
      </c>
    </row>
    <row r="6551" spans="1:10" x14ac:dyDescent="0.3">
      <c r="A6551" t="s">
        <v>6682</v>
      </c>
      <c r="B6551" t="s">
        <v>51</v>
      </c>
      <c r="C6551" t="str">
        <f>_xlfn.XLOOKUP(B6551,
[1]sales_teams!$A$2:$A$100,
[1]sales_teams!$B$2:$B$100)</f>
        <v>Summer Sewald</v>
      </c>
      <c r="D6551" t="str">
        <f>_xlfn.XLOOKUP($B6551,sales_teams!$A$2:$A$36,sales_teams!C$2:C$36)</f>
        <v>West</v>
      </c>
      <c r="E6551" t="s">
        <v>18</v>
      </c>
      <c r="G6551" t="s">
        <v>40</v>
      </c>
      <c r="H6551" s="1">
        <v>42986</v>
      </c>
    </row>
    <row r="6552" spans="1:10" x14ac:dyDescent="0.3">
      <c r="A6552" t="s">
        <v>6683</v>
      </c>
      <c r="B6552" t="s">
        <v>97</v>
      </c>
      <c r="C6552" t="str">
        <f>_xlfn.XLOOKUP(B6552,
[1]sales_teams!$A$2:$A$100,
[1]sales_teams!$B$2:$B$100)</f>
        <v>Rocco Neubert</v>
      </c>
      <c r="D6552" t="str">
        <f>_xlfn.XLOOKUP($B6552,sales_teams!$A$2:$A$36,sales_teams!C$2:C$36)</f>
        <v>East</v>
      </c>
      <c r="E6552" t="s">
        <v>39</v>
      </c>
      <c r="F6552" t="s">
        <v>155</v>
      </c>
      <c r="G6552" t="s">
        <v>46</v>
      </c>
      <c r="H6552" s="1">
        <v>42986</v>
      </c>
      <c r="I6552" s="1">
        <v>43056</v>
      </c>
      <c r="J6552">
        <v>0</v>
      </c>
    </row>
    <row r="6553" spans="1:10" x14ac:dyDescent="0.3">
      <c r="A6553" t="s">
        <v>6684</v>
      </c>
      <c r="B6553" t="s">
        <v>88</v>
      </c>
      <c r="C6553" t="str">
        <f>_xlfn.XLOOKUP(B6553,
[1]sales_teams!$A$2:$A$100,
[1]sales_teams!$B$2:$B$100)</f>
        <v>Cara Losch</v>
      </c>
      <c r="D6553" t="str">
        <f>_xlfn.XLOOKUP($B6553,sales_teams!$A$2:$A$36,sales_teams!C$2:C$36)</f>
        <v>East</v>
      </c>
      <c r="E6553" t="s">
        <v>48</v>
      </c>
      <c r="F6553" t="s">
        <v>209</v>
      </c>
      <c r="G6553" t="s">
        <v>46</v>
      </c>
      <c r="H6553" s="1">
        <v>42986</v>
      </c>
      <c r="I6553" s="1">
        <v>43071</v>
      </c>
      <c r="J6553">
        <v>0</v>
      </c>
    </row>
    <row r="6554" spans="1:10" x14ac:dyDescent="0.3">
      <c r="A6554" t="s">
        <v>6685</v>
      </c>
      <c r="B6554" t="s">
        <v>23</v>
      </c>
      <c r="C6554" t="str">
        <f>_xlfn.XLOOKUP(B6554,
[1]sales_teams!$A$2:$A$100,
[1]sales_teams!$B$2:$B$100)</f>
        <v>Summer Sewald</v>
      </c>
      <c r="D6554" t="str">
        <f>_xlfn.XLOOKUP($B6554,sales_teams!$A$2:$A$36,sales_teams!C$2:C$36)</f>
        <v>West</v>
      </c>
      <c r="E6554" t="s">
        <v>18</v>
      </c>
      <c r="F6554" t="s">
        <v>70</v>
      </c>
      <c r="G6554" t="s">
        <v>46</v>
      </c>
      <c r="H6554" s="1">
        <v>42986</v>
      </c>
      <c r="I6554" s="1">
        <v>43043</v>
      </c>
      <c r="J6554">
        <v>0</v>
      </c>
    </row>
    <row r="6555" spans="1:10" x14ac:dyDescent="0.3">
      <c r="A6555" t="s">
        <v>6686</v>
      </c>
      <c r="B6555" t="s">
        <v>23</v>
      </c>
      <c r="C6555" t="str">
        <f>_xlfn.XLOOKUP(B6555,
[1]sales_teams!$A$2:$A$100,
[1]sales_teams!$B$2:$B$100)</f>
        <v>Summer Sewald</v>
      </c>
      <c r="D6555" t="str">
        <f>_xlfn.XLOOKUP($B6555,sales_teams!$A$2:$A$36,sales_teams!C$2:C$36)</f>
        <v>West</v>
      </c>
      <c r="E6555" t="s">
        <v>39</v>
      </c>
      <c r="F6555" t="s">
        <v>155</v>
      </c>
      <c r="G6555" t="s">
        <v>46</v>
      </c>
      <c r="H6555" s="1">
        <v>42986</v>
      </c>
      <c r="I6555" s="1">
        <v>43083</v>
      </c>
      <c r="J6555">
        <v>0</v>
      </c>
    </row>
    <row r="6556" spans="1:10" x14ac:dyDescent="0.3">
      <c r="A6556" t="s">
        <v>6687</v>
      </c>
      <c r="B6556" t="s">
        <v>139</v>
      </c>
      <c r="C6556" t="str">
        <f>_xlfn.XLOOKUP(B6556,
[1]sales_teams!$A$2:$A$100,
[1]sales_teams!$B$2:$B$100)</f>
        <v>Rocco Neubert</v>
      </c>
      <c r="D6556" t="str">
        <f>_xlfn.XLOOKUP($B6556,sales_teams!$A$2:$A$36,sales_teams!C$2:C$36)</f>
        <v>East</v>
      </c>
      <c r="E6556" t="s">
        <v>15</v>
      </c>
      <c r="F6556" t="s">
        <v>106</v>
      </c>
      <c r="G6556" t="s">
        <v>12</v>
      </c>
      <c r="H6556" s="1">
        <v>42987</v>
      </c>
      <c r="I6556" s="1">
        <v>43000</v>
      </c>
      <c r="J6556">
        <v>4609</v>
      </c>
    </row>
    <row r="6557" spans="1:10" x14ac:dyDescent="0.3">
      <c r="A6557" t="s">
        <v>6688</v>
      </c>
      <c r="B6557" t="s">
        <v>118</v>
      </c>
      <c r="C6557" t="str">
        <f>_xlfn.XLOOKUP(B6557,
[1]sales_teams!$A$2:$A$100,
[1]sales_teams!$B$2:$B$100)</f>
        <v>Rocco Neubert</v>
      </c>
      <c r="D6557" t="str">
        <f>_xlfn.XLOOKUP($B6557,sales_teams!$A$2:$A$36,sales_teams!C$2:C$36)</f>
        <v>East</v>
      </c>
      <c r="E6557" t="s">
        <v>10</v>
      </c>
      <c r="F6557" t="s">
        <v>300</v>
      </c>
      <c r="G6557" t="s">
        <v>46</v>
      </c>
      <c r="H6557" s="1">
        <v>42987</v>
      </c>
      <c r="I6557" s="1">
        <v>43060</v>
      </c>
      <c r="J6557">
        <v>0</v>
      </c>
    </row>
    <row r="6558" spans="1:10" x14ac:dyDescent="0.3">
      <c r="A6558" t="s">
        <v>6689</v>
      </c>
      <c r="B6558" t="s">
        <v>202</v>
      </c>
      <c r="C6558" t="str">
        <f>_xlfn.XLOOKUP(B6558,
[1]sales_teams!$A$2:$A$100,
[1]sales_teams!$B$2:$B$100)</f>
        <v>Dustin Brinkmann</v>
      </c>
      <c r="D6558" t="str">
        <f>_xlfn.XLOOKUP($B6558,sales_teams!$A$2:$A$36,sales_teams!C$2:C$36)</f>
        <v>Central</v>
      </c>
      <c r="E6558" t="s">
        <v>20</v>
      </c>
      <c r="F6558" t="s">
        <v>42</v>
      </c>
      <c r="G6558" t="s">
        <v>12</v>
      </c>
      <c r="H6558" s="1">
        <v>42987</v>
      </c>
      <c r="I6558" s="1">
        <v>43000</v>
      </c>
      <c r="J6558">
        <v>600</v>
      </c>
    </row>
    <row r="6559" spans="1:10" x14ac:dyDescent="0.3">
      <c r="A6559" t="s">
        <v>6690</v>
      </c>
      <c r="B6559" t="s">
        <v>164</v>
      </c>
      <c r="C6559" t="str">
        <f>_xlfn.XLOOKUP(B6559,
[1]sales_teams!$A$2:$A$100,
[1]sales_teams!$B$2:$B$100)</f>
        <v>Cara Losch</v>
      </c>
      <c r="D6559" t="str">
        <f>_xlfn.XLOOKUP($B6559,sales_teams!$A$2:$A$36,sales_teams!C$2:C$36)</f>
        <v>East</v>
      </c>
      <c r="E6559" t="s">
        <v>15</v>
      </c>
      <c r="F6559" t="s">
        <v>199</v>
      </c>
      <c r="G6559" t="s">
        <v>12</v>
      </c>
      <c r="H6559" s="1">
        <v>42987</v>
      </c>
      <c r="I6559" s="1">
        <v>42991</v>
      </c>
      <c r="J6559">
        <v>5067</v>
      </c>
    </row>
    <row r="6560" spans="1:10" x14ac:dyDescent="0.3">
      <c r="A6560" t="s">
        <v>6691</v>
      </c>
      <c r="B6560" t="s">
        <v>14</v>
      </c>
      <c r="C6560" t="str">
        <f>_xlfn.XLOOKUP(B6560,
[1]sales_teams!$A$2:$A$100,
[1]sales_teams!$B$2:$B$100)</f>
        <v>Melvin Marxen</v>
      </c>
      <c r="D6560" t="str">
        <f>_xlfn.XLOOKUP($B6560,sales_teams!$A$2:$A$36,sales_teams!C$2:C$36)</f>
        <v>Central</v>
      </c>
      <c r="E6560" t="s">
        <v>15</v>
      </c>
      <c r="F6560" t="s">
        <v>231</v>
      </c>
      <c r="G6560" t="s">
        <v>12</v>
      </c>
      <c r="H6560" s="1">
        <v>42987</v>
      </c>
      <c r="I6560" s="1">
        <v>43074</v>
      </c>
      <c r="J6560">
        <v>5127</v>
      </c>
    </row>
    <row r="6561" spans="1:10" x14ac:dyDescent="0.3">
      <c r="A6561" t="s">
        <v>6692</v>
      </c>
      <c r="B6561" t="s">
        <v>142</v>
      </c>
      <c r="C6561" t="str">
        <f>_xlfn.XLOOKUP(B6561,
[1]sales_teams!$A$2:$A$100,
[1]sales_teams!$B$2:$B$100)</f>
        <v>Rocco Neubert</v>
      </c>
      <c r="D6561" t="str">
        <f>_xlfn.XLOOKUP($B6561,sales_teams!$A$2:$A$36,sales_teams!C$2:C$36)</f>
        <v>East</v>
      </c>
      <c r="E6561" t="s">
        <v>20</v>
      </c>
      <c r="F6561" t="s">
        <v>81</v>
      </c>
      <c r="G6561" t="s">
        <v>12</v>
      </c>
      <c r="H6561" s="1">
        <v>42987</v>
      </c>
      <c r="I6561" s="1">
        <v>43095</v>
      </c>
      <c r="J6561">
        <v>547</v>
      </c>
    </row>
    <row r="6562" spans="1:10" x14ac:dyDescent="0.3">
      <c r="A6562" t="s">
        <v>6693</v>
      </c>
      <c r="B6562" t="s">
        <v>105</v>
      </c>
      <c r="C6562" t="str">
        <f>_xlfn.XLOOKUP(B6562,
[1]sales_teams!$A$2:$A$100,
[1]sales_teams!$B$2:$B$100)</f>
        <v>Cara Losch</v>
      </c>
      <c r="D6562" t="str">
        <f>_xlfn.XLOOKUP($B6562,sales_teams!$A$2:$A$36,sales_teams!C$2:C$36)</f>
        <v>East</v>
      </c>
      <c r="E6562" t="s">
        <v>48</v>
      </c>
      <c r="F6562" t="s">
        <v>215</v>
      </c>
      <c r="G6562" t="s">
        <v>46</v>
      </c>
      <c r="H6562" s="1">
        <v>42987</v>
      </c>
      <c r="I6562" s="1">
        <v>43005</v>
      </c>
      <c r="J6562">
        <v>0</v>
      </c>
    </row>
    <row r="6563" spans="1:10" x14ac:dyDescent="0.3">
      <c r="A6563" t="s">
        <v>6694</v>
      </c>
      <c r="B6563" t="s">
        <v>38</v>
      </c>
      <c r="C6563" t="str">
        <f>_xlfn.XLOOKUP(B6563,
[1]sales_teams!$A$2:$A$100,
[1]sales_teams!$B$2:$B$100)</f>
        <v>Summer Sewald</v>
      </c>
      <c r="D6563" t="str">
        <f>_xlfn.XLOOKUP($B6563,sales_teams!$A$2:$A$36,sales_teams!C$2:C$36)</f>
        <v>West</v>
      </c>
      <c r="E6563" t="s">
        <v>10</v>
      </c>
      <c r="F6563" t="s">
        <v>240</v>
      </c>
      <c r="G6563" t="s">
        <v>40</v>
      </c>
      <c r="H6563" s="1">
        <v>42987</v>
      </c>
    </row>
    <row r="6564" spans="1:10" x14ac:dyDescent="0.3">
      <c r="A6564" t="s">
        <v>6695</v>
      </c>
      <c r="B6564" t="s">
        <v>78</v>
      </c>
      <c r="C6564" t="str">
        <f>_xlfn.XLOOKUP(B6564,
[1]sales_teams!$A$2:$A$100,
[1]sales_teams!$B$2:$B$100)</f>
        <v>Summer Sewald</v>
      </c>
      <c r="D6564" t="str">
        <f>_xlfn.XLOOKUP($B6564,sales_teams!$A$2:$A$36,sales_teams!C$2:C$36)</f>
        <v>West</v>
      </c>
      <c r="E6564" t="s">
        <v>39</v>
      </c>
      <c r="F6564" t="s">
        <v>194</v>
      </c>
      <c r="G6564" t="s">
        <v>46</v>
      </c>
      <c r="H6564" s="1">
        <v>42987</v>
      </c>
      <c r="I6564" s="1">
        <v>43069</v>
      </c>
      <c r="J6564">
        <v>0</v>
      </c>
    </row>
    <row r="6565" spans="1:10" x14ac:dyDescent="0.3">
      <c r="A6565" t="s">
        <v>6696</v>
      </c>
      <c r="B6565" t="s">
        <v>78</v>
      </c>
      <c r="C6565" t="str">
        <f>_xlfn.XLOOKUP(B6565,
[1]sales_teams!$A$2:$A$100,
[1]sales_teams!$B$2:$B$100)</f>
        <v>Summer Sewald</v>
      </c>
      <c r="D6565" t="str">
        <f>_xlfn.XLOOKUP($B6565,sales_teams!$A$2:$A$36,sales_teams!C$2:C$36)</f>
        <v>West</v>
      </c>
      <c r="E6565" t="s">
        <v>20</v>
      </c>
      <c r="F6565" t="s">
        <v>194</v>
      </c>
      <c r="G6565" t="s">
        <v>12</v>
      </c>
      <c r="H6565" s="1">
        <v>42987</v>
      </c>
      <c r="I6565" s="1">
        <v>43083</v>
      </c>
      <c r="J6565">
        <v>582</v>
      </c>
    </row>
    <row r="6566" spans="1:10" x14ac:dyDescent="0.3">
      <c r="A6566" t="s">
        <v>6697</v>
      </c>
      <c r="B6566" t="s">
        <v>78</v>
      </c>
      <c r="C6566" t="str">
        <f>_xlfn.XLOOKUP(B6566,
[1]sales_teams!$A$2:$A$100,
[1]sales_teams!$B$2:$B$100)</f>
        <v>Summer Sewald</v>
      </c>
      <c r="D6566" t="str">
        <f>_xlfn.XLOOKUP($B6566,sales_teams!$A$2:$A$36,sales_teams!C$2:C$36)</f>
        <v>West</v>
      </c>
      <c r="E6566" t="s">
        <v>10</v>
      </c>
      <c r="F6566" t="s">
        <v>30</v>
      </c>
      <c r="G6566" t="s">
        <v>12</v>
      </c>
      <c r="H6566" s="1">
        <v>42987</v>
      </c>
      <c r="I6566" s="1">
        <v>43003</v>
      </c>
      <c r="J6566">
        <v>1047</v>
      </c>
    </row>
    <row r="6567" spans="1:10" x14ac:dyDescent="0.3">
      <c r="A6567" t="s">
        <v>6698</v>
      </c>
      <c r="B6567" t="s">
        <v>133</v>
      </c>
      <c r="C6567" t="str">
        <f>_xlfn.XLOOKUP(B6567,
[1]sales_teams!$A$2:$A$100,
[1]sales_teams!$B$2:$B$100)</f>
        <v>Dustin Brinkmann</v>
      </c>
      <c r="D6567" t="str">
        <f>_xlfn.XLOOKUP($B6567,sales_teams!$A$2:$A$36,sales_teams!C$2:C$36)</f>
        <v>Central</v>
      </c>
      <c r="E6567" t="s">
        <v>18</v>
      </c>
      <c r="F6567" t="s">
        <v>135</v>
      </c>
      <c r="G6567" t="s">
        <v>46</v>
      </c>
      <c r="H6567" s="1">
        <v>42987</v>
      </c>
      <c r="I6567" s="1">
        <v>43060</v>
      </c>
      <c r="J6567">
        <v>0</v>
      </c>
    </row>
    <row r="6568" spans="1:10" x14ac:dyDescent="0.3">
      <c r="A6568" t="s">
        <v>6699</v>
      </c>
      <c r="B6568" t="s">
        <v>32</v>
      </c>
      <c r="C6568" t="str">
        <f>_xlfn.XLOOKUP(B6568,
[1]sales_teams!$A$2:$A$100,
[1]sales_teams!$B$2:$B$100)</f>
        <v>Celia Rouche</v>
      </c>
      <c r="D6568" t="str">
        <f>_xlfn.XLOOKUP($B6568,sales_teams!$A$2:$A$36,sales_teams!C$2:C$36)</f>
        <v>West</v>
      </c>
      <c r="E6568" t="s">
        <v>10</v>
      </c>
      <c r="G6568" t="s">
        <v>40</v>
      </c>
      <c r="H6568" s="1">
        <v>42987</v>
      </c>
    </row>
    <row r="6569" spans="1:10" x14ac:dyDescent="0.3">
      <c r="A6569" t="s">
        <v>6700</v>
      </c>
      <c r="B6569" t="s">
        <v>35</v>
      </c>
      <c r="C6569" t="str">
        <f>_xlfn.XLOOKUP(B6569,
[1]sales_teams!$A$2:$A$100,
[1]sales_teams!$B$2:$B$100)</f>
        <v>Melvin Marxen</v>
      </c>
      <c r="D6569" t="str">
        <f>_xlfn.XLOOKUP($B6569,sales_teams!$A$2:$A$36,sales_teams!C$2:C$36)</f>
        <v>Central</v>
      </c>
      <c r="E6569" t="s">
        <v>15</v>
      </c>
      <c r="F6569" t="s">
        <v>129</v>
      </c>
      <c r="G6569" t="s">
        <v>46</v>
      </c>
      <c r="H6569" s="1">
        <v>42987</v>
      </c>
      <c r="I6569" s="1">
        <v>43054</v>
      </c>
      <c r="J6569">
        <v>0</v>
      </c>
    </row>
    <row r="6570" spans="1:10" x14ac:dyDescent="0.3">
      <c r="A6570" t="s">
        <v>6701</v>
      </c>
      <c r="B6570" t="s">
        <v>35</v>
      </c>
      <c r="C6570" t="str">
        <f>_xlfn.XLOOKUP(B6570,
[1]sales_teams!$A$2:$A$100,
[1]sales_teams!$B$2:$B$100)</f>
        <v>Melvin Marxen</v>
      </c>
      <c r="D6570" t="str">
        <f>_xlfn.XLOOKUP($B6570,sales_teams!$A$2:$A$36,sales_teams!C$2:C$36)</f>
        <v>Central</v>
      </c>
      <c r="E6570" t="s">
        <v>20</v>
      </c>
      <c r="F6570" t="s">
        <v>207</v>
      </c>
      <c r="G6570" t="s">
        <v>12</v>
      </c>
      <c r="H6570" s="1">
        <v>42987</v>
      </c>
      <c r="I6570" s="1">
        <v>43002</v>
      </c>
      <c r="J6570">
        <v>568</v>
      </c>
    </row>
    <row r="6571" spans="1:10" x14ac:dyDescent="0.3">
      <c r="A6571" t="s">
        <v>6702</v>
      </c>
      <c r="B6571" t="s">
        <v>35</v>
      </c>
      <c r="C6571" t="str">
        <f>_xlfn.XLOOKUP(B6571,
[1]sales_teams!$A$2:$A$100,
[1]sales_teams!$B$2:$B$100)</f>
        <v>Melvin Marxen</v>
      </c>
      <c r="D6571" t="str">
        <f>_xlfn.XLOOKUP($B6571,sales_teams!$A$2:$A$36,sales_teams!C$2:C$36)</f>
        <v>Central</v>
      </c>
      <c r="E6571" t="s">
        <v>48</v>
      </c>
      <c r="F6571" t="s">
        <v>318</v>
      </c>
      <c r="G6571" t="s">
        <v>12</v>
      </c>
      <c r="H6571" s="1">
        <v>42987</v>
      </c>
      <c r="I6571" s="1">
        <v>43066</v>
      </c>
      <c r="J6571">
        <v>6255</v>
      </c>
    </row>
    <row r="6572" spans="1:10" x14ac:dyDescent="0.3">
      <c r="A6572" t="s">
        <v>6703</v>
      </c>
      <c r="B6572" t="s">
        <v>97</v>
      </c>
      <c r="C6572" t="str">
        <f>_xlfn.XLOOKUP(B6572,
[1]sales_teams!$A$2:$A$100,
[1]sales_teams!$B$2:$B$100)</f>
        <v>Rocco Neubert</v>
      </c>
      <c r="D6572" t="str">
        <f>_xlfn.XLOOKUP($B6572,sales_teams!$A$2:$A$36,sales_teams!C$2:C$36)</f>
        <v>East</v>
      </c>
      <c r="E6572" t="s">
        <v>15</v>
      </c>
      <c r="F6572" t="s">
        <v>192</v>
      </c>
      <c r="G6572" t="s">
        <v>12</v>
      </c>
      <c r="H6572" s="1">
        <v>42987</v>
      </c>
      <c r="I6572" s="1">
        <v>43072</v>
      </c>
      <c r="J6572">
        <v>4647</v>
      </c>
    </row>
    <row r="6573" spans="1:10" x14ac:dyDescent="0.3">
      <c r="A6573" t="s">
        <v>6704</v>
      </c>
      <c r="B6573" t="s">
        <v>88</v>
      </c>
      <c r="C6573" t="str">
        <f>_xlfn.XLOOKUP(B6573,
[1]sales_teams!$A$2:$A$100,
[1]sales_teams!$B$2:$B$100)</f>
        <v>Cara Losch</v>
      </c>
      <c r="D6573" t="str">
        <f>_xlfn.XLOOKUP($B6573,sales_teams!$A$2:$A$36,sales_teams!C$2:C$36)</f>
        <v>East</v>
      </c>
      <c r="E6573" t="s">
        <v>15</v>
      </c>
      <c r="F6573" t="s">
        <v>74</v>
      </c>
      <c r="G6573" t="s">
        <v>12</v>
      </c>
      <c r="H6573" s="1">
        <v>42987</v>
      </c>
      <c r="I6573" s="1">
        <v>43047</v>
      </c>
      <c r="J6573">
        <v>5042</v>
      </c>
    </row>
    <row r="6574" spans="1:10" x14ac:dyDescent="0.3">
      <c r="A6574" t="s">
        <v>6705</v>
      </c>
      <c r="B6574" t="s">
        <v>61</v>
      </c>
      <c r="C6574" t="str">
        <f>_xlfn.XLOOKUP(B6574,
[1]sales_teams!$A$2:$A$100,
[1]sales_teams!$B$2:$B$100)</f>
        <v>Dustin Brinkmann</v>
      </c>
      <c r="D6574" t="str">
        <f>_xlfn.XLOOKUP($B6574,sales_teams!$A$2:$A$36,sales_teams!C$2:C$36)</f>
        <v>Central</v>
      </c>
      <c r="E6574" t="s">
        <v>18</v>
      </c>
      <c r="F6574" t="s">
        <v>197</v>
      </c>
      <c r="G6574" t="s">
        <v>12</v>
      </c>
      <c r="H6574" s="1">
        <v>42987</v>
      </c>
      <c r="I6574" s="1">
        <v>43100</v>
      </c>
      <c r="J6574">
        <v>57</v>
      </c>
    </row>
    <row r="6575" spans="1:10" x14ac:dyDescent="0.3">
      <c r="A6575" t="s">
        <v>6706</v>
      </c>
      <c r="B6575" t="s">
        <v>61</v>
      </c>
      <c r="C6575" t="str">
        <f>_xlfn.XLOOKUP(B6575,
[1]sales_teams!$A$2:$A$100,
[1]sales_teams!$B$2:$B$100)</f>
        <v>Dustin Brinkmann</v>
      </c>
      <c r="D6575" t="str">
        <f>_xlfn.XLOOKUP($B6575,sales_teams!$A$2:$A$36,sales_teams!C$2:C$36)</f>
        <v>Central</v>
      </c>
      <c r="E6575" t="s">
        <v>18</v>
      </c>
      <c r="F6575" t="s">
        <v>126</v>
      </c>
      <c r="G6575" t="s">
        <v>12</v>
      </c>
      <c r="H6575" s="1">
        <v>42987</v>
      </c>
      <c r="I6575" s="1">
        <v>43076</v>
      </c>
      <c r="J6575">
        <v>53</v>
      </c>
    </row>
    <row r="6576" spans="1:10" x14ac:dyDescent="0.3">
      <c r="A6576" t="s">
        <v>6707</v>
      </c>
      <c r="B6576" t="s">
        <v>61</v>
      </c>
      <c r="C6576" t="str">
        <f>_xlfn.XLOOKUP(B6576,
[1]sales_teams!$A$2:$A$100,
[1]sales_teams!$B$2:$B$100)</f>
        <v>Dustin Brinkmann</v>
      </c>
      <c r="D6576" t="str">
        <f>_xlfn.XLOOKUP($B6576,sales_teams!$A$2:$A$36,sales_teams!C$2:C$36)</f>
        <v>Central</v>
      </c>
      <c r="E6576" t="s">
        <v>39</v>
      </c>
      <c r="F6576" t="s">
        <v>113</v>
      </c>
      <c r="G6576" t="s">
        <v>12</v>
      </c>
      <c r="H6576" s="1">
        <v>42987</v>
      </c>
      <c r="I6576" s="1">
        <v>43081</v>
      </c>
      <c r="J6576">
        <v>3811</v>
      </c>
    </row>
    <row r="6577" spans="1:10" x14ac:dyDescent="0.3">
      <c r="A6577" t="s">
        <v>6708</v>
      </c>
      <c r="B6577" t="s">
        <v>29</v>
      </c>
      <c r="C6577" t="str">
        <f>_xlfn.XLOOKUP(B6577,
[1]sales_teams!$A$2:$A$100,
[1]sales_teams!$B$2:$B$100)</f>
        <v>Celia Rouche</v>
      </c>
      <c r="D6577" t="str">
        <f>_xlfn.XLOOKUP($B6577,sales_teams!$A$2:$A$36,sales_teams!C$2:C$36)</f>
        <v>West</v>
      </c>
      <c r="E6577" t="s">
        <v>20</v>
      </c>
      <c r="F6577" t="s">
        <v>315</v>
      </c>
      <c r="G6577" t="s">
        <v>12</v>
      </c>
      <c r="H6577" s="1">
        <v>42987</v>
      </c>
      <c r="I6577" s="1">
        <v>43081</v>
      </c>
      <c r="J6577">
        <v>456</v>
      </c>
    </row>
    <row r="6578" spans="1:10" x14ac:dyDescent="0.3">
      <c r="A6578" t="s">
        <v>6709</v>
      </c>
      <c r="B6578" t="s">
        <v>73</v>
      </c>
      <c r="C6578" t="str">
        <f>_xlfn.XLOOKUP(B6578,
[1]sales_teams!$A$2:$A$100,
[1]sales_teams!$B$2:$B$100)</f>
        <v>Cara Losch</v>
      </c>
      <c r="D6578" t="str">
        <f>_xlfn.XLOOKUP($B6578,sales_teams!$A$2:$A$36,sales_teams!C$2:C$36)</f>
        <v>East</v>
      </c>
      <c r="E6578" t="s">
        <v>15</v>
      </c>
      <c r="F6578" t="s">
        <v>106</v>
      </c>
      <c r="G6578" t="s">
        <v>46</v>
      </c>
      <c r="H6578" s="1">
        <v>42987</v>
      </c>
      <c r="I6578" s="1">
        <v>43088</v>
      </c>
      <c r="J6578">
        <v>0</v>
      </c>
    </row>
    <row r="6579" spans="1:10" x14ac:dyDescent="0.3">
      <c r="A6579" t="s">
        <v>6710</v>
      </c>
      <c r="B6579" t="s">
        <v>118</v>
      </c>
      <c r="C6579" t="str">
        <f>_xlfn.XLOOKUP(B6579,
[1]sales_teams!$A$2:$A$100,
[1]sales_teams!$B$2:$B$100)</f>
        <v>Rocco Neubert</v>
      </c>
      <c r="D6579" t="str">
        <f>_xlfn.XLOOKUP($B6579,sales_teams!$A$2:$A$36,sales_teams!C$2:C$36)</f>
        <v>East</v>
      </c>
      <c r="E6579" t="s">
        <v>39</v>
      </c>
      <c r="F6579" t="s">
        <v>65</v>
      </c>
      <c r="G6579" t="s">
        <v>12</v>
      </c>
      <c r="H6579" s="1">
        <v>42988</v>
      </c>
      <c r="I6579" s="1">
        <v>43074</v>
      </c>
      <c r="J6579">
        <v>3371</v>
      </c>
    </row>
    <row r="6580" spans="1:10" x14ac:dyDescent="0.3">
      <c r="A6580" t="s">
        <v>6711</v>
      </c>
      <c r="B6580" t="s">
        <v>202</v>
      </c>
      <c r="C6580" t="str">
        <f>_xlfn.XLOOKUP(B6580,
[1]sales_teams!$A$2:$A$100,
[1]sales_teams!$B$2:$B$100)</f>
        <v>Dustin Brinkmann</v>
      </c>
      <c r="D6580" t="str">
        <f>_xlfn.XLOOKUP($B6580,sales_teams!$A$2:$A$36,sales_teams!C$2:C$36)</f>
        <v>Central</v>
      </c>
      <c r="E6580" t="s">
        <v>10</v>
      </c>
      <c r="F6580" t="s">
        <v>62</v>
      </c>
      <c r="G6580" t="s">
        <v>12</v>
      </c>
      <c r="H6580" s="1">
        <v>42988</v>
      </c>
      <c r="I6580" s="1">
        <v>43068</v>
      </c>
      <c r="J6580">
        <v>1151</v>
      </c>
    </row>
    <row r="6581" spans="1:10" x14ac:dyDescent="0.3">
      <c r="A6581" t="s">
        <v>6712</v>
      </c>
      <c r="B6581" t="s">
        <v>202</v>
      </c>
      <c r="C6581" t="str">
        <f>_xlfn.XLOOKUP(B6581,
[1]sales_teams!$A$2:$A$100,
[1]sales_teams!$B$2:$B$100)</f>
        <v>Dustin Brinkmann</v>
      </c>
      <c r="D6581" t="str">
        <f>_xlfn.XLOOKUP($B6581,sales_teams!$A$2:$A$36,sales_teams!C$2:C$36)</f>
        <v>Central</v>
      </c>
      <c r="E6581" t="s">
        <v>39</v>
      </c>
      <c r="F6581" t="s">
        <v>231</v>
      </c>
      <c r="G6581" t="s">
        <v>12</v>
      </c>
      <c r="H6581" s="1">
        <v>42988</v>
      </c>
      <c r="I6581" s="1">
        <v>43094</v>
      </c>
      <c r="J6581">
        <v>3748</v>
      </c>
    </row>
    <row r="6582" spans="1:10" x14ac:dyDescent="0.3">
      <c r="A6582" t="s">
        <v>6713</v>
      </c>
      <c r="B6582" t="s">
        <v>164</v>
      </c>
      <c r="C6582" t="str">
        <f>_xlfn.XLOOKUP(B6582,
[1]sales_teams!$A$2:$A$100,
[1]sales_teams!$B$2:$B$100)</f>
        <v>Cara Losch</v>
      </c>
      <c r="D6582" t="str">
        <f>_xlfn.XLOOKUP($B6582,sales_teams!$A$2:$A$36,sales_teams!C$2:C$36)</f>
        <v>East</v>
      </c>
      <c r="E6582" t="s">
        <v>48</v>
      </c>
      <c r="F6582" t="s">
        <v>189</v>
      </c>
      <c r="G6582" t="s">
        <v>12</v>
      </c>
      <c r="H6582" s="1">
        <v>42988</v>
      </c>
      <c r="I6582" s="1">
        <v>42993</v>
      </c>
      <c r="J6582">
        <v>5717</v>
      </c>
    </row>
    <row r="6583" spans="1:10" x14ac:dyDescent="0.3">
      <c r="A6583" t="s">
        <v>6714</v>
      </c>
      <c r="B6583" t="s">
        <v>164</v>
      </c>
      <c r="C6583" t="str">
        <f>_xlfn.XLOOKUP(B6583,
[1]sales_teams!$A$2:$A$100,
[1]sales_teams!$B$2:$B$100)</f>
        <v>Cara Losch</v>
      </c>
      <c r="D6583" t="str">
        <f>_xlfn.XLOOKUP($B6583,sales_teams!$A$2:$A$36,sales_teams!C$2:C$36)</f>
        <v>East</v>
      </c>
      <c r="E6583" t="s">
        <v>15</v>
      </c>
      <c r="F6583" t="s">
        <v>209</v>
      </c>
      <c r="G6583" t="s">
        <v>12</v>
      </c>
      <c r="H6583" s="1">
        <v>42988</v>
      </c>
      <c r="I6583" s="1">
        <v>42993</v>
      </c>
      <c r="J6583">
        <v>5027</v>
      </c>
    </row>
    <row r="6584" spans="1:10" x14ac:dyDescent="0.3">
      <c r="A6584" t="s">
        <v>6715</v>
      </c>
      <c r="B6584" t="s">
        <v>64</v>
      </c>
      <c r="C6584" t="str">
        <f>_xlfn.XLOOKUP(B6584,
[1]sales_teams!$A$2:$A$100,
[1]sales_teams!$B$2:$B$100)</f>
        <v>Rocco Neubert</v>
      </c>
      <c r="D6584" t="str">
        <f>_xlfn.XLOOKUP($B6584,sales_teams!$A$2:$A$36,sales_teams!C$2:C$36)</f>
        <v>East</v>
      </c>
      <c r="E6584" t="s">
        <v>10</v>
      </c>
      <c r="F6584" t="s">
        <v>518</v>
      </c>
      <c r="G6584" t="s">
        <v>12</v>
      </c>
      <c r="H6584" s="1">
        <v>42988</v>
      </c>
      <c r="I6584" s="1">
        <v>43082</v>
      </c>
      <c r="J6584">
        <v>1111</v>
      </c>
    </row>
    <row r="6585" spans="1:10" x14ac:dyDescent="0.3">
      <c r="A6585" t="s">
        <v>6716</v>
      </c>
      <c r="B6585" t="s">
        <v>14</v>
      </c>
      <c r="C6585" t="str">
        <f>_xlfn.XLOOKUP(B6585,
[1]sales_teams!$A$2:$A$100,
[1]sales_teams!$B$2:$B$100)</f>
        <v>Melvin Marxen</v>
      </c>
      <c r="D6585" t="str">
        <f>_xlfn.XLOOKUP($B6585,sales_teams!$A$2:$A$36,sales_teams!C$2:C$36)</f>
        <v>Central</v>
      </c>
      <c r="E6585" t="s">
        <v>10</v>
      </c>
      <c r="F6585" t="s">
        <v>42</v>
      </c>
      <c r="G6585" t="s">
        <v>12</v>
      </c>
      <c r="H6585" s="1">
        <v>42988</v>
      </c>
      <c r="I6585" s="1">
        <v>42995</v>
      </c>
      <c r="J6585">
        <v>1159</v>
      </c>
    </row>
    <row r="6586" spans="1:10" x14ac:dyDescent="0.3">
      <c r="A6586" t="s">
        <v>6717</v>
      </c>
      <c r="B6586" t="s">
        <v>14</v>
      </c>
      <c r="C6586" t="str">
        <f>_xlfn.XLOOKUP(B6586,
[1]sales_teams!$A$2:$A$100,
[1]sales_teams!$B$2:$B$100)</f>
        <v>Melvin Marxen</v>
      </c>
      <c r="D6586" t="str">
        <f>_xlfn.XLOOKUP($B6586,sales_teams!$A$2:$A$36,sales_teams!C$2:C$36)</f>
        <v>Central</v>
      </c>
      <c r="E6586" t="s">
        <v>39</v>
      </c>
      <c r="F6586" t="s">
        <v>151</v>
      </c>
      <c r="G6586" t="s">
        <v>12</v>
      </c>
      <c r="H6586" s="1">
        <v>42988</v>
      </c>
      <c r="I6586" s="1">
        <v>43045</v>
      </c>
      <c r="J6586">
        <v>3251</v>
      </c>
    </row>
    <row r="6587" spans="1:10" x14ac:dyDescent="0.3">
      <c r="A6587" t="s">
        <v>6718</v>
      </c>
      <c r="B6587" t="s">
        <v>105</v>
      </c>
      <c r="C6587" t="str">
        <f>_xlfn.XLOOKUP(B6587,
[1]sales_teams!$A$2:$A$100,
[1]sales_teams!$B$2:$B$100)</f>
        <v>Cara Losch</v>
      </c>
      <c r="D6587" t="str">
        <f>_xlfn.XLOOKUP($B6587,sales_teams!$A$2:$A$36,sales_teams!C$2:C$36)</f>
        <v>East</v>
      </c>
      <c r="E6587" t="s">
        <v>48</v>
      </c>
      <c r="F6587" t="s">
        <v>192</v>
      </c>
      <c r="G6587" t="s">
        <v>46</v>
      </c>
      <c r="H6587" s="1">
        <v>42988</v>
      </c>
      <c r="I6587" s="1">
        <v>43040</v>
      </c>
      <c r="J6587">
        <v>0</v>
      </c>
    </row>
    <row r="6588" spans="1:10" x14ac:dyDescent="0.3">
      <c r="A6588" t="s">
        <v>6719</v>
      </c>
      <c r="B6588" t="s">
        <v>44</v>
      </c>
      <c r="C6588" t="str">
        <f>_xlfn.XLOOKUP(B6588,
[1]sales_teams!$A$2:$A$100,
[1]sales_teams!$B$2:$B$100)</f>
        <v>Melvin Marxen</v>
      </c>
      <c r="D6588" t="str">
        <f>_xlfn.XLOOKUP($B6588,sales_teams!$A$2:$A$36,sales_teams!C$2:C$36)</f>
        <v>Central</v>
      </c>
      <c r="E6588" t="s">
        <v>39</v>
      </c>
      <c r="F6588" t="s">
        <v>45</v>
      </c>
      <c r="G6588" t="s">
        <v>46</v>
      </c>
      <c r="H6588" s="1">
        <v>42988</v>
      </c>
      <c r="I6588" s="1">
        <v>43076</v>
      </c>
      <c r="J6588">
        <v>0</v>
      </c>
    </row>
    <row r="6589" spans="1:10" x14ac:dyDescent="0.3">
      <c r="A6589" t="s">
        <v>6720</v>
      </c>
      <c r="B6589" t="s">
        <v>44</v>
      </c>
      <c r="C6589" t="str">
        <f>_xlfn.XLOOKUP(B6589,
[1]sales_teams!$A$2:$A$100,
[1]sales_teams!$B$2:$B$100)</f>
        <v>Melvin Marxen</v>
      </c>
      <c r="D6589" t="str">
        <f>_xlfn.XLOOKUP($B6589,sales_teams!$A$2:$A$36,sales_teams!C$2:C$36)</f>
        <v>Central</v>
      </c>
      <c r="E6589" t="s">
        <v>10</v>
      </c>
      <c r="F6589" t="s">
        <v>21</v>
      </c>
      <c r="G6589" t="s">
        <v>12</v>
      </c>
      <c r="H6589" s="1">
        <v>42988</v>
      </c>
      <c r="I6589" s="1">
        <v>43087</v>
      </c>
      <c r="J6589">
        <v>1083</v>
      </c>
    </row>
    <row r="6590" spans="1:10" x14ac:dyDescent="0.3">
      <c r="A6590" t="s">
        <v>6721</v>
      </c>
      <c r="B6590" t="s">
        <v>44</v>
      </c>
      <c r="C6590" t="str">
        <f>_xlfn.XLOOKUP(B6590,
[1]sales_teams!$A$2:$A$100,
[1]sales_teams!$B$2:$B$100)</f>
        <v>Melvin Marxen</v>
      </c>
      <c r="D6590" t="str">
        <f>_xlfn.XLOOKUP($B6590,sales_teams!$A$2:$A$36,sales_teams!C$2:C$36)</f>
        <v>Central</v>
      </c>
      <c r="E6590" t="s">
        <v>18</v>
      </c>
      <c r="F6590" t="s">
        <v>42</v>
      </c>
      <c r="G6590" t="s">
        <v>12</v>
      </c>
      <c r="H6590" s="1">
        <v>42988</v>
      </c>
      <c r="I6590" s="1">
        <v>43047</v>
      </c>
      <c r="J6590">
        <v>54</v>
      </c>
    </row>
    <row r="6591" spans="1:10" x14ac:dyDescent="0.3">
      <c r="A6591" t="s">
        <v>6722</v>
      </c>
      <c r="B6591" t="s">
        <v>54</v>
      </c>
      <c r="C6591" t="str">
        <f>_xlfn.XLOOKUP(B6591,
[1]sales_teams!$A$2:$A$100,
[1]sales_teams!$B$2:$B$100)</f>
        <v>Celia Rouche</v>
      </c>
      <c r="D6591" t="str">
        <f>_xlfn.XLOOKUP($B6591,sales_teams!$A$2:$A$36,sales_teams!C$2:C$36)</f>
        <v>West</v>
      </c>
      <c r="E6591" t="s">
        <v>39</v>
      </c>
      <c r="G6591" t="s">
        <v>40</v>
      </c>
      <c r="H6591" s="1">
        <v>42988</v>
      </c>
    </row>
    <row r="6592" spans="1:10" x14ac:dyDescent="0.3">
      <c r="A6592" t="s">
        <v>6723</v>
      </c>
      <c r="B6592" t="s">
        <v>54</v>
      </c>
      <c r="C6592" t="str">
        <f>_xlfn.XLOOKUP(B6592,
[1]sales_teams!$A$2:$A$100,
[1]sales_teams!$B$2:$B$100)</f>
        <v>Celia Rouche</v>
      </c>
      <c r="D6592" t="str">
        <f>_xlfn.XLOOKUP($B6592,sales_teams!$A$2:$A$36,sales_teams!C$2:C$36)</f>
        <v>West</v>
      </c>
      <c r="E6592" t="s">
        <v>39</v>
      </c>
      <c r="F6592" t="s">
        <v>313</v>
      </c>
      <c r="G6592" t="s">
        <v>12</v>
      </c>
      <c r="H6592" s="1">
        <v>42988</v>
      </c>
      <c r="I6592" s="1">
        <v>43098</v>
      </c>
      <c r="J6592">
        <v>3302</v>
      </c>
    </row>
    <row r="6593" spans="1:10" x14ac:dyDescent="0.3">
      <c r="A6593" t="s">
        <v>6724</v>
      </c>
      <c r="B6593" t="s">
        <v>38</v>
      </c>
      <c r="C6593" t="str">
        <f>_xlfn.XLOOKUP(B6593,
[1]sales_teams!$A$2:$A$100,
[1]sales_teams!$B$2:$B$100)</f>
        <v>Summer Sewald</v>
      </c>
      <c r="D6593" t="str">
        <f>_xlfn.XLOOKUP($B6593,sales_teams!$A$2:$A$36,sales_teams!C$2:C$36)</f>
        <v>West</v>
      </c>
      <c r="E6593" t="s">
        <v>15</v>
      </c>
      <c r="G6593" t="s">
        <v>40</v>
      </c>
      <c r="H6593" s="1">
        <v>42988</v>
      </c>
    </row>
    <row r="6594" spans="1:10" x14ac:dyDescent="0.3">
      <c r="A6594" t="s">
        <v>6725</v>
      </c>
      <c r="B6594" t="s">
        <v>38</v>
      </c>
      <c r="C6594" t="str">
        <f>_xlfn.XLOOKUP(B6594,
[1]sales_teams!$A$2:$A$100,
[1]sales_teams!$B$2:$B$100)</f>
        <v>Summer Sewald</v>
      </c>
      <c r="D6594" t="str">
        <f>_xlfn.XLOOKUP($B6594,sales_teams!$A$2:$A$36,sales_teams!C$2:C$36)</f>
        <v>West</v>
      </c>
      <c r="E6594" t="s">
        <v>20</v>
      </c>
      <c r="F6594" t="s">
        <v>122</v>
      </c>
      <c r="G6594" t="s">
        <v>12</v>
      </c>
      <c r="H6594" s="1">
        <v>42988</v>
      </c>
      <c r="I6594" s="1">
        <v>43064</v>
      </c>
      <c r="J6594">
        <v>552</v>
      </c>
    </row>
    <row r="6595" spans="1:10" x14ac:dyDescent="0.3">
      <c r="A6595" t="s">
        <v>6726</v>
      </c>
      <c r="B6595" t="s">
        <v>38</v>
      </c>
      <c r="C6595" t="str">
        <f>_xlfn.XLOOKUP(B6595,
[1]sales_teams!$A$2:$A$100,
[1]sales_teams!$B$2:$B$100)</f>
        <v>Summer Sewald</v>
      </c>
      <c r="D6595" t="str">
        <f>_xlfn.XLOOKUP($B6595,sales_teams!$A$2:$A$36,sales_teams!C$2:C$36)</f>
        <v>West</v>
      </c>
      <c r="E6595" t="s">
        <v>20</v>
      </c>
      <c r="F6595" t="s">
        <v>273</v>
      </c>
      <c r="G6595" t="s">
        <v>12</v>
      </c>
      <c r="H6595" s="1">
        <v>42988</v>
      </c>
      <c r="I6595" s="1">
        <v>43055</v>
      </c>
      <c r="J6595">
        <v>468</v>
      </c>
    </row>
    <row r="6596" spans="1:10" x14ac:dyDescent="0.3">
      <c r="A6596" t="s">
        <v>6727</v>
      </c>
      <c r="B6596" t="s">
        <v>252</v>
      </c>
      <c r="C6596" t="str">
        <f>_xlfn.XLOOKUP(B6596,
[1]sales_teams!$A$2:$A$100,
[1]sales_teams!$B$2:$B$100)</f>
        <v>Melvin Marxen</v>
      </c>
      <c r="D6596" t="str">
        <f>_xlfn.XLOOKUP($B6596,sales_teams!$A$2:$A$36,sales_teams!C$2:C$36)</f>
        <v>Central</v>
      </c>
      <c r="E6596" t="s">
        <v>20</v>
      </c>
      <c r="F6596" t="s">
        <v>91</v>
      </c>
      <c r="G6596" t="s">
        <v>46</v>
      </c>
      <c r="H6596" s="1">
        <v>42988</v>
      </c>
      <c r="I6596" s="1">
        <v>43056</v>
      </c>
      <c r="J6596">
        <v>0</v>
      </c>
    </row>
    <row r="6597" spans="1:10" x14ac:dyDescent="0.3">
      <c r="A6597" t="s">
        <v>6728</v>
      </c>
      <c r="B6597" t="s">
        <v>252</v>
      </c>
      <c r="C6597" t="str">
        <f>_xlfn.XLOOKUP(B6597,
[1]sales_teams!$A$2:$A$100,
[1]sales_teams!$B$2:$B$100)</f>
        <v>Melvin Marxen</v>
      </c>
      <c r="D6597" t="str">
        <f>_xlfn.XLOOKUP($B6597,sales_teams!$A$2:$A$36,sales_teams!C$2:C$36)</f>
        <v>Central</v>
      </c>
      <c r="E6597" t="s">
        <v>20</v>
      </c>
      <c r="F6597" t="s">
        <v>315</v>
      </c>
      <c r="G6597" t="s">
        <v>46</v>
      </c>
      <c r="H6597" s="1">
        <v>42988</v>
      </c>
      <c r="I6597" s="1">
        <v>43073</v>
      </c>
      <c r="J6597">
        <v>0</v>
      </c>
    </row>
    <row r="6598" spans="1:10" x14ac:dyDescent="0.3">
      <c r="A6598" t="s">
        <v>6729</v>
      </c>
      <c r="B6598" t="s">
        <v>78</v>
      </c>
      <c r="C6598" t="str">
        <f>_xlfn.XLOOKUP(B6598,
[1]sales_teams!$A$2:$A$100,
[1]sales_teams!$B$2:$B$100)</f>
        <v>Summer Sewald</v>
      </c>
      <c r="D6598" t="str">
        <f>_xlfn.XLOOKUP($B6598,sales_teams!$A$2:$A$36,sales_teams!C$2:C$36)</f>
        <v>West</v>
      </c>
      <c r="E6598" t="s">
        <v>15</v>
      </c>
      <c r="G6598" t="s">
        <v>40</v>
      </c>
      <c r="H6598" s="1">
        <v>42988</v>
      </c>
    </row>
    <row r="6599" spans="1:10" x14ac:dyDescent="0.3">
      <c r="A6599" t="s">
        <v>6730</v>
      </c>
      <c r="B6599" t="s">
        <v>78</v>
      </c>
      <c r="C6599" t="str">
        <f>_xlfn.XLOOKUP(B6599,
[1]sales_teams!$A$2:$A$100,
[1]sales_teams!$B$2:$B$100)</f>
        <v>Summer Sewald</v>
      </c>
      <c r="D6599" t="str">
        <f>_xlfn.XLOOKUP($B6599,sales_teams!$A$2:$A$36,sales_teams!C$2:C$36)</f>
        <v>West</v>
      </c>
      <c r="E6599" t="s">
        <v>48</v>
      </c>
      <c r="F6599" t="s">
        <v>68</v>
      </c>
      <c r="G6599" t="s">
        <v>46</v>
      </c>
      <c r="H6599" s="1">
        <v>42988</v>
      </c>
      <c r="I6599" s="1">
        <v>43005</v>
      </c>
      <c r="J6599">
        <v>0</v>
      </c>
    </row>
    <row r="6600" spans="1:10" x14ac:dyDescent="0.3">
      <c r="A6600" t="s">
        <v>6731</v>
      </c>
      <c r="B6600" t="s">
        <v>78</v>
      </c>
      <c r="C6600" t="str">
        <f>_xlfn.XLOOKUP(B6600,
[1]sales_teams!$A$2:$A$100,
[1]sales_teams!$B$2:$B$100)</f>
        <v>Summer Sewald</v>
      </c>
      <c r="D6600" t="str">
        <f>_xlfn.XLOOKUP($B6600,sales_teams!$A$2:$A$36,sales_teams!C$2:C$36)</f>
        <v>West</v>
      </c>
      <c r="E6600" t="s">
        <v>15</v>
      </c>
      <c r="F6600" t="s">
        <v>30</v>
      </c>
      <c r="G6600" t="s">
        <v>12</v>
      </c>
      <c r="H6600" s="1">
        <v>42988</v>
      </c>
      <c r="I6600" s="1">
        <v>43051</v>
      </c>
      <c r="J6600">
        <v>4467</v>
      </c>
    </row>
    <row r="6601" spans="1:10" x14ac:dyDescent="0.3">
      <c r="A6601" t="s">
        <v>6732</v>
      </c>
      <c r="B6601" t="s">
        <v>95</v>
      </c>
      <c r="C6601" t="str">
        <f>_xlfn.XLOOKUP(B6601,
[1]sales_teams!$A$2:$A$100,
[1]sales_teams!$B$2:$B$100)</f>
        <v>Summer Sewald</v>
      </c>
      <c r="D6601" t="str">
        <f>_xlfn.XLOOKUP($B6601,sales_teams!$A$2:$A$36,sales_teams!C$2:C$36)</f>
        <v>West</v>
      </c>
      <c r="E6601" t="s">
        <v>20</v>
      </c>
      <c r="F6601" t="s">
        <v>33</v>
      </c>
      <c r="G6601" t="s">
        <v>12</v>
      </c>
      <c r="H6601" s="1">
        <v>42988</v>
      </c>
      <c r="I6601" s="1">
        <v>43074</v>
      </c>
      <c r="J6601">
        <v>538</v>
      </c>
    </row>
    <row r="6602" spans="1:10" x14ac:dyDescent="0.3">
      <c r="A6602" t="s">
        <v>6733</v>
      </c>
      <c r="B6602" t="s">
        <v>95</v>
      </c>
      <c r="C6602" t="str">
        <f>_xlfn.XLOOKUP(B6602,
[1]sales_teams!$A$2:$A$100,
[1]sales_teams!$B$2:$B$100)</f>
        <v>Summer Sewald</v>
      </c>
      <c r="D6602" t="str">
        <f>_xlfn.XLOOKUP($B6602,sales_teams!$A$2:$A$36,sales_teams!C$2:C$36)</f>
        <v>West</v>
      </c>
      <c r="E6602" t="s">
        <v>39</v>
      </c>
      <c r="F6602" t="s">
        <v>159</v>
      </c>
      <c r="G6602" t="s">
        <v>12</v>
      </c>
      <c r="H6602" s="1">
        <v>42988</v>
      </c>
      <c r="I6602" s="1">
        <v>43081</v>
      </c>
      <c r="J6602">
        <v>3021</v>
      </c>
    </row>
    <row r="6603" spans="1:10" x14ac:dyDescent="0.3">
      <c r="A6603" t="s">
        <v>6734</v>
      </c>
      <c r="B6603" t="s">
        <v>133</v>
      </c>
      <c r="C6603" t="str">
        <f>_xlfn.XLOOKUP(B6603,
[1]sales_teams!$A$2:$A$100,
[1]sales_teams!$B$2:$B$100)</f>
        <v>Dustin Brinkmann</v>
      </c>
      <c r="D6603" t="str">
        <f>_xlfn.XLOOKUP($B6603,sales_teams!$A$2:$A$36,sales_teams!C$2:C$36)</f>
        <v>Central</v>
      </c>
      <c r="E6603" t="s">
        <v>20</v>
      </c>
      <c r="F6603" t="s">
        <v>21</v>
      </c>
      <c r="G6603" t="s">
        <v>12</v>
      </c>
      <c r="H6603" s="1">
        <v>42988</v>
      </c>
      <c r="I6603" s="1">
        <v>43051</v>
      </c>
      <c r="J6603">
        <v>511</v>
      </c>
    </row>
    <row r="6604" spans="1:10" x14ac:dyDescent="0.3">
      <c r="A6604" t="s">
        <v>6735</v>
      </c>
      <c r="B6604" t="s">
        <v>51</v>
      </c>
      <c r="C6604" t="str">
        <f>_xlfn.XLOOKUP(B6604,
[1]sales_teams!$A$2:$A$100,
[1]sales_teams!$B$2:$B$100)</f>
        <v>Summer Sewald</v>
      </c>
      <c r="D6604" t="str">
        <f>_xlfn.XLOOKUP($B6604,sales_teams!$A$2:$A$36,sales_teams!C$2:C$36)</f>
        <v>West</v>
      </c>
      <c r="E6604" t="s">
        <v>48</v>
      </c>
      <c r="F6604" t="s">
        <v>313</v>
      </c>
      <c r="G6604" t="s">
        <v>12</v>
      </c>
      <c r="H6604" s="1">
        <v>42988</v>
      </c>
      <c r="I6604" s="1">
        <v>42999</v>
      </c>
      <c r="J6604">
        <v>5832</v>
      </c>
    </row>
    <row r="6605" spans="1:10" x14ac:dyDescent="0.3">
      <c r="A6605" t="s">
        <v>6736</v>
      </c>
      <c r="B6605" t="s">
        <v>57</v>
      </c>
      <c r="C6605" t="str">
        <f>_xlfn.XLOOKUP(B6605,
[1]sales_teams!$A$2:$A$100,
[1]sales_teams!$B$2:$B$100)</f>
        <v>Celia Rouche</v>
      </c>
      <c r="D6605" t="str">
        <f>_xlfn.XLOOKUP($B6605,sales_teams!$A$2:$A$36,sales_teams!C$2:C$36)</f>
        <v>West</v>
      </c>
      <c r="E6605" t="s">
        <v>18</v>
      </c>
      <c r="F6605" t="s">
        <v>192</v>
      </c>
      <c r="G6605" t="s">
        <v>40</v>
      </c>
      <c r="H6605" s="1">
        <v>42988</v>
      </c>
    </row>
    <row r="6606" spans="1:10" x14ac:dyDescent="0.3">
      <c r="A6606" t="s">
        <v>6737</v>
      </c>
      <c r="B6606" t="s">
        <v>57</v>
      </c>
      <c r="C6606" t="str">
        <f>_xlfn.XLOOKUP(B6606,
[1]sales_teams!$A$2:$A$100,
[1]sales_teams!$B$2:$B$100)</f>
        <v>Celia Rouche</v>
      </c>
      <c r="D6606" t="str">
        <f>_xlfn.XLOOKUP($B6606,sales_teams!$A$2:$A$36,sales_teams!C$2:C$36)</f>
        <v>West</v>
      </c>
      <c r="E6606" t="s">
        <v>18</v>
      </c>
      <c r="G6606" t="s">
        <v>40</v>
      </c>
      <c r="H6606" s="1">
        <v>42988</v>
      </c>
    </row>
    <row r="6607" spans="1:10" x14ac:dyDescent="0.3">
      <c r="A6607" t="s">
        <v>6738</v>
      </c>
      <c r="B6607" t="s">
        <v>61</v>
      </c>
      <c r="C6607" t="str">
        <f>_xlfn.XLOOKUP(B6607,
[1]sales_teams!$A$2:$A$100,
[1]sales_teams!$B$2:$B$100)</f>
        <v>Dustin Brinkmann</v>
      </c>
      <c r="D6607" t="str">
        <f>_xlfn.XLOOKUP($B6607,sales_teams!$A$2:$A$36,sales_teams!C$2:C$36)</f>
        <v>Central</v>
      </c>
      <c r="E6607" t="s">
        <v>48</v>
      </c>
      <c r="F6607" t="s">
        <v>318</v>
      </c>
      <c r="G6607" t="s">
        <v>46</v>
      </c>
      <c r="H6607" s="1">
        <v>42988</v>
      </c>
      <c r="I6607" s="1">
        <v>43008</v>
      </c>
      <c r="J6607">
        <v>0</v>
      </c>
    </row>
    <row r="6608" spans="1:10" x14ac:dyDescent="0.3">
      <c r="A6608" t="s">
        <v>6739</v>
      </c>
      <c r="B6608" t="s">
        <v>61</v>
      </c>
      <c r="C6608" t="str">
        <f>_xlfn.XLOOKUP(B6608,
[1]sales_teams!$A$2:$A$100,
[1]sales_teams!$B$2:$B$100)</f>
        <v>Dustin Brinkmann</v>
      </c>
      <c r="D6608" t="str">
        <f>_xlfn.XLOOKUP($B6608,sales_teams!$A$2:$A$36,sales_teams!C$2:C$36)</f>
        <v>Central</v>
      </c>
      <c r="E6608" t="s">
        <v>39</v>
      </c>
      <c r="F6608" t="s">
        <v>120</v>
      </c>
      <c r="G6608" t="s">
        <v>46</v>
      </c>
      <c r="H6608" s="1">
        <v>42988</v>
      </c>
      <c r="I6608" s="1">
        <v>43063</v>
      </c>
      <c r="J6608">
        <v>0</v>
      </c>
    </row>
    <row r="6609" spans="1:10" x14ac:dyDescent="0.3">
      <c r="A6609" t="s">
        <v>6740</v>
      </c>
      <c r="B6609" t="s">
        <v>61</v>
      </c>
      <c r="C6609" t="str">
        <f>_xlfn.XLOOKUP(B6609,
[1]sales_teams!$A$2:$A$100,
[1]sales_teams!$B$2:$B$100)</f>
        <v>Dustin Brinkmann</v>
      </c>
      <c r="D6609" t="str">
        <f>_xlfn.XLOOKUP($B6609,sales_teams!$A$2:$A$36,sales_teams!C$2:C$36)</f>
        <v>Central</v>
      </c>
      <c r="E6609" t="s">
        <v>18</v>
      </c>
      <c r="F6609" t="s">
        <v>76</v>
      </c>
      <c r="G6609" t="s">
        <v>12</v>
      </c>
      <c r="H6609" s="1">
        <v>42988</v>
      </c>
      <c r="I6609" s="1">
        <v>43066</v>
      </c>
      <c r="J6609">
        <v>50</v>
      </c>
    </row>
    <row r="6610" spans="1:10" x14ac:dyDescent="0.3">
      <c r="A6610" t="s">
        <v>6741</v>
      </c>
      <c r="B6610" t="s">
        <v>29</v>
      </c>
      <c r="C6610" t="str">
        <f>_xlfn.XLOOKUP(B6610,
[1]sales_teams!$A$2:$A$100,
[1]sales_teams!$B$2:$B$100)</f>
        <v>Celia Rouche</v>
      </c>
      <c r="D6610" t="str">
        <f>_xlfn.XLOOKUP($B6610,sales_teams!$A$2:$A$36,sales_teams!C$2:C$36)</f>
        <v>West</v>
      </c>
      <c r="E6610" t="s">
        <v>39</v>
      </c>
      <c r="F6610" t="s">
        <v>59</v>
      </c>
      <c r="G6610" t="s">
        <v>46</v>
      </c>
      <c r="H6610" s="1">
        <v>42988</v>
      </c>
      <c r="I6610" s="1">
        <v>43063</v>
      </c>
      <c r="J6610">
        <v>0</v>
      </c>
    </row>
    <row r="6611" spans="1:10" x14ac:dyDescent="0.3">
      <c r="A6611" t="s">
        <v>6742</v>
      </c>
      <c r="B6611" t="s">
        <v>29</v>
      </c>
      <c r="C6611" t="str">
        <f>_xlfn.XLOOKUP(B6611,
[1]sales_teams!$A$2:$A$100,
[1]sales_teams!$B$2:$B$100)</f>
        <v>Celia Rouche</v>
      </c>
      <c r="D6611" t="str">
        <f>_xlfn.XLOOKUP($B6611,sales_teams!$A$2:$A$36,sales_teams!C$2:C$36)</f>
        <v>West</v>
      </c>
      <c r="E6611" t="s">
        <v>18</v>
      </c>
      <c r="F6611" t="s">
        <v>124</v>
      </c>
      <c r="G6611" t="s">
        <v>12</v>
      </c>
      <c r="H6611" s="1">
        <v>42988</v>
      </c>
      <c r="I6611" s="1">
        <v>43061</v>
      </c>
      <c r="J6611">
        <v>58</v>
      </c>
    </row>
    <row r="6612" spans="1:10" x14ac:dyDescent="0.3">
      <c r="A6612" t="s">
        <v>6743</v>
      </c>
      <c r="B6612" t="s">
        <v>73</v>
      </c>
      <c r="C6612" t="str">
        <f>_xlfn.XLOOKUP(B6612,
[1]sales_teams!$A$2:$A$100,
[1]sales_teams!$B$2:$B$100)</f>
        <v>Cara Losch</v>
      </c>
      <c r="D6612" t="str">
        <f>_xlfn.XLOOKUP($B6612,sales_teams!$A$2:$A$36,sales_teams!C$2:C$36)</f>
        <v>East</v>
      </c>
      <c r="E6612" t="s">
        <v>20</v>
      </c>
      <c r="F6612" t="s">
        <v>189</v>
      </c>
      <c r="G6612" t="s">
        <v>46</v>
      </c>
      <c r="H6612" s="1">
        <v>42988</v>
      </c>
      <c r="I6612" s="1">
        <v>43063</v>
      </c>
      <c r="J6612">
        <v>0</v>
      </c>
    </row>
    <row r="6613" spans="1:10" x14ac:dyDescent="0.3">
      <c r="A6613" t="s">
        <v>6744</v>
      </c>
      <c r="B6613" t="s">
        <v>73</v>
      </c>
      <c r="C6613" t="str">
        <f>_xlfn.XLOOKUP(B6613,
[1]sales_teams!$A$2:$A$100,
[1]sales_teams!$B$2:$B$100)</f>
        <v>Cara Losch</v>
      </c>
      <c r="D6613" t="str">
        <f>_xlfn.XLOOKUP($B6613,sales_teams!$A$2:$A$36,sales_teams!C$2:C$36)</f>
        <v>East</v>
      </c>
      <c r="E6613" t="s">
        <v>18</v>
      </c>
      <c r="F6613" t="s">
        <v>106</v>
      </c>
      <c r="G6613" t="s">
        <v>12</v>
      </c>
      <c r="H6613" s="1">
        <v>42988</v>
      </c>
      <c r="I6613" s="1">
        <v>43005</v>
      </c>
      <c r="J6613">
        <v>66</v>
      </c>
    </row>
    <row r="6614" spans="1:10" x14ac:dyDescent="0.3">
      <c r="A6614" t="s">
        <v>6745</v>
      </c>
      <c r="B6614" t="s">
        <v>23</v>
      </c>
      <c r="C6614" t="str">
        <f>_xlfn.XLOOKUP(B6614,
[1]sales_teams!$A$2:$A$100,
[1]sales_teams!$B$2:$B$100)</f>
        <v>Summer Sewald</v>
      </c>
      <c r="D6614" t="str">
        <f>_xlfn.XLOOKUP($B6614,sales_teams!$A$2:$A$36,sales_teams!C$2:C$36)</f>
        <v>West</v>
      </c>
      <c r="E6614" t="s">
        <v>15</v>
      </c>
      <c r="G6614" t="s">
        <v>40</v>
      </c>
      <c r="H6614" s="1">
        <v>42988</v>
      </c>
    </row>
    <row r="6615" spans="1:10" x14ac:dyDescent="0.3">
      <c r="A6615" t="s">
        <v>6746</v>
      </c>
      <c r="B6615" t="s">
        <v>26</v>
      </c>
      <c r="C6615" t="str">
        <f>_xlfn.XLOOKUP(B6615,
[1]sales_teams!$A$2:$A$100,
[1]sales_teams!$B$2:$B$100)</f>
        <v>Dustin Brinkmann</v>
      </c>
      <c r="D6615" t="str">
        <f>_xlfn.XLOOKUP($B6615,sales_teams!$A$2:$A$36,sales_teams!C$2:C$36)</f>
        <v>Central</v>
      </c>
      <c r="E6615" t="s">
        <v>20</v>
      </c>
      <c r="F6615" t="s">
        <v>129</v>
      </c>
      <c r="G6615" t="s">
        <v>46</v>
      </c>
      <c r="H6615" s="1">
        <v>42989</v>
      </c>
      <c r="I6615" s="1">
        <v>42991</v>
      </c>
      <c r="J6615">
        <v>0</v>
      </c>
    </row>
    <row r="6616" spans="1:10" x14ac:dyDescent="0.3">
      <c r="A6616" t="s">
        <v>6747</v>
      </c>
      <c r="B6616" t="s">
        <v>26</v>
      </c>
      <c r="C6616" t="str">
        <f>_xlfn.XLOOKUP(B6616,
[1]sales_teams!$A$2:$A$100,
[1]sales_teams!$B$2:$B$100)</f>
        <v>Dustin Brinkmann</v>
      </c>
      <c r="D6616" t="str">
        <f>_xlfn.XLOOKUP($B6616,sales_teams!$A$2:$A$36,sales_teams!C$2:C$36)</f>
        <v>Central</v>
      </c>
      <c r="E6616" t="s">
        <v>48</v>
      </c>
      <c r="F6616" t="s">
        <v>170</v>
      </c>
      <c r="G6616" t="s">
        <v>46</v>
      </c>
      <c r="H6616" s="1">
        <v>42989</v>
      </c>
      <c r="I6616" s="1">
        <v>43053</v>
      </c>
      <c r="J6616">
        <v>0</v>
      </c>
    </row>
    <row r="6617" spans="1:10" x14ac:dyDescent="0.3">
      <c r="A6617" t="s">
        <v>6748</v>
      </c>
      <c r="B6617" t="s">
        <v>26</v>
      </c>
      <c r="C6617" t="str">
        <f>_xlfn.XLOOKUP(B6617,
[1]sales_teams!$A$2:$A$100,
[1]sales_teams!$B$2:$B$100)</f>
        <v>Dustin Brinkmann</v>
      </c>
      <c r="D6617" t="str">
        <f>_xlfn.XLOOKUP($B6617,sales_teams!$A$2:$A$36,sales_teams!C$2:C$36)</f>
        <v>Central</v>
      </c>
      <c r="E6617" t="s">
        <v>18</v>
      </c>
      <c r="F6617" t="s">
        <v>11</v>
      </c>
      <c r="G6617" t="s">
        <v>12</v>
      </c>
      <c r="H6617" s="1">
        <v>42989</v>
      </c>
      <c r="I6617" s="1">
        <v>43056</v>
      </c>
      <c r="J6617">
        <v>44</v>
      </c>
    </row>
    <row r="6618" spans="1:10" x14ac:dyDescent="0.3">
      <c r="A6618" t="s">
        <v>6749</v>
      </c>
      <c r="B6618" t="s">
        <v>139</v>
      </c>
      <c r="C6618" t="str">
        <f>_xlfn.XLOOKUP(B6618,
[1]sales_teams!$A$2:$A$100,
[1]sales_teams!$B$2:$B$100)</f>
        <v>Rocco Neubert</v>
      </c>
      <c r="D6618" t="str">
        <f>_xlfn.XLOOKUP($B6618,sales_teams!$A$2:$A$36,sales_teams!C$2:C$36)</f>
        <v>East</v>
      </c>
      <c r="E6618" t="s">
        <v>10</v>
      </c>
      <c r="F6618" t="s">
        <v>199</v>
      </c>
      <c r="G6618" t="s">
        <v>12</v>
      </c>
      <c r="H6618" s="1">
        <v>42989</v>
      </c>
      <c r="I6618" s="1">
        <v>43099</v>
      </c>
      <c r="J6618">
        <v>1140</v>
      </c>
    </row>
    <row r="6619" spans="1:10" x14ac:dyDescent="0.3">
      <c r="A6619" t="s">
        <v>6750</v>
      </c>
      <c r="B6619" t="s">
        <v>118</v>
      </c>
      <c r="C6619" t="str">
        <f>_xlfn.XLOOKUP(B6619,
[1]sales_teams!$A$2:$A$100,
[1]sales_teams!$B$2:$B$100)</f>
        <v>Rocco Neubert</v>
      </c>
      <c r="D6619" t="str">
        <f>_xlfn.XLOOKUP($B6619,sales_teams!$A$2:$A$36,sales_teams!C$2:C$36)</f>
        <v>East</v>
      </c>
      <c r="E6619" t="s">
        <v>48</v>
      </c>
      <c r="F6619" t="s">
        <v>373</v>
      </c>
      <c r="G6619" t="s">
        <v>12</v>
      </c>
      <c r="H6619" s="1">
        <v>42989</v>
      </c>
      <c r="I6619" s="1">
        <v>42999</v>
      </c>
      <c r="J6619">
        <v>5245</v>
      </c>
    </row>
    <row r="6620" spans="1:10" x14ac:dyDescent="0.3">
      <c r="A6620" t="s">
        <v>6751</v>
      </c>
      <c r="B6620" t="s">
        <v>202</v>
      </c>
      <c r="C6620" t="str">
        <f>_xlfn.XLOOKUP(B6620,
[1]sales_teams!$A$2:$A$100,
[1]sales_teams!$B$2:$B$100)</f>
        <v>Dustin Brinkmann</v>
      </c>
      <c r="D6620" t="str">
        <f>_xlfn.XLOOKUP($B6620,sales_teams!$A$2:$A$36,sales_teams!C$2:C$36)</f>
        <v>Central</v>
      </c>
      <c r="E6620" t="s">
        <v>48</v>
      </c>
      <c r="F6620" t="s">
        <v>109</v>
      </c>
      <c r="G6620" t="s">
        <v>12</v>
      </c>
      <c r="H6620" s="1">
        <v>42989</v>
      </c>
      <c r="I6620" s="1">
        <v>43073</v>
      </c>
      <c r="J6620">
        <v>5520</v>
      </c>
    </row>
    <row r="6621" spans="1:10" x14ac:dyDescent="0.3">
      <c r="A6621" t="s">
        <v>6752</v>
      </c>
      <c r="B6621" t="s">
        <v>164</v>
      </c>
      <c r="C6621" t="str">
        <f>_xlfn.XLOOKUP(B6621,
[1]sales_teams!$A$2:$A$100,
[1]sales_teams!$B$2:$B$100)</f>
        <v>Cara Losch</v>
      </c>
      <c r="D6621" t="str">
        <f>_xlfn.XLOOKUP($B6621,sales_teams!$A$2:$A$36,sales_teams!C$2:C$36)</f>
        <v>East</v>
      </c>
      <c r="E6621" t="s">
        <v>20</v>
      </c>
      <c r="G6621" t="s">
        <v>40</v>
      </c>
      <c r="H6621" s="1">
        <v>42989</v>
      </c>
    </row>
    <row r="6622" spans="1:10" x14ac:dyDescent="0.3">
      <c r="A6622" t="s">
        <v>6753</v>
      </c>
      <c r="B6622" t="s">
        <v>164</v>
      </c>
      <c r="C6622" t="str">
        <f>_xlfn.XLOOKUP(B6622,
[1]sales_teams!$A$2:$A$100,
[1]sales_teams!$B$2:$B$100)</f>
        <v>Cara Losch</v>
      </c>
      <c r="D6622" t="str">
        <f>_xlfn.XLOOKUP($B6622,sales_teams!$A$2:$A$36,sales_teams!C$2:C$36)</f>
        <v>East</v>
      </c>
      <c r="E6622" t="s">
        <v>15</v>
      </c>
      <c r="G6622" t="s">
        <v>40</v>
      </c>
      <c r="H6622" s="1">
        <v>42989</v>
      </c>
    </row>
    <row r="6623" spans="1:10" x14ac:dyDescent="0.3">
      <c r="A6623" t="s">
        <v>6754</v>
      </c>
      <c r="B6623" t="s">
        <v>14</v>
      </c>
      <c r="C6623" t="str">
        <f>_xlfn.XLOOKUP(B6623,
[1]sales_teams!$A$2:$A$100,
[1]sales_teams!$B$2:$B$100)</f>
        <v>Melvin Marxen</v>
      </c>
      <c r="D6623" t="str">
        <f>_xlfn.XLOOKUP($B6623,sales_teams!$A$2:$A$36,sales_teams!C$2:C$36)</f>
        <v>Central</v>
      </c>
      <c r="E6623" t="s">
        <v>48</v>
      </c>
      <c r="F6623" t="s">
        <v>318</v>
      </c>
      <c r="G6623" t="s">
        <v>46</v>
      </c>
      <c r="H6623" s="1">
        <v>42989</v>
      </c>
      <c r="I6623" s="1">
        <v>43058</v>
      </c>
      <c r="J6623">
        <v>0</v>
      </c>
    </row>
    <row r="6624" spans="1:10" x14ac:dyDescent="0.3">
      <c r="A6624" t="s">
        <v>6755</v>
      </c>
      <c r="B6624" t="s">
        <v>14</v>
      </c>
      <c r="C6624" t="str">
        <f>_xlfn.XLOOKUP(B6624,
[1]sales_teams!$A$2:$A$100,
[1]sales_teams!$B$2:$B$100)</f>
        <v>Melvin Marxen</v>
      </c>
      <c r="D6624" t="str">
        <f>_xlfn.XLOOKUP($B6624,sales_teams!$A$2:$A$36,sales_teams!C$2:C$36)</f>
        <v>Central</v>
      </c>
      <c r="E6624" t="s">
        <v>15</v>
      </c>
      <c r="F6624" t="s">
        <v>27</v>
      </c>
      <c r="G6624" t="s">
        <v>46</v>
      </c>
      <c r="H6624" s="1">
        <v>42989</v>
      </c>
      <c r="I6624" s="1">
        <v>43053</v>
      </c>
      <c r="J6624">
        <v>0</v>
      </c>
    </row>
    <row r="6625" spans="1:10" x14ac:dyDescent="0.3">
      <c r="A6625" t="s">
        <v>6756</v>
      </c>
      <c r="B6625" t="s">
        <v>105</v>
      </c>
      <c r="C6625" t="str">
        <f>_xlfn.XLOOKUP(B6625,
[1]sales_teams!$A$2:$A$100,
[1]sales_teams!$B$2:$B$100)</f>
        <v>Cara Losch</v>
      </c>
      <c r="D6625" t="str">
        <f>_xlfn.XLOOKUP($B6625,sales_teams!$A$2:$A$36,sales_teams!C$2:C$36)</f>
        <v>East</v>
      </c>
      <c r="E6625" t="s">
        <v>18</v>
      </c>
      <c r="F6625" t="s">
        <v>278</v>
      </c>
      <c r="G6625" t="s">
        <v>46</v>
      </c>
      <c r="H6625" s="1">
        <v>42989</v>
      </c>
      <c r="I6625" s="1">
        <v>43092</v>
      </c>
      <c r="J6625">
        <v>0</v>
      </c>
    </row>
    <row r="6626" spans="1:10" x14ac:dyDescent="0.3">
      <c r="A6626" t="s">
        <v>6757</v>
      </c>
      <c r="B6626" t="s">
        <v>44</v>
      </c>
      <c r="C6626" t="str">
        <f>_xlfn.XLOOKUP(B6626,
[1]sales_teams!$A$2:$A$100,
[1]sales_teams!$B$2:$B$100)</f>
        <v>Melvin Marxen</v>
      </c>
      <c r="D6626" t="str">
        <f>_xlfn.XLOOKUP($B6626,sales_teams!$A$2:$A$36,sales_teams!C$2:C$36)</f>
        <v>Central</v>
      </c>
      <c r="E6626" t="s">
        <v>18</v>
      </c>
      <c r="F6626" t="s">
        <v>492</v>
      </c>
      <c r="G6626" t="s">
        <v>12</v>
      </c>
      <c r="H6626" s="1">
        <v>42989</v>
      </c>
      <c r="I6626" s="1">
        <v>42998</v>
      </c>
      <c r="J6626">
        <v>53</v>
      </c>
    </row>
    <row r="6627" spans="1:10" x14ac:dyDescent="0.3">
      <c r="A6627" t="s">
        <v>6758</v>
      </c>
      <c r="B6627" t="s">
        <v>38</v>
      </c>
      <c r="C6627" t="str">
        <f>_xlfn.XLOOKUP(B6627,
[1]sales_teams!$A$2:$A$100,
[1]sales_teams!$B$2:$B$100)</f>
        <v>Summer Sewald</v>
      </c>
      <c r="D6627" t="str">
        <f>_xlfn.XLOOKUP($B6627,sales_teams!$A$2:$A$36,sales_teams!C$2:C$36)</f>
        <v>West</v>
      </c>
      <c r="E6627" t="s">
        <v>48</v>
      </c>
      <c r="G6627" t="s">
        <v>40</v>
      </c>
      <c r="H6627" s="1">
        <v>42989</v>
      </c>
    </row>
    <row r="6628" spans="1:10" x14ac:dyDescent="0.3">
      <c r="A6628" t="s">
        <v>6759</v>
      </c>
      <c r="B6628" t="s">
        <v>78</v>
      </c>
      <c r="C6628" t="str">
        <f>_xlfn.XLOOKUP(B6628,
[1]sales_teams!$A$2:$A$100,
[1]sales_teams!$B$2:$B$100)</f>
        <v>Summer Sewald</v>
      </c>
      <c r="D6628" t="str">
        <f>_xlfn.XLOOKUP($B6628,sales_teams!$A$2:$A$36,sales_teams!C$2:C$36)</f>
        <v>West</v>
      </c>
      <c r="E6628" t="s">
        <v>48</v>
      </c>
      <c r="F6628" t="s">
        <v>168</v>
      </c>
      <c r="G6628" t="s">
        <v>12</v>
      </c>
      <c r="H6628" s="1">
        <v>42989</v>
      </c>
      <c r="I6628" s="1">
        <v>43079</v>
      </c>
      <c r="J6628">
        <v>4872</v>
      </c>
    </row>
    <row r="6629" spans="1:10" x14ac:dyDescent="0.3">
      <c r="A6629" t="s">
        <v>6760</v>
      </c>
      <c r="B6629" t="s">
        <v>95</v>
      </c>
      <c r="C6629" t="str">
        <f>_xlfn.XLOOKUP(B6629,
[1]sales_teams!$A$2:$A$100,
[1]sales_teams!$B$2:$B$100)</f>
        <v>Summer Sewald</v>
      </c>
      <c r="D6629" t="str">
        <f>_xlfn.XLOOKUP($B6629,sales_teams!$A$2:$A$36,sales_teams!C$2:C$36)</f>
        <v>West</v>
      </c>
      <c r="E6629" t="s">
        <v>20</v>
      </c>
      <c r="F6629" t="s">
        <v>224</v>
      </c>
      <c r="G6629" t="s">
        <v>46</v>
      </c>
      <c r="H6629" s="1">
        <v>42989</v>
      </c>
      <c r="I6629" s="1">
        <v>43063</v>
      </c>
      <c r="J6629">
        <v>0</v>
      </c>
    </row>
    <row r="6630" spans="1:10" x14ac:dyDescent="0.3">
      <c r="A6630" t="s">
        <v>6761</v>
      </c>
      <c r="B6630" t="s">
        <v>32</v>
      </c>
      <c r="C6630" t="str">
        <f>_xlfn.XLOOKUP(B6630,
[1]sales_teams!$A$2:$A$100,
[1]sales_teams!$B$2:$B$100)</f>
        <v>Celia Rouche</v>
      </c>
      <c r="D6630" t="str">
        <f>_xlfn.XLOOKUP($B6630,sales_teams!$A$2:$A$36,sales_teams!C$2:C$36)</f>
        <v>West</v>
      </c>
      <c r="E6630" t="s">
        <v>39</v>
      </c>
      <c r="F6630" t="s">
        <v>24</v>
      </c>
      <c r="G6630" t="s">
        <v>12</v>
      </c>
      <c r="H6630" s="1">
        <v>42989</v>
      </c>
      <c r="I6630" s="1">
        <v>42999</v>
      </c>
      <c r="J6630">
        <v>3138</v>
      </c>
    </row>
    <row r="6631" spans="1:10" x14ac:dyDescent="0.3">
      <c r="A6631" t="s">
        <v>6762</v>
      </c>
      <c r="B6631" t="s">
        <v>51</v>
      </c>
      <c r="C6631" t="str">
        <f>_xlfn.XLOOKUP(B6631,
[1]sales_teams!$A$2:$A$100,
[1]sales_teams!$B$2:$B$100)</f>
        <v>Summer Sewald</v>
      </c>
      <c r="D6631" t="str">
        <f>_xlfn.XLOOKUP($B6631,sales_teams!$A$2:$A$36,sales_teams!C$2:C$36)</f>
        <v>West</v>
      </c>
      <c r="E6631" t="s">
        <v>20</v>
      </c>
      <c r="F6631" t="s">
        <v>55</v>
      </c>
      <c r="G6631" t="s">
        <v>46</v>
      </c>
      <c r="H6631" s="1">
        <v>42989</v>
      </c>
      <c r="I6631" s="1">
        <v>43006</v>
      </c>
      <c r="J6631">
        <v>0</v>
      </c>
    </row>
    <row r="6632" spans="1:10" x14ac:dyDescent="0.3">
      <c r="A6632" t="s">
        <v>6763</v>
      </c>
      <c r="B6632" t="s">
        <v>9</v>
      </c>
      <c r="C6632" t="str">
        <f>_xlfn.XLOOKUP(B6632,
[1]sales_teams!$A$2:$A$100,
[1]sales_teams!$B$2:$B$100)</f>
        <v>Dustin Brinkmann</v>
      </c>
      <c r="D6632" t="str">
        <f>_xlfn.XLOOKUP($B6632,sales_teams!$A$2:$A$36,sales_teams!C$2:C$36)</f>
        <v>Central</v>
      </c>
      <c r="E6632" t="s">
        <v>20</v>
      </c>
      <c r="F6632" t="s">
        <v>42</v>
      </c>
      <c r="G6632" t="s">
        <v>12</v>
      </c>
      <c r="H6632" s="1">
        <v>42989</v>
      </c>
      <c r="I6632" s="1">
        <v>43072</v>
      </c>
      <c r="J6632">
        <v>513</v>
      </c>
    </row>
    <row r="6633" spans="1:10" x14ac:dyDescent="0.3">
      <c r="A6633" t="s">
        <v>6764</v>
      </c>
      <c r="B6633" t="s">
        <v>97</v>
      </c>
      <c r="C6633" t="str">
        <f>_xlfn.XLOOKUP(B6633,
[1]sales_teams!$A$2:$A$100,
[1]sales_teams!$B$2:$B$100)</f>
        <v>Rocco Neubert</v>
      </c>
      <c r="D6633" t="str">
        <f>_xlfn.XLOOKUP($B6633,sales_teams!$A$2:$A$36,sales_teams!C$2:C$36)</f>
        <v>East</v>
      </c>
      <c r="E6633" t="s">
        <v>10</v>
      </c>
      <c r="F6633" t="s">
        <v>518</v>
      </c>
      <c r="G6633" t="s">
        <v>46</v>
      </c>
      <c r="H6633" s="1">
        <v>42989</v>
      </c>
      <c r="I6633" s="1">
        <v>43097</v>
      </c>
      <c r="J6633">
        <v>0</v>
      </c>
    </row>
    <row r="6634" spans="1:10" x14ac:dyDescent="0.3">
      <c r="A6634" t="s">
        <v>6765</v>
      </c>
      <c r="B6634" t="s">
        <v>57</v>
      </c>
      <c r="C6634" t="str">
        <f>_xlfn.XLOOKUP(B6634,
[1]sales_teams!$A$2:$A$100,
[1]sales_teams!$B$2:$B$100)</f>
        <v>Celia Rouche</v>
      </c>
      <c r="D6634" t="str">
        <f>_xlfn.XLOOKUP($B6634,sales_teams!$A$2:$A$36,sales_teams!C$2:C$36)</f>
        <v>West</v>
      </c>
      <c r="E6634" t="s">
        <v>18</v>
      </c>
      <c r="G6634" t="s">
        <v>40</v>
      </c>
      <c r="H6634" s="1">
        <v>42989</v>
      </c>
    </row>
    <row r="6635" spans="1:10" x14ac:dyDescent="0.3">
      <c r="A6635" t="s">
        <v>6766</v>
      </c>
      <c r="B6635" t="s">
        <v>88</v>
      </c>
      <c r="C6635" t="str">
        <f>_xlfn.XLOOKUP(B6635,
[1]sales_teams!$A$2:$A$100,
[1]sales_teams!$B$2:$B$100)</f>
        <v>Cara Losch</v>
      </c>
      <c r="D6635" t="str">
        <f>_xlfn.XLOOKUP($B6635,sales_teams!$A$2:$A$36,sales_teams!C$2:C$36)</f>
        <v>East</v>
      </c>
      <c r="E6635" t="s">
        <v>15</v>
      </c>
      <c r="F6635" t="s">
        <v>52</v>
      </c>
      <c r="G6635" t="s">
        <v>40</v>
      </c>
      <c r="H6635" s="1">
        <v>42989</v>
      </c>
    </row>
    <row r="6636" spans="1:10" x14ac:dyDescent="0.3">
      <c r="A6636" t="s">
        <v>6767</v>
      </c>
      <c r="B6636" t="s">
        <v>73</v>
      </c>
      <c r="C6636" t="str">
        <f>_xlfn.XLOOKUP(B6636,
[1]sales_teams!$A$2:$A$100,
[1]sales_teams!$B$2:$B$100)</f>
        <v>Cara Losch</v>
      </c>
      <c r="D6636" t="str">
        <f>_xlfn.XLOOKUP($B6636,sales_teams!$A$2:$A$36,sales_teams!C$2:C$36)</f>
        <v>East</v>
      </c>
      <c r="E6636" t="s">
        <v>20</v>
      </c>
      <c r="F6636" t="s">
        <v>155</v>
      </c>
      <c r="G6636" t="s">
        <v>12</v>
      </c>
      <c r="H6636" s="1">
        <v>42989</v>
      </c>
      <c r="I6636" s="1">
        <v>43087</v>
      </c>
      <c r="J6636">
        <v>644</v>
      </c>
    </row>
    <row r="6637" spans="1:10" x14ac:dyDescent="0.3">
      <c r="A6637" t="s">
        <v>6768</v>
      </c>
      <c r="B6637" t="s">
        <v>23</v>
      </c>
      <c r="C6637" t="str">
        <f>_xlfn.XLOOKUP(B6637,
[1]sales_teams!$A$2:$A$100,
[1]sales_teams!$B$2:$B$100)</f>
        <v>Summer Sewald</v>
      </c>
      <c r="D6637" t="str">
        <f>_xlfn.XLOOKUP($B6637,sales_teams!$A$2:$A$36,sales_teams!C$2:C$36)</f>
        <v>West</v>
      </c>
      <c r="E6637" t="s">
        <v>10</v>
      </c>
      <c r="F6637" t="s">
        <v>30</v>
      </c>
      <c r="G6637" t="s">
        <v>40</v>
      </c>
      <c r="H6637" s="1">
        <v>42989</v>
      </c>
    </row>
    <row r="6638" spans="1:10" x14ac:dyDescent="0.3">
      <c r="A6638" t="s">
        <v>6769</v>
      </c>
      <c r="B6638" t="s">
        <v>23</v>
      </c>
      <c r="C6638" t="str">
        <f>_xlfn.XLOOKUP(B6638,
[1]sales_teams!$A$2:$A$100,
[1]sales_teams!$B$2:$B$100)</f>
        <v>Summer Sewald</v>
      </c>
      <c r="D6638" t="str">
        <f>_xlfn.XLOOKUP($B6638,sales_teams!$A$2:$A$36,sales_teams!C$2:C$36)</f>
        <v>West</v>
      </c>
      <c r="E6638" t="s">
        <v>15</v>
      </c>
      <c r="F6638" t="s">
        <v>184</v>
      </c>
      <c r="G6638" t="s">
        <v>46</v>
      </c>
      <c r="H6638" s="1">
        <v>42989</v>
      </c>
      <c r="I6638" s="1">
        <v>43053</v>
      </c>
      <c r="J6638">
        <v>0</v>
      </c>
    </row>
    <row r="6639" spans="1:10" x14ac:dyDescent="0.3">
      <c r="A6639" t="s">
        <v>6770</v>
      </c>
      <c r="B6639" t="s">
        <v>23</v>
      </c>
      <c r="C6639" t="str">
        <f>_xlfn.XLOOKUP(B6639,
[1]sales_teams!$A$2:$A$100,
[1]sales_teams!$B$2:$B$100)</f>
        <v>Summer Sewald</v>
      </c>
      <c r="D6639" t="str">
        <f>_xlfn.XLOOKUP($B6639,sales_teams!$A$2:$A$36,sales_teams!C$2:C$36)</f>
        <v>West</v>
      </c>
      <c r="E6639" t="s">
        <v>20</v>
      </c>
      <c r="F6639" t="s">
        <v>555</v>
      </c>
      <c r="G6639" t="s">
        <v>12</v>
      </c>
      <c r="H6639" s="1">
        <v>42989</v>
      </c>
      <c r="I6639" s="1">
        <v>42997</v>
      </c>
      <c r="J6639">
        <v>560</v>
      </c>
    </row>
    <row r="6640" spans="1:10" x14ac:dyDescent="0.3">
      <c r="A6640" t="s">
        <v>6771</v>
      </c>
      <c r="B6640" t="s">
        <v>26</v>
      </c>
      <c r="C6640" t="str">
        <f>_xlfn.XLOOKUP(B6640,
[1]sales_teams!$A$2:$A$100,
[1]sales_teams!$B$2:$B$100)</f>
        <v>Dustin Brinkmann</v>
      </c>
      <c r="D6640" t="str">
        <f>_xlfn.XLOOKUP($B6640,sales_teams!$A$2:$A$36,sales_teams!C$2:C$36)</f>
        <v>Central</v>
      </c>
      <c r="E6640" t="s">
        <v>48</v>
      </c>
      <c r="F6640" t="s">
        <v>62</v>
      </c>
      <c r="G6640" t="s">
        <v>46</v>
      </c>
      <c r="H6640" s="1">
        <v>42990</v>
      </c>
      <c r="I6640" s="1">
        <v>43075</v>
      </c>
      <c r="J6640">
        <v>0</v>
      </c>
    </row>
    <row r="6641" spans="1:10" x14ac:dyDescent="0.3">
      <c r="A6641" t="s">
        <v>6772</v>
      </c>
      <c r="B6641" t="s">
        <v>26</v>
      </c>
      <c r="C6641" t="str">
        <f>_xlfn.XLOOKUP(B6641,
[1]sales_teams!$A$2:$A$100,
[1]sales_teams!$B$2:$B$100)</f>
        <v>Dustin Brinkmann</v>
      </c>
      <c r="D6641" t="str">
        <f>_xlfn.XLOOKUP($B6641,sales_teams!$A$2:$A$36,sales_teams!C$2:C$36)</f>
        <v>Central</v>
      </c>
      <c r="E6641" t="s">
        <v>39</v>
      </c>
      <c r="F6641" t="s">
        <v>187</v>
      </c>
      <c r="G6641" t="s">
        <v>46</v>
      </c>
      <c r="H6641" s="1">
        <v>42990</v>
      </c>
      <c r="I6641" s="1">
        <v>43066</v>
      </c>
      <c r="J6641">
        <v>0</v>
      </c>
    </row>
    <row r="6642" spans="1:10" x14ac:dyDescent="0.3">
      <c r="A6642" t="s">
        <v>6773</v>
      </c>
      <c r="B6642" t="s">
        <v>26</v>
      </c>
      <c r="C6642" t="str">
        <f>_xlfn.XLOOKUP(B6642,
[1]sales_teams!$A$2:$A$100,
[1]sales_teams!$B$2:$B$100)</f>
        <v>Dustin Brinkmann</v>
      </c>
      <c r="D6642" t="str">
        <f>_xlfn.XLOOKUP($B6642,sales_teams!$A$2:$A$36,sales_teams!C$2:C$36)</f>
        <v>Central</v>
      </c>
      <c r="E6642" t="s">
        <v>10</v>
      </c>
      <c r="F6642" t="s">
        <v>91</v>
      </c>
      <c r="G6642" t="s">
        <v>12</v>
      </c>
      <c r="H6642" s="1">
        <v>42990</v>
      </c>
      <c r="I6642" s="1">
        <v>43095</v>
      </c>
      <c r="J6642">
        <v>866</v>
      </c>
    </row>
    <row r="6643" spans="1:10" x14ac:dyDescent="0.3">
      <c r="A6643" t="s">
        <v>6774</v>
      </c>
      <c r="B6643" t="s">
        <v>139</v>
      </c>
      <c r="C6643" t="str">
        <f>_xlfn.XLOOKUP(B6643,
[1]sales_teams!$A$2:$A$100,
[1]sales_teams!$B$2:$B$100)</f>
        <v>Rocco Neubert</v>
      </c>
      <c r="D6643" t="str">
        <f>_xlfn.XLOOKUP($B6643,sales_teams!$A$2:$A$36,sales_teams!C$2:C$36)</f>
        <v>East</v>
      </c>
      <c r="E6643" t="s">
        <v>10</v>
      </c>
      <c r="F6643" t="s">
        <v>215</v>
      </c>
      <c r="G6643" t="s">
        <v>46</v>
      </c>
      <c r="H6643" s="1">
        <v>42990</v>
      </c>
      <c r="I6643" s="1">
        <v>42997</v>
      </c>
      <c r="J6643">
        <v>0</v>
      </c>
    </row>
    <row r="6644" spans="1:10" x14ac:dyDescent="0.3">
      <c r="A6644" t="s">
        <v>6775</v>
      </c>
      <c r="B6644" t="s">
        <v>118</v>
      </c>
      <c r="C6644" t="str">
        <f>_xlfn.XLOOKUP(B6644,
[1]sales_teams!$A$2:$A$100,
[1]sales_teams!$B$2:$B$100)</f>
        <v>Rocco Neubert</v>
      </c>
      <c r="D6644" t="str">
        <f>_xlfn.XLOOKUP($B6644,sales_teams!$A$2:$A$36,sales_teams!C$2:C$36)</f>
        <v>East</v>
      </c>
      <c r="E6644" t="s">
        <v>20</v>
      </c>
      <c r="G6644" t="s">
        <v>40</v>
      </c>
      <c r="H6644" s="1">
        <v>42990</v>
      </c>
    </row>
    <row r="6645" spans="1:10" x14ac:dyDescent="0.3">
      <c r="A6645" t="s">
        <v>6776</v>
      </c>
      <c r="B6645" t="s">
        <v>164</v>
      </c>
      <c r="C6645" t="str">
        <f>_xlfn.XLOOKUP(B6645,
[1]sales_teams!$A$2:$A$100,
[1]sales_teams!$B$2:$B$100)</f>
        <v>Cara Losch</v>
      </c>
      <c r="D6645" t="str">
        <f>_xlfn.XLOOKUP($B6645,sales_teams!$A$2:$A$36,sales_teams!C$2:C$36)</f>
        <v>East</v>
      </c>
      <c r="E6645" t="s">
        <v>18</v>
      </c>
      <c r="F6645" t="s">
        <v>155</v>
      </c>
      <c r="G6645" t="s">
        <v>46</v>
      </c>
      <c r="H6645" s="1">
        <v>42990</v>
      </c>
      <c r="I6645" s="1">
        <v>43070</v>
      </c>
      <c r="J6645">
        <v>0</v>
      </c>
    </row>
    <row r="6646" spans="1:10" x14ac:dyDescent="0.3">
      <c r="A6646" t="s">
        <v>6777</v>
      </c>
      <c r="B6646" t="s">
        <v>14</v>
      </c>
      <c r="C6646" t="str">
        <f>_xlfn.XLOOKUP(B6646,
[1]sales_teams!$A$2:$A$100,
[1]sales_teams!$B$2:$B$100)</f>
        <v>Melvin Marxen</v>
      </c>
      <c r="D6646" t="str">
        <f>_xlfn.XLOOKUP($B6646,sales_teams!$A$2:$A$36,sales_teams!C$2:C$36)</f>
        <v>Central</v>
      </c>
      <c r="E6646" t="s">
        <v>15</v>
      </c>
      <c r="F6646" t="s">
        <v>318</v>
      </c>
      <c r="G6646" t="s">
        <v>46</v>
      </c>
      <c r="H6646" s="1">
        <v>42990</v>
      </c>
      <c r="I6646" s="1">
        <v>43054</v>
      </c>
      <c r="J6646">
        <v>0</v>
      </c>
    </row>
    <row r="6647" spans="1:10" x14ac:dyDescent="0.3">
      <c r="A6647" t="s">
        <v>6778</v>
      </c>
      <c r="B6647" t="s">
        <v>14</v>
      </c>
      <c r="C6647" t="str">
        <f>_xlfn.XLOOKUP(B6647,
[1]sales_teams!$A$2:$A$100,
[1]sales_teams!$B$2:$B$100)</f>
        <v>Melvin Marxen</v>
      </c>
      <c r="D6647" t="str">
        <f>_xlfn.XLOOKUP($B6647,sales_teams!$A$2:$A$36,sales_teams!C$2:C$36)</f>
        <v>Central</v>
      </c>
      <c r="E6647" t="s">
        <v>20</v>
      </c>
      <c r="F6647" t="s">
        <v>129</v>
      </c>
      <c r="G6647" t="s">
        <v>12</v>
      </c>
      <c r="H6647" s="1">
        <v>42990</v>
      </c>
      <c r="I6647" s="1">
        <v>43085</v>
      </c>
      <c r="J6647">
        <v>626</v>
      </c>
    </row>
    <row r="6648" spans="1:10" x14ac:dyDescent="0.3">
      <c r="A6648" t="s">
        <v>6779</v>
      </c>
      <c r="B6648" t="s">
        <v>14</v>
      </c>
      <c r="C6648" t="str">
        <f>_xlfn.XLOOKUP(B6648,
[1]sales_teams!$A$2:$A$100,
[1]sales_teams!$B$2:$B$100)</f>
        <v>Melvin Marxen</v>
      </c>
      <c r="D6648" t="str">
        <f>_xlfn.XLOOKUP($B6648,sales_teams!$A$2:$A$36,sales_teams!C$2:C$36)</f>
        <v>Central</v>
      </c>
      <c r="E6648" t="s">
        <v>15</v>
      </c>
      <c r="F6648" t="s">
        <v>170</v>
      </c>
      <c r="G6648" t="s">
        <v>12</v>
      </c>
      <c r="H6648" s="1">
        <v>42990</v>
      </c>
      <c r="I6648" s="1">
        <v>43072</v>
      </c>
      <c r="J6648">
        <v>4079</v>
      </c>
    </row>
    <row r="6649" spans="1:10" x14ac:dyDescent="0.3">
      <c r="A6649" t="s">
        <v>6780</v>
      </c>
      <c r="B6649" t="s">
        <v>105</v>
      </c>
      <c r="C6649" t="str">
        <f>_xlfn.XLOOKUP(B6649,
[1]sales_teams!$A$2:$A$100,
[1]sales_teams!$B$2:$B$100)</f>
        <v>Cara Losch</v>
      </c>
      <c r="D6649" t="str">
        <f>_xlfn.XLOOKUP($B6649,sales_teams!$A$2:$A$36,sales_teams!C$2:C$36)</f>
        <v>East</v>
      </c>
      <c r="E6649" t="s">
        <v>39</v>
      </c>
      <c r="F6649" t="s">
        <v>199</v>
      </c>
      <c r="G6649" t="s">
        <v>12</v>
      </c>
      <c r="H6649" s="1">
        <v>42990</v>
      </c>
      <c r="I6649" s="1">
        <v>43074</v>
      </c>
      <c r="J6649">
        <v>3497</v>
      </c>
    </row>
    <row r="6650" spans="1:10" x14ac:dyDescent="0.3">
      <c r="A6650" t="s">
        <v>6781</v>
      </c>
      <c r="B6650" t="s">
        <v>105</v>
      </c>
      <c r="C6650" t="str">
        <f>_xlfn.XLOOKUP(B6650,
[1]sales_teams!$A$2:$A$100,
[1]sales_teams!$B$2:$B$100)</f>
        <v>Cara Losch</v>
      </c>
      <c r="D6650" t="str">
        <f>_xlfn.XLOOKUP($B6650,sales_teams!$A$2:$A$36,sales_teams!C$2:C$36)</f>
        <v>East</v>
      </c>
      <c r="E6650" t="s">
        <v>39</v>
      </c>
      <c r="F6650" t="s">
        <v>140</v>
      </c>
      <c r="G6650" t="s">
        <v>12</v>
      </c>
      <c r="H6650" s="1">
        <v>42990</v>
      </c>
      <c r="I6650" s="1">
        <v>43055</v>
      </c>
      <c r="J6650">
        <v>3072</v>
      </c>
    </row>
    <row r="6651" spans="1:10" x14ac:dyDescent="0.3">
      <c r="A6651" t="s">
        <v>6782</v>
      </c>
      <c r="B6651" t="s">
        <v>44</v>
      </c>
      <c r="C6651" t="str">
        <f>_xlfn.XLOOKUP(B6651,
[1]sales_teams!$A$2:$A$100,
[1]sales_teams!$B$2:$B$100)</f>
        <v>Melvin Marxen</v>
      </c>
      <c r="D6651" t="str">
        <f>_xlfn.XLOOKUP($B6651,sales_teams!$A$2:$A$36,sales_teams!C$2:C$36)</f>
        <v>Central</v>
      </c>
      <c r="E6651" t="s">
        <v>39</v>
      </c>
      <c r="F6651" t="s">
        <v>45</v>
      </c>
      <c r="G6651" t="s">
        <v>46</v>
      </c>
      <c r="H6651" s="1">
        <v>42990</v>
      </c>
      <c r="I6651" s="1">
        <v>43084</v>
      </c>
      <c r="J6651">
        <v>0</v>
      </c>
    </row>
    <row r="6652" spans="1:10" x14ac:dyDescent="0.3">
      <c r="A6652" t="s">
        <v>6783</v>
      </c>
      <c r="B6652" t="s">
        <v>54</v>
      </c>
      <c r="C6652" t="str">
        <f>_xlfn.XLOOKUP(B6652,
[1]sales_teams!$A$2:$A$100,
[1]sales_teams!$B$2:$B$100)</f>
        <v>Celia Rouche</v>
      </c>
      <c r="D6652" t="str">
        <f>_xlfn.XLOOKUP($B6652,sales_teams!$A$2:$A$36,sales_teams!C$2:C$36)</f>
        <v>West</v>
      </c>
      <c r="E6652" t="s">
        <v>39</v>
      </c>
      <c r="F6652" t="s">
        <v>86</v>
      </c>
      <c r="G6652" t="s">
        <v>12</v>
      </c>
      <c r="H6652" s="1">
        <v>42990</v>
      </c>
      <c r="I6652" s="1">
        <v>43065</v>
      </c>
      <c r="J6652">
        <v>3473</v>
      </c>
    </row>
    <row r="6653" spans="1:10" x14ac:dyDescent="0.3">
      <c r="A6653" t="s">
        <v>6784</v>
      </c>
      <c r="B6653" t="s">
        <v>252</v>
      </c>
      <c r="C6653" t="str">
        <f>_xlfn.XLOOKUP(B6653,
[1]sales_teams!$A$2:$A$100,
[1]sales_teams!$B$2:$B$100)</f>
        <v>Melvin Marxen</v>
      </c>
      <c r="D6653" t="str">
        <f>_xlfn.XLOOKUP($B6653,sales_teams!$A$2:$A$36,sales_teams!C$2:C$36)</f>
        <v>Central</v>
      </c>
      <c r="E6653" t="s">
        <v>20</v>
      </c>
      <c r="F6653" t="s">
        <v>120</v>
      </c>
      <c r="G6653" t="s">
        <v>12</v>
      </c>
      <c r="H6653" s="1">
        <v>42990</v>
      </c>
      <c r="I6653" s="1">
        <v>42997</v>
      </c>
      <c r="J6653">
        <v>530</v>
      </c>
    </row>
    <row r="6654" spans="1:10" x14ac:dyDescent="0.3">
      <c r="A6654" t="s">
        <v>6785</v>
      </c>
      <c r="B6654" t="s">
        <v>252</v>
      </c>
      <c r="C6654" t="str">
        <f>_xlfn.XLOOKUP(B6654,
[1]sales_teams!$A$2:$A$100,
[1]sales_teams!$B$2:$B$100)</f>
        <v>Melvin Marxen</v>
      </c>
      <c r="D6654" t="str">
        <f>_xlfn.XLOOKUP($B6654,sales_teams!$A$2:$A$36,sales_teams!C$2:C$36)</f>
        <v>Central</v>
      </c>
      <c r="E6654" t="s">
        <v>10</v>
      </c>
      <c r="F6654" t="s">
        <v>109</v>
      </c>
      <c r="G6654" t="s">
        <v>12</v>
      </c>
      <c r="H6654" s="1">
        <v>42990</v>
      </c>
      <c r="I6654" s="1">
        <v>43085</v>
      </c>
      <c r="J6654">
        <v>1066</v>
      </c>
    </row>
    <row r="6655" spans="1:10" x14ac:dyDescent="0.3">
      <c r="A6655" t="s">
        <v>6786</v>
      </c>
      <c r="B6655" t="s">
        <v>252</v>
      </c>
      <c r="C6655" t="str">
        <f>_xlfn.XLOOKUP(B6655,
[1]sales_teams!$A$2:$A$100,
[1]sales_teams!$B$2:$B$100)</f>
        <v>Melvin Marxen</v>
      </c>
      <c r="D6655" t="str">
        <f>_xlfn.XLOOKUP($B6655,sales_teams!$A$2:$A$36,sales_teams!C$2:C$36)</f>
        <v>Central</v>
      </c>
      <c r="E6655" t="s">
        <v>18</v>
      </c>
      <c r="F6655" t="s">
        <v>11</v>
      </c>
      <c r="G6655" t="s">
        <v>12</v>
      </c>
      <c r="H6655" s="1">
        <v>42990</v>
      </c>
      <c r="I6655" s="1">
        <v>43087</v>
      </c>
      <c r="J6655">
        <v>64</v>
      </c>
    </row>
    <row r="6656" spans="1:10" x14ac:dyDescent="0.3">
      <c r="A6656" t="s">
        <v>6787</v>
      </c>
      <c r="B6656" t="s">
        <v>252</v>
      </c>
      <c r="C6656" t="str">
        <f>_xlfn.XLOOKUP(B6656,
[1]sales_teams!$A$2:$A$100,
[1]sales_teams!$B$2:$B$100)</f>
        <v>Melvin Marxen</v>
      </c>
      <c r="D6656" t="str">
        <f>_xlfn.XLOOKUP($B6656,sales_teams!$A$2:$A$36,sales_teams!C$2:C$36)</f>
        <v>Central</v>
      </c>
      <c r="E6656" t="s">
        <v>18</v>
      </c>
      <c r="F6656" t="s">
        <v>151</v>
      </c>
      <c r="G6656" t="s">
        <v>12</v>
      </c>
      <c r="H6656" s="1">
        <v>42990</v>
      </c>
      <c r="I6656" s="1">
        <v>43094</v>
      </c>
      <c r="J6656">
        <v>59</v>
      </c>
    </row>
    <row r="6657" spans="1:10" x14ac:dyDescent="0.3">
      <c r="A6657" t="s">
        <v>6788</v>
      </c>
      <c r="B6657" t="s">
        <v>95</v>
      </c>
      <c r="C6657" t="str">
        <f>_xlfn.XLOOKUP(B6657,
[1]sales_teams!$A$2:$A$100,
[1]sales_teams!$B$2:$B$100)</f>
        <v>Summer Sewald</v>
      </c>
      <c r="D6657" t="str">
        <f>_xlfn.XLOOKUP($B6657,sales_teams!$A$2:$A$36,sales_teams!C$2:C$36)</f>
        <v>West</v>
      </c>
      <c r="E6657" t="s">
        <v>10</v>
      </c>
      <c r="F6657" t="s">
        <v>148</v>
      </c>
      <c r="G6657" t="s">
        <v>12</v>
      </c>
      <c r="H6657" s="1">
        <v>42990</v>
      </c>
      <c r="I6657" s="1">
        <v>43069</v>
      </c>
      <c r="J6657">
        <v>1077</v>
      </c>
    </row>
    <row r="6658" spans="1:10" x14ac:dyDescent="0.3">
      <c r="A6658" t="s">
        <v>6789</v>
      </c>
      <c r="B6658" t="s">
        <v>95</v>
      </c>
      <c r="C6658" t="str">
        <f>_xlfn.XLOOKUP(B6658,
[1]sales_teams!$A$2:$A$100,
[1]sales_teams!$B$2:$B$100)</f>
        <v>Summer Sewald</v>
      </c>
      <c r="D6658" t="str">
        <f>_xlfn.XLOOKUP($B6658,sales_teams!$A$2:$A$36,sales_teams!C$2:C$36)</f>
        <v>West</v>
      </c>
      <c r="E6658" t="s">
        <v>15</v>
      </c>
      <c r="F6658" t="s">
        <v>49</v>
      </c>
      <c r="G6658" t="s">
        <v>12</v>
      </c>
      <c r="H6658" s="1">
        <v>42990</v>
      </c>
      <c r="I6658" s="1">
        <v>43060</v>
      </c>
      <c r="J6658">
        <v>4999</v>
      </c>
    </row>
    <row r="6659" spans="1:10" x14ac:dyDescent="0.3">
      <c r="A6659" t="s">
        <v>6790</v>
      </c>
      <c r="B6659" t="s">
        <v>116</v>
      </c>
      <c r="C6659" t="str">
        <f>_xlfn.XLOOKUP(B6659,
[1]sales_teams!$A$2:$A$100,
[1]sales_teams!$B$2:$B$100)</f>
        <v>Melvin Marxen</v>
      </c>
      <c r="D6659" t="str">
        <f>_xlfn.XLOOKUP($B6659,sales_teams!$A$2:$A$36,sales_teams!C$2:C$36)</f>
        <v>Central</v>
      </c>
      <c r="E6659" t="s">
        <v>18</v>
      </c>
      <c r="F6659" t="s">
        <v>303</v>
      </c>
      <c r="G6659" t="s">
        <v>12</v>
      </c>
      <c r="H6659" s="1">
        <v>42990</v>
      </c>
      <c r="I6659" s="1">
        <v>42999</v>
      </c>
      <c r="J6659">
        <v>72</v>
      </c>
    </row>
    <row r="6660" spans="1:10" x14ac:dyDescent="0.3">
      <c r="A6660" t="s">
        <v>6791</v>
      </c>
      <c r="B6660" t="s">
        <v>51</v>
      </c>
      <c r="C6660" t="str">
        <f>_xlfn.XLOOKUP(B6660,
[1]sales_teams!$A$2:$A$100,
[1]sales_teams!$B$2:$B$100)</f>
        <v>Summer Sewald</v>
      </c>
      <c r="D6660" t="str">
        <f>_xlfn.XLOOKUP($B6660,sales_teams!$A$2:$A$36,sales_teams!C$2:C$36)</f>
        <v>West</v>
      </c>
      <c r="E6660" t="s">
        <v>48</v>
      </c>
      <c r="F6660" t="s">
        <v>155</v>
      </c>
      <c r="G6660" t="s">
        <v>12</v>
      </c>
      <c r="H6660" s="1">
        <v>42990</v>
      </c>
      <c r="I6660" s="1">
        <v>42998</v>
      </c>
      <c r="J6660">
        <v>4870</v>
      </c>
    </row>
    <row r="6661" spans="1:10" x14ac:dyDescent="0.3">
      <c r="A6661" t="s">
        <v>6792</v>
      </c>
      <c r="B6661" t="s">
        <v>97</v>
      </c>
      <c r="C6661" t="str">
        <f>_xlfn.XLOOKUP(B6661,
[1]sales_teams!$A$2:$A$100,
[1]sales_teams!$B$2:$B$100)</f>
        <v>Rocco Neubert</v>
      </c>
      <c r="D6661" t="str">
        <f>_xlfn.XLOOKUP($B6661,sales_teams!$A$2:$A$36,sales_teams!C$2:C$36)</f>
        <v>East</v>
      </c>
      <c r="E6661" t="s">
        <v>10</v>
      </c>
      <c r="F6661" t="s">
        <v>240</v>
      </c>
      <c r="G6661" t="s">
        <v>46</v>
      </c>
      <c r="H6661" s="1">
        <v>42990</v>
      </c>
      <c r="I6661" s="1">
        <v>42998</v>
      </c>
      <c r="J6661">
        <v>0</v>
      </c>
    </row>
    <row r="6662" spans="1:10" x14ac:dyDescent="0.3">
      <c r="A6662" t="s">
        <v>6793</v>
      </c>
      <c r="B6662" t="s">
        <v>97</v>
      </c>
      <c r="C6662" t="str">
        <f>_xlfn.XLOOKUP(B6662,
[1]sales_teams!$A$2:$A$100,
[1]sales_teams!$B$2:$B$100)</f>
        <v>Rocco Neubert</v>
      </c>
      <c r="D6662" t="str">
        <f>_xlfn.XLOOKUP($B6662,sales_teams!$A$2:$A$36,sales_teams!C$2:C$36)</f>
        <v>East</v>
      </c>
      <c r="E6662" t="s">
        <v>15</v>
      </c>
      <c r="F6662" t="s">
        <v>373</v>
      </c>
      <c r="G6662" t="s">
        <v>46</v>
      </c>
      <c r="H6662" s="1">
        <v>42990</v>
      </c>
      <c r="I6662" s="1">
        <v>43087</v>
      </c>
      <c r="J6662">
        <v>0</v>
      </c>
    </row>
    <row r="6663" spans="1:10" x14ac:dyDescent="0.3">
      <c r="A6663" t="s">
        <v>6794</v>
      </c>
      <c r="B6663" t="s">
        <v>61</v>
      </c>
      <c r="C6663" t="str">
        <f>_xlfn.XLOOKUP(B6663,
[1]sales_teams!$A$2:$A$100,
[1]sales_teams!$B$2:$B$100)</f>
        <v>Dustin Brinkmann</v>
      </c>
      <c r="D6663" t="str">
        <f>_xlfn.XLOOKUP($B6663,sales_teams!$A$2:$A$36,sales_teams!C$2:C$36)</f>
        <v>Central</v>
      </c>
      <c r="E6663" t="s">
        <v>18</v>
      </c>
      <c r="F6663" t="s">
        <v>113</v>
      </c>
      <c r="G6663" t="s">
        <v>12</v>
      </c>
      <c r="H6663" s="1">
        <v>42990</v>
      </c>
      <c r="I6663" s="1">
        <v>43004</v>
      </c>
      <c r="J6663">
        <v>54</v>
      </c>
    </row>
    <row r="6664" spans="1:10" x14ac:dyDescent="0.3">
      <c r="A6664" t="s">
        <v>6795</v>
      </c>
      <c r="B6664" t="s">
        <v>61</v>
      </c>
      <c r="C6664" t="str">
        <f>_xlfn.XLOOKUP(B6664,
[1]sales_teams!$A$2:$A$100,
[1]sales_teams!$B$2:$B$100)</f>
        <v>Dustin Brinkmann</v>
      </c>
      <c r="D6664" t="str">
        <f>_xlfn.XLOOKUP($B6664,sales_teams!$A$2:$A$36,sales_teams!C$2:C$36)</f>
        <v>Central</v>
      </c>
      <c r="E6664" t="s">
        <v>18</v>
      </c>
      <c r="F6664" t="s">
        <v>170</v>
      </c>
      <c r="G6664" t="s">
        <v>12</v>
      </c>
      <c r="H6664" s="1">
        <v>42990</v>
      </c>
      <c r="I6664" s="1">
        <v>43078</v>
      </c>
      <c r="J6664">
        <v>50</v>
      </c>
    </row>
    <row r="6665" spans="1:10" x14ac:dyDescent="0.3">
      <c r="A6665" t="s">
        <v>6796</v>
      </c>
      <c r="B6665" t="s">
        <v>29</v>
      </c>
      <c r="C6665" t="str">
        <f>_xlfn.XLOOKUP(B6665,
[1]sales_teams!$A$2:$A$100,
[1]sales_teams!$B$2:$B$100)</f>
        <v>Celia Rouche</v>
      </c>
      <c r="D6665" t="str">
        <f>_xlfn.XLOOKUP($B6665,sales_teams!$A$2:$A$36,sales_teams!C$2:C$36)</f>
        <v>West</v>
      </c>
      <c r="E6665" t="s">
        <v>20</v>
      </c>
      <c r="F6665" t="s">
        <v>45</v>
      </c>
      <c r="G6665" t="s">
        <v>40</v>
      </c>
      <c r="H6665" s="1">
        <v>42990</v>
      </c>
    </row>
    <row r="6666" spans="1:10" x14ac:dyDescent="0.3">
      <c r="A6666" t="s">
        <v>6797</v>
      </c>
      <c r="B6666" t="s">
        <v>29</v>
      </c>
      <c r="C6666" t="str">
        <f>_xlfn.XLOOKUP(B6666,
[1]sales_teams!$A$2:$A$100,
[1]sales_teams!$B$2:$B$100)</f>
        <v>Celia Rouche</v>
      </c>
      <c r="D6666" t="str">
        <f>_xlfn.XLOOKUP($B6666,sales_teams!$A$2:$A$36,sales_teams!C$2:C$36)</f>
        <v>West</v>
      </c>
      <c r="E6666" t="s">
        <v>10</v>
      </c>
      <c r="F6666" t="s">
        <v>79</v>
      </c>
      <c r="G6666" t="s">
        <v>40</v>
      </c>
      <c r="H6666" s="1">
        <v>42990</v>
      </c>
    </row>
    <row r="6667" spans="1:10" x14ac:dyDescent="0.3">
      <c r="A6667" t="s">
        <v>6798</v>
      </c>
      <c r="B6667" t="s">
        <v>29</v>
      </c>
      <c r="C6667" t="str">
        <f>_xlfn.XLOOKUP(B6667,
[1]sales_teams!$A$2:$A$100,
[1]sales_teams!$B$2:$B$100)</f>
        <v>Celia Rouche</v>
      </c>
      <c r="D6667" t="str">
        <f>_xlfn.XLOOKUP($B6667,sales_teams!$A$2:$A$36,sales_teams!C$2:C$36)</f>
        <v>West</v>
      </c>
      <c r="E6667" t="s">
        <v>18</v>
      </c>
      <c r="F6667" t="s">
        <v>93</v>
      </c>
      <c r="G6667" t="s">
        <v>46</v>
      </c>
      <c r="H6667" s="1">
        <v>42990</v>
      </c>
      <c r="I6667" s="1">
        <v>43040</v>
      </c>
      <c r="J6667">
        <v>0</v>
      </c>
    </row>
    <row r="6668" spans="1:10" x14ac:dyDescent="0.3">
      <c r="A6668" t="s">
        <v>6799</v>
      </c>
      <c r="B6668" t="s">
        <v>73</v>
      </c>
      <c r="C6668" t="str">
        <f>_xlfn.XLOOKUP(B6668,
[1]sales_teams!$A$2:$A$100,
[1]sales_teams!$B$2:$B$100)</f>
        <v>Cara Losch</v>
      </c>
      <c r="D6668" t="str">
        <f>_xlfn.XLOOKUP($B6668,sales_teams!$A$2:$A$36,sales_teams!C$2:C$36)</f>
        <v>East</v>
      </c>
      <c r="E6668" t="s">
        <v>39</v>
      </c>
      <c r="G6668" t="s">
        <v>40</v>
      </c>
      <c r="H6668" s="1">
        <v>42990</v>
      </c>
    </row>
    <row r="6669" spans="1:10" x14ac:dyDescent="0.3">
      <c r="A6669" t="s">
        <v>6800</v>
      </c>
      <c r="B6669" t="s">
        <v>73</v>
      </c>
      <c r="C6669" t="str">
        <f>_xlfn.XLOOKUP(B6669,
[1]sales_teams!$A$2:$A$100,
[1]sales_teams!$B$2:$B$100)</f>
        <v>Cara Losch</v>
      </c>
      <c r="D6669" t="str">
        <f>_xlfn.XLOOKUP($B6669,sales_teams!$A$2:$A$36,sales_teams!C$2:C$36)</f>
        <v>East</v>
      </c>
      <c r="E6669" t="s">
        <v>48</v>
      </c>
      <c r="F6669" t="s">
        <v>240</v>
      </c>
      <c r="G6669" t="s">
        <v>46</v>
      </c>
      <c r="H6669" s="1">
        <v>42990</v>
      </c>
      <c r="I6669" s="1">
        <v>42993</v>
      </c>
      <c r="J6669">
        <v>0</v>
      </c>
    </row>
    <row r="6670" spans="1:10" x14ac:dyDescent="0.3">
      <c r="A6670" t="s">
        <v>6801</v>
      </c>
      <c r="B6670" t="s">
        <v>23</v>
      </c>
      <c r="C6670" t="str">
        <f>_xlfn.XLOOKUP(B6670,
[1]sales_teams!$A$2:$A$100,
[1]sales_teams!$B$2:$B$100)</f>
        <v>Summer Sewald</v>
      </c>
      <c r="D6670" t="str">
        <f>_xlfn.XLOOKUP($B6670,sales_teams!$A$2:$A$36,sales_teams!C$2:C$36)</f>
        <v>West</v>
      </c>
      <c r="E6670" t="s">
        <v>10</v>
      </c>
      <c r="F6670" t="s">
        <v>199</v>
      </c>
      <c r="G6670" t="s">
        <v>12</v>
      </c>
      <c r="H6670" s="1">
        <v>42990</v>
      </c>
      <c r="I6670" s="1">
        <v>43059</v>
      </c>
      <c r="J6670">
        <v>1029</v>
      </c>
    </row>
    <row r="6671" spans="1:10" x14ac:dyDescent="0.3">
      <c r="A6671" t="s">
        <v>6802</v>
      </c>
      <c r="B6671" t="s">
        <v>26</v>
      </c>
      <c r="C6671" t="str">
        <f>_xlfn.XLOOKUP(B6671,
[1]sales_teams!$A$2:$A$100,
[1]sales_teams!$B$2:$B$100)</f>
        <v>Dustin Brinkmann</v>
      </c>
      <c r="D6671" t="str">
        <f>_xlfn.XLOOKUP($B6671,sales_teams!$A$2:$A$36,sales_teams!C$2:C$36)</f>
        <v>Central</v>
      </c>
      <c r="E6671" t="s">
        <v>20</v>
      </c>
      <c r="F6671" t="s">
        <v>11</v>
      </c>
      <c r="G6671" t="s">
        <v>12</v>
      </c>
      <c r="H6671" s="1">
        <v>42991</v>
      </c>
      <c r="I6671" s="1">
        <v>43064</v>
      </c>
      <c r="J6671">
        <v>629</v>
      </c>
    </row>
    <row r="6672" spans="1:10" x14ac:dyDescent="0.3">
      <c r="A6672" t="s">
        <v>6803</v>
      </c>
      <c r="B6672" t="s">
        <v>118</v>
      </c>
      <c r="C6672" t="str">
        <f>_xlfn.XLOOKUP(B6672,
[1]sales_teams!$A$2:$A$100,
[1]sales_teams!$B$2:$B$100)</f>
        <v>Rocco Neubert</v>
      </c>
      <c r="D6672" t="str">
        <f>_xlfn.XLOOKUP($B6672,sales_teams!$A$2:$A$36,sales_teams!C$2:C$36)</f>
        <v>East</v>
      </c>
      <c r="E6672" t="s">
        <v>10</v>
      </c>
      <c r="G6672" t="s">
        <v>40</v>
      </c>
      <c r="H6672" s="1">
        <v>42991</v>
      </c>
    </row>
    <row r="6673" spans="1:10" x14ac:dyDescent="0.3">
      <c r="A6673" t="s">
        <v>6804</v>
      </c>
      <c r="B6673" t="s">
        <v>118</v>
      </c>
      <c r="C6673" t="str">
        <f>_xlfn.XLOOKUP(B6673,
[1]sales_teams!$A$2:$A$100,
[1]sales_teams!$B$2:$B$100)</f>
        <v>Rocco Neubert</v>
      </c>
      <c r="D6673" t="str">
        <f>_xlfn.XLOOKUP($B6673,sales_teams!$A$2:$A$36,sales_teams!C$2:C$36)</f>
        <v>East</v>
      </c>
      <c r="E6673" t="s">
        <v>20</v>
      </c>
      <c r="F6673" t="s">
        <v>518</v>
      </c>
      <c r="G6673" t="s">
        <v>12</v>
      </c>
      <c r="H6673" s="1">
        <v>42991</v>
      </c>
      <c r="I6673" s="1">
        <v>43002</v>
      </c>
      <c r="J6673">
        <v>600</v>
      </c>
    </row>
    <row r="6674" spans="1:10" x14ac:dyDescent="0.3">
      <c r="A6674" t="s">
        <v>6805</v>
      </c>
      <c r="B6674" t="s">
        <v>164</v>
      </c>
      <c r="C6674" t="str">
        <f>_xlfn.XLOOKUP(B6674,
[1]sales_teams!$A$2:$A$100,
[1]sales_teams!$B$2:$B$100)</f>
        <v>Cara Losch</v>
      </c>
      <c r="D6674" t="str">
        <f>_xlfn.XLOOKUP($B6674,sales_teams!$A$2:$A$36,sales_teams!C$2:C$36)</f>
        <v>East</v>
      </c>
      <c r="E6674" t="s">
        <v>20</v>
      </c>
      <c r="F6674" t="s">
        <v>199</v>
      </c>
      <c r="G6674" t="s">
        <v>46</v>
      </c>
      <c r="H6674" s="1">
        <v>42991</v>
      </c>
      <c r="I6674" s="1">
        <v>43042</v>
      </c>
      <c r="J6674">
        <v>0</v>
      </c>
    </row>
    <row r="6675" spans="1:10" x14ac:dyDescent="0.3">
      <c r="A6675" t="s">
        <v>6806</v>
      </c>
      <c r="B6675" t="s">
        <v>164</v>
      </c>
      <c r="C6675" t="str">
        <f>_xlfn.XLOOKUP(B6675,
[1]sales_teams!$A$2:$A$100,
[1]sales_teams!$B$2:$B$100)</f>
        <v>Cara Losch</v>
      </c>
      <c r="D6675" t="str">
        <f>_xlfn.XLOOKUP($B6675,sales_teams!$A$2:$A$36,sales_teams!C$2:C$36)</f>
        <v>East</v>
      </c>
      <c r="E6675" t="s">
        <v>15</v>
      </c>
      <c r="F6675" t="s">
        <v>179</v>
      </c>
      <c r="G6675" t="s">
        <v>12</v>
      </c>
      <c r="H6675" s="1">
        <v>42991</v>
      </c>
      <c r="I6675" s="1">
        <v>42996</v>
      </c>
      <c r="J6675">
        <v>4535</v>
      </c>
    </row>
    <row r="6676" spans="1:10" x14ac:dyDescent="0.3">
      <c r="A6676" t="s">
        <v>6807</v>
      </c>
      <c r="B6676" t="s">
        <v>64</v>
      </c>
      <c r="C6676" t="str">
        <f>_xlfn.XLOOKUP(B6676,
[1]sales_teams!$A$2:$A$100,
[1]sales_teams!$B$2:$B$100)</f>
        <v>Rocco Neubert</v>
      </c>
      <c r="D6676" t="str">
        <f>_xlfn.XLOOKUP($B6676,sales_teams!$A$2:$A$36,sales_teams!C$2:C$36)</f>
        <v>East</v>
      </c>
      <c r="E6676" t="s">
        <v>15</v>
      </c>
      <c r="G6676" t="s">
        <v>40</v>
      </c>
      <c r="H6676" s="1">
        <v>42991</v>
      </c>
    </row>
    <row r="6677" spans="1:10" x14ac:dyDescent="0.3">
      <c r="A6677" t="s">
        <v>6808</v>
      </c>
      <c r="B6677" t="s">
        <v>142</v>
      </c>
      <c r="C6677" t="str">
        <f>_xlfn.XLOOKUP(B6677,
[1]sales_teams!$A$2:$A$100,
[1]sales_teams!$B$2:$B$100)</f>
        <v>Rocco Neubert</v>
      </c>
      <c r="D6677" t="str">
        <f>_xlfn.XLOOKUP($B6677,sales_teams!$A$2:$A$36,sales_teams!C$2:C$36)</f>
        <v>East</v>
      </c>
      <c r="E6677" t="s">
        <v>39</v>
      </c>
      <c r="F6677" t="s">
        <v>177</v>
      </c>
      <c r="G6677" t="s">
        <v>46</v>
      </c>
      <c r="H6677" s="1">
        <v>42991</v>
      </c>
      <c r="I6677" s="1">
        <v>43068</v>
      </c>
      <c r="J6677">
        <v>0</v>
      </c>
    </row>
    <row r="6678" spans="1:10" x14ac:dyDescent="0.3">
      <c r="A6678" t="s">
        <v>6809</v>
      </c>
      <c r="B6678" t="s">
        <v>67</v>
      </c>
      <c r="C6678" t="str">
        <f>_xlfn.XLOOKUP(B6678,
[1]sales_teams!$A$2:$A$100,
[1]sales_teams!$B$2:$B$100)</f>
        <v>Celia Rouche</v>
      </c>
      <c r="D6678" t="str">
        <f>_xlfn.XLOOKUP($B6678,sales_teams!$A$2:$A$36,sales_teams!C$2:C$36)</f>
        <v>West</v>
      </c>
      <c r="E6678" t="s">
        <v>18</v>
      </c>
      <c r="F6678" t="s">
        <v>174</v>
      </c>
      <c r="G6678" t="s">
        <v>46</v>
      </c>
      <c r="H6678" s="1">
        <v>42991</v>
      </c>
      <c r="I6678" s="1">
        <v>42997</v>
      </c>
      <c r="J6678">
        <v>0</v>
      </c>
    </row>
    <row r="6679" spans="1:10" x14ac:dyDescent="0.3">
      <c r="A6679" t="s">
        <v>6810</v>
      </c>
      <c r="B6679" t="s">
        <v>44</v>
      </c>
      <c r="C6679" t="str">
        <f>_xlfn.XLOOKUP(B6679,
[1]sales_teams!$A$2:$A$100,
[1]sales_teams!$B$2:$B$100)</f>
        <v>Melvin Marxen</v>
      </c>
      <c r="D6679" t="str">
        <f>_xlfn.XLOOKUP($B6679,sales_teams!$A$2:$A$36,sales_teams!C$2:C$36)</f>
        <v>Central</v>
      </c>
      <c r="E6679" t="s">
        <v>15</v>
      </c>
      <c r="F6679" t="s">
        <v>120</v>
      </c>
      <c r="G6679" t="s">
        <v>12</v>
      </c>
      <c r="H6679" s="1">
        <v>42991</v>
      </c>
      <c r="I6679" s="1">
        <v>43007</v>
      </c>
      <c r="J6679">
        <v>4805</v>
      </c>
    </row>
    <row r="6680" spans="1:10" x14ac:dyDescent="0.3">
      <c r="A6680" t="s">
        <v>6811</v>
      </c>
      <c r="B6680" t="s">
        <v>78</v>
      </c>
      <c r="C6680" t="str">
        <f>_xlfn.XLOOKUP(B6680,
[1]sales_teams!$A$2:$A$100,
[1]sales_teams!$B$2:$B$100)</f>
        <v>Summer Sewald</v>
      </c>
      <c r="D6680" t="str">
        <f>_xlfn.XLOOKUP($B6680,sales_teams!$A$2:$A$36,sales_teams!C$2:C$36)</f>
        <v>West</v>
      </c>
      <c r="E6680" t="s">
        <v>15</v>
      </c>
      <c r="F6680" t="s">
        <v>155</v>
      </c>
      <c r="G6680" t="s">
        <v>46</v>
      </c>
      <c r="H6680" s="1">
        <v>42991</v>
      </c>
      <c r="I6680" s="1">
        <v>43056</v>
      </c>
      <c r="J6680">
        <v>0</v>
      </c>
    </row>
    <row r="6681" spans="1:10" x14ac:dyDescent="0.3">
      <c r="A6681" t="s">
        <v>6812</v>
      </c>
      <c r="B6681" t="s">
        <v>95</v>
      </c>
      <c r="C6681" t="str">
        <f>_xlfn.XLOOKUP(B6681,
[1]sales_teams!$A$2:$A$100,
[1]sales_teams!$B$2:$B$100)</f>
        <v>Summer Sewald</v>
      </c>
      <c r="D6681" t="str">
        <f>_xlfn.XLOOKUP($B6681,sales_teams!$A$2:$A$36,sales_teams!C$2:C$36)</f>
        <v>West</v>
      </c>
      <c r="E6681" t="s">
        <v>48</v>
      </c>
      <c r="F6681" t="s">
        <v>86</v>
      </c>
      <c r="G6681" t="s">
        <v>12</v>
      </c>
      <c r="H6681" s="1">
        <v>42991</v>
      </c>
      <c r="I6681" s="1">
        <v>43081</v>
      </c>
      <c r="J6681">
        <v>5158</v>
      </c>
    </row>
    <row r="6682" spans="1:10" x14ac:dyDescent="0.3">
      <c r="A6682" t="s">
        <v>6813</v>
      </c>
      <c r="B6682" t="s">
        <v>116</v>
      </c>
      <c r="C6682" t="str">
        <f>_xlfn.XLOOKUP(B6682,
[1]sales_teams!$A$2:$A$100,
[1]sales_teams!$B$2:$B$100)</f>
        <v>Melvin Marxen</v>
      </c>
      <c r="D6682" t="str">
        <f>_xlfn.XLOOKUP($B6682,sales_teams!$A$2:$A$36,sales_teams!C$2:C$36)</f>
        <v>Central</v>
      </c>
      <c r="E6682" t="s">
        <v>20</v>
      </c>
      <c r="F6682" t="s">
        <v>11</v>
      </c>
      <c r="G6682" t="s">
        <v>12</v>
      </c>
      <c r="H6682" s="1">
        <v>42991</v>
      </c>
      <c r="I6682" s="1">
        <v>43060</v>
      </c>
      <c r="J6682">
        <v>477</v>
      </c>
    </row>
    <row r="6683" spans="1:10" x14ac:dyDescent="0.3">
      <c r="A6683" t="s">
        <v>6814</v>
      </c>
      <c r="B6683" t="s">
        <v>51</v>
      </c>
      <c r="C6683" t="str">
        <f>_xlfn.XLOOKUP(B6683,
[1]sales_teams!$A$2:$A$100,
[1]sales_teams!$B$2:$B$100)</f>
        <v>Summer Sewald</v>
      </c>
      <c r="D6683" t="str">
        <f>_xlfn.XLOOKUP($B6683,sales_teams!$A$2:$A$36,sales_teams!C$2:C$36)</f>
        <v>West</v>
      </c>
      <c r="E6683" t="s">
        <v>48</v>
      </c>
      <c r="F6683" t="s">
        <v>184</v>
      </c>
      <c r="G6683" t="s">
        <v>12</v>
      </c>
      <c r="H6683" s="1">
        <v>42991</v>
      </c>
      <c r="I6683" s="1">
        <v>43055</v>
      </c>
      <c r="J6683">
        <v>4972</v>
      </c>
    </row>
    <row r="6684" spans="1:10" x14ac:dyDescent="0.3">
      <c r="A6684" t="s">
        <v>6815</v>
      </c>
      <c r="B6684" t="s">
        <v>35</v>
      </c>
      <c r="C6684" t="str">
        <f>_xlfn.XLOOKUP(B6684,
[1]sales_teams!$A$2:$A$100,
[1]sales_teams!$B$2:$B$100)</f>
        <v>Melvin Marxen</v>
      </c>
      <c r="D6684" t="str">
        <f>_xlfn.XLOOKUP($B6684,sales_teams!$A$2:$A$36,sales_teams!C$2:C$36)</f>
        <v>Central</v>
      </c>
      <c r="E6684" t="s">
        <v>39</v>
      </c>
      <c r="F6684" t="s">
        <v>62</v>
      </c>
      <c r="G6684" t="s">
        <v>12</v>
      </c>
      <c r="H6684" s="1">
        <v>42991</v>
      </c>
      <c r="I6684" s="1">
        <v>43069</v>
      </c>
      <c r="J6684">
        <v>3902</v>
      </c>
    </row>
    <row r="6685" spans="1:10" x14ac:dyDescent="0.3">
      <c r="A6685" t="s">
        <v>6816</v>
      </c>
      <c r="B6685" t="s">
        <v>97</v>
      </c>
      <c r="C6685" t="str">
        <f>_xlfn.XLOOKUP(B6685,
[1]sales_teams!$A$2:$A$100,
[1]sales_teams!$B$2:$B$100)</f>
        <v>Rocco Neubert</v>
      </c>
      <c r="D6685" t="str">
        <f>_xlfn.XLOOKUP($B6685,sales_teams!$A$2:$A$36,sales_teams!C$2:C$36)</f>
        <v>East</v>
      </c>
      <c r="E6685" t="s">
        <v>10</v>
      </c>
      <c r="F6685" t="s">
        <v>215</v>
      </c>
      <c r="G6685" t="s">
        <v>12</v>
      </c>
      <c r="H6685" s="1">
        <v>42991</v>
      </c>
      <c r="I6685" s="1">
        <v>43083</v>
      </c>
      <c r="J6685">
        <v>1176</v>
      </c>
    </row>
    <row r="6686" spans="1:10" x14ac:dyDescent="0.3">
      <c r="A6686" t="s">
        <v>6817</v>
      </c>
      <c r="B6686" t="s">
        <v>97</v>
      </c>
      <c r="C6686" t="str">
        <f>_xlfn.XLOOKUP(B6686,
[1]sales_teams!$A$2:$A$100,
[1]sales_teams!$B$2:$B$100)</f>
        <v>Rocco Neubert</v>
      </c>
      <c r="D6686" t="str">
        <f>_xlfn.XLOOKUP($B6686,sales_teams!$A$2:$A$36,sales_teams!C$2:C$36)</f>
        <v>East</v>
      </c>
      <c r="E6686" t="s">
        <v>15</v>
      </c>
      <c r="F6686" t="s">
        <v>278</v>
      </c>
      <c r="G6686" t="s">
        <v>12</v>
      </c>
      <c r="H6686" s="1">
        <v>42991</v>
      </c>
      <c r="I6686" s="1">
        <v>43083</v>
      </c>
      <c r="J6686">
        <v>4140</v>
      </c>
    </row>
    <row r="6687" spans="1:10" x14ac:dyDescent="0.3">
      <c r="A6687" t="s">
        <v>6818</v>
      </c>
      <c r="B6687" t="s">
        <v>57</v>
      </c>
      <c r="C6687" t="str">
        <f>_xlfn.XLOOKUP(B6687,
[1]sales_teams!$A$2:$A$100,
[1]sales_teams!$B$2:$B$100)</f>
        <v>Celia Rouche</v>
      </c>
      <c r="D6687" t="str">
        <f>_xlfn.XLOOKUP($B6687,sales_teams!$A$2:$A$36,sales_teams!C$2:C$36)</f>
        <v>West</v>
      </c>
      <c r="E6687" t="s">
        <v>18</v>
      </c>
      <c r="F6687" t="s">
        <v>122</v>
      </c>
      <c r="G6687" t="s">
        <v>12</v>
      </c>
      <c r="H6687" s="1">
        <v>42991</v>
      </c>
      <c r="I6687" s="1">
        <v>43069</v>
      </c>
      <c r="J6687">
        <v>54</v>
      </c>
    </row>
    <row r="6688" spans="1:10" x14ac:dyDescent="0.3">
      <c r="A6688" t="s">
        <v>6819</v>
      </c>
      <c r="B6688" t="s">
        <v>29</v>
      </c>
      <c r="C6688" t="str">
        <f>_xlfn.XLOOKUP(B6688,
[1]sales_teams!$A$2:$A$100,
[1]sales_teams!$B$2:$B$100)</f>
        <v>Celia Rouche</v>
      </c>
      <c r="D6688" t="str">
        <f>_xlfn.XLOOKUP($B6688,sales_teams!$A$2:$A$36,sales_teams!C$2:C$36)</f>
        <v>West</v>
      </c>
      <c r="E6688" t="s">
        <v>18</v>
      </c>
      <c r="G6688" t="s">
        <v>40</v>
      </c>
      <c r="H6688" s="1">
        <v>42991</v>
      </c>
    </row>
    <row r="6689" spans="1:10" x14ac:dyDescent="0.3">
      <c r="A6689" t="s">
        <v>6820</v>
      </c>
      <c r="B6689" t="s">
        <v>29</v>
      </c>
      <c r="C6689" t="str">
        <f>_xlfn.XLOOKUP(B6689,
[1]sales_teams!$A$2:$A$100,
[1]sales_teams!$B$2:$B$100)</f>
        <v>Celia Rouche</v>
      </c>
      <c r="D6689" t="str">
        <f>_xlfn.XLOOKUP($B6689,sales_teams!$A$2:$A$36,sales_teams!C$2:C$36)</f>
        <v>West</v>
      </c>
      <c r="E6689" t="s">
        <v>18</v>
      </c>
      <c r="F6689" t="s">
        <v>174</v>
      </c>
      <c r="G6689" t="s">
        <v>12</v>
      </c>
      <c r="H6689" s="1">
        <v>42991</v>
      </c>
      <c r="I6689" s="1">
        <v>43068</v>
      </c>
      <c r="J6689">
        <v>51</v>
      </c>
    </row>
    <row r="6690" spans="1:10" x14ac:dyDescent="0.3">
      <c r="A6690" t="s">
        <v>6821</v>
      </c>
      <c r="B6690" t="s">
        <v>23</v>
      </c>
      <c r="C6690" t="str">
        <f>_xlfn.XLOOKUP(B6690,
[1]sales_teams!$A$2:$A$100,
[1]sales_teams!$B$2:$B$100)</f>
        <v>Summer Sewald</v>
      </c>
      <c r="D6690" t="str">
        <f>_xlfn.XLOOKUP($B6690,sales_teams!$A$2:$A$36,sales_teams!C$2:C$36)</f>
        <v>West</v>
      </c>
      <c r="E6690" t="s">
        <v>20</v>
      </c>
      <c r="F6690" t="s">
        <v>86</v>
      </c>
      <c r="G6690" t="s">
        <v>12</v>
      </c>
      <c r="H6690" s="1">
        <v>42991</v>
      </c>
      <c r="I6690" s="1">
        <v>42999</v>
      </c>
      <c r="J6690">
        <v>518</v>
      </c>
    </row>
    <row r="6691" spans="1:10" x14ac:dyDescent="0.3">
      <c r="A6691" t="s">
        <v>6822</v>
      </c>
      <c r="B6691" t="s">
        <v>23</v>
      </c>
      <c r="C6691" t="str">
        <f>_xlfn.XLOOKUP(B6691,
[1]sales_teams!$A$2:$A$100,
[1]sales_teams!$B$2:$B$100)</f>
        <v>Summer Sewald</v>
      </c>
      <c r="D6691" t="str">
        <f>_xlfn.XLOOKUP($B6691,sales_teams!$A$2:$A$36,sales_teams!C$2:C$36)</f>
        <v>West</v>
      </c>
      <c r="E6691" t="s">
        <v>20</v>
      </c>
      <c r="F6691" t="s">
        <v>52</v>
      </c>
      <c r="G6691" t="s">
        <v>12</v>
      </c>
      <c r="H6691" s="1">
        <v>42991</v>
      </c>
      <c r="I6691" s="1">
        <v>43075</v>
      </c>
      <c r="J6691">
        <v>505</v>
      </c>
    </row>
    <row r="6692" spans="1:10" x14ac:dyDescent="0.3">
      <c r="A6692" t="s">
        <v>6823</v>
      </c>
      <c r="B6692" t="s">
        <v>26</v>
      </c>
      <c r="C6692" t="str">
        <f>_xlfn.XLOOKUP(B6692,
[1]sales_teams!$A$2:$A$100,
[1]sales_teams!$B$2:$B$100)</f>
        <v>Dustin Brinkmann</v>
      </c>
      <c r="D6692" t="str">
        <f>_xlfn.XLOOKUP($B6692,sales_teams!$A$2:$A$36,sales_teams!C$2:C$36)</f>
        <v>Central</v>
      </c>
      <c r="E6692" t="s">
        <v>48</v>
      </c>
      <c r="F6692" t="s">
        <v>111</v>
      </c>
      <c r="G6692" t="s">
        <v>12</v>
      </c>
      <c r="H6692" s="1">
        <v>42992</v>
      </c>
      <c r="I6692" s="1">
        <v>42996</v>
      </c>
      <c r="J6692">
        <v>5421</v>
      </c>
    </row>
    <row r="6693" spans="1:10" x14ac:dyDescent="0.3">
      <c r="A6693" t="s">
        <v>6824</v>
      </c>
      <c r="B6693" t="s">
        <v>118</v>
      </c>
      <c r="C6693" t="str">
        <f>_xlfn.XLOOKUP(B6693,
[1]sales_teams!$A$2:$A$100,
[1]sales_teams!$B$2:$B$100)</f>
        <v>Rocco Neubert</v>
      </c>
      <c r="D6693" t="str">
        <f>_xlfn.XLOOKUP($B6693,sales_teams!$A$2:$A$36,sales_teams!C$2:C$36)</f>
        <v>East</v>
      </c>
      <c r="E6693" t="s">
        <v>15</v>
      </c>
      <c r="F6693" t="s">
        <v>155</v>
      </c>
      <c r="G6693" t="s">
        <v>12</v>
      </c>
      <c r="H6693" s="1">
        <v>42992</v>
      </c>
      <c r="I6693" s="1">
        <v>43062</v>
      </c>
      <c r="J6693">
        <v>3822</v>
      </c>
    </row>
    <row r="6694" spans="1:10" x14ac:dyDescent="0.3">
      <c r="A6694" t="s">
        <v>6825</v>
      </c>
      <c r="B6694" t="s">
        <v>14</v>
      </c>
      <c r="C6694" t="str">
        <f>_xlfn.XLOOKUP(B6694,
[1]sales_teams!$A$2:$A$100,
[1]sales_teams!$B$2:$B$100)</f>
        <v>Melvin Marxen</v>
      </c>
      <c r="D6694" t="str">
        <f>_xlfn.XLOOKUP($B6694,sales_teams!$A$2:$A$36,sales_teams!C$2:C$36)</f>
        <v>Central</v>
      </c>
      <c r="E6694" t="s">
        <v>15</v>
      </c>
      <c r="F6694" t="s">
        <v>120</v>
      </c>
      <c r="G6694" t="s">
        <v>46</v>
      </c>
      <c r="H6694" s="1">
        <v>42992</v>
      </c>
      <c r="I6694" s="1">
        <v>43059</v>
      </c>
      <c r="J6694">
        <v>0</v>
      </c>
    </row>
    <row r="6695" spans="1:10" x14ac:dyDescent="0.3">
      <c r="A6695" t="s">
        <v>6826</v>
      </c>
      <c r="B6695" t="s">
        <v>142</v>
      </c>
      <c r="C6695" t="str">
        <f>_xlfn.XLOOKUP(B6695,
[1]sales_teams!$A$2:$A$100,
[1]sales_teams!$B$2:$B$100)</f>
        <v>Rocco Neubert</v>
      </c>
      <c r="D6695" t="str">
        <f>_xlfn.XLOOKUP($B6695,sales_teams!$A$2:$A$36,sales_teams!C$2:C$36)</f>
        <v>East</v>
      </c>
      <c r="E6695" t="s">
        <v>39</v>
      </c>
      <c r="F6695" t="s">
        <v>177</v>
      </c>
      <c r="G6695" t="s">
        <v>12</v>
      </c>
      <c r="H6695" s="1">
        <v>42992</v>
      </c>
      <c r="I6695" s="1">
        <v>43086</v>
      </c>
      <c r="J6695">
        <v>3331</v>
      </c>
    </row>
    <row r="6696" spans="1:10" x14ac:dyDescent="0.3">
      <c r="A6696" t="s">
        <v>6827</v>
      </c>
      <c r="B6696" t="s">
        <v>54</v>
      </c>
      <c r="C6696" t="str">
        <f>_xlfn.XLOOKUP(B6696,
[1]sales_teams!$A$2:$A$100,
[1]sales_teams!$B$2:$B$100)</f>
        <v>Celia Rouche</v>
      </c>
      <c r="D6696" t="str">
        <f>_xlfn.XLOOKUP($B6696,sales_teams!$A$2:$A$36,sales_teams!C$2:C$36)</f>
        <v>West</v>
      </c>
      <c r="E6696" t="s">
        <v>18</v>
      </c>
      <c r="F6696" t="s">
        <v>79</v>
      </c>
      <c r="G6696" t="s">
        <v>46</v>
      </c>
      <c r="H6696" s="1">
        <v>42992</v>
      </c>
      <c r="I6696" s="1">
        <v>43066</v>
      </c>
      <c r="J6696">
        <v>0</v>
      </c>
    </row>
    <row r="6697" spans="1:10" x14ac:dyDescent="0.3">
      <c r="A6697" t="s">
        <v>6828</v>
      </c>
      <c r="B6697" t="s">
        <v>38</v>
      </c>
      <c r="C6697" t="str">
        <f>_xlfn.XLOOKUP(B6697,
[1]sales_teams!$A$2:$A$100,
[1]sales_teams!$B$2:$B$100)</f>
        <v>Summer Sewald</v>
      </c>
      <c r="D6697" t="str">
        <f>_xlfn.XLOOKUP($B6697,sales_teams!$A$2:$A$36,sales_teams!C$2:C$36)</f>
        <v>West</v>
      </c>
      <c r="E6697" t="s">
        <v>20</v>
      </c>
      <c r="F6697" t="s">
        <v>555</v>
      </c>
      <c r="G6697" t="s">
        <v>12</v>
      </c>
      <c r="H6697" s="1">
        <v>42992</v>
      </c>
      <c r="I6697" s="1">
        <v>43089</v>
      </c>
      <c r="J6697">
        <v>504</v>
      </c>
    </row>
    <row r="6698" spans="1:10" x14ac:dyDescent="0.3">
      <c r="A6698" t="s">
        <v>6829</v>
      </c>
      <c r="B6698" t="s">
        <v>38</v>
      </c>
      <c r="C6698" t="str">
        <f>_xlfn.XLOOKUP(B6698,
[1]sales_teams!$A$2:$A$100,
[1]sales_teams!$B$2:$B$100)</f>
        <v>Summer Sewald</v>
      </c>
      <c r="D6698" t="str">
        <f>_xlfn.XLOOKUP($B6698,sales_teams!$A$2:$A$36,sales_teams!C$2:C$36)</f>
        <v>West</v>
      </c>
      <c r="E6698" t="s">
        <v>10</v>
      </c>
      <c r="F6698" t="s">
        <v>124</v>
      </c>
      <c r="G6698" t="s">
        <v>12</v>
      </c>
      <c r="H6698" s="1">
        <v>42992</v>
      </c>
      <c r="I6698" s="1">
        <v>43079</v>
      </c>
      <c r="J6698">
        <v>1117</v>
      </c>
    </row>
    <row r="6699" spans="1:10" x14ac:dyDescent="0.3">
      <c r="A6699" t="s">
        <v>6830</v>
      </c>
      <c r="B6699" t="s">
        <v>38</v>
      </c>
      <c r="C6699" t="str">
        <f>_xlfn.XLOOKUP(B6699,
[1]sales_teams!$A$2:$A$100,
[1]sales_teams!$B$2:$B$100)</f>
        <v>Summer Sewald</v>
      </c>
      <c r="D6699" t="str">
        <f>_xlfn.XLOOKUP($B6699,sales_teams!$A$2:$A$36,sales_teams!C$2:C$36)</f>
        <v>West</v>
      </c>
      <c r="E6699" t="s">
        <v>15</v>
      </c>
      <c r="F6699" t="s">
        <v>184</v>
      </c>
      <c r="G6699" t="s">
        <v>12</v>
      </c>
      <c r="H6699" s="1">
        <v>42992</v>
      </c>
      <c r="I6699" s="1">
        <v>43076</v>
      </c>
      <c r="J6699">
        <v>5230</v>
      </c>
    </row>
    <row r="6700" spans="1:10" x14ac:dyDescent="0.3">
      <c r="A6700" t="s">
        <v>6831</v>
      </c>
      <c r="B6700" t="s">
        <v>78</v>
      </c>
      <c r="C6700" t="str">
        <f>_xlfn.XLOOKUP(B6700,
[1]sales_teams!$A$2:$A$100,
[1]sales_teams!$B$2:$B$100)</f>
        <v>Summer Sewald</v>
      </c>
      <c r="D6700" t="str">
        <f>_xlfn.XLOOKUP($B6700,sales_teams!$A$2:$A$36,sales_teams!C$2:C$36)</f>
        <v>West</v>
      </c>
      <c r="E6700" t="s">
        <v>15</v>
      </c>
      <c r="F6700" t="s">
        <v>70</v>
      </c>
      <c r="G6700" t="s">
        <v>12</v>
      </c>
      <c r="H6700" s="1">
        <v>42992</v>
      </c>
      <c r="I6700" s="1">
        <v>42994</v>
      </c>
      <c r="J6700">
        <v>4844</v>
      </c>
    </row>
    <row r="6701" spans="1:10" x14ac:dyDescent="0.3">
      <c r="A6701" t="s">
        <v>6832</v>
      </c>
      <c r="B6701" t="s">
        <v>78</v>
      </c>
      <c r="C6701" t="str">
        <f>_xlfn.XLOOKUP(B6701,
[1]sales_teams!$A$2:$A$100,
[1]sales_teams!$B$2:$B$100)</f>
        <v>Summer Sewald</v>
      </c>
      <c r="D6701" t="str">
        <f>_xlfn.XLOOKUP($B6701,sales_teams!$A$2:$A$36,sales_teams!C$2:C$36)</f>
        <v>West</v>
      </c>
      <c r="E6701" t="s">
        <v>39</v>
      </c>
      <c r="F6701" t="s">
        <v>86</v>
      </c>
      <c r="G6701" t="s">
        <v>12</v>
      </c>
      <c r="H6701" s="1">
        <v>42992</v>
      </c>
      <c r="I6701" s="1">
        <v>43001</v>
      </c>
      <c r="J6701">
        <v>3596</v>
      </c>
    </row>
    <row r="6702" spans="1:10" x14ac:dyDescent="0.3">
      <c r="A6702" t="s">
        <v>6833</v>
      </c>
      <c r="B6702" t="s">
        <v>95</v>
      </c>
      <c r="C6702" t="str">
        <f>_xlfn.XLOOKUP(B6702,
[1]sales_teams!$A$2:$A$100,
[1]sales_teams!$B$2:$B$100)</f>
        <v>Summer Sewald</v>
      </c>
      <c r="D6702" t="str">
        <f>_xlfn.XLOOKUP($B6702,sales_teams!$A$2:$A$36,sales_teams!C$2:C$36)</f>
        <v>West</v>
      </c>
      <c r="E6702" t="s">
        <v>15</v>
      </c>
      <c r="F6702" t="s">
        <v>124</v>
      </c>
      <c r="G6702" t="s">
        <v>46</v>
      </c>
      <c r="H6702" s="1">
        <v>42992</v>
      </c>
      <c r="I6702" s="1">
        <v>43008</v>
      </c>
      <c r="J6702">
        <v>0</v>
      </c>
    </row>
    <row r="6703" spans="1:10" x14ac:dyDescent="0.3">
      <c r="A6703" t="s">
        <v>6834</v>
      </c>
      <c r="B6703" t="s">
        <v>95</v>
      </c>
      <c r="C6703" t="str">
        <f>_xlfn.XLOOKUP(B6703,
[1]sales_teams!$A$2:$A$100,
[1]sales_teams!$B$2:$B$100)</f>
        <v>Summer Sewald</v>
      </c>
      <c r="D6703" t="str">
        <f>_xlfn.XLOOKUP($B6703,sales_teams!$A$2:$A$36,sales_teams!C$2:C$36)</f>
        <v>West</v>
      </c>
      <c r="E6703" t="s">
        <v>15</v>
      </c>
      <c r="F6703" t="s">
        <v>59</v>
      </c>
      <c r="G6703" t="s">
        <v>12</v>
      </c>
      <c r="H6703" s="1">
        <v>42992</v>
      </c>
      <c r="I6703" s="1">
        <v>43040</v>
      </c>
      <c r="J6703">
        <v>4593</v>
      </c>
    </row>
    <row r="6704" spans="1:10" x14ac:dyDescent="0.3">
      <c r="A6704" t="s">
        <v>6835</v>
      </c>
      <c r="B6704" t="s">
        <v>133</v>
      </c>
      <c r="C6704" t="str">
        <f>_xlfn.XLOOKUP(B6704,
[1]sales_teams!$A$2:$A$100,
[1]sales_teams!$B$2:$B$100)</f>
        <v>Dustin Brinkmann</v>
      </c>
      <c r="D6704" t="str">
        <f>_xlfn.XLOOKUP($B6704,sales_teams!$A$2:$A$36,sales_teams!C$2:C$36)</f>
        <v>Central</v>
      </c>
      <c r="E6704" t="s">
        <v>20</v>
      </c>
      <c r="F6704" t="s">
        <v>91</v>
      </c>
      <c r="G6704" t="s">
        <v>12</v>
      </c>
      <c r="H6704" s="1">
        <v>42992</v>
      </c>
      <c r="I6704" s="1">
        <v>43081</v>
      </c>
      <c r="J6704">
        <v>545</v>
      </c>
    </row>
    <row r="6705" spans="1:10" x14ac:dyDescent="0.3">
      <c r="A6705" t="s">
        <v>6836</v>
      </c>
      <c r="B6705" t="s">
        <v>133</v>
      </c>
      <c r="C6705" t="str">
        <f>_xlfn.XLOOKUP(B6705,
[1]sales_teams!$A$2:$A$100,
[1]sales_teams!$B$2:$B$100)</f>
        <v>Dustin Brinkmann</v>
      </c>
      <c r="D6705" t="str">
        <f>_xlfn.XLOOKUP($B6705,sales_teams!$A$2:$A$36,sales_teams!C$2:C$36)</f>
        <v>Central</v>
      </c>
      <c r="E6705" t="s">
        <v>39</v>
      </c>
      <c r="F6705" t="s">
        <v>151</v>
      </c>
      <c r="G6705" t="s">
        <v>12</v>
      </c>
      <c r="H6705" s="1">
        <v>42992</v>
      </c>
      <c r="I6705" s="1">
        <v>43047</v>
      </c>
      <c r="J6705">
        <v>3362</v>
      </c>
    </row>
    <row r="6706" spans="1:10" x14ac:dyDescent="0.3">
      <c r="A6706" t="s">
        <v>6837</v>
      </c>
      <c r="B6706" t="s">
        <v>116</v>
      </c>
      <c r="C6706" t="str">
        <f>_xlfn.XLOOKUP(B6706,
[1]sales_teams!$A$2:$A$100,
[1]sales_teams!$B$2:$B$100)</f>
        <v>Melvin Marxen</v>
      </c>
      <c r="D6706" t="str">
        <f>_xlfn.XLOOKUP($B6706,sales_teams!$A$2:$A$36,sales_teams!C$2:C$36)</f>
        <v>Central</v>
      </c>
      <c r="E6706" t="s">
        <v>10</v>
      </c>
      <c r="F6706" t="s">
        <v>42</v>
      </c>
      <c r="G6706" t="s">
        <v>12</v>
      </c>
      <c r="H6706" s="1">
        <v>42992</v>
      </c>
      <c r="I6706" s="1">
        <v>43083</v>
      </c>
      <c r="J6706">
        <v>1086</v>
      </c>
    </row>
    <row r="6707" spans="1:10" x14ac:dyDescent="0.3">
      <c r="A6707" t="s">
        <v>6838</v>
      </c>
      <c r="B6707" t="s">
        <v>51</v>
      </c>
      <c r="C6707" t="str">
        <f>_xlfn.XLOOKUP(B6707,
[1]sales_teams!$A$2:$A$100,
[1]sales_teams!$B$2:$B$100)</f>
        <v>Summer Sewald</v>
      </c>
      <c r="D6707" t="str">
        <f>_xlfn.XLOOKUP($B6707,sales_teams!$A$2:$A$36,sales_teams!C$2:C$36)</f>
        <v>West</v>
      </c>
      <c r="E6707" t="s">
        <v>48</v>
      </c>
      <c r="G6707" t="s">
        <v>40</v>
      </c>
      <c r="H6707" s="1">
        <v>42992</v>
      </c>
    </row>
    <row r="6708" spans="1:10" x14ac:dyDescent="0.3">
      <c r="A6708" t="s">
        <v>6839</v>
      </c>
      <c r="B6708" t="s">
        <v>97</v>
      </c>
      <c r="C6708" t="str">
        <f>_xlfn.XLOOKUP(B6708,
[1]sales_teams!$A$2:$A$100,
[1]sales_teams!$B$2:$B$100)</f>
        <v>Rocco Neubert</v>
      </c>
      <c r="D6708" t="str">
        <f>_xlfn.XLOOKUP($B6708,sales_teams!$A$2:$A$36,sales_teams!C$2:C$36)</f>
        <v>East</v>
      </c>
      <c r="E6708" t="s">
        <v>20</v>
      </c>
      <c r="F6708" t="s">
        <v>98</v>
      </c>
      <c r="G6708" t="s">
        <v>46</v>
      </c>
      <c r="H6708" s="1">
        <v>42992</v>
      </c>
      <c r="I6708" s="1">
        <v>43006</v>
      </c>
      <c r="J6708">
        <v>0</v>
      </c>
    </row>
    <row r="6709" spans="1:10" x14ac:dyDescent="0.3">
      <c r="A6709" t="s">
        <v>6840</v>
      </c>
      <c r="B6709" t="s">
        <v>88</v>
      </c>
      <c r="C6709" t="str">
        <f>_xlfn.XLOOKUP(B6709,
[1]sales_teams!$A$2:$A$100,
[1]sales_teams!$B$2:$B$100)</f>
        <v>Cara Losch</v>
      </c>
      <c r="D6709" t="str">
        <f>_xlfn.XLOOKUP($B6709,sales_teams!$A$2:$A$36,sales_teams!C$2:C$36)</f>
        <v>East</v>
      </c>
      <c r="E6709" t="s">
        <v>15</v>
      </c>
      <c r="F6709" t="s">
        <v>199</v>
      </c>
      <c r="G6709" t="s">
        <v>12</v>
      </c>
      <c r="H6709" s="1">
        <v>42992</v>
      </c>
      <c r="I6709" s="1">
        <v>43100</v>
      </c>
      <c r="J6709">
        <v>5153</v>
      </c>
    </row>
    <row r="6710" spans="1:10" x14ac:dyDescent="0.3">
      <c r="A6710" t="s">
        <v>6841</v>
      </c>
      <c r="B6710" t="s">
        <v>61</v>
      </c>
      <c r="C6710" t="str">
        <f>_xlfn.XLOOKUP(B6710,
[1]sales_teams!$A$2:$A$100,
[1]sales_teams!$B$2:$B$100)</f>
        <v>Dustin Brinkmann</v>
      </c>
      <c r="D6710" t="str">
        <f>_xlfn.XLOOKUP($B6710,sales_teams!$A$2:$A$36,sales_teams!C$2:C$36)</f>
        <v>Central</v>
      </c>
      <c r="E6710" t="s">
        <v>18</v>
      </c>
      <c r="F6710" t="s">
        <v>113</v>
      </c>
      <c r="G6710" t="s">
        <v>46</v>
      </c>
      <c r="H6710" s="1">
        <v>42992</v>
      </c>
      <c r="I6710" s="1">
        <v>43068</v>
      </c>
      <c r="J6710">
        <v>0</v>
      </c>
    </row>
    <row r="6711" spans="1:10" x14ac:dyDescent="0.3">
      <c r="A6711" t="s">
        <v>6842</v>
      </c>
      <c r="B6711" t="s">
        <v>29</v>
      </c>
      <c r="C6711" t="str">
        <f>_xlfn.XLOOKUP(B6711,
[1]sales_teams!$A$2:$A$100,
[1]sales_teams!$B$2:$B$100)</f>
        <v>Celia Rouche</v>
      </c>
      <c r="D6711" t="str">
        <f>_xlfn.XLOOKUP($B6711,sales_teams!$A$2:$A$36,sales_teams!C$2:C$36)</f>
        <v>West</v>
      </c>
      <c r="E6711" t="s">
        <v>15</v>
      </c>
      <c r="F6711" t="s">
        <v>199</v>
      </c>
      <c r="G6711" t="s">
        <v>12</v>
      </c>
      <c r="H6711" s="1">
        <v>42992</v>
      </c>
      <c r="I6711" s="1">
        <v>43054</v>
      </c>
      <c r="J6711">
        <v>5348</v>
      </c>
    </row>
    <row r="6712" spans="1:10" x14ac:dyDescent="0.3">
      <c r="A6712" t="s">
        <v>6843</v>
      </c>
      <c r="B6712" t="s">
        <v>23</v>
      </c>
      <c r="C6712" t="str">
        <f>_xlfn.XLOOKUP(B6712,
[1]sales_teams!$A$2:$A$100,
[1]sales_teams!$B$2:$B$100)</f>
        <v>Summer Sewald</v>
      </c>
      <c r="D6712" t="str">
        <f>_xlfn.XLOOKUP($B6712,sales_teams!$A$2:$A$36,sales_teams!C$2:C$36)</f>
        <v>West</v>
      </c>
      <c r="E6712" t="s">
        <v>20</v>
      </c>
      <c r="G6712" t="s">
        <v>40</v>
      </c>
      <c r="H6712" s="1">
        <v>42992</v>
      </c>
    </row>
    <row r="6713" spans="1:10" x14ac:dyDescent="0.3">
      <c r="A6713" t="s">
        <v>6844</v>
      </c>
      <c r="B6713" t="s">
        <v>23</v>
      </c>
      <c r="C6713" t="str">
        <f>_xlfn.XLOOKUP(B6713,
[1]sales_teams!$A$2:$A$100,
[1]sales_teams!$B$2:$B$100)</f>
        <v>Summer Sewald</v>
      </c>
      <c r="D6713" t="str">
        <f>_xlfn.XLOOKUP($B6713,sales_teams!$A$2:$A$36,sales_teams!C$2:C$36)</f>
        <v>West</v>
      </c>
      <c r="E6713" t="s">
        <v>15</v>
      </c>
      <c r="F6713" t="s">
        <v>55</v>
      </c>
      <c r="G6713" t="s">
        <v>12</v>
      </c>
      <c r="H6713" s="1">
        <v>42992</v>
      </c>
      <c r="I6713" s="1">
        <v>43044</v>
      </c>
      <c r="J6713">
        <v>5170</v>
      </c>
    </row>
    <row r="6714" spans="1:10" x14ac:dyDescent="0.3">
      <c r="A6714" t="s">
        <v>6845</v>
      </c>
      <c r="B6714" t="s">
        <v>23</v>
      </c>
      <c r="C6714" t="str">
        <f>_xlfn.XLOOKUP(B6714,
[1]sales_teams!$A$2:$A$100,
[1]sales_teams!$B$2:$B$100)</f>
        <v>Summer Sewald</v>
      </c>
      <c r="D6714" t="str">
        <f>_xlfn.XLOOKUP($B6714,sales_teams!$A$2:$A$36,sales_teams!C$2:C$36)</f>
        <v>West</v>
      </c>
      <c r="E6714" t="s">
        <v>15</v>
      </c>
      <c r="F6714" t="s">
        <v>59</v>
      </c>
      <c r="G6714" t="s">
        <v>12</v>
      </c>
      <c r="H6714" s="1">
        <v>42992</v>
      </c>
      <c r="I6714" s="1">
        <v>43003</v>
      </c>
      <c r="J6714">
        <v>4050</v>
      </c>
    </row>
    <row r="6715" spans="1:10" x14ac:dyDescent="0.3">
      <c r="A6715" t="s">
        <v>6846</v>
      </c>
      <c r="B6715" t="s">
        <v>164</v>
      </c>
      <c r="C6715" t="str">
        <f>_xlfn.XLOOKUP(B6715,
[1]sales_teams!$A$2:$A$100,
[1]sales_teams!$B$2:$B$100)</f>
        <v>Cara Losch</v>
      </c>
      <c r="D6715" t="str">
        <f>_xlfn.XLOOKUP($B6715,sales_teams!$A$2:$A$36,sales_teams!C$2:C$36)</f>
        <v>East</v>
      </c>
      <c r="E6715" t="s">
        <v>20</v>
      </c>
      <c r="G6715" t="s">
        <v>40</v>
      </c>
      <c r="H6715" s="1">
        <v>42993</v>
      </c>
    </row>
    <row r="6716" spans="1:10" x14ac:dyDescent="0.3">
      <c r="A6716" t="s">
        <v>6847</v>
      </c>
      <c r="B6716" t="s">
        <v>64</v>
      </c>
      <c r="C6716" t="str">
        <f>_xlfn.XLOOKUP(B6716,
[1]sales_teams!$A$2:$A$100,
[1]sales_teams!$B$2:$B$100)</f>
        <v>Rocco Neubert</v>
      </c>
      <c r="D6716" t="str">
        <f>_xlfn.XLOOKUP($B6716,sales_teams!$A$2:$A$36,sales_teams!C$2:C$36)</f>
        <v>East</v>
      </c>
      <c r="E6716" t="s">
        <v>10</v>
      </c>
      <c r="F6716" t="s">
        <v>192</v>
      </c>
      <c r="G6716" t="s">
        <v>46</v>
      </c>
      <c r="H6716" s="1">
        <v>42993</v>
      </c>
      <c r="I6716" s="1">
        <v>43076</v>
      </c>
      <c r="J6716">
        <v>0</v>
      </c>
    </row>
    <row r="6717" spans="1:10" x14ac:dyDescent="0.3">
      <c r="A6717" t="s">
        <v>6848</v>
      </c>
      <c r="B6717" t="s">
        <v>64</v>
      </c>
      <c r="C6717" t="str">
        <f>_xlfn.XLOOKUP(B6717,
[1]sales_teams!$A$2:$A$100,
[1]sales_teams!$B$2:$B$100)</f>
        <v>Rocco Neubert</v>
      </c>
      <c r="D6717" t="str">
        <f>_xlfn.XLOOKUP($B6717,sales_teams!$A$2:$A$36,sales_teams!C$2:C$36)</f>
        <v>East</v>
      </c>
      <c r="E6717" t="s">
        <v>10</v>
      </c>
      <c r="F6717" t="s">
        <v>74</v>
      </c>
      <c r="G6717" t="s">
        <v>12</v>
      </c>
      <c r="H6717" s="1">
        <v>42993</v>
      </c>
      <c r="I6717" s="1">
        <v>43007</v>
      </c>
      <c r="J6717">
        <v>1221</v>
      </c>
    </row>
    <row r="6718" spans="1:10" x14ac:dyDescent="0.3">
      <c r="A6718" t="s">
        <v>6849</v>
      </c>
      <c r="B6718" t="s">
        <v>14</v>
      </c>
      <c r="C6718" t="str">
        <f>_xlfn.XLOOKUP(B6718,
[1]sales_teams!$A$2:$A$100,
[1]sales_teams!$B$2:$B$100)</f>
        <v>Melvin Marxen</v>
      </c>
      <c r="D6718" t="str">
        <f>_xlfn.XLOOKUP($B6718,sales_teams!$A$2:$A$36,sales_teams!C$2:C$36)</f>
        <v>Central</v>
      </c>
      <c r="E6718" t="s">
        <v>39</v>
      </c>
      <c r="F6718" t="s">
        <v>170</v>
      </c>
      <c r="G6718" t="s">
        <v>46</v>
      </c>
      <c r="H6718" s="1">
        <v>42993</v>
      </c>
      <c r="I6718" s="1">
        <v>43055</v>
      </c>
      <c r="J6718">
        <v>0</v>
      </c>
    </row>
    <row r="6719" spans="1:10" x14ac:dyDescent="0.3">
      <c r="A6719" t="s">
        <v>6850</v>
      </c>
      <c r="B6719" t="s">
        <v>14</v>
      </c>
      <c r="C6719" t="str">
        <f>_xlfn.XLOOKUP(B6719,
[1]sales_teams!$A$2:$A$100,
[1]sales_teams!$B$2:$B$100)</f>
        <v>Melvin Marxen</v>
      </c>
      <c r="D6719" t="str">
        <f>_xlfn.XLOOKUP($B6719,sales_teams!$A$2:$A$36,sales_teams!C$2:C$36)</f>
        <v>Central</v>
      </c>
      <c r="E6719" t="s">
        <v>48</v>
      </c>
      <c r="F6719" t="s">
        <v>76</v>
      </c>
      <c r="G6719" t="s">
        <v>12</v>
      </c>
      <c r="H6719" s="1">
        <v>42993</v>
      </c>
      <c r="I6719" s="1">
        <v>43078</v>
      </c>
      <c r="J6719">
        <v>5669</v>
      </c>
    </row>
    <row r="6720" spans="1:10" x14ac:dyDescent="0.3">
      <c r="A6720" t="s">
        <v>6851</v>
      </c>
      <c r="B6720" t="s">
        <v>44</v>
      </c>
      <c r="C6720" t="str">
        <f>_xlfn.XLOOKUP(B6720,
[1]sales_teams!$A$2:$A$100,
[1]sales_teams!$B$2:$B$100)</f>
        <v>Melvin Marxen</v>
      </c>
      <c r="D6720" t="str">
        <f>_xlfn.XLOOKUP($B6720,sales_teams!$A$2:$A$36,sales_teams!C$2:C$36)</f>
        <v>Central</v>
      </c>
      <c r="E6720" t="s">
        <v>48</v>
      </c>
      <c r="F6720" t="s">
        <v>129</v>
      </c>
      <c r="G6720" t="s">
        <v>12</v>
      </c>
      <c r="H6720" s="1">
        <v>42993</v>
      </c>
      <c r="I6720" s="1">
        <v>43088</v>
      </c>
      <c r="J6720">
        <v>5385</v>
      </c>
    </row>
    <row r="6721" spans="1:10" x14ac:dyDescent="0.3">
      <c r="A6721" t="s">
        <v>6852</v>
      </c>
      <c r="B6721" t="s">
        <v>32</v>
      </c>
      <c r="C6721" t="str">
        <f>_xlfn.XLOOKUP(B6721,
[1]sales_teams!$A$2:$A$100,
[1]sales_teams!$B$2:$B$100)</f>
        <v>Celia Rouche</v>
      </c>
      <c r="D6721" t="str">
        <f>_xlfn.XLOOKUP($B6721,sales_teams!$A$2:$A$36,sales_teams!C$2:C$36)</f>
        <v>West</v>
      </c>
      <c r="E6721" t="s">
        <v>20</v>
      </c>
      <c r="F6721" t="s">
        <v>315</v>
      </c>
      <c r="G6721" t="s">
        <v>46</v>
      </c>
      <c r="H6721" s="1">
        <v>42993</v>
      </c>
      <c r="I6721" s="1">
        <v>43096</v>
      </c>
      <c r="J6721">
        <v>0</v>
      </c>
    </row>
    <row r="6722" spans="1:10" x14ac:dyDescent="0.3">
      <c r="A6722" t="s">
        <v>6853</v>
      </c>
      <c r="B6722" t="s">
        <v>32</v>
      </c>
      <c r="C6722" t="str">
        <f>_xlfn.XLOOKUP(B6722,
[1]sales_teams!$A$2:$A$100,
[1]sales_teams!$B$2:$B$100)</f>
        <v>Celia Rouche</v>
      </c>
      <c r="D6722" t="str">
        <f>_xlfn.XLOOKUP($B6722,sales_teams!$A$2:$A$36,sales_teams!C$2:C$36)</f>
        <v>West</v>
      </c>
      <c r="E6722" t="s">
        <v>18</v>
      </c>
      <c r="F6722" t="s">
        <v>79</v>
      </c>
      <c r="G6722" t="s">
        <v>12</v>
      </c>
      <c r="H6722" s="1">
        <v>42993</v>
      </c>
      <c r="I6722" s="1">
        <v>43078</v>
      </c>
      <c r="J6722">
        <v>48</v>
      </c>
    </row>
    <row r="6723" spans="1:10" x14ac:dyDescent="0.3">
      <c r="A6723" t="s">
        <v>6854</v>
      </c>
      <c r="B6723" t="s">
        <v>32</v>
      </c>
      <c r="C6723" t="str">
        <f>_xlfn.XLOOKUP(B6723,
[1]sales_teams!$A$2:$A$100,
[1]sales_teams!$B$2:$B$100)</f>
        <v>Celia Rouche</v>
      </c>
      <c r="D6723" t="str">
        <f>_xlfn.XLOOKUP($B6723,sales_teams!$A$2:$A$36,sales_teams!C$2:C$36)</f>
        <v>West</v>
      </c>
      <c r="E6723" t="s">
        <v>39</v>
      </c>
      <c r="F6723" t="s">
        <v>124</v>
      </c>
      <c r="G6723" t="s">
        <v>12</v>
      </c>
      <c r="H6723" s="1">
        <v>42993</v>
      </c>
      <c r="I6723" s="1">
        <v>43070</v>
      </c>
      <c r="J6723">
        <v>3663</v>
      </c>
    </row>
    <row r="6724" spans="1:10" x14ac:dyDescent="0.3">
      <c r="A6724" t="s">
        <v>6855</v>
      </c>
      <c r="B6724" t="s">
        <v>51</v>
      </c>
      <c r="C6724" t="str">
        <f>_xlfn.XLOOKUP(B6724,
[1]sales_teams!$A$2:$A$100,
[1]sales_teams!$B$2:$B$100)</f>
        <v>Summer Sewald</v>
      </c>
      <c r="D6724" t="str">
        <f>_xlfn.XLOOKUP($B6724,sales_teams!$A$2:$A$36,sales_teams!C$2:C$36)</f>
        <v>West</v>
      </c>
      <c r="E6724" t="s">
        <v>10</v>
      </c>
      <c r="G6724" t="s">
        <v>40</v>
      </c>
      <c r="H6724" s="1">
        <v>42993</v>
      </c>
    </row>
    <row r="6725" spans="1:10" x14ac:dyDescent="0.3">
      <c r="A6725" t="s">
        <v>6856</v>
      </c>
      <c r="B6725" t="s">
        <v>51</v>
      </c>
      <c r="C6725" t="str">
        <f>_xlfn.XLOOKUP(B6725,
[1]sales_teams!$A$2:$A$100,
[1]sales_teams!$B$2:$B$100)</f>
        <v>Summer Sewald</v>
      </c>
      <c r="D6725" t="str">
        <f>_xlfn.XLOOKUP($B6725,sales_teams!$A$2:$A$36,sales_teams!C$2:C$36)</f>
        <v>West</v>
      </c>
      <c r="E6725" t="s">
        <v>15</v>
      </c>
      <c r="F6725" t="s">
        <v>398</v>
      </c>
      <c r="G6725" t="s">
        <v>12</v>
      </c>
      <c r="H6725" s="1">
        <v>42993</v>
      </c>
      <c r="I6725" s="1">
        <v>43008</v>
      </c>
      <c r="J6725">
        <v>4695</v>
      </c>
    </row>
    <row r="6726" spans="1:10" x14ac:dyDescent="0.3">
      <c r="A6726" t="s">
        <v>6857</v>
      </c>
      <c r="B6726" t="s">
        <v>29</v>
      </c>
      <c r="C6726" t="str">
        <f>_xlfn.XLOOKUP(B6726,
[1]sales_teams!$A$2:$A$100,
[1]sales_teams!$B$2:$B$100)</f>
        <v>Celia Rouche</v>
      </c>
      <c r="D6726" t="str">
        <f>_xlfn.XLOOKUP($B6726,sales_teams!$A$2:$A$36,sales_teams!C$2:C$36)</f>
        <v>West</v>
      </c>
      <c r="E6726" t="s">
        <v>18</v>
      </c>
      <c r="F6726" t="s">
        <v>70</v>
      </c>
      <c r="G6726" t="s">
        <v>46</v>
      </c>
      <c r="H6726" s="1">
        <v>42993</v>
      </c>
      <c r="I6726" s="1">
        <v>43099</v>
      </c>
      <c r="J6726">
        <v>0</v>
      </c>
    </row>
    <row r="6727" spans="1:10" x14ac:dyDescent="0.3">
      <c r="A6727" t="s">
        <v>6858</v>
      </c>
      <c r="B6727" t="s">
        <v>102</v>
      </c>
      <c r="C6727" t="str">
        <f>_xlfn.XLOOKUP(B6727,
[1]sales_teams!$A$2:$A$100,
[1]sales_teams!$B$2:$B$100)</f>
        <v>Cara Losch</v>
      </c>
      <c r="D6727" t="str">
        <f>_xlfn.XLOOKUP($B6727,sales_teams!$A$2:$A$36,sales_teams!C$2:C$36)</f>
        <v>East</v>
      </c>
      <c r="E6727" t="s">
        <v>39</v>
      </c>
      <c r="G6727" t="s">
        <v>40</v>
      </c>
      <c r="H6727" s="1">
        <v>42993</v>
      </c>
    </row>
    <row r="6728" spans="1:10" x14ac:dyDescent="0.3">
      <c r="A6728" t="s">
        <v>6859</v>
      </c>
      <c r="B6728" t="s">
        <v>23</v>
      </c>
      <c r="C6728" t="str">
        <f>_xlfn.XLOOKUP(B6728,
[1]sales_teams!$A$2:$A$100,
[1]sales_teams!$B$2:$B$100)</f>
        <v>Summer Sewald</v>
      </c>
      <c r="D6728" t="str">
        <f>_xlfn.XLOOKUP($B6728,sales_teams!$A$2:$A$36,sales_teams!C$2:C$36)</f>
        <v>West</v>
      </c>
      <c r="E6728" t="s">
        <v>39</v>
      </c>
      <c r="F6728" t="s">
        <v>68</v>
      </c>
      <c r="G6728" t="s">
        <v>12</v>
      </c>
      <c r="H6728" s="1">
        <v>42993</v>
      </c>
      <c r="I6728" s="1">
        <v>43046</v>
      </c>
      <c r="J6728">
        <v>2712</v>
      </c>
    </row>
    <row r="6729" spans="1:10" x14ac:dyDescent="0.3">
      <c r="A6729" t="s">
        <v>6860</v>
      </c>
      <c r="B6729" t="s">
        <v>26</v>
      </c>
      <c r="C6729" t="str">
        <f>_xlfn.XLOOKUP(B6729,
[1]sales_teams!$A$2:$A$100,
[1]sales_teams!$B$2:$B$100)</f>
        <v>Dustin Brinkmann</v>
      </c>
      <c r="D6729" t="str">
        <f>_xlfn.XLOOKUP($B6729,sales_teams!$A$2:$A$36,sales_teams!C$2:C$36)</f>
        <v>Central</v>
      </c>
      <c r="E6729" t="s">
        <v>18</v>
      </c>
      <c r="F6729" t="s">
        <v>27</v>
      </c>
      <c r="G6729" t="s">
        <v>12</v>
      </c>
      <c r="H6729" s="1">
        <v>42994</v>
      </c>
      <c r="I6729" s="1">
        <v>43076</v>
      </c>
      <c r="J6729">
        <v>65</v>
      </c>
    </row>
    <row r="6730" spans="1:10" x14ac:dyDescent="0.3">
      <c r="A6730" t="s">
        <v>6861</v>
      </c>
      <c r="B6730" t="s">
        <v>26</v>
      </c>
      <c r="C6730" t="str">
        <f>_xlfn.XLOOKUP(B6730,
[1]sales_teams!$A$2:$A$100,
[1]sales_teams!$B$2:$B$100)</f>
        <v>Dustin Brinkmann</v>
      </c>
      <c r="D6730" t="str">
        <f>_xlfn.XLOOKUP($B6730,sales_teams!$A$2:$A$36,sales_teams!C$2:C$36)</f>
        <v>Central</v>
      </c>
      <c r="E6730" t="s">
        <v>18</v>
      </c>
      <c r="F6730" t="s">
        <v>187</v>
      </c>
      <c r="G6730" t="s">
        <v>12</v>
      </c>
      <c r="H6730" s="1">
        <v>42994</v>
      </c>
      <c r="I6730" s="1">
        <v>43001</v>
      </c>
      <c r="J6730">
        <v>55</v>
      </c>
    </row>
    <row r="6731" spans="1:10" x14ac:dyDescent="0.3">
      <c r="A6731" t="s">
        <v>6862</v>
      </c>
      <c r="B6731" t="s">
        <v>26</v>
      </c>
      <c r="C6731" t="str">
        <f>_xlfn.XLOOKUP(B6731,
[1]sales_teams!$A$2:$A$100,
[1]sales_teams!$B$2:$B$100)</f>
        <v>Dustin Brinkmann</v>
      </c>
      <c r="D6731" t="str">
        <f>_xlfn.XLOOKUP($B6731,sales_teams!$A$2:$A$36,sales_teams!C$2:C$36)</f>
        <v>Central</v>
      </c>
      <c r="E6731" t="s">
        <v>18</v>
      </c>
      <c r="F6731" t="s">
        <v>492</v>
      </c>
      <c r="G6731" t="s">
        <v>12</v>
      </c>
      <c r="H6731" s="1">
        <v>42994</v>
      </c>
      <c r="I6731" s="1">
        <v>43099</v>
      </c>
      <c r="J6731">
        <v>58</v>
      </c>
    </row>
    <row r="6732" spans="1:10" x14ac:dyDescent="0.3">
      <c r="A6732" t="s">
        <v>6863</v>
      </c>
      <c r="B6732" t="s">
        <v>118</v>
      </c>
      <c r="C6732" t="str">
        <f>_xlfn.XLOOKUP(B6732,
[1]sales_teams!$A$2:$A$100,
[1]sales_teams!$B$2:$B$100)</f>
        <v>Rocco Neubert</v>
      </c>
      <c r="D6732" t="str">
        <f>_xlfn.XLOOKUP($B6732,sales_teams!$A$2:$A$36,sales_teams!C$2:C$36)</f>
        <v>East</v>
      </c>
      <c r="E6732" t="s">
        <v>48</v>
      </c>
      <c r="G6732" t="s">
        <v>40</v>
      </c>
      <c r="H6732" s="1">
        <v>42994</v>
      </c>
    </row>
    <row r="6733" spans="1:10" x14ac:dyDescent="0.3">
      <c r="A6733" t="s">
        <v>6864</v>
      </c>
      <c r="B6733" t="s">
        <v>118</v>
      </c>
      <c r="C6733" t="str">
        <f>_xlfn.XLOOKUP(B6733,
[1]sales_teams!$A$2:$A$100,
[1]sales_teams!$B$2:$B$100)</f>
        <v>Rocco Neubert</v>
      </c>
      <c r="D6733" t="str">
        <f>_xlfn.XLOOKUP($B6733,sales_teams!$A$2:$A$36,sales_teams!C$2:C$36)</f>
        <v>East</v>
      </c>
      <c r="E6733" t="s">
        <v>20</v>
      </c>
      <c r="F6733" t="s">
        <v>177</v>
      </c>
      <c r="G6733" t="s">
        <v>12</v>
      </c>
      <c r="H6733" s="1">
        <v>42994</v>
      </c>
      <c r="I6733" s="1">
        <v>43005</v>
      </c>
      <c r="J6733">
        <v>512</v>
      </c>
    </row>
    <row r="6734" spans="1:10" x14ac:dyDescent="0.3">
      <c r="A6734" t="s">
        <v>6865</v>
      </c>
      <c r="B6734" t="s">
        <v>164</v>
      </c>
      <c r="C6734" t="str">
        <f>_xlfn.XLOOKUP(B6734,
[1]sales_teams!$A$2:$A$100,
[1]sales_teams!$B$2:$B$100)</f>
        <v>Cara Losch</v>
      </c>
      <c r="D6734" t="str">
        <f>_xlfn.XLOOKUP($B6734,sales_teams!$A$2:$A$36,sales_teams!C$2:C$36)</f>
        <v>East</v>
      </c>
      <c r="E6734" t="s">
        <v>48</v>
      </c>
      <c r="F6734" t="s">
        <v>155</v>
      </c>
      <c r="G6734" t="s">
        <v>12</v>
      </c>
      <c r="H6734" s="1">
        <v>42994</v>
      </c>
      <c r="I6734" s="1">
        <v>43002</v>
      </c>
      <c r="J6734">
        <v>5820</v>
      </c>
    </row>
    <row r="6735" spans="1:10" x14ac:dyDescent="0.3">
      <c r="A6735" t="s">
        <v>6866</v>
      </c>
      <c r="B6735" t="s">
        <v>64</v>
      </c>
      <c r="C6735" t="str">
        <f>_xlfn.XLOOKUP(B6735,
[1]sales_teams!$A$2:$A$100,
[1]sales_teams!$B$2:$B$100)</f>
        <v>Rocco Neubert</v>
      </c>
      <c r="D6735" t="str">
        <f>_xlfn.XLOOKUP($B6735,sales_teams!$A$2:$A$36,sales_teams!C$2:C$36)</f>
        <v>East</v>
      </c>
      <c r="E6735" t="s">
        <v>48</v>
      </c>
      <c r="F6735" t="s">
        <v>410</v>
      </c>
      <c r="G6735" t="s">
        <v>46</v>
      </c>
      <c r="H6735" s="1">
        <v>42994</v>
      </c>
      <c r="I6735" s="1">
        <v>43069</v>
      </c>
      <c r="J6735">
        <v>0</v>
      </c>
    </row>
    <row r="6736" spans="1:10" x14ac:dyDescent="0.3">
      <c r="A6736" t="s">
        <v>6867</v>
      </c>
      <c r="B6736" t="s">
        <v>14</v>
      </c>
      <c r="C6736" t="str">
        <f>_xlfn.XLOOKUP(B6736,
[1]sales_teams!$A$2:$A$100,
[1]sales_teams!$B$2:$B$100)</f>
        <v>Melvin Marxen</v>
      </c>
      <c r="D6736" t="str">
        <f>_xlfn.XLOOKUP($B6736,sales_teams!$A$2:$A$36,sales_teams!C$2:C$36)</f>
        <v>Central</v>
      </c>
      <c r="E6736" t="s">
        <v>10</v>
      </c>
      <c r="F6736" t="s">
        <v>21</v>
      </c>
      <c r="G6736" t="s">
        <v>12</v>
      </c>
      <c r="H6736" s="1">
        <v>42994</v>
      </c>
      <c r="I6736" s="1">
        <v>43064</v>
      </c>
      <c r="J6736">
        <v>1179</v>
      </c>
    </row>
    <row r="6737" spans="1:10" x14ac:dyDescent="0.3">
      <c r="A6737" t="s">
        <v>6868</v>
      </c>
      <c r="B6737" t="s">
        <v>14</v>
      </c>
      <c r="C6737" t="str">
        <f>_xlfn.XLOOKUP(B6737,
[1]sales_teams!$A$2:$A$100,
[1]sales_teams!$B$2:$B$100)</f>
        <v>Melvin Marxen</v>
      </c>
      <c r="D6737" t="str">
        <f>_xlfn.XLOOKUP($B6737,sales_teams!$A$2:$A$36,sales_teams!C$2:C$36)</f>
        <v>Central</v>
      </c>
      <c r="E6737" t="s">
        <v>10</v>
      </c>
      <c r="F6737" t="s">
        <v>151</v>
      </c>
      <c r="G6737" t="s">
        <v>12</v>
      </c>
      <c r="H6737" s="1">
        <v>42994</v>
      </c>
      <c r="I6737" s="1">
        <v>43004</v>
      </c>
      <c r="J6737">
        <v>1153</v>
      </c>
    </row>
    <row r="6738" spans="1:10" x14ac:dyDescent="0.3">
      <c r="A6738" t="s">
        <v>6869</v>
      </c>
      <c r="B6738" t="s">
        <v>142</v>
      </c>
      <c r="C6738" t="str">
        <f>_xlfn.XLOOKUP(B6738,
[1]sales_teams!$A$2:$A$100,
[1]sales_teams!$B$2:$B$100)</f>
        <v>Rocco Neubert</v>
      </c>
      <c r="D6738" t="str">
        <f>_xlfn.XLOOKUP($B6738,sales_teams!$A$2:$A$36,sales_teams!C$2:C$36)</f>
        <v>East</v>
      </c>
      <c r="E6738" t="s">
        <v>10</v>
      </c>
      <c r="F6738" t="s">
        <v>81</v>
      </c>
      <c r="G6738" t="s">
        <v>12</v>
      </c>
      <c r="H6738" s="1">
        <v>42994</v>
      </c>
      <c r="I6738" s="1">
        <v>42999</v>
      </c>
      <c r="J6738">
        <v>892</v>
      </c>
    </row>
    <row r="6739" spans="1:10" x14ac:dyDescent="0.3">
      <c r="A6739" t="s">
        <v>6870</v>
      </c>
      <c r="B6739" t="s">
        <v>142</v>
      </c>
      <c r="C6739" t="str">
        <f>_xlfn.XLOOKUP(B6739,
[1]sales_teams!$A$2:$A$100,
[1]sales_teams!$B$2:$B$100)</f>
        <v>Rocco Neubert</v>
      </c>
      <c r="D6739" t="str">
        <f>_xlfn.XLOOKUP($B6739,sales_teams!$A$2:$A$36,sales_teams!C$2:C$36)</f>
        <v>East</v>
      </c>
      <c r="E6739" t="s">
        <v>10</v>
      </c>
      <c r="F6739" t="s">
        <v>300</v>
      </c>
      <c r="G6739" t="s">
        <v>12</v>
      </c>
      <c r="H6739" s="1">
        <v>42994</v>
      </c>
      <c r="I6739" s="1">
        <v>43061</v>
      </c>
      <c r="J6739">
        <v>1231</v>
      </c>
    </row>
    <row r="6740" spans="1:10" x14ac:dyDescent="0.3">
      <c r="A6740" t="s">
        <v>6871</v>
      </c>
      <c r="B6740" t="s">
        <v>142</v>
      </c>
      <c r="C6740" t="str">
        <f>_xlfn.XLOOKUP(B6740,
[1]sales_teams!$A$2:$A$100,
[1]sales_teams!$B$2:$B$100)</f>
        <v>Rocco Neubert</v>
      </c>
      <c r="D6740" t="str">
        <f>_xlfn.XLOOKUP($B6740,sales_teams!$A$2:$A$36,sales_teams!C$2:C$36)</f>
        <v>East</v>
      </c>
      <c r="E6740" t="s">
        <v>39</v>
      </c>
      <c r="F6740" t="s">
        <v>215</v>
      </c>
      <c r="G6740" t="s">
        <v>12</v>
      </c>
      <c r="H6740" s="1">
        <v>42994</v>
      </c>
      <c r="I6740" s="1">
        <v>43094</v>
      </c>
      <c r="J6740">
        <v>3091</v>
      </c>
    </row>
    <row r="6741" spans="1:10" x14ac:dyDescent="0.3">
      <c r="A6741" t="s">
        <v>6872</v>
      </c>
      <c r="B6741" t="s">
        <v>105</v>
      </c>
      <c r="C6741" t="str">
        <f>_xlfn.XLOOKUP(B6741,
[1]sales_teams!$A$2:$A$100,
[1]sales_teams!$B$2:$B$100)</f>
        <v>Cara Losch</v>
      </c>
      <c r="D6741" t="str">
        <f>_xlfn.XLOOKUP($B6741,sales_teams!$A$2:$A$36,sales_teams!C$2:C$36)</f>
        <v>East</v>
      </c>
      <c r="E6741" t="s">
        <v>20</v>
      </c>
      <c r="F6741" t="s">
        <v>65</v>
      </c>
      <c r="G6741" t="s">
        <v>12</v>
      </c>
      <c r="H6741" s="1">
        <v>42994</v>
      </c>
      <c r="I6741" s="1">
        <v>43063</v>
      </c>
      <c r="J6741">
        <v>547</v>
      </c>
    </row>
    <row r="6742" spans="1:10" x14ac:dyDescent="0.3">
      <c r="A6742" t="s">
        <v>6873</v>
      </c>
      <c r="B6742" t="s">
        <v>38</v>
      </c>
      <c r="C6742" t="str">
        <f>_xlfn.XLOOKUP(B6742,
[1]sales_teams!$A$2:$A$100,
[1]sales_teams!$B$2:$B$100)</f>
        <v>Summer Sewald</v>
      </c>
      <c r="D6742" t="str">
        <f>_xlfn.XLOOKUP($B6742,sales_teams!$A$2:$A$36,sales_teams!C$2:C$36)</f>
        <v>West</v>
      </c>
      <c r="E6742" t="s">
        <v>18</v>
      </c>
      <c r="F6742" t="s">
        <v>86</v>
      </c>
      <c r="G6742" t="s">
        <v>46</v>
      </c>
      <c r="H6742" s="1">
        <v>42994</v>
      </c>
      <c r="I6742" s="1">
        <v>43052</v>
      </c>
      <c r="J6742">
        <v>0</v>
      </c>
    </row>
    <row r="6743" spans="1:10" x14ac:dyDescent="0.3">
      <c r="A6743" t="s">
        <v>6874</v>
      </c>
      <c r="B6743" t="s">
        <v>38</v>
      </c>
      <c r="C6743" t="str">
        <f>_xlfn.XLOOKUP(B6743,
[1]sales_teams!$A$2:$A$100,
[1]sales_teams!$B$2:$B$100)</f>
        <v>Summer Sewald</v>
      </c>
      <c r="D6743" t="str">
        <f>_xlfn.XLOOKUP($B6743,sales_teams!$A$2:$A$36,sales_teams!C$2:C$36)</f>
        <v>West</v>
      </c>
      <c r="E6743" t="s">
        <v>48</v>
      </c>
      <c r="F6743" t="s">
        <v>148</v>
      </c>
      <c r="G6743" t="s">
        <v>12</v>
      </c>
      <c r="H6743" s="1">
        <v>42994</v>
      </c>
      <c r="I6743" s="1">
        <v>42996</v>
      </c>
      <c r="J6743">
        <v>5919</v>
      </c>
    </row>
    <row r="6744" spans="1:10" x14ac:dyDescent="0.3">
      <c r="A6744" t="s">
        <v>6875</v>
      </c>
      <c r="B6744" t="s">
        <v>38</v>
      </c>
      <c r="C6744" t="str">
        <f>_xlfn.XLOOKUP(B6744,
[1]sales_teams!$A$2:$A$100,
[1]sales_teams!$B$2:$B$100)</f>
        <v>Summer Sewald</v>
      </c>
      <c r="D6744" t="str">
        <f>_xlfn.XLOOKUP($B6744,sales_teams!$A$2:$A$36,sales_teams!C$2:C$36)</f>
        <v>West</v>
      </c>
      <c r="E6744" t="s">
        <v>48</v>
      </c>
      <c r="F6744" t="s">
        <v>398</v>
      </c>
      <c r="G6744" t="s">
        <v>12</v>
      </c>
      <c r="H6744" s="1">
        <v>42994</v>
      </c>
      <c r="I6744" s="1">
        <v>43049</v>
      </c>
      <c r="J6744">
        <v>5745</v>
      </c>
    </row>
    <row r="6745" spans="1:10" x14ac:dyDescent="0.3">
      <c r="A6745" t="s">
        <v>6876</v>
      </c>
      <c r="B6745" t="s">
        <v>252</v>
      </c>
      <c r="C6745" t="str">
        <f>_xlfn.XLOOKUP(B6745,
[1]sales_teams!$A$2:$A$100,
[1]sales_teams!$B$2:$B$100)</f>
        <v>Melvin Marxen</v>
      </c>
      <c r="D6745" t="str">
        <f>_xlfn.XLOOKUP($B6745,sales_teams!$A$2:$A$36,sales_teams!C$2:C$36)</f>
        <v>Central</v>
      </c>
      <c r="E6745" t="s">
        <v>20</v>
      </c>
      <c r="F6745" t="s">
        <v>111</v>
      </c>
      <c r="G6745" t="s">
        <v>46</v>
      </c>
      <c r="H6745" s="1">
        <v>42994</v>
      </c>
      <c r="I6745" s="1">
        <v>43058</v>
      </c>
      <c r="J6745">
        <v>0</v>
      </c>
    </row>
    <row r="6746" spans="1:10" x14ac:dyDescent="0.3">
      <c r="A6746" t="s">
        <v>6877</v>
      </c>
      <c r="B6746" t="s">
        <v>252</v>
      </c>
      <c r="C6746" t="str">
        <f>_xlfn.XLOOKUP(B6746,
[1]sales_teams!$A$2:$A$100,
[1]sales_teams!$B$2:$B$100)</f>
        <v>Melvin Marxen</v>
      </c>
      <c r="D6746" t="str">
        <f>_xlfn.XLOOKUP($B6746,sales_teams!$A$2:$A$36,sales_teams!C$2:C$36)</f>
        <v>Central</v>
      </c>
      <c r="E6746" t="s">
        <v>20</v>
      </c>
      <c r="F6746" t="s">
        <v>492</v>
      </c>
      <c r="G6746" t="s">
        <v>46</v>
      </c>
      <c r="H6746" s="1">
        <v>42994</v>
      </c>
      <c r="I6746" s="1">
        <v>43065</v>
      </c>
      <c r="J6746">
        <v>0</v>
      </c>
    </row>
    <row r="6747" spans="1:10" x14ac:dyDescent="0.3">
      <c r="A6747" t="s">
        <v>6878</v>
      </c>
      <c r="B6747" t="s">
        <v>252</v>
      </c>
      <c r="C6747" t="str">
        <f>_xlfn.XLOOKUP(B6747,
[1]sales_teams!$A$2:$A$100,
[1]sales_teams!$B$2:$B$100)</f>
        <v>Melvin Marxen</v>
      </c>
      <c r="D6747" t="str">
        <f>_xlfn.XLOOKUP($B6747,sales_teams!$A$2:$A$36,sales_teams!C$2:C$36)</f>
        <v>Central</v>
      </c>
      <c r="E6747" t="s">
        <v>15</v>
      </c>
      <c r="F6747" t="s">
        <v>76</v>
      </c>
      <c r="G6747" t="s">
        <v>46</v>
      </c>
      <c r="H6747" s="1">
        <v>42994</v>
      </c>
      <c r="I6747" s="1">
        <v>43091</v>
      </c>
      <c r="J6747">
        <v>0</v>
      </c>
    </row>
    <row r="6748" spans="1:10" x14ac:dyDescent="0.3">
      <c r="A6748" t="s">
        <v>6879</v>
      </c>
      <c r="B6748" t="s">
        <v>133</v>
      </c>
      <c r="C6748" t="str">
        <f>_xlfn.XLOOKUP(B6748,
[1]sales_teams!$A$2:$A$100,
[1]sales_teams!$B$2:$B$100)</f>
        <v>Dustin Brinkmann</v>
      </c>
      <c r="D6748" t="str">
        <f>_xlfn.XLOOKUP($B6748,sales_teams!$A$2:$A$36,sales_teams!C$2:C$36)</f>
        <v>Central</v>
      </c>
      <c r="E6748" t="s">
        <v>39</v>
      </c>
      <c r="F6748" t="s">
        <v>11</v>
      </c>
      <c r="G6748" t="s">
        <v>46</v>
      </c>
      <c r="H6748" s="1">
        <v>42994</v>
      </c>
      <c r="I6748" s="1">
        <v>43075</v>
      </c>
      <c r="J6748">
        <v>0</v>
      </c>
    </row>
    <row r="6749" spans="1:10" x14ac:dyDescent="0.3">
      <c r="A6749" t="s">
        <v>6880</v>
      </c>
      <c r="B6749" t="s">
        <v>32</v>
      </c>
      <c r="C6749" t="str">
        <f>_xlfn.XLOOKUP(B6749,
[1]sales_teams!$A$2:$A$100,
[1]sales_teams!$B$2:$B$100)</f>
        <v>Celia Rouche</v>
      </c>
      <c r="D6749" t="str">
        <f>_xlfn.XLOOKUP($B6749,sales_teams!$A$2:$A$36,sales_teams!C$2:C$36)</f>
        <v>West</v>
      </c>
      <c r="E6749" t="s">
        <v>48</v>
      </c>
      <c r="F6749" t="s">
        <v>199</v>
      </c>
      <c r="G6749" t="s">
        <v>46</v>
      </c>
      <c r="H6749" s="1">
        <v>42994</v>
      </c>
      <c r="I6749" s="1">
        <v>43078</v>
      </c>
      <c r="J6749">
        <v>0</v>
      </c>
    </row>
    <row r="6750" spans="1:10" x14ac:dyDescent="0.3">
      <c r="A6750" t="s">
        <v>6881</v>
      </c>
      <c r="B6750" t="s">
        <v>32</v>
      </c>
      <c r="C6750" t="str">
        <f>_xlfn.XLOOKUP(B6750,
[1]sales_teams!$A$2:$A$100,
[1]sales_teams!$B$2:$B$100)</f>
        <v>Celia Rouche</v>
      </c>
      <c r="D6750" t="str">
        <f>_xlfn.XLOOKUP($B6750,sales_teams!$A$2:$A$36,sales_teams!C$2:C$36)</f>
        <v>West</v>
      </c>
      <c r="E6750" t="s">
        <v>10</v>
      </c>
      <c r="F6750" t="s">
        <v>273</v>
      </c>
      <c r="G6750" t="s">
        <v>12</v>
      </c>
      <c r="H6750" s="1">
        <v>42994</v>
      </c>
      <c r="I6750" s="1">
        <v>43084</v>
      </c>
      <c r="J6750">
        <v>1252</v>
      </c>
    </row>
    <row r="6751" spans="1:10" x14ac:dyDescent="0.3">
      <c r="A6751" t="s">
        <v>6882</v>
      </c>
      <c r="B6751" t="s">
        <v>9</v>
      </c>
      <c r="C6751" t="str">
        <f>_xlfn.XLOOKUP(B6751,
[1]sales_teams!$A$2:$A$100,
[1]sales_teams!$B$2:$B$100)</f>
        <v>Dustin Brinkmann</v>
      </c>
      <c r="D6751" t="str">
        <f>_xlfn.XLOOKUP($B6751,sales_teams!$A$2:$A$36,sales_teams!C$2:C$36)</f>
        <v>Central</v>
      </c>
      <c r="E6751" t="s">
        <v>18</v>
      </c>
      <c r="F6751" t="s">
        <v>91</v>
      </c>
      <c r="G6751" t="s">
        <v>46</v>
      </c>
      <c r="H6751" s="1">
        <v>42994</v>
      </c>
      <c r="I6751" s="1">
        <v>43060</v>
      </c>
      <c r="J6751">
        <v>0</v>
      </c>
    </row>
    <row r="6752" spans="1:10" x14ac:dyDescent="0.3">
      <c r="A6752" t="s">
        <v>6883</v>
      </c>
      <c r="B6752" t="s">
        <v>9</v>
      </c>
      <c r="C6752" t="str">
        <f>_xlfn.XLOOKUP(B6752,
[1]sales_teams!$A$2:$A$100,
[1]sales_teams!$B$2:$B$100)</f>
        <v>Dustin Brinkmann</v>
      </c>
      <c r="D6752" t="str">
        <f>_xlfn.XLOOKUP($B6752,sales_teams!$A$2:$A$36,sales_teams!C$2:C$36)</f>
        <v>Central</v>
      </c>
      <c r="E6752" t="s">
        <v>39</v>
      </c>
      <c r="F6752" t="s">
        <v>111</v>
      </c>
      <c r="G6752" t="s">
        <v>12</v>
      </c>
      <c r="H6752" s="1">
        <v>42994</v>
      </c>
      <c r="I6752" s="1">
        <v>43074</v>
      </c>
      <c r="J6752">
        <v>3039</v>
      </c>
    </row>
    <row r="6753" spans="1:10" x14ac:dyDescent="0.3">
      <c r="A6753" t="s">
        <v>6884</v>
      </c>
      <c r="B6753" t="s">
        <v>35</v>
      </c>
      <c r="C6753" t="str">
        <f>_xlfn.XLOOKUP(B6753,
[1]sales_teams!$A$2:$A$100,
[1]sales_teams!$B$2:$B$100)</f>
        <v>Melvin Marxen</v>
      </c>
      <c r="D6753" t="str">
        <f>_xlfn.XLOOKUP($B6753,sales_teams!$A$2:$A$36,sales_teams!C$2:C$36)</f>
        <v>Central</v>
      </c>
      <c r="E6753" t="s">
        <v>20</v>
      </c>
      <c r="F6753" t="s">
        <v>62</v>
      </c>
      <c r="G6753" t="s">
        <v>12</v>
      </c>
      <c r="H6753" s="1">
        <v>42994</v>
      </c>
      <c r="I6753" s="1">
        <v>43058</v>
      </c>
      <c r="J6753">
        <v>637</v>
      </c>
    </row>
    <row r="6754" spans="1:10" x14ac:dyDescent="0.3">
      <c r="A6754" t="s">
        <v>6885</v>
      </c>
      <c r="B6754" t="s">
        <v>97</v>
      </c>
      <c r="C6754" t="str">
        <f>_xlfn.XLOOKUP(B6754,
[1]sales_teams!$A$2:$A$100,
[1]sales_teams!$B$2:$B$100)</f>
        <v>Rocco Neubert</v>
      </c>
      <c r="D6754" t="str">
        <f>_xlfn.XLOOKUP($B6754,sales_teams!$A$2:$A$36,sales_teams!C$2:C$36)</f>
        <v>East</v>
      </c>
      <c r="E6754" t="s">
        <v>20</v>
      </c>
      <c r="F6754" t="s">
        <v>98</v>
      </c>
      <c r="G6754" t="s">
        <v>46</v>
      </c>
      <c r="H6754" s="1">
        <v>42994</v>
      </c>
      <c r="I6754" s="1">
        <v>43004</v>
      </c>
      <c r="J6754">
        <v>0</v>
      </c>
    </row>
    <row r="6755" spans="1:10" x14ac:dyDescent="0.3">
      <c r="A6755" t="s">
        <v>6886</v>
      </c>
      <c r="B6755" t="s">
        <v>57</v>
      </c>
      <c r="C6755" t="str">
        <f>_xlfn.XLOOKUP(B6755,
[1]sales_teams!$A$2:$A$100,
[1]sales_teams!$B$2:$B$100)</f>
        <v>Celia Rouche</v>
      </c>
      <c r="D6755" t="str">
        <f>_xlfn.XLOOKUP($B6755,sales_teams!$A$2:$A$36,sales_teams!C$2:C$36)</f>
        <v>West</v>
      </c>
      <c r="E6755" t="s">
        <v>15</v>
      </c>
      <c r="F6755" t="s">
        <v>79</v>
      </c>
      <c r="G6755" t="s">
        <v>12</v>
      </c>
      <c r="H6755" s="1">
        <v>42994</v>
      </c>
      <c r="I6755" s="1">
        <v>43077</v>
      </c>
      <c r="J6755">
        <v>4614</v>
      </c>
    </row>
    <row r="6756" spans="1:10" x14ac:dyDescent="0.3">
      <c r="A6756" t="s">
        <v>6887</v>
      </c>
      <c r="B6756" t="s">
        <v>88</v>
      </c>
      <c r="C6756" t="str">
        <f>_xlfn.XLOOKUP(B6756,
[1]sales_teams!$A$2:$A$100,
[1]sales_teams!$B$2:$B$100)</f>
        <v>Cara Losch</v>
      </c>
      <c r="D6756" t="str">
        <f>_xlfn.XLOOKUP($B6756,sales_teams!$A$2:$A$36,sales_teams!C$2:C$36)</f>
        <v>East</v>
      </c>
      <c r="E6756" t="s">
        <v>18</v>
      </c>
      <c r="F6756" t="s">
        <v>237</v>
      </c>
      <c r="G6756" t="s">
        <v>12</v>
      </c>
      <c r="H6756" s="1">
        <v>42994</v>
      </c>
      <c r="I6756" s="1">
        <v>43066</v>
      </c>
      <c r="J6756">
        <v>51</v>
      </c>
    </row>
    <row r="6757" spans="1:10" x14ac:dyDescent="0.3">
      <c r="A6757" t="s">
        <v>6888</v>
      </c>
      <c r="B6757" t="s">
        <v>29</v>
      </c>
      <c r="C6757" t="str">
        <f>_xlfn.XLOOKUP(B6757,
[1]sales_teams!$A$2:$A$100,
[1]sales_teams!$B$2:$B$100)</f>
        <v>Celia Rouche</v>
      </c>
      <c r="D6757" t="str">
        <f>_xlfn.XLOOKUP($B6757,sales_teams!$A$2:$A$36,sales_teams!C$2:C$36)</f>
        <v>West</v>
      </c>
      <c r="E6757" t="s">
        <v>48</v>
      </c>
      <c r="G6757" t="s">
        <v>40</v>
      </c>
      <c r="H6757" s="1">
        <v>42994</v>
      </c>
    </row>
    <row r="6758" spans="1:10" x14ac:dyDescent="0.3">
      <c r="A6758" t="s">
        <v>6889</v>
      </c>
      <c r="B6758" t="s">
        <v>29</v>
      </c>
      <c r="C6758" t="str">
        <f>_xlfn.XLOOKUP(B6758,
[1]sales_teams!$A$2:$A$100,
[1]sales_teams!$B$2:$B$100)</f>
        <v>Celia Rouche</v>
      </c>
      <c r="D6758" t="str">
        <f>_xlfn.XLOOKUP($B6758,sales_teams!$A$2:$A$36,sales_teams!C$2:C$36)</f>
        <v>West</v>
      </c>
      <c r="E6758" t="s">
        <v>20</v>
      </c>
      <c r="F6758" t="s">
        <v>124</v>
      </c>
      <c r="G6758" t="s">
        <v>46</v>
      </c>
      <c r="H6758" s="1">
        <v>42994</v>
      </c>
      <c r="I6758" s="1">
        <v>43058</v>
      </c>
      <c r="J6758">
        <v>0</v>
      </c>
    </row>
    <row r="6759" spans="1:10" x14ac:dyDescent="0.3">
      <c r="A6759" t="s">
        <v>6890</v>
      </c>
      <c r="B6759" t="s">
        <v>29</v>
      </c>
      <c r="C6759" t="str">
        <f>_xlfn.XLOOKUP(B6759,
[1]sales_teams!$A$2:$A$100,
[1]sales_teams!$B$2:$B$100)</f>
        <v>Celia Rouche</v>
      </c>
      <c r="D6759" t="str">
        <f>_xlfn.XLOOKUP($B6759,sales_teams!$A$2:$A$36,sales_teams!C$2:C$36)</f>
        <v>West</v>
      </c>
      <c r="E6759" t="s">
        <v>20</v>
      </c>
      <c r="F6759" t="s">
        <v>124</v>
      </c>
      <c r="G6759" t="s">
        <v>12</v>
      </c>
      <c r="H6759" s="1">
        <v>42994</v>
      </c>
      <c r="I6759" s="1">
        <v>43073</v>
      </c>
      <c r="J6759">
        <v>595</v>
      </c>
    </row>
    <row r="6760" spans="1:10" x14ac:dyDescent="0.3">
      <c r="A6760" t="s">
        <v>6891</v>
      </c>
      <c r="B6760" t="s">
        <v>29</v>
      </c>
      <c r="C6760" t="str">
        <f>_xlfn.XLOOKUP(B6760,
[1]sales_teams!$A$2:$A$100,
[1]sales_teams!$B$2:$B$100)</f>
        <v>Celia Rouche</v>
      </c>
      <c r="D6760" t="str">
        <f>_xlfn.XLOOKUP($B6760,sales_teams!$A$2:$A$36,sales_teams!C$2:C$36)</f>
        <v>West</v>
      </c>
      <c r="E6760" t="s">
        <v>18</v>
      </c>
      <c r="F6760" t="s">
        <v>79</v>
      </c>
      <c r="G6760" t="s">
        <v>12</v>
      </c>
      <c r="H6760" s="1">
        <v>42994</v>
      </c>
      <c r="I6760" s="1">
        <v>43095</v>
      </c>
      <c r="J6760">
        <v>52</v>
      </c>
    </row>
    <row r="6761" spans="1:10" x14ac:dyDescent="0.3">
      <c r="A6761" t="s">
        <v>6892</v>
      </c>
      <c r="B6761" t="s">
        <v>73</v>
      </c>
      <c r="C6761" t="str">
        <f>_xlfn.XLOOKUP(B6761,
[1]sales_teams!$A$2:$A$100,
[1]sales_teams!$B$2:$B$100)</f>
        <v>Cara Losch</v>
      </c>
      <c r="D6761" t="str">
        <f>_xlfn.XLOOKUP($B6761,sales_teams!$A$2:$A$36,sales_teams!C$2:C$36)</f>
        <v>East</v>
      </c>
      <c r="E6761" t="s">
        <v>15</v>
      </c>
      <c r="F6761" t="s">
        <v>199</v>
      </c>
      <c r="G6761" t="s">
        <v>12</v>
      </c>
      <c r="H6761" s="1">
        <v>42994</v>
      </c>
      <c r="I6761" s="1">
        <v>43008</v>
      </c>
      <c r="J6761">
        <v>5604</v>
      </c>
    </row>
    <row r="6762" spans="1:10" x14ac:dyDescent="0.3">
      <c r="A6762" t="s">
        <v>6893</v>
      </c>
      <c r="B6762" t="s">
        <v>23</v>
      </c>
      <c r="C6762" t="str">
        <f>_xlfn.XLOOKUP(B6762,
[1]sales_teams!$A$2:$A$100,
[1]sales_teams!$B$2:$B$100)</f>
        <v>Summer Sewald</v>
      </c>
      <c r="D6762" t="str">
        <f>_xlfn.XLOOKUP($B6762,sales_teams!$A$2:$A$36,sales_teams!C$2:C$36)</f>
        <v>West</v>
      </c>
      <c r="E6762" t="s">
        <v>10</v>
      </c>
      <c r="F6762" t="s">
        <v>174</v>
      </c>
      <c r="G6762" t="s">
        <v>46</v>
      </c>
      <c r="H6762" s="1">
        <v>42994</v>
      </c>
      <c r="I6762" s="1">
        <v>43057</v>
      </c>
      <c r="J6762">
        <v>0</v>
      </c>
    </row>
    <row r="6763" spans="1:10" x14ac:dyDescent="0.3">
      <c r="A6763" t="s">
        <v>6894</v>
      </c>
      <c r="B6763" t="s">
        <v>23</v>
      </c>
      <c r="C6763" t="str">
        <f>_xlfn.XLOOKUP(B6763,
[1]sales_teams!$A$2:$A$100,
[1]sales_teams!$B$2:$B$100)</f>
        <v>Summer Sewald</v>
      </c>
      <c r="D6763" t="str">
        <f>_xlfn.XLOOKUP($B6763,sales_teams!$A$2:$A$36,sales_teams!C$2:C$36)</f>
        <v>West</v>
      </c>
      <c r="E6763" t="s">
        <v>10</v>
      </c>
      <c r="F6763" t="s">
        <v>24</v>
      </c>
      <c r="G6763" t="s">
        <v>46</v>
      </c>
      <c r="H6763" s="1">
        <v>42994</v>
      </c>
      <c r="I6763" s="1">
        <v>43051</v>
      </c>
      <c r="J6763">
        <v>0</v>
      </c>
    </row>
    <row r="6764" spans="1:10" x14ac:dyDescent="0.3">
      <c r="A6764" t="s">
        <v>6895</v>
      </c>
      <c r="B6764" t="s">
        <v>23</v>
      </c>
      <c r="C6764" t="str">
        <f>_xlfn.XLOOKUP(B6764,
[1]sales_teams!$A$2:$A$100,
[1]sales_teams!$B$2:$B$100)</f>
        <v>Summer Sewald</v>
      </c>
      <c r="D6764" t="str">
        <f>_xlfn.XLOOKUP($B6764,sales_teams!$A$2:$A$36,sales_teams!C$2:C$36)</f>
        <v>West</v>
      </c>
      <c r="E6764" t="s">
        <v>10</v>
      </c>
      <c r="F6764" t="s">
        <v>168</v>
      </c>
      <c r="G6764" t="s">
        <v>46</v>
      </c>
      <c r="H6764" s="1">
        <v>42994</v>
      </c>
      <c r="I6764" s="1">
        <v>43065</v>
      </c>
      <c r="J6764">
        <v>0</v>
      </c>
    </row>
    <row r="6765" spans="1:10" x14ac:dyDescent="0.3">
      <c r="A6765" t="s">
        <v>6896</v>
      </c>
      <c r="B6765" t="s">
        <v>23</v>
      </c>
      <c r="C6765" t="str">
        <f>_xlfn.XLOOKUP(B6765,
[1]sales_teams!$A$2:$A$100,
[1]sales_teams!$B$2:$B$100)</f>
        <v>Summer Sewald</v>
      </c>
      <c r="D6765" t="str">
        <f>_xlfn.XLOOKUP($B6765,sales_teams!$A$2:$A$36,sales_teams!C$2:C$36)</f>
        <v>West</v>
      </c>
      <c r="E6765" t="s">
        <v>15</v>
      </c>
      <c r="F6765" t="s">
        <v>199</v>
      </c>
      <c r="G6765" t="s">
        <v>12</v>
      </c>
      <c r="H6765" s="1">
        <v>42994</v>
      </c>
      <c r="I6765" s="1">
        <v>43005</v>
      </c>
      <c r="J6765">
        <v>5360</v>
      </c>
    </row>
    <row r="6766" spans="1:10" x14ac:dyDescent="0.3">
      <c r="A6766" t="s">
        <v>6897</v>
      </c>
      <c r="B6766" t="s">
        <v>139</v>
      </c>
      <c r="C6766" t="str">
        <f>_xlfn.XLOOKUP(B6766,
[1]sales_teams!$A$2:$A$100,
[1]sales_teams!$B$2:$B$100)</f>
        <v>Rocco Neubert</v>
      </c>
      <c r="D6766" t="str">
        <f>_xlfn.XLOOKUP($B6766,sales_teams!$A$2:$A$36,sales_teams!C$2:C$36)</f>
        <v>East</v>
      </c>
      <c r="E6766" t="s">
        <v>10</v>
      </c>
      <c r="G6766" t="s">
        <v>40</v>
      </c>
      <c r="H6766" s="1">
        <v>42995</v>
      </c>
    </row>
    <row r="6767" spans="1:10" x14ac:dyDescent="0.3">
      <c r="A6767" t="s">
        <v>6898</v>
      </c>
      <c r="B6767" t="s">
        <v>118</v>
      </c>
      <c r="C6767" t="str">
        <f>_xlfn.XLOOKUP(B6767,
[1]sales_teams!$A$2:$A$100,
[1]sales_teams!$B$2:$B$100)</f>
        <v>Rocco Neubert</v>
      </c>
      <c r="D6767" t="str">
        <f>_xlfn.XLOOKUP($B6767,sales_teams!$A$2:$A$36,sales_teams!C$2:C$36)</f>
        <v>East</v>
      </c>
      <c r="E6767" t="s">
        <v>20</v>
      </c>
      <c r="F6767" t="s">
        <v>65</v>
      </c>
      <c r="G6767" t="s">
        <v>46</v>
      </c>
      <c r="H6767" s="1">
        <v>42995</v>
      </c>
      <c r="I6767" s="1">
        <v>43082</v>
      </c>
      <c r="J6767">
        <v>0</v>
      </c>
    </row>
    <row r="6768" spans="1:10" x14ac:dyDescent="0.3">
      <c r="A6768" t="s">
        <v>6899</v>
      </c>
      <c r="B6768" t="s">
        <v>202</v>
      </c>
      <c r="C6768" t="str">
        <f>_xlfn.XLOOKUP(B6768,
[1]sales_teams!$A$2:$A$100,
[1]sales_teams!$B$2:$B$100)</f>
        <v>Dustin Brinkmann</v>
      </c>
      <c r="D6768" t="str">
        <f>_xlfn.XLOOKUP($B6768,sales_teams!$A$2:$A$36,sales_teams!C$2:C$36)</f>
        <v>Central</v>
      </c>
      <c r="E6768" t="s">
        <v>18</v>
      </c>
      <c r="F6768" t="s">
        <v>303</v>
      </c>
      <c r="G6768" t="s">
        <v>46</v>
      </c>
      <c r="H6768" s="1">
        <v>42995</v>
      </c>
      <c r="I6768" s="1">
        <v>43052</v>
      </c>
      <c r="J6768">
        <v>0</v>
      </c>
    </row>
    <row r="6769" spans="1:10" x14ac:dyDescent="0.3">
      <c r="A6769" t="s">
        <v>6900</v>
      </c>
      <c r="B6769" t="s">
        <v>164</v>
      </c>
      <c r="C6769" t="str">
        <f>_xlfn.XLOOKUP(B6769,
[1]sales_teams!$A$2:$A$100,
[1]sales_teams!$B$2:$B$100)</f>
        <v>Cara Losch</v>
      </c>
      <c r="D6769" t="str">
        <f>_xlfn.XLOOKUP($B6769,sales_teams!$A$2:$A$36,sales_teams!C$2:C$36)</f>
        <v>East</v>
      </c>
      <c r="E6769" t="s">
        <v>15</v>
      </c>
      <c r="F6769" t="s">
        <v>81</v>
      </c>
      <c r="G6769" t="s">
        <v>46</v>
      </c>
      <c r="H6769" s="1">
        <v>42995</v>
      </c>
      <c r="I6769" s="1">
        <v>43053</v>
      </c>
      <c r="J6769">
        <v>0</v>
      </c>
    </row>
    <row r="6770" spans="1:10" x14ac:dyDescent="0.3">
      <c r="A6770" t="s">
        <v>6901</v>
      </c>
      <c r="B6770" t="s">
        <v>164</v>
      </c>
      <c r="C6770" t="str">
        <f>_xlfn.XLOOKUP(B6770,
[1]sales_teams!$A$2:$A$100,
[1]sales_teams!$B$2:$B$100)</f>
        <v>Cara Losch</v>
      </c>
      <c r="D6770" t="str">
        <f>_xlfn.XLOOKUP($B6770,sales_teams!$A$2:$A$36,sales_teams!C$2:C$36)</f>
        <v>East</v>
      </c>
      <c r="E6770" t="s">
        <v>20</v>
      </c>
      <c r="F6770" t="s">
        <v>329</v>
      </c>
      <c r="G6770" t="s">
        <v>12</v>
      </c>
      <c r="H6770" s="1">
        <v>42995</v>
      </c>
      <c r="I6770" s="1">
        <v>43088</v>
      </c>
      <c r="J6770">
        <v>538</v>
      </c>
    </row>
    <row r="6771" spans="1:10" x14ac:dyDescent="0.3">
      <c r="A6771" t="s">
        <v>6902</v>
      </c>
      <c r="B6771" t="s">
        <v>14</v>
      </c>
      <c r="C6771" t="str">
        <f>_xlfn.XLOOKUP(B6771,
[1]sales_teams!$A$2:$A$100,
[1]sales_teams!$B$2:$B$100)</f>
        <v>Melvin Marxen</v>
      </c>
      <c r="D6771" t="str">
        <f>_xlfn.XLOOKUP($B6771,sales_teams!$A$2:$A$36,sales_teams!C$2:C$36)</f>
        <v>Central</v>
      </c>
      <c r="E6771" t="s">
        <v>15</v>
      </c>
      <c r="F6771" t="s">
        <v>11</v>
      </c>
      <c r="G6771" t="s">
        <v>46</v>
      </c>
      <c r="H6771" s="1">
        <v>42995</v>
      </c>
      <c r="I6771" s="1">
        <v>43071</v>
      </c>
      <c r="J6771">
        <v>0</v>
      </c>
    </row>
    <row r="6772" spans="1:10" x14ac:dyDescent="0.3">
      <c r="A6772" t="s">
        <v>6903</v>
      </c>
      <c r="B6772" t="s">
        <v>14</v>
      </c>
      <c r="C6772" t="str">
        <f>_xlfn.XLOOKUP(B6772,
[1]sales_teams!$A$2:$A$100,
[1]sales_teams!$B$2:$B$100)</f>
        <v>Melvin Marxen</v>
      </c>
      <c r="D6772" t="str">
        <f>_xlfn.XLOOKUP($B6772,sales_teams!$A$2:$A$36,sales_teams!C$2:C$36)</f>
        <v>Central</v>
      </c>
      <c r="E6772" t="s">
        <v>48</v>
      </c>
      <c r="F6772" t="s">
        <v>120</v>
      </c>
      <c r="G6772" t="s">
        <v>12</v>
      </c>
      <c r="H6772" s="1">
        <v>42995</v>
      </c>
      <c r="I6772" s="1">
        <v>43067</v>
      </c>
      <c r="J6772">
        <v>5668</v>
      </c>
    </row>
    <row r="6773" spans="1:10" x14ac:dyDescent="0.3">
      <c r="A6773" t="s">
        <v>6904</v>
      </c>
      <c r="B6773" t="s">
        <v>14</v>
      </c>
      <c r="C6773" t="str">
        <f>_xlfn.XLOOKUP(B6773,
[1]sales_teams!$A$2:$A$100,
[1]sales_teams!$B$2:$B$100)</f>
        <v>Melvin Marxen</v>
      </c>
      <c r="D6773" t="str">
        <f>_xlfn.XLOOKUP($B6773,sales_teams!$A$2:$A$36,sales_teams!C$2:C$36)</f>
        <v>Central</v>
      </c>
      <c r="E6773" t="s">
        <v>15</v>
      </c>
      <c r="F6773" t="s">
        <v>76</v>
      </c>
      <c r="G6773" t="s">
        <v>12</v>
      </c>
      <c r="H6773" s="1">
        <v>42995</v>
      </c>
      <c r="I6773" s="1">
        <v>43080</v>
      </c>
      <c r="J6773">
        <v>5220</v>
      </c>
    </row>
    <row r="6774" spans="1:10" x14ac:dyDescent="0.3">
      <c r="A6774" t="s">
        <v>6905</v>
      </c>
      <c r="B6774" t="s">
        <v>142</v>
      </c>
      <c r="C6774" t="str">
        <f>_xlfn.XLOOKUP(B6774,
[1]sales_teams!$A$2:$A$100,
[1]sales_teams!$B$2:$B$100)</f>
        <v>Rocco Neubert</v>
      </c>
      <c r="D6774" t="str">
        <f>_xlfn.XLOOKUP($B6774,sales_teams!$A$2:$A$36,sales_teams!C$2:C$36)</f>
        <v>East</v>
      </c>
      <c r="E6774" t="s">
        <v>15</v>
      </c>
      <c r="F6774" t="s">
        <v>204</v>
      </c>
      <c r="G6774" t="s">
        <v>12</v>
      </c>
      <c r="H6774" s="1">
        <v>42995</v>
      </c>
      <c r="I6774" s="1">
        <v>43004</v>
      </c>
      <c r="J6774">
        <v>5763</v>
      </c>
    </row>
    <row r="6775" spans="1:10" x14ac:dyDescent="0.3">
      <c r="A6775" t="s">
        <v>6906</v>
      </c>
      <c r="B6775" t="s">
        <v>38</v>
      </c>
      <c r="C6775" t="str">
        <f>_xlfn.XLOOKUP(B6775,
[1]sales_teams!$A$2:$A$100,
[1]sales_teams!$B$2:$B$100)</f>
        <v>Summer Sewald</v>
      </c>
      <c r="D6775" t="str">
        <f>_xlfn.XLOOKUP($B6775,sales_teams!$A$2:$A$36,sales_teams!C$2:C$36)</f>
        <v>West</v>
      </c>
      <c r="E6775" t="s">
        <v>48</v>
      </c>
      <c r="F6775" t="s">
        <v>49</v>
      </c>
      <c r="G6775" t="s">
        <v>46</v>
      </c>
      <c r="H6775" s="1">
        <v>42995</v>
      </c>
      <c r="I6775" s="1">
        <v>43065</v>
      </c>
      <c r="J6775">
        <v>0</v>
      </c>
    </row>
    <row r="6776" spans="1:10" x14ac:dyDescent="0.3">
      <c r="A6776" t="s">
        <v>6907</v>
      </c>
      <c r="B6776" t="s">
        <v>78</v>
      </c>
      <c r="C6776" t="str">
        <f>_xlfn.XLOOKUP(B6776,
[1]sales_teams!$A$2:$A$100,
[1]sales_teams!$B$2:$B$100)</f>
        <v>Summer Sewald</v>
      </c>
      <c r="D6776" t="str">
        <f>_xlfn.XLOOKUP($B6776,sales_teams!$A$2:$A$36,sales_teams!C$2:C$36)</f>
        <v>West</v>
      </c>
      <c r="E6776" t="s">
        <v>20</v>
      </c>
      <c r="G6776" t="s">
        <v>40</v>
      </c>
      <c r="H6776" s="1">
        <v>42995</v>
      </c>
    </row>
    <row r="6777" spans="1:10" x14ac:dyDescent="0.3">
      <c r="A6777" t="s">
        <v>6908</v>
      </c>
      <c r="B6777" t="s">
        <v>95</v>
      </c>
      <c r="C6777" t="str">
        <f>_xlfn.XLOOKUP(B6777,
[1]sales_teams!$A$2:$A$100,
[1]sales_teams!$B$2:$B$100)</f>
        <v>Summer Sewald</v>
      </c>
      <c r="D6777" t="str">
        <f>_xlfn.XLOOKUP($B6777,sales_teams!$A$2:$A$36,sales_teams!C$2:C$36)</f>
        <v>West</v>
      </c>
      <c r="E6777" t="s">
        <v>10</v>
      </c>
      <c r="F6777" t="s">
        <v>184</v>
      </c>
      <c r="G6777" t="s">
        <v>12</v>
      </c>
      <c r="H6777" s="1">
        <v>42995</v>
      </c>
      <c r="I6777" s="1">
        <v>43053</v>
      </c>
      <c r="J6777">
        <v>948</v>
      </c>
    </row>
    <row r="6778" spans="1:10" x14ac:dyDescent="0.3">
      <c r="A6778" t="s">
        <v>6909</v>
      </c>
      <c r="B6778" t="s">
        <v>133</v>
      </c>
      <c r="C6778" t="str">
        <f>_xlfn.XLOOKUP(B6778,
[1]sales_teams!$A$2:$A$100,
[1]sales_teams!$B$2:$B$100)</f>
        <v>Dustin Brinkmann</v>
      </c>
      <c r="D6778" t="str">
        <f>_xlfn.XLOOKUP($B6778,sales_teams!$A$2:$A$36,sales_teams!C$2:C$36)</f>
        <v>Central</v>
      </c>
      <c r="E6778" t="s">
        <v>20</v>
      </c>
      <c r="F6778" t="s">
        <v>126</v>
      </c>
      <c r="G6778" t="s">
        <v>12</v>
      </c>
      <c r="H6778" s="1">
        <v>42995</v>
      </c>
      <c r="I6778" s="1">
        <v>43058</v>
      </c>
      <c r="J6778">
        <v>487</v>
      </c>
    </row>
    <row r="6779" spans="1:10" x14ac:dyDescent="0.3">
      <c r="A6779" t="s">
        <v>6910</v>
      </c>
      <c r="B6779" t="s">
        <v>133</v>
      </c>
      <c r="C6779" t="str">
        <f>_xlfn.XLOOKUP(B6779,
[1]sales_teams!$A$2:$A$100,
[1]sales_teams!$B$2:$B$100)</f>
        <v>Dustin Brinkmann</v>
      </c>
      <c r="D6779" t="str">
        <f>_xlfn.XLOOKUP($B6779,sales_teams!$A$2:$A$36,sales_teams!C$2:C$36)</f>
        <v>Central</v>
      </c>
      <c r="E6779" t="s">
        <v>10</v>
      </c>
      <c r="F6779" t="s">
        <v>135</v>
      </c>
      <c r="G6779" t="s">
        <v>12</v>
      </c>
      <c r="H6779" s="1">
        <v>42995</v>
      </c>
      <c r="I6779" s="1">
        <v>43057</v>
      </c>
      <c r="J6779">
        <v>1072</v>
      </c>
    </row>
    <row r="6780" spans="1:10" x14ac:dyDescent="0.3">
      <c r="A6780" t="s">
        <v>6911</v>
      </c>
      <c r="B6780" t="s">
        <v>32</v>
      </c>
      <c r="C6780" t="str">
        <f>_xlfn.XLOOKUP(B6780,
[1]sales_teams!$A$2:$A$100,
[1]sales_teams!$B$2:$B$100)</f>
        <v>Celia Rouche</v>
      </c>
      <c r="D6780" t="str">
        <f>_xlfn.XLOOKUP($B6780,sales_teams!$A$2:$A$36,sales_teams!C$2:C$36)</f>
        <v>West</v>
      </c>
      <c r="E6780" t="s">
        <v>18</v>
      </c>
      <c r="F6780" t="s">
        <v>273</v>
      </c>
      <c r="G6780" t="s">
        <v>12</v>
      </c>
      <c r="H6780" s="1">
        <v>42995</v>
      </c>
      <c r="I6780" s="1">
        <v>43085</v>
      </c>
      <c r="J6780">
        <v>56</v>
      </c>
    </row>
    <row r="6781" spans="1:10" x14ac:dyDescent="0.3">
      <c r="A6781" t="s">
        <v>6912</v>
      </c>
      <c r="B6781" t="s">
        <v>51</v>
      </c>
      <c r="C6781" t="str">
        <f>_xlfn.XLOOKUP(B6781,
[1]sales_teams!$A$2:$A$100,
[1]sales_teams!$B$2:$B$100)</f>
        <v>Summer Sewald</v>
      </c>
      <c r="D6781" t="str">
        <f>_xlfn.XLOOKUP($B6781,sales_teams!$A$2:$A$36,sales_teams!C$2:C$36)</f>
        <v>West</v>
      </c>
      <c r="E6781" t="s">
        <v>39</v>
      </c>
      <c r="F6781" t="s">
        <v>410</v>
      </c>
      <c r="G6781" t="s">
        <v>40</v>
      </c>
      <c r="H6781" s="1">
        <v>42995</v>
      </c>
    </row>
    <row r="6782" spans="1:10" x14ac:dyDescent="0.3">
      <c r="A6782" t="s">
        <v>6913</v>
      </c>
      <c r="B6782" t="s">
        <v>51</v>
      </c>
      <c r="C6782" t="str">
        <f>_xlfn.XLOOKUP(B6782,
[1]sales_teams!$A$2:$A$100,
[1]sales_teams!$B$2:$B$100)</f>
        <v>Summer Sewald</v>
      </c>
      <c r="D6782" t="str">
        <f>_xlfn.XLOOKUP($B6782,sales_teams!$A$2:$A$36,sales_teams!C$2:C$36)</f>
        <v>West</v>
      </c>
      <c r="E6782" t="s">
        <v>15</v>
      </c>
      <c r="F6782" t="s">
        <v>155</v>
      </c>
      <c r="G6782" t="s">
        <v>12</v>
      </c>
      <c r="H6782" s="1">
        <v>42995</v>
      </c>
      <c r="I6782" s="1">
        <v>43096</v>
      </c>
      <c r="J6782">
        <v>4812</v>
      </c>
    </row>
    <row r="6783" spans="1:10" x14ac:dyDescent="0.3">
      <c r="A6783" t="s">
        <v>6914</v>
      </c>
      <c r="B6783" t="s">
        <v>97</v>
      </c>
      <c r="C6783" t="str">
        <f>_xlfn.XLOOKUP(B6783,
[1]sales_teams!$A$2:$A$100,
[1]sales_teams!$B$2:$B$100)</f>
        <v>Rocco Neubert</v>
      </c>
      <c r="D6783" t="str">
        <f>_xlfn.XLOOKUP($B6783,sales_teams!$A$2:$A$36,sales_teams!C$2:C$36)</f>
        <v>East</v>
      </c>
      <c r="E6783" t="s">
        <v>20</v>
      </c>
      <c r="F6783" t="s">
        <v>204</v>
      </c>
      <c r="G6783" t="s">
        <v>46</v>
      </c>
      <c r="H6783" s="1">
        <v>42995</v>
      </c>
      <c r="I6783" s="1">
        <v>43066</v>
      </c>
      <c r="J6783">
        <v>0</v>
      </c>
    </row>
    <row r="6784" spans="1:10" x14ac:dyDescent="0.3">
      <c r="A6784" t="s">
        <v>6915</v>
      </c>
      <c r="B6784" t="s">
        <v>97</v>
      </c>
      <c r="C6784" t="str">
        <f>_xlfn.XLOOKUP(B6784,
[1]sales_teams!$A$2:$A$100,
[1]sales_teams!$B$2:$B$100)</f>
        <v>Rocco Neubert</v>
      </c>
      <c r="D6784" t="str">
        <f>_xlfn.XLOOKUP($B6784,sales_teams!$A$2:$A$36,sales_teams!C$2:C$36)</f>
        <v>East</v>
      </c>
      <c r="E6784" t="s">
        <v>10</v>
      </c>
      <c r="F6784" t="s">
        <v>240</v>
      </c>
      <c r="G6784" t="s">
        <v>46</v>
      </c>
      <c r="H6784" s="1">
        <v>42995</v>
      </c>
      <c r="I6784" s="1">
        <v>43090</v>
      </c>
      <c r="J6784">
        <v>0</v>
      </c>
    </row>
    <row r="6785" spans="1:10" x14ac:dyDescent="0.3">
      <c r="A6785" t="s">
        <v>6916</v>
      </c>
      <c r="B6785" t="s">
        <v>97</v>
      </c>
      <c r="C6785" t="str">
        <f>_xlfn.XLOOKUP(B6785,
[1]sales_teams!$A$2:$A$100,
[1]sales_teams!$B$2:$B$100)</f>
        <v>Rocco Neubert</v>
      </c>
      <c r="D6785" t="str">
        <f>_xlfn.XLOOKUP($B6785,sales_teams!$A$2:$A$36,sales_teams!C$2:C$36)</f>
        <v>East</v>
      </c>
      <c r="E6785" t="s">
        <v>48</v>
      </c>
      <c r="F6785" t="s">
        <v>204</v>
      </c>
      <c r="G6785" t="s">
        <v>46</v>
      </c>
      <c r="H6785" s="1">
        <v>42995</v>
      </c>
      <c r="I6785" s="1">
        <v>43051</v>
      </c>
      <c r="J6785">
        <v>0</v>
      </c>
    </row>
    <row r="6786" spans="1:10" x14ac:dyDescent="0.3">
      <c r="A6786" t="s">
        <v>6917</v>
      </c>
      <c r="B6786" t="s">
        <v>97</v>
      </c>
      <c r="C6786" t="str">
        <f>_xlfn.XLOOKUP(B6786,
[1]sales_teams!$A$2:$A$100,
[1]sales_teams!$B$2:$B$100)</f>
        <v>Rocco Neubert</v>
      </c>
      <c r="D6786" t="str">
        <f>_xlfn.XLOOKUP($B6786,sales_teams!$A$2:$A$36,sales_teams!C$2:C$36)</f>
        <v>East</v>
      </c>
      <c r="E6786" t="s">
        <v>15</v>
      </c>
      <c r="F6786" t="s">
        <v>165</v>
      </c>
      <c r="G6786" t="s">
        <v>12</v>
      </c>
      <c r="H6786" s="1">
        <v>42995</v>
      </c>
      <c r="I6786" s="1">
        <v>43058</v>
      </c>
      <c r="J6786">
        <v>5186</v>
      </c>
    </row>
    <row r="6787" spans="1:10" x14ac:dyDescent="0.3">
      <c r="A6787" t="s">
        <v>6918</v>
      </c>
      <c r="B6787" t="s">
        <v>57</v>
      </c>
      <c r="C6787" t="str">
        <f>_xlfn.XLOOKUP(B6787,
[1]sales_teams!$A$2:$A$100,
[1]sales_teams!$B$2:$B$100)</f>
        <v>Celia Rouche</v>
      </c>
      <c r="D6787" t="str">
        <f>_xlfn.XLOOKUP($B6787,sales_teams!$A$2:$A$36,sales_teams!C$2:C$36)</f>
        <v>West</v>
      </c>
      <c r="E6787" t="s">
        <v>18</v>
      </c>
      <c r="F6787" t="s">
        <v>199</v>
      </c>
      <c r="G6787" t="s">
        <v>12</v>
      </c>
      <c r="H6787" s="1">
        <v>42995</v>
      </c>
      <c r="I6787" s="1">
        <v>43071</v>
      </c>
      <c r="J6787">
        <v>49</v>
      </c>
    </row>
    <row r="6788" spans="1:10" x14ac:dyDescent="0.3">
      <c r="A6788" t="s">
        <v>6919</v>
      </c>
      <c r="B6788" t="s">
        <v>23</v>
      </c>
      <c r="C6788" t="str">
        <f>_xlfn.XLOOKUP(B6788,
[1]sales_teams!$A$2:$A$100,
[1]sales_teams!$B$2:$B$100)</f>
        <v>Summer Sewald</v>
      </c>
      <c r="D6788" t="str">
        <f>_xlfn.XLOOKUP($B6788,sales_teams!$A$2:$A$36,sales_teams!C$2:C$36)</f>
        <v>West</v>
      </c>
      <c r="E6788" t="s">
        <v>15</v>
      </c>
      <c r="F6788" t="s">
        <v>199</v>
      </c>
      <c r="G6788" t="s">
        <v>12</v>
      </c>
      <c r="H6788" s="1">
        <v>42995</v>
      </c>
      <c r="I6788" s="1">
        <v>43005</v>
      </c>
      <c r="J6788">
        <v>4800</v>
      </c>
    </row>
    <row r="6789" spans="1:10" x14ac:dyDescent="0.3">
      <c r="A6789" t="s">
        <v>6920</v>
      </c>
      <c r="B6789" t="s">
        <v>64</v>
      </c>
      <c r="C6789" t="str">
        <f>_xlfn.XLOOKUP(B6789,
[1]sales_teams!$A$2:$A$100,
[1]sales_teams!$B$2:$B$100)</f>
        <v>Rocco Neubert</v>
      </c>
      <c r="D6789" t="str">
        <f>_xlfn.XLOOKUP($B6789,sales_teams!$A$2:$A$36,sales_teams!C$2:C$36)</f>
        <v>East</v>
      </c>
      <c r="E6789" t="s">
        <v>15</v>
      </c>
      <c r="F6789" t="s">
        <v>240</v>
      </c>
      <c r="G6789" t="s">
        <v>12</v>
      </c>
      <c r="H6789" s="1">
        <v>42996</v>
      </c>
      <c r="I6789" s="1">
        <v>43093</v>
      </c>
      <c r="J6789">
        <v>5627</v>
      </c>
    </row>
    <row r="6790" spans="1:10" x14ac:dyDescent="0.3">
      <c r="A6790" t="s">
        <v>6921</v>
      </c>
      <c r="B6790" t="s">
        <v>14</v>
      </c>
      <c r="C6790" t="str">
        <f>_xlfn.XLOOKUP(B6790,
[1]sales_teams!$A$2:$A$100,
[1]sales_teams!$B$2:$B$100)</f>
        <v>Melvin Marxen</v>
      </c>
      <c r="D6790" t="str">
        <f>_xlfn.XLOOKUP($B6790,sales_teams!$A$2:$A$36,sales_teams!C$2:C$36)</f>
        <v>Central</v>
      </c>
      <c r="E6790" t="s">
        <v>20</v>
      </c>
      <c r="F6790" t="s">
        <v>109</v>
      </c>
      <c r="G6790" t="s">
        <v>46</v>
      </c>
      <c r="H6790" s="1">
        <v>42996</v>
      </c>
      <c r="I6790" s="1">
        <v>43002</v>
      </c>
      <c r="J6790">
        <v>0</v>
      </c>
    </row>
    <row r="6791" spans="1:10" x14ac:dyDescent="0.3">
      <c r="A6791" t="s">
        <v>6922</v>
      </c>
      <c r="B6791" t="s">
        <v>14</v>
      </c>
      <c r="C6791" t="str">
        <f>_xlfn.XLOOKUP(B6791,
[1]sales_teams!$A$2:$A$100,
[1]sales_teams!$B$2:$B$100)</f>
        <v>Melvin Marxen</v>
      </c>
      <c r="D6791" t="str">
        <f>_xlfn.XLOOKUP($B6791,sales_teams!$A$2:$A$36,sales_teams!C$2:C$36)</f>
        <v>Central</v>
      </c>
      <c r="E6791" t="s">
        <v>15</v>
      </c>
      <c r="F6791" t="s">
        <v>111</v>
      </c>
      <c r="G6791" t="s">
        <v>12</v>
      </c>
      <c r="H6791" s="1">
        <v>42996</v>
      </c>
      <c r="I6791" s="1">
        <v>43075</v>
      </c>
      <c r="J6791">
        <v>3779</v>
      </c>
    </row>
    <row r="6792" spans="1:10" x14ac:dyDescent="0.3">
      <c r="A6792" t="s">
        <v>6923</v>
      </c>
      <c r="B6792" t="s">
        <v>14</v>
      </c>
      <c r="C6792" t="str">
        <f>_xlfn.XLOOKUP(B6792,
[1]sales_teams!$A$2:$A$100,
[1]sales_teams!$B$2:$B$100)</f>
        <v>Melvin Marxen</v>
      </c>
      <c r="D6792" t="str">
        <f>_xlfn.XLOOKUP($B6792,sales_teams!$A$2:$A$36,sales_teams!C$2:C$36)</f>
        <v>Central</v>
      </c>
      <c r="E6792" t="s">
        <v>15</v>
      </c>
      <c r="F6792" t="s">
        <v>76</v>
      </c>
      <c r="G6792" t="s">
        <v>12</v>
      </c>
      <c r="H6792" s="1">
        <v>42996</v>
      </c>
      <c r="I6792" s="1">
        <v>43044</v>
      </c>
      <c r="J6792">
        <v>5231</v>
      </c>
    </row>
    <row r="6793" spans="1:10" x14ac:dyDescent="0.3">
      <c r="A6793" t="s">
        <v>6924</v>
      </c>
      <c r="B6793" t="s">
        <v>142</v>
      </c>
      <c r="C6793" t="str">
        <f>_xlfn.XLOOKUP(B6793,
[1]sales_teams!$A$2:$A$100,
[1]sales_teams!$B$2:$B$100)</f>
        <v>Rocco Neubert</v>
      </c>
      <c r="D6793" t="str">
        <f>_xlfn.XLOOKUP($B6793,sales_teams!$A$2:$A$36,sales_teams!C$2:C$36)</f>
        <v>East</v>
      </c>
      <c r="E6793" t="s">
        <v>48</v>
      </c>
      <c r="F6793" t="s">
        <v>106</v>
      </c>
      <c r="G6793" t="s">
        <v>46</v>
      </c>
      <c r="H6793" s="1">
        <v>42996</v>
      </c>
      <c r="I6793" s="1">
        <v>43006</v>
      </c>
      <c r="J6793">
        <v>0</v>
      </c>
    </row>
    <row r="6794" spans="1:10" x14ac:dyDescent="0.3">
      <c r="A6794" t="s">
        <v>6925</v>
      </c>
      <c r="B6794" t="s">
        <v>142</v>
      </c>
      <c r="C6794" t="str">
        <f>_xlfn.XLOOKUP(B6794,
[1]sales_teams!$A$2:$A$100,
[1]sales_teams!$B$2:$B$100)</f>
        <v>Rocco Neubert</v>
      </c>
      <c r="D6794" t="str">
        <f>_xlfn.XLOOKUP($B6794,sales_teams!$A$2:$A$36,sales_teams!C$2:C$36)</f>
        <v>East</v>
      </c>
      <c r="E6794" t="s">
        <v>48</v>
      </c>
      <c r="F6794" t="s">
        <v>65</v>
      </c>
      <c r="G6794" t="s">
        <v>46</v>
      </c>
      <c r="H6794" s="1">
        <v>42996</v>
      </c>
      <c r="I6794" s="1">
        <v>43065</v>
      </c>
      <c r="J6794">
        <v>0</v>
      </c>
    </row>
    <row r="6795" spans="1:10" x14ac:dyDescent="0.3">
      <c r="A6795" t="s">
        <v>6926</v>
      </c>
      <c r="B6795" t="s">
        <v>54</v>
      </c>
      <c r="C6795" t="str">
        <f>_xlfn.XLOOKUP(B6795,
[1]sales_teams!$A$2:$A$100,
[1]sales_teams!$B$2:$B$100)</f>
        <v>Celia Rouche</v>
      </c>
      <c r="D6795" t="str">
        <f>_xlfn.XLOOKUP($B6795,sales_teams!$A$2:$A$36,sales_teams!C$2:C$36)</f>
        <v>West</v>
      </c>
      <c r="E6795" t="s">
        <v>39</v>
      </c>
      <c r="F6795" t="s">
        <v>194</v>
      </c>
      <c r="G6795" t="s">
        <v>12</v>
      </c>
      <c r="H6795" s="1">
        <v>42996</v>
      </c>
      <c r="I6795" s="1">
        <v>43071</v>
      </c>
      <c r="J6795">
        <v>2918</v>
      </c>
    </row>
    <row r="6796" spans="1:10" x14ac:dyDescent="0.3">
      <c r="A6796" t="s">
        <v>6927</v>
      </c>
      <c r="B6796" t="s">
        <v>38</v>
      </c>
      <c r="C6796" t="str">
        <f>_xlfn.XLOOKUP(B6796,
[1]sales_teams!$A$2:$A$100,
[1]sales_teams!$B$2:$B$100)</f>
        <v>Summer Sewald</v>
      </c>
      <c r="D6796" t="str">
        <f>_xlfn.XLOOKUP($B6796,sales_teams!$A$2:$A$36,sales_teams!C$2:C$36)</f>
        <v>West</v>
      </c>
      <c r="E6796" t="s">
        <v>39</v>
      </c>
      <c r="G6796" t="s">
        <v>40</v>
      </c>
      <c r="H6796" s="1">
        <v>42996</v>
      </c>
    </row>
    <row r="6797" spans="1:10" x14ac:dyDescent="0.3">
      <c r="A6797" t="s">
        <v>6928</v>
      </c>
      <c r="B6797" t="s">
        <v>252</v>
      </c>
      <c r="C6797" t="str">
        <f>_xlfn.XLOOKUP(B6797,
[1]sales_teams!$A$2:$A$100,
[1]sales_teams!$B$2:$B$100)</f>
        <v>Melvin Marxen</v>
      </c>
      <c r="D6797" t="str">
        <f>_xlfn.XLOOKUP($B6797,sales_teams!$A$2:$A$36,sales_teams!C$2:C$36)</f>
        <v>Central</v>
      </c>
      <c r="E6797" t="s">
        <v>10</v>
      </c>
      <c r="F6797" t="s">
        <v>135</v>
      </c>
      <c r="G6797" t="s">
        <v>46</v>
      </c>
      <c r="H6797" s="1">
        <v>42996</v>
      </c>
      <c r="I6797" s="1">
        <v>43074</v>
      </c>
      <c r="J6797">
        <v>0</v>
      </c>
    </row>
    <row r="6798" spans="1:10" x14ac:dyDescent="0.3">
      <c r="A6798" t="s">
        <v>6929</v>
      </c>
      <c r="B6798" t="s">
        <v>252</v>
      </c>
      <c r="C6798" t="str">
        <f>_xlfn.XLOOKUP(B6798,
[1]sales_teams!$A$2:$A$100,
[1]sales_teams!$B$2:$B$100)</f>
        <v>Melvin Marxen</v>
      </c>
      <c r="D6798" t="str">
        <f>_xlfn.XLOOKUP($B6798,sales_teams!$A$2:$A$36,sales_teams!C$2:C$36)</f>
        <v>Central</v>
      </c>
      <c r="E6798" t="s">
        <v>15</v>
      </c>
      <c r="F6798" t="s">
        <v>129</v>
      </c>
      <c r="G6798" t="s">
        <v>12</v>
      </c>
      <c r="H6798" s="1">
        <v>42996</v>
      </c>
      <c r="I6798" s="1">
        <v>43005</v>
      </c>
      <c r="J6798">
        <v>4902</v>
      </c>
    </row>
    <row r="6799" spans="1:10" x14ac:dyDescent="0.3">
      <c r="A6799" t="s">
        <v>6930</v>
      </c>
      <c r="B6799" t="s">
        <v>78</v>
      </c>
      <c r="C6799" t="str">
        <f>_xlfn.XLOOKUP(B6799,
[1]sales_teams!$A$2:$A$100,
[1]sales_teams!$B$2:$B$100)</f>
        <v>Summer Sewald</v>
      </c>
      <c r="D6799" t="str">
        <f>_xlfn.XLOOKUP($B6799,sales_teams!$A$2:$A$36,sales_teams!C$2:C$36)</f>
        <v>West</v>
      </c>
      <c r="E6799" t="s">
        <v>20</v>
      </c>
      <c r="F6799" t="s">
        <v>24</v>
      </c>
      <c r="G6799" t="s">
        <v>12</v>
      </c>
      <c r="H6799" s="1">
        <v>42996</v>
      </c>
      <c r="I6799" s="1">
        <v>43061</v>
      </c>
      <c r="J6799">
        <v>531</v>
      </c>
    </row>
    <row r="6800" spans="1:10" x14ac:dyDescent="0.3">
      <c r="A6800" t="s">
        <v>6931</v>
      </c>
      <c r="B6800" t="s">
        <v>95</v>
      </c>
      <c r="C6800" t="str">
        <f>_xlfn.XLOOKUP(B6800,
[1]sales_teams!$A$2:$A$100,
[1]sales_teams!$B$2:$B$100)</f>
        <v>Summer Sewald</v>
      </c>
      <c r="D6800" t="str">
        <f>_xlfn.XLOOKUP($B6800,sales_teams!$A$2:$A$36,sales_teams!C$2:C$36)</f>
        <v>West</v>
      </c>
      <c r="E6800" t="s">
        <v>20</v>
      </c>
      <c r="G6800" t="s">
        <v>40</v>
      </c>
      <c r="H6800" s="1">
        <v>42996</v>
      </c>
    </row>
    <row r="6801" spans="1:10" x14ac:dyDescent="0.3">
      <c r="A6801" t="s">
        <v>6932</v>
      </c>
      <c r="B6801" t="s">
        <v>95</v>
      </c>
      <c r="C6801" t="str">
        <f>_xlfn.XLOOKUP(B6801,
[1]sales_teams!$A$2:$A$100,
[1]sales_teams!$B$2:$B$100)</f>
        <v>Summer Sewald</v>
      </c>
      <c r="D6801" t="str">
        <f>_xlfn.XLOOKUP($B6801,sales_teams!$A$2:$A$36,sales_teams!C$2:C$36)</f>
        <v>West</v>
      </c>
      <c r="E6801" t="s">
        <v>48</v>
      </c>
      <c r="F6801" t="s">
        <v>273</v>
      </c>
      <c r="G6801" t="s">
        <v>46</v>
      </c>
      <c r="H6801" s="1">
        <v>42996</v>
      </c>
      <c r="I6801" s="1">
        <v>43060</v>
      </c>
      <c r="J6801">
        <v>0</v>
      </c>
    </row>
    <row r="6802" spans="1:10" x14ac:dyDescent="0.3">
      <c r="A6802" t="s">
        <v>6933</v>
      </c>
      <c r="B6802" t="s">
        <v>95</v>
      </c>
      <c r="C6802" t="str">
        <f>_xlfn.XLOOKUP(B6802,
[1]sales_teams!$A$2:$A$100,
[1]sales_teams!$B$2:$B$100)</f>
        <v>Summer Sewald</v>
      </c>
      <c r="D6802" t="str">
        <f>_xlfn.XLOOKUP($B6802,sales_teams!$A$2:$A$36,sales_teams!C$2:C$36)</f>
        <v>West</v>
      </c>
      <c r="E6802" t="s">
        <v>20</v>
      </c>
      <c r="F6802" t="s">
        <v>273</v>
      </c>
      <c r="G6802" t="s">
        <v>12</v>
      </c>
      <c r="H6802" s="1">
        <v>42996</v>
      </c>
      <c r="I6802" s="1">
        <v>43069</v>
      </c>
      <c r="J6802">
        <v>526</v>
      </c>
    </row>
    <row r="6803" spans="1:10" x14ac:dyDescent="0.3">
      <c r="A6803" t="s">
        <v>6934</v>
      </c>
      <c r="B6803" t="s">
        <v>133</v>
      </c>
      <c r="C6803" t="str">
        <f>_xlfn.XLOOKUP(B6803,
[1]sales_teams!$A$2:$A$100,
[1]sales_teams!$B$2:$B$100)</f>
        <v>Dustin Brinkmann</v>
      </c>
      <c r="D6803" t="str">
        <f>_xlfn.XLOOKUP($B6803,sales_teams!$A$2:$A$36,sales_teams!C$2:C$36)</f>
        <v>Central</v>
      </c>
      <c r="E6803" t="s">
        <v>20</v>
      </c>
      <c r="F6803" t="s">
        <v>27</v>
      </c>
      <c r="G6803" t="s">
        <v>46</v>
      </c>
      <c r="H6803" s="1">
        <v>42996</v>
      </c>
      <c r="I6803" s="1">
        <v>43050</v>
      </c>
      <c r="J6803">
        <v>0</v>
      </c>
    </row>
    <row r="6804" spans="1:10" x14ac:dyDescent="0.3">
      <c r="A6804" t="s">
        <v>6935</v>
      </c>
      <c r="B6804" t="s">
        <v>133</v>
      </c>
      <c r="C6804" t="str">
        <f>_xlfn.XLOOKUP(B6804,
[1]sales_teams!$A$2:$A$100,
[1]sales_teams!$B$2:$B$100)</f>
        <v>Dustin Brinkmann</v>
      </c>
      <c r="D6804" t="str">
        <f>_xlfn.XLOOKUP($B6804,sales_teams!$A$2:$A$36,sales_teams!C$2:C$36)</f>
        <v>Central</v>
      </c>
      <c r="E6804" t="s">
        <v>20</v>
      </c>
      <c r="F6804" t="s">
        <v>113</v>
      </c>
      <c r="G6804" t="s">
        <v>12</v>
      </c>
      <c r="H6804" s="1">
        <v>42996</v>
      </c>
      <c r="I6804" s="1">
        <v>43056</v>
      </c>
      <c r="J6804">
        <v>485</v>
      </c>
    </row>
    <row r="6805" spans="1:10" x14ac:dyDescent="0.3">
      <c r="A6805" t="s">
        <v>6936</v>
      </c>
      <c r="B6805" t="s">
        <v>51</v>
      </c>
      <c r="C6805" t="str">
        <f>_xlfn.XLOOKUP(B6805,
[1]sales_teams!$A$2:$A$100,
[1]sales_teams!$B$2:$B$100)</f>
        <v>Summer Sewald</v>
      </c>
      <c r="D6805" t="str">
        <f>_xlfn.XLOOKUP($B6805,sales_teams!$A$2:$A$36,sales_teams!C$2:C$36)</f>
        <v>West</v>
      </c>
      <c r="E6805" t="s">
        <v>39</v>
      </c>
      <c r="G6805" t="s">
        <v>40</v>
      </c>
      <c r="H6805" s="1">
        <v>42996</v>
      </c>
    </row>
    <row r="6806" spans="1:10" x14ac:dyDescent="0.3">
      <c r="A6806" t="s">
        <v>6937</v>
      </c>
      <c r="B6806" t="s">
        <v>9</v>
      </c>
      <c r="C6806" t="str">
        <f>_xlfn.XLOOKUP(B6806,
[1]sales_teams!$A$2:$A$100,
[1]sales_teams!$B$2:$B$100)</f>
        <v>Dustin Brinkmann</v>
      </c>
      <c r="D6806" t="str">
        <f>_xlfn.XLOOKUP($B6806,sales_teams!$A$2:$A$36,sales_teams!C$2:C$36)</f>
        <v>Central</v>
      </c>
      <c r="E6806" t="s">
        <v>20</v>
      </c>
      <c r="F6806" t="s">
        <v>126</v>
      </c>
      <c r="G6806" t="s">
        <v>12</v>
      </c>
      <c r="H6806" s="1">
        <v>42996</v>
      </c>
      <c r="I6806" s="1">
        <v>43094</v>
      </c>
      <c r="J6806">
        <v>520</v>
      </c>
    </row>
    <row r="6807" spans="1:10" x14ac:dyDescent="0.3">
      <c r="A6807" t="s">
        <v>6938</v>
      </c>
      <c r="B6807" t="s">
        <v>35</v>
      </c>
      <c r="C6807" t="str">
        <f>_xlfn.XLOOKUP(B6807,
[1]sales_teams!$A$2:$A$100,
[1]sales_teams!$B$2:$B$100)</f>
        <v>Melvin Marxen</v>
      </c>
      <c r="D6807" t="str">
        <f>_xlfn.XLOOKUP($B6807,sales_teams!$A$2:$A$36,sales_teams!C$2:C$36)</f>
        <v>Central</v>
      </c>
      <c r="E6807" t="s">
        <v>10</v>
      </c>
      <c r="F6807" t="s">
        <v>197</v>
      </c>
      <c r="G6807" t="s">
        <v>12</v>
      </c>
      <c r="H6807" s="1">
        <v>42996</v>
      </c>
      <c r="I6807" s="1">
        <v>43092</v>
      </c>
      <c r="J6807">
        <v>1020</v>
      </c>
    </row>
    <row r="6808" spans="1:10" x14ac:dyDescent="0.3">
      <c r="A6808" t="s">
        <v>6939</v>
      </c>
      <c r="B6808" t="s">
        <v>97</v>
      </c>
      <c r="C6808" t="str">
        <f>_xlfn.XLOOKUP(B6808,
[1]sales_teams!$A$2:$A$100,
[1]sales_teams!$B$2:$B$100)</f>
        <v>Rocco Neubert</v>
      </c>
      <c r="D6808" t="str">
        <f>_xlfn.XLOOKUP($B6808,sales_teams!$A$2:$A$36,sales_teams!C$2:C$36)</f>
        <v>East</v>
      </c>
      <c r="E6808" t="s">
        <v>10</v>
      </c>
      <c r="F6808" t="s">
        <v>106</v>
      </c>
      <c r="G6808" t="s">
        <v>46</v>
      </c>
      <c r="H6808" s="1">
        <v>42996</v>
      </c>
      <c r="I6808" s="1">
        <v>43073</v>
      </c>
      <c r="J6808">
        <v>0</v>
      </c>
    </row>
    <row r="6809" spans="1:10" x14ac:dyDescent="0.3">
      <c r="A6809" t="s">
        <v>6940</v>
      </c>
      <c r="B6809" t="s">
        <v>97</v>
      </c>
      <c r="C6809" t="str">
        <f>_xlfn.XLOOKUP(B6809,
[1]sales_teams!$A$2:$A$100,
[1]sales_teams!$B$2:$B$100)</f>
        <v>Rocco Neubert</v>
      </c>
      <c r="D6809" t="str">
        <f>_xlfn.XLOOKUP($B6809,sales_teams!$A$2:$A$36,sales_teams!C$2:C$36)</f>
        <v>East</v>
      </c>
      <c r="E6809" t="s">
        <v>39</v>
      </c>
      <c r="F6809" t="s">
        <v>278</v>
      </c>
      <c r="G6809" t="s">
        <v>46</v>
      </c>
      <c r="H6809" s="1">
        <v>42996</v>
      </c>
      <c r="I6809" s="1">
        <v>43089</v>
      </c>
      <c r="J6809">
        <v>0</v>
      </c>
    </row>
    <row r="6810" spans="1:10" x14ac:dyDescent="0.3">
      <c r="A6810" t="s">
        <v>6941</v>
      </c>
      <c r="B6810" t="s">
        <v>88</v>
      </c>
      <c r="C6810" t="str">
        <f>_xlfn.XLOOKUP(B6810,
[1]sales_teams!$A$2:$A$100,
[1]sales_teams!$B$2:$B$100)</f>
        <v>Cara Losch</v>
      </c>
      <c r="D6810" t="str">
        <f>_xlfn.XLOOKUP($B6810,sales_teams!$A$2:$A$36,sales_teams!C$2:C$36)</f>
        <v>East</v>
      </c>
      <c r="E6810" t="s">
        <v>15</v>
      </c>
      <c r="F6810" t="s">
        <v>209</v>
      </c>
      <c r="G6810" t="s">
        <v>12</v>
      </c>
      <c r="H6810" s="1">
        <v>42996</v>
      </c>
      <c r="I6810" s="1">
        <v>43054</v>
      </c>
      <c r="J6810">
        <v>4205</v>
      </c>
    </row>
    <row r="6811" spans="1:10" x14ac:dyDescent="0.3">
      <c r="A6811" t="s">
        <v>6942</v>
      </c>
      <c r="B6811" t="s">
        <v>29</v>
      </c>
      <c r="C6811" t="str">
        <f>_xlfn.XLOOKUP(B6811,
[1]sales_teams!$A$2:$A$100,
[1]sales_teams!$B$2:$B$100)</f>
        <v>Celia Rouche</v>
      </c>
      <c r="D6811" t="str">
        <f>_xlfn.XLOOKUP($B6811,sales_teams!$A$2:$A$36,sales_teams!C$2:C$36)</f>
        <v>West</v>
      </c>
      <c r="E6811" t="s">
        <v>20</v>
      </c>
      <c r="F6811" t="s">
        <v>174</v>
      </c>
      <c r="G6811" t="s">
        <v>46</v>
      </c>
      <c r="H6811" s="1">
        <v>42996</v>
      </c>
      <c r="I6811" s="1">
        <v>43044</v>
      </c>
      <c r="J6811">
        <v>0</v>
      </c>
    </row>
    <row r="6812" spans="1:10" x14ac:dyDescent="0.3">
      <c r="A6812" t="s">
        <v>6943</v>
      </c>
      <c r="B6812" t="s">
        <v>23</v>
      </c>
      <c r="C6812" t="str">
        <f>_xlfn.XLOOKUP(B6812,
[1]sales_teams!$A$2:$A$100,
[1]sales_teams!$B$2:$B$100)</f>
        <v>Summer Sewald</v>
      </c>
      <c r="D6812" t="str">
        <f>_xlfn.XLOOKUP($B6812,sales_teams!$A$2:$A$36,sales_teams!C$2:C$36)</f>
        <v>West</v>
      </c>
      <c r="E6812" t="s">
        <v>48</v>
      </c>
      <c r="F6812" t="s">
        <v>240</v>
      </c>
      <c r="G6812" t="s">
        <v>40</v>
      </c>
      <c r="H6812" s="1">
        <v>42996</v>
      </c>
    </row>
    <row r="6813" spans="1:10" x14ac:dyDescent="0.3">
      <c r="A6813" t="s">
        <v>6944</v>
      </c>
      <c r="B6813" t="s">
        <v>23</v>
      </c>
      <c r="C6813" t="str">
        <f>_xlfn.XLOOKUP(B6813,
[1]sales_teams!$A$2:$A$100,
[1]sales_teams!$B$2:$B$100)</f>
        <v>Summer Sewald</v>
      </c>
      <c r="D6813" t="str">
        <f>_xlfn.XLOOKUP($B6813,sales_teams!$A$2:$A$36,sales_teams!C$2:C$36)</f>
        <v>West</v>
      </c>
      <c r="E6813" t="s">
        <v>18</v>
      </c>
      <c r="F6813" t="s">
        <v>170</v>
      </c>
      <c r="G6813" t="s">
        <v>40</v>
      </c>
      <c r="H6813" s="1">
        <v>42996</v>
      </c>
    </row>
    <row r="6814" spans="1:10" x14ac:dyDescent="0.3">
      <c r="A6814" t="s">
        <v>6945</v>
      </c>
      <c r="B6814" t="s">
        <v>26</v>
      </c>
      <c r="C6814" t="str">
        <f>_xlfn.XLOOKUP(B6814,
[1]sales_teams!$A$2:$A$100,
[1]sales_teams!$B$2:$B$100)</f>
        <v>Dustin Brinkmann</v>
      </c>
      <c r="D6814" t="str">
        <f>_xlfn.XLOOKUP($B6814,sales_teams!$A$2:$A$36,sales_teams!C$2:C$36)</f>
        <v>Central</v>
      </c>
      <c r="E6814" t="s">
        <v>10</v>
      </c>
      <c r="F6814" t="s">
        <v>135</v>
      </c>
      <c r="G6814" t="s">
        <v>46</v>
      </c>
      <c r="H6814" s="1">
        <v>42997</v>
      </c>
      <c r="I6814" s="1">
        <v>43008</v>
      </c>
      <c r="J6814">
        <v>0</v>
      </c>
    </row>
    <row r="6815" spans="1:10" x14ac:dyDescent="0.3">
      <c r="A6815" t="s">
        <v>6946</v>
      </c>
      <c r="B6815" t="s">
        <v>202</v>
      </c>
      <c r="C6815" t="str">
        <f>_xlfn.XLOOKUP(B6815,
[1]sales_teams!$A$2:$A$100,
[1]sales_teams!$B$2:$B$100)</f>
        <v>Dustin Brinkmann</v>
      </c>
      <c r="D6815" t="str">
        <f>_xlfn.XLOOKUP($B6815,sales_teams!$A$2:$A$36,sales_teams!C$2:C$36)</f>
        <v>Central</v>
      </c>
      <c r="E6815" t="s">
        <v>10</v>
      </c>
      <c r="F6815" t="s">
        <v>27</v>
      </c>
      <c r="G6815" t="s">
        <v>46</v>
      </c>
      <c r="H6815" s="1">
        <v>42997</v>
      </c>
      <c r="I6815" s="1">
        <v>43047</v>
      </c>
      <c r="J6815">
        <v>0</v>
      </c>
    </row>
    <row r="6816" spans="1:10" x14ac:dyDescent="0.3">
      <c r="A6816" t="s">
        <v>6947</v>
      </c>
      <c r="B6816" t="s">
        <v>164</v>
      </c>
      <c r="C6816" t="str">
        <f>_xlfn.XLOOKUP(B6816,
[1]sales_teams!$A$2:$A$100,
[1]sales_teams!$B$2:$B$100)</f>
        <v>Cara Losch</v>
      </c>
      <c r="D6816" t="str">
        <f>_xlfn.XLOOKUP($B6816,sales_teams!$A$2:$A$36,sales_teams!C$2:C$36)</f>
        <v>East</v>
      </c>
      <c r="E6816" t="s">
        <v>48</v>
      </c>
      <c r="G6816" t="s">
        <v>40</v>
      </c>
      <c r="H6816" s="1">
        <v>42997</v>
      </c>
    </row>
    <row r="6817" spans="1:10" x14ac:dyDescent="0.3">
      <c r="A6817" t="s">
        <v>6948</v>
      </c>
      <c r="B6817" t="s">
        <v>14</v>
      </c>
      <c r="C6817" t="str">
        <f>_xlfn.XLOOKUP(B6817,
[1]sales_teams!$A$2:$A$100,
[1]sales_teams!$B$2:$B$100)</f>
        <v>Melvin Marxen</v>
      </c>
      <c r="D6817" t="str">
        <f>_xlfn.XLOOKUP($B6817,sales_teams!$A$2:$A$36,sales_teams!C$2:C$36)</f>
        <v>Central</v>
      </c>
      <c r="E6817" t="s">
        <v>15</v>
      </c>
      <c r="F6817" t="s">
        <v>91</v>
      </c>
      <c r="G6817" t="s">
        <v>12</v>
      </c>
      <c r="H6817" s="1">
        <v>42997</v>
      </c>
      <c r="I6817" s="1">
        <v>43076</v>
      </c>
      <c r="J6817">
        <v>4990</v>
      </c>
    </row>
    <row r="6818" spans="1:10" x14ac:dyDescent="0.3">
      <c r="A6818" t="s">
        <v>6949</v>
      </c>
      <c r="B6818" t="s">
        <v>14</v>
      </c>
      <c r="C6818" t="str">
        <f>_xlfn.XLOOKUP(B6818,
[1]sales_teams!$A$2:$A$100,
[1]sales_teams!$B$2:$B$100)</f>
        <v>Melvin Marxen</v>
      </c>
      <c r="D6818" t="str">
        <f>_xlfn.XLOOKUP($B6818,sales_teams!$A$2:$A$36,sales_teams!C$2:C$36)</f>
        <v>Central</v>
      </c>
      <c r="E6818" t="s">
        <v>15</v>
      </c>
      <c r="F6818" t="s">
        <v>207</v>
      </c>
      <c r="G6818" t="s">
        <v>12</v>
      </c>
      <c r="H6818" s="1">
        <v>42997</v>
      </c>
      <c r="I6818" s="1">
        <v>43007</v>
      </c>
      <c r="J6818">
        <v>5450</v>
      </c>
    </row>
    <row r="6819" spans="1:10" x14ac:dyDescent="0.3">
      <c r="A6819" t="s">
        <v>6950</v>
      </c>
      <c r="B6819" t="s">
        <v>67</v>
      </c>
      <c r="C6819" t="str">
        <f>_xlfn.XLOOKUP(B6819,
[1]sales_teams!$A$2:$A$100,
[1]sales_teams!$B$2:$B$100)</f>
        <v>Celia Rouche</v>
      </c>
      <c r="D6819" t="str">
        <f>_xlfn.XLOOKUP($B6819,sales_teams!$A$2:$A$36,sales_teams!C$2:C$36)</f>
        <v>West</v>
      </c>
      <c r="E6819" t="s">
        <v>18</v>
      </c>
      <c r="F6819" t="s">
        <v>398</v>
      </c>
      <c r="G6819" t="s">
        <v>12</v>
      </c>
      <c r="H6819" s="1">
        <v>42997</v>
      </c>
      <c r="I6819" s="1">
        <v>43050</v>
      </c>
      <c r="J6819">
        <v>53</v>
      </c>
    </row>
    <row r="6820" spans="1:10" x14ac:dyDescent="0.3">
      <c r="A6820" t="s">
        <v>6951</v>
      </c>
      <c r="B6820" t="s">
        <v>252</v>
      </c>
      <c r="C6820" t="str">
        <f>_xlfn.XLOOKUP(B6820,
[1]sales_teams!$A$2:$A$100,
[1]sales_teams!$B$2:$B$100)</f>
        <v>Melvin Marxen</v>
      </c>
      <c r="D6820" t="str">
        <f>_xlfn.XLOOKUP($B6820,sales_teams!$A$2:$A$36,sales_teams!C$2:C$36)</f>
        <v>Central</v>
      </c>
      <c r="E6820" t="s">
        <v>15</v>
      </c>
      <c r="F6820" t="s">
        <v>318</v>
      </c>
      <c r="G6820" t="s">
        <v>12</v>
      </c>
      <c r="H6820" s="1">
        <v>42997</v>
      </c>
      <c r="I6820" s="1">
        <v>43003</v>
      </c>
      <c r="J6820">
        <v>3678</v>
      </c>
    </row>
    <row r="6821" spans="1:10" x14ac:dyDescent="0.3">
      <c r="A6821" t="s">
        <v>6952</v>
      </c>
      <c r="B6821" t="s">
        <v>78</v>
      </c>
      <c r="C6821" t="str">
        <f>_xlfn.XLOOKUP(B6821,
[1]sales_teams!$A$2:$A$100,
[1]sales_teams!$B$2:$B$100)</f>
        <v>Summer Sewald</v>
      </c>
      <c r="D6821" t="str">
        <f>_xlfn.XLOOKUP($B6821,sales_teams!$A$2:$A$36,sales_teams!C$2:C$36)</f>
        <v>West</v>
      </c>
      <c r="E6821" t="s">
        <v>15</v>
      </c>
      <c r="F6821" t="s">
        <v>555</v>
      </c>
      <c r="G6821" t="s">
        <v>46</v>
      </c>
      <c r="H6821" s="1">
        <v>42997</v>
      </c>
      <c r="I6821" s="1">
        <v>43007</v>
      </c>
      <c r="J6821">
        <v>0</v>
      </c>
    </row>
    <row r="6822" spans="1:10" x14ac:dyDescent="0.3">
      <c r="A6822" t="s">
        <v>6953</v>
      </c>
      <c r="B6822" t="s">
        <v>78</v>
      </c>
      <c r="C6822" t="str">
        <f>_xlfn.XLOOKUP(B6822,
[1]sales_teams!$A$2:$A$100,
[1]sales_teams!$B$2:$B$100)</f>
        <v>Summer Sewald</v>
      </c>
      <c r="D6822" t="str">
        <f>_xlfn.XLOOKUP($B6822,sales_teams!$A$2:$A$36,sales_teams!C$2:C$36)</f>
        <v>West</v>
      </c>
      <c r="E6822" t="s">
        <v>39</v>
      </c>
      <c r="F6822" t="s">
        <v>157</v>
      </c>
      <c r="G6822" t="s">
        <v>46</v>
      </c>
      <c r="H6822" s="1">
        <v>42997</v>
      </c>
      <c r="I6822" s="1">
        <v>43066</v>
      </c>
      <c r="J6822">
        <v>0</v>
      </c>
    </row>
    <row r="6823" spans="1:10" x14ac:dyDescent="0.3">
      <c r="A6823" t="s">
        <v>6954</v>
      </c>
      <c r="B6823" t="s">
        <v>95</v>
      </c>
      <c r="C6823" t="str">
        <f>_xlfn.XLOOKUP(B6823,
[1]sales_teams!$A$2:$A$100,
[1]sales_teams!$B$2:$B$100)</f>
        <v>Summer Sewald</v>
      </c>
      <c r="D6823" t="str">
        <f>_xlfn.XLOOKUP($B6823,sales_teams!$A$2:$A$36,sales_teams!C$2:C$36)</f>
        <v>West</v>
      </c>
      <c r="E6823" t="s">
        <v>20</v>
      </c>
      <c r="F6823" t="s">
        <v>70</v>
      </c>
      <c r="G6823" t="s">
        <v>12</v>
      </c>
      <c r="H6823" s="1">
        <v>42997</v>
      </c>
      <c r="I6823" s="1">
        <v>43057</v>
      </c>
      <c r="J6823">
        <v>555</v>
      </c>
    </row>
    <row r="6824" spans="1:10" x14ac:dyDescent="0.3">
      <c r="A6824" t="s">
        <v>6955</v>
      </c>
      <c r="B6824" t="s">
        <v>133</v>
      </c>
      <c r="C6824" t="str">
        <f>_xlfn.XLOOKUP(B6824,
[1]sales_teams!$A$2:$A$100,
[1]sales_teams!$B$2:$B$100)</f>
        <v>Dustin Brinkmann</v>
      </c>
      <c r="D6824" t="str">
        <f>_xlfn.XLOOKUP($B6824,sales_teams!$A$2:$A$36,sales_teams!C$2:C$36)</f>
        <v>Central</v>
      </c>
      <c r="E6824" t="s">
        <v>20</v>
      </c>
      <c r="F6824" t="s">
        <v>151</v>
      </c>
      <c r="G6824" t="s">
        <v>12</v>
      </c>
      <c r="H6824" s="1">
        <v>42997</v>
      </c>
      <c r="I6824" s="1">
        <v>43085</v>
      </c>
      <c r="J6824">
        <v>492</v>
      </c>
    </row>
    <row r="6825" spans="1:10" x14ac:dyDescent="0.3">
      <c r="A6825" t="s">
        <v>6956</v>
      </c>
      <c r="B6825" t="s">
        <v>116</v>
      </c>
      <c r="C6825" t="str">
        <f>_xlfn.XLOOKUP(B6825,
[1]sales_teams!$A$2:$A$100,
[1]sales_teams!$B$2:$B$100)</f>
        <v>Melvin Marxen</v>
      </c>
      <c r="D6825" t="str">
        <f>_xlfn.XLOOKUP($B6825,sales_teams!$A$2:$A$36,sales_teams!C$2:C$36)</f>
        <v>Central</v>
      </c>
      <c r="E6825" t="s">
        <v>10</v>
      </c>
      <c r="F6825" t="s">
        <v>21</v>
      </c>
      <c r="G6825" t="s">
        <v>46</v>
      </c>
      <c r="H6825" s="1">
        <v>42997</v>
      </c>
      <c r="I6825" s="1">
        <v>43062</v>
      </c>
      <c r="J6825">
        <v>0</v>
      </c>
    </row>
    <row r="6826" spans="1:10" x14ac:dyDescent="0.3">
      <c r="A6826" t="s">
        <v>6957</v>
      </c>
      <c r="B6826" t="s">
        <v>116</v>
      </c>
      <c r="C6826" t="str">
        <f>_xlfn.XLOOKUP(B6826,
[1]sales_teams!$A$2:$A$100,
[1]sales_teams!$B$2:$B$100)</f>
        <v>Melvin Marxen</v>
      </c>
      <c r="D6826" t="str">
        <f>_xlfn.XLOOKUP($B6826,sales_teams!$A$2:$A$36,sales_teams!C$2:C$36)</f>
        <v>Central</v>
      </c>
      <c r="E6826" t="s">
        <v>10</v>
      </c>
      <c r="F6826" t="s">
        <v>76</v>
      </c>
      <c r="G6826" t="s">
        <v>46</v>
      </c>
      <c r="H6826" s="1">
        <v>42997</v>
      </c>
      <c r="I6826" s="1">
        <v>43049</v>
      </c>
      <c r="J6826">
        <v>0</v>
      </c>
    </row>
    <row r="6827" spans="1:10" x14ac:dyDescent="0.3">
      <c r="A6827" t="s">
        <v>6958</v>
      </c>
      <c r="B6827" t="s">
        <v>116</v>
      </c>
      <c r="C6827" t="str">
        <f>_xlfn.XLOOKUP(B6827,
[1]sales_teams!$A$2:$A$100,
[1]sales_teams!$B$2:$B$100)</f>
        <v>Melvin Marxen</v>
      </c>
      <c r="D6827" t="str">
        <f>_xlfn.XLOOKUP($B6827,sales_teams!$A$2:$A$36,sales_teams!C$2:C$36)</f>
        <v>Central</v>
      </c>
      <c r="E6827" t="s">
        <v>20</v>
      </c>
      <c r="F6827" t="s">
        <v>109</v>
      </c>
      <c r="G6827" t="s">
        <v>12</v>
      </c>
      <c r="H6827" s="1">
        <v>42997</v>
      </c>
      <c r="I6827" s="1">
        <v>43056</v>
      </c>
      <c r="J6827">
        <v>574</v>
      </c>
    </row>
    <row r="6828" spans="1:10" x14ac:dyDescent="0.3">
      <c r="A6828" t="s">
        <v>6959</v>
      </c>
      <c r="B6828" t="s">
        <v>51</v>
      </c>
      <c r="C6828" t="str">
        <f>_xlfn.XLOOKUP(B6828,
[1]sales_teams!$A$2:$A$100,
[1]sales_teams!$B$2:$B$100)</f>
        <v>Summer Sewald</v>
      </c>
      <c r="D6828" t="str">
        <f>_xlfn.XLOOKUP($B6828,sales_teams!$A$2:$A$36,sales_teams!C$2:C$36)</f>
        <v>West</v>
      </c>
      <c r="E6828" t="s">
        <v>10</v>
      </c>
      <c r="G6828" t="s">
        <v>40</v>
      </c>
      <c r="H6828" s="1">
        <v>42997</v>
      </c>
    </row>
    <row r="6829" spans="1:10" x14ac:dyDescent="0.3">
      <c r="A6829" t="s">
        <v>6960</v>
      </c>
      <c r="B6829" t="s">
        <v>51</v>
      </c>
      <c r="C6829" t="str">
        <f>_xlfn.XLOOKUP(B6829,
[1]sales_teams!$A$2:$A$100,
[1]sales_teams!$B$2:$B$100)</f>
        <v>Summer Sewald</v>
      </c>
      <c r="D6829" t="str">
        <f>_xlfn.XLOOKUP($B6829,sales_teams!$A$2:$A$36,sales_teams!C$2:C$36)</f>
        <v>West</v>
      </c>
      <c r="E6829" t="s">
        <v>15</v>
      </c>
      <c r="F6829" t="s">
        <v>55</v>
      </c>
      <c r="G6829" t="s">
        <v>12</v>
      </c>
      <c r="H6829" s="1">
        <v>42997</v>
      </c>
      <c r="I6829" s="1">
        <v>43078</v>
      </c>
      <c r="J6829">
        <v>4709</v>
      </c>
    </row>
    <row r="6830" spans="1:10" x14ac:dyDescent="0.3">
      <c r="A6830" t="s">
        <v>6961</v>
      </c>
      <c r="B6830" t="s">
        <v>35</v>
      </c>
      <c r="C6830" t="str">
        <f>_xlfn.XLOOKUP(B6830,
[1]sales_teams!$A$2:$A$100,
[1]sales_teams!$B$2:$B$100)</f>
        <v>Melvin Marxen</v>
      </c>
      <c r="D6830" t="str">
        <f>_xlfn.XLOOKUP($B6830,sales_teams!$A$2:$A$36,sales_teams!C$2:C$36)</f>
        <v>Central</v>
      </c>
      <c r="E6830" t="s">
        <v>39</v>
      </c>
      <c r="F6830" t="s">
        <v>218</v>
      </c>
      <c r="G6830" t="s">
        <v>12</v>
      </c>
      <c r="H6830" s="1">
        <v>42997</v>
      </c>
      <c r="I6830" s="1">
        <v>43073</v>
      </c>
      <c r="J6830">
        <v>3079</v>
      </c>
    </row>
    <row r="6831" spans="1:10" x14ac:dyDescent="0.3">
      <c r="A6831" t="s">
        <v>6962</v>
      </c>
      <c r="B6831" t="s">
        <v>97</v>
      </c>
      <c r="C6831" t="str">
        <f>_xlfn.XLOOKUP(B6831,
[1]sales_teams!$A$2:$A$100,
[1]sales_teams!$B$2:$B$100)</f>
        <v>Rocco Neubert</v>
      </c>
      <c r="D6831" t="str">
        <f>_xlfn.XLOOKUP($B6831,sales_teams!$A$2:$A$36,sales_teams!C$2:C$36)</f>
        <v>East</v>
      </c>
      <c r="E6831" t="s">
        <v>15</v>
      </c>
      <c r="F6831" t="s">
        <v>222</v>
      </c>
      <c r="G6831" t="s">
        <v>12</v>
      </c>
      <c r="H6831" s="1">
        <v>42997</v>
      </c>
      <c r="I6831" s="1">
        <v>43002</v>
      </c>
      <c r="J6831">
        <v>4369</v>
      </c>
    </row>
    <row r="6832" spans="1:10" x14ac:dyDescent="0.3">
      <c r="A6832" t="s">
        <v>6963</v>
      </c>
      <c r="B6832" t="s">
        <v>88</v>
      </c>
      <c r="C6832" t="str">
        <f>_xlfn.XLOOKUP(B6832,
[1]sales_teams!$A$2:$A$100,
[1]sales_teams!$B$2:$B$100)</f>
        <v>Cara Losch</v>
      </c>
      <c r="D6832" t="str">
        <f>_xlfn.XLOOKUP($B6832,sales_teams!$A$2:$A$36,sales_teams!C$2:C$36)</f>
        <v>East</v>
      </c>
      <c r="E6832" t="s">
        <v>39</v>
      </c>
      <c r="G6832" t="s">
        <v>40</v>
      </c>
      <c r="H6832" s="1">
        <v>42997</v>
      </c>
    </row>
    <row r="6833" spans="1:10" x14ac:dyDescent="0.3">
      <c r="A6833" t="s">
        <v>6964</v>
      </c>
      <c r="B6833" t="s">
        <v>61</v>
      </c>
      <c r="C6833" t="str">
        <f>_xlfn.XLOOKUP(B6833,
[1]sales_teams!$A$2:$A$100,
[1]sales_teams!$B$2:$B$100)</f>
        <v>Dustin Brinkmann</v>
      </c>
      <c r="D6833" t="str">
        <f>_xlfn.XLOOKUP($B6833,sales_teams!$A$2:$A$36,sales_teams!C$2:C$36)</f>
        <v>Central</v>
      </c>
      <c r="E6833" t="s">
        <v>18</v>
      </c>
      <c r="F6833" t="s">
        <v>151</v>
      </c>
      <c r="G6833" t="s">
        <v>46</v>
      </c>
      <c r="H6833" s="1">
        <v>42997</v>
      </c>
      <c r="I6833" s="1">
        <v>43000</v>
      </c>
      <c r="J6833">
        <v>0</v>
      </c>
    </row>
    <row r="6834" spans="1:10" x14ac:dyDescent="0.3">
      <c r="A6834" t="s">
        <v>6965</v>
      </c>
      <c r="B6834" t="s">
        <v>61</v>
      </c>
      <c r="C6834" t="str">
        <f>_xlfn.XLOOKUP(B6834,
[1]sales_teams!$A$2:$A$100,
[1]sales_teams!$B$2:$B$100)</f>
        <v>Dustin Brinkmann</v>
      </c>
      <c r="D6834" t="str">
        <f>_xlfn.XLOOKUP($B6834,sales_teams!$A$2:$A$36,sales_teams!C$2:C$36)</f>
        <v>Central</v>
      </c>
      <c r="E6834" t="s">
        <v>48</v>
      </c>
      <c r="F6834" t="s">
        <v>187</v>
      </c>
      <c r="G6834" t="s">
        <v>12</v>
      </c>
      <c r="H6834" s="1">
        <v>42997</v>
      </c>
      <c r="I6834" s="1">
        <v>43100</v>
      </c>
      <c r="J6834">
        <v>6000</v>
      </c>
    </row>
    <row r="6835" spans="1:10" x14ac:dyDescent="0.3">
      <c r="A6835" t="s">
        <v>6966</v>
      </c>
      <c r="B6835" t="s">
        <v>73</v>
      </c>
      <c r="C6835" t="str">
        <f>_xlfn.XLOOKUP(B6835,
[1]sales_teams!$A$2:$A$100,
[1]sales_teams!$B$2:$B$100)</f>
        <v>Cara Losch</v>
      </c>
      <c r="D6835" t="str">
        <f>_xlfn.XLOOKUP($B6835,sales_teams!$A$2:$A$36,sales_teams!C$2:C$36)</f>
        <v>East</v>
      </c>
      <c r="E6835" t="s">
        <v>39</v>
      </c>
      <c r="F6835" t="s">
        <v>155</v>
      </c>
      <c r="G6835" t="s">
        <v>12</v>
      </c>
      <c r="H6835" s="1">
        <v>42997</v>
      </c>
      <c r="I6835" s="1">
        <v>43100</v>
      </c>
      <c r="J6835">
        <v>3248</v>
      </c>
    </row>
    <row r="6836" spans="1:10" x14ac:dyDescent="0.3">
      <c r="A6836" t="s">
        <v>6967</v>
      </c>
      <c r="B6836" t="s">
        <v>23</v>
      </c>
      <c r="C6836" t="str">
        <f>_xlfn.XLOOKUP(B6836,
[1]sales_teams!$A$2:$A$100,
[1]sales_teams!$B$2:$B$100)</f>
        <v>Summer Sewald</v>
      </c>
      <c r="D6836" t="str">
        <f>_xlfn.XLOOKUP($B6836,sales_teams!$A$2:$A$36,sales_teams!C$2:C$36)</f>
        <v>West</v>
      </c>
      <c r="E6836" t="s">
        <v>39</v>
      </c>
      <c r="F6836" t="s">
        <v>157</v>
      </c>
      <c r="G6836" t="s">
        <v>12</v>
      </c>
      <c r="H6836" s="1">
        <v>42997</v>
      </c>
      <c r="I6836" s="1">
        <v>43058</v>
      </c>
      <c r="J6836">
        <v>4249</v>
      </c>
    </row>
    <row r="6837" spans="1:10" x14ac:dyDescent="0.3">
      <c r="A6837" t="s">
        <v>6968</v>
      </c>
      <c r="B6837" t="s">
        <v>139</v>
      </c>
      <c r="C6837" t="str">
        <f>_xlfn.XLOOKUP(B6837,
[1]sales_teams!$A$2:$A$100,
[1]sales_teams!$B$2:$B$100)</f>
        <v>Rocco Neubert</v>
      </c>
      <c r="D6837" t="str">
        <f>_xlfn.XLOOKUP($B6837,sales_teams!$A$2:$A$36,sales_teams!C$2:C$36)</f>
        <v>East</v>
      </c>
      <c r="E6837" t="s">
        <v>39</v>
      </c>
      <c r="F6837" t="s">
        <v>170</v>
      </c>
      <c r="G6837" t="s">
        <v>40</v>
      </c>
      <c r="H6837" s="1">
        <v>42998</v>
      </c>
    </row>
    <row r="6838" spans="1:10" x14ac:dyDescent="0.3">
      <c r="A6838" t="s">
        <v>6969</v>
      </c>
      <c r="B6838" t="s">
        <v>139</v>
      </c>
      <c r="C6838" t="str">
        <f>_xlfn.XLOOKUP(B6838,
[1]sales_teams!$A$2:$A$100,
[1]sales_teams!$B$2:$B$100)</f>
        <v>Rocco Neubert</v>
      </c>
      <c r="D6838" t="str">
        <f>_xlfn.XLOOKUP($B6838,sales_teams!$A$2:$A$36,sales_teams!C$2:C$36)</f>
        <v>East</v>
      </c>
      <c r="E6838" t="s">
        <v>20</v>
      </c>
      <c r="F6838" t="s">
        <v>204</v>
      </c>
      <c r="G6838" t="s">
        <v>12</v>
      </c>
      <c r="H6838" s="1">
        <v>42998</v>
      </c>
      <c r="I6838" s="1">
        <v>43095</v>
      </c>
      <c r="J6838">
        <v>563</v>
      </c>
    </row>
    <row r="6839" spans="1:10" x14ac:dyDescent="0.3">
      <c r="A6839" t="s">
        <v>6970</v>
      </c>
      <c r="B6839" t="s">
        <v>164</v>
      </c>
      <c r="C6839" t="str">
        <f>_xlfn.XLOOKUP(B6839,
[1]sales_teams!$A$2:$A$100,
[1]sales_teams!$B$2:$B$100)</f>
        <v>Cara Losch</v>
      </c>
      <c r="D6839" t="str">
        <f>_xlfn.XLOOKUP($B6839,sales_teams!$A$2:$A$36,sales_teams!C$2:C$36)</f>
        <v>East</v>
      </c>
      <c r="E6839" t="s">
        <v>15</v>
      </c>
      <c r="F6839" t="s">
        <v>237</v>
      </c>
      <c r="G6839" t="s">
        <v>12</v>
      </c>
      <c r="H6839" s="1">
        <v>42998</v>
      </c>
      <c r="I6839" s="1">
        <v>43007</v>
      </c>
      <c r="J6839">
        <v>5037</v>
      </c>
    </row>
    <row r="6840" spans="1:10" x14ac:dyDescent="0.3">
      <c r="A6840" t="s">
        <v>6971</v>
      </c>
      <c r="B6840" t="s">
        <v>64</v>
      </c>
      <c r="C6840" t="str">
        <f>_xlfn.XLOOKUP(B6840,
[1]sales_teams!$A$2:$A$100,
[1]sales_teams!$B$2:$B$100)</f>
        <v>Rocco Neubert</v>
      </c>
      <c r="D6840" t="str">
        <f>_xlfn.XLOOKUP($B6840,sales_teams!$A$2:$A$36,sales_teams!C$2:C$36)</f>
        <v>East</v>
      </c>
      <c r="E6840" t="s">
        <v>15</v>
      </c>
      <c r="F6840" t="s">
        <v>155</v>
      </c>
      <c r="G6840" t="s">
        <v>12</v>
      </c>
      <c r="H6840" s="1">
        <v>42998</v>
      </c>
      <c r="I6840" s="1">
        <v>43085</v>
      </c>
      <c r="J6840">
        <v>4865</v>
      </c>
    </row>
    <row r="6841" spans="1:10" x14ac:dyDescent="0.3">
      <c r="A6841" t="s">
        <v>6972</v>
      </c>
      <c r="B6841" t="s">
        <v>14</v>
      </c>
      <c r="C6841" t="str">
        <f>_xlfn.XLOOKUP(B6841,
[1]sales_teams!$A$2:$A$100,
[1]sales_teams!$B$2:$B$100)</f>
        <v>Melvin Marxen</v>
      </c>
      <c r="D6841" t="str">
        <f>_xlfn.XLOOKUP($B6841,sales_teams!$A$2:$A$36,sales_teams!C$2:C$36)</f>
        <v>Central</v>
      </c>
      <c r="E6841" t="s">
        <v>15</v>
      </c>
      <c r="F6841" t="s">
        <v>76</v>
      </c>
      <c r="G6841" t="s">
        <v>12</v>
      </c>
      <c r="H6841" s="1">
        <v>42998</v>
      </c>
      <c r="I6841" s="1">
        <v>43087</v>
      </c>
      <c r="J6841">
        <v>5192</v>
      </c>
    </row>
    <row r="6842" spans="1:10" x14ac:dyDescent="0.3">
      <c r="A6842" t="s">
        <v>6973</v>
      </c>
      <c r="B6842" t="s">
        <v>142</v>
      </c>
      <c r="C6842" t="str">
        <f>_xlfn.XLOOKUP(B6842,
[1]sales_teams!$A$2:$A$100,
[1]sales_teams!$B$2:$B$100)</f>
        <v>Rocco Neubert</v>
      </c>
      <c r="D6842" t="str">
        <f>_xlfn.XLOOKUP($B6842,sales_teams!$A$2:$A$36,sales_teams!C$2:C$36)</f>
        <v>East</v>
      </c>
      <c r="E6842" t="s">
        <v>10</v>
      </c>
      <c r="F6842" t="s">
        <v>155</v>
      </c>
      <c r="G6842" t="s">
        <v>46</v>
      </c>
      <c r="H6842" s="1">
        <v>42998</v>
      </c>
      <c r="I6842" s="1">
        <v>43092</v>
      </c>
      <c r="J6842">
        <v>0</v>
      </c>
    </row>
    <row r="6843" spans="1:10" x14ac:dyDescent="0.3">
      <c r="A6843" t="s">
        <v>6974</v>
      </c>
      <c r="B6843" t="s">
        <v>67</v>
      </c>
      <c r="C6843" t="str">
        <f>_xlfn.XLOOKUP(B6843,
[1]sales_teams!$A$2:$A$100,
[1]sales_teams!$B$2:$B$100)</f>
        <v>Celia Rouche</v>
      </c>
      <c r="D6843" t="str">
        <f>_xlfn.XLOOKUP($B6843,sales_teams!$A$2:$A$36,sales_teams!C$2:C$36)</f>
        <v>West</v>
      </c>
      <c r="E6843" t="s">
        <v>48</v>
      </c>
      <c r="G6843" t="s">
        <v>40</v>
      </c>
      <c r="H6843" s="1">
        <v>42998</v>
      </c>
    </row>
    <row r="6844" spans="1:10" x14ac:dyDescent="0.3">
      <c r="A6844" t="s">
        <v>6975</v>
      </c>
      <c r="B6844" t="s">
        <v>67</v>
      </c>
      <c r="C6844" t="str">
        <f>_xlfn.XLOOKUP(B6844,
[1]sales_teams!$A$2:$A$100,
[1]sales_teams!$B$2:$B$100)</f>
        <v>Celia Rouche</v>
      </c>
      <c r="D6844" t="str">
        <f>_xlfn.XLOOKUP($B6844,sales_teams!$A$2:$A$36,sales_teams!C$2:C$36)</f>
        <v>West</v>
      </c>
      <c r="E6844" t="s">
        <v>18</v>
      </c>
      <c r="G6844" t="s">
        <v>40</v>
      </c>
      <c r="H6844" s="1">
        <v>42998</v>
      </c>
    </row>
    <row r="6845" spans="1:10" x14ac:dyDescent="0.3">
      <c r="A6845" t="s">
        <v>6976</v>
      </c>
      <c r="B6845" t="s">
        <v>67</v>
      </c>
      <c r="C6845" t="str">
        <f>_xlfn.XLOOKUP(B6845,
[1]sales_teams!$A$2:$A$100,
[1]sales_teams!$B$2:$B$100)</f>
        <v>Celia Rouche</v>
      </c>
      <c r="D6845" t="str">
        <f>_xlfn.XLOOKUP($B6845,sales_teams!$A$2:$A$36,sales_teams!C$2:C$36)</f>
        <v>West</v>
      </c>
      <c r="E6845" t="s">
        <v>18</v>
      </c>
      <c r="F6845" t="s">
        <v>224</v>
      </c>
      <c r="G6845" t="s">
        <v>12</v>
      </c>
      <c r="H6845" s="1">
        <v>42998</v>
      </c>
      <c r="I6845" s="1">
        <v>43100</v>
      </c>
      <c r="J6845">
        <v>41</v>
      </c>
    </row>
    <row r="6846" spans="1:10" x14ac:dyDescent="0.3">
      <c r="A6846" t="s">
        <v>6977</v>
      </c>
      <c r="B6846" t="s">
        <v>54</v>
      </c>
      <c r="C6846" t="str">
        <f>_xlfn.XLOOKUP(B6846,
[1]sales_teams!$A$2:$A$100,
[1]sales_teams!$B$2:$B$100)</f>
        <v>Celia Rouche</v>
      </c>
      <c r="D6846" t="str">
        <f>_xlfn.XLOOKUP($B6846,sales_teams!$A$2:$A$36,sales_teams!C$2:C$36)</f>
        <v>West</v>
      </c>
      <c r="E6846" t="s">
        <v>18</v>
      </c>
      <c r="F6846" t="s">
        <v>174</v>
      </c>
      <c r="G6846" t="s">
        <v>12</v>
      </c>
      <c r="H6846" s="1">
        <v>42998</v>
      </c>
      <c r="I6846" s="1">
        <v>43004</v>
      </c>
      <c r="J6846">
        <v>59</v>
      </c>
    </row>
    <row r="6847" spans="1:10" x14ac:dyDescent="0.3">
      <c r="A6847" t="s">
        <v>6978</v>
      </c>
      <c r="B6847" t="s">
        <v>38</v>
      </c>
      <c r="C6847" t="str">
        <f>_xlfn.XLOOKUP(B6847,
[1]sales_teams!$A$2:$A$100,
[1]sales_teams!$B$2:$B$100)</f>
        <v>Summer Sewald</v>
      </c>
      <c r="D6847" t="str">
        <f>_xlfn.XLOOKUP($B6847,sales_teams!$A$2:$A$36,sales_teams!C$2:C$36)</f>
        <v>West</v>
      </c>
      <c r="E6847" t="s">
        <v>48</v>
      </c>
      <c r="F6847" t="s">
        <v>148</v>
      </c>
      <c r="G6847" t="s">
        <v>46</v>
      </c>
      <c r="H6847" s="1">
        <v>42998</v>
      </c>
      <c r="I6847" s="1">
        <v>43009</v>
      </c>
      <c r="J6847">
        <v>0</v>
      </c>
    </row>
    <row r="6848" spans="1:10" x14ac:dyDescent="0.3">
      <c r="A6848" t="s">
        <v>6979</v>
      </c>
      <c r="B6848" t="s">
        <v>38</v>
      </c>
      <c r="C6848" t="str">
        <f>_xlfn.XLOOKUP(B6848,
[1]sales_teams!$A$2:$A$100,
[1]sales_teams!$B$2:$B$100)</f>
        <v>Summer Sewald</v>
      </c>
      <c r="D6848" t="str">
        <f>_xlfn.XLOOKUP($B6848,sales_teams!$A$2:$A$36,sales_teams!C$2:C$36)</f>
        <v>West</v>
      </c>
      <c r="E6848" t="s">
        <v>18</v>
      </c>
      <c r="F6848" t="s">
        <v>313</v>
      </c>
      <c r="G6848" t="s">
        <v>12</v>
      </c>
      <c r="H6848" s="1">
        <v>42998</v>
      </c>
      <c r="I6848" s="1">
        <v>43063</v>
      </c>
      <c r="J6848">
        <v>58</v>
      </c>
    </row>
    <row r="6849" spans="1:10" x14ac:dyDescent="0.3">
      <c r="A6849" t="s">
        <v>6980</v>
      </c>
      <c r="B6849" t="s">
        <v>252</v>
      </c>
      <c r="C6849" t="str">
        <f>_xlfn.XLOOKUP(B6849,
[1]sales_teams!$A$2:$A$100,
[1]sales_teams!$B$2:$B$100)</f>
        <v>Melvin Marxen</v>
      </c>
      <c r="D6849" t="str">
        <f>_xlfn.XLOOKUP($B6849,sales_teams!$A$2:$A$36,sales_teams!C$2:C$36)</f>
        <v>Central</v>
      </c>
      <c r="E6849" t="s">
        <v>15</v>
      </c>
      <c r="F6849" t="s">
        <v>27</v>
      </c>
      <c r="G6849" t="s">
        <v>12</v>
      </c>
      <c r="H6849" s="1">
        <v>42998</v>
      </c>
      <c r="I6849" s="1">
        <v>43008</v>
      </c>
      <c r="J6849">
        <v>4361</v>
      </c>
    </row>
    <row r="6850" spans="1:10" x14ac:dyDescent="0.3">
      <c r="A6850" t="s">
        <v>6981</v>
      </c>
      <c r="B6850" t="s">
        <v>78</v>
      </c>
      <c r="C6850" t="str">
        <f>_xlfn.XLOOKUP(B6850,
[1]sales_teams!$A$2:$A$100,
[1]sales_teams!$B$2:$B$100)</f>
        <v>Summer Sewald</v>
      </c>
      <c r="D6850" t="str">
        <f>_xlfn.XLOOKUP($B6850,sales_teams!$A$2:$A$36,sales_teams!C$2:C$36)</f>
        <v>West</v>
      </c>
      <c r="E6850" t="s">
        <v>15</v>
      </c>
      <c r="G6850" t="s">
        <v>40</v>
      </c>
      <c r="H6850" s="1">
        <v>42998</v>
      </c>
    </row>
    <row r="6851" spans="1:10" x14ac:dyDescent="0.3">
      <c r="A6851" t="s">
        <v>6982</v>
      </c>
      <c r="B6851" t="s">
        <v>78</v>
      </c>
      <c r="C6851" t="str">
        <f>_xlfn.XLOOKUP(B6851,
[1]sales_teams!$A$2:$A$100,
[1]sales_teams!$B$2:$B$100)</f>
        <v>Summer Sewald</v>
      </c>
      <c r="D6851" t="str">
        <f>_xlfn.XLOOKUP($B6851,sales_teams!$A$2:$A$36,sales_teams!C$2:C$36)</f>
        <v>West</v>
      </c>
      <c r="E6851" t="s">
        <v>48</v>
      </c>
      <c r="F6851" t="s">
        <v>184</v>
      </c>
      <c r="G6851" t="s">
        <v>12</v>
      </c>
      <c r="H6851" s="1">
        <v>42998</v>
      </c>
      <c r="I6851" s="1">
        <v>43078</v>
      </c>
      <c r="J6851">
        <v>4906</v>
      </c>
    </row>
    <row r="6852" spans="1:10" x14ac:dyDescent="0.3">
      <c r="A6852" t="s">
        <v>6983</v>
      </c>
      <c r="B6852" t="s">
        <v>32</v>
      </c>
      <c r="C6852" t="str">
        <f>_xlfn.XLOOKUP(B6852,
[1]sales_teams!$A$2:$A$100,
[1]sales_teams!$B$2:$B$100)</f>
        <v>Celia Rouche</v>
      </c>
      <c r="D6852" t="str">
        <f>_xlfn.XLOOKUP($B6852,sales_teams!$A$2:$A$36,sales_teams!C$2:C$36)</f>
        <v>West</v>
      </c>
      <c r="E6852" t="s">
        <v>20</v>
      </c>
      <c r="F6852" t="s">
        <v>148</v>
      </c>
      <c r="G6852" t="s">
        <v>12</v>
      </c>
      <c r="H6852" s="1">
        <v>42998</v>
      </c>
      <c r="I6852" s="1">
        <v>43007</v>
      </c>
      <c r="J6852">
        <v>587</v>
      </c>
    </row>
    <row r="6853" spans="1:10" x14ac:dyDescent="0.3">
      <c r="A6853" t="s">
        <v>6984</v>
      </c>
      <c r="B6853" t="s">
        <v>32</v>
      </c>
      <c r="C6853" t="str">
        <f>_xlfn.XLOOKUP(B6853,
[1]sales_teams!$A$2:$A$100,
[1]sales_teams!$B$2:$B$100)</f>
        <v>Celia Rouche</v>
      </c>
      <c r="D6853" t="str">
        <f>_xlfn.XLOOKUP($B6853,sales_teams!$A$2:$A$36,sales_teams!C$2:C$36)</f>
        <v>West</v>
      </c>
      <c r="E6853" t="s">
        <v>15</v>
      </c>
      <c r="F6853" t="s">
        <v>159</v>
      </c>
      <c r="G6853" t="s">
        <v>12</v>
      </c>
      <c r="H6853" s="1">
        <v>42998</v>
      </c>
      <c r="I6853" s="1">
        <v>43063</v>
      </c>
      <c r="J6853">
        <v>4487</v>
      </c>
    </row>
    <row r="6854" spans="1:10" x14ac:dyDescent="0.3">
      <c r="A6854" t="s">
        <v>6985</v>
      </c>
      <c r="B6854" t="s">
        <v>9</v>
      </c>
      <c r="C6854" t="str">
        <f>_xlfn.XLOOKUP(B6854,
[1]sales_teams!$A$2:$A$100,
[1]sales_teams!$B$2:$B$100)</f>
        <v>Dustin Brinkmann</v>
      </c>
      <c r="D6854" t="str">
        <f>_xlfn.XLOOKUP($B6854,sales_teams!$A$2:$A$36,sales_teams!C$2:C$36)</f>
        <v>Central</v>
      </c>
      <c r="E6854" t="s">
        <v>39</v>
      </c>
      <c r="F6854" t="s">
        <v>11</v>
      </c>
      <c r="G6854" t="s">
        <v>12</v>
      </c>
      <c r="H6854" s="1">
        <v>42998</v>
      </c>
      <c r="I6854" s="1">
        <v>43097</v>
      </c>
      <c r="J6854">
        <v>3627</v>
      </c>
    </row>
    <row r="6855" spans="1:10" x14ac:dyDescent="0.3">
      <c r="A6855" t="s">
        <v>6986</v>
      </c>
      <c r="B6855" t="s">
        <v>57</v>
      </c>
      <c r="C6855" t="str">
        <f>_xlfn.XLOOKUP(B6855,
[1]sales_teams!$A$2:$A$100,
[1]sales_teams!$B$2:$B$100)</f>
        <v>Celia Rouche</v>
      </c>
      <c r="D6855" t="str">
        <f>_xlfn.XLOOKUP($B6855,sales_teams!$A$2:$A$36,sales_teams!C$2:C$36)</f>
        <v>West</v>
      </c>
      <c r="E6855" t="s">
        <v>10</v>
      </c>
      <c r="F6855" t="s">
        <v>174</v>
      </c>
      <c r="G6855" t="s">
        <v>40</v>
      </c>
      <c r="H6855" s="1">
        <v>42998</v>
      </c>
    </row>
    <row r="6856" spans="1:10" x14ac:dyDescent="0.3">
      <c r="A6856" t="s">
        <v>6987</v>
      </c>
      <c r="B6856" t="s">
        <v>57</v>
      </c>
      <c r="C6856" t="str">
        <f>_xlfn.XLOOKUP(B6856,
[1]sales_teams!$A$2:$A$100,
[1]sales_teams!$B$2:$B$100)</f>
        <v>Celia Rouche</v>
      </c>
      <c r="D6856" t="str">
        <f>_xlfn.XLOOKUP($B6856,sales_teams!$A$2:$A$36,sales_teams!C$2:C$36)</f>
        <v>West</v>
      </c>
      <c r="E6856" t="s">
        <v>10</v>
      </c>
      <c r="F6856" t="s">
        <v>124</v>
      </c>
      <c r="G6856" t="s">
        <v>12</v>
      </c>
      <c r="H6856" s="1">
        <v>42998</v>
      </c>
      <c r="I6856" s="1">
        <v>43091</v>
      </c>
      <c r="J6856">
        <v>920</v>
      </c>
    </row>
    <row r="6857" spans="1:10" x14ac:dyDescent="0.3">
      <c r="A6857" t="s">
        <v>6988</v>
      </c>
      <c r="B6857" t="s">
        <v>29</v>
      </c>
      <c r="C6857" t="str">
        <f>_xlfn.XLOOKUP(B6857,
[1]sales_teams!$A$2:$A$100,
[1]sales_teams!$B$2:$B$100)</f>
        <v>Celia Rouche</v>
      </c>
      <c r="D6857" t="str">
        <f>_xlfn.XLOOKUP($B6857,sales_teams!$A$2:$A$36,sales_teams!C$2:C$36)</f>
        <v>West</v>
      </c>
      <c r="E6857" t="s">
        <v>18</v>
      </c>
      <c r="F6857" t="s">
        <v>36</v>
      </c>
      <c r="G6857" t="s">
        <v>40</v>
      </c>
      <c r="H6857" s="1">
        <v>42998</v>
      </c>
    </row>
    <row r="6858" spans="1:10" x14ac:dyDescent="0.3">
      <c r="A6858" t="s">
        <v>6989</v>
      </c>
      <c r="B6858" t="s">
        <v>29</v>
      </c>
      <c r="C6858" t="str">
        <f>_xlfn.XLOOKUP(B6858,
[1]sales_teams!$A$2:$A$100,
[1]sales_teams!$B$2:$B$100)</f>
        <v>Celia Rouche</v>
      </c>
      <c r="D6858" t="str">
        <f>_xlfn.XLOOKUP($B6858,sales_teams!$A$2:$A$36,sales_teams!C$2:C$36)</f>
        <v>West</v>
      </c>
      <c r="E6858" t="s">
        <v>39</v>
      </c>
      <c r="G6858" t="s">
        <v>40</v>
      </c>
      <c r="H6858" s="1">
        <v>42998</v>
      </c>
    </row>
    <row r="6859" spans="1:10" x14ac:dyDescent="0.3">
      <c r="A6859" t="s">
        <v>6990</v>
      </c>
      <c r="B6859" t="s">
        <v>29</v>
      </c>
      <c r="C6859" t="str">
        <f>_xlfn.XLOOKUP(B6859,
[1]sales_teams!$A$2:$A$100,
[1]sales_teams!$B$2:$B$100)</f>
        <v>Celia Rouche</v>
      </c>
      <c r="D6859" t="str">
        <f>_xlfn.XLOOKUP($B6859,sales_teams!$A$2:$A$36,sales_teams!C$2:C$36)</f>
        <v>West</v>
      </c>
      <c r="E6859" t="s">
        <v>20</v>
      </c>
      <c r="F6859" t="s">
        <v>122</v>
      </c>
      <c r="G6859" t="s">
        <v>12</v>
      </c>
      <c r="H6859" s="1">
        <v>42998</v>
      </c>
      <c r="I6859" s="1">
        <v>43009</v>
      </c>
      <c r="J6859">
        <v>552</v>
      </c>
    </row>
    <row r="6860" spans="1:10" x14ac:dyDescent="0.3">
      <c r="A6860" t="s">
        <v>6991</v>
      </c>
      <c r="B6860" t="s">
        <v>29</v>
      </c>
      <c r="C6860" t="str">
        <f>_xlfn.XLOOKUP(B6860,
[1]sales_teams!$A$2:$A$100,
[1]sales_teams!$B$2:$B$100)</f>
        <v>Celia Rouche</v>
      </c>
      <c r="D6860" t="str">
        <f>_xlfn.XLOOKUP($B6860,sales_teams!$A$2:$A$36,sales_teams!C$2:C$36)</f>
        <v>West</v>
      </c>
      <c r="E6860" t="s">
        <v>18</v>
      </c>
      <c r="F6860" t="s">
        <v>86</v>
      </c>
      <c r="G6860" t="s">
        <v>12</v>
      </c>
      <c r="H6860" s="1">
        <v>42998</v>
      </c>
      <c r="I6860" s="1">
        <v>43084</v>
      </c>
      <c r="J6860">
        <v>54</v>
      </c>
    </row>
    <row r="6861" spans="1:10" x14ac:dyDescent="0.3">
      <c r="A6861" t="s">
        <v>6992</v>
      </c>
      <c r="B6861" t="s">
        <v>73</v>
      </c>
      <c r="C6861" t="str">
        <f>_xlfn.XLOOKUP(B6861,
[1]sales_teams!$A$2:$A$100,
[1]sales_teams!$B$2:$B$100)</f>
        <v>Cara Losch</v>
      </c>
      <c r="D6861" t="str">
        <f>_xlfn.XLOOKUP($B6861,sales_teams!$A$2:$A$36,sales_teams!C$2:C$36)</f>
        <v>East</v>
      </c>
      <c r="E6861" t="s">
        <v>20</v>
      </c>
      <c r="F6861" t="s">
        <v>192</v>
      </c>
      <c r="G6861" t="s">
        <v>12</v>
      </c>
      <c r="H6861" s="1">
        <v>42998</v>
      </c>
      <c r="I6861" s="1">
        <v>43083</v>
      </c>
      <c r="J6861">
        <v>472</v>
      </c>
    </row>
    <row r="6862" spans="1:10" x14ac:dyDescent="0.3">
      <c r="A6862" t="s">
        <v>6993</v>
      </c>
      <c r="B6862" t="s">
        <v>102</v>
      </c>
      <c r="C6862" t="str">
        <f>_xlfn.XLOOKUP(B6862,
[1]sales_teams!$A$2:$A$100,
[1]sales_teams!$B$2:$B$100)</f>
        <v>Cara Losch</v>
      </c>
      <c r="D6862" t="str">
        <f>_xlfn.XLOOKUP($B6862,sales_teams!$A$2:$A$36,sales_teams!C$2:C$36)</f>
        <v>East</v>
      </c>
      <c r="E6862" t="s">
        <v>48</v>
      </c>
      <c r="F6862" t="s">
        <v>65</v>
      </c>
      <c r="G6862" t="s">
        <v>46</v>
      </c>
      <c r="H6862" s="1">
        <v>42998</v>
      </c>
      <c r="I6862" s="1">
        <v>43063</v>
      </c>
      <c r="J6862">
        <v>0</v>
      </c>
    </row>
    <row r="6863" spans="1:10" x14ac:dyDescent="0.3">
      <c r="A6863" t="s">
        <v>6994</v>
      </c>
      <c r="B6863" t="s">
        <v>23</v>
      </c>
      <c r="C6863" t="str">
        <f>_xlfn.XLOOKUP(B6863,
[1]sales_teams!$A$2:$A$100,
[1]sales_teams!$B$2:$B$100)</f>
        <v>Summer Sewald</v>
      </c>
      <c r="D6863" t="str">
        <f>_xlfn.XLOOKUP($B6863,sales_teams!$A$2:$A$36,sales_teams!C$2:C$36)</f>
        <v>West</v>
      </c>
      <c r="E6863" t="s">
        <v>15</v>
      </c>
      <c r="G6863" t="s">
        <v>40</v>
      </c>
      <c r="H6863" s="1">
        <v>42998</v>
      </c>
    </row>
    <row r="6864" spans="1:10" x14ac:dyDescent="0.3">
      <c r="A6864" t="s">
        <v>6995</v>
      </c>
      <c r="B6864" t="s">
        <v>26</v>
      </c>
      <c r="C6864" t="str">
        <f>_xlfn.XLOOKUP(B6864,
[1]sales_teams!$A$2:$A$100,
[1]sales_teams!$B$2:$B$100)</f>
        <v>Dustin Brinkmann</v>
      </c>
      <c r="D6864" t="str">
        <f>_xlfn.XLOOKUP($B6864,sales_teams!$A$2:$A$36,sales_teams!C$2:C$36)</f>
        <v>Central</v>
      </c>
      <c r="E6864" t="s">
        <v>18</v>
      </c>
      <c r="F6864" t="s">
        <v>170</v>
      </c>
      <c r="G6864" t="s">
        <v>12</v>
      </c>
      <c r="H6864" s="1">
        <v>42999</v>
      </c>
      <c r="I6864" s="1">
        <v>43008</v>
      </c>
      <c r="J6864">
        <v>66</v>
      </c>
    </row>
    <row r="6865" spans="1:10" x14ac:dyDescent="0.3">
      <c r="A6865" t="s">
        <v>6996</v>
      </c>
      <c r="B6865" t="s">
        <v>139</v>
      </c>
      <c r="C6865" t="str">
        <f>_xlfn.XLOOKUP(B6865,
[1]sales_teams!$A$2:$A$100,
[1]sales_teams!$B$2:$B$100)</f>
        <v>Rocco Neubert</v>
      </c>
      <c r="D6865" t="str">
        <f>_xlfn.XLOOKUP($B6865,sales_teams!$A$2:$A$36,sales_teams!C$2:C$36)</f>
        <v>East</v>
      </c>
      <c r="E6865" t="s">
        <v>15</v>
      </c>
      <c r="F6865" t="s">
        <v>278</v>
      </c>
      <c r="G6865" t="s">
        <v>46</v>
      </c>
      <c r="H6865" s="1">
        <v>42999</v>
      </c>
      <c r="I6865" s="1">
        <v>43071</v>
      </c>
      <c r="J6865">
        <v>0</v>
      </c>
    </row>
    <row r="6866" spans="1:10" x14ac:dyDescent="0.3">
      <c r="A6866" t="s">
        <v>6997</v>
      </c>
      <c r="B6866" t="s">
        <v>118</v>
      </c>
      <c r="C6866" t="str">
        <f>_xlfn.XLOOKUP(B6866,
[1]sales_teams!$A$2:$A$100,
[1]sales_teams!$B$2:$B$100)</f>
        <v>Rocco Neubert</v>
      </c>
      <c r="D6866" t="str">
        <f>_xlfn.XLOOKUP($B6866,sales_teams!$A$2:$A$36,sales_teams!C$2:C$36)</f>
        <v>East</v>
      </c>
      <c r="E6866" t="s">
        <v>10</v>
      </c>
      <c r="F6866" t="s">
        <v>222</v>
      </c>
      <c r="G6866" t="s">
        <v>12</v>
      </c>
      <c r="H6866" s="1">
        <v>42999</v>
      </c>
      <c r="I6866" s="1">
        <v>43060</v>
      </c>
      <c r="J6866">
        <v>1039</v>
      </c>
    </row>
    <row r="6867" spans="1:10" x14ac:dyDescent="0.3">
      <c r="A6867" t="s">
        <v>6998</v>
      </c>
      <c r="B6867" t="s">
        <v>164</v>
      </c>
      <c r="C6867" t="str">
        <f>_xlfn.XLOOKUP(B6867,
[1]sales_teams!$A$2:$A$100,
[1]sales_teams!$B$2:$B$100)</f>
        <v>Cara Losch</v>
      </c>
      <c r="D6867" t="str">
        <f>_xlfn.XLOOKUP($B6867,sales_teams!$A$2:$A$36,sales_teams!C$2:C$36)</f>
        <v>East</v>
      </c>
      <c r="E6867" t="s">
        <v>10</v>
      </c>
      <c r="F6867" t="s">
        <v>215</v>
      </c>
      <c r="G6867" t="s">
        <v>46</v>
      </c>
      <c r="H6867" s="1">
        <v>42999</v>
      </c>
      <c r="I6867" s="1">
        <v>43061</v>
      </c>
      <c r="J6867">
        <v>0</v>
      </c>
    </row>
    <row r="6868" spans="1:10" x14ac:dyDescent="0.3">
      <c r="A6868" t="s">
        <v>6999</v>
      </c>
      <c r="B6868" t="s">
        <v>164</v>
      </c>
      <c r="C6868" t="str">
        <f>_xlfn.XLOOKUP(B6868,
[1]sales_teams!$A$2:$A$100,
[1]sales_teams!$B$2:$B$100)</f>
        <v>Cara Losch</v>
      </c>
      <c r="D6868" t="str">
        <f>_xlfn.XLOOKUP($B6868,sales_teams!$A$2:$A$36,sales_teams!C$2:C$36)</f>
        <v>East</v>
      </c>
      <c r="E6868" t="s">
        <v>15</v>
      </c>
      <c r="F6868" t="s">
        <v>155</v>
      </c>
      <c r="G6868" t="s">
        <v>46</v>
      </c>
      <c r="H6868" s="1">
        <v>42999</v>
      </c>
      <c r="I6868" s="1">
        <v>43003</v>
      </c>
      <c r="J6868">
        <v>0</v>
      </c>
    </row>
    <row r="6869" spans="1:10" x14ac:dyDescent="0.3">
      <c r="A6869" t="s">
        <v>7000</v>
      </c>
      <c r="B6869" t="s">
        <v>164</v>
      </c>
      <c r="C6869" t="str">
        <f>_xlfn.XLOOKUP(B6869,
[1]sales_teams!$A$2:$A$100,
[1]sales_teams!$B$2:$B$100)</f>
        <v>Cara Losch</v>
      </c>
      <c r="D6869" t="str">
        <f>_xlfn.XLOOKUP($B6869,sales_teams!$A$2:$A$36,sales_teams!C$2:C$36)</f>
        <v>East</v>
      </c>
      <c r="E6869" t="s">
        <v>20</v>
      </c>
      <c r="F6869" t="s">
        <v>745</v>
      </c>
      <c r="G6869" t="s">
        <v>12</v>
      </c>
      <c r="H6869" s="1">
        <v>42999</v>
      </c>
      <c r="I6869" s="1">
        <v>43090</v>
      </c>
      <c r="J6869">
        <v>550</v>
      </c>
    </row>
    <row r="6870" spans="1:10" x14ac:dyDescent="0.3">
      <c r="A6870" t="s">
        <v>7001</v>
      </c>
      <c r="B6870" t="s">
        <v>64</v>
      </c>
      <c r="C6870" t="str">
        <f>_xlfn.XLOOKUP(B6870,
[1]sales_teams!$A$2:$A$100,
[1]sales_teams!$B$2:$B$100)</f>
        <v>Rocco Neubert</v>
      </c>
      <c r="D6870" t="str">
        <f>_xlfn.XLOOKUP($B6870,sales_teams!$A$2:$A$36,sales_teams!C$2:C$36)</f>
        <v>East</v>
      </c>
      <c r="E6870" t="s">
        <v>15</v>
      </c>
      <c r="G6870" t="s">
        <v>40</v>
      </c>
      <c r="H6870" s="1">
        <v>42999</v>
      </c>
    </row>
    <row r="6871" spans="1:10" x14ac:dyDescent="0.3">
      <c r="A6871" t="s">
        <v>7002</v>
      </c>
      <c r="B6871" t="s">
        <v>14</v>
      </c>
      <c r="C6871" t="str">
        <f>_xlfn.XLOOKUP(B6871,
[1]sales_teams!$A$2:$A$100,
[1]sales_teams!$B$2:$B$100)</f>
        <v>Melvin Marxen</v>
      </c>
      <c r="D6871" t="str">
        <f>_xlfn.XLOOKUP($B6871,sales_teams!$A$2:$A$36,sales_teams!C$2:C$36)</f>
        <v>Central</v>
      </c>
      <c r="E6871" t="s">
        <v>15</v>
      </c>
      <c r="F6871" t="s">
        <v>151</v>
      </c>
      <c r="G6871" t="s">
        <v>46</v>
      </c>
      <c r="H6871" s="1">
        <v>42999</v>
      </c>
      <c r="I6871" s="1">
        <v>43064</v>
      </c>
      <c r="J6871">
        <v>0</v>
      </c>
    </row>
    <row r="6872" spans="1:10" x14ac:dyDescent="0.3">
      <c r="A6872" t="s">
        <v>7003</v>
      </c>
      <c r="B6872" t="s">
        <v>14</v>
      </c>
      <c r="C6872" t="str">
        <f>_xlfn.XLOOKUP(B6872,
[1]sales_teams!$A$2:$A$100,
[1]sales_teams!$B$2:$B$100)</f>
        <v>Melvin Marxen</v>
      </c>
      <c r="D6872" t="str">
        <f>_xlfn.XLOOKUP($B6872,sales_teams!$A$2:$A$36,sales_teams!C$2:C$36)</f>
        <v>Central</v>
      </c>
      <c r="E6872" t="s">
        <v>15</v>
      </c>
      <c r="F6872" t="s">
        <v>62</v>
      </c>
      <c r="G6872" t="s">
        <v>12</v>
      </c>
      <c r="H6872" s="1">
        <v>42999</v>
      </c>
      <c r="I6872" s="1">
        <v>43099</v>
      </c>
      <c r="J6872">
        <v>4570</v>
      </c>
    </row>
    <row r="6873" spans="1:10" x14ac:dyDescent="0.3">
      <c r="A6873" t="s">
        <v>7004</v>
      </c>
      <c r="B6873" t="s">
        <v>142</v>
      </c>
      <c r="C6873" t="str">
        <f>_xlfn.XLOOKUP(B6873,
[1]sales_teams!$A$2:$A$100,
[1]sales_teams!$B$2:$B$100)</f>
        <v>Rocco Neubert</v>
      </c>
      <c r="D6873" t="str">
        <f>_xlfn.XLOOKUP($B6873,sales_teams!$A$2:$A$36,sales_teams!C$2:C$36)</f>
        <v>East</v>
      </c>
      <c r="E6873" t="s">
        <v>15</v>
      </c>
      <c r="F6873" t="s">
        <v>204</v>
      </c>
      <c r="G6873" t="s">
        <v>46</v>
      </c>
      <c r="H6873" s="1">
        <v>42999</v>
      </c>
      <c r="I6873" s="1">
        <v>43069</v>
      </c>
      <c r="J6873">
        <v>0</v>
      </c>
    </row>
    <row r="6874" spans="1:10" x14ac:dyDescent="0.3">
      <c r="A6874" t="s">
        <v>7005</v>
      </c>
      <c r="B6874" t="s">
        <v>44</v>
      </c>
      <c r="C6874" t="str">
        <f>_xlfn.XLOOKUP(B6874,
[1]sales_teams!$A$2:$A$100,
[1]sales_teams!$B$2:$B$100)</f>
        <v>Melvin Marxen</v>
      </c>
      <c r="D6874" t="str">
        <f>_xlfn.XLOOKUP($B6874,sales_teams!$A$2:$A$36,sales_teams!C$2:C$36)</f>
        <v>Central</v>
      </c>
      <c r="E6874" t="s">
        <v>48</v>
      </c>
      <c r="F6874" t="s">
        <v>218</v>
      </c>
      <c r="G6874" t="s">
        <v>12</v>
      </c>
      <c r="H6874" s="1">
        <v>42999</v>
      </c>
      <c r="I6874" s="1">
        <v>43074</v>
      </c>
      <c r="J6874">
        <v>5138</v>
      </c>
    </row>
    <row r="6875" spans="1:10" x14ac:dyDescent="0.3">
      <c r="A6875" t="s">
        <v>7006</v>
      </c>
      <c r="B6875" t="s">
        <v>38</v>
      </c>
      <c r="C6875" t="str">
        <f>_xlfn.XLOOKUP(B6875,
[1]sales_teams!$A$2:$A$100,
[1]sales_teams!$B$2:$B$100)</f>
        <v>Summer Sewald</v>
      </c>
      <c r="D6875" t="str">
        <f>_xlfn.XLOOKUP($B6875,sales_teams!$A$2:$A$36,sales_teams!C$2:C$36)</f>
        <v>West</v>
      </c>
      <c r="E6875" t="s">
        <v>39</v>
      </c>
      <c r="F6875" t="s">
        <v>86</v>
      </c>
      <c r="G6875" t="s">
        <v>12</v>
      </c>
      <c r="H6875" s="1">
        <v>42999</v>
      </c>
      <c r="I6875" s="1">
        <v>43071</v>
      </c>
      <c r="J6875">
        <v>3063</v>
      </c>
    </row>
    <row r="6876" spans="1:10" x14ac:dyDescent="0.3">
      <c r="A6876" t="s">
        <v>7007</v>
      </c>
      <c r="B6876" t="s">
        <v>78</v>
      </c>
      <c r="C6876" t="str">
        <f>_xlfn.XLOOKUP(B6876,
[1]sales_teams!$A$2:$A$100,
[1]sales_teams!$B$2:$B$100)</f>
        <v>Summer Sewald</v>
      </c>
      <c r="D6876" t="str">
        <f>_xlfn.XLOOKUP($B6876,sales_teams!$A$2:$A$36,sales_teams!C$2:C$36)</f>
        <v>West</v>
      </c>
      <c r="E6876" t="s">
        <v>10</v>
      </c>
      <c r="F6876" t="s">
        <v>49</v>
      </c>
      <c r="G6876" t="s">
        <v>46</v>
      </c>
      <c r="H6876" s="1">
        <v>42999</v>
      </c>
      <c r="I6876" s="1">
        <v>43010</v>
      </c>
      <c r="J6876">
        <v>0</v>
      </c>
    </row>
    <row r="6877" spans="1:10" x14ac:dyDescent="0.3">
      <c r="A6877" t="s">
        <v>7008</v>
      </c>
      <c r="B6877" t="s">
        <v>95</v>
      </c>
      <c r="C6877" t="str">
        <f>_xlfn.XLOOKUP(B6877,
[1]sales_teams!$A$2:$A$100,
[1]sales_teams!$B$2:$B$100)</f>
        <v>Summer Sewald</v>
      </c>
      <c r="D6877" t="str">
        <f>_xlfn.XLOOKUP($B6877,sales_teams!$A$2:$A$36,sales_teams!C$2:C$36)</f>
        <v>West</v>
      </c>
      <c r="E6877" t="s">
        <v>20</v>
      </c>
      <c r="F6877" t="s">
        <v>100</v>
      </c>
      <c r="G6877" t="s">
        <v>12</v>
      </c>
      <c r="H6877" s="1">
        <v>42999</v>
      </c>
      <c r="I6877" s="1">
        <v>43099</v>
      </c>
      <c r="J6877">
        <v>613</v>
      </c>
    </row>
    <row r="6878" spans="1:10" x14ac:dyDescent="0.3">
      <c r="A6878" t="s">
        <v>7009</v>
      </c>
      <c r="B6878" t="s">
        <v>95</v>
      </c>
      <c r="C6878" t="str">
        <f>_xlfn.XLOOKUP(B6878,
[1]sales_teams!$A$2:$A$100,
[1]sales_teams!$B$2:$B$100)</f>
        <v>Summer Sewald</v>
      </c>
      <c r="D6878" t="str">
        <f>_xlfn.XLOOKUP($B6878,sales_teams!$A$2:$A$36,sales_teams!C$2:C$36)</f>
        <v>West</v>
      </c>
      <c r="E6878" t="s">
        <v>15</v>
      </c>
      <c r="F6878" t="s">
        <v>124</v>
      </c>
      <c r="G6878" t="s">
        <v>12</v>
      </c>
      <c r="H6878" s="1">
        <v>42999</v>
      </c>
      <c r="I6878" s="1">
        <v>43053</v>
      </c>
      <c r="J6878">
        <v>4808</v>
      </c>
    </row>
    <row r="6879" spans="1:10" x14ac:dyDescent="0.3">
      <c r="A6879" t="s">
        <v>7010</v>
      </c>
      <c r="B6879" t="s">
        <v>133</v>
      </c>
      <c r="C6879" t="str">
        <f>_xlfn.XLOOKUP(B6879,
[1]sales_teams!$A$2:$A$100,
[1]sales_teams!$B$2:$B$100)</f>
        <v>Dustin Brinkmann</v>
      </c>
      <c r="D6879" t="str">
        <f>_xlfn.XLOOKUP($B6879,sales_teams!$A$2:$A$36,sales_teams!C$2:C$36)</f>
        <v>Central</v>
      </c>
      <c r="E6879" t="s">
        <v>48</v>
      </c>
      <c r="F6879" t="s">
        <v>218</v>
      </c>
      <c r="G6879" t="s">
        <v>12</v>
      </c>
      <c r="H6879" s="1">
        <v>42999</v>
      </c>
      <c r="I6879" s="1">
        <v>43065</v>
      </c>
      <c r="J6879">
        <v>5160</v>
      </c>
    </row>
    <row r="6880" spans="1:10" x14ac:dyDescent="0.3">
      <c r="A6880" t="s">
        <v>7011</v>
      </c>
      <c r="B6880" t="s">
        <v>32</v>
      </c>
      <c r="C6880" t="str">
        <f>_xlfn.XLOOKUP(B6880,
[1]sales_teams!$A$2:$A$100,
[1]sales_teams!$B$2:$B$100)</f>
        <v>Celia Rouche</v>
      </c>
      <c r="D6880" t="str">
        <f>_xlfn.XLOOKUP($B6880,sales_teams!$A$2:$A$36,sales_teams!C$2:C$36)</f>
        <v>West</v>
      </c>
      <c r="E6880" t="s">
        <v>20</v>
      </c>
      <c r="F6880" t="s">
        <v>30</v>
      </c>
      <c r="G6880" t="s">
        <v>12</v>
      </c>
      <c r="H6880" s="1">
        <v>42999</v>
      </c>
      <c r="I6880" s="1">
        <v>43009</v>
      </c>
      <c r="J6880">
        <v>566</v>
      </c>
    </row>
    <row r="6881" spans="1:10" x14ac:dyDescent="0.3">
      <c r="A6881" t="s">
        <v>7012</v>
      </c>
      <c r="B6881" t="s">
        <v>116</v>
      </c>
      <c r="C6881" t="str">
        <f>_xlfn.XLOOKUP(B6881,
[1]sales_teams!$A$2:$A$100,
[1]sales_teams!$B$2:$B$100)</f>
        <v>Melvin Marxen</v>
      </c>
      <c r="D6881" t="str">
        <f>_xlfn.XLOOKUP($B6881,sales_teams!$A$2:$A$36,sales_teams!C$2:C$36)</f>
        <v>Central</v>
      </c>
      <c r="E6881" t="s">
        <v>18</v>
      </c>
      <c r="F6881" t="s">
        <v>76</v>
      </c>
      <c r="G6881" t="s">
        <v>12</v>
      </c>
      <c r="H6881" s="1">
        <v>42999</v>
      </c>
      <c r="I6881" s="1">
        <v>43005</v>
      </c>
      <c r="J6881">
        <v>68</v>
      </c>
    </row>
    <row r="6882" spans="1:10" x14ac:dyDescent="0.3">
      <c r="A6882" t="s">
        <v>7013</v>
      </c>
      <c r="B6882" t="s">
        <v>51</v>
      </c>
      <c r="C6882" t="str">
        <f>_xlfn.XLOOKUP(B6882,
[1]sales_teams!$A$2:$A$100,
[1]sales_teams!$B$2:$B$100)</f>
        <v>Summer Sewald</v>
      </c>
      <c r="D6882" t="str">
        <f>_xlfn.XLOOKUP($B6882,sales_teams!$A$2:$A$36,sales_teams!C$2:C$36)</f>
        <v>West</v>
      </c>
      <c r="E6882" t="s">
        <v>20</v>
      </c>
      <c r="F6882" t="s">
        <v>155</v>
      </c>
      <c r="G6882" t="s">
        <v>46</v>
      </c>
      <c r="H6882" s="1">
        <v>42999</v>
      </c>
      <c r="I6882" s="1">
        <v>43011</v>
      </c>
      <c r="J6882">
        <v>0</v>
      </c>
    </row>
    <row r="6883" spans="1:10" x14ac:dyDescent="0.3">
      <c r="A6883" t="s">
        <v>7014</v>
      </c>
      <c r="B6883" t="s">
        <v>97</v>
      </c>
      <c r="C6883" t="str">
        <f>_xlfn.XLOOKUP(B6883,
[1]sales_teams!$A$2:$A$100,
[1]sales_teams!$B$2:$B$100)</f>
        <v>Rocco Neubert</v>
      </c>
      <c r="D6883" t="str">
        <f>_xlfn.XLOOKUP($B6883,sales_teams!$A$2:$A$36,sales_teams!C$2:C$36)</f>
        <v>East</v>
      </c>
      <c r="E6883" t="s">
        <v>15</v>
      </c>
      <c r="F6883" t="s">
        <v>103</v>
      </c>
      <c r="G6883" t="s">
        <v>12</v>
      </c>
      <c r="H6883" s="1">
        <v>42999</v>
      </c>
      <c r="I6883" s="1">
        <v>43091</v>
      </c>
      <c r="J6883">
        <v>5600</v>
      </c>
    </row>
    <row r="6884" spans="1:10" x14ac:dyDescent="0.3">
      <c r="A6884" t="s">
        <v>7015</v>
      </c>
      <c r="B6884" t="s">
        <v>61</v>
      </c>
      <c r="C6884" t="str">
        <f>_xlfn.XLOOKUP(B6884,
[1]sales_teams!$A$2:$A$100,
[1]sales_teams!$B$2:$B$100)</f>
        <v>Dustin Brinkmann</v>
      </c>
      <c r="D6884" t="str">
        <f>_xlfn.XLOOKUP($B6884,sales_teams!$A$2:$A$36,sales_teams!C$2:C$36)</f>
        <v>Central</v>
      </c>
      <c r="E6884" t="s">
        <v>18</v>
      </c>
      <c r="F6884" t="s">
        <v>91</v>
      </c>
      <c r="G6884" t="s">
        <v>12</v>
      </c>
      <c r="H6884" s="1">
        <v>42999</v>
      </c>
      <c r="I6884" s="1">
        <v>43081</v>
      </c>
      <c r="J6884">
        <v>61</v>
      </c>
    </row>
    <row r="6885" spans="1:10" x14ac:dyDescent="0.3">
      <c r="A6885" t="s">
        <v>7016</v>
      </c>
      <c r="B6885" t="s">
        <v>29</v>
      </c>
      <c r="C6885" t="str">
        <f>_xlfn.XLOOKUP(B6885,
[1]sales_teams!$A$2:$A$100,
[1]sales_teams!$B$2:$B$100)</f>
        <v>Celia Rouche</v>
      </c>
      <c r="D6885" t="str">
        <f>_xlfn.XLOOKUP($B6885,sales_teams!$A$2:$A$36,sales_teams!C$2:C$36)</f>
        <v>West</v>
      </c>
      <c r="E6885" t="s">
        <v>18</v>
      </c>
      <c r="F6885" t="s">
        <v>398</v>
      </c>
      <c r="G6885" t="s">
        <v>46</v>
      </c>
      <c r="H6885" s="1">
        <v>42999</v>
      </c>
      <c r="I6885" s="1">
        <v>43072</v>
      </c>
      <c r="J6885">
        <v>0</v>
      </c>
    </row>
    <row r="6886" spans="1:10" x14ac:dyDescent="0.3">
      <c r="A6886" t="s">
        <v>7017</v>
      </c>
      <c r="B6886" t="s">
        <v>102</v>
      </c>
      <c r="C6886" t="str">
        <f>_xlfn.XLOOKUP(B6886,
[1]sales_teams!$A$2:$A$100,
[1]sales_teams!$B$2:$B$100)</f>
        <v>Cara Losch</v>
      </c>
      <c r="D6886" t="str">
        <f>_xlfn.XLOOKUP($B6886,sales_teams!$A$2:$A$36,sales_teams!C$2:C$36)</f>
        <v>East</v>
      </c>
      <c r="E6886" t="s">
        <v>39</v>
      </c>
      <c r="F6886" t="s">
        <v>65</v>
      </c>
      <c r="G6886" t="s">
        <v>46</v>
      </c>
      <c r="H6886" s="1">
        <v>42999</v>
      </c>
      <c r="I6886" s="1">
        <v>43068</v>
      </c>
      <c r="J6886">
        <v>0</v>
      </c>
    </row>
    <row r="6887" spans="1:10" x14ac:dyDescent="0.3">
      <c r="A6887" t="s">
        <v>7018</v>
      </c>
      <c r="B6887" t="s">
        <v>118</v>
      </c>
      <c r="C6887" t="str">
        <f>_xlfn.XLOOKUP(B6887,
[1]sales_teams!$A$2:$A$100,
[1]sales_teams!$B$2:$B$100)</f>
        <v>Rocco Neubert</v>
      </c>
      <c r="D6887" t="str">
        <f>_xlfn.XLOOKUP($B6887,sales_teams!$A$2:$A$36,sales_teams!C$2:C$36)</f>
        <v>East</v>
      </c>
      <c r="E6887" t="s">
        <v>10</v>
      </c>
      <c r="F6887" t="s">
        <v>215</v>
      </c>
      <c r="G6887" t="s">
        <v>46</v>
      </c>
      <c r="H6887" s="1">
        <v>43000</v>
      </c>
      <c r="I6887" s="1">
        <v>43066</v>
      </c>
      <c r="J6887">
        <v>0</v>
      </c>
    </row>
    <row r="6888" spans="1:10" x14ac:dyDescent="0.3">
      <c r="A6888" t="s">
        <v>7019</v>
      </c>
      <c r="B6888" t="s">
        <v>118</v>
      </c>
      <c r="C6888" t="str">
        <f>_xlfn.XLOOKUP(B6888,
[1]sales_teams!$A$2:$A$100,
[1]sales_teams!$B$2:$B$100)</f>
        <v>Rocco Neubert</v>
      </c>
      <c r="D6888" t="str">
        <f>_xlfn.XLOOKUP($B6888,sales_teams!$A$2:$A$36,sales_teams!C$2:C$36)</f>
        <v>East</v>
      </c>
      <c r="E6888" t="s">
        <v>48</v>
      </c>
      <c r="F6888" t="s">
        <v>410</v>
      </c>
      <c r="G6888" t="s">
        <v>46</v>
      </c>
      <c r="H6888" s="1">
        <v>43000</v>
      </c>
      <c r="I6888" s="1">
        <v>43063</v>
      </c>
      <c r="J6888">
        <v>0</v>
      </c>
    </row>
    <row r="6889" spans="1:10" x14ac:dyDescent="0.3">
      <c r="A6889" t="s">
        <v>7020</v>
      </c>
      <c r="B6889" t="s">
        <v>164</v>
      </c>
      <c r="C6889" t="str">
        <f>_xlfn.XLOOKUP(B6889,
[1]sales_teams!$A$2:$A$100,
[1]sales_teams!$B$2:$B$100)</f>
        <v>Cara Losch</v>
      </c>
      <c r="D6889" t="str">
        <f>_xlfn.XLOOKUP($B6889,sales_teams!$A$2:$A$36,sales_teams!C$2:C$36)</f>
        <v>East</v>
      </c>
      <c r="E6889" t="s">
        <v>20</v>
      </c>
      <c r="F6889" t="s">
        <v>89</v>
      </c>
      <c r="G6889" t="s">
        <v>46</v>
      </c>
      <c r="H6889" s="1">
        <v>43000</v>
      </c>
      <c r="I6889" s="1">
        <v>43068</v>
      </c>
      <c r="J6889">
        <v>0</v>
      </c>
    </row>
    <row r="6890" spans="1:10" x14ac:dyDescent="0.3">
      <c r="A6890" t="s">
        <v>7021</v>
      </c>
      <c r="B6890" t="s">
        <v>64</v>
      </c>
      <c r="C6890" t="str">
        <f>_xlfn.XLOOKUP(B6890,
[1]sales_teams!$A$2:$A$100,
[1]sales_teams!$B$2:$B$100)</f>
        <v>Rocco Neubert</v>
      </c>
      <c r="D6890" t="str">
        <f>_xlfn.XLOOKUP($B6890,sales_teams!$A$2:$A$36,sales_teams!C$2:C$36)</f>
        <v>East</v>
      </c>
      <c r="E6890" t="s">
        <v>48</v>
      </c>
      <c r="G6890" t="s">
        <v>40</v>
      </c>
      <c r="H6890" s="1">
        <v>43000</v>
      </c>
    </row>
    <row r="6891" spans="1:10" x14ac:dyDescent="0.3">
      <c r="A6891" t="s">
        <v>7022</v>
      </c>
      <c r="B6891" t="s">
        <v>64</v>
      </c>
      <c r="C6891" t="str">
        <f>_xlfn.XLOOKUP(B6891,
[1]sales_teams!$A$2:$A$100,
[1]sales_teams!$B$2:$B$100)</f>
        <v>Rocco Neubert</v>
      </c>
      <c r="D6891" t="str">
        <f>_xlfn.XLOOKUP($B6891,sales_teams!$A$2:$A$36,sales_teams!C$2:C$36)</f>
        <v>East</v>
      </c>
      <c r="E6891" t="s">
        <v>15</v>
      </c>
      <c r="F6891" t="s">
        <v>103</v>
      </c>
      <c r="G6891" t="s">
        <v>12</v>
      </c>
      <c r="H6891" s="1">
        <v>43000</v>
      </c>
      <c r="I6891" s="1">
        <v>43092</v>
      </c>
      <c r="J6891">
        <v>4976</v>
      </c>
    </row>
    <row r="6892" spans="1:10" x14ac:dyDescent="0.3">
      <c r="A6892" t="s">
        <v>7023</v>
      </c>
      <c r="B6892" t="s">
        <v>14</v>
      </c>
      <c r="C6892" t="str">
        <f>_xlfn.XLOOKUP(B6892,
[1]sales_teams!$A$2:$A$100,
[1]sales_teams!$B$2:$B$100)</f>
        <v>Melvin Marxen</v>
      </c>
      <c r="D6892" t="str">
        <f>_xlfn.XLOOKUP($B6892,sales_teams!$A$2:$A$36,sales_teams!C$2:C$36)</f>
        <v>Central</v>
      </c>
      <c r="E6892" t="s">
        <v>15</v>
      </c>
      <c r="F6892" t="s">
        <v>109</v>
      </c>
      <c r="G6892" t="s">
        <v>46</v>
      </c>
      <c r="H6892" s="1">
        <v>43000</v>
      </c>
      <c r="I6892" s="1">
        <v>43011</v>
      </c>
      <c r="J6892">
        <v>0</v>
      </c>
    </row>
    <row r="6893" spans="1:10" x14ac:dyDescent="0.3">
      <c r="A6893" t="s">
        <v>7024</v>
      </c>
      <c r="B6893" t="s">
        <v>14</v>
      </c>
      <c r="C6893" t="str">
        <f>_xlfn.XLOOKUP(B6893,
[1]sales_teams!$A$2:$A$100,
[1]sales_teams!$B$2:$B$100)</f>
        <v>Melvin Marxen</v>
      </c>
      <c r="D6893" t="str">
        <f>_xlfn.XLOOKUP($B6893,sales_teams!$A$2:$A$36,sales_teams!C$2:C$36)</f>
        <v>Central</v>
      </c>
      <c r="E6893" t="s">
        <v>15</v>
      </c>
      <c r="F6893" t="s">
        <v>318</v>
      </c>
      <c r="G6893" t="s">
        <v>12</v>
      </c>
      <c r="H6893" s="1">
        <v>43000</v>
      </c>
      <c r="I6893" s="1">
        <v>43093</v>
      </c>
      <c r="J6893">
        <v>4991</v>
      </c>
    </row>
    <row r="6894" spans="1:10" x14ac:dyDescent="0.3">
      <c r="A6894" t="s">
        <v>7025</v>
      </c>
      <c r="B6894" t="s">
        <v>142</v>
      </c>
      <c r="C6894" t="str">
        <f>_xlfn.XLOOKUP(B6894,
[1]sales_teams!$A$2:$A$100,
[1]sales_teams!$B$2:$B$100)</f>
        <v>Rocco Neubert</v>
      </c>
      <c r="D6894" t="str">
        <f>_xlfn.XLOOKUP($B6894,sales_teams!$A$2:$A$36,sales_teams!C$2:C$36)</f>
        <v>East</v>
      </c>
      <c r="E6894" t="s">
        <v>20</v>
      </c>
      <c r="F6894" t="s">
        <v>165</v>
      </c>
      <c r="G6894" t="s">
        <v>46</v>
      </c>
      <c r="H6894" s="1">
        <v>43000</v>
      </c>
      <c r="I6894" s="1">
        <v>43012</v>
      </c>
      <c r="J6894">
        <v>0</v>
      </c>
    </row>
    <row r="6895" spans="1:10" x14ac:dyDescent="0.3">
      <c r="A6895" t="s">
        <v>7026</v>
      </c>
      <c r="B6895" t="s">
        <v>142</v>
      </c>
      <c r="C6895" t="str">
        <f>_xlfn.XLOOKUP(B6895,
[1]sales_teams!$A$2:$A$100,
[1]sales_teams!$B$2:$B$100)</f>
        <v>Rocco Neubert</v>
      </c>
      <c r="D6895" t="str">
        <f>_xlfn.XLOOKUP($B6895,sales_teams!$A$2:$A$36,sales_teams!C$2:C$36)</f>
        <v>East</v>
      </c>
      <c r="E6895" t="s">
        <v>15</v>
      </c>
      <c r="F6895" t="s">
        <v>74</v>
      </c>
      <c r="G6895" t="s">
        <v>12</v>
      </c>
      <c r="H6895" s="1">
        <v>43000</v>
      </c>
      <c r="I6895" s="1">
        <v>43012</v>
      </c>
      <c r="J6895">
        <v>5868</v>
      </c>
    </row>
    <row r="6896" spans="1:10" x14ac:dyDescent="0.3">
      <c r="A6896" t="s">
        <v>7027</v>
      </c>
      <c r="B6896" t="s">
        <v>67</v>
      </c>
      <c r="C6896" t="str">
        <f>_xlfn.XLOOKUP(B6896,
[1]sales_teams!$A$2:$A$100,
[1]sales_teams!$B$2:$B$100)</f>
        <v>Celia Rouche</v>
      </c>
      <c r="D6896" t="str">
        <f>_xlfn.XLOOKUP($B6896,sales_teams!$A$2:$A$36,sales_teams!C$2:C$36)</f>
        <v>West</v>
      </c>
      <c r="E6896" t="s">
        <v>39</v>
      </c>
      <c r="F6896" t="s">
        <v>86</v>
      </c>
      <c r="G6896" t="s">
        <v>40</v>
      </c>
      <c r="H6896" s="1">
        <v>43000</v>
      </c>
    </row>
    <row r="6897" spans="1:10" x14ac:dyDescent="0.3">
      <c r="A6897" t="s">
        <v>7028</v>
      </c>
      <c r="B6897" t="s">
        <v>44</v>
      </c>
      <c r="C6897" t="str">
        <f>_xlfn.XLOOKUP(B6897,
[1]sales_teams!$A$2:$A$100,
[1]sales_teams!$B$2:$B$100)</f>
        <v>Melvin Marxen</v>
      </c>
      <c r="D6897" t="str">
        <f>_xlfn.XLOOKUP($B6897,sales_teams!$A$2:$A$36,sales_teams!C$2:C$36)</f>
        <v>Central</v>
      </c>
      <c r="E6897" t="s">
        <v>10</v>
      </c>
      <c r="F6897" t="s">
        <v>16</v>
      </c>
      <c r="G6897" t="s">
        <v>46</v>
      </c>
      <c r="H6897" s="1">
        <v>43000</v>
      </c>
      <c r="I6897" s="1">
        <v>43090</v>
      </c>
      <c r="J6897">
        <v>0</v>
      </c>
    </row>
    <row r="6898" spans="1:10" x14ac:dyDescent="0.3">
      <c r="A6898" t="s">
        <v>7029</v>
      </c>
      <c r="B6898" t="s">
        <v>44</v>
      </c>
      <c r="C6898" t="str">
        <f>_xlfn.XLOOKUP(B6898,
[1]sales_teams!$A$2:$A$100,
[1]sales_teams!$B$2:$B$100)</f>
        <v>Melvin Marxen</v>
      </c>
      <c r="D6898" t="str">
        <f>_xlfn.XLOOKUP($B6898,sales_teams!$A$2:$A$36,sales_teams!C$2:C$36)</f>
        <v>Central</v>
      </c>
      <c r="E6898" t="s">
        <v>15</v>
      </c>
      <c r="F6898" t="s">
        <v>42</v>
      </c>
      <c r="G6898" t="s">
        <v>12</v>
      </c>
      <c r="H6898" s="1">
        <v>43000</v>
      </c>
      <c r="I6898" s="1">
        <v>43063</v>
      </c>
      <c r="J6898">
        <v>4938</v>
      </c>
    </row>
    <row r="6899" spans="1:10" x14ac:dyDescent="0.3">
      <c r="A6899" t="s">
        <v>7030</v>
      </c>
      <c r="B6899" t="s">
        <v>44</v>
      </c>
      <c r="C6899" t="str">
        <f>_xlfn.XLOOKUP(B6899,
[1]sales_teams!$A$2:$A$100,
[1]sales_teams!$B$2:$B$100)</f>
        <v>Melvin Marxen</v>
      </c>
      <c r="D6899" t="str">
        <f>_xlfn.XLOOKUP($B6899,sales_teams!$A$2:$A$36,sales_teams!C$2:C$36)</f>
        <v>Central</v>
      </c>
      <c r="E6899" t="s">
        <v>39</v>
      </c>
      <c r="F6899" t="s">
        <v>27</v>
      </c>
      <c r="G6899" t="s">
        <v>12</v>
      </c>
      <c r="H6899" s="1">
        <v>43000</v>
      </c>
      <c r="I6899" s="1">
        <v>43083</v>
      </c>
      <c r="J6899">
        <v>3772</v>
      </c>
    </row>
    <row r="6900" spans="1:10" x14ac:dyDescent="0.3">
      <c r="A6900" t="s">
        <v>7031</v>
      </c>
      <c r="B6900" t="s">
        <v>38</v>
      </c>
      <c r="C6900" t="str">
        <f>_xlfn.XLOOKUP(B6900,
[1]sales_teams!$A$2:$A$100,
[1]sales_teams!$B$2:$B$100)</f>
        <v>Summer Sewald</v>
      </c>
      <c r="D6900" t="str">
        <f>_xlfn.XLOOKUP($B6900,sales_teams!$A$2:$A$36,sales_teams!C$2:C$36)</f>
        <v>West</v>
      </c>
      <c r="E6900" t="s">
        <v>48</v>
      </c>
      <c r="F6900" t="s">
        <v>33</v>
      </c>
      <c r="G6900" t="s">
        <v>12</v>
      </c>
      <c r="H6900" s="1">
        <v>43000</v>
      </c>
      <c r="I6900" s="1">
        <v>43010</v>
      </c>
      <c r="J6900">
        <v>5784</v>
      </c>
    </row>
    <row r="6901" spans="1:10" x14ac:dyDescent="0.3">
      <c r="A6901" t="s">
        <v>7032</v>
      </c>
      <c r="B6901" t="s">
        <v>252</v>
      </c>
      <c r="C6901" t="str">
        <f>_xlfn.XLOOKUP(B6901,
[1]sales_teams!$A$2:$A$100,
[1]sales_teams!$B$2:$B$100)</f>
        <v>Melvin Marxen</v>
      </c>
      <c r="D6901" t="str">
        <f>_xlfn.XLOOKUP($B6901,sales_teams!$A$2:$A$36,sales_teams!C$2:C$36)</f>
        <v>Central</v>
      </c>
      <c r="E6901" t="s">
        <v>15</v>
      </c>
      <c r="F6901" t="s">
        <v>120</v>
      </c>
      <c r="G6901" t="s">
        <v>12</v>
      </c>
      <c r="H6901" s="1">
        <v>43000</v>
      </c>
      <c r="I6901" s="1">
        <v>43010</v>
      </c>
      <c r="J6901">
        <v>3485</v>
      </c>
    </row>
    <row r="6902" spans="1:10" x14ac:dyDescent="0.3">
      <c r="A6902" t="s">
        <v>7033</v>
      </c>
      <c r="B6902" t="s">
        <v>78</v>
      </c>
      <c r="C6902" t="str">
        <f>_xlfn.XLOOKUP(B6902,
[1]sales_teams!$A$2:$A$100,
[1]sales_teams!$B$2:$B$100)</f>
        <v>Summer Sewald</v>
      </c>
      <c r="D6902" t="str">
        <f>_xlfn.XLOOKUP($B6902,sales_teams!$A$2:$A$36,sales_teams!C$2:C$36)</f>
        <v>West</v>
      </c>
      <c r="E6902" t="s">
        <v>20</v>
      </c>
      <c r="F6902" t="s">
        <v>70</v>
      </c>
      <c r="G6902" t="s">
        <v>12</v>
      </c>
      <c r="H6902" s="1">
        <v>43000</v>
      </c>
      <c r="I6902" s="1">
        <v>43006</v>
      </c>
      <c r="J6902">
        <v>675</v>
      </c>
    </row>
    <row r="6903" spans="1:10" x14ac:dyDescent="0.3">
      <c r="A6903" t="s">
        <v>7034</v>
      </c>
      <c r="B6903" t="s">
        <v>95</v>
      </c>
      <c r="C6903" t="str">
        <f>_xlfn.XLOOKUP(B6903,
[1]sales_teams!$A$2:$A$100,
[1]sales_teams!$B$2:$B$100)</f>
        <v>Summer Sewald</v>
      </c>
      <c r="D6903" t="str">
        <f>_xlfn.XLOOKUP($B6903,sales_teams!$A$2:$A$36,sales_teams!C$2:C$36)</f>
        <v>West</v>
      </c>
      <c r="E6903" t="s">
        <v>20</v>
      </c>
      <c r="F6903" t="s">
        <v>52</v>
      </c>
      <c r="G6903" t="s">
        <v>46</v>
      </c>
      <c r="H6903" s="1">
        <v>43000</v>
      </c>
      <c r="I6903" s="1">
        <v>43067</v>
      </c>
      <c r="J6903">
        <v>0</v>
      </c>
    </row>
    <row r="6904" spans="1:10" x14ac:dyDescent="0.3">
      <c r="A6904" t="s">
        <v>7035</v>
      </c>
      <c r="B6904" t="s">
        <v>51</v>
      </c>
      <c r="C6904" t="str">
        <f>_xlfn.XLOOKUP(B6904,
[1]sales_teams!$A$2:$A$100,
[1]sales_teams!$B$2:$B$100)</f>
        <v>Summer Sewald</v>
      </c>
      <c r="D6904" t="str">
        <f>_xlfn.XLOOKUP($B6904,sales_teams!$A$2:$A$36,sales_teams!C$2:C$36)</f>
        <v>West</v>
      </c>
      <c r="E6904" t="s">
        <v>18</v>
      </c>
      <c r="F6904" t="s">
        <v>168</v>
      </c>
      <c r="G6904" t="s">
        <v>46</v>
      </c>
      <c r="H6904" s="1">
        <v>43000</v>
      </c>
      <c r="I6904" s="1">
        <v>43067</v>
      </c>
      <c r="J6904">
        <v>0</v>
      </c>
    </row>
    <row r="6905" spans="1:10" x14ac:dyDescent="0.3">
      <c r="A6905" t="s">
        <v>7036</v>
      </c>
      <c r="B6905" t="s">
        <v>57</v>
      </c>
      <c r="C6905" t="str">
        <f>_xlfn.XLOOKUP(B6905,
[1]sales_teams!$A$2:$A$100,
[1]sales_teams!$B$2:$B$100)</f>
        <v>Celia Rouche</v>
      </c>
      <c r="D6905" t="str">
        <f>_xlfn.XLOOKUP($B6905,sales_teams!$A$2:$A$36,sales_teams!C$2:C$36)</f>
        <v>West</v>
      </c>
      <c r="E6905" t="s">
        <v>10</v>
      </c>
      <c r="F6905" t="s">
        <v>224</v>
      </c>
      <c r="G6905" t="s">
        <v>46</v>
      </c>
      <c r="H6905" s="1">
        <v>43000</v>
      </c>
      <c r="I6905" s="1">
        <v>43041</v>
      </c>
      <c r="J6905">
        <v>0</v>
      </c>
    </row>
    <row r="6906" spans="1:10" x14ac:dyDescent="0.3">
      <c r="A6906" t="s">
        <v>7037</v>
      </c>
      <c r="B6906" t="s">
        <v>57</v>
      </c>
      <c r="C6906" t="str">
        <f>_xlfn.XLOOKUP(B6906,
[1]sales_teams!$A$2:$A$100,
[1]sales_teams!$B$2:$B$100)</f>
        <v>Celia Rouche</v>
      </c>
      <c r="D6906" t="str">
        <f>_xlfn.XLOOKUP($B6906,sales_teams!$A$2:$A$36,sales_teams!C$2:C$36)</f>
        <v>West</v>
      </c>
      <c r="E6906" t="s">
        <v>18</v>
      </c>
      <c r="F6906" t="s">
        <v>555</v>
      </c>
      <c r="G6906" t="s">
        <v>12</v>
      </c>
      <c r="H6906" s="1">
        <v>43000</v>
      </c>
      <c r="I6906" s="1">
        <v>43009</v>
      </c>
      <c r="J6906">
        <v>55</v>
      </c>
    </row>
    <row r="6907" spans="1:10" x14ac:dyDescent="0.3">
      <c r="A6907" t="s">
        <v>7038</v>
      </c>
      <c r="B6907" t="s">
        <v>61</v>
      </c>
      <c r="C6907" t="str">
        <f>_xlfn.XLOOKUP(B6907,
[1]sales_teams!$A$2:$A$100,
[1]sales_teams!$B$2:$B$100)</f>
        <v>Dustin Brinkmann</v>
      </c>
      <c r="D6907" t="str">
        <f>_xlfn.XLOOKUP($B6907,sales_teams!$A$2:$A$36,sales_teams!C$2:C$36)</f>
        <v>Central</v>
      </c>
      <c r="E6907" t="s">
        <v>18</v>
      </c>
      <c r="F6907" t="s">
        <v>170</v>
      </c>
      <c r="G6907" t="s">
        <v>46</v>
      </c>
      <c r="H6907" s="1">
        <v>43000</v>
      </c>
      <c r="I6907" s="1">
        <v>43085</v>
      </c>
      <c r="J6907">
        <v>0</v>
      </c>
    </row>
    <row r="6908" spans="1:10" x14ac:dyDescent="0.3">
      <c r="A6908" t="s">
        <v>7039</v>
      </c>
      <c r="B6908" t="s">
        <v>61</v>
      </c>
      <c r="C6908" t="str">
        <f>_xlfn.XLOOKUP(B6908,
[1]sales_teams!$A$2:$A$100,
[1]sales_teams!$B$2:$B$100)</f>
        <v>Dustin Brinkmann</v>
      </c>
      <c r="D6908" t="str">
        <f>_xlfn.XLOOKUP($B6908,sales_teams!$A$2:$A$36,sales_teams!C$2:C$36)</f>
        <v>Central</v>
      </c>
      <c r="E6908" t="s">
        <v>39</v>
      </c>
      <c r="F6908" t="s">
        <v>151</v>
      </c>
      <c r="G6908" t="s">
        <v>46</v>
      </c>
      <c r="H6908" s="1">
        <v>43000</v>
      </c>
      <c r="I6908" s="1">
        <v>43081</v>
      </c>
      <c r="J6908">
        <v>0</v>
      </c>
    </row>
    <row r="6909" spans="1:10" x14ac:dyDescent="0.3">
      <c r="A6909" t="s">
        <v>7040</v>
      </c>
      <c r="B6909" t="s">
        <v>61</v>
      </c>
      <c r="C6909" t="str">
        <f>_xlfn.XLOOKUP(B6909,
[1]sales_teams!$A$2:$A$100,
[1]sales_teams!$B$2:$B$100)</f>
        <v>Dustin Brinkmann</v>
      </c>
      <c r="D6909" t="str">
        <f>_xlfn.XLOOKUP($B6909,sales_teams!$A$2:$A$36,sales_teams!C$2:C$36)</f>
        <v>Central</v>
      </c>
      <c r="E6909" t="s">
        <v>48</v>
      </c>
      <c r="F6909" t="s">
        <v>318</v>
      </c>
      <c r="G6909" t="s">
        <v>12</v>
      </c>
      <c r="H6909" s="1">
        <v>43000</v>
      </c>
      <c r="I6909" s="1">
        <v>43009</v>
      </c>
      <c r="J6909">
        <v>5775</v>
      </c>
    </row>
    <row r="6910" spans="1:10" x14ac:dyDescent="0.3">
      <c r="A6910" t="s">
        <v>7041</v>
      </c>
      <c r="B6910" t="s">
        <v>29</v>
      </c>
      <c r="C6910" t="str">
        <f>_xlfn.XLOOKUP(B6910,
[1]sales_teams!$A$2:$A$100,
[1]sales_teams!$B$2:$B$100)</f>
        <v>Celia Rouche</v>
      </c>
      <c r="D6910" t="str">
        <f>_xlfn.XLOOKUP($B6910,sales_teams!$A$2:$A$36,sales_teams!C$2:C$36)</f>
        <v>West</v>
      </c>
      <c r="E6910" t="s">
        <v>20</v>
      </c>
      <c r="F6910" t="s">
        <v>315</v>
      </c>
      <c r="G6910" t="s">
        <v>12</v>
      </c>
      <c r="H6910" s="1">
        <v>43000</v>
      </c>
      <c r="I6910" s="1">
        <v>43057</v>
      </c>
      <c r="J6910">
        <v>651</v>
      </c>
    </row>
    <row r="6911" spans="1:10" x14ac:dyDescent="0.3">
      <c r="A6911" t="s">
        <v>7042</v>
      </c>
      <c r="B6911" t="s">
        <v>29</v>
      </c>
      <c r="C6911" t="str">
        <f>_xlfn.XLOOKUP(B6911,
[1]sales_teams!$A$2:$A$100,
[1]sales_teams!$B$2:$B$100)</f>
        <v>Celia Rouche</v>
      </c>
      <c r="D6911" t="str">
        <f>_xlfn.XLOOKUP($B6911,sales_teams!$A$2:$A$36,sales_teams!C$2:C$36)</f>
        <v>West</v>
      </c>
      <c r="E6911" t="s">
        <v>20</v>
      </c>
      <c r="F6911" t="s">
        <v>59</v>
      </c>
      <c r="G6911" t="s">
        <v>12</v>
      </c>
      <c r="H6911" s="1">
        <v>43000</v>
      </c>
      <c r="I6911" s="1">
        <v>43061</v>
      </c>
      <c r="J6911">
        <v>570</v>
      </c>
    </row>
    <row r="6912" spans="1:10" x14ac:dyDescent="0.3">
      <c r="A6912" t="s">
        <v>7043</v>
      </c>
      <c r="B6912" t="s">
        <v>29</v>
      </c>
      <c r="C6912" t="str">
        <f>_xlfn.XLOOKUP(B6912,
[1]sales_teams!$A$2:$A$100,
[1]sales_teams!$B$2:$B$100)</f>
        <v>Celia Rouche</v>
      </c>
      <c r="D6912" t="str">
        <f>_xlfn.XLOOKUP($B6912,sales_teams!$A$2:$A$36,sales_teams!C$2:C$36)</f>
        <v>West</v>
      </c>
      <c r="E6912" t="s">
        <v>18</v>
      </c>
      <c r="F6912" t="s">
        <v>313</v>
      </c>
      <c r="G6912" t="s">
        <v>12</v>
      </c>
      <c r="H6912" s="1">
        <v>43000</v>
      </c>
      <c r="I6912" s="1">
        <v>43099</v>
      </c>
      <c r="J6912">
        <v>54</v>
      </c>
    </row>
    <row r="6913" spans="1:10" x14ac:dyDescent="0.3">
      <c r="A6913" t="s">
        <v>7044</v>
      </c>
      <c r="B6913" t="s">
        <v>29</v>
      </c>
      <c r="C6913" t="str">
        <f>_xlfn.XLOOKUP(B6913,
[1]sales_teams!$A$2:$A$100,
[1]sales_teams!$B$2:$B$100)</f>
        <v>Celia Rouche</v>
      </c>
      <c r="D6913" t="str">
        <f>_xlfn.XLOOKUP($B6913,sales_teams!$A$2:$A$36,sales_teams!C$2:C$36)</f>
        <v>West</v>
      </c>
      <c r="E6913" t="s">
        <v>18</v>
      </c>
      <c r="F6913" t="s">
        <v>59</v>
      </c>
      <c r="G6913" t="s">
        <v>12</v>
      </c>
      <c r="H6913" s="1">
        <v>43000</v>
      </c>
      <c r="I6913" s="1">
        <v>43007</v>
      </c>
      <c r="J6913">
        <v>47</v>
      </c>
    </row>
    <row r="6914" spans="1:10" x14ac:dyDescent="0.3">
      <c r="A6914" t="s">
        <v>7045</v>
      </c>
      <c r="B6914" t="s">
        <v>102</v>
      </c>
      <c r="C6914" t="str">
        <f>_xlfn.XLOOKUP(B6914,
[1]sales_teams!$A$2:$A$100,
[1]sales_teams!$B$2:$B$100)</f>
        <v>Cara Losch</v>
      </c>
      <c r="D6914" t="str">
        <f>_xlfn.XLOOKUP($B6914,sales_teams!$A$2:$A$36,sales_teams!C$2:C$36)</f>
        <v>East</v>
      </c>
      <c r="E6914" t="s">
        <v>18</v>
      </c>
      <c r="F6914" t="s">
        <v>143</v>
      </c>
      <c r="G6914" t="s">
        <v>12</v>
      </c>
      <c r="H6914" s="1">
        <v>43000</v>
      </c>
      <c r="I6914" s="1">
        <v>43047</v>
      </c>
      <c r="J6914">
        <v>56</v>
      </c>
    </row>
    <row r="6915" spans="1:10" x14ac:dyDescent="0.3">
      <c r="A6915" t="s">
        <v>7046</v>
      </c>
      <c r="B6915" t="s">
        <v>139</v>
      </c>
      <c r="C6915" t="str">
        <f>_xlfn.XLOOKUP(B6915,
[1]sales_teams!$A$2:$A$100,
[1]sales_teams!$B$2:$B$100)</f>
        <v>Rocco Neubert</v>
      </c>
      <c r="D6915" t="str">
        <f>_xlfn.XLOOKUP($B6915,sales_teams!$A$2:$A$36,sales_teams!C$2:C$36)</f>
        <v>East</v>
      </c>
      <c r="E6915" t="s">
        <v>10</v>
      </c>
      <c r="F6915" t="s">
        <v>74</v>
      </c>
      <c r="G6915" t="s">
        <v>46</v>
      </c>
      <c r="H6915" s="1">
        <v>43001</v>
      </c>
      <c r="I6915" s="1">
        <v>43013</v>
      </c>
      <c r="J6915">
        <v>0</v>
      </c>
    </row>
    <row r="6916" spans="1:10" x14ac:dyDescent="0.3">
      <c r="A6916" t="s">
        <v>7047</v>
      </c>
      <c r="B6916" t="s">
        <v>14</v>
      </c>
      <c r="C6916" t="str">
        <f>_xlfn.XLOOKUP(B6916,
[1]sales_teams!$A$2:$A$100,
[1]sales_teams!$B$2:$B$100)</f>
        <v>Melvin Marxen</v>
      </c>
      <c r="D6916" t="str">
        <f>_xlfn.XLOOKUP($B6916,sales_teams!$A$2:$A$36,sales_teams!C$2:C$36)</f>
        <v>Central</v>
      </c>
      <c r="E6916" t="s">
        <v>15</v>
      </c>
      <c r="F6916" t="s">
        <v>151</v>
      </c>
      <c r="G6916" t="s">
        <v>46</v>
      </c>
      <c r="H6916" s="1">
        <v>43001</v>
      </c>
      <c r="I6916" s="1">
        <v>43081</v>
      </c>
      <c r="J6916">
        <v>0</v>
      </c>
    </row>
    <row r="6917" spans="1:10" x14ac:dyDescent="0.3">
      <c r="A6917" t="s">
        <v>7048</v>
      </c>
      <c r="B6917" t="s">
        <v>14</v>
      </c>
      <c r="C6917" t="str">
        <f>_xlfn.XLOOKUP(B6917,
[1]sales_teams!$A$2:$A$100,
[1]sales_teams!$B$2:$B$100)</f>
        <v>Melvin Marxen</v>
      </c>
      <c r="D6917" t="str">
        <f>_xlfn.XLOOKUP($B6917,sales_teams!$A$2:$A$36,sales_teams!C$2:C$36)</f>
        <v>Central</v>
      </c>
      <c r="E6917" t="s">
        <v>15</v>
      </c>
      <c r="F6917" t="s">
        <v>42</v>
      </c>
      <c r="G6917" t="s">
        <v>12</v>
      </c>
      <c r="H6917" s="1">
        <v>43001</v>
      </c>
      <c r="I6917" s="1">
        <v>43008</v>
      </c>
      <c r="J6917">
        <v>4422</v>
      </c>
    </row>
    <row r="6918" spans="1:10" x14ac:dyDescent="0.3">
      <c r="A6918" t="s">
        <v>7049</v>
      </c>
      <c r="B6918" t="s">
        <v>14</v>
      </c>
      <c r="C6918" t="str">
        <f>_xlfn.XLOOKUP(B6918,
[1]sales_teams!$A$2:$A$100,
[1]sales_teams!$B$2:$B$100)</f>
        <v>Melvin Marxen</v>
      </c>
      <c r="D6918" t="str">
        <f>_xlfn.XLOOKUP($B6918,sales_teams!$A$2:$A$36,sales_teams!C$2:C$36)</f>
        <v>Central</v>
      </c>
      <c r="E6918" t="s">
        <v>15</v>
      </c>
      <c r="F6918" t="s">
        <v>315</v>
      </c>
      <c r="G6918" t="s">
        <v>12</v>
      </c>
      <c r="H6918" s="1">
        <v>43001</v>
      </c>
      <c r="I6918" s="1">
        <v>43010</v>
      </c>
      <c r="J6918">
        <v>5357</v>
      </c>
    </row>
    <row r="6919" spans="1:10" x14ac:dyDescent="0.3">
      <c r="A6919" t="s">
        <v>7050</v>
      </c>
      <c r="B6919" t="s">
        <v>44</v>
      </c>
      <c r="C6919" t="str">
        <f>_xlfn.XLOOKUP(B6919,
[1]sales_teams!$A$2:$A$100,
[1]sales_teams!$B$2:$B$100)</f>
        <v>Melvin Marxen</v>
      </c>
      <c r="D6919" t="str">
        <f>_xlfn.XLOOKUP($B6919,sales_teams!$A$2:$A$36,sales_teams!C$2:C$36)</f>
        <v>Central</v>
      </c>
      <c r="E6919" t="s">
        <v>18</v>
      </c>
      <c r="F6919" t="s">
        <v>42</v>
      </c>
      <c r="G6919" t="s">
        <v>46</v>
      </c>
      <c r="H6919" s="1">
        <v>43001</v>
      </c>
      <c r="I6919" s="1">
        <v>43009</v>
      </c>
      <c r="J6919">
        <v>0</v>
      </c>
    </row>
    <row r="6920" spans="1:10" x14ac:dyDescent="0.3">
      <c r="A6920" t="s">
        <v>7051</v>
      </c>
      <c r="B6920" t="s">
        <v>44</v>
      </c>
      <c r="C6920" t="str">
        <f>_xlfn.XLOOKUP(B6920,
[1]sales_teams!$A$2:$A$100,
[1]sales_teams!$B$2:$B$100)</f>
        <v>Melvin Marxen</v>
      </c>
      <c r="D6920" t="str">
        <f>_xlfn.XLOOKUP($B6920,sales_teams!$A$2:$A$36,sales_teams!C$2:C$36)</f>
        <v>Central</v>
      </c>
      <c r="E6920" t="s">
        <v>10</v>
      </c>
      <c r="F6920" t="s">
        <v>120</v>
      </c>
      <c r="G6920" t="s">
        <v>12</v>
      </c>
      <c r="H6920" s="1">
        <v>43001</v>
      </c>
      <c r="I6920" s="1">
        <v>43005</v>
      </c>
      <c r="J6920">
        <v>1047</v>
      </c>
    </row>
    <row r="6921" spans="1:10" x14ac:dyDescent="0.3">
      <c r="A6921" t="s">
        <v>7052</v>
      </c>
      <c r="B6921" t="s">
        <v>44</v>
      </c>
      <c r="C6921" t="str">
        <f>_xlfn.XLOOKUP(B6921,
[1]sales_teams!$A$2:$A$100,
[1]sales_teams!$B$2:$B$100)</f>
        <v>Melvin Marxen</v>
      </c>
      <c r="D6921" t="str">
        <f>_xlfn.XLOOKUP($B6921,sales_teams!$A$2:$A$36,sales_teams!C$2:C$36)</f>
        <v>Central</v>
      </c>
      <c r="E6921" t="s">
        <v>15</v>
      </c>
      <c r="F6921" t="s">
        <v>27</v>
      </c>
      <c r="G6921" t="s">
        <v>12</v>
      </c>
      <c r="H6921" s="1">
        <v>43001</v>
      </c>
      <c r="I6921" s="1">
        <v>43098</v>
      </c>
      <c r="J6921">
        <v>5013</v>
      </c>
    </row>
    <row r="6922" spans="1:10" x14ac:dyDescent="0.3">
      <c r="A6922" t="s">
        <v>7053</v>
      </c>
      <c r="B6922" t="s">
        <v>54</v>
      </c>
      <c r="C6922" t="str">
        <f>_xlfn.XLOOKUP(B6922,
[1]sales_teams!$A$2:$A$100,
[1]sales_teams!$B$2:$B$100)</f>
        <v>Celia Rouche</v>
      </c>
      <c r="D6922" t="str">
        <f>_xlfn.XLOOKUP($B6922,sales_teams!$A$2:$A$36,sales_teams!C$2:C$36)</f>
        <v>West</v>
      </c>
      <c r="E6922" t="s">
        <v>39</v>
      </c>
      <c r="F6922" t="s">
        <v>55</v>
      </c>
      <c r="G6922" t="s">
        <v>12</v>
      </c>
      <c r="H6922" s="1">
        <v>43001</v>
      </c>
      <c r="I6922" s="1">
        <v>43003</v>
      </c>
      <c r="J6922">
        <v>3197</v>
      </c>
    </row>
    <row r="6923" spans="1:10" x14ac:dyDescent="0.3">
      <c r="A6923" t="s">
        <v>7054</v>
      </c>
      <c r="B6923" t="s">
        <v>252</v>
      </c>
      <c r="C6923" t="str">
        <f>_xlfn.XLOOKUP(B6923,
[1]sales_teams!$A$2:$A$100,
[1]sales_teams!$B$2:$B$100)</f>
        <v>Melvin Marxen</v>
      </c>
      <c r="D6923" t="str">
        <f>_xlfn.XLOOKUP($B6923,sales_teams!$A$2:$A$36,sales_teams!C$2:C$36)</f>
        <v>Central</v>
      </c>
      <c r="E6923" t="s">
        <v>10</v>
      </c>
      <c r="F6923" t="s">
        <v>318</v>
      </c>
      <c r="G6923" t="s">
        <v>46</v>
      </c>
      <c r="H6923" s="1">
        <v>43001</v>
      </c>
      <c r="I6923" s="1">
        <v>43013</v>
      </c>
      <c r="J6923">
        <v>0</v>
      </c>
    </row>
    <row r="6924" spans="1:10" x14ac:dyDescent="0.3">
      <c r="A6924" t="s">
        <v>7055</v>
      </c>
      <c r="B6924" t="s">
        <v>252</v>
      </c>
      <c r="C6924" t="str">
        <f>_xlfn.XLOOKUP(B6924,
[1]sales_teams!$A$2:$A$100,
[1]sales_teams!$B$2:$B$100)</f>
        <v>Melvin Marxen</v>
      </c>
      <c r="D6924" t="str">
        <f>_xlfn.XLOOKUP($B6924,sales_teams!$A$2:$A$36,sales_teams!C$2:C$36)</f>
        <v>Central</v>
      </c>
      <c r="E6924" t="s">
        <v>10</v>
      </c>
      <c r="F6924" t="s">
        <v>36</v>
      </c>
      <c r="G6924" t="s">
        <v>12</v>
      </c>
      <c r="H6924" s="1">
        <v>43001</v>
      </c>
      <c r="I6924" s="1">
        <v>43010</v>
      </c>
      <c r="J6924">
        <v>1127</v>
      </c>
    </row>
    <row r="6925" spans="1:10" x14ac:dyDescent="0.3">
      <c r="A6925" t="s">
        <v>7056</v>
      </c>
      <c r="B6925" t="s">
        <v>78</v>
      </c>
      <c r="C6925" t="str">
        <f>_xlfn.XLOOKUP(B6925,
[1]sales_teams!$A$2:$A$100,
[1]sales_teams!$B$2:$B$100)</f>
        <v>Summer Sewald</v>
      </c>
      <c r="D6925" t="str">
        <f>_xlfn.XLOOKUP($B6925,sales_teams!$A$2:$A$36,sales_teams!C$2:C$36)</f>
        <v>West</v>
      </c>
      <c r="E6925" t="s">
        <v>20</v>
      </c>
      <c r="G6925" t="s">
        <v>40</v>
      </c>
      <c r="H6925" s="1">
        <v>43001</v>
      </c>
    </row>
    <row r="6926" spans="1:10" x14ac:dyDescent="0.3">
      <c r="A6926" t="s">
        <v>7057</v>
      </c>
      <c r="B6926" t="s">
        <v>78</v>
      </c>
      <c r="C6926" t="str">
        <f>_xlfn.XLOOKUP(B6926,
[1]sales_teams!$A$2:$A$100,
[1]sales_teams!$B$2:$B$100)</f>
        <v>Summer Sewald</v>
      </c>
      <c r="D6926" t="str">
        <f>_xlfn.XLOOKUP($B6926,sales_teams!$A$2:$A$36,sales_teams!C$2:C$36)</f>
        <v>West</v>
      </c>
      <c r="E6926" t="s">
        <v>15</v>
      </c>
      <c r="F6926" t="s">
        <v>155</v>
      </c>
      <c r="G6926" t="s">
        <v>40</v>
      </c>
      <c r="H6926" s="1">
        <v>43001</v>
      </c>
    </row>
    <row r="6927" spans="1:10" x14ac:dyDescent="0.3">
      <c r="A6927" t="s">
        <v>7058</v>
      </c>
      <c r="B6927" t="s">
        <v>78</v>
      </c>
      <c r="C6927" t="str">
        <f>_xlfn.XLOOKUP(B6927,
[1]sales_teams!$A$2:$A$100,
[1]sales_teams!$B$2:$B$100)</f>
        <v>Summer Sewald</v>
      </c>
      <c r="D6927" t="str">
        <f>_xlfn.XLOOKUP($B6927,sales_teams!$A$2:$A$36,sales_teams!C$2:C$36)</f>
        <v>West</v>
      </c>
      <c r="E6927" t="s">
        <v>20</v>
      </c>
      <c r="F6927" t="s">
        <v>124</v>
      </c>
      <c r="G6927" t="s">
        <v>12</v>
      </c>
      <c r="H6927" s="1">
        <v>43001</v>
      </c>
      <c r="I6927" s="1">
        <v>43093</v>
      </c>
      <c r="J6927">
        <v>468</v>
      </c>
    </row>
    <row r="6928" spans="1:10" x14ac:dyDescent="0.3">
      <c r="A6928" t="s">
        <v>7059</v>
      </c>
      <c r="B6928" t="s">
        <v>78</v>
      </c>
      <c r="C6928" t="str">
        <f>_xlfn.XLOOKUP(B6928,
[1]sales_teams!$A$2:$A$100,
[1]sales_teams!$B$2:$B$100)</f>
        <v>Summer Sewald</v>
      </c>
      <c r="D6928" t="str">
        <f>_xlfn.XLOOKUP($B6928,sales_teams!$A$2:$A$36,sales_teams!C$2:C$36)</f>
        <v>West</v>
      </c>
      <c r="E6928" t="s">
        <v>18</v>
      </c>
      <c r="F6928" t="s">
        <v>68</v>
      </c>
      <c r="G6928" t="s">
        <v>12</v>
      </c>
      <c r="H6928" s="1">
        <v>43001</v>
      </c>
      <c r="I6928" s="1">
        <v>43058</v>
      </c>
      <c r="J6928">
        <v>55</v>
      </c>
    </row>
    <row r="6929" spans="1:10" x14ac:dyDescent="0.3">
      <c r="A6929" t="s">
        <v>7060</v>
      </c>
      <c r="B6929" t="s">
        <v>95</v>
      </c>
      <c r="C6929" t="str">
        <f>_xlfn.XLOOKUP(B6929,
[1]sales_teams!$A$2:$A$100,
[1]sales_teams!$B$2:$B$100)</f>
        <v>Summer Sewald</v>
      </c>
      <c r="D6929" t="str">
        <f>_xlfn.XLOOKUP($B6929,sales_teams!$A$2:$A$36,sales_teams!C$2:C$36)</f>
        <v>West</v>
      </c>
      <c r="E6929" t="s">
        <v>18</v>
      </c>
      <c r="F6929" t="s">
        <v>55</v>
      </c>
      <c r="G6929" t="s">
        <v>12</v>
      </c>
      <c r="H6929" s="1">
        <v>43001</v>
      </c>
      <c r="I6929" s="1">
        <v>43009</v>
      </c>
      <c r="J6929">
        <v>57</v>
      </c>
    </row>
    <row r="6930" spans="1:10" x14ac:dyDescent="0.3">
      <c r="A6930" t="s">
        <v>7061</v>
      </c>
      <c r="B6930" t="s">
        <v>133</v>
      </c>
      <c r="C6930" t="str">
        <f>_xlfn.XLOOKUP(B6930,
[1]sales_teams!$A$2:$A$100,
[1]sales_teams!$B$2:$B$100)</f>
        <v>Dustin Brinkmann</v>
      </c>
      <c r="D6930" t="str">
        <f>_xlfn.XLOOKUP($B6930,sales_teams!$A$2:$A$36,sales_teams!C$2:C$36)</f>
        <v>Central</v>
      </c>
      <c r="E6930" t="s">
        <v>18</v>
      </c>
      <c r="F6930" t="s">
        <v>36</v>
      </c>
      <c r="G6930" t="s">
        <v>46</v>
      </c>
      <c r="H6930" s="1">
        <v>43001</v>
      </c>
      <c r="I6930" s="1">
        <v>43046</v>
      </c>
      <c r="J6930">
        <v>0</v>
      </c>
    </row>
    <row r="6931" spans="1:10" x14ac:dyDescent="0.3">
      <c r="A6931" t="s">
        <v>7062</v>
      </c>
      <c r="B6931" t="s">
        <v>133</v>
      </c>
      <c r="C6931" t="str">
        <f>_xlfn.XLOOKUP(B6931,
[1]sales_teams!$A$2:$A$100,
[1]sales_teams!$B$2:$B$100)</f>
        <v>Dustin Brinkmann</v>
      </c>
      <c r="D6931" t="str">
        <f>_xlfn.XLOOKUP($B6931,sales_teams!$A$2:$A$36,sales_teams!C$2:C$36)</f>
        <v>Central</v>
      </c>
      <c r="E6931" t="s">
        <v>10</v>
      </c>
      <c r="F6931" t="s">
        <v>151</v>
      </c>
      <c r="G6931" t="s">
        <v>12</v>
      </c>
      <c r="H6931" s="1">
        <v>43001</v>
      </c>
      <c r="I6931" s="1">
        <v>43066</v>
      </c>
      <c r="J6931">
        <v>946</v>
      </c>
    </row>
    <row r="6932" spans="1:10" x14ac:dyDescent="0.3">
      <c r="A6932" t="s">
        <v>7063</v>
      </c>
      <c r="B6932" t="s">
        <v>32</v>
      </c>
      <c r="C6932" t="str">
        <f>_xlfn.XLOOKUP(B6932,
[1]sales_teams!$A$2:$A$100,
[1]sales_teams!$B$2:$B$100)</f>
        <v>Celia Rouche</v>
      </c>
      <c r="D6932" t="str">
        <f>_xlfn.XLOOKUP($B6932,sales_teams!$A$2:$A$36,sales_teams!C$2:C$36)</f>
        <v>West</v>
      </c>
      <c r="E6932" t="s">
        <v>20</v>
      </c>
      <c r="F6932" t="s">
        <v>93</v>
      </c>
      <c r="G6932" t="s">
        <v>46</v>
      </c>
      <c r="H6932" s="1">
        <v>43001</v>
      </c>
      <c r="I6932" s="1">
        <v>43010</v>
      </c>
      <c r="J6932">
        <v>0</v>
      </c>
    </row>
    <row r="6933" spans="1:10" x14ac:dyDescent="0.3">
      <c r="A6933" t="s">
        <v>7064</v>
      </c>
      <c r="B6933" t="s">
        <v>51</v>
      </c>
      <c r="C6933" t="str">
        <f>_xlfn.XLOOKUP(B6933,
[1]sales_teams!$A$2:$A$100,
[1]sales_teams!$B$2:$B$100)</f>
        <v>Summer Sewald</v>
      </c>
      <c r="D6933" t="str">
        <f>_xlfn.XLOOKUP($B6933,sales_teams!$A$2:$A$36,sales_teams!C$2:C$36)</f>
        <v>West</v>
      </c>
      <c r="E6933" t="s">
        <v>20</v>
      </c>
      <c r="F6933" t="s">
        <v>79</v>
      </c>
      <c r="G6933" t="s">
        <v>46</v>
      </c>
      <c r="H6933" s="1">
        <v>43001</v>
      </c>
      <c r="I6933" s="1">
        <v>43053</v>
      </c>
      <c r="J6933">
        <v>0</v>
      </c>
    </row>
    <row r="6934" spans="1:10" x14ac:dyDescent="0.3">
      <c r="A6934" t="s">
        <v>7065</v>
      </c>
      <c r="B6934" t="s">
        <v>51</v>
      </c>
      <c r="C6934" t="str">
        <f>_xlfn.XLOOKUP(B6934,
[1]sales_teams!$A$2:$A$100,
[1]sales_teams!$B$2:$B$100)</f>
        <v>Summer Sewald</v>
      </c>
      <c r="D6934" t="str">
        <f>_xlfn.XLOOKUP($B6934,sales_teams!$A$2:$A$36,sales_teams!C$2:C$36)</f>
        <v>West</v>
      </c>
      <c r="E6934" t="s">
        <v>18</v>
      </c>
      <c r="F6934" t="s">
        <v>122</v>
      </c>
      <c r="G6934" t="s">
        <v>46</v>
      </c>
      <c r="H6934" s="1">
        <v>43001</v>
      </c>
      <c r="I6934" s="1">
        <v>43045</v>
      </c>
      <c r="J6934">
        <v>0</v>
      </c>
    </row>
    <row r="6935" spans="1:10" x14ac:dyDescent="0.3">
      <c r="A6935" t="s">
        <v>7066</v>
      </c>
      <c r="B6935" t="s">
        <v>9</v>
      </c>
      <c r="C6935" t="str">
        <f>_xlfn.XLOOKUP(B6935,
[1]sales_teams!$A$2:$A$100,
[1]sales_teams!$B$2:$B$100)</f>
        <v>Dustin Brinkmann</v>
      </c>
      <c r="D6935" t="str">
        <f>_xlfn.XLOOKUP($B6935,sales_teams!$A$2:$A$36,sales_teams!C$2:C$36)</f>
        <v>Central</v>
      </c>
      <c r="E6935" t="s">
        <v>18</v>
      </c>
      <c r="F6935" t="s">
        <v>197</v>
      </c>
      <c r="G6935" t="s">
        <v>46</v>
      </c>
      <c r="H6935" s="1">
        <v>43001</v>
      </c>
      <c r="I6935" s="1">
        <v>43066</v>
      </c>
      <c r="J6935">
        <v>0</v>
      </c>
    </row>
    <row r="6936" spans="1:10" x14ac:dyDescent="0.3">
      <c r="A6936" t="s">
        <v>7067</v>
      </c>
      <c r="B6936" t="s">
        <v>88</v>
      </c>
      <c r="C6936" t="str">
        <f>_xlfn.XLOOKUP(B6936,
[1]sales_teams!$A$2:$A$100,
[1]sales_teams!$B$2:$B$100)</f>
        <v>Cara Losch</v>
      </c>
      <c r="D6936" t="str">
        <f>_xlfn.XLOOKUP($B6936,sales_teams!$A$2:$A$36,sales_teams!C$2:C$36)</f>
        <v>East</v>
      </c>
      <c r="E6936" t="s">
        <v>15</v>
      </c>
      <c r="F6936" t="s">
        <v>222</v>
      </c>
      <c r="G6936" t="s">
        <v>46</v>
      </c>
      <c r="H6936" s="1">
        <v>43001</v>
      </c>
      <c r="I6936" s="1">
        <v>43013</v>
      </c>
      <c r="J6936">
        <v>0</v>
      </c>
    </row>
    <row r="6937" spans="1:10" x14ac:dyDescent="0.3">
      <c r="A6937" t="s">
        <v>7068</v>
      </c>
      <c r="B6937" t="s">
        <v>29</v>
      </c>
      <c r="C6937" t="str">
        <f>_xlfn.XLOOKUP(B6937,
[1]sales_teams!$A$2:$A$100,
[1]sales_teams!$B$2:$B$100)</f>
        <v>Celia Rouche</v>
      </c>
      <c r="D6937" t="str">
        <f>_xlfn.XLOOKUP($B6937,sales_teams!$A$2:$A$36,sales_teams!C$2:C$36)</f>
        <v>West</v>
      </c>
      <c r="E6937" t="s">
        <v>39</v>
      </c>
      <c r="G6937" t="s">
        <v>40</v>
      </c>
      <c r="H6937" s="1">
        <v>43001</v>
      </c>
    </row>
    <row r="6938" spans="1:10" x14ac:dyDescent="0.3">
      <c r="A6938" t="s">
        <v>7069</v>
      </c>
      <c r="B6938" t="s">
        <v>29</v>
      </c>
      <c r="C6938" t="str">
        <f>_xlfn.XLOOKUP(B6938,
[1]sales_teams!$A$2:$A$100,
[1]sales_teams!$B$2:$B$100)</f>
        <v>Celia Rouche</v>
      </c>
      <c r="D6938" t="str">
        <f>_xlfn.XLOOKUP($B6938,sales_teams!$A$2:$A$36,sales_teams!C$2:C$36)</f>
        <v>West</v>
      </c>
      <c r="E6938" t="s">
        <v>15</v>
      </c>
      <c r="F6938" t="s">
        <v>315</v>
      </c>
      <c r="G6938" t="s">
        <v>12</v>
      </c>
      <c r="H6938" s="1">
        <v>43001</v>
      </c>
      <c r="I6938" s="1">
        <v>43086</v>
      </c>
      <c r="J6938">
        <v>4415</v>
      </c>
    </row>
    <row r="6939" spans="1:10" x14ac:dyDescent="0.3">
      <c r="A6939" t="s">
        <v>7070</v>
      </c>
      <c r="B6939" t="s">
        <v>73</v>
      </c>
      <c r="C6939" t="str">
        <f>_xlfn.XLOOKUP(B6939,
[1]sales_teams!$A$2:$A$100,
[1]sales_teams!$B$2:$B$100)</f>
        <v>Cara Losch</v>
      </c>
      <c r="D6939" t="str">
        <f>_xlfn.XLOOKUP($B6939,sales_teams!$A$2:$A$36,sales_teams!C$2:C$36)</f>
        <v>East</v>
      </c>
      <c r="E6939" t="s">
        <v>18</v>
      </c>
      <c r="F6939" t="s">
        <v>165</v>
      </c>
      <c r="G6939" t="s">
        <v>12</v>
      </c>
      <c r="H6939" s="1">
        <v>43001</v>
      </c>
      <c r="I6939" s="1">
        <v>43010</v>
      </c>
      <c r="J6939">
        <v>60</v>
      </c>
    </row>
    <row r="6940" spans="1:10" x14ac:dyDescent="0.3">
      <c r="A6940" t="s">
        <v>7071</v>
      </c>
      <c r="B6940" t="s">
        <v>23</v>
      </c>
      <c r="C6940" t="str">
        <f>_xlfn.XLOOKUP(B6940,
[1]sales_teams!$A$2:$A$100,
[1]sales_teams!$B$2:$B$100)</f>
        <v>Summer Sewald</v>
      </c>
      <c r="D6940" t="str">
        <f>_xlfn.XLOOKUP($B6940,sales_teams!$A$2:$A$36,sales_teams!C$2:C$36)</f>
        <v>West</v>
      </c>
      <c r="E6940" t="s">
        <v>48</v>
      </c>
      <c r="F6940" t="s">
        <v>100</v>
      </c>
      <c r="G6940" t="s">
        <v>12</v>
      </c>
      <c r="H6940" s="1">
        <v>43001</v>
      </c>
      <c r="I6940" s="1">
        <v>43009</v>
      </c>
      <c r="J6940">
        <v>5865</v>
      </c>
    </row>
    <row r="6941" spans="1:10" x14ac:dyDescent="0.3">
      <c r="A6941" t="s">
        <v>7072</v>
      </c>
      <c r="B6941" t="s">
        <v>26</v>
      </c>
      <c r="C6941" t="str">
        <f>_xlfn.XLOOKUP(B6941,
[1]sales_teams!$A$2:$A$100,
[1]sales_teams!$B$2:$B$100)</f>
        <v>Dustin Brinkmann</v>
      </c>
      <c r="D6941" t="str">
        <f>_xlfn.XLOOKUP($B6941,sales_teams!$A$2:$A$36,sales_teams!C$2:C$36)</f>
        <v>Central</v>
      </c>
      <c r="E6941" t="s">
        <v>48</v>
      </c>
      <c r="F6941" t="s">
        <v>62</v>
      </c>
      <c r="G6941" t="s">
        <v>46</v>
      </c>
      <c r="H6941" s="1">
        <v>43002</v>
      </c>
      <c r="I6941" s="1">
        <v>43062</v>
      </c>
      <c r="J6941">
        <v>0</v>
      </c>
    </row>
    <row r="6942" spans="1:10" x14ac:dyDescent="0.3">
      <c r="A6942" t="s">
        <v>7073</v>
      </c>
      <c r="B6942" t="s">
        <v>26</v>
      </c>
      <c r="C6942" t="str">
        <f>_xlfn.XLOOKUP(B6942,
[1]sales_teams!$A$2:$A$100,
[1]sales_teams!$B$2:$B$100)</f>
        <v>Dustin Brinkmann</v>
      </c>
      <c r="D6942" t="str">
        <f>_xlfn.XLOOKUP($B6942,sales_teams!$A$2:$A$36,sales_teams!C$2:C$36)</f>
        <v>Central</v>
      </c>
      <c r="E6942" t="s">
        <v>18</v>
      </c>
      <c r="F6942" t="s">
        <v>21</v>
      </c>
      <c r="G6942" t="s">
        <v>46</v>
      </c>
      <c r="H6942" s="1">
        <v>43002</v>
      </c>
      <c r="I6942" s="1">
        <v>43066</v>
      </c>
      <c r="J6942">
        <v>0</v>
      </c>
    </row>
    <row r="6943" spans="1:10" x14ac:dyDescent="0.3">
      <c r="A6943" t="s">
        <v>7074</v>
      </c>
      <c r="B6943" t="s">
        <v>139</v>
      </c>
      <c r="C6943" t="str">
        <f>_xlfn.XLOOKUP(B6943,
[1]sales_teams!$A$2:$A$100,
[1]sales_teams!$B$2:$B$100)</f>
        <v>Rocco Neubert</v>
      </c>
      <c r="D6943" t="str">
        <f>_xlfn.XLOOKUP($B6943,sales_teams!$A$2:$A$36,sales_teams!C$2:C$36)</f>
        <v>East</v>
      </c>
      <c r="E6943" t="s">
        <v>10</v>
      </c>
      <c r="F6943" t="s">
        <v>155</v>
      </c>
      <c r="G6943" t="s">
        <v>46</v>
      </c>
      <c r="H6943" s="1">
        <v>43002</v>
      </c>
      <c r="I6943" s="1">
        <v>43083</v>
      </c>
      <c r="J6943">
        <v>0</v>
      </c>
    </row>
    <row r="6944" spans="1:10" x14ac:dyDescent="0.3">
      <c r="A6944" t="s">
        <v>7075</v>
      </c>
      <c r="B6944" t="s">
        <v>202</v>
      </c>
      <c r="C6944" t="str">
        <f>_xlfn.XLOOKUP(B6944,
[1]sales_teams!$A$2:$A$100,
[1]sales_teams!$B$2:$B$100)</f>
        <v>Dustin Brinkmann</v>
      </c>
      <c r="D6944" t="str">
        <f>_xlfn.XLOOKUP($B6944,sales_teams!$A$2:$A$36,sales_teams!C$2:C$36)</f>
        <v>Central</v>
      </c>
      <c r="E6944" t="s">
        <v>39</v>
      </c>
      <c r="F6944" t="s">
        <v>213</v>
      </c>
      <c r="G6944" t="s">
        <v>46</v>
      </c>
      <c r="H6944" s="1">
        <v>43002</v>
      </c>
      <c r="I6944" s="1">
        <v>43012</v>
      </c>
      <c r="J6944">
        <v>0</v>
      </c>
    </row>
    <row r="6945" spans="1:10" x14ac:dyDescent="0.3">
      <c r="A6945" t="s">
        <v>7076</v>
      </c>
      <c r="B6945" t="s">
        <v>202</v>
      </c>
      <c r="C6945" t="str">
        <f>_xlfn.XLOOKUP(B6945,
[1]sales_teams!$A$2:$A$100,
[1]sales_teams!$B$2:$B$100)</f>
        <v>Dustin Brinkmann</v>
      </c>
      <c r="D6945" t="str">
        <f>_xlfn.XLOOKUP($B6945,sales_teams!$A$2:$A$36,sales_teams!C$2:C$36)</f>
        <v>Central</v>
      </c>
      <c r="E6945" t="s">
        <v>18</v>
      </c>
      <c r="F6945" t="s">
        <v>126</v>
      </c>
      <c r="G6945" t="s">
        <v>12</v>
      </c>
      <c r="H6945" s="1">
        <v>43002</v>
      </c>
      <c r="I6945" s="1">
        <v>43010</v>
      </c>
      <c r="J6945">
        <v>54</v>
      </c>
    </row>
    <row r="6946" spans="1:10" x14ac:dyDescent="0.3">
      <c r="A6946" t="s">
        <v>7077</v>
      </c>
      <c r="B6946" t="s">
        <v>164</v>
      </c>
      <c r="C6946" t="str">
        <f>_xlfn.XLOOKUP(B6946,
[1]sales_teams!$A$2:$A$100,
[1]sales_teams!$B$2:$B$100)</f>
        <v>Cara Losch</v>
      </c>
      <c r="D6946" t="str">
        <f>_xlfn.XLOOKUP($B6946,sales_teams!$A$2:$A$36,sales_teams!C$2:C$36)</f>
        <v>East</v>
      </c>
      <c r="E6946" t="s">
        <v>15</v>
      </c>
      <c r="F6946" t="s">
        <v>140</v>
      </c>
      <c r="G6946" t="s">
        <v>12</v>
      </c>
      <c r="H6946" s="1">
        <v>43002</v>
      </c>
      <c r="I6946" s="1">
        <v>43096</v>
      </c>
      <c r="J6946">
        <v>5069</v>
      </c>
    </row>
    <row r="6947" spans="1:10" x14ac:dyDescent="0.3">
      <c r="A6947" t="s">
        <v>7078</v>
      </c>
      <c r="B6947" t="s">
        <v>64</v>
      </c>
      <c r="C6947" t="str">
        <f>_xlfn.XLOOKUP(B6947,
[1]sales_teams!$A$2:$A$100,
[1]sales_teams!$B$2:$B$100)</f>
        <v>Rocco Neubert</v>
      </c>
      <c r="D6947" t="str">
        <f>_xlfn.XLOOKUP($B6947,sales_teams!$A$2:$A$36,sales_teams!C$2:C$36)</f>
        <v>East</v>
      </c>
      <c r="E6947" t="s">
        <v>48</v>
      </c>
      <c r="F6947" t="s">
        <v>199</v>
      </c>
      <c r="G6947" t="s">
        <v>12</v>
      </c>
      <c r="H6947" s="1">
        <v>43002</v>
      </c>
      <c r="I6947" s="1">
        <v>43013</v>
      </c>
      <c r="J6947">
        <v>5378</v>
      </c>
    </row>
    <row r="6948" spans="1:10" x14ac:dyDescent="0.3">
      <c r="A6948" t="s">
        <v>7079</v>
      </c>
      <c r="B6948" t="s">
        <v>64</v>
      </c>
      <c r="C6948" t="str">
        <f>_xlfn.XLOOKUP(B6948,
[1]sales_teams!$A$2:$A$100,
[1]sales_teams!$B$2:$B$100)</f>
        <v>Rocco Neubert</v>
      </c>
      <c r="D6948" t="str">
        <f>_xlfn.XLOOKUP($B6948,sales_teams!$A$2:$A$36,sales_teams!C$2:C$36)</f>
        <v>East</v>
      </c>
      <c r="E6948" t="s">
        <v>15</v>
      </c>
      <c r="F6948" t="s">
        <v>106</v>
      </c>
      <c r="G6948" t="s">
        <v>12</v>
      </c>
      <c r="H6948" s="1">
        <v>43002</v>
      </c>
      <c r="I6948" s="1">
        <v>43073</v>
      </c>
      <c r="J6948">
        <v>5255</v>
      </c>
    </row>
    <row r="6949" spans="1:10" x14ac:dyDescent="0.3">
      <c r="A6949" t="s">
        <v>7080</v>
      </c>
      <c r="B6949" t="s">
        <v>14</v>
      </c>
      <c r="C6949" t="str">
        <f>_xlfn.XLOOKUP(B6949,
[1]sales_teams!$A$2:$A$100,
[1]sales_teams!$B$2:$B$100)</f>
        <v>Melvin Marxen</v>
      </c>
      <c r="D6949" t="str">
        <f>_xlfn.XLOOKUP($B6949,sales_teams!$A$2:$A$36,sales_teams!C$2:C$36)</f>
        <v>Central</v>
      </c>
      <c r="E6949" t="s">
        <v>10</v>
      </c>
      <c r="F6949" t="s">
        <v>207</v>
      </c>
      <c r="G6949" t="s">
        <v>46</v>
      </c>
      <c r="H6949" s="1">
        <v>43002</v>
      </c>
      <c r="I6949" s="1">
        <v>43012</v>
      </c>
      <c r="J6949">
        <v>0</v>
      </c>
    </row>
    <row r="6950" spans="1:10" x14ac:dyDescent="0.3">
      <c r="A6950" t="s">
        <v>7081</v>
      </c>
      <c r="B6950" t="s">
        <v>14</v>
      </c>
      <c r="C6950" t="str">
        <f>_xlfn.XLOOKUP(B6950,
[1]sales_teams!$A$2:$A$100,
[1]sales_teams!$B$2:$B$100)</f>
        <v>Melvin Marxen</v>
      </c>
      <c r="D6950" t="str">
        <f>_xlfn.XLOOKUP($B6950,sales_teams!$A$2:$A$36,sales_teams!C$2:C$36)</f>
        <v>Central</v>
      </c>
      <c r="E6950" t="s">
        <v>48</v>
      </c>
      <c r="F6950" t="s">
        <v>120</v>
      </c>
      <c r="G6950" t="s">
        <v>12</v>
      </c>
      <c r="H6950" s="1">
        <v>43002</v>
      </c>
      <c r="I6950" s="1">
        <v>43011</v>
      </c>
      <c r="J6950">
        <v>5144</v>
      </c>
    </row>
    <row r="6951" spans="1:10" x14ac:dyDescent="0.3">
      <c r="A6951" t="s">
        <v>7082</v>
      </c>
      <c r="B6951" t="s">
        <v>142</v>
      </c>
      <c r="C6951" t="str">
        <f>_xlfn.XLOOKUP(B6951,
[1]sales_teams!$A$2:$A$100,
[1]sales_teams!$B$2:$B$100)</f>
        <v>Rocco Neubert</v>
      </c>
      <c r="D6951" t="str">
        <f>_xlfn.XLOOKUP($B6951,sales_teams!$A$2:$A$36,sales_teams!C$2:C$36)</f>
        <v>East</v>
      </c>
      <c r="E6951" t="s">
        <v>48</v>
      </c>
      <c r="F6951" t="s">
        <v>410</v>
      </c>
      <c r="G6951" t="s">
        <v>46</v>
      </c>
      <c r="H6951" s="1">
        <v>43002</v>
      </c>
      <c r="I6951" s="1">
        <v>43055</v>
      </c>
      <c r="J6951">
        <v>0</v>
      </c>
    </row>
    <row r="6952" spans="1:10" x14ac:dyDescent="0.3">
      <c r="A6952" t="s">
        <v>7083</v>
      </c>
      <c r="B6952" t="s">
        <v>38</v>
      </c>
      <c r="C6952" t="str">
        <f>_xlfn.XLOOKUP(B6952,
[1]sales_teams!$A$2:$A$100,
[1]sales_teams!$B$2:$B$100)</f>
        <v>Summer Sewald</v>
      </c>
      <c r="D6952" t="str">
        <f>_xlfn.XLOOKUP($B6952,sales_teams!$A$2:$A$36,sales_teams!C$2:C$36)</f>
        <v>West</v>
      </c>
      <c r="E6952" t="s">
        <v>48</v>
      </c>
      <c r="F6952" t="s">
        <v>168</v>
      </c>
      <c r="G6952" t="s">
        <v>12</v>
      </c>
      <c r="H6952" s="1">
        <v>43002</v>
      </c>
      <c r="I6952" s="1">
        <v>43011</v>
      </c>
      <c r="J6952">
        <v>5527</v>
      </c>
    </row>
    <row r="6953" spans="1:10" x14ac:dyDescent="0.3">
      <c r="A6953" t="s">
        <v>7084</v>
      </c>
      <c r="B6953" t="s">
        <v>95</v>
      </c>
      <c r="C6953" t="str">
        <f>_xlfn.XLOOKUP(B6953,
[1]sales_teams!$A$2:$A$100,
[1]sales_teams!$B$2:$B$100)</f>
        <v>Summer Sewald</v>
      </c>
      <c r="D6953" t="str">
        <f>_xlfn.XLOOKUP($B6953,sales_teams!$A$2:$A$36,sales_teams!C$2:C$36)</f>
        <v>West</v>
      </c>
      <c r="E6953" t="s">
        <v>39</v>
      </c>
      <c r="F6953" t="s">
        <v>157</v>
      </c>
      <c r="G6953" t="s">
        <v>46</v>
      </c>
      <c r="H6953" s="1">
        <v>43002</v>
      </c>
      <c r="I6953" s="1">
        <v>43088</v>
      </c>
      <c r="J6953">
        <v>0</v>
      </c>
    </row>
    <row r="6954" spans="1:10" x14ac:dyDescent="0.3">
      <c r="A6954" t="s">
        <v>7085</v>
      </c>
      <c r="B6954" t="s">
        <v>133</v>
      </c>
      <c r="C6954" t="str">
        <f>_xlfn.XLOOKUP(B6954,
[1]sales_teams!$A$2:$A$100,
[1]sales_teams!$B$2:$B$100)</f>
        <v>Dustin Brinkmann</v>
      </c>
      <c r="D6954" t="str">
        <f>_xlfn.XLOOKUP($B6954,sales_teams!$A$2:$A$36,sales_teams!C$2:C$36)</f>
        <v>Central</v>
      </c>
      <c r="E6954" t="s">
        <v>20</v>
      </c>
      <c r="F6954" t="s">
        <v>315</v>
      </c>
      <c r="G6954" t="s">
        <v>46</v>
      </c>
      <c r="H6954" s="1">
        <v>43002</v>
      </c>
      <c r="I6954" s="1">
        <v>43010</v>
      </c>
      <c r="J6954">
        <v>0</v>
      </c>
    </row>
    <row r="6955" spans="1:10" x14ac:dyDescent="0.3">
      <c r="A6955" t="s">
        <v>7086</v>
      </c>
      <c r="B6955" t="s">
        <v>133</v>
      </c>
      <c r="C6955" t="str">
        <f>_xlfn.XLOOKUP(B6955,
[1]sales_teams!$A$2:$A$100,
[1]sales_teams!$B$2:$B$100)</f>
        <v>Dustin Brinkmann</v>
      </c>
      <c r="D6955" t="str">
        <f>_xlfn.XLOOKUP($B6955,sales_teams!$A$2:$A$36,sales_teams!C$2:C$36)</f>
        <v>Central</v>
      </c>
      <c r="E6955" t="s">
        <v>20</v>
      </c>
      <c r="F6955" t="s">
        <v>91</v>
      </c>
      <c r="G6955" t="s">
        <v>12</v>
      </c>
      <c r="H6955" s="1">
        <v>43002</v>
      </c>
      <c r="I6955" s="1">
        <v>43090</v>
      </c>
      <c r="J6955">
        <v>452</v>
      </c>
    </row>
    <row r="6956" spans="1:10" x14ac:dyDescent="0.3">
      <c r="A6956" t="s">
        <v>7087</v>
      </c>
      <c r="B6956" t="s">
        <v>32</v>
      </c>
      <c r="C6956" t="str">
        <f>_xlfn.XLOOKUP(B6956,
[1]sales_teams!$A$2:$A$100,
[1]sales_teams!$B$2:$B$100)</f>
        <v>Celia Rouche</v>
      </c>
      <c r="D6956" t="str">
        <f>_xlfn.XLOOKUP($B6956,sales_teams!$A$2:$A$36,sales_teams!C$2:C$36)</f>
        <v>West</v>
      </c>
      <c r="E6956" t="s">
        <v>39</v>
      </c>
      <c r="F6956" t="s">
        <v>155</v>
      </c>
      <c r="G6956" t="s">
        <v>46</v>
      </c>
      <c r="H6956" s="1">
        <v>43002</v>
      </c>
      <c r="I6956" s="1">
        <v>43013</v>
      </c>
      <c r="J6956">
        <v>0</v>
      </c>
    </row>
    <row r="6957" spans="1:10" x14ac:dyDescent="0.3">
      <c r="A6957" t="s">
        <v>7088</v>
      </c>
      <c r="B6957" t="s">
        <v>9</v>
      </c>
      <c r="C6957" t="str">
        <f>_xlfn.XLOOKUP(B6957,
[1]sales_teams!$A$2:$A$100,
[1]sales_teams!$B$2:$B$100)</f>
        <v>Dustin Brinkmann</v>
      </c>
      <c r="D6957" t="str">
        <f>_xlfn.XLOOKUP($B6957,sales_teams!$A$2:$A$36,sales_teams!C$2:C$36)</f>
        <v>Central</v>
      </c>
      <c r="E6957" t="s">
        <v>48</v>
      </c>
      <c r="F6957" t="s">
        <v>170</v>
      </c>
      <c r="G6957" t="s">
        <v>12</v>
      </c>
      <c r="H6957" s="1">
        <v>43002</v>
      </c>
      <c r="I6957" s="1">
        <v>43097</v>
      </c>
      <c r="J6957">
        <v>7300</v>
      </c>
    </row>
    <row r="6958" spans="1:10" x14ac:dyDescent="0.3">
      <c r="A6958" t="s">
        <v>7089</v>
      </c>
      <c r="B6958" t="s">
        <v>61</v>
      </c>
      <c r="C6958" t="str">
        <f>_xlfn.XLOOKUP(B6958,
[1]sales_teams!$A$2:$A$100,
[1]sales_teams!$B$2:$B$100)</f>
        <v>Dustin Brinkmann</v>
      </c>
      <c r="D6958" t="str">
        <f>_xlfn.XLOOKUP($B6958,sales_teams!$A$2:$A$36,sales_teams!C$2:C$36)</f>
        <v>Central</v>
      </c>
      <c r="E6958" t="s">
        <v>18</v>
      </c>
      <c r="F6958" t="s">
        <v>45</v>
      </c>
      <c r="G6958" t="s">
        <v>46</v>
      </c>
      <c r="H6958" s="1">
        <v>43002</v>
      </c>
      <c r="I6958" s="1">
        <v>43048</v>
      </c>
      <c r="J6958">
        <v>0</v>
      </c>
    </row>
    <row r="6959" spans="1:10" x14ac:dyDescent="0.3">
      <c r="A6959" t="s">
        <v>7090</v>
      </c>
      <c r="B6959" t="s">
        <v>29</v>
      </c>
      <c r="C6959" t="str">
        <f>_xlfn.XLOOKUP(B6959,
[1]sales_teams!$A$2:$A$100,
[1]sales_teams!$B$2:$B$100)</f>
        <v>Celia Rouche</v>
      </c>
      <c r="D6959" t="str">
        <f>_xlfn.XLOOKUP($B6959,sales_teams!$A$2:$A$36,sales_teams!C$2:C$36)</f>
        <v>West</v>
      </c>
      <c r="E6959" t="s">
        <v>48</v>
      </c>
      <c r="F6959" t="s">
        <v>313</v>
      </c>
      <c r="G6959" t="s">
        <v>12</v>
      </c>
      <c r="H6959" s="1">
        <v>43002</v>
      </c>
      <c r="I6959" s="1">
        <v>43065</v>
      </c>
      <c r="J6959">
        <v>5196</v>
      </c>
    </row>
    <row r="6960" spans="1:10" x14ac:dyDescent="0.3">
      <c r="A6960" t="s">
        <v>7091</v>
      </c>
      <c r="B6960" t="s">
        <v>29</v>
      </c>
      <c r="C6960" t="str">
        <f>_xlfn.XLOOKUP(B6960,
[1]sales_teams!$A$2:$A$100,
[1]sales_teams!$B$2:$B$100)</f>
        <v>Celia Rouche</v>
      </c>
      <c r="D6960" t="str">
        <f>_xlfn.XLOOKUP($B6960,sales_teams!$A$2:$A$36,sales_teams!C$2:C$36)</f>
        <v>West</v>
      </c>
      <c r="E6960" t="s">
        <v>48</v>
      </c>
      <c r="F6960" t="s">
        <v>194</v>
      </c>
      <c r="G6960" t="s">
        <v>12</v>
      </c>
      <c r="H6960" s="1">
        <v>43002</v>
      </c>
      <c r="I6960" s="1">
        <v>43095</v>
      </c>
      <c r="J6960">
        <v>5624</v>
      </c>
    </row>
    <row r="6961" spans="1:10" x14ac:dyDescent="0.3">
      <c r="A6961" t="s">
        <v>7092</v>
      </c>
      <c r="B6961" t="s">
        <v>29</v>
      </c>
      <c r="C6961" t="str">
        <f>_xlfn.XLOOKUP(B6961,
[1]sales_teams!$A$2:$A$100,
[1]sales_teams!$B$2:$B$100)</f>
        <v>Celia Rouche</v>
      </c>
      <c r="D6961" t="str">
        <f>_xlfn.XLOOKUP($B6961,sales_teams!$A$2:$A$36,sales_teams!C$2:C$36)</f>
        <v>West</v>
      </c>
      <c r="E6961" t="s">
        <v>39</v>
      </c>
      <c r="F6961" t="s">
        <v>30</v>
      </c>
      <c r="G6961" t="s">
        <v>12</v>
      </c>
      <c r="H6961" s="1">
        <v>43002</v>
      </c>
      <c r="I6961" s="1">
        <v>43084</v>
      </c>
      <c r="J6961">
        <v>4110</v>
      </c>
    </row>
    <row r="6962" spans="1:10" x14ac:dyDescent="0.3">
      <c r="A6962" t="s">
        <v>7093</v>
      </c>
      <c r="B6962" t="s">
        <v>26</v>
      </c>
      <c r="C6962" t="str">
        <f>_xlfn.XLOOKUP(B6962,
[1]sales_teams!$A$2:$A$100,
[1]sales_teams!$B$2:$B$100)</f>
        <v>Dustin Brinkmann</v>
      </c>
      <c r="D6962" t="str">
        <f>_xlfn.XLOOKUP($B6962,sales_teams!$A$2:$A$36,sales_teams!C$2:C$36)</f>
        <v>Central</v>
      </c>
      <c r="E6962" t="s">
        <v>20</v>
      </c>
      <c r="F6962" t="s">
        <v>318</v>
      </c>
      <c r="G6962" t="s">
        <v>46</v>
      </c>
      <c r="H6962" s="1">
        <v>43003</v>
      </c>
      <c r="I6962" s="1">
        <v>43012</v>
      </c>
      <c r="J6962">
        <v>0</v>
      </c>
    </row>
    <row r="6963" spans="1:10" x14ac:dyDescent="0.3">
      <c r="A6963" t="s">
        <v>7094</v>
      </c>
      <c r="B6963" t="s">
        <v>26</v>
      </c>
      <c r="C6963" t="str">
        <f>_xlfn.XLOOKUP(B6963,
[1]sales_teams!$A$2:$A$100,
[1]sales_teams!$B$2:$B$100)</f>
        <v>Dustin Brinkmann</v>
      </c>
      <c r="D6963" t="str">
        <f>_xlfn.XLOOKUP($B6963,sales_teams!$A$2:$A$36,sales_teams!C$2:C$36)</f>
        <v>Central</v>
      </c>
      <c r="E6963" t="s">
        <v>18</v>
      </c>
      <c r="F6963" t="s">
        <v>21</v>
      </c>
      <c r="G6963" t="s">
        <v>12</v>
      </c>
      <c r="H6963" s="1">
        <v>43003</v>
      </c>
      <c r="I6963" s="1">
        <v>43087</v>
      </c>
      <c r="J6963">
        <v>53</v>
      </c>
    </row>
    <row r="6964" spans="1:10" x14ac:dyDescent="0.3">
      <c r="A6964" t="s">
        <v>7095</v>
      </c>
      <c r="B6964" t="s">
        <v>118</v>
      </c>
      <c r="C6964" t="str">
        <f>_xlfn.XLOOKUP(B6964,
[1]sales_teams!$A$2:$A$100,
[1]sales_teams!$B$2:$B$100)</f>
        <v>Rocco Neubert</v>
      </c>
      <c r="D6964" t="str">
        <f>_xlfn.XLOOKUP($B6964,sales_teams!$A$2:$A$36,sales_teams!C$2:C$36)</f>
        <v>East</v>
      </c>
      <c r="E6964" t="s">
        <v>15</v>
      </c>
      <c r="F6964" t="s">
        <v>222</v>
      </c>
      <c r="G6964" t="s">
        <v>12</v>
      </c>
      <c r="H6964" s="1">
        <v>43003</v>
      </c>
      <c r="I6964" s="1">
        <v>43005</v>
      </c>
      <c r="J6964">
        <v>5727</v>
      </c>
    </row>
    <row r="6965" spans="1:10" x14ac:dyDescent="0.3">
      <c r="A6965" t="s">
        <v>7096</v>
      </c>
      <c r="B6965" t="s">
        <v>118</v>
      </c>
      <c r="C6965" t="str">
        <f>_xlfn.XLOOKUP(B6965,
[1]sales_teams!$A$2:$A$100,
[1]sales_teams!$B$2:$B$100)</f>
        <v>Rocco Neubert</v>
      </c>
      <c r="D6965" t="str">
        <f>_xlfn.XLOOKUP($B6965,sales_teams!$A$2:$A$36,sales_teams!C$2:C$36)</f>
        <v>East</v>
      </c>
      <c r="E6965" t="s">
        <v>15</v>
      </c>
      <c r="F6965" t="s">
        <v>215</v>
      </c>
      <c r="G6965" t="s">
        <v>12</v>
      </c>
      <c r="H6965" s="1">
        <v>43003</v>
      </c>
      <c r="I6965" s="1">
        <v>43006</v>
      </c>
      <c r="J6965">
        <v>4308</v>
      </c>
    </row>
    <row r="6966" spans="1:10" x14ac:dyDescent="0.3">
      <c r="A6966" t="s">
        <v>7097</v>
      </c>
      <c r="B6966" t="s">
        <v>118</v>
      </c>
      <c r="C6966" t="str">
        <f>_xlfn.XLOOKUP(B6966,
[1]sales_teams!$A$2:$A$100,
[1]sales_teams!$B$2:$B$100)</f>
        <v>Rocco Neubert</v>
      </c>
      <c r="D6966" t="str">
        <f>_xlfn.XLOOKUP($B6966,sales_teams!$A$2:$A$36,sales_teams!C$2:C$36)</f>
        <v>East</v>
      </c>
      <c r="E6966" t="s">
        <v>39</v>
      </c>
      <c r="F6966" t="s">
        <v>215</v>
      </c>
      <c r="G6966" t="s">
        <v>12</v>
      </c>
      <c r="H6966" s="1">
        <v>43003</v>
      </c>
      <c r="I6966" s="1">
        <v>43078</v>
      </c>
      <c r="J6966">
        <v>3329</v>
      </c>
    </row>
    <row r="6967" spans="1:10" x14ac:dyDescent="0.3">
      <c r="A6967" t="s">
        <v>7098</v>
      </c>
      <c r="B6967" t="s">
        <v>64</v>
      </c>
      <c r="C6967" t="str">
        <f>_xlfn.XLOOKUP(B6967,
[1]sales_teams!$A$2:$A$100,
[1]sales_teams!$B$2:$B$100)</f>
        <v>Rocco Neubert</v>
      </c>
      <c r="D6967" t="str">
        <f>_xlfn.XLOOKUP($B6967,sales_teams!$A$2:$A$36,sales_teams!C$2:C$36)</f>
        <v>East</v>
      </c>
      <c r="E6967" t="s">
        <v>10</v>
      </c>
      <c r="F6967" t="s">
        <v>179</v>
      </c>
      <c r="G6967" t="s">
        <v>46</v>
      </c>
      <c r="H6967" s="1">
        <v>43003</v>
      </c>
      <c r="I6967" s="1">
        <v>43011</v>
      </c>
      <c r="J6967">
        <v>0</v>
      </c>
    </row>
    <row r="6968" spans="1:10" x14ac:dyDescent="0.3">
      <c r="A6968" t="s">
        <v>7099</v>
      </c>
      <c r="B6968" t="s">
        <v>14</v>
      </c>
      <c r="C6968" t="str">
        <f>_xlfn.XLOOKUP(B6968,
[1]sales_teams!$A$2:$A$100,
[1]sales_teams!$B$2:$B$100)</f>
        <v>Melvin Marxen</v>
      </c>
      <c r="D6968" t="str">
        <f>_xlfn.XLOOKUP($B6968,sales_teams!$A$2:$A$36,sales_teams!C$2:C$36)</f>
        <v>Central</v>
      </c>
      <c r="E6968" t="s">
        <v>48</v>
      </c>
      <c r="F6968" t="s">
        <v>315</v>
      </c>
      <c r="G6968" t="s">
        <v>46</v>
      </c>
      <c r="H6968" s="1">
        <v>43003</v>
      </c>
      <c r="I6968" s="1">
        <v>43012</v>
      </c>
      <c r="J6968">
        <v>0</v>
      </c>
    </row>
    <row r="6969" spans="1:10" x14ac:dyDescent="0.3">
      <c r="A6969" t="s">
        <v>7100</v>
      </c>
      <c r="B6969" t="s">
        <v>67</v>
      </c>
      <c r="C6969" t="str">
        <f>_xlfn.XLOOKUP(B6969,
[1]sales_teams!$A$2:$A$100,
[1]sales_teams!$B$2:$B$100)</f>
        <v>Celia Rouche</v>
      </c>
      <c r="D6969" t="str">
        <f>_xlfn.XLOOKUP($B6969,sales_teams!$A$2:$A$36,sales_teams!C$2:C$36)</f>
        <v>West</v>
      </c>
      <c r="E6969" t="s">
        <v>18</v>
      </c>
      <c r="F6969" t="s">
        <v>224</v>
      </c>
      <c r="G6969" t="s">
        <v>46</v>
      </c>
      <c r="H6969" s="1">
        <v>43003</v>
      </c>
      <c r="I6969" s="1">
        <v>43012</v>
      </c>
      <c r="J6969">
        <v>0</v>
      </c>
    </row>
    <row r="6970" spans="1:10" x14ac:dyDescent="0.3">
      <c r="A6970" t="s">
        <v>7101</v>
      </c>
      <c r="B6970" t="s">
        <v>38</v>
      </c>
      <c r="C6970" t="str">
        <f>_xlfn.XLOOKUP(B6970,
[1]sales_teams!$A$2:$A$100,
[1]sales_teams!$B$2:$B$100)</f>
        <v>Summer Sewald</v>
      </c>
      <c r="D6970" t="str">
        <f>_xlfn.XLOOKUP($B6970,sales_teams!$A$2:$A$36,sales_teams!C$2:C$36)</f>
        <v>West</v>
      </c>
      <c r="E6970" t="s">
        <v>18</v>
      </c>
      <c r="F6970" t="s">
        <v>204</v>
      </c>
      <c r="G6970" t="s">
        <v>40</v>
      </c>
      <c r="H6970" s="1">
        <v>43003</v>
      </c>
    </row>
    <row r="6971" spans="1:10" x14ac:dyDescent="0.3">
      <c r="A6971" t="s">
        <v>7102</v>
      </c>
      <c r="B6971" t="s">
        <v>252</v>
      </c>
      <c r="C6971" t="str">
        <f>_xlfn.XLOOKUP(B6971,
[1]sales_teams!$A$2:$A$100,
[1]sales_teams!$B$2:$B$100)</f>
        <v>Melvin Marxen</v>
      </c>
      <c r="D6971" t="str">
        <f>_xlfn.XLOOKUP($B6971,sales_teams!$A$2:$A$36,sales_teams!C$2:C$36)</f>
        <v>Central</v>
      </c>
      <c r="E6971" t="s">
        <v>20</v>
      </c>
      <c r="F6971" t="s">
        <v>109</v>
      </c>
      <c r="G6971" t="s">
        <v>46</v>
      </c>
      <c r="H6971" s="1">
        <v>43003</v>
      </c>
      <c r="I6971" s="1">
        <v>43011</v>
      </c>
      <c r="J6971">
        <v>0</v>
      </c>
    </row>
    <row r="6972" spans="1:10" x14ac:dyDescent="0.3">
      <c r="A6972" t="s">
        <v>7103</v>
      </c>
      <c r="B6972" t="s">
        <v>252</v>
      </c>
      <c r="C6972" t="str">
        <f>_xlfn.XLOOKUP(B6972,
[1]sales_teams!$A$2:$A$100,
[1]sales_teams!$B$2:$B$100)</f>
        <v>Melvin Marxen</v>
      </c>
      <c r="D6972" t="str">
        <f>_xlfn.XLOOKUP($B6972,sales_teams!$A$2:$A$36,sales_teams!C$2:C$36)</f>
        <v>Central</v>
      </c>
      <c r="E6972" t="s">
        <v>48</v>
      </c>
      <c r="F6972" t="s">
        <v>197</v>
      </c>
      <c r="G6972" t="s">
        <v>46</v>
      </c>
      <c r="H6972" s="1">
        <v>43003</v>
      </c>
      <c r="I6972" s="1">
        <v>43077</v>
      </c>
      <c r="J6972">
        <v>0</v>
      </c>
    </row>
    <row r="6973" spans="1:10" x14ac:dyDescent="0.3">
      <c r="A6973" t="s">
        <v>7104</v>
      </c>
      <c r="B6973" t="s">
        <v>78</v>
      </c>
      <c r="C6973" t="str">
        <f>_xlfn.XLOOKUP(B6973,
[1]sales_teams!$A$2:$A$100,
[1]sales_teams!$B$2:$B$100)</f>
        <v>Summer Sewald</v>
      </c>
      <c r="D6973" t="str">
        <f>_xlfn.XLOOKUP($B6973,sales_teams!$A$2:$A$36,sales_teams!C$2:C$36)</f>
        <v>West</v>
      </c>
      <c r="E6973" t="s">
        <v>48</v>
      </c>
      <c r="F6973" t="s">
        <v>86</v>
      </c>
      <c r="G6973" t="s">
        <v>12</v>
      </c>
      <c r="H6973" s="1">
        <v>43003</v>
      </c>
      <c r="I6973" s="1">
        <v>43066</v>
      </c>
      <c r="J6973">
        <v>6105</v>
      </c>
    </row>
    <row r="6974" spans="1:10" x14ac:dyDescent="0.3">
      <c r="A6974" t="s">
        <v>7105</v>
      </c>
      <c r="B6974" t="s">
        <v>95</v>
      </c>
      <c r="C6974" t="str">
        <f>_xlfn.XLOOKUP(B6974,
[1]sales_teams!$A$2:$A$100,
[1]sales_teams!$B$2:$B$100)</f>
        <v>Summer Sewald</v>
      </c>
      <c r="D6974" t="str">
        <f>_xlfn.XLOOKUP($B6974,sales_teams!$A$2:$A$36,sales_teams!C$2:C$36)</f>
        <v>West</v>
      </c>
      <c r="E6974" t="s">
        <v>20</v>
      </c>
      <c r="F6974" t="s">
        <v>93</v>
      </c>
      <c r="G6974" t="s">
        <v>12</v>
      </c>
      <c r="H6974" s="1">
        <v>43003</v>
      </c>
      <c r="I6974" s="1">
        <v>43052</v>
      </c>
      <c r="J6974">
        <v>549</v>
      </c>
    </row>
    <row r="6975" spans="1:10" x14ac:dyDescent="0.3">
      <c r="A6975" t="s">
        <v>7106</v>
      </c>
      <c r="B6975" t="s">
        <v>95</v>
      </c>
      <c r="C6975" t="str">
        <f>_xlfn.XLOOKUP(B6975,
[1]sales_teams!$A$2:$A$100,
[1]sales_teams!$B$2:$B$100)</f>
        <v>Summer Sewald</v>
      </c>
      <c r="D6975" t="str">
        <f>_xlfn.XLOOKUP($B6975,sales_teams!$A$2:$A$36,sales_teams!C$2:C$36)</f>
        <v>West</v>
      </c>
      <c r="E6975" t="s">
        <v>15</v>
      </c>
      <c r="F6975" t="s">
        <v>224</v>
      </c>
      <c r="G6975" t="s">
        <v>12</v>
      </c>
      <c r="H6975" s="1">
        <v>43003</v>
      </c>
      <c r="I6975" s="1">
        <v>43051</v>
      </c>
      <c r="J6975">
        <v>4828</v>
      </c>
    </row>
    <row r="6976" spans="1:10" x14ac:dyDescent="0.3">
      <c r="A6976" t="s">
        <v>7107</v>
      </c>
      <c r="B6976" t="s">
        <v>116</v>
      </c>
      <c r="C6976" t="str">
        <f>_xlfn.XLOOKUP(B6976,
[1]sales_teams!$A$2:$A$100,
[1]sales_teams!$B$2:$B$100)</f>
        <v>Melvin Marxen</v>
      </c>
      <c r="D6976" t="str">
        <f>_xlfn.XLOOKUP($B6976,sales_teams!$A$2:$A$36,sales_teams!C$2:C$36)</f>
        <v>Central</v>
      </c>
      <c r="E6976" t="s">
        <v>10</v>
      </c>
      <c r="F6976" t="s">
        <v>197</v>
      </c>
      <c r="G6976" t="s">
        <v>46</v>
      </c>
      <c r="H6976" s="1">
        <v>43003</v>
      </c>
      <c r="I6976" s="1">
        <v>43012</v>
      </c>
      <c r="J6976">
        <v>0</v>
      </c>
    </row>
    <row r="6977" spans="1:10" x14ac:dyDescent="0.3">
      <c r="A6977" t="s">
        <v>7108</v>
      </c>
      <c r="B6977" t="s">
        <v>51</v>
      </c>
      <c r="C6977" t="str">
        <f>_xlfn.XLOOKUP(B6977,
[1]sales_teams!$A$2:$A$100,
[1]sales_teams!$B$2:$B$100)</f>
        <v>Summer Sewald</v>
      </c>
      <c r="D6977" t="str">
        <f>_xlfn.XLOOKUP($B6977,sales_teams!$A$2:$A$36,sales_teams!C$2:C$36)</f>
        <v>West</v>
      </c>
      <c r="E6977" t="s">
        <v>20</v>
      </c>
      <c r="F6977" t="s">
        <v>159</v>
      </c>
      <c r="G6977" t="s">
        <v>46</v>
      </c>
      <c r="H6977" s="1">
        <v>43003</v>
      </c>
      <c r="I6977" s="1">
        <v>43011</v>
      </c>
      <c r="J6977">
        <v>0</v>
      </c>
    </row>
    <row r="6978" spans="1:10" x14ac:dyDescent="0.3">
      <c r="A6978" t="s">
        <v>7109</v>
      </c>
      <c r="B6978" t="s">
        <v>9</v>
      </c>
      <c r="C6978" t="str">
        <f>_xlfn.XLOOKUP(B6978,
[1]sales_teams!$A$2:$A$100,
[1]sales_teams!$B$2:$B$100)</f>
        <v>Dustin Brinkmann</v>
      </c>
      <c r="D6978" t="str">
        <f>_xlfn.XLOOKUP($B6978,sales_teams!$A$2:$A$36,sales_teams!C$2:C$36)</f>
        <v>Central</v>
      </c>
      <c r="E6978" t="s">
        <v>20</v>
      </c>
      <c r="F6978" t="s">
        <v>129</v>
      </c>
      <c r="G6978" t="s">
        <v>46</v>
      </c>
      <c r="H6978" s="1">
        <v>43003</v>
      </c>
      <c r="I6978" s="1">
        <v>43012</v>
      </c>
      <c r="J6978">
        <v>0</v>
      </c>
    </row>
    <row r="6979" spans="1:10" x14ac:dyDescent="0.3">
      <c r="A6979" t="s">
        <v>7110</v>
      </c>
      <c r="B6979" t="s">
        <v>9</v>
      </c>
      <c r="C6979" t="str">
        <f>_xlfn.XLOOKUP(B6979,
[1]sales_teams!$A$2:$A$100,
[1]sales_teams!$B$2:$B$100)</f>
        <v>Dustin Brinkmann</v>
      </c>
      <c r="D6979" t="str">
        <f>_xlfn.XLOOKUP($B6979,sales_teams!$A$2:$A$36,sales_teams!C$2:C$36)</f>
        <v>Central</v>
      </c>
      <c r="E6979" t="s">
        <v>18</v>
      </c>
      <c r="F6979" t="s">
        <v>36</v>
      </c>
      <c r="G6979" t="s">
        <v>46</v>
      </c>
      <c r="H6979" s="1">
        <v>43003</v>
      </c>
      <c r="I6979" s="1">
        <v>43069</v>
      </c>
      <c r="J6979">
        <v>0</v>
      </c>
    </row>
    <row r="6980" spans="1:10" x14ac:dyDescent="0.3">
      <c r="A6980" t="s">
        <v>7111</v>
      </c>
      <c r="B6980" t="s">
        <v>35</v>
      </c>
      <c r="C6980" t="str">
        <f>_xlfn.XLOOKUP(B6980,
[1]sales_teams!$A$2:$A$100,
[1]sales_teams!$B$2:$B$100)</f>
        <v>Melvin Marxen</v>
      </c>
      <c r="D6980" t="str">
        <f>_xlfn.XLOOKUP($B6980,sales_teams!$A$2:$A$36,sales_teams!C$2:C$36)</f>
        <v>Central</v>
      </c>
      <c r="E6980" t="s">
        <v>10</v>
      </c>
      <c r="F6980" t="s">
        <v>36</v>
      </c>
      <c r="G6980" t="s">
        <v>12</v>
      </c>
      <c r="H6980" s="1">
        <v>43003</v>
      </c>
      <c r="I6980" s="1">
        <v>43012</v>
      </c>
      <c r="J6980">
        <v>1189</v>
      </c>
    </row>
    <row r="6981" spans="1:10" x14ac:dyDescent="0.3">
      <c r="A6981" t="s">
        <v>7112</v>
      </c>
      <c r="B6981" t="s">
        <v>35</v>
      </c>
      <c r="C6981" t="str">
        <f>_xlfn.XLOOKUP(B6981,
[1]sales_teams!$A$2:$A$100,
[1]sales_teams!$B$2:$B$100)</f>
        <v>Melvin Marxen</v>
      </c>
      <c r="D6981" t="str">
        <f>_xlfn.XLOOKUP($B6981,sales_teams!$A$2:$A$36,sales_teams!C$2:C$36)</f>
        <v>Central</v>
      </c>
      <c r="E6981" t="s">
        <v>18</v>
      </c>
      <c r="F6981" t="s">
        <v>315</v>
      </c>
      <c r="G6981" t="s">
        <v>12</v>
      </c>
      <c r="H6981" s="1">
        <v>43003</v>
      </c>
      <c r="I6981" s="1">
        <v>43067</v>
      </c>
      <c r="J6981">
        <v>51</v>
      </c>
    </row>
    <row r="6982" spans="1:10" x14ac:dyDescent="0.3">
      <c r="A6982" t="s">
        <v>7113</v>
      </c>
      <c r="B6982" t="s">
        <v>97</v>
      </c>
      <c r="C6982" t="str">
        <f>_xlfn.XLOOKUP(B6982,
[1]sales_teams!$A$2:$A$100,
[1]sales_teams!$B$2:$B$100)</f>
        <v>Rocco Neubert</v>
      </c>
      <c r="D6982" t="str">
        <f>_xlfn.XLOOKUP($B6982,sales_teams!$A$2:$A$36,sales_teams!C$2:C$36)</f>
        <v>East</v>
      </c>
      <c r="E6982" t="s">
        <v>10</v>
      </c>
      <c r="F6982" t="s">
        <v>106</v>
      </c>
      <c r="G6982" t="s">
        <v>46</v>
      </c>
      <c r="H6982" s="1">
        <v>43003</v>
      </c>
      <c r="I6982" s="1">
        <v>43093</v>
      </c>
      <c r="J6982">
        <v>0</v>
      </c>
    </row>
    <row r="6983" spans="1:10" x14ac:dyDescent="0.3">
      <c r="A6983" t="s">
        <v>7114</v>
      </c>
      <c r="B6983" t="s">
        <v>57</v>
      </c>
      <c r="C6983" t="str">
        <f>_xlfn.XLOOKUP(B6983,
[1]sales_teams!$A$2:$A$100,
[1]sales_teams!$B$2:$B$100)</f>
        <v>Celia Rouche</v>
      </c>
      <c r="D6983" t="str">
        <f>_xlfn.XLOOKUP($B6983,sales_teams!$A$2:$A$36,sales_teams!C$2:C$36)</f>
        <v>West</v>
      </c>
      <c r="E6983" t="s">
        <v>15</v>
      </c>
      <c r="G6983" t="s">
        <v>40</v>
      </c>
      <c r="H6983" s="1">
        <v>43003</v>
      </c>
    </row>
    <row r="6984" spans="1:10" x14ac:dyDescent="0.3">
      <c r="A6984" t="s">
        <v>7115</v>
      </c>
      <c r="B6984" t="s">
        <v>57</v>
      </c>
      <c r="C6984" t="str">
        <f>_xlfn.XLOOKUP(B6984,
[1]sales_teams!$A$2:$A$100,
[1]sales_teams!$B$2:$B$100)</f>
        <v>Celia Rouche</v>
      </c>
      <c r="D6984" t="str">
        <f>_xlfn.XLOOKUP($B6984,sales_teams!$A$2:$A$36,sales_teams!C$2:C$36)</f>
        <v>West</v>
      </c>
      <c r="E6984" t="s">
        <v>39</v>
      </c>
      <c r="F6984" t="s">
        <v>93</v>
      </c>
      <c r="G6984" t="s">
        <v>46</v>
      </c>
      <c r="H6984" s="1">
        <v>43003</v>
      </c>
      <c r="I6984" s="1">
        <v>43011</v>
      </c>
      <c r="J6984">
        <v>0</v>
      </c>
    </row>
    <row r="6985" spans="1:10" x14ac:dyDescent="0.3">
      <c r="A6985" t="s">
        <v>7116</v>
      </c>
      <c r="B6985" t="s">
        <v>61</v>
      </c>
      <c r="C6985" t="str">
        <f>_xlfn.XLOOKUP(B6985,
[1]sales_teams!$A$2:$A$100,
[1]sales_teams!$B$2:$B$100)</f>
        <v>Dustin Brinkmann</v>
      </c>
      <c r="D6985" t="str">
        <f>_xlfn.XLOOKUP($B6985,sales_teams!$A$2:$A$36,sales_teams!C$2:C$36)</f>
        <v>Central</v>
      </c>
      <c r="E6985" t="s">
        <v>10</v>
      </c>
      <c r="F6985" t="s">
        <v>197</v>
      </c>
      <c r="G6985" t="s">
        <v>46</v>
      </c>
      <c r="H6985" s="1">
        <v>43003</v>
      </c>
      <c r="I6985" s="1">
        <v>43011</v>
      </c>
      <c r="J6985">
        <v>0</v>
      </c>
    </row>
    <row r="6986" spans="1:10" x14ac:dyDescent="0.3">
      <c r="A6986" t="s">
        <v>7117</v>
      </c>
      <c r="B6986" t="s">
        <v>61</v>
      </c>
      <c r="C6986" t="str">
        <f>_xlfn.XLOOKUP(B6986,
[1]sales_teams!$A$2:$A$100,
[1]sales_teams!$B$2:$B$100)</f>
        <v>Dustin Brinkmann</v>
      </c>
      <c r="D6986" t="str">
        <f>_xlfn.XLOOKUP($B6986,sales_teams!$A$2:$A$36,sales_teams!C$2:C$36)</f>
        <v>Central</v>
      </c>
      <c r="E6986" t="s">
        <v>18</v>
      </c>
      <c r="F6986" t="s">
        <v>218</v>
      </c>
      <c r="G6986" t="s">
        <v>12</v>
      </c>
      <c r="H6986" s="1">
        <v>43003</v>
      </c>
      <c r="I6986" s="1">
        <v>43059</v>
      </c>
      <c r="J6986">
        <v>55</v>
      </c>
    </row>
    <row r="6987" spans="1:10" x14ac:dyDescent="0.3">
      <c r="A6987" t="s">
        <v>7118</v>
      </c>
      <c r="B6987" t="s">
        <v>61</v>
      </c>
      <c r="C6987" t="str">
        <f>_xlfn.XLOOKUP(B6987,
[1]sales_teams!$A$2:$A$100,
[1]sales_teams!$B$2:$B$100)</f>
        <v>Dustin Brinkmann</v>
      </c>
      <c r="D6987" t="str">
        <f>_xlfn.XLOOKUP($B6987,sales_teams!$A$2:$A$36,sales_teams!C$2:C$36)</f>
        <v>Central</v>
      </c>
      <c r="E6987" t="s">
        <v>18</v>
      </c>
      <c r="F6987" t="s">
        <v>91</v>
      </c>
      <c r="G6987" t="s">
        <v>12</v>
      </c>
      <c r="H6987" s="1">
        <v>43003</v>
      </c>
      <c r="I6987" s="1">
        <v>43012</v>
      </c>
      <c r="J6987">
        <v>53</v>
      </c>
    </row>
    <row r="6988" spans="1:10" x14ac:dyDescent="0.3">
      <c r="A6988" t="s">
        <v>7119</v>
      </c>
      <c r="B6988" t="s">
        <v>29</v>
      </c>
      <c r="C6988" t="str">
        <f>_xlfn.XLOOKUP(B6988,
[1]sales_teams!$A$2:$A$100,
[1]sales_teams!$B$2:$B$100)</f>
        <v>Celia Rouche</v>
      </c>
      <c r="D6988" t="str">
        <f>_xlfn.XLOOKUP($B6988,sales_teams!$A$2:$A$36,sales_teams!C$2:C$36)</f>
        <v>West</v>
      </c>
      <c r="E6988" t="s">
        <v>18</v>
      </c>
      <c r="F6988" t="s">
        <v>168</v>
      </c>
      <c r="G6988" t="s">
        <v>46</v>
      </c>
      <c r="H6988" s="1">
        <v>43003</v>
      </c>
      <c r="I6988" s="1">
        <v>43013</v>
      </c>
      <c r="J6988">
        <v>0</v>
      </c>
    </row>
    <row r="6989" spans="1:10" x14ac:dyDescent="0.3">
      <c r="A6989" t="s">
        <v>7120</v>
      </c>
      <c r="B6989" t="s">
        <v>102</v>
      </c>
      <c r="C6989" t="str">
        <f>_xlfn.XLOOKUP(B6989,
[1]sales_teams!$A$2:$A$100,
[1]sales_teams!$B$2:$B$100)</f>
        <v>Cara Losch</v>
      </c>
      <c r="D6989" t="str">
        <f>_xlfn.XLOOKUP($B6989,sales_teams!$A$2:$A$36,sales_teams!C$2:C$36)</f>
        <v>East</v>
      </c>
      <c r="E6989" t="s">
        <v>48</v>
      </c>
      <c r="F6989" t="s">
        <v>209</v>
      </c>
      <c r="G6989" t="s">
        <v>12</v>
      </c>
      <c r="H6989" s="1">
        <v>43003</v>
      </c>
      <c r="I6989" s="1">
        <v>43078</v>
      </c>
      <c r="J6989">
        <v>5960</v>
      </c>
    </row>
    <row r="6990" spans="1:10" x14ac:dyDescent="0.3">
      <c r="A6990" t="s">
        <v>7121</v>
      </c>
      <c r="B6990" t="s">
        <v>23</v>
      </c>
      <c r="C6990" t="str">
        <f>_xlfn.XLOOKUP(B6990,
[1]sales_teams!$A$2:$A$100,
[1]sales_teams!$B$2:$B$100)</f>
        <v>Summer Sewald</v>
      </c>
      <c r="D6990" t="str">
        <f>_xlfn.XLOOKUP($B6990,sales_teams!$A$2:$A$36,sales_teams!C$2:C$36)</f>
        <v>West</v>
      </c>
      <c r="E6990" t="s">
        <v>39</v>
      </c>
      <c r="F6990" t="s">
        <v>398</v>
      </c>
      <c r="G6990" t="s">
        <v>12</v>
      </c>
      <c r="H6990" s="1">
        <v>43003</v>
      </c>
      <c r="I6990" s="1">
        <v>43012</v>
      </c>
      <c r="J6990">
        <v>3438</v>
      </c>
    </row>
    <row r="6991" spans="1:10" x14ac:dyDescent="0.3">
      <c r="A6991" t="s">
        <v>7122</v>
      </c>
      <c r="B6991" t="s">
        <v>26</v>
      </c>
      <c r="C6991" t="str">
        <f>_xlfn.XLOOKUP(B6991,
[1]sales_teams!$A$2:$A$100,
[1]sales_teams!$B$2:$B$100)</f>
        <v>Dustin Brinkmann</v>
      </c>
      <c r="D6991" t="str">
        <f>_xlfn.XLOOKUP($B6991,sales_teams!$A$2:$A$36,sales_teams!C$2:C$36)</f>
        <v>Central</v>
      </c>
      <c r="E6991" t="s">
        <v>18</v>
      </c>
      <c r="F6991" t="s">
        <v>11</v>
      </c>
      <c r="G6991" t="s">
        <v>46</v>
      </c>
      <c r="H6991" s="1">
        <v>43004</v>
      </c>
      <c r="I6991" s="1">
        <v>43014</v>
      </c>
      <c r="J6991">
        <v>0</v>
      </c>
    </row>
    <row r="6992" spans="1:10" x14ac:dyDescent="0.3">
      <c r="A6992" t="s">
        <v>7123</v>
      </c>
      <c r="B6992" t="s">
        <v>26</v>
      </c>
      <c r="C6992" t="str">
        <f>_xlfn.XLOOKUP(B6992,
[1]sales_teams!$A$2:$A$100,
[1]sales_teams!$B$2:$B$100)</f>
        <v>Dustin Brinkmann</v>
      </c>
      <c r="D6992" t="str">
        <f>_xlfn.XLOOKUP($B6992,sales_teams!$A$2:$A$36,sales_teams!C$2:C$36)</f>
        <v>Central</v>
      </c>
      <c r="E6992" t="s">
        <v>18</v>
      </c>
      <c r="F6992" t="s">
        <v>213</v>
      </c>
      <c r="G6992" t="s">
        <v>12</v>
      </c>
      <c r="H6992" s="1">
        <v>43004</v>
      </c>
      <c r="I6992" s="1">
        <v>43042</v>
      </c>
      <c r="J6992">
        <v>54</v>
      </c>
    </row>
    <row r="6993" spans="1:10" x14ac:dyDescent="0.3">
      <c r="A6993" t="s">
        <v>7124</v>
      </c>
      <c r="B6993" t="s">
        <v>139</v>
      </c>
      <c r="C6993" t="str">
        <f>_xlfn.XLOOKUP(B6993,
[1]sales_teams!$A$2:$A$100,
[1]sales_teams!$B$2:$B$100)</f>
        <v>Rocco Neubert</v>
      </c>
      <c r="D6993" t="str">
        <f>_xlfn.XLOOKUP($B6993,sales_teams!$A$2:$A$36,sales_teams!C$2:C$36)</f>
        <v>East</v>
      </c>
      <c r="E6993" t="s">
        <v>10</v>
      </c>
      <c r="F6993" t="s">
        <v>199</v>
      </c>
      <c r="G6993" t="s">
        <v>46</v>
      </c>
      <c r="H6993" s="1">
        <v>43004</v>
      </c>
      <c r="I6993" s="1">
        <v>43045</v>
      </c>
      <c r="J6993">
        <v>0</v>
      </c>
    </row>
    <row r="6994" spans="1:10" x14ac:dyDescent="0.3">
      <c r="A6994" t="s">
        <v>7125</v>
      </c>
      <c r="B6994" t="s">
        <v>118</v>
      </c>
      <c r="C6994" t="str">
        <f>_xlfn.XLOOKUP(B6994,
[1]sales_teams!$A$2:$A$100,
[1]sales_teams!$B$2:$B$100)</f>
        <v>Rocco Neubert</v>
      </c>
      <c r="D6994" t="str">
        <f>_xlfn.XLOOKUP($B6994,sales_teams!$A$2:$A$36,sales_teams!C$2:C$36)</f>
        <v>East</v>
      </c>
      <c r="E6994" t="s">
        <v>20</v>
      </c>
      <c r="F6994" t="s">
        <v>179</v>
      </c>
      <c r="G6994" t="s">
        <v>46</v>
      </c>
      <c r="H6994" s="1">
        <v>43004</v>
      </c>
      <c r="I6994" s="1">
        <v>43013</v>
      </c>
      <c r="J6994">
        <v>0</v>
      </c>
    </row>
    <row r="6995" spans="1:10" x14ac:dyDescent="0.3">
      <c r="A6995" t="s">
        <v>7126</v>
      </c>
      <c r="B6995" t="s">
        <v>118</v>
      </c>
      <c r="C6995" t="str">
        <f>_xlfn.XLOOKUP(B6995,
[1]sales_teams!$A$2:$A$100,
[1]sales_teams!$B$2:$B$100)</f>
        <v>Rocco Neubert</v>
      </c>
      <c r="D6995" t="str">
        <f>_xlfn.XLOOKUP($B6995,sales_teams!$A$2:$A$36,sales_teams!C$2:C$36)</f>
        <v>East</v>
      </c>
      <c r="E6995" t="s">
        <v>39</v>
      </c>
      <c r="F6995" t="s">
        <v>518</v>
      </c>
      <c r="G6995" t="s">
        <v>46</v>
      </c>
      <c r="H6995" s="1">
        <v>43004</v>
      </c>
      <c r="I6995" s="1">
        <v>43006</v>
      </c>
      <c r="J6995">
        <v>0</v>
      </c>
    </row>
    <row r="6996" spans="1:10" x14ac:dyDescent="0.3">
      <c r="A6996" t="s">
        <v>7127</v>
      </c>
      <c r="B6996" t="s">
        <v>202</v>
      </c>
      <c r="C6996" t="str">
        <f>_xlfn.XLOOKUP(B6996,
[1]sales_teams!$A$2:$A$100,
[1]sales_teams!$B$2:$B$100)</f>
        <v>Dustin Brinkmann</v>
      </c>
      <c r="D6996" t="str">
        <f>_xlfn.XLOOKUP($B6996,sales_teams!$A$2:$A$36,sales_teams!C$2:C$36)</f>
        <v>Central</v>
      </c>
      <c r="E6996" t="s">
        <v>48</v>
      </c>
      <c r="F6996" t="s">
        <v>170</v>
      </c>
      <c r="G6996" t="s">
        <v>46</v>
      </c>
      <c r="H6996" s="1">
        <v>43004</v>
      </c>
      <c r="I6996" s="1">
        <v>43014</v>
      </c>
      <c r="J6996">
        <v>0</v>
      </c>
    </row>
    <row r="6997" spans="1:10" x14ac:dyDescent="0.3">
      <c r="A6997" t="s">
        <v>7128</v>
      </c>
      <c r="B6997" t="s">
        <v>202</v>
      </c>
      <c r="C6997" t="str">
        <f>_xlfn.XLOOKUP(B6997,
[1]sales_teams!$A$2:$A$100,
[1]sales_teams!$B$2:$B$100)</f>
        <v>Dustin Brinkmann</v>
      </c>
      <c r="D6997" t="str">
        <f>_xlfn.XLOOKUP($B6997,sales_teams!$A$2:$A$36,sales_teams!C$2:C$36)</f>
        <v>Central</v>
      </c>
      <c r="E6997" t="s">
        <v>18</v>
      </c>
      <c r="F6997" t="s">
        <v>16</v>
      </c>
      <c r="G6997" t="s">
        <v>46</v>
      </c>
      <c r="H6997" s="1">
        <v>43004</v>
      </c>
      <c r="I6997" s="1">
        <v>43015</v>
      </c>
      <c r="J6997">
        <v>0</v>
      </c>
    </row>
    <row r="6998" spans="1:10" x14ac:dyDescent="0.3">
      <c r="A6998" t="s">
        <v>7129</v>
      </c>
      <c r="B6998" t="s">
        <v>202</v>
      </c>
      <c r="C6998" t="str">
        <f>_xlfn.XLOOKUP(B6998,
[1]sales_teams!$A$2:$A$100,
[1]sales_teams!$B$2:$B$100)</f>
        <v>Dustin Brinkmann</v>
      </c>
      <c r="D6998" t="str">
        <f>_xlfn.XLOOKUP($B6998,sales_teams!$A$2:$A$36,sales_teams!C$2:C$36)</f>
        <v>Central</v>
      </c>
      <c r="E6998" t="s">
        <v>18</v>
      </c>
      <c r="F6998" t="s">
        <v>187</v>
      </c>
      <c r="G6998" t="s">
        <v>12</v>
      </c>
      <c r="H6998" s="1">
        <v>43004</v>
      </c>
      <c r="I6998" s="1">
        <v>43011</v>
      </c>
      <c r="J6998">
        <v>55</v>
      </c>
    </row>
    <row r="6999" spans="1:10" x14ac:dyDescent="0.3">
      <c r="A6999" t="s">
        <v>7130</v>
      </c>
      <c r="B6999" t="s">
        <v>164</v>
      </c>
      <c r="C6999" t="str">
        <f>_xlfn.XLOOKUP(B6999,
[1]sales_teams!$A$2:$A$100,
[1]sales_teams!$B$2:$B$100)</f>
        <v>Cara Losch</v>
      </c>
      <c r="D6999" t="str">
        <f>_xlfn.XLOOKUP($B6999,sales_teams!$A$2:$A$36,sales_teams!C$2:C$36)</f>
        <v>East</v>
      </c>
      <c r="E6999" t="s">
        <v>15</v>
      </c>
      <c r="G6999" t="s">
        <v>40</v>
      </c>
      <c r="H6999" s="1">
        <v>43004</v>
      </c>
    </row>
    <row r="7000" spans="1:10" x14ac:dyDescent="0.3">
      <c r="A7000" t="s">
        <v>7131</v>
      </c>
      <c r="B7000" t="s">
        <v>164</v>
      </c>
      <c r="C7000" t="str">
        <f>_xlfn.XLOOKUP(B7000,
[1]sales_teams!$A$2:$A$100,
[1]sales_teams!$B$2:$B$100)</f>
        <v>Cara Losch</v>
      </c>
      <c r="D7000" t="str">
        <f>_xlfn.XLOOKUP($B7000,sales_teams!$A$2:$A$36,sales_teams!C$2:C$36)</f>
        <v>East</v>
      </c>
      <c r="E7000" t="s">
        <v>10</v>
      </c>
      <c r="F7000" t="s">
        <v>65</v>
      </c>
      <c r="G7000" t="s">
        <v>46</v>
      </c>
      <c r="H7000" s="1">
        <v>43004</v>
      </c>
      <c r="I7000" s="1">
        <v>43058</v>
      </c>
      <c r="J7000">
        <v>0</v>
      </c>
    </row>
    <row r="7001" spans="1:10" x14ac:dyDescent="0.3">
      <c r="A7001" t="s">
        <v>7132</v>
      </c>
      <c r="B7001" t="s">
        <v>64</v>
      </c>
      <c r="C7001" t="str">
        <f>_xlfn.XLOOKUP(B7001,
[1]sales_teams!$A$2:$A$100,
[1]sales_teams!$B$2:$B$100)</f>
        <v>Rocco Neubert</v>
      </c>
      <c r="D7001" t="str">
        <f>_xlfn.XLOOKUP($B7001,sales_teams!$A$2:$A$36,sales_teams!C$2:C$36)</f>
        <v>East</v>
      </c>
      <c r="E7001" t="s">
        <v>10</v>
      </c>
      <c r="F7001" t="s">
        <v>199</v>
      </c>
      <c r="G7001" t="s">
        <v>46</v>
      </c>
      <c r="H7001" s="1">
        <v>43004</v>
      </c>
      <c r="I7001" s="1">
        <v>43058</v>
      </c>
      <c r="J7001">
        <v>0</v>
      </c>
    </row>
    <row r="7002" spans="1:10" x14ac:dyDescent="0.3">
      <c r="A7002" t="s">
        <v>7133</v>
      </c>
      <c r="B7002" t="s">
        <v>14</v>
      </c>
      <c r="C7002" t="str">
        <f>_xlfn.XLOOKUP(B7002,
[1]sales_teams!$A$2:$A$100,
[1]sales_teams!$B$2:$B$100)</f>
        <v>Melvin Marxen</v>
      </c>
      <c r="D7002" t="str">
        <f>_xlfn.XLOOKUP($B7002,sales_teams!$A$2:$A$36,sales_teams!C$2:C$36)</f>
        <v>Central</v>
      </c>
      <c r="E7002" t="s">
        <v>15</v>
      </c>
      <c r="F7002" t="s">
        <v>315</v>
      </c>
      <c r="G7002" t="s">
        <v>46</v>
      </c>
      <c r="H7002" s="1">
        <v>43004</v>
      </c>
      <c r="I7002" s="1">
        <v>43011</v>
      </c>
      <c r="J7002">
        <v>0</v>
      </c>
    </row>
    <row r="7003" spans="1:10" x14ac:dyDescent="0.3">
      <c r="A7003" t="s">
        <v>7134</v>
      </c>
      <c r="B7003" t="s">
        <v>14</v>
      </c>
      <c r="C7003" t="str">
        <f>_xlfn.XLOOKUP(B7003,
[1]sales_teams!$A$2:$A$100,
[1]sales_teams!$B$2:$B$100)</f>
        <v>Melvin Marxen</v>
      </c>
      <c r="D7003" t="str">
        <f>_xlfn.XLOOKUP($B7003,sales_teams!$A$2:$A$36,sales_teams!C$2:C$36)</f>
        <v>Central</v>
      </c>
      <c r="E7003" t="s">
        <v>18</v>
      </c>
      <c r="F7003" t="s">
        <v>492</v>
      </c>
      <c r="G7003" t="s">
        <v>46</v>
      </c>
      <c r="H7003" s="1">
        <v>43004</v>
      </c>
      <c r="I7003" s="1">
        <v>43010</v>
      </c>
      <c r="J7003">
        <v>0</v>
      </c>
    </row>
    <row r="7004" spans="1:10" x14ac:dyDescent="0.3">
      <c r="A7004" t="s">
        <v>7135</v>
      </c>
      <c r="B7004" t="s">
        <v>142</v>
      </c>
      <c r="C7004" t="str">
        <f>_xlfn.XLOOKUP(B7004,
[1]sales_teams!$A$2:$A$100,
[1]sales_teams!$B$2:$B$100)</f>
        <v>Rocco Neubert</v>
      </c>
      <c r="D7004" t="str">
        <f>_xlfn.XLOOKUP($B7004,sales_teams!$A$2:$A$36,sales_teams!C$2:C$36)</f>
        <v>East</v>
      </c>
      <c r="E7004" t="s">
        <v>15</v>
      </c>
      <c r="F7004" t="s">
        <v>81</v>
      </c>
      <c r="G7004" t="s">
        <v>46</v>
      </c>
      <c r="H7004" s="1">
        <v>43004</v>
      </c>
      <c r="I7004" s="1">
        <v>43052</v>
      </c>
      <c r="J7004">
        <v>0</v>
      </c>
    </row>
    <row r="7005" spans="1:10" x14ac:dyDescent="0.3">
      <c r="A7005" t="s">
        <v>7136</v>
      </c>
      <c r="B7005" t="s">
        <v>67</v>
      </c>
      <c r="C7005" t="str">
        <f>_xlfn.XLOOKUP(B7005,
[1]sales_teams!$A$2:$A$100,
[1]sales_teams!$B$2:$B$100)</f>
        <v>Celia Rouche</v>
      </c>
      <c r="D7005" t="str">
        <f>_xlfn.XLOOKUP($B7005,sales_teams!$A$2:$A$36,sales_teams!C$2:C$36)</f>
        <v>West</v>
      </c>
      <c r="E7005" t="s">
        <v>15</v>
      </c>
      <c r="F7005" t="s">
        <v>52</v>
      </c>
      <c r="G7005" t="s">
        <v>46</v>
      </c>
      <c r="H7005" s="1">
        <v>43004</v>
      </c>
      <c r="I7005" s="1">
        <v>43017</v>
      </c>
      <c r="J7005">
        <v>0</v>
      </c>
    </row>
    <row r="7006" spans="1:10" x14ac:dyDescent="0.3">
      <c r="A7006" t="s">
        <v>7137</v>
      </c>
      <c r="B7006" t="s">
        <v>67</v>
      </c>
      <c r="C7006" t="str">
        <f>_xlfn.XLOOKUP(B7006,
[1]sales_teams!$A$2:$A$100,
[1]sales_teams!$B$2:$B$100)</f>
        <v>Celia Rouche</v>
      </c>
      <c r="D7006" t="str">
        <f>_xlfn.XLOOKUP($B7006,sales_teams!$A$2:$A$36,sales_teams!C$2:C$36)</f>
        <v>West</v>
      </c>
      <c r="E7006" t="s">
        <v>18</v>
      </c>
      <c r="F7006" t="s">
        <v>52</v>
      </c>
      <c r="G7006" t="s">
        <v>12</v>
      </c>
      <c r="H7006" s="1">
        <v>43004</v>
      </c>
      <c r="I7006" s="1">
        <v>43066</v>
      </c>
      <c r="J7006">
        <v>48</v>
      </c>
    </row>
    <row r="7007" spans="1:10" x14ac:dyDescent="0.3">
      <c r="A7007" t="s">
        <v>7138</v>
      </c>
      <c r="B7007" t="s">
        <v>54</v>
      </c>
      <c r="C7007" t="str">
        <f>_xlfn.XLOOKUP(B7007,
[1]sales_teams!$A$2:$A$100,
[1]sales_teams!$B$2:$B$100)</f>
        <v>Celia Rouche</v>
      </c>
      <c r="D7007" t="str">
        <f>_xlfn.XLOOKUP($B7007,sales_teams!$A$2:$A$36,sales_teams!C$2:C$36)</f>
        <v>West</v>
      </c>
      <c r="E7007" t="s">
        <v>10</v>
      </c>
      <c r="F7007" t="s">
        <v>315</v>
      </c>
      <c r="G7007" t="s">
        <v>46</v>
      </c>
      <c r="H7007" s="1">
        <v>43004</v>
      </c>
      <c r="I7007" s="1">
        <v>43063</v>
      </c>
      <c r="J7007">
        <v>0</v>
      </c>
    </row>
    <row r="7008" spans="1:10" x14ac:dyDescent="0.3">
      <c r="A7008" t="s">
        <v>7139</v>
      </c>
      <c r="B7008" t="s">
        <v>54</v>
      </c>
      <c r="C7008" t="str">
        <f>_xlfn.XLOOKUP(B7008,
[1]sales_teams!$A$2:$A$100,
[1]sales_teams!$B$2:$B$100)</f>
        <v>Celia Rouche</v>
      </c>
      <c r="D7008" t="str">
        <f>_xlfn.XLOOKUP($B7008,sales_teams!$A$2:$A$36,sales_teams!C$2:C$36)</f>
        <v>West</v>
      </c>
      <c r="E7008" t="s">
        <v>39</v>
      </c>
      <c r="F7008" t="s">
        <v>55</v>
      </c>
      <c r="G7008" t="s">
        <v>12</v>
      </c>
      <c r="H7008" s="1">
        <v>43004</v>
      </c>
      <c r="I7008" s="1">
        <v>43083</v>
      </c>
      <c r="J7008">
        <v>3553</v>
      </c>
    </row>
    <row r="7009" spans="1:10" x14ac:dyDescent="0.3">
      <c r="A7009" t="s">
        <v>7140</v>
      </c>
      <c r="B7009" t="s">
        <v>38</v>
      </c>
      <c r="C7009" t="str">
        <f>_xlfn.XLOOKUP(B7009,
[1]sales_teams!$A$2:$A$100,
[1]sales_teams!$B$2:$B$100)</f>
        <v>Summer Sewald</v>
      </c>
      <c r="D7009" t="str">
        <f>_xlfn.XLOOKUP($B7009,sales_teams!$A$2:$A$36,sales_teams!C$2:C$36)</f>
        <v>West</v>
      </c>
      <c r="E7009" t="s">
        <v>48</v>
      </c>
      <c r="F7009" t="s">
        <v>93</v>
      </c>
      <c r="G7009" t="s">
        <v>46</v>
      </c>
      <c r="H7009" s="1">
        <v>43004</v>
      </c>
      <c r="I7009" s="1">
        <v>43012</v>
      </c>
      <c r="J7009">
        <v>0</v>
      </c>
    </row>
    <row r="7010" spans="1:10" x14ac:dyDescent="0.3">
      <c r="A7010" t="s">
        <v>7141</v>
      </c>
      <c r="B7010" t="s">
        <v>95</v>
      </c>
      <c r="C7010" t="str">
        <f>_xlfn.XLOOKUP(B7010,
[1]sales_teams!$A$2:$A$100,
[1]sales_teams!$B$2:$B$100)</f>
        <v>Summer Sewald</v>
      </c>
      <c r="D7010" t="str">
        <f>_xlfn.XLOOKUP($B7010,sales_teams!$A$2:$A$36,sales_teams!C$2:C$36)</f>
        <v>West</v>
      </c>
      <c r="E7010" t="s">
        <v>15</v>
      </c>
      <c r="F7010" t="s">
        <v>30</v>
      </c>
      <c r="G7010" t="s">
        <v>12</v>
      </c>
      <c r="H7010" s="1">
        <v>43004</v>
      </c>
      <c r="I7010" s="1">
        <v>43013</v>
      </c>
      <c r="J7010">
        <v>4727</v>
      </c>
    </row>
    <row r="7011" spans="1:10" x14ac:dyDescent="0.3">
      <c r="A7011" t="s">
        <v>7142</v>
      </c>
      <c r="B7011" t="s">
        <v>95</v>
      </c>
      <c r="C7011" t="str">
        <f>_xlfn.XLOOKUP(B7011,
[1]sales_teams!$A$2:$A$100,
[1]sales_teams!$B$2:$B$100)</f>
        <v>Summer Sewald</v>
      </c>
      <c r="D7011" t="str">
        <f>_xlfn.XLOOKUP($B7011,sales_teams!$A$2:$A$36,sales_teams!C$2:C$36)</f>
        <v>West</v>
      </c>
      <c r="E7011" t="s">
        <v>18</v>
      </c>
      <c r="F7011" t="s">
        <v>49</v>
      </c>
      <c r="G7011" t="s">
        <v>12</v>
      </c>
      <c r="H7011" s="1">
        <v>43004</v>
      </c>
      <c r="I7011" s="1">
        <v>43010</v>
      </c>
      <c r="J7011">
        <v>65</v>
      </c>
    </row>
    <row r="7012" spans="1:10" x14ac:dyDescent="0.3">
      <c r="A7012" t="s">
        <v>7143</v>
      </c>
      <c r="B7012" t="s">
        <v>133</v>
      </c>
      <c r="C7012" t="str">
        <f>_xlfn.XLOOKUP(B7012,
[1]sales_teams!$A$2:$A$100,
[1]sales_teams!$B$2:$B$100)</f>
        <v>Dustin Brinkmann</v>
      </c>
      <c r="D7012" t="str">
        <f>_xlfn.XLOOKUP($B7012,sales_teams!$A$2:$A$36,sales_teams!C$2:C$36)</f>
        <v>Central</v>
      </c>
      <c r="E7012" t="s">
        <v>20</v>
      </c>
      <c r="F7012" t="s">
        <v>151</v>
      </c>
      <c r="G7012" t="s">
        <v>12</v>
      </c>
      <c r="H7012" s="1">
        <v>43004</v>
      </c>
      <c r="I7012" s="1">
        <v>43094</v>
      </c>
      <c r="J7012">
        <v>585</v>
      </c>
    </row>
    <row r="7013" spans="1:10" x14ac:dyDescent="0.3">
      <c r="A7013" t="s">
        <v>7144</v>
      </c>
      <c r="B7013" t="s">
        <v>32</v>
      </c>
      <c r="C7013" t="str">
        <f>_xlfn.XLOOKUP(B7013,
[1]sales_teams!$A$2:$A$100,
[1]sales_teams!$B$2:$B$100)</f>
        <v>Celia Rouche</v>
      </c>
      <c r="D7013" t="str">
        <f>_xlfn.XLOOKUP($B7013,sales_teams!$A$2:$A$36,sales_teams!C$2:C$36)</f>
        <v>West</v>
      </c>
      <c r="E7013" t="s">
        <v>10</v>
      </c>
      <c r="G7013" t="s">
        <v>40</v>
      </c>
      <c r="H7013" s="1">
        <v>43004</v>
      </c>
    </row>
    <row r="7014" spans="1:10" x14ac:dyDescent="0.3">
      <c r="A7014" t="s">
        <v>7145</v>
      </c>
      <c r="B7014" t="s">
        <v>32</v>
      </c>
      <c r="C7014" t="str">
        <f>_xlfn.XLOOKUP(B7014,
[1]sales_teams!$A$2:$A$100,
[1]sales_teams!$B$2:$B$100)</f>
        <v>Celia Rouche</v>
      </c>
      <c r="D7014" t="str">
        <f>_xlfn.XLOOKUP($B7014,sales_teams!$A$2:$A$36,sales_teams!C$2:C$36)</f>
        <v>West</v>
      </c>
      <c r="E7014" t="s">
        <v>18</v>
      </c>
      <c r="F7014" t="s">
        <v>124</v>
      </c>
      <c r="G7014" t="s">
        <v>46</v>
      </c>
      <c r="H7014" s="1">
        <v>43004</v>
      </c>
      <c r="I7014" s="1">
        <v>43011</v>
      </c>
      <c r="J7014">
        <v>0</v>
      </c>
    </row>
    <row r="7015" spans="1:10" x14ac:dyDescent="0.3">
      <c r="A7015" t="s">
        <v>7146</v>
      </c>
      <c r="B7015" t="s">
        <v>116</v>
      </c>
      <c r="C7015" t="str">
        <f>_xlfn.XLOOKUP(B7015,
[1]sales_teams!$A$2:$A$100,
[1]sales_teams!$B$2:$B$100)</f>
        <v>Melvin Marxen</v>
      </c>
      <c r="D7015" t="str">
        <f>_xlfn.XLOOKUP($B7015,sales_teams!$A$2:$A$36,sales_teams!C$2:C$36)</f>
        <v>Central</v>
      </c>
      <c r="E7015" t="s">
        <v>10</v>
      </c>
      <c r="F7015" t="s">
        <v>207</v>
      </c>
      <c r="G7015" t="s">
        <v>46</v>
      </c>
      <c r="H7015" s="1">
        <v>43004</v>
      </c>
      <c r="I7015" s="1">
        <v>43011</v>
      </c>
      <c r="J7015">
        <v>0</v>
      </c>
    </row>
    <row r="7016" spans="1:10" x14ac:dyDescent="0.3">
      <c r="A7016" t="s">
        <v>7147</v>
      </c>
      <c r="B7016" t="s">
        <v>116</v>
      </c>
      <c r="C7016" t="str">
        <f>_xlfn.XLOOKUP(B7016,
[1]sales_teams!$A$2:$A$100,
[1]sales_teams!$B$2:$B$100)</f>
        <v>Melvin Marxen</v>
      </c>
      <c r="D7016" t="str">
        <f>_xlfn.XLOOKUP($B7016,sales_teams!$A$2:$A$36,sales_teams!C$2:C$36)</f>
        <v>Central</v>
      </c>
      <c r="E7016" t="s">
        <v>39</v>
      </c>
      <c r="F7016" t="s">
        <v>11</v>
      </c>
      <c r="G7016" t="s">
        <v>46</v>
      </c>
      <c r="H7016" s="1">
        <v>43004</v>
      </c>
      <c r="I7016" s="1">
        <v>43015</v>
      </c>
      <c r="J7016">
        <v>0</v>
      </c>
    </row>
    <row r="7017" spans="1:10" x14ac:dyDescent="0.3">
      <c r="A7017" t="s">
        <v>7148</v>
      </c>
      <c r="B7017" t="s">
        <v>116</v>
      </c>
      <c r="C7017" t="str">
        <f>_xlfn.XLOOKUP(B7017,
[1]sales_teams!$A$2:$A$100,
[1]sales_teams!$B$2:$B$100)</f>
        <v>Melvin Marxen</v>
      </c>
      <c r="D7017" t="str">
        <f>_xlfn.XLOOKUP($B7017,sales_teams!$A$2:$A$36,sales_teams!C$2:C$36)</f>
        <v>Central</v>
      </c>
      <c r="E7017" t="s">
        <v>39</v>
      </c>
      <c r="F7017" t="s">
        <v>151</v>
      </c>
      <c r="G7017" t="s">
        <v>46</v>
      </c>
      <c r="H7017" s="1">
        <v>43004</v>
      </c>
      <c r="I7017" s="1">
        <v>43012</v>
      </c>
      <c r="J7017">
        <v>0</v>
      </c>
    </row>
    <row r="7018" spans="1:10" x14ac:dyDescent="0.3">
      <c r="A7018" t="s">
        <v>7149</v>
      </c>
      <c r="B7018" t="s">
        <v>116</v>
      </c>
      <c r="C7018" t="str">
        <f>_xlfn.XLOOKUP(B7018,
[1]sales_teams!$A$2:$A$100,
[1]sales_teams!$B$2:$B$100)</f>
        <v>Melvin Marxen</v>
      </c>
      <c r="D7018" t="str">
        <f>_xlfn.XLOOKUP($B7018,sales_teams!$A$2:$A$36,sales_teams!C$2:C$36)</f>
        <v>Central</v>
      </c>
      <c r="E7018" t="s">
        <v>48</v>
      </c>
      <c r="F7018" t="s">
        <v>113</v>
      </c>
      <c r="G7018" t="s">
        <v>12</v>
      </c>
      <c r="H7018" s="1">
        <v>43004</v>
      </c>
      <c r="I7018" s="1">
        <v>43015</v>
      </c>
      <c r="J7018">
        <v>5708</v>
      </c>
    </row>
    <row r="7019" spans="1:10" x14ac:dyDescent="0.3">
      <c r="A7019" t="s">
        <v>7150</v>
      </c>
      <c r="B7019" t="s">
        <v>51</v>
      </c>
      <c r="C7019" t="str">
        <f>_xlfn.XLOOKUP(B7019,
[1]sales_teams!$A$2:$A$100,
[1]sales_teams!$B$2:$B$100)</f>
        <v>Summer Sewald</v>
      </c>
      <c r="D7019" t="str">
        <f>_xlfn.XLOOKUP($B7019,sales_teams!$A$2:$A$36,sales_teams!C$2:C$36)</f>
        <v>West</v>
      </c>
      <c r="E7019" t="s">
        <v>18</v>
      </c>
      <c r="F7019" t="s">
        <v>315</v>
      </c>
      <c r="G7019" t="s">
        <v>46</v>
      </c>
      <c r="H7019" s="1">
        <v>43004</v>
      </c>
      <c r="I7019" s="1">
        <v>43013</v>
      </c>
      <c r="J7019">
        <v>0</v>
      </c>
    </row>
    <row r="7020" spans="1:10" x14ac:dyDescent="0.3">
      <c r="A7020" t="s">
        <v>7151</v>
      </c>
      <c r="B7020" t="s">
        <v>9</v>
      </c>
      <c r="C7020" t="str">
        <f>_xlfn.XLOOKUP(B7020,
[1]sales_teams!$A$2:$A$100,
[1]sales_teams!$B$2:$B$100)</f>
        <v>Dustin Brinkmann</v>
      </c>
      <c r="D7020" t="str">
        <f>_xlfn.XLOOKUP($B7020,sales_teams!$A$2:$A$36,sales_teams!C$2:C$36)</f>
        <v>Central</v>
      </c>
      <c r="E7020" t="s">
        <v>20</v>
      </c>
      <c r="F7020" t="s">
        <v>42</v>
      </c>
      <c r="G7020" t="s">
        <v>12</v>
      </c>
      <c r="H7020" s="1">
        <v>43004</v>
      </c>
      <c r="I7020" s="1">
        <v>43054</v>
      </c>
      <c r="J7020">
        <v>571</v>
      </c>
    </row>
    <row r="7021" spans="1:10" x14ac:dyDescent="0.3">
      <c r="A7021" t="s">
        <v>7152</v>
      </c>
      <c r="B7021" t="s">
        <v>9</v>
      </c>
      <c r="C7021" t="str">
        <f>_xlfn.XLOOKUP(B7021,
[1]sales_teams!$A$2:$A$100,
[1]sales_teams!$B$2:$B$100)</f>
        <v>Dustin Brinkmann</v>
      </c>
      <c r="D7021" t="str">
        <f>_xlfn.XLOOKUP($B7021,sales_teams!$A$2:$A$36,sales_teams!C$2:C$36)</f>
        <v>Central</v>
      </c>
      <c r="E7021" t="s">
        <v>20</v>
      </c>
      <c r="F7021" t="s">
        <v>231</v>
      </c>
      <c r="G7021" t="s">
        <v>12</v>
      </c>
      <c r="H7021" s="1">
        <v>43004</v>
      </c>
      <c r="I7021" s="1">
        <v>43093</v>
      </c>
      <c r="J7021">
        <v>619</v>
      </c>
    </row>
    <row r="7022" spans="1:10" x14ac:dyDescent="0.3">
      <c r="A7022" t="s">
        <v>7153</v>
      </c>
      <c r="B7022" t="s">
        <v>97</v>
      </c>
      <c r="C7022" t="str">
        <f>_xlfn.XLOOKUP(B7022,
[1]sales_teams!$A$2:$A$100,
[1]sales_teams!$B$2:$B$100)</f>
        <v>Rocco Neubert</v>
      </c>
      <c r="D7022" t="str">
        <f>_xlfn.XLOOKUP($B7022,sales_teams!$A$2:$A$36,sales_teams!C$2:C$36)</f>
        <v>East</v>
      </c>
      <c r="E7022" t="s">
        <v>39</v>
      </c>
      <c r="F7022" t="s">
        <v>410</v>
      </c>
      <c r="G7022" t="s">
        <v>12</v>
      </c>
      <c r="H7022" s="1">
        <v>43004</v>
      </c>
      <c r="I7022" s="1">
        <v>43011</v>
      </c>
      <c r="J7022">
        <v>2984</v>
      </c>
    </row>
    <row r="7023" spans="1:10" x14ac:dyDescent="0.3">
      <c r="A7023" t="s">
        <v>7154</v>
      </c>
      <c r="B7023" t="s">
        <v>88</v>
      </c>
      <c r="C7023" t="str">
        <f>_xlfn.XLOOKUP(B7023,
[1]sales_teams!$A$2:$A$100,
[1]sales_teams!$B$2:$B$100)</f>
        <v>Cara Losch</v>
      </c>
      <c r="D7023" t="str">
        <f>_xlfn.XLOOKUP($B7023,sales_teams!$A$2:$A$36,sales_teams!C$2:C$36)</f>
        <v>East</v>
      </c>
      <c r="E7023" t="s">
        <v>20</v>
      </c>
      <c r="F7023" t="s">
        <v>165</v>
      </c>
      <c r="G7023" t="s">
        <v>12</v>
      </c>
      <c r="H7023" s="1">
        <v>43004</v>
      </c>
      <c r="I7023" s="1">
        <v>43009</v>
      </c>
      <c r="J7023">
        <v>558</v>
      </c>
    </row>
    <row r="7024" spans="1:10" x14ac:dyDescent="0.3">
      <c r="A7024" t="s">
        <v>7155</v>
      </c>
      <c r="B7024" t="s">
        <v>88</v>
      </c>
      <c r="C7024" t="str">
        <f>_xlfn.XLOOKUP(B7024,
[1]sales_teams!$A$2:$A$100,
[1]sales_teams!$B$2:$B$100)</f>
        <v>Cara Losch</v>
      </c>
      <c r="D7024" t="str">
        <f>_xlfn.XLOOKUP($B7024,sales_teams!$A$2:$A$36,sales_teams!C$2:C$36)</f>
        <v>East</v>
      </c>
      <c r="E7024" t="s">
        <v>18</v>
      </c>
      <c r="F7024" t="s">
        <v>218</v>
      </c>
      <c r="G7024" t="s">
        <v>12</v>
      </c>
      <c r="H7024" s="1">
        <v>43004</v>
      </c>
      <c r="I7024" s="1">
        <v>43071</v>
      </c>
      <c r="J7024">
        <v>57</v>
      </c>
    </row>
    <row r="7025" spans="1:10" x14ac:dyDescent="0.3">
      <c r="A7025" t="s">
        <v>7156</v>
      </c>
      <c r="B7025" t="s">
        <v>73</v>
      </c>
      <c r="C7025" t="str">
        <f>_xlfn.XLOOKUP(B7025,
[1]sales_teams!$A$2:$A$100,
[1]sales_teams!$B$2:$B$100)</f>
        <v>Cara Losch</v>
      </c>
      <c r="D7025" t="str">
        <f>_xlfn.XLOOKUP($B7025,sales_teams!$A$2:$A$36,sales_teams!C$2:C$36)</f>
        <v>East</v>
      </c>
      <c r="E7025" t="s">
        <v>18</v>
      </c>
      <c r="F7025" t="s">
        <v>240</v>
      </c>
      <c r="G7025" t="s">
        <v>12</v>
      </c>
      <c r="H7025" s="1">
        <v>43004</v>
      </c>
      <c r="I7025" s="1">
        <v>43069</v>
      </c>
      <c r="J7025">
        <v>61</v>
      </c>
    </row>
    <row r="7026" spans="1:10" x14ac:dyDescent="0.3">
      <c r="A7026" t="s">
        <v>7157</v>
      </c>
      <c r="B7026" t="s">
        <v>26</v>
      </c>
      <c r="C7026" t="str">
        <f>_xlfn.XLOOKUP(B7026,
[1]sales_teams!$A$2:$A$100,
[1]sales_teams!$B$2:$B$100)</f>
        <v>Dustin Brinkmann</v>
      </c>
      <c r="D7026" t="str">
        <f>_xlfn.XLOOKUP($B7026,sales_teams!$A$2:$A$36,sales_teams!C$2:C$36)</f>
        <v>Central</v>
      </c>
      <c r="E7026" t="s">
        <v>20</v>
      </c>
      <c r="F7026" t="s">
        <v>315</v>
      </c>
      <c r="G7026" t="s">
        <v>12</v>
      </c>
      <c r="H7026" s="1">
        <v>43005</v>
      </c>
      <c r="I7026" s="1">
        <v>43095</v>
      </c>
      <c r="J7026">
        <v>543</v>
      </c>
    </row>
    <row r="7027" spans="1:10" x14ac:dyDescent="0.3">
      <c r="A7027" t="s">
        <v>7158</v>
      </c>
      <c r="B7027" t="s">
        <v>139</v>
      </c>
      <c r="C7027" t="str">
        <f>_xlfn.XLOOKUP(B7027,
[1]sales_teams!$A$2:$A$100,
[1]sales_teams!$B$2:$B$100)</f>
        <v>Rocco Neubert</v>
      </c>
      <c r="D7027" t="str">
        <f>_xlfn.XLOOKUP($B7027,sales_teams!$A$2:$A$36,sales_teams!C$2:C$36)</f>
        <v>East</v>
      </c>
      <c r="E7027" t="s">
        <v>15</v>
      </c>
      <c r="F7027" t="s">
        <v>89</v>
      </c>
      <c r="G7027" t="s">
        <v>12</v>
      </c>
      <c r="H7027" s="1">
        <v>43005</v>
      </c>
      <c r="I7027" s="1">
        <v>43081</v>
      </c>
      <c r="J7027">
        <v>4125</v>
      </c>
    </row>
    <row r="7028" spans="1:10" x14ac:dyDescent="0.3">
      <c r="A7028" t="s">
        <v>7159</v>
      </c>
      <c r="B7028" t="s">
        <v>118</v>
      </c>
      <c r="C7028" t="str">
        <f>_xlfn.XLOOKUP(B7028,
[1]sales_teams!$A$2:$A$100,
[1]sales_teams!$B$2:$B$100)</f>
        <v>Rocco Neubert</v>
      </c>
      <c r="D7028" t="str">
        <f>_xlfn.XLOOKUP($B7028,sales_teams!$A$2:$A$36,sales_teams!C$2:C$36)</f>
        <v>East</v>
      </c>
      <c r="E7028" t="s">
        <v>48</v>
      </c>
      <c r="F7028" t="s">
        <v>81</v>
      </c>
      <c r="G7028" t="s">
        <v>12</v>
      </c>
      <c r="H7028" s="1">
        <v>43005</v>
      </c>
      <c r="I7028" s="1">
        <v>43098</v>
      </c>
      <c r="J7028">
        <v>5301</v>
      </c>
    </row>
    <row r="7029" spans="1:10" x14ac:dyDescent="0.3">
      <c r="A7029" t="s">
        <v>7160</v>
      </c>
      <c r="B7029" t="s">
        <v>164</v>
      </c>
      <c r="C7029" t="str">
        <f>_xlfn.XLOOKUP(B7029,
[1]sales_teams!$A$2:$A$100,
[1]sales_teams!$B$2:$B$100)</f>
        <v>Cara Losch</v>
      </c>
      <c r="D7029" t="str">
        <f>_xlfn.XLOOKUP($B7029,sales_teams!$A$2:$A$36,sales_teams!C$2:C$36)</f>
        <v>East</v>
      </c>
      <c r="E7029" t="s">
        <v>20</v>
      </c>
      <c r="F7029" t="s">
        <v>179</v>
      </c>
      <c r="G7029" t="s">
        <v>12</v>
      </c>
      <c r="H7029" s="1">
        <v>43005</v>
      </c>
      <c r="I7029" s="1">
        <v>43013</v>
      </c>
      <c r="J7029">
        <v>495</v>
      </c>
    </row>
    <row r="7030" spans="1:10" x14ac:dyDescent="0.3">
      <c r="A7030" t="s">
        <v>7161</v>
      </c>
      <c r="B7030" t="s">
        <v>164</v>
      </c>
      <c r="C7030" t="str">
        <f>_xlfn.XLOOKUP(B7030,
[1]sales_teams!$A$2:$A$100,
[1]sales_teams!$B$2:$B$100)</f>
        <v>Cara Losch</v>
      </c>
      <c r="D7030" t="str">
        <f>_xlfn.XLOOKUP($B7030,sales_teams!$A$2:$A$36,sales_teams!C$2:C$36)</f>
        <v>East</v>
      </c>
      <c r="E7030" t="s">
        <v>10</v>
      </c>
      <c r="F7030" t="s">
        <v>165</v>
      </c>
      <c r="G7030" t="s">
        <v>12</v>
      </c>
      <c r="H7030" s="1">
        <v>43005</v>
      </c>
      <c r="I7030" s="1">
        <v>43013</v>
      </c>
      <c r="J7030">
        <v>955</v>
      </c>
    </row>
    <row r="7031" spans="1:10" x14ac:dyDescent="0.3">
      <c r="A7031" t="s">
        <v>7162</v>
      </c>
      <c r="B7031" t="s">
        <v>64</v>
      </c>
      <c r="C7031" t="str">
        <f>_xlfn.XLOOKUP(B7031,
[1]sales_teams!$A$2:$A$100,
[1]sales_teams!$B$2:$B$100)</f>
        <v>Rocco Neubert</v>
      </c>
      <c r="D7031" t="str">
        <f>_xlfn.XLOOKUP($B7031,sales_teams!$A$2:$A$36,sales_teams!C$2:C$36)</f>
        <v>East</v>
      </c>
      <c r="E7031" t="s">
        <v>10</v>
      </c>
      <c r="F7031" t="s">
        <v>518</v>
      </c>
      <c r="G7031" t="s">
        <v>12</v>
      </c>
      <c r="H7031" s="1">
        <v>43005</v>
      </c>
      <c r="I7031" s="1">
        <v>43012</v>
      </c>
      <c r="J7031">
        <v>1225</v>
      </c>
    </row>
    <row r="7032" spans="1:10" x14ac:dyDescent="0.3">
      <c r="A7032" t="s">
        <v>7163</v>
      </c>
      <c r="B7032" t="s">
        <v>14</v>
      </c>
      <c r="C7032" t="str">
        <f>_xlfn.XLOOKUP(B7032,
[1]sales_teams!$A$2:$A$100,
[1]sales_teams!$B$2:$B$100)</f>
        <v>Melvin Marxen</v>
      </c>
      <c r="D7032" t="str">
        <f>_xlfn.XLOOKUP($B7032,sales_teams!$A$2:$A$36,sales_teams!C$2:C$36)</f>
        <v>Central</v>
      </c>
      <c r="E7032" t="s">
        <v>15</v>
      </c>
      <c r="F7032" t="s">
        <v>27</v>
      </c>
      <c r="G7032" t="s">
        <v>46</v>
      </c>
      <c r="H7032" s="1">
        <v>43005</v>
      </c>
      <c r="I7032" s="1">
        <v>43010</v>
      </c>
      <c r="J7032">
        <v>0</v>
      </c>
    </row>
    <row r="7033" spans="1:10" x14ac:dyDescent="0.3">
      <c r="A7033" t="s">
        <v>7164</v>
      </c>
      <c r="B7033" t="s">
        <v>14</v>
      </c>
      <c r="C7033" t="str">
        <f>_xlfn.XLOOKUP(B7033,
[1]sales_teams!$A$2:$A$100,
[1]sales_teams!$B$2:$B$100)</f>
        <v>Melvin Marxen</v>
      </c>
      <c r="D7033" t="str">
        <f>_xlfn.XLOOKUP($B7033,sales_teams!$A$2:$A$36,sales_teams!C$2:C$36)</f>
        <v>Central</v>
      </c>
      <c r="E7033" t="s">
        <v>20</v>
      </c>
      <c r="F7033" t="s">
        <v>120</v>
      </c>
      <c r="G7033" t="s">
        <v>12</v>
      </c>
      <c r="H7033" s="1">
        <v>43005</v>
      </c>
      <c r="I7033" s="1">
        <v>43094</v>
      </c>
      <c r="J7033">
        <v>608</v>
      </c>
    </row>
    <row r="7034" spans="1:10" x14ac:dyDescent="0.3">
      <c r="A7034" t="s">
        <v>7165</v>
      </c>
      <c r="B7034" t="s">
        <v>14</v>
      </c>
      <c r="C7034" t="str">
        <f>_xlfn.XLOOKUP(B7034,
[1]sales_teams!$A$2:$A$100,
[1]sales_teams!$B$2:$B$100)</f>
        <v>Melvin Marxen</v>
      </c>
      <c r="D7034" t="str">
        <f>_xlfn.XLOOKUP($B7034,sales_teams!$A$2:$A$36,sales_teams!C$2:C$36)</f>
        <v>Central</v>
      </c>
      <c r="E7034" t="s">
        <v>15</v>
      </c>
      <c r="F7034" t="s">
        <v>76</v>
      </c>
      <c r="G7034" t="s">
        <v>12</v>
      </c>
      <c r="H7034" s="1">
        <v>43005</v>
      </c>
      <c r="I7034" s="1">
        <v>43052</v>
      </c>
      <c r="J7034">
        <v>4515</v>
      </c>
    </row>
    <row r="7035" spans="1:10" x14ac:dyDescent="0.3">
      <c r="A7035" t="s">
        <v>7166</v>
      </c>
      <c r="B7035" t="s">
        <v>142</v>
      </c>
      <c r="C7035" t="str">
        <f>_xlfn.XLOOKUP(B7035,
[1]sales_teams!$A$2:$A$100,
[1]sales_teams!$B$2:$B$100)</f>
        <v>Rocco Neubert</v>
      </c>
      <c r="D7035" t="str">
        <f>_xlfn.XLOOKUP($B7035,sales_teams!$A$2:$A$36,sales_teams!C$2:C$36)</f>
        <v>East</v>
      </c>
      <c r="E7035" t="s">
        <v>15</v>
      </c>
      <c r="F7035" t="s">
        <v>143</v>
      </c>
      <c r="G7035" t="s">
        <v>46</v>
      </c>
      <c r="H7035" s="1">
        <v>43005</v>
      </c>
      <c r="I7035" s="1">
        <v>43014</v>
      </c>
      <c r="J7035">
        <v>0</v>
      </c>
    </row>
    <row r="7036" spans="1:10" x14ac:dyDescent="0.3">
      <c r="A7036" t="s">
        <v>7167</v>
      </c>
      <c r="B7036" t="s">
        <v>67</v>
      </c>
      <c r="C7036" t="str">
        <f>_xlfn.XLOOKUP(B7036,
[1]sales_teams!$A$2:$A$100,
[1]sales_teams!$B$2:$B$100)</f>
        <v>Celia Rouche</v>
      </c>
      <c r="D7036" t="str">
        <f>_xlfn.XLOOKUP($B7036,sales_teams!$A$2:$A$36,sales_teams!C$2:C$36)</f>
        <v>West</v>
      </c>
      <c r="E7036" t="s">
        <v>39</v>
      </c>
      <c r="F7036" t="s">
        <v>100</v>
      </c>
      <c r="G7036" t="s">
        <v>12</v>
      </c>
      <c r="H7036" s="1">
        <v>43005</v>
      </c>
      <c r="I7036" s="1">
        <v>43087</v>
      </c>
      <c r="J7036">
        <v>3772</v>
      </c>
    </row>
    <row r="7037" spans="1:10" x14ac:dyDescent="0.3">
      <c r="A7037" t="s">
        <v>7168</v>
      </c>
      <c r="B7037" t="s">
        <v>105</v>
      </c>
      <c r="C7037" t="str">
        <f>_xlfn.XLOOKUP(B7037,
[1]sales_teams!$A$2:$A$100,
[1]sales_teams!$B$2:$B$100)</f>
        <v>Cara Losch</v>
      </c>
      <c r="D7037" t="str">
        <f>_xlfn.XLOOKUP($B7037,sales_teams!$A$2:$A$36,sales_teams!C$2:C$36)</f>
        <v>East</v>
      </c>
      <c r="E7037" t="s">
        <v>39</v>
      </c>
      <c r="F7037" t="s">
        <v>155</v>
      </c>
      <c r="G7037" t="s">
        <v>46</v>
      </c>
      <c r="H7037" s="1">
        <v>43005</v>
      </c>
      <c r="I7037" s="1">
        <v>43013</v>
      </c>
      <c r="J7037">
        <v>0</v>
      </c>
    </row>
    <row r="7038" spans="1:10" x14ac:dyDescent="0.3">
      <c r="A7038" t="s">
        <v>7169</v>
      </c>
      <c r="B7038" t="s">
        <v>44</v>
      </c>
      <c r="C7038" t="str">
        <f>_xlfn.XLOOKUP(B7038,
[1]sales_teams!$A$2:$A$100,
[1]sales_teams!$B$2:$B$100)</f>
        <v>Melvin Marxen</v>
      </c>
      <c r="D7038" t="str">
        <f>_xlfn.XLOOKUP($B7038,sales_teams!$A$2:$A$36,sales_teams!C$2:C$36)</f>
        <v>Central</v>
      </c>
      <c r="E7038" t="s">
        <v>20</v>
      </c>
      <c r="F7038" t="s">
        <v>42</v>
      </c>
      <c r="G7038" t="s">
        <v>12</v>
      </c>
      <c r="H7038" s="1">
        <v>43005</v>
      </c>
      <c r="I7038" s="1">
        <v>43077</v>
      </c>
      <c r="J7038">
        <v>540</v>
      </c>
    </row>
    <row r="7039" spans="1:10" x14ac:dyDescent="0.3">
      <c r="A7039" t="s">
        <v>7170</v>
      </c>
      <c r="B7039" t="s">
        <v>44</v>
      </c>
      <c r="C7039" t="str">
        <f>_xlfn.XLOOKUP(B7039,
[1]sales_teams!$A$2:$A$100,
[1]sales_teams!$B$2:$B$100)</f>
        <v>Melvin Marxen</v>
      </c>
      <c r="D7039" t="str">
        <f>_xlfn.XLOOKUP($B7039,sales_teams!$A$2:$A$36,sales_teams!C$2:C$36)</f>
        <v>Central</v>
      </c>
      <c r="E7039" t="s">
        <v>39</v>
      </c>
      <c r="F7039" t="s">
        <v>11</v>
      </c>
      <c r="G7039" t="s">
        <v>12</v>
      </c>
      <c r="H7039" s="1">
        <v>43005</v>
      </c>
      <c r="I7039" s="1">
        <v>43008</v>
      </c>
      <c r="J7039">
        <v>2800</v>
      </c>
    </row>
    <row r="7040" spans="1:10" x14ac:dyDescent="0.3">
      <c r="A7040" t="s">
        <v>7171</v>
      </c>
      <c r="B7040" t="s">
        <v>44</v>
      </c>
      <c r="C7040" t="str">
        <f>_xlfn.XLOOKUP(B7040,
[1]sales_teams!$A$2:$A$100,
[1]sales_teams!$B$2:$B$100)</f>
        <v>Melvin Marxen</v>
      </c>
      <c r="D7040" t="str">
        <f>_xlfn.XLOOKUP($B7040,sales_teams!$A$2:$A$36,sales_teams!C$2:C$36)</f>
        <v>Central</v>
      </c>
      <c r="E7040" t="s">
        <v>39</v>
      </c>
      <c r="F7040" t="s">
        <v>111</v>
      </c>
      <c r="G7040" t="s">
        <v>12</v>
      </c>
      <c r="H7040" s="1">
        <v>43005</v>
      </c>
      <c r="I7040" s="1">
        <v>43013</v>
      </c>
      <c r="J7040">
        <v>3250</v>
      </c>
    </row>
    <row r="7041" spans="1:10" x14ac:dyDescent="0.3">
      <c r="A7041" t="s">
        <v>7172</v>
      </c>
      <c r="B7041" t="s">
        <v>54</v>
      </c>
      <c r="C7041" t="str">
        <f>_xlfn.XLOOKUP(B7041,
[1]sales_teams!$A$2:$A$100,
[1]sales_teams!$B$2:$B$100)</f>
        <v>Celia Rouche</v>
      </c>
      <c r="D7041" t="str">
        <f>_xlfn.XLOOKUP($B7041,sales_teams!$A$2:$A$36,sales_teams!C$2:C$36)</f>
        <v>West</v>
      </c>
      <c r="E7041" t="s">
        <v>10</v>
      </c>
      <c r="F7041" t="s">
        <v>124</v>
      </c>
      <c r="G7041" t="s">
        <v>12</v>
      </c>
      <c r="H7041" s="1">
        <v>43005</v>
      </c>
      <c r="I7041" s="1">
        <v>43015</v>
      </c>
      <c r="J7041">
        <v>1232</v>
      </c>
    </row>
    <row r="7042" spans="1:10" x14ac:dyDescent="0.3">
      <c r="A7042" t="s">
        <v>7173</v>
      </c>
      <c r="B7042" t="s">
        <v>54</v>
      </c>
      <c r="C7042" t="str">
        <f>_xlfn.XLOOKUP(B7042,
[1]sales_teams!$A$2:$A$100,
[1]sales_teams!$B$2:$B$100)</f>
        <v>Celia Rouche</v>
      </c>
      <c r="D7042" t="str">
        <f>_xlfn.XLOOKUP($B7042,sales_teams!$A$2:$A$36,sales_teams!C$2:C$36)</f>
        <v>West</v>
      </c>
      <c r="E7042" t="s">
        <v>39</v>
      </c>
      <c r="F7042" t="s">
        <v>24</v>
      </c>
      <c r="G7042" t="s">
        <v>12</v>
      </c>
      <c r="H7042" s="1">
        <v>43005</v>
      </c>
      <c r="I7042" s="1">
        <v>43012</v>
      </c>
      <c r="J7042">
        <v>2811</v>
      </c>
    </row>
    <row r="7043" spans="1:10" x14ac:dyDescent="0.3">
      <c r="A7043" t="s">
        <v>7174</v>
      </c>
      <c r="B7043" t="s">
        <v>38</v>
      </c>
      <c r="C7043" t="str">
        <f>_xlfn.XLOOKUP(B7043,
[1]sales_teams!$A$2:$A$100,
[1]sales_teams!$B$2:$B$100)</f>
        <v>Summer Sewald</v>
      </c>
      <c r="D7043" t="str">
        <f>_xlfn.XLOOKUP($B7043,sales_teams!$A$2:$A$36,sales_teams!C$2:C$36)</f>
        <v>West</v>
      </c>
      <c r="E7043" t="s">
        <v>15</v>
      </c>
      <c r="G7043" t="s">
        <v>40</v>
      </c>
      <c r="H7043" s="1">
        <v>43005</v>
      </c>
    </row>
    <row r="7044" spans="1:10" x14ac:dyDescent="0.3">
      <c r="A7044" t="s">
        <v>7175</v>
      </c>
      <c r="B7044" t="s">
        <v>38</v>
      </c>
      <c r="C7044" t="str">
        <f>_xlfn.XLOOKUP(B7044,
[1]sales_teams!$A$2:$A$100,
[1]sales_teams!$B$2:$B$100)</f>
        <v>Summer Sewald</v>
      </c>
      <c r="D7044" t="str">
        <f>_xlfn.XLOOKUP($B7044,sales_teams!$A$2:$A$36,sales_teams!C$2:C$36)</f>
        <v>West</v>
      </c>
      <c r="E7044" t="s">
        <v>10</v>
      </c>
      <c r="F7044" t="s">
        <v>184</v>
      </c>
      <c r="G7044" t="s">
        <v>12</v>
      </c>
      <c r="H7044" s="1">
        <v>43005</v>
      </c>
      <c r="I7044" s="1">
        <v>43076</v>
      </c>
      <c r="J7044">
        <v>1178</v>
      </c>
    </row>
    <row r="7045" spans="1:10" x14ac:dyDescent="0.3">
      <c r="A7045" t="s">
        <v>7176</v>
      </c>
      <c r="B7045" t="s">
        <v>252</v>
      </c>
      <c r="C7045" t="str">
        <f>_xlfn.XLOOKUP(B7045,
[1]sales_teams!$A$2:$A$100,
[1]sales_teams!$B$2:$B$100)</f>
        <v>Melvin Marxen</v>
      </c>
      <c r="D7045" t="str">
        <f>_xlfn.XLOOKUP($B7045,sales_teams!$A$2:$A$36,sales_teams!C$2:C$36)</f>
        <v>Central</v>
      </c>
      <c r="E7045" t="s">
        <v>15</v>
      </c>
      <c r="F7045" t="s">
        <v>62</v>
      </c>
      <c r="G7045" t="s">
        <v>12</v>
      </c>
      <c r="H7045" s="1">
        <v>43005</v>
      </c>
      <c r="I7045" s="1">
        <v>43091</v>
      </c>
      <c r="J7045">
        <v>4869</v>
      </c>
    </row>
    <row r="7046" spans="1:10" x14ac:dyDescent="0.3">
      <c r="A7046" t="s">
        <v>7177</v>
      </c>
      <c r="B7046" t="s">
        <v>78</v>
      </c>
      <c r="C7046" t="str">
        <f>_xlfn.XLOOKUP(B7046,
[1]sales_teams!$A$2:$A$100,
[1]sales_teams!$B$2:$B$100)</f>
        <v>Summer Sewald</v>
      </c>
      <c r="D7046" t="str">
        <f>_xlfn.XLOOKUP($B7046,sales_teams!$A$2:$A$36,sales_teams!C$2:C$36)</f>
        <v>West</v>
      </c>
      <c r="E7046" t="s">
        <v>39</v>
      </c>
      <c r="F7046" t="s">
        <v>33</v>
      </c>
      <c r="G7046" t="s">
        <v>46</v>
      </c>
      <c r="H7046" s="1">
        <v>43005</v>
      </c>
      <c r="I7046" s="1">
        <v>43072</v>
      </c>
      <c r="J7046">
        <v>0</v>
      </c>
    </row>
    <row r="7047" spans="1:10" x14ac:dyDescent="0.3">
      <c r="A7047" t="s">
        <v>7178</v>
      </c>
      <c r="B7047" t="s">
        <v>133</v>
      </c>
      <c r="C7047" t="str">
        <f>_xlfn.XLOOKUP(B7047,
[1]sales_teams!$A$2:$A$100,
[1]sales_teams!$B$2:$B$100)</f>
        <v>Dustin Brinkmann</v>
      </c>
      <c r="D7047" t="str">
        <f>_xlfn.XLOOKUP($B7047,sales_teams!$A$2:$A$36,sales_teams!C$2:C$36)</f>
        <v>Central</v>
      </c>
      <c r="E7047" t="s">
        <v>48</v>
      </c>
      <c r="F7047" t="s">
        <v>318</v>
      </c>
      <c r="G7047" t="s">
        <v>46</v>
      </c>
      <c r="H7047" s="1">
        <v>43005</v>
      </c>
      <c r="I7047" s="1">
        <v>43010</v>
      </c>
      <c r="J7047">
        <v>0</v>
      </c>
    </row>
    <row r="7048" spans="1:10" x14ac:dyDescent="0.3">
      <c r="A7048" t="s">
        <v>7179</v>
      </c>
      <c r="B7048" t="s">
        <v>133</v>
      </c>
      <c r="C7048" t="str">
        <f>_xlfn.XLOOKUP(B7048,
[1]sales_teams!$A$2:$A$100,
[1]sales_teams!$B$2:$B$100)</f>
        <v>Dustin Brinkmann</v>
      </c>
      <c r="D7048" t="str">
        <f>_xlfn.XLOOKUP($B7048,sales_teams!$A$2:$A$36,sales_teams!C$2:C$36)</f>
        <v>Central</v>
      </c>
      <c r="E7048" t="s">
        <v>20</v>
      </c>
      <c r="F7048" t="s">
        <v>218</v>
      </c>
      <c r="G7048" t="s">
        <v>12</v>
      </c>
      <c r="H7048" s="1">
        <v>43005</v>
      </c>
      <c r="I7048" s="1">
        <v>43087</v>
      </c>
      <c r="J7048">
        <v>507</v>
      </c>
    </row>
    <row r="7049" spans="1:10" x14ac:dyDescent="0.3">
      <c r="A7049" t="s">
        <v>7180</v>
      </c>
      <c r="B7049" t="s">
        <v>133</v>
      </c>
      <c r="C7049" t="str">
        <f>_xlfn.XLOOKUP(B7049,
[1]sales_teams!$A$2:$A$100,
[1]sales_teams!$B$2:$B$100)</f>
        <v>Dustin Brinkmann</v>
      </c>
      <c r="D7049" t="str">
        <f>_xlfn.XLOOKUP($B7049,sales_teams!$A$2:$A$36,sales_teams!C$2:C$36)</f>
        <v>Central</v>
      </c>
      <c r="E7049" t="s">
        <v>39</v>
      </c>
      <c r="F7049" t="s">
        <v>42</v>
      </c>
      <c r="G7049" t="s">
        <v>12</v>
      </c>
      <c r="H7049" s="1">
        <v>43005</v>
      </c>
      <c r="I7049" s="1">
        <v>43014</v>
      </c>
      <c r="J7049">
        <v>3681</v>
      </c>
    </row>
    <row r="7050" spans="1:10" x14ac:dyDescent="0.3">
      <c r="A7050" t="s">
        <v>7181</v>
      </c>
      <c r="B7050" t="s">
        <v>32</v>
      </c>
      <c r="C7050" t="str">
        <f>_xlfn.XLOOKUP(B7050,
[1]sales_teams!$A$2:$A$100,
[1]sales_teams!$B$2:$B$100)</f>
        <v>Celia Rouche</v>
      </c>
      <c r="D7050" t="str">
        <f>_xlfn.XLOOKUP($B7050,sales_teams!$A$2:$A$36,sales_teams!C$2:C$36)</f>
        <v>West</v>
      </c>
      <c r="E7050" t="s">
        <v>10</v>
      </c>
      <c r="F7050" t="s">
        <v>224</v>
      </c>
      <c r="G7050" t="s">
        <v>46</v>
      </c>
      <c r="H7050" s="1">
        <v>43005</v>
      </c>
      <c r="I7050" s="1">
        <v>43009</v>
      </c>
      <c r="J7050">
        <v>0</v>
      </c>
    </row>
    <row r="7051" spans="1:10" x14ac:dyDescent="0.3">
      <c r="A7051" t="s">
        <v>7182</v>
      </c>
      <c r="B7051" t="s">
        <v>116</v>
      </c>
      <c r="C7051" t="str">
        <f>_xlfn.XLOOKUP(B7051,
[1]sales_teams!$A$2:$A$100,
[1]sales_teams!$B$2:$B$100)</f>
        <v>Melvin Marxen</v>
      </c>
      <c r="D7051" t="str">
        <f>_xlfn.XLOOKUP($B7051,sales_teams!$A$2:$A$36,sales_teams!C$2:C$36)</f>
        <v>Central</v>
      </c>
      <c r="E7051" t="s">
        <v>10</v>
      </c>
      <c r="F7051" t="s">
        <v>197</v>
      </c>
      <c r="G7051" t="s">
        <v>46</v>
      </c>
      <c r="H7051" s="1">
        <v>43005</v>
      </c>
      <c r="I7051" s="1">
        <v>43010</v>
      </c>
      <c r="J7051">
        <v>0</v>
      </c>
    </row>
    <row r="7052" spans="1:10" x14ac:dyDescent="0.3">
      <c r="A7052" t="s">
        <v>7183</v>
      </c>
      <c r="B7052" t="s">
        <v>116</v>
      </c>
      <c r="C7052" t="str">
        <f>_xlfn.XLOOKUP(B7052,
[1]sales_teams!$A$2:$A$100,
[1]sales_teams!$B$2:$B$100)</f>
        <v>Melvin Marxen</v>
      </c>
      <c r="D7052" t="str">
        <f>_xlfn.XLOOKUP($B7052,sales_teams!$A$2:$A$36,sales_teams!C$2:C$36)</f>
        <v>Central</v>
      </c>
      <c r="E7052" t="s">
        <v>48</v>
      </c>
      <c r="F7052" t="s">
        <v>62</v>
      </c>
      <c r="G7052" t="s">
        <v>12</v>
      </c>
      <c r="H7052" s="1">
        <v>43005</v>
      </c>
      <c r="I7052" s="1">
        <v>43013</v>
      </c>
      <c r="J7052">
        <v>5280</v>
      </c>
    </row>
    <row r="7053" spans="1:10" x14ac:dyDescent="0.3">
      <c r="A7053" t="s">
        <v>7184</v>
      </c>
      <c r="B7053" t="s">
        <v>57</v>
      </c>
      <c r="C7053" t="str">
        <f>_xlfn.XLOOKUP(B7053,
[1]sales_teams!$A$2:$A$100,
[1]sales_teams!$B$2:$B$100)</f>
        <v>Celia Rouche</v>
      </c>
      <c r="D7053" t="str">
        <f>_xlfn.XLOOKUP($B7053,sales_teams!$A$2:$A$36,sales_teams!C$2:C$36)</f>
        <v>West</v>
      </c>
      <c r="E7053" t="s">
        <v>145</v>
      </c>
      <c r="F7053" t="s">
        <v>204</v>
      </c>
      <c r="G7053" t="s">
        <v>40</v>
      </c>
      <c r="H7053" s="1">
        <v>43005</v>
      </c>
    </row>
    <row r="7054" spans="1:10" x14ac:dyDescent="0.3">
      <c r="A7054" t="s">
        <v>7185</v>
      </c>
      <c r="B7054" t="s">
        <v>57</v>
      </c>
      <c r="C7054" t="str">
        <f>_xlfn.XLOOKUP(B7054,
[1]sales_teams!$A$2:$A$100,
[1]sales_teams!$B$2:$B$100)</f>
        <v>Celia Rouche</v>
      </c>
      <c r="D7054" t="str">
        <f>_xlfn.XLOOKUP($B7054,sales_teams!$A$2:$A$36,sales_teams!C$2:C$36)</f>
        <v>West</v>
      </c>
      <c r="E7054" t="s">
        <v>18</v>
      </c>
      <c r="F7054" t="s">
        <v>55</v>
      </c>
      <c r="G7054" t="s">
        <v>12</v>
      </c>
      <c r="H7054" s="1">
        <v>43005</v>
      </c>
      <c r="I7054" s="1">
        <v>43066</v>
      </c>
      <c r="J7054">
        <v>50</v>
      </c>
    </row>
    <row r="7055" spans="1:10" x14ac:dyDescent="0.3">
      <c r="A7055" t="s">
        <v>7186</v>
      </c>
      <c r="B7055" t="s">
        <v>61</v>
      </c>
      <c r="C7055" t="str">
        <f>_xlfn.XLOOKUP(B7055,
[1]sales_teams!$A$2:$A$100,
[1]sales_teams!$B$2:$B$100)</f>
        <v>Dustin Brinkmann</v>
      </c>
      <c r="D7055" t="str">
        <f>_xlfn.XLOOKUP($B7055,sales_teams!$A$2:$A$36,sales_teams!C$2:C$36)</f>
        <v>Central</v>
      </c>
      <c r="E7055" t="s">
        <v>18</v>
      </c>
      <c r="F7055" t="s">
        <v>45</v>
      </c>
      <c r="G7055" t="s">
        <v>12</v>
      </c>
      <c r="H7055" s="1">
        <v>43005</v>
      </c>
      <c r="I7055" s="1">
        <v>43007</v>
      </c>
      <c r="J7055">
        <v>59</v>
      </c>
    </row>
    <row r="7056" spans="1:10" x14ac:dyDescent="0.3">
      <c r="A7056" t="s">
        <v>7187</v>
      </c>
      <c r="B7056" t="s">
        <v>29</v>
      </c>
      <c r="C7056" t="str">
        <f>_xlfn.XLOOKUP(B7056,
[1]sales_teams!$A$2:$A$100,
[1]sales_teams!$B$2:$B$100)</f>
        <v>Celia Rouche</v>
      </c>
      <c r="D7056" t="str">
        <f>_xlfn.XLOOKUP($B7056,sales_teams!$A$2:$A$36,sales_teams!C$2:C$36)</f>
        <v>West</v>
      </c>
      <c r="E7056" t="s">
        <v>39</v>
      </c>
      <c r="F7056" t="s">
        <v>155</v>
      </c>
      <c r="G7056" t="s">
        <v>12</v>
      </c>
      <c r="H7056" s="1">
        <v>43005</v>
      </c>
      <c r="I7056" s="1">
        <v>43011</v>
      </c>
      <c r="J7056">
        <v>3794</v>
      </c>
    </row>
    <row r="7057" spans="1:10" x14ac:dyDescent="0.3">
      <c r="A7057" t="s">
        <v>7188</v>
      </c>
      <c r="B7057" t="s">
        <v>102</v>
      </c>
      <c r="C7057" t="str">
        <f>_xlfn.XLOOKUP(B7057,
[1]sales_teams!$A$2:$A$100,
[1]sales_teams!$B$2:$B$100)</f>
        <v>Cara Losch</v>
      </c>
      <c r="D7057" t="str">
        <f>_xlfn.XLOOKUP($B7057,sales_teams!$A$2:$A$36,sales_teams!C$2:C$36)</f>
        <v>East</v>
      </c>
      <c r="E7057" t="s">
        <v>39</v>
      </c>
      <c r="F7057" t="s">
        <v>81</v>
      </c>
      <c r="G7057" t="s">
        <v>12</v>
      </c>
      <c r="H7057" s="1">
        <v>43005</v>
      </c>
      <c r="I7057" s="1">
        <v>43011</v>
      </c>
      <c r="J7057">
        <v>3786</v>
      </c>
    </row>
    <row r="7058" spans="1:10" x14ac:dyDescent="0.3">
      <c r="A7058" t="s">
        <v>7189</v>
      </c>
      <c r="B7058" t="s">
        <v>118</v>
      </c>
      <c r="C7058" t="str">
        <f>_xlfn.XLOOKUP(B7058,
[1]sales_teams!$A$2:$A$100,
[1]sales_teams!$B$2:$B$100)</f>
        <v>Rocco Neubert</v>
      </c>
      <c r="D7058" t="str">
        <f>_xlfn.XLOOKUP($B7058,sales_teams!$A$2:$A$36,sales_teams!C$2:C$36)</f>
        <v>East</v>
      </c>
      <c r="E7058" t="s">
        <v>10</v>
      </c>
      <c r="F7058" t="s">
        <v>218</v>
      </c>
      <c r="G7058" t="s">
        <v>46</v>
      </c>
      <c r="H7058" s="1">
        <v>43006</v>
      </c>
      <c r="I7058" s="1">
        <v>43015</v>
      </c>
      <c r="J7058">
        <v>0</v>
      </c>
    </row>
    <row r="7059" spans="1:10" x14ac:dyDescent="0.3">
      <c r="A7059" t="s">
        <v>7190</v>
      </c>
      <c r="B7059" t="s">
        <v>142</v>
      </c>
      <c r="C7059" t="str">
        <f>_xlfn.XLOOKUP(B7059,
[1]sales_teams!$A$2:$A$100,
[1]sales_teams!$B$2:$B$100)</f>
        <v>Rocco Neubert</v>
      </c>
      <c r="D7059" t="str">
        <f>_xlfn.XLOOKUP($B7059,sales_teams!$A$2:$A$36,sales_teams!C$2:C$36)</f>
        <v>East</v>
      </c>
      <c r="E7059" t="s">
        <v>39</v>
      </c>
      <c r="F7059" t="s">
        <v>215</v>
      </c>
      <c r="G7059" t="s">
        <v>46</v>
      </c>
      <c r="H7059" s="1">
        <v>43006</v>
      </c>
      <c r="I7059" s="1">
        <v>43088</v>
      </c>
      <c r="J7059">
        <v>0</v>
      </c>
    </row>
    <row r="7060" spans="1:10" x14ac:dyDescent="0.3">
      <c r="A7060" t="s">
        <v>7191</v>
      </c>
      <c r="B7060" t="s">
        <v>142</v>
      </c>
      <c r="C7060" t="str">
        <f>_xlfn.XLOOKUP(B7060,
[1]sales_teams!$A$2:$A$100,
[1]sales_teams!$B$2:$B$100)</f>
        <v>Rocco Neubert</v>
      </c>
      <c r="D7060" t="str">
        <f>_xlfn.XLOOKUP($B7060,sales_teams!$A$2:$A$36,sales_teams!C$2:C$36)</f>
        <v>East</v>
      </c>
      <c r="E7060" t="s">
        <v>15</v>
      </c>
      <c r="F7060" t="s">
        <v>106</v>
      </c>
      <c r="G7060" t="s">
        <v>12</v>
      </c>
      <c r="H7060" s="1">
        <v>43006</v>
      </c>
      <c r="I7060" s="1">
        <v>43015</v>
      </c>
      <c r="J7060">
        <v>5553</v>
      </c>
    </row>
    <row r="7061" spans="1:10" x14ac:dyDescent="0.3">
      <c r="A7061" t="s">
        <v>7192</v>
      </c>
      <c r="B7061" t="s">
        <v>142</v>
      </c>
      <c r="C7061" t="str">
        <f>_xlfn.XLOOKUP(B7061,
[1]sales_teams!$A$2:$A$100,
[1]sales_teams!$B$2:$B$100)</f>
        <v>Rocco Neubert</v>
      </c>
      <c r="D7061" t="str">
        <f>_xlfn.XLOOKUP($B7061,sales_teams!$A$2:$A$36,sales_teams!C$2:C$36)</f>
        <v>East</v>
      </c>
      <c r="E7061" t="s">
        <v>39</v>
      </c>
      <c r="F7061" t="s">
        <v>199</v>
      </c>
      <c r="G7061" t="s">
        <v>12</v>
      </c>
      <c r="H7061" s="1">
        <v>43006</v>
      </c>
      <c r="I7061" s="1">
        <v>43016</v>
      </c>
      <c r="J7061">
        <v>3557</v>
      </c>
    </row>
    <row r="7062" spans="1:10" x14ac:dyDescent="0.3">
      <c r="A7062" t="s">
        <v>7193</v>
      </c>
      <c r="B7062" t="s">
        <v>67</v>
      </c>
      <c r="C7062" t="str">
        <f>_xlfn.XLOOKUP(B7062,
[1]sales_teams!$A$2:$A$100,
[1]sales_teams!$B$2:$B$100)</f>
        <v>Celia Rouche</v>
      </c>
      <c r="D7062" t="str">
        <f>_xlfn.XLOOKUP($B7062,sales_teams!$A$2:$A$36,sales_teams!C$2:C$36)</f>
        <v>West</v>
      </c>
      <c r="E7062" t="s">
        <v>18</v>
      </c>
      <c r="F7062" t="s">
        <v>100</v>
      </c>
      <c r="G7062" t="s">
        <v>12</v>
      </c>
      <c r="H7062" s="1">
        <v>43006</v>
      </c>
      <c r="I7062" s="1">
        <v>43016</v>
      </c>
      <c r="J7062">
        <v>63</v>
      </c>
    </row>
    <row r="7063" spans="1:10" x14ac:dyDescent="0.3">
      <c r="A7063" t="s">
        <v>7194</v>
      </c>
      <c r="B7063" t="s">
        <v>44</v>
      </c>
      <c r="C7063" t="str">
        <f>_xlfn.XLOOKUP(B7063,
[1]sales_teams!$A$2:$A$100,
[1]sales_teams!$B$2:$B$100)</f>
        <v>Melvin Marxen</v>
      </c>
      <c r="D7063" t="str">
        <f>_xlfn.XLOOKUP($B7063,sales_teams!$A$2:$A$36,sales_teams!C$2:C$36)</f>
        <v>Central</v>
      </c>
      <c r="E7063" t="s">
        <v>20</v>
      </c>
      <c r="F7063" t="s">
        <v>120</v>
      </c>
      <c r="G7063" t="s">
        <v>46</v>
      </c>
      <c r="H7063" s="1">
        <v>43006</v>
      </c>
      <c r="I7063" s="1">
        <v>43050</v>
      </c>
      <c r="J7063">
        <v>0</v>
      </c>
    </row>
    <row r="7064" spans="1:10" x14ac:dyDescent="0.3">
      <c r="A7064" t="s">
        <v>7195</v>
      </c>
      <c r="B7064" t="s">
        <v>133</v>
      </c>
      <c r="C7064" t="str">
        <f>_xlfn.XLOOKUP(B7064,
[1]sales_teams!$A$2:$A$100,
[1]sales_teams!$B$2:$B$100)</f>
        <v>Dustin Brinkmann</v>
      </c>
      <c r="D7064" t="str">
        <f>_xlfn.XLOOKUP($B7064,sales_teams!$A$2:$A$36,sales_teams!C$2:C$36)</f>
        <v>Central</v>
      </c>
      <c r="E7064" t="s">
        <v>39</v>
      </c>
      <c r="F7064" t="s">
        <v>231</v>
      </c>
      <c r="G7064" t="s">
        <v>12</v>
      </c>
      <c r="H7064" s="1">
        <v>43006</v>
      </c>
      <c r="I7064" s="1">
        <v>43014</v>
      </c>
      <c r="J7064">
        <v>3704</v>
      </c>
    </row>
    <row r="7065" spans="1:10" x14ac:dyDescent="0.3">
      <c r="A7065" t="s">
        <v>7196</v>
      </c>
      <c r="B7065" t="s">
        <v>32</v>
      </c>
      <c r="C7065" t="str">
        <f>_xlfn.XLOOKUP(B7065,
[1]sales_teams!$A$2:$A$100,
[1]sales_teams!$B$2:$B$100)</f>
        <v>Celia Rouche</v>
      </c>
      <c r="D7065" t="str">
        <f>_xlfn.XLOOKUP($B7065,sales_teams!$A$2:$A$36,sales_teams!C$2:C$36)</f>
        <v>West</v>
      </c>
      <c r="E7065" t="s">
        <v>15</v>
      </c>
      <c r="G7065" t="s">
        <v>40</v>
      </c>
      <c r="H7065" s="1">
        <v>43006</v>
      </c>
    </row>
    <row r="7066" spans="1:10" x14ac:dyDescent="0.3">
      <c r="A7066" t="s">
        <v>7197</v>
      </c>
      <c r="B7066" t="s">
        <v>116</v>
      </c>
      <c r="C7066" t="str">
        <f>_xlfn.XLOOKUP(B7066,
[1]sales_teams!$A$2:$A$100,
[1]sales_teams!$B$2:$B$100)</f>
        <v>Melvin Marxen</v>
      </c>
      <c r="D7066" t="str">
        <f>_xlfn.XLOOKUP($B7066,sales_teams!$A$2:$A$36,sales_teams!C$2:C$36)</f>
        <v>Central</v>
      </c>
      <c r="E7066" t="s">
        <v>10</v>
      </c>
      <c r="F7066" t="s">
        <v>109</v>
      </c>
      <c r="G7066" t="s">
        <v>46</v>
      </c>
      <c r="H7066" s="1">
        <v>43006</v>
      </c>
      <c r="I7066" s="1">
        <v>43042</v>
      </c>
      <c r="J7066">
        <v>0</v>
      </c>
    </row>
    <row r="7067" spans="1:10" x14ac:dyDescent="0.3">
      <c r="A7067" t="s">
        <v>7198</v>
      </c>
      <c r="B7067" t="s">
        <v>116</v>
      </c>
      <c r="C7067" t="str">
        <f>_xlfn.XLOOKUP(B7067,
[1]sales_teams!$A$2:$A$100,
[1]sales_teams!$B$2:$B$100)</f>
        <v>Melvin Marxen</v>
      </c>
      <c r="D7067" t="str">
        <f>_xlfn.XLOOKUP($B7067,sales_teams!$A$2:$A$36,sales_teams!C$2:C$36)</f>
        <v>Central</v>
      </c>
      <c r="E7067" t="s">
        <v>39</v>
      </c>
      <c r="F7067" t="s">
        <v>315</v>
      </c>
      <c r="G7067" t="s">
        <v>46</v>
      </c>
      <c r="H7067" s="1">
        <v>43006</v>
      </c>
      <c r="I7067" s="1">
        <v>43011</v>
      </c>
      <c r="J7067">
        <v>0</v>
      </c>
    </row>
    <row r="7068" spans="1:10" x14ac:dyDescent="0.3">
      <c r="A7068" t="s">
        <v>7199</v>
      </c>
      <c r="B7068" t="s">
        <v>116</v>
      </c>
      <c r="C7068" t="str">
        <f>_xlfn.XLOOKUP(B7068,
[1]sales_teams!$A$2:$A$100,
[1]sales_teams!$B$2:$B$100)</f>
        <v>Melvin Marxen</v>
      </c>
      <c r="D7068" t="str">
        <f>_xlfn.XLOOKUP($B7068,sales_teams!$A$2:$A$36,sales_teams!C$2:C$36)</f>
        <v>Central</v>
      </c>
      <c r="E7068" t="s">
        <v>10</v>
      </c>
      <c r="F7068" t="s">
        <v>27</v>
      </c>
      <c r="G7068" t="s">
        <v>12</v>
      </c>
      <c r="H7068" s="1">
        <v>43006</v>
      </c>
      <c r="I7068" s="1">
        <v>43069</v>
      </c>
      <c r="J7068">
        <v>1133</v>
      </c>
    </row>
    <row r="7069" spans="1:10" x14ac:dyDescent="0.3">
      <c r="A7069" t="s">
        <v>7200</v>
      </c>
      <c r="B7069" t="s">
        <v>51</v>
      </c>
      <c r="C7069" t="str">
        <f>_xlfn.XLOOKUP(B7069,
[1]sales_teams!$A$2:$A$100,
[1]sales_teams!$B$2:$B$100)</f>
        <v>Summer Sewald</v>
      </c>
      <c r="D7069" t="str">
        <f>_xlfn.XLOOKUP($B7069,sales_teams!$A$2:$A$36,sales_teams!C$2:C$36)</f>
        <v>West</v>
      </c>
      <c r="E7069" t="s">
        <v>10</v>
      </c>
      <c r="F7069" t="s">
        <v>199</v>
      </c>
      <c r="G7069" t="s">
        <v>12</v>
      </c>
      <c r="H7069" s="1">
        <v>43006</v>
      </c>
      <c r="I7069" s="1">
        <v>43078</v>
      </c>
      <c r="J7069">
        <v>1292</v>
      </c>
    </row>
    <row r="7070" spans="1:10" x14ac:dyDescent="0.3">
      <c r="A7070" t="s">
        <v>7201</v>
      </c>
      <c r="B7070" t="s">
        <v>57</v>
      </c>
      <c r="C7070" t="str">
        <f>_xlfn.XLOOKUP(B7070,
[1]sales_teams!$A$2:$A$100,
[1]sales_teams!$B$2:$B$100)</f>
        <v>Celia Rouche</v>
      </c>
      <c r="D7070" t="str">
        <f>_xlfn.XLOOKUP($B7070,sales_teams!$A$2:$A$36,sales_teams!C$2:C$36)</f>
        <v>West</v>
      </c>
      <c r="E7070" t="s">
        <v>39</v>
      </c>
      <c r="F7070" t="s">
        <v>168</v>
      </c>
      <c r="G7070" t="s">
        <v>12</v>
      </c>
      <c r="H7070" s="1">
        <v>43006</v>
      </c>
      <c r="I7070" s="1">
        <v>43073</v>
      </c>
      <c r="J7070">
        <v>3278</v>
      </c>
    </row>
    <row r="7071" spans="1:10" x14ac:dyDescent="0.3">
      <c r="A7071" t="s">
        <v>7202</v>
      </c>
      <c r="B7071" t="s">
        <v>61</v>
      </c>
      <c r="C7071" t="str">
        <f>_xlfn.XLOOKUP(B7071,
[1]sales_teams!$A$2:$A$100,
[1]sales_teams!$B$2:$B$100)</f>
        <v>Dustin Brinkmann</v>
      </c>
      <c r="D7071" t="str">
        <f>_xlfn.XLOOKUP($B7071,sales_teams!$A$2:$A$36,sales_teams!C$2:C$36)</f>
        <v>Central</v>
      </c>
      <c r="E7071" t="s">
        <v>18</v>
      </c>
      <c r="F7071" t="s">
        <v>21</v>
      </c>
      <c r="G7071" t="s">
        <v>12</v>
      </c>
      <c r="H7071" s="1">
        <v>43006</v>
      </c>
      <c r="I7071" s="1">
        <v>43013</v>
      </c>
      <c r="J7071">
        <v>55</v>
      </c>
    </row>
    <row r="7072" spans="1:10" x14ac:dyDescent="0.3">
      <c r="A7072" t="s">
        <v>7203</v>
      </c>
      <c r="B7072" t="s">
        <v>29</v>
      </c>
      <c r="C7072" t="str">
        <f>_xlfn.XLOOKUP(B7072,
[1]sales_teams!$A$2:$A$100,
[1]sales_teams!$B$2:$B$100)</f>
        <v>Celia Rouche</v>
      </c>
      <c r="D7072" t="str">
        <f>_xlfn.XLOOKUP($B7072,sales_teams!$A$2:$A$36,sales_teams!C$2:C$36)</f>
        <v>West</v>
      </c>
      <c r="E7072" t="s">
        <v>20</v>
      </c>
      <c r="F7072" t="s">
        <v>55</v>
      </c>
      <c r="G7072" t="s">
        <v>12</v>
      </c>
      <c r="H7072" s="1">
        <v>43006</v>
      </c>
      <c r="I7072" s="1">
        <v>43092</v>
      </c>
      <c r="J7072">
        <v>498</v>
      </c>
    </row>
    <row r="7073" spans="1:10" x14ac:dyDescent="0.3">
      <c r="A7073" t="s">
        <v>7204</v>
      </c>
      <c r="B7073" t="s">
        <v>29</v>
      </c>
      <c r="C7073" t="str">
        <f>_xlfn.XLOOKUP(B7073,
[1]sales_teams!$A$2:$A$100,
[1]sales_teams!$B$2:$B$100)</f>
        <v>Celia Rouche</v>
      </c>
      <c r="D7073" t="str">
        <f>_xlfn.XLOOKUP($B7073,sales_teams!$A$2:$A$36,sales_teams!C$2:C$36)</f>
        <v>West</v>
      </c>
      <c r="E7073" t="s">
        <v>18</v>
      </c>
      <c r="F7073" t="s">
        <v>49</v>
      </c>
      <c r="G7073" t="s">
        <v>12</v>
      </c>
      <c r="H7073" s="1">
        <v>43006</v>
      </c>
      <c r="I7073" s="1">
        <v>43099</v>
      </c>
      <c r="J7073">
        <v>55</v>
      </c>
    </row>
    <row r="7074" spans="1:10" x14ac:dyDescent="0.3">
      <c r="A7074" t="s">
        <v>7205</v>
      </c>
      <c r="B7074" t="s">
        <v>102</v>
      </c>
      <c r="C7074" t="str">
        <f>_xlfn.XLOOKUP(B7074,
[1]sales_teams!$A$2:$A$100,
[1]sales_teams!$B$2:$B$100)</f>
        <v>Cara Losch</v>
      </c>
      <c r="D7074" t="str">
        <f>_xlfn.XLOOKUP($B7074,sales_teams!$A$2:$A$36,sales_teams!C$2:C$36)</f>
        <v>East</v>
      </c>
      <c r="E7074" t="s">
        <v>48</v>
      </c>
      <c r="G7074" t="s">
        <v>40</v>
      </c>
      <c r="H7074" s="1">
        <v>43006</v>
      </c>
    </row>
    <row r="7075" spans="1:10" x14ac:dyDescent="0.3">
      <c r="A7075" t="s">
        <v>7206</v>
      </c>
      <c r="B7075" t="s">
        <v>23</v>
      </c>
      <c r="C7075" t="str">
        <f>_xlfn.XLOOKUP(B7075,
[1]sales_teams!$A$2:$A$100,
[1]sales_teams!$B$2:$B$100)</f>
        <v>Summer Sewald</v>
      </c>
      <c r="D7075" t="str">
        <f>_xlfn.XLOOKUP($B7075,sales_teams!$A$2:$A$36,sales_teams!C$2:C$36)</f>
        <v>West</v>
      </c>
      <c r="E7075" t="s">
        <v>20</v>
      </c>
      <c r="F7075" t="s">
        <v>33</v>
      </c>
      <c r="G7075" t="s">
        <v>12</v>
      </c>
      <c r="H7075" s="1">
        <v>43006</v>
      </c>
      <c r="I7075" s="1">
        <v>43013</v>
      </c>
      <c r="J7075">
        <v>571</v>
      </c>
    </row>
    <row r="7076" spans="1:10" x14ac:dyDescent="0.3">
      <c r="A7076" t="s">
        <v>7207</v>
      </c>
      <c r="B7076" t="s">
        <v>64</v>
      </c>
      <c r="C7076" t="str">
        <f>_xlfn.XLOOKUP(B7076,
[1]sales_teams!$A$2:$A$100,
[1]sales_teams!$B$2:$B$100)</f>
        <v>Rocco Neubert</v>
      </c>
      <c r="D7076" t="str">
        <f>_xlfn.XLOOKUP($B7076,sales_teams!$A$2:$A$36,sales_teams!C$2:C$36)</f>
        <v>East</v>
      </c>
      <c r="E7076" t="s">
        <v>10</v>
      </c>
      <c r="G7076" t="s">
        <v>40</v>
      </c>
      <c r="H7076" s="1">
        <v>43007</v>
      </c>
    </row>
    <row r="7077" spans="1:10" x14ac:dyDescent="0.3">
      <c r="A7077" t="s">
        <v>7208</v>
      </c>
      <c r="B7077" t="s">
        <v>64</v>
      </c>
      <c r="C7077" t="str">
        <f>_xlfn.XLOOKUP(B7077,
[1]sales_teams!$A$2:$A$100,
[1]sales_teams!$B$2:$B$100)</f>
        <v>Rocco Neubert</v>
      </c>
      <c r="D7077" t="str">
        <f>_xlfn.XLOOKUP($B7077,sales_teams!$A$2:$A$36,sales_teams!C$2:C$36)</f>
        <v>East</v>
      </c>
      <c r="E7077" t="s">
        <v>15</v>
      </c>
      <c r="F7077" t="s">
        <v>192</v>
      </c>
      <c r="G7077" t="s">
        <v>12</v>
      </c>
      <c r="H7077" s="1">
        <v>43007</v>
      </c>
      <c r="I7077" s="1">
        <v>43013</v>
      </c>
      <c r="J7077">
        <v>4942</v>
      </c>
    </row>
    <row r="7078" spans="1:10" x14ac:dyDescent="0.3">
      <c r="A7078" t="s">
        <v>7209</v>
      </c>
      <c r="B7078" t="s">
        <v>14</v>
      </c>
      <c r="C7078" t="str">
        <f>_xlfn.XLOOKUP(B7078,
[1]sales_teams!$A$2:$A$100,
[1]sales_teams!$B$2:$B$100)</f>
        <v>Melvin Marxen</v>
      </c>
      <c r="D7078" t="str">
        <f>_xlfn.XLOOKUP($B7078,sales_teams!$A$2:$A$36,sales_teams!C$2:C$36)</f>
        <v>Central</v>
      </c>
      <c r="E7078" t="s">
        <v>10</v>
      </c>
      <c r="F7078" t="s">
        <v>492</v>
      </c>
      <c r="G7078" t="s">
        <v>46</v>
      </c>
      <c r="H7078" s="1">
        <v>43007</v>
      </c>
      <c r="I7078" s="1">
        <v>43013</v>
      </c>
      <c r="J7078">
        <v>0</v>
      </c>
    </row>
    <row r="7079" spans="1:10" x14ac:dyDescent="0.3">
      <c r="A7079" t="s">
        <v>7210</v>
      </c>
      <c r="B7079" t="s">
        <v>142</v>
      </c>
      <c r="C7079" t="str">
        <f>_xlfn.XLOOKUP(B7079,
[1]sales_teams!$A$2:$A$100,
[1]sales_teams!$B$2:$B$100)</f>
        <v>Rocco Neubert</v>
      </c>
      <c r="D7079" t="str">
        <f>_xlfn.XLOOKUP($B7079,sales_teams!$A$2:$A$36,sales_teams!C$2:C$36)</f>
        <v>East</v>
      </c>
      <c r="E7079" t="s">
        <v>18</v>
      </c>
      <c r="F7079" t="s">
        <v>165</v>
      </c>
      <c r="G7079" t="s">
        <v>46</v>
      </c>
      <c r="H7079" s="1">
        <v>43007</v>
      </c>
      <c r="I7079" s="1">
        <v>43076</v>
      </c>
      <c r="J7079">
        <v>0</v>
      </c>
    </row>
    <row r="7080" spans="1:10" x14ac:dyDescent="0.3">
      <c r="A7080" t="s">
        <v>7211</v>
      </c>
      <c r="B7080" t="s">
        <v>67</v>
      </c>
      <c r="C7080" t="str">
        <f>_xlfn.XLOOKUP(B7080,
[1]sales_teams!$A$2:$A$100,
[1]sales_teams!$B$2:$B$100)</f>
        <v>Celia Rouche</v>
      </c>
      <c r="D7080" t="str">
        <f>_xlfn.XLOOKUP($B7080,sales_teams!$A$2:$A$36,sales_teams!C$2:C$36)</f>
        <v>West</v>
      </c>
      <c r="E7080" t="s">
        <v>15</v>
      </c>
      <c r="F7080" t="s">
        <v>273</v>
      </c>
      <c r="G7080" t="s">
        <v>12</v>
      </c>
      <c r="H7080" s="1">
        <v>43007</v>
      </c>
      <c r="I7080" s="1">
        <v>43009</v>
      </c>
      <c r="J7080">
        <v>5340</v>
      </c>
    </row>
    <row r="7081" spans="1:10" x14ac:dyDescent="0.3">
      <c r="A7081" t="s">
        <v>7212</v>
      </c>
      <c r="B7081" t="s">
        <v>105</v>
      </c>
      <c r="C7081" t="str">
        <f>_xlfn.XLOOKUP(B7081,
[1]sales_teams!$A$2:$A$100,
[1]sales_teams!$B$2:$B$100)</f>
        <v>Cara Losch</v>
      </c>
      <c r="D7081" t="str">
        <f>_xlfn.XLOOKUP($B7081,sales_teams!$A$2:$A$36,sales_teams!C$2:C$36)</f>
        <v>East</v>
      </c>
      <c r="E7081" t="s">
        <v>20</v>
      </c>
      <c r="F7081" t="s">
        <v>74</v>
      </c>
      <c r="G7081" t="s">
        <v>46</v>
      </c>
      <c r="H7081" s="1">
        <v>43007</v>
      </c>
      <c r="I7081" s="1">
        <v>43011</v>
      </c>
      <c r="J7081">
        <v>0</v>
      </c>
    </row>
    <row r="7082" spans="1:10" x14ac:dyDescent="0.3">
      <c r="A7082" t="s">
        <v>7213</v>
      </c>
      <c r="B7082" t="s">
        <v>105</v>
      </c>
      <c r="C7082" t="str">
        <f>_xlfn.XLOOKUP(B7082,
[1]sales_teams!$A$2:$A$100,
[1]sales_teams!$B$2:$B$100)</f>
        <v>Cara Losch</v>
      </c>
      <c r="D7082" t="str">
        <f>_xlfn.XLOOKUP($B7082,sales_teams!$A$2:$A$36,sales_teams!C$2:C$36)</f>
        <v>East</v>
      </c>
      <c r="E7082" t="s">
        <v>39</v>
      </c>
      <c r="F7082" t="s">
        <v>89</v>
      </c>
      <c r="G7082" t="s">
        <v>46</v>
      </c>
      <c r="H7082" s="1">
        <v>43007</v>
      </c>
      <c r="I7082" s="1">
        <v>43016</v>
      </c>
      <c r="J7082">
        <v>0</v>
      </c>
    </row>
    <row r="7083" spans="1:10" x14ac:dyDescent="0.3">
      <c r="A7083" t="s">
        <v>7214</v>
      </c>
      <c r="B7083" t="s">
        <v>44</v>
      </c>
      <c r="C7083" t="str">
        <f>_xlfn.XLOOKUP(B7083,
[1]sales_teams!$A$2:$A$100,
[1]sales_teams!$B$2:$B$100)</f>
        <v>Melvin Marxen</v>
      </c>
      <c r="D7083" t="str">
        <f>_xlfn.XLOOKUP($B7083,sales_teams!$A$2:$A$36,sales_teams!C$2:C$36)</f>
        <v>Central</v>
      </c>
      <c r="E7083" t="s">
        <v>48</v>
      </c>
      <c r="F7083" t="s">
        <v>16</v>
      </c>
      <c r="G7083" t="s">
        <v>12</v>
      </c>
      <c r="H7083" s="1">
        <v>43007</v>
      </c>
      <c r="I7083" s="1">
        <v>43017</v>
      </c>
      <c r="J7083">
        <v>5689</v>
      </c>
    </row>
    <row r="7084" spans="1:10" x14ac:dyDescent="0.3">
      <c r="A7084" t="s">
        <v>7215</v>
      </c>
      <c r="B7084" t="s">
        <v>38</v>
      </c>
      <c r="C7084" t="str">
        <f>_xlfn.XLOOKUP(B7084,
[1]sales_teams!$A$2:$A$100,
[1]sales_teams!$B$2:$B$100)</f>
        <v>Summer Sewald</v>
      </c>
      <c r="D7084" t="str">
        <f>_xlfn.XLOOKUP($B7084,sales_teams!$A$2:$A$36,sales_teams!C$2:C$36)</f>
        <v>West</v>
      </c>
      <c r="E7084" t="s">
        <v>20</v>
      </c>
      <c r="F7084" t="s">
        <v>68</v>
      </c>
      <c r="G7084" t="s">
        <v>46</v>
      </c>
      <c r="H7084" s="1">
        <v>43007</v>
      </c>
      <c r="I7084" s="1">
        <v>43016</v>
      </c>
      <c r="J7084">
        <v>0</v>
      </c>
    </row>
    <row r="7085" spans="1:10" x14ac:dyDescent="0.3">
      <c r="A7085" t="s">
        <v>7216</v>
      </c>
      <c r="B7085" t="s">
        <v>38</v>
      </c>
      <c r="C7085" t="str">
        <f>_xlfn.XLOOKUP(B7085,
[1]sales_teams!$A$2:$A$100,
[1]sales_teams!$B$2:$B$100)</f>
        <v>Summer Sewald</v>
      </c>
      <c r="D7085" t="str">
        <f>_xlfn.XLOOKUP($B7085,sales_teams!$A$2:$A$36,sales_teams!C$2:C$36)</f>
        <v>West</v>
      </c>
      <c r="E7085" t="s">
        <v>18</v>
      </c>
      <c r="F7085" t="s">
        <v>184</v>
      </c>
      <c r="G7085" t="s">
        <v>46</v>
      </c>
      <c r="H7085" s="1">
        <v>43007</v>
      </c>
      <c r="I7085" s="1">
        <v>43019</v>
      </c>
      <c r="J7085">
        <v>0</v>
      </c>
    </row>
    <row r="7086" spans="1:10" x14ac:dyDescent="0.3">
      <c r="A7086" t="s">
        <v>7217</v>
      </c>
      <c r="B7086" t="s">
        <v>133</v>
      </c>
      <c r="C7086" t="str">
        <f>_xlfn.XLOOKUP(B7086,
[1]sales_teams!$A$2:$A$100,
[1]sales_teams!$B$2:$B$100)</f>
        <v>Dustin Brinkmann</v>
      </c>
      <c r="D7086" t="str">
        <f>_xlfn.XLOOKUP($B7086,sales_teams!$A$2:$A$36,sales_teams!C$2:C$36)</f>
        <v>Central</v>
      </c>
      <c r="E7086" t="s">
        <v>18</v>
      </c>
      <c r="F7086" t="s">
        <v>197</v>
      </c>
      <c r="G7086" t="s">
        <v>12</v>
      </c>
      <c r="H7086" s="1">
        <v>43007</v>
      </c>
      <c r="I7086" s="1">
        <v>43099</v>
      </c>
      <c r="J7086">
        <v>52</v>
      </c>
    </row>
    <row r="7087" spans="1:10" x14ac:dyDescent="0.3">
      <c r="A7087" t="s">
        <v>7218</v>
      </c>
      <c r="B7087" t="s">
        <v>133</v>
      </c>
      <c r="C7087" t="str">
        <f>_xlfn.XLOOKUP(B7087,
[1]sales_teams!$A$2:$A$100,
[1]sales_teams!$B$2:$B$100)</f>
        <v>Dustin Brinkmann</v>
      </c>
      <c r="D7087" t="str">
        <f>_xlfn.XLOOKUP($B7087,sales_teams!$A$2:$A$36,sales_teams!C$2:C$36)</f>
        <v>Central</v>
      </c>
      <c r="E7087" t="s">
        <v>39</v>
      </c>
      <c r="F7087" t="s">
        <v>151</v>
      </c>
      <c r="G7087" t="s">
        <v>12</v>
      </c>
      <c r="H7087" s="1">
        <v>43007</v>
      </c>
      <c r="I7087" s="1">
        <v>43079</v>
      </c>
      <c r="J7087">
        <v>3131</v>
      </c>
    </row>
    <row r="7088" spans="1:10" x14ac:dyDescent="0.3">
      <c r="A7088" t="s">
        <v>7219</v>
      </c>
      <c r="B7088" t="s">
        <v>32</v>
      </c>
      <c r="C7088" t="str">
        <f>_xlfn.XLOOKUP(B7088,
[1]sales_teams!$A$2:$A$100,
[1]sales_teams!$B$2:$B$100)</f>
        <v>Celia Rouche</v>
      </c>
      <c r="D7088" t="str">
        <f>_xlfn.XLOOKUP($B7088,sales_teams!$A$2:$A$36,sales_teams!C$2:C$36)</f>
        <v>West</v>
      </c>
      <c r="E7088" t="s">
        <v>10</v>
      </c>
      <c r="F7088" t="s">
        <v>199</v>
      </c>
      <c r="G7088" t="s">
        <v>46</v>
      </c>
      <c r="H7088" s="1">
        <v>43007</v>
      </c>
      <c r="I7088" s="1">
        <v>43017</v>
      </c>
      <c r="J7088">
        <v>0</v>
      </c>
    </row>
    <row r="7089" spans="1:10" x14ac:dyDescent="0.3">
      <c r="A7089" t="s">
        <v>7220</v>
      </c>
      <c r="B7089" t="s">
        <v>32</v>
      </c>
      <c r="C7089" t="str">
        <f>_xlfn.XLOOKUP(B7089,
[1]sales_teams!$A$2:$A$100,
[1]sales_teams!$B$2:$B$100)</f>
        <v>Celia Rouche</v>
      </c>
      <c r="D7089" t="str">
        <f>_xlfn.XLOOKUP($B7089,sales_teams!$A$2:$A$36,sales_teams!C$2:C$36)</f>
        <v>West</v>
      </c>
      <c r="E7089" t="s">
        <v>48</v>
      </c>
      <c r="F7089" t="s">
        <v>273</v>
      </c>
      <c r="G7089" t="s">
        <v>46</v>
      </c>
      <c r="H7089" s="1">
        <v>43007</v>
      </c>
      <c r="I7089" s="1">
        <v>43014</v>
      </c>
      <c r="J7089">
        <v>0</v>
      </c>
    </row>
    <row r="7090" spans="1:10" x14ac:dyDescent="0.3">
      <c r="A7090" t="s">
        <v>7221</v>
      </c>
      <c r="B7090" t="s">
        <v>32</v>
      </c>
      <c r="C7090" t="str">
        <f>_xlfn.XLOOKUP(B7090,
[1]sales_teams!$A$2:$A$100,
[1]sales_teams!$B$2:$B$100)</f>
        <v>Celia Rouche</v>
      </c>
      <c r="D7090" t="str">
        <f>_xlfn.XLOOKUP($B7090,sales_teams!$A$2:$A$36,sales_teams!C$2:C$36)</f>
        <v>West</v>
      </c>
      <c r="E7090" t="s">
        <v>18</v>
      </c>
      <c r="F7090" t="s">
        <v>313</v>
      </c>
      <c r="G7090" t="s">
        <v>46</v>
      </c>
      <c r="H7090" s="1">
        <v>43007</v>
      </c>
      <c r="I7090" s="1">
        <v>43066</v>
      </c>
      <c r="J7090">
        <v>0</v>
      </c>
    </row>
    <row r="7091" spans="1:10" x14ac:dyDescent="0.3">
      <c r="A7091" t="s">
        <v>7222</v>
      </c>
      <c r="B7091" t="s">
        <v>32</v>
      </c>
      <c r="C7091" t="str">
        <f>_xlfn.XLOOKUP(B7091,
[1]sales_teams!$A$2:$A$100,
[1]sales_teams!$B$2:$B$100)</f>
        <v>Celia Rouche</v>
      </c>
      <c r="D7091" t="str">
        <f>_xlfn.XLOOKUP($B7091,sales_teams!$A$2:$A$36,sales_teams!C$2:C$36)</f>
        <v>West</v>
      </c>
      <c r="E7091" t="s">
        <v>39</v>
      </c>
      <c r="F7091" t="s">
        <v>148</v>
      </c>
      <c r="G7091" t="s">
        <v>46</v>
      </c>
      <c r="H7091" s="1">
        <v>43007</v>
      </c>
      <c r="I7091" s="1">
        <v>43018</v>
      </c>
      <c r="J7091">
        <v>0</v>
      </c>
    </row>
    <row r="7092" spans="1:10" x14ac:dyDescent="0.3">
      <c r="A7092" t="s">
        <v>7223</v>
      </c>
      <c r="B7092" t="s">
        <v>116</v>
      </c>
      <c r="C7092" t="str">
        <f>_xlfn.XLOOKUP(B7092,
[1]sales_teams!$A$2:$A$100,
[1]sales_teams!$B$2:$B$100)</f>
        <v>Melvin Marxen</v>
      </c>
      <c r="D7092" t="str">
        <f>_xlfn.XLOOKUP($B7092,sales_teams!$A$2:$A$36,sales_teams!C$2:C$36)</f>
        <v>Central</v>
      </c>
      <c r="E7092" t="s">
        <v>39</v>
      </c>
      <c r="F7092" t="s">
        <v>170</v>
      </c>
      <c r="G7092" t="s">
        <v>12</v>
      </c>
      <c r="H7092" s="1">
        <v>43007</v>
      </c>
      <c r="I7092" s="1">
        <v>43013</v>
      </c>
      <c r="J7092">
        <v>3957</v>
      </c>
    </row>
    <row r="7093" spans="1:10" x14ac:dyDescent="0.3">
      <c r="A7093" t="s">
        <v>7224</v>
      </c>
      <c r="B7093" t="s">
        <v>35</v>
      </c>
      <c r="C7093" t="str">
        <f>_xlfn.XLOOKUP(B7093,
[1]sales_teams!$A$2:$A$100,
[1]sales_teams!$B$2:$B$100)</f>
        <v>Melvin Marxen</v>
      </c>
      <c r="D7093" t="str">
        <f>_xlfn.XLOOKUP($B7093,sales_teams!$A$2:$A$36,sales_teams!C$2:C$36)</f>
        <v>Central</v>
      </c>
      <c r="E7093" t="s">
        <v>20</v>
      </c>
      <c r="F7093" t="s">
        <v>62</v>
      </c>
      <c r="G7093" t="s">
        <v>12</v>
      </c>
      <c r="H7093" s="1">
        <v>43007</v>
      </c>
      <c r="I7093" s="1">
        <v>43099</v>
      </c>
      <c r="J7093">
        <v>523</v>
      </c>
    </row>
    <row r="7094" spans="1:10" x14ac:dyDescent="0.3">
      <c r="A7094" t="s">
        <v>7225</v>
      </c>
      <c r="B7094" t="s">
        <v>35</v>
      </c>
      <c r="C7094" t="str">
        <f>_xlfn.XLOOKUP(B7094,
[1]sales_teams!$A$2:$A$100,
[1]sales_teams!$B$2:$B$100)</f>
        <v>Melvin Marxen</v>
      </c>
      <c r="D7094" t="str">
        <f>_xlfn.XLOOKUP($B7094,sales_teams!$A$2:$A$36,sales_teams!C$2:C$36)</f>
        <v>Central</v>
      </c>
      <c r="E7094" t="s">
        <v>10</v>
      </c>
      <c r="F7094" t="s">
        <v>62</v>
      </c>
      <c r="G7094" t="s">
        <v>12</v>
      </c>
      <c r="H7094" s="1">
        <v>43007</v>
      </c>
      <c r="I7094" s="1">
        <v>43090</v>
      </c>
      <c r="J7094">
        <v>1156</v>
      </c>
    </row>
    <row r="7095" spans="1:10" x14ac:dyDescent="0.3">
      <c r="A7095" t="s">
        <v>7226</v>
      </c>
      <c r="B7095" t="s">
        <v>97</v>
      </c>
      <c r="C7095" t="str">
        <f>_xlfn.XLOOKUP(B7095,
[1]sales_teams!$A$2:$A$100,
[1]sales_teams!$B$2:$B$100)</f>
        <v>Rocco Neubert</v>
      </c>
      <c r="D7095" t="str">
        <f>_xlfn.XLOOKUP($B7095,sales_teams!$A$2:$A$36,sales_teams!C$2:C$36)</f>
        <v>East</v>
      </c>
      <c r="E7095" t="s">
        <v>15</v>
      </c>
      <c r="F7095" t="s">
        <v>192</v>
      </c>
      <c r="G7095" t="s">
        <v>46</v>
      </c>
      <c r="H7095" s="1">
        <v>43007</v>
      </c>
      <c r="I7095" s="1">
        <v>43014</v>
      </c>
      <c r="J7095">
        <v>0</v>
      </c>
    </row>
    <row r="7096" spans="1:10" x14ac:dyDescent="0.3">
      <c r="A7096" t="s">
        <v>7227</v>
      </c>
      <c r="B7096" t="s">
        <v>57</v>
      </c>
      <c r="C7096" t="str">
        <f>_xlfn.XLOOKUP(B7096,
[1]sales_teams!$A$2:$A$100,
[1]sales_teams!$B$2:$B$100)</f>
        <v>Celia Rouche</v>
      </c>
      <c r="D7096" t="str">
        <f>_xlfn.XLOOKUP($B7096,sales_teams!$A$2:$A$36,sales_teams!C$2:C$36)</f>
        <v>West</v>
      </c>
      <c r="E7096" t="s">
        <v>39</v>
      </c>
      <c r="F7096" t="s">
        <v>124</v>
      </c>
      <c r="G7096" t="s">
        <v>12</v>
      </c>
      <c r="H7096" s="1">
        <v>43007</v>
      </c>
      <c r="I7096" s="1">
        <v>43069</v>
      </c>
      <c r="J7096">
        <v>3509</v>
      </c>
    </row>
    <row r="7097" spans="1:10" x14ac:dyDescent="0.3">
      <c r="A7097" t="s">
        <v>7228</v>
      </c>
      <c r="B7097" t="s">
        <v>88</v>
      </c>
      <c r="C7097" t="str">
        <f>_xlfn.XLOOKUP(B7097,
[1]sales_teams!$A$2:$A$100,
[1]sales_teams!$B$2:$B$100)</f>
        <v>Cara Losch</v>
      </c>
      <c r="D7097" t="str">
        <f>_xlfn.XLOOKUP($B7097,sales_teams!$A$2:$A$36,sales_teams!C$2:C$36)</f>
        <v>East</v>
      </c>
      <c r="E7097" t="s">
        <v>15</v>
      </c>
      <c r="G7097" t="s">
        <v>40</v>
      </c>
      <c r="H7097" s="1">
        <v>43007</v>
      </c>
    </row>
    <row r="7098" spans="1:10" x14ac:dyDescent="0.3">
      <c r="A7098" t="s">
        <v>7229</v>
      </c>
      <c r="B7098" t="s">
        <v>61</v>
      </c>
      <c r="C7098" t="str">
        <f>_xlfn.XLOOKUP(B7098,
[1]sales_teams!$A$2:$A$100,
[1]sales_teams!$B$2:$B$100)</f>
        <v>Dustin Brinkmann</v>
      </c>
      <c r="D7098" t="str">
        <f>_xlfn.XLOOKUP($B7098,sales_teams!$A$2:$A$36,sales_teams!C$2:C$36)</f>
        <v>Central</v>
      </c>
      <c r="E7098" t="s">
        <v>18</v>
      </c>
      <c r="F7098" t="s">
        <v>315</v>
      </c>
      <c r="G7098" t="s">
        <v>46</v>
      </c>
      <c r="H7098" s="1">
        <v>43007</v>
      </c>
      <c r="I7098" s="1">
        <v>43016</v>
      </c>
      <c r="J7098">
        <v>0</v>
      </c>
    </row>
    <row r="7099" spans="1:10" x14ac:dyDescent="0.3">
      <c r="A7099" t="s">
        <v>7230</v>
      </c>
      <c r="B7099" t="s">
        <v>61</v>
      </c>
      <c r="C7099" t="str">
        <f>_xlfn.XLOOKUP(B7099,
[1]sales_teams!$A$2:$A$100,
[1]sales_teams!$B$2:$B$100)</f>
        <v>Dustin Brinkmann</v>
      </c>
      <c r="D7099" t="str">
        <f>_xlfn.XLOOKUP($B7099,sales_teams!$A$2:$A$36,sales_teams!C$2:C$36)</f>
        <v>Central</v>
      </c>
      <c r="E7099" t="s">
        <v>39</v>
      </c>
      <c r="F7099" t="s">
        <v>197</v>
      </c>
      <c r="G7099" t="s">
        <v>46</v>
      </c>
      <c r="H7099" s="1">
        <v>43007</v>
      </c>
      <c r="I7099" s="1">
        <v>43011</v>
      </c>
      <c r="J7099">
        <v>0</v>
      </c>
    </row>
    <row r="7100" spans="1:10" x14ac:dyDescent="0.3">
      <c r="A7100" t="s">
        <v>7231</v>
      </c>
      <c r="B7100" t="s">
        <v>29</v>
      </c>
      <c r="C7100" t="str">
        <f>_xlfn.XLOOKUP(B7100,
[1]sales_teams!$A$2:$A$100,
[1]sales_teams!$B$2:$B$100)</f>
        <v>Celia Rouche</v>
      </c>
      <c r="D7100" t="str">
        <f>_xlfn.XLOOKUP($B7100,sales_teams!$A$2:$A$36,sales_teams!C$2:C$36)</f>
        <v>West</v>
      </c>
      <c r="E7100" t="s">
        <v>18</v>
      </c>
      <c r="G7100" t="s">
        <v>40</v>
      </c>
      <c r="H7100" s="1">
        <v>43007</v>
      </c>
    </row>
    <row r="7101" spans="1:10" x14ac:dyDescent="0.3">
      <c r="A7101" t="s">
        <v>7232</v>
      </c>
      <c r="B7101" t="s">
        <v>29</v>
      </c>
      <c r="C7101" t="str">
        <f>_xlfn.XLOOKUP(B7101,
[1]sales_teams!$A$2:$A$100,
[1]sales_teams!$B$2:$B$100)</f>
        <v>Celia Rouche</v>
      </c>
      <c r="D7101" t="str">
        <f>_xlfn.XLOOKUP($B7101,sales_teams!$A$2:$A$36,sales_teams!C$2:C$36)</f>
        <v>West</v>
      </c>
      <c r="E7101" t="s">
        <v>20</v>
      </c>
      <c r="F7101" t="s">
        <v>184</v>
      </c>
      <c r="G7101" t="s">
        <v>46</v>
      </c>
      <c r="H7101" s="1">
        <v>43007</v>
      </c>
      <c r="I7101" s="1">
        <v>43014</v>
      </c>
      <c r="J7101">
        <v>0</v>
      </c>
    </row>
    <row r="7102" spans="1:10" x14ac:dyDescent="0.3">
      <c r="A7102" t="s">
        <v>7233</v>
      </c>
      <c r="B7102" t="s">
        <v>29</v>
      </c>
      <c r="C7102" t="str">
        <f>_xlfn.XLOOKUP(B7102,
[1]sales_teams!$A$2:$A$100,
[1]sales_teams!$B$2:$B$100)</f>
        <v>Celia Rouche</v>
      </c>
      <c r="D7102" t="str">
        <f>_xlfn.XLOOKUP($B7102,sales_teams!$A$2:$A$36,sales_teams!C$2:C$36)</f>
        <v>West</v>
      </c>
      <c r="E7102" t="s">
        <v>18</v>
      </c>
      <c r="F7102" t="s">
        <v>52</v>
      </c>
      <c r="G7102" t="s">
        <v>12</v>
      </c>
      <c r="H7102" s="1">
        <v>43007</v>
      </c>
      <c r="I7102" s="1">
        <v>43077</v>
      </c>
      <c r="J7102">
        <v>59</v>
      </c>
    </row>
    <row r="7103" spans="1:10" x14ac:dyDescent="0.3">
      <c r="A7103" t="s">
        <v>7234</v>
      </c>
      <c r="B7103" t="s">
        <v>73</v>
      </c>
      <c r="C7103" t="str">
        <f>_xlfn.XLOOKUP(B7103,
[1]sales_teams!$A$2:$A$100,
[1]sales_teams!$B$2:$B$100)</f>
        <v>Cara Losch</v>
      </c>
      <c r="D7103" t="str">
        <f>_xlfn.XLOOKUP($B7103,sales_teams!$A$2:$A$36,sales_teams!C$2:C$36)</f>
        <v>East</v>
      </c>
      <c r="E7103" t="s">
        <v>18</v>
      </c>
      <c r="F7103" t="s">
        <v>179</v>
      </c>
      <c r="G7103" t="s">
        <v>46</v>
      </c>
      <c r="H7103" s="1">
        <v>43007</v>
      </c>
      <c r="I7103" s="1">
        <v>43016</v>
      </c>
      <c r="J7103">
        <v>0</v>
      </c>
    </row>
    <row r="7104" spans="1:10" x14ac:dyDescent="0.3">
      <c r="A7104" t="s">
        <v>7235</v>
      </c>
      <c r="B7104" t="s">
        <v>23</v>
      </c>
      <c r="C7104" t="str">
        <f>_xlfn.XLOOKUP(B7104,
[1]sales_teams!$A$2:$A$100,
[1]sales_teams!$B$2:$B$100)</f>
        <v>Summer Sewald</v>
      </c>
      <c r="D7104" t="str">
        <f>_xlfn.XLOOKUP($B7104,sales_teams!$A$2:$A$36,sales_teams!C$2:C$36)</f>
        <v>West</v>
      </c>
      <c r="E7104" t="s">
        <v>20</v>
      </c>
      <c r="F7104" t="s">
        <v>30</v>
      </c>
      <c r="G7104" t="s">
        <v>12</v>
      </c>
      <c r="H7104" s="1">
        <v>43007</v>
      </c>
      <c r="I7104" s="1">
        <v>43013</v>
      </c>
      <c r="J7104">
        <v>502</v>
      </c>
    </row>
    <row r="7105" spans="1:10" x14ac:dyDescent="0.3">
      <c r="A7105" t="s">
        <v>7236</v>
      </c>
      <c r="B7105" t="s">
        <v>26</v>
      </c>
      <c r="C7105" t="str">
        <f>_xlfn.XLOOKUP(B7105,
[1]sales_teams!$A$2:$A$100,
[1]sales_teams!$B$2:$B$100)</f>
        <v>Dustin Brinkmann</v>
      </c>
      <c r="D7105" t="str">
        <f>_xlfn.XLOOKUP($B7105,sales_teams!$A$2:$A$36,sales_teams!C$2:C$36)</f>
        <v>Central</v>
      </c>
      <c r="E7105" t="s">
        <v>20</v>
      </c>
      <c r="F7105" t="s">
        <v>151</v>
      </c>
      <c r="G7105" t="s">
        <v>46</v>
      </c>
      <c r="H7105" s="1">
        <v>43008</v>
      </c>
      <c r="I7105" s="1">
        <v>43073</v>
      </c>
      <c r="J7105">
        <v>0</v>
      </c>
    </row>
    <row r="7106" spans="1:10" x14ac:dyDescent="0.3">
      <c r="A7106" t="s">
        <v>7237</v>
      </c>
      <c r="B7106" t="s">
        <v>26</v>
      </c>
      <c r="C7106" t="str">
        <f>_xlfn.XLOOKUP(B7106,
[1]sales_teams!$A$2:$A$100,
[1]sales_teams!$B$2:$B$100)</f>
        <v>Dustin Brinkmann</v>
      </c>
      <c r="D7106" t="str">
        <f>_xlfn.XLOOKUP($B7106,sales_teams!$A$2:$A$36,sales_teams!C$2:C$36)</f>
        <v>Central</v>
      </c>
      <c r="E7106" t="s">
        <v>48</v>
      </c>
      <c r="F7106" t="s">
        <v>170</v>
      </c>
      <c r="G7106" t="s">
        <v>46</v>
      </c>
      <c r="H7106" s="1">
        <v>43008</v>
      </c>
      <c r="I7106" s="1">
        <v>43009</v>
      </c>
      <c r="J7106">
        <v>0</v>
      </c>
    </row>
    <row r="7107" spans="1:10" x14ac:dyDescent="0.3">
      <c r="A7107" t="s">
        <v>7238</v>
      </c>
      <c r="B7107" t="s">
        <v>139</v>
      </c>
      <c r="C7107" t="str">
        <f>_xlfn.XLOOKUP(B7107,
[1]sales_teams!$A$2:$A$100,
[1]sales_teams!$B$2:$B$100)</f>
        <v>Rocco Neubert</v>
      </c>
      <c r="D7107" t="str">
        <f>_xlfn.XLOOKUP($B7107,sales_teams!$A$2:$A$36,sales_teams!C$2:C$36)</f>
        <v>East</v>
      </c>
      <c r="E7107" t="s">
        <v>20</v>
      </c>
      <c r="F7107" t="s">
        <v>143</v>
      </c>
      <c r="G7107" t="s">
        <v>12</v>
      </c>
      <c r="H7107" s="1">
        <v>43008</v>
      </c>
      <c r="I7107" s="1">
        <v>43074</v>
      </c>
      <c r="J7107">
        <v>541</v>
      </c>
    </row>
    <row r="7108" spans="1:10" x14ac:dyDescent="0.3">
      <c r="A7108" t="s">
        <v>7239</v>
      </c>
      <c r="B7108" t="s">
        <v>118</v>
      </c>
      <c r="C7108" t="str">
        <f>_xlfn.XLOOKUP(B7108,
[1]sales_teams!$A$2:$A$100,
[1]sales_teams!$B$2:$B$100)</f>
        <v>Rocco Neubert</v>
      </c>
      <c r="D7108" t="str">
        <f>_xlfn.XLOOKUP($B7108,sales_teams!$A$2:$A$36,sales_teams!C$2:C$36)</f>
        <v>East</v>
      </c>
      <c r="E7108" t="s">
        <v>48</v>
      </c>
      <c r="F7108" t="s">
        <v>177</v>
      </c>
      <c r="G7108" t="s">
        <v>12</v>
      </c>
      <c r="H7108" s="1">
        <v>43008</v>
      </c>
      <c r="I7108" s="1">
        <v>43088</v>
      </c>
      <c r="J7108">
        <v>5026</v>
      </c>
    </row>
    <row r="7109" spans="1:10" x14ac:dyDescent="0.3">
      <c r="A7109" t="s">
        <v>7240</v>
      </c>
      <c r="B7109" t="s">
        <v>202</v>
      </c>
      <c r="C7109" t="str">
        <f>_xlfn.XLOOKUP(B7109,
[1]sales_teams!$A$2:$A$100,
[1]sales_teams!$B$2:$B$100)</f>
        <v>Dustin Brinkmann</v>
      </c>
      <c r="D7109" t="str">
        <f>_xlfn.XLOOKUP($B7109,sales_teams!$A$2:$A$36,sales_teams!C$2:C$36)</f>
        <v>Central</v>
      </c>
      <c r="E7109" t="s">
        <v>39</v>
      </c>
      <c r="F7109" t="s">
        <v>197</v>
      </c>
      <c r="G7109" t="s">
        <v>12</v>
      </c>
      <c r="H7109" s="1">
        <v>43008</v>
      </c>
      <c r="I7109" s="1">
        <v>43018</v>
      </c>
      <c r="J7109">
        <v>3148</v>
      </c>
    </row>
    <row r="7110" spans="1:10" x14ac:dyDescent="0.3">
      <c r="A7110" t="s">
        <v>7241</v>
      </c>
      <c r="B7110" t="s">
        <v>14</v>
      </c>
      <c r="C7110" t="str">
        <f>_xlfn.XLOOKUP(B7110,
[1]sales_teams!$A$2:$A$100,
[1]sales_teams!$B$2:$B$100)</f>
        <v>Melvin Marxen</v>
      </c>
      <c r="D7110" t="str">
        <f>_xlfn.XLOOKUP($B7110,sales_teams!$A$2:$A$36,sales_teams!C$2:C$36)</f>
        <v>Central</v>
      </c>
      <c r="E7110" t="s">
        <v>10</v>
      </c>
      <c r="F7110" t="s">
        <v>16</v>
      </c>
      <c r="G7110" t="s">
        <v>46</v>
      </c>
      <c r="H7110" s="1">
        <v>43008</v>
      </c>
      <c r="I7110" s="1">
        <v>43014</v>
      </c>
      <c r="J7110">
        <v>0</v>
      </c>
    </row>
    <row r="7111" spans="1:10" x14ac:dyDescent="0.3">
      <c r="A7111" t="s">
        <v>7242</v>
      </c>
      <c r="B7111" t="s">
        <v>14</v>
      </c>
      <c r="C7111" t="str">
        <f>_xlfn.XLOOKUP(B7111,
[1]sales_teams!$A$2:$A$100,
[1]sales_teams!$B$2:$B$100)</f>
        <v>Melvin Marxen</v>
      </c>
      <c r="D7111" t="str">
        <f>_xlfn.XLOOKUP($B7111,sales_teams!$A$2:$A$36,sales_teams!C$2:C$36)</f>
        <v>Central</v>
      </c>
      <c r="E7111" t="s">
        <v>15</v>
      </c>
      <c r="F7111" t="s">
        <v>42</v>
      </c>
      <c r="G7111" t="s">
        <v>46</v>
      </c>
      <c r="H7111" s="1">
        <v>43008</v>
      </c>
      <c r="I7111" s="1">
        <v>43020</v>
      </c>
      <c r="J7111">
        <v>0</v>
      </c>
    </row>
    <row r="7112" spans="1:10" x14ac:dyDescent="0.3">
      <c r="A7112" t="s">
        <v>7243</v>
      </c>
      <c r="B7112" t="s">
        <v>14</v>
      </c>
      <c r="C7112" t="str">
        <f>_xlfn.XLOOKUP(B7112,
[1]sales_teams!$A$2:$A$100,
[1]sales_teams!$B$2:$B$100)</f>
        <v>Melvin Marxen</v>
      </c>
      <c r="D7112" t="str">
        <f>_xlfn.XLOOKUP($B7112,sales_teams!$A$2:$A$36,sales_teams!C$2:C$36)</f>
        <v>Central</v>
      </c>
      <c r="E7112" t="s">
        <v>15</v>
      </c>
      <c r="F7112" t="s">
        <v>16</v>
      </c>
      <c r="G7112" t="s">
        <v>46</v>
      </c>
      <c r="H7112" s="1">
        <v>43008</v>
      </c>
      <c r="I7112" s="1">
        <v>43013</v>
      </c>
      <c r="J7112">
        <v>0</v>
      </c>
    </row>
    <row r="7113" spans="1:10" x14ac:dyDescent="0.3">
      <c r="A7113" t="s">
        <v>7244</v>
      </c>
      <c r="B7113" t="s">
        <v>14</v>
      </c>
      <c r="C7113" t="str">
        <f>_xlfn.XLOOKUP(B7113,
[1]sales_teams!$A$2:$A$100,
[1]sales_teams!$B$2:$B$100)</f>
        <v>Melvin Marxen</v>
      </c>
      <c r="D7113" t="str">
        <f>_xlfn.XLOOKUP($B7113,sales_teams!$A$2:$A$36,sales_teams!C$2:C$36)</f>
        <v>Central</v>
      </c>
      <c r="E7113" t="s">
        <v>39</v>
      </c>
      <c r="F7113" t="s">
        <v>126</v>
      </c>
      <c r="G7113" t="s">
        <v>12</v>
      </c>
      <c r="H7113" s="1">
        <v>43008</v>
      </c>
      <c r="I7113" s="1">
        <v>43017</v>
      </c>
      <c r="J7113">
        <v>3006</v>
      </c>
    </row>
    <row r="7114" spans="1:10" x14ac:dyDescent="0.3">
      <c r="A7114" t="s">
        <v>7245</v>
      </c>
      <c r="B7114" t="s">
        <v>105</v>
      </c>
      <c r="C7114" t="str">
        <f>_xlfn.XLOOKUP(B7114,
[1]sales_teams!$A$2:$A$100,
[1]sales_teams!$B$2:$B$100)</f>
        <v>Cara Losch</v>
      </c>
      <c r="D7114" t="str">
        <f>_xlfn.XLOOKUP($B7114,sales_teams!$A$2:$A$36,sales_teams!C$2:C$36)</f>
        <v>East</v>
      </c>
      <c r="E7114" t="s">
        <v>18</v>
      </c>
      <c r="F7114" t="s">
        <v>106</v>
      </c>
      <c r="G7114" t="s">
        <v>46</v>
      </c>
      <c r="H7114" s="1">
        <v>43008</v>
      </c>
      <c r="I7114" s="1">
        <v>43088</v>
      </c>
      <c r="J7114">
        <v>0</v>
      </c>
    </row>
    <row r="7115" spans="1:10" x14ac:dyDescent="0.3">
      <c r="A7115" t="s">
        <v>7246</v>
      </c>
      <c r="B7115" t="s">
        <v>105</v>
      </c>
      <c r="C7115" t="str">
        <f>_xlfn.XLOOKUP(B7115,
[1]sales_teams!$A$2:$A$100,
[1]sales_teams!$B$2:$B$100)</f>
        <v>Cara Losch</v>
      </c>
      <c r="D7115" t="str">
        <f>_xlfn.XLOOKUP($B7115,sales_teams!$A$2:$A$36,sales_teams!C$2:C$36)</f>
        <v>East</v>
      </c>
      <c r="E7115" t="s">
        <v>15</v>
      </c>
      <c r="F7115" t="s">
        <v>155</v>
      </c>
      <c r="G7115" t="s">
        <v>12</v>
      </c>
      <c r="H7115" s="1">
        <v>43008</v>
      </c>
      <c r="I7115" s="1">
        <v>43015</v>
      </c>
      <c r="J7115">
        <v>5203</v>
      </c>
    </row>
    <row r="7116" spans="1:10" x14ac:dyDescent="0.3">
      <c r="A7116" t="s">
        <v>7247</v>
      </c>
      <c r="B7116" t="s">
        <v>44</v>
      </c>
      <c r="C7116" t="str">
        <f>_xlfn.XLOOKUP(B7116,
[1]sales_teams!$A$2:$A$100,
[1]sales_teams!$B$2:$B$100)</f>
        <v>Melvin Marxen</v>
      </c>
      <c r="D7116" t="str">
        <f>_xlfn.XLOOKUP($B7116,sales_teams!$A$2:$A$36,sales_teams!C$2:C$36)</f>
        <v>Central</v>
      </c>
      <c r="E7116" t="s">
        <v>18</v>
      </c>
      <c r="F7116" t="s">
        <v>218</v>
      </c>
      <c r="G7116" t="s">
        <v>46</v>
      </c>
      <c r="H7116" s="1">
        <v>43008</v>
      </c>
      <c r="I7116" s="1">
        <v>43015</v>
      </c>
      <c r="J7116">
        <v>0</v>
      </c>
    </row>
    <row r="7117" spans="1:10" x14ac:dyDescent="0.3">
      <c r="A7117" t="s">
        <v>7248</v>
      </c>
      <c r="B7117" t="s">
        <v>54</v>
      </c>
      <c r="C7117" t="str">
        <f>_xlfn.XLOOKUP(B7117,
[1]sales_teams!$A$2:$A$100,
[1]sales_teams!$B$2:$B$100)</f>
        <v>Celia Rouche</v>
      </c>
      <c r="D7117" t="str">
        <f>_xlfn.XLOOKUP($B7117,sales_teams!$A$2:$A$36,sales_teams!C$2:C$36)</f>
        <v>West</v>
      </c>
      <c r="E7117" t="s">
        <v>39</v>
      </c>
      <c r="F7117" t="s">
        <v>93</v>
      </c>
      <c r="G7117" t="s">
        <v>12</v>
      </c>
      <c r="H7117" s="1">
        <v>43008</v>
      </c>
      <c r="I7117" s="1">
        <v>43079</v>
      </c>
      <c r="J7117">
        <v>2927</v>
      </c>
    </row>
    <row r="7118" spans="1:10" x14ac:dyDescent="0.3">
      <c r="A7118" t="s">
        <v>7249</v>
      </c>
      <c r="B7118" t="s">
        <v>38</v>
      </c>
      <c r="C7118" t="str">
        <f>_xlfn.XLOOKUP(B7118,
[1]sales_teams!$A$2:$A$100,
[1]sales_teams!$B$2:$B$100)</f>
        <v>Summer Sewald</v>
      </c>
      <c r="D7118" t="str">
        <f>_xlfn.XLOOKUP($B7118,sales_teams!$A$2:$A$36,sales_teams!C$2:C$36)</f>
        <v>West</v>
      </c>
      <c r="E7118" t="s">
        <v>48</v>
      </c>
      <c r="G7118" t="s">
        <v>40</v>
      </c>
      <c r="H7118" s="1">
        <v>43008</v>
      </c>
    </row>
    <row r="7119" spans="1:10" x14ac:dyDescent="0.3">
      <c r="A7119" t="s">
        <v>7250</v>
      </c>
      <c r="B7119" t="s">
        <v>95</v>
      </c>
      <c r="C7119" t="str">
        <f>_xlfn.XLOOKUP(B7119,
[1]sales_teams!$A$2:$A$100,
[1]sales_teams!$B$2:$B$100)</f>
        <v>Summer Sewald</v>
      </c>
      <c r="D7119" t="str">
        <f>_xlfn.XLOOKUP($B7119,sales_teams!$A$2:$A$36,sales_teams!C$2:C$36)</f>
        <v>West</v>
      </c>
      <c r="E7119" t="s">
        <v>20</v>
      </c>
      <c r="G7119" t="s">
        <v>40</v>
      </c>
      <c r="H7119" s="1">
        <v>43008</v>
      </c>
    </row>
    <row r="7120" spans="1:10" x14ac:dyDescent="0.3">
      <c r="A7120" t="s">
        <v>7251</v>
      </c>
      <c r="B7120" t="s">
        <v>95</v>
      </c>
      <c r="C7120" t="str">
        <f>_xlfn.XLOOKUP(B7120,
[1]sales_teams!$A$2:$A$100,
[1]sales_teams!$B$2:$B$100)</f>
        <v>Summer Sewald</v>
      </c>
      <c r="D7120" t="str">
        <f>_xlfn.XLOOKUP($B7120,sales_teams!$A$2:$A$36,sales_teams!C$2:C$36)</f>
        <v>West</v>
      </c>
      <c r="E7120" t="s">
        <v>20</v>
      </c>
      <c r="F7120" t="s">
        <v>68</v>
      </c>
      <c r="G7120" t="s">
        <v>46</v>
      </c>
      <c r="H7120" s="1">
        <v>43008</v>
      </c>
      <c r="I7120" s="1">
        <v>43016</v>
      </c>
      <c r="J7120">
        <v>0</v>
      </c>
    </row>
    <row r="7121" spans="1:10" x14ac:dyDescent="0.3">
      <c r="A7121" t="s">
        <v>7252</v>
      </c>
      <c r="B7121" t="s">
        <v>133</v>
      </c>
      <c r="C7121" t="str">
        <f>_xlfn.XLOOKUP(B7121,
[1]sales_teams!$A$2:$A$100,
[1]sales_teams!$B$2:$B$100)</f>
        <v>Dustin Brinkmann</v>
      </c>
      <c r="D7121" t="str">
        <f>_xlfn.XLOOKUP($B7121,sales_teams!$A$2:$A$36,sales_teams!C$2:C$36)</f>
        <v>Central</v>
      </c>
      <c r="E7121" t="s">
        <v>20</v>
      </c>
      <c r="F7121" t="s">
        <v>129</v>
      </c>
      <c r="G7121" t="s">
        <v>46</v>
      </c>
      <c r="H7121" s="1">
        <v>43008</v>
      </c>
      <c r="I7121" s="1">
        <v>43015</v>
      </c>
      <c r="J7121">
        <v>0</v>
      </c>
    </row>
    <row r="7122" spans="1:10" x14ac:dyDescent="0.3">
      <c r="A7122" t="s">
        <v>7253</v>
      </c>
      <c r="B7122" t="s">
        <v>133</v>
      </c>
      <c r="C7122" t="str">
        <f>_xlfn.XLOOKUP(B7122,
[1]sales_teams!$A$2:$A$100,
[1]sales_teams!$B$2:$B$100)</f>
        <v>Dustin Brinkmann</v>
      </c>
      <c r="D7122" t="str">
        <f>_xlfn.XLOOKUP($B7122,sales_teams!$A$2:$A$36,sales_teams!C$2:C$36)</f>
        <v>Central</v>
      </c>
      <c r="E7122" t="s">
        <v>39</v>
      </c>
      <c r="F7122" t="s">
        <v>16</v>
      </c>
      <c r="G7122" t="s">
        <v>46</v>
      </c>
      <c r="H7122" s="1">
        <v>43008</v>
      </c>
      <c r="I7122" s="1">
        <v>43089</v>
      </c>
      <c r="J7122">
        <v>0</v>
      </c>
    </row>
    <row r="7123" spans="1:10" x14ac:dyDescent="0.3">
      <c r="A7123" t="s">
        <v>7254</v>
      </c>
      <c r="B7123" t="s">
        <v>133</v>
      </c>
      <c r="C7123" t="str">
        <f>_xlfn.XLOOKUP(B7123,
[1]sales_teams!$A$2:$A$100,
[1]sales_teams!$B$2:$B$100)</f>
        <v>Dustin Brinkmann</v>
      </c>
      <c r="D7123" t="str">
        <f>_xlfn.XLOOKUP($B7123,sales_teams!$A$2:$A$36,sales_teams!C$2:C$36)</f>
        <v>Central</v>
      </c>
      <c r="E7123" t="s">
        <v>48</v>
      </c>
      <c r="F7123" t="s">
        <v>303</v>
      </c>
      <c r="G7123" t="s">
        <v>12</v>
      </c>
      <c r="H7123" s="1">
        <v>43008</v>
      </c>
      <c r="I7123" s="1">
        <v>43019</v>
      </c>
      <c r="J7123">
        <v>6156</v>
      </c>
    </row>
    <row r="7124" spans="1:10" x14ac:dyDescent="0.3">
      <c r="A7124" t="s">
        <v>7255</v>
      </c>
      <c r="B7124" t="s">
        <v>116</v>
      </c>
      <c r="C7124" t="str">
        <f>_xlfn.XLOOKUP(B7124,
[1]sales_teams!$A$2:$A$100,
[1]sales_teams!$B$2:$B$100)</f>
        <v>Melvin Marxen</v>
      </c>
      <c r="D7124" t="str">
        <f>_xlfn.XLOOKUP($B7124,sales_teams!$A$2:$A$36,sales_teams!C$2:C$36)</f>
        <v>Central</v>
      </c>
      <c r="E7124" t="s">
        <v>15</v>
      </c>
      <c r="F7124" t="s">
        <v>76</v>
      </c>
      <c r="G7124" t="s">
        <v>12</v>
      </c>
      <c r="H7124" s="1">
        <v>43008</v>
      </c>
      <c r="I7124" s="1">
        <v>43017</v>
      </c>
      <c r="J7124">
        <v>5007</v>
      </c>
    </row>
    <row r="7125" spans="1:10" x14ac:dyDescent="0.3">
      <c r="A7125" t="s">
        <v>7256</v>
      </c>
      <c r="B7125" t="s">
        <v>51</v>
      </c>
      <c r="C7125" t="str">
        <f>_xlfn.XLOOKUP(B7125,
[1]sales_teams!$A$2:$A$100,
[1]sales_teams!$B$2:$B$100)</f>
        <v>Summer Sewald</v>
      </c>
      <c r="D7125" t="str">
        <f>_xlfn.XLOOKUP($B7125,sales_teams!$A$2:$A$36,sales_teams!C$2:C$36)</f>
        <v>West</v>
      </c>
      <c r="E7125" t="s">
        <v>48</v>
      </c>
      <c r="G7125" t="s">
        <v>40</v>
      </c>
      <c r="H7125" s="1">
        <v>43008</v>
      </c>
    </row>
    <row r="7126" spans="1:10" x14ac:dyDescent="0.3">
      <c r="A7126" t="s">
        <v>7257</v>
      </c>
      <c r="B7126" t="s">
        <v>51</v>
      </c>
      <c r="C7126" t="str">
        <f>_xlfn.XLOOKUP(B7126,
[1]sales_teams!$A$2:$A$100,
[1]sales_teams!$B$2:$B$100)</f>
        <v>Summer Sewald</v>
      </c>
      <c r="D7126" t="str">
        <f>_xlfn.XLOOKUP($B7126,sales_teams!$A$2:$A$36,sales_teams!C$2:C$36)</f>
        <v>West</v>
      </c>
      <c r="E7126" t="s">
        <v>18</v>
      </c>
      <c r="F7126" t="s">
        <v>59</v>
      </c>
      <c r="G7126" t="s">
        <v>12</v>
      </c>
      <c r="H7126" s="1">
        <v>43008</v>
      </c>
      <c r="I7126" s="1">
        <v>43075</v>
      </c>
      <c r="J7126">
        <v>59</v>
      </c>
    </row>
    <row r="7127" spans="1:10" x14ac:dyDescent="0.3">
      <c r="A7127" t="s">
        <v>7258</v>
      </c>
      <c r="B7127" t="s">
        <v>9</v>
      </c>
      <c r="C7127" t="str">
        <f>_xlfn.XLOOKUP(B7127,
[1]sales_teams!$A$2:$A$100,
[1]sales_teams!$B$2:$B$100)</f>
        <v>Dustin Brinkmann</v>
      </c>
      <c r="D7127" t="str">
        <f>_xlfn.XLOOKUP($B7127,sales_teams!$A$2:$A$36,sales_teams!C$2:C$36)</f>
        <v>Central</v>
      </c>
      <c r="E7127" t="s">
        <v>20</v>
      </c>
      <c r="F7127" t="s">
        <v>11</v>
      </c>
      <c r="G7127" t="s">
        <v>12</v>
      </c>
      <c r="H7127" s="1">
        <v>43008</v>
      </c>
      <c r="I7127" s="1">
        <v>43015</v>
      </c>
      <c r="J7127">
        <v>549</v>
      </c>
    </row>
    <row r="7128" spans="1:10" x14ac:dyDescent="0.3">
      <c r="A7128" t="s">
        <v>7259</v>
      </c>
      <c r="B7128" t="s">
        <v>35</v>
      </c>
      <c r="C7128" t="str">
        <f>_xlfn.XLOOKUP(B7128,
[1]sales_teams!$A$2:$A$100,
[1]sales_teams!$B$2:$B$100)</f>
        <v>Melvin Marxen</v>
      </c>
      <c r="D7128" t="str">
        <f>_xlfn.XLOOKUP($B7128,sales_teams!$A$2:$A$36,sales_teams!C$2:C$36)</f>
        <v>Central</v>
      </c>
      <c r="E7128" t="s">
        <v>10</v>
      </c>
      <c r="F7128" t="s">
        <v>16</v>
      </c>
      <c r="G7128" t="s">
        <v>12</v>
      </c>
      <c r="H7128" s="1">
        <v>43008</v>
      </c>
      <c r="I7128" s="1">
        <v>43066</v>
      </c>
      <c r="J7128">
        <v>1117</v>
      </c>
    </row>
    <row r="7129" spans="1:10" x14ac:dyDescent="0.3">
      <c r="A7129" t="s">
        <v>7260</v>
      </c>
      <c r="B7129" t="s">
        <v>61</v>
      </c>
      <c r="C7129" t="str">
        <f>_xlfn.XLOOKUP(B7129,
[1]sales_teams!$A$2:$A$100,
[1]sales_teams!$B$2:$B$100)</f>
        <v>Dustin Brinkmann</v>
      </c>
      <c r="D7129" t="str">
        <f>_xlfn.XLOOKUP($B7129,sales_teams!$A$2:$A$36,sales_teams!C$2:C$36)</f>
        <v>Central</v>
      </c>
      <c r="E7129" t="s">
        <v>18</v>
      </c>
      <c r="F7129" t="s">
        <v>111</v>
      </c>
      <c r="G7129" t="s">
        <v>12</v>
      </c>
      <c r="H7129" s="1">
        <v>43008</v>
      </c>
      <c r="I7129" s="1">
        <v>43016</v>
      </c>
      <c r="J7129">
        <v>57</v>
      </c>
    </row>
    <row r="7130" spans="1:10" x14ac:dyDescent="0.3">
      <c r="A7130" t="s">
        <v>7261</v>
      </c>
      <c r="B7130" t="s">
        <v>29</v>
      </c>
      <c r="C7130" t="str">
        <f>_xlfn.XLOOKUP(B7130,
[1]sales_teams!$A$2:$A$100,
[1]sales_teams!$B$2:$B$100)</f>
        <v>Celia Rouche</v>
      </c>
      <c r="D7130" t="str">
        <f>_xlfn.XLOOKUP($B7130,sales_teams!$A$2:$A$36,sales_teams!C$2:C$36)</f>
        <v>West</v>
      </c>
      <c r="E7130" t="s">
        <v>48</v>
      </c>
      <c r="F7130" t="s">
        <v>62</v>
      </c>
      <c r="G7130" t="s">
        <v>40</v>
      </c>
      <c r="H7130" s="1">
        <v>43008</v>
      </c>
    </row>
    <row r="7131" spans="1:10" x14ac:dyDescent="0.3">
      <c r="A7131" t="s">
        <v>7262</v>
      </c>
      <c r="B7131" t="s">
        <v>29</v>
      </c>
      <c r="C7131" t="str">
        <f>_xlfn.XLOOKUP(B7131,
[1]sales_teams!$A$2:$A$100,
[1]sales_teams!$B$2:$B$100)</f>
        <v>Celia Rouche</v>
      </c>
      <c r="D7131" t="str">
        <f>_xlfn.XLOOKUP($B7131,sales_teams!$A$2:$A$36,sales_teams!C$2:C$36)</f>
        <v>West</v>
      </c>
      <c r="E7131" t="s">
        <v>20</v>
      </c>
      <c r="F7131" t="s">
        <v>184</v>
      </c>
      <c r="G7131" t="s">
        <v>46</v>
      </c>
      <c r="H7131" s="1">
        <v>43008</v>
      </c>
      <c r="I7131" s="1">
        <v>43017</v>
      </c>
      <c r="J7131">
        <v>0</v>
      </c>
    </row>
    <row r="7132" spans="1:10" x14ac:dyDescent="0.3">
      <c r="A7132" t="s">
        <v>7263</v>
      </c>
      <c r="B7132" t="s">
        <v>73</v>
      </c>
      <c r="C7132" t="str">
        <f>_xlfn.XLOOKUP(B7132,
[1]sales_teams!$A$2:$A$100,
[1]sales_teams!$B$2:$B$100)</f>
        <v>Cara Losch</v>
      </c>
      <c r="D7132" t="str">
        <f>_xlfn.XLOOKUP($B7132,sales_teams!$A$2:$A$36,sales_teams!C$2:C$36)</f>
        <v>East</v>
      </c>
      <c r="E7132" t="s">
        <v>18</v>
      </c>
      <c r="F7132" t="s">
        <v>98</v>
      </c>
      <c r="G7132" t="s">
        <v>46</v>
      </c>
      <c r="H7132" s="1">
        <v>43008</v>
      </c>
      <c r="I7132" s="1">
        <v>43016</v>
      </c>
      <c r="J7132">
        <v>0</v>
      </c>
    </row>
    <row r="7133" spans="1:10" x14ac:dyDescent="0.3">
      <c r="A7133" t="s">
        <v>7264</v>
      </c>
      <c r="B7133" t="s">
        <v>73</v>
      </c>
      <c r="C7133" t="str">
        <f>_xlfn.XLOOKUP(B7133,
[1]sales_teams!$A$2:$A$100,
[1]sales_teams!$B$2:$B$100)</f>
        <v>Cara Losch</v>
      </c>
      <c r="D7133" t="str">
        <f>_xlfn.XLOOKUP($B7133,sales_teams!$A$2:$A$36,sales_teams!C$2:C$36)</f>
        <v>East</v>
      </c>
      <c r="E7133" t="s">
        <v>18</v>
      </c>
      <c r="F7133" t="s">
        <v>143</v>
      </c>
      <c r="G7133" t="s">
        <v>12</v>
      </c>
      <c r="H7133" s="1">
        <v>43008</v>
      </c>
      <c r="I7133" s="1">
        <v>43093</v>
      </c>
      <c r="J7133">
        <v>55</v>
      </c>
    </row>
    <row r="7134" spans="1:10" x14ac:dyDescent="0.3">
      <c r="A7134" t="s">
        <v>7265</v>
      </c>
      <c r="B7134" t="s">
        <v>73</v>
      </c>
      <c r="C7134" t="str">
        <f>_xlfn.XLOOKUP(B7134,
[1]sales_teams!$A$2:$A$100,
[1]sales_teams!$B$2:$B$100)</f>
        <v>Cara Losch</v>
      </c>
      <c r="D7134" t="str">
        <f>_xlfn.XLOOKUP($B7134,sales_teams!$A$2:$A$36,sales_teams!C$2:C$36)</f>
        <v>East</v>
      </c>
      <c r="E7134" t="s">
        <v>18</v>
      </c>
      <c r="F7134" t="s">
        <v>189</v>
      </c>
      <c r="G7134" t="s">
        <v>12</v>
      </c>
      <c r="H7134" s="1">
        <v>43008</v>
      </c>
      <c r="I7134" s="1">
        <v>43091</v>
      </c>
      <c r="J7134">
        <v>63</v>
      </c>
    </row>
    <row r="7135" spans="1:10" x14ac:dyDescent="0.3">
      <c r="A7135" t="s">
        <v>7266</v>
      </c>
      <c r="B7135" t="s">
        <v>23</v>
      </c>
      <c r="C7135" t="str">
        <f>_xlfn.XLOOKUP(B7135,
[1]sales_teams!$A$2:$A$100,
[1]sales_teams!$B$2:$B$100)</f>
        <v>Summer Sewald</v>
      </c>
      <c r="D7135" t="str">
        <f>_xlfn.XLOOKUP($B7135,sales_teams!$A$2:$A$36,sales_teams!C$2:C$36)</f>
        <v>West</v>
      </c>
      <c r="E7135" t="s">
        <v>10</v>
      </c>
      <c r="F7135" t="s">
        <v>68</v>
      </c>
      <c r="G7135" t="s">
        <v>12</v>
      </c>
      <c r="H7135" s="1">
        <v>43008</v>
      </c>
      <c r="I7135" s="1">
        <v>43016</v>
      </c>
      <c r="J7135">
        <v>1108</v>
      </c>
    </row>
    <row r="7136" spans="1:10" x14ac:dyDescent="0.3">
      <c r="A7136" t="s">
        <v>7267</v>
      </c>
      <c r="B7136" t="s">
        <v>23</v>
      </c>
      <c r="C7136" t="str">
        <f>_xlfn.XLOOKUP(B7136,
[1]sales_teams!$A$2:$A$100,
[1]sales_teams!$B$2:$B$100)</f>
        <v>Summer Sewald</v>
      </c>
      <c r="D7136" t="str">
        <f>_xlfn.XLOOKUP($B7136,sales_teams!$A$2:$A$36,sales_teams!C$2:C$36)</f>
        <v>West</v>
      </c>
      <c r="E7136" t="s">
        <v>10</v>
      </c>
      <c r="F7136" t="s">
        <v>159</v>
      </c>
      <c r="G7136" t="s">
        <v>12</v>
      </c>
      <c r="H7136" s="1">
        <v>43008</v>
      </c>
      <c r="I7136" s="1">
        <v>43079</v>
      </c>
      <c r="J7136">
        <v>944</v>
      </c>
    </row>
    <row r="7137" spans="1:10" x14ac:dyDescent="0.3">
      <c r="A7137" t="s">
        <v>7268</v>
      </c>
      <c r="B7137" t="s">
        <v>26</v>
      </c>
      <c r="C7137" t="str">
        <f>_xlfn.XLOOKUP(B7137,
[1]sales_teams!$A$2:$A$100,
[1]sales_teams!$B$2:$B$100)</f>
        <v>Dustin Brinkmann</v>
      </c>
      <c r="D7137" t="str">
        <f>_xlfn.XLOOKUP($B7137,sales_teams!$A$2:$A$36,sales_teams!C$2:C$36)</f>
        <v>Central</v>
      </c>
      <c r="E7137" t="s">
        <v>20</v>
      </c>
      <c r="F7137" t="s">
        <v>129</v>
      </c>
      <c r="G7137" t="s">
        <v>46</v>
      </c>
      <c r="H7137" s="1">
        <v>43009</v>
      </c>
      <c r="I7137" s="1">
        <v>43019</v>
      </c>
      <c r="J7137">
        <v>0</v>
      </c>
    </row>
    <row r="7138" spans="1:10" x14ac:dyDescent="0.3">
      <c r="A7138" t="s">
        <v>7269</v>
      </c>
      <c r="B7138" t="s">
        <v>139</v>
      </c>
      <c r="C7138" t="str">
        <f>_xlfn.XLOOKUP(B7138,
[1]sales_teams!$A$2:$A$100,
[1]sales_teams!$B$2:$B$100)</f>
        <v>Rocco Neubert</v>
      </c>
      <c r="D7138" t="str">
        <f>_xlfn.XLOOKUP($B7138,sales_teams!$A$2:$A$36,sales_teams!C$2:C$36)</f>
        <v>East</v>
      </c>
      <c r="E7138" t="s">
        <v>39</v>
      </c>
      <c r="F7138" t="s">
        <v>103</v>
      </c>
      <c r="G7138" t="s">
        <v>46</v>
      </c>
      <c r="H7138" s="1">
        <v>43009</v>
      </c>
      <c r="I7138" s="1">
        <v>43014</v>
      </c>
      <c r="J7138">
        <v>0</v>
      </c>
    </row>
    <row r="7139" spans="1:10" x14ac:dyDescent="0.3">
      <c r="A7139" t="s">
        <v>7270</v>
      </c>
      <c r="B7139" t="s">
        <v>118</v>
      </c>
      <c r="C7139" t="str">
        <f>_xlfn.XLOOKUP(B7139,
[1]sales_teams!$A$2:$A$100,
[1]sales_teams!$B$2:$B$100)</f>
        <v>Rocco Neubert</v>
      </c>
      <c r="D7139" t="str">
        <f>_xlfn.XLOOKUP($B7139,sales_teams!$A$2:$A$36,sales_teams!C$2:C$36)</f>
        <v>East</v>
      </c>
      <c r="E7139" t="s">
        <v>20</v>
      </c>
      <c r="F7139" t="s">
        <v>59</v>
      </c>
      <c r="G7139" t="s">
        <v>40</v>
      </c>
      <c r="H7139" s="1">
        <v>43009</v>
      </c>
    </row>
    <row r="7140" spans="1:10" x14ac:dyDescent="0.3">
      <c r="A7140" t="s">
        <v>7271</v>
      </c>
      <c r="B7140" t="s">
        <v>118</v>
      </c>
      <c r="C7140" t="str">
        <f>_xlfn.XLOOKUP(B7140,
[1]sales_teams!$A$2:$A$100,
[1]sales_teams!$B$2:$B$100)</f>
        <v>Rocco Neubert</v>
      </c>
      <c r="D7140" t="str">
        <f>_xlfn.XLOOKUP($B7140,sales_teams!$A$2:$A$36,sales_teams!C$2:C$36)</f>
        <v>East</v>
      </c>
      <c r="E7140" t="s">
        <v>10</v>
      </c>
      <c r="F7140" t="s">
        <v>33</v>
      </c>
      <c r="G7140" t="s">
        <v>40</v>
      </c>
      <c r="H7140" s="1">
        <v>43009</v>
      </c>
    </row>
    <row r="7141" spans="1:10" x14ac:dyDescent="0.3">
      <c r="A7141" t="s">
        <v>7272</v>
      </c>
      <c r="B7141" t="s">
        <v>118</v>
      </c>
      <c r="C7141" t="str">
        <f>_xlfn.XLOOKUP(B7141,
[1]sales_teams!$A$2:$A$100,
[1]sales_teams!$B$2:$B$100)</f>
        <v>Rocco Neubert</v>
      </c>
      <c r="D7141" t="str">
        <f>_xlfn.XLOOKUP($B7141,sales_teams!$A$2:$A$36,sales_teams!C$2:C$36)</f>
        <v>East</v>
      </c>
      <c r="E7141" t="s">
        <v>20</v>
      </c>
      <c r="F7141" t="s">
        <v>199</v>
      </c>
      <c r="G7141" t="s">
        <v>46</v>
      </c>
      <c r="H7141" s="1">
        <v>43009</v>
      </c>
      <c r="I7141" s="1">
        <v>43070</v>
      </c>
      <c r="J7141">
        <v>0</v>
      </c>
    </row>
    <row r="7142" spans="1:10" x14ac:dyDescent="0.3">
      <c r="A7142" t="s">
        <v>7273</v>
      </c>
      <c r="B7142" t="s">
        <v>202</v>
      </c>
      <c r="C7142" t="str">
        <f>_xlfn.XLOOKUP(B7142,
[1]sales_teams!$A$2:$A$100,
[1]sales_teams!$B$2:$B$100)</f>
        <v>Dustin Brinkmann</v>
      </c>
      <c r="D7142" t="str">
        <f>_xlfn.XLOOKUP($B7142,sales_teams!$A$2:$A$36,sales_teams!C$2:C$36)</f>
        <v>Central</v>
      </c>
      <c r="E7142" t="s">
        <v>48</v>
      </c>
      <c r="F7142" t="s">
        <v>492</v>
      </c>
      <c r="G7142" t="s">
        <v>12</v>
      </c>
      <c r="H7142" s="1">
        <v>43009</v>
      </c>
      <c r="I7142" s="1">
        <v>43079</v>
      </c>
      <c r="J7142">
        <v>3704</v>
      </c>
    </row>
    <row r="7143" spans="1:10" x14ac:dyDescent="0.3">
      <c r="A7143" t="s">
        <v>7274</v>
      </c>
      <c r="B7143" t="s">
        <v>164</v>
      </c>
      <c r="C7143" t="str">
        <f>_xlfn.XLOOKUP(B7143,
[1]sales_teams!$A$2:$A$100,
[1]sales_teams!$B$2:$B$100)</f>
        <v>Cara Losch</v>
      </c>
      <c r="D7143" t="str">
        <f>_xlfn.XLOOKUP($B7143,sales_teams!$A$2:$A$36,sales_teams!C$2:C$36)</f>
        <v>East</v>
      </c>
      <c r="E7143" t="s">
        <v>48</v>
      </c>
      <c r="F7143" t="s">
        <v>199</v>
      </c>
      <c r="G7143" t="s">
        <v>46</v>
      </c>
      <c r="H7143" s="1">
        <v>43009</v>
      </c>
      <c r="I7143" s="1">
        <v>43015</v>
      </c>
      <c r="J7143">
        <v>0</v>
      </c>
    </row>
    <row r="7144" spans="1:10" x14ac:dyDescent="0.3">
      <c r="A7144" t="s">
        <v>7275</v>
      </c>
      <c r="B7144" t="s">
        <v>164</v>
      </c>
      <c r="C7144" t="str">
        <f>_xlfn.XLOOKUP(B7144,
[1]sales_teams!$A$2:$A$100,
[1]sales_teams!$B$2:$B$100)</f>
        <v>Cara Losch</v>
      </c>
      <c r="D7144" t="str">
        <f>_xlfn.XLOOKUP($B7144,sales_teams!$A$2:$A$36,sales_teams!C$2:C$36)</f>
        <v>East</v>
      </c>
      <c r="E7144" t="s">
        <v>10</v>
      </c>
      <c r="F7144" t="s">
        <v>209</v>
      </c>
      <c r="G7144" t="s">
        <v>12</v>
      </c>
      <c r="H7144" s="1">
        <v>43009</v>
      </c>
      <c r="I7144" s="1">
        <v>43011</v>
      </c>
      <c r="J7144">
        <v>1076</v>
      </c>
    </row>
    <row r="7145" spans="1:10" x14ac:dyDescent="0.3">
      <c r="A7145" t="s">
        <v>7276</v>
      </c>
      <c r="B7145" t="s">
        <v>164</v>
      </c>
      <c r="C7145" t="str">
        <f>_xlfn.XLOOKUP(B7145,
[1]sales_teams!$A$2:$A$100,
[1]sales_teams!$B$2:$B$100)</f>
        <v>Cara Losch</v>
      </c>
      <c r="D7145" t="str">
        <f>_xlfn.XLOOKUP($B7145,sales_teams!$A$2:$A$36,sales_teams!C$2:C$36)</f>
        <v>East</v>
      </c>
      <c r="E7145" t="s">
        <v>48</v>
      </c>
      <c r="F7145" t="s">
        <v>106</v>
      </c>
      <c r="G7145" t="s">
        <v>12</v>
      </c>
      <c r="H7145" s="1">
        <v>43009</v>
      </c>
      <c r="I7145" s="1">
        <v>43087</v>
      </c>
      <c r="J7145">
        <v>5528</v>
      </c>
    </row>
    <row r="7146" spans="1:10" x14ac:dyDescent="0.3">
      <c r="A7146" t="s">
        <v>7277</v>
      </c>
      <c r="B7146" t="s">
        <v>64</v>
      </c>
      <c r="C7146" t="str">
        <f>_xlfn.XLOOKUP(B7146,
[1]sales_teams!$A$2:$A$100,
[1]sales_teams!$B$2:$B$100)</f>
        <v>Rocco Neubert</v>
      </c>
      <c r="D7146" t="str">
        <f>_xlfn.XLOOKUP($B7146,sales_teams!$A$2:$A$36,sales_teams!C$2:C$36)</f>
        <v>East</v>
      </c>
      <c r="E7146" t="s">
        <v>10</v>
      </c>
      <c r="F7146" t="s">
        <v>65</v>
      </c>
      <c r="G7146" t="s">
        <v>40</v>
      </c>
      <c r="H7146" s="1">
        <v>43009</v>
      </c>
    </row>
    <row r="7147" spans="1:10" x14ac:dyDescent="0.3">
      <c r="A7147" t="s">
        <v>7278</v>
      </c>
      <c r="B7147" t="s">
        <v>64</v>
      </c>
      <c r="C7147" t="str">
        <f>_xlfn.XLOOKUP(B7147,
[1]sales_teams!$A$2:$A$100,
[1]sales_teams!$B$2:$B$100)</f>
        <v>Rocco Neubert</v>
      </c>
      <c r="D7147" t="str">
        <f>_xlfn.XLOOKUP($B7147,sales_teams!$A$2:$A$36,sales_teams!C$2:C$36)</f>
        <v>East</v>
      </c>
      <c r="E7147" t="s">
        <v>10</v>
      </c>
      <c r="F7147" t="s">
        <v>240</v>
      </c>
      <c r="G7147" t="s">
        <v>46</v>
      </c>
      <c r="H7147" s="1">
        <v>43009</v>
      </c>
      <c r="I7147" s="1">
        <v>43018</v>
      </c>
      <c r="J7147">
        <v>0</v>
      </c>
    </row>
    <row r="7148" spans="1:10" x14ac:dyDescent="0.3">
      <c r="A7148" t="s">
        <v>7279</v>
      </c>
      <c r="B7148" t="s">
        <v>64</v>
      </c>
      <c r="C7148" t="str">
        <f>_xlfn.XLOOKUP(B7148,
[1]sales_teams!$A$2:$A$100,
[1]sales_teams!$B$2:$B$100)</f>
        <v>Rocco Neubert</v>
      </c>
      <c r="D7148" t="str">
        <f>_xlfn.XLOOKUP($B7148,sales_teams!$A$2:$A$36,sales_teams!C$2:C$36)</f>
        <v>East</v>
      </c>
      <c r="E7148" t="s">
        <v>15</v>
      </c>
      <c r="F7148" t="s">
        <v>278</v>
      </c>
      <c r="G7148" t="s">
        <v>46</v>
      </c>
      <c r="H7148" s="1">
        <v>43009</v>
      </c>
      <c r="I7148" s="1">
        <v>43070</v>
      </c>
      <c r="J7148">
        <v>0</v>
      </c>
    </row>
    <row r="7149" spans="1:10" x14ac:dyDescent="0.3">
      <c r="A7149" t="s">
        <v>7280</v>
      </c>
      <c r="B7149" t="s">
        <v>14</v>
      </c>
      <c r="C7149" t="str">
        <f>_xlfn.XLOOKUP(B7149,
[1]sales_teams!$A$2:$A$100,
[1]sales_teams!$B$2:$B$100)</f>
        <v>Melvin Marxen</v>
      </c>
      <c r="D7149" t="str">
        <f>_xlfn.XLOOKUP($B7149,sales_teams!$A$2:$A$36,sales_teams!C$2:C$36)</f>
        <v>Central</v>
      </c>
      <c r="E7149" t="s">
        <v>15</v>
      </c>
      <c r="F7149" t="s">
        <v>126</v>
      </c>
      <c r="G7149" t="s">
        <v>46</v>
      </c>
      <c r="H7149" s="1">
        <v>43009</v>
      </c>
      <c r="I7149" s="1">
        <v>43016</v>
      </c>
      <c r="J7149">
        <v>0</v>
      </c>
    </row>
    <row r="7150" spans="1:10" x14ac:dyDescent="0.3">
      <c r="A7150" t="s">
        <v>7281</v>
      </c>
      <c r="B7150" t="s">
        <v>14</v>
      </c>
      <c r="C7150" t="str">
        <f>_xlfn.XLOOKUP(B7150,
[1]sales_teams!$A$2:$A$100,
[1]sales_teams!$B$2:$B$100)</f>
        <v>Melvin Marxen</v>
      </c>
      <c r="D7150" t="str">
        <f>_xlfn.XLOOKUP($B7150,sales_teams!$A$2:$A$36,sales_teams!C$2:C$36)</f>
        <v>Central</v>
      </c>
      <c r="E7150" t="s">
        <v>15</v>
      </c>
      <c r="F7150" t="s">
        <v>213</v>
      </c>
      <c r="G7150" t="s">
        <v>12</v>
      </c>
      <c r="H7150" s="1">
        <v>43009</v>
      </c>
      <c r="I7150" s="1">
        <v>43017</v>
      </c>
      <c r="J7150">
        <v>4594</v>
      </c>
    </row>
    <row r="7151" spans="1:10" x14ac:dyDescent="0.3">
      <c r="A7151" t="s">
        <v>7282</v>
      </c>
      <c r="B7151" t="s">
        <v>14</v>
      </c>
      <c r="C7151" t="str">
        <f>_xlfn.XLOOKUP(B7151,
[1]sales_teams!$A$2:$A$100,
[1]sales_teams!$B$2:$B$100)</f>
        <v>Melvin Marxen</v>
      </c>
      <c r="D7151" t="str">
        <f>_xlfn.XLOOKUP($B7151,sales_teams!$A$2:$A$36,sales_teams!C$2:C$36)</f>
        <v>Central</v>
      </c>
      <c r="E7151" t="s">
        <v>15</v>
      </c>
      <c r="F7151" t="s">
        <v>231</v>
      </c>
      <c r="G7151" t="s">
        <v>12</v>
      </c>
      <c r="H7151" s="1">
        <v>43009</v>
      </c>
      <c r="I7151" s="1">
        <v>43075</v>
      </c>
      <c r="J7151">
        <v>6166</v>
      </c>
    </row>
    <row r="7152" spans="1:10" x14ac:dyDescent="0.3">
      <c r="A7152" t="s">
        <v>7283</v>
      </c>
      <c r="B7152" t="s">
        <v>142</v>
      </c>
      <c r="C7152" t="str">
        <f>_xlfn.XLOOKUP(B7152,
[1]sales_teams!$A$2:$A$100,
[1]sales_teams!$B$2:$B$100)</f>
        <v>Rocco Neubert</v>
      </c>
      <c r="D7152" t="str">
        <f>_xlfn.XLOOKUP($B7152,sales_teams!$A$2:$A$36,sales_teams!C$2:C$36)</f>
        <v>East</v>
      </c>
      <c r="E7152" t="s">
        <v>20</v>
      </c>
      <c r="F7152" t="s">
        <v>179</v>
      </c>
      <c r="G7152" t="s">
        <v>46</v>
      </c>
      <c r="H7152" s="1">
        <v>43009</v>
      </c>
      <c r="I7152" s="1">
        <v>43015</v>
      </c>
      <c r="J7152">
        <v>0</v>
      </c>
    </row>
    <row r="7153" spans="1:10" x14ac:dyDescent="0.3">
      <c r="A7153" t="s">
        <v>7284</v>
      </c>
      <c r="B7153" t="s">
        <v>142</v>
      </c>
      <c r="C7153" t="str">
        <f>_xlfn.XLOOKUP(B7153,
[1]sales_teams!$A$2:$A$100,
[1]sales_teams!$B$2:$B$100)</f>
        <v>Rocco Neubert</v>
      </c>
      <c r="D7153" t="str">
        <f>_xlfn.XLOOKUP($B7153,sales_teams!$A$2:$A$36,sales_teams!C$2:C$36)</f>
        <v>East</v>
      </c>
      <c r="E7153" t="s">
        <v>48</v>
      </c>
      <c r="F7153" t="s">
        <v>745</v>
      </c>
      <c r="G7153" t="s">
        <v>12</v>
      </c>
      <c r="H7153" s="1">
        <v>43009</v>
      </c>
      <c r="I7153" s="1">
        <v>43099</v>
      </c>
      <c r="J7153">
        <v>5270</v>
      </c>
    </row>
    <row r="7154" spans="1:10" x14ac:dyDescent="0.3">
      <c r="A7154" t="s">
        <v>7285</v>
      </c>
      <c r="B7154" t="s">
        <v>105</v>
      </c>
      <c r="C7154" t="str">
        <f>_xlfn.XLOOKUP(B7154,
[1]sales_teams!$A$2:$A$100,
[1]sales_teams!$B$2:$B$100)</f>
        <v>Cara Losch</v>
      </c>
      <c r="D7154" t="str">
        <f>_xlfn.XLOOKUP($B7154,sales_teams!$A$2:$A$36,sales_teams!C$2:C$36)</f>
        <v>East</v>
      </c>
      <c r="E7154" t="s">
        <v>48</v>
      </c>
      <c r="F7154" t="s">
        <v>329</v>
      </c>
      <c r="G7154" t="s">
        <v>46</v>
      </c>
      <c r="H7154" s="1">
        <v>43009</v>
      </c>
      <c r="I7154" s="1">
        <v>43056</v>
      </c>
      <c r="J7154">
        <v>0</v>
      </c>
    </row>
    <row r="7155" spans="1:10" x14ac:dyDescent="0.3">
      <c r="A7155" t="s">
        <v>7286</v>
      </c>
      <c r="B7155" t="s">
        <v>54</v>
      </c>
      <c r="C7155" t="str">
        <f>_xlfn.XLOOKUP(B7155,
[1]sales_teams!$A$2:$A$100,
[1]sales_teams!$B$2:$B$100)</f>
        <v>Celia Rouche</v>
      </c>
      <c r="D7155" t="str">
        <f>_xlfn.XLOOKUP($B7155,sales_teams!$A$2:$A$36,sales_teams!C$2:C$36)</f>
        <v>West</v>
      </c>
      <c r="E7155" t="s">
        <v>10</v>
      </c>
      <c r="F7155" t="s">
        <v>93</v>
      </c>
      <c r="G7155" t="s">
        <v>46</v>
      </c>
      <c r="H7155" s="1">
        <v>43009</v>
      </c>
      <c r="I7155" s="1">
        <v>43016</v>
      </c>
      <c r="J7155">
        <v>0</v>
      </c>
    </row>
    <row r="7156" spans="1:10" x14ac:dyDescent="0.3">
      <c r="A7156" t="s">
        <v>7287</v>
      </c>
      <c r="B7156" t="s">
        <v>54</v>
      </c>
      <c r="C7156" t="str">
        <f>_xlfn.XLOOKUP(B7156,
[1]sales_teams!$A$2:$A$100,
[1]sales_teams!$B$2:$B$100)</f>
        <v>Celia Rouche</v>
      </c>
      <c r="D7156" t="str">
        <f>_xlfn.XLOOKUP($B7156,sales_teams!$A$2:$A$36,sales_teams!C$2:C$36)</f>
        <v>West</v>
      </c>
      <c r="E7156" t="s">
        <v>39</v>
      </c>
      <c r="F7156" t="s">
        <v>33</v>
      </c>
      <c r="G7156" t="s">
        <v>12</v>
      </c>
      <c r="H7156" s="1">
        <v>43009</v>
      </c>
      <c r="I7156" s="1">
        <v>43013</v>
      </c>
      <c r="J7156">
        <v>3169</v>
      </c>
    </row>
    <row r="7157" spans="1:10" x14ac:dyDescent="0.3">
      <c r="A7157" t="s">
        <v>7288</v>
      </c>
      <c r="B7157" t="s">
        <v>252</v>
      </c>
      <c r="C7157" t="str">
        <f>_xlfn.XLOOKUP(B7157,
[1]sales_teams!$A$2:$A$100,
[1]sales_teams!$B$2:$B$100)</f>
        <v>Melvin Marxen</v>
      </c>
      <c r="D7157" t="str">
        <f>_xlfn.XLOOKUP($B7157,sales_teams!$A$2:$A$36,sales_teams!C$2:C$36)</f>
        <v>Central</v>
      </c>
      <c r="E7157" t="s">
        <v>20</v>
      </c>
      <c r="F7157" t="s">
        <v>62</v>
      </c>
      <c r="G7157" t="s">
        <v>12</v>
      </c>
      <c r="H7157" s="1">
        <v>43009</v>
      </c>
      <c r="I7157" s="1">
        <v>43063</v>
      </c>
      <c r="J7157">
        <v>571</v>
      </c>
    </row>
    <row r="7158" spans="1:10" x14ac:dyDescent="0.3">
      <c r="A7158" t="s">
        <v>7289</v>
      </c>
      <c r="B7158" t="s">
        <v>78</v>
      </c>
      <c r="C7158" t="str">
        <f>_xlfn.XLOOKUP(B7158,
[1]sales_teams!$A$2:$A$100,
[1]sales_teams!$B$2:$B$100)</f>
        <v>Summer Sewald</v>
      </c>
      <c r="D7158" t="str">
        <f>_xlfn.XLOOKUP($B7158,sales_teams!$A$2:$A$36,sales_teams!C$2:C$36)</f>
        <v>West</v>
      </c>
      <c r="E7158" t="s">
        <v>20</v>
      </c>
      <c r="F7158" t="s">
        <v>148</v>
      </c>
      <c r="G7158" t="s">
        <v>46</v>
      </c>
      <c r="H7158" s="1">
        <v>43009</v>
      </c>
      <c r="I7158" s="1">
        <v>43072</v>
      </c>
      <c r="J7158">
        <v>0</v>
      </c>
    </row>
    <row r="7159" spans="1:10" x14ac:dyDescent="0.3">
      <c r="A7159" t="s">
        <v>7290</v>
      </c>
      <c r="B7159" t="s">
        <v>78</v>
      </c>
      <c r="C7159" t="str">
        <f>_xlfn.XLOOKUP(B7159,
[1]sales_teams!$A$2:$A$100,
[1]sales_teams!$B$2:$B$100)</f>
        <v>Summer Sewald</v>
      </c>
      <c r="D7159" t="str">
        <f>_xlfn.XLOOKUP($B7159,sales_teams!$A$2:$A$36,sales_teams!C$2:C$36)</f>
        <v>West</v>
      </c>
      <c r="E7159" t="s">
        <v>48</v>
      </c>
      <c r="F7159" t="s">
        <v>100</v>
      </c>
      <c r="G7159" t="s">
        <v>12</v>
      </c>
      <c r="H7159" s="1">
        <v>43009</v>
      </c>
      <c r="I7159" s="1">
        <v>43021</v>
      </c>
      <c r="J7159">
        <v>6304</v>
      </c>
    </row>
    <row r="7160" spans="1:10" x14ac:dyDescent="0.3">
      <c r="A7160" t="s">
        <v>7291</v>
      </c>
      <c r="B7160" t="s">
        <v>32</v>
      </c>
      <c r="C7160" t="str">
        <f>_xlfn.XLOOKUP(B7160,
[1]sales_teams!$A$2:$A$100,
[1]sales_teams!$B$2:$B$100)</f>
        <v>Celia Rouche</v>
      </c>
      <c r="D7160" t="str">
        <f>_xlfn.XLOOKUP($B7160,sales_teams!$A$2:$A$36,sales_teams!C$2:C$36)</f>
        <v>West</v>
      </c>
      <c r="E7160" t="s">
        <v>18</v>
      </c>
      <c r="F7160" t="s">
        <v>98</v>
      </c>
      <c r="G7160" t="s">
        <v>40</v>
      </c>
      <c r="H7160" s="1">
        <v>43009</v>
      </c>
    </row>
    <row r="7161" spans="1:10" x14ac:dyDescent="0.3">
      <c r="A7161" t="s">
        <v>7292</v>
      </c>
      <c r="B7161" t="s">
        <v>32</v>
      </c>
      <c r="C7161" t="str">
        <f>_xlfn.XLOOKUP(B7161,
[1]sales_teams!$A$2:$A$100,
[1]sales_teams!$B$2:$B$100)</f>
        <v>Celia Rouche</v>
      </c>
      <c r="D7161" t="str">
        <f>_xlfn.XLOOKUP($B7161,sales_teams!$A$2:$A$36,sales_teams!C$2:C$36)</f>
        <v>West</v>
      </c>
      <c r="E7161" t="s">
        <v>20</v>
      </c>
      <c r="F7161" t="s">
        <v>33</v>
      </c>
      <c r="G7161" t="s">
        <v>46</v>
      </c>
      <c r="H7161" s="1">
        <v>43009</v>
      </c>
      <c r="I7161" s="1">
        <v>43010</v>
      </c>
      <c r="J7161">
        <v>0</v>
      </c>
    </row>
    <row r="7162" spans="1:10" x14ac:dyDescent="0.3">
      <c r="A7162" t="s">
        <v>7293</v>
      </c>
      <c r="B7162" t="s">
        <v>32</v>
      </c>
      <c r="C7162" t="str">
        <f>_xlfn.XLOOKUP(B7162,
[1]sales_teams!$A$2:$A$100,
[1]sales_teams!$B$2:$B$100)</f>
        <v>Celia Rouche</v>
      </c>
      <c r="D7162" t="str">
        <f>_xlfn.XLOOKUP($B7162,sales_teams!$A$2:$A$36,sales_teams!C$2:C$36)</f>
        <v>West</v>
      </c>
      <c r="E7162" t="s">
        <v>15</v>
      </c>
      <c r="F7162" t="s">
        <v>398</v>
      </c>
      <c r="G7162" t="s">
        <v>46</v>
      </c>
      <c r="H7162" s="1">
        <v>43009</v>
      </c>
      <c r="I7162" s="1">
        <v>43013</v>
      </c>
      <c r="J7162">
        <v>0</v>
      </c>
    </row>
    <row r="7163" spans="1:10" x14ac:dyDescent="0.3">
      <c r="A7163" t="s">
        <v>7294</v>
      </c>
      <c r="B7163" t="s">
        <v>116</v>
      </c>
      <c r="C7163" t="str">
        <f>_xlfn.XLOOKUP(B7163,
[1]sales_teams!$A$2:$A$100,
[1]sales_teams!$B$2:$B$100)</f>
        <v>Melvin Marxen</v>
      </c>
      <c r="D7163" t="str">
        <f>_xlfn.XLOOKUP($B7163,sales_teams!$A$2:$A$36,sales_teams!C$2:C$36)</f>
        <v>Central</v>
      </c>
      <c r="E7163" t="s">
        <v>20</v>
      </c>
      <c r="F7163" t="s">
        <v>187</v>
      </c>
      <c r="G7163" t="s">
        <v>46</v>
      </c>
      <c r="H7163" s="1">
        <v>43009</v>
      </c>
      <c r="I7163" s="1">
        <v>43020</v>
      </c>
      <c r="J7163">
        <v>0</v>
      </c>
    </row>
    <row r="7164" spans="1:10" x14ac:dyDescent="0.3">
      <c r="A7164" t="s">
        <v>7295</v>
      </c>
      <c r="B7164" t="s">
        <v>116</v>
      </c>
      <c r="C7164" t="str">
        <f>_xlfn.XLOOKUP(B7164,
[1]sales_teams!$A$2:$A$100,
[1]sales_teams!$B$2:$B$100)</f>
        <v>Melvin Marxen</v>
      </c>
      <c r="D7164" t="str">
        <f>_xlfn.XLOOKUP($B7164,sales_teams!$A$2:$A$36,sales_teams!C$2:C$36)</f>
        <v>Central</v>
      </c>
      <c r="E7164" t="s">
        <v>15</v>
      </c>
      <c r="F7164" t="s">
        <v>218</v>
      </c>
      <c r="G7164" t="s">
        <v>12</v>
      </c>
      <c r="H7164" s="1">
        <v>43009</v>
      </c>
      <c r="I7164" s="1">
        <v>43084</v>
      </c>
      <c r="J7164">
        <v>4578</v>
      </c>
    </row>
    <row r="7165" spans="1:10" x14ac:dyDescent="0.3">
      <c r="A7165" t="s">
        <v>7296</v>
      </c>
      <c r="B7165" t="s">
        <v>97</v>
      </c>
      <c r="C7165" t="str">
        <f>_xlfn.XLOOKUP(B7165,
[1]sales_teams!$A$2:$A$100,
[1]sales_teams!$B$2:$B$100)</f>
        <v>Rocco Neubert</v>
      </c>
      <c r="D7165" t="str">
        <f>_xlfn.XLOOKUP($B7165,sales_teams!$A$2:$A$36,sales_teams!C$2:C$36)</f>
        <v>East</v>
      </c>
      <c r="E7165" t="s">
        <v>18</v>
      </c>
      <c r="F7165" t="s">
        <v>745</v>
      </c>
      <c r="G7165" t="s">
        <v>12</v>
      </c>
      <c r="H7165" s="1">
        <v>43009</v>
      </c>
      <c r="I7165" s="1">
        <v>43087</v>
      </c>
      <c r="J7165">
        <v>62</v>
      </c>
    </row>
    <row r="7166" spans="1:10" x14ac:dyDescent="0.3">
      <c r="A7166" t="s">
        <v>7297</v>
      </c>
      <c r="B7166" t="s">
        <v>57</v>
      </c>
      <c r="C7166" t="str">
        <f>_xlfn.XLOOKUP(B7166,
[1]sales_teams!$A$2:$A$100,
[1]sales_teams!$B$2:$B$100)</f>
        <v>Celia Rouche</v>
      </c>
      <c r="D7166" t="str">
        <f>_xlfn.XLOOKUP($B7166,sales_teams!$A$2:$A$36,sales_teams!C$2:C$36)</f>
        <v>West</v>
      </c>
      <c r="E7166" t="s">
        <v>18</v>
      </c>
      <c r="F7166" t="s">
        <v>30</v>
      </c>
      <c r="G7166" t="s">
        <v>12</v>
      </c>
      <c r="H7166" s="1">
        <v>43009</v>
      </c>
      <c r="I7166" s="1">
        <v>43016</v>
      </c>
      <c r="J7166">
        <v>51</v>
      </c>
    </row>
    <row r="7167" spans="1:10" x14ac:dyDescent="0.3">
      <c r="A7167" t="s">
        <v>7298</v>
      </c>
      <c r="B7167" t="s">
        <v>88</v>
      </c>
      <c r="C7167" t="str">
        <f>_xlfn.XLOOKUP(B7167,
[1]sales_teams!$A$2:$A$100,
[1]sales_teams!$B$2:$B$100)</f>
        <v>Cara Losch</v>
      </c>
      <c r="D7167" t="str">
        <f>_xlfn.XLOOKUP($B7167,sales_teams!$A$2:$A$36,sales_teams!C$2:C$36)</f>
        <v>East</v>
      </c>
      <c r="E7167" t="s">
        <v>15</v>
      </c>
      <c r="F7167" t="s">
        <v>745</v>
      </c>
      <c r="G7167" t="s">
        <v>12</v>
      </c>
      <c r="H7167" s="1">
        <v>43009</v>
      </c>
      <c r="I7167" s="1">
        <v>43069</v>
      </c>
      <c r="J7167">
        <v>4881</v>
      </c>
    </row>
    <row r="7168" spans="1:10" x14ac:dyDescent="0.3">
      <c r="A7168" t="s">
        <v>7299</v>
      </c>
      <c r="B7168" t="s">
        <v>29</v>
      </c>
      <c r="C7168" t="str">
        <f>_xlfn.XLOOKUP(B7168,
[1]sales_teams!$A$2:$A$100,
[1]sales_teams!$B$2:$B$100)</f>
        <v>Celia Rouche</v>
      </c>
      <c r="D7168" t="str">
        <f>_xlfn.XLOOKUP($B7168,sales_teams!$A$2:$A$36,sales_teams!C$2:C$36)</f>
        <v>West</v>
      </c>
      <c r="E7168" t="s">
        <v>20</v>
      </c>
      <c r="F7168" t="s">
        <v>122</v>
      </c>
      <c r="G7168" t="s">
        <v>12</v>
      </c>
      <c r="H7168" s="1">
        <v>43009</v>
      </c>
      <c r="I7168" s="1">
        <v>43087</v>
      </c>
      <c r="J7168">
        <v>544</v>
      </c>
    </row>
    <row r="7169" spans="1:10" x14ac:dyDescent="0.3">
      <c r="A7169" t="s">
        <v>7300</v>
      </c>
      <c r="B7169" t="s">
        <v>29</v>
      </c>
      <c r="C7169" t="str">
        <f>_xlfn.XLOOKUP(B7169,
[1]sales_teams!$A$2:$A$100,
[1]sales_teams!$B$2:$B$100)</f>
        <v>Celia Rouche</v>
      </c>
      <c r="D7169" t="str">
        <f>_xlfn.XLOOKUP($B7169,sales_teams!$A$2:$A$36,sales_teams!C$2:C$36)</f>
        <v>West</v>
      </c>
      <c r="E7169" t="s">
        <v>39</v>
      </c>
      <c r="F7169" t="s">
        <v>148</v>
      </c>
      <c r="G7169" t="s">
        <v>12</v>
      </c>
      <c r="H7169" s="1">
        <v>43009</v>
      </c>
      <c r="I7169" s="1">
        <v>43085</v>
      </c>
      <c r="J7169">
        <v>2941</v>
      </c>
    </row>
    <row r="7170" spans="1:10" x14ac:dyDescent="0.3">
      <c r="A7170" t="s">
        <v>7301</v>
      </c>
      <c r="B7170" t="s">
        <v>102</v>
      </c>
      <c r="C7170" t="str">
        <f>_xlfn.XLOOKUP(B7170,
[1]sales_teams!$A$2:$A$100,
[1]sales_teams!$B$2:$B$100)</f>
        <v>Cara Losch</v>
      </c>
      <c r="D7170" t="str">
        <f>_xlfn.XLOOKUP($B7170,sales_teams!$A$2:$A$36,sales_teams!C$2:C$36)</f>
        <v>East</v>
      </c>
      <c r="E7170" t="s">
        <v>48</v>
      </c>
      <c r="G7170" t="s">
        <v>40</v>
      </c>
      <c r="H7170" s="1">
        <v>43009</v>
      </c>
    </row>
    <row r="7171" spans="1:10" x14ac:dyDescent="0.3">
      <c r="A7171" t="s">
        <v>7302</v>
      </c>
      <c r="B7171" t="s">
        <v>102</v>
      </c>
      <c r="C7171" t="str">
        <f>_xlfn.XLOOKUP(B7171,
[1]sales_teams!$A$2:$A$100,
[1]sales_teams!$B$2:$B$100)</f>
        <v>Cara Losch</v>
      </c>
      <c r="D7171" t="str">
        <f>_xlfn.XLOOKUP($B7171,sales_teams!$A$2:$A$36,sales_teams!C$2:C$36)</f>
        <v>East</v>
      </c>
      <c r="E7171" t="s">
        <v>39</v>
      </c>
      <c r="F7171" t="s">
        <v>81</v>
      </c>
      <c r="G7171" t="s">
        <v>46</v>
      </c>
      <c r="H7171" s="1">
        <v>43009</v>
      </c>
      <c r="I7171" s="1">
        <v>43082</v>
      </c>
      <c r="J7171">
        <v>0</v>
      </c>
    </row>
    <row r="7172" spans="1:10" x14ac:dyDescent="0.3">
      <c r="A7172" t="s">
        <v>7303</v>
      </c>
      <c r="B7172" t="s">
        <v>102</v>
      </c>
      <c r="C7172" t="str">
        <f>_xlfn.XLOOKUP(B7172,
[1]sales_teams!$A$2:$A$100,
[1]sales_teams!$B$2:$B$100)</f>
        <v>Cara Losch</v>
      </c>
      <c r="D7172" t="str">
        <f>_xlfn.XLOOKUP($B7172,sales_teams!$A$2:$A$36,sales_teams!C$2:C$36)</f>
        <v>East</v>
      </c>
      <c r="E7172" t="s">
        <v>18</v>
      </c>
      <c r="F7172" t="s">
        <v>218</v>
      </c>
      <c r="G7172" t="s">
        <v>12</v>
      </c>
      <c r="H7172" s="1">
        <v>43009</v>
      </c>
      <c r="I7172" s="1">
        <v>43019</v>
      </c>
      <c r="J7172">
        <v>44</v>
      </c>
    </row>
    <row r="7173" spans="1:10" x14ac:dyDescent="0.3">
      <c r="A7173" t="s">
        <v>7304</v>
      </c>
      <c r="B7173" t="s">
        <v>23</v>
      </c>
      <c r="C7173" t="str">
        <f>_xlfn.XLOOKUP(B7173,
[1]sales_teams!$A$2:$A$100,
[1]sales_teams!$B$2:$B$100)</f>
        <v>Summer Sewald</v>
      </c>
      <c r="D7173" t="str">
        <f>_xlfn.XLOOKUP($B7173,sales_teams!$A$2:$A$36,sales_teams!C$2:C$36)</f>
        <v>West</v>
      </c>
      <c r="E7173" t="s">
        <v>48</v>
      </c>
      <c r="F7173" t="s">
        <v>224</v>
      </c>
      <c r="G7173" t="s">
        <v>12</v>
      </c>
      <c r="H7173" s="1">
        <v>43009</v>
      </c>
      <c r="I7173" s="1">
        <v>43092</v>
      </c>
      <c r="J7173">
        <v>4910</v>
      </c>
    </row>
    <row r="7174" spans="1:10" x14ac:dyDescent="0.3">
      <c r="A7174" t="s">
        <v>7305</v>
      </c>
      <c r="B7174" t="s">
        <v>26</v>
      </c>
      <c r="C7174" t="str">
        <f>_xlfn.XLOOKUP(B7174,
[1]sales_teams!$A$2:$A$100,
[1]sales_teams!$B$2:$B$100)</f>
        <v>Dustin Brinkmann</v>
      </c>
      <c r="D7174" t="str">
        <f>_xlfn.XLOOKUP($B7174,sales_teams!$A$2:$A$36,sales_teams!C$2:C$36)</f>
        <v>Central</v>
      </c>
      <c r="E7174" t="s">
        <v>48</v>
      </c>
      <c r="F7174" t="s">
        <v>76</v>
      </c>
      <c r="G7174" t="s">
        <v>46</v>
      </c>
      <c r="H7174" s="1">
        <v>43010</v>
      </c>
      <c r="I7174" s="1">
        <v>43022</v>
      </c>
      <c r="J7174">
        <v>0</v>
      </c>
    </row>
    <row r="7175" spans="1:10" x14ac:dyDescent="0.3">
      <c r="A7175" t="s">
        <v>7306</v>
      </c>
      <c r="B7175" t="s">
        <v>139</v>
      </c>
      <c r="C7175" t="str">
        <f>_xlfn.XLOOKUP(B7175,
[1]sales_teams!$A$2:$A$100,
[1]sales_teams!$B$2:$B$100)</f>
        <v>Rocco Neubert</v>
      </c>
      <c r="D7175" t="str">
        <f>_xlfn.XLOOKUP($B7175,sales_teams!$A$2:$A$36,sales_teams!C$2:C$36)</f>
        <v>East</v>
      </c>
      <c r="E7175" t="s">
        <v>10</v>
      </c>
      <c r="F7175" t="s">
        <v>199</v>
      </c>
      <c r="G7175" t="s">
        <v>46</v>
      </c>
      <c r="H7175" s="1">
        <v>43010</v>
      </c>
      <c r="I7175" s="1">
        <v>43012</v>
      </c>
      <c r="J7175">
        <v>0</v>
      </c>
    </row>
    <row r="7176" spans="1:10" x14ac:dyDescent="0.3">
      <c r="A7176" t="s">
        <v>7307</v>
      </c>
      <c r="B7176" t="s">
        <v>118</v>
      </c>
      <c r="C7176" t="str">
        <f>_xlfn.XLOOKUP(B7176,
[1]sales_teams!$A$2:$A$100,
[1]sales_teams!$B$2:$B$100)</f>
        <v>Rocco Neubert</v>
      </c>
      <c r="D7176" t="str">
        <f>_xlfn.XLOOKUP($B7176,sales_teams!$A$2:$A$36,sales_teams!C$2:C$36)</f>
        <v>East</v>
      </c>
      <c r="E7176" t="s">
        <v>48</v>
      </c>
      <c r="F7176" t="s">
        <v>165</v>
      </c>
      <c r="G7176" t="s">
        <v>12</v>
      </c>
      <c r="H7176" s="1">
        <v>43010</v>
      </c>
      <c r="I7176" s="1">
        <v>43074</v>
      </c>
      <c r="J7176">
        <v>5469</v>
      </c>
    </row>
    <row r="7177" spans="1:10" x14ac:dyDescent="0.3">
      <c r="A7177" t="s">
        <v>7308</v>
      </c>
      <c r="B7177" t="s">
        <v>202</v>
      </c>
      <c r="C7177" t="str">
        <f>_xlfn.XLOOKUP(B7177,
[1]sales_teams!$A$2:$A$100,
[1]sales_teams!$B$2:$B$100)</f>
        <v>Dustin Brinkmann</v>
      </c>
      <c r="D7177" t="str">
        <f>_xlfn.XLOOKUP($B7177,sales_teams!$A$2:$A$36,sales_teams!C$2:C$36)</f>
        <v>Central</v>
      </c>
      <c r="E7177" t="s">
        <v>39</v>
      </c>
      <c r="F7177" t="s">
        <v>231</v>
      </c>
      <c r="G7177" t="s">
        <v>46</v>
      </c>
      <c r="H7177" s="1">
        <v>43010</v>
      </c>
      <c r="I7177" s="1">
        <v>43011</v>
      </c>
      <c r="J7177">
        <v>0</v>
      </c>
    </row>
    <row r="7178" spans="1:10" x14ac:dyDescent="0.3">
      <c r="A7178" t="s">
        <v>7309</v>
      </c>
      <c r="B7178" t="s">
        <v>202</v>
      </c>
      <c r="C7178" t="str">
        <f>_xlfn.XLOOKUP(B7178,
[1]sales_teams!$A$2:$A$100,
[1]sales_teams!$B$2:$B$100)</f>
        <v>Dustin Brinkmann</v>
      </c>
      <c r="D7178" t="str">
        <f>_xlfn.XLOOKUP($B7178,sales_teams!$A$2:$A$36,sales_teams!C$2:C$36)</f>
        <v>Central</v>
      </c>
      <c r="E7178" t="s">
        <v>39</v>
      </c>
      <c r="F7178" t="s">
        <v>62</v>
      </c>
      <c r="G7178" t="s">
        <v>46</v>
      </c>
      <c r="H7178" s="1">
        <v>43010</v>
      </c>
      <c r="I7178" s="1">
        <v>43089</v>
      </c>
      <c r="J7178">
        <v>0</v>
      </c>
    </row>
    <row r="7179" spans="1:10" x14ac:dyDescent="0.3">
      <c r="A7179" t="s">
        <v>7310</v>
      </c>
      <c r="B7179" t="s">
        <v>202</v>
      </c>
      <c r="C7179" t="str">
        <f>_xlfn.XLOOKUP(B7179,
[1]sales_teams!$A$2:$A$100,
[1]sales_teams!$B$2:$B$100)</f>
        <v>Dustin Brinkmann</v>
      </c>
      <c r="D7179" t="str">
        <f>_xlfn.XLOOKUP($B7179,sales_teams!$A$2:$A$36,sales_teams!C$2:C$36)</f>
        <v>Central</v>
      </c>
      <c r="E7179" t="s">
        <v>20</v>
      </c>
      <c r="F7179" t="s">
        <v>36</v>
      </c>
      <c r="G7179" t="s">
        <v>12</v>
      </c>
      <c r="H7179" s="1">
        <v>43010</v>
      </c>
      <c r="I7179" s="1">
        <v>43076</v>
      </c>
      <c r="J7179">
        <v>568</v>
      </c>
    </row>
    <row r="7180" spans="1:10" x14ac:dyDescent="0.3">
      <c r="A7180" t="s">
        <v>7311</v>
      </c>
      <c r="B7180" t="s">
        <v>14</v>
      </c>
      <c r="C7180" t="str">
        <f>_xlfn.XLOOKUP(B7180,
[1]sales_teams!$A$2:$A$100,
[1]sales_teams!$B$2:$B$100)</f>
        <v>Melvin Marxen</v>
      </c>
      <c r="D7180" t="str">
        <f>_xlfn.XLOOKUP($B7180,sales_teams!$A$2:$A$36,sales_teams!C$2:C$36)</f>
        <v>Central</v>
      </c>
      <c r="E7180" t="s">
        <v>10</v>
      </c>
      <c r="F7180" t="s">
        <v>11</v>
      </c>
      <c r="G7180" t="s">
        <v>46</v>
      </c>
      <c r="H7180" s="1">
        <v>43010</v>
      </c>
      <c r="I7180" s="1">
        <v>43020</v>
      </c>
      <c r="J7180">
        <v>0</v>
      </c>
    </row>
    <row r="7181" spans="1:10" x14ac:dyDescent="0.3">
      <c r="A7181" t="s">
        <v>7312</v>
      </c>
      <c r="B7181" t="s">
        <v>14</v>
      </c>
      <c r="C7181" t="str">
        <f>_xlfn.XLOOKUP(B7181,
[1]sales_teams!$A$2:$A$100,
[1]sales_teams!$B$2:$B$100)</f>
        <v>Melvin Marxen</v>
      </c>
      <c r="D7181" t="str">
        <f>_xlfn.XLOOKUP($B7181,sales_teams!$A$2:$A$36,sales_teams!C$2:C$36)</f>
        <v>Central</v>
      </c>
      <c r="E7181" t="s">
        <v>39</v>
      </c>
      <c r="F7181" t="s">
        <v>45</v>
      </c>
      <c r="G7181" t="s">
        <v>46</v>
      </c>
      <c r="H7181" s="1">
        <v>43010</v>
      </c>
      <c r="I7181" s="1">
        <v>43017</v>
      </c>
      <c r="J7181">
        <v>0</v>
      </c>
    </row>
    <row r="7182" spans="1:10" x14ac:dyDescent="0.3">
      <c r="A7182" t="s">
        <v>7313</v>
      </c>
      <c r="B7182" t="s">
        <v>14</v>
      </c>
      <c r="C7182" t="str">
        <f>_xlfn.XLOOKUP(B7182,
[1]sales_teams!$A$2:$A$100,
[1]sales_teams!$B$2:$B$100)</f>
        <v>Melvin Marxen</v>
      </c>
      <c r="D7182" t="str">
        <f>_xlfn.XLOOKUP($B7182,sales_teams!$A$2:$A$36,sales_teams!C$2:C$36)</f>
        <v>Central</v>
      </c>
      <c r="E7182" t="s">
        <v>48</v>
      </c>
      <c r="F7182" t="s">
        <v>21</v>
      </c>
      <c r="G7182" t="s">
        <v>12</v>
      </c>
      <c r="H7182" s="1">
        <v>43010</v>
      </c>
      <c r="I7182" s="1">
        <v>43012</v>
      </c>
      <c r="J7182">
        <v>5263</v>
      </c>
    </row>
    <row r="7183" spans="1:10" x14ac:dyDescent="0.3">
      <c r="A7183" t="s">
        <v>7314</v>
      </c>
      <c r="B7183" t="s">
        <v>14</v>
      </c>
      <c r="C7183" t="str">
        <f>_xlfn.XLOOKUP(B7183,
[1]sales_teams!$A$2:$A$100,
[1]sales_teams!$B$2:$B$100)</f>
        <v>Melvin Marxen</v>
      </c>
      <c r="D7183" t="str">
        <f>_xlfn.XLOOKUP($B7183,sales_teams!$A$2:$A$36,sales_teams!C$2:C$36)</f>
        <v>Central</v>
      </c>
      <c r="E7183" t="s">
        <v>15</v>
      </c>
      <c r="F7183" t="s">
        <v>170</v>
      </c>
      <c r="G7183" t="s">
        <v>12</v>
      </c>
      <c r="H7183" s="1">
        <v>43010</v>
      </c>
      <c r="I7183" s="1">
        <v>43017</v>
      </c>
      <c r="J7183">
        <v>4201</v>
      </c>
    </row>
    <row r="7184" spans="1:10" x14ac:dyDescent="0.3">
      <c r="A7184" t="s">
        <v>7315</v>
      </c>
      <c r="B7184" t="s">
        <v>252</v>
      </c>
      <c r="C7184" t="str">
        <f>_xlfn.XLOOKUP(B7184,
[1]sales_teams!$A$2:$A$100,
[1]sales_teams!$B$2:$B$100)</f>
        <v>Melvin Marxen</v>
      </c>
      <c r="D7184" t="str">
        <f>_xlfn.XLOOKUP($B7184,sales_teams!$A$2:$A$36,sales_teams!C$2:C$36)</f>
        <v>Central</v>
      </c>
      <c r="E7184" t="s">
        <v>20</v>
      </c>
      <c r="F7184" t="s">
        <v>76</v>
      </c>
      <c r="G7184" t="s">
        <v>46</v>
      </c>
      <c r="H7184" s="1">
        <v>43010</v>
      </c>
      <c r="I7184" s="1">
        <v>43015</v>
      </c>
      <c r="J7184">
        <v>0</v>
      </c>
    </row>
    <row r="7185" spans="1:10" x14ac:dyDescent="0.3">
      <c r="A7185" t="s">
        <v>7316</v>
      </c>
      <c r="B7185" t="s">
        <v>252</v>
      </c>
      <c r="C7185" t="str">
        <f>_xlfn.XLOOKUP(B7185,
[1]sales_teams!$A$2:$A$100,
[1]sales_teams!$B$2:$B$100)</f>
        <v>Melvin Marxen</v>
      </c>
      <c r="D7185" t="str">
        <f>_xlfn.XLOOKUP($B7185,sales_teams!$A$2:$A$36,sales_teams!C$2:C$36)</f>
        <v>Central</v>
      </c>
      <c r="E7185" t="s">
        <v>10</v>
      </c>
      <c r="F7185" t="s">
        <v>91</v>
      </c>
      <c r="G7185" t="s">
        <v>46</v>
      </c>
      <c r="H7185" s="1">
        <v>43010</v>
      </c>
      <c r="I7185" s="1">
        <v>43086</v>
      </c>
      <c r="J7185">
        <v>0</v>
      </c>
    </row>
    <row r="7186" spans="1:10" x14ac:dyDescent="0.3">
      <c r="A7186" t="s">
        <v>7317</v>
      </c>
      <c r="B7186" t="s">
        <v>252</v>
      </c>
      <c r="C7186" t="str">
        <f>_xlfn.XLOOKUP(B7186,
[1]sales_teams!$A$2:$A$100,
[1]sales_teams!$B$2:$B$100)</f>
        <v>Melvin Marxen</v>
      </c>
      <c r="D7186" t="str">
        <f>_xlfn.XLOOKUP($B7186,sales_teams!$A$2:$A$36,sales_teams!C$2:C$36)</f>
        <v>Central</v>
      </c>
      <c r="E7186" t="s">
        <v>10</v>
      </c>
      <c r="F7186" t="s">
        <v>197</v>
      </c>
      <c r="G7186" t="s">
        <v>46</v>
      </c>
      <c r="H7186" s="1">
        <v>43010</v>
      </c>
      <c r="I7186" s="1">
        <v>43018</v>
      </c>
      <c r="J7186">
        <v>0</v>
      </c>
    </row>
    <row r="7187" spans="1:10" x14ac:dyDescent="0.3">
      <c r="A7187" t="s">
        <v>7318</v>
      </c>
      <c r="B7187" t="s">
        <v>252</v>
      </c>
      <c r="C7187" t="str">
        <f>_xlfn.XLOOKUP(B7187,
[1]sales_teams!$A$2:$A$100,
[1]sales_teams!$B$2:$B$100)</f>
        <v>Melvin Marxen</v>
      </c>
      <c r="D7187" t="str">
        <f>_xlfn.XLOOKUP($B7187,sales_teams!$A$2:$A$36,sales_teams!C$2:C$36)</f>
        <v>Central</v>
      </c>
      <c r="E7187" t="s">
        <v>10</v>
      </c>
      <c r="F7187" t="s">
        <v>16</v>
      </c>
      <c r="G7187" t="s">
        <v>46</v>
      </c>
      <c r="H7187" s="1">
        <v>43010</v>
      </c>
      <c r="I7187" s="1">
        <v>43087</v>
      </c>
      <c r="J7187">
        <v>0</v>
      </c>
    </row>
    <row r="7188" spans="1:10" x14ac:dyDescent="0.3">
      <c r="A7188" t="s">
        <v>7319</v>
      </c>
      <c r="B7188" t="s">
        <v>78</v>
      </c>
      <c r="C7188" t="str">
        <f>_xlfn.XLOOKUP(B7188,
[1]sales_teams!$A$2:$A$100,
[1]sales_teams!$B$2:$B$100)</f>
        <v>Summer Sewald</v>
      </c>
      <c r="D7188" t="str">
        <f>_xlfn.XLOOKUP($B7188,sales_teams!$A$2:$A$36,sales_teams!C$2:C$36)</f>
        <v>West</v>
      </c>
      <c r="E7188" t="s">
        <v>15</v>
      </c>
      <c r="F7188" t="s">
        <v>398</v>
      </c>
      <c r="G7188" t="s">
        <v>46</v>
      </c>
      <c r="H7188" s="1">
        <v>43010</v>
      </c>
      <c r="I7188" s="1">
        <v>43012</v>
      </c>
      <c r="J7188">
        <v>0</v>
      </c>
    </row>
    <row r="7189" spans="1:10" x14ac:dyDescent="0.3">
      <c r="A7189" t="s">
        <v>7320</v>
      </c>
      <c r="B7189" t="s">
        <v>78</v>
      </c>
      <c r="C7189" t="str">
        <f>_xlfn.XLOOKUP(B7189,
[1]sales_teams!$A$2:$A$100,
[1]sales_teams!$B$2:$B$100)</f>
        <v>Summer Sewald</v>
      </c>
      <c r="D7189" t="str">
        <f>_xlfn.XLOOKUP($B7189,sales_teams!$A$2:$A$36,sales_teams!C$2:C$36)</f>
        <v>West</v>
      </c>
      <c r="E7189" t="s">
        <v>10</v>
      </c>
      <c r="F7189" t="s">
        <v>49</v>
      </c>
      <c r="G7189" t="s">
        <v>12</v>
      </c>
      <c r="H7189" s="1">
        <v>43010</v>
      </c>
      <c r="I7189" s="1">
        <v>43011</v>
      </c>
      <c r="J7189">
        <v>1048</v>
      </c>
    </row>
    <row r="7190" spans="1:10" x14ac:dyDescent="0.3">
      <c r="A7190" t="s">
        <v>7321</v>
      </c>
      <c r="B7190" t="s">
        <v>95</v>
      </c>
      <c r="C7190" t="str">
        <f>_xlfn.XLOOKUP(B7190,
[1]sales_teams!$A$2:$A$100,
[1]sales_teams!$B$2:$B$100)</f>
        <v>Summer Sewald</v>
      </c>
      <c r="D7190" t="str">
        <f>_xlfn.XLOOKUP($B7190,sales_teams!$A$2:$A$36,sales_teams!C$2:C$36)</f>
        <v>West</v>
      </c>
      <c r="E7190" t="s">
        <v>20</v>
      </c>
      <c r="F7190" t="s">
        <v>24</v>
      </c>
      <c r="G7190" t="s">
        <v>12</v>
      </c>
      <c r="H7190" s="1">
        <v>43010</v>
      </c>
      <c r="I7190" s="1">
        <v>43043</v>
      </c>
      <c r="J7190">
        <v>631</v>
      </c>
    </row>
    <row r="7191" spans="1:10" x14ac:dyDescent="0.3">
      <c r="A7191" t="s">
        <v>7322</v>
      </c>
      <c r="B7191" t="s">
        <v>133</v>
      </c>
      <c r="C7191" t="str">
        <f>_xlfn.XLOOKUP(B7191,
[1]sales_teams!$A$2:$A$100,
[1]sales_teams!$B$2:$B$100)</f>
        <v>Dustin Brinkmann</v>
      </c>
      <c r="D7191" t="str">
        <f>_xlfn.XLOOKUP($B7191,sales_teams!$A$2:$A$36,sales_teams!C$2:C$36)</f>
        <v>Central</v>
      </c>
      <c r="E7191" t="s">
        <v>39</v>
      </c>
      <c r="F7191" t="s">
        <v>315</v>
      </c>
      <c r="G7191" t="s">
        <v>46</v>
      </c>
      <c r="H7191" s="1">
        <v>43010</v>
      </c>
      <c r="I7191" s="1">
        <v>43021</v>
      </c>
      <c r="J7191">
        <v>0</v>
      </c>
    </row>
    <row r="7192" spans="1:10" x14ac:dyDescent="0.3">
      <c r="A7192" t="s">
        <v>7323</v>
      </c>
      <c r="B7192" t="s">
        <v>133</v>
      </c>
      <c r="C7192" t="str">
        <f>_xlfn.XLOOKUP(B7192,
[1]sales_teams!$A$2:$A$100,
[1]sales_teams!$B$2:$B$100)</f>
        <v>Dustin Brinkmann</v>
      </c>
      <c r="D7192" t="str">
        <f>_xlfn.XLOOKUP($B7192,sales_teams!$A$2:$A$36,sales_teams!C$2:C$36)</f>
        <v>Central</v>
      </c>
      <c r="E7192" t="s">
        <v>20</v>
      </c>
      <c r="F7192" t="s">
        <v>303</v>
      </c>
      <c r="G7192" t="s">
        <v>12</v>
      </c>
      <c r="H7192" s="1">
        <v>43010</v>
      </c>
      <c r="I7192" s="1">
        <v>43020</v>
      </c>
      <c r="J7192">
        <v>536</v>
      </c>
    </row>
    <row r="7193" spans="1:10" x14ac:dyDescent="0.3">
      <c r="A7193" t="s">
        <v>7324</v>
      </c>
      <c r="B7193" t="s">
        <v>133</v>
      </c>
      <c r="C7193" t="str">
        <f>_xlfn.XLOOKUP(B7193,
[1]sales_teams!$A$2:$A$100,
[1]sales_teams!$B$2:$B$100)</f>
        <v>Dustin Brinkmann</v>
      </c>
      <c r="D7193" t="str">
        <f>_xlfn.XLOOKUP($B7193,sales_teams!$A$2:$A$36,sales_teams!C$2:C$36)</f>
        <v>Central</v>
      </c>
      <c r="E7193" t="s">
        <v>10</v>
      </c>
      <c r="F7193" t="s">
        <v>45</v>
      </c>
      <c r="G7193" t="s">
        <v>12</v>
      </c>
      <c r="H7193" s="1">
        <v>43010</v>
      </c>
      <c r="I7193" s="1">
        <v>43087</v>
      </c>
      <c r="J7193">
        <v>1127</v>
      </c>
    </row>
    <row r="7194" spans="1:10" x14ac:dyDescent="0.3">
      <c r="A7194" t="s">
        <v>7325</v>
      </c>
      <c r="B7194" t="s">
        <v>116</v>
      </c>
      <c r="C7194" t="str">
        <f>_xlfn.XLOOKUP(B7194,
[1]sales_teams!$A$2:$A$100,
[1]sales_teams!$B$2:$B$100)</f>
        <v>Melvin Marxen</v>
      </c>
      <c r="D7194" t="str">
        <f>_xlfn.XLOOKUP($B7194,sales_teams!$A$2:$A$36,sales_teams!C$2:C$36)</f>
        <v>Central</v>
      </c>
      <c r="E7194" t="s">
        <v>10</v>
      </c>
      <c r="F7194" t="s">
        <v>27</v>
      </c>
      <c r="G7194" t="s">
        <v>46</v>
      </c>
      <c r="H7194" s="1">
        <v>43010</v>
      </c>
      <c r="I7194" s="1">
        <v>43012</v>
      </c>
      <c r="J7194">
        <v>0</v>
      </c>
    </row>
    <row r="7195" spans="1:10" x14ac:dyDescent="0.3">
      <c r="A7195" t="s">
        <v>7326</v>
      </c>
      <c r="B7195" t="s">
        <v>116</v>
      </c>
      <c r="C7195" t="str">
        <f>_xlfn.XLOOKUP(B7195,
[1]sales_teams!$A$2:$A$100,
[1]sales_teams!$B$2:$B$100)</f>
        <v>Melvin Marxen</v>
      </c>
      <c r="D7195" t="str">
        <f>_xlfn.XLOOKUP($B7195,sales_teams!$A$2:$A$36,sales_teams!C$2:C$36)</f>
        <v>Central</v>
      </c>
      <c r="E7195" t="s">
        <v>18</v>
      </c>
      <c r="F7195" t="s">
        <v>11</v>
      </c>
      <c r="G7195" t="s">
        <v>12</v>
      </c>
      <c r="H7195" s="1">
        <v>43010</v>
      </c>
      <c r="I7195" s="1">
        <v>43017</v>
      </c>
      <c r="J7195">
        <v>56</v>
      </c>
    </row>
    <row r="7196" spans="1:10" x14ac:dyDescent="0.3">
      <c r="A7196" t="s">
        <v>7327</v>
      </c>
      <c r="B7196" t="s">
        <v>51</v>
      </c>
      <c r="C7196" t="str">
        <f>_xlfn.XLOOKUP(B7196,
[1]sales_teams!$A$2:$A$100,
[1]sales_teams!$B$2:$B$100)</f>
        <v>Summer Sewald</v>
      </c>
      <c r="D7196" t="str">
        <f>_xlfn.XLOOKUP($B7196,sales_teams!$A$2:$A$36,sales_teams!C$2:C$36)</f>
        <v>West</v>
      </c>
      <c r="E7196" t="s">
        <v>20</v>
      </c>
      <c r="F7196" t="s">
        <v>315</v>
      </c>
      <c r="G7196" t="s">
        <v>46</v>
      </c>
      <c r="H7196" s="1">
        <v>43010</v>
      </c>
      <c r="I7196" s="1">
        <v>43084</v>
      </c>
      <c r="J7196">
        <v>0</v>
      </c>
    </row>
    <row r="7197" spans="1:10" x14ac:dyDescent="0.3">
      <c r="A7197" t="s">
        <v>7328</v>
      </c>
      <c r="B7197" t="s">
        <v>97</v>
      </c>
      <c r="C7197" t="str">
        <f>_xlfn.XLOOKUP(B7197,
[1]sales_teams!$A$2:$A$100,
[1]sales_teams!$B$2:$B$100)</f>
        <v>Rocco Neubert</v>
      </c>
      <c r="D7197" t="str">
        <f>_xlfn.XLOOKUP($B7197,sales_teams!$A$2:$A$36,sales_teams!C$2:C$36)</f>
        <v>East</v>
      </c>
      <c r="E7197" t="s">
        <v>15</v>
      </c>
      <c r="F7197" t="s">
        <v>745</v>
      </c>
      <c r="G7197" t="s">
        <v>12</v>
      </c>
      <c r="H7197" s="1">
        <v>43010</v>
      </c>
      <c r="I7197" s="1">
        <v>43018</v>
      </c>
      <c r="J7197">
        <v>4186</v>
      </c>
    </row>
    <row r="7198" spans="1:10" x14ac:dyDescent="0.3">
      <c r="A7198" t="s">
        <v>7329</v>
      </c>
      <c r="B7198" t="s">
        <v>97</v>
      </c>
      <c r="C7198" t="str">
        <f>_xlfn.XLOOKUP(B7198,
[1]sales_teams!$A$2:$A$100,
[1]sales_teams!$B$2:$B$100)</f>
        <v>Rocco Neubert</v>
      </c>
      <c r="D7198" t="str">
        <f>_xlfn.XLOOKUP($B7198,sales_teams!$A$2:$A$36,sales_teams!C$2:C$36)</f>
        <v>East</v>
      </c>
      <c r="E7198" t="s">
        <v>39</v>
      </c>
      <c r="F7198" t="s">
        <v>199</v>
      </c>
      <c r="G7198" t="s">
        <v>12</v>
      </c>
      <c r="H7198" s="1">
        <v>43010</v>
      </c>
      <c r="I7198" s="1">
        <v>43020</v>
      </c>
      <c r="J7198">
        <v>3670</v>
      </c>
    </row>
    <row r="7199" spans="1:10" x14ac:dyDescent="0.3">
      <c r="A7199" t="s">
        <v>7330</v>
      </c>
      <c r="B7199" t="s">
        <v>97</v>
      </c>
      <c r="C7199" t="str">
        <f>_xlfn.XLOOKUP(B7199,
[1]sales_teams!$A$2:$A$100,
[1]sales_teams!$B$2:$B$100)</f>
        <v>Rocco Neubert</v>
      </c>
      <c r="D7199" t="str">
        <f>_xlfn.XLOOKUP($B7199,sales_teams!$A$2:$A$36,sales_teams!C$2:C$36)</f>
        <v>East</v>
      </c>
      <c r="E7199" t="s">
        <v>39</v>
      </c>
      <c r="F7199" t="s">
        <v>189</v>
      </c>
      <c r="G7199" t="s">
        <v>12</v>
      </c>
      <c r="H7199" s="1">
        <v>43010</v>
      </c>
      <c r="I7199" s="1">
        <v>43020</v>
      </c>
      <c r="J7199">
        <v>3482</v>
      </c>
    </row>
    <row r="7200" spans="1:10" x14ac:dyDescent="0.3">
      <c r="A7200" t="s">
        <v>7331</v>
      </c>
      <c r="B7200" t="s">
        <v>88</v>
      </c>
      <c r="C7200" t="str">
        <f>_xlfn.XLOOKUP(B7200,
[1]sales_teams!$A$2:$A$100,
[1]sales_teams!$B$2:$B$100)</f>
        <v>Cara Losch</v>
      </c>
      <c r="D7200" t="str">
        <f>_xlfn.XLOOKUP($B7200,sales_teams!$A$2:$A$36,sales_teams!C$2:C$36)</f>
        <v>East</v>
      </c>
      <c r="E7200" t="s">
        <v>10</v>
      </c>
      <c r="F7200" t="s">
        <v>237</v>
      </c>
      <c r="G7200" t="s">
        <v>46</v>
      </c>
      <c r="H7200" s="1">
        <v>43010</v>
      </c>
      <c r="I7200" s="1">
        <v>43020</v>
      </c>
      <c r="J7200">
        <v>0</v>
      </c>
    </row>
    <row r="7201" spans="1:10" x14ac:dyDescent="0.3">
      <c r="A7201" t="s">
        <v>7332</v>
      </c>
      <c r="B7201" t="s">
        <v>61</v>
      </c>
      <c r="C7201" t="str">
        <f>_xlfn.XLOOKUP(B7201,
[1]sales_teams!$A$2:$A$100,
[1]sales_teams!$B$2:$B$100)</f>
        <v>Dustin Brinkmann</v>
      </c>
      <c r="D7201" t="str">
        <f>_xlfn.XLOOKUP($B7201,sales_teams!$A$2:$A$36,sales_teams!C$2:C$36)</f>
        <v>Central</v>
      </c>
      <c r="E7201" t="s">
        <v>18</v>
      </c>
      <c r="F7201" t="s">
        <v>135</v>
      </c>
      <c r="G7201" t="s">
        <v>46</v>
      </c>
      <c r="H7201" s="1">
        <v>43010</v>
      </c>
      <c r="I7201" s="1">
        <v>43012</v>
      </c>
      <c r="J7201">
        <v>0</v>
      </c>
    </row>
    <row r="7202" spans="1:10" x14ac:dyDescent="0.3">
      <c r="A7202" t="s">
        <v>7333</v>
      </c>
      <c r="B7202" t="s">
        <v>73</v>
      </c>
      <c r="C7202" t="str">
        <f>_xlfn.XLOOKUP(B7202,
[1]sales_teams!$A$2:$A$100,
[1]sales_teams!$B$2:$B$100)</f>
        <v>Cara Losch</v>
      </c>
      <c r="D7202" t="str">
        <f>_xlfn.XLOOKUP($B7202,sales_teams!$A$2:$A$36,sales_teams!C$2:C$36)</f>
        <v>East</v>
      </c>
      <c r="E7202" t="s">
        <v>18</v>
      </c>
      <c r="F7202" t="s">
        <v>179</v>
      </c>
      <c r="G7202" t="s">
        <v>12</v>
      </c>
      <c r="H7202" s="1">
        <v>43010</v>
      </c>
      <c r="I7202" s="1">
        <v>43019</v>
      </c>
      <c r="J7202">
        <v>50</v>
      </c>
    </row>
    <row r="7203" spans="1:10" x14ac:dyDescent="0.3">
      <c r="A7203" t="s">
        <v>7334</v>
      </c>
      <c r="B7203" t="s">
        <v>73</v>
      </c>
      <c r="C7203" t="str">
        <f>_xlfn.XLOOKUP(B7203,
[1]sales_teams!$A$2:$A$100,
[1]sales_teams!$B$2:$B$100)</f>
        <v>Cara Losch</v>
      </c>
      <c r="D7203" t="str">
        <f>_xlfn.XLOOKUP($B7203,sales_teams!$A$2:$A$36,sales_teams!C$2:C$36)</f>
        <v>East</v>
      </c>
      <c r="E7203" t="s">
        <v>39</v>
      </c>
      <c r="F7203" t="s">
        <v>222</v>
      </c>
      <c r="G7203" t="s">
        <v>12</v>
      </c>
      <c r="H7203" s="1">
        <v>43010</v>
      </c>
      <c r="I7203" s="1">
        <v>43100</v>
      </c>
      <c r="J7203">
        <v>3629</v>
      </c>
    </row>
    <row r="7204" spans="1:10" x14ac:dyDescent="0.3">
      <c r="A7204" t="s">
        <v>7335</v>
      </c>
      <c r="B7204" t="s">
        <v>23</v>
      </c>
      <c r="C7204" t="str">
        <f>_xlfn.XLOOKUP(B7204,
[1]sales_teams!$A$2:$A$100,
[1]sales_teams!$B$2:$B$100)</f>
        <v>Summer Sewald</v>
      </c>
      <c r="D7204" t="str">
        <f>_xlfn.XLOOKUP($B7204,sales_teams!$A$2:$A$36,sales_teams!C$2:C$36)</f>
        <v>West</v>
      </c>
      <c r="E7204" t="s">
        <v>20</v>
      </c>
      <c r="F7204" t="s">
        <v>315</v>
      </c>
      <c r="G7204" t="s">
        <v>46</v>
      </c>
      <c r="H7204" s="1">
        <v>43010</v>
      </c>
      <c r="I7204" s="1">
        <v>43011</v>
      </c>
      <c r="J7204">
        <v>0</v>
      </c>
    </row>
    <row r="7205" spans="1:10" x14ac:dyDescent="0.3">
      <c r="A7205" t="s">
        <v>7336</v>
      </c>
      <c r="B7205" t="s">
        <v>23</v>
      </c>
      <c r="C7205" t="str">
        <f>_xlfn.XLOOKUP(B7205,
[1]sales_teams!$A$2:$A$100,
[1]sales_teams!$B$2:$B$100)</f>
        <v>Summer Sewald</v>
      </c>
      <c r="D7205" t="str">
        <f>_xlfn.XLOOKUP($B7205,sales_teams!$A$2:$A$36,sales_teams!C$2:C$36)</f>
        <v>West</v>
      </c>
      <c r="E7205" t="s">
        <v>15</v>
      </c>
      <c r="F7205" t="s">
        <v>398</v>
      </c>
      <c r="G7205" t="s">
        <v>46</v>
      </c>
      <c r="H7205" s="1">
        <v>43010</v>
      </c>
      <c r="I7205" s="1">
        <v>43019</v>
      </c>
      <c r="J7205">
        <v>0</v>
      </c>
    </row>
    <row r="7206" spans="1:10" x14ac:dyDescent="0.3">
      <c r="A7206" t="s">
        <v>7337</v>
      </c>
      <c r="B7206" t="s">
        <v>23</v>
      </c>
      <c r="C7206" t="str">
        <f>_xlfn.XLOOKUP(B7206,
[1]sales_teams!$A$2:$A$100,
[1]sales_teams!$B$2:$B$100)</f>
        <v>Summer Sewald</v>
      </c>
      <c r="D7206" t="str">
        <f>_xlfn.XLOOKUP($B7206,sales_teams!$A$2:$A$36,sales_teams!C$2:C$36)</f>
        <v>West</v>
      </c>
      <c r="E7206" t="s">
        <v>20</v>
      </c>
      <c r="F7206" t="s">
        <v>218</v>
      </c>
      <c r="G7206" t="s">
        <v>12</v>
      </c>
      <c r="H7206" s="1">
        <v>43010</v>
      </c>
      <c r="I7206" s="1">
        <v>43020</v>
      </c>
      <c r="J7206">
        <v>544</v>
      </c>
    </row>
    <row r="7207" spans="1:10" x14ac:dyDescent="0.3">
      <c r="A7207" t="s">
        <v>7338</v>
      </c>
      <c r="B7207" t="s">
        <v>26</v>
      </c>
      <c r="C7207" t="str">
        <f>_xlfn.XLOOKUP(B7207,
[1]sales_teams!$A$2:$A$100,
[1]sales_teams!$B$2:$B$100)</f>
        <v>Dustin Brinkmann</v>
      </c>
      <c r="D7207" t="str">
        <f>_xlfn.XLOOKUP($B7207,sales_teams!$A$2:$A$36,sales_teams!C$2:C$36)</f>
        <v>Central</v>
      </c>
      <c r="E7207" t="s">
        <v>48</v>
      </c>
      <c r="F7207" t="s">
        <v>126</v>
      </c>
      <c r="G7207" t="s">
        <v>46</v>
      </c>
      <c r="H7207" s="1">
        <v>43011</v>
      </c>
      <c r="I7207" s="1">
        <v>43017</v>
      </c>
      <c r="J7207">
        <v>0</v>
      </c>
    </row>
    <row r="7208" spans="1:10" x14ac:dyDescent="0.3">
      <c r="A7208" t="s">
        <v>7339</v>
      </c>
      <c r="B7208" t="s">
        <v>202</v>
      </c>
      <c r="C7208" t="str">
        <f>_xlfn.XLOOKUP(B7208,
[1]sales_teams!$A$2:$A$100,
[1]sales_teams!$B$2:$B$100)</f>
        <v>Dustin Brinkmann</v>
      </c>
      <c r="D7208" t="str">
        <f>_xlfn.XLOOKUP($B7208,sales_teams!$A$2:$A$36,sales_teams!C$2:C$36)</f>
        <v>Central</v>
      </c>
      <c r="E7208" t="s">
        <v>39</v>
      </c>
      <c r="F7208" t="s">
        <v>111</v>
      </c>
      <c r="G7208" t="s">
        <v>12</v>
      </c>
      <c r="H7208" s="1">
        <v>43011</v>
      </c>
      <c r="I7208" s="1">
        <v>43018</v>
      </c>
      <c r="J7208">
        <v>3415</v>
      </c>
    </row>
    <row r="7209" spans="1:10" x14ac:dyDescent="0.3">
      <c r="A7209" t="s">
        <v>7340</v>
      </c>
      <c r="B7209" t="s">
        <v>164</v>
      </c>
      <c r="C7209" t="str">
        <f>_xlfn.XLOOKUP(B7209,
[1]sales_teams!$A$2:$A$100,
[1]sales_teams!$B$2:$B$100)</f>
        <v>Cara Losch</v>
      </c>
      <c r="D7209" t="str">
        <f>_xlfn.XLOOKUP($B7209,sales_teams!$A$2:$A$36,sales_teams!C$2:C$36)</f>
        <v>East</v>
      </c>
      <c r="E7209" t="s">
        <v>20</v>
      </c>
      <c r="F7209" t="s">
        <v>192</v>
      </c>
      <c r="G7209" t="s">
        <v>12</v>
      </c>
      <c r="H7209" s="1">
        <v>43011</v>
      </c>
      <c r="I7209" s="1">
        <v>43012</v>
      </c>
      <c r="J7209">
        <v>616</v>
      </c>
    </row>
    <row r="7210" spans="1:10" x14ac:dyDescent="0.3">
      <c r="A7210" t="s">
        <v>7341</v>
      </c>
      <c r="B7210" t="s">
        <v>64</v>
      </c>
      <c r="C7210" t="str">
        <f>_xlfn.XLOOKUP(B7210,
[1]sales_teams!$A$2:$A$100,
[1]sales_teams!$B$2:$B$100)</f>
        <v>Rocco Neubert</v>
      </c>
      <c r="D7210" t="str">
        <f>_xlfn.XLOOKUP($B7210,sales_teams!$A$2:$A$36,sales_teams!C$2:C$36)</f>
        <v>East</v>
      </c>
      <c r="E7210" t="s">
        <v>10</v>
      </c>
      <c r="F7210" t="s">
        <v>410</v>
      </c>
      <c r="G7210" t="s">
        <v>12</v>
      </c>
      <c r="H7210" s="1">
        <v>43011</v>
      </c>
      <c r="I7210" s="1">
        <v>43016</v>
      </c>
      <c r="J7210">
        <v>1050</v>
      </c>
    </row>
    <row r="7211" spans="1:10" x14ac:dyDescent="0.3">
      <c r="A7211" t="s">
        <v>7342</v>
      </c>
      <c r="B7211" t="s">
        <v>14</v>
      </c>
      <c r="C7211" t="str">
        <f>_xlfn.XLOOKUP(B7211,
[1]sales_teams!$A$2:$A$100,
[1]sales_teams!$B$2:$B$100)</f>
        <v>Melvin Marxen</v>
      </c>
      <c r="D7211" t="str">
        <f>_xlfn.XLOOKUP($B7211,sales_teams!$A$2:$A$36,sales_teams!C$2:C$36)</f>
        <v>Central</v>
      </c>
      <c r="E7211" t="s">
        <v>18</v>
      </c>
      <c r="F7211" t="s">
        <v>170</v>
      </c>
      <c r="G7211" t="s">
        <v>12</v>
      </c>
      <c r="H7211" s="1">
        <v>43011</v>
      </c>
      <c r="I7211" s="1">
        <v>43018</v>
      </c>
      <c r="J7211">
        <v>58</v>
      </c>
    </row>
    <row r="7212" spans="1:10" x14ac:dyDescent="0.3">
      <c r="A7212" t="s">
        <v>7343</v>
      </c>
      <c r="B7212" t="s">
        <v>142</v>
      </c>
      <c r="C7212" t="str">
        <f>_xlfn.XLOOKUP(B7212,
[1]sales_teams!$A$2:$A$100,
[1]sales_teams!$B$2:$B$100)</f>
        <v>Rocco Neubert</v>
      </c>
      <c r="D7212" t="str">
        <f>_xlfn.XLOOKUP($B7212,sales_teams!$A$2:$A$36,sales_teams!C$2:C$36)</f>
        <v>East</v>
      </c>
      <c r="E7212" t="s">
        <v>39</v>
      </c>
      <c r="F7212" t="s">
        <v>89</v>
      </c>
      <c r="G7212" t="s">
        <v>12</v>
      </c>
      <c r="H7212" s="1">
        <v>43011</v>
      </c>
      <c r="I7212" s="1">
        <v>43013</v>
      </c>
      <c r="J7212">
        <v>3858</v>
      </c>
    </row>
    <row r="7213" spans="1:10" x14ac:dyDescent="0.3">
      <c r="A7213" t="s">
        <v>7344</v>
      </c>
      <c r="B7213" t="s">
        <v>67</v>
      </c>
      <c r="C7213" t="str">
        <f>_xlfn.XLOOKUP(B7213,
[1]sales_teams!$A$2:$A$100,
[1]sales_teams!$B$2:$B$100)</f>
        <v>Celia Rouche</v>
      </c>
      <c r="D7213" t="str">
        <f>_xlfn.XLOOKUP($B7213,sales_teams!$A$2:$A$36,sales_teams!C$2:C$36)</f>
        <v>West</v>
      </c>
      <c r="E7213" t="s">
        <v>18</v>
      </c>
      <c r="F7213" t="s">
        <v>218</v>
      </c>
      <c r="G7213" t="s">
        <v>46</v>
      </c>
      <c r="H7213" s="1">
        <v>43011</v>
      </c>
      <c r="I7213" s="1">
        <v>43021</v>
      </c>
      <c r="J7213">
        <v>0</v>
      </c>
    </row>
    <row r="7214" spans="1:10" x14ac:dyDescent="0.3">
      <c r="A7214" t="s">
        <v>7345</v>
      </c>
      <c r="B7214" t="s">
        <v>44</v>
      </c>
      <c r="C7214" t="str">
        <f>_xlfn.XLOOKUP(B7214,
[1]sales_teams!$A$2:$A$100,
[1]sales_teams!$B$2:$B$100)</f>
        <v>Melvin Marxen</v>
      </c>
      <c r="D7214" t="str">
        <f>_xlfn.XLOOKUP($B7214,sales_teams!$A$2:$A$36,sales_teams!C$2:C$36)</f>
        <v>Central</v>
      </c>
      <c r="E7214" t="s">
        <v>20</v>
      </c>
      <c r="F7214" t="s">
        <v>315</v>
      </c>
      <c r="G7214" t="s">
        <v>46</v>
      </c>
      <c r="H7214" s="1">
        <v>43011</v>
      </c>
      <c r="I7214" s="1">
        <v>43012</v>
      </c>
      <c r="J7214">
        <v>0</v>
      </c>
    </row>
    <row r="7215" spans="1:10" x14ac:dyDescent="0.3">
      <c r="A7215" t="s">
        <v>7346</v>
      </c>
      <c r="B7215" t="s">
        <v>44</v>
      </c>
      <c r="C7215" t="str">
        <f>_xlfn.XLOOKUP(B7215,
[1]sales_teams!$A$2:$A$100,
[1]sales_teams!$B$2:$B$100)</f>
        <v>Melvin Marxen</v>
      </c>
      <c r="D7215" t="str">
        <f>_xlfn.XLOOKUP($B7215,sales_teams!$A$2:$A$36,sales_teams!C$2:C$36)</f>
        <v>Central</v>
      </c>
      <c r="E7215" t="s">
        <v>48</v>
      </c>
      <c r="F7215" t="s">
        <v>135</v>
      </c>
      <c r="G7215" t="s">
        <v>46</v>
      </c>
      <c r="H7215" s="1">
        <v>43011</v>
      </c>
      <c r="I7215" s="1">
        <v>43013</v>
      </c>
      <c r="J7215">
        <v>0</v>
      </c>
    </row>
    <row r="7216" spans="1:10" x14ac:dyDescent="0.3">
      <c r="A7216" t="s">
        <v>7347</v>
      </c>
      <c r="B7216" t="s">
        <v>44</v>
      </c>
      <c r="C7216" t="str">
        <f>_xlfn.XLOOKUP(B7216,
[1]sales_teams!$A$2:$A$100,
[1]sales_teams!$B$2:$B$100)</f>
        <v>Melvin Marxen</v>
      </c>
      <c r="D7216" t="str">
        <f>_xlfn.XLOOKUP($B7216,sales_teams!$A$2:$A$36,sales_teams!C$2:C$36)</f>
        <v>Central</v>
      </c>
      <c r="E7216" t="s">
        <v>39</v>
      </c>
      <c r="F7216" t="s">
        <v>27</v>
      </c>
      <c r="G7216" t="s">
        <v>46</v>
      </c>
      <c r="H7216" s="1">
        <v>43011</v>
      </c>
      <c r="I7216" s="1">
        <v>43018</v>
      </c>
      <c r="J7216">
        <v>0</v>
      </c>
    </row>
    <row r="7217" spans="1:10" x14ac:dyDescent="0.3">
      <c r="A7217" t="s">
        <v>7348</v>
      </c>
      <c r="B7217" t="s">
        <v>44</v>
      </c>
      <c r="C7217" t="str">
        <f>_xlfn.XLOOKUP(B7217,
[1]sales_teams!$A$2:$A$100,
[1]sales_teams!$B$2:$B$100)</f>
        <v>Melvin Marxen</v>
      </c>
      <c r="D7217" t="str">
        <f>_xlfn.XLOOKUP($B7217,sales_teams!$A$2:$A$36,sales_teams!C$2:C$36)</f>
        <v>Central</v>
      </c>
      <c r="E7217" t="s">
        <v>39</v>
      </c>
      <c r="F7217" t="s">
        <v>318</v>
      </c>
      <c r="G7217" t="s">
        <v>12</v>
      </c>
      <c r="H7217" s="1">
        <v>43011</v>
      </c>
      <c r="I7217" s="1">
        <v>43047</v>
      </c>
      <c r="J7217">
        <v>3207</v>
      </c>
    </row>
    <row r="7218" spans="1:10" x14ac:dyDescent="0.3">
      <c r="A7218" t="s">
        <v>7349</v>
      </c>
      <c r="B7218" t="s">
        <v>54</v>
      </c>
      <c r="C7218" t="str">
        <f>_xlfn.XLOOKUP(B7218,
[1]sales_teams!$A$2:$A$100,
[1]sales_teams!$B$2:$B$100)</f>
        <v>Celia Rouche</v>
      </c>
      <c r="D7218" t="str">
        <f>_xlfn.XLOOKUP($B7218,sales_teams!$A$2:$A$36,sales_teams!C$2:C$36)</f>
        <v>West</v>
      </c>
      <c r="E7218" t="s">
        <v>39</v>
      </c>
      <c r="F7218" t="s">
        <v>199</v>
      </c>
      <c r="G7218" t="s">
        <v>12</v>
      </c>
      <c r="H7218" s="1">
        <v>43011</v>
      </c>
      <c r="I7218" s="1">
        <v>43060</v>
      </c>
      <c r="J7218">
        <v>3795</v>
      </c>
    </row>
    <row r="7219" spans="1:10" x14ac:dyDescent="0.3">
      <c r="A7219" t="s">
        <v>7350</v>
      </c>
      <c r="B7219" t="s">
        <v>252</v>
      </c>
      <c r="C7219" t="str">
        <f>_xlfn.XLOOKUP(B7219,
[1]sales_teams!$A$2:$A$100,
[1]sales_teams!$B$2:$B$100)</f>
        <v>Melvin Marxen</v>
      </c>
      <c r="D7219" t="str">
        <f>_xlfn.XLOOKUP($B7219,sales_teams!$A$2:$A$36,sales_teams!C$2:C$36)</f>
        <v>Central</v>
      </c>
      <c r="E7219" t="s">
        <v>18</v>
      </c>
      <c r="F7219" t="s">
        <v>126</v>
      </c>
      <c r="G7219" t="s">
        <v>46</v>
      </c>
      <c r="H7219" s="1">
        <v>43011</v>
      </c>
      <c r="I7219" s="1">
        <v>43055</v>
      </c>
      <c r="J7219">
        <v>0</v>
      </c>
    </row>
    <row r="7220" spans="1:10" x14ac:dyDescent="0.3">
      <c r="A7220" t="s">
        <v>7351</v>
      </c>
      <c r="B7220" t="s">
        <v>78</v>
      </c>
      <c r="C7220" t="str">
        <f>_xlfn.XLOOKUP(B7220,
[1]sales_teams!$A$2:$A$100,
[1]sales_teams!$B$2:$B$100)</f>
        <v>Summer Sewald</v>
      </c>
      <c r="D7220" t="str">
        <f>_xlfn.XLOOKUP($B7220,sales_teams!$A$2:$A$36,sales_teams!C$2:C$36)</f>
        <v>West</v>
      </c>
      <c r="E7220" t="s">
        <v>10</v>
      </c>
      <c r="F7220" t="s">
        <v>30</v>
      </c>
      <c r="G7220" t="s">
        <v>12</v>
      </c>
      <c r="H7220" s="1">
        <v>43011</v>
      </c>
      <c r="I7220" s="1">
        <v>43016</v>
      </c>
      <c r="J7220">
        <v>1028</v>
      </c>
    </row>
    <row r="7221" spans="1:10" x14ac:dyDescent="0.3">
      <c r="A7221" t="s">
        <v>7352</v>
      </c>
      <c r="B7221" t="s">
        <v>78</v>
      </c>
      <c r="C7221" t="str">
        <f>_xlfn.XLOOKUP(B7221,
[1]sales_teams!$A$2:$A$100,
[1]sales_teams!$B$2:$B$100)</f>
        <v>Summer Sewald</v>
      </c>
      <c r="D7221" t="str">
        <f>_xlfn.XLOOKUP($B7221,sales_teams!$A$2:$A$36,sales_teams!C$2:C$36)</f>
        <v>West</v>
      </c>
      <c r="E7221" t="s">
        <v>18</v>
      </c>
      <c r="F7221" t="s">
        <v>224</v>
      </c>
      <c r="G7221" t="s">
        <v>12</v>
      </c>
      <c r="H7221" s="1">
        <v>43011</v>
      </c>
      <c r="I7221" s="1">
        <v>43023</v>
      </c>
      <c r="J7221">
        <v>64</v>
      </c>
    </row>
    <row r="7222" spans="1:10" x14ac:dyDescent="0.3">
      <c r="A7222" t="s">
        <v>7353</v>
      </c>
      <c r="B7222" t="s">
        <v>95</v>
      </c>
      <c r="C7222" t="str">
        <f>_xlfn.XLOOKUP(B7222,
[1]sales_teams!$A$2:$A$100,
[1]sales_teams!$B$2:$B$100)</f>
        <v>Summer Sewald</v>
      </c>
      <c r="D7222" t="str">
        <f>_xlfn.XLOOKUP($B7222,sales_teams!$A$2:$A$36,sales_teams!C$2:C$36)</f>
        <v>West</v>
      </c>
      <c r="E7222" t="s">
        <v>20</v>
      </c>
      <c r="G7222" t="s">
        <v>40</v>
      </c>
      <c r="H7222" s="1">
        <v>43011</v>
      </c>
    </row>
    <row r="7223" spans="1:10" x14ac:dyDescent="0.3">
      <c r="A7223" t="s">
        <v>7354</v>
      </c>
      <c r="B7223" t="s">
        <v>116</v>
      </c>
      <c r="C7223" t="str">
        <f>_xlfn.XLOOKUP(B7223,
[1]sales_teams!$A$2:$A$100,
[1]sales_teams!$B$2:$B$100)</f>
        <v>Melvin Marxen</v>
      </c>
      <c r="D7223" t="str">
        <f>_xlfn.XLOOKUP($B7223,sales_teams!$A$2:$A$36,sales_teams!C$2:C$36)</f>
        <v>Central</v>
      </c>
      <c r="E7223" t="s">
        <v>15</v>
      </c>
      <c r="F7223" t="s">
        <v>151</v>
      </c>
      <c r="G7223" t="s">
        <v>46</v>
      </c>
      <c r="H7223" s="1">
        <v>43011</v>
      </c>
      <c r="I7223" s="1">
        <v>43063</v>
      </c>
      <c r="J7223">
        <v>0</v>
      </c>
    </row>
    <row r="7224" spans="1:10" x14ac:dyDescent="0.3">
      <c r="A7224" t="s">
        <v>7355</v>
      </c>
      <c r="B7224" t="s">
        <v>97</v>
      </c>
      <c r="C7224" t="str">
        <f>_xlfn.XLOOKUP(B7224,
[1]sales_teams!$A$2:$A$100,
[1]sales_teams!$B$2:$B$100)</f>
        <v>Rocco Neubert</v>
      </c>
      <c r="D7224" t="str">
        <f>_xlfn.XLOOKUP($B7224,sales_teams!$A$2:$A$36,sales_teams!C$2:C$36)</f>
        <v>East</v>
      </c>
      <c r="E7224" t="s">
        <v>10</v>
      </c>
      <c r="F7224" t="s">
        <v>745</v>
      </c>
      <c r="G7224" t="s">
        <v>12</v>
      </c>
      <c r="H7224" s="1">
        <v>43011</v>
      </c>
      <c r="I7224" s="1">
        <v>43078</v>
      </c>
      <c r="J7224">
        <v>1284</v>
      </c>
    </row>
    <row r="7225" spans="1:10" x14ac:dyDescent="0.3">
      <c r="A7225" t="s">
        <v>7356</v>
      </c>
      <c r="B7225" t="s">
        <v>97</v>
      </c>
      <c r="C7225" t="str">
        <f>_xlfn.XLOOKUP(B7225,
[1]sales_teams!$A$2:$A$100,
[1]sales_teams!$B$2:$B$100)</f>
        <v>Rocco Neubert</v>
      </c>
      <c r="D7225" t="str">
        <f>_xlfn.XLOOKUP($B7225,sales_teams!$A$2:$A$36,sales_teams!C$2:C$36)</f>
        <v>East</v>
      </c>
      <c r="E7225" t="s">
        <v>15</v>
      </c>
      <c r="F7225" t="s">
        <v>518</v>
      </c>
      <c r="G7225" t="s">
        <v>12</v>
      </c>
      <c r="H7225" s="1">
        <v>43011</v>
      </c>
      <c r="I7225" s="1">
        <v>43097</v>
      </c>
      <c r="J7225">
        <v>5044</v>
      </c>
    </row>
    <row r="7226" spans="1:10" x14ac:dyDescent="0.3">
      <c r="A7226" t="s">
        <v>7357</v>
      </c>
      <c r="B7226" t="s">
        <v>57</v>
      </c>
      <c r="C7226" t="str">
        <f>_xlfn.XLOOKUP(B7226,
[1]sales_teams!$A$2:$A$100,
[1]sales_teams!$B$2:$B$100)</f>
        <v>Celia Rouche</v>
      </c>
      <c r="D7226" t="str">
        <f>_xlfn.XLOOKUP($B7226,sales_teams!$A$2:$A$36,sales_teams!C$2:C$36)</f>
        <v>West</v>
      </c>
      <c r="E7226" t="s">
        <v>18</v>
      </c>
      <c r="F7226" t="s">
        <v>159</v>
      </c>
      <c r="G7226" t="s">
        <v>46</v>
      </c>
      <c r="H7226" s="1">
        <v>43011</v>
      </c>
      <c r="I7226" s="1">
        <v>43014</v>
      </c>
      <c r="J7226">
        <v>0</v>
      </c>
    </row>
    <row r="7227" spans="1:10" x14ac:dyDescent="0.3">
      <c r="A7227" t="s">
        <v>7358</v>
      </c>
      <c r="B7227" t="s">
        <v>61</v>
      </c>
      <c r="C7227" t="str">
        <f>_xlfn.XLOOKUP(B7227,
[1]sales_teams!$A$2:$A$100,
[1]sales_teams!$B$2:$B$100)</f>
        <v>Dustin Brinkmann</v>
      </c>
      <c r="D7227" t="str">
        <f>_xlfn.XLOOKUP($B7227,sales_teams!$A$2:$A$36,sales_teams!C$2:C$36)</f>
        <v>Central</v>
      </c>
      <c r="E7227" t="s">
        <v>39</v>
      </c>
      <c r="F7227" t="s">
        <v>151</v>
      </c>
      <c r="G7227" t="s">
        <v>12</v>
      </c>
      <c r="H7227" s="1">
        <v>43011</v>
      </c>
      <c r="I7227" s="1">
        <v>43017</v>
      </c>
      <c r="J7227">
        <v>3254</v>
      </c>
    </row>
    <row r="7228" spans="1:10" x14ac:dyDescent="0.3">
      <c r="A7228" t="s">
        <v>7359</v>
      </c>
      <c r="B7228" t="s">
        <v>29</v>
      </c>
      <c r="C7228" t="str">
        <f>_xlfn.XLOOKUP(B7228,
[1]sales_teams!$A$2:$A$100,
[1]sales_teams!$B$2:$B$100)</f>
        <v>Celia Rouche</v>
      </c>
      <c r="D7228" t="str">
        <f>_xlfn.XLOOKUP($B7228,sales_teams!$A$2:$A$36,sales_teams!C$2:C$36)</f>
        <v>West</v>
      </c>
      <c r="E7228" t="s">
        <v>48</v>
      </c>
      <c r="G7228" t="s">
        <v>40</v>
      </c>
      <c r="H7228" s="1">
        <v>43011</v>
      </c>
    </row>
    <row r="7229" spans="1:10" x14ac:dyDescent="0.3">
      <c r="A7229" t="s">
        <v>7360</v>
      </c>
      <c r="B7229" t="s">
        <v>29</v>
      </c>
      <c r="C7229" t="str">
        <f>_xlfn.XLOOKUP(B7229,
[1]sales_teams!$A$2:$A$100,
[1]sales_teams!$B$2:$B$100)</f>
        <v>Celia Rouche</v>
      </c>
      <c r="D7229" t="str">
        <f>_xlfn.XLOOKUP($B7229,sales_teams!$A$2:$A$36,sales_teams!C$2:C$36)</f>
        <v>West</v>
      </c>
      <c r="E7229" t="s">
        <v>15</v>
      </c>
      <c r="F7229" t="s">
        <v>315</v>
      </c>
      <c r="G7229" t="s">
        <v>46</v>
      </c>
      <c r="H7229" s="1">
        <v>43011</v>
      </c>
      <c r="I7229" s="1">
        <v>43016</v>
      </c>
      <c r="J7229">
        <v>0</v>
      </c>
    </row>
    <row r="7230" spans="1:10" x14ac:dyDescent="0.3">
      <c r="A7230" t="s">
        <v>7361</v>
      </c>
      <c r="B7230" t="s">
        <v>73</v>
      </c>
      <c r="C7230" t="str">
        <f>_xlfn.XLOOKUP(B7230,
[1]sales_teams!$A$2:$A$100,
[1]sales_teams!$B$2:$B$100)</f>
        <v>Cara Losch</v>
      </c>
      <c r="D7230" t="str">
        <f>_xlfn.XLOOKUP($B7230,sales_teams!$A$2:$A$36,sales_teams!C$2:C$36)</f>
        <v>East</v>
      </c>
      <c r="E7230" t="s">
        <v>18</v>
      </c>
      <c r="F7230" t="s">
        <v>65</v>
      </c>
      <c r="G7230" t="s">
        <v>46</v>
      </c>
      <c r="H7230" s="1">
        <v>43011</v>
      </c>
      <c r="I7230" s="1">
        <v>43092</v>
      </c>
      <c r="J7230">
        <v>0</v>
      </c>
    </row>
    <row r="7231" spans="1:10" x14ac:dyDescent="0.3">
      <c r="A7231" t="s">
        <v>7362</v>
      </c>
      <c r="B7231" t="s">
        <v>102</v>
      </c>
      <c r="C7231" t="str">
        <f>_xlfn.XLOOKUP(B7231,
[1]sales_teams!$A$2:$A$100,
[1]sales_teams!$B$2:$B$100)</f>
        <v>Cara Losch</v>
      </c>
      <c r="D7231" t="str">
        <f>_xlfn.XLOOKUP($B7231,sales_teams!$A$2:$A$36,sales_teams!C$2:C$36)</f>
        <v>East</v>
      </c>
      <c r="E7231" t="s">
        <v>15</v>
      </c>
      <c r="F7231" t="s">
        <v>74</v>
      </c>
      <c r="G7231" t="s">
        <v>12</v>
      </c>
      <c r="H7231" s="1">
        <v>43011</v>
      </c>
      <c r="I7231" s="1">
        <v>43018</v>
      </c>
      <c r="J7231">
        <v>5127</v>
      </c>
    </row>
    <row r="7232" spans="1:10" x14ac:dyDescent="0.3">
      <c r="A7232" t="s">
        <v>7363</v>
      </c>
      <c r="B7232" t="s">
        <v>23</v>
      </c>
      <c r="C7232" t="str">
        <f>_xlfn.XLOOKUP(B7232,
[1]sales_teams!$A$2:$A$100,
[1]sales_teams!$B$2:$B$100)</f>
        <v>Summer Sewald</v>
      </c>
      <c r="D7232" t="str">
        <f>_xlfn.XLOOKUP($B7232,sales_teams!$A$2:$A$36,sales_teams!C$2:C$36)</f>
        <v>West</v>
      </c>
      <c r="E7232" t="s">
        <v>15</v>
      </c>
      <c r="F7232" t="s">
        <v>100</v>
      </c>
      <c r="G7232" t="s">
        <v>12</v>
      </c>
      <c r="H7232" s="1">
        <v>43011</v>
      </c>
      <c r="I7232" s="1">
        <v>43045</v>
      </c>
      <c r="J7232">
        <v>4194</v>
      </c>
    </row>
    <row r="7233" spans="1:10" x14ac:dyDescent="0.3">
      <c r="A7233" t="s">
        <v>7364</v>
      </c>
      <c r="B7233" t="s">
        <v>23</v>
      </c>
      <c r="C7233" t="str">
        <f>_xlfn.XLOOKUP(B7233,
[1]sales_teams!$A$2:$A$100,
[1]sales_teams!$B$2:$B$100)</f>
        <v>Summer Sewald</v>
      </c>
      <c r="D7233" t="str">
        <f>_xlfn.XLOOKUP($B7233,sales_teams!$A$2:$A$36,sales_teams!C$2:C$36)</f>
        <v>West</v>
      </c>
      <c r="E7233" t="s">
        <v>15</v>
      </c>
      <c r="F7233" t="s">
        <v>273</v>
      </c>
      <c r="G7233" t="s">
        <v>12</v>
      </c>
      <c r="H7233" s="1">
        <v>43011</v>
      </c>
      <c r="I7233" s="1">
        <v>43019</v>
      </c>
      <c r="J7233">
        <v>4105</v>
      </c>
    </row>
    <row r="7234" spans="1:10" x14ac:dyDescent="0.3">
      <c r="A7234" t="s">
        <v>7365</v>
      </c>
      <c r="B7234" t="s">
        <v>26</v>
      </c>
      <c r="C7234" t="str">
        <f>_xlfn.XLOOKUP(B7234,
[1]sales_teams!$A$2:$A$100,
[1]sales_teams!$B$2:$B$100)</f>
        <v>Dustin Brinkmann</v>
      </c>
      <c r="D7234" t="str">
        <f>_xlfn.XLOOKUP($B7234,sales_teams!$A$2:$A$36,sales_teams!C$2:C$36)</f>
        <v>Central</v>
      </c>
      <c r="E7234" t="s">
        <v>18</v>
      </c>
      <c r="F7234" t="s">
        <v>11</v>
      </c>
      <c r="G7234" t="s">
        <v>46</v>
      </c>
      <c r="H7234" s="1">
        <v>43012</v>
      </c>
      <c r="I7234" s="1">
        <v>43021</v>
      </c>
      <c r="J7234">
        <v>0</v>
      </c>
    </row>
    <row r="7235" spans="1:10" x14ac:dyDescent="0.3">
      <c r="A7235" t="s">
        <v>7366</v>
      </c>
      <c r="B7235" t="s">
        <v>26</v>
      </c>
      <c r="C7235" t="str">
        <f>_xlfn.XLOOKUP(B7235,
[1]sales_teams!$A$2:$A$100,
[1]sales_teams!$B$2:$B$100)</f>
        <v>Dustin Brinkmann</v>
      </c>
      <c r="D7235" t="str">
        <f>_xlfn.XLOOKUP($B7235,sales_teams!$A$2:$A$36,sales_teams!C$2:C$36)</f>
        <v>Central</v>
      </c>
      <c r="E7235" t="s">
        <v>18</v>
      </c>
      <c r="F7235" t="s">
        <v>109</v>
      </c>
      <c r="G7235" t="s">
        <v>12</v>
      </c>
      <c r="H7235" s="1">
        <v>43012</v>
      </c>
      <c r="I7235" s="1">
        <v>43085</v>
      </c>
      <c r="J7235">
        <v>59</v>
      </c>
    </row>
    <row r="7236" spans="1:10" x14ac:dyDescent="0.3">
      <c r="A7236" t="s">
        <v>7367</v>
      </c>
      <c r="B7236" t="s">
        <v>139</v>
      </c>
      <c r="C7236" t="str">
        <f>_xlfn.XLOOKUP(B7236,
[1]sales_teams!$A$2:$A$100,
[1]sales_teams!$B$2:$B$100)</f>
        <v>Rocco Neubert</v>
      </c>
      <c r="D7236" t="str">
        <f>_xlfn.XLOOKUP($B7236,sales_teams!$A$2:$A$36,sales_teams!C$2:C$36)</f>
        <v>East</v>
      </c>
      <c r="E7236" t="s">
        <v>39</v>
      </c>
      <c r="G7236" t="s">
        <v>40</v>
      </c>
      <c r="H7236" s="1">
        <v>43012</v>
      </c>
    </row>
    <row r="7237" spans="1:10" x14ac:dyDescent="0.3">
      <c r="A7237" t="s">
        <v>7368</v>
      </c>
      <c r="B7237" t="s">
        <v>139</v>
      </c>
      <c r="C7237" t="str">
        <f>_xlfn.XLOOKUP(B7237,
[1]sales_teams!$A$2:$A$100,
[1]sales_teams!$B$2:$B$100)</f>
        <v>Rocco Neubert</v>
      </c>
      <c r="D7237" t="str">
        <f>_xlfn.XLOOKUP($B7237,sales_teams!$A$2:$A$36,sales_teams!C$2:C$36)</f>
        <v>East</v>
      </c>
      <c r="E7237" t="s">
        <v>48</v>
      </c>
      <c r="F7237" t="s">
        <v>745</v>
      </c>
      <c r="G7237" t="s">
        <v>46</v>
      </c>
      <c r="H7237" s="1">
        <v>43012</v>
      </c>
      <c r="I7237" s="1">
        <v>43040</v>
      </c>
      <c r="J7237">
        <v>0</v>
      </c>
    </row>
    <row r="7238" spans="1:10" x14ac:dyDescent="0.3">
      <c r="A7238" t="s">
        <v>7369</v>
      </c>
      <c r="B7238" t="s">
        <v>139</v>
      </c>
      <c r="C7238" t="str">
        <f>_xlfn.XLOOKUP(B7238,
[1]sales_teams!$A$2:$A$100,
[1]sales_teams!$B$2:$B$100)</f>
        <v>Rocco Neubert</v>
      </c>
      <c r="D7238" t="str">
        <f>_xlfn.XLOOKUP($B7238,sales_teams!$A$2:$A$36,sales_teams!C$2:C$36)</f>
        <v>East</v>
      </c>
      <c r="E7238" t="s">
        <v>39</v>
      </c>
      <c r="F7238" t="s">
        <v>98</v>
      </c>
      <c r="G7238" t="s">
        <v>46</v>
      </c>
      <c r="H7238" s="1">
        <v>43012</v>
      </c>
      <c r="I7238" s="1">
        <v>43019</v>
      </c>
      <c r="J7238">
        <v>0</v>
      </c>
    </row>
    <row r="7239" spans="1:10" x14ac:dyDescent="0.3">
      <c r="A7239" t="s">
        <v>7370</v>
      </c>
      <c r="B7239" t="s">
        <v>139</v>
      </c>
      <c r="C7239" t="str">
        <f>_xlfn.XLOOKUP(B7239,
[1]sales_teams!$A$2:$A$100,
[1]sales_teams!$B$2:$B$100)</f>
        <v>Rocco Neubert</v>
      </c>
      <c r="D7239" t="str">
        <f>_xlfn.XLOOKUP($B7239,sales_teams!$A$2:$A$36,sales_teams!C$2:C$36)</f>
        <v>East</v>
      </c>
      <c r="E7239" t="s">
        <v>18</v>
      </c>
      <c r="F7239" t="s">
        <v>192</v>
      </c>
      <c r="G7239" t="s">
        <v>12</v>
      </c>
      <c r="H7239" s="1">
        <v>43012</v>
      </c>
      <c r="I7239" s="1">
        <v>43019</v>
      </c>
      <c r="J7239">
        <v>54</v>
      </c>
    </row>
    <row r="7240" spans="1:10" x14ac:dyDescent="0.3">
      <c r="A7240" t="s">
        <v>7371</v>
      </c>
      <c r="B7240" t="s">
        <v>118</v>
      </c>
      <c r="C7240" t="str">
        <f>_xlfn.XLOOKUP(B7240,
[1]sales_teams!$A$2:$A$100,
[1]sales_teams!$B$2:$B$100)</f>
        <v>Rocco Neubert</v>
      </c>
      <c r="D7240" t="str">
        <f>_xlfn.XLOOKUP($B7240,sales_teams!$A$2:$A$36,sales_teams!C$2:C$36)</f>
        <v>East</v>
      </c>
      <c r="E7240" t="s">
        <v>48</v>
      </c>
      <c r="F7240" t="s">
        <v>215</v>
      </c>
      <c r="G7240" t="s">
        <v>12</v>
      </c>
      <c r="H7240" s="1">
        <v>43012</v>
      </c>
      <c r="I7240" s="1">
        <v>43022</v>
      </c>
      <c r="J7240">
        <v>5989</v>
      </c>
    </row>
    <row r="7241" spans="1:10" x14ac:dyDescent="0.3">
      <c r="A7241" t="s">
        <v>7372</v>
      </c>
      <c r="B7241" t="s">
        <v>164</v>
      </c>
      <c r="C7241" t="str">
        <f>_xlfn.XLOOKUP(B7241,
[1]sales_teams!$A$2:$A$100,
[1]sales_teams!$B$2:$B$100)</f>
        <v>Cara Losch</v>
      </c>
      <c r="D7241" t="str">
        <f>_xlfn.XLOOKUP($B7241,sales_teams!$A$2:$A$36,sales_teams!C$2:C$36)</f>
        <v>East</v>
      </c>
      <c r="E7241" t="s">
        <v>20</v>
      </c>
      <c r="G7241" t="s">
        <v>40</v>
      </c>
      <c r="H7241" s="1">
        <v>43012</v>
      </c>
    </row>
    <row r="7242" spans="1:10" x14ac:dyDescent="0.3">
      <c r="A7242" t="s">
        <v>7373</v>
      </c>
      <c r="B7242" t="s">
        <v>64</v>
      </c>
      <c r="C7242" t="str">
        <f>_xlfn.XLOOKUP(B7242,
[1]sales_teams!$A$2:$A$100,
[1]sales_teams!$B$2:$B$100)</f>
        <v>Rocco Neubert</v>
      </c>
      <c r="D7242" t="str">
        <f>_xlfn.XLOOKUP($B7242,sales_teams!$A$2:$A$36,sales_teams!C$2:C$36)</f>
        <v>East</v>
      </c>
      <c r="E7242" t="s">
        <v>10</v>
      </c>
      <c r="G7242" t="s">
        <v>40</v>
      </c>
      <c r="H7242" s="1">
        <v>43012</v>
      </c>
    </row>
    <row r="7243" spans="1:10" x14ac:dyDescent="0.3">
      <c r="A7243" t="s">
        <v>7374</v>
      </c>
      <c r="B7243" t="s">
        <v>64</v>
      </c>
      <c r="C7243" t="str">
        <f>_xlfn.XLOOKUP(B7243,
[1]sales_teams!$A$2:$A$100,
[1]sales_teams!$B$2:$B$100)</f>
        <v>Rocco Neubert</v>
      </c>
      <c r="D7243" t="str">
        <f>_xlfn.XLOOKUP($B7243,sales_teams!$A$2:$A$36,sales_teams!C$2:C$36)</f>
        <v>East</v>
      </c>
      <c r="E7243" t="s">
        <v>15</v>
      </c>
      <c r="F7243" t="s">
        <v>143</v>
      </c>
      <c r="G7243" t="s">
        <v>46</v>
      </c>
      <c r="H7243" s="1">
        <v>43012</v>
      </c>
      <c r="I7243" s="1">
        <v>43023</v>
      </c>
      <c r="J7243">
        <v>0</v>
      </c>
    </row>
    <row r="7244" spans="1:10" x14ac:dyDescent="0.3">
      <c r="A7244" t="s">
        <v>7375</v>
      </c>
      <c r="B7244" t="s">
        <v>14</v>
      </c>
      <c r="C7244" t="str">
        <f>_xlfn.XLOOKUP(B7244,
[1]sales_teams!$A$2:$A$100,
[1]sales_teams!$B$2:$B$100)</f>
        <v>Melvin Marxen</v>
      </c>
      <c r="D7244" t="str">
        <f>_xlfn.XLOOKUP($B7244,sales_teams!$A$2:$A$36,sales_teams!C$2:C$36)</f>
        <v>Central</v>
      </c>
      <c r="E7244" t="s">
        <v>15</v>
      </c>
      <c r="F7244" t="s">
        <v>303</v>
      </c>
      <c r="G7244" t="s">
        <v>46</v>
      </c>
      <c r="H7244" s="1">
        <v>43012</v>
      </c>
      <c r="I7244" s="1">
        <v>43020</v>
      </c>
      <c r="J7244">
        <v>0</v>
      </c>
    </row>
    <row r="7245" spans="1:10" x14ac:dyDescent="0.3">
      <c r="A7245" t="s">
        <v>7376</v>
      </c>
      <c r="B7245" t="s">
        <v>14</v>
      </c>
      <c r="C7245" t="str">
        <f>_xlfn.XLOOKUP(B7245,
[1]sales_teams!$A$2:$A$100,
[1]sales_teams!$B$2:$B$100)</f>
        <v>Melvin Marxen</v>
      </c>
      <c r="D7245" t="str">
        <f>_xlfn.XLOOKUP($B7245,sales_teams!$A$2:$A$36,sales_teams!C$2:C$36)</f>
        <v>Central</v>
      </c>
      <c r="E7245" t="s">
        <v>48</v>
      </c>
      <c r="F7245" t="s">
        <v>129</v>
      </c>
      <c r="G7245" t="s">
        <v>12</v>
      </c>
      <c r="H7245" s="1">
        <v>43012</v>
      </c>
      <c r="I7245" s="1">
        <v>43090</v>
      </c>
      <c r="J7245">
        <v>4735</v>
      </c>
    </row>
    <row r="7246" spans="1:10" x14ac:dyDescent="0.3">
      <c r="A7246" t="s">
        <v>7377</v>
      </c>
      <c r="B7246" t="s">
        <v>14</v>
      </c>
      <c r="C7246" t="str">
        <f>_xlfn.XLOOKUP(B7246,
[1]sales_teams!$A$2:$A$100,
[1]sales_teams!$B$2:$B$100)</f>
        <v>Melvin Marxen</v>
      </c>
      <c r="D7246" t="str">
        <f>_xlfn.XLOOKUP($B7246,sales_teams!$A$2:$A$36,sales_teams!C$2:C$36)</f>
        <v>Central</v>
      </c>
      <c r="E7246" t="s">
        <v>15</v>
      </c>
      <c r="F7246" t="s">
        <v>151</v>
      </c>
      <c r="G7246" t="s">
        <v>12</v>
      </c>
      <c r="H7246" s="1">
        <v>43012</v>
      </c>
      <c r="I7246" s="1">
        <v>43018</v>
      </c>
      <c r="J7246">
        <v>5055</v>
      </c>
    </row>
    <row r="7247" spans="1:10" x14ac:dyDescent="0.3">
      <c r="A7247" t="s">
        <v>7378</v>
      </c>
      <c r="B7247" t="s">
        <v>38</v>
      </c>
      <c r="C7247" t="str">
        <f>_xlfn.XLOOKUP(B7247,
[1]sales_teams!$A$2:$A$100,
[1]sales_teams!$B$2:$B$100)</f>
        <v>Summer Sewald</v>
      </c>
      <c r="D7247" t="str">
        <f>_xlfn.XLOOKUP($B7247,sales_teams!$A$2:$A$36,sales_teams!C$2:C$36)</f>
        <v>West</v>
      </c>
      <c r="E7247" t="s">
        <v>48</v>
      </c>
      <c r="F7247" t="s">
        <v>70</v>
      </c>
      <c r="G7247" t="s">
        <v>12</v>
      </c>
      <c r="H7247" s="1">
        <v>43012</v>
      </c>
      <c r="I7247" s="1">
        <v>43074</v>
      </c>
      <c r="J7247">
        <v>4527</v>
      </c>
    </row>
    <row r="7248" spans="1:10" x14ac:dyDescent="0.3">
      <c r="A7248" t="s">
        <v>7379</v>
      </c>
      <c r="B7248" t="s">
        <v>252</v>
      </c>
      <c r="C7248" t="str">
        <f>_xlfn.XLOOKUP(B7248,
[1]sales_teams!$A$2:$A$100,
[1]sales_teams!$B$2:$B$100)</f>
        <v>Melvin Marxen</v>
      </c>
      <c r="D7248" t="str">
        <f>_xlfn.XLOOKUP($B7248,sales_teams!$A$2:$A$36,sales_teams!C$2:C$36)</f>
        <v>Central</v>
      </c>
      <c r="E7248" t="s">
        <v>20</v>
      </c>
      <c r="F7248" t="s">
        <v>91</v>
      </c>
      <c r="G7248" t="s">
        <v>46</v>
      </c>
      <c r="H7248" s="1">
        <v>43012</v>
      </c>
      <c r="I7248" s="1">
        <v>43092</v>
      </c>
      <c r="J7248">
        <v>0</v>
      </c>
    </row>
    <row r="7249" spans="1:10" x14ac:dyDescent="0.3">
      <c r="A7249" t="s">
        <v>7380</v>
      </c>
      <c r="B7249" t="s">
        <v>252</v>
      </c>
      <c r="C7249" t="str">
        <f>_xlfn.XLOOKUP(B7249,
[1]sales_teams!$A$2:$A$100,
[1]sales_teams!$B$2:$B$100)</f>
        <v>Melvin Marxen</v>
      </c>
      <c r="D7249" t="str">
        <f>_xlfn.XLOOKUP($B7249,sales_teams!$A$2:$A$36,sales_teams!C$2:C$36)</f>
        <v>Central</v>
      </c>
      <c r="E7249" t="s">
        <v>15</v>
      </c>
      <c r="F7249" t="s">
        <v>231</v>
      </c>
      <c r="G7249" t="s">
        <v>46</v>
      </c>
      <c r="H7249" s="1">
        <v>43012</v>
      </c>
      <c r="I7249" s="1">
        <v>43023</v>
      </c>
      <c r="J7249">
        <v>0</v>
      </c>
    </row>
    <row r="7250" spans="1:10" x14ac:dyDescent="0.3">
      <c r="A7250" t="s">
        <v>7381</v>
      </c>
      <c r="B7250" t="s">
        <v>252</v>
      </c>
      <c r="C7250" t="str">
        <f>_xlfn.XLOOKUP(B7250,
[1]sales_teams!$A$2:$A$100,
[1]sales_teams!$B$2:$B$100)</f>
        <v>Melvin Marxen</v>
      </c>
      <c r="D7250" t="str">
        <f>_xlfn.XLOOKUP($B7250,sales_teams!$A$2:$A$36,sales_teams!C$2:C$36)</f>
        <v>Central</v>
      </c>
      <c r="E7250" t="s">
        <v>18</v>
      </c>
      <c r="F7250" t="s">
        <v>318</v>
      </c>
      <c r="G7250" t="s">
        <v>12</v>
      </c>
      <c r="H7250" s="1">
        <v>43012</v>
      </c>
      <c r="I7250" s="1">
        <v>43014</v>
      </c>
      <c r="J7250">
        <v>58</v>
      </c>
    </row>
    <row r="7251" spans="1:10" x14ac:dyDescent="0.3">
      <c r="A7251" t="s">
        <v>7382</v>
      </c>
      <c r="B7251" t="s">
        <v>95</v>
      </c>
      <c r="C7251" t="str">
        <f>_xlfn.XLOOKUP(B7251,
[1]sales_teams!$A$2:$A$100,
[1]sales_teams!$B$2:$B$100)</f>
        <v>Summer Sewald</v>
      </c>
      <c r="D7251" t="str">
        <f>_xlfn.XLOOKUP($B7251,sales_teams!$A$2:$A$36,sales_teams!C$2:C$36)</f>
        <v>West</v>
      </c>
      <c r="E7251" t="s">
        <v>20</v>
      </c>
      <c r="F7251" t="s">
        <v>30</v>
      </c>
      <c r="G7251" t="s">
        <v>46</v>
      </c>
      <c r="H7251" s="1">
        <v>43012</v>
      </c>
      <c r="I7251" s="1">
        <v>43056</v>
      </c>
      <c r="J7251">
        <v>0</v>
      </c>
    </row>
    <row r="7252" spans="1:10" x14ac:dyDescent="0.3">
      <c r="A7252" t="s">
        <v>7383</v>
      </c>
      <c r="B7252" t="s">
        <v>32</v>
      </c>
      <c r="C7252" t="str">
        <f>_xlfn.XLOOKUP(B7252,
[1]sales_teams!$A$2:$A$100,
[1]sales_teams!$B$2:$B$100)</f>
        <v>Celia Rouche</v>
      </c>
      <c r="D7252" t="str">
        <f>_xlfn.XLOOKUP($B7252,sales_teams!$A$2:$A$36,sales_teams!C$2:C$36)</f>
        <v>West</v>
      </c>
      <c r="E7252" t="s">
        <v>18</v>
      </c>
      <c r="F7252" t="s">
        <v>68</v>
      </c>
      <c r="G7252" t="s">
        <v>12</v>
      </c>
      <c r="H7252" s="1">
        <v>43012</v>
      </c>
      <c r="I7252" s="1">
        <v>43072</v>
      </c>
      <c r="J7252">
        <v>62</v>
      </c>
    </row>
    <row r="7253" spans="1:10" x14ac:dyDescent="0.3">
      <c r="A7253" t="s">
        <v>7384</v>
      </c>
      <c r="B7253" t="s">
        <v>51</v>
      </c>
      <c r="C7253" t="str">
        <f>_xlfn.XLOOKUP(B7253,
[1]sales_teams!$A$2:$A$100,
[1]sales_teams!$B$2:$B$100)</f>
        <v>Summer Sewald</v>
      </c>
      <c r="D7253" t="str">
        <f>_xlfn.XLOOKUP($B7253,sales_teams!$A$2:$A$36,sales_teams!C$2:C$36)</f>
        <v>West</v>
      </c>
      <c r="E7253" t="s">
        <v>15</v>
      </c>
      <c r="F7253" t="s">
        <v>313</v>
      </c>
      <c r="G7253" t="s">
        <v>12</v>
      </c>
      <c r="H7253" s="1">
        <v>43012</v>
      </c>
      <c r="I7253" s="1">
        <v>43089</v>
      </c>
      <c r="J7253">
        <v>5026</v>
      </c>
    </row>
    <row r="7254" spans="1:10" x14ac:dyDescent="0.3">
      <c r="A7254" t="s">
        <v>7385</v>
      </c>
      <c r="B7254" t="s">
        <v>29</v>
      </c>
      <c r="C7254" t="str">
        <f>_xlfn.XLOOKUP(B7254,
[1]sales_teams!$A$2:$A$100,
[1]sales_teams!$B$2:$B$100)</f>
        <v>Celia Rouche</v>
      </c>
      <c r="D7254" t="str">
        <f>_xlfn.XLOOKUP($B7254,sales_teams!$A$2:$A$36,sales_teams!C$2:C$36)</f>
        <v>West</v>
      </c>
      <c r="E7254" t="s">
        <v>18</v>
      </c>
      <c r="F7254" t="s">
        <v>157</v>
      </c>
      <c r="G7254" t="s">
        <v>46</v>
      </c>
      <c r="H7254" s="1">
        <v>43012</v>
      </c>
      <c r="I7254" s="1">
        <v>43021</v>
      </c>
      <c r="J7254">
        <v>0</v>
      </c>
    </row>
    <row r="7255" spans="1:10" x14ac:dyDescent="0.3">
      <c r="A7255" t="s">
        <v>7386</v>
      </c>
      <c r="B7255" t="s">
        <v>29</v>
      </c>
      <c r="C7255" t="str">
        <f>_xlfn.XLOOKUP(B7255,
[1]sales_teams!$A$2:$A$100,
[1]sales_teams!$B$2:$B$100)</f>
        <v>Celia Rouche</v>
      </c>
      <c r="D7255" t="str">
        <f>_xlfn.XLOOKUP($B7255,sales_teams!$A$2:$A$36,sales_teams!C$2:C$36)</f>
        <v>West</v>
      </c>
      <c r="E7255" t="s">
        <v>20</v>
      </c>
      <c r="F7255" t="s">
        <v>159</v>
      </c>
      <c r="G7255" t="s">
        <v>12</v>
      </c>
      <c r="H7255" s="1">
        <v>43012</v>
      </c>
      <c r="I7255" s="1">
        <v>43089</v>
      </c>
      <c r="J7255">
        <v>496</v>
      </c>
    </row>
    <row r="7256" spans="1:10" x14ac:dyDescent="0.3">
      <c r="A7256" t="s">
        <v>7387</v>
      </c>
      <c r="B7256" t="s">
        <v>102</v>
      </c>
      <c r="C7256" t="str">
        <f>_xlfn.XLOOKUP(B7256,
[1]sales_teams!$A$2:$A$100,
[1]sales_teams!$B$2:$B$100)</f>
        <v>Cara Losch</v>
      </c>
      <c r="D7256" t="str">
        <f>_xlfn.XLOOKUP($B7256,sales_teams!$A$2:$A$36,sales_teams!C$2:C$36)</f>
        <v>East</v>
      </c>
      <c r="E7256" t="s">
        <v>15</v>
      </c>
      <c r="F7256" t="s">
        <v>109</v>
      </c>
      <c r="G7256" t="s">
        <v>40</v>
      </c>
      <c r="H7256" s="1">
        <v>43012</v>
      </c>
    </row>
    <row r="7257" spans="1:10" x14ac:dyDescent="0.3">
      <c r="A7257" t="s">
        <v>7388</v>
      </c>
      <c r="B7257" t="s">
        <v>23</v>
      </c>
      <c r="C7257" t="str">
        <f>_xlfn.XLOOKUP(B7257,
[1]sales_teams!$A$2:$A$100,
[1]sales_teams!$B$2:$B$100)</f>
        <v>Summer Sewald</v>
      </c>
      <c r="D7257" t="str">
        <f>_xlfn.XLOOKUP($B7257,sales_teams!$A$2:$A$36,sales_teams!C$2:C$36)</f>
        <v>West</v>
      </c>
      <c r="E7257" t="s">
        <v>15</v>
      </c>
      <c r="F7257" t="s">
        <v>168</v>
      </c>
      <c r="G7257" t="s">
        <v>12</v>
      </c>
      <c r="H7257" s="1">
        <v>43012</v>
      </c>
      <c r="I7257" s="1">
        <v>43097</v>
      </c>
      <c r="J7257">
        <v>5491</v>
      </c>
    </row>
    <row r="7258" spans="1:10" x14ac:dyDescent="0.3">
      <c r="A7258" t="s">
        <v>7389</v>
      </c>
      <c r="B7258" t="s">
        <v>26</v>
      </c>
      <c r="C7258" t="str">
        <f>_xlfn.XLOOKUP(B7258,
[1]sales_teams!$A$2:$A$100,
[1]sales_teams!$B$2:$B$100)</f>
        <v>Dustin Brinkmann</v>
      </c>
      <c r="D7258" t="str">
        <f>_xlfn.XLOOKUP($B7258,sales_teams!$A$2:$A$36,sales_teams!C$2:C$36)</f>
        <v>Central</v>
      </c>
      <c r="E7258" t="s">
        <v>18</v>
      </c>
      <c r="F7258" t="s">
        <v>315</v>
      </c>
      <c r="G7258" t="s">
        <v>46</v>
      </c>
      <c r="H7258" s="1">
        <v>43013</v>
      </c>
      <c r="I7258" s="1">
        <v>43020</v>
      </c>
      <c r="J7258">
        <v>0</v>
      </c>
    </row>
    <row r="7259" spans="1:10" x14ac:dyDescent="0.3">
      <c r="A7259" t="s">
        <v>7390</v>
      </c>
      <c r="B7259" t="s">
        <v>202</v>
      </c>
      <c r="C7259" t="str">
        <f>_xlfn.XLOOKUP(B7259,
[1]sales_teams!$A$2:$A$100,
[1]sales_teams!$B$2:$B$100)</f>
        <v>Dustin Brinkmann</v>
      </c>
      <c r="D7259" t="str">
        <f>_xlfn.XLOOKUP($B7259,sales_teams!$A$2:$A$36,sales_teams!C$2:C$36)</f>
        <v>Central</v>
      </c>
      <c r="E7259" t="s">
        <v>20</v>
      </c>
      <c r="F7259" t="s">
        <v>111</v>
      </c>
      <c r="G7259" t="s">
        <v>12</v>
      </c>
      <c r="H7259" s="1">
        <v>43013</v>
      </c>
      <c r="I7259" s="1">
        <v>43019</v>
      </c>
      <c r="J7259">
        <v>622</v>
      </c>
    </row>
    <row r="7260" spans="1:10" x14ac:dyDescent="0.3">
      <c r="A7260" t="s">
        <v>7391</v>
      </c>
      <c r="B7260" t="s">
        <v>164</v>
      </c>
      <c r="C7260" t="str">
        <f>_xlfn.XLOOKUP(B7260,
[1]sales_teams!$A$2:$A$100,
[1]sales_teams!$B$2:$B$100)</f>
        <v>Cara Losch</v>
      </c>
      <c r="D7260" t="str">
        <f>_xlfn.XLOOKUP($B7260,sales_teams!$A$2:$A$36,sales_teams!C$2:C$36)</f>
        <v>East</v>
      </c>
      <c r="E7260" t="s">
        <v>15</v>
      </c>
      <c r="F7260" t="s">
        <v>89</v>
      </c>
      <c r="G7260" t="s">
        <v>46</v>
      </c>
      <c r="H7260" s="1">
        <v>43013</v>
      </c>
      <c r="I7260" s="1">
        <v>43021</v>
      </c>
      <c r="J7260">
        <v>0</v>
      </c>
    </row>
    <row r="7261" spans="1:10" x14ac:dyDescent="0.3">
      <c r="A7261" t="s">
        <v>7392</v>
      </c>
      <c r="B7261" t="s">
        <v>14</v>
      </c>
      <c r="C7261" t="str">
        <f>_xlfn.XLOOKUP(B7261,
[1]sales_teams!$A$2:$A$100,
[1]sales_teams!$B$2:$B$100)</f>
        <v>Melvin Marxen</v>
      </c>
      <c r="D7261" t="str">
        <f>_xlfn.XLOOKUP($B7261,sales_teams!$A$2:$A$36,sales_teams!C$2:C$36)</f>
        <v>Central</v>
      </c>
      <c r="E7261" t="s">
        <v>10</v>
      </c>
      <c r="F7261" t="s">
        <v>151</v>
      </c>
      <c r="G7261" t="s">
        <v>12</v>
      </c>
      <c r="H7261" s="1">
        <v>43013</v>
      </c>
      <c r="I7261" s="1">
        <v>43018</v>
      </c>
      <c r="J7261">
        <v>1132</v>
      </c>
    </row>
    <row r="7262" spans="1:10" x14ac:dyDescent="0.3">
      <c r="A7262" t="s">
        <v>7393</v>
      </c>
      <c r="B7262" t="s">
        <v>14</v>
      </c>
      <c r="C7262" t="str">
        <f>_xlfn.XLOOKUP(B7262,
[1]sales_teams!$A$2:$A$100,
[1]sales_teams!$B$2:$B$100)</f>
        <v>Melvin Marxen</v>
      </c>
      <c r="D7262" t="str">
        <f>_xlfn.XLOOKUP($B7262,sales_teams!$A$2:$A$36,sales_teams!C$2:C$36)</f>
        <v>Central</v>
      </c>
      <c r="E7262" t="s">
        <v>48</v>
      </c>
      <c r="F7262" t="s">
        <v>218</v>
      </c>
      <c r="G7262" t="s">
        <v>12</v>
      </c>
      <c r="H7262" s="1">
        <v>43013</v>
      </c>
      <c r="I7262" s="1">
        <v>43083</v>
      </c>
      <c r="J7262">
        <v>5422</v>
      </c>
    </row>
    <row r="7263" spans="1:10" x14ac:dyDescent="0.3">
      <c r="A7263" t="s">
        <v>7394</v>
      </c>
      <c r="B7263" t="s">
        <v>14</v>
      </c>
      <c r="C7263" t="str">
        <f>_xlfn.XLOOKUP(B7263,
[1]sales_teams!$A$2:$A$100,
[1]sales_teams!$B$2:$B$100)</f>
        <v>Melvin Marxen</v>
      </c>
      <c r="D7263" t="str">
        <f>_xlfn.XLOOKUP($B7263,sales_teams!$A$2:$A$36,sales_teams!C$2:C$36)</f>
        <v>Central</v>
      </c>
      <c r="E7263" t="s">
        <v>15</v>
      </c>
      <c r="F7263" t="s">
        <v>318</v>
      </c>
      <c r="G7263" t="s">
        <v>12</v>
      </c>
      <c r="H7263" s="1">
        <v>43013</v>
      </c>
      <c r="I7263" s="1">
        <v>43022</v>
      </c>
      <c r="J7263">
        <v>5170</v>
      </c>
    </row>
    <row r="7264" spans="1:10" x14ac:dyDescent="0.3">
      <c r="A7264" t="s">
        <v>7395</v>
      </c>
      <c r="B7264" t="s">
        <v>14</v>
      </c>
      <c r="C7264" t="str">
        <f>_xlfn.XLOOKUP(B7264,
[1]sales_teams!$A$2:$A$100,
[1]sales_teams!$B$2:$B$100)</f>
        <v>Melvin Marxen</v>
      </c>
      <c r="D7264" t="str">
        <f>_xlfn.XLOOKUP($B7264,sales_teams!$A$2:$A$36,sales_teams!C$2:C$36)</f>
        <v>Central</v>
      </c>
      <c r="E7264" t="s">
        <v>15</v>
      </c>
      <c r="F7264" t="s">
        <v>111</v>
      </c>
      <c r="G7264" t="s">
        <v>12</v>
      </c>
      <c r="H7264" s="1">
        <v>43013</v>
      </c>
      <c r="I7264" s="1">
        <v>43091</v>
      </c>
      <c r="J7264">
        <v>5009</v>
      </c>
    </row>
    <row r="7265" spans="1:10" x14ac:dyDescent="0.3">
      <c r="A7265" t="s">
        <v>7396</v>
      </c>
      <c r="B7265" t="s">
        <v>142</v>
      </c>
      <c r="C7265" t="str">
        <f>_xlfn.XLOOKUP(B7265,
[1]sales_teams!$A$2:$A$100,
[1]sales_teams!$B$2:$B$100)</f>
        <v>Rocco Neubert</v>
      </c>
      <c r="D7265" t="str">
        <f>_xlfn.XLOOKUP($B7265,sales_teams!$A$2:$A$36,sales_teams!C$2:C$36)</f>
        <v>East</v>
      </c>
      <c r="E7265" t="s">
        <v>39</v>
      </c>
      <c r="F7265" t="s">
        <v>300</v>
      </c>
      <c r="G7265" t="s">
        <v>46</v>
      </c>
      <c r="H7265" s="1">
        <v>43013</v>
      </c>
      <c r="I7265" s="1">
        <v>43018</v>
      </c>
      <c r="J7265">
        <v>0</v>
      </c>
    </row>
    <row r="7266" spans="1:10" x14ac:dyDescent="0.3">
      <c r="A7266" t="s">
        <v>7397</v>
      </c>
      <c r="B7266" t="s">
        <v>67</v>
      </c>
      <c r="C7266" t="str">
        <f>_xlfn.XLOOKUP(B7266,
[1]sales_teams!$A$2:$A$100,
[1]sales_teams!$B$2:$B$100)</f>
        <v>Celia Rouche</v>
      </c>
      <c r="D7266" t="str">
        <f>_xlfn.XLOOKUP($B7266,sales_teams!$A$2:$A$36,sales_teams!C$2:C$36)</f>
        <v>West</v>
      </c>
      <c r="E7266" t="s">
        <v>18</v>
      </c>
      <c r="G7266" t="s">
        <v>40</v>
      </c>
      <c r="H7266" s="1">
        <v>43013</v>
      </c>
    </row>
    <row r="7267" spans="1:10" x14ac:dyDescent="0.3">
      <c r="A7267" t="s">
        <v>7398</v>
      </c>
      <c r="B7267" t="s">
        <v>67</v>
      </c>
      <c r="C7267" t="str">
        <f>_xlfn.XLOOKUP(B7267,
[1]sales_teams!$A$2:$A$100,
[1]sales_teams!$B$2:$B$100)</f>
        <v>Celia Rouche</v>
      </c>
      <c r="D7267" t="str">
        <f>_xlfn.XLOOKUP($B7267,sales_teams!$A$2:$A$36,sales_teams!C$2:C$36)</f>
        <v>West</v>
      </c>
      <c r="E7267" t="s">
        <v>145</v>
      </c>
      <c r="F7267" t="s">
        <v>199</v>
      </c>
      <c r="G7267" t="s">
        <v>46</v>
      </c>
      <c r="H7267" s="1">
        <v>43013</v>
      </c>
      <c r="I7267" s="1">
        <v>43026</v>
      </c>
      <c r="J7267">
        <v>0</v>
      </c>
    </row>
    <row r="7268" spans="1:10" x14ac:dyDescent="0.3">
      <c r="A7268" t="s">
        <v>7399</v>
      </c>
      <c r="B7268" t="s">
        <v>105</v>
      </c>
      <c r="C7268" t="str">
        <f>_xlfn.XLOOKUP(B7268,
[1]sales_teams!$A$2:$A$100,
[1]sales_teams!$B$2:$B$100)</f>
        <v>Cara Losch</v>
      </c>
      <c r="D7268" t="str">
        <f>_xlfn.XLOOKUP($B7268,sales_teams!$A$2:$A$36,sales_teams!C$2:C$36)</f>
        <v>East</v>
      </c>
      <c r="E7268" t="s">
        <v>48</v>
      </c>
      <c r="F7268" t="s">
        <v>98</v>
      </c>
      <c r="G7268" t="s">
        <v>12</v>
      </c>
      <c r="H7268" s="1">
        <v>43013</v>
      </c>
      <c r="I7268" s="1">
        <v>43015</v>
      </c>
      <c r="J7268">
        <v>5331</v>
      </c>
    </row>
    <row r="7269" spans="1:10" x14ac:dyDescent="0.3">
      <c r="A7269" t="s">
        <v>7400</v>
      </c>
      <c r="B7269" t="s">
        <v>54</v>
      </c>
      <c r="C7269" t="str">
        <f>_xlfn.XLOOKUP(B7269,
[1]sales_teams!$A$2:$A$100,
[1]sales_teams!$B$2:$B$100)</f>
        <v>Celia Rouche</v>
      </c>
      <c r="D7269" t="str">
        <f>_xlfn.XLOOKUP($B7269,sales_teams!$A$2:$A$36,sales_teams!C$2:C$36)</f>
        <v>West</v>
      </c>
      <c r="E7269" t="s">
        <v>39</v>
      </c>
      <c r="F7269" t="s">
        <v>59</v>
      </c>
      <c r="G7269" t="s">
        <v>46</v>
      </c>
      <c r="H7269" s="1">
        <v>43013</v>
      </c>
      <c r="I7269" s="1">
        <v>43082</v>
      </c>
      <c r="J7269">
        <v>0</v>
      </c>
    </row>
    <row r="7270" spans="1:10" x14ac:dyDescent="0.3">
      <c r="A7270" t="s">
        <v>7401</v>
      </c>
      <c r="B7270" t="s">
        <v>38</v>
      </c>
      <c r="C7270" t="str">
        <f>_xlfn.XLOOKUP(B7270,
[1]sales_teams!$A$2:$A$100,
[1]sales_teams!$B$2:$B$100)</f>
        <v>Summer Sewald</v>
      </c>
      <c r="D7270" t="str">
        <f>_xlfn.XLOOKUP($B7270,sales_teams!$A$2:$A$36,sales_teams!C$2:C$36)</f>
        <v>West</v>
      </c>
      <c r="E7270" t="s">
        <v>20</v>
      </c>
      <c r="F7270" t="s">
        <v>398</v>
      </c>
      <c r="G7270" t="s">
        <v>46</v>
      </c>
      <c r="H7270" s="1">
        <v>43013</v>
      </c>
      <c r="I7270" s="1">
        <v>43018</v>
      </c>
      <c r="J7270">
        <v>0</v>
      </c>
    </row>
    <row r="7271" spans="1:10" x14ac:dyDescent="0.3">
      <c r="A7271" t="s">
        <v>7402</v>
      </c>
      <c r="B7271" t="s">
        <v>38</v>
      </c>
      <c r="C7271" t="str">
        <f>_xlfn.XLOOKUP(B7271,
[1]sales_teams!$A$2:$A$100,
[1]sales_teams!$B$2:$B$100)</f>
        <v>Summer Sewald</v>
      </c>
      <c r="D7271" t="str">
        <f>_xlfn.XLOOKUP($B7271,sales_teams!$A$2:$A$36,sales_teams!C$2:C$36)</f>
        <v>West</v>
      </c>
      <c r="E7271" t="s">
        <v>15</v>
      </c>
      <c r="F7271" t="s">
        <v>86</v>
      </c>
      <c r="G7271" t="s">
        <v>46</v>
      </c>
      <c r="H7271" s="1">
        <v>43013</v>
      </c>
      <c r="I7271" s="1">
        <v>43062</v>
      </c>
      <c r="J7271">
        <v>0</v>
      </c>
    </row>
    <row r="7272" spans="1:10" x14ac:dyDescent="0.3">
      <c r="A7272" t="s">
        <v>7403</v>
      </c>
      <c r="B7272" t="s">
        <v>38</v>
      </c>
      <c r="C7272" t="str">
        <f>_xlfn.XLOOKUP(B7272,
[1]sales_teams!$A$2:$A$100,
[1]sales_teams!$B$2:$B$100)</f>
        <v>Summer Sewald</v>
      </c>
      <c r="D7272" t="str">
        <f>_xlfn.XLOOKUP($B7272,sales_teams!$A$2:$A$36,sales_teams!C$2:C$36)</f>
        <v>West</v>
      </c>
      <c r="E7272" t="s">
        <v>10</v>
      </c>
      <c r="F7272" t="s">
        <v>24</v>
      </c>
      <c r="G7272" t="s">
        <v>12</v>
      </c>
      <c r="H7272" s="1">
        <v>43013</v>
      </c>
      <c r="I7272" s="1">
        <v>43026</v>
      </c>
      <c r="J7272">
        <v>1132</v>
      </c>
    </row>
    <row r="7273" spans="1:10" x14ac:dyDescent="0.3">
      <c r="A7273" t="s">
        <v>7404</v>
      </c>
      <c r="B7273" t="s">
        <v>38</v>
      </c>
      <c r="C7273" t="str">
        <f>_xlfn.XLOOKUP(B7273,
[1]sales_teams!$A$2:$A$100,
[1]sales_teams!$B$2:$B$100)</f>
        <v>Summer Sewald</v>
      </c>
      <c r="D7273" t="str">
        <f>_xlfn.XLOOKUP($B7273,sales_teams!$A$2:$A$36,sales_teams!C$2:C$36)</f>
        <v>West</v>
      </c>
      <c r="E7273" t="s">
        <v>48</v>
      </c>
      <c r="F7273" t="s">
        <v>313</v>
      </c>
      <c r="G7273" t="s">
        <v>12</v>
      </c>
      <c r="H7273" s="1">
        <v>43013</v>
      </c>
      <c r="I7273" s="1">
        <v>43019</v>
      </c>
      <c r="J7273">
        <v>5004</v>
      </c>
    </row>
    <row r="7274" spans="1:10" x14ac:dyDescent="0.3">
      <c r="A7274" t="s">
        <v>7405</v>
      </c>
      <c r="B7274" t="s">
        <v>252</v>
      </c>
      <c r="C7274" t="str">
        <f>_xlfn.XLOOKUP(B7274,
[1]sales_teams!$A$2:$A$100,
[1]sales_teams!$B$2:$B$100)</f>
        <v>Melvin Marxen</v>
      </c>
      <c r="D7274" t="str">
        <f>_xlfn.XLOOKUP($B7274,sales_teams!$A$2:$A$36,sales_teams!C$2:C$36)</f>
        <v>Central</v>
      </c>
      <c r="E7274" t="s">
        <v>20</v>
      </c>
      <c r="F7274" t="s">
        <v>318</v>
      </c>
      <c r="G7274" t="s">
        <v>12</v>
      </c>
      <c r="H7274" s="1">
        <v>43013</v>
      </c>
      <c r="I7274" s="1">
        <v>43018</v>
      </c>
      <c r="J7274">
        <v>556</v>
      </c>
    </row>
    <row r="7275" spans="1:10" x14ac:dyDescent="0.3">
      <c r="A7275" t="s">
        <v>7406</v>
      </c>
      <c r="B7275" t="s">
        <v>252</v>
      </c>
      <c r="C7275" t="str">
        <f>_xlfn.XLOOKUP(B7275,
[1]sales_teams!$A$2:$A$100,
[1]sales_teams!$B$2:$B$100)</f>
        <v>Melvin Marxen</v>
      </c>
      <c r="D7275" t="str">
        <f>_xlfn.XLOOKUP($B7275,sales_teams!$A$2:$A$36,sales_teams!C$2:C$36)</f>
        <v>Central</v>
      </c>
      <c r="E7275" t="s">
        <v>18</v>
      </c>
      <c r="F7275" t="s">
        <v>109</v>
      </c>
      <c r="G7275" t="s">
        <v>12</v>
      </c>
      <c r="H7275" s="1">
        <v>43013</v>
      </c>
      <c r="I7275" s="1">
        <v>43020</v>
      </c>
      <c r="J7275">
        <v>53</v>
      </c>
    </row>
    <row r="7276" spans="1:10" x14ac:dyDescent="0.3">
      <c r="A7276" t="s">
        <v>7407</v>
      </c>
      <c r="B7276" t="s">
        <v>78</v>
      </c>
      <c r="C7276" t="str">
        <f>_xlfn.XLOOKUP(B7276,
[1]sales_teams!$A$2:$A$100,
[1]sales_teams!$B$2:$B$100)</f>
        <v>Summer Sewald</v>
      </c>
      <c r="D7276" t="str">
        <f>_xlfn.XLOOKUP($B7276,sales_teams!$A$2:$A$36,sales_teams!C$2:C$36)</f>
        <v>West</v>
      </c>
      <c r="E7276" t="s">
        <v>15</v>
      </c>
      <c r="F7276" t="s">
        <v>55</v>
      </c>
      <c r="G7276" t="s">
        <v>12</v>
      </c>
      <c r="H7276" s="1">
        <v>43013</v>
      </c>
      <c r="I7276" s="1">
        <v>43063</v>
      </c>
      <c r="J7276">
        <v>4362</v>
      </c>
    </row>
    <row r="7277" spans="1:10" x14ac:dyDescent="0.3">
      <c r="A7277" t="s">
        <v>7408</v>
      </c>
      <c r="B7277" t="s">
        <v>95</v>
      </c>
      <c r="C7277" t="str">
        <f>_xlfn.XLOOKUP(B7277,
[1]sales_teams!$A$2:$A$100,
[1]sales_teams!$B$2:$B$100)</f>
        <v>Summer Sewald</v>
      </c>
      <c r="D7277" t="str">
        <f>_xlfn.XLOOKUP($B7277,sales_teams!$A$2:$A$36,sales_teams!C$2:C$36)</f>
        <v>West</v>
      </c>
      <c r="E7277" t="s">
        <v>15</v>
      </c>
      <c r="G7277" t="s">
        <v>40</v>
      </c>
      <c r="H7277" s="1">
        <v>43013</v>
      </c>
    </row>
    <row r="7278" spans="1:10" x14ac:dyDescent="0.3">
      <c r="A7278" t="s">
        <v>7409</v>
      </c>
      <c r="B7278" t="s">
        <v>116</v>
      </c>
      <c r="C7278" t="str">
        <f>_xlfn.XLOOKUP(B7278,
[1]sales_teams!$A$2:$A$100,
[1]sales_teams!$B$2:$B$100)</f>
        <v>Melvin Marxen</v>
      </c>
      <c r="D7278" t="str">
        <f>_xlfn.XLOOKUP($B7278,sales_teams!$A$2:$A$36,sales_teams!C$2:C$36)</f>
        <v>Central</v>
      </c>
      <c r="E7278" t="s">
        <v>20</v>
      </c>
      <c r="F7278" t="s">
        <v>76</v>
      </c>
      <c r="G7278" t="s">
        <v>12</v>
      </c>
      <c r="H7278" s="1">
        <v>43013</v>
      </c>
      <c r="I7278" s="1">
        <v>43093</v>
      </c>
      <c r="J7278">
        <v>550</v>
      </c>
    </row>
    <row r="7279" spans="1:10" x14ac:dyDescent="0.3">
      <c r="A7279" t="s">
        <v>7410</v>
      </c>
      <c r="B7279" t="s">
        <v>9</v>
      </c>
      <c r="C7279" t="str">
        <f>_xlfn.XLOOKUP(B7279,
[1]sales_teams!$A$2:$A$100,
[1]sales_teams!$B$2:$B$100)</f>
        <v>Dustin Brinkmann</v>
      </c>
      <c r="D7279" t="str">
        <f>_xlfn.XLOOKUP($B7279,sales_teams!$A$2:$A$36,sales_teams!C$2:C$36)</f>
        <v>Central</v>
      </c>
      <c r="E7279" t="s">
        <v>18</v>
      </c>
      <c r="F7279" t="s">
        <v>111</v>
      </c>
      <c r="G7279" t="s">
        <v>12</v>
      </c>
      <c r="H7279" s="1">
        <v>43013</v>
      </c>
      <c r="I7279" s="1">
        <v>43097</v>
      </c>
      <c r="J7279">
        <v>50</v>
      </c>
    </row>
    <row r="7280" spans="1:10" x14ac:dyDescent="0.3">
      <c r="A7280" t="s">
        <v>7411</v>
      </c>
      <c r="B7280" t="s">
        <v>35</v>
      </c>
      <c r="C7280" t="str">
        <f>_xlfn.XLOOKUP(B7280,
[1]sales_teams!$A$2:$A$100,
[1]sales_teams!$B$2:$B$100)</f>
        <v>Melvin Marxen</v>
      </c>
      <c r="D7280" t="str">
        <f>_xlfn.XLOOKUP($B7280,sales_teams!$A$2:$A$36,sales_teams!C$2:C$36)</f>
        <v>Central</v>
      </c>
      <c r="E7280" t="s">
        <v>10</v>
      </c>
      <c r="F7280" t="s">
        <v>197</v>
      </c>
      <c r="G7280" t="s">
        <v>46</v>
      </c>
      <c r="H7280" s="1">
        <v>43013</v>
      </c>
      <c r="I7280" s="1">
        <v>43021</v>
      </c>
      <c r="J7280">
        <v>0</v>
      </c>
    </row>
    <row r="7281" spans="1:10" x14ac:dyDescent="0.3">
      <c r="A7281" t="s">
        <v>7412</v>
      </c>
      <c r="B7281" t="s">
        <v>35</v>
      </c>
      <c r="C7281" t="str">
        <f>_xlfn.XLOOKUP(B7281,
[1]sales_teams!$A$2:$A$100,
[1]sales_teams!$B$2:$B$100)</f>
        <v>Melvin Marxen</v>
      </c>
      <c r="D7281" t="str">
        <f>_xlfn.XLOOKUP($B7281,sales_teams!$A$2:$A$36,sales_teams!C$2:C$36)</f>
        <v>Central</v>
      </c>
      <c r="E7281" t="s">
        <v>10</v>
      </c>
      <c r="F7281" t="s">
        <v>197</v>
      </c>
      <c r="G7281" t="s">
        <v>46</v>
      </c>
      <c r="H7281" s="1">
        <v>43013</v>
      </c>
      <c r="I7281" s="1">
        <v>43023</v>
      </c>
      <c r="J7281">
        <v>0</v>
      </c>
    </row>
    <row r="7282" spans="1:10" x14ac:dyDescent="0.3">
      <c r="A7282" t="s">
        <v>7413</v>
      </c>
      <c r="B7282" t="s">
        <v>35</v>
      </c>
      <c r="C7282" t="str">
        <f>_xlfn.XLOOKUP(B7282,
[1]sales_teams!$A$2:$A$100,
[1]sales_teams!$B$2:$B$100)</f>
        <v>Melvin Marxen</v>
      </c>
      <c r="D7282" t="str">
        <f>_xlfn.XLOOKUP($B7282,sales_teams!$A$2:$A$36,sales_teams!C$2:C$36)</f>
        <v>Central</v>
      </c>
      <c r="E7282" t="s">
        <v>15</v>
      </c>
      <c r="F7282" t="s">
        <v>135</v>
      </c>
      <c r="G7282" t="s">
        <v>46</v>
      </c>
      <c r="H7282" s="1">
        <v>43013</v>
      </c>
      <c r="I7282" s="1">
        <v>43023</v>
      </c>
      <c r="J7282">
        <v>0</v>
      </c>
    </row>
    <row r="7283" spans="1:10" x14ac:dyDescent="0.3">
      <c r="A7283" t="s">
        <v>7414</v>
      </c>
      <c r="B7283" t="s">
        <v>97</v>
      </c>
      <c r="C7283" t="str">
        <f>_xlfn.XLOOKUP(B7283,
[1]sales_teams!$A$2:$A$100,
[1]sales_teams!$B$2:$B$100)</f>
        <v>Rocco Neubert</v>
      </c>
      <c r="D7283" t="str">
        <f>_xlfn.XLOOKUP($B7283,sales_teams!$A$2:$A$36,sales_teams!C$2:C$36)</f>
        <v>East</v>
      </c>
      <c r="E7283" t="s">
        <v>15</v>
      </c>
      <c r="F7283" t="s">
        <v>237</v>
      </c>
      <c r="G7283" t="s">
        <v>12</v>
      </c>
      <c r="H7283" s="1">
        <v>43013</v>
      </c>
      <c r="I7283" s="1">
        <v>43100</v>
      </c>
      <c r="J7283">
        <v>4651</v>
      </c>
    </row>
    <row r="7284" spans="1:10" x14ac:dyDescent="0.3">
      <c r="A7284" t="s">
        <v>7415</v>
      </c>
      <c r="B7284" t="s">
        <v>97</v>
      </c>
      <c r="C7284" t="str">
        <f>_xlfn.XLOOKUP(B7284,
[1]sales_teams!$A$2:$A$100,
[1]sales_teams!$B$2:$B$100)</f>
        <v>Rocco Neubert</v>
      </c>
      <c r="D7284" t="str">
        <f>_xlfn.XLOOKUP($B7284,sales_teams!$A$2:$A$36,sales_teams!C$2:C$36)</f>
        <v>East</v>
      </c>
      <c r="E7284" t="s">
        <v>39</v>
      </c>
      <c r="F7284" t="s">
        <v>189</v>
      </c>
      <c r="G7284" t="s">
        <v>12</v>
      </c>
      <c r="H7284" s="1">
        <v>43013</v>
      </c>
      <c r="I7284" s="1">
        <v>43086</v>
      </c>
      <c r="J7284">
        <v>3285</v>
      </c>
    </row>
    <row r="7285" spans="1:10" x14ac:dyDescent="0.3">
      <c r="A7285" t="s">
        <v>7416</v>
      </c>
      <c r="B7285" t="s">
        <v>57</v>
      </c>
      <c r="C7285" t="str">
        <f>_xlfn.XLOOKUP(B7285,
[1]sales_teams!$A$2:$A$100,
[1]sales_teams!$B$2:$B$100)</f>
        <v>Celia Rouche</v>
      </c>
      <c r="D7285" t="str">
        <f>_xlfn.XLOOKUP($B7285,sales_teams!$A$2:$A$36,sales_teams!C$2:C$36)</f>
        <v>West</v>
      </c>
      <c r="E7285" t="s">
        <v>20</v>
      </c>
      <c r="F7285" t="s">
        <v>194</v>
      </c>
      <c r="G7285" t="s">
        <v>46</v>
      </c>
      <c r="H7285" s="1">
        <v>43013</v>
      </c>
      <c r="I7285" s="1">
        <v>43019</v>
      </c>
      <c r="J7285">
        <v>0</v>
      </c>
    </row>
    <row r="7286" spans="1:10" x14ac:dyDescent="0.3">
      <c r="A7286" t="s">
        <v>7417</v>
      </c>
      <c r="B7286" t="s">
        <v>88</v>
      </c>
      <c r="C7286" t="str">
        <f>_xlfn.XLOOKUP(B7286,
[1]sales_teams!$A$2:$A$100,
[1]sales_teams!$B$2:$B$100)</f>
        <v>Cara Losch</v>
      </c>
      <c r="D7286" t="str">
        <f>_xlfn.XLOOKUP($B7286,sales_teams!$A$2:$A$36,sales_teams!C$2:C$36)</f>
        <v>East</v>
      </c>
      <c r="E7286" t="s">
        <v>39</v>
      </c>
      <c r="F7286" t="s">
        <v>189</v>
      </c>
      <c r="G7286" t="s">
        <v>12</v>
      </c>
      <c r="H7286" s="1">
        <v>43013</v>
      </c>
      <c r="I7286" s="1">
        <v>43019</v>
      </c>
      <c r="J7286">
        <v>3002</v>
      </c>
    </row>
    <row r="7287" spans="1:10" x14ac:dyDescent="0.3">
      <c r="A7287" t="s">
        <v>7418</v>
      </c>
      <c r="B7287" t="s">
        <v>61</v>
      </c>
      <c r="C7287" t="str">
        <f>_xlfn.XLOOKUP(B7287,
[1]sales_teams!$A$2:$A$100,
[1]sales_teams!$B$2:$B$100)</f>
        <v>Dustin Brinkmann</v>
      </c>
      <c r="D7287" t="str">
        <f>_xlfn.XLOOKUP($B7287,sales_teams!$A$2:$A$36,sales_teams!C$2:C$36)</f>
        <v>Central</v>
      </c>
      <c r="E7287" t="s">
        <v>20</v>
      </c>
      <c r="F7287" t="s">
        <v>303</v>
      </c>
      <c r="G7287" t="s">
        <v>46</v>
      </c>
      <c r="H7287" s="1">
        <v>43013</v>
      </c>
      <c r="I7287" s="1">
        <v>43024</v>
      </c>
      <c r="J7287">
        <v>0</v>
      </c>
    </row>
    <row r="7288" spans="1:10" x14ac:dyDescent="0.3">
      <c r="A7288" t="s">
        <v>7419</v>
      </c>
      <c r="B7288" t="s">
        <v>61</v>
      </c>
      <c r="C7288" t="str">
        <f>_xlfn.XLOOKUP(B7288,
[1]sales_teams!$A$2:$A$100,
[1]sales_teams!$B$2:$B$100)</f>
        <v>Dustin Brinkmann</v>
      </c>
      <c r="D7288" t="str">
        <f>_xlfn.XLOOKUP($B7288,sales_teams!$A$2:$A$36,sales_teams!C$2:C$36)</f>
        <v>Central</v>
      </c>
      <c r="E7288" t="s">
        <v>18</v>
      </c>
      <c r="F7288" t="s">
        <v>120</v>
      </c>
      <c r="G7288" t="s">
        <v>12</v>
      </c>
      <c r="H7288" s="1">
        <v>43013</v>
      </c>
      <c r="I7288" s="1">
        <v>43015</v>
      </c>
      <c r="J7288">
        <v>58</v>
      </c>
    </row>
    <row r="7289" spans="1:10" x14ac:dyDescent="0.3">
      <c r="A7289" t="s">
        <v>7420</v>
      </c>
      <c r="B7289" t="s">
        <v>29</v>
      </c>
      <c r="C7289" t="str">
        <f>_xlfn.XLOOKUP(B7289,
[1]sales_teams!$A$2:$A$100,
[1]sales_teams!$B$2:$B$100)</f>
        <v>Celia Rouche</v>
      </c>
      <c r="D7289" t="str">
        <f>_xlfn.XLOOKUP($B7289,sales_teams!$A$2:$A$36,sales_teams!C$2:C$36)</f>
        <v>West</v>
      </c>
      <c r="E7289" t="s">
        <v>18</v>
      </c>
      <c r="F7289" t="s">
        <v>79</v>
      </c>
      <c r="G7289" t="s">
        <v>46</v>
      </c>
      <c r="H7289" s="1">
        <v>43013</v>
      </c>
      <c r="I7289" s="1">
        <v>43016</v>
      </c>
      <c r="J7289">
        <v>0</v>
      </c>
    </row>
    <row r="7290" spans="1:10" x14ac:dyDescent="0.3">
      <c r="A7290" t="s">
        <v>7421</v>
      </c>
      <c r="B7290" t="s">
        <v>29</v>
      </c>
      <c r="C7290" t="str">
        <f>_xlfn.XLOOKUP(B7290,
[1]sales_teams!$A$2:$A$100,
[1]sales_teams!$B$2:$B$100)</f>
        <v>Celia Rouche</v>
      </c>
      <c r="D7290" t="str">
        <f>_xlfn.XLOOKUP($B7290,sales_teams!$A$2:$A$36,sales_teams!C$2:C$36)</f>
        <v>West</v>
      </c>
      <c r="E7290" t="s">
        <v>39</v>
      </c>
      <c r="F7290" t="s">
        <v>224</v>
      </c>
      <c r="G7290" t="s">
        <v>12</v>
      </c>
      <c r="H7290" s="1">
        <v>43013</v>
      </c>
      <c r="I7290" s="1">
        <v>43016</v>
      </c>
      <c r="J7290">
        <v>3435</v>
      </c>
    </row>
    <row r="7291" spans="1:10" x14ac:dyDescent="0.3">
      <c r="A7291" t="s">
        <v>7422</v>
      </c>
      <c r="B7291" t="s">
        <v>23</v>
      </c>
      <c r="C7291" t="str">
        <f>_xlfn.XLOOKUP(B7291,
[1]sales_teams!$A$2:$A$100,
[1]sales_teams!$B$2:$B$100)</f>
        <v>Summer Sewald</v>
      </c>
      <c r="D7291" t="str">
        <f>_xlfn.XLOOKUP($B7291,sales_teams!$A$2:$A$36,sales_teams!C$2:C$36)</f>
        <v>West</v>
      </c>
      <c r="E7291" t="s">
        <v>18</v>
      </c>
      <c r="F7291" t="s">
        <v>93</v>
      </c>
      <c r="G7291" t="s">
        <v>46</v>
      </c>
      <c r="H7291" s="1">
        <v>43013</v>
      </c>
      <c r="I7291" s="1">
        <v>43015</v>
      </c>
      <c r="J7291">
        <v>0</v>
      </c>
    </row>
    <row r="7292" spans="1:10" x14ac:dyDescent="0.3">
      <c r="A7292" t="s">
        <v>7423</v>
      </c>
      <c r="B7292" t="s">
        <v>26</v>
      </c>
      <c r="C7292" t="str">
        <f>_xlfn.XLOOKUP(B7292,
[1]sales_teams!$A$2:$A$100,
[1]sales_teams!$B$2:$B$100)</f>
        <v>Dustin Brinkmann</v>
      </c>
      <c r="D7292" t="str">
        <f>_xlfn.XLOOKUP($B7292,sales_teams!$A$2:$A$36,sales_teams!C$2:C$36)</f>
        <v>Central</v>
      </c>
      <c r="E7292" t="s">
        <v>18</v>
      </c>
      <c r="F7292" t="s">
        <v>135</v>
      </c>
      <c r="G7292" t="s">
        <v>46</v>
      </c>
      <c r="H7292" s="1">
        <v>43014</v>
      </c>
      <c r="I7292" s="1">
        <v>43063</v>
      </c>
      <c r="J7292">
        <v>0</v>
      </c>
    </row>
    <row r="7293" spans="1:10" x14ac:dyDescent="0.3">
      <c r="A7293" t="s">
        <v>7424</v>
      </c>
      <c r="B7293" t="s">
        <v>26</v>
      </c>
      <c r="C7293" t="str">
        <f>_xlfn.XLOOKUP(B7293,
[1]sales_teams!$A$2:$A$100,
[1]sales_teams!$B$2:$B$100)</f>
        <v>Dustin Brinkmann</v>
      </c>
      <c r="D7293" t="str">
        <f>_xlfn.XLOOKUP($B7293,sales_teams!$A$2:$A$36,sales_teams!C$2:C$36)</f>
        <v>Central</v>
      </c>
      <c r="E7293" t="s">
        <v>39</v>
      </c>
      <c r="F7293" t="s">
        <v>27</v>
      </c>
      <c r="G7293" t="s">
        <v>46</v>
      </c>
      <c r="H7293" s="1">
        <v>43014</v>
      </c>
      <c r="I7293" s="1">
        <v>43016</v>
      </c>
      <c r="J7293">
        <v>0</v>
      </c>
    </row>
    <row r="7294" spans="1:10" x14ac:dyDescent="0.3">
      <c r="A7294" t="s">
        <v>7425</v>
      </c>
      <c r="B7294" t="s">
        <v>139</v>
      </c>
      <c r="C7294" t="str">
        <f>_xlfn.XLOOKUP(B7294,
[1]sales_teams!$A$2:$A$100,
[1]sales_teams!$B$2:$B$100)</f>
        <v>Rocco Neubert</v>
      </c>
      <c r="D7294" t="str">
        <f>_xlfn.XLOOKUP($B7294,sales_teams!$A$2:$A$36,sales_teams!C$2:C$36)</f>
        <v>East</v>
      </c>
      <c r="E7294" t="s">
        <v>20</v>
      </c>
      <c r="F7294" t="s">
        <v>199</v>
      </c>
      <c r="G7294" t="s">
        <v>12</v>
      </c>
      <c r="H7294" s="1">
        <v>43014</v>
      </c>
      <c r="I7294" s="1">
        <v>43083</v>
      </c>
      <c r="J7294">
        <v>492</v>
      </c>
    </row>
    <row r="7295" spans="1:10" x14ac:dyDescent="0.3">
      <c r="A7295" t="s">
        <v>7426</v>
      </c>
      <c r="B7295" t="s">
        <v>139</v>
      </c>
      <c r="C7295" t="str">
        <f>_xlfn.XLOOKUP(B7295,
[1]sales_teams!$A$2:$A$100,
[1]sales_teams!$B$2:$B$100)</f>
        <v>Rocco Neubert</v>
      </c>
      <c r="D7295" t="str">
        <f>_xlfn.XLOOKUP($B7295,sales_teams!$A$2:$A$36,sales_teams!C$2:C$36)</f>
        <v>East</v>
      </c>
      <c r="E7295" t="s">
        <v>15</v>
      </c>
      <c r="F7295" t="s">
        <v>65</v>
      </c>
      <c r="G7295" t="s">
        <v>12</v>
      </c>
      <c r="H7295" s="1">
        <v>43014</v>
      </c>
      <c r="I7295" s="1">
        <v>43015</v>
      </c>
      <c r="J7295">
        <v>4401</v>
      </c>
    </row>
    <row r="7296" spans="1:10" x14ac:dyDescent="0.3">
      <c r="A7296" t="s">
        <v>7427</v>
      </c>
      <c r="B7296" t="s">
        <v>118</v>
      </c>
      <c r="C7296" t="str">
        <f>_xlfn.XLOOKUP(B7296,
[1]sales_teams!$A$2:$A$100,
[1]sales_teams!$B$2:$B$100)</f>
        <v>Rocco Neubert</v>
      </c>
      <c r="D7296" t="str">
        <f>_xlfn.XLOOKUP($B7296,sales_teams!$A$2:$A$36,sales_teams!C$2:C$36)</f>
        <v>East</v>
      </c>
      <c r="E7296" t="s">
        <v>18</v>
      </c>
      <c r="F7296" t="s">
        <v>300</v>
      </c>
      <c r="G7296" t="s">
        <v>12</v>
      </c>
      <c r="H7296" s="1">
        <v>43014</v>
      </c>
      <c r="I7296" s="1">
        <v>43095</v>
      </c>
      <c r="J7296">
        <v>50</v>
      </c>
    </row>
    <row r="7297" spans="1:10" x14ac:dyDescent="0.3">
      <c r="A7297" t="s">
        <v>7428</v>
      </c>
      <c r="B7297" t="s">
        <v>118</v>
      </c>
      <c r="C7297" t="str">
        <f>_xlfn.XLOOKUP(B7297,
[1]sales_teams!$A$2:$A$100,
[1]sales_teams!$B$2:$B$100)</f>
        <v>Rocco Neubert</v>
      </c>
      <c r="D7297" t="str">
        <f>_xlfn.XLOOKUP($B7297,sales_teams!$A$2:$A$36,sales_teams!C$2:C$36)</f>
        <v>East</v>
      </c>
      <c r="E7297" t="s">
        <v>39</v>
      </c>
      <c r="F7297" t="s">
        <v>192</v>
      </c>
      <c r="G7297" t="s">
        <v>12</v>
      </c>
      <c r="H7297" s="1">
        <v>43014</v>
      </c>
      <c r="I7297" s="1">
        <v>43051</v>
      </c>
      <c r="J7297">
        <v>3333</v>
      </c>
    </row>
    <row r="7298" spans="1:10" x14ac:dyDescent="0.3">
      <c r="A7298" t="s">
        <v>7429</v>
      </c>
      <c r="B7298" t="s">
        <v>164</v>
      </c>
      <c r="C7298" t="str">
        <f>_xlfn.XLOOKUP(B7298,
[1]sales_teams!$A$2:$A$100,
[1]sales_teams!$B$2:$B$100)</f>
        <v>Cara Losch</v>
      </c>
      <c r="D7298" t="str">
        <f>_xlfn.XLOOKUP($B7298,sales_teams!$A$2:$A$36,sales_teams!C$2:C$36)</f>
        <v>East</v>
      </c>
      <c r="E7298" t="s">
        <v>10</v>
      </c>
      <c r="F7298" t="s">
        <v>410</v>
      </c>
      <c r="G7298" t="s">
        <v>12</v>
      </c>
      <c r="H7298" s="1">
        <v>43014</v>
      </c>
      <c r="I7298" s="1">
        <v>43024</v>
      </c>
      <c r="J7298">
        <v>1095</v>
      </c>
    </row>
    <row r="7299" spans="1:10" x14ac:dyDescent="0.3">
      <c r="A7299" t="s">
        <v>7430</v>
      </c>
      <c r="B7299" t="s">
        <v>64</v>
      </c>
      <c r="C7299" t="str">
        <f>_xlfn.XLOOKUP(B7299,
[1]sales_teams!$A$2:$A$100,
[1]sales_teams!$B$2:$B$100)</f>
        <v>Rocco Neubert</v>
      </c>
      <c r="D7299" t="str">
        <f>_xlfn.XLOOKUP($B7299,sales_teams!$A$2:$A$36,sales_teams!C$2:C$36)</f>
        <v>East</v>
      </c>
      <c r="E7299" t="s">
        <v>39</v>
      </c>
      <c r="G7299" t="s">
        <v>40</v>
      </c>
      <c r="H7299" s="1">
        <v>43014</v>
      </c>
    </row>
    <row r="7300" spans="1:10" x14ac:dyDescent="0.3">
      <c r="A7300" t="s">
        <v>7431</v>
      </c>
      <c r="B7300" t="s">
        <v>14</v>
      </c>
      <c r="C7300" t="str">
        <f>_xlfn.XLOOKUP(B7300,
[1]sales_teams!$A$2:$A$100,
[1]sales_teams!$B$2:$B$100)</f>
        <v>Melvin Marxen</v>
      </c>
      <c r="D7300" t="str">
        <f>_xlfn.XLOOKUP($B7300,sales_teams!$A$2:$A$36,sales_teams!C$2:C$36)</f>
        <v>Central</v>
      </c>
      <c r="E7300" t="s">
        <v>48</v>
      </c>
      <c r="F7300" t="s">
        <v>91</v>
      </c>
      <c r="G7300" t="s">
        <v>12</v>
      </c>
      <c r="H7300" s="1">
        <v>43014</v>
      </c>
      <c r="I7300" s="1">
        <v>43061</v>
      </c>
      <c r="J7300">
        <v>5595</v>
      </c>
    </row>
    <row r="7301" spans="1:10" x14ac:dyDescent="0.3">
      <c r="A7301" t="s">
        <v>7432</v>
      </c>
      <c r="B7301" t="s">
        <v>14</v>
      </c>
      <c r="C7301" t="str">
        <f>_xlfn.XLOOKUP(B7301,
[1]sales_teams!$A$2:$A$100,
[1]sales_teams!$B$2:$B$100)</f>
        <v>Melvin Marxen</v>
      </c>
      <c r="D7301" t="str">
        <f>_xlfn.XLOOKUP($B7301,sales_teams!$A$2:$A$36,sales_teams!C$2:C$36)</f>
        <v>Central</v>
      </c>
      <c r="E7301" t="s">
        <v>15</v>
      </c>
      <c r="F7301" t="s">
        <v>129</v>
      </c>
      <c r="G7301" t="s">
        <v>12</v>
      </c>
      <c r="H7301" s="1">
        <v>43014</v>
      </c>
      <c r="I7301" s="1">
        <v>43016</v>
      </c>
      <c r="J7301">
        <v>4461</v>
      </c>
    </row>
    <row r="7302" spans="1:10" x14ac:dyDescent="0.3">
      <c r="A7302" t="s">
        <v>7433</v>
      </c>
      <c r="B7302" t="s">
        <v>142</v>
      </c>
      <c r="C7302" t="str">
        <f>_xlfn.XLOOKUP(B7302,
[1]sales_teams!$A$2:$A$100,
[1]sales_teams!$B$2:$B$100)</f>
        <v>Rocco Neubert</v>
      </c>
      <c r="D7302" t="str">
        <f>_xlfn.XLOOKUP($B7302,sales_teams!$A$2:$A$36,sales_teams!C$2:C$36)</f>
        <v>East</v>
      </c>
      <c r="E7302" t="s">
        <v>10</v>
      </c>
      <c r="F7302" t="s">
        <v>278</v>
      </c>
      <c r="G7302" t="s">
        <v>46</v>
      </c>
      <c r="H7302" s="1">
        <v>43014</v>
      </c>
      <c r="I7302" s="1">
        <v>43024</v>
      </c>
      <c r="J7302">
        <v>0</v>
      </c>
    </row>
    <row r="7303" spans="1:10" x14ac:dyDescent="0.3">
      <c r="A7303" t="s">
        <v>7434</v>
      </c>
      <c r="B7303" t="s">
        <v>67</v>
      </c>
      <c r="C7303" t="str">
        <f>_xlfn.XLOOKUP(B7303,
[1]sales_teams!$A$2:$A$100,
[1]sales_teams!$B$2:$B$100)</f>
        <v>Celia Rouche</v>
      </c>
      <c r="D7303" t="str">
        <f>_xlfn.XLOOKUP($B7303,sales_teams!$A$2:$A$36,sales_teams!C$2:C$36)</f>
        <v>West</v>
      </c>
      <c r="E7303" t="s">
        <v>18</v>
      </c>
      <c r="G7303" t="s">
        <v>40</v>
      </c>
      <c r="H7303" s="1">
        <v>43014</v>
      </c>
    </row>
    <row r="7304" spans="1:10" x14ac:dyDescent="0.3">
      <c r="A7304" t="s">
        <v>7435</v>
      </c>
      <c r="B7304" t="s">
        <v>44</v>
      </c>
      <c r="C7304" t="str">
        <f>_xlfn.XLOOKUP(B7304,
[1]sales_teams!$A$2:$A$100,
[1]sales_teams!$B$2:$B$100)</f>
        <v>Melvin Marxen</v>
      </c>
      <c r="D7304" t="str">
        <f>_xlfn.XLOOKUP($B7304,sales_teams!$A$2:$A$36,sales_teams!C$2:C$36)</f>
        <v>Central</v>
      </c>
      <c r="E7304" t="s">
        <v>20</v>
      </c>
      <c r="F7304" t="s">
        <v>492</v>
      </c>
      <c r="G7304" t="s">
        <v>12</v>
      </c>
      <c r="H7304" s="1">
        <v>43014</v>
      </c>
      <c r="I7304" s="1">
        <v>43059</v>
      </c>
      <c r="J7304">
        <v>415</v>
      </c>
    </row>
    <row r="7305" spans="1:10" x14ac:dyDescent="0.3">
      <c r="A7305" t="s">
        <v>7436</v>
      </c>
      <c r="B7305" t="s">
        <v>44</v>
      </c>
      <c r="C7305" t="str">
        <f>_xlfn.XLOOKUP(B7305,
[1]sales_teams!$A$2:$A$100,
[1]sales_teams!$B$2:$B$100)</f>
        <v>Melvin Marxen</v>
      </c>
      <c r="D7305" t="str">
        <f>_xlfn.XLOOKUP($B7305,sales_teams!$A$2:$A$36,sales_teams!C$2:C$36)</f>
        <v>Central</v>
      </c>
      <c r="E7305" t="s">
        <v>39</v>
      </c>
      <c r="F7305" t="s">
        <v>111</v>
      </c>
      <c r="G7305" t="s">
        <v>12</v>
      </c>
      <c r="H7305" s="1">
        <v>43014</v>
      </c>
      <c r="I7305" s="1">
        <v>43016</v>
      </c>
      <c r="J7305">
        <v>3212</v>
      </c>
    </row>
    <row r="7306" spans="1:10" x14ac:dyDescent="0.3">
      <c r="A7306" t="s">
        <v>7437</v>
      </c>
      <c r="B7306" t="s">
        <v>38</v>
      </c>
      <c r="C7306" t="str">
        <f>_xlfn.XLOOKUP(B7306,
[1]sales_teams!$A$2:$A$100,
[1]sales_teams!$B$2:$B$100)</f>
        <v>Summer Sewald</v>
      </c>
      <c r="D7306" t="str">
        <f>_xlfn.XLOOKUP($B7306,sales_teams!$A$2:$A$36,sales_teams!C$2:C$36)</f>
        <v>West</v>
      </c>
      <c r="E7306" t="s">
        <v>20</v>
      </c>
      <c r="F7306" t="s">
        <v>398</v>
      </c>
      <c r="G7306" t="s">
        <v>12</v>
      </c>
      <c r="H7306" s="1">
        <v>43014</v>
      </c>
      <c r="I7306" s="1">
        <v>43100</v>
      </c>
      <c r="J7306">
        <v>457</v>
      </c>
    </row>
    <row r="7307" spans="1:10" x14ac:dyDescent="0.3">
      <c r="A7307" t="s">
        <v>7438</v>
      </c>
      <c r="B7307" t="s">
        <v>252</v>
      </c>
      <c r="C7307" t="str">
        <f>_xlfn.XLOOKUP(B7307,
[1]sales_teams!$A$2:$A$100,
[1]sales_teams!$B$2:$B$100)</f>
        <v>Melvin Marxen</v>
      </c>
      <c r="D7307" t="str">
        <f>_xlfn.XLOOKUP($B7307,sales_teams!$A$2:$A$36,sales_teams!C$2:C$36)</f>
        <v>Central</v>
      </c>
      <c r="E7307" t="s">
        <v>10</v>
      </c>
      <c r="F7307" t="s">
        <v>218</v>
      </c>
      <c r="G7307" t="s">
        <v>46</v>
      </c>
      <c r="H7307" s="1">
        <v>43014</v>
      </c>
      <c r="I7307" s="1">
        <v>43025</v>
      </c>
      <c r="J7307">
        <v>0</v>
      </c>
    </row>
    <row r="7308" spans="1:10" x14ac:dyDescent="0.3">
      <c r="A7308" t="s">
        <v>7439</v>
      </c>
      <c r="B7308" t="s">
        <v>252</v>
      </c>
      <c r="C7308" t="str">
        <f>_xlfn.XLOOKUP(B7308,
[1]sales_teams!$A$2:$A$100,
[1]sales_teams!$B$2:$B$100)</f>
        <v>Melvin Marxen</v>
      </c>
      <c r="D7308" t="str">
        <f>_xlfn.XLOOKUP($B7308,sales_teams!$A$2:$A$36,sales_teams!C$2:C$36)</f>
        <v>Central</v>
      </c>
      <c r="E7308" t="s">
        <v>20</v>
      </c>
      <c r="F7308" t="s">
        <v>21</v>
      </c>
      <c r="G7308" t="s">
        <v>12</v>
      </c>
      <c r="H7308" s="1">
        <v>43014</v>
      </c>
      <c r="I7308" s="1">
        <v>43100</v>
      </c>
      <c r="J7308">
        <v>546</v>
      </c>
    </row>
    <row r="7309" spans="1:10" x14ac:dyDescent="0.3">
      <c r="A7309" t="s">
        <v>7440</v>
      </c>
      <c r="B7309" t="s">
        <v>133</v>
      </c>
      <c r="C7309" t="str">
        <f>_xlfn.XLOOKUP(B7309,
[1]sales_teams!$A$2:$A$100,
[1]sales_teams!$B$2:$B$100)</f>
        <v>Dustin Brinkmann</v>
      </c>
      <c r="D7309" t="str">
        <f>_xlfn.XLOOKUP($B7309,sales_teams!$A$2:$A$36,sales_teams!C$2:C$36)</f>
        <v>Central</v>
      </c>
      <c r="E7309" t="s">
        <v>10</v>
      </c>
      <c r="F7309" t="s">
        <v>187</v>
      </c>
      <c r="G7309" t="s">
        <v>46</v>
      </c>
      <c r="H7309" s="1">
        <v>43014</v>
      </c>
      <c r="I7309" s="1">
        <v>43020</v>
      </c>
      <c r="J7309">
        <v>0</v>
      </c>
    </row>
    <row r="7310" spans="1:10" x14ac:dyDescent="0.3">
      <c r="A7310" t="s">
        <v>7441</v>
      </c>
      <c r="B7310" t="s">
        <v>133</v>
      </c>
      <c r="C7310" t="str">
        <f>_xlfn.XLOOKUP(B7310,
[1]sales_teams!$A$2:$A$100,
[1]sales_teams!$B$2:$B$100)</f>
        <v>Dustin Brinkmann</v>
      </c>
      <c r="D7310" t="str">
        <f>_xlfn.XLOOKUP($B7310,sales_teams!$A$2:$A$36,sales_teams!C$2:C$36)</f>
        <v>Central</v>
      </c>
      <c r="E7310" t="s">
        <v>20</v>
      </c>
      <c r="F7310" t="s">
        <v>213</v>
      </c>
      <c r="G7310" t="s">
        <v>12</v>
      </c>
      <c r="H7310" s="1">
        <v>43014</v>
      </c>
      <c r="I7310" s="1">
        <v>43090</v>
      </c>
      <c r="J7310">
        <v>453</v>
      </c>
    </row>
    <row r="7311" spans="1:10" x14ac:dyDescent="0.3">
      <c r="A7311" t="s">
        <v>7442</v>
      </c>
      <c r="B7311" t="s">
        <v>32</v>
      </c>
      <c r="C7311" t="str">
        <f>_xlfn.XLOOKUP(B7311,
[1]sales_teams!$A$2:$A$100,
[1]sales_teams!$B$2:$B$100)</f>
        <v>Celia Rouche</v>
      </c>
      <c r="D7311" t="str">
        <f>_xlfn.XLOOKUP($B7311,sales_teams!$A$2:$A$36,sales_teams!C$2:C$36)</f>
        <v>West</v>
      </c>
      <c r="E7311" t="s">
        <v>15</v>
      </c>
      <c r="F7311" t="s">
        <v>24</v>
      </c>
      <c r="G7311" t="s">
        <v>46</v>
      </c>
      <c r="H7311" s="1">
        <v>43014</v>
      </c>
      <c r="I7311" s="1">
        <v>43023</v>
      </c>
      <c r="J7311">
        <v>0</v>
      </c>
    </row>
    <row r="7312" spans="1:10" x14ac:dyDescent="0.3">
      <c r="A7312" t="s">
        <v>7443</v>
      </c>
      <c r="B7312" t="s">
        <v>9</v>
      </c>
      <c r="C7312" t="str">
        <f>_xlfn.XLOOKUP(B7312,
[1]sales_teams!$A$2:$A$100,
[1]sales_teams!$B$2:$B$100)</f>
        <v>Dustin Brinkmann</v>
      </c>
      <c r="D7312" t="str">
        <f>_xlfn.XLOOKUP($B7312,sales_teams!$A$2:$A$36,sales_teams!C$2:C$36)</f>
        <v>Central</v>
      </c>
      <c r="E7312" t="s">
        <v>20</v>
      </c>
      <c r="F7312" t="s">
        <v>91</v>
      </c>
      <c r="G7312" t="s">
        <v>12</v>
      </c>
      <c r="H7312" s="1">
        <v>43014</v>
      </c>
      <c r="I7312" s="1">
        <v>43015</v>
      </c>
      <c r="J7312">
        <v>510</v>
      </c>
    </row>
    <row r="7313" spans="1:10" x14ac:dyDescent="0.3">
      <c r="A7313" t="s">
        <v>7444</v>
      </c>
      <c r="B7313" t="s">
        <v>9</v>
      </c>
      <c r="C7313" t="str">
        <f>_xlfn.XLOOKUP(B7313,
[1]sales_teams!$A$2:$A$100,
[1]sales_teams!$B$2:$B$100)</f>
        <v>Dustin Brinkmann</v>
      </c>
      <c r="D7313" t="str">
        <f>_xlfn.XLOOKUP($B7313,sales_teams!$A$2:$A$36,sales_teams!C$2:C$36)</f>
        <v>Central</v>
      </c>
      <c r="E7313" t="s">
        <v>20</v>
      </c>
      <c r="F7313" t="s">
        <v>109</v>
      </c>
      <c r="G7313" t="s">
        <v>12</v>
      </c>
      <c r="H7313" s="1">
        <v>43014</v>
      </c>
      <c r="I7313" s="1">
        <v>43022</v>
      </c>
      <c r="J7313">
        <v>552</v>
      </c>
    </row>
    <row r="7314" spans="1:10" x14ac:dyDescent="0.3">
      <c r="A7314" t="s">
        <v>7445</v>
      </c>
      <c r="B7314" t="s">
        <v>97</v>
      </c>
      <c r="C7314" t="str">
        <f>_xlfn.XLOOKUP(B7314,
[1]sales_teams!$A$2:$A$100,
[1]sales_teams!$B$2:$B$100)</f>
        <v>Rocco Neubert</v>
      </c>
      <c r="D7314" t="str">
        <f>_xlfn.XLOOKUP($B7314,sales_teams!$A$2:$A$36,sales_teams!C$2:C$36)</f>
        <v>East</v>
      </c>
      <c r="E7314" t="s">
        <v>39</v>
      </c>
      <c r="F7314" t="s">
        <v>373</v>
      </c>
      <c r="G7314" t="s">
        <v>12</v>
      </c>
      <c r="H7314" s="1">
        <v>43014</v>
      </c>
      <c r="I7314" s="1">
        <v>43015</v>
      </c>
      <c r="J7314">
        <v>3203</v>
      </c>
    </row>
    <row r="7315" spans="1:10" x14ac:dyDescent="0.3">
      <c r="A7315" t="s">
        <v>7446</v>
      </c>
      <c r="B7315" t="s">
        <v>88</v>
      </c>
      <c r="C7315" t="str">
        <f>_xlfn.XLOOKUP(B7315,
[1]sales_teams!$A$2:$A$100,
[1]sales_teams!$B$2:$B$100)</f>
        <v>Cara Losch</v>
      </c>
      <c r="D7315" t="str">
        <f>_xlfn.XLOOKUP($B7315,sales_teams!$A$2:$A$36,sales_teams!C$2:C$36)</f>
        <v>East</v>
      </c>
      <c r="E7315" t="s">
        <v>48</v>
      </c>
      <c r="F7315" t="s">
        <v>103</v>
      </c>
      <c r="G7315" t="s">
        <v>12</v>
      </c>
      <c r="H7315" s="1">
        <v>43014</v>
      </c>
      <c r="I7315" s="1">
        <v>43022</v>
      </c>
      <c r="J7315">
        <v>6228</v>
      </c>
    </row>
    <row r="7316" spans="1:10" x14ac:dyDescent="0.3">
      <c r="A7316" t="s">
        <v>7447</v>
      </c>
      <c r="B7316" t="s">
        <v>61</v>
      </c>
      <c r="C7316" t="str">
        <f>_xlfn.XLOOKUP(B7316,
[1]sales_teams!$A$2:$A$100,
[1]sales_teams!$B$2:$B$100)</f>
        <v>Dustin Brinkmann</v>
      </c>
      <c r="D7316" t="str">
        <f>_xlfn.XLOOKUP($B7316,sales_teams!$A$2:$A$36,sales_teams!C$2:C$36)</f>
        <v>Central</v>
      </c>
      <c r="E7316" t="s">
        <v>18</v>
      </c>
      <c r="F7316" t="s">
        <v>91</v>
      </c>
      <c r="G7316" t="s">
        <v>12</v>
      </c>
      <c r="H7316" s="1">
        <v>43014</v>
      </c>
      <c r="I7316" s="1">
        <v>43019</v>
      </c>
      <c r="J7316">
        <v>59</v>
      </c>
    </row>
    <row r="7317" spans="1:10" x14ac:dyDescent="0.3">
      <c r="A7317" t="s">
        <v>7448</v>
      </c>
      <c r="B7317" t="s">
        <v>102</v>
      </c>
      <c r="C7317" t="str">
        <f>_xlfn.XLOOKUP(B7317,
[1]sales_teams!$A$2:$A$100,
[1]sales_teams!$B$2:$B$100)</f>
        <v>Cara Losch</v>
      </c>
      <c r="D7317" t="str">
        <f>_xlfn.XLOOKUP($B7317,sales_teams!$A$2:$A$36,sales_teams!C$2:C$36)</f>
        <v>East</v>
      </c>
      <c r="E7317" t="s">
        <v>15</v>
      </c>
      <c r="F7317" t="s">
        <v>106</v>
      </c>
      <c r="G7317" t="s">
        <v>46</v>
      </c>
      <c r="H7317" s="1">
        <v>43014</v>
      </c>
      <c r="I7317" s="1">
        <v>43016</v>
      </c>
      <c r="J7317">
        <v>0</v>
      </c>
    </row>
    <row r="7318" spans="1:10" x14ac:dyDescent="0.3">
      <c r="A7318" t="s">
        <v>7449</v>
      </c>
      <c r="B7318" t="s">
        <v>23</v>
      </c>
      <c r="C7318" t="str">
        <f>_xlfn.XLOOKUP(B7318,
[1]sales_teams!$A$2:$A$100,
[1]sales_teams!$B$2:$B$100)</f>
        <v>Summer Sewald</v>
      </c>
      <c r="D7318" t="str">
        <f>_xlfn.XLOOKUP($B7318,sales_teams!$A$2:$A$36,sales_teams!C$2:C$36)</f>
        <v>West</v>
      </c>
      <c r="E7318" t="s">
        <v>10</v>
      </c>
      <c r="F7318" t="s">
        <v>218</v>
      </c>
      <c r="G7318" t="s">
        <v>12</v>
      </c>
      <c r="H7318" s="1">
        <v>43014</v>
      </c>
      <c r="I7318" s="1">
        <v>43092</v>
      </c>
      <c r="J7318">
        <v>1129</v>
      </c>
    </row>
    <row r="7319" spans="1:10" x14ac:dyDescent="0.3">
      <c r="A7319" t="s">
        <v>7450</v>
      </c>
      <c r="B7319" t="s">
        <v>26</v>
      </c>
      <c r="C7319" t="str">
        <f>_xlfn.XLOOKUP(B7319,
[1]sales_teams!$A$2:$A$100,
[1]sales_teams!$B$2:$B$100)</f>
        <v>Dustin Brinkmann</v>
      </c>
      <c r="D7319" t="str">
        <f>_xlfn.XLOOKUP($B7319,sales_teams!$A$2:$A$36,sales_teams!C$2:C$36)</f>
        <v>Central</v>
      </c>
      <c r="E7319" t="s">
        <v>48</v>
      </c>
      <c r="F7319" t="s">
        <v>492</v>
      </c>
      <c r="G7319" t="s">
        <v>12</v>
      </c>
      <c r="H7319" s="1">
        <v>43015</v>
      </c>
      <c r="I7319" s="1">
        <v>43021</v>
      </c>
      <c r="J7319">
        <v>5349</v>
      </c>
    </row>
    <row r="7320" spans="1:10" x14ac:dyDescent="0.3">
      <c r="A7320" t="s">
        <v>7451</v>
      </c>
      <c r="B7320" t="s">
        <v>139</v>
      </c>
      <c r="C7320" t="str">
        <f>_xlfn.XLOOKUP(B7320,
[1]sales_teams!$A$2:$A$100,
[1]sales_teams!$B$2:$B$100)</f>
        <v>Rocco Neubert</v>
      </c>
      <c r="D7320" t="str">
        <f>_xlfn.XLOOKUP($B7320,sales_teams!$A$2:$A$36,sales_teams!C$2:C$36)</f>
        <v>East</v>
      </c>
      <c r="E7320" t="s">
        <v>10</v>
      </c>
      <c r="F7320" t="s">
        <v>189</v>
      </c>
      <c r="G7320" t="s">
        <v>12</v>
      </c>
      <c r="H7320" s="1">
        <v>43015</v>
      </c>
      <c r="I7320" s="1">
        <v>43058</v>
      </c>
      <c r="J7320">
        <v>1148</v>
      </c>
    </row>
    <row r="7321" spans="1:10" x14ac:dyDescent="0.3">
      <c r="A7321" t="s">
        <v>7452</v>
      </c>
      <c r="B7321" t="s">
        <v>118</v>
      </c>
      <c r="C7321" t="str">
        <f>_xlfn.XLOOKUP(B7321,
[1]sales_teams!$A$2:$A$100,
[1]sales_teams!$B$2:$B$100)</f>
        <v>Rocco Neubert</v>
      </c>
      <c r="D7321" t="str">
        <f>_xlfn.XLOOKUP($B7321,sales_teams!$A$2:$A$36,sales_teams!C$2:C$36)</f>
        <v>East</v>
      </c>
      <c r="E7321" t="s">
        <v>20</v>
      </c>
      <c r="F7321" t="s">
        <v>89</v>
      </c>
      <c r="G7321" t="s">
        <v>46</v>
      </c>
      <c r="H7321" s="1">
        <v>43015</v>
      </c>
      <c r="I7321" s="1">
        <v>43016</v>
      </c>
      <c r="J7321">
        <v>0</v>
      </c>
    </row>
    <row r="7322" spans="1:10" x14ac:dyDescent="0.3">
      <c r="A7322" t="s">
        <v>7453</v>
      </c>
      <c r="B7322" t="s">
        <v>202</v>
      </c>
      <c r="C7322" t="str">
        <f>_xlfn.XLOOKUP(B7322,
[1]sales_teams!$A$2:$A$100,
[1]sales_teams!$B$2:$B$100)</f>
        <v>Dustin Brinkmann</v>
      </c>
      <c r="D7322" t="str">
        <f>_xlfn.XLOOKUP($B7322,sales_teams!$A$2:$A$36,sales_teams!C$2:C$36)</f>
        <v>Central</v>
      </c>
      <c r="E7322" t="s">
        <v>18</v>
      </c>
      <c r="F7322" t="s">
        <v>170</v>
      </c>
      <c r="G7322" t="s">
        <v>12</v>
      </c>
      <c r="H7322" s="1">
        <v>43015</v>
      </c>
      <c r="I7322" s="1">
        <v>43027</v>
      </c>
      <c r="J7322">
        <v>52</v>
      </c>
    </row>
    <row r="7323" spans="1:10" x14ac:dyDescent="0.3">
      <c r="A7323" t="s">
        <v>7454</v>
      </c>
      <c r="B7323" t="s">
        <v>202</v>
      </c>
      <c r="C7323" t="str">
        <f>_xlfn.XLOOKUP(B7323,
[1]sales_teams!$A$2:$A$100,
[1]sales_teams!$B$2:$B$100)</f>
        <v>Dustin Brinkmann</v>
      </c>
      <c r="D7323" t="str">
        <f>_xlfn.XLOOKUP($B7323,sales_teams!$A$2:$A$36,sales_teams!C$2:C$36)</f>
        <v>Central</v>
      </c>
      <c r="E7323" t="s">
        <v>39</v>
      </c>
      <c r="F7323" t="s">
        <v>129</v>
      </c>
      <c r="G7323" t="s">
        <v>12</v>
      </c>
      <c r="H7323" s="1">
        <v>43015</v>
      </c>
      <c r="I7323" s="1">
        <v>43097</v>
      </c>
      <c r="J7323">
        <v>3253</v>
      </c>
    </row>
    <row r="7324" spans="1:10" x14ac:dyDescent="0.3">
      <c r="A7324" t="s">
        <v>7455</v>
      </c>
      <c r="B7324" t="s">
        <v>64</v>
      </c>
      <c r="C7324" t="str">
        <f>_xlfn.XLOOKUP(B7324,
[1]sales_teams!$A$2:$A$100,
[1]sales_teams!$B$2:$B$100)</f>
        <v>Rocco Neubert</v>
      </c>
      <c r="D7324" t="str">
        <f>_xlfn.XLOOKUP($B7324,sales_teams!$A$2:$A$36,sales_teams!C$2:C$36)</f>
        <v>East</v>
      </c>
      <c r="E7324" t="s">
        <v>10</v>
      </c>
      <c r="F7324" t="s">
        <v>237</v>
      </c>
      <c r="G7324" t="s">
        <v>12</v>
      </c>
      <c r="H7324" s="1">
        <v>43015</v>
      </c>
      <c r="I7324" s="1">
        <v>43043</v>
      </c>
      <c r="J7324">
        <v>1267</v>
      </c>
    </row>
    <row r="7325" spans="1:10" x14ac:dyDescent="0.3">
      <c r="A7325" t="s">
        <v>7456</v>
      </c>
      <c r="B7325" t="s">
        <v>64</v>
      </c>
      <c r="C7325" t="str">
        <f>_xlfn.XLOOKUP(B7325,
[1]sales_teams!$A$2:$A$100,
[1]sales_teams!$B$2:$B$100)</f>
        <v>Rocco Neubert</v>
      </c>
      <c r="D7325" t="str">
        <f>_xlfn.XLOOKUP($B7325,sales_teams!$A$2:$A$36,sales_teams!C$2:C$36)</f>
        <v>East</v>
      </c>
      <c r="E7325" t="s">
        <v>10</v>
      </c>
      <c r="F7325" t="s">
        <v>240</v>
      </c>
      <c r="G7325" t="s">
        <v>12</v>
      </c>
      <c r="H7325" s="1">
        <v>43015</v>
      </c>
      <c r="I7325" s="1">
        <v>43021</v>
      </c>
      <c r="J7325">
        <v>1096</v>
      </c>
    </row>
    <row r="7326" spans="1:10" x14ac:dyDescent="0.3">
      <c r="A7326" t="s">
        <v>7457</v>
      </c>
      <c r="B7326" t="s">
        <v>14</v>
      </c>
      <c r="C7326" t="str">
        <f>_xlfn.XLOOKUP(B7326,
[1]sales_teams!$A$2:$A$100,
[1]sales_teams!$B$2:$B$100)</f>
        <v>Melvin Marxen</v>
      </c>
      <c r="D7326" t="str">
        <f>_xlfn.XLOOKUP($B7326,sales_teams!$A$2:$A$36,sales_teams!C$2:C$36)</f>
        <v>Central</v>
      </c>
      <c r="E7326" t="s">
        <v>39</v>
      </c>
      <c r="F7326" t="s">
        <v>315</v>
      </c>
      <c r="G7326" t="s">
        <v>46</v>
      </c>
      <c r="H7326" s="1">
        <v>43015</v>
      </c>
      <c r="I7326" s="1">
        <v>43092</v>
      </c>
      <c r="J7326">
        <v>0</v>
      </c>
    </row>
    <row r="7327" spans="1:10" x14ac:dyDescent="0.3">
      <c r="A7327" t="s">
        <v>7458</v>
      </c>
      <c r="B7327" t="s">
        <v>14</v>
      </c>
      <c r="C7327" t="str">
        <f>_xlfn.XLOOKUP(B7327,
[1]sales_teams!$A$2:$A$100,
[1]sales_teams!$B$2:$B$100)</f>
        <v>Melvin Marxen</v>
      </c>
      <c r="D7327" t="str">
        <f>_xlfn.XLOOKUP($B7327,sales_teams!$A$2:$A$36,sales_teams!C$2:C$36)</f>
        <v>Central</v>
      </c>
      <c r="E7327" t="s">
        <v>18</v>
      </c>
      <c r="F7327" t="s">
        <v>45</v>
      </c>
      <c r="G7327" t="s">
        <v>12</v>
      </c>
      <c r="H7327" s="1">
        <v>43015</v>
      </c>
      <c r="I7327" s="1">
        <v>43099</v>
      </c>
      <c r="J7327">
        <v>54</v>
      </c>
    </row>
    <row r="7328" spans="1:10" x14ac:dyDescent="0.3">
      <c r="A7328" t="s">
        <v>7459</v>
      </c>
      <c r="B7328" t="s">
        <v>54</v>
      </c>
      <c r="C7328" t="str">
        <f>_xlfn.XLOOKUP(B7328,
[1]sales_teams!$A$2:$A$100,
[1]sales_teams!$B$2:$B$100)</f>
        <v>Celia Rouche</v>
      </c>
      <c r="D7328" t="str">
        <f>_xlfn.XLOOKUP($B7328,sales_teams!$A$2:$A$36,sales_teams!C$2:C$36)</f>
        <v>West</v>
      </c>
      <c r="E7328" t="s">
        <v>39</v>
      </c>
      <c r="F7328" t="s">
        <v>100</v>
      </c>
      <c r="G7328" t="s">
        <v>12</v>
      </c>
      <c r="H7328" s="1">
        <v>43015</v>
      </c>
      <c r="I7328" s="1">
        <v>43082</v>
      </c>
      <c r="J7328">
        <v>3293</v>
      </c>
    </row>
    <row r="7329" spans="1:10" x14ac:dyDescent="0.3">
      <c r="A7329" t="s">
        <v>7460</v>
      </c>
      <c r="B7329" t="s">
        <v>252</v>
      </c>
      <c r="C7329" t="str">
        <f>_xlfn.XLOOKUP(B7329,
[1]sales_teams!$A$2:$A$100,
[1]sales_teams!$B$2:$B$100)</f>
        <v>Melvin Marxen</v>
      </c>
      <c r="D7329" t="str">
        <f>_xlfn.XLOOKUP($B7329,sales_teams!$A$2:$A$36,sales_teams!C$2:C$36)</f>
        <v>Central</v>
      </c>
      <c r="E7329" t="s">
        <v>15</v>
      </c>
      <c r="F7329" t="s">
        <v>126</v>
      </c>
      <c r="G7329" t="s">
        <v>12</v>
      </c>
      <c r="H7329" s="1">
        <v>43015</v>
      </c>
      <c r="I7329" s="1">
        <v>43091</v>
      </c>
      <c r="J7329">
        <v>4404</v>
      </c>
    </row>
    <row r="7330" spans="1:10" x14ac:dyDescent="0.3">
      <c r="A7330" t="s">
        <v>7461</v>
      </c>
      <c r="B7330" t="s">
        <v>252</v>
      </c>
      <c r="C7330" t="str">
        <f>_xlfn.XLOOKUP(B7330,
[1]sales_teams!$A$2:$A$100,
[1]sales_teams!$B$2:$B$100)</f>
        <v>Melvin Marxen</v>
      </c>
      <c r="D7330" t="str">
        <f>_xlfn.XLOOKUP($B7330,sales_teams!$A$2:$A$36,sales_teams!C$2:C$36)</f>
        <v>Central</v>
      </c>
      <c r="E7330" t="s">
        <v>15</v>
      </c>
      <c r="F7330" t="s">
        <v>36</v>
      </c>
      <c r="G7330" t="s">
        <v>12</v>
      </c>
      <c r="H7330" s="1">
        <v>43015</v>
      </c>
      <c r="I7330" s="1">
        <v>43017</v>
      </c>
      <c r="J7330">
        <v>5212</v>
      </c>
    </row>
    <row r="7331" spans="1:10" x14ac:dyDescent="0.3">
      <c r="A7331" t="s">
        <v>7462</v>
      </c>
      <c r="B7331" t="s">
        <v>78</v>
      </c>
      <c r="C7331" t="str">
        <f>_xlfn.XLOOKUP(B7331,
[1]sales_teams!$A$2:$A$100,
[1]sales_teams!$B$2:$B$100)</f>
        <v>Summer Sewald</v>
      </c>
      <c r="D7331" t="str">
        <f>_xlfn.XLOOKUP($B7331,sales_teams!$A$2:$A$36,sales_teams!C$2:C$36)</f>
        <v>West</v>
      </c>
      <c r="E7331" t="s">
        <v>20</v>
      </c>
      <c r="F7331" t="s">
        <v>124</v>
      </c>
      <c r="G7331" t="s">
        <v>46</v>
      </c>
      <c r="H7331" s="1">
        <v>43015</v>
      </c>
      <c r="I7331" s="1">
        <v>43064</v>
      </c>
      <c r="J7331">
        <v>0</v>
      </c>
    </row>
    <row r="7332" spans="1:10" x14ac:dyDescent="0.3">
      <c r="A7332" t="s">
        <v>7463</v>
      </c>
      <c r="B7332" t="s">
        <v>95</v>
      </c>
      <c r="C7332" t="str">
        <f>_xlfn.XLOOKUP(B7332,
[1]sales_teams!$A$2:$A$100,
[1]sales_teams!$B$2:$B$100)</f>
        <v>Summer Sewald</v>
      </c>
      <c r="D7332" t="str">
        <f>_xlfn.XLOOKUP($B7332,sales_teams!$A$2:$A$36,sales_teams!C$2:C$36)</f>
        <v>West</v>
      </c>
      <c r="E7332" t="s">
        <v>20</v>
      </c>
      <c r="F7332" t="s">
        <v>174</v>
      </c>
      <c r="G7332" t="s">
        <v>12</v>
      </c>
      <c r="H7332" s="1">
        <v>43015</v>
      </c>
      <c r="I7332" s="1">
        <v>43077</v>
      </c>
      <c r="J7332">
        <v>488</v>
      </c>
    </row>
    <row r="7333" spans="1:10" x14ac:dyDescent="0.3">
      <c r="A7333" t="s">
        <v>7464</v>
      </c>
      <c r="B7333" t="s">
        <v>133</v>
      </c>
      <c r="C7333" t="str">
        <f>_xlfn.XLOOKUP(B7333,
[1]sales_teams!$A$2:$A$100,
[1]sales_teams!$B$2:$B$100)</f>
        <v>Dustin Brinkmann</v>
      </c>
      <c r="D7333" t="str">
        <f>_xlfn.XLOOKUP($B7333,sales_teams!$A$2:$A$36,sales_teams!C$2:C$36)</f>
        <v>Central</v>
      </c>
      <c r="E7333" t="s">
        <v>20</v>
      </c>
      <c r="F7333" t="s">
        <v>213</v>
      </c>
      <c r="G7333" t="s">
        <v>12</v>
      </c>
      <c r="H7333" s="1">
        <v>43015</v>
      </c>
      <c r="I7333" s="1">
        <v>43021</v>
      </c>
      <c r="J7333">
        <v>594</v>
      </c>
    </row>
    <row r="7334" spans="1:10" x14ac:dyDescent="0.3">
      <c r="A7334" t="s">
        <v>7465</v>
      </c>
      <c r="B7334" t="s">
        <v>32</v>
      </c>
      <c r="C7334" t="str">
        <f>_xlfn.XLOOKUP(B7334,
[1]sales_teams!$A$2:$A$100,
[1]sales_teams!$B$2:$B$100)</f>
        <v>Celia Rouche</v>
      </c>
      <c r="D7334" t="str">
        <f>_xlfn.XLOOKUP($B7334,sales_teams!$A$2:$A$36,sales_teams!C$2:C$36)</f>
        <v>West</v>
      </c>
      <c r="E7334" t="s">
        <v>20</v>
      </c>
      <c r="F7334" t="s">
        <v>273</v>
      </c>
      <c r="G7334" t="s">
        <v>12</v>
      </c>
      <c r="H7334" s="1">
        <v>43015</v>
      </c>
      <c r="I7334" s="1">
        <v>43099</v>
      </c>
      <c r="J7334">
        <v>464</v>
      </c>
    </row>
    <row r="7335" spans="1:10" x14ac:dyDescent="0.3">
      <c r="A7335" t="s">
        <v>7466</v>
      </c>
      <c r="B7335" t="s">
        <v>32</v>
      </c>
      <c r="C7335" t="str">
        <f>_xlfn.XLOOKUP(B7335,
[1]sales_teams!$A$2:$A$100,
[1]sales_teams!$B$2:$B$100)</f>
        <v>Celia Rouche</v>
      </c>
      <c r="D7335" t="str">
        <f>_xlfn.XLOOKUP($B7335,sales_teams!$A$2:$A$36,sales_teams!C$2:C$36)</f>
        <v>West</v>
      </c>
      <c r="E7335" t="s">
        <v>18</v>
      </c>
      <c r="F7335" t="s">
        <v>33</v>
      </c>
      <c r="G7335" t="s">
        <v>12</v>
      </c>
      <c r="H7335" s="1">
        <v>43015</v>
      </c>
      <c r="I7335" s="1">
        <v>43082</v>
      </c>
      <c r="J7335">
        <v>53</v>
      </c>
    </row>
    <row r="7336" spans="1:10" x14ac:dyDescent="0.3">
      <c r="A7336" t="s">
        <v>7467</v>
      </c>
      <c r="B7336" t="s">
        <v>116</v>
      </c>
      <c r="C7336" t="str">
        <f>_xlfn.XLOOKUP(B7336,
[1]sales_teams!$A$2:$A$100,
[1]sales_teams!$B$2:$B$100)</f>
        <v>Melvin Marxen</v>
      </c>
      <c r="D7336" t="str">
        <f>_xlfn.XLOOKUP($B7336,sales_teams!$A$2:$A$36,sales_teams!C$2:C$36)</f>
        <v>Central</v>
      </c>
      <c r="E7336" t="s">
        <v>10</v>
      </c>
      <c r="F7336" t="s">
        <v>129</v>
      </c>
      <c r="G7336" t="s">
        <v>46</v>
      </c>
      <c r="H7336" s="1">
        <v>43015</v>
      </c>
      <c r="I7336" s="1">
        <v>43023</v>
      </c>
      <c r="J7336">
        <v>0</v>
      </c>
    </row>
    <row r="7337" spans="1:10" x14ac:dyDescent="0.3">
      <c r="A7337" t="s">
        <v>7468</v>
      </c>
      <c r="B7337" t="s">
        <v>116</v>
      </c>
      <c r="C7337" t="str">
        <f>_xlfn.XLOOKUP(B7337,
[1]sales_teams!$A$2:$A$100,
[1]sales_teams!$B$2:$B$100)</f>
        <v>Melvin Marxen</v>
      </c>
      <c r="D7337" t="str">
        <f>_xlfn.XLOOKUP($B7337,sales_teams!$A$2:$A$36,sales_teams!C$2:C$36)</f>
        <v>Central</v>
      </c>
      <c r="E7337" t="s">
        <v>20</v>
      </c>
      <c r="F7337" t="s">
        <v>492</v>
      </c>
      <c r="G7337" t="s">
        <v>12</v>
      </c>
      <c r="H7337" s="1">
        <v>43015</v>
      </c>
      <c r="I7337" s="1">
        <v>43016</v>
      </c>
      <c r="J7337">
        <v>661</v>
      </c>
    </row>
    <row r="7338" spans="1:10" x14ac:dyDescent="0.3">
      <c r="A7338" t="s">
        <v>7469</v>
      </c>
      <c r="B7338" t="s">
        <v>116</v>
      </c>
      <c r="C7338" t="str">
        <f>_xlfn.XLOOKUP(B7338,
[1]sales_teams!$A$2:$A$100,
[1]sales_teams!$B$2:$B$100)</f>
        <v>Melvin Marxen</v>
      </c>
      <c r="D7338" t="str">
        <f>_xlfn.XLOOKUP($B7338,sales_teams!$A$2:$A$36,sales_teams!C$2:C$36)</f>
        <v>Central</v>
      </c>
      <c r="E7338" t="s">
        <v>10</v>
      </c>
      <c r="F7338" t="s">
        <v>45</v>
      </c>
      <c r="G7338" t="s">
        <v>12</v>
      </c>
      <c r="H7338" s="1">
        <v>43015</v>
      </c>
      <c r="I7338" s="1">
        <v>43022</v>
      </c>
      <c r="J7338">
        <v>1240</v>
      </c>
    </row>
    <row r="7339" spans="1:10" x14ac:dyDescent="0.3">
      <c r="A7339" t="s">
        <v>7470</v>
      </c>
      <c r="B7339" t="s">
        <v>116</v>
      </c>
      <c r="C7339" t="str">
        <f>_xlfn.XLOOKUP(B7339,
[1]sales_teams!$A$2:$A$100,
[1]sales_teams!$B$2:$B$100)</f>
        <v>Melvin Marxen</v>
      </c>
      <c r="D7339" t="str">
        <f>_xlfn.XLOOKUP($B7339,sales_teams!$A$2:$A$36,sales_teams!C$2:C$36)</f>
        <v>Central</v>
      </c>
      <c r="E7339" t="s">
        <v>39</v>
      </c>
      <c r="F7339" t="s">
        <v>16</v>
      </c>
      <c r="G7339" t="s">
        <v>12</v>
      </c>
      <c r="H7339" s="1">
        <v>43015</v>
      </c>
      <c r="I7339" s="1">
        <v>43089</v>
      </c>
      <c r="J7339">
        <v>2763</v>
      </c>
    </row>
    <row r="7340" spans="1:10" x14ac:dyDescent="0.3">
      <c r="A7340" t="s">
        <v>7471</v>
      </c>
      <c r="B7340" t="s">
        <v>51</v>
      </c>
      <c r="C7340" t="str">
        <f>_xlfn.XLOOKUP(B7340,
[1]sales_teams!$A$2:$A$100,
[1]sales_teams!$B$2:$B$100)</f>
        <v>Summer Sewald</v>
      </c>
      <c r="D7340" t="str">
        <f>_xlfn.XLOOKUP($B7340,sales_teams!$A$2:$A$36,sales_teams!C$2:C$36)</f>
        <v>West</v>
      </c>
      <c r="E7340" t="s">
        <v>20</v>
      </c>
      <c r="F7340" t="s">
        <v>218</v>
      </c>
      <c r="G7340" t="s">
        <v>12</v>
      </c>
      <c r="H7340" s="1">
        <v>43015</v>
      </c>
      <c r="I7340" s="1">
        <v>43074</v>
      </c>
      <c r="J7340">
        <v>610</v>
      </c>
    </row>
    <row r="7341" spans="1:10" x14ac:dyDescent="0.3">
      <c r="A7341" t="s">
        <v>7472</v>
      </c>
      <c r="B7341" t="s">
        <v>51</v>
      </c>
      <c r="C7341" t="str">
        <f>_xlfn.XLOOKUP(B7341,
[1]sales_teams!$A$2:$A$100,
[1]sales_teams!$B$2:$B$100)</f>
        <v>Summer Sewald</v>
      </c>
      <c r="D7341" t="str">
        <f>_xlfn.XLOOKUP($B7341,sales_teams!$A$2:$A$36,sales_teams!C$2:C$36)</f>
        <v>West</v>
      </c>
      <c r="E7341" t="s">
        <v>18</v>
      </c>
      <c r="F7341" t="s">
        <v>24</v>
      </c>
      <c r="G7341" t="s">
        <v>12</v>
      </c>
      <c r="H7341" s="1">
        <v>43015</v>
      </c>
      <c r="I7341" s="1">
        <v>43083</v>
      </c>
      <c r="J7341">
        <v>59</v>
      </c>
    </row>
    <row r="7342" spans="1:10" x14ac:dyDescent="0.3">
      <c r="A7342" t="s">
        <v>7473</v>
      </c>
      <c r="B7342" t="s">
        <v>9</v>
      </c>
      <c r="C7342" t="str">
        <f>_xlfn.XLOOKUP(B7342,
[1]sales_teams!$A$2:$A$100,
[1]sales_teams!$B$2:$B$100)</f>
        <v>Dustin Brinkmann</v>
      </c>
      <c r="D7342" t="str">
        <f>_xlfn.XLOOKUP($B7342,sales_teams!$A$2:$A$36,sales_teams!C$2:C$36)</f>
        <v>Central</v>
      </c>
      <c r="E7342" t="s">
        <v>20</v>
      </c>
      <c r="F7342" t="s">
        <v>151</v>
      </c>
      <c r="G7342" t="s">
        <v>12</v>
      </c>
      <c r="H7342" s="1">
        <v>43015</v>
      </c>
      <c r="I7342" s="1">
        <v>43027</v>
      </c>
      <c r="J7342">
        <v>577</v>
      </c>
    </row>
    <row r="7343" spans="1:10" x14ac:dyDescent="0.3">
      <c r="A7343" t="s">
        <v>7474</v>
      </c>
      <c r="B7343" t="s">
        <v>57</v>
      </c>
      <c r="C7343" t="str">
        <f>_xlfn.XLOOKUP(B7343,
[1]sales_teams!$A$2:$A$100,
[1]sales_teams!$B$2:$B$100)</f>
        <v>Celia Rouche</v>
      </c>
      <c r="D7343" t="str">
        <f>_xlfn.XLOOKUP($B7343,sales_teams!$A$2:$A$36,sales_teams!C$2:C$36)</f>
        <v>West</v>
      </c>
      <c r="E7343" t="s">
        <v>18</v>
      </c>
      <c r="F7343" t="s">
        <v>155</v>
      </c>
      <c r="G7343" t="s">
        <v>46</v>
      </c>
      <c r="H7343" s="1">
        <v>43015</v>
      </c>
      <c r="I7343" s="1">
        <v>43023</v>
      </c>
      <c r="J7343">
        <v>0</v>
      </c>
    </row>
    <row r="7344" spans="1:10" x14ac:dyDescent="0.3">
      <c r="A7344" t="s">
        <v>7475</v>
      </c>
      <c r="B7344" t="s">
        <v>29</v>
      </c>
      <c r="C7344" t="str">
        <f>_xlfn.XLOOKUP(B7344,
[1]sales_teams!$A$2:$A$100,
[1]sales_teams!$B$2:$B$100)</f>
        <v>Celia Rouche</v>
      </c>
      <c r="D7344" t="str">
        <f>_xlfn.XLOOKUP($B7344,sales_teams!$A$2:$A$36,sales_teams!C$2:C$36)</f>
        <v>West</v>
      </c>
      <c r="E7344" t="s">
        <v>10</v>
      </c>
      <c r="F7344" t="s">
        <v>55</v>
      </c>
      <c r="G7344" t="s">
        <v>12</v>
      </c>
      <c r="H7344" s="1">
        <v>43015</v>
      </c>
      <c r="I7344" s="1">
        <v>43017</v>
      </c>
      <c r="J7344">
        <v>1139</v>
      </c>
    </row>
    <row r="7345" spans="1:10" x14ac:dyDescent="0.3">
      <c r="A7345" t="s">
        <v>7476</v>
      </c>
      <c r="B7345" t="s">
        <v>26</v>
      </c>
      <c r="C7345" t="str">
        <f>_xlfn.XLOOKUP(B7345,
[1]sales_teams!$A$2:$A$100,
[1]sales_teams!$B$2:$B$100)</f>
        <v>Dustin Brinkmann</v>
      </c>
      <c r="D7345" t="str">
        <f>_xlfn.XLOOKUP($B7345,sales_teams!$A$2:$A$36,sales_teams!C$2:C$36)</f>
        <v>Central</v>
      </c>
      <c r="E7345" t="s">
        <v>48</v>
      </c>
      <c r="F7345" t="s">
        <v>62</v>
      </c>
      <c r="G7345" t="s">
        <v>12</v>
      </c>
      <c r="H7345" s="1">
        <v>43016</v>
      </c>
      <c r="I7345" s="1">
        <v>43099</v>
      </c>
      <c r="J7345">
        <v>6038</v>
      </c>
    </row>
    <row r="7346" spans="1:10" x14ac:dyDescent="0.3">
      <c r="A7346" t="s">
        <v>7477</v>
      </c>
      <c r="B7346" t="s">
        <v>139</v>
      </c>
      <c r="C7346" t="str">
        <f>_xlfn.XLOOKUP(B7346,
[1]sales_teams!$A$2:$A$100,
[1]sales_teams!$B$2:$B$100)</f>
        <v>Rocco Neubert</v>
      </c>
      <c r="D7346" t="str">
        <f>_xlfn.XLOOKUP($B7346,sales_teams!$A$2:$A$36,sales_teams!C$2:C$36)</f>
        <v>East</v>
      </c>
      <c r="E7346" t="s">
        <v>15</v>
      </c>
      <c r="F7346" t="s">
        <v>189</v>
      </c>
      <c r="G7346" t="s">
        <v>12</v>
      </c>
      <c r="H7346" s="1">
        <v>43016</v>
      </c>
      <c r="I7346" s="1">
        <v>43022</v>
      </c>
      <c r="J7346">
        <v>4605</v>
      </c>
    </row>
    <row r="7347" spans="1:10" x14ac:dyDescent="0.3">
      <c r="A7347" t="s">
        <v>7478</v>
      </c>
      <c r="B7347" t="s">
        <v>139</v>
      </c>
      <c r="C7347" t="str">
        <f>_xlfn.XLOOKUP(B7347,
[1]sales_teams!$A$2:$A$100,
[1]sales_teams!$B$2:$B$100)</f>
        <v>Rocco Neubert</v>
      </c>
      <c r="D7347" t="str">
        <f>_xlfn.XLOOKUP($B7347,sales_teams!$A$2:$A$36,sales_teams!C$2:C$36)</f>
        <v>East</v>
      </c>
      <c r="E7347" t="s">
        <v>39</v>
      </c>
      <c r="F7347" t="s">
        <v>199</v>
      </c>
      <c r="G7347" t="s">
        <v>12</v>
      </c>
      <c r="H7347" s="1">
        <v>43016</v>
      </c>
      <c r="I7347" s="1">
        <v>43060</v>
      </c>
      <c r="J7347">
        <v>3264</v>
      </c>
    </row>
    <row r="7348" spans="1:10" x14ac:dyDescent="0.3">
      <c r="A7348" t="s">
        <v>7479</v>
      </c>
      <c r="B7348" t="s">
        <v>118</v>
      </c>
      <c r="C7348" t="str">
        <f>_xlfn.XLOOKUP(B7348,
[1]sales_teams!$A$2:$A$100,
[1]sales_teams!$B$2:$B$100)</f>
        <v>Rocco Neubert</v>
      </c>
      <c r="D7348" t="str">
        <f>_xlfn.XLOOKUP($B7348,sales_teams!$A$2:$A$36,sales_teams!C$2:C$36)</f>
        <v>East</v>
      </c>
      <c r="E7348" t="s">
        <v>39</v>
      </c>
      <c r="F7348" t="s">
        <v>204</v>
      </c>
      <c r="G7348" t="s">
        <v>12</v>
      </c>
      <c r="H7348" s="1">
        <v>43016</v>
      </c>
      <c r="I7348" s="1">
        <v>43025</v>
      </c>
      <c r="J7348">
        <v>3472</v>
      </c>
    </row>
    <row r="7349" spans="1:10" x14ac:dyDescent="0.3">
      <c r="A7349" t="s">
        <v>7480</v>
      </c>
      <c r="B7349" t="s">
        <v>202</v>
      </c>
      <c r="C7349" t="str">
        <f>_xlfn.XLOOKUP(B7349,
[1]sales_teams!$A$2:$A$100,
[1]sales_teams!$B$2:$B$100)</f>
        <v>Dustin Brinkmann</v>
      </c>
      <c r="D7349" t="str">
        <f>_xlfn.XLOOKUP($B7349,sales_teams!$A$2:$A$36,sales_teams!C$2:C$36)</f>
        <v>Central</v>
      </c>
      <c r="E7349" t="s">
        <v>10</v>
      </c>
      <c r="F7349" t="s">
        <v>151</v>
      </c>
      <c r="G7349" t="s">
        <v>12</v>
      </c>
      <c r="H7349" s="1">
        <v>43016</v>
      </c>
      <c r="I7349" s="1">
        <v>43023</v>
      </c>
      <c r="J7349">
        <v>1186</v>
      </c>
    </row>
    <row r="7350" spans="1:10" x14ac:dyDescent="0.3">
      <c r="A7350" t="s">
        <v>7481</v>
      </c>
      <c r="B7350" t="s">
        <v>164</v>
      </c>
      <c r="C7350" t="str">
        <f>_xlfn.XLOOKUP(B7350,
[1]sales_teams!$A$2:$A$100,
[1]sales_teams!$B$2:$B$100)</f>
        <v>Cara Losch</v>
      </c>
      <c r="D7350" t="str">
        <f>_xlfn.XLOOKUP($B7350,sales_teams!$A$2:$A$36,sales_teams!C$2:C$36)</f>
        <v>East</v>
      </c>
      <c r="E7350" t="s">
        <v>20</v>
      </c>
      <c r="F7350" t="s">
        <v>89</v>
      </c>
      <c r="G7350" t="s">
        <v>46</v>
      </c>
      <c r="H7350" s="1">
        <v>43016</v>
      </c>
      <c r="I7350" s="1">
        <v>43024</v>
      </c>
      <c r="J7350">
        <v>0</v>
      </c>
    </row>
    <row r="7351" spans="1:10" x14ac:dyDescent="0.3">
      <c r="A7351" t="s">
        <v>7482</v>
      </c>
      <c r="B7351" t="s">
        <v>64</v>
      </c>
      <c r="C7351" t="str">
        <f>_xlfn.XLOOKUP(B7351,
[1]sales_teams!$A$2:$A$100,
[1]sales_teams!$B$2:$B$100)</f>
        <v>Rocco Neubert</v>
      </c>
      <c r="D7351" t="str">
        <f>_xlfn.XLOOKUP($B7351,sales_teams!$A$2:$A$36,sales_teams!C$2:C$36)</f>
        <v>East</v>
      </c>
      <c r="E7351" t="s">
        <v>15</v>
      </c>
      <c r="F7351" t="s">
        <v>329</v>
      </c>
      <c r="G7351" t="s">
        <v>12</v>
      </c>
      <c r="H7351" s="1">
        <v>43016</v>
      </c>
      <c r="I7351" s="1">
        <v>43083</v>
      </c>
      <c r="J7351">
        <v>4964</v>
      </c>
    </row>
    <row r="7352" spans="1:10" x14ac:dyDescent="0.3">
      <c r="A7352" t="s">
        <v>7483</v>
      </c>
      <c r="B7352" t="s">
        <v>14</v>
      </c>
      <c r="C7352" t="str">
        <f>_xlfn.XLOOKUP(B7352,
[1]sales_teams!$A$2:$A$100,
[1]sales_teams!$B$2:$B$100)</f>
        <v>Melvin Marxen</v>
      </c>
      <c r="D7352" t="str">
        <f>_xlfn.XLOOKUP($B7352,sales_teams!$A$2:$A$36,sales_teams!C$2:C$36)</f>
        <v>Central</v>
      </c>
      <c r="E7352" t="s">
        <v>18</v>
      </c>
      <c r="F7352" t="s">
        <v>207</v>
      </c>
      <c r="G7352" t="s">
        <v>46</v>
      </c>
      <c r="H7352" s="1">
        <v>43016</v>
      </c>
      <c r="I7352" s="1">
        <v>43018</v>
      </c>
      <c r="J7352">
        <v>0</v>
      </c>
    </row>
    <row r="7353" spans="1:10" x14ac:dyDescent="0.3">
      <c r="A7353" t="s">
        <v>7484</v>
      </c>
      <c r="B7353" t="s">
        <v>142</v>
      </c>
      <c r="C7353" t="str">
        <f>_xlfn.XLOOKUP(B7353,
[1]sales_teams!$A$2:$A$100,
[1]sales_teams!$B$2:$B$100)</f>
        <v>Rocco Neubert</v>
      </c>
      <c r="D7353" t="str">
        <f>_xlfn.XLOOKUP($B7353,sales_teams!$A$2:$A$36,sales_teams!C$2:C$36)</f>
        <v>East</v>
      </c>
      <c r="E7353" t="s">
        <v>10</v>
      </c>
      <c r="F7353" t="s">
        <v>222</v>
      </c>
      <c r="G7353" t="s">
        <v>46</v>
      </c>
      <c r="H7353" s="1">
        <v>43016</v>
      </c>
      <c r="I7353" s="1">
        <v>43060</v>
      </c>
      <c r="J7353">
        <v>0</v>
      </c>
    </row>
    <row r="7354" spans="1:10" x14ac:dyDescent="0.3">
      <c r="A7354" t="s">
        <v>7485</v>
      </c>
      <c r="B7354" t="s">
        <v>105</v>
      </c>
      <c r="C7354" t="str">
        <f>_xlfn.XLOOKUP(B7354,
[1]sales_teams!$A$2:$A$100,
[1]sales_teams!$B$2:$B$100)</f>
        <v>Cara Losch</v>
      </c>
      <c r="D7354" t="str">
        <f>_xlfn.XLOOKUP($B7354,sales_teams!$A$2:$A$36,sales_teams!C$2:C$36)</f>
        <v>East</v>
      </c>
      <c r="E7354" t="s">
        <v>39</v>
      </c>
      <c r="F7354" t="s">
        <v>74</v>
      </c>
      <c r="G7354" t="s">
        <v>12</v>
      </c>
      <c r="H7354" s="1">
        <v>43016</v>
      </c>
      <c r="I7354" s="1">
        <v>43028</v>
      </c>
      <c r="J7354">
        <v>2812</v>
      </c>
    </row>
    <row r="7355" spans="1:10" x14ac:dyDescent="0.3">
      <c r="A7355" t="s">
        <v>7486</v>
      </c>
      <c r="B7355" t="s">
        <v>44</v>
      </c>
      <c r="C7355" t="str">
        <f>_xlfn.XLOOKUP(B7355,
[1]sales_teams!$A$2:$A$100,
[1]sales_teams!$B$2:$B$100)</f>
        <v>Melvin Marxen</v>
      </c>
      <c r="D7355" t="str">
        <f>_xlfn.XLOOKUP($B7355,sales_teams!$A$2:$A$36,sales_teams!C$2:C$36)</f>
        <v>Central</v>
      </c>
      <c r="E7355" t="s">
        <v>10</v>
      </c>
      <c r="F7355" t="s">
        <v>213</v>
      </c>
      <c r="G7355" t="s">
        <v>46</v>
      </c>
      <c r="H7355" s="1">
        <v>43016</v>
      </c>
      <c r="I7355" s="1">
        <v>43022</v>
      </c>
      <c r="J7355">
        <v>0</v>
      </c>
    </row>
    <row r="7356" spans="1:10" x14ac:dyDescent="0.3">
      <c r="A7356" t="s">
        <v>7487</v>
      </c>
      <c r="B7356" t="s">
        <v>44</v>
      </c>
      <c r="C7356" t="str">
        <f>_xlfn.XLOOKUP(B7356,
[1]sales_teams!$A$2:$A$100,
[1]sales_teams!$B$2:$B$100)</f>
        <v>Melvin Marxen</v>
      </c>
      <c r="D7356" t="str">
        <f>_xlfn.XLOOKUP($B7356,sales_teams!$A$2:$A$36,sales_teams!C$2:C$36)</f>
        <v>Central</v>
      </c>
      <c r="E7356" t="s">
        <v>15</v>
      </c>
      <c r="F7356" t="s">
        <v>170</v>
      </c>
      <c r="G7356" t="s">
        <v>46</v>
      </c>
      <c r="H7356" s="1">
        <v>43016</v>
      </c>
      <c r="I7356" s="1">
        <v>43017</v>
      </c>
      <c r="J7356">
        <v>0</v>
      </c>
    </row>
    <row r="7357" spans="1:10" x14ac:dyDescent="0.3">
      <c r="A7357" t="s">
        <v>7488</v>
      </c>
      <c r="B7357" t="s">
        <v>54</v>
      </c>
      <c r="C7357" t="str">
        <f>_xlfn.XLOOKUP(B7357,
[1]sales_teams!$A$2:$A$100,
[1]sales_teams!$B$2:$B$100)</f>
        <v>Celia Rouche</v>
      </c>
      <c r="D7357" t="str">
        <f>_xlfn.XLOOKUP($B7357,sales_teams!$A$2:$A$36,sales_teams!C$2:C$36)</f>
        <v>West</v>
      </c>
      <c r="E7357" t="s">
        <v>39</v>
      </c>
      <c r="F7357" t="s">
        <v>313</v>
      </c>
      <c r="G7357" t="s">
        <v>12</v>
      </c>
      <c r="H7357" s="1">
        <v>43016</v>
      </c>
      <c r="I7357" s="1">
        <v>43091</v>
      </c>
      <c r="J7357">
        <v>3517</v>
      </c>
    </row>
    <row r="7358" spans="1:10" x14ac:dyDescent="0.3">
      <c r="A7358" t="s">
        <v>7489</v>
      </c>
      <c r="B7358" t="s">
        <v>252</v>
      </c>
      <c r="C7358" t="str">
        <f>_xlfn.XLOOKUP(B7358,
[1]sales_teams!$A$2:$A$100,
[1]sales_teams!$B$2:$B$100)</f>
        <v>Melvin Marxen</v>
      </c>
      <c r="D7358" t="str">
        <f>_xlfn.XLOOKUP($B7358,sales_teams!$A$2:$A$36,sales_teams!C$2:C$36)</f>
        <v>Central</v>
      </c>
      <c r="E7358" t="s">
        <v>15</v>
      </c>
      <c r="F7358" t="s">
        <v>91</v>
      </c>
      <c r="G7358" t="s">
        <v>46</v>
      </c>
      <c r="H7358" s="1">
        <v>43016</v>
      </c>
      <c r="I7358" s="1">
        <v>43095</v>
      </c>
      <c r="J7358">
        <v>0</v>
      </c>
    </row>
    <row r="7359" spans="1:10" x14ac:dyDescent="0.3">
      <c r="A7359" t="s">
        <v>7490</v>
      </c>
      <c r="B7359" t="s">
        <v>78</v>
      </c>
      <c r="C7359" t="str">
        <f>_xlfn.XLOOKUP(B7359,
[1]sales_teams!$A$2:$A$100,
[1]sales_teams!$B$2:$B$100)</f>
        <v>Summer Sewald</v>
      </c>
      <c r="D7359" t="str">
        <f>_xlfn.XLOOKUP($B7359,sales_teams!$A$2:$A$36,sales_teams!C$2:C$36)</f>
        <v>West</v>
      </c>
      <c r="E7359" t="s">
        <v>10</v>
      </c>
      <c r="G7359" t="s">
        <v>40</v>
      </c>
      <c r="H7359" s="1">
        <v>43016</v>
      </c>
    </row>
    <row r="7360" spans="1:10" x14ac:dyDescent="0.3">
      <c r="A7360" t="s">
        <v>7491</v>
      </c>
      <c r="B7360" t="s">
        <v>78</v>
      </c>
      <c r="C7360" t="str">
        <f>_xlfn.XLOOKUP(B7360,
[1]sales_teams!$A$2:$A$100,
[1]sales_teams!$B$2:$B$100)</f>
        <v>Summer Sewald</v>
      </c>
      <c r="D7360" t="str">
        <f>_xlfn.XLOOKUP($B7360,sales_teams!$A$2:$A$36,sales_teams!C$2:C$36)</f>
        <v>West</v>
      </c>
      <c r="E7360" t="s">
        <v>20</v>
      </c>
      <c r="F7360" t="s">
        <v>49</v>
      </c>
      <c r="G7360" t="s">
        <v>46</v>
      </c>
      <c r="H7360" s="1">
        <v>43016</v>
      </c>
      <c r="I7360" s="1">
        <v>43017</v>
      </c>
      <c r="J7360">
        <v>0</v>
      </c>
    </row>
    <row r="7361" spans="1:10" x14ac:dyDescent="0.3">
      <c r="A7361" t="s">
        <v>7492</v>
      </c>
      <c r="B7361" t="s">
        <v>78</v>
      </c>
      <c r="C7361" t="str">
        <f>_xlfn.XLOOKUP(B7361,
[1]sales_teams!$A$2:$A$100,
[1]sales_teams!$B$2:$B$100)</f>
        <v>Summer Sewald</v>
      </c>
      <c r="D7361" t="str">
        <f>_xlfn.XLOOKUP($B7361,sales_teams!$A$2:$A$36,sales_teams!C$2:C$36)</f>
        <v>West</v>
      </c>
      <c r="E7361" t="s">
        <v>20</v>
      </c>
      <c r="F7361" t="s">
        <v>93</v>
      </c>
      <c r="G7361" t="s">
        <v>12</v>
      </c>
      <c r="H7361" s="1">
        <v>43016</v>
      </c>
      <c r="I7361" s="1">
        <v>43018</v>
      </c>
      <c r="J7361">
        <v>608</v>
      </c>
    </row>
    <row r="7362" spans="1:10" x14ac:dyDescent="0.3">
      <c r="A7362" t="s">
        <v>7493</v>
      </c>
      <c r="B7362" t="s">
        <v>95</v>
      </c>
      <c r="C7362" t="str">
        <f>_xlfn.XLOOKUP(B7362,
[1]sales_teams!$A$2:$A$100,
[1]sales_teams!$B$2:$B$100)</f>
        <v>Summer Sewald</v>
      </c>
      <c r="D7362" t="str">
        <f>_xlfn.XLOOKUP($B7362,sales_teams!$A$2:$A$36,sales_teams!C$2:C$36)</f>
        <v>West</v>
      </c>
      <c r="E7362" t="s">
        <v>48</v>
      </c>
      <c r="F7362" t="s">
        <v>70</v>
      </c>
      <c r="G7362" t="s">
        <v>12</v>
      </c>
      <c r="H7362" s="1">
        <v>43016</v>
      </c>
      <c r="I7362" s="1">
        <v>43024</v>
      </c>
      <c r="J7362">
        <v>4989</v>
      </c>
    </row>
    <row r="7363" spans="1:10" x14ac:dyDescent="0.3">
      <c r="A7363" t="s">
        <v>7494</v>
      </c>
      <c r="B7363" t="s">
        <v>95</v>
      </c>
      <c r="C7363" t="str">
        <f>_xlfn.XLOOKUP(B7363,
[1]sales_teams!$A$2:$A$100,
[1]sales_teams!$B$2:$B$100)</f>
        <v>Summer Sewald</v>
      </c>
      <c r="D7363" t="str">
        <f>_xlfn.XLOOKUP($B7363,sales_teams!$A$2:$A$36,sales_teams!C$2:C$36)</f>
        <v>West</v>
      </c>
      <c r="E7363" t="s">
        <v>15</v>
      </c>
      <c r="F7363" t="s">
        <v>555</v>
      </c>
      <c r="G7363" t="s">
        <v>12</v>
      </c>
      <c r="H7363" s="1">
        <v>43016</v>
      </c>
      <c r="I7363" s="1">
        <v>43062</v>
      </c>
      <c r="J7363">
        <v>4780</v>
      </c>
    </row>
    <row r="7364" spans="1:10" x14ac:dyDescent="0.3">
      <c r="A7364" t="s">
        <v>7495</v>
      </c>
      <c r="B7364" t="s">
        <v>32</v>
      </c>
      <c r="C7364" t="str">
        <f>_xlfn.XLOOKUP(B7364,
[1]sales_teams!$A$2:$A$100,
[1]sales_teams!$B$2:$B$100)</f>
        <v>Celia Rouche</v>
      </c>
      <c r="D7364" t="str">
        <f>_xlfn.XLOOKUP($B7364,sales_teams!$A$2:$A$36,sales_teams!C$2:C$36)</f>
        <v>West</v>
      </c>
      <c r="E7364" t="s">
        <v>18</v>
      </c>
      <c r="G7364" t="s">
        <v>40</v>
      </c>
      <c r="H7364" s="1">
        <v>43016</v>
      </c>
    </row>
    <row r="7365" spans="1:10" x14ac:dyDescent="0.3">
      <c r="A7365" t="s">
        <v>7496</v>
      </c>
      <c r="B7365" t="s">
        <v>32</v>
      </c>
      <c r="C7365" t="str">
        <f>_xlfn.XLOOKUP(B7365,
[1]sales_teams!$A$2:$A$100,
[1]sales_teams!$B$2:$B$100)</f>
        <v>Celia Rouche</v>
      </c>
      <c r="D7365" t="str">
        <f>_xlfn.XLOOKUP($B7365,sales_teams!$A$2:$A$36,sales_teams!C$2:C$36)</f>
        <v>West</v>
      </c>
      <c r="E7365" t="s">
        <v>10</v>
      </c>
      <c r="F7365" t="s">
        <v>313</v>
      </c>
      <c r="G7365" t="s">
        <v>46</v>
      </c>
      <c r="H7365" s="1">
        <v>43016</v>
      </c>
      <c r="I7365" s="1">
        <v>43018</v>
      </c>
      <c r="J7365">
        <v>0</v>
      </c>
    </row>
    <row r="7366" spans="1:10" x14ac:dyDescent="0.3">
      <c r="A7366" t="s">
        <v>7497</v>
      </c>
      <c r="B7366" t="s">
        <v>32</v>
      </c>
      <c r="C7366" t="str">
        <f>_xlfn.XLOOKUP(B7366,
[1]sales_teams!$A$2:$A$100,
[1]sales_teams!$B$2:$B$100)</f>
        <v>Celia Rouche</v>
      </c>
      <c r="D7366" t="str">
        <f>_xlfn.XLOOKUP($B7366,sales_teams!$A$2:$A$36,sales_teams!C$2:C$36)</f>
        <v>West</v>
      </c>
      <c r="E7366" t="s">
        <v>18</v>
      </c>
      <c r="F7366" t="s">
        <v>86</v>
      </c>
      <c r="G7366" t="s">
        <v>46</v>
      </c>
      <c r="H7366" s="1">
        <v>43016</v>
      </c>
      <c r="I7366" s="1">
        <v>43022</v>
      </c>
      <c r="J7366">
        <v>0</v>
      </c>
    </row>
    <row r="7367" spans="1:10" x14ac:dyDescent="0.3">
      <c r="A7367" t="s">
        <v>7498</v>
      </c>
      <c r="B7367" t="s">
        <v>57</v>
      </c>
      <c r="C7367" t="str">
        <f>_xlfn.XLOOKUP(B7367,
[1]sales_teams!$A$2:$A$100,
[1]sales_teams!$B$2:$B$100)</f>
        <v>Celia Rouche</v>
      </c>
      <c r="D7367" t="str">
        <f>_xlfn.XLOOKUP($B7367,sales_teams!$A$2:$A$36,sales_teams!C$2:C$36)</f>
        <v>West</v>
      </c>
      <c r="E7367" t="s">
        <v>18</v>
      </c>
      <c r="F7367" t="s">
        <v>79</v>
      </c>
      <c r="G7367" t="s">
        <v>46</v>
      </c>
      <c r="H7367" s="1">
        <v>43016</v>
      </c>
      <c r="I7367" s="1">
        <v>43028</v>
      </c>
      <c r="J7367">
        <v>0</v>
      </c>
    </row>
    <row r="7368" spans="1:10" x14ac:dyDescent="0.3">
      <c r="A7368" t="s">
        <v>7499</v>
      </c>
      <c r="B7368" t="s">
        <v>29</v>
      </c>
      <c r="C7368" t="str">
        <f>_xlfn.XLOOKUP(B7368,
[1]sales_teams!$A$2:$A$100,
[1]sales_teams!$B$2:$B$100)</f>
        <v>Celia Rouche</v>
      </c>
      <c r="D7368" t="str">
        <f>_xlfn.XLOOKUP($B7368,sales_teams!$A$2:$A$36,sales_teams!C$2:C$36)</f>
        <v>West</v>
      </c>
      <c r="E7368" t="s">
        <v>39</v>
      </c>
      <c r="F7368" t="s">
        <v>555</v>
      </c>
      <c r="G7368" t="s">
        <v>12</v>
      </c>
      <c r="H7368" s="1">
        <v>43016</v>
      </c>
      <c r="I7368" s="1">
        <v>43017</v>
      </c>
      <c r="J7368">
        <v>3023</v>
      </c>
    </row>
    <row r="7369" spans="1:10" x14ac:dyDescent="0.3">
      <c r="A7369" t="s">
        <v>7500</v>
      </c>
      <c r="B7369" t="s">
        <v>23</v>
      </c>
      <c r="C7369" t="str">
        <f>_xlfn.XLOOKUP(B7369,
[1]sales_teams!$A$2:$A$100,
[1]sales_teams!$B$2:$B$100)</f>
        <v>Summer Sewald</v>
      </c>
      <c r="D7369" t="str">
        <f>_xlfn.XLOOKUP($B7369,sales_teams!$A$2:$A$36,sales_teams!C$2:C$36)</f>
        <v>West</v>
      </c>
      <c r="E7369" t="s">
        <v>18</v>
      </c>
      <c r="G7369" t="s">
        <v>40</v>
      </c>
      <c r="H7369" s="1">
        <v>43016</v>
      </c>
    </row>
    <row r="7370" spans="1:10" x14ac:dyDescent="0.3">
      <c r="A7370" t="s">
        <v>7501</v>
      </c>
      <c r="B7370" t="s">
        <v>26</v>
      </c>
      <c r="C7370" t="str">
        <f>_xlfn.XLOOKUP(B7370,
[1]sales_teams!$A$2:$A$100,
[1]sales_teams!$B$2:$B$100)</f>
        <v>Dustin Brinkmann</v>
      </c>
      <c r="D7370" t="str">
        <f>_xlfn.XLOOKUP($B7370,sales_teams!$A$2:$A$36,sales_teams!C$2:C$36)</f>
        <v>Central</v>
      </c>
      <c r="E7370" t="s">
        <v>48</v>
      </c>
      <c r="F7370" t="s">
        <v>120</v>
      </c>
      <c r="G7370" t="s">
        <v>46</v>
      </c>
      <c r="H7370" s="1">
        <v>43017</v>
      </c>
      <c r="I7370" s="1">
        <v>43025</v>
      </c>
      <c r="J7370">
        <v>0</v>
      </c>
    </row>
    <row r="7371" spans="1:10" x14ac:dyDescent="0.3">
      <c r="A7371" t="s">
        <v>7502</v>
      </c>
      <c r="B7371" t="s">
        <v>26</v>
      </c>
      <c r="C7371" t="str">
        <f>_xlfn.XLOOKUP(B7371,
[1]sales_teams!$A$2:$A$100,
[1]sales_teams!$B$2:$B$100)</f>
        <v>Dustin Brinkmann</v>
      </c>
      <c r="D7371" t="str">
        <f>_xlfn.XLOOKUP($B7371,sales_teams!$A$2:$A$36,sales_teams!C$2:C$36)</f>
        <v>Central</v>
      </c>
      <c r="E7371" t="s">
        <v>39</v>
      </c>
      <c r="F7371" t="s">
        <v>27</v>
      </c>
      <c r="G7371" t="s">
        <v>12</v>
      </c>
      <c r="H7371" s="1">
        <v>43017</v>
      </c>
      <c r="I7371" s="1">
        <v>43028</v>
      </c>
      <c r="J7371">
        <v>3100</v>
      </c>
    </row>
    <row r="7372" spans="1:10" x14ac:dyDescent="0.3">
      <c r="A7372" t="s">
        <v>7503</v>
      </c>
      <c r="B7372" t="s">
        <v>139</v>
      </c>
      <c r="C7372" t="str">
        <f>_xlfn.XLOOKUP(B7372,
[1]sales_teams!$A$2:$A$100,
[1]sales_teams!$B$2:$B$100)</f>
        <v>Rocco Neubert</v>
      </c>
      <c r="D7372" t="str">
        <f>_xlfn.XLOOKUP($B7372,sales_teams!$A$2:$A$36,sales_teams!C$2:C$36)</f>
        <v>East</v>
      </c>
      <c r="E7372" t="s">
        <v>48</v>
      </c>
      <c r="F7372" t="s">
        <v>209</v>
      </c>
      <c r="G7372" t="s">
        <v>12</v>
      </c>
      <c r="H7372" s="1">
        <v>43017</v>
      </c>
      <c r="I7372" s="1">
        <v>43099</v>
      </c>
      <c r="J7372">
        <v>6406</v>
      </c>
    </row>
    <row r="7373" spans="1:10" x14ac:dyDescent="0.3">
      <c r="A7373" t="s">
        <v>7504</v>
      </c>
      <c r="B7373" t="s">
        <v>164</v>
      </c>
      <c r="C7373" t="str">
        <f>_xlfn.XLOOKUP(B7373,
[1]sales_teams!$A$2:$A$100,
[1]sales_teams!$B$2:$B$100)</f>
        <v>Cara Losch</v>
      </c>
      <c r="D7373" t="str">
        <f>_xlfn.XLOOKUP($B7373,sales_teams!$A$2:$A$36,sales_teams!C$2:C$36)</f>
        <v>East</v>
      </c>
      <c r="E7373" t="s">
        <v>48</v>
      </c>
      <c r="F7373" t="s">
        <v>179</v>
      </c>
      <c r="G7373" t="s">
        <v>12</v>
      </c>
      <c r="H7373" s="1">
        <v>43017</v>
      </c>
      <c r="I7373" s="1">
        <v>43023</v>
      </c>
      <c r="J7373">
        <v>5711</v>
      </c>
    </row>
    <row r="7374" spans="1:10" x14ac:dyDescent="0.3">
      <c r="A7374" t="s">
        <v>7505</v>
      </c>
      <c r="B7374" t="s">
        <v>64</v>
      </c>
      <c r="C7374" t="str">
        <f>_xlfn.XLOOKUP(B7374,
[1]sales_teams!$A$2:$A$100,
[1]sales_teams!$B$2:$B$100)</f>
        <v>Rocco Neubert</v>
      </c>
      <c r="D7374" t="str">
        <f>_xlfn.XLOOKUP($B7374,sales_teams!$A$2:$A$36,sales_teams!C$2:C$36)</f>
        <v>East</v>
      </c>
      <c r="E7374" t="s">
        <v>15</v>
      </c>
      <c r="G7374" t="s">
        <v>40</v>
      </c>
      <c r="H7374" s="1">
        <v>43017</v>
      </c>
    </row>
    <row r="7375" spans="1:10" x14ac:dyDescent="0.3">
      <c r="A7375" t="s">
        <v>7506</v>
      </c>
      <c r="B7375" t="s">
        <v>64</v>
      </c>
      <c r="C7375" t="str">
        <f>_xlfn.XLOOKUP(B7375,
[1]sales_teams!$A$2:$A$100,
[1]sales_teams!$B$2:$B$100)</f>
        <v>Rocco Neubert</v>
      </c>
      <c r="D7375" t="str">
        <f>_xlfn.XLOOKUP($B7375,sales_teams!$A$2:$A$36,sales_teams!C$2:C$36)</f>
        <v>East</v>
      </c>
      <c r="E7375" t="s">
        <v>18</v>
      </c>
      <c r="F7375" t="s">
        <v>177</v>
      </c>
      <c r="G7375" t="s">
        <v>12</v>
      </c>
      <c r="H7375" s="1">
        <v>43017</v>
      </c>
      <c r="I7375" s="1">
        <v>43026</v>
      </c>
      <c r="J7375">
        <v>58</v>
      </c>
    </row>
    <row r="7376" spans="1:10" x14ac:dyDescent="0.3">
      <c r="A7376" t="s">
        <v>7507</v>
      </c>
      <c r="B7376" t="s">
        <v>14</v>
      </c>
      <c r="C7376" t="str">
        <f>_xlfn.XLOOKUP(B7376,
[1]sales_teams!$A$2:$A$100,
[1]sales_teams!$B$2:$B$100)</f>
        <v>Melvin Marxen</v>
      </c>
      <c r="D7376" t="str">
        <f>_xlfn.XLOOKUP($B7376,sales_teams!$A$2:$A$36,sales_teams!C$2:C$36)</f>
        <v>Central</v>
      </c>
      <c r="E7376" t="s">
        <v>15</v>
      </c>
      <c r="F7376" t="s">
        <v>187</v>
      </c>
      <c r="G7376" t="s">
        <v>46</v>
      </c>
      <c r="H7376" s="1">
        <v>43017</v>
      </c>
      <c r="I7376" s="1">
        <v>43018</v>
      </c>
      <c r="J7376">
        <v>0</v>
      </c>
    </row>
    <row r="7377" spans="1:10" x14ac:dyDescent="0.3">
      <c r="A7377" t="s">
        <v>7508</v>
      </c>
      <c r="B7377" t="s">
        <v>105</v>
      </c>
      <c r="C7377" t="str">
        <f>_xlfn.XLOOKUP(B7377,
[1]sales_teams!$A$2:$A$100,
[1]sales_teams!$B$2:$B$100)</f>
        <v>Cara Losch</v>
      </c>
      <c r="D7377" t="str">
        <f>_xlfn.XLOOKUP($B7377,sales_teams!$A$2:$A$36,sales_teams!C$2:C$36)</f>
        <v>East</v>
      </c>
      <c r="E7377" t="s">
        <v>20</v>
      </c>
      <c r="F7377" t="s">
        <v>89</v>
      </c>
      <c r="G7377" t="s">
        <v>12</v>
      </c>
      <c r="H7377" s="1">
        <v>43017</v>
      </c>
      <c r="I7377" s="1">
        <v>43018</v>
      </c>
      <c r="J7377">
        <v>552</v>
      </c>
    </row>
    <row r="7378" spans="1:10" x14ac:dyDescent="0.3">
      <c r="A7378" t="s">
        <v>7509</v>
      </c>
      <c r="B7378" t="s">
        <v>105</v>
      </c>
      <c r="C7378" t="str">
        <f>_xlfn.XLOOKUP(B7378,
[1]sales_teams!$A$2:$A$100,
[1]sales_teams!$B$2:$B$100)</f>
        <v>Cara Losch</v>
      </c>
      <c r="D7378" t="str">
        <f>_xlfn.XLOOKUP($B7378,sales_teams!$A$2:$A$36,sales_teams!C$2:C$36)</f>
        <v>East</v>
      </c>
      <c r="E7378" t="s">
        <v>39</v>
      </c>
      <c r="F7378" t="s">
        <v>103</v>
      </c>
      <c r="G7378" t="s">
        <v>12</v>
      </c>
      <c r="H7378" s="1">
        <v>43017</v>
      </c>
      <c r="I7378" s="1">
        <v>43028</v>
      </c>
      <c r="J7378">
        <v>3215</v>
      </c>
    </row>
    <row r="7379" spans="1:10" x14ac:dyDescent="0.3">
      <c r="A7379" t="s">
        <v>7510</v>
      </c>
      <c r="B7379" t="s">
        <v>44</v>
      </c>
      <c r="C7379" t="str">
        <f>_xlfn.XLOOKUP(B7379,
[1]sales_teams!$A$2:$A$100,
[1]sales_teams!$B$2:$B$100)</f>
        <v>Melvin Marxen</v>
      </c>
      <c r="D7379" t="str">
        <f>_xlfn.XLOOKUP($B7379,sales_teams!$A$2:$A$36,sales_teams!C$2:C$36)</f>
        <v>Central</v>
      </c>
      <c r="E7379" t="s">
        <v>20</v>
      </c>
      <c r="F7379" t="s">
        <v>113</v>
      </c>
      <c r="G7379" t="s">
        <v>46</v>
      </c>
      <c r="H7379" s="1">
        <v>43017</v>
      </c>
      <c r="I7379" s="1">
        <v>43066</v>
      </c>
      <c r="J7379">
        <v>0</v>
      </c>
    </row>
    <row r="7380" spans="1:10" x14ac:dyDescent="0.3">
      <c r="A7380" t="s">
        <v>7511</v>
      </c>
      <c r="B7380" t="s">
        <v>38</v>
      </c>
      <c r="C7380" t="str">
        <f>_xlfn.XLOOKUP(B7380,
[1]sales_teams!$A$2:$A$100,
[1]sales_teams!$B$2:$B$100)</f>
        <v>Summer Sewald</v>
      </c>
      <c r="D7380" t="str">
        <f>_xlfn.XLOOKUP($B7380,sales_teams!$A$2:$A$36,sales_teams!C$2:C$36)</f>
        <v>West</v>
      </c>
      <c r="E7380" t="s">
        <v>10</v>
      </c>
      <c r="F7380" t="s">
        <v>55</v>
      </c>
      <c r="G7380" t="s">
        <v>12</v>
      </c>
      <c r="H7380" s="1">
        <v>43017</v>
      </c>
      <c r="I7380" s="1">
        <v>43062</v>
      </c>
      <c r="J7380">
        <v>1112</v>
      </c>
    </row>
    <row r="7381" spans="1:10" x14ac:dyDescent="0.3">
      <c r="A7381" t="s">
        <v>7512</v>
      </c>
      <c r="B7381" t="s">
        <v>252</v>
      </c>
      <c r="C7381" t="str">
        <f>_xlfn.XLOOKUP(B7381,
[1]sales_teams!$A$2:$A$100,
[1]sales_teams!$B$2:$B$100)</f>
        <v>Melvin Marxen</v>
      </c>
      <c r="D7381" t="str">
        <f>_xlfn.XLOOKUP($B7381,sales_teams!$A$2:$A$36,sales_teams!C$2:C$36)</f>
        <v>Central</v>
      </c>
      <c r="E7381" t="s">
        <v>20</v>
      </c>
      <c r="F7381" t="s">
        <v>111</v>
      </c>
      <c r="G7381" t="s">
        <v>46</v>
      </c>
      <c r="H7381" s="1">
        <v>43017</v>
      </c>
      <c r="I7381" s="1">
        <v>43029</v>
      </c>
      <c r="J7381">
        <v>0</v>
      </c>
    </row>
    <row r="7382" spans="1:10" x14ac:dyDescent="0.3">
      <c r="A7382" t="s">
        <v>7513</v>
      </c>
      <c r="B7382" t="s">
        <v>252</v>
      </c>
      <c r="C7382" t="str">
        <f>_xlfn.XLOOKUP(B7382,
[1]sales_teams!$A$2:$A$100,
[1]sales_teams!$B$2:$B$100)</f>
        <v>Melvin Marxen</v>
      </c>
      <c r="D7382" t="str">
        <f>_xlfn.XLOOKUP($B7382,sales_teams!$A$2:$A$36,sales_teams!C$2:C$36)</f>
        <v>Central</v>
      </c>
      <c r="E7382" t="s">
        <v>10</v>
      </c>
      <c r="F7382" t="s">
        <v>76</v>
      </c>
      <c r="G7382" t="s">
        <v>12</v>
      </c>
      <c r="H7382" s="1">
        <v>43017</v>
      </c>
      <c r="I7382" s="1">
        <v>43064</v>
      </c>
      <c r="J7382">
        <v>1190</v>
      </c>
    </row>
    <row r="7383" spans="1:10" x14ac:dyDescent="0.3">
      <c r="A7383" t="s">
        <v>7514</v>
      </c>
      <c r="B7383" t="s">
        <v>78</v>
      </c>
      <c r="C7383" t="str">
        <f>_xlfn.XLOOKUP(B7383,
[1]sales_teams!$A$2:$A$100,
[1]sales_teams!$B$2:$B$100)</f>
        <v>Summer Sewald</v>
      </c>
      <c r="D7383" t="str">
        <f>_xlfn.XLOOKUP($B7383,sales_teams!$A$2:$A$36,sales_teams!C$2:C$36)</f>
        <v>West</v>
      </c>
      <c r="E7383" t="s">
        <v>20</v>
      </c>
      <c r="F7383" t="s">
        <v>55</v>
      </c>
      <c r="G7383" t="s">
        <v>12</v>
      </c>
      <c r="H7383" s="1">
        <v>43017</v>
      </c>
      <c r="I7383" s="1">
        <v>43091</v>
      </c>
      <c r="J7383">
        <v>446</v>
      </c>
    </row>
    <row r="7384" spans="1:10" x14ac:dyDescent="0.3">
      <c r="A7384" t="s">
        <v>7515</v>
      </c>
      <c r="B7384" t="s">
        <v>78</v>
      </c>
      <c r="C7384" t="str">
        <f>_xlfn.XLOOKUP(B7384,
[1]sales_teams!$A$2:$A$100,
[1]sales_teams!$B$2:$B$100)</f>
        <v>Summer Sewald</v>
      </c>
      <c r="D7384" t="str">
        <f>_xlfn.XLOOKUP($B7384,sales_teams!$A$2:$A$36,sales_teams!C$2:C$36)</f>
        <v>West</v>
      </c>
      <c r="E7384" t="s">
        <v>20</v>
      </c>
      <c r="F7384" t="s">
        <v>199</v>
      </c>
      <c r="G7384" t="s">
        <v>12</v>
      </c>
      <c r="H7384" s="1">
        <v>43017</v>
      </c>
      <c r="I7384" s="1">
        <v>43018</v>
      </c>
      <c r="J7384">
        <v>565</v>
      </c>
    </row>
    <row r="7385" spans="1:10" x14ac:dyDescent="0.3">
      <c r="A7385" t="s">
        <v>7516</v>
      </c>
      <c r="B7385" t="s">
        <v>95</v>
      </c>
      <c r="C7385" t="str">
        <f>_xlfn.XLOOKUP(B7385,
[1]sales_teams!$A$2:$A$100,
[1]sales_teams!$B$2:$B$100)</f>
        <v>Summer Sewald</v>
      </c>
      <c r="D7385" t="str">
        <f>_xlfn.XLOOKUP($B7385,sales_teams!$A$2:$A$36,sales_teams!C$2:C$36)</f>
        <v>West</v>
      </c>
      <c r="E7385" t="s">
        <v>20</v>
      </c>
      <c r="F7385" t="s">
        <v>273</v>
      </c>
      <c r="G7385" t="s">
        <v>46</v>
      </c>
      <c r="H7385" s="1">
        <v>43017</v>
      </c>
      <c r="I7385" s="1">
        <v>43026</v>
      </c>
      <c r="J7385">
        <v>0</v>
      </c>
    </row>
    <row r="7386" spans="1:10" x14ac:dyDescent="0.3">
      <c r="A7386" t="s">
        <v>7517</v>
      </c>
      <c r="B7386" t="s">
        <v>32</v>
      </c>
      <c r="C7386" t="str">
        <f>_xlfn.XLOOKUP(B7386,
[1]sales_teams!$A$2:$A$100,
[1]sales_teams!$B$2:$B$100)</f>
        <v>Celia Rouche</v>
      </c>
      <c r="D7386" t="str">
        <f>_xlfn.XLOOKUP($B7386,sales_teams!$A$2:$A$36,sales_teams!C$2:C$36)</f>
        <v>West</v>
      </c>
      <c r="E7386" t="s">
        <v>18</v>
      </c>
      <c r="G7386" t="s">
        <v>40</v>
      </c>
      <c r="H7386" s="1">
        <v>43017</v>
      </c>
    </row>
    <row r="7387" spans="1:10" x14ac:dyDescent="0.3">
      <c r="A7387" t="s">
        <v>7518</v>
      </c>
      <c r="B7387" t="s">
        <v>32</v>
      </c>
      <c r="C7387" t="str">
        <f>_xlfn.XLOOKUP(B7387,
[1]sales_teams!$A$2:$A$100,
[1]sales_teams!$B$2:$B$100)</f>
        <v>Celia Rouche</v>
      </c>
      <c r="D7387" t="str">
        <f>_xlfn.XLOOKUP($B7387,sales_teams!$A$2:$A$36,sales_teams!C$2:C$36)</f>
        <v>West</v>
      </c>
      <c r="E7387" t="s">
        <v>15</v>
      </c>
      <c r="F7387" t="s">
        <v>273</v>
      </c>
      <c r="G7387" t="s">
        <v>12</v>
      </c>
      <c r="H7387" s="1">
        <v>43017</v>
      </c>
      <c r="I7387" s="1">
        <v>43094</v>
      </c>
      <c r="J7387">
        <v>4753</v>
      </c>
    </row>
    <row r="7388" spans="1:10" x14ac:dyDescent="0.3">
      <c r="A7388" t="s">
        <v>7519</v>
      </c>
      <c r="B7388" t="s">
        <v>116</v>
      </c>
      <c r="C7388" t="str">
        <f>_xlfn.XLOOKUP(B7388,
[1]sales_teams!$A$2:$A$100,
[1]sales_teams!$B$2:$B$100)</f>
        <v>Melvin Marxen</v>
      </c>
      <c r="D7388" t="str">
        <f>_xlfn.XLOOKUP($B7388,sales_teams!$A$2:$A$36,sales_teams!C$2:C$36)</f>
        <v>Central</v>
      </c>
      <c r="E7388" t="s">
        <v>10</v>
      </c>
      <c r="F7388" t="s">
        <v>45</v>
      </c>
      <c r="G7388" t="s">
        <v>46</v>
      </c>
      <c r="H7388" s="1">
        <v>43017</v>
      </c>
      <c r="I7388" s="1">
        <v>43069</v>
      </c>
      <c r="J7388">
        <v>0</v>
      </c>
    </row>
    <row r="7389" spans="1:10" x14ac:dyDescent="0.3">
      <c r="A7389" t="s">
        <v>7520</v>
      </c>
      <c r="B7389" t="s">
        <v>51</v>
      </c>
      <c r="C7389" t="str">
        <f>_xlfn.XLOOKUP(B7389,
[1]sales_teams!$A$2:$A$100,
[1]sales_teams!$B$2:$B$100)</f>
        <v>Summer Sewald</v>
      </c>
      <c r="D7389" t="str">
        <f>_xlfn.XLOOKUP($B7389,sales_teams!$A$2:$A$36,sales_teams!C$2:C$36)</f>
        <v>West</v>
      </c>
      <c r="E7389" t="s">
        <v>20</v>
      </c>
      <c r="F7389" t="s">
        <v>49</v>
      </c>
      <c r="G7389" t="s">
        <v>46</v>
      </c>
      <c r="H7389" s="1">
        <v>43017</v>
      </c>
      <c r="I7389" s="1">
        <v>43027</v>
      </c>
      <c r="J7389">
        <v>0</v>
      </c>
    </row>
    <row r="7390" spans="1:10" x14ac:dyDescent="0.3">
      <c r="A7390" t="s">
        <v>7521</v>
      </c>
      <c r="B7390" t="s">
        <v>35</v>
      </c>
      <c r="C7390" t="str">
        <f>_xlfn.XLOOKUP(B7390,
[1]sales_teams!$A$2:$A$100,
[1]sales_teams!$B$2:$B$100)</f>
        <v>Melvin Marxen</v>
      </c>
      <c r="D7390" t="str">
        <f>_xlfn.XLOOKUP($B7390,sales_teams!$A$2:$A$36,sales_teams!C$2:C$36)</f>
        <v>Central</v>
      </c>
      <c r="E7390" t="s">
        <v>20</v>
      </c>
      <c r="F7390" t="s">
        <v>187</v>
      </c>
      <c r="G7390" t="s">
        <v>46</v>
      </c>
      <c r="H7390" s="1">
        <v>43017</v>
      </c>
      <c r="I7390" s="1">
        <v>43029</v>
      </c>
      <c r="J7390">
        <v>0</v>
      </c>
    </row>
    <row r="7391" spans="1:10" x14ac:dyDescent="0.3">
      <c r="A7391" t="s">
        <v>7522</v>
      </c>
      <c r="B7391" t="s">
        <v>35</v>
      </c>
      <c r="C7391" t="str">
        <f>_xlfn.XLOOKUP(B7391,
[1]sales_teams!$A$2:$A$100,
[1]sales_teams!$B$2:$B$100)</f>
        <v>Melvin Marxen</v>
      </c>
      <c r="D7391" t="str">
        <f>_xlfn.XLOOKUP($B7391,sales_teams!$A$2:$A$36,sales_teams!C$2:C$36)</f>
        <v>Central</v>
      </c>
      <c r="E7391" t="s">
        <v>10</v>
      </c>
      <c r="F7391" t="s">
        <v>111</v>
      </c>
      <c r="G7391" t="s">
        <v>12</v>
      </c>
      <c r="H7391" s="1">
        <v>43017</v>
      </c>
      <c r="I7391" s="1">
        <v>43018</v>
      </c>
      <c r="J7391">
        <v>1129</v>
      </c>
    </row>
    <row r="7392" spans="1:10" x14ac:dyDescent="0.3">
      <c r="A7392" t="s">
        <v>7523</v>
      </c>
      <c r="B7392" t="s">
        <v>57</v>
      </c>
      <c r="C7392" t="str">
        <f>_xlfn.XLOOKUP(B7392,
[1]sales_teams!$A$2:$A$100,
[1]sales_teams!$B$2:$B$100)</f>
        <v>Celia Rouche</v>
      </c>
      <c r="D7392" t="str">
        <f>_xlfn.XLOOKUP($B7392,sales_teams!$A$2:$A$36,sales_teams!C$2:C$36)</f>
        <v>West</v>
      </c>
      <c r="E7392" t="s">
        <v>18</v>
      </c>
      <c r="F7392" t="s">
        <v>49</v>
      </c>
      <c r="G7392" t="s">
        <v>12</v>
      </c>
      <c r="H7392" s="1">
        <v>43017</v>
      </c>
      <c r="I7392" s="1">
        <v>43018</v>
      </c>
      <c r="J7392">
        <v>56</v>
      </c>
    </row>
    <row r="7393" spans="1:10" x14ac:dyDescent="0.3">
      <c r="A7393" t="s">
        <v>7524</v>
      </c>
      <c r="B7393" t="s">
        <v>57</v>
      </c>
      <c r="C7393" t="str">
        <f>_xlfn.XLOOKUP(B7393,
[1]sales_teams!$A$2:$A$100,
[1]sales_teams!$B$2:$B$100)</f>
        <v>Celia Rouche</v>
      </c>
      <c r="D7393" t="str">
        <f>_xlfn.XLOOKUP($B7393,sales_teams!$A$2:$A$36,sales_teams!C$2:C$36)</f>
        <v>West</v>
      </c>
      <c r="E7393" t="s">
        <v>39</v>
      </c>
      <c r="F7393" t="s">
        <v>273</v>
      </c>
      <c r="G7393" t="s">
        <v>12</v>
      </c>
      <c r="H7393" s="1">
        <v>43017</v>
      </c>
      <c r="I7393" s="1">
        <v>43019</v>
      </c>
      <c r="J7393">
        <v>3435</v>
      </c>
    </row>
    <row r="7394" spans="1:10" x14ac:dyDescent="0.3">
      <c r="A7394" t="s">
        <v>7525</v>
      </c>
      <c r="B7394" t="s">
        <v>61</v>
      </c>
      <c r="C7394" t="str">
        <f>_xlfn.XLOOKUP(B7394,
[1]sales_teams!$A$2:$A$100,
[1]sales_teams!$B$2:$B$100)</f>
        <v>Dustin Brinkmann</v>
      </c>
      <c r="D7394" t="str">
        <f>_xlfn.XLOOKUP($B7394,sales_teams!$A$2:$A$36,sales_teams!C$2:C$36)</f>
        <v>Central</v>
      </c>
      <c r="E7394" t="s">
        <v>39</v>
      </c>
      <c r="F7394" t="s">
        <v>151</v>
      </c>
      <c r="G7394" t="s">
        <v>12</v>
      </c>
      <c r="H7394" s="1">
        <v>43017</v>
      </c>
      <c r="I7394" s="1">
        <v>43022</v>
      </c>
      <c r="J7394">
        <v>3860</v>
      </c>
    </row>
    <row r="7395" spans="1:10" x14ac:dyDescent="0.3">
      <c r="A7395" t="s">
        <v>7526</v>
      </c>
      <c r="B7395" t="s">
        <v>73</v>
      </c>
      <c r="C7395" t="str">
        <f>_xlfn.XLOOKUP(B7395,
[1]sales_teams!$A$2:$A$100,
[1]sales_teams!$B$2:$B$100)</f>
        <v>Cara Losch</v>
      </c>
      <c r="D7395" t="str">
        <f>_xlfn.XLOOKUP($B7395,sales_teams!$A$2:$A$36,sales_teams!C$2:C$36)</f>
        <v>East</v>
      </c>
      <c r="E7395" t="s">
        <v>18</v>
      </c>
      <c r="F7395" t="s">
        <v>278</v>
      </c>
      <c r="G7395" t="s">
        <v>46</v>
      </c>
      <c r="H7395" s="1">
        <v>43017</v>
      </c>
      <c r="I7395" s="1">
        <v>43092</v>
      </c>
      <c r="J7395">
        <v>0</v>
      </c>
    </row>
    <row r="7396" spans="1:10" x14ac:dyDescent="0.3">
      <c r="A7396" t="s">
        <v>7527</v>
      </c>
      <c r="B7396" t="s">
        <v>23</v>
      </c>
      <c r="C7396" t="str">
        <f>_xlfn.XLOOKUP(B7396,
[1]sales_teams!$A$2:$A$100,
[1]sales_teams!$B$2:$B$100)</f>
        <v>Summer Sewald</v>
      </c>
      <c r="D7396" t="str">
        <f>_xlfn.XLOOKUP($B7396,sales_teams!$A$2:$A$36,sales_teams!C$2:C$36)</f>
        <v>West</v>
      </c>
      <c r="E7396" t="s">
        <v>20</v>
      </c>
      <c r="F7396" t="s">
        <v>315</v>
      </c>
      <c r="G7396" t="s">
        <v>46</v>
      </c>
      <c r="H7396" s="1">
        <v>43017</v>
      </c>
      <c r="I7396" s="1">
        <v>43025</v>
      </c>
      <c r="J7396">
        <v>0</v>
      </c>
    </row>
    <row r="7397" spans="1:10" x14ac:dyDescent="0.3">
      <c r="A7397" t="s">
        <v>7528</v>
      </c>
      <c r="B7397" t="s">
        <v>23</v>
      </c>
      <c r="C7397" t="str">
        <f>_xlfn.XLOOKUP(B7397,
[1]sales_teams!$A$2:$A$100,
[1]sales_teams!$B$2:$B$100)</f>
        <v>Summer Sewald</v>
      </c>
      <c r="D7397" t="str">
        <f>_xlfn.XLOOKUP($B7397,sales_teams!$A$2:$A$36,sales_teams!C$2:C$36)</f>
        <v>West</v>
      </c>
      <c r="E7397" t="s">
        <v>39</v>
      </c>
      <c r="F7397" t="s">
        <v>218</v>
      </c>
      <c r="G7397" t="s">
        <v>46</v>
      </c>
      <c r="H7397" s="1">
        <v>43017</v>
      </c>
      <c r="I7397" s="1">
        <v>43019</v>
      </c>
      <c r="J7397">
        <v>0</v>
      </c>
    </row>
    <row r="7398" spans="1:10" x14ac:dyDescent="0.3">
      <c r="A7398" t="s">
        <v>7529</v>
      </c>
      <c r="B7398" t="s">
        <v>23</v>
      </c>
      <c r="C7398" t="str">
        <f>_xlfn.XLOOKUP(B7398,
[1]sales_teams!$A$2:$A$100,
[1]sales_teams!$B$2:$B$100)</f>
        <v>Summer Sewald</v>
      </c>
      <c r="D7398" t="str">
        <f>_xlfn.XLOOKUP($B7398,sales_teams!$A$2:$A$36,sales_teams!C$2:C$36)</f>
        <v>West</v>
      </c>
      <c r="E7398" t="s">
        <v>20</v>
      </c>
      <c r="F7398" t="s">
        <v>159</v>
      </c>
      <c r="G7398" t="s">
        <v>12</v>
      </c>
      <c r="H7398" s="1">
        <v>43017</v>
      </c>
      <c r="I7398" s="1">
        <v>43086</v>
      </c>
      <c r="J7398">
        <v>482</v>
      </c>
    </row>
    <row r="7399" spans="1:10" x14ac:dyDescent="0.3">
      <c r="A7399" t="s">
        <v>7530</v>
      </c>
      <c r="B7399" t="s">
        <v>26</v>
      </c>
      <c r="C7399" t="str">
        <f>_xlfn.XLOOKUP(B7399,
[1]sales_teams!$A$2:$A$100,
[1]sales_teams!$B$2:$B$100)</f>
        <v>Dustin Brinkmann</v>
      </c>
      <c r="D7399" t="str">
        <f>_xlfn.XLOOKUP($B7399,sales_teams!$A$2:$A$36,sales_teams!C$2:C$36)</f>
        <v>Central</v>
      </c>
      <c r="E7399" t="s">
        <v>18</v>
      </c>
      <c r="F7399" t="s">
        <v>21</v>
      </c>
      <c r="G7399" t="s">
        <v>46</v>
      </c>
      <c r="H7399" s="1">
        <v>43018</v>
      </c>
      <c r="I7399" s="1">
        <v>43027</v>
      </c>
      <c r="J7399">
        <v>0</v>
      </c>
    </row>
    <row r="7400" spans="1:10" x14ac:dyDescent="0.3">
      <c r="A7400" t="s">
        <v>7531</v>
      </c>
      <c r="B7400" t="s">
        <v>26</v>
      </c>
      <c r="C7400" t="str">
        <f>_xlfn.XLOOKUP(B7400,
[1]sales_teams!$A$2:$A$100,
[1]sales_teams!$B$2:$B$100)</f>
        <v>Dustin Brinkmann</v>
      </c>
      <c r="D7400" t="str">
        <f>_xlfn.XLOOKUP($B7400,sales_teams!$A$2:$A$36,sales_teams!C$2:C$36)</f>
        <v>Central</v>
      </c>
      <c r="E7400" t="s">
        <v>10</v>
      </c>
      <c r="F7400" t="s">
        <v>109</v>
      </c>
      <c r="G7400" t="s">
        <v>12</v>
      </c>
      <c r="H7400" s="1">
        <v>43018</v>
      </c>
      <c r="I7400" s="1">
        <v>43019</v>
      </c>
      <c r="J7400">
        <v>1166</v>
      </c>
    </row>
    <row r="7401" spans="1:10" x14ac:dyDescent="0.3">
      <c r="A7401" t="s">
        <v>7532</v>
      </c>
      <c r="B7401" t="s">
        <v>139</v>
      </c>
      <c r="C7401" t="str">
        <f>_xlfn.XLOOKUP(B7401,
[1]sales_teams!$A$2:$A$100,
[1]sales_teams!$B$2:$B$100)</f>
        <v>Rocco Neubert</v>
      </c>
      <c r="D7401" t="str">
        <f>_xlfn.XLOOKUP($B7401,sales_teams!$A$2:$A$36,sales_teams!C$2:C$36)</f>
        <v>East</v>
      </c>
      <c r="E7401" t="s">
        <v>18</v>
      </c>
      <c r="F7401" t="s">
        <v>179</v>
      </c>
      <c r="G7401" t="s">
        <v>46</v>
      </c>
      <c r="H7401" s="1">
        <v>43018</v>
      </c>
      <c r="I7401" s="1">
        <v>43026</v>
      </c>
      <c r="J7401">
        <v>0</v>
      </c>
    </row>
    <row r="7402" spans="1:10" x14ac:dyDescent="0.3">
      <c r="A7402" t="s">
        <v>7533</v>
      </c>
      <c r="B7402" t="s">
        <v>164</v>
      </c>
      <c r="C7402" t="str">
        <f>_xlfn.XLOOKUP(B7402,
[1]sales_teams!$A$2:$A$100,
[1]sales_teams!$B$2:$B$100)</f>
        <v>Cara Losch</v>
      </c>
      <c r="D7402" t="str">
        <f>_xlfn.XLOOKUP($B7402,sales_teams!$A$2:$A$36,sales_teams!C$2:C$36)</f>
        <v>East</v>
      </c>
      <c r="E7402" t="s">
        <v>10</v>
      </c>
      <c r="F7402" t="s">
        <v>155</v>
      </c>
      <c r="G7402" t="s">
        <v>46</v>
      </c>
      <c r="H7402" s="1">
        <v>43018</v>
      </c>
      <c r="I7402" s="1">
        <v>43023</v>
      </c>
      <c r="J7402">
        <v>0</v>
      </c>
    </row>
    <row r="7403" spans="1:10" x14ac:dyDescent="0.3">
      <c r="A7403" t="s">
        <v>7534</v>
      </c>
      <c r="B7403" t="s">
        <v>64</v>
      </c>
      <c r="C7403" t="str">
        <f>_xlfn.XLOOKUP(B7403,
[1]sales_teams!$A$2:$A$100,
[1]sales_teams!$B$2:$B$100)</f>
        <v>Rocco Neubert</v>
      </c>
      <c r="D7403" t="str">
        <f>_xlfn.XLOOKUP($B7403,sales_teams!$A$2:$A$36,sales_teams!C$2:C$36)</f>
        <v>East</v>
      </c>
      <c r="E7403" t="s">
        <v>10</v>
      </c>
      <c r="F7403" t="s">
        <v>278</v>
      </c>
      <c r="G7403" t="s">
        <v>46</v>
      </c>
      <c r="H7403" s="1">
        <v>43018</v>
      </c>
      <c r="I7403" s="1">
        <v>43052</v>
      </c>
      <c r="J7403">
        <v>0</v>
      </c>
    </row>
    <row r="7404" spans="1:10" x14ac:dyDescent="0.3">
      <c r="A7404" t="s">
        <v>7535</v>
      </c>
      <c r="B7404" t="s">
        <v>64</v>
      </c>
      <c r="C7404" t="str">
        <f>_xlfn.XLOOKUP(B7404,
[1]sales_teams!$A$2:$A$100,
[1]sales_teams!$B$2:$B$100)</f>
        <v>Rocco Neubert</v>
      </c>
      <c r="D7404" t="str">
        <f>_xlfn.XLOOKUP($B7404,sales_teams!$A$2:$A$36,sales_teams!C$2:C$36)</f>
        <v>East</v>
      </c>
      <c r="E7404" t="s">
        <v>15</v>
      </c>
      <c r="F7404" t="s">
        <v>373</v>
      </c>
      <c r="G7404" t="s">
        <v>12</v>
      </c>
      <c r="H7404" s="1">
        <v>43018</v>
      </c>
      <c r="I7404" s="1">
        <v>43087</v>
      </c>
      <c r="J7404">
        <v>5112</v>
      </c>
    </row>
    <row r="7405" spans="1:10" x14ac:dyDescent="0.3">
      <c r="A7405" t="s">
        <v>7536</v>
      </c>
      <c r="B7405" t="s">
        <v>14</v>
      </c>
      <c r="C7405" t="str">
        <f>_xlfn.XLOOKUP(B7405,
[1]sales_teams!$A$2:$A$100,
[1]sales_teams!$B$2:$B$100)</f>
        <v>Melvin Marxen</v>
      </c>
      <c r="D7405" t="str">
        <f>_xlfn.XLOOKUP($B7405,sales_teams!$A$2:$A$36,sales_teams!C$2:C$36)</f>
        <v>Central</v>
      </c>
      <c r="E7405" t="s">
        <v>10</v>
      </c>
      <c r="F7405" t="s">
        <v>170</v>
      </c>
      <c r="G7405" t="s">
        <v>46</v>
      </c>
      <c r="H7405" s="1">
        <v>43018</v>
      </c>
      <c r="I7405" s="1">
        <v>43095</v>
      </c>
      <c r="J7405">
        <v>0</v>
      </c>
    </row>
    <row r="7406" spans="1:10" x14ac:dyDescent="0.3">
      <c r="A7406" t="s">
        <v>7537</v>
      </c>
      <c r="B7406" t="s">
        <v>14</v>
      </c>
      <c r="C7406" t="str">
        <f>_xlfn.XLOOKUP(B7406,
[1]sales_teams!$A$2:$A$100,
[1]sales_teams!$B$2:$B$100)</f>
        <v>Melvin Marxen</v>
      </c>
      <c r="D7406" t="str">
        <f>_xlfn.XLOOKUP($B7406,sales_teams!$A$2:$A$36,sales_teams!C$2:C$36)</f>
        <v>Central</v>
      </c>
      <c r="E7406" t="s">
        <v>15</v>
      </c>
      <c r="F7406" t="s">
        <v>76</v>
      </c>
      <c r="G7406" t="s">
        <v>46</v>
      </c>
      <c r="H7406" s="1">
        <v>43018</v>
      </c>
      <c r="I7406" s="1">
        <v>43022</v>
      </c>
      <c r="J7406">
        <v>0</v>
      </c>
    </row>
    <row r="7407" spans="1:10" x14ac:dyDescent="0.3">
      <c r="A7407" t="s">
        <v>7538</v>
      </c>
      <c r="B7407" t="s">
        <v>54</v>
      </c>
      <c r="C7407" t="str">
        <f>_xlfn.XLOOKUP(B7407,
[1]sales_teams!$A$2:$A$100,
[1]sales_teams!$B$2:$B$100)</f>
        <v>Celia Rouche</v>
      </c>
      <c r="D7407" t="str">
        <f>_xlfn.XLOOKUP($B7407,sales_teams!$A$2:$A$36,sales_teams!C$2:C$36)</f>
        <v>West</v>
      </c>
      <c r="E7407" t="s">
        <v>39</v>
      </c>
      <c r="F7407" t="s">
        <v>184</v>
      </c>
      <c r="G7407" t="s">
        <v>46</v>
      </c>
      <c r="H7407" s="1">
        <v>43018</v>
      </c>
      <c r="I7407" s="1">
        <v>43023</v>
      </c>
      <c r="J7407">
        <v>0</v>
      </c>
    </row>
    <row r="7408" spans="1:10" x14ac:dyDescent="0.3">
      <c r="A7408" t="s">
        <v>7539</v>
      </c>
      <c r="B7408" t="s">
        <v>252</v>
      </c>
      <c r="C7408" t="str">
        <f>_xlfn.XLOOKUP(B7408,
[1]sales_teams!$A$2:$A$100,
[1]sales_teams!$B$2:$B$100)</f>
        <v>Melvin Marxen</v>
      </c>
      <c r="D7408" t="str">
        <f>_xlfn.XLOOKUP($B7408,sales_teams!$A$2:$A$36,sales_teams!C$2:C$36)</f>
        <v>Central</v>
      </c>
      <c r="E7408" t="s">
        <v>39</v>
      </c>
      <c r="F7408" t="s">
        <v>62</v>
      </c>
      <c r="G7408" t="s">
        <v>12</v>
      </c>
      <c r="H7408" s="1">
        <v>43018</v>
      </c>
      <c r="I7408" s="1">
        <v>43028</v>
      </c>
      <c r="J7408">
        <v>3892</v>
      </c>
    </row>
    <row r="7409" spans="1:10" x14ac:dyDescent="0.3">
      <c r="A7409" t="s">
        <v>7540</v>
      </c>
      <c r="B7409" t="s">
        <v>78</v>
      </c>
      <c r="C7409" t="str">
        <f>_xlfn.XLOOKUP(B7409,
[1]sales_teams!$A$2:$A$100,
[1]sales_teams!$B$2:$B$100)</f>
        <v>Summer Sewald</v>
      </c>
      <c r="D7409" t="str">
        <f>_xlfn.XLOOKUP($B7409,sales_teams!$A$2:$A$36,sales_teams!C$2:C$36)</f>
        <v>West</v>
      </c>
      <c r="E7409" t="s">
        <v>20</v>
      </c>
      <c r="F7409" t="s">
        <v>174</v>
      </c>
      <c r="G7409" t="s">
        <v>12</v>
      </c>
      <c r="H7409" s="1">
        <v>43018</v>
      </c>
      <c r="I7409" s="1">
        <v>43019</v>
      </c>
      <c r="J7409">
        <v>473</v>
      </c>
    </row>
    <row r="7410" spans="1:10" x14ac:dyDescent="0.3">
      <c r="A7410" t="s">
        <v>7541</v>
      </c>
      <c r="B7410" t="s">
        <v>95</v>
      </c>
      <c r="C7410" t="str">
        <f>_xlfn.XLOOKUP(B7410,
[1]sales_teams!$A$2:$A$100,
[1]sales_teams!$B$2:$B$100)</f>
        <v>Summer Sewald</v>
      </c>
      <c r="D7410" t="str">
        <f>_xlfn.XLOOKUP($B7410,sales_teams!$A$2:$A$36,sales_teams!C$2:C$36)</f>
        <v>West</v>
      </c>
      <c r="E7410" t="s">
        <v>20</v>
      </c>
      <c r="F7410" t="s">
        <v>398</v>
      </c>
      <c r="G7410" t="s">
        <v>46</v>
      </c>
      <c r="H7410" s="1">
        <v>43018</v>
      </c>
      <c r="I7410" s="1">
        <v>43022</v>
      </c>
      <c r="J7410">
        <v>0</v>
      </c>
    </row>
    <row r="7411" spans="1:10" x14ac:dyDescent="0.3">
      <c r="A7411" t="s">
        <v>7542</v>
      </c>
      <c r="B7411" t="s">
        <v>95</v>
      </c>
      <c r="C7411" t="str">
        <f>_xlfn.XLOOKUP(B7411,
[1]sales_teams!$A$2:$A$100,
[1]sales_teams!$B$2:$B$100)</f>
        <v>Summer Sewald</v>
      </c>
      <c r="D7411" t="str">
        <f>_xlfn.XLOOKUP($B7411,sales_teams!$A$2:$A$36,sales_teams!C$2:C$36)</f>
        <v>West</v>
      </c>
      <c r="E7411" t="s">
        <v>10</v>
      </c>
      <c r="F7411" t="s">
        <v>59</v>
      </c>
      <c r="G7411" t="s">
        <v>46</v>
      </c>
      <c r="H7411" s="1">
        <v>43018</v>
      </c>
      <c r="I7411" s="1">
        <v>43019</v>
      </c>
      <c r="J7411">
        <v>0</v>
      </c>
    </row>
    <row r="7412" spans="1:10" x14ac:dyDescent="0.3">
      <c r="A7412" t="s">
        <v>7543</v>
      </c>
      <c r="B7412" t="s">
        <v>95</v>
      </c>
      <c r="C7412" t="str">
        <f>_xlfn.XLOOKUP(B7412,
[1]sales_teams!$A$2:$A$100,
[1]sales_teams!$B$2:$B$100)</f>
        <v>Summer Sewald</v>
      </c>
      <c r="D7412" t="str">
        <f>_xlfn.XLOOKUP($B7412,sales_teams!$A$2:$A$36,sales_teams!C$2:C$36)</f>
        <v>West</v>
      </c>
      <c r="E7412" t="s">
        <v>20</v>
      </c>
      <c r="F7412" t="s">
        <v>194</v>
      </c>
      <c r="G7412" t="s">
        <v>12</v>
      </c>
      <c r="H7412" s="1">
        <v>43018</v>
      </c>
      <c r="I7412" s="1">
        <v>43059</v>
      </c>
      <c r="J7412">
        <v>511</v>
      </c>
    </row>
    <row r="7413" spans="1:10" x14ac:dyDescent="0.3">
      <c r="A7413" t="s">
        <v>7544</v>
      </c>
      <c r="B7413" t="s">
        <v>95</v>
      </c>
      <c r="C7413" t="str">
        <f>_xlfn.XLOOKUP(B7413,
[1]sales_teams!$A$2:$A$100,
[1]sales_teams!$B$2:$B$100)</f>
        <v>Summer Sewald</v>
      </c>
      <c r="D7413" t="str">
        <f>_xlfn.XLOOKUP($B7413,sales_teams!$A$2:$A$36,sales_teams!C$2:C$36)</f>
        <v>West</v>
      </c>
      <c r="E7413" t="s">
        <v>20</v>
      </c>
      <c r="F7413" t="s">
        <v>315</v>
      </c>
      <c r="G7413" t="s">
        <v>12</v>
      </c>
      <c r="H7413" s="1">
        <v>43018</v>
      </c>
      <c r="I7413" s="1">
        <v>43020</v>
      </c>
      <c r="J7413">
        <v>509</v>
      </c>
    </row>
    <row r="7414" spans="1:10" x14ac:dyDescent="0.3">
      <c r="A7414" t="s">
        <v>7545</v>
      </c>
      <c r="B7414" t="s">
        <v>95</v>
      </c>
      <c r="C7414" t="str">
        <f>_xlfn.XLOOKUP(B7414,
[1]sales_teams!$A$2:$A$100,
[1]sales_teams!$B$2:$B$100)</f>
        <v>Summer Sewald</v>
      </c>
      <c r="D7414" t="str">
        <f>_xlfn.XLOOKUP($B7414,sales_teams!$A$2:$A$36,sales_teams!C$2:C$36)</f>
        <v>West</v>
      </c>
      <c r="E7414" t="s">
        <v>20</v>
      </c>
      <c r="F7414" t="s">
        <v>86</v>
      </c>
      <c r="G7414" t="s">
        <v>12</v>
      </c>
      <c r="H7414" s="1">
        <v>43018</v>
      </c>
      <c r="I7414" s="1">
        <v>43030</v>
      </c>
      <c r="J7414">
        <v>528</v>
      </c>
    </row>
    <row r="7415" spans="1:10" x14ac:dyDescent="0.3">
      <c r="A7415" t="s">
        <v>7546</v>
      </c>
      <c r="B7415" t="s">
        <v>95</v>
      </c>
      <c r="C7415" t="str">
        <f>_xlfn.XLOOKUP(B7415,
[1]sales_teams!$A$2:$A$100,
[1]sales_teams!$B$2:$B$100)</f>
        <v>Summer Sewald</v>
      </c>
      <c r="D7415" t="str">
        <f>_xlfn.XLOOKUP($B7415,sales_teams!$A$2:$A$36,sales_teams!C$2:C$36)</f>
        <v>West</v>
      </c>
      <c r="E7415" t="s">
        <v>20</v>
      </c>
      <c r="F7415" t="s">
        <v>49</v>
      </c>
      <c r="G7415" t="s">
        <v>12</v>
      </c>
      <c r="H7415" s="1">
        <v>43018</v>
      </c>
      <c r="I7415" s="1">
        <v>43022</v>
      </c>
      <c r="J7415">
        <v>549</v>
      </c>
    </row>
    <row r="7416" spans="1:10" x14ac:dyDescent="0.3">
      <c r="A7416" t="s">
        <v>7547</v>
      </c>
      <c r="B7416" t="s">
        <v>133</v>
      </c>
      <c r="C7416" t="str">
        <f>_xlfn.XLOOKUP(B7416,
[1]sales_teams!$A$2:$A$100,
[1]sales_teams!$B$2:$B$100)</f>
        <v>Dustin Brinkmann</v>
      </c>
      <c r="D7416" t="str">
        <f>_xlfn.XLOOKUP($B7416,sales_teams!$A$2:$A$36,sales_teams!C$2:C$36)</f>
        <v>Central</v>
      </c>
      <c r="E7416" t="s">
        <v>20</v>
      </c>
      <c r="F7416" t="s">
        <v>126</v>
      </c>
      <c r="G7416" t="s">
        <v>46</v>
      </c>
      <c r="H7416" s="1">
        <v>43018</v>
      </c>
      <c r="I7416" s="1">
        <v>43094</v>
      </c>
      <c r="J7416">
        <v>0</v>
      </c>
    </row>
    <row r="7417" spans="1:10" x14ac:dyDescent="0.3">
      <c r="A7417" t="s">
        <v>7548</v>
      </c>
      <c r="B7417" t="s">
        <v>133</v>
      </c>
      <c r="C7417" t="str">
        <f>_xlfn.XLOOKUP(B7417,
[1]sales_teams!$A$2:$A$100,
[1]sales_teams!$B$2:$B$100)</f>
        <v>Dustin Brinkmann</v>
      </c>
      <c r="D7417" t="str">
        <f>_xlfn.XLOOKUP($B7417,sales_teams!$A$2:$A$36,sales_teams!C$2:C$36)</f>
        <v>Central</v>
      </c>
      <c r="E7417" t="s">
        <v>18</v>
      </c>
      <c r="F7417" t="s">
        <v>109</v>
      </c>
      <c r="G7417" t="s">
        <v>46</v>
      </c>
      <c r="H7417" s="1">
        <v>43018</v>
      </c>
      <c r="I7417" s="1">
        <v>43027</v>
      </c>
      <c r="J7417">
        <v>0</v>
      </c>
    </row>
    <row r="7418" spans="1:10" x14ac:dyDescent="0.3">
      <c r="A7418" t="s">
        <v>7549</v>
      </c>
      <c r="B7418" t="s">
        <v>116</v>
      </c>
      <c r="C7418" t="str">
        <f>_xlfn.XLOOKUP(B7418,
[1]sales_teams!$A$2:$A$100,
[1]sales_teams!$B$2:$B$100)</f>
        <v>Melvin Marxen</v>
      </c>
      <c r="D7418" t="str">
        <f>_xlfn.XLOOKUP($B7418,sales_teams!$A$2:$A$36,sales_teams!C$2:C$36)</f>
        <v>Central</v>
      </c>
      <c r="E7418" t="s">
        <v>20</v>
      </c>
      <c r="F7418" t="s">
        <v>231</v>
      </c>
      <c r="G7418" t="s">
        <v>46</v>
      </c>
      <c r="H7418" s="1">
        <v>43018</v>
      </c>
      <c r="I7418" s="1">
        <v>43027</v>
      </c>
      <c r="J7418">
        <v>0</v>
      </c>
    </row>
    <row r="7419" spans="1:10" x14ac:dyDescent="0.3">
      <c r="A7419" t="s">
        <v>7550</v>
      </c>
      <c r="B7419" t="s">
        <v>116</v>
      </c>
      <c r="C7419" t="str">
        <f>_xlfn.XLOOKUP(B7419,
[1]sales_teams!$A$2:$A$100,
[1]sales_teams!$B$2:$B$100)</f>
        <v>Melvin Marxen</v>
      </c>
      <c r="D7419" t="str">
        <f>_xlfn.XLOOKUP($B7419,sales_teams!$A$2:$A$36,sales_teams!C$2:C$36)</f>
        <v>Central</v>
      </c>
      <c r="E7419" t="s">
        <v>39</v>
      </c>
      <c r="F7419" t="s">
        <v>213</v>
      </c>
      <c r="G7419" t="s">
        <v>12</v>
      </c>
      <c r="H7419" s="1">
        <v>43018</v>
      </c>
      <c r="I7419" s="1">
        <v>43025</v>
      </c>
      <c r="J7419">
        <v>3578</v>
      </c>
    </row>
    <row r="7420" spans="1:10" x14ac:dyDescent="0.3">
      <c r="A7420" t="s">
        <v>7551</v>
      </c>
      <c r="B7420" t="s">
        <v>9</v>
      </c>
      <c r="C7420" t="str">
        <f>_xlfn.XLOOKUP(B7420,
[1]sales_teams!$A$2:$A$100,
[1]sales_teams!$B$2:$B$100)</f>
        <v>Dustin Brinkmann</v>
      </c>
      <c r="D7420" t="str">
        <f>_xlfn.XLOOKUP($B7420,sales_teams!$A$2:$A$36,sales_teams!C$2:C$36)</f>
        <v>Central</v>
      </c>
      <c r="E7420" t="s">
        <v>20</v>
      </c>
      <c r="F7420" t="s">
        <v>91</v>
      </c>
      <c r="G7420" t="s">
        <v>12</v>
      </c>
      <c r="H7420" s="1">
        <v>43018</v>
      </c>
      <c r="I7420" s="1">
        <v>43098</v>
      </c>
      <c r="J7420">
        <v>523</v>
      </c>
    </row>
    <row r="7421" spans="1:10" x14ac:dyDescent="0.3">
      <c r="A7421" t="s">
        <v>7552</v>
      </c>
      <c r="B7421" t="s">
        <v>88</v>
      </c>
      <c r="C7421" t="str">
        <f>_xlfn.XLOOKUP(B7421,
[1]sales_teams!$A$2:$A$100,
[1]sales_teams!$B$2:$B$100)</f>
        <v>Cara Losch</v>
      </c>
      <c r="D7421" t="str">
        <f>_xlfn.XLOOKUP($B7421,sales_teams!$A$2:$A$36,sales_teams!C$2:C$36)</f>
        <v>East</v>
      </c>
      <c r="E7421" t="s">
        <v>15</v>
      </c>
      <c r="F7421" t="s">
        <v>373</v>
      </c>
      <c r="G7421" t="s">
        <v>12</v>
      </c>
      <c r="H7421" s="1">
        <v>43018</v>
      </c>
      <c r="I7421" s="1">
        <v>43019</v>
      </c>
      <c r="J7421">
        <v>4575</v>
      </c>
    </row>
    <row r="7422" spans="1:10" x14ac:dyDescent="0.3">
      <c r="A7422" t="s">
        <v>7553</v>
      </c>
      <c r="B7422" t="s">
        <v>29</v>
      </c>
      <c r="C7422" t="str">
        <f>_xlfn.XLOOKUP(B7422,
[1]sales_teams!$A$2:$A$100,
[1]sales_teams!$B$2:$B$100)</f>
        <v>Celia Rouche</v>
      </c>
      <c r="D7422" t="str">
        <f>_xlfn.XLOOKUP($B7422,sales_teams!$A$2:$A$36,sales_teams!C$2:C$36)</f>
        <v>West</v>
      </c>
      <c r="E7422" t="s">
        <v>15</v>
      </c>
      <c r="F7422" t="s">
        <v>168</v>
      </c>
      <c r="G7422" t="s">
        <v>12</v>
      </c>
      <c r="H7422" s="1">
        <v>43018</v>
      </c>
      <c r="I7422" s="1">
        <v>43020</v>
      </c>
      <c r="J7422">
        <v>4552</v>
      </c>
    </row>
    <row r="7423" spans="1:10" x14ac:dyDescent="0.3">
      <c r="A7423" t="s">
        <v>7554</v>
      </c>
      <c r="B7423" t="s">
        <v>23</v>
      </c>
      <c r="C7423" t="str">
        <f>_xlfn.XLOOKUP(B7423,
[1]sales_teams!$A$2:$A$100,
[1]sales_teams!$B$2:$B$100)</f>
        <v>Summer Sewald</v>
      </c>
      <c r="D7423" t="str">
        <f>_xlfn.XLOOKUP($B7423,sales_teams!$A$2:$A$36,sales_teams!C$2:C$36)</f>
        <v>West</v>
      </c>
      <c r="E7423" t="s">
        <v>20</v>
      </c>
      <c r="F7423" t="s">
        <v>199</v>
      </c>
      <c r="G7423" t="s">
        <v>46</v>
      </c>
      <c r="H7423" s="1">
        <v>43018</v>
      </c>
      <c r="I7423" s="1">
        <v>43019</v>
      </c>
      <c r="J7423">
        <v>0</v>
      </c>
    </row>
    <row r="7424" spans="1:10" x14ac:dyDescent="0.3">
      <c r="A7424" t="s">
        <v>7555</v>
      </c>
      <c r="B7424" t="s">
        <v>23</v>
      </c>
      <c r="C7424" t="str">
        <f>_xlfn.XLOOKUP(B7424,
[1]sales_teams!$A$2:$A$100,
[1]sales_teams!$B$2:$B$100)</f>
        <v>Summer Sewald</v>
      </c>
      <c r="D7424" t="str">
        <f>_xlfn.XLOOKUP($B7424,sales_teams!$A$2:$A$36,sales_teams!C$2:C$36)</f>
        <v>West</v>
      </c>
      <c r="E7424" t="s">
        <v>20</v>
      </c>
      <c r="F7424" t="s">
        <v>313</v>
      </c>
      <c r="G7424" t="s">
        <v>12</v>
      </c>
      <c r="H7424" s="1">
        <v>43018</v>
      </c>
      <c r="I7424" s="1">
        <v>43092</v>
      </c>
      <c r="J7424">
        <v>551</v>
      </c>
    </row>
    <row r="7425" spans="1:10" x14ac:dyDescent="0.3">
      <c r="A7425" t="s">
        <v>7556</v>
      </c>
      <c r="B7425" t="s">
        <v>23</v>
      </c>
      <c r="C7425" t="str">
        <f>_xlfn.XLOOKUP(B7425,
[1]sales_teams!$A$2:$A$100,
[1]sales_teams!$B$2:$B$100)</f>
        <v>Summer Sewald</v>
      </c>
      <c r="D7425" t="str">
        <f>_xlfn.XLOOKUP($B7425,sales_teams!$A$2:$A$36,sales_teams!C$2:C$36)</f>
        <v>West</v>
      </c>
      <c r="E7425" t="s">
        <v>20</v>
      </c>
      <c r="F7425" t="s">
        <v>194</v>
      </c>
      <c r="G7425" t="s">
        <v>12</v>
      </c>
      <c r="H7425" s="1">
        <v>43018</v>
      </c>
      <c r="I7425" s="1">
        <v>43026</v>
      </c>
      <c r="J7425">
        <v>545</v>
      </c>
    </row>
    <row r="7426" spans="1:10" x14ac:dyDescent="0.3">
      <c r="A7426" t="s">
        <v>7557</v>
      </c>
      <c r="B7426" t="s">
        <v>23</v>
      </c>
      <c r="C7426" t="str">
        <f>_xlfn.XLOOKUP(B7426,
[1]sales_teams!$A$2:$A$100,
[1]sales_teams!$B$2:$B$100)</f>
        <v>Summer Sewald</v>
      </c>
      <c r="D7426" t="str">
        <f>_xlfn.XLOOKUP($B7426,sales_teams!$A$2:$A$36,sales_teams!C$2:C$36)</f>
        <v>West</v>
      </c>
      <c r="E7426" t="s">
        <v>10</v>
      </c>
      <c r="F7426" t="s">
        <v>159</v>
      </c>
      <c r="G7426" t="s">
        <v>12</v>
      </c>
      <c r="H7426" s="1">
        <v>43018</v>
      </c>
      <c r="I7426" s="1">
        <v>43023</v>
      </c>
      <c r="J7426">
        <v>1134</v>
      </c>
    </row>
    <row r="7427" spans="1:10" x14ac:dyDescent="0.3">
      <c r="A7427" t="s">
        <v>7558</v>
      </c>
      <c r="B7427" t="s">
        <v>26</v>
      </c>
      <c r="C7427" t="str">
        <f>_xlfn.XLOOKUP(B7427,
[1]sales_teams!$A$2:$A$100,
[1]sales_teams!$B$2:$B$100)</f>
        <v>Dustin Brinkmann</v>
      </c>
      <c r="D7427" t="str">
        <f>_xlfn.XLOOKUP($B7427,sales_teams!$A$2:$A$36,sales_teams!C$2:C$36)</f>
        <v>Central</v>
      </c>
      <c r="E7427" t="s">
        <v>39</v>
      </c>
      <c r="F7427" t="s">
        <v>187</v>
      </c>
      <c r="G7427" t="s">
        <v>46</v>
      </c>
      <c r="H7427" s="1">
        <v>43019</v>
      </c>
      <c r="I7427" s="1">
        <v>43021</v>
      </c>
      <c r="J7427">
        <v>0</v>
      </c>
    </row>
    <row r="7428" spans="1:10" x14ac:dyDescent="0.3">
      <c r="A7428" t="s">
        <v>7559</v>
      </c>
      <c r="B7428" t="s">
        <v>26</v>
      </c>
      <c r="C7428" t="str">
        <f>_xlfn.XLOOKUP(B7428,
[1]sales_teams!$A$2:$A$100,
[1]sales_teams!$B$2:$B$100)</f>
        <v>Dustin Brinkmann</v>
      </c>
      <c r="D7428" t="str">
        <f>_xlfn.XLOOKUP($B7428,sales_teams!$A$2:$A$36,sales_teams!C$2:C$36)</f>
        <v>Central</v>
      </c>
      <c r="E7428" t="s">
        <v>39</v>
      </c>
      <c r="F7428" t="s">
        <v>231</v>
      </c>
      <c r="G7428" t="s">
        <v>12</v>
      </c>
      <c r="H7428" s="1">
        <v>43019</v>
      </c>
      <c r="I7428" s="1">
        <v>43024</v>
      </c>
      <c r="J7428">
        <v>3434</v>
      </c>
    </row>
    <row r="7429" spans="1:10" x14ac:dyDescent="0.3">
      <c r="A7429" t="s">
        <v>7560</v>
      </c>
      <c r="B7429" t="s">
        <v>139</v>
      </c>
      <c r="C7429" t="str">
        <f>_xlfn.XLOOKUP(B7429,
[1]sales_teams!$A$2:$A$100,
[1]sales_teams!$B$2:$B$100)</f>
        <v>Rocco Neubert</v>
      </c>
      <c r="D7429" t="str">
        <f>_xlfn.XLOOKUP($B7429,sales_teams!$A$2:$A$36,sales_teams!C$2:C$36)</f>
        <v>East</v>
      </c>
      <c r="E7429" t="s">
        <v>20</v>
      </c>
      <c r="F7429" t="s">
        <v>218</v>
      </c>
      <c r="G7429" t="s">
        <v>12</v>
      </c>
      <c r="H7429" s="1">
        <v>43019</v>
      </c>
      <c r="I7429" s="1">
        <v>43096</v>
      </c>
      <c r="J7429">
        <v>505</v>
      </c>
    </row>
    <row r="7430" spans="1:10" x14ac:dyDescent="0.3">
      <c r="A7430" t="s">
        <v>7561</v>
      </c>
      <c r="B7430" t="s">
        <v>139</v>
      </c>
      <c r="C7430" t="str">
        <f>_xlfn.XLOOKUP(B7430,
[1]sales_teams!$A$2:$A$100,
[1]sales_teams!$B$2:$B$100)</f>
        <v>Rocco Neubert</v>
      </c>
      <c r="D7430" t="str">
        <f>_xlfn.XLOOKUP($B7430,sales_teams!$A$2:$A$36,sales_teams!C$2:C$36)</f>
        <v>East</v>
      </c>
      <c r="E7430" t="s">
        <v>10</v>
      </c>
      <c r="F7430" t="s">
        <v>81</v>
      </c>
      <c r="G7430" t="s">
        <v>12</v>
      </c>
      <c r="H7430" s="1">
        <v>43019</v>
      </c>
      <c r="I7430" s="1">
        <v>43029</v>
      </c>
      <c r="J7430">
        <v>1066</v>
      </c>
    </row>
    <row r="7431" spans="1:10" x14ac:dyDescent="0.3">
      <c r="A7431" t="s">
        <v>7562</v>
      </c>
      <c r="B7431" t="s">
        <v>118</v>
      </c>
      <c r="C7431" t="str">
        <f>_xlfn.XLOOKUP(B7431,
[1]sales_teams!$A$2:$A$100,
[1]sales_teams!$B$2:$B$100)</f>
        <v>Rocco Neubert</v>
      </c>
      <c r="D7431" t="str">
        <f>_xlfn.XLOOKUP($B7431,sales_teams!$A$2:$A$36,sales_teams!C$2:C$36)</f>
        <v>East</v>
      </c>
      <c r="E7431" t="s">
        <v>20</v>
      </c>
      <c r="F7431" t="s">
        <v>300</v>
      </c>
      <c r="G7431" t="s">
        <v>12</v>
      </c>
      <c r="H7431" s="1">
        <v>43019</v>
      </c>
      <c r="I7431" s="1">
        <v>43051</v>
      </c>
      <c r="J7431">
        <v>580</v>
      </c>
    </row>
    <row r="7432" spans="1:10" x14ac:dyDescent="0.3">
      <c r="A7432" t="s">
        <v>7563</v>
      </c>
      <c r="B7432" t="s">
        <v>164</v>
      </c>
      <c r="C7432" t="str">
        <f>_xlfn.XLOOKUP(B7432,
[1]sales_teams!$A$2:$A$100,
[1]sales_teams!$B$2:$B$100)</f>
        <v>Cara Losch</v>
      </c>
      <c r="D7432" t="str">
        <f>_xlfn.XLOOKUP($B7432,sales_teams!$A$2:$A$36,sales_teams!C$2:C$36)</f>
        <v>East</v>
      </c>
      <c r="E7432" t="s">
        <v>15</v>
      </c>
      <c r="F7432" t="s">
        <v>240</v>
      </c>
      <c r="G7432" t="s">
        <v>12</v>
      </c>
      <c r="H7432" s="1">
        <v>43019</v>
      </c>
      <c r="I7432" s="1">
        <v>43089</v>
      </c>
      <c r="J7432">
        <v>4501</v>
      </c>
    </row>
    <row r="7433" spans="1:10" x14ac:dyDescent="0.3">
      <c r="A7433" t="s">
        <v>7564</v>
      </c>
      <c r="B7433" t="s">
        <v>14</v>
      </c>
      <c r="C7433" t="str">
        <f>_xlfn.XLOOKUP(B7433,
[1]sales_teams!$A$2:$A$100,
[1]sales_teams!$B$2:$B$100)</f>
        <v>Melvin Marxen</v>
      </c>
      <c r="D7433" t="str">
        <f>_xlfn.XLOOKUP($B7433,sales_teams!$A$2:$A$36,sales_teams!C$2:C$36)</f>
        <v>Central</v>
      </c>
      <c r="E7433" t="s">
        <v>10</v>
      </c>
      <c r="F7433" t="s">
        <v>213</v>
      </c>
      <c r="G7433" t="s">
        <v>46</v>
      </c>
      <c r="H7433" s="1">
        <v>43019</v>
      </c>
      <c r="I7433" s="1">
        <v>43027</v>
      </c>
      <c r="J7433">
        <v>0</v>
      </c>
    </row>
    <row r="7434" spans="1:10" x14ac:dyDescent="0.3">
      <c r="A7434" t="s">
        <v>7565</v>
      </c>
      <c r="B7434" t="s">
        <v>14</v>
      </c>
      <c r="C7434" t="str">
        <f>_xlfn.XLOOKUP(B7434,
[1]sales_teams!$A$2:$A$100,
[1]sales_teams!$B$2:$B$100)</f>
        <v>Melvin Marxen</v>
      </c>
      <c r="D7434" t="str">
        <f>_xlfn.XLOOKUP($B7434,sales_teams!$A$2:$A$36,sales_teams!C$2:C$36)</f>
        <v>Central</v>
      </c>
      <c r="E7434" t="s">
        <v>48</v>
      </c>
      <c r="F7434" t="s">
        <v>126</v>
      </c>
      <c r="G7434" t="s">
        <v>46</v>
      </c>
      <c r="H7434" s="1">
        <v>43019</v>
      </c>
      <c r="I7434" s="1">
        <v>43021</v>
      </c>
      <c r="J7434">
        <v>0</v>
      </c>
    </row>
    <row r="7435" spans="1:10" x14ac:dyDescent="0.3">
      <c r="A7435" t="s">
        <v>7566</v>
      </c>
      <c r="B7435" t="s">
        <v>14</v>
      </c>
      <c r="C7435" t="str">
        <f>_xlfn.XLOOKUP(B7435,
[1]sales_teams!$A$2:$A$100,
[1]sales_teams!$B$2:$B$100)</f>
        <v>Melvin Marxen</v>
      </c>
      <c r="D7435" t="str">
        <f>_xlfn.XLOOKUP($B7435,sales_teams!$A$2:$A$36,sales_teams!C$2:C$36)</f>
        <v>Central</v>
      </c>
      <c r="E7435" t="s">
        <v>48</v>
      </c>
      <c r="F7435" t="s">
        <v>62</v>
      </c>
      <c r="G7435" t="s">
        <v>12</v>
      </c>
      <c r="H7435" s="1">
        <v>43019</v>
      </c>
      <c r="I7435" s="1">
        <v>43042</v>
      </c>
      <c r="J7435">
        <v>6182</v>
      </c>
    </row>
    <row r="7436" spans="1:10" x14ac:dyDescent="0.3">
      <c r="A7436" t="s">
        <v>7567</v>
      </c>
      <c r="B7436" t="s">
        <v>142</v>
      </c>
      <c r="C7436" t="str">
        <f>_xlfn.XLOOKUP(B7436,
[1]sales_teams!$A$2:$A$100,
[1]sales_teams!$B$2:$B$100)</f>
        <v>Rocco Neubert</v>
      </c>
      <c r="D7436" t="str">
        <f>_xlfn.XLOOKUP($B7436,sales_teams!$A$2:$A$36,sales_teams!C$2:C$36)</f>
        <v>East</v>
      </c>
      <c r="E7436" t="s">
        <v>15</v>
      </c>
      <c r="F7436" t="s">
        <v>192</v>
      </c>
      <c r="G7436" t="s">
        <v>12</v>
      </c>
      <c r="H7436" s="1">
        <v>43019</v>
      </c>
      <c r="I7436" s="1">
        <v>43020</v>
      </c>
      <c r="J7436">
        <v>4763</v>
      </c>
    </row>
    <row r="7437" spans="1:10" x14ac:dyDescent="0.3">
      <c r="A7437" t="s">
        <v>7568</v>
      </c>
      <c r="B7437" t="s">
        <v>142</v>
      </c>
      <c r="C7437" t="str">
        <f>_xlfn.XLOOKUP(B7437,
[1]sales_teams!$A$2:$A$100,
[1]sales_teams!$B$2:$B$100)</f>
        <v>Rocco Neubert</v>
      </c>
      <c r="D7437" t="str">
        <f>_xlfn.XLOOKUP($B7437,sales_teams!$A$2:$A$36,sales_teams!C$2:C$36)</f>
        <v>East</v>
      </c>
      <c r="E7437" t="s">
        <v>39</v>
      </c>
      <c r="F7437" t="s">
        <v>237</v>
      </c>
      <c r="G7437" t="s">
        <v>12</v>
      </c>
      <c r="H7437" s="1">
        <v>43019</v>
      </c>
      <c r="I7437" s="1">
        <v>43028</v>
      </c>
      <c r="J7437">
        <v>3024</v>
      </c>
    </row>
    <row r="7438" spans="1:10" x14ac:dyDescent="0.3">
      <c r="A7438" t="s">
        <v>7569</v>
      </c>
      <c r="B7438" t="s">
        <v>105</v>
      </c>
      <c r="C7438" t="str">
        <f>_xlfn.XLOOKUP(B7438,
[1]sales_teams!$A$2:$A$100,
[1]sales_teams!$B$2:$B$100)</f>
        <v>Cara Losch</v>
      </c>
      <c r="D7438" t="str">
        <f>_xlfn.XLOOKUP($B7438,sales_teams!$A$2:$A$36,sales_teams!C$2:C$36)</f>
        <v>East</v>
      </c>
      <c r="E7438" t="s">
        <v>18</v>
      </c>
      <c r="F7438" t="s">
        <v>81</v>
      </c>
      <c r="G7438" t="s">
        <v>46</v>
      </c>
      <c r="H7438" s="1">
        <v>43019</v>
      </c>
      <c r="I7438" s="1">
        <v>43020</v>
      </c>
      <c r="J7438">
        <v>0</v>
      </c>
    </row>
    <row r="7439" spans="1:10" x14ac:dyDescent="0.3">
      <c r="A7439" t="s">
        <v>7570</v>
      </c>
      <c r="B7439" t="s">
        <v>38</v>
      </c>
      <c r="C7439" t="str">
        <f>_xlfn.XLOOKUP(B7439,
[1]sales_teams!$A$2:$A$100,
[1]sales_teams!$B$2:$B$100)</f>
        <v>Summer Sewald</v>
      </c>
      <c r="D7439" t="str">
        <f>_xlfn.XLOOKUP($B7439,sales_teams!$A$2:$A$36,sales_teams!C$2:C$36)</f>
        <v>West</v>
      </c>
      <c r="E7439" t="s">
        <v>20</v>
      </c>
      <c r="F7439" t="s">
        <v>100</v>
      </c>
      <c r="G7439" t="s">
        <v>46</v>
      </c>
      <c r="H7439" s="1">
        <v>43019</v>
      </c>
      <c r="I7439" s="1">
        <v>43021</v>
      </c>
      <c r="J7439">
        <v>0</v>
      </c>
    </row>
    <row r="7440" spans="1:10" x14ac:dyDescent="0.3">
      <c r="A7440" t="s">
        <v>7571</v>
      </c>
      <c r="B7440" t="s">
        <v>38</v>
      </c>
      <c r="C7440" t="str">
        <f>_xlfn.XLOOKUP(B7440,
[1]sales_teams!$A$2:$A$100,
[1]sales_teams!$B$2:$B$100)</f>
        <v>Summer Sewald</v>
      </c>
      <c r="D7440" t="str">
        <f>_xlfn.XLOOKUP($B7440,sales_teams!$A$2:$A$36,sales_teams!C$2:C$36)</f>
        <v>West</v>
      </c>
      <c r="E7440" t="s">
        <v>48</v>
      </c>
      <c r="F7440" t="s">
        <v>148</v>
      </c>
      <c r="G7440" t="s">
        <v>12</v>
      </c>
      <c r="H7440" s="1">
        <v>43019</v>
      </c>
      <c r="I7440" s="1">
        <v>43027</v>
      </c>
      <c r="J7440">
        <v>6751</v>
      </c>
    </row>
    <row r="7441" spans="1:10" x14ac:dyDescent="0.3">
      <c r="A7441" t="s">
        <v>7572</v>
      </c>
      <c r="B7441" t="s">
        <v>38</v>
      </c>
      <c r="C7441" t="str">
        <f>_xlfn.XLOOKUP(B7441,
[1]sales_teams!$A$2:$A$100,
[1]sales_teams!$B$2:$B$100)</f>
        <v>Summer Sewald</v>
      </c>
      <c r="D7441" t="str">
        <f>_xlfn.XLOOKUP($B7441,sales_teams!$A$2:$A$36,sales_teams!C$2:C$36)</f>
        <v>West</v>
      </c>
      <c r="E7441" t="s">
        <v>18</v>
      </c>
      <c r="F7441" t="s">
        <v>148</v>
      </c>
      <c r="G7441" t="s">
        <v>12</v>
      </c>
      <c r="H7441" s="1">
        <v>43019</v>
      </c>
      <c r="I7441" s="1">
        <v>43026</v>
      </c>
      <c r="J7441">
        <v>54</v>
      </c>
    </row>
    <row r="7442" spans="1:10" x14ac:dyDescent="0.3">
      <c r="A7442" t="s">
        <v>7573</v>
      </c>
      <c r="B7442" t="s">
        <v>252</v>
      </c>
      <c r="C7442" t="str">
        <f>_xlfn.XLOOKUP(B7442,
[1]sales_teams!$A$2:$A$100,
[1]sales_teams!$B$2:$B$100)</f>
        <v>Melvin Marxen</v>
      </c>
      <c r="D7442" t="str">
        <f>_xlfn.XLOOKUP($B7442,sales_teams!$A$2:$A$36,sales_teams!C$2:C$36)</f>
        <v>Central</v>
      </c>
      <c r="E7442" t="s">
        <v>20</v>
      </c>
      <c r="F7442" t="s">
        <v>111</v>
      </c>
      <c r="G7442" t="s">
        <v>12</v>
      </c>
      <c r="H7442" s="1">
        <v>43019</v>
      </c>
      <c r="I7442" s="1">
        <v>43094</v>
      </c>
      <c r="J7442">
        <v>592</v>
      </c>
    </row>
    <row r="7443" spans="1:10" x14ac:dyDescent="0.3">
      <c r="A7443" t="s">
        <v>7574</v>
      </c>
      <c r="B7443" t="s">
        <v>252</v>
      </c>
      <c r="C7443" t="str">
        <f>_xlfn.XLOOKUP(B7443,
[1]sales_teams!$A$2:$A$100,
[1]sales_teams!$B$2:$B$100)</f>
        <v>Melvin Marxen</v>
      </c>
      <c r="D7443" t="str">
        <f>_xlfn.XLOOKUP($B7443,sales_teams!$A$2:$A$36,sales_teams!C$2:C$36)</f>
        <v>Central</v>
      </c>
      <c r="E7443" t="s">
        <v>10</v>
      </c>
      <c r="F7443" t="s">
        <v>11</v>
      </c>
      <c r="G7443" t="s">
        <v>12</v>
      </c>
      <c r="H7443" s="1">
        <v>43019</v>
      </c>
      <c r="I7443" s="1">
        <v>43030</v>
      </c>
      <c r="J7443">
        <v>969</v>
      </c>
    </row>
    <row r="7444" spans="1:10" x14ac:dyDescent="0.3">
      <c r="A7444" t="s">
        <v>7575</v>
      </c>
      <c r="B7444" t="s">
        <v>78</v>
      </c>
      <c r="C7444" t="str">
        <f>_xlfn.XLOOKUP(B7444,
[1]sales_teams!$A$2:$A$100,
[1]sales_teams!$B$2:$B$100)</f>
        <v>Summer Sewald</v>
      </c>
      <c r="D7444" t="str">
        <f>_xlfn.XLOOKUP($B7444,sales_teams!$A$2:$A$36,sales_teams!C$2:C$36)</f>
        <v>West</v>
      </c>
      <c r="E7444" t="s">
        <v>18</v>
      </c>
      <c r="F7444" t="s">
        <v>174</v>
      </c>
      <c r="G7444" t="s">
        <v>12</v>
      </c>
      <c r="H7444" s="1">
        <v>43019</v>
      </c>
      <c r="I7444" s="1">
        <v>43020</v>
      </c>
      <c r="J7444">
        <v>48</v>
      </c>
    </row>
    <row r="7445" spans="1:10" x14ac:dyDescent="0.3">
      <c r="A7445" t="s">
        <v>7576</v>
      </c>
      <c r="B7445" t="s">
        <v>95</v>
      </c>
      <c r="C7445" t="str">
        <f>_xlfn.XLOOKUP(B7445,
[1]sales_teams!$A$2:$A$100,
[1]sales_teams!$B$2:$B$100)</f>
        <v>Summer Sewald</v>
      </c>
      <c r="D7445" t="str">
        <f>_xlfn.XLOOKUP($B7445,sales_teams!$A$2:$A$36,sales_teams!C$2:C$36)</f>
        <v>West</v>
      </c>
      <c r="E7445" t="s">
        <v>20</v>
      </c>
      <c r="F7445" t="s">
        <v>199</v>
      </c>
      <c r="G7445" t="s">
        <v>46</v>
      </c>
      <c r="H7445" s="1">
        <v>43019</v>
      </c>
      <c r="I7445" s="1">
        <v>43021</v>
      </c>
      <c r="J7445">
        <v>0</v>
      </c>
    </row>
    <row r="7446" spans="1:10" x14ac:dyDescent="0.3">
      <c r="A7446" t="s">
        <v>7577</v>
      </c>
      <c r="B7446" t="s">
        <v>95</v>
      </c>
      <c r="C7446" t="str">
        <f>_xlfn.XLOOKUP(B7446,
[1]sales_teams!$A$2:$A$100,
[1]sales_teams!$B$2:$B$100)</f>
        <v>Summer Sewald</v>
      </c>
      <c r="D7446" t="str">
        <f>_xlfn.XLOOKUP($B7446,sales_teams!$A$2:$A$36,sales_teams!C$2:C$36)</f>
        <v>West</v>
      </c>
      <c r="E7446" t="s">
        <v>10</v>
      </c>
      <c r="F7446" t="s">
        <v>86</v>
      </c>
      <c r="G7446" t="s">
        <v>46</v>
      </c>
      <c r="H7446" s="1">
        <v>43019</v>
      </c>
      <c r="I7446" s="1">
        <v>43092</v>
      </c>
      <c r="J7446">
        <v>0</v>
      </c>
    </row>
    <row r="7447" spans="1:10" x14ac:dyDescent="0.3">
      <c r="A7447" t="s">
        <v>7578</v>
      </c>
      <c r="B7447" t="s">
        <v>95</v>
      </c>
      <c r="C7447" t="str">
        <f>_xlfn.XLOOKUP(B7447,
[1]sales_teams!$A$2:$A$100,
[1]sales_teams!$B$2:$B$100)</f>
        <v>Summer Sewald</v>
      </c>
      <c r="D7447" t="str">
        <f>_xlfn.XLOOKUP($B7447,sales_teams!$A$2:$A$36,sales_teams!C$2:C$36)</f>
        <v>West</v>
      </c>
      <c r="E7447" t="s">
        <v>48</v>
      </c>
      <c r="F7447" t="s">
        <v>24</v>
      </c>
      <c r="G7447" t="s">
        <v>12</v>
      </c>
      <c r="H7447" s="1">
        <v>43019</v>
      </c>
      <c r="I7447" s="1">
        <v>43029</v>
      </c>
      <c r="J7447">
        <v>6555</v>
      </c>
    </row>
    <row r="7448" spans="1:10" x14ac:dyDescent="0.3">
      <c r="A7448" t="s">
        <v>7579</v>
      </c>
      <c r="B7448" t="s">
        <v>133</v>
      </c>
      <c r="C7448" t="str">
        <f>_xlfn.XLOOKUP(B7448,
[1]sales_teams!$A$2:$A$100,
[1]sales_teams!$B$2:$B$100)</f>
        <v>Dustin Brinkmann</v>
      </c>
      <c r="D7448" t="str">
        <f>_xlfn.XLOOKUP($B7448,sales_teams!$A$2:$A$36,sales_teams!C$2:C$36)</f>
        <v>Central</v>
      </c>
      <c r="E7448" t="s">
        <v>39</v>
      </c>
      <c r="F7448" t="s">
        <v>62</v>
      </c>
      <c r="G7448" t="s">
        <v>46</v>
      </c>
      <c r="H7448" s="1">
        <v>43019</v>
      </c>
      <c r="I7448" s="1">
        <v>43027</v>
      </c>
      <c r="J7448">
        <v>0</v>
      </c>
    </row>
    <row r="7449" spans="1:10" x14ac:dyDescent="0.3">
      <c r="A7449" t="s">
        <v>7580</v>
      </c>
      <c r="B7449" t="s">
        <v>32</v>
      </c>
      <c r="C7449" t="str">
        <f>_xlfn.XLOOKUP(B7449,
[1]sales_teams!$A$2:$A$100,
[1]sales_teams!$B$2:$B$100)</f>
        <v>Celia Rouche</v>
      </c>
      <c r="D7449" t="str">
        <f>_xlfn.XLOOKUP($B7449,sales_teams!$A$2:$A$36,sales_teams!C$2:C$36)</f>
        <v>West</v>
      </c>
      <c r="E7449" t="s">
        <v>18</v>
      </c>
      <c r="G7449" t="s">
        <v>40</v>
      </c>
      <c r="H7449" s="1">
        <v>43019</v>
      </c>
    </row>
    <row r="7450" spans="1:10" x14ac:dyDescent="0.3">
      <c r="A7450" t="s">
        <v>7581</v>
      </c>
      <c r="B7450" t="s">
        <v>116</v>
      </c>
      <c r="C7450" t="str">
        <f>_xlfn.XLOOKUP(B7450,
[1]sales_teams!$A$2:$A$100,
[1]sales_teams!$B$2:$B$100)</f>
        <v>Melvin Marxen</v>
      </c>
      <c r="D7450" t="str">
        <f>_xlfn.XLOOKUP($B7450,sales_teams!$A$2:$A$36,sales_teams!C$2:C$36)</f>
        <v>Central</v>
      </c>
      <c r="E7450" t="s">
        <v>48</v>
      </c>
      <c r="F7450" t="s">
        <v>42</v>
      </c>
      <c r="G7450" t="s">
        <v>12</v>
      </c>
      <c r="H7450" s="1">
        <v>43019</v>
      </c>
      <c r="I7450" s="1">
        <v>43084</v>
      </c>
      <c r="J7450">
        <v>5271</v>
      </c>
    </row>
    <row r="7451" spans="1:10" x14ac:dyDescent="0.3">
      <c r="A7451" t="s">
        <v>7582</v>
      </c>
      <c r="B7451" t="s">
        <v>57</v>
      </c>
      <c r="C7451" t="str">
        <f>_xlfn.XLOOKUP(B7451,
[1]sales_teams!$A$2:$A$100,
[1]sales_teams!$B$2:$B$100)</f>
        <v>Celia Rouche</v>
      </c>
      <c r="D7451" t="str">
        <f>_xlfn.XLOOKUP($B7451,sales_teams!$A$2:$A$36,sales_teams!C$2:C$36)</f>
        <v>West</v>
      </c>
      <c r="E7451" t="s">
        <v>39</v>
      </c>
      <c r="F7451" t="s">
        <v>79</v>
      </c>
      <c r="G7451" t="s">
        <v>40</v>
      </c>
      <c r="H7451" s="1">
        <v>43019</v>
      </c>
    </row>
    <row r="7452" spans="1:10" x14ac:dyDescent="0.3">
      <c r="A7452" t="s">
        <v>7583</v>
      </c>
      <c r="B7452" t="s">
        <v>88</v>
      </c>
      <c r="C7452" t="str">
        <f>_xlfn.XLOOKUP(B7452,
[1]sales_teams!$A$2:$A$100,
[1]sales_teams!$B$2:$B$100)</f>
        <v>Cara Losch</v>
      </c>
      <c r="D7452" t="str">
        <f>_xlfn.XLOOKUP($B7452,sales_teams!$A$2:$A$36,sales_teams!C$2:C$36)</f>
        <v>East</v>
      </c>
      <c r="E7452" t="s">
        <v>18</v>
      </c>
      <c r="F7452" t="s">
        <v>155</v>
      </c>
      <c r="G7452" t="s">
        <v>46</v>
      </c>
      <c r="H7452" s="1">
        <v>43019</v>
      </c>
      <c r="I7452" s="1">
        <v>43061</v>
      </c>
      <c r="J7452">
        <v>0</v>
      </c>
    </row>
    <row r="7453" spans="1:10" x14ac:dyDescent="0.3">
      <c r="A7453" t="s">
        <v>7584</v>
      </c>
      <c r="B7453" t="s">
        <v>88</v>
      </c>
      <c r="C7453" t="str">
        <f>_xlfn.XLOOKUP(B7453,
[1]sales_teams!$A$2:$A$100,
[1]sales_teams!$B$2:$B$100)</f>
        <v>Cara Losch</v>
      </c>
      <c r="D7453" t="str">
        <f>_xlfn.XLOOKUP($B7453,sales_teams!$A$2:$A$36,sales_teams!C$2:C$36)</f>
        <v>East</v>
      </c>
      <c r="E7453" t="s">
        <v>20</v>
      </c>
      <c r="F7453" t="s">
        <v>278</v>
      </c>
      <c r="G7453" t="s">
        <v>12</v>
      </c>
      <c r="H7453" s="1">
        <v>43019</v>
      </c>
      <c r="I7453" s="1">
        <v>43079</v>
      </c>
      <c r="J7453">
        <v>472</v>
      </c>
    </row>
    <row r="7454" spans="1:10" x14ac:dyDescent="0.3">
      <c r="A7454" t="s">
        <v>7585</v>
      </c>
      <c r="B7454" t="s">
        <v>61</v>
      </c>
      <c r="C7454" t="str">
        <f>_xlfn.XLOOKUP(B7454,
[1]sales_teams!$A$2:$A$100,
[1]sales_teams!$B$2:$B$100)</f>
        <v>Dustin Brinkmann</v>
      </c>
      <c r="D7454" t="str">
        <f>_xlfn.XLOOKUP($B7454,sales_teams!$A$2:$A$36,sales_teams!C$2:C$36)</f>
        <v>Central</v>
      </c>
      <c r="E7454" t="s">
        <v>48</v>
      </c>
      <c r="F7454" t="s">
        <v>11</v>
      </c>
      <c r="G7454" t="s">
        <v>12</v>
      </c>
      <c r="H7454" s="1">
        <v>43019</v>
      </c>
      <c r="I7454" s="1">
        <v>43068</v>
      </c>
      <c r="J7454">
        <v>5211</v>
      </c>
    </row>
    <row r="7455" spans="1:10" x14ac:dyDescent="0.3">
      <c r="A7455" t="s">
        <v>7586</v>
      </c>
      <c r="B7455" t="s">
        <v>29</v>
      </c>
      <c r="C7455" t="str">
        <f>_xlfn.XLOOKUP(B7455,
[1]sales_teams!$A$2:$A$100,
[1]sales_teams!$B$2:$B$100)</f>
        <v>Celia Rouche</v>
      </c>
      <c r="D7455" t="str">
        <f>_xlfn.XLOOKUP($B7455,sales_teams!$A$2:$A$36,sales_teams!C$2:C$36)</f>
        <v>West</v>
      </c>
      <c r="E7455" t="s">
        <v>20</v>
      </c>
      <c r="F7455" t="s">
        <v>159</v>
      </c>
      <c r="G7455" t="s">
        <v>12</v>
      </c>
      <c r="H7455" s="1">
        <v>43019</v>
      </c>
      <c r="I7455" s="1">
        <v>43080</v>
      </c>
      <c r="J7455">
        <v>430</v>
      </c>
    </row>
    <row r="7456" spans="1:10" x14ac:dyDescent="0.3">
      <c r="A7456" t="s">
        <v>7587</v>
      </c>
      <c r="B7456" t="s">
        <v>23</v>
      </c>
      <c r="C7456" t="str">
        <f>_xlfn.XLOOKUP(B7456,
[1]sales_teams!$A$2:$A$100,
[1]sales_teams!$B$2:$B$100)</f>
        <v>Summer Sewald</v>
      </c>
      <c r="D7456" t="str">
        <f>_xlfn.XLOOKUP($B7456,sales_teams!$A$2:$A$36,sales_teams!C$2:C$36)</f>
        <v>West</v>
      </c>
      <c r="E7456" t="s">
        <v>20</v>
      </c>
      <c r="F7456" t="s">
        <v>143</v>
      </c>
      <c r="G7456" t="s">
        <v>40</v>
      </c>
      <c r="H7456" s="1">
        <v>43019</v>
      </c>
    </row>
    <row r="7457" spans="1:10" x14ac:dyDescent="0.3">
      <c r="A7457" t="s">
        <v>7588</v>
      </c>
      <c r="B7457" t="s">
        <v>23</v>
      </c>
      <c r="C7457" t="str">
        <f>_xlfn.XLOOKUP(B7457,
[1]sales_teams!$A$2:$A$100,
[1]sales_teams!$B$2:$B$100)</f>
        <v>Summer Sewald</v>
      </c>
      <c r="D7457" t="str">
        <f>_xlfn.XLOOKUP($B7457,sales_teams!$A$2:$A$36,sales_teams!C$2:C$36)</f>
        <v>West</v>
      </c>
      <c r="E7457" t="s">
        <v>20</v>
      </c>
      <c r="F7457" t="s">
        <v>70</v>
      </c>
      <c r="G7457" t="s">
        <v>46</v>
      </c>
      <c r="H7457" s="1">
        <v>43019</v>
      </c>
      <c r="I7457" s="1">
        <v>43028</v>
      </c>
      <c r="J7457">
        <v>0</v>
      </c>
    </row>
    <row r="7458" spans="1:10" x14ac:dyDescent="0.3">
      <c r="A7458" t="s">
        <v>7589</v>
      </c>
      <c r="B7458" t="s">
        <v>23</v>
      </c>
      <c r="C7458" t="str">
        <f>_xlfn.XLOOKUP(B7458,
[1]sales_teams!$A$2:$A$100,
[1]sales_teams!$B$2:$B$100)</f>
        <v>Summer Sewald</v>
      </c>
      <c r="D7458" t="str">
        <f>_xlfn.XLOOKUP($B7458,sales_teams!$A$2:$A$36,sales_teams!C$2:C$36)</f>
        <v>West</v>
      </c>
      <c r="E7458" t="s">
        <v>15</v>
      </c>
      <c r="F7458" t="s">
        <v>273</v>
      </c>
      <c r="G7458" t="s">
        <v>12</v>
      </c>
      <c r="H7458" s="1">
        <v>43019</v>
      </c>
      <c r="I7458" s="1">
        <v>43091</v>
      </c>
      <c r="J7458">
        <v>4545</v>
      </c>
    </row>
    <row r="7459" spans="1:10" x14ac:dyDescent="0.3">
      <c r="A7459" t="s">
        <v>7590</v>
      </c>
      <c r="B7459" t="s">
        <v>139</v>
      </c>
      <c r="C7459" t="str">
        <f>_xlfn.XLOOKUP(B7459,
[1]sales_teams!$A$2:$A$100,
[1]sales_teams!$B$2:$B$100)</f>
        <v>Rocco Neubert</v>
      </c>
      <c r="D7459" t="str">
        <f>_xlfn.XLOOKUP($B7459,sales_teams!$A$2:$A$36,sales_teams!C$2:C$36)</f>
        <v>East</v>
      </c>
      <c r="E7459" t="s">
        <v>10</v>
      </c>
      <c r="F7459" t="s">
        <v>189</v>
      </c>
      <c r="G7459" t="s">
        <v>46</v>
      </c>
      <c r="H7459" s="1">
        <v>43020</v>
      </c>
      <c r="I7459" s="1">
        <v>43027</v>
      </c>
      <c r="J7459">
        <v>0</v>
      </c>
    </row>
    <row r="7460" spans="1:10" x14ac:dyDescent="0.3">
      <c r="A7460" t="s">
        <v>7591</v>
      </c>
      <c r="B7460" t="s">
        <v>164</v>
      </c>
      <c r="C7460" t="str">
        <f>_xlfn.XLOOKUP(B7460,
[1]sales_teams!$A$2:$A$100,
[1]sales_teams!$B$2:$B$100)</f>
        <v>Cara Losch</v>
      </c>
      <c r="D7460" t="str">
        <f>_xlfn.XLOOKUP($B7460,sales_teams!$A$2:$A$36,sales_teams!C$2:C$36)</f>
        <v>East</v>
      </c>
      <c r="E7460" t="s">
        <v>10</v>
      </c>
      <c r="G7460" t="s">
        <v>40</v>
      </c>
      <c r="H7460" s="1">
        <v>43020</v>
      </c>
    </row>
    <row r="7461" spans="1:10" x14ac:dyDescent="0.3">
      <c r="A7461" t="s">
        <v>7592</v>
      </c>
      <c r="B7461" t="s">
        <v>14</v>
      </c>
      <c r="C7461" t="str">
        <f>_xlfn.XLOOKUP(B7461,
[1]sales_teams!$A$2:$A$100,
[1]sales_teams!$B$2:$B$100)</f>
        <v>Melvin Marxen</v>
      </c>
      <c r="D7461" t="str">
        <f>_xlfn.XLOOKUP($B7461,sales_teams!$A$2:$A$36,sales_teams!C$2:C$36)</f>
        <v>Central</v>
      </c>
      <c r="E7461" t="s">
        <v>18</v>
      </c>
      <c r="F7461" t="s">
        <v>36</v>
      </c>
      <c r="G7461" t="s">
        <v>46</v>
      </c>
      <c r="H7461" s="1">
        <v>43020</v>
      </c>
      <c r="I7461" s="1">
        <v>43025</v>
      </c>
      <c r="J7461">
        <v>0</v>
      </c>
    </row>
    <row r="7462" spans="1:10" x14ac:dyDescent="0.3">
      <c r="A7462" t="s">
        <v>7593</v>
      </c>
      <c r="B7462" t="s">
        <v>252</v>
      </c>
      <c r="C7462" t="str">
        <f>_xlfn.XLOOKUP(B7462,
[1]sales_teams!$A$2:$A$100,
[1]sales_teams!$B$2:$B$100)</f>
        <v>Melvin Marxen</v>
      </c>
      <c r="D7462" t="str">
        <f>_xlfn.XLOOKUP($B7462,sales_teams!$A$2:$A$36,sales_teams!C$2:C$36)</f>
        <v>Central</v>
      </c>
      <c r="E7462" t="s">
        <v>39</v>
      </c>
      <c r="F7462" t="s">
        <v>27</v>
      </c>
      <c r="G7462" t="s">
        <v>46</v>
      </c>
      <c r="H7462" s="1">
        <v>43020</v>
      </c>
      <c r="I7462" s="1">
        <v>43021</v>
      </c>
      <c r="J7462">
        <v>0</v>
      </c>
    </row>
    <row r="7463" spans="1:10" x14ac:dyDescent="0.3">
      <c r="A7463" t="s">
        <v>7594</v>
      </c>
      <c r="B7463" t="s">
        <v>252</v>
      </c>
      <c r="C7463" t="str">
        <f>_xlfn.XLOOKUP(B7463,
[1]sales_teams!$A$2:$A$100,
[1]sales_teams!$B$2:$B$100)</f>
        <v>Melvin Marxen</v>
      </c>
      <c r="D7463" t="str">
        <f>_xlfn.XLOOKUP($B7463,sales_teams!$A$2:$A$36,sales_teams!C$2:C$36)</f>
        <v>Central</v>
      </c>
      <c r="E7463" t="s">
        <v>20</v>
      </c>
      <c r="F7463" t="s">
        <v>231</v>
      </c>
      <c r="G7463" t="s">
        <v>12</v>
      </c>
      <c r="H7463" s="1">
        <v>43020</v>
      </c>
      <c r="I7463" s="1">
        <v>43029</v>
      </c>
      <c r="J7463">
        <v>528</v>
      </c>
    </row>
    <row r="7464" spans="1:10" x14ac:dyDescent="0.3">
      <c r="A7464" t="s">
        <v>7595</v>
      </c>
      <c r="B7464" t="s">
        <v>252</v>
      </c>
      <c r="C7464" t="str">
        <f>_xlfn.XLOOKUP(B7464,
[1]sales_teams!$A$2:$A$100,
[1]sales_teams!$B$2:$B$100)</f>
        <v>Melvin Marxen</v>
      </c>
      <c r="D7464" t="str">
        <f>_xlfn.XLOOKUP($B7464,sales_teams!$A$2:$A$36,sales_teams!C$2:C$36)</f>
        <v>Central</v>
      </c>
      <c r="E7464" t="s">
        <v>15</v>
      </c>
      <c r="F7464" t="s">
        <v>120</v>
      </c>
      <c r="G7464" t="s">
        <v>12</v>
      </c>
      <c r="H7464" s="1">
        <v>43020</v>
      </c>
      <c r="I7464" s="1">
        <v>43097</v>
      </c>
      <c r="J7464">
        <v>5064</v>
      </c>
    </row>
    <row r="7465" spans="1:10" x14ac:dyDescent="0.3">
      <c r="A7465" t="s">
        <v>7596</v>
      </c>
      <c r="B7465" t="s">
        <v>252</v>
      </c>
      <c r="C7465" t="str">
        <f>_xlfn.XLOOKUP(B7465,
[1]sales_teams!$A$2:$A$100,
[1]sales_teams!$B$2:$B$100)</f>
        <v>Melvin Marxen</v>
      </c>
      <c r="D7465" t="str">
        <f>_xlfn.XLOOKUP($B7465,sales_teams!$A$2:$A$36,sales_teams!C$2:C$36)</f>
        <v>Central</v>
      </c>
      <c r="E7465" t="s">
        <v>39</v>
      </c>
      <c r="F7465" t="s">
        <v>120</v>
      </c>
      <c r="G7465" t="s">
        <v>12</v>
      </c>
      <c r="H7465" s="1">
        <v>43020</v>
      </c>
      <c r="I7465" s="1">
        <v>43075</v>
      </c>
      <c r="J7465">
        <v>3203</v>
      </c>
    </row>
    <row r="7466" spans="1:10" x14ac:dyDescent="0.3">
      <c r="A7466" t="s">
        <v>7597</v>
      </c>
      <c r="B7466" t="s">
        <v>78</v>
      </c>
      <c r="C7466" t="str">
        <f>_xlfn.XLOOKUP(B7466,
[1]sales_teams!$A$2:$A$100,
[1]sales_teams!$B$2:$B$100)</f>
        <v>Summer Sewald</v>
      </c>
      <c r="D7466" t="str">
        <f>_xlfn.XLOOKUP($B7466,sales_teams!$A$2:$A$36,sales_teams!C$2:C$36)</f>
        <v>West</v>
      </c>
      <c r="E7466" t="s">
        <v>20</v>
      </c>
      <c r="F7466" t="s">
        <v>59</v>
      </c>
      <c r="G7466" t="s">
        <v>12</v>
      </c>
      <c r="H7466" s="1">
        <v>43020</v>
      </c>
      <c r="I7466" s="1">
        <v>43041</v>
      </c>
      <c r="J7466">
        <v>549</v>
      </c>
    </row>
    <row r="7467" spans="1:10" x14ac:dyDescent="0.3">
      <c r="A7467" t="s">
        <v>7598</v>
      </c>
      <c r="B7467" t="s">
        <v>95</v>
      </c>
      <c r="C7467" t="str">
        <f>_xlfn.XLOOKUP(B7467,
[1]sales_teams!$A$2:$A$100,
[1]sales_teams!$B$2:$B$100)</f>
        <v>Summer Sewald</v>
      </c>
      <c r="D7467" t="str">
        <f>_xlfn.XLOOKUP($B7467,sales_teams!$A$2:$A$36,sales_teams!C$2:C$36)</f>
        <v>West</v>
      </c>
      <c r="E7467" t="s">
        <v>20</v>
      </c>
      <c r="F7467" t="s">
        <v>174</v>
      </c>
      <c r="G7467" t="s">
        <v>12</v>
      </c>
      <c r="H7467" s="1">
        <v>43020</v>
      </c>
      <c r="I7467" s="1">
        <v>43031</v>
      </c>
      <c r="J7467">
        <v>594</v>
      </c>
    </row>
    <row r="7468" spans="1:10" x14ac:dyDescent="0.3">
      <c r="A7468" t="s">
        <v>7599</v>
      </c>
      <c r="B7468" t="s">
        <v>133</v>
      </c>
      <c r="C7468" t="str">
        <f>_xlfn.XLOOKUP(B7468,
[1]sales_teams!$A$2:$A$100,
[1]sales_teams!$B$2:$B$100)</f>
        <v>Dustin Brinkmann</v>
      </c>
      <c r="D7468" t="str">
        <f>_xlfn.XLOOKUP($B7468,sales_teams!$A$2:$A$36,sales_teams!C$2:C$36)</f>
        <v>Central</v>
      </c>
      <c r="E7468" t="s">
        <v>20</v>
      </c>
      <c r="F7468" t="s">
        <v>213</v>
      </c>
      <c r="G7468" t="s">
        <v>46</v>
      </c>
      <c r="H7468" s="1">
        <v>43020</v>
      </c>
      <c r="I7468" s="1">
        <v>43029</v>
      </c>
      <c r="J7468">
        <v>0</v>
      </c>
    </row>
    <row r="7469" spans="1:10" x14ac:dyDescent="0.3">
      <c r="A7469" t="s">
        <v>7600</v>
      </c>
      <c r="B7469" t="s">
        <v>133</v>
      </c>
      <c r="C7469" t="str">
        <f>_xlfn.XLOOKUP(B7469,
[1]sales_teams!$A$2:$A$100,
[1]sales_teams!$B$2:$B$100)</f>
        <v>Dustin Brinkmann</v>
      </c>
      <c r="D7469" t="str">
        <f>_xlfn.XLOOKUP($B7469,sales_teams!$A$2:$A$36,sales_teams!C$2:C$36)</f>
        <v>Central</v>
      </c>
      <c r="E7469" t="s">
        <v>20</v>
      </c>
      <c r="F7469" t="s">
        <v>213</v>
      </c>
      <c r="G7469" t="s">
        <v>46</v>
      </c>
      <c r="H7469" s="1">
        <v>43020</v>
      </c>
      <c r="I7469" s="1">
        <v>43030</v>
      </c>
      <c r="J7469">
        <v>0</v>
      </c>
    </row>
    <row r="7470" spans="1:10" x14ac:dyDescent="0.3">
      <c r="A7470" t="s">
        <v>7601</v>
      </c>
      <c r="B7470" t="s">
        <v>32</v>
      </c>
      <c r="C7470" t="str">
        <f>_xlfn.XLOOKUP(B7470,
[1]sales_teams!$A$2:$A$100,
[1]sales_teams!$B$2:$B$100)</f>
        <v>Celia Rouche</v>
      </c>
      <c r="D7470" t="str">
        <f>_xlfn.XLOOKUP($B7470,sales_teams!$A$2:$A$36,sales_teams!C$2:C$36)</f>
        <v>West</v>
      </c>
      <c r="E7470" t="s">
        <v>20</v>
      </c>
      <c r="F7470" t="s">
        <v>86</v>
      </c>
      <c r="G7470" t="s">
        <v>12</v>
      </c>
      <c r="H7470" s="1">
        <v>43020</v>
      </c>
      <c r="I7470" s="1">
        <v>43040</v>
      </c>
      <c r="J7470">
        <v>529</v>
      </c>
    </row>
    <row r="7471" spans="1:10" x14ac:dyDescent="0.3">
      <c r="A7471" t="s">
        <v>7602</v>
      </c>
      <c r="B7471" t="s">
        <v>51</v>
      </c>
      <c r="C7471" t="str">
        <f>_xlfn.XLOOKUP(B7471,
[1]sales_teams!$A$2:$A$100,
[1]sales_teams!$B$2:$B$100)</f>
        <v>Summer Sewald</v>
      </c>
      <c r="D7471" t="str">
        <f>_xlfn.XLOOKUP($B7471,sales_teams!$A$2:$A$36,sales_teams!C$2:C$36)</f>
        <v>West</v>
      </c>
      <c r="E7471" t="s">
        <v>15</v>
      </c>
      <c r="F7471" t="s">
        <v>70</v>
      </c>
      <c r="G7471" t="s">
        <v>12</v>
      </c>
      <c r="H7471" s="1">
        <v>43020</v>
      </c>
      <c r="I7471" s="1">
        <v>43025</v>
      </c>
      <c r="J7471">
        <v>4505</v>
      </c>
    </row>
    <row r="7472" spans="1:10" x14ac:dyDescent="0.3">
      <c r="A7472" t="s">
        <v>7603</v>
      </c>
      <c r="B7472" t="s">
        <v>9</v>
      </c>
      <c r="C7472" t="str">
        <f>_xlfn.XLOOKUP(B7472,
[1]sales_teams!$A$2:$A$100,
[1]sales_teams!$B$2:$B$100)</f>
        <v>Dustin Brinkmann</v>
      </c>
      <c r="D7472" t="str">
        <f>_xlfn.XLOOKUP($B7472,sales_teams!$A$2:$A$36,sales_teams!C$2:C$36)</f>
        <v>Central</v>
      </c>
      <c r="E7472" t="s">
        <v>20</v>
      </c>
      <c r="F7472" t="s">
        <v>129</v>
      </c>
      <c r="G7472" t="s">
        <v>12</v>
      </c>
      <c r="H7472" s="1">
        <v>43020</v>
      </c>
      <c r="I7472" s="1">
        <v>43080</v>
      </c>
      <c r="J7472">
        <v>457</v>
      </c>
    </row>
    <row r="7473" spans="1:10" x14ac:dyDescent="0.3">
      <c r="A7473" t="s">
        <v>7604</v>
      </c>
      <c r="B7473" t="s">
        <v>9</v>
      </c>
      <c r="C7473" t="str">
        <f>_xlfn.XLOOKUP(B7473,
[1]sales_teams!$A$2:$A$100,
[1]sales_teams!$B$2:$B$100)</f>
        <v>Dustin Brinkmann</v>
      </c>
      <c r="D7473" t="str">
        <f>_xlfn.XLOOKUP($B7473,sales_teams!$A$2:$A$36,sales_teams!C$2:C$36)</f>
        <v>Central</v>
      </c>
      <c r="E7473" t="s">
        <v>39</v>
      </c>
      <c r="F7473" t="s">
        <v>76</v>
      </c>
      <c r="G7473" t="s">
        <v>12</v>
      </c>
      <c r="H7473" s="1">
        <v>43020</v>
      </c>
      <c r="I7473" s="1">
        <v>43021</v>
      </c>
      <c r="J7473">
        <v>3090</v>
      </c>
    </row>
    <row r="7474" spans="1:10" x14ac:dyDescent="0.3">
      <c r="A7474" t="s">
        <v>7605</v>
      </c>
      <c r="B7474" t="s">
        <v>97</v>
      </c>
      <c r="C7474" t="str">
        <f>_xlfn.XLOOKUP(B7474,
[1]sales_teams!$A$2:$A$100,
[1]sales_teams!$B$2:$B$100)</f>
        <v>Rocco Neubert</v>
      </c>
      <c r="D7474" t="str">
        <f>_xlfn.XLOOKUP($B7474,sales_teams!$A$2:$A$36,sales_teams!C$2:C$36)</f>
        <v>East</v>
      </c>
      <c r="E7474" t="s">
        <v>18</v>
      </c>
      <c r="F7474" t="s">
        <v>373</v>
      </c>
      <c r="G7474" t="s">
        <v>12</v>
      </c>
      <c r="H7474" s="1">
        <v>43020</v>
      </c>
      <c r="I7474" s="1">
        <v>43022</v>
      </c>
      <c r="J7474">
        <v>53</v>
      </c>
    </row>
    <row r="7475" spans="1:10" x14ac:dyDescent="0.3">
      <c r="A7475" t="s">
        <v>7606</v>
      </c>
      <c r="B7475" t="s">
        <v>73</v>
      </c>
      <c r="C7475" t="str">
        <f>_xlfn.XLOOKUP(B7475,
[1]sales_teams!$A$2:$A$100,
[1]sales_teams!$B$2:$B$100)</f>
        <v>Cara Losch</v>
      </c>
      <c r="D7475" t="str">
        <f>_xlfn.XLOOKUP($B7475,sales_teams!$A$2:$A$36,sales_teams!C$2:C$36)</f>
        <v>East</v>
      </c>
      <c r="E7475" t="s">
        <v>10</v>
      </c>
      <c r="F7475" t="s">
        <v>237</v>
      </c>
      <c r="G7475" t="s">
        <v>12</v>
      </c>
      <c r="H7475" s="1">
        <v>43020</v>
      </c>
      <c r="I7475" s="1">
        <v>43025</v>
      </c>
      <c r="J7475">
        <v>1004</v>
      </c>
    </row>
    <row r="7476" spans="1:10" x14ac:dyDescent="0.3">
      <c r="A7476" t="s">
        <v>7607</v>
      </c>
      <c r="B7476" t="s">
        <v>23</v>
      </c>
      <c r="C7476" t="str">
        <f>_xlfn.XLOOKUP(B7476,
[1]sales_teams!$A$2:$A$100,
[1]sales_teams!$B$2:$B$100)</f>
        <v>Summer Sewald</v>
      </c>
      <c r="D7476" t="str">
        <f>_xlfn.XLOOKUP($B7476,sales_teams!$A$2:$A$36,sales_teams!C$2:C$36)</f>
        <v>West</v>
      </c>
      <c r="E7476" t="s">
        <v>39</v>
      </c>
      <c r="F7476" t="s">
        <v>315</v>
      </c>
      <c r="G7476" t="s">
        <v>46</v>
      </c>
      <c r="H7476" s="1">
        <v>43020</v>
      </c>
      <c r="I7476" s="1">
        <v>43027</v>
      </c>
      <c r="J7476">
        <v>0</v>
      </c>
    </row>
    <row r="7477" spans="1:10" x14ac:dyDescent="0.3">
      <c r="A7477" t="s">
        <v>7608</v>
      </c>
      <c r="B7477" t="s">
        <v>23</v>
      </c>
      <c r="C7477" t="str">
        <f>_xlfn.XLOOKUP(B7477,
[1]sales_teams!$A$2:$A$100,
[1]sales_teams!$B$2:$B$100)</f>
        <v>Summer Sewald</v>
      </c>
      <c r="D7477" t="str">
        <f>_xlfn.XLOOKUP($B7477,sales_teams!$A$2:$A$36,sales_teams!C$2:C$36)</f>
        <v>West</v>
      </c>
      <c r="E7477" t="s">
        <v>20</v>
      </c>
      <c r="F7477" t="s">
        <v>30</v>
      </c>
      <c r="G7477" t="s">
        <v>12</v>
      </c>
      <c r="H7477" s="1">
        <v>43020</v>
      </c>
      <c r="I7477" s="1">
        <v>43029</v>
      </c>
      <c r="J7477">
        <v>696</v>
      </c>
    </row>
    <row r="7478" spans="1:10" x14ac:dyDescent="0.3">
      <c r="A7478" t="s">
        <v>7609</v>
      </c>
      <c r="B7478" t="s">
        <v>26</v>
      </c>
      <c r="C7478" t="str">
        <f>_xlfn.XLOOKUP(B7478,
[1]sales_teams!$A$2:$A$100,
[1]sales_teams!$B$2:$B$100)</f>
        <v>Dustin Brinkmann</v>
      </c>
      <c r="D7478" t="str">
        <f>_xlfn.XLOOKUP($B7478,sales_teams!$A$2:$A$36,sales_teams!C$2:C$36)</f>
        <v>Central</v>
      </c>
      <c r="E7478" t="s">
        <v>18</v>
      </c>
      <c r="F7478" t="s">
        <v>62</v>
      </c>
      <c r="G7478" t="s">
        <v>46</v>
      </c>
      <c r="H7478" s="1">
        <v>43021</v>
      </c>
      <c r="I7478" s="1">
        <v>43030</v>
      </c>
      <c r="J7478">
        <v>0</v>
      </c>
    </row>
    <row r="7479" spans="1:10" x14ac:dyDescent="0.3">
      <c r="A7479" t="s">
        <v>7610</v>
      </c>
      <c r="B7479" t="s">
        <v>118</v>
      </c>
      <c r="C7479" t="str">
        <f>_xlfn.XLOOKUP(B7479,
[1]sales_teams!$A$2:$A$100,
[1]sales_teams!$B$2:$B$100)</f>
        <v>Rocco Neubert</v>
      </c>
      <c r="D7479" t="str">
        <f>_xlfn.XLOOKUP($B7479,sales_teams!$A$2:$A$36,sales_teams!C$2:C$36)</f>
        <v>East</v>
      </c>
      <c r="E7479" t="s">
        <v>10</v>
      </c>
      <c r="F7479" t="s">
        <v>140</v>
      </c>
      <c r="G7479" t="s">
        <v>12</v>
      </c>
      <c r="H7479" s="1">
        <v>43021</v>
      </c>
      <c r="I7479" s="1">
        <v>43031</v>
      </c>
      <c r="J7479">
        <v>888</v>
      </c>
    </row>
    <row r="7480" spans="1:10" x14ac:dyDescent="0.3">
      <c r="A7480" t="s">
        <v>7611</v>
      </c>
      <c r="B7480" t="s">
        <v>202</v>
      </c>
      <c r="C7480" t="str">
        <f>_xlfn.XLOOKUP(B7480,
[1]sales_teams!$A$2:$A$100,
[1]sales_teams!$B$2:$B$100)</f>
        <v>Dustin Brinkmann</v>
      </c>
      <c r="D7480" t="str">
        <f>_xlfn.XLOOKUP($B7480,sales_teams!$A$2:$A$36,sales_teams!C$2:C$36)</f>
        <v>Central</v>
      </c>
      <c r="E7480" t="s">
        <v>39</v>
      </c>
      <c r="F7480" t="s">
        <v>76</v>
      </c>
      <c r="G7480" t="s">
        <v>46</v>
      </c>
      <c r="H7480" s="1">
        <v>43021</v>
      </c>
      <c r="I7480" s="1">
        <v>43026</v>
      </c>
      <c r="J7480">
        <v>0</v>
      </c>
    </row>
    <row r="7481" spans="1:10" x14ac:dyDescent="0.3">
      <c r="A7481" t="s">
        <v>7612</v>
      </c>
      <c r="B7481" t="s">
        <v>164</v>
      </c>
      <c r="C7481" t="str">
        <f>_xlfn.XLOOKUP(B7481,
[1]sales_teams!$A$2:$A$100,
[1]sales_teams!$B$2:$B$100)</f>
        <v>Cara Losch</v>
      </c>
      <c r="D7481" t="str">
        <f>_xlfn.XLOOKUP($B7481,sales_teams!$A$2:$A$36,sales_teams!C$2:C$36)</f>
        <v>East</v>
      </c>
      <c r="E7481" t="s">
        <v>10</v>
      </c>
      <c r="F7481" t="s">
        <v>300</v>
      </c>
      <c r="G7481" t="s">
        <v>46</v>
      </c>
      <c r="H7481" s="1">
        <v>43021</v>
      </c>
      <c r="I7481" s="1">
        <v>43028</v>
      </c>
      <c r="J7481">
        <v>0</v>
      </c>
    </row>
    <row r="7482" spans="1:10" x14ac:dyDescent="0.3">
      <c r="A7482" t="s">
        <v>7613</v>
      </c>
      <c r="B7482" t="s">
        <v>164</v>
      </c>
      <c r="C7482" t="str">
        <f>_xlfn.XLOOKUP(B7482,
[1]sales_teams!$A$2:$A$100,
[1]sales_teams!$B$2:$B$100)</f>
        <v>Cara Losch</v>
      </c>
      <c r="D7482" t="str">
        <f>_xlfn.XLOOKUP($B7482,sales_teams!$A$2:$A$36,sales_teams!C$2:C$36)</f>
        <v>East</v>
      </c>
      <c r="E7482" t="s">
        <v>48</v>
      </c>
      <c r="F7482" t="s">
        <v>278</v>
      </c>
      <c r="G7482" t="s">
        <v>46</v>
      </c>
      <c r="H7482" s="1">
        <v>43021</v>
      </c>
      <c r="I7482" s="1">
        <v>43060</v>
      </c>
      <c r="J7482">
        <v>0</v>
      </c>
    </row>
    <row r="7483" spans="1:10" x14ac:dyDescent="0.3">
      <c r="A7483" t="s">
        <v>7614</v>
      </c>
      <c r="B7483" t="s">
        <v>64</v>
      </c>
      <c r="C7483" t="str">
        <f>_xlfn.XLOOKUP(B7483,
[1]sales_teams!$A$2:$A$100,
[1]sales_teams!$B$2:$B$100)</f>
        <v>Rocco Neubert</v>
      </c>
      <c r="D7483" t="str">
        <f>_xlfn.XLOOKUP($B7483,sales_teams!$A$2:$A$36,sales_teams!C$2:C$36)</f>
        <v>East</v>
      </c>
      <c r="E7483" t="s">
        <v>15</v>
      </c>
      <c r="F7483" t="s">
        <v>199</v>
      </c>
      <c r="G7483" t="s">
        <v>46</v>
      </c>
      <c r="H7483" s="1">
        <v>43021</v>
      </c>
      <c r="I7483" s="1">
        <v>43030</v>
      </c>
      <c r="J7483">
        <v>0</v>
      </c>
    </row>
    <row r="7484" spans="1:10" x14ac:dyDescent="0.3">
      <c r="A7484" t="s">
        <v>7615</v>
      </c>
      <c r="B7484" t="s">
        <v>14</v>
      </c>
      <c r="C7484" t="str">
        <f>_xlfn.XLOOKUP(B7484,
[1]sales_teams!$A$2:$A$100,
[1]sales_teams!$B$2:$B$100)</f>
        <v>Melvin Marxen</v>
      </c>
      <c r="D7484" t="str">
        <f>_xlfn.XLOOKUP($B7484,sales_teams!$A$2:$A$36,sales_teams!C$2:C$36)</f>
        <v>Central</v>
      </c>
      <c r="E7484" t="s">
        <v>15</v>
      </c>
      <c r="F7484" t="s">
        <v>109</v>
      </c>
      <c r="G7484" t="s">
        <v>12</v>
      </c>
      <c r="H7484" s="1">
        <v>43021</v>
      </c>
      <c r="I7484" s="1">
        <v>43032</v>
      </c>
      <c r="J7484">
        <v>4767</v>
      </c>
    </row>
    <row r="7485" spans="1:10" x14ac:dyDescent="0.3">
      <c r="A7485" t="s">
        <v>7616</v>
      </c>
      <c r="B7485" t="s">
        <v>14</v>
      </c>
      <c r="C7485" t="str">
        <f>_xlfn.XLOOKUP(B7485,
[1]sales_teams!$A$2:$A$100,
[1]sales_teams!$B$2:$B$100)</f>
        <v>Melvin Marxen</v>
      </c>
      <c r="D7485" t="str">
        <f>_xlfn.XLOOKUP($B7485,sales_teams!$A$2:$A$36,sales_teams!C$2:C$36)</f>
        <v>Central</v>
      </c>
      <c r="E7485" t="s">
        <v>15</v>
      </c>
      <c r="F7485" t="s">
        <v>315</v>
      </c>
      <c r="G7485" t="s">
        <v>12</v>
      </c>
      <c r="H7485" s="1">
        <v>43021</v>
      </c>
      <c r="I7485" s="1">
        <v>43089</v>
      </c>
      <c r="J7485">
        <v>4869</v>
      </c>
    </row>
    <row r="7486" spans="1:10" x14ac:dyDescent="0.3">
      <c r="A7486" t="s">
        <v>7617</v>
      </c>
      <c r="B7486" t="s">
        <v>14</v>
      </c>
      <c r="C7486" t="str">
        <f>_xlfn.XLOOKUP(B7486,
[1]sales_teams!$A$2:$A$100,
[1]sales_teams!$B$2:$B$100)</f>
        <v>Melvin Marxen</v>
      </c>
      <c r="D7486" t="str">
        <f>_xlfn.XLOOKUP($B7486,sales_teams!$A$2:$A$36,sales_teams!C$2:C$36)</f>
        <v>Central</v>
      </c>
      <c r="E7486" t="s">
        <v>39</v>
      </c>
      <c r="F7486" t="s">
        <v>27</v>
      </c>
      <c r="G7486" t="s">
        <v>12</v>
      </c>
      <c r="H7486" s="1">
        <v>43021</v>
      </c>
      <c r="I7486" s="1">
        <v>43022</v>
      </c>
      <c r="J7486">
        <v>3475</v>
      </c>
    </row>
    <row r="7487" spans="1:10" x14ac:dyDescent="0.3">
      <c r="A7487" t="s">
        <v>7618</v>
      </c>
      <c r="B7487" t="s">
        <v>142</v>
      </c>
      <c r="C7487" t="str">
        <f>_xlfn.XLOOKUP(B7487,
[1]sales_teams!$A$2:$A$100,
[1]sales_teams!$B$2:$B$100)</f>
        <v>Rocco Neubert</v>
      </c>
      <c r="D7487" t="str">
        <f>_xlfn.XLOOKUP($B7487,sales_teams!$A$2:$A$36,sales_teams!C$2:C$36)</f>
        <v>East</v>
      </c>
      <c r="E7487" t="s">
        <v>20</v>
      </c>
      <c r="F7487" t="s">
        <v>240</v>
      </c>
      <c r="G7487" t="s">
        <v>46</v>
      </c>
      <c r="H7487" s="1">
        <v>43021</v>
      </c>
      <c r="I7487" s="1">
        <v>43023</v>
      </c>
      <c r="J7487">
        <v>0</v>
      </c>
    </row>
    <row r="7488" spans="1:10" x14ac:dyDescent="0.3">
      <c r="A7488" t="s">
        <v>7619</v>
      </c>
      <c r="B7488" t="s">
        <v>142</v>
      </c>
      <c r="C7488" t="str">
        <f>_xlfn.XLOOKUP(B7488,
[1]sales_teams!$A$2:$A$100,
[1]sales_teams!$B$2:$B$100)</f>
        <v>Rocco Neubert</v>
      </c>
      <c r="D7488" t="str">
        <f>_xlfn.XLOOKUP($B7488,sales_teams!$A$2:$A$36,sales_teams!C$2:C$36)</f>
        <v>East</v>
      </c>
      <c r="E7488" t="s">
        <v>18</v>
      </c>
      <c r="F7488" t="s">
        <v>410</v>
      </c>
      <c r="G7488" t="s">
        <v>46</v>
      </c>
      <c r="H7488" s="1">
        <v>43021</v>
      </c>
      <c r="I7488" s="1">
        <v>43078</v>
      </c>
      <c r="J7488">
        <v>0</v>
      </c>
    </row>
    <row r="7489" spans="1:10" x14ac:dyDescent="0.3">
      <c r="A7489" t="s">
        <v>7620</v>
      </c>
      <c r="B7489" t="s">
        <v>142</v>
      </c>
      <c r="C7489" t="str">
        <f>_xlfn.XLOOKUP(B7489,
[1]sales_teams!$A$2:$A$100,
[1]sales_teams!$B$2:$B$100)</f>
        <v>Rocco Neubert</v>
      </c>
      <c r="D7489" t="str">
        <f>_xlfn.XLOOKUP($B7489,sales_teams!$A$2:$A$36,sales_teams!C$2:C$36)</f>
        <v>East</v>
      </c>
      <c r="E7489" t="s">
        <v>39</v>
      </c>
      <c r="F7489" t="s">
        <v>155</v>
      </c>
      <c r="G7489" t="s">
        <v>46</v>
      </c>
      <c r="H7489" s="1">
        <v>43021</v>
      </c>
      <c r="I7489" s="1">
        <v>43079</v>
      </c>
      <c r="J7489">
        <v>0</v>
      </c>
    </row>
    <row r="7490" spans="1:10" x14ac:dyDescent="0.3">
      <c r="A7490" t="s">
        <v>7621</v>
      </c>
      <c r="B7490" t="s">
        <v>54</v>
      </c>
      <c r="C7490" t="str">
        <f>_xlfn.XLOOKUP(B7490,
[1]sales_teams!$A$2:$A$100,
[1]sales_teams!$B$2:$B$100)</f>
        <v>Celia Rouche</v>
      </c>
      <c r="D7490" t="str">
        <f>_xlfn.XLOOKUP($B7490,sales_teams!$A$2:$A$36,sales_teams!C$2:C$36)</f>
        <v>West</v>
      </c>
      <c r="E7490" t="s">
        <v>10</v>
      </c>
      <c r="F7490" t="s">
        <v>68</v>
      </c>
      <c r="G7490" t="s">
        <v>46</v>
      </c>
      <c r="H7490" s="1">
        <v>43021</v>
      </c>
      <c r="I7490" s="1">
        <v>43028</v>
      </c>
      <c r="J7490">
        <v>0</v>
      </c>
    </row>
    <row r="7491" spans="1:10" x14ac:dyDescent="0.3">
      <c r="A7491" t="s">
        <v>7622</v>
      </c>
      <c r="B7491" t="s">
        <v>54</v>
      </c>
      <c r="C7491" t="str">
        <f>_xlfn.XLOOKUP(B7491,
[1]sales_teams!$A$2:$A$100,
[1]sales_teams!$B$2:$B$100)</f>
        <v>Celia Rouche</v>
      </c>
      <c r="D7491" t="str">
        <f>_xlfn.XLOOKUP($B7491,sales_teams!$A$2:$A$36,sales_teams!C$2:C$36)</f>
        <v>West</v>
      </c>
      <c r="E7491" t="s">
        <v>39</v>
      </c>
      <c r="F7491" t="s">
        <v>155</v>
      </c>
      <c r="G7491" t="s">
        <v>12</v>
      </c>
      <c r="H7491" s="1">
        <v>43021</v>
      </c>
      <c r="I7491" s="1">
        <v>43022</v>
      </c>
      <c r="J7491">
        <v>3250</v>
      </c>
    </row>
    <row r="7492" spans="1:10" x14ac:dyDescent="0.3">
      <c r="A7492" t="s">
        <v>7623</v>
      </c>
      <c r="B7492" t="s">
        <v>38</v>
      </c>
      <c r="C7492" t="str">
        <f>_xlfn.XLOOKUP(B7492,
[1]sales_teams!$A$2:$A$100,
[1]sales_teams!$B$2:$B$100)</f>
        <v>Summer Sewald</v>
      </c>
      <c r="D7492" t="str">
        <f>_xlfn.XLOOKUP($B7492,sales_teams!$A$2:$A$36,sales_teams!C$2:C$36)</f>
        <v>West</v>
      </c>
      <c r="E7492" t="s">
        <v>48</v>
      </c>
      <c r="F7492" t="s">
        <v>273</v>
      </c>
      <c r="G7492" t="s">
        <v>46</v>
      </c>
      <c r="H7492" s="1">
        <v>43021</v>
      </c>
      <c r="I7492" s="1">
        <v>43072</v>
      </c>
      <c r="J7492">
        <v>0</v>
      </c>
    </row>
    <row r="7493" spans="1:10" x14ac:dyDescent="0.3">
      <c r="A7493" t="s">
        <v>7624</v>
      </c>
      <c r="B7493" t="s">
        <v>78</v>
      </c>
      <c r="C7493" t="str">
        <f>_xlfn.XLOOKUP(B7493,
[1]sales_teams!$A$2:$A$100,
[1]sales_teams!$B$2:$B$100)</f>
        <v>Summer Sewald</v>
      </c>
      <c r="D7493" t="str">
        <f>_xlfn.XLOOKUP($B7493,sales_teams!$A$2:$A$36,sales_teams!C$2:C$36)</f>
        <v>West</v>
      </c>
      <c r="E7493" t="s">
        <v>10</v>
      </c>
      <c r="G7493" t="s">
        <v>40</v>
      </c>
      <c r="H7493" s="1">
        <v>43021</v>
      </c>
    </row>
    <row r="7494" spans="1:10" x14ac:dyDescent="0.3">
      <c r="A7494" t="s">
        <v>7625</v>
      </c>
      <c r="B7494" t="s">
        <v>95</v>
      </c>
      <c r="C7494" t="str">
        <f>_xlfn.XLOOKUP(B7494,
[1]sales_teams!$A$2:$A$100,
[1]sales_teams!$B$2:$B$100)</f>
        <v>Summer Sewald</v>
      </c>
      <c r="D7494" t="str">
        <f>_xlfn.XLOOKUP($B7494,sales_teams!$A$2:$A$36,sales_teams!C$2:C$36)</f>
        <v>West</v>
      </c>
      <c r="E7494" t="s">
        <v>20</v>
      </c>
      <c r="F7494" t="s">
        <v>315</v>
      </c>
      <c r="G7494" t="s">
        <v>40</v>
      </c>
      <c r="H7494" s="1">
        <v>43021</v>
      </c>
    </row>
    <row r="7495" spans="1:10" x14ac:dyDescent="0.3">
      <c r="A7495" t="s">
        <v>7626</v>
      </c>
      <c r="B7495" t="s">
        <v>32</v>
      </c>
      <c r="C7495" t="str">
        <f>_xlfn.XLOOKUP(B7495,
[1]sales_teams!$A$2:$A$100,
[1]sales_teams!$B$2:$B$100)</f>
        <v>Celia Rouche</v>
      </c>
      <c r="D7495" t="str">
        <f>_xlfn.XLOOKUP($B7495,sales_teams!$A$2:$A$36,sales_teams!C$2:C$36)</f>
        <v>West</v>
      </c>
      <c r="E7495" t="s">
        <v>20</v>
      </c>
      <c r="G7495" t="s">
        <v>40</v>
      </c>
      <c r="H7495" s="1">
        <v>43021</v>
      </c>
    </row>
    <row r="7496" spans="1:10" x14ac:dyDescent="0.3">
      <c r="A7496" t="s">
        <v>7627</v>
      </c>
      <c r="B7496" t="s">
        <v>32</v>
      </c>
      <c r="C7496" t="str">
        <f>_xlfn.XLOOKUP(B7496,
[1]sales_teams!$A$2:$A$100,
[1]sales_teams!$B$2:$B$100)</f>
        <v>Celia Rouche</v>
      </c>
      <c r="D7496" t="str">
        <f>_xlfn.XLOOKUP($B7496,sales_teams!$A$2:$A$36,sales_teams!C$2:C$36)</f>
        <v>West</v>
      </c>
      <c r="E7496" t="s">
        <v>39</v>
      </c>
      <c r="F7496" t="s">
        <v>157</v>
      </c>
      <c r="G7496" t="s">
        <v>46</v>
      </c>
      <c r="H7496" s="1">
        <v>43021</v>
      </c>
      <c r="I7496" s="1">
        <v>43026</v>
      </c>
      <c r="J7496">
        <v>0</v>
      </c>
    </row>
    <row r="7497" spans="1:10" x14ac:dyDescent="0.3">
      <c r="A7497" t="s">
        <v>7628</v>
      </c>
      <c r="B7497" t="s">
        <v>51</v>
      </c>
      <c r="C7497" t="str">
        <f>_xlfn.XLOOKUP(B7497,
[1]sales_teams!$A$2:$A$100,
[1]sales_teams!$B$2:$B$100)</f>
        <v>Summer Sewald</v>
      </c>
      <c r="D7497" t="str">
        <f>_xlfn.XLOOKUP($B7497,sales_teams!$A$2:$A$36,sales_teams!C$2:C$36)</f>
        <v>West</v>
      </c>
      <c r="E7497" t="s">
        <v>39</v>
      </c>
      <c r="F7497" t="s">
        <v>33</v>
      </c>
      <c r="G7497" t="s">
        <v>46</v>
      </c>
      <c r="H7497" s="1">
        <v>43021</v>
      </c>
      <c r="I7497" s="1">
        <v>43033</v>
      </c>
      <c r="J7497">
        <v>0</v>
      </c>
    </row>
    <row r="7498" spans="1:10" x14ac:dyDescent="0.3">
      <c r="A7498" t="s">
        <v>7629</v>
      </c>
      <c r="B7498" t="s">
        <v>9</v>
      </c>
      <c r="C7498" t="str">
        <f>_xlfn.XLOOKUP(B7498,
[1]sales_teams!$A$2:$A$100,
[1]sales_teams!$B$2:$B$100)</f>
        <v>Dustin Brinkmann</v>
      </c>
      <c r="D7498" t="str">
        <f>_xlfn.XLOOKUP($B7498,sales_teams!$A$2:$A$36,sales_teams!C$2:C$36)</f>
        <v>Central</v>
      </c>
      <c r="E7498" t="s">
        <v>39</v>
      </c>
      <c r="F7498" t="s">
        <v>318</v>
      </c>
      <c r="G7498" t="s">
        <v>46</v>
      </c>
      <c r="H7498" s="1">
        <v>43021</v>
      </c>
      <c r="I7498" s="1">
        <v>43068</v>
      </c>
      <c r="J7498">
        <v>0</v>
      </c>
    </row>
    <row r="7499" spans="1:10" x14ac:dyDescent="0.3">
      <c r="A7499" t="s">
        <v>7630</v>
      </c>
      <c r="B7499" t="s">
        <v>9</v>
      </c>
      <c r="C7499" t="str">
        <f>_xlfn.XLOOKUP(B7499,
[1]sales_teams!$A$2:$A$100,
[1]sales_teams!$B$2:$B$100)</f>
        <v>Dustin Brinkmann</v>
      </c>
      <c r="D7499" t="str">
        <f>_xlfn.XLOOKUP($B7499,sales_teams!$A$2:$A$36,sales_teams!C$2:C$36)</f>
        <v>Central</v>
      </c>
      <c r="E7499" t="s">
        <v>10</v>
      </c>
      <c r="F7499" t="s">
        <v>151</v>
      </c>
      <c r="G7499" t="s">
        <v>12</v>
      </c>
      <c r="H7499" s="1">
        <v>43021</v>
      </c>
      <c r="I7499" s="1">
        <v>43034</v>
      </c>
      <c r="J7499">
        <v>978</v>
      </c>
    </row>
    <row r="7500" spans="1:10" x14ac:dyDescent="0.3">
      <c r="A7500" t="s">
        <v>7631</v>
      </c>
      <c r="B7500" t="s">
        <v>97</v>
      </c>
      <c r="C7500" t="str">
        <f>_xlfn.XLOOKUP(B7500,
[1]sales_teams!$A$2:$A$100,
[1]sales_teams!$B$2:$B$100)</f>
        <v>Rocco Neubert</v>
      </c>
      <c r="D7500" t="str">
        <f>_xlfn.XLOOKUP($B7500,sales_teams!$A$2:$A$36,sales_teams!C$2:C$36)</f>
        <v>East</v>
      </c>
      <c r="E7500" t="s">
        <v>18</v>
      </c>
      <c r="F7500" t="s">
        <v>192</v>
      </c>
      <c r="G7500" t="s">
        <v>12</v>
      </c>
      <c r="H7500" s="1">
        <v>43021</v>
      </c>
      <c r="I7500" s="1">
        <v>43083</v>
      </c>
      <c r="J7500">
        <v>49</v>
      </c>
    </row>
    <row r="7501" spans="1:10" x14ac:dyDescent="0.3">
      <c r="A7501" t="s">
        <v>7632</v>
      </c>
      <c r="B7501" t="s">
        <v>61</v>
      </c>
      <c r="C7501" t="str">
        <f>_xlfn.XLOOKUP(B7501,
[1]sales_teams!$A$2:$A$100,
[1]sales_teams!$B$2:$B$100)</f>
        <v>Dustin Brinkmann</v>
      </c>
      <c r="D7501" t="str">
        <f>_xlfn.XLOOKUP($B7501,sales_teams!$A$2:$A$36,sales_teams!C$2:C$36)</f>
        <v>Central</v>
      </c>
      <c r="E7501" t="s">
        <v>18</v>
      </c>
      <c r="F7501" t="s">
        <v>111</v>
      </c>
      <c r="G7501" t="s">
        <v>12</v>
      </c>
      <c r="H7501" s="1">
        <v>43021</v>
      </c>
      <c r="I7501" s="1">
        <v>43032</v>
      </c>
      <c r="J7501">
        <v>49</v>
      </c>
    </row>
    <row r="7502" spans="1:10" x14ac:dyDescent="0.3">
      <c r="A7502" t="s">
        <v>7633</v>
      </c>
      <c r="B7502" t="s">
        <v>29</v>
      </c>
      <c r="C7502" t="str">
        <f>_xlfn.XLOOKUP(B7502,
[1]sales_teams!$A$2:$A$100,
[1]sales_teams!$B$2:$B$100)</f>
        <v>Celia Rouche</v>
      </c>
      <c r="D7502" t="str">
        <f>_xlfn.XLOOKUP($B7502,sales_teams!$A$2:$A$36,sales_teams!C$2:C$36)</f>
        <v>West</v>
      </c>
      <c r="E7502" t="s">
        <v>48</v>
      </c>
      <c r="F7502" t="s">
        <v>93</v>
      </c>
      <c r="G7502" t="s">
        <v>46</v>
      </c>
      <c r="H7502" s="1">
        <v>43021</v>
      </c>
      <c r="I7502" s="1">
        <v>43030</v>
      </c>
      <c r="J7502">
        <v>0</v>
      </c>
    </row>
    <row r="7503" spans="1:10" x14ac:dyDescent="0.3">
      <c r="A7503" t="s">
        <v>7634</v>
      </c>
      <c r="B7503" t="s">
        <v>29</v>
      </c>
      <c r="C7503" t="str">
        <f>_xlfn.XLOOKUP(B7503,
[1]sales_teams!$A$2:$A$100,
[1]sales_teams!$B$2:$B$100)</f>
        <v>Celia Rouche</v>
      </c>
      <c r="D7503" t="str">
        <f>_xlfn.XLOOKUP($B7503,sales_teams!$A$2:$A$36,sales_teams!C$2:C$36)</f>
        <v>West</v>
      </c>
      <c r="E7503" t="s">
        <v>20</v>
      </c>
      <c r="F7503" t="s">
        <v>315</v>
      </c>
      <c r="G7503" t="s">
        <v>12</v>
      </c>
      <c r="H7503" s="1">
        <v>43021</v>
      </c>
      <c r="I7503" s="1">
        <v>43079</v>
      </c>
      <c r="J7503">
        <v>563</v>
      </c>
    </row>
    <row r="7504" spans="1:10" x14ac:dyDescent="0.3">
      <c r="A7504" t="s">
        <v>7635</v>
      </c>
      <c r="B7504" t="s">
        <v>73</v>
      </c>
      <c r="C7504" t="str">
        <f>_xlfn.XLOOKUP(B7504,
[1]sales_teams!$A$2:$A$100,
[1]sales_teams!$B$2:$B$100)</f>
        <v>Cara Losch</v>
      </c>
      <c r="D7504" t="str">
        <f>_xlfn.XLOOKUP($B7504,sales_teams!$A$2:$A$36,sales_teams!C$2:C$36)</f>
        <v>East</v>
      </c>
      <c r="E7504" t="s">
        <v>10</v>
      </c>
      <c r="F7504" t="s">
        <v>189</v>
      </c>
      <c r="G7504" t="s">
        <v>46</v>
      </c>
      <c r="H7504" s="1">
        <v>43021</v>
      </c>
      <c r="I7504" s="1">
        <v>43029</v>
      </c>
      <c r="J7504">
        <v>0</v>
      </c>
    </row>
    <row r="7505" spans="1:10" x14ac:dyDescent="0.3">
      <c r="A7505" t="s">
        <v>7636</v>
      </c>
      <c r="B7505" t="s">
        <v>73</v>
      </c>
      <c r="C7505" t="str">
        <f>_xlfn.XLOOKUP(B7505,
[1]sales_teams!$A$2:$A$100,
[1]sales_teams!$B$2:$B$100)</f>
        <v>Cara Losch</v>
      </c>
      <c r="D7505" t="str">
        <f>_xlfn.XLOOKUP($B7505,sales_teams!$A$2:$A$36,sales_teams!C$2:C$36)</f>
        <v>East</v>
      </c>
      <c r="E7505" t="s">
        <v>18</v>
      </c>
      <c r="F7505" t="s">
        <v>410</v>
      </c>
      <c r="G7505" t="s">
        <v>46</v>
      </c>
      <c r="H7505" s="1">
        <v>43021</v>
      </c>
      <c r="I7505" s="1">
        <v>43023</v>
      </c>
      <c r="J7505">
        <v>0</v>
      </c>
    </row>
    <row r="7506" spans="1:10" x14ac:dyDescent="0.3">
      <c r="A7506" t="s">
        <v>7637</v>
      </c>
      <c r="B7506" t="s">
        <v>73</v>
      </c>
      <c r="C7506" t="str">
        <f>_xlfn.XLOOKUP(B7506,
[1]sales_teams!$A$2:$A$100,
[1]sales_teams!$B$2:$B$100)</f>
        <v>Cara Losch</v>
      </c>
      <c r="D7506" t="str">
        <f>_xlfn.XLOOKUP($B7506,sales_teams!$A$2:$A$36,sales_teams!C$2:C$36)</f>
        <v>East</v>
      </c>
      <c r="E7506" t="s">
        <v>18</v>
      </c>
      <c r="F7506" t="s">
        <v>373</v>
      </c>
      <c r="G7506" t="s">
        <v>12</v>
      </c>
      <c r="H7506" s="1">
        <v>43021</v>
      </c>
      <c r="I7506" s="1">
        <v>43032</v>
      </c>
      <c r="J7506">
        <v>53</v>
      </c>
    </row>
    <row r="7507" spans="1:10" x14ac:dyDescent="0.3">
      <c r="A7507" t="s">
        <v>7638</v>
      </c>
      <c r="B7507" t="s">
        <v>202</v>
      </c>
      <c r="C7507" t="str">
        <f>_xlfn.XLOOKUP(B7507,
[1]sales_teams!$A$2:$A$100,
[1]sales_teams!$B$2:$B$100)</f>
        <v>Dustin Brinkmann</v>
      </c>
      <c r="D7507" t="str">
        <f>_xlfn.XLOOKUP($B7507,sales_teams!$A$2:$A$36,sales_teams!C$2:C$36)</f>
        <v>Central</v>
      </c>
      <c r="E7507" t="s">
        <v>10</v>
      </c>
      <c r="F7507" t="s">
        <v>151</v>
      </c>
      <c r="G7507" t="s">
        <v>12</v>
      </c>
      <c r="H7507" s="1">
        <v>43022</v>
      </c>
      <c r="I7507" s="1">
        <v>43034</v>
      </c>
      <c r="J7507">
        <v>1168</v>
      </c>
    </row>
    <row r="7508" spans="1:10" x14ac:dyDescent="0.3">
      <c r="A7508" t="s">
        <v>7639</v>
      </c>
      <c r="B7508" t="s">
        <v>164</v>
      </c>
      <c r="C7508" t="str">
        <f>_xlfn.XLOOKUP(B7508,
[1]sales_teams!$A$2:$A$100,
[1]sales_teams!$B$2:$B$100)</f>
        <v>Cara Losch</v>
      </c>
      <c r="D7508" t="str">
        <f>_xlfn.XLOOKUP($B7508,sales_teams!$A$2:$A$36,sales_teams!C$2:C$36)</f>
        <v>East</v>
      </c>
      <c r="E7508" t="s">
        <v>20</v>
      </c>
      <c r="F7508" t="s">
        <v>103</v>
      </c>
      <c r="G7508" t="s">
        <v>12</v>
      </c>
      <c r="H7508" s="1">
        <v>43022</v>
      </c>
      <c r="I7508" s="1">
        <v>43056</v>
      </c>
      <c r="J7508">
        <v>560</v>
      </c>
    </row>
    <row r="7509" spans="1:10" x14ac:dyDescent="0.3">
      <c r="A7509" t="s">
        <v>7640</v>
      </c>
      <c r="B7509" t="s">
        <v>64</v>
      </c>
      <c r="C7509" t="str">
        <f>_xlfn.XLOOKUP(B7509,
[1]sales_teams!$A$2:$A$100,
[1]sales_teams!$B$2:$B$100)</f>
        <v>Rocco Neubert</v>
      </c>
      <c r="D7509" t="str">
        <f>_xlfn.XLOOKUP($B7509,sales_teams!$A$2:$A$36,sales_teams!C$2:C$36)</f>
        <v>East</v>
      </c>
      <c r="E7509" t="s">
        <v>10</v>
      </c>
      <c r="F7509" t="s">
        <v>237</v>
      </c>
      <c r="G7509" t="s">
        <v>46</v>
      </c>
      <c r="H7509" s="1">
        <v>43022</v>
      </c>
      <c r="I7509" s="1">
        <v>43099</v>
      </c>
      <c r="J7509">
        <v>0</v>
      </c>
    </row>
    <row r="7510" spans="1:10" x14ac:dyDescent="0.3">
      <c r="A7510" t="s">
        <v>7641</v>
      </c>
      <c r="B7510" t="s">
        <v>14</v>
      </c>
      <c r="C7510" t="str">
        <f>_xlfn.XLOOKUP(B7510,
[1]sales_teams!$A$2:$A$100,
[1]sales_teams!$B$2:$B$100)</f>
        <v>Melvin Marxen</v>
      </c>
      <c r="D7510" t="str">
        <f>_xlfn.XLOOKUP($B7510,sales_teams!$A$2:$A$36,sales_teams!C$2:C$36)</f>
        <v>Central</v>
      </c>
      <c r="E7510" t="s">
        <v>15</v>
      </c>
      <c r="F7510" t="s">
        <v>111</v>
      </c>
      <c r="G7510" t="s">
        <v>46</v>
      </c>
      <c r="H7510" s="1">
        <v>43022</v>
      </c>
      <c r="I7510" s="1">
        <v>43023</v>
      </c>
      <c r="J7510">
        <v>0</v>
      </c>
    </row>
    <row r="7511" spans="1:10" x14ac:dyDescent="0.3">
      <c r="A7511" t="s">
        <v>7642</v>
      </c>
      <c r="B7511" t="s">
        <v>14</v>
      </c>
      <c r="C7511" t="str">
        <f>_xlfn.XLOOKUP(B7511,
[1]sales_teams!$A$2:$A$100,
[1]sales_teams!$B$2:$B$100)</f>
        <v>Melvin Marxen</v>
      </c>
      <c r="D7511" t="str">
        <f>_xlfn.XLOOKUP($B7511,sales_teams!$A$2:$A$36,sales_teams!C$2:C$36)</f>
        <v>Central</v>
      </c>
      <c r="E7511" t="s">
        <v>18</v>
      </c>
      <c r="F7511" t="s">
        <v>42</v>
      </c>
      <c r="G7511" t="s">
        <v>46</v>
      </c>
      <c r="H7511" s="1">
        <v>43022</v>
      </c>
      <c r="I7511" s="1">
        <v>43029</v>
      </c>
      <c r="J7511">
        <v>0</v>
      </c>
    </row>
    <row r="7512" spans="1:10" x14ac:dyDescent="0.3">
      <c r="A7512" t="s">
        <v>7643</v>
      </c>
      <c r="B7512" t="s">
        <v>14</v>
      </c>
      <c r="C7512" t="str">
        <f>_xlfn.XLOOKUP(B7512,
[1]sales_teams!$A$2:$A$100,
[1]sales_teams!$B$2:$B$100)</f>
        <v>Melvin Marxen</v>
      </c>
      <c r="D7512" t="str">
        <f>_xlfn.XLOOKUP($B7512,sales_teams!$A$2:$A$36,sales_teams!C$2:C$36)</f>
        <v>Central</v>
      </c>
      <c r="E7512" t="s">
        <v>15</v>
      </c>
      <c r="F7512" t="s">
        <v>197</v>
      </c>
      <c r="G7512" t="s">
        <v>12</v>
      </c>
      <c r="H7512" s="1">
        <v>43022</v>
      </c>
      <c r="I7512" s="1">
        <v>43026</v>
      </c>
      <c r="J7512">
        <v>4810</v>
      </c>
    </row>
    <row r="7513" spans="1:10" x14ac:dyDescent="0.3">
      <c r="A7513" t="s">
        <v>7644</v>
      </c>
      <c r="B7513" t="s">
        <v>142</v>
      </c>
      <c r="C7513" t="str">
        <f>_xlfn.XLOOKUP(B7513,
[1]sales_teams!$A$2:$A$100,
[1]sales_teams!$B$2:$B$100)</f>
        <v>Rocco Neubert</v>
      </c>
      <c r="D7513" t="str">
        <f>_xlfn.XLOOKUP($B7513,sales_teams!$A$2:$A$36,sales_teams!C$2:C$36)</f>
        <v>East</v>
      </c>
      <c r="E7513" t="s">
        <v>18</v>
      </c>
      <c r="F7513" t="s">
        <v>410</v>
      </c>
      <c r="G7513" t="s">
        <v>46</v>
      </c>
      <c r="H7513" s="1">
        <v>43022</v>
      </c>
      <c r="I7513" s="1">
        <v>43040</v>
      </c>
      <c r="J7513">
        <v>0</v>
      </c>
    </row>
    <row r="7514" spans="1:10" x14ac:dyDescent="0.3">
      <c r="A7514" t="s">
        <v>7645</v>
      </c>
      <c r="B7514" t="s">
        <v>142</v>
      </c>
      <c r="C7514" t="str">
        <f>_xlfn.XLOOKUP(B7514,
[1]sales_teams!$A$2:$A$100,
[1]sales_teams!$B$2:$B$100)</f>
        <v>Rocco Neubert</v>
      </c>
      <c r="D7514" t="str">
        <f>_xlfn.XLOOKUP($B7514,sales_teams!$A$2:$A$36,sales_teams!C$2:C$36)</f>
        <v>East</v>
      </c>
      <c r="E7514" t="s">
        <v>15</v>
      </c>
      <c r="F7514" t="s">
        <v>143</v>
      </c>
      <c r="G7514" t="s">
        <v>12</v>
      </c>
      <c r="H7514" s="1">
        <v>43022</v>
      </c>
      <c r="I7514" s="1">
        <v>43032</v>
      </c>
      <c r="J7514">
        <v>4521</v>
      </c>
    </row>
    <row r="7515" spans="1:10" x14ac:dyDescent="0.3">
      <c r="A7515" t="s">
        <v>7646</v>
      </c>
      <c r="B7515" t="s">
        <v>105</v>
      </c>
      <c r="C7515" t="str">
        <f>_xlfn.XLOOKUP(B7515,
[1]sales_teams!$A$2:$A$100,
[1]sales_teams!$B$2:$B$100)</f>
        <v>Cara Losch</v>
      </c>
      <c r="D7515" t="str">
        <f>_xlfn.XLOOKUP($B7515,sales_teams!$A$2:$A$36,sales_teams!C$2:C$36)</f>
        <v>East</v>
      </c>
      <c r="E7515" t="s">
        <v>20</v>
      </c>
      <c r="F7515" t="s">
        <v>140</v>
      </c>
      <c r="G7515" t="s">
        <v>46</v>
      </c>
      <c r="H7515" s="1">
        <v>43022</v>
      </c>
      <c r="I7515" s="1">
        <v>43026</v>
      </c>
      <c r="J7515">
        <v>0</v>
      </c>
    </row>
    <row r="7516" spans="1:10" x14ac:dyDescent="0.3">
      <c r="A7516" t="s">
        <v>7647</v>
      </c>
      <c r="B7516" t="s">
        <v>105</v>
      </c>
      <c r="C7516" t="str">
        <f>_xlfn.XLOOKUP(B7516,
[1]sales_teams!$A$2:$A$100,
[1]sales_teams!$B$2:$B$100)</f>
        <v>Cara Losch</v>
      </c>
      <c r="D7516" t="str">
        <f>_xlfn.XLOOKUP($B7516,sales_teams!$A$2:$A$36,sales_teams!C$2:C$36)</f>
        <v>East</v>
      </c>
      <c r="E7516" t="s">
        <v>10</v>
      </c>
      <c r="F7516" t="s">
        <v>209</v>
      </c>
      <c r="G7516" t="s">
        <v>46</v>
      </c>
      <c r="H7516" s="1">
        <v>43022</v>
      </c>
      <c r="I7516" s="1">
        <v>43023</v>
      </c>
      <c r="J7516">
        <v>0</v>
      </c>
    </row>
    <row r="7517" spans="1:10" x14ac:dyDescent="0.3">
      <c r="A7517" t="s">
        <v>7648</v>
      </c>
      <c r="B7517" t="s">
        <v>54</v>
      </c>
      <c r="C7517" t="str">
        <f>_xlfn.XLOOKUP(B7517,
[1]sales_teams!$A$2:$A$100,
[1]sales_teams!$B$2:$B$100)</f>
        <v>Celia Rouche</v>
      </c>
      <c r="D7517" t="str">
        <f>_xlfn.XLOOKUP($B7517,sales_teams!$A$2:$A$36,sales_teams!C$2:C$36)</f>
        <v>West</v>
      </c>
      <c r="E7517" t="s">
        <v>10</v>
      </c>
      <c r="F7517" t="s">
        <v>24</v>
      </c>
      <c r="G7517" t="s">
        <v>12</v>
      </c>
      <c r="H7517" s="1">
        <v>43022</v>
      </c>
      <c r="I7517" s="1">
        <v>43023</v>
      </c>
      <c r="J7517">
        <v>881</v>
      </c>
    </row>
    <row r="7518" spans="1:10" x14ac:dyDescent="0.3">
      <c r="A7518" t="s">
        <v>7649</v>
      </c>
      <c r="B7518" t="s">
        <v>38</v>
      </c>
      <c r="C7518" t="str">
        <f>_xlfn.XLOOKUP(B7518,
[1]sales_teams!$A$2:$A$100,
[1]sales_teams!$B$2:$B$100)</f>
        <v>Summer Sewald</v>
      </c>
      <c r="D7518" t="str">
        <f>_xlfn.XLOOKUP($B7518,sales_teams!$A$2:$A$36,sales_teams!C$2:C$36)</f>
        <v>West</v>
      </c>
      <c r="E7518" t="s">
        <v>20</v>
      </c>
      <c r="F7518" t="s">
        <v>55</v>
      </c>
      <c r="G7518" t="s">
        <v>46</v>
      </c>
      <c r="H7518" s="1">
        <v>43022</v>
      </c>
      <c r="I7518" s="1">
        <v>43069</v>
      </c>
      <c r="J7518">
        <v>0</v>
      </c>
    </row>
    <row r="7519" spans="1:10" x14ac:dyDescent="0.3">
      <c r="A7519" t="s">
        <v>7650</v>
      </c>
      <c r="B7519" t="s">
        <v>252</v>
      </c>
      <c r="C7519" t="str">
        <f>_xlfn.XLOOKUP(B7519,
[1]sales_teams!$A$2:$A$100,
[1]sales_teams!$B$2:$B$100)</f>
        <v>Melvin Marxen</v>
      </c>
      <c r="D7519" t="str">
        <f>_xlfn.XLOOKUP($B7519,sales_teams!$A$2:$A$36,sales_teams!C$2:C$36)</f>
        <v>Central</v>
      </c>
      <c r="E7519" t="s">
        <v>20</v>
      </c>
      <c r="F7519" t="s">
        <v>120</v>
      </c>
      <c r="G7519" t="s">
        <v>12</v>
      </c>
      <c r="H7519" s="1">
        <v>43022</v>
      </c>
      <c r="I7519" s="1">
        <v>43030</v>
      </c>
      <c r="J7519">
        <v>472</v>
      </c>
    </row>
    <row r="7520" spans="1:10" x14ac:dyDescent="0.3">
      <c r="A7520" t="s">
        <v>7651</v>
      </c>
      <c r="B7520" t="s">
        <v>78</v>
      </c>
      <c r="C7520" t="str">
        <f>_xlfn.XLOOKUP(B7520,
[1]sales_teams!$A$2:$A$100,
[1]sales_teams!$B$2:$B$100)</f>
        <v>Summer Sewald</v>
      </c>
      <c r="D7520" t="str">
        <f>_xlfn.XLOOKUP($B7520,sales_teams!$A$2:$A$36,sales_teams!C$2:C$36)</f>
        <v>West</v>
      </c>
      <c r="E7520" t="s">
        <v>20</v>
      </c>
      <c r="F7520" t="s">
        <v>555</v>
      </c>
      <c r="G7520" t="s">
        <v>12</v>
      </c>
      <c r="H7520" s="1">
        <v>43022</v>
      </c>
      <c r="I7520" s="1">
        <v>43072</v>
      </c>
      <c r="J7520">
        <v>562</v>
      </c>
    </row>
    <row r="7521" spans="1:10" x14ac:dyDescent="0.3">
      <c r="A7521" t="s">
        <v>7652</v>
      </c>
      <c r="B7521" t="s">
        <v>133</v>
      </c>
      <c r="C7521" t="str">
        <f>_xlfn.XLOOKUP(B7521,
[1]sales_teams!$A$2:$A$100,
[1]sales_teams!$B$2:$B$100)</f>
        <v>Dustin Brinkmann</v>
      </c>
      <c r="D7521" t="str">
        <f>_xlfn.XLOOKUP($B7521,sales_teams!$A$2:$A$36,sales_teams!C$2:C$36)</f>
        <v>Central</v>
      </c>
      <c r="E7521" t="s">
        <v>20</v>
      </c>
      <c r="F7521" t="s">
        <v>120</v>
      </c>
      <c r="G7521" t="s">
        <v>46</v>
      </c>
      <c r="H7521" s="1">
        <v>43022</v>
      </c>
      <c r="I7521" s="1">
        <v>43028</v>
      </c>
      <c r="J7521">
        <v>0</v>
      </c>
    </row>
    <row r="7522" spans="1:10" x14ac:dyDescent="0.3">
      <c r="A7522" t="s">
        <v>7653</v>
      </c>
      <c r="B7522" t="s">
        <v>133</v>
      </c>
      <c r="C7522" t="str">
        <f>_xlfn.XLOOKUP(B7522,
[1]sales_teams!$A$2:$A$100,
[1]sales_teams!$B$2:$B$100)</f>
        <v>Dustin Brinkmann</v>
      </c>
      <c r="D7522" t="str">
        <f>_xlfn.XLOOKUP($B7522,sales_teams!$A$2:$A$36,sales_teams!C$2:C$36)</f>
        <v>Central</v>
      </c>
      <c r="E7522" t="s">
        <v>18</v>
      </c>
      <c r="F7522" t="s">
        <v>170</v>
      </c>
      <c r="G7522" t="s">
        <v>12</v>
      </c>
      <c r="H7522" s="1">
        <v>43022</v>
      </c>
      <c r="I7522" s="1">
        <v>43024</v>
      </c>
      <c r="J7522">
        <v>42</v>
      </c>
    </row>
    <row r="7523" spans="1:10" x14ac:dyDescent="0.3">
      <c r="A7523" t="s">
        <v>7654</v>
      </c>
      <c r="B7523" t="s">
        <v>116</v>
      </c>
      <c r="C7523" t="str">
        <f>_xlfn.XLOOKUP(B7523,
[1]sales_teams!$A$2:$A$100,
[1]sales_teams!$B$2:$B$100)</f>
        <v>Melvin Marxen</v>
      </c>
      <c r="D7523" t="str">
        <f>_xlfn.XLOOKUP($B7523,sales_teams!$A$2:$A$36,sales_teams!C$2:C$36)</f>
        <v>Central</v>
      </c>
      <c r="E7523" t="s">
        <v>15</v>
      </c>
      <c r="F7523" t="s">
        <v>492</v>
      </c>
      <c r="G7523" t="s">
        <v>46</v>
      </c>
      <c r="H7523" s="1">
        <v>43022</v>
      </c>
      <c r="I7523" s="1">
        <v>43026</v>
      </c>
      <c r="J7523">
        <v>0</v>
      </c>
    </row>
    <row r="7524" spans="1:10" x14ac:dyDescent="0.3">
      <c r="A7524" t="s">
        <v>7655</v>
      </c>
      <c r="B7524" t="s">
        <v>116</v>
      </c>
      <c r="C7524" t="str">
        <f>_xlfn.XLOOKUP(B7524,
[1]sales_teams!$A$2:$A$100,
[1]sales_teams!$B$2:$B$100)</f>
        <v>Melvin Marxen</v>
      </c>
      <c r="D7524" t="str">
        <f>_xlfn.XLOOKUP($B7524,sales_teams!$A$2:$A$36,sales_teams!C$2:C$36)</f>
        <v>Central</v>
      </c>
      <c r="E7524" t="s">
        <v>20</v>
      </c>
      <c r="F7524" t="s">
        <v>197</v>
      </c>
      <c r="G7524" t="s">
        <v>12</v>
      </c>
      <c r="H7524" s="1">
        <v>43022</v>
      </c>
      <c r="I7524" s="1">
        <v>43095</v>
      </c>
      <c r="J7524">
        <v>615</v>
      </c>
    </row>
    <row r="7525" spans="1:10" x14ac:dyDescent="0.3">
      <c r="A7525" t="s">
        <v>7656</v>
      </c>
      <c r="B7525" t="s">
        <v>35</v>
      </c>
      <c r="C7525" t="str">
        <f>_xlfn.XLOOKUP(B7525,
[1]sales_teams!$A$2:$A$100,
[1]sales_teams!$B$2:$B$100)</f>
        <v>Melvin Marxen</v>
      </c>
      <c r="D7525" t="str">
        <f>_xlfn.XLOOKUP($B7525,sales_teams!$A$2:$A$36,sales_teams!C$2:C$36)</f>
        <v>Central</v>
      </c>
      <c r="E7525" t="s">
        <v>10</v>
      </c>
      <c r="F7525" t="s">
        <v>27</v>
      </c>
      <c r="G7525" t="s">
        <v>46</v>
      </c>
      <c r="H7525" s="1">
        <v>43022</v>
      </c>
      <c r="I7525" s="1">
        <v>43100</v>
      </c>
      <c r="J7525">
        <v>0</v>
      </c>
    </row>
    <row r="7526" spans="1:10" x14ac:dyDescent="0.3">
      <c r="A7526" t="s">
        <v>7657</v>
      </c>
      <c r="B7526" t="s">
        <v>57</v>
      </c>
      <c r="C7526" t="str">
        <f>_xlfn.XLOOKUP(B7526,
[1]sales_teams!$A$2:$A$100,
[1]sales_teams!$B$2:$B$100)</f>
        <v>Celia Rouche</v>
      </c>
      <c r="D7526" t="str">
        <f>_xlfn.XLOOKUP($B7526,sales_teams!$A$2:$A$36,sales_teams!C$2:C$36)</f>
        <v>West</v>
      </c>
      <c r="E7526" t="s">
        <v>39</v>
      </c>
      <c r="F7526" t="s">
        <v>555</v>
      </c>
      <c r="G7526" t="s">
        <v>46</v>
      </c>
      <c r="H7526" s="1">
        <v>43022</v>
      </c>
      <c r="I7526" s="1">
        <v>43031</v>
      </c>
      <c r="J7526">
        <v>0</v>
      </c>
    </row>
    <row r="7527" spans="1:10" x14ac:dyDescent="0.3">
      <c r="A7527" t="s">
        <v>7658</v>
      </c>
      <c r="B7527" t="s">
        <v>61</v>
      </c>
      <c r="C7527" t="str">
        <f>_xlfn.XLOOKUP(B7527,
[1]sales_teams!$A$2:$A$100,
[1]sales_teams!$B$2:$B$100)</f>
        <v>Dustin Brinkmann</v>
      </c>
      <c r="D7527" t="str">
        <f>_xlfn.XLOOKUP($B7527,sales_teams!$A$2:$A$36,sales_teams!C$2:C$36)</f>
        <v>Central</v>
      </c>
      <c r="E7527" t="s">
        <v>18</v>
      </c>
      <c r="F7527" t="s">
        <v>231</v>
      </c>
      <c r="G7527" t="s">
        <v>12</v>
      </c>
      <c r="H7527" s="1">
        <v>43022</v>
      </c>
      <c r="I7527" s="1">
        <v>43030</v>
      </c>
      <c r="J7527">
        <v>58</v>
      </c>
    </row>
    <row r="7528" spans="1:10" x14ac:dyDescent="0.3">
      <c r="A7528" t="s">
        <v>7659</v>
      </c>
      <c r="B7528" t="s">
        <v>29</v>
      </c>
      <c r="C7528" t="str">
        <f>_xlfn.XLOOKUP(B7528,
[1]sales_teams!$A$2:$A$100,
[1]sales_teams!$B$2:$B$100)</f>
        <v>Celia Rouche</v>
      </c>
      <c r="D7528" t="str">
        <f>_xlfn.XLOOKUP($B7528,sales_teams!$A$2:$A$36,sales_teams!C$2:C$36)</f>
        <v>West</v>
      </c>
      <c r="E7528" t="s">
        <v>48</v>
      </c>
      <c r="G7528" t="s">
        <v>40</v>
      </c>
      <c r="H7528" s="1">
        <v>43022</v>
      </c>
    </row>
    <row r="7529" spans="1:10" x14ac:dyDescent="0.3">
      <c r="A7529" t="s">
        <v>7660</v>
      </c>
      <c r="B7529" t="s">
        <v>29</v>
      </c>
      <c r="C7529" t="str">
        <f>_xlfn.XLOOKUP(B7529,
[1]sales_teams!$A$2:$A$100,
[1]sales_teams!$B$2:$B$100)</f>
        <v>Celia Rouche</v>
      </c>
      <c r="D7529" t="str">
        <f>_xlfn.XLOOKUP($B7529,sales_teams!$A$2:$A$36,sales_teams!C$2:C$36)</f>
        <v>West</v>
      </c>
      <c r="E7529" t="s">
        <v>18</v>
      </c>
      <c r="F7529" t="s">
        <v>100</v>
      </c>
      <c r="G7529" t="s">
        <v>46</v>
      </c>
      <c r="H7529" s="1">
        <v>43022</v>
      </c>
      <c r="I7529" s="1">
        <v>43040</v>
      </c>
      <c r="J7529">
        <v>0</v>
      </c>
    </row>
    <row r="7530" spans="1:10" x14ac:dyDescent="0.3">
      <c r="A7530" t="s">
        <v>7661</v>
      </c>
      <c r="B7530" t="s">
        <v>23</v>
      </c>
      <c r="C7530" t="str">
        <f>_xlfn.XLOOKUP(B7530,
[1]sales_teams!$A$2:$A$100,
[1]sales_teams!$B$2:$B$100)</f>
        <v>Summer Sewald</v>
      </c>
      <c r="D7530" t="str">
        <f>_xlfn.XLOOKUP($B7530,sales_teams!$A$2:$A$36,sales_teams!C$2:C$36)</f>
        <v>West</v>
      </c>
      <c r="E7530" t="s">
        <v>48</v>
      </c>
      <c r="F7530" t="s">
        <v>24</v>
      </c>
      <c r="G7530" t="s">
        <v>46</v>
      </c>
      <c r="H7530" s="1">
        <v>43022</v>
      </c>
      <c r="I7530" s="1">
        <v>43031</v>
      </c>
      <c r="J7530">
        <v>0</v>
      </c>
    </row>
    <row r="7531" spans="1:10" x14ac:dyDescent="0.3">
      <c r="A7531" t="s">
        <v>7662</v>
      </c>
      <c r="B7531" t="s">
        <v>23</v>
      </c>
      <c r="C7531" t="str">
        <f>_xlfn.XLOOKUP(B7531,
[1]sales_teams!$A$2:$A$100,
[1]sales_teams!$B$2:$B$100)</f>
        <v>Summer Sewald</v>
      </c>
      <c r="D7531" t="str">
        <f>_xlfn.XLOOKUP($B7531,sales_teams!$A$2:$A$36,sales_teams!C$2:C$36)</f>
        <v>West</v>
      </c>
      <c r="E7531" t="s">
        <v>15</v>
      </c>
      <c r="F7531" t="s">
        <v>93</v>
      </c>
      <c r="G7531" t="s">
        <v>12</v>
      </c>
      <c r="H7531" s="1">
        <v>43022</v>
      </c>
      <c r="I7531" s="1">
        <v>43023</v>
      </c>
      <c r="J7531">
        <v>4882</v>
      </c>
    </row>
    <row r="7532" spans="1:10" x14ac:dyDescent="0.3">
      <c r="A7532" t="s">
        <v>7663</v>
      </c>
      <c r="B7532" t="s">
        <v>26</v>
      </c>
      <c r="C7532" t="str">
        <f>_xlfn.XLOOKUP(B7532,
[1]sales_teams!$A$2:$A$100,
[1]sales_teams!$B$2:$B$100)</f>
        <v>Dustin Brinkmann</v>
      </c>
      <c r="D7532" t="str">
        <f>_xlfn.XLOOKUP($B7532,sales_teams!$A$2:$A$36,sales_teams!C$2:C$36)</f>
        <v>Central</v>
      </c>
      <c r="E7532" t="s">
        <v>18</v>
      </c>
      <c r="F7532" t="s">
        <v>16</v>
      </c>
      <c r="G7532" t="s">
        <v>46</v>
      </c>
      <c r="H7532" s="1">
        <v>43023</v>
      </c>
      <c r="I7532" s="1">
        <v>43032</v>
      </c>
      <c r="J7532">
        <v>0</v>
      </c>
    </row>
    <row r="7533" spans="1:10" x14ac:dyDescent="0.3">
      <c r="A7533" t="s">
        <v>7664</v>
      </c>
      <c r="B7533" t="s">
        <v>118</v>
      </c>
      <c r="C7533" t="str">
        <f>_xlfn.XLOOKUP(B7533,
[1]sales_teams!$A$2:$A$100,
[1]sales_teams!$B$2:$B$100)</f>
        <v>Rocco Neubert</v>
      </c>
      <c r="D7533" t="str">
        <f>_xlfn.XLOOKUP($B7533,sales_teams!$A$2:$A$36,sales_teams!C$2:C$36)</f>
        <v>East</v>
      </c>
      <c r="E7533" t="s">
        <v>15</v>
      </c>
      <c r="F7533" t="s">
        <v>170</v>
      </c>
      <c r="G7533" t="s">
        <v>40</v>
      </c>
      <c r="H7533" s="1">
        <v>43023</v>
      </c>
    </row>
    <row r="7534" spans="1:10" x14ac:dyDescent="0.3">
      <c r="A7534" t="s">
        <v>7665</v>
      </c>
      <c r="B7534" t="s">
        <v>118</v>
      </c>
      <c r="C7534" t="str">
        <f>_xlfn.XLOOKUP(B7534,
[1]sales_teams!$A$2:$A$100,
[1]sales_teams!$B$2:$B$100)</f>
        <v>Rocco Neubert</v>
      </c>
      <c r="D7534" t="str">
        <f>_xlfn.XLOOKUP($B7534,sales_teams!$A$2:$A$36,sales_teams!C$2:C$36)</f>
        <v>East</v>
      </c>
      <c r="E7534" t="s">
        <v>48</v>
      </c>
      <c r="F7534" t="s">
        <v>89</v>
      </c>
      <c r="G7534" t="s">
        <v>46</v>
      </c>
      <c r="H7534" s="1">
        <v>43023</v>
      </c>
      <c r="I7534" s="1">
        <v>43032</v>
      </c>
      <c r="J7534">
        <v>0</v>
      </c>
    </row>
    <row r="7535" spans="1:10" x14ac:dyDescent="0.3">
      <c r="A7535" t="s">
        <v>7666</v>
      </c>
      <c r="B7535" t="s">
        <v>202</v>
      </c>
      <c r="C7535" t="str">
        <f>_xlfn.XLOOKUP(B7535,
[1]sales_teams!$A$2:$A$100,
[1]sales_teams!$B$2:$B$100)</f>
        <v>Dustin Brinkmann</v>
      </c>
      <c r="D7535" t="str">
        <f>_xlfn.XLOOKUP($B7535,sales_teams!$A$2:$A$36,sales_teams!C$2:C$36)</f>
        <v>Central</v>
      </c>
      <c r="E7535" t="s">
        <v>39</v>
      </c>
      <c r="F7535" t="s">
        <v>492</v>
      </c>
      <c r="G7535" t="s">
        <v>46</v>
      </c>
      <c r="H7535" s="1">
        <v>43023</v>
      </c>
      <c r="I7535" s="1">
        <v>43024</v>
      </c>
      <c r="J7535">
        <v>0</v>
      </c>
    </row>
    <row r="7536" spans="1:10" x14ac:dyDescent="0.3">
      <c r="A7536" t="s">
        <v>7667</v>
      </c>
      <c r="B7536" t="s">
        <v>64</v>
      </c>
      <c r="C7536" t="str">
        <f>_xlfn.XLOOKUP(B7536,
[1]sales_teams!$A$2:$A$100,
[1]sales_teams!$B$2:$B$100)</f>
        <v>Rocco Neubert</v>
      </c>
      <c r="D7536" t="str">
        <f>_xlfn.XLOOKUP($B7536,sales_teams!$A$2:$A$36,sales_teams!C$2:C$36)</f>
        <v>East</v>
      </c>
      <c r="E7536" t="s">
        <v>48</v>
      </c>
      <c r="F7536" t="s">
        <v>81</v>
      </c>
      <c r="G7536" t="s">
        <v>46</v>
      </c>
      <c r="H7536" s="1">
        <v>43023</v>
      </c>
      <c r="I7536" s="1">
        <v>43033</v>
      </c>
      <c r="J7536">
        <v>0</v>
      </c>
    </row>
    <row r="7537" spans="1:10" x14ac:dyDescent="0.3">
      <c r="A7537" t="s">
        <v>7668</v>
      </c>
      <c r="B7537" t="s">
        <v>64</v>
      </c>
      <c r="C7537" t="str">
        <f>_xlfn.XLOOKUP(B7537,
[1]sales_teams!$A$2:$A$100,
[1]sales_teams!$B$2:$B$100)</f>
        <v>Rocco Neubert</v>
      </c>
      <c r="D7537" t="str">
        <f>_xlfn.XLOOKUP($B7537,sales_teams!$A$2:$A$36,sales_teams!C$2:C$36)</f>
        <v>East</v>
      </c>
      <c r="E7537" t="s">
        <v>15</v>
      </c>
      <c r="F7537" t="s">
        <v>179</v>
      </c>
      <c r="G7537" t="s">
        <v>12</v>
      </c>
      <c r="H7537" s="1">
        <v>43023</v>
      </c>
      <c r="I7537" s="1">
        <v>43040</v>
      </c>
      <c r="J7537">
        <v>5113</v>
      </c>
    </row>
    <row r="7538" spans="1:10" x14ac:dyDescent="0.3">
      <c r="A7538" t="s">
        <v>7669</v>
      </c>
      <c r="B7538" t="s">
        <v>14</v>
      </c>
      <c r="C7538" t="str">
        <f>_xlfn.XLOOKUP(B7538,
[1]sales_teams!$A$2:$A$100,
[1]sales_teams!$B$2:$B$100)</f>
        <v>Melvin Marxen</v>
      </c>
      <c r="D7538" t="str">
        <f>_xlfn.XLOOKUP($B7538,sales_teams!$A$2:$A$36,sales_teams!C$2:C$36)</f>
        <v>Central</v>
      </c>
      <c r="E7538" t="s">
        <v>10</v>
      </c>
      <c r="F7538" t="s">
        <v>27</v>
      </c>
      <c r="G7538" t="s">
        <v>12</v>
      </c>
      <c r="H7538" s="1">
        <v>43023</v>
      </c>
      <c r="I7538" s="1">
        <v>43024</v>
      </c>
      <c r="J7538">
        <v>1154</v>
      </c>
    </row>
    <row r="7539" spans="1:10" x14ac:dyDescent="0.3">
      <c r="A7539" t="s">
        <v>7670</v>
      </c>
      <c r="B7539" t="s">
        <v>14</v>
      </c>
      <c r="C7539" t="str">
        <f>_xlfn.XLOOKUP(B7539,
[1]sales_teams!$A$2:$A$100,
[1]sales_teams!$B$2:$B$100)</f>
        <v>Melvin Marxen</v>
      </c>
      <c r="D7539" t="str">
        <f>_xlfn.XLOOKUP($B7539,sales_teams!$A$2:$A$36,sales_teams!C$2:C$36)</f>
        <v>Central</v>
      </c>
      <c r="E7539" t="s">
        <v>15</v>
      </c>
      <c r="F7539" t="s">
        <v>197</v>
      </c>
      <c r="G7539" t="s">
        <v>12</v>
      </c>
      <c r="H7539" s="1">
        <v>43023</v>
      </c>
      <c r="I7539" s="1">
        <v>43024</v>
      </c>
      <c r="J7539">
        <v>4885</v>
      </c>
    </row>
    <row r="7540" spans="1:10" x14ac:dyDescent="0.3">
      <c r="A7540" t="s">
        <v>7671</v>
      </c>
      <c r="B7540" t="s">
        <v>14</v>
      </c>
      <c r="C7540" t="str">
        <f>_xlfn.XLOOKUP(B7540,
[1]sales_teams!$A$2:$A$100,
[1]sales_teams!$B$2:$B$100)</f>
        <v>Melvin Marxen</v>
      </c>
      <c r="D7540" t="str">
        <f>_xlfn.XLOOKUP($B7540,sales_teams!$A$2:$A$36,sales_teams!C$2:C$36)</f>
        <v>Central</v>
      </c>
      <c r="E7540" t="s">
        <v>15</v>
      </c>
      <c r="F7540" t="s">
        <v>492</v>
      </c>
      <c r="G7540" t="s">
        <v>12</v>
      </c>
      <c r="H7540" s="1">
        <v>43023</v>
      </c>
      <c r="I7540" s="1">
        <v>43024</v>
      </c>
      <c r="J7540">
        <v>4936</v>
      </c>
    </row>
    <row r="7541" spans="1:10" x14ac:dyDescent="0.3">
      <c r="A7541" t="s">
        <v>7672</v>
      </c>
      <c r="B7541" t="s">
        <v>142</v>
      </c>
      <c r="C7541" t="str">
        <f>_xlfn.XLOOKUP(B7541,
[1]sales_teams!$A$2:$A$100,
[1]sales_teams!$B$2:$B$100)</f>
        <v>Rocco Neubert</v>
      </c>
      <c r="D7541" t="str">
        <f>_xlfn.XLOOKUP($B7541,sales_teams!$A$2:$A$36,sales_teams!C$2:C$36)</f>
        <v>East</v>
      </c>
      <c r="E7541" t="s">
        <v>10</v>
      </c>
      <c r="F7541" t="s">
        <v>218</v>
      </c>
      <c r="G7541" t="s">
        <v>12</v>
      </c>
      <c r="H7541" s="1">
        <v>43023</v>
      </c>
      <c r="I7541" s="1">
        <v>43036</v>
      </c>
      <c r="J7541">
        <v>1062</v>
      </c>
    </row>
    <row r="7542" spans="1:10" x14ac:dyDescent="0.3">
      <c r="A7542" t="s">
        <v>7673</v>
      </c>
      <c r="B7542" t="s">
        <v>44</v>
      </c>
      <c r="C7542" t="str">
        <f>_xlfn.XLOOKUP(B7542,
[1]sales_teams!$A$2:$A$100,
[1]sales_teams!$B$2:$B$100)</f>
        <v>Melvin Marxen</v>
      </c>
      <c r="D7542" t="str">
        <f>_xlfn.XLOOKUP($B7542,sales_teams!$A$2:$A$36,sales_teams!C$2:C$36)</f>
        <v>Central</v>
      </c>
      <c r="E7542" t="s">
        <v>15</v>
      </c>
      <c r="F7542" t="s">
        <v>21</v>
      </c>
      <c r="G7542" t="s">
        <v>46</v>
      </c>
      <c r="H7542" s="1">
        <v>43023</v>
      </c>
      <c r="I7542" s="1">
        <v>43027</v>
      </c>
      <c r="J7542">
        <v>0</v>
      </c>
    </row>
    <row r="7543" spans="1:10" x14ac:dyDescent="0.3">
      <c r="A7543" t="s">
        <v>7674</v>
      </c>
      <c r="B7543" t="s">
        <v>54</v>
      </c>
      <c r="C7543" t="str">
        <f>_xlfn.XLOOKUP(B7543,
[1]sales_teams!$A$2:$A$100,
[1]sales_teams!$B$2:$B$100)</f>
        <v>Celia Rouche</v>
      </c>
      <c r="D7543" t="str">
        <f>_xlfn.XLOOKUP($B7543,sales_teams!$A$2:$A$36,sales_teams!C$2:C$36)</f>
        <v>West</v>
      </c>
      <c r="E7543" t="s">
        <v>18</v>
      </c>
      <c r="F7543" t="s">
        <v>194</v>
      </c>
      <c r="G7543" t="s">
        <v>46</v>
      </c>
      <c r="H7543" s="1">
        <v>43023</v>
      </c>
      <c r="I7543" s="1">
        <v>43029</v>
      </c>
      <c r="J7543">
        <v>0</v>
      </c>
    </row>
    <row r="7544" spans="1:10" x14ac:dyDescent="0.3">
      <c r="A7544" t="s">
        <v>7675</v>
      </c>
      <c r="B7544" t="s">
        <v>54</v>
      </c>
      <c r="C7544" t="str">
        <f>_xlfn.XLOOKUP(B7544,
[1]sales_teams!$A$2:$A$100,
[1]sales_teams!$B$2:$B$100)</f>
        <v>Celia Rouche</v>
      </c>
      <c r="D7544" t="str">
        <f>_xlfn.XLOOKUP($B7544,sales_teams!$A$2:$A$36,sales_teams!C$2:C$36)</f>
        <v>West</v>
      </c>
      <c r="E7544" t="s">
        <v>10</v>
      </c>
      <c r="F7544" t="s">
        <v>398</v>
      </c>
      <c r="G7544" t="s">
        <v>12</v>
      </c>
      <c r="H7544" s="1">
        <v>43023</v>
      </c>
      <c r="I7544" s="1">
        <v>43089</v>
      </c>
      <c r="J7544">
        <v>954</v>
      </c>
    </row>
    <row r="7545" spans="1:10" x14ac:dyDescent="0.3">
      <c r="A7545" t="s">
        <v>7676</v>
      </c>
      <c r="B7545" t="s">
        <v>95</v>
      </c>
      <c r="C7545" t="str">
        <f>_xlfn.XLOOKUP(B7545,
[1]sales_teams!$A$2:$A$100,
[1]sales_teams!$B$2:$B$100)</f>
        <v>Summer Sewald</v>
      </c>
      <c r="D7545" t="str">
        <f>_xlfn.XLOOKUP($B7545,sales_teams!$A$2:$A$36,sales_teams!C$2:C$36)</f>
        <v>West</v>
      </c>
      <c r="E7545" t="s">
        <v>20</v>
      </c>
      <c r="F7545" t="s">
        <v>55</v>
      </c>
      <c r="G7545" t="s">
        <v>46</v>
      </c>
      <c r="H7545" s="1">
        <v>43023</v>
      </c>
      <c r="I7545" s="1">
        <v>43031</v>
      </c>
      <c r="J7545">
        <v>0</v>
      </c>
    </row>
    <row r="7546" spans="1:10" x14ac:dyDescent="0.3">
      <c r="A7546" t="s">
        <v>7677</v>
      </c>
      <c r="B7546" t="s">
        <v>95</v>
      </c>
      <c r="C7546" t="str">
        <f>_xlfn.XLOOKUP(B7546,
[1]sales_teams!$A$2:$A$100,
[1]sales_teams!$B$2:$B$100)</f>
        <v>Summer Sewald</v>
      </c>
      <c r="D7546" t="str">
        <f>_xlfn.XLOOKUP($B7546,sales_teams!$A$2:$A$36,sales_teams!C$2:C$36)</f>
        <v>West</v>
      </c>
      <c r="E7546" t="s">
        <v>20</v>
      </c>
      <c r="F7546" t="s">
        <v>199</v>
      </c>
      <c r="G7546" t="s">
        <v>46</v>
      </c>
      <c r="H7546" s="1">
        <v>43023</v>
      </c>
      <c r="I7546" s="1">
        <v>43034</v>
      </c>
      <c r="J7546">
        <v>0</v>
      </c>
    </row>
    <row r="7547" spans="1:10" x14ac:dyDescent="0.3">
      <c r="A7547" t="s">
        <v>7678</v>
      </c>
      <c r="B7547" t="s">
        <v>95</v>
      </c>
      <c r="C7547" t="str">
        <f>_xlfn.XLOOKUP(B7547,
[1]sales_teams!$A$2:$A$100,
[1]sales_teams!$B$2:$B$100)</f>
        <v>Summer Sewald</v>
      </c>
      <c r="D7547" t="str">
        <f>_xlfn.XLOOKUP($B7547,sales_teams!$A$2:$A$36,sales_teams!C$2:C$36)</f>
        <v>West</v>
      </c>
      <c r="E7547" t="s">
        <v>10</v>
      </c>
      <c r="F7547" t="s">
        <v>93</v>
      </c>
      <c r="G7547" t="s">
        <v>12</v>
      </c>
      <c r="H7547" s="1">
        <v>43023</v>
      </c>
      <c r="I7547" s="1">
        <v>43024</v>
      </c>
      <c r="J7547">
        <v>868</v>
      </c>
    </row>
    <row r="7548" spans="1:10" x14ac:dyDescent="0.3">
      <c r="A7548" t="s">
        <v>7679</v>
      </c>
      <c r="B7548" t="s">
        <v>95</v>
      </c>
      <c r="C7548" t="str">
        <f>_xlfn.XLOOKUP(B7548,
[1]sales_teams!$A$2:$A$100,
[1]sales_teams!$B$2:$B$100)</f>
        <v>Summer Sewald</v>
      </c>
      <c r="D7548" t="str">
        <f>_xlfn.XLOOKUP($B7548,sales_teams!$A$2:$A$36,sales_teams!C$2:C$36)</f>
        <v>West</v>
      </c>
      <c r="E7548" t="s">
        <v>48</v>
      </c>
      <c r="F7548" t="s">
        <v>224</v>
      </c>
      <c r="G7548" t="s">
        <v>12</v>
      </c>
      <c r="H7548" s="1">
        <v>43023</v>
      </c>
      <c r="I7548" s="1">
        <v>43065</v>
      </c>
      <c r="J7548">
        <v>5867</v>
      </c>
    </row>
    <row r="7549" spans="1:10" x14ac:dyDescent="0.3">
      <c r="A7549" t="s">
        <v>7680</v>
      </c>
      <c r="B7549" t="s">
        <v>95</v>
      </c>
      <c r="C7549" t="str">
        <f>_xlfn.XLOOKUP(B7549,
[1]sales_teams!$A$2:$A$100,
[1]sales_teams!$B$2:$B$100)</f>
        <v>Summer Sewald</v>
      </c>
      <c r="D7549" t="str">
        <f>_xlfn.XLOOKUP($B7549,sales_teams!$A$2:$A$36,sales_teams!C$2:C$36)</f>
        <v>West</v>
      </c>
      <c r="E7549" t="s">
        <v>15</v>
      </c>
      <c r="F7549" t="s">
        <v>70</v>
      </c>
      <c r="G7549" t="s">
        <v>12</v>
      </c>
      <c r="H7549" s="1">
        <v>43023</v>
      </c>
      <c r="I7549" s="1">
        <v>43024</v>
      </c>
      <c r="J7549">
        <v>5344</v>
      </c>
    </row>
    <row r="7550" spans="1:10" x14ac:dyDescent="0.3">
      <c r="A7550" t="s">
        <v>7681</v>
      </c>
      <c r="B7550" t="s">
        <v>133</v>
      </c>
      <c r="C7550" t="str">
        <f>_xlfn.XLOOKUP(B7550,
[1]sales_teams!$A$2:$A$100,
[1]sales_teams!$B$2:$B$100)</f>
        <v>Dustin Brinkmann</v>
      </c>
      <c r="D7550" t="str">
        <f>_xlfn.XLOOKUP($B7550,sales_teams!$A$2:$A$36,sales_teams!C$2:C$36)</f>
        <v>Central</v>
      </c>
      <c r="E7550" t="s">
        <v>18</v>
      </c>
      <c r="F7550" t="s">
        <v>91</v>
      </c>
      <c r="G7550" t="s">
        <v>46</v>
      </c>
      <c r="H7550" s="1">
        <v>43023</v>
      </c>
      <c r="I7550" s="1">
        <v>43029</v>
      </c>
      <c r="J7550">
        <v>0</v>
      </c>
    </row>
    <row r="7551" spans="1:10" x14ac:dyDescent="0.3">
      <c r="A7551" t="s">
        <v>7682</v>
      </c>
      <c r="B7551" t="s">
        <v>116</v>
      </c>
      <c r="C7551" t="str">
        <f>_xlfn.XLOOKUP(B7551,
[1]sales_teams!$A$2:$A$100,
[1]sales_teams!$B$2:$B$100)</f>
        <v>Melvin Marxen</v>
      </c>
      <c r="D7551" t="str">
        <f>_xlfn.XLOOKUP($B7551,sales_teams!$A$2:$A$36,sales_teams!C$2:C$36)</f>
        <v>Central</v>
      </c>
      <c r="E7551" t="s">
        <v>48</v>
      </c>
      <c r="F7551" t="s">
        <v>213</v>
      </c>
      <c r="G7551" t="s">
        <v>46</v>
      </c>
      <c r="H7551" s="1">
        <v>43023</v>
      </c>
      <c r="I7551" s="1">
        <v>43032</v>
      </c>
      <c r="J7551">
        <v>0</v>
      </c>
    </row>
    <row r="7552" spans="1:10" x14ac:dyDescent="0.3">
      <c r="A7552" t="s">
        <v>7683</v>
      </c>
      <c r="B7552" t="s">
        <v>116</v>
      </c>
      <c r="C7552" t="str">
        <f>_xlfn.XLOOKUP(B7552,
[1]sales_teams!$A$2:$A$100,
[1]sales_teams!$B$2:$B$100)</f>
        <v>Melvin Marxen</v>
      </c>
      <c r="D7552" t="str">
        <f>_xlfn.XLOOKUP($B7552,sales_teams!$A$2:$A$36,sales_teams!C$2:C$36)</f>
        <v>Central</v>
      </c>
      <c r="E7552" t="s">
        <v>15</v>
      </c>
      <c r="F7552" t="s">
        <v>492</v>
      </c>
      <c r="G7552" t="s">
        <v>46</v>
      </c>
      <c r="H7552" s="1">
        <v>43023</v>
      </c>
      <c r="I7552" s="1">
        <v>43031</v>
      </c>
      <c r="J7552">
        <v>0</v>
      </c>
    </row>
    <row r="7553" spans="1:10" x14ac:dyDescent="0.3">
      <c r="A7553" t="s">
        <v>7684</v>
      </c>
      <c r="B7553" t="s">
        <v>9</v>
      </c>
      <c r="C7553" t="str">
        <f>_xlfn.XLOOKUP(B7553,
[1]sales_teams!$A$2:$A$100,
[1]sales_teams!$B$2:$B$100)</f>
        <v>Dustin Brinkmann</v>
      </c>
      <c r="D7553" t="str">
        <f>_xlfn.XLOOKUP($B7553,sales_teams!$A$2:$A$36,sales_teams!C$2:C$36)</f>
        <v>Central</v>
      </c>
      <c r="E7553" t="s">
        <v>48</v>
      </c>
      <c r="F7553" t="s">
        <v>21</v>
      </c>
      <c r="G7553" t="s">
        <v>12</v>
      </c>
      <c r="H7553" s="1">
        <v>43023</v>
      </c>
      <c r="I7553" s="1">
        <v>43031</v>
      </c>
      <c r="J7553">
        <v>5449</v>
      </c>
    </row>
    <row r="7554" spans="1:10" x14ac:dyDescent="0.3">
      <c r="A7554" t="s">
        <v>7685</v>
      </c>
      <c r="B7554" t="s">
        <v>97</v>
      </c>
      <c r="C7554" t="str">
        <f>_xlfn.XLOOKUP(B7554,
[1]sales_teams!$A$2:$A$100,
[1]sales_teams!$B$2:$B$100)</f>
        <v>Rocco Neubert</v>
      </c>
      <c r="D7554" t="str">
        <f>_xlfn.XLOOKUP($B7554,sales_teams!$A$2:$A$36,sales_teams!C$2:C$36)</f>
        <v>East</v>
      </c>
      <c r="E7554" t="s">
        <v>39</v>
      </c>
      <c r="F7554" t="s">
        <v>103</v>
      </c>
      <c r="G7554" t="s">
        <v>46</v>
      </c>
      <c r="H7554" s="1">
        <v>43023</v>
      </c>
      <c r="I7554" s="1">
        <v>43096</v>
      </c>
      <c r="J7554">
        <v>0</v>
      </c>
    </row>
    <row r="7555" spans="1:10" x14ac:dyDescent="0.3">
      <c r="A7555" t="s">
        <v>7686</v>
      </c>
      <c r="B7555" t="s">
        <v>97</v>
      </c>
      <c r="C7555" t="str">
        <f>_xlfn.XLOOKUP(B7555,
[1]sales_teams!$A$2:$A$100,
[1]sales_teams!$B$2:$B$100)</f>
        <v>Rocco Neubert</v>
      </c>
      <c r="D7555" t="str">
        <f>_xlfn.XLOOKUP($B7555,sales_teams!$A$2:$A$36,sales_teams!C$2:C$36)</f>
        <v>East</v>
      </c>
      <c r="E7555" t="s">
        <v>48</v>
      </c>
      <c r="F7555" t="s">
        <v>240</v>
      </c>
      <c r="G7555" t="s">
        <v>12</v>
      </c>
      <c r="H7555" s="1">
        <v>43023</v>
      </c>
      <c r="I7555" s="1">
        <v>43067</v>
      </c>
      <c r="J7555">
        <v>4500</v>
      </c>
    </row>
    <row r="7556" spans="1:10" x14ac:dyDescent="0.3">
      <c r="A7556" t="s">
        <v>7687</v>
      </c>
      <c r="B7556" t="s">
        <v>61</v>
      </c>
      <c r="C7556" t="str">
        <f>_xlfn.XLOOKUP(B7556,
[1]sales_teams!$A$2:$A$100,
[1]sales_teams!$B$2:$B$100)</f>
        <v>Dustin Brinkmann</v>
      </c>
      <c r="D7556" t="str">
        <f>_xlfn.XLOOKUP($B7556,sales_teams!$A$2:$A$36,sales_teams!C$2:C$36)</f>
        <v>Central</v>
      </c>
      <c r="E7556" t="s">
        <v>18</v>
      </c>
      <c r="F7556" t="s">
        <v>318</v>
      </c>
      <c r="G7556" t="s">
        <v>46</v>
      </c>
      <c r="H7556" s="1">
        <v>43023</v>
      </c>
      <c r="I7556" s="1">
        <v>43033</v>
      </c>
      <c r="J7556">
        <v>0</v>
      </c>
    </row>
    <row r="7557" spans="1:10" x14ac:dyDescent="0.3">
      <c r="A7557" t="s">
        <v>7688</v>
      </c>
      <c r="B7557" t="s">
        <v>102</v>
      </c>
      <c r="C7557" t="str">
        <f>_xlfn.XLOOKUP(B7557,
[1]sales_teams!$A$2:$A$100,
[1]sales_teams!$B$2:$B$100)</f>
        <v>Cara Losch</v>
      </c>
      <c r="D7557" t="str">
        <f>_xlfn.XLOOKUP($B7557,sales_teams!$A$2:$A$36,sales_teams!C$2:C$36)</f>
        <v>East</v>
      </c>
      <c r="E7557" t="s">
        <v>18</v>
      </c>
      <c r="F7557" t="s">
        <v>329</v>
      </c>
      <c r="G7557" t="s">
        <v>12</v>
      </c>
      <c r="H7557" s="1">
        <v>43023</v>
      </c>
      <c r="I7557" s="1">
        <v>43031</v>
      </c>
      <c r="J7557">
        <v>51</v>
      </c>
    </row>
    <row r="7558" spans="1:10" x14ac:dyDescent="0.3">
      <c r="A7558" t="s">
        <v>7689</v>
      </c>
      <c r="B7558" t="s">
        <v>23</v>
      </c>
      <c r="C7558" t="str">
        <f>_xlfn.XLOOKUP(B7558,
[1]sales_teams!$A$2:$A$100,
[1]sales_teams!$B$2:$B$100)</f>
        <v>Summer Sewald</v>
      </c>
      <c r="D7558" t="str">
        <f>_xlfn.XLOOKUP($B7558,sales_teams!$A$2:$A$36,sales_teams!C$2:C$36)</f>
        <v>West</v>
      </c>
      <c r="E7558" t="s">
        <v>48</v>
      </c>
      <c r="F7558" t="s">
        <v>174</v>
      </c>
      <c r="G7558" t="s">
        <v>12</v>
      </c>
      <c r="H7558" s="1">
        <v>43023</v>
      </c>
      <c r="I7558" s="1">
        <v>43031</v>
      </c>
      <c r="J7558">
        <v>6637</v>
      </c>
    </row>
    <row r="7559" spans="1:10" x14ac:dyDescent="0.3">
      <c r="A7559" t="s">
        <v>7690</v>
      </c>
      <c r="B7559" t="s">
        <v>26</v>
      </c>
      <c r="C7559" t="str">
        <f>_xlfn.XLOOKUP(B7559,
[1]sales_teams!$A$2:$A$100,
[1]sales_teams!$B$2:$B$100)</f>
        <v>Dustin Brinkmann</v>
      </c>
      <c r="D7559" t="str">
        <f>_xlfn.XLOOKUP($B7559,sales_teams!$A$2:$A$36,sales_teams!C$2:C$36)</f>
        <v>Central</v>
      </c>
      <c r="E7559" t="s">
        <v>18</v>
      </c>
      <c r="F7559" t="s">
        <v>111</v>
      </c>
      <c r="G7559" t="s">
        <v>12</v>
      </c>
      <c r="H7559" s="1">
        <v>43024</v>
      </c>
      <c r="I7559" s="1">
        <v>43082</v>
      </c>
      <c r="J7559">
        <v>57</v>
      </c>
    </row>
    <row r="7560" spans="1:10" x14ac:dyDescent="0.3">
      <c r="A7560" t="s">
        <v>7691</v>
      </c>
      <c r="B7560" t="s">
        <v>202</v>
      </c>
      <c r="C7560" t="str">
        <f>_xlfn.XLOOKUP(B7560,
[1]sales_teams!$A$2:$A$100,
[1]sales_teams!$B$2:$B$100)</f>
        <v>Dustin Brinkmann</v>
      </c>
      <c r="D7560" t="str">
        <f>_xlfn.XLOOKUP($B7560,sales_teams!$A$2:$A$36,sales_teams!C$2:C$36)</f>
        <v>Central</v>
      </c>
      <c r="E7560" t="s">
        <v>10</v>
      </c>
      <c r="F7560" t="s">
        <v>187</v>
      </c>
      <c r="G7560" t="s">
        <v>12</v>
      </c>
      <c r="H7560" s="1">
        <v>43024</v>
      </c>
      <c r="I7560" s="1">
        <v>43042</v>
      </c>
      <c r="J7560">
        <v>990</v>
      </c>
    </row>
    <row r="7561" spans="1:10" x14ac:dyDescent="0.3">
      <c r="A7561" t="s">
        <v>7692</v>
      </c>
      <c r="B7561" t="s">
        <v>164</v>
      </c>
      <c r="C7561" t="str">
        <f>_xlfn.XLOOKUP(B7561,
[1]sales_teams!$A$2:$A$100,
[1]sales_teams!$B$2:$B$100)</f>
        <v>Cara Losch</v>
      </c>
      <c r="D7561" t="str">
        <f>_xlfn.XLOOKUP($B7561,sales_teams!$A$2:$A$36,sales_teams!C$2:C$36)</f>
        <v>East</v>
      </c>
      <c r="E7561" t="s">
        <v>15</v>
      </c>
      <c r="F7561" t="s">
        <v>373</v>
      </c>
      <c r="G7561" t="s">
        <v>12</v>
      </c>
      <c r="H7561" s="1">
        <v>43024</v>
      </c>
      <c r="I7561" s="1">
        <v>43025</v>
      </c>
      <c r="J7561">
        <v>4247</v>
      </c>
    </row>
    <row r="7562" spans="1:10" x14ac:dyDescent="0.3">
      <c r="A7562" t="s">
        <v>7693</v>
      </c>
      <c r="B7562" t="s">
        <v>64</v>
      </c>
      <c r="C7562" t="str">
        <f>_xlfn.XLOOKUP(B7562,
[1]sales_teams!$A$2:$A$100,
[1]sales_teams!$B$2:$B$100)</f>
        <v>Rocco Neubert</v>
      </c>
      <c r="D7562" t="str">
        <f>_xlfn.XLOOKUP($B7562,sales_teams!$A$2:$A$36,sales_teams!C$2:C$36)</f>
        <v>East</v>
      </c>
      <c r="E7562" t="s">
        <v>10</v>
      </c>
      <c r="F7562" t="s">
        <v>329</v>
      </c>
      <c r="G7562" t="s">
        <v>12</v>
      </c>
      <c r="H7562" s="1">
        <v>43024</v>
      </c>
      <c r="I7562" s="1">
        <v>43094</v>
      </c>
      <c r="J7562">
        <v>1008</v>
      </c>
    </row>
    <row r="7563" spans="1:10" x14ac:dyDescent="0.3">
      <c r="A7563" t="s">
        <v>7694</v>
      </c>
      <c r="B7563" t="s">
        <v>14</v>
      </c>
      <c r="C7563" t="str">
        <f>_xlfn.XLOOKUP(B7563,
[1]sales_teams!$A$2:$A$100,
[1]sales_teams!$B$2:$B$100)</f>
        <v>Melvin Marxen</v>
      </c>
      <c r="D7563" t="str">
        <f>_xlfn.XLOOKUP($B7563,sales_teams!$A$2:$A$36,sales_teams!C$2:C$36)</f>
        <v>Central</v>
      </c>
      <c r="E7563" t="s">
        <v>15</v>
      </c>
      <c r="F7563" t="s">
        <v>111</v>
      </c>
      <c r="G7563" t="s">
        <v>46</v>
      </c>
      <c r="H7563" s="1">
        <v>43024</v>
      </c>
      <c r="I7563" s="1">
        <v>43027</v>
      </c>
      <c r="J7563">
        <v>0</v>
      </c>
    </row>
    <row r="7564" spans="1:10" x14ac:dyDescent="0.3">
      <c r="A7564" t="s">
        <v>7695</v>
      </c>
      <c r="B7564" t="s">
        <v>14</v>
      </c>
      <c r="C7564" t="str">
        <f>_xlfn.XLOOKUP(B7564,
[1]sales_teams!$A$2:$A$100,
[1]sales_teams!$B$2:$B$100)</f>
        <v>Melvin Marxen</v>
      </c>
      <c r="D7564" t="str">
        <f>_xlfn.XLOOKUP($B7564,sales_teams!$A$2:$A$36,sales_teams!C$2:C$36)</f>
        <v>Central</v>
      </c>
      <c r="E7564" t="s">
        <v>18</v>
      </c>
      <c r="F7564" t="s">
        <v>36</v>
      </c>
      <c r="G7564" t="s">
        <v>46</v>
      </c>
      <c r="H7564" s="1">
        <v>43024</v>
      </c>
      <c r="I7564" s="1">
        <v>43025</v>
      </c>
      <c r="J7564">
        <v>0</v>
      </c>
    </row>
    <row r="7565" spans="1:10" x14ac:dyDescent="0.3">
      <c r="A7565" t="s">
        <v>7696</v>
      </c>
      <c r="B7565" t="s">
        <v>14</v>
      </c>
      <c r="C7565" t="str">
        <f>_xlfn.XLOOKUP(B7565,
[1]sales_teams!$A$2:$A$100,
[1]sales_teams!$B$2:$B$100)</f>
        <v>Melvin Marxen</v>
      </c>
      <c r="D7565" t="str">
        <f>_xlfn.XLOOKUP($B7565,sales_teams!$A$2:$A$36,sales_teams!C$2:C$36)</f>
        <v>Central</v>
      </c>
      <c r="E7565" t="s">
        <v>15</v>
      </c>
      <c r="F7565" t="s">
        <v>27</v>
      </c>
      <c r="G7565" t="s">
        <v>12</v>
      </c>
      <c r="H7565" s="1">
        <v>43024</v>
      </c>
      <c r="I7565" s="1">
        <v>43033</v>
      </c>
      <c r="J7565">
        <v>4834</v>
      </c>
    </row>
    <row r="7566" spans="1:10" x14ac:dyDescent="0.3">
      <c r="A7566" t="s">
        <v>7697</v>
      </c>
      <c r="B7566" t="s">
        <v>14</v>
      </c>
      <c r="C7566" t="str">
        <f>_xlfn.XLOOKUP(B7566,
[1]sales_teams!$A$2:$A$100,
[1]sales_teams!$B$2:$B$100)</f>
        <v>Melvin Marxen</v>
      </c>
      <c r="D7566" t="str">
        <f>_xlfn.XLOOKUP($B7566,sales_teams!$A$2:$A$36,sales_teams!C$2:C$36)</f>
        <v>Central</v>
      </c>
      <c r="E7566" t="s">
        <v>39</v>
      </c>
      <c r="F7566" t="s">
        <v>120</v>
      </c>
      <c r="G7566" t="s">
        <v>12</v>
      </c>
      <c r="H7566" s="1">
        <v>43024</v>
      </c>
      <c r="I7566" s="1">
        <v>43025</v>
      </c>
      <c r="J7566">
        <v>3490</v>
      </c>
    </row>
    <row r="7567" spans="1:10" x14ac:dyDescent="0.3">
      <c r="A7567" t="s">
        <v>7698</v>
      </c>
      <c r="B7567" t="s">
        <v>142</v>
      </c>
      <c r="C7567" t="str">
        <f>_xlfn.XLOOKUP(B7567,
[1]sales_teams!$A$2:$A$100,
[1]sales_teams!$B$2:$B$100)</f>
        <v>Rocco Neubert</v>
      </c>
      <c r="D7567" t="str">
        <f>_xlfn.XLOOKUP($B7567,sales_teams!$A$2:$A$36,sales_teams!C$2:C$36)</f>
        <v>East</v>
      </c>
      <c r="E7567" t="s">
        <v>20</v>
      </c>
      <c r="F7567" t="s">
        <v>240</v>
      </c>
      <c r="G7567" t="s">
        <v>46</v>
      </c>
      <c r="H7567" s="1">
        <v>43024</v>
      </c>
      <c r="I7567" s="1">
        <v>43034</v>
      </c>
      <c r="J7567">
        <v>0</v>
      </c>
    </row>
    <row r="7568" spans="1:10" x14ac:dyDescent="0.3">
      <c r="A7568" t="s">
        <v>7699</v>
      </c>
      <c r="B7568" t="s">
        <v>44</v>
      </c>
      <c r="C7568" t="str">
        <f>_xlfn.XLOOKUP(B7568,
[1]sales_teams!$A$2:$A$100,
[1]sales_teams!$B$2:$B$100)</f>
        <v>Melvin Marxen</v>
      </c>
      <c r="D7568" t="str">
        <f>_xlfn.XLOOKUP($B7568,sales_teams!$A$2:$A$36,sales_teams!C$2:C$36)</f>
        <v>Central</v>
      </c>
      <c r="E7568" t="s">
        <v>18</v>
      </c>
      <c r="F7568" t="s">
        <v>21</v>
      </c>
      <c r="G7568" t="s">
        <v>46</v>
      </c>
      <c r="H7568" s="1">
        <v>43024</v>
      </c>
      <c r="I7568" s="1">
        <v>43032</v>
      </c>
      <c r="J7568">
        <v>0</v>
      </c>
    </row>
    <row r="7569" spans="1:10" x14ac:dyDescent="0.3">
      <c r="A7569" t="s">
        <v>7700</v>
      </c>
      <c r="B7569" t="s">
        <v>54</v>
      </c>
      <c r="C7569" t="str">
        <f>_xlfn.XLOOKUP(B7569,
[1]sales_teams!$A$2:$A$100,
[1]sales_teams!$B$2:$B$100)</f>
        <v>Celia Rouche</v>
      </c>
      <c r="D7569" t="str">
        <f>_xlfn.XLOOKUP($B7569,sales_teams!$A$2:$A$36,sales_teams!C$2:C$36)</f>
        <v>West</v>
      </c>
      <c r="E7569" t="s">
        <v>39</v>
      </c>
      <c r="F7569" t="s">
        <v>33</v>
      </c>
      <c r="G7569" t="s">
        <v>12</v>
      </c>
      <c r="H7569" s="1">
        <v>43024</v>
      </c>
      <c r="I7569" s="1">
        <v>43028</v>
      </c>
      <c r="J7569">
        <v>3744</v>
      </c>
    </row>
    <row r="7570" spans="1:10" x14ac:dyDescent="0.3">
      <c r="A7570" t="s">
        <v>7701</v>
      </c>
      <c r="B7570" t="s">
        <v>78</v>
      </c>
      <c r="C7570" t="str">
        <f>_xlfn.XLOOKUP(B7570,
[1]sales_teams!$A$2:$A$100,
[1]sales_teams!$B$2:$B$100)</f>
        <v>Summer Sewald</v>
      </c>
      <c r="D7570" t="str">
        <f>_xlfn.XLOOKUP($B7570,sales_teams!$A$2:$A$36,sales_teams!C$2:C$36)</f>
        <v>West</v>
      </c>
      <c r="E7570" t="s">
        <v>15</v>
      </c>
      <c r="F7570" t="s">
        <v>52</v>
      </c>
      <c r="G7570" t="s">
        <v>46</v>
      </c>
      <c r="H7570" s="1">
        <v>43024</v>
      </c>
      <c r="I7570" s="1">
        <v>43030</v>
      </c>
      <c r="J7570">
        <v>0</v>
      </c>
    </row>
    <row r="7571" spans="1:10" x14ac:dyDescent="0.3">
      <c r="A7571" t="s">
        <v>7702</v>
      </c>
      <c r="B7571" t="s">
        <v>95</v>
      </c>
      <c r="C7571" t="str">
        <f>_xlfn.XLOOKUP(B7571,
[1]sales_teams!$A$2:$A$100,
[1]sales_teams!$B$2:$B$100)</f>
        <v>Summer Sewald</v>
      </c>
      <c r="D7571" t="str">
        <f>_xlfn.XLOOKUP($B7571,sales_teams!$A$2:$A$36,sales_teams!C$2:C$36)</f>
        <v>West</v>
      </c>
      <c r="E7571" t="s">
        <v>20</v>
      </c>
      <c r="F7571" t="s">
        <v>194</v>
      </c>
      <c r="G7571" t="s">
        <v>46</v>
      </c>
      <c r="H7571" s="1">
        <v>43024</v>
      </c>
      <c r="I7571" s="1">
        <v>43034</v>
      </c>
      <c r="J7571">
        <v>0</v>
      </c>
    </row>
    <row r="7572" spans="1:10" x14ac:dyDescent="0.3">
      <c r="A7572" t="s">
        <v>7703</v>
      </c>
      <c r="B7572" t="s">
        <v>95</v>
      </c>
      <c r="C7572" t="str">
        <f>_xlfn.XLOOKUP(B7572,
[1]sales_teams!$A$2:$A$100,
[1]sales_teams!$B$2:$B$100)</f>
        <v>Summer Sewald</v>
      </c>
      <c r="D7572" t="str">
        <f>_xlfn.XLOOKUP($B7572,sales_teams!$A$2:$A$36,sales_teams!C$2:C$36)</f>
        <v>West</v>
      </c>
      <c r="E7572" t="s">
        <v>20</v>
      </c>
      <c r="F7572" t="s">
        <v>273</v>
      </c>
      <c r="G7572" t="s">
        <v>46</v>
      </c>
      <c r="H7572" s="1">
        <v>43024</v>
      </c>
      <c r="I7572" s="1">
        <v>43029</v>
      </c>
      <c r="J7572">
        <v>0</v>
      </c>
    </row>
    <row r="7573" spans="1:10" x14ac:dyDescent="0.3">
      <c r="A7573" t="s">
        <v>7704</v>
      </c>
      <c r="B7573" t="s">
        <v>95</v>
      </c>
      <c r="C7573" t="str">
        <f>_xlfn.XLOOKUP(B7573,
[1]sales_teams!$A$2:$A$100,
[1]sales_teams!$B$2:$B$100)</f>
        <v>Summer Sewald</v>
      </c>
      <c r="D7573" t="str">
        <f>_xlfn.XLOOKUP($B7573,sales_teams!$A$2:$A$36,sales_teams!C$2:C$36)</f>
        <v>West</v>
      </c>
      <c r="E7573" t="s">
        <v>20</v>
      </c>
      <c r="F7573" t="s">
        <v>157</v>
      </c>
      <c r="G7573" t="s">
        <v>12</v>
      </c>
      <c r="H7573" s="1">
        <v>43024</v>
      </c>
      <c r="I7573" s="1">
        <v>43051</v>
      </c>
      <c r="J7573">
        <v>591</v>
      </c>
    </row>
    <row r="7574" spans="1:10" x14ac:dyDescent="0.3">
      <c r="A7574" t="s">
        <v>7705</v>
      </c>
      <c r="B7574" t="s">
        <v>95</v>
      </c>
      <c r="C7574" t="str">
        <f>_xlfn.XLOOKUP(B7574,
[1]sales_teams!$A$2:$A$100,
[1]sales_teams!$B$2:$B$100)</f>
        <v>Summer Sewald</v>
      </c>
      <c r="D7574" t="str">
        <f>_xlfn.XLOOKUP($B7574,sales_teams!$A$2:$A$36,sales_teams!C$2:C$36)</f>
        <v>West</v>
      </c>
      <c r="E7574" t="s">
        <v>18</v>
      </c>
      <c r="F7574" t="s">
        <v>174</v>
      </c>
      <c r="G7574" t="s">
        <v>12</v>
      </c>
      <c r="H7574" s="1">
        <v>43024</v>
      </c>
      <c r="I7574" s="1">
        <v>43032</v>
      </c>
      <c r="J7574">
        <v>48</v>
      </c>
    </row>
    <row r="7575" spans="1:10" x14ac:dyDescent="0.3">
      <c r="A7575" t="s">
        <v>7706</v>
      </c>
      <c r="B7575" t="s">
        <v>32</v>
      </c>
      <c r="C7575" t="str">
        <f>_xlfn.XLOOKUP(B7575,
[1]sales_teams!$A$2:$A$100,
[1]sales_teams!$B$2:$B$100)</f>
        <v>Celia Rouche</v>
      </c>
      <c r="D7575" t="str">
        <f>_xlfn.XLOOKUP($B7575,sales_teams!$A$2:$A$36,sales_teams!C$2:C$36)</f>
        <v>West</v>
      </c>
      <c r="E7575" t="s">
        <v>10</v>
      </c>
      <c r="F7575" t="s">
        <v>122</v>
      </c>
      <c r="G7575" t="s">
        <v>12</v>
      </c>
      <c r="H7575" s="1">
        <v>43024</v>
      </c>
      <c r="I7575" s="1">
        <v>43031</v>
      </c>
      <c r="J7575">
        <v>1060</v>
      </c>
    </row>
    <row r="7576" spans="1:10" x14ac:dyDescent="0.3">
      <c r="A7576" t="s">
        <v>7707</v>
      </c>
      <c r="B7576" t="s">
        <v>116</v>
      </c>
      <c r="C7576" t="str">
        <f>_xlfn.XLOOKUP(B7576,
[1]sales_teams!$A$2:$A$100,
[1]sales_teams!$B$2:$B$100)</f>
        <v>Melvin Marxen</v>
      </c>
      <c r="D7576" t="str">
        <f>_xlfn.XLOOKUP($B7576,sales_teams!$A$2:$A$36,sales_teams!C$2:C$36)</f>
        <v>Central</v>
      </c>
      <c r="E7576" t="s">
        <v>10</v>
      </c>
      <c r="F7576" t="s">
        <v>315</v>
      </c>
      <c r="G7576" t="s">
        <v>46</v>
      </c>
      <c r="H7576" s="1">
        <v>43024</v>
      </c>
      <c r="I7576" s="1">
        <v>43029</v>
      </c>
      <c r="J7576">
        <v>0</v>
      </c>
    </row>
    <row r="7577" spans="1:10" x14ac:dyDescent="0.3">
      <c r="A7577" t="s">
        <v>7708</v>
      </c>
      <c r="B7577" t="s">
        <v>9</v>
      </c>
      <c r="C7577" t="str">
        <f>_xlfn.XLOOKUP(B7577,
[1]sales_teams!$A$2:$A$100,
[1]sales_teams!$B$2:$B$100)</f>
        <v>Dustin Brinkmann</v>
      </c>
      <c r="D7577" t="str">
        <f>_xlfn.XLOOKUP($B7577,sales_teams!$A$2:$A$36,sales_teams!C$2:C$36)</f>
        <v>Central</v>
      </c>
      <c r="E7577" t="s">
        <v>20</v>
      </c>
      <c r="F7577" t="s">
        <v>303</v>
      </c>
      <c r="G7577" t="s">
        <v>12</v>
      </c>
      <c r="H7577" s="1">
        <v>43024</v>
      </c>
      <c r="I7577" s="1">
        <v>43036</v>
      </c>
      <c r="J7577">
        <v>562</v>
      </c>
    </row>
    <row r="7578" spans="1:10" x14ac:dyDescent="0.3">
      <c r="A7578" t="s">
        <v>7709</v>
      </c>
      <c r="B7578" t="s">
        <v>35</v>
      </c>
      <c r="C7578" t="str">
        <f>_xlfn.XLOOKUP(B7578,
[1]sales_teams!$A$2:$A$100,
[1]sales_teams!$B$2:$B$100)</f>
        <v>Melvin Marxen</v>
      </c>
      <c r="D7578" t="str">
        <f>_xlfn.XLOOKUP($B7578,sales_teams!$A$2:$A$36,sales_teams!C$2:C$36)</f>
        <v>Central</v>
      </c>
      <c r="E7578" t="s">
        <v>10</v>
      </c>
      <c r="F7578" t="s">
        <v>315</v>
      </c>
      <c r="G7578" t="s">
        <v>46</v>
      </c>
      <c r="H7578" s="1">
        <v>43024</v>
      </c>
      <c r="I7578" s="1">
        <v>43058</v>
      </c>
      <c r="J7578">
        <v>0</v>
      </c>
    </row>
    <row r="7579" spans="1:10" x14ac:dyDescent="0.3">
      <c r="A7579" t="s">
        <v>7710</v>
      </c>
      <c r="B7579" t="s">
        <v>88</v>
      </c>
      <c r="C7579" t="str">
        <f>_xlfn.XLOOKUP(B7579,
[1]sales_teams!$A$2:$A$100,
[1]sales_teams!$B$2:$B$100)</f>
        <v>Cara Losch</v>
      </c>
      <c r="D7579" t="str">
        <f>_xlfn.XLOOKUP($B7579,sales_teams!$A$2:$A$36,sales_teams!C$2:C$36)</f>
        <v>East</v>
      </c>
      <c r="E7579" t="s">
        <v>15</v>
      </c>
      <c r="F7579" t="s">
        <v>74</v>
      </c>
      <c r="G7579" t="s">
        <v>46</v>
      </c>
      <c r="H7579" s="1">
        <v>43024</v>
      </c>
      <c r="I7579" s="1">
        <v>43026</v>
      </c>
      <c r="J7579">
        <v>0</v>
      </c>
    </row>
    <row r="7580" spans="1:10" x14ac:dyDescent="0.3">
      <c r="A7580" t="s">
        <v>7711</v>
      </c>
      <c r="B7580" t="s">
        <v>61</v>
      </c>
      <c r="C7580" t="str">
        <f>_xlfn.XLOOKUP(B7580,
[1]sales_teams!$A$2:$A$100,
[1]sales_teams!$B$2:$B$100)</f>
        <v>Dustin Brinkmann</v>
      </c>
      <c r="D7580" t="str">
        <f>_xlfn.XLOOKUP($B7580,sales_teams!$A$2:$A$36,sales_teams!C$2:C$36)</f>
        <v>Central</v>
      </c>
      <c r="E7580" t="s">
        <v>18</v>
      </c>
      <c r="F7580" t="s">
        <v>16</v>
      </c>
      <c r="G7580" t="s">
        <v>12</v>
      </c>
      <c r="H7580" s="1">
        <v>43024</v>
      </c>
      <c r="I7580" s="1">
        <v>43025</v>
      </c>
      <c r="J7580">
        <v>57</v>
      </c>
    </row>
    <row r="7581" spans="1:10" x14ac:dyDescent="0.3">
      <c r="A7581" t="s">
        <v>7712</v>
      </c>
      <c r="B7581" t="s">
        <v>29</v>
      </c>
      <c r="C7581" t="str">
        <f>_xlfn.XLOOKUP(B7581,
[1]sales_teams!$A$2:$A$100,
[1]sales_teams!$B$2:$B$100)</f>
        <v>Celia Rouche</v>
      </c>
      <c r="D7581" t="str">
        <f>_xlfn.XLOOKUP($B7581,sales_teams!$A$2:$A$36,sales_teams!C$2:C$36)</f>
        <v>West</v>
      </c>
      <c r="E7581" t="s">
        <v>20</v>
      </c>
      <c r="F7581" t="s">
        <v>100</v>
      </c>
      <c r="G7581" t="s">
        <v>12</v>
      </c>
      <c r="H7581" s="1">
        <v>43024</v>
      </c>
      <c r="I7581" s="1">
        <v>43090</v>
      </c>
      <c r="J7581">
        <v>535</v>
      </c>
    </row>
    <row r="7582" spans="1:10" x14ac:dyDescent="0.3">
      <c r="A7582" t="s">
        <v>7713</v>
      </c>
      <c r="B7582" t="s">
        <v>29</v>
      </c>
      <c r="C7582" t="str">
        <f>_xlfn.XLOOKUP(B7582,
[1]sales_teams!$A$2:$A$100,
[1]sales_teams!$B$2:$B$100)</f>
        <v>Celia Rouche</v>
      </c>
      <c r="D7582" t="str">
        <f>_xlfn.XLOOKUP($B7582,sales_teams!$A$2:$A$36,sales_teams!C$2:C$36)</f>
        <v>West</v>
      </c>
      <c r="E7582" t="s">
        <v>15</v>
      </c>
      <c r="F7582" t="s">
        <v>218</v>
      </c>
      <c r="G7582" t="s">
        <v>12</v>
      </c>
      <c r="H7582" s="1">
        <v>43024</v>
      </c>
      <c r="I7582" s="1">
        <v>43033</v>
      </c>
      <c r="J7582">
        <v>4580</v>
      </c>
    </row>
    <row r="7583" spans="1:10" x14ac:dyDescent="0.3">
      <c r="A7583" t="s">
        <v>7714</v>
      </c>
      <c r="B7583" t="s">
        <v>29</v>
      </c>
      <c r="C7583" t="str">
        <f>_xlfn.XLOOKUP(B7583,
[1]sales_teams!$A$2:$A$100,
[1]sales_teams!$B$2:$B$100)</f>
        <v>Celia Rouche</v>
      </c>
      <c r="D7583" t="str">
        <f>_xlfn.XLOOKUP($B7583,sales_teams!$A$2:$A$36,sales_teams!C$2:C$36)</f>
        <v>West</v>
      </c>
      <c r="E7583" t="s">
        <v>18</v>
      </c>
      <c r="F7583" t="s">
        <v>184</v>
      </c>
      <c r="G7583" t="s">
        <v>12</v>
      </c>
      <c r="H7583" s="1">
        <v>43024</v>
      </c>
      <c r="I7583" s="1">
        <v>43026</v>
      </c>
      <c r="J7583">
        <v>56</v>
      </c>
    </row>
    <row r="7584" spans="1:10" x14ac:dyDescent="0.3">
      <c r="A7584" t="s">
        <v>7715</v>
      </c>
      <c r="B7584" t="s">
        <v>73</v>
      </c>
      <c r="C7584" t="str">
        <f>_xlfn.XLOOKUP(B7584,
[1]sales_teams!$A$2:$A$100,
[1]sales_teams!$B$2:$B$100)</f>
        <v>Cara Losch</v>
      </c>
      <c r="D7584" t="str">
        <f>_xlfn.XLOOKUP($B7584,sales_teams!$A$2:$A$36,sales_teams!C$2:C$36)</f>
        <v>East</v>
      </c>
      <c r="E7584" t="s">
        <v>20</v>
      </c>
      <c r="G7584" t="s">
        <v>40</v>
      </c>
      <c r="H7584" s="1">
        <v>43024</v>
      </c>
    </row>
    <row r="7585" spans="1:10" x14ac:dyDescent="0.3">
      <c r="A7585" t="s">
        <v>7716</v>
      </c>
      <c r="B7585" t="s">
        <v>73</v>
      </c>
      <c r="C7585" t="str">
        <f>_xlfn.XLOOKUP(B7585,
[1]sales_teams!$A$2:$A$100,
[1]sales_teams!$B$2:$B$100)</f>
        <v>Cara Losch</v>
      </c>
      <c r="D7585" t="str">
        <f>_xlfn.XLOOKUP($B7585,sales_teams!$A$2:$A$36,sales_teams!C$2:C$36)</f>
        <v>East</v>
      </c>
      <c r="E7585" t="s">
        <v>10</v>
      </c>
      <c r="G7585" t="s">
        <v>40</v>
      </c>
      <c r="H7585" s="1">
        <v>43024</v>
      </c>
    </row>
    <row r="7586" spans="1:10" x14ac:dyDescent="0.3">
      <c r="A7586" t="s">
        <v>7717</v>
      </c>
      <c r="B7586" t="s">
        <v>23</v>
      </c>
      <c r="C7586" t="str">
        <f>_xlfn.XLOOKUP(B7586,
[1]sales_teams!$A$2:$A$100,
[1]sales_teams!$B$2:$B$100)</f>
        <v>Summer Sewald</v>
      </c>
      <c r="D7586" t="str">
        <f>_xlfn.XLOOKUP($B7586,sales_teams!$A$2:$A$36,sales_teams!C$2:C$36)</f>
        <v>West</v>
      </c>
      <c r="E7586" t="s">
        <v>48</v>
      </c>
      <c r="F7586" t="s">
        <v>148</v>
      </c>
      <c r="G7586" t="s">
        <v>12</v>
      </c>
      <c r="H7586" s="1">
        <v>43024</v>
      </c>
      <c r="I7586" s="1">
        <v>43031</v>
      </c>
      <c r="J7586">
        <v>4942</v>
      </c>
    </row>
    <row r="7587" spans="1:10" x14ac:dyDescent="0.3">
      <c r="A7587" t="s">
        <v>7718</v>
      </c>
      <c r="B7587" t="s">
        <v>26</v>
      </c>
      <c r="C7587" t="str">
        <f>_xlfn.XLOOKUP(B7587,
[1]sales_teams!$A$2:$A$100,
[1]sales_teams!$B$2:$B$100)</f>
        <v>Dustin Brinkmann</v>
      </c>
      <c r="D7587" t="str">
        <f>_xlfn.XLOOKUP($B7587,sales_teams!$A$2:$A$36,sales_teams!C$2:C$36)</f>
        <v>Central</v>
      </c>
      <c r="E7587" t="s">
        <v>18</v>
      </c>
      <c r="F7587" t="s">
        <v>91</v>
      </c>
      <c r="G7587" t="s">
        <v>12</v>
      </c>
      <c r="H7587" s="1">
        <v>43025</v>
      </c>
      <c r="I7587" s="1">
        <v>43031</v>
      </c>
      <c r="J7587">
        <v>55</v>
      </c>
    </row>
    <row r="7588" spans="1:10" x14ac:dyDescent="0.3">
      <c r="A7588" t="s">
        <v>7719</v>
      </c>
      <c r="B7588" t="s">
        <v>139</v>
      </c>
      <c r="C7588" t="str">
        <f>_xlfn.XLOOKUP(B7588,
[1]sales_teams!$A$2:$A$100,
[1]sales_teams!$B$2:$B$100)</f>
        <v>Rocco Neubert</v>
      </c>
      <c r="D7588" t="str">
        <f>_xlfn.XLOOKUP($B7588,sales_teams!$A$2:$A$36,sales_teams!C$2:C$36)</f>
        <v>East</v>
      </c>
      <c r="E7588" t="s">
        <v>48</v>
      </c>
      <c r="F7588" t="s">
        <v>278</v>
      </c>
      <c r="G7588" t="s">
        <v>46</v>
      </c>
      <c r="H7588" s="1">
        <v>43025</v>
      </c>
      <c r="I7588" s="1">
        <v>43033</v>
      </c>
      <c r="J7588">
        <v>0</v>
      </c>
    </row>
    <row r="7589" spans="1:10" x14ac:dyDescent="0.3">
      <c r="A7589" t="s">
        <v>7720</v>
      </c>
      <c r="B7589" t="s">
        <v>118</v>
      </c>
      <c r="C7589" t="str">
        <f>_xlfn.XLOOKUP(B7589,
[1]sales_teams!$A$2:$A$100,
[1]sales_teams!$B$2:$B$100)</f>
        <v>Rocco Neubert</v>
      </c>
      <c r="D7589" t="str">
        <f>_xlfn.XLOOKUP($B7589,sales_teams!$A$2:$A$36,sales_teams!C$2:C$36)</f>
        <v>East</v>
      </c>
      <c r="E7589" t="s">
        <v>15</v>
      </c>
      <c r="F7589" t="s">
        <v>65</v>
      </c>
      <c r="G7589" t="s">
        <v>12</v>
      </c>
      <c r="H7589" s="1">
        <v>43025</v>
      </c>
      <c r="I7589" s="1">
        <v>43037</v>
      </c>
      <c r="J7589">
        <v>5144</v>
      </c>
    </row>
    <row r="7590" spans="1:10" x14ac:dyDescent="0.3">
      <c r="A7590" t="s">
        <v>7721</v>
      </c>
      <c r="B7590" t="s">
        <v>164</v>
      </c>
      <c r="C7590" t="str">
        <f>_xlfn.XLOOKUP(B7590,
[1]sales_teams!$A$2:$A$100,
[1]sales_teams!$B$2:$B$100)</f>
        <v>Cara Losch</v>
      </c>
      <c r="D7590" t="str">
        <f>_xlfn.XLOOKUP($B7590,sales_teams!$A$2:$A$36,sales_teams!C$2:C$36)</f>
        <v>East</v>
      </c>
      <c r="E7590" t="s">
        <v>39</v>
      </c>
      <c r="F7590" t="s">
        <v>215</v>
      </c>
      <c r="G7590" t="s">
        <v>46</v>
      </c>
      <c r="H7590" s="1">
        <v>43025</v>
      </c>
      <c r="I7590" s="1">
        <v>43082</v>
      </c>
      <c r="J7590">
        <v>0</v>
      </c>
    </row>
    <row r="7591" spans="1:10" x14ac:dyDescent="0.3">
      <c r="A7591" t="s">
        <v>7722</v>
      </c>
      <c r="B7591" t="s">
        <v>14</v>
      </c>
      <c r="C7591" t="str">
        <f>_xlfn.XLOOKUP(B7591,
[1]sales_teams!$A$2:$A$100,
[1]sales_teams!$B$2:$B$100)</f>
        <v>Melvin Marxen</v>
      </c>
      <c r="D7591" t="str">
        <f>_xlfn.XLOOKUP($B7591,sales_teams!$A$2:$A$36,sales_teams!C$2:C$36)</f>
        <v>Central</v>
      </c>
      <c r="E7591" t="s">
        <v>15</v>
      </c>
      <c r="F7591" t="s">
        <v>126</v>
      </c>
      <c r="G7591" t="s">
        <v>46</v>
      </c>
      <c r="H7591" s="1">
        <v>43025</v>
      </c>
      <c r="I7591" s="1">
        <v>43032</v>
      </c>
      <c r="J7591">
        <v>0</v>
      </c>
    </row>
    <row r="7592" spans="1:10" x14ac:dyDescent="0.3">
      <c r="A7592" t="s">
        <v>7723</v>
      </c>
      <c r="B7592" t="s">
        <v>14</v>
      </c>
      <c r="C7592" t="str">
        <f>_xlfn.XLOOKUP(B7592,
[1]sales_teams!$A$2:$A$100,
[1]sales_teams!$B$2:$B$100)</f>
        <v>Melvin Marxen</v>
      </c>
      <c r="D7592" t="str">
        <f>_xlfn.XLOOKUP($B7592,sales_teams!$A$2:$A$36,sales_teams!C$2:C$36)</f>
        <v>Central</v>
      </c>
      <c r="E7592" t="s">
        <v>15</v>
      </c>
      <c r="F7592" t="s">
        <v>11</v>
      </c>
      <c r="G7592" t="s">
        <v>12</v>
      </c>
      <c r="H7592" s="1">
        <v>43025</v>
      </c>
      <c r="I7592" s="1">
        <v>43031</v>
      </c>
      <c r="J7592">
        <v>5458</v>
      </c>
    </row>
    <row r="7593" spans="1:10" x14ac:dyDescent="0.3">
      <c r="A7593" t="s">
        <v>7724</v>
      </c>
      <c r="B7593" t="s">
        <v>44</v>
      </c>
      <c r="C7593" t="str">
        <f>_xlfn.XLOOKUP(B7593,
[1]sales_teams!$A$2:$A$100,
[1]sales_teams!$B$2:$B$100)</f>
        <v>Melvin Marxen</v>
      </c>
      <c r="D7593" t="str">
        <f>_xlfn.XLOOKUP($B7593,sales_teams!$A$2:$A$36,sales_teams!C$2:C$36)</f>
        <v>Central</v>
      </c>
      <c r="E7593" t="s">
        <v>15</v>
      </c>
      <c r="F7593" t="s">
        <v>126</v>
      </c>
      <c r="G7593" t="s">
        <v>46</v>
      </c>
      <c r="H7593" s="1">
        <v>43025</v>
      </c>
      <c r="I7593" s="1">
        <v>43031</v>
      </c>
      <c r="J7593">
        <v>0</v>
      </c>
    </row>
    <row r="7594" spans="1:10" x14ac:dyDescent="0.3">
      <c r="A7594" t="s">
        <v>7725</v>
      </c>
      <c r="B7594" t="s">
        <v>252</v>
      </c>
      <c r="C7594" t="str">
        <f>_xlfn.XLOOKUP(B7594,
[1]sales_teams!$A$2:$A$100,
[1]sales_teams!$B$2:$B$100)</f>
        <v>Melvin Marxen</v>
      </c>
      <c r="D7594" t="str">
        <f>_xlfn.XLOOKUP($B7594,sales_teams!$A$2:$A$36,sales_teams!C$2:C$36)</f>
        <v>Central</v>
      </c>
      <c r="E7594" t="s">
        <v>15</v>
      </c>
      <c r="F7594" t="s">
        <v>111</v>
      </c>
      <c r="G7594" t="s">
        <v>12</v>
      </c>
      <c r="H7594" s="1">
        <v>43025</v>
      </c>
      <c r="I7594" s="1">
        <v>43027</v>
      </c>
      <c r="J7594">
        <v>5046</v>
      </c>
    </row>
    <row r="7595" spans="1:10" x14ac:dyDescent="0.3">
      <c r="A7595" t="s">
        <v>7726</v>
      </c>
      <c r="B7595" t="s">
        <v>78</v>
      </c>
      <c r="C7595" t="str">
        <f>_xlfn.XLOOKUP(B7595,
[1]sales_teams!$A$2:$A$100,
[1]sales_teams!$B$2:$B$100)</f>
        <v>Summer Sewald</v>
      </c>
      <c r="D7595" t="str">
        <f>_xlfn.XLOOKUP($B7595,sales_teams!$A$2:$A$36,sales_teams!C$2:C$36)</f>
        <v>West</v>
      </c>
      <c r="E7595" t="s">
        <v>10</v>
      </c>
      <c r="G7595" t="s">
        <v>40</v>
      </c>
      <c r="H7595" s="1">
        <v>43025</v>
      </c>
    </row>
    <row r="7596" spans="1:10" x14ac:dyDescent="0.3">
      <c r="A7596" t="s">
        <v>7727</v>
      </c>
      <c r="B7596" t="s">
        <v>78</v>
      </c>
      <c r="C7596" t="str">
        <f>_xlfn.XLOOKUP(B7596,
[1]sales_teams!$A$2:$A$100,
[1]sales_teams!$B$2:$B$100)</f>
        <v>Summer Sewald</v>
      </c>
      <c r="D7596" t="str">
        <f>_xlfn.XLOOKUP($B7596,sales_teams!$A$2:$A$36,sales_teams!C$2:C$36)</f>
        <v>West</v>
      </c>
      <c r="E7596" t="s">
        <v>15</v>
      </c>
      <c r="G7596" t="s">
        <v>40</v>
      </c>
      <c r="H7596" s="1">
        <v>43025</v>
      </c>
    </row>
    <row r="7597" spans="1:10" x14ac:dyDescent="0.3">
      <c r="A7597" t="s">
        <v>7728</v>
      </c>
      <c r="B7597" t="s">
        <v>32</v>
      </c>
      <c r="C7597" t="str">
        <f>_xlfn.XLOOKUP(B7597,
[1]sales_teams!$A$2:$A$100,
[1]sales_teams!$B$2:$B$100)</f>
        <v>Celia Rouche</v>
      </c>
      <c r="D7597" t="str">
        <f>_xlfn.XLOOKUP($B7597,sales_teams!$A$2:$A$36,sales_teams!C$2:C$36)</f>
        <v>West</v>
      </c>
      <c r="E7597" t="s">
        <v>20</v>
      </c>
      <c r="F7597" t="s">
        <v>24</v>
      </c>
      <c r="G7597" t="s">
        <v>46</v>
      </c>
      <c r="H7597" s="1">
        <v>43025</v>
      </c>
      <c r="I7597" s="1">
        <v>43031</v>
      </c>
      <c r="J7597">
        <v>0</v>
      </c>
    </row>
    <row r="7598" spans="1:10" x14ac:dyDescent="0.3">
      <c r="A7598" t="s">
        <v>7729</v>
      </c>
      <c r="B7598" t="s">
        <v>32</v>
      </c>
      <c r="C7598" t="str">
        <f>_xlfn.XLOOKUP(B7598,
[1]sales_teams!$A$2:$A$100,
[1]sales_teams!$B$2:$B$100)</f>
        <v>Celia Rouche</v>
      </c>
      <c r="D7598" t="str">
        <f>_xlfn.XLOOKUP($B7598,sales_teams!$A$2:$A$36,sales_teams!C$2:C$36)</f>
        <v>West</v>
      </c>
      <c r="E7598" t="s">
        <v>18</v>
      </c>
      <c r="F7598" t="s">
        <v>148</v>
      </c>
      <c r="G7598" t="s">
        <v>46</v>
      </c>
      <c r="H7598" s="1">
        <v>43025</v>
      </c>
      <c r="I7598" s="1">
        <v>43034</v>
      </c>
      <c r="J7598">
        <v>0</v>
      </c>
    </row>
    <row r="7599" spans="1:10" x14ac:dyDescent="0.3">
      <c r="A7599" t="s">
        <v>7730</v>
      </c>
      <c r="B7599" t="s">
        <v>32</v>
      </c>
      <c r="C7599" t="str">
        <f>_xlfn.XLOOKUP(B7599,
[1]sales_teams!$A$2:$A$100,
[1]sales_teams!$B$2:$B$100)</f>
        <v>Celia Rouche</v>
      </c>
      <c r="D7599" t="str">
        <f>_xlfn.XLOOKUP($B7599,sales_teams!$A$2:$A$36,sales_teams!C$2:C$36)</f>
        <v>West</v>
      </c>
      <c r="E7599" t="s">
        <v>18</v>
      </c>
      <c r="F7599" t="s">
        <v>157</v>
      </c>
      <c r="G7599" t="s">
        <v>46</v>
      </c>
      <c r="H7599" s="1">
        <v>43025</v>
      </c>
      <c r="I7599" s="1">
        <v>43034</v>
      </c>
      <c r="J7599">
        <v>0</v>
      </c>
    </row>
    <row r="7600" spans="1:10" x14ac:dyDescent="0.3">
      <c r="A7600" t="s">
        <v>7731</v>
      </c>
      <c r="B7600" t="s">
        <v>116</v>
      </c>
      <c r="C7600" t="str">
        <f>_xlfn.XLOOKUP(B7600,
[1]sales_teams!$A$2:$A$100,
[1]sales_teams!$B$2:$B$100)</f>
        <v>Melvin Marxen</v>
      </c>
      <c r="D7600" t="str">
        <f>_xlfn.XLOOKUP($B7600,sales_teams!$A$2:$A$36,sales_teams!C$2:C$36)</f>
        <v>Central</v>
      </c>
      <c r="E7600" t="s">
        <v>18</v>
      </c>
      <c r="F7600" t="s">
        <v>91</v>
      </c>
      <c r="G7600" t="s">
        <v>12</v>
      </c>
      <c r="H7600" s="1">
        <v>43025</v>
      </c>
      <c r="I7600" s="1">
        <v>43034</v>
      </c>
      <c r="J7600">
        <v>64</v>
      </c>
    </row>
    <row r="7601" spans="1:10" x14ac:dyDescent="0.3">
      <c r="A7601" t="s">
        <v>7732</v>
      </c>
      <c r="B7601" t="s">
        <v>61</v>
      </c>
      <c r="C7601" t="str">
        <f>_xlfn.XLOOKUP(B7601,
[1]sales_teams!$A$2:$A$100,
[1]sales_teams!$B$2:$B$100)</f>
        <v>Dustin Brinkmann</v>
      </c>
      <c r="D7601" t="str">
        <f>_xlfn.XLOOKUP($B7601,sales_teams!$A$2:$A$36,sales_teams!C$2:C$36)</f>
        <v>Central</v>
      </c>
      <c r="E7601" t="s">
        <v>18</v>
      </c>
      <c r="F7601" t="s">
        <v>303</v>
      </c>
      <c r="G7601" t="s">
        <v>12</v>
      </c>
      <c r="H7601" s="1">
        <v>43025</v>
      </c>
      <c r="I7601" s="1">
        <v>43035</v>
      </c>
      <c r="J7601">
        <v>54</v>
      </c>
    </row>
    <row r="7602" spans="1:10" x14ac:dyDescent="0.3">
      <c r="A7602" t="s">
        <v>7733</v>
      </c>
      <c r="B7602" t="s">
        <v>29</v>
      </c>
      <c r="C7602" t="str">
        <f>_xlfn.XLOOKUP(B7602,
[1]sales_teams!$A$2:$A$100,
[1]sales_teams!$B$2:$B$100)</f>
        <v>Celia Rouche</v>
      </c>
      <c r="D7602" t="str">
        <f>_xlfn.XLOOKUP($B7602,sales_teams!$A$2:$A$36,sales_teams!C$2:C$36)</f>
        <v>West</v>
      </c>
      <c r="E7602" t="s">
        <v>18</v>
      </c>
      <c r="F7602" t="s">
        <v>93</v>
      </c>
      <c r="G7602" t="s">
        <v>12</v>
      </c>
      <c r="H7602" s="1">
        <v>43025</v>
      </c>
      <c r="I7602" s="1">
        <v>43034</v>
      </c>
      <c r="J7602">
        <v>68</v>
      </c>
    </row>
    <row r="7603" spans="1:10" x14ac:dyDescent="0.3">
      <c r="A7603" t="s">
        <v>7734</v>
      </c>
      <c r="B7603" t="s">
        <v>73</v>
      </c>
      <c r="C7603" t="str">
        <f>_xlfn.XLOOKUP(B7603,
[1]sales_teams!$A$2:$A$100,
[1]sales_teams!$B$2:$B$100)</f>
        <v>Cara Losch</v>
      </c>
      <c r="D7603" t="str">
        <f>_xlfn.XLOOKUP($B7603,sales_teams!$A$2:$A$36,sales_teams!C$2:C$36)</f>
        <v>East</v>
      </c>
      <c r="E7603" t="s">
        <v>10</v>
      </c>
      <c r="F7603" t="s">
        <v>204</v>
      </c>
      <c r="G7603" t="s">
        <v>46</v>
      </c>
      <c r="H7603" s="1">
        <v>43025</v>
      </c>
      <c r="I7603" s="1">
        <v>43026</v>
      </c>
      <c r="J7603">
        <v>0</v>
      </c>
    </row>
    <row r="7604" spans="1:10" x14ac:dyDescent="0.3">
      <c r="A7604" t="s">
        <v>7735</v>
      </c>
      <c r="B7604" t="s">
        <v>73</v>
      </c>
      <c r="C7604" t="str">
        <f>_xlfn.XLOOKUP(B7604,
[1]sales_teams!$A$2:$A$100,
[1]sales_teams!$B$2:$B$100)</f>
        <v>Cara Losch</v>
      </c>
      <c r="D7604" t="str">
        <f>_xlfn.XLOOKUP($B7604,sales_teams!$A$2:$A$36,sales_teams!C$2:C$36)</f>
        <v>East</v>
      </c>
      <c r="E7604" t="s">
        <v>18</v>
      </c>
      <c r="F7604" t="s">
        <v>103</v>
      </c>
      <c r="G7604" t="s">
        <v>46</v>
      </c>
      <c r="H7604" s="1">
        <v>43025</v>
      </c>
      <c r="I7604" s="1">
        <v>43026</v>
      </c>
      <c r="J7604">
        <v>0</v>
      </c>
    </row>
    <row r="7605" spans="1:10" x14ac:dyDescent="0.3">
      <c r="A7605" t="s">
        <v>7736</v>
      </c>
      <c r="B7605" t="s">
        <v>102</v>
      </c>
      <c r="C7605" t="str">
        <f>_xlfn.XLOOKUP(B7605,
[1]sales_teams!$A$2:$A$100,
[1]sales_teams!$B$2:$B$100)</f>
        <v>Cara Losch</v>
      </c>
      <c r="D7605" t="str">
        <f>_xlfn.XLOOKUP($B7605,sales_teams!$A$2:$A$36,sales_teams!C$2:C$36)</f>
        <v>East</v>
      </c>
      <c r="E7605" t="s">
        <v>18</v>
      </c>
      <c r="F7605" t="s">
        <v>222</v>
      </c>
      <c r="G7605" t="s">
        <v>46</v>
      </c>
      <c r="H7605" s="1">
        <v>43025</v>
      </c>
      <c r="I7605" s="1">
        <v>43027</v>
      </c>
      <c r="J7605">
        <v>0</v>
      </c>
    </row>
    <row r="7606" spans="1:10" x14ac:dyDescent="0.3">
      <c r="A7606" t="s">
        <v>7737</v>
      </c>
      <c r="B7606" t="s">
        <v>23</v>
      </c>
      <c r="C7606" t="str">
        <f>_xlfn.XLOOKUP(B7606,
[1]sales_teams!$A$2:$A$100,
[1]sales_teams!$B$2:$B$100)</f>
        <v>Summer Sewald</v>
      </c>
      <c r="D7606" t="str">
        <f>_xlfn.XLOOKUP($B7606,sales_teams!$A$2:$A$36,sales_teams!C$2:C$36)</f>
        <v>West</v>
      </c>
      <c r="E7606" t="s">
        <v>10</v>
      </c>
      <c r="F7606" t="s">
        <v>155</v>
      </c>
      <c r="G7606" t="s">
        <v>12</v>
      </c>
      <c r="H7606" s="1">
        <v>43025</v>
      </c>
      <c r="I7606" s="1">
        <v>43079</v>
      </c>
      <c r="J7606">
        <v>1129</v>
      </c>
    </row>
    <row r="7607" spans="1:10" x14ac:dyDescent="0.3">
      <c r="A7607" t="s">
        <v>7738</v>
      </c>
      <c r="B7607" t="s">
        <v>118</v>
      </c>
      <c r="C7607" t="str">
        <f>_xlfn.XLOOKUP(B7607,
[1]sales_teams!$A$2:$A$100,
[1]sales_teams!$B$2:$B$100)</f>
        <v>Rocco Neubert</v>
      </c>
      <c r="D7607" t="str">
        <f>_xlfn.XLOOKUP($B7607,sales_teams!$A$2:$A$36,sales_teams!C$2:C$36)</f>
        <v>East</v>
      </c>
      <c r="E7607" t="s">
        <v>39</v>
      </c>
      <c r="F7607" t="s">
        <v>103</v>
      </c>
      <c r="G7607" t="s">
        <v>46</v>
      </c>
      <c r="H7607" s="1">
        <v>43026</v>
      </c>
      <c r="I7607" s="1">
        <v>43027</v>
      </c>
      <c r="J7607">
        <v>0</v>
      </c>
    </row>
    <row r="7608" spans="1:10" x14ac:dyDescent="0.3">
      <c r="A7608" t="s">
        <v>7739</v>
      </c>
      <c r="B7608" t="s">
        <v>202</v>
      </c>
      <c r="C7608" t="str">
        <f>_xlfn.XLOOKUP(B7608,
[1]sales_teams!$A$2:$A$100,
[1]sales_teams!$B$2:$B$100)</f>
        <v>Dustin Brinkmann</v>
      </c>
      <c r="D7608" t="str">
        <f>_xlfn.XLOOKUP($B7608,sales_teams!$A$2:$A$36,sales_teams!C$2:C$36)</f>
        <v>Central</v>
      </c>
      <c r="E7608" t="s">
        <v>10</v>
      </c>
      <c r="F7608" t="s">
        <v>318</v>
      </c>
      <c r="G7608" t="s">
        <v>12</v>
      </c>
      <c r="H7608" s="1">
        <v>43026</v>
      </c>
      <c r="I7608" s="1">
        <v>43028</v>
      </c>
      <c r="J7608">
        <v>1200</v>
      </c>
    </row>
    <row r="7609" spans="1:10" x14ac:dyDescent="0.3">
      <c r="A7609" t="s">
        <v>7740</v>
      </c>
      <c r="B7609" t="s">
        <v>202</v>
      </c>
      <c r="C7609" t="str">
        <f>_xlfn.XLOOKUP(B7609,
[1]sales_teams!$A$2:$A$100,
[1]sales_teams!$B$2:$B$100)</f>
        <v>Dustin Brinkmann</v>
      </c>
      <c r="D7609" t="str">
        <f>_xlfn.XLOOKUP($B7609,sales_teams!$A$2:$A$36,sales_teams!C$2:C$36)</f>
        <v>Central</v>
      </c>
      <c r="E7609" t="s">
        <v>39</v>
      </c>
      <c r="F7609" t="s">
        <v>213</v>
      </c>
      <c r="G7609" t="s">
        <v>12</v>
      </c>
      <c r="H7609" s="1">
        <v>43026</v>
      </c>
      <c r="I7609" s="1">
        <v>43088</v>
      </c>
      <c r="J7609">
        <v>3164</v>
      </c>
    </row>
    <row r="7610" spans="1:10" x14ac:dyDescent="0.3">
      <c r="A7610" t="s">
        <v>7741</v>
      </c>
      <c r="B7610" t="s">
        <v>164</v>
      </c>
      <c r="C7610" t="str">
        <f>_xlfn.XLOOKUP(B7610,
[1]sales_teams!$A$2:$A$100,
[1]sales_teams!$B$2:$B$100)</f>
        <v>Cara Losch</v>
      </c>
      <c r="D7610" t="str">
        <f>_xlfn.XLOOKUP($B7610,sales_teams!$A$2:$A$36,sales_teams!C$2:C$36)</f>
        <v>East</v>
      </c>
      <c r="E7610" t="s">
        <v>10</v>
      </c>
      <c r="F7610" t="s">
        <v>199</v>
      </c>
      <c r="G7610" t="s">
        <v>46</v>
      </c>
      <c r="H7610" s="1">
        <v>43026</v>
      </c>
      <c r="I7610" s="1">
        <v>43033</v>
      </c>
      <c r="J7610">
        <v>0</v>
      </c>
    </row>
    <row r="7611" spans="1:10" x14ac:dyDescent="0.3">
      <c r="A7611" t="s">
        <v>7742</v>
      </c>
      <c r="B7611" t="s">
        <v>164</v>
      </c>
      <c r="C7611" t="str">
        <f>_xlfn.XLOOKUP(B7611,
[1]sales_teams!$A$2:$A$100,
[1]sales_teams!$B$2:$B$100)</f>
        <v>Cara Losch</v>
      </c>
      <c r="D7611" t="str">
        <f>_xlfn.XLOOKUP($B7611,sales_teams!$A$2:$A$36,sales_teams!C$2:C$36)</f>
        <v>East</v>
      </c>
      <c r="E7611" t="s">
        <v>39</v>
      </c>
      <c r="F7611" t="s">
        <v>89</v>
      </c>
      <c r="G7611" t="s">
        <v>12</v>
      </c>
      <c r="H7611" s="1">
        <v>43026</v>
      </c>
      <c r="I7611" s="1">
        <v>43034</v>
      </c>
      <c r="J7611">
        <v>3225</v>
      </c>
    </row>
    <row r="7612" spans="1:10" x14ac:dyDescent="0.3">
      <c r="A7612" t="s">
        <v>7743</v>
      </c>
      <c r="B7612" t="s">
        <v>64</v>
      </c>
      <c r="C7612" t="str">
        <f>_xlfn.XLOOKUP(B7612,
[1]sales_teams!$A$2:$A$100,
[1]sales_teams!$B$2:$B$100)</f>
        <v>Rocco Neubert</v>
      </c>
      <c r="D7612" t="str">
        <f>_xlfn.XLOOKUP($B7612,sales_teams!$A$2:$A$36,sales_teams!C$2:C$36)</f>
        <v>East</v>
      </c>
      <c r="E7612" t="s">
        <v>10</v>
      </c>
      <c r="F7612" t="s">
        <v>222</v>
      </c>
      <c r="G7612" t="s">
        <v>46</v>
      </c>
      <c r="H7612" s="1">
        <v>43026</v>
      </c>
      <c r="I7612" s="1">
        <v>43044</v>
      </c>
      <c r="J7612">
        <v>0</v>
      </c>
    </row>
    <row r="7613" spans="1:10" x14ac:dyDescent="0.3">
      <c r="A7613" t="s">
        <v>7744</v>
      </c>
      <c r="B7613" t="s">
        <v>14</v>
      </c>
      <c r="C7613" t="str">
        <f>_xlfn.XLOOKUP(B7613,
[1]sales_teams!$A$2:$A$100,
[1]sales_teams!$B$2:$B$100)</f>
        <v>Melvin Marxen</v>
      </c>
      <c r="D7613" t="str">
        <f>_xlfn.XLOOKUP($B7613,sales_teams!$A$2:$A$36,sales_teams!C$2:C$36)</f>
        <v>Central</v>
      </c>
      <c r="E7613" t="s">
        <v>15</v>
      </c>
      <c r="F7613" t="s">
        <v>151</v>
      </c>
      <c r="G7613" t="s">
        <v>12</v>
      </c>
      <c r="H7613" s="1">
        <v>43026</v>
      </c>
      <c r="I7613" s="1">
        <v>43028</v>
      </c>
      <c r="J7613">
        <v>4130</v>
      </c>
    </row>
    <row r="7614" spans="1:10" x14ac:dyDescent="0.3">
      <c r="A7614" t="s">
        <v>7745</v>
      </c>
      <c r="B7614" t="s">
        <v>142</v>
      </c>
      <c r="C7614" t="str">
        <f>_xlfn.XLOOKUP(B7614,
[1]sales_teams!$A$2:$A$100,
[1]sales_teams!$B$2:$B$100)</f>
        <v>Rocco Neubert</v>
      </c>
      <c r="D7614" t="str">
        <f>_xlfn.XLOOKUP($B7614,sales_teams!$A$2:$A$36,sales_teams!C$2:C$36)</f>
        <v>East</v>
      </c>
      <c r="E7614" t="s">
        <v>20</v>
      </c>
      <c r="F7614" t="s">
        <v>745</v>
      </c>
      <c r="G7614" t="s">
        <v>46</v>
      </c>
      <c r="H7614" s="1">
        <v>43026</v>
      </c>
      <c r="I7614" s="1">
        <v>43032</v>
      </c>
      <c r="J7614">
        <v>0</v>
      </c>
    </row>
    <row r="7615" spans="1:10" x14ac:dyDescent="0.3">
      <c r="A7615" t="s">
        <v>7746</v>
      </c>
      <c r="B7615" t="s">
        <v>142</v>
      </c>
      <c r="C7615" t="str">
        <f>_xlfn.XLOOKUP(B7615,
[1]sales_teams!$A$2:$A$100,
[1]sales_teams!$B$2:$B$100)</f>
        <v>Rocco Neubert</v>
      </c>
      <c r="D7615" t="str">
        <f>_xlfn.XLOOKUP($B7615,sales_teams!$A$2:$A$36,sales_teams!C$2:C$36)</f>
        <v>East</v>
      </c>
      <c r="E7615" t="s">
        <v>15</v>
      </c>
      <c r="F7615" t="s">
        <v>410</v>
      </c>
      <c r="G7615" t="s">
        <v>46</v>
      </c>
      <c r="H7615" s="1">
        <v>43026</v>
      </c>
      <c r="I7615" s="1">
        <v>43068</v>
      </c>
      <c r="J7615">
        <v>0</v>
      </c>
    </row>
    <row r="7616" spans="1:10" x14ac:dyDescent="0.3">
      <c r="A7616" t="s">
        <v>7747</v>
      </c>
      <c r="B7616" t="s">
        <v>67</v>
      </c>
      <c r="C7616" t="str">
        <f>_xlfn.XLOOKUP(B7616,
[1]sales_teams!$A$2:$A$100,
[1]sales_teams!$B$2:$B$100)</f>
        <v>Celia Rouche</v>
      </c>
      <c r="D7616" t="str">
        <f>_xlfn.XLOOKUP($B7616,sales_teams!$A$2:$A$36,sales_teams!C$2:C$36)</f>
        <v>West</v>
      </c>
      <c r="E7616" t="s">
        <v>18</v>
      </c>
      <c r="F7616" t="s">
        <v>273</v>
      </c>
      <c r="G7616" t="s">
        <v>12</v>
      </c>
      <c r="H7616" s="1">
        <v>43026</v>
      </c>
      <c r="I7616" s="1">
        <v>43028</v>
      </c>
      <c r="J7616">
        <v>47</v>
      </c>
    </row>
    <row r="7617" spans="1:10" x14ac:dyDescent="0.3">
      <c r="A7617" t="s">
        <v>7748</v>
      </c>
      <c r="B7617" t="s">
        <v>105</v>
      </c>
      <c r="C7617" t="str">
        <f>_xlfn.XLOOKUP(B7617,
[1]sales_teams!$A$2:$A$100,
[1]sales_teams!$B$2:$B$100)</f>
        <v>Cara Losch</v>
      </c>
      <c r="D7617" t="str">
        <f>_xlfn.XLOOKUP($B7617,sales_teams!$A$2:$A$36,sales_teams!C$2:C$36)</f>
        <v>East</v>
      </c>
      <c r="E7617" t="s">
        <v>48</v>
      </c>
      <c r="F7617" t="s">
        <v>199</v>
      </c>
      <c r="G7617" t="s">
        <v>12</v>
      </c>
      <c r="H7617" s="1">
        <v>43026</v>
      </c>
      <c r="I7617" s="1">
        <v>43033</v>
      </c>
      <c r="J7617">
        <v>4751</v>
      </c>
    </row>
    <row r="7618" spans="1:10" x14ac:dyDescent="0.3">
      <c r="A7618" t="s">
        <v>7749</v>
      </c>
      <c r="B7618" t="s">
        <v>44</v>
      </c>
      <c r="C7618" t="str">
        <f>_xlfn.XLOOKUP(B7618,
[1]sales_teams!$A$2:$A$100,
[1]sales_teams!$B$2:$B$100)</f>
        <v>Melvin Marxen</v>
      </c>
      <c r="D7618" t="str">
        <f>_xlfn.XLOOKUP($B7618,sales_teams!$A$2:$A$36,sales_teams!C$2:C$36)</f>
        <v>Central</v>
      </c>
      <c r="E7618" t="s">
        <v>39</v>
      </c>
      <c r="F7618" t="s">
        <v>113</v>
      </c>
      <c r="G7618" t="s">
        <v>46</v>
      </c>
      <c r="H7618" s="1">
        <v>43026</v>
      </c>
      <c r="I7618" s="1">
        <v>43032</v>
      </c>
      <c r="J7618">
        <v>0</v>
      </c>
    </row>
    <row r="7619" spans="1:10" x14ac:dyDescent="0.3">
      <c r="A7619" t="s">
        <v>7750</v>
      </c>
      <c r="B7619" t="s">
        <v>54</v>
      </c>
      <c r="C7619" t="str">
        <f>_xlfn.XLOOKUP(B7619,
[1]sales_teams!$A$2:$A$100,
[1]sales_teams!$B$2:$B$100)</f>
        <v>Celia Rouche</v>
      </c>
      <c r="D7619" t="str">
        <f>_xlfn.XLOOKUP($B7619,sales_teams!$A$2:$A$36,sales_teams!C$2:C$36)</f>
        <v>West</v>
      </c>
      <c r="E7619" t="s">
        <v>39</v>
      </c>
      <c r="F7619" t="s">
        <v>100</v>
      </c>
      <c r="G7619" t="s">
        <v>46</v>
      </c>
      <c r="H7619" s="1">
        <v>43026</v>
      </c>
      <c r="I7619" s="1">
        <v>43027</v>
      </c>
      <c r="J7619">
        <v>0</v>
      </c>
    </row>
    <row r="7620" spans="1:10" x14ac:dyDescent="0.3">
      <c r="A7620" t="s">
        <v>7751</v>
      </c>
      <c r="B7620" t="s">
        <v>54</v>
      </c>
      <c r="C7620" t="str">
        <f>_xlfn.XLOOKUP(B7620,
[1]sales_teams!$A$2:$A$100,
[1]sales_teams!$B$2:$B$100)</f>
        <v>Celia Rouche</v>
      </c>
      <c r="D7620" t="str">
        <f>_xlfn.XLOOKUP($B7620,sales_teams!$A$2:$A$36,sales_teams!C$2:C$36)</f>
        <v>West</v>
      </c>
      <c r="E7620" t="s">
        <v>18</v>
      </c>
      <c r="F7620" t="s">
        <v>159</v>
      </c>
      <c r="G7620" t="s">
        <v>12</v>
      </c>
      <c r="H7620" s="1">
        <v>43026</v>
      </c>
      <c r="I7620" s="1">
        <v>43089</v>
      </c>
      <c r="J7620">
        <v>51</v>
      </c>
    </row>
    <row r="7621" spans="1:10" x14ac:dyDescent="0.3">
      <c r="A7621" t="s">
        <v>7752</v>
      </c>
      <c r="B7621" t="s">
        <v>54</v>
      </c>
      <c r="C7621" t="str">
        <f>_xlfn.XLOOKUP(B7621,
[1]sales_teams!$A$2:$A$100,
[1]sales_teams!$B$2:$B$100)</f>
        <v>Celia Rouche</v>
      </c>
      <c r="D7621" t="str">
        <f>_xlfn.XLOOKUP($B7621,sales_teams!$A$2:$A$36,sales_teams!C$2:C$36)</f>
        <v>West</v>
      </c>
      <c r="E7621" t="s">
        <v>39</v>
      </c>
      <c r="F7621" t="s">
        <v>273</v>
      </c>
      <c r="G7621" t="s">
        <v>12</v>
      </c>
      <c r="H7621" s="1">
        <v>43026</v>
      </c>
      <c r="I7621" s="1">
        <v>43030</v>
      </c>
      <c r="J7621">
        <v>3696</v>
      </c>
    </row>
    <row r="7622" spans="1:10" x14ac:dyDescent="0.3">
      <c r="A7622" t="s">
        <v>7753</v>
      </c>
      <c r="B7622" t="s">
        <v>78</v>
      </c>
      <c r="C7622" t="str">
        <f>_xlfn.XLOOKUP(B7622,
[1]sales_teams!$A$2:$A$100,
[1]sales_teams!$B$2:$B$100)</f>
        <v>Summer Sewald</v>
      </c>
      <c r="D7622" t="str">
        <f>_xlfn.XLOOKUP($B7622,sales_teams!$A$2:$A$36,sales_teams!C$2:C$36)</f>
        <v>West</v>
      </c>
      <c r="E7622" t="s">
        <v>15</v>
      </c>
      <c r="F7622" t="s">
        <v>124</v>
      </c>
      <c r="G7622" t="s">
        <v>46</v>
      </c>
      <c r="H7622" s="1">
        <v>43026</v>
      </c>
      <c r="I7622" s="1">
        <v>43034</v>
      </c>
      <c r="J7622">
        <v>0</v>
      </c>
    </row>
    <row r="7623" spans="1:10" x14ac:dyDescent="0.3">
      <c r="A7623" t="s">
        <v>7754</v>
      </c>
      <c r="B7623" t="s">
        <v>78</v>
      </c>
      <c r="C7623" t="str">
        <f>_xlfn.XLOOKUP(B7623,
[1]sales_teams!$A$2:$A$100,
[1]sales_teams!$B$2:$B$100)</f>
        <v>Summer Sewald</v>
      </c>
      <c r="D7623" t="str">
        <f>_xlfn.XLOOKUP($B7623,sales_teams!$A$2:$A$36,sales_teams!C$2:C$36)</f>
        <v>West</v>
      </c>
      <c r="E7623" t="s">
        <v>39</v>
      </c>
      <c r="F7623" t="s">
        <v>398</v>
      </c>
      <c r="G7623" t="s">
        <v>12</v>
      </c>
      <c r="H7623" s="1">
        <v>43026</v>
      </c>
      <c r="I7623" s="1">
        <v>43032</v>
      </c>
      <c r="J7623">
        <v>3536</v>
      </c>
    </row>
    <row r="7624" spans="1:10" x14ac:dyDescent="0.3">
      <c r="A7624" t="s">
        <v>7755</v>
      </c>
      <c r="B7624" t="s">
        <v>95</v>
      </c>
      <c r="C7624" t="str">
        <f>_xlfn.XLOOKUP(B7624,
[1]sales_teams!$A$2:$A$100,
[1]sales_teams!$B$2:$B$100)</f>
        <v>Summer Sewald</v>
      </c>
      <c r="D7624" t="str">
        <f>_xlfn.XLOOKUP($B7624,sales_teams!$A$2:$A$36,sales_teams!C$2:C$36)</f>
        <v>West</v>
      </c>
      <c r="E7624" t="s">
        <v>20</v>
      </c>
      <c r="F7624" t="s">
        <v>174</v>
      </c>
      <c r="G7624" t="s">
        <v>46</v>
      </c>
      <c r="H7624" s="1">
        <v>43026</v>
      </c>
      <c r="I7624" s="1">
        <v>43061</v>
      </c>
      <c r="J7624">
        <v>0</v>
      </c>
    </row>
    <row r="7625" spans="1:10" x14ac:dyDescent="0.3">
      <c r="A7625" t="s">
        <v>7756</v>
      </c>
      <c r="B7625" t="s">
        <v>95</v>
      </c>
      <c r="C7625" t="str">
        <f>_xlfn.XLOOKUP(B7625,
[1]sales_teams!$A$2:$A$100,
[1]sales_teams!$B$2:$B$100)</f>
        <v>Summer Sewald</v>
      </c>
      <c r="D7625" t="str">
        <f>_xlfn.XLOOKUP($B7625,sales_teams!$A$2:$A$36,sales_teams!C$2:C$36)</f>
        <v>West</v>
      </c>
      <c r="E7625" t="s">
        <v>18</v>
      </c>
      <c r="F7625" t="s">
        <v>157</v>
      </c>
      <c r="G7625" t="s">
        <v>46</v>
      </c>
      <c r="H7625" s="1">
        <v>43026</v>
      </c>
      <c r="I7625" s="1">
        <v>43044</v>
      </c>
      <c r="J7625">
        <v>0</v>
      </c>
    </row>
    <row r="7626" spans="1:10" x14ac:dyDescent="0.3">
      <c r="A7626" t="s">
        <v>7757</v>
      </c>
      <c r="B7626" t="s">
        <v>95</v>
      </c>
      <c r="C7626" t="str">
        <f>_xlfn.XLOOKUP(B7626,
[1]sales_teams!$A$2:$A$100,
[1]sales_teams!$B$2:$B$100)</f>
        <v>Summer Sewald</v>
      </c>
      <c r="D7626" t="str">
        <f>_xlfn.XLOOKUP($B7626,sales_teams!$A$2:$A$36,sales_teams!C$2:C$36)</f>
        <v>West</v>
      </c>
      <c r="E7626" t="s">
        <v>18</v>
      </c>
      <c r="F7626" t="s">
        <v>168</v>
      </c>
      <c r="G7626" t="s">
        <v>12</v>
      </c>
      <c r="H7626" s="1">
        <v>43026</v>
      </c>
      <c r="I7626" s="1">
        <v>43086</v>
      </c>
      <c r="J7626">
        <v>59</v>
      </c>
    </row>
    <row r="7627" spans="1:10" x14ac:dyDescent="0.3">
      <c r="A7627" t="s">
        <v>7758</v>
      </c>
      <c r="B7627" t="s">
        <v>133</v>
      </c>
      <c r="C7627" t="str">
        <f>_xlfn.XLOOKUP(B7627,
[1]sales_teams!$A$2:$A$100,
[1]sales_teams!$B$2:$B$100)</f>
        <v>Dustin Brinkmann</v>
      </c>
      <c r="D7627" t="str">
        <f>_xlfn.XLOOKUP($B7627,sales_teams!$A$2:$A$36,sales_teams!C$2:C$36)</f>
        <v>Central</v>
      </c>
      <c r="E7627" t="s">
        <v>20</v>
      </c>
      <c r="F7627" t="s">
        <v>135</v>
      </c>
      <c r="G7627" t="s">
        <v>12</v>
      </c>
      <c r="H7627" s="1">
        <v>43026</v>
      </c>
      <c r="I7627" s="1">
        <v>43028</v>
      </c>
      <c r="J7627">
        <v>474</v>
      </c>
    </row>
    <row r="7628" spans="1:10" x14ac:dyDescent="0.3">
      <c r="A7628" t="s">
        <v>7759</v>
      </c>
      <c r="B7628" t="s">
        <v>116</v>
      </c>
      <c r="C7628" t="str">
        <f>_xlfn.XLOOKUP(B7628,
[1]sales_teams!$A$2:$A$100,
[1]sales_teams!$B$2:$B$100)</f>
        <v>Melvin Marxen</v>
      </c>
      <c r="D7628" t="str">
        <f>_xlfn.XLOOKUP($B7628,sales_teams!$A$2:$A$36,sales_teams!C$2:C$36)</f>
        <v>Central</v>
      </c>
      <c r="E7628" t="s">
        <v>18</v>
      </c>
      <c r="F7628" t="s">
        <v>42</v>
      </c>
      <c r="G7628" t="s">
        <v>12</v>
      </c>
      <c r="H7628" s="1">
        <v>43026</v>
      </c>
      <c r="I7628" s="1">
        <v>43038</v>
      </c>
      <c r="J7628">
        <v>43</v>
      </c>
    </row>
    <row r="7629" spans="1:10" x14ac:dyDescent="0.3">
      <c r="A7629" t="s">
        <v>7760</v>
      </c>
      <c r="B7629" t="s">
        <v>116</v>
      </c>
      <c r="C7629" t="str">
        <f>_xlfn.XLOOKUP(B7629,
[1]sales_teams!$A$2:$A$100,
[1]sales_teams!$B$2:$B$100)</f>
        <v>Melvin Marxen</v>
      </c>
      <c r="D7629" t="str">
        <f>_xlfn.XLOOKUP($B7629,sales_teams!$A$2:$A$36,sales_teams!C$2:C$36)</f>
        <v>Central</v>
      </c>
      <c r="E7629" t="s">
        <v>18</v>
      </c>
      <c r="F7629" t="s">
        <v>315</v>
      </c>
      <c r="G7629" t="s">
        <v>12</v>
      </c>
      <c r="H7629" s="1">
        <v>43026</v>
      </c>
      <c r="I7629" s="1">
        <v>43088</v>
      </c>
      <c r="J7629">
        <v>60</v>
      </c>
    </row>
    <row r="7630" spans="1:10" x14ac:dyDescent="0.3">
      <c r="A7630" t="s">
        <v>7761</v>
      </c>
      <c r="B7630" t="s">
        <v>35</v>
      </c>
      <c r="C7630" t="str">
        <f>_xlfn.XLOOKUP(B7630,
[1]sales_teams!$A$2:$A$100,
[1]sales_teams!$B$2:$B$100)</f>
        <v>Melvin Marxen</v>
      </c>
      <c r="D7630" t="str">
        <f>_xlfn.XLOOKUP($B7630,sales_teams!$A$2:$A$36,sales_teams!C$2:C$36)</f>
        <v>Central</v>
      </c>
      <c r="E7630" t="s">
        <v>20</v>
      </c>
      <c r="F7630" t="s">
        <v>62</v>
      </c>
      <c r="G7630" t="s">
        <v>46</v>
      </c>
      <c r="H7630" s="1">
        <v>43026</v>
      </c>
      <c r="I7630" s="1">
        <v>43037</v>
      </c>
      <c r="J7630">
        <v>0</v>
      </c>
    </row>
    <row r="7631" spans="1:10" x14ac:dyDescent="0.3">
      <c r="A7631" t="s">
        <v>7762</v>
      </c>
      <c r="B7631" t="s">
        <v>35</v>
      </c>
      <c r="C7631" t="str">
        <f>_xlfn.XLOOKUP(B7631,
[1]sales_teams!$A$2:$A$100,
[1]sales_teams!$B$2:$B$100)</f>
        <v>Melvin Marxen</v>
      </c>
      <c r="D7631" t="str">
        <f>_xlfn.XLOOKUP($B7631,sales_teams!$A$2:$A$36,sales_teams!C$2:C$36)</f>
        <v>Central</v>
      </c>
      <c r="E7631" t="s">
        <v>20</v>
      </c>
      <c r="F7631" t="s">
        <v>27</v>
      </c>
      <c r="G7631" t="s">
        <v>12</v>
      </c>
      <c r="H7631" s="1">
        <v>43026</v>
      </c>
      <c r="I7631" s="1">
        <v>43035</v>
      </c>
      <c r="J7631">
        <v>461</v>
      </c>
    </row>
    <row r="7632" spans="1:10" x14ac:dyDescent="0.3">
      <c r="A7632" t="s">
        <v>7763</v>
      </c>
      <c r="B7632" t="s">
        <v>97</v>
      </c>
      <c r="C7632" t="str">
        <f>_xlfn.XLOOKUP(B7632,
[1]sales_teams!$A$2:$A$100,
[1]sales_teams!$B$2:$B$100)</f>
        <v>Rocco Neubert</v>
      </c>
      <c r="D7632" t="str">
        <f>_xlfn.XLOOKUP($B7632,sales_teams!$A$2:$A$36,sales_teams!C$2:C$36)</f>
        <v>East</v>
      </c>
      <c r="E7632" t="s">
        <v>10</v>
      </c>
      <c r="F7632" t="s">
        <v>65</v>
      </c>
      <c r="G7632" t="s">
        <v>46</v>
      </c>
      <c r="H7632" s="1">
        <v>43026</v>
      </c>
      <c r="I7632" s="1">
        <v>43080</v>
      </c>
      <c r="J7632">
        <v>0</v>
      </c>
    </row>
    <row r="7633" spans="1:10" x14ac:dyDescent="0.3">
      <c r="A7633" t="s">
        <v>7764</v>
      </c>
      <c r="B7633" t="s">
        <v>97</v>
      </c>
      <c r="C7633" t="str">
        <f>_xlfn.XLOOKUP(B7633,
[1]sales_teams!$A$2:$A$100,
[1]sales_teams!$B$2:$B$100)</f>
        <v>Rocco Neubert</v>
      </c>
      <c r="D7633" t="str">
        <f>_xlfn.XLOOKUP($B7633,sales_teams!$A$2:$A$36,sales_teams!C$2:C$36)</f>
        <v>East</v>
      </c>
      <c r="E7633" t="s">
        <v>18</v>
      </c>
      <c r="F7633" t="s">
        <v>237</v>
      </c>
      <c r="G7633" t="s">
        <v>12</v>
      </c>
      <c r="H7633" s="1">
        <v>43026</v>
      </c>
      <c r="I7633" s="1">
        <v>43027</v>
      </c>
      <c r="J7633">
        <v>54</v>
      </c>
    </row>
    <row r="7634" spans="1:10" x14ac:dyDescent="0.3">
      <c r="A7634" t="s">
        <v>7765</v>
      </c>
      <c r="B7634" t="s">
        <v>57</v>
      </c>
      <c r="C7634" t="str">
        <f>_xlfn.XLOOKUP(B7634,
[1]sales_teams!$A$2:$A$100,
[1]sales_teams!$B$2:$B$100)</f>
        <v>Celia Rouche</v>
      </c>
      <c r="D7634" t="str">
        <f>_xlfn.XLOOKUP($B7634,sales_teams!$A$2:$A$36,sales_teams!C$2:C$36)</f>
        <v>West</v>
      </c>
      <c r="E7634" t="s">
        <v>18</v>
      </c>
      <c r="G7634" t="s">
        <v>40</v>
      </c>
      <c r="H7634" s="1">
        <v>43026</v>
      </c>
    </row>
    <row r="7635" spans="1:10" x14ac:dyDescent="0.3">
      <c r="A7635" t="s">
        <v>7766</v>
      </c>
      <c r="B7635" t="s">
        <v>57</v>
      </c>
      <c r="C7635" t="str">
        <f>_xlfn.XLOOKUP(B7635,
[1]sales_teams!$A$2:$A$100,
[1]sales_teams!$B$2:$B$100)</f>
        <v>Celia Rouche</v>
      </c>
      <c r="D7635" t="str">
        <f>_xlfn.XLOOKUP($B7635,sales_teams!$A$2:$A$36,sales_teams!C$2:C$36)</f>
        <v>West</v>
      </c>
      <c r="E7635" t="s">
        <v>18</v>
      </c>
      <c r="F7635" t="s">
        <v>168</v>
      </c>
      <c r="G7635" t="s">
        <v>46</v>
      </c>
      <c r="H7635" s="1">
        <v>43026</v>
      </c>
      <c r="I7635" s="1">
        <v>43071</v>
      </c>
      <c r="J7635">
        <v>0</v>
      </c>
    </row>
    <row r="7636" spans="1:10" x14ac:dyDescent="0.3">
      <c r="A7636" t="s">
        <v>7767</v>
      </c>
      <c r="B7636" t="s">
        <v>88</v>
      </c>
      <c r="C7636" t="str">
        <f>_xlfn.XLOOKUP(B7636,
[1]sales_teams!$A$2:$A$100,
[1]sales_teams!$B$2:$B$100)</f>
        <v>Cara Losch</v>
      </c>
      <c r="D7636" t="str">
        <f>_xlfn.XLOOKUP($B7636,sales_teams!$A$2:$A$36,sales_teams!C$2:C$36)</f>
        <v>East</v>
      </c>
      <c r="E7636" t="s">
        <v>10</v>
      </c>
      <c r="F7636" t="s">
        <v>189</v>
      </c>
      <c r="G7636" t="s">
        <v>46</v>
      </c>
      <c r="H7636" s="1">
        <v>43026</v>
      </c>
      <c r="I7636" s="1">
        <v>43033</v>
      </c>
      <c r="J7636">
        <v>0</v>
      </c>
    </row>
    <row r="7637" spans="1:10" x14ac:dyDescent="0.3">
      <c r="A7637" t="s">
        <v>7768</v>
      </c>
      <c r="B7637" t="s">
        <v>88</v>
      </c>
      <c r="C7637" t="str">
        <f>_xlfn.XLOOKUP(B7637,
[1]sales_teams!$A$2:$A$100,
[1]sales_teams!$B$2:$B$100)</f>
        <v>Cara Losch</v>
      </c>
      <c r="D7637" t="str">
        <f>_xlfn.XLOOKUP($B7637,sales_teams!$A$2:$A$36,sales_teams!C$2:C$36)</f>
        <v>East</v>
      </c>
      <c r="E7637" t="s">
        <v>18</v>
      </c>
      <c r="F7637" t="s">
        <v>240</v>
      </c>
      <c r="G7637" t="s">
        <v>46</v>
      </c>
      <c r="H7637" s="1">
        <v>43026</v>
      </c>
      <c r="I7637" s="1">
        <v>43036</v>
      </c>
      <c r="J7637">
        <v>0</v>
      </c>
    </row>
    <row r="7638" spans="1:10" x14ac:dyDescent="0.3">
      <c r="A7638" t="s">
        <v>7769</v>
      </c>
      <c r="B7638" t="s">
        <v>29</v>
      </c>
      <c r="C7638" t="str">
        <f>_xlfn.XLOOKUP(B7638,
[1]sales_teams!$A$2:$A$100,
[1]sales_teams!$B$2:$B$100)</f>
        <v>Celia Rouche</v>
      </c>
      <c r="D7638" t="str">
        <f>_xlfn.XLOOKUP($B7638,sales_teams!$A$2:$A$36,sales_teams!C$2:C$36)</f>
        <v>West</v>
      </c>
      <c r="E7638" t="s">
        <v>20</v>
      </c>
      <c r="F7638" t="s">
        <v>224</v>
      </c>
      <c r="G7638" t="s">
        <v>46</v>
      </c>
      <c r="H7638" s="1">
        <v>43026</v>
      </c>
      <c r="I7638" s="1">
        <v>43100</v>
      </c>
      <c r="J7638">
        <v>0</v>
      </c>
    </row>
    <row r="7639" spans="1:10" x14ac:dyDescent="0.3">
      <c r="A7639" t="s">
        <v>7770</v>
      </c>
      <c r="B7639" t="s">
        <v>29</v>
      </c>
      <c r="C7639" t="str">
        <f>_xlfn.XLOOKUP(B7639,
[1]sales_teams!$A$2:$A$100,
[1]sales_teams!$B$2:$B$100)</f>
        <v>Celia Rouche</v>
      </c>
      <c r="D7639" t="str">
        <f>_xlfn.XLOOKUP($B7639,sales_teams!$A$2:$A$36,sales_teams!C$2:C$36)</f>
        <v>West</v>
      </c>
      <c r="E7639" t="s">
        <v>39</v>
      </c>
      <c r="F7639" t="s">
        <v>315</v>
      </c>
      <c r="G7639" t="s">
        <v>46</v>
      </c>
      <c r="H7639" s="1">
        <v>43026</v>
      </c>
      <c r="I7639" s="1">
        <v>43032</v>
      </c>
      <c r="J7639">
        <v>0</v>
      </c>
    </row>
    <row r="7640" spans="1:10" x14ac:dyDescent="0.3">
      <c r="A7640" t="s">
        <v>7771</v>
      </c>
      <c r="B7640" t="s">
        <v>29</v>
      </c>
      <c r="C7640" t="str">
        <f>_xlfn.XLOOKUP(B7640,
[1]sales_teams!$A$2:$A$100,
[1]sales_teams!$B$2:$B$100)</f>
        <v>Celia Rouche</v>
      </c>
      <c r="D7640" t="str">
        <f>_xlfn.XLOOKUP($B7640,sales_teams!$A$2:$A$36,sales_teams!C$2:C$36)</f>
        <v>West</v>
      </c>
      <c r="E7640" t="s">
        <v>39</v>
      </c>
      <c r="F7640" t="s">
        <v>68</v>
      </c>
      <c r="G7640" t="s">
        <v>12</v>
      </c>
      <c r="H7640" s="1">
        <v>43026</v>
      </c>
      <c r="I7640" s="1">
        <v>43035</v>
      </c>
      <c r="J7640">
        <v>3363</v>
      </c>
    </row>
    <row r="7641" spans="1:10" x14ac:dyDescent="0.3">
      <c r="A7641" t="s">
        <v>7772</v>
      </c>
      <c r="B7641" t="s">
        <v>26</v>
      </c>
      <c r="C7641" t="str">
        <f>_xlfn.XLOOKUP(B7641,
[1]sales_teams!$A$2:$A$100,
[1]sales_teams!$B$2:$B$100)</f>
        <v>Dustin Brinkmann</v>
      </c>
      <c r="D7641" t="str">
        <f>_xlfn.XLOOKUP($B7641,sales_teams!$A$2:$A$36,sales_teams!C$2:C$36)</f>
        <v>Central</v>
      </c>
      <c r="E7641" t="s">
        <v>10</v>
      </c>
      <c r="F7641" t="s">
        <v>315</v>
      </c>
      <c r="G7641" t="s">
        <v>12</v>
      </c>
      <c r="H7641" s="1">
        <v>43027</v>
      </c>
      <c r="I7641" s="1">
        <v>43038</v>
      </c>
      <c r="J7641">
        <v>1089</v>
      </c>
    </row>
    <row r="7642" spans="1:10" x14ac:dyDescent="0.3">
      <c r="A7642" t="s">
        <v>7773</v>
      </c>
      <c r="B7642" t="s">
        <v>118</v>
      </c>
      <c r="C7642" t="str">
        <f>_xlfn.XLOOKUP(B7642,
[1]sales_teams!$A$2:$A$100,
[1]sales_teams!$B$2:$B$100)</f>
        <v>Rocco Neubert</v>
      </c>
      <c r="D7642" t="str">
        <f>_xlfn.XLOOKUP($B7642,sales_teams!$A$2:$A$36,sales_teams!C$2:C$36)</f>
        <v>East</v>
      </c>
      <c r="E7642" t="s">
        <v>15</v>
      </c>
      <c r="F7642" t="s">
        <v>140</v>
      </c>
      <c r="G7642" t="s">
        <v>46</v>
      </c>
      <c r="H7642" s="1">
        <v>43027</v>
      </c>
      <c r="I7642" s="1">
        <v>43039</v>
      </c>
      <c r="J7642">
        <v>0</v>
      </c>
    </row>
    <row r="7643" spans="1:10" x14ac:dyDescent="0.3">
      <c r="A7643" t="s">
        <v>7774</v>
      </c>
      <c r="B7643" t="s">
        <v>118</v>
      </c>
      <c r="C7643" t="str">
        <f>_xlfn.XLOOKUP(B7643,
[1]sales_teams!$A$2:$A$100,
[1]sales_teams!$B$2:$B$100)</f>
        <v>Rocco Neubert</v>
      </c>
      <c r="D7643" t="str">
        <f>_xlfn.XLOOKUP($B7643,sales_teams!$A$2:$A$36,sales_teams!C$2:C$36)</f>
        <v>East</v>
      </c>
      <c r="E7643" t="s">
        <v>10</v>
      </c>
      <c r="F7643" t="s">
        <v>98</v>
      </c>
      <c r="G7643" t="s">
        <v>12</v>
      </c>
      <c r="H7643" s="1">
        <v>43027</v>
      </c>
      <c r="I7643" s="1">
        <v>43029</v>
      </c>
      <c r="J7643">
        <v>1096</v>
      </c>
    </row>
    <row r="7644" spans="1:10" x14ac:dyDescent="0.3">
      <c r="A7644" t="s">
        <v>7775</v>
      </c>
      <c r="B7644" t="s">
        <v>202</v>
      </c>
      <c r="C7644" t="str">
        <f>_xlfn.XLOOKUP(B7644,
[1]sales_teams!$A$2:$A$100,
[1]sales_teams!$B$2:$B$100)</f>
        <v>Dustin Brinkmann</v>
      </c>
      <c r="D7644" t="str">
        <f>_xlfn.XLOOKUP($B7644,sales_teams!$A$2:$A$36,sales_teams!C$2:C$36)</f>
        <v>Central</v>
      </c>
      <c r="E7644" t="s">
        <v>18</v>
      </c>
      <c r="F7644" t="s">
        <v>27</v>
      </c>
      <c r="G7644" t="s">
        <v>12</v>
      </c>
      <c r="H7644" s="1">
        <v>43027</v>
      </c>
      <c r="I7644" s="1">
        <v>43037</v>
      </c>
      <c r="J7644">
        <v>62</v>
      </c>
    </row>
    <row r="7645" spans="1:10" x14ac:dyDescent="0.3">
      <c r="A7645" t="s">
        <v>7776</v>
      </c>
      <c r="B7645" t="s">
        <v>164</v>
      </c>
      <c r="C7645" t="str">
        <f>_xlfn.XLOOKUP(B7645,
[1]sales_teams!$A$2:$A$100,
[1]sales_teams!$B$2:$B$100)</f>
        <v>Cara Losch</v>
      </c>
      <c r="D7645" t="str">
        <f>_xlfn.XLOOKUP($B7645,sales_teams!$A$2:$A$36,sales_teams!C$2:C$36)</f>
        <v>East</v>
      </c>
      <c r="E7645" t="s">
        <v>39</v>
      </c>
      <c r="F7645" t="s">
        <v>155</v>
      </c>
      <c r="G7645" t="s">
        <v>46</v>
      </c>
      <c r="H7645" s="1">
        <v>43027</v>
      </c>
      <c r="I7645" s="1">
        <v>43095</v>
      </c>
      <c r="J7645">
        <v>0</v>
      </c>
    </row>
    <row r="7646" spans="1:10" x14ac:dyDescent="0.3">
      <c r="A7646" t="s">
        <v>7777</v>
      </c>
      <c r="B7646" t="s">
        <v>164</v>
      </c>
      <c r="C7646" t="str">
        <f>_xlfn.XLOOKUP(B7646,
[1]sales_teams!$A$2:$A$100,
[1]sales_teams!$B$2:$B$100)</f>
        <v>Cara Losch</v>
      </c>
      <c r="D7646" t="str">
        <f>_xlfn.XLOOKUP($B7646,sales_teams!$A$2:$A$36,sales_teams!C$2:C$36)</f>
        <v>East</v>
      </c>
      <c r="E7646" t="s">
        <v>10</v>
      </c>
      <c r="F7646" t="s">
        <v>199</v>
      </c>
      <c r="G7646" t="s">
        <v>12</v>
      </c>
      <c r="H7646" s="1">
        <v>43027</v>
      </c>
      <c r="I7646" s="1">
        <v>43029</v>
      </c>
      <c r="J7646">
        <v>1105</v>
      </c>
    </row>
    <row r="7647" spans="1:10" x14ac:dyDescent="0.3">
      <c r="A7647" t="s">
        <v>7778</v>
      </c>
      <c r="B7647" t="s">
        <v>64</v>
      </c>
      <c r="C7647" t="str">
        <f>_xlfn.XLOOKUP(B7647,
[1]sales_teams!$A$2:$A$100,
[1]sales_teams!$B$2:$B$100)</f>
        <v>Rocco Neubert</v>
      </c>
      <c r="D7647" t="str">
        <f>_xlfn.XLOOKUP($B7647,sales_teams!$A$2:$A$36,sales_teams!C$2:C$36)</f>
        <v>East</v>
      </c>
      <c r="E7647" t="s">
        <v>15</v>
      </c>
      <c r="F7647" t="s">
        <v>745</v>
      </c>
      <c r="G7647" t="s">
        <v>46</v>
      </c>
      <c r="H7647" s="1">
        <v>43027</v>
      </c>
      <c r="I7647" s="1">
        <v>43036</v>
      </c>
      <c r="J7647">
        <v>0</v>
      </c>
    </row>
    <row r="7648" spans="1:10" x14ac:dyDescent="0.3">
      <c r="A7648" t="s">
        <v>7779</v>
      </c>
      <c r="B7648" t="s">
        <v>64</v>
      </c>
      <c r="C7648" t="str">
        <f>_xlfn.XLOOKUP(B7648,
[1]sales_teams!$A$2:$A$100,
[1]sales_teams!$B$2:$B$100)</f>
        <v>Rocco Neubert</v>
      </c>
      <c r="D7648" t="str">
        <f>_xlfn.XLOOKUP($B7648,sales_teams!$A$2:$A$36,sales_teams!C$2:C$36)</f>
        <v>East</v>
      </c>
      <c r="E7648" t="s">
        <v>15</v>
      </c>
      <c r="F7648" t="s">
        <v>165</v>
      </c>
      <c r="G7648" t="s">
        <v>12</v>
      </c>
      <c r="H7648" s="1">
        <v>43027</v>
      </c>
      <c r="I7648" s="1">
        <v>43032</v>
      </c>
      <c r="J7648">
        <v>4353</v>
      </c>
    </row>
    <row r="7649" spans="1:10" x14ac:dyDescent="0.3">
      <c r="A7649" t="s">
        <v>7780</v>
      </c>
      <c r="B7649" t="s">
        <v>14</v>
      </c>
      <c r="C7649" t="str">
        <f>_xlfn.XLOOKUP(B7649,
[1]sales_teams!$A$2:$A$100,
[1]sales_teams!$B$2:$B$100)</f>
        <v>Melvin Marxen</v>
      </c>
      <c r="D7649" t="str">
        <f>_xlfn.XLOOKUP($B7649,sales_teams!$A$2:$A$36,sales_teams!C$2:C$36)</f>
        <v>Central</v>
      </c>
      <c r="E7649" t="s">
        <v>15</v>
      </c>
      <c r="F7649" t="s">
        <v>129</v>
      </c>
      <c r="G7649" t="s">
        <v>46</v>
      </c>
      <c r="H7649" s="1">
        <v>43027</v>
      </c>
      <c r="I7649" s="1">
        <v>43036</v>
      </c>
      <c r="J7649">
        <v>0</v>
      </c>
    </row>
    <row r="7650" spans="1:10" x14ac:dyDescent="0.3">
      <c r="A7650" t="s">
        <v>7781</v>
      </c>
      <c r="B7650" t="s">
        <v>14</v>
      </c>
      <c r="C7650" t="str">
        <f>_xlfn.XLOOKUP(B7650,
[1]sales_teams!$A$2:$A$100,
[1]sales_teams!$B$2:$B$100)</f>
        <v>Melvin Marxen</v>
      </c>
      <c r="D7650" t="str">
        <f>_xlfn.XLOOKUP($B7650,sales_teams!$A$2:$A$36,sales_teams!C$2:C$36)</f>
        <v>Central</v>
      </c>
      <c r="E7650" t="s">
        <v>48</v>
      </c>
      <c r="F7650" t="s">
        <v>76</v>
      </c>
      <c r="G7650" t="s">
        <v>12</v>
      </c>
      <c r="H7650" s="1">
        <v>43027</v>
      </c>
      <c r="I7650" s="1">
        <v>43035</v>
      </c>
      <c r="J7650">
        <v>6276</v>
      </c>
    </row>
    <row r="7651" spans="1:10" x14ac:dyDescent="0.3">
      <c r="A7651" t="s">
        <v>7782</v>
      </c>
      <c r="B7651" t="s">
        <v>14</v>
      </c>
      <c r="C7651" t="str">
        <f>_xlfn.XLOOKUP(B7651,
[1]sales_teams!$A$2:$A$100,
[1]sales_teams!$B$2:$B$100)</f>
        <v>Melvin Marxen</v>
      </c>
      <c r="D7651" t="str">
        <f>_xlfn.XLOOKUP($B7651,sales_teams!$A$2:$A$36,sales_teams!C$2:C$36)</f>
        <v>Central</v>
      </c>
      <c r="E7651" t="s">
        <v>15</v>
      </c>
      <c r="F7651" t="s">
        <v>303</v>
      </c>
      <c r="G7651" t="s">
        <v>12</v>
      </c>
      <c r="H7651" s="1">
        <v>43027</v>
      </c>
      <c r="I7651" s="1">
        <v>43035</v>
      </c>
      <c r="J7651">
        <v>4688</v>
      </c>
    </row>
    <row r="7652" spans="1:10" x14ac:dyDescent="0.3">
      <c r="A7652" t="s">
        <v>7783</v>
      </c>
      <c r="B7652" t="s">
        <v>105</v>
      </c>
      <c r="C7652" t="str">
        <f>_xlfn.XLOOKUP(B7652,
[1]sales_teams!$A$2:$A$100,
[1]sales_teams!$B$2:$B$100)</f>
        <v>Cara Losch</v>
      </c>
      <c r="D7652" t="str">
        <f>_xlfn.XLOOKUP($B7652,sales_teams!$A$2:$A$36,sales_teams!C$2:C$36)</f>
        <v>East</v>
      </c>
      <c r="E7652" t="s">
        <v>20</v>
      </c>
      <c r="F7652" t="s">
        <v>177</v>
      </c>
      <c r="G7652" t="s">
        <v>46</v>
      </c>
      <c r="H7652" s="1">
        <v>43027</v>
      </c>
      <c r="I7652" s="1">
        <v>43034</v>
      </c>
      <c r="J7652">
        <v>0</v>
      </c>
    </row>
    <row r="7653" spans="1:10" x14ac:dyDescent="0.3">
      <c r="A7653" t="s">
        <v>7784</v>
      </c>
      <c r="B7653" t="s">
        <v>105</v>
      </c>
      <c r="C7653" t="str">
        <f>_xlfn.XLOOKUP(B7653,
[1]sales_teams!$A$2:$A$100,
[1]sales_teams!$B$2:$B$100)</f>
        <v>Cara Losch</v>
      </c>
      <c r="D7653" t="str">
        <f>_xlfn.XLOOKUP($B7653,sales_teams!$A$2:$A$36,sales_teams!C$2:C$36)</f>
        <v>East</v>
      </c>
      <c r="E7653" t="s">
        <v>39</v>
      </c>
      <c r="F7653" t="s">
        <v>140</v>
      </c>
      <c r="G7653" t="s">
        <v>12</v>
      </c>
      <c r="H7653" s="1">
        <v>43027</v>
      </c>
      <c r="I7653" s="1">
        <v>43040</v>
      </c>
      <c r="J7653">
        <v>3422</v>
      </c>
    </row>
    <row r="7654" spans="1:10" x14ac:dyDescent="0.3">
      <c r="A7654" t="s">
        <v>7785</v>
      </c>
      <c r="B7654" t="s">
        <v>44</v>
      </c>
      <c r="C7654" t="str">
        <f>_xlfn.XLOOKUP(B7654,
[1]sales_teams!$A$2:$A$100,
[1]sales_teams!$B$2:$B$100)</f>
        <v>Melvin Marxen</v>
      </c>
      <c r="D7654" t="str">
        <f>_xlfn.XLOOKUP($B7654,sales_teams!$A$2:$A$36,sales_teams!C$2:C$36)</f>
        <v>Central</v>
      </c>
      <c r="E7654" t="s">
        <v>18</v>
      </c>
      <c r="F7654" t="s">
        <v>315</v>
      </c>
      <c r="G7654" t="s">
        <v>46</v>
      </c>
      <c r="H7654" s="1">
        <v>43027</v>
      </c>
      <c r="I7654" s="1">
        <v>43028</v>
      </c>
      <c r="J7654">
        <v>0</v>
      </c>
    </row>
    <row r="7655" spans="1:10" x14ac:dyDescent="0.3">
      <c r="A7655" t="s">
        <v>7786</v>
      </c>
      <c r="B7655" t="s">
        <v>44</v>
      </c>
      <c r="C7655" t="str">
        <f>_xlfn.XLOOKUP(B7655,
[1]sales_teams!$A$2:$A$100,
[1]sales_teams!$B$2:$B$100)</f>
        <v>Melvin Marxen</v>
      </c>
      <c r="D7655" t="str">
        <f>_xlfn.XLOOKUP($B7655,sales_teams!$A$2:$A$36,sales_teams!C$2:C$36)</f>
        <v>Central</v>
      </c>
      <c r="E7655" t="s">
        <v>15</v>
      </c>
      <c r="F7655" t="s">
        <v>318</v>
      </c>
      <c r="G7655" t="s">
        <v>12</v>
      </c>
      <c r="H7655" s="1">
        <v>43027</v>
      </c>
      <c r="I7655" s="1">
        <v>43078</v>
      </c>
      <c r="J7655">
        <v>5192</v>
      </c>
    </row>
    <row r="7656" spans="1:10" x14ac:dyDescent="0.3">
      <c r="A7656" t="s">
        <v>7787</v>
      </c>
      <c r="B7656" t="s">
        <v>54</v>
      </c>
      <c r="C7656" t="str">
        <f>_xlfn.XLOOKUP(B7656,
[1]sales_teams!$A$2:$A$100,
[1]sales_teams!$B$2:$B$100)</f>
        <v>Celia Rouche</v>
      </c>
      <c r="D7656" t="str">
        <f>_xlfn.XLOOKUP($B7656,sales_teams!$A$2:$A$36,sales_teams!C$2:C$36)</f>
        <v>West</v>
      </c>
      <c r="E7656" t="s">
        <v>10</v>
      </c>
      <c r="F7656" t="s">
        <v>315</v>
      </c>
      <c r="G7656" t="s">
        <v>12</v>
      </c>
      <c r="H7656" s="1">
        <v>43027</v>
      </c>
      <c r="I7656" s="1">
        <v>43036</v>
      </c>
      <c r="J7656">
        <v>1226</v>
      </c>
    </row>
    <row r="7657" spans="1:10" x14ac:dyDescent="0.3">
      <c r="A7657" t="s">
        <v>7788</v>
      </c>
      <c r="B7657" t="s">
        <v>54</v>
      </c>
      <c r="C7657" t="str">
        <f>_xlfn.XLOOKUP(B7657,
[1]sales_teams!$A$2:$A$100,
[1]sales_teams!$B$2:$B$100)</f>
        <v>Celia Rouche</v>
      </c>
      <c r="D7657" t="str">
        <f>_xlfn.XLOOKUP($B7657,sales_teams!$A$2:$A$36,sales_teams!C$2:C$36)</f>
        <v>West</v>
      </c>
      <c r="E7657" t="s">
        <v>48</v>
      </c>
      <c r="F7657" t="s">
        <v>30</v>
      </c>
      <c r="G7657" t="s">
        <v>12</v>
      </c>
      <c r="H7657" s="1">
        <v>43027</v>
      </c>
      <c r="I7657" s="1">
        <v>43033</v>
      </c>
      <c r="J7657">
        <v>4552</v>
      </c>
    </row>
    <row r="7658" spans="1:10" x14ac:dyDescent="0.3">
      <c r="A7658" t="s">
        <v>7789</v>
      </c>
      <c r="B7658" t="s">
        <v>38</v>
      </c>
      <c r="C7658" t="str">
        <f>_xlfn.XLOOKUP(B7658,
[1]sales_teams!$A$2:$A$100,
[1]sales_teams!$B$2:$B$100)</f>
        <v>Summer Sewald</v>
      </c>
      <c r="D7658" t="str">
        <f>_xlfn.XLOOKUP($B7658,sales_teams!$A$2:$A$36,sales_teams!C$2:C$36)</f>
        <v>West</v>
      </c>
      <c r="E7658" t="s">
        <v>48</v>
      </c>
      <c r="G7658" t="s">
        <v>40</v>
      </c>
      <c r="H7658" s="1">
        <v>43027</v>
      </c>
    </row>
    <row r="7659" spans="1:10" x14ac:dyDescent="0.3">
      <c r="A7659" t="s">
        <v>7790</v>
      </c>
      <c r="B7659" t="s">
        <v>38</v>
      </c>
      <c r="C7659" t="str">
        <f>_xlfn.XLOOKUP(B7659,
[1]sales_teams!$A$2:$A$100,
[1]sales_teams!$B$2:$B$100)</f>
        <v>Summer Sewald</v>
      </c>
      <c r="D7659" t="str">
        <f>_xlfn.XLOOKUP($B7659,sales_teams!$A$2:$A$36,sales_teams!C$2:C$36)</f>
        <v>West</v>
      </c>
      <c r="E7659" t="s">
        <v>48</v>
      </c>
      <c r="F7659" t="s">
        <v>93</v>
      </c>
      <c r="G7659" t="s">
        <v>12</v>
      </c>
      <c r="H7659" s="1">
        <v>43027</v>
      </c>
      <c r="I7659" s="1">
        <v>43034</v>
      </c>
      <c r="J7659">
        <v>5569</v>
      </c>
    </row>
    <row r="7660" spans="1:10" x14ac:dyDescent="0.3">
      <c r="A7660" t="s">
        <v>7791</v>
      </c>
      <c r="B7660" t="s">
        <v>38</v>
      </c>
      <c r="C7660" t="str">
        <f>_xlfn.XLOOKUP(B7660,
[1]sales_teams!$A$2:$A$100,
[1]sales_teams!$B$2:$B$100)</f>
        <v>Summer Sewald</v>
      </c>
      <c r="D7660" t="str">
        <f>_xlfn.XLOOKUP($B7660,sales_teams!$A$2:$A$36,sales_teams!C$2:C$36)</f>
        <v>West</v>
      </c>
      <c r="E7660" t="s">
        <v>15</v>
      </c>
      <c r="F7660" t="s">
        <v>70</v>
      </c>
      <c r="G7660" t="s">
        <v>12</v>
      </c>
      <c r="H7660" s="1">
        <v>43027</v>
      </c>
      <c r="I7660" s="1">
        <v>43028</v>
      </c>
      <c r="J7660">
        <v>4389</v>
      </c>
    </row>
    <row r="7661" spans="1:10" x14ac:dyDescent="0.3">
      <c r="A7661" t="s">
        <v>7792</v>
      </c>
      <c r="B7661" t="s">
        <v>252</v>
      </c>
      <c r="C7661" t="str">
        <f>_xlfn.XLOOKUP(B7661,
[1]sales_teams!$A$2:$A$100,
[1]sales_teams!$B$2:$B$100)</f>
        <v>Melvin Marxen</v>
      </c>
      <c r="D7661" t="str">
        <f>_xlfn.XLOOKUP($B7661,sales_teams!$A$2:$A$36,sales_teams!C$2:C$36)</f>
        <v>Central</v>
      </c>
      <c r="E7661" t="s">
        <v>48</v>
      </c>
      <c r="F7661" t="s">
        <v>315</v>
      </c>
      <c r="G7661" t="s">
        <v>46</v>
      </c>
      <c r="H7661" s="1">
        <v>43027</v>
      </c>
      <c r="I7661" s="1">
        <v>43040</v>
      </c>
      <c r="J7661">
        <v>0</v>
      </c>
    </row>
    <row r="7662" spans="1:10" x14ac:dyDescent="0.3">
      <c r="A7662" t="s">
        <v>7793</v>
      </c>
      <c r="B7662" t="s">
        <v>78</v>
      </c>
      <c r="C7662" t="str">
        <f>_xlfn.XLOOKUP(B7662,
[1]sales_teams!$A$2:$A$100,
[1]sales_teams!$B$2:$B$100)</f>
        <v>Summer Sewald</v>
      </c>
      <c r="D7662" t="str">
        <f>_xlfn.XLOOKUP($B7662,sales_teams!$A$2:$A$36,sales_teams!C$2:C$36)</f>
        <v>West</v>
      </c>
      <c r="E7662" t="s">
        <v>15</v>
      </c>
      <c r="G7662" t="s">
        <v>40</v>
      </c>
      <c r="H7662" s="1">
        <v>43027</v>
      </c>
    </row>
    <row r="7663" spans="1:10" x14ac:dyDescent="0.3">
      <c r="A7663" t="s">
        <v>7794</v>
      </c>
      <c r="B7663" t="s">
        <v>95</v>
      </c>
      <c r="C7663" t="str">
        <f>_xlfn.XLOOKUP(B7663,
[1]sales_teams!$A$2:$A$100,
[1]sales_teams!$B$2:$B$100)</f>
        <v>Summer Sewald</v>
      </c>
      <c r="D7663" t="str">
        <f>_xlfn.XLOOKUP($B7663,sales_teams!$A$2:$A$36,sales_teams!C$2:C$36)</f>
        <v>West</v>
      </c>
      <c r="E7663" t="s">
        <v>39</v>
      </c>
      <c r="G7663" t="s">
        <v>40</v>
      </c>
      <c r="H7663" s="1">
        <v>43027</v>
      </c>
    </row>
    <row r="7664" spans="1:10" x14ac:dyDescent="0.3">
      <c r="A7664" t="s">
        <v>7795</v>
      </c>
      <c r="B7664" t="s">
        <v>133</v>
      </c>
      <c r="C7664" t="str">
        <f>_xlfn.XLOOKUP(B7664,
[1]sales_teams!$A$2:$A$100,
[1]sales_teams!$B$2:$B$100)</f>
        <v>Dustin Brinkmann</v>
      </c>
      <c r="D7664" t="str">
        <f>_xlfn.XLOOKUP($B7664,sales_teams!$A$2:$A$36,sales_teams!C$2:C$36)</f>
        <v>Central</v>
      </c>
      <c r="E7664" t="s">
        <v>39</v>
      </c>
      <c r="F7664" t="s">
        <v>213</v>
      </c>
      <c r="G7664" t="s">
        <v>46</v>
      </c>
      <c r="H7664" s="1">
        <v>43027</v>
      </c>
      <c r="I7664" s="1">
        <v>43029</v>
      </c>
      <c r="J7664">
        <v>0</v>
      </c>
    </row>
    <row r="7665" spans="1:10" x14ac:dyDescent="0.3">
      <c r="A7665" t="s">
        <v>7796</v>
      </c>
      <c r="B7665" t="s">
        <v>133</v>
      </c>
      <c r="C7665" t="str">
        <f>_xlfn.XLOOKUP(B7665,
[1]sales_teams!$A$2:$A$100,
[1]sales_teams!$B$2:$B$100)</f>
        <v>Dustin Brinkmann</v>
      </c>
      <c r="D7665" t="str">
        <f>_xlfn.XLOOKUP($B7665,sales_teams!$A$2:$A$36,sales_teams!C$2:C$36)</f>
        <v>Central</v>
      </c>
      <c r="E7665" t="s">
        <v>20</v>
      </c>
      <c r="F7665" t="s">
        <v>27</v>
      </c>
      <c r="G7665" t="s">
        <v>12</v>
      </c>
      <c r="H7665" s="1">
        <v>43027</v>
      </c>
      <c r="I7665" s="1">
        <v>43034</v>
      </c>
      <c r="J7665">
        <v>451</v>
      </c>
    </row>
    <row r="7666" spans="1:10" x14ac:dyDescent="0.3">
      <c r="A7666" t="s">
        <v>7797</v>
      </c>
      <c r="B7666" t="s">
        <v>32</v>
      </c>
      <c r="C7666" t="str">
        <f>_xlfn.XLOOKUP(B7666,
[1]sales_teams!$A$2:$A$100,
[1]sales_teams!$B$2:$B$100)</f>
        <v>Celia Rouche</v>
      </c>
      <c r="D7666" t="str">
        <f>_xlfn.XLOOKUP($B7666,sales_teams!$A$2:$A$36,sales_teams!C$2:C$36)</f>
        <v>West</v>
      </c>
      <c r="E7666" t="s">
        <v>18</v>
      </c>
      <c r="G7666" t="s">
        <v>40</v>
      </c>
      <c r="H7666" s="1">
        <v>43027</v>
      </c>
    </row>
    <row r="7667" spans="1:10" x14ac:dyDescent="0.3">
      <c r="A7667" t="s">
        <v>7798</v>
      </c>
      <c r="B7667" t="s">
        <v>32</v>
      </c>
      <c r="C7667" t="str">
        <f>_xlfn.XLOOKUP(B7667,
[1]sales_teams!$A$2:$A$100,
[1]sales_teams!$B$2:$B$100)</f>
        <v>Celia Rouche</v>
      </c>
      <c r="D7667" t="str">
        <f>_xlfn.XLOOKUP($B7667,sales_teams!$A$2:$A$36,sales_teams!C$2:C$36)</f>
        <v>West</v>
      </c>
      <c r="E7667" t="s">
        <v>18</v>
      </c>
      <c r="G7667" t="s">
        <v>40</v>
      </c>
      <c r="H7667" s="1">
        <v>43027</v>
      </c>
    </row>
    <row r="7668" spans="1:10" x14ac:dyDescent="0.3">
      <c r="A7668" t="s">
        <v>7799</v>
      </c>
      <c r="B7668" t="s">
        <v>32</v>
      </c>
      <c r="C7668" t="str">
        <f>_xlfn.XLOOKUP(B7668,
[1]sales_teams!$A$2:$A$100,
[1]sales_teams!$B$2:$B$100)</f>
        <v>Celia Rouche</v>
      </c>
      <c r="D7668" t="str">
        <f>_xlfn.XLOOKUP($B7668,sales_teams!$A$2:$A$36,sales_teams!C$2:C$36)</f>
        <v>West</v>
      </c>
      <c r="E7668" t="s">
        <v>39</v>
      </c>
      <c r="F7668" t="s">
        <v>124</v>
      </c>
      <c r="G7668" t="s">
        <v>46</v>
      </c>
      <c r="H7668" s="1">
        <v>43027</v>
      </c>
      <c r="I7668" s="1">
        <v>43067</v>
      </c>
      <c r="J7668">
        <v>0</v>
      </c>
    </row>
    <row r="7669" spans="1:10" x14ac:dyDescent="0.3">
      <c r="A7669" t="s">
        <v>7800</v>
      </c>
      <c r="B7669" t="s">
        <v>32</v>
      </c>
      <c r="C7669" t="str">
        <f>_xlfn.XLOOKUP(B7669,
[1]sales_teams!$A$2:$A$100,
[1]sales_teams!$B$2:$B$100)</f>
        <v>Celia Rouche</v>
      </c>
      <c r="D7669" t="str">
        <f>_xlfn.XLOOKUP($B7669,sales_teams!$A$2:$A$36,sales_teams!C$2:C$36)</f>
        <v>West</v>
      </c>
      <c r="E7669" t="s">
        <v>20</v>
      </c>
      <c r="F7669" t="s">
        <v>148</v>
      </c>
      <c r="G7669" t="s">
        <v>12</v>
      </c>
      <c r="H7669" s="1">
        <v>43027</v>
      </c>
      <c r="I7669" s="1">
        <v>43029</v>
      </c>
      <c r="J7669">
        <v>553</v>
      </c>
    </row>
    <row r="7670" spans="1:10" x14ac:dyDescent="0.3">
      <c r="A7670" t="s">
        <v>7801</v>
      </c>
      <c r="B7670" t="s">
        <v>116</v>
      </c>
      <c r="C7670" t="str">
        <f>_xlfn.XLOOKUP(B7670,
[1]sales_teams!$A$2:$A$100,
[1]sales_teams!$B$2:$B$100)</f>
        <v>Melvin Marxen</v>
      </c>
      <c r="D7670" t="str">
        <f>_xlfn.XLOOKUP($B7670,sales_teams!$A$2:$A$36,sales_teams!C$2:C$36)</f>
        <v>Central</v>
      </c>
      <c r="E7670" t="s">
        <v>15</v>
      </c>
      <c r="F7670" t="s">
        <v>231</v>
      </c>
      <c r="G7670" t="s">
        <v>46</v>
      </c>
      <c r="H7670" s="1">
        <v>43027</v>
      </c>
      <c r="I7670" s="1">
        <v>43037</v>
      </c>
      <c r="J7670">
        <v>0</v>
      </c>
    </row>
    <row r="7671" spans="1:10" x14ac:dyDescent="0.3">
      <c r="A7671" t="s">
        <v>7802</v>
      </c>
      <c r="B7671" t="s">
        <v>51</v>
      </c>
      <c r="C7671" t="str">
        <f>_xlfn.XLOOKUP(B7671,
[1]sales_teams!$A$2:$A$100,
[1]sales_teams!$B$2:$B$100)</f>
        <v>Summer Sewald</v>
      </c>
      <c r="D7671" t="str">
        <f>_xlfn.XLOOKUP($B7671,sales_teams!$A$2:$A$36,sales_teams!C$2:C$36)</f>
        <v>West</v>
      </c>
      <c r="E7671" t="s">
        <v>10</v>
      </c>
      <c r="G7671" t="s">
        <v>40</v>
      </c>
      <c r="H7671" s="1">
        <v>43027</v>
      </c>
    </row>
    <row r="7672" spans="1:10" x14ac:dyDescent="0.3">
      <c r="A7672" t="s">
        <v>7803</v>
      </c>
      <c r="B7672" t="s">
        <v>51</v>
      </c>
      <c r="C7672" t="str">
        <f>_xlfn.XLOOKUP(B7672,
[1]sales_teams!$A$2:$A$100,
[1]sales_teams!$B$2:$B$100)</f>
        <v>Summer Sewald</v>
      </c>
      <c r="D7672" t="str">
        <f>_xlfn.XLOOKUP($B7672,sales_teams!$A$2:$A$36,sales_teams!C$2:C$36)</f>
        <v>West</v>
      </c>
      <c r="E7672" t="s">
        <v>20</v>
      </c>
      <c r="F7672" t="s">
        <v>313</v>
      </c>
      <c r="G7672" t="s">
        <v>12</v>
      </c>
      <c r="H7672" s="1">
        <v>43027</v>
      </c>
      <c r="I7672" s="1">
        <v>43040</v>
      </c>
      <c r="J7672">
        <v>524</v>
      </c>
    </row>
    <row r="7673" spans="1:10" x14ac:dyDescent="0.3">
      <c r="A7673" t="s">
        <v>7804</v>
      </c>
      <c r="B7673" t="s">
        <v>97</v>
      </c>
      <c r="C7673" t="str">
        <f>_xlfn.XLOOKUP(B7673,
[1]sales_teams!$A$2:$A$100,
[1]sales_teams!$B$2:$B$100)</f>
        <v>Rocco Neubert</v>
      </c>
      <c r="D7673" t="str">
        <f>_xlfn.XLOOKUP($B7673,sales_teams!$A$2:$A$36,sales_teams!C$2:C$36)</f>
        <v>East</v>
      </c>
      <c r="E7673" t="s">
        <v>39</v>
      </c>
      <c r="F7673" t="s">
        <v>215</v>
      </c>
      <c r="G7673" t="s">
        <v>46</v>
      </c>
      <c r="H7673" s="1">
        <v>43027</v>
      </c>
      <c r="I7673" s="1">
        <v>43029</v>
      </c>
      <c r="J7673">
        <v>0</v>
      </c>
    </row>
    <row r="7674" spans="1:10" x14ac:dyDescent="0.3">
      <c r="A7674" t="s">
        <v>7805</v>
      </c>
      <c r="B7674" t="s">
        <v>61</v>
      </c>
      <c r="C7674" t="str">
        <f>_xlfn.XLOOKUP(B7674,
[1]sales_teams!$A$2:$A$100,
[1]sales_teams!$B$2:$B$100)</f>
        <v>Dustin Brinkmann</v>
      </c>
      <c r="D7674" t="str">
        <f>_xlfn.XLOOKUP($B7674,sales_teams!$A$2:$A$36,sales_teams!C$2:C$36)</f>
        <v>Central</v>
      </c>
      <c r="E7674" t="s">
        <v>10</v>
      </c>
      <c r="F7674" t="s">
        <v>27</v>
      </c>
      <c r="G7674" t="s">
        <v>46</v>
      </c>
      <c r="H7674" s="1">
        <v>43027</v>
      </c>
      <c r="I7674" s="1">
        <v>43039</v>
      </c>
      <c r="J7674">
        <v>0</v>
      </c>
    </row>
    <row r="7675" spans="1:10" x14ac:dyDescent="0.3">
      <c r="A7675" t="s">
        <v>7806</v>
      </c>
      <c r="B7675" t="s">
        <v>61</v>
      </c>
      <c r="C7675" t="str">
        <f>_xlfn.XLOOKUP(B7675,
[1]sales_teams!$A$2:$A$100,
[1]sales_teams!$B$2:$B$100)</f>
        <v>Dustin Brinkmann</v>
      </c>
      <c r="D7675" t="str">
        <f>_xlfn.XLOOKUP($B7675,sales_teams!$A$2:$A$36,sales_teams!C$2:C$36)</f>
        <v>Central</v>
      </c>
      <c r="E7675" t="s">
        <v>18</v>
      </c>
      <c r="F7675" t="s">
        <v>318</v>
      </c>
      <c r="G7675" t="s">
        <v>12</v>
      </c>
      <c r="H7675" s="1">
        <v>43027</v>
      </c>
      <c r="I7675" s="1">
        <v>43035</v>
      </c>
      <c r="J7675">
        <v>53</v>
      </c>
    </row>
    <row r="7676" spans="1:10" x14ac:dyDescent="0.3">
      <c r="A7676" t="s">
        <v>7807</v>
      </c>
      <c r="B7676" t="s">
        <v>61</v>
      </c>
      <c r="C7676" t="str">
        <f>_xlfn.XLOOKUP(B7676,
[1]sales_teams!$A$2:$A$100,
[1]sales_teams!$B$2:$B$100)</f>
        <v>Dustin Brinkmann</v>
      </c>
      <c r="D7676" t="str">
        <f>_xlfn.XLOOKUP($B7676,sales_teams!$A$2:$A$36,sales_teams!C$2:C$36)</f>
        <v>Central</v>
      </c>
      <c r="E7676" t="s">
        <v>39</v>
      </c>
      <c r="F7676" t="s">
        <v>187</v>
      </c>
      <c r="G7676" t="s">
        <v>12</v>
      </c>
      <c r="H7676" s="1">
        <v>43027</v>
      </c>
      <c r="I7676" s="1">
        <v>43028</v>
      </c>
      <c r="J7676">
        <v>2749</v>
      </c>
    </row>
    <row r="7677" spans="1:10" x14ac:dyDescent="0.3">
      <c r="A7677" t="s">
        <v>7808</v>
      </c>
      <c r="B7677" t="s">
        <v>29</v>
      </c>
      <c r="C7677" t="str">
        <f>_xlfn.XLOOKUP(B7677,
[1]sales_teams!$A$2:$A$100,
[1]sales_teams!$B$2:$B$100)</f>
        <v>Celia Rouche</v>
      </c>
      <c r="D7677" t="str">
        <f>_xlfn.XLOOKUP($B7677,sales_teams!$A$2:$A$36,sales_teams!C$2:C$36)</f>
        <v>West</v>
      </c>
      <c r="E7677" t="s">
        <v>15</v>
      </c>
      <c r="F7677" t="s">
        <v>30</v>
      </c>
      <c r="G7677" t="s">
        <v>46</v>
      </c>
      <c r="H7677" s="1">
        <v>43027</v>
      </c>
      <c r="I7677" s="1">
        <v>43034</v>
      </c>
      <c r="J7677">
        <v>0</v>
      </c>
    </row>
    <row r="7678" spans="1:10" x14ac:dyDescent="0.3">
      <c r="A7678" t="s">
        <v>7809</v>
      </c>
      <c r="B7678" t="s">
        <v>29</v>
      </c>
      <c r="C7678" t="str">
        <f>_xlfn.XLOOKUP(B7678,
[1]sales_teams!$A$2:$A$100,
[1]sales_teams!$B$2:$B$100)</f>
        <v>Celia Rouche</v>
      </c>
      <c r="D7678" t="str">
        <f>_xlfn.XLOOKUP($B7678,sales_teams!$A$2:$A$36,sales_teams!C$2:C$36)</f>
        <v>West</v>
      </c>
      <c r="E7678" t="s">
        <v>15</v>
      </c>
      <c r="F7678" t="s">
        <v>68</v>
      </c>
      <c r="G7678" t="s">
        <v>46</v>
      </c>
      <c r="H7678" s="1">
        <v>43027</v>
      </c>
      <c r="I7678" s="1">
        <v>43029</v>
      </c>
      <c r="J7678">
        <v>0</v>
      </c>
    </row>
    <row r="7679" spans="1:10" x14ac:dyDescent="0.3">
      <c r="A7679" t="s">
        <v>7810</v>
      </c>
      <c r="B7679" t="s">
        <v>29</v>
      </c>
      <c r="C7679" t="str">
        <f>_xlfn.XLOOKUP(B7679,
[1]sales_teams!$A$2:$A$100,
[1]sales_teams!$B$2:$B$100)</f>
        <v>Celia Rouche</v>
      </c>
      <c r="D7679" t="str">
        <f>_xlfn.XLOOKUP($B7679,sales_teams!$A$2:$A$36,sales_teams!C$2:C$36)</f>
        <v>West</v>
      </c>
      <c r="E7679" t="s">
        <v>48</v>
      </c>
      <c r="F7679" t="s">
        <v>398</v>
      </c>
      <c r="G7679" t="s">
        <v>12</v>
      </c>
      <c r="H7679" s="1">
        <v>43027</v>
      </c>
      <c r="I7679" s="1">
        <v>43028</v>
      </c>
      <c r="J7679">
        <v>5368</v>
      </c>
    </row>
    <row r="7680" spans="1:10" x14ac:dyDescent="0.3">
      <c r="A7680" t="s">
        <v>7811</v>
      </c>
      <c r="B7680" t="s">
        <v>102</v>
      </c>
      <c r="C7680" t="str">
        <f>_xlfn.XLOOKUP(B7680,
[1]sales_teams!$A$2:$A$100,
[1]sales_teams!$B$2:$B$100)</f>
        <v>Cara Losch</v>
      </c>
      <c r="D7680" t="str">
        <f>_xlfn.XLOOKUP($B7680,sales_teams!$A$2:$A$36,sales_teams!C$2:C$36)</f>
        <v>East</v>
      </c>
      <c r="E7680" t="s">
        <v>15</v>
      </c>
      <c r="F7680" t="s">
        <v>155</v>
      </c>
      <c r="G7680" t="s">
        <v>12</v>
      </c>
      <c r="H7680" s="1">
        <v>43027</v>
      </c>
      <c r="I7680" s="1">
        <v>43094</v>
      </c>
      <c r="J7680">
        <v>4734</v>
      </c>
    </row>
    <row r="7681" spans="1:10" x14ac:dyDescent="0.3">
      <c r="A7681" t="s">
        <v>7812</v>
      </c>
      <c r="B7681" t="s">
        <v>102</v>
      </c>
      <c r="C7681" t="str">
        <f>_xlfn.XLOOKUP(B7681,
[1]sales_teams!$A$2:$A$100,
[1]sales_teams!$B$2:$B$100)</f>
        <v>Cara Losch</v>
      </c>
      <c r="D7681" t="str">
        <f>_xlfn.XLOOKUP($B7681,sales_teams!$A$2:$A$36,sales_teams!C$2:C$36)</f>
        <v>East</v>
      </c>
      <c r="E7681" t="s">
        <v>39</v>
      </c>
      <c r="F7681" t="s">
        <v>218</v>
      </c>
      <c r="G7681" t="s">
        <v>12</v>
      </c>
      <c r="H7681" s="1">
        <v>43027</v>
      </c>
      <c r="I7681" s="1">
        <v>43085</v>
      </c>
      <c r="J7681">
        <v>3089</v>
      </c>
    </row>
    <row r="7682" spans="1:10" x14ac:dyDescent="0.3">
      <c r="A7682" t="s">
        <v>7813</v>
      </c>
      <c r="B7682" t="s">
        <v>26</v>
      </c>
      <c r="C7682" t="str">
        <f>_xlfn.XLOOKUP(B7682,
[1]sales_teams!$A$2:$A$100,
[1]sales_teams!$B$2:$B$100)</f>
        <v>Dustin Brinkmann</v>
      </c>
      <c r="D7682" t="str">
        <f>_xlfn.XLOOKUP($B7682,sales_teams!$A$2:$A$36,sales_teams!C$2:C$36)</f>
        <v>Central</v>
      </c>
      <c r="E7682" t="s">
        <v>39</v>
      </c>
      <c r="F7682" t="s">
        <v>197</v>
      </c>
      <c r="G7682" t="s">
        <v>46</v>
      </c>
      <c r="H7682" s="1">
        <v>43028</v>
      </c>
      <c r="I7682" s="1">
        <v>43029</v>
      </c>
      <c r="J7682">
        <v>0</v>
      </c>
    </row>
    <row r="7683" spans="1:10" x14ac:dyDescent="0.3">
      <c r="A7683" t="s">
        <v>7814</v>
      </c>
      <c r="B7683" t="s">
        <v>26</v>
      </c>
      <c r="C7683" t="str">
        <f>_xlfn.XLOOKUP(B7683,
[1]sales_teams!$A$2:$A$100,
[1]sales_teams!$B$2:$B$100)</f>
        <v>Dustin Brinkmann</v>
      </c>
      <c r="D7683" t="str">
        <f>_xlfn.XLOOKUP($B7683,sales_teams!$A$2:$A$36,sales_teams!C$2:C$36)</f>
        <v>Central</v>
      </c>
      <c r="E7683" t="s">
        <v>18</v>
      </c>
      <c r="F7683" t="s">
        <v>109</v>
      </c>
      <c r="G7683" t="s">
        <v>12</v>
      </c>
      <c r="H7683" s="1">
        <v>43028</v>
      </c>
      <c r="I7683" s="1">
        <v>43038</v>
      </c>
      <c r="J7683">
        <v>54</v>
      </c>
    </row>
    <row r="7684" spans="1:10" x14ac:dyDescent="0.3">
      <c r="A7684" t="s">
        <v>7815</v>
      </c>
      <c r="B7684" t="s">
        <v>118</v>
      </c>
      <c r="C7684" t="str">
        <f>_xlfn.XLOOKUP(B7684,
[1]sales_teams!$A$2:$A$100,
[1]sales_teams!$B$2:$B$100)</f>
        <v>Rocco Neubert</v>
      </c>
      <c r="D7684" t="str">
        <f>_xlfn.XLOOKUP($B7684,sales_teams!$A$2:$A$36,sales_teams!C$2:C$36)</f>
        <v>East</v>
      </c>
      <c r="E7684" t="s">
        <v>15</v>
      </c>
      <c r="F7684" t="s">
        <v>143</v>
      </c>
      <c r="G7684" t="s">
        <v>12</v>
      </c>
      <c r="H7684" s="1">
        <v>43028</v>
      </c>
      <c r="I7684" s="1">
        <v>43035</v>
      </c>
      <c r="J7684">
        <v>4345</v>
      </c>
    </row>
    <row r="7685" spans="1:10" x14ac:dyDescent="0.3">
      <c r="A7685" t="s">
        <v>7816</v>
      </c>
      <c r="B7685" t="s">
        <v>202</v>
      </c>
      <c r="C7685" t="str">
        <f>_xlfn.XLOOKUP(B7685,
[1]sales_teams!$A$2:$A$100,
[1]sales_teams!$B$2:$B$100)</f>
        <v>Dustin Brinkmann</v>
      </c>
      <c r="D7685" t="str">
        <f>_xlfn.XLOOKUP($B7685,sales_teams!$A$2:$A$36,sales_teams!C$2:C$36)</f>
        <v>Central</v>
      </c>
      <c r="E7685" t="s">
        <v>39</v>
      </c>
      <c r="F7685" t="s">
        <v>76</v>
      </c>
      <c r="G7685" t="s">
        <v>12</v>
      </c>
      <c r="H7685" s="1">
        <v>43028</v>
      </c>
      <c r="I7685" s="1">
        <v>43035</v>
      </c>
      <c r="J7685">
        <v>3848</v>
      </c>
    </row>
    <row r="7686" spans="1:10" x14ac:dyDescent="0.3">
      <c r="A7686" t="s">
        <v>7817</v>
      </c>
      <c r="B7686" t="s">
        <v>164</v>
      </c>
      <c r="C7686" t="str">
        <f>_xlfn.XLOOKUP(B7686,
[1]sales_teams!$A$2:$A$100,
[1]sales_teams!$B$2:$B$100)</f>
        <v>Cara Losch</v>
      </c>
      <c r="D7686" t="str">
        <f>_xlfn.XLOOKUP($B7686,sales_teams!$A$2:$A$36,sales_teams!C$2:C$36)</f>
        <v>East</v>
      </c>
      <c r="E7686" t="s">
        <v>15</v>
      </c>
      <c r="F7686" t="s">
        <v>240</v>
      </c>
      <c r="G7686" t="s">
        <v>12</v>
      </c>
      <c r="H7686" s="1">
        <v>43028</v>
      </c>
      <c r="I7686" s="1">
        <v>43034</v>
      </c>
      <c r="J7686">
        <v>4287</v>
      </c>
    </row>
    <row r="7687" spans="1:10" x14ac:dyDescent="0.3">
      <c r="A7687" t="s">
        <v>7818</v>
      </c>
      <c r="B7687" t="s">
        <v>14</v>
      </c>
      <c r="C7687" t="str">
        <f>_xlfn.XLOOKUP(B7687,
[1]sales_teams!$A$2:$A$100,
[1]sales_teams!$B$2:$B$100)</f>
        <v>Melvin Marxen</v>
      </c>
      <c r="D7687" t="str">
        <f>_xlfn.XLOOKUP($B7687,sales_teams!$A$2:$A$36,sales_teams!C$2:C$36)</f>
        <v>Central</v>
      </c>
      <c r="E7687" t="s">
        <v>15</v>
      </c>
      <c r="F7687" t="s">
        <v>21</v>
      </c>
      <c r="G7687" t="s">
        <v>12</v>
      </c>
      <c r="H7687" s="1">
        <v>43028</v>
      </c>
      <c r="I7687" s="1">
        <v>43035</v>
      </c>
      <c r="J7687">
        <v>4435</v>
      </c>
    </row>
    <row r="7688" spans="1:10" x14ac:dyDescent="0.3">
      <c r="A7688" t="s">
        <v>7819</v>
      </c>
      <c r="B7688" t="s">
        <v>14</v>
      </c>
      <c r="C7688" t="str">
        <f>_xlfn.XLOOKUP(B7688,
[1]sales_teams!$A$2:$A$100,
[1]sales_teams!$B$2:$B$100)</f>
        <v>Melvin Marxen</v>
      </c>
      <c r="D7688" t="str">
        <f>_xlfn.XLOOKUP($B7688,sales_teams!$A$2:$A$36,sales_teams!C$2:C$36)</f>
        <v>Central</v>
      </c>
      <c r="E7688" t="s">
        <v>15</v>
      </c>
      <c r="F7688" t="s">
        <v>111</v>
      </c>
      <c r="G7688" t="s">
        <v>12</v>
      </c>
      <c r="H7688" s="1">
        <v>43028</v>
      </c>
      <c r="I7688" s="1">
        <v>43036</v>
      </c>
      <c r="J7688">
        <v>4699</v>
      </c>
    </row>
    <row r="7689" spans="1:10" x14ac:dyDescent="0.3">
      <c r="A7689" t="s">
        <v>7820</v>
      </c>
      <c r="B7689" t="s">
        <v>44</v>
      </c>
      <c r="C7689" t="str">
        <f>_xlfn.XLOOKUP(B7689,
[1]sales_teams!$A$2:$A$100,
[1]sales_teams!$B$2:$B$100)</f>
        <v>Melvin Marxen</v>
      </c>
      <c r="D7689" t="str">
        <f>_xlfn.XLOOKUP($B7689,sales_teams!$A$2:$A$36,sales_teams!C$2:C$36)</f>
        <v>Central</v>
      </c>
      <c r="E7689" t="s">
        <v>48</v>
      </c>
      <c r="F7689" t="s">
        <v>11</v>
      </c>
      <c r="G7689" t="s">
        <v>46</v>
      </c>
      <c r="H7689" s="1">
        <v>43028</v>
      </c>
      <c r="I7689" s="1">
        <v>43032</v>
      </c>
      <c r="J7689">
        <v>0</v>
      </c>
    </row>
    <row r="7690" spans="1:10" x14ac:dyDescent="0.3">
      <c r="A7690" t="s">
        <v>7821</v>
      </c>
      <c r="B7690" t="s">
        <v>44</v>
      </c>
      <c r="C7690" t="str">
        <f>_xlfn.XLOOKUP(B7690,
[1]sales_teams!$A$2:$A$100,
[1]sales_teams!$B$2:$B$100)</f>
        <v>Melvin Marxen</v>
      </c>
      <c r="D7690" t="str">
        <f>_xlfn.XLOOKUP($B7690,sales_teams!$A$2:$A$36,sales_teams!C$2:C$36)</f>
        <v>Central</v>
      </c>
      <c r="E7690" t="s">
        <v>18</v>
      </c>
      <c r="F7690" t="s">
        <v>45</v>
      </c>
      <c r="G7690" t="s">
        <v>46</v>
      </c>
      <c r="H7690" s="1">
        <v>43028</v>
      </c>
      <c r="I7690" s="1">
        <v>43030</v>
      </c>
      <c r="J7690">
        <v>0</v>
      </c>
    </row>
    <row r="7691" spans="1:10" x14ac:dyDescent="0.3">
      <c r="A7691" t="s">
        <v>7822</v>
      </c>
      <c r="B7691" t="s">
        <v>44</v>
      </c>
      <c r="C7691" t="str">
        <f>_xlfn.XLOOKUP(B7691,
[1]sales_teams!$A$2:$A$100,
[1]sales_teams!$B$2:$B$100)</f>
        <v>Melvin Marxen</v>
      </c>
      <c r="D7691" t="str">
        <f>_xlfn.XLOOKUP($B7691,sales_teams!$A$2:$A$36,sales_teams!C$2:C$36)</f>
        <v>Central</v>
      </c>
      <c r="E7691" t="s">
        <v>18</v>
      </c>
      <c r="F7691" t="s">
        <v>111</v>
      </c>
      <c r="G7691" t="s">
        <v>12</v>
      </c>
      <c r="H7691" s="1">
        <v>43028</v>
      </c>
      <c r="I7691" s="1">
        <v>43038</v>
      </c>
      <c r="J7691">
        <v>60</v>
      </c>
    </row>
    <row r="7692" spans="1:10" x14ac:dyDescent="0.3">
      <c r="A7692" t="s">
        <v>7823</v>
      </c>
      <c r="B7692" t="s">
        <v>54</v>
      </c>
      <c r="C7692" t="str">
        <f>_xlfn.XLOOKUP(B7692,
[1]sales_teams!$A$2:$A$100,
[1]sales_teams!$B$2:$B$100)</f>
        <v>Celia Rouche</v>
      </c>
      <c r="D7692" t="str">
        <f>_xlfn.XLOOKUP($B7692,sales_teams!$A$2:$A$36,sales_teams!C$2:C$36)</f>
        <v>West</v>
      </c>
      <c r="E7692" t="s">
        <v>48</v>
      </c>
      <c r="F7692" t="s">
        <v>24</v>
      </c>
      <c r="G7692" t="s">
        <v>12</v>
      </c>
      <c r="H7692" s="1">
        <v>43028</v>
      </c>
      <c r="I7692" s="1">
        <v>43029</v>
      </c>
      <c r="J7692">
        <v>6026</v>
      </c>
    </row>
    <row r="7693" spans="1:10" x14ac:dyDescent="0.3">
      <c r="A7693" t="s">
        <v>7824</v>
      </c>
      <c r="B7693" t="s">
        <v>38</v>
      </c>
      <c r="C7693" t="str">
        <f>_xlfn.XLOOKUP(B7693,
[1]sales_teams!$A$2:$A$100,
[1]sales_teams!$B$2:$B$100)</f>
        <v>Summer Sewald</v>
      </c>
      <c r="D7693" t="str">
        <f>_xlfn.XLOOKUP($B7693,sales_teams!$A$2:$A$36,sales_teams!C$2:C$36)</f>
        <v>West</v>
      </c>
      <c r="E7693" t="s">
        <v>48</v>
      </c>
      <c r="F7693" t="s">
        <v>122</v>
      </c>
      <c r="G7693" t="s">
        <v>46</v>
      </c>
      <c r="H7693" s="1">
        <v>43028</v>
      </c>
      <c r="I7693" s="1">
        <v>43035</v>
      </c>
      <c r="J7693">
        <v>0</v>
      </c>
    </row>
    <row r="7694" spans="1:10" x14ac:dyDescent="0.3">
      <c r="A7694" t="s">
        <v>7825</v>
      </c>
      <c r="B7694" t="s">
        <v>38</v>
      </c>
      <c r="C7694" t="str">
        <f>_xlfn.XLOOKUP(B7694,
[1]sales_teams!$A$2:$A$100,
[1]sales_teams!$B$2:$B$100)</f>
        <v>Summer Sewald</v>
      </c>
      <c r="D7694" t="str">
        <f>_xlfn.XLOOKUP($B7694,sales_teams!$A$2:$A$36,sales_teams!C$2:C$36)</f>
        <v>West</v>
      </c>
      <c r="E7694" t="s">
        <v>48</v>
      </c>
      <c r="F7694" t="s">
        <v>555</v>
      </c>
      <c r="G7694" t="s">
        <v>12</v>
      </c>
      <c r="H7694" s="1">
        <v>43028</v>
      </c>
      <c r="I7694" s="1">
        <v>43094</v>
      </c>
      <c r="J7694">
        <v>5095</v>
      </c>
    </row>
    <row r="7695" spans="1:10" x14ac:dyDescent="0.3">
      <c r="A7695" t="s">
        <v>7826</v>
      </c>
      <c r="B7695" t="s">
        <v>78</v>
      </c>
      <c r="C7695" t="str">
        <f>_xlfn.XLOOKUP(B7695,
[1]sales_teams!$A$2:$A$100,
[1]sales_teams!$B$2:$B$100)</f>
        <v>Summer Sewald</v>
      </c>
      <c r="D7695" t="str">
        <f>_xlfn.XLOOKUP($B7695,sales_teams!$A$2:$A$36,sales_teams!C$2:C$36)</f>
        <v>West</v>
      </c>
      <c r="E7695" t="s">
        <v>20</v>
      </c>
      <c r="F7695" t="s">
        <v>70</v>
      </c>
      <c r="G7695" t="s">
        <v>40</v>
      </c>
      <c r="H7695" s="1">
        <v>43028</v>
      </c>
    </row>
    <row r="7696" spans="1:10" x14ac:dyDescent="0.3">
      <c r="A7696" t="s">
        <v>7827</v>
      </c>
      <c r="B7696" t="s">
        <v>78</v>
      </c>
      <c r="C7696" t="str">
        <f>_xlfn.XLOOKUP(B7696,
[1]sales_teams!$A$2:$A$100,
[1]sales_teams!$B$2:$B$100)</f>
        <v>Summer Sewald</v>
      </c>
      <c r="D7696" t="str">
        <f>_xlfn.XLOOKUP($B7696,sales_teams!$A$2:$A$36,sales_teams!C$2:C$36)</f>
        <v>West</v>
      </c>
      <c r="E7696" t="s">
        <v>20</v>
      </c>
      <c r="F7696" t="s">
        <v>49</v>
      </c>
      <c r="G7696" t="s">
        <v>12</v>
      </c>
      <c r="H7696" s="1">
        <v>43028</v>
      </c>
      <c r="I7696" s="1">
        <v>43085</v>
      </c>
      <c r="J7696">
        <v>565</v>
      </c>
    </row>
    <row r="7697" spans="1:10" x14ac:dyDescent="0.3">
      <c r="A7697" t="s">
        <v>7828</v>
      </c>
      <c r="B7697" t="s">
        <v>51</v>
      </c>
      <c r="C7697" t="str">
        <f>_xlfn.XLOOKUP(B7697,
[1]sales_teams!$A$2:$A$100,
[1]sales_teams!$B$2:$B$100)</f>
        <v>Summer Sewald</v>
      </c>
      <c r="D7697" t="str">
        <f>_xlfn.XLOOKUP($B7697,sales_teams!$A$2:$A$36,sales_teams!C$2:C$36)</f>
        <v>West</v>
      </c>
      <c r="E7697" t="s">
        <v>48</v>
      </c>
      <c r="F7697" t="s">
        <v>159</v>
      </c>
      <c r="G7697" t="s">
        <v>12</v>
      </c>
      <c r="H7697" s="1">
        <v>43028</v>
      </c>
      <c r="I7697" s="1">
        <v>43091</v>
      </c>
      <c r="J7697">
        <v>5883</v>
      </c>
    </row>
    <row r="7698" spans="1:10" x14ac:dyDescent="0.3">
      <c r="A7698" t="s">
        <v>7829</v>
      </c>
      <c r="B7698" t="s">
        <v>35</v>
      </c>
      <c r="C7698" t="str">
        <f>_xlfn.XLOOKUP(B7698,
[1]sales_teams!$A$2:$A$100,
[1]sales_teams!$B$2:$B$100)</f>
        <v>Melvin Marxen</v>
      </c>
      <c r="D7698" t="str">
        <f>_xlfn.XLOOKUP($B7698,sales_teams!$A$2:$A$36,sales_teams!C$2:C$36)</f>
        <v>Central</v>
      </c>
      <c r="E7698" t="s">
        <v>10</v>
      </c>
      <c r="F7698" t="s">
        <v>135</v>
      </c>
      <c r="G7698" t="s">
        <v>12</v>
      </c>
      <c r="H7698" s="1">
        <v>43028</v>
      </c>
      <c r="I7698" s="1">
        <v>43081</v>
      </c>
      <c r="J7698">
        <v>1135</v>
      </c>
    </row>
    <row r="7699" spans="1:10" x14ac:dyDescent="0.3">
      <c r="A7699" t="s">
        <v>7830</v>
      </c>
      <c r="B7699" t="s">
        <v>97</v>
      </c>
      <c r="C7699" t="str">
        <f>_xlfn.XLOOKUP(B7699,
[1]sales_teams!$A$2:$A$100,
[1]sales_teams!$B$2:$B$100)</f>
        <v>Rocco Neubert</v>
      </c>
      <c r="D7699" t="str">
        <f>_xlfn.XLOOKUP($B7699,sales_teams!$A$2:$A$36,sales_teams!C$2:C$36)</f>
        <v>East</v>
      </c>
      <c r="E7699" t="s">
        <v>10</v>
      </c>
      <c r="F7699" t="s">
        <v>199</v>
      </c>
      <c r="G7699" t="s">
        <v>12</v>
      </c>
      <c r="H7699" s="1">
        <v>43028</v>
      </c>
      <c r="I7699" s="1">
        <v>43090</v>
      </c>
      <c r="J7699">
        <v>903</v>
      </c>
    </row>
    <row r="7700" spans="1:10" x14ac:dyDescent="0.3">
      <c r="A7700" t="s">
        <v>7831</v>
      </c>
      <c r="B7700" t="s">
        <v>88</v>
      </c>
      <c r="C7700" t="str">
        <f>_xlfn.XLOOKUP(B7700,
[1]sales_teams!$A$2:$A$100,
[1]sales_teams!$B$2:$B$100)</f>
        <v>Cara Losch</v>
      </c>
      <c r="D7700" t="str">
        <f>_xlfn.XLOOKUP($B7700,sales_teams!$A$2:$A$36,sales_teams!C$2:C$36)</f>
        <v>East</v>
      </c>
      <c r="E7700" t="s">
        <v>15</v>
      </c>
      <c r="F7700" t="s">
        <v>199</v>
      </c>
      <c r="G7700" t="s">
        <v>40</v>
      </c>
      <c r="H7700" s="1">
        <v>43028</v>
      </c>
    </row>
    <row r="7701" spans="1:10" x14ac:dyDescent="0.3">
      <c r="A7701" t="s">
        <v>7832</v>
      </c>
      <c r="B7701" t="s">
        <v>29</v>
      </c>
      <c r="C7701" t="str">
        <f>_xlfn.XLOOKUP(B7701,
[1]sales_teams!$A$2:$A$100,
[1]sales_teams!$B$2:$B$100)</f>
        <v>Celia Rouche</v>
      </c>
      <c r="D7701" t="str">
        <f>_xlfn.XLOOKUP($B7701,sales_teams!$A$2:$A$36,sales_teams!C$2:C$36)</f>
        <v>West</v>
      </c>
      <c r="E7701" t="s">
        <v>18</v>
      </c>
      <c r="F7701" t="s">
        <v>100</v>
      </c>
      <c r="G7701" t="s">
        <v>46</v>
      </c>
      <c r="H7701" s="1">
        <v>43028</v>
      </c>
      <c r="I7701" s="1">
        <v>43035</v>
      </c>
      <c r="J7701">
        <v>0</v>
      </c>
    </row>
    <row r="7702" spans="1:10" x14ac:dyDescent="0.3">
      <c r="A7702" t="s">
        <v>7833</v>
      </c>
      <c r="B7702" t="s">
        <v>29</v>
      </c>
      <c r="C7702" t="str">
        <f>_xlfn.XLOOKUP(B7702,
[1]sales_teams!$A$2:$A$100,
[1]sales_teams!$B$2:$B$100)</f>
        <v>Celia Rouche</v>
      </c>
      <c r="D7702" t="str">
        <f>_xlfn.XLOOKUP($B7702,sales_teams!$A$2:$A$36,sales_teams!C$2:C$36)</f>
        <v>West</v>
      </c>
      <c r="E7702" t="s">
        <v>18</v>
      </c>
      <c r="F7702" t="s">
        <v>184</v>
      </c>
      <c r="G7702" t="s">
        <v>46</v>
      </c>
      <c r="H7702" s="1">
        <v>43028</v>
      </c>
      <c r="I7702" s="1">
        <v>43036</v>
      </c>
      <c r="J7702">
        <v>0</v>
      </c>
    </row>
    <row r="7703" spans="1:10" x14ac:dyDescent="0.3">
      <c r="A7703" t="s">
        <v>7834</v>
      </c>
      <c r="B7703" t="s">
        <v>29</v>
      </c>
      <c r="C7703" t="str">
        <f>_xlfn.XLOOKUP(B7703,
[1]sales_teams!$A$2:$A$100,
[1]sales_teams!$B$2:$B$100)</f>
        <v>Celia Rouche</v>
      </c>
      <c r="D7703" t="str">
        <f>_xlfn.XLOOKUP($B7703,sales_teams!$A$2:$A$36,sales_teams!C$2:C$36)</f>
        <v>West</v>
      </c>
      <c r="E7703" t="s">
        <v>18</v>
      </c>
      <c r="F7703" t="s">
        <v>174</v>
      </c>
      <c r="G7703" t="s">
        <v>12</v>
      </c>
      <c r="H7703" s="1">
        <v>43028</v>
      </c>
      <c r="I7703" s="1">
        <v>43042</v>
      </c>
      <c r="J7703">
        <v>48</v>
      </c>
    </row>
    <row r="7704" spans="1:10" x14ac:dyDescent="0.3">
      <c r="A7704" t="s">
        <v>7835</v>
      </c>
      <c r="B7704" t="s">
        <v>23</v>
      </c>
      <c r="C7704" t="str">
        <f>_xlfn.XLOOKUP(B7704,
[1]sales_teams!$A$2:$A$100,
[1]sales_teams!$B$2:$B$100)</f>
        <v>Summer Sewald</v>
      </c>
      <c r="D7704" t="str">
        <f>_xlfn.XLOOKUP($B7704,sales_teams!$A$2:$A$36,sales_teams!C$2:C$36)</f>
        <v>West</v>
      </c>
      <c r="E7704" t="s">
        <v>48</v>
      </c>
      <c r="F7704" t="s">
        <v>24</v>
      </c>
      <c r="G7704" t="s">
        <v>12</v>
      </c>
      <c r="H7704" s="1">
        <v>43028</v>
      </c>
      <c r="I7704" s="1">
        <v>43038</v>
      </c>
      <c r="J7704">
        <v>5388</v>
      </c>
    </row>
    <row r="7705" spans="1:10" x14ac:dyDescent="0.3">
      <c r="A7705" t="s">
        <v>7836</v>
      </c>
      <c r="B7705" t="s">
        <v>23</v>
      </c>
      <c r="C7705" t="str">
        <f>_xlfn.XLOOKUP(B7705,
[1]sales_teams!$A$2:$A$100,
[1]sales_teams!$B$2:$B$100)</f>
        <v>Summer Sewald</v>
      </c>
      <c r="D7705" t="str">
        <f>_xlfn.XLOOKUP($B7705,sales_teams!$A$2:$A$36,sales_teams!C$2:C$36)</f>
        <v>West</v>
      </c>
      <c r="E7705" t="s">
        <v>15</v>
      </c>
      <c r="F7705" t="s">
        <v>124</v>
      </c>
      <c r="G7705" t="s">
        <v>12</v>
      </c>
      <c r="H7705" s="1">
        <v>43028</v>
      </c>
      <c r="I7705" s="1">
        <v>43035</v>
      </c>
      <c r="J7705">
        <v>4109</v>
      </c>
    </row>
    <row r="7706" spans="1:10" x14ac:dyDescent="0.3">
      <c r="A7706" t="s">
        <v>7837</v>
      </c>
      <c r="B7706" t="s">
        <v>26</v>
      </c>
      <c r="C7706" t="str">
        <f>_xlfn.XLOOKUP(B7706,
[1]sales_teams!$A$2:$A$100,
[1]sales_teams!$B$2:$B$100)</f>
        <v>Dustin Brinkmann</v>
      </c>
      <c r="D7706" t="str">
        <f>_xlfn.XLOOKUP($B7706,sales_teams!$A$2:$A$36,sales_teams!C$2:C$36)</f>
        <v>Central</v>
      </c>
      <c r="E7706" t="s">
        <v>10</v>
      </c>
      <c r="F7706" t="s">
        <v>91</v>
      </c>
      <c r="G7706" t="s">
        <v>46</v>
      </c>
      <c r="H7706" s="1">
        <v>43029</v>
      </c>
      <c r="I7706" s="1">
        <v>43031</v>
      </c>
      <c r="J7706">
        <v>0</v>
      </c>
    </row>
    <row r="7707" spans="1:10" x14ac:dyDescent="0.3">
      <c r="A7707" t="s">
        <v>7838</v>
      </c>
      <c r="B7707" t="s">
        <v>26</v>
      </c>
      <c r="C7707" t="str">
        <f>_xlfn.XLOOKUP(B7707,
[1]sales_teams!$A$2:$A$100,
[1]sales_teams!$B$2:$B$100)</f>
        <v>Dustin Brinkmann</v>
      </c>
      <c r="D7707" t="str">
        <f>_xlfn.XLOOKUP($B7707,sales_teams!$A$2:$A$36,sales_teams!C$2:C$36)</f>
        <v>Central</v>
      </c>
      <c r="E7707" t="s">
        <v>18</v>
      </c>
      <c r="F7707" t="s">
        <v>27</v>
      </c>
      <c r="G7707" t="s">
        <v>46</v>
      </c>
      <c r="H7707" s="1">
        <v>43029</v>
      </c>
      <c r="I7707" s="1">
        <v>43035</v>
      </c>
      <c r="J7707">
        <v>0</v>
      </c>
    </row>
    <row r="7708" spans="1:10" x14ac:dyDescent="0.3">
      <c r="A7708" t="s">
        <v>7839</v>
      </c>
      <c r="B7708" t="s">
        <v>26</v>
      </c>
      <c r="C7708" t="str">
        <f>_xlfn.XLOOKUP(B7708,
[1]sales_teams!$A$2:$A$100,
[1]sales_teams!$B$2:$B$100)</f>
        <v>Dustin Brinkmann</v>
      </c>
      <c r="D7708" t="str">
        <f>_xlfn.XLOOKUP($B7708,sales_teams!$A$2:$A$36,sales_teams!C$2:C$36)</f>
        <v>Central</v>
      </c>
      <c r="E7708" t="s">
        <v>48</v>
      </c>
      <c r="F7708" t="s">
        <v>21</v>
      </c>
      <c r="G7708" t="s">
        <v>12</v>
      </c>
      <c r="H7708" s="1">
        <v>43029</v>
      </c>
      <c r="I7708" s="1">
        <v>43085</v>
      </c>
      <c r="J7708">
        <v>5543</v>
      </c>
    </row>
    <row r="7709" spans="1:10" x14ac:dyDescent="0.3">
      <c r="A7709" t="s">
        <v>7840</v>
      </c>
      <c r="B7709" t="s">
        <v>118</v>
      </c>
      <c r="C7709" t="str">
        <f>_xlfn.XLOOKUP(B7709,
[1]sales_teams!$A$2:$A$100,
[1]sales_teams!$B$2:$B$100)</f>
        <v>Rocco Neubert</v>
      </c>
      <c r="D7709" t="str">
        <f>_xlfn.XLOOKUP($B7709,sales_teams!$A$2:$A$36,sales_teams!C$2:C$36)</f>
        <v>East</v>
      </c>
      <c r="E7709" t="s">
        <v>10</v>
      </c>
      <c r="F7709" t="s">
        <v>410</v>
      </c>
      <c r="G7709" t="s">
        <v>46</v>
      </c>
      <c r="H7709" s="1">
        <v>43029</v>
      </c>
      <c r="I7709" s="1">
        <v>43068</v>
      </c>
      <c r="J7709">
        <v>0</v>
      </c>
    </row>
    <row r="7710" spans="1:10" x14ac:dyDescent="0.3">
      <c r="A7710" t="s">
        <v>7841</v>
      </c>
      <c r="B7710" t="s">
        <v>202</v>
      </c>
      <c r="C7710" t="str">
        <f>_xlfn.XLOOKUP(B7710,
[1]sales_teams!$A$2:$A$100,
[1]sales_teams!$B$2:$B$100)</f>
        <v>Dustin Brinkmann</v>
      </c>
      <c r="D7710" t="str">
        <f>_xlfn.XLOOKUP($B7710,sales_teams!$A$2:$A$36,sales_teams!C$2:C$36)</f>
        <v>Central</v>
      </c>
      <c r="E7710" t="s">
        <v>10</v>
      </c>
      <c r="F7710" t="s">
        <v>492</v>
      </c>
      <c r="G7710" t="s">
        <v>46</v>
      </c>
      <c r="H7710" s="1">
        <v>43029</v>
      </c>
      <c r="I7710" s="1">
        <v>43036</v>
      </c>
      <c r="J7710">
        <v>0</v>
      </c>
    </row>
    <row r="7711" spans="1:10" x14ac:dyDescent="0.3">
      <c r="A7711" t="s">
        <v>7842</v>
      </c>
      <c r="B7711" t="s">
        <v>202</v>
      </c>
      <c r="C7711" t="str">
        <f>_xlfn.XLOOKUP(B7711,
[1]sales_teams!$A$2:$A$100,
[1]sales_teams!$B$2:$B$100)</f>
        <v>Dustin Brinkmann</v>
      </c>
      <c r="D7711" t="str">
        <f>_xlfn.XLOOKUP($B7711,sales_teams!$A$2:$A$36,sales_teams!C$2:C$36)</f>
        <v>Central</v>
      </c>
      <c r="E7711" t="s">
        <v>39</v>
      </c>
      <c r="F7711" t="s">
        <v>45</v>
      </c>
      <c r="G7711" t="s">
        <v>46</v>
      </c>
      <c r="H7711" s="1">
        <v>43029</v>
      </c>
      <c r="I7711" s="1">
        <v>43035</v>
      </c>
      <c r="J7711">
        <v>0</v>
      </c>
    </row>
    <row r="7712" spans="1:10" x14ac:dyDescent="0.3">
      <c r="A7712" t="s">
        <v>7843</v>
      </c>
      <c r="B7712" t="s">
        <v>14</v>
      </c>
      <c r="C7712" t="str">
        <f>_xlfn.XLOOKUP(B7712,
[1]sales_teams!$A$2:$A$100,
[1]sales_teams!$B$2:$B$100)</f>
        <v>Melvin Marxen</v>
      </c>
      <c r="D7712" t="str">
        <f>_xlfn.XLOOKUP($B7712,sales_teams!$A$2:$A$36,sales_teams!C$2:C$36)</f>
        <v>Central</v>
      </c>
      <c r="E7712" t="s">
        <v>15</v>
      </c>
      <c r="F7712" t="s">
        <v>42</v>
      </c>
      <c r="G7712" t="s">
        <v>46</v>
      </c>
      <c r="H7712" s="1">
        <v>43029</v>
      </c>
      <c r="I7712" s="1">
        <v>43039</v>
      </c>
      <c r="J7712">
        <v>0</v>
      </c>
    </row>
    <row r="7713" spans="1:10" x14ac:dyDescent="0.3">
      <c r="A7713" t="s">
        <v>7844</v>
      </c>
      <c r="B7713" t="s">
        <v>14</v>
      </c>
      <c r="C7713" t="str">
        <f>_xlfn.XLOOKUP(B7713,
[1]sales_teams!$A$2:$A$100,
[1]sales_teams!$B$2:$B$100)</f>
        <v>Melvin Marxen</v>
      </c>
      <c r="D7713" t="str">
        <f>_xlfn.XLOOKUP($B7713,sales_teams!$A$2:$A$36,sales_teams!C$2:C$36)</f>
        <v>Central</v>
      </c>
      <c r="E7713" t="s">
        <v>15</v>
      </c>
      <c r="F7713" t="s">
        <v>187</v>
      </c>
      <c r="G7713" t="s">
        <v>12</v>
      </c>
      <c r="H7713" s="1">
        <v>43029</v>
      </c>
      <c r="I7713" s="1">
        <v>43037</v>
      </c>
      <c r="J7713">
        <v>4732</v>
      </c>
    </row>
    <row r="7714" spans="1:10" x14ac:dyDescent="0.3">
      <c r="A7714" t="s">
        <v>7845</v>
      </c>
      <c r="B7714" t="s">
        <v>14</v>
      </c>
      <c r="C7714" t="str">
        <f>_xlfn.XLOOKUP(B7714,
[1]sales_teams!$A$2:$A$100,
[1]sales_teams!$B$2:$B$100)</f>
        <v>Melvin Marxen</v>
      </c>
      <c r="D7714" t="str">
        <f>_xlfn.XLOOKUP($B7714,sales_teams!$A$2:$A$36,sales_teams!C$2:C$36)</f>
        <v>Central</v>
      </c>
      <c r="E7714" t="s">
        <v>18</v>
      </c>
      <c r="F7714" t="s">
        <v>21</v>
      </c>
      <c r="G7714" t="s">
        <v>12</v>
      </c>
      <c r="H7714" s="1">
        <v>43029</v>
      </c>
      <c r="I7714" s="1">
        <v>43046</v>
      </c>
      <c r="J7714">
        <v>55</v>
      </c>
    </row>
    <row r="7715" spans="1:10" x14ac:dyDescent="0.3">
      <c r="A7715" t="s">
        <v>7846</v>
      </c>
      <c r="B7715" t="s">
        <v>142</v>
      </c>
      <c r="C7715" t="str">
        <f>_xlfn.XLOOKUP(B7715,
[1]sales_teams!$A$2:$A$100,
[1]sales_teams!$B$2:$B$100)</f>
        <v>Rocco Neubert</v>
      </c>
      <c r="D7715" t="str">
        <f>_xlfn.XLOOKUP($B7715,sales_teams!$A$2:$A$36,sales_teams!C$2:C$36)</f>
        <v>East</v>
      </c>
      <c r="E7715" t="s">
        <v>20</v>
      </c>
      <c r="F7715" t="s">
        <v>65</v>
      </c>
      <c r="G7715" t="s">
        <v>46</v>
      </c>
      <c r="H7715" s="1">
        <v>43029</v>
      </c>
      <c r="I7715" s="1">
        <v>43038</v>
      </c>
      <c r="J7715">
        <v>0</v>
      </c>
    </row>
    <row r="7716" spans="1:10" x14ac:dyDescent="0.3">
      <c r="A7716" t="s">
        <v>7847</v>
      </c>
      <c r="B7716" t="s">
        <v>142</v>
      </c>
      <c r="C7716" t="str">
        <f>_xlfn.XLOOKUP(B7716,
[1]sales_teams!$A$2:$A$100,
[1]sales_teams!$B$2:$B$100)</f>
        <v>Rocco Neubert</v>
      </c>
      <c r="D7716" t="str">
        <f>_xlfn.XLOOKUP($B7716,sales_teams!$A$2:$A$36,sales_teams!C$2:C$36)</f>
        <v>East</v>
      </c>
      <c r="E7716" t="s">
        <v>48</v>
      </c>
      <c r="F7716" t="s">
        <v>103</v>
      </c>
      <c r="G7716" t="s">
        <v>46</v>
      </c>
      <c r="H7716" s="1">
        <v>43029</v>
      </c>
      <c r="I7716" s="1">
        <v>43037</v>
      </c>
      <c r="J7716">
        <v>0</v>
      </c>
    </row>
    <row r="7717" spans="1:10" x14ac:dyDescent="0.3">
      <c r="A7717" t="s">
        <v>7848</v>
      </c>
      <c r="B7717" t="s">
        <v>44</v>
      </c>
      <c r="C7717" t="str">
        <f>_xlfn.XLOOKUP(B7717,
[1]sales_teams!$A$2:$A$100,
[1]sales_teams!$B$2:$B$100)</f>
        <v>Melvin Marxen</v>
      </c>
      <c r="D7717" t="str">
        <f>_xlfn.XLOOKUP($B7717,sales_teams!$A$2:$A$36,sales_teams!C$2:C$36)</f>
        <v>Central</v>
      </c>
      <c r="E7717" t="s">
        <v>18</v>
      </c>
      <c r="F7717" t="s">
        <v>113</v>
      </c>
      <c r="G7717" t="s">
        <v>12</v>
      </c>
      <c r="H7717" s="1">
        <v>43029</v>
      </c>
      <c r="I7717" s="1">
        <v>43038</v>
      </c>
      <c r="J7717">
        <v>52</v>
      </c>
    </row>
    <row r="7718" spans="1:10" x14ac:dyDescent="0.3">
      <c r="A7718" t="s">
        <v>7849</v>
      </c>
      <c r="B7718" t="s">
        <v>252</v>
      </c>
      <c r="C7718" t="str">
        <f>_xlfn.XLOOKUP(B7718,
[1]sales_teams!$A$2:$A$100,
[1]sales_teams!$B$2:$B$100)</f>
        <v>Melvin Marxen</v>
      </c>
      <c r="D7718" t="str">
        <f>_xlfn.XLOOKUP($B7718,sales_teams!$A$2:$A$36,sales_teams!C$2:C$36)</f>
        <v>Central</v>
      </c>
      <c r="E7718" t="s">
        <v>20</v>
      </c>
      <c r="F7718" t="s">
        <v>45</v>
      </c>
      <c r="G7718" t="s">
        <v>46</v>
      </c>
      <c r="H7718" s="1">
        <v>43029</v>
      </c>
      <c r="I7718" s="1">
        <v>43030</v>
      </c>
      <c r="J7718">
        <v>0</v>
      </c>
    </row>
    <row r="7719" spans="1:10" x14ac:dyDescent="0.3">
      <c r="A7719" t="s">
        <v>7850</v>
      </c>
      <c r="B7719" t="s">
        <v>78</v>
      </c>
      <c r="C7719" t="str">
        <f>_xlfn.XLOOKUP(B7719,
[1]sales_teams!$A$2:$A$100,
[1]sales_teams!$B$2:$B$100)</f>
        <v>Summer Sewald</v>
      </c>
      <c r="D7719" t="str">
        <f>_xlfn.XLOOKUP($B7719,sales_teams!$A$2:$A$36,sales_teams!C$2:C$36)</f>
        <v>West</v>
      </c>
      <c r="E7719" t="s">
        <v>20</v>
      </c>
      <c r="F7719" t="s">
        <v>224</v>
      </c>
      <c r="G7719" t="s">
        <v>46</v>
      </c>
      <c r="H7719" s="1">
        <v>43029</v>
      </c>
      <c r="I7719" s="1">
        <v>43083</v>
      </c>
      <c r="J7719">
        <v>0</v>
      </c>
    </row>
    <row r="7720" spans="1:10" x14ac:dyDescent="0.3">
      <c r="A7720" t="s">
        <v>7851</v>
      </c>
      <c r="B7720" t="s">
        <v>95</v>
      </c>
      <c r="C7720" t="str">
        <f>_xlfn.XLOOKUP(B7720,
[1]sales_teams!$A$2:$A$100,
[1]sales_teams!$B$2:$B$100)</f>
        <v>Summer Sewald</v>
      </c>
      <c r="D7720" t="str">
        <f>_xlfn.XLOOKUP($B7720,sales_teams!$A$2:$A$36,sales_teams!C$2:C$36)</f>
        <v>West</v>
      </c>
      <c r="E7720" t="s">
        <v>20</v>
      </c>
      <c r="F7720" t="s">
        <v>33</v>
      </c>
      <c r="G7720" t="s">
        <v>46</v>
      </c>
      <c r="H7720" s="1">
        <v>43029</v>
      </c>
      <c r="I7720" s="1">
        <v>43031</v>
      </c>
      <c r="J7720">
        <v>0</v>
      </c>
    </row>
    <row r="7721" spans="1:10" x14ac:dyDescent="0.3">
      <c r="A7721" t="s">
        <v>7852</v>
      </c>
      <c r="B7721" t="s">
        <v>95</v>
      </c>
      <c r="C7721" t="str">
        <f>_xlfn.XLOOKUP(B7721,
[1]sales_teams!$A$2:$A$100,
[1]sales_teams!$B$2:$B$100)</f>
        <v>Summer Sewald</v>
      </c>
      <c r="D7721" t="str">
        <f>_xlfn.XLOOKUP($B7721,sales_teams!$A$2:$A$36,sales_teams!C$2:C$36)</f>
        <v>West</v>
      </c>
      <c r="E7721" t="s">
        <v>20</v>
      </c>
      <c r="F7721" t="s">
        <v>86</v>
      </c>
      <c r="G7721" t="s">
        <v>12</v>
      </c>
      <c r="H7721" s="1">
        <v>43029</v>
      </c>
      <c r="I7721" s="1">
        <v>43035</v>
      </c>
      <c r="J7721">
        <v>575</v>
      </c>
    </row>
    <row r="7722" spans="1:10" x14ac:dyDescent="0.3">
      <c r="A7722" t="s">
        <v>7853</v>
      </c>
      <c r="B7722" t="s">
        <v>51</v>
      </c>
      <c r="C7722" t="str">
        <f>_xlfn.XLOOKUP(B7722,
[1]sales_teams!$A$2:$A$100,
[1]sales_teams!$B$2:$B$100)</f>
        <v>Summer Sewald</v>
      </c>
      <c r="D7722" t="str">
        <f>_xlfn.XLOOKUP($B7722,sales_teams!$A$2:$A$36,sales_teams!C$2:C$36)</f>
        <v>West</v>
      </c>
      <c r="E7722" t="s">
        <v>20</v>
      </c>
      <c r="F7722" t="s">
        <v>100</v>
      </c>
      <c r="G7722" t="s">
        <v>46</v>
      </c>
      <c r="H7722" s="1">
        <v>43029</v>
      </c>
      <c r="I7722" s="1">
        <v>43038</v>
      </c>
      <c r="J7722">
        <v>0</v>
      </c>
    </row>
    <row r="7723" spans="1:10" x14ac:dyDescent="0.3">
      <c r="A7723" t="s">
        <v>7854</v>
      </c>
      <c r="B7723" t="s">
        <v>35</v>
      </c>
      <c r="C7723" t="str">
        <f>_xlfn.XLOOKUP(B7723,
[1]sales_teams!$A$2:$A$100,
[1]sales_teams!$B$2:$B$100)</f>
        <v>Melvin Marxen</v>
      </c>
      <c r="D7723" t="str">
        <f>_xlfn.XLOOKUP($B7723,sales_teams!$A$2:$A$36,sales_teams!C$2:C$36)</f>
        <v>Central</v>
      </c>
      <c r="E7723" t="s">
        <v>18</v>
      </c>
      <c r="F7723" t="s">
        <v>207</v>
      </c>
      <c r="G7723" t="s">
        <v>46</v>
      </c>
      <c r="H7723" s="1">
        <v>43029</v>
      </c>
      <c r="I7723" s="1">
        <v>43040</v>
      </c>
      <c r="J7723">
        <v>0</v>
      </c>
    </row>
    <row r="7724" spans="1:10" x14ac:dyDescent="0.3">
      <c r="A7724" t="s">
        <v>7855</v>
      </c>
      <c r="B7724" t="s">
        <v>97</v>
      </c>
      <c r="C7724" t="str">
        <f>_xlfn.XLOOKUP(B7724,
[1]sales_teams!$A$2:$A$100,
[1]sales_teams!$B$2:$B$100)</f>
        <v>Rocco Neubert</v>
      </c>
      <c r="D7724" t="str">
        <f>_xlfn.XLOOKUP($B7724,sales_teams!$A$2:$A$36,sales_teams!C$2:C$36)</f>
        <v>East</v>
      </c>
      <c r="E7724" t="s">
        <v>39</v>
      </c>
      <c r="F7724" t="s">
        <v>215</v>
      </c>
      <c r="G7724" t="s">
        <v>12</v>
      </c>
      <c r="H7724" s="1">
        <v>43029</v>
      </c>
      <c r="I7724" s="1">
        <v>43037</v>
      </c>
      <c r="J7724">
        <v>3612</v>
      </c>
    </row>
    <row r="7725" spans="1:10" x14ac:dyDescent="0.3">
      <c r="A7725" t="s">
        <v>7856</v>
      </c>
      <c r="B7725" t="s">
        <v>73</v>
      </c>
      <c r="C7725" t="str">
        <f>_xlfn.XLOOKUP(B7725,
[1]sales_teams!$A$2:$A$100,
[1]sales_teams!$B$2:$B$100)</f>
        <v>Cara Losch</v>
      </c>
      <c r="D7725" t="str">
        <f>_xlfn.XLOOKUP($B7725,sales_teams!$A$2:$A$36,sales_teams!C$2:C$36)</f>
        <v>East</v>
      </c>
      <c r="E7725" t="s">
        <v>18</v>
      </c>
      <c r="F7725" t="s">
        <v>300</v>
      </c>
      <c r="G7725" t="s">
        <v>46</v>
      </c>
      <c r="H7725" s="1">
        <v>43029</v>
      </c>
      <c r="I7725" s="1">
        <v>43033</v>
      </c>
      <c r="J7725">
        <v>0</v>
      </c>
    </row>
    <row r="7726" spans="1:10" x14ac:dyDescent="0.3">
      <c r="A7726" t="s">
        <v>7857</v>
      </c>
      <c r="B7726" t="s">
        <v>102</v>
      </c>
      <c r="C7726" t="str">
        <f>_xlfn.XLOOKUP(B7726,
[1]sales_teams!$A$2:$A$100,
[1]sales_teams!$B$2:$B$100)</f>
        <v>Cara Losch</v>
      </c>
      <c r="D7726" t="str">
        <f>_xlfn.XLOOKUP($B7726,sales_teams!$A$2:$A$36,sales_teams!C$2:C$36)</f>
        <v>East</v>
      </c>
      <c r="E7726" t="s">
        <v>15</v>
      </c>
      <c r="F7726" t="s">
        <v>518</v>
      </c>
      <c r="G7726" t="s">
        <v>12</v>
      </c>
      <c r="H7726" s="1">
        <v>43029</v>
      </c>
      <c r="I7726" s="1">
        <v>43084</v>
      </c>
      <c r="J7726">
        <v>4970</v>
      </c>
    </row>
    <row r="7727" spans="1:10" x14ac:dyDescent="0.3">
      <c r="A7727" t="s">
        <v>7858</v>
      </c>
      <c r="B7727" t="s">
        <v>102</v>
      </c>
      <c r="C7727" t="str">
        <f>_xlfn.XLOOKUP(B7727,
[1]sales_teams!$A$2:$A$100,
[1]sales_teams!$B$2:$B$100)</f>
        <v>Cara Losch</v>
      </c>
      <c r="D7727" t="str">
        <f>_xlfn.XLOOKUP($B7727,sales_teams!$A$2:$A$36,sales_teams!C$2:C$36)</f>
        <v>East</v>
      </c>
      <c r="E7727" t="s">
        <v>39</v>
      </c>
      <c r="F7727" t="s">
        <v>81</v>
      </c>
      <c r="G7727" t="s">
        <v>12</v>
      </c>
      <c r="H7727" s="1">
        <v>43029</v>
      </c>
      <c r="I7727" s="1">
        <v>43039</v>
      </c>
      <c r="J7727">
        <v>2995</v>
      </c>
    </row>
    <row r="7728" spans="1:10" x14ac:dyDescent="0.3">
      <c r="A7728" t="s">
        <v>7859</v>
      </c>
      <c r="B7728" t="s">
        <v>139</v>
      </c>
      <c r="C7728" t="str">
        <f>_xlfn.XLOOKUP(B7728,
[1]sales_teams!$A$2:$A$100,
[1]sales_teams!$B$2:$B$100)</f>
        <v>Rocco Neubert</v>
      </c>
      <c r="D7728" t="str">
        <f>_xlfn.XLOOKUP($B7728,sales_teams!$A$2:$A$36,sales_teams!C$2:C$36)</f>
        <v>East</v>
      </c>
      <c r="E7728" t="s">
        <v>20</v>
      </c>
      <c r="F7728" t="s">
        <v>300</v>
      </c>
      <c r="G7728" t="s">
        <v>12</v>
      </c>
      <c r="H7728" s="1">
        <v>43030</v>
      </c>
      <c r="I7728" s="1">
        <v>43099</v>
      </c>
      <c r="J7728">
        <v>546</v>
      </c>
    </row>
    <row r="7729" spans="1:10" x14ac:dyDescent="0.3">
      <c r="A7729" t="s">
        <v>7860</v>
      </c>
      <c r="B7729" t="s">
        <v>139</v>
      </c>
      <c r="C7729" t="str">
        <f>_xlfn.XLOOKUP(B7729,
[1]sales_teams!$A$2:$A$100,
[1]sales_teams!$B$2:$B$100)</f>
        <v>Rocco Neubert</v>
      </c>
      <c r="D7729" t="str">
        <f>_xlfn.XLOOKUP($B7729,sales_teams!$A$2:$A$36,sales_teams!C$2:C$36)</f>
        <v>East</v>
      </c>
      <c r="E7729" t="s">
        <v>10</v>
      </c>
      <c r="F7729" t="s">
        <v>237</v>
      </c>
      <c r="G7729" t="s">
        <v>12</v>
      </c>
      <c r="H7729" s="1">
        <v>43030</v>
      </c>
      <c r="I7729" s="1">
        <v>43089</v>
      </c>
      <c r="J7729">
        <v>1184</v>
      </c>
    </row>
    <row r="7730" spans="1:10" x14ac:dyDescent="0.3">
      <c r="A7730" t="s">
        <v>7861</v>
      </c>
      <c r="B7730" t="s">
        <v>118</v>
      </c>
      <c r="C7730" t="str">
        <f>_xlfn.XLOOKUP(B7730,
[1]sales_teams!$A$2:$A$100,
[1]sales_teams!$B$2:$B$100)</f>
        <v>Rocco Neubert</v>
      </c>
      <c r="D7730" t="str">
        <f>_xlfn.XLOOKUP($B7730,sales_teams!$A$2:$A$36,sales_teams!C$2:C$36)</f>
        <v>East</v>
      </c>
      <c r="E7730" t="s">
        <v>48</v>
      </c>
      <c r="F7730" t="s">
        <v>215</v>
      </c>
      <c r="G7730" t="s">
        <v>12</v>
      </c>
      <c r="H7730" s="1">
        <v>43030</v>
      </c>
      <c r="I7730" s="1">
        <v>43032</v>
      </c>
      <c r="J7730">
        <v>5500</v>
      </c>
    </row>
    <row r="7731" spans="1:10" x14ac:dyDescent="0.3">
      <c r="A7731" t="s">
        <v>7862</v>
      </c>
      <c r="B7731" t="s">
        <v>202</v>
      </c>
      <c r="C7731" t="str">
        <f>_xlfn.XLOOKUP(B7731,
[1]sales_teams!$A$2:$A$100,
[1]sales_teams!$B$2:$B$100)</f>
        <v>Dustin Brinkmann</v>
      </c>
      <c r="D7731" t="str">
        <f>_xlfn.XLOOKUP($B7731,sales_teams!$A$2:$A$36,sales_teams!C$2:C$36)</f>
        <v>Central</v>
      </c>
      <c r="E7731" t="s">
        <v>39</v>
      </c>
      <c r="F7731" t="s">
        <v>207</v>
      </c>
      <c r="G7731" t="s">
        <v>12</v>
      </c>
      <c r="H7731" s="1">
        <v>43030</v>
      </c>
      <c r="I7731" s="1">
        <v>43032</v>
      </c>
      <c r="J7731">
        <v>3616</v>
      </c>
    </row>
    <row r="7732" spans="1:10" x14ac:dyDescent="0.3">
      <c r="A7732" t="s">
        <v>7863</v>
      </c>
      <c r="B7732" t="s">
        <v>164</v>
      </c>
      <c r="C7732" t="str">
        <f>_xlfn.XLOOKUP(B7732,
[1]sales_teams!$A$2:$A$100,
[1]sales_teams!$B$2:$B$100)</f>
        <v>Cara Losch</v>
      </c>
      <c r="D7732" t="str">
        <f>_xlfn.XLOOKUP($B7732,sales_teams!$A$2:$A$36,sales_teams!C$2:C$36)</f>
        <v>East</v>
      </c>
      <c r="E7732" t="s">
        <v>145</v>
      </c>
      <c r="F7732" t="s">
        <v>155</v>
      </c>
      <c r="G7732" t="s">
        <v>46</v>
      </c>
      <c r="H7732" s="1">
        <v>43030</v>
      </c>
      <c r="I7732" s="1">
        <v>43069</v>
      </c>
      <c r="J7732">
        <v>0</v>
      </c>
    </row>
    <row r="7733" spans="1:10" x14ac:dyDescent="0.3">
      <c r="A7733" t="s">
        <v>7864</v>
      </c>
      <c r="B7733" t="s">
        <v>64</v>
      </c>
      <c r="C7733" t="str">
        <f>_xlfn.XLOOKUP(B7733,
[1]sales_teams!$A$2:$A$100,
[1]sales_teams!$B$2:$B$100)</f>
        <v>Rocco Neubert</v>
      </c>
      <c r="D7733" t="str">
        <f>_xlfn.XLOOKUP($B7733,sales_teams!$A$2:$A$36,sales_teams!C$2:C$36)</f>
        <v>East</v>
      </c>
      <c r="E7733" t="s">
        <v>39</v>
      </c>
      <c r="F7733" t="s">
        <v>106</v>
      </c>
      <c r="G7733" t="s">
        <v>46</v>
      </c>
      <c r="H7733" s="1">
        <v>43030</v>
      </c>
      <c r="I7733" s="1">
        <v>43034</v>
      </c>
      <c r="J7733">
        <v>0</v>
      </c>
    </row>
    <row r="7734" spans="1:10" x14ac:dyDescent="0.3">
      <c r="A7734" t="s">
        <v>7865</v>
      </c>
      <c r="B7734" t="s">
        <v>14</v>
      </c>
      <c r="C7734" t="str">
        <f>_xlfn.XLOOKUP(B7734,
[1]sales_teams!$A$2:$A$100,
[1]sales_teams!$B$2:$B$100)</f>
        <v>Melvin Marxen</v>
      </c>
      <c r="D7734" t="str">
        <f>_xlfn.XLOOKUP($B7734,sales_teams!$A$2:$A$36,sales_teams!C$2:C$36)</f>
        <v>Central</v>
      </c>
      <c r="E7734" t="s">
        <v>10</v>
      </c>
      <c r="F7734" t="s">
        <v>126</v>
      </c>
      <c r="G7734" t="s">
        <v>12</v>
      </c>
      <c r="H7734" s="1">
        <v>43030</v>
      </c>
      <c r="I7734" s="1">
        <v>43098</v>
      </c>
      <c r="J7734">
        <v>1087</v>
      </c>
    </row>
    <row r="7735" spans="1:10" x14ac:dyDescent="0.3">
      <c r="A7735" t="s">
        <v>7866</v>
      </c>
      <c r="B7735" t="s">
        <v>14</v>
      </c>
      <c r="C7735" t="str">
        <f>_xlfn.XLOOKUP(B7735,
[1]sales_teams!$A$2:$A$100,
[1]sales_teams!$B$2:$B$100)</f>
        <v>Melvin Marxen</v>
      </c>
      <c r="D7735" t="str">
        <f>_xlfn.XLOOKUP($B7735,sales_teams!$A$2:$A$36,sales_teams!C$2:C$36)</f>
        <v>Central</v>
      </c>
      <c r="E7735" t="s">
        <v>15</v>
      </c>
      <c r="F7735" t="s">
        <v>318</v>
      </c>
      <c r="G7735" t="s">
        <v>12</v>
      </c>
      <c r="H7735" s="1">
        <v>43030</v>
      </c>
      <c r="I7735" s="1">
        <v>43038</v>
      </c>
      <c r="J7735">
        <v>3578</v>
      </c>
    </row>
    <row r="7736" spans="1:10" x14ac:dyDescent="0.3">
      <c r="A7736" t="s">
        <v>7867</v>
      </c>
      <c r="B7736" t="s">
        <v>67</v>
      </c>
      <c r="C7736" t="str">
        <f>_xlfn.XLOOKUP(B7736,
[1]sales_teams!$A$2:$A$100,
[1]sales_teams!$B$2:$B$100)</f>
        <v>Celia Rouche</v>
      </c>
      <c r="D7736" t="str">
        <f>_xlfn.XLOOKUP($B7736,sales_teams!$A$2:$A$36,sales_teams!C$2:C$36)</f>
        <v>West</v>
      </c>
      <c r="E7736" t="s">
        <v>20</v>
      </c>
      <c r="F7736" t="s">
        <v>55</v>
      </c>
      <c r="G7736" t="s">
        <v>12</v>
      </c>
      <c r="H7736" s="1">
        <v>43030</v>
      </c>
      <c r="I7736" s="1">
        <v>43037</v>
      </c>
      <c r="J7736">
        <v>544</v>
      </c>
    </row>
    <row r="7737" spans="1:10" x14ac:dyDescent="0.3">
      <c r="A7737" t="s">
        <v>7868</v>
      </c>
      <c r="B7737" t="s">
        <v>67</v>
      </c>
      <c r="C7737" t="str">
        <f>_xlfn.XLOOKUP(B7737,
[1]sales_teams!$A$2:$A$100,
[1]sales_teams!$B$2:$B$100)</f>
        <v>Celia Rouche</v>
      </c>
      <c r="D7737" t="str">
        <f>_xlfn.XLOOKUP($B7737,sales_teams!$A$2:$A$36,sales_teams!C$2:C$36)</f>
        <v>West</v>
      </c>
      <c r="E7737" t="s">
        <v>39</v>
      </c>
      <c r="F7737" t="s">
        <v>174</v>
      </c>
      <c r="G7737" t="s">
        <v>12</v>
      </c>
      <c r="H7737" s="1">
        <v>43030</v>
      </c>
      <c r="I7737" s="1">
        <v>43037</v>
      </c>
      <c r="J7737">
        <v>3082</v>
      </c>
    </row>
    <row r="7738" spans="1:10" x14ac:dyDescent="0.3">
      <c r="A7738" t="s">
        <v>7869</v>
      </c>
      <c r="B7738" t="s">
        <v>67</v>
      </c>
      <c r="C7738" t="str">
        <f>_xlfn.XLOOKUP(B7738,
[1]sales_teams!$A$2:$A$100,
[1]sales_teams!$B$2:$B$100)</f>
        <v>Celia Rouche</v>
      </c>
      <c r="D7738" t="str">
        <f>_xlfn.XLOOKUP($B7738,sales_teams!$A$2:$A$36,sales_teams!C$2:C$36)</f>
        <v>West</v>
      </c>
      <c r="E7738" t="s">
        <v>39</v>
      </c>
      <c r="F7738" t="s">
        <v>315</v>
      </c>
      <c r="G7738" t="s">
        <v>12</v>
      </c>
      <c r="H7738" s="1">
        <v>43030</v>
      </c>
      <c r="I7738" s="1">
        <v>43032</v>
      </c>
      <c r="J7738">
        <v>3450</v>
      </c>
    </row>
    <row r="7739" spans="1:10" x14ac:dyDescent="0.3">
      <c r="A7739" t="s">
        <v>7870</v>
      </c>
      <c r="B7739" t="s">
        <v>105</v>
      </c>
      <c r="C7739" t="str">
        <f>_xlfn.XLOOKUP(B7739,
[1]sales_teams!$A$2:$A$100,
[1]sales_teams!$B$2:$B$100)</f>
        <v>Cara Losch</v>
      </c>
      <c r="D7739" t="str">
        <f>_xlfn.XLOOKUP($B7739,sales_teams!$A$2:$A$36,sales_teams!C$2:C$36)</f>
        <v>East</v>
      </c>
      <c r="E7739" t="s">
        <v>15</v>
      </c>
      <c r="F7739" t="s">
        <v>155</v>
      </c>
      <c r="G7739" t="s">
        <v>12</v>
      </c>
      <c r="H7739" s="1">
        <v>43030</v>
      </c>
      <c r="I7739" s="1">
        <v>43037</v>
      </c>
      <c r="J7739">
        <v>5360</v>
      </c>
    </row>
    <row r="7740" spans="1:10" x14ac:dyDescent="0.3">
      <c r="A7740" t="s">
        <v>7871</v>
      </c>
      <c r="B7740" t="s">
        <v>38</v>
      </c>
      <c r="C7740" t="str">
        <f>_xlfn.XLOOKUP(B7740,
[1]sales_teams!$A$2:$A$100,
[1]sales_teams!$B$2:$B$100)</f>
        <v>Summer Sewald</v>
      </c>
      <c r="D7740" t="str">
        <f>_xlfn.XLOOKUP($B7740,sales_teams!$A$2:$A$36,sales_teams!C$2:C$36)</f>
        <v>West</v>
      </c>
      <c r="E7740" t="s">
        <v>15</v>
      </c>
      <c r="F7740" t="s">
        <v>33</v>
      </c>
      <c r="G7740" t="s">
        <v>12</v>
      </c>
      <c r="H7740" s="1">
        <v>43030</v>
      </c>
      <c r="I7740" s="1">
        <v>43040</v>
      </c>
      <c r="J7740">
        <v>4991</v>
      </c>
    </row>
    <row r="7741" spans="1:10" x14ac:dyDescent="0.3">
      <c r="A7741" t="s">
        <v>7872</v>
      </c>
      <c r="B7741" t="s">
        <v>38</v>
      </c>
      <c r="C7741" t="str">
        <f>_xlfn.XLOOKUP(B7741,
[1]sales_teams!$A$2:$A$100,
[1]sales_teams!$B$2:$B$100)</f>
        <v>Summer Sewald</v>
      </c>
      <c r="D7741" t="str">
        <f>_xlfn.XLOOKUP($B7741,sales_teams!$A$2:$A$36,sales_teams!C$2:C$36)</f>
        <v>West</v>
      </c>
      <c r="E7741" t="s">
        <v>39</v>
      </c>
      <c r="F7741" t="s">
        <v>33</v>
      </c>
      <c r="G7741" t="s">
        <v>12</v>
      </c>
      <c r="H7741" s="1">
        <v>43030</v>
      </c>
      <c r="I7741" s="1">
        <v>43038</v>
      </c>
      <c r="J7741">
        <v>3294</v>
      </c>
    </row>
    <row r="7742" spans="1:10" x14ac:dyDescent="0.3">
      <c r="A7742" t="s">
        <v>7873</v>
      </c>
      <c r="B7742" t="s">
        <v>252</v>
      </c>
      <c r="C7742" t="str">
        <f>_xlfn.XLOOKUP(B7742,
[1]sales_teams!$A$2:$A$100,
[1]sales_teams!$B$2:$B$100)</f>
        <v>Melvin Marxen</v>
      </c>
      <c r="D7742" t="str">
        <f>_xlfn.XLOOKUP($B7742,sales_teams!$A$2:$A$36,sales_teams!C$2:C$36)</f>
        <v>Central</v>
      </c>
      <c r="E7742" t="s">
        <v>10</v>
      </c>
      <c r="F7742" t="s">
        <v>120</v>
      </c>
      <c r="G7742" t="s">
        <v>46</v>
      </c>
      <c r="H7742" s="1">
        <v>43030</v>
      </c>
      <c r="I7742" s="1">
        <v>43038</v>
      </c>
      <c r="J7742">
        <v>0</v>
      </c>
    </row>
    <row r="7743" spans="1:10" x14ac:dyDescent="0.3">
      <c r="A7743" t="s">
        <v>7874</v>
      </c>
      <c r="B7743" t="s">
        <v>32</v>
      </c>
      <c r="C7743" t="str">
        <f>_xlfn.XLOOKUP(B7743,
[1]sales_teams!$A$2:$A$100,
[1]sales_teams!$B$2:$B$100)</f>
        <v>Celia Rouche</v>
      </c>
      <c r="D7743" t="str">
        <f>_xlfn.XLOOKUP($B7743,sales_teams!$A$2:$A$36,sales_teams!C$2:C$36)</f>
        <v>West</v>
      </c>
      <c r="E7743" t="s">
        <v>10</v>
      </c>
      <c r="F7743" t="s">
        <v>68</v>
      </c>
      <c r="G7743" t="s">
        <v>12</v>
      </c>
      <c r="H7743" s="1">
        <v>43030</v>
      </c>
      <c r="I7743" s="1">
        <v>43039</v>
      </c>
      <c r="J7743">
        <v>981</v>
      </c>
    </row>
    <row r="7744" spans="1:10" x14ac:dyDescent="0.3">
      <c r="A7744" t="s">
        <v>7875</v>
      </c>
      <c r="B7744" t="s">
        <v>116</v>
      </c>
      <c r="C7744" t="str">
        <f>_xlfn.XLOOKUP(B7744,
[1]sales_teams!$A$2:$A$100,
[1]sales_teams!$B$2:$B$100)</f>
        <v>Melvin Marxen</v>
      </c>
      <c r="D7744" t="str">
        <f>_xlfn.XLOOKUP($B7744,sales_teams!$A$2:$A$36,sales_teams!C$2:C$36)</f>
        <v>Central</v>
      </c>
      <c r="E7744" t="s">
        <v>10</v>
      </c>
      <c r="F7744" t="s">
        <v>16</v>
      </c>
      <c r="G7744" t="s">
        <v>46</v>
      </c>
      <c r="H7744" s="1">
        <v>43030</v>
      </c>
      <c r="I7744" s="1">
        <v>43042</v>
      </c>
      <c r="J7744">
        <v>0</v>
      </c>
    </row>
    <row r="7745" spans="1:10" x14ac:dyDescent="0.3">
      <c r="A7745" t="s">
        <v>7876</v>
      </c>
      <c r="B7745" t="s">
        <v>116</v>
      </c>
      <c r="C7745" t="str">
        <f>_xlfn.XLOOKUP(B7745,
[1]sales_teams!$A$2:$A$100,
[1]sales_teams!$B$2:$B$100)</f>
        <v>Melvin Marxen</v>
      </c>
      <c r="D7745" t="str">
        <f>_xlfn.XLOOKUP($B7745,sales_teams!$A$2:$A$36,sales_teams!C$2:C$36)</f>
        <v>Central</v>
      </c>
      <c r="E7745" t="s">
        <v>48</v>
      </c>
      <c r="F7745" t="s">
        <v>492</v>
      </c>
      <c r="G7745" t="s">
        <v>12</v>
      </c>
      <c r="H7745" s="1">
        <v>43030</v>
      </c>
      <c r="I7745" s="1">
        <v>43031</v>
      </c>
      <c r="J7745">
        <v>6233</v>
      </c>
    </row>
    <row r="7746" spans="1:10" x14ac:dyDescent="0.3">
      <c r="A7746" t="s">
        <v>7877</v>
      </c>
      <c r="B7746" t="s">
        <v>116</v>
      </c>
      <c r="C7746" t="str">
        <f>_xlfn.XLOOKUP(B7746,
[1]sales_teams!$A$2:$A$100,
[1]sales_teams!$B$2:$B$100)</f>
        <v>Melvin Marxen</v>
      </c>
      <c r="D7746" t="str">
        <f>_xlfn.XLOOKUP($B7746,sales_teams!$A$2:$A$36,sales_teams!C$2:C$36)</f>
        <v>Central</v>
      </c>
      <c r="E7746" t="s">
        <v>18</v>
      </c>
      <c r="F7746" t="s">
        <v>207</v>
      </c>
      <c r="G7746" t="s">
        <v>12</v>
      </c>
      <c r="H7746" s="1">
        <v>43030</v>
      </c>
      <c r="I7746" s="1">
        <v>43067</v>
      </c>
      <c r="J7746">
        <v>55</v>
      </c>
    </row>
    <row r="7747" spans="1:10" x14ac:dyDescent="0.3">
      <c r="A7747" t="s">
        <v>7878</v>
      </c>
      <c r="B7747" t="s">
        <v>35</v>
      </c>
      <c r="C7747" t="str">
        <f>_xlfn.XLOOKUP(B7747,
[1]sales_teams!$A$2:$A$100,
[1]sales_teams!$B$2:$B$100)</f>
        <v>Melvin Marxen</v>
      </c>
      <c r="D7747" t="str">
        <f>_xlfn.XLOOKUP($B7747,sales_teams!$A$2:$A$36,sales_teams!C$2:C$36)</f>
        <v>Central</v>
      </c>
      <c r="E7747" t="s">
        <v>18</v>
      </c>
      <c r="F7747" t="s">
        <v>213</v>
      </c>
      <c r="G7747" t="s">
        <v>46</v>
      </c>
      <c r="H7747" s="1">
        <v>43030</v>
      </c>
      <c r="I7747" s="1">
        <v>43036</v>
      </c>
      <c r="J7747">
        <v>0</v>
      </c>
    </row>
    <row r="7748" spans="1:10" x14ac:dyDescent="0.3">
      <c r="A7748" t="s">
        <v>7879</v>
      </c>
      <c r="B7748" t="s">
        <v>35</v>
      </c>
      <c r="C7748" t="str">
        <f>_xlfn.XLOOKUP(B7748,
[1]sales_teams!$A$2:$A$100,
[1]sales_teams!$B$2:$B$100)</f>
        <v>Melvin Marxen</v>
      </c>
      <c r="D7748" t="str">
        <f>_xlfn.XLOOKUP($B7748,sales_teams!$A$2:$A$36,sales_teams!C$2:C$36)</f>
        <v>Central</v>
      </c>
      <c r="E7748" t="s">
        <v>48</v>
      </c>
      <c r="F7748" t="s">
        <v>120</v>
      </c>
      <c r="G7748" t="s">
        <v>12</v>
      </c>
      <c r="H7748" s="1">
        <v>43030</v>
      </c>
      <c r="I7748" s="1">
        <v>43079</v>
      </c>
      <c r="J7748">
        <v>6142</v>
      </c>
    </row>
    <row r="7749" spans="1:10" x14ac:dyDescent="0.3">
      <c r="A7749" t="s">
        <v>7880</v>
      </c>
      <c r="B7749" t="s">
        <v>57</v>
      </c>
      <c r="C7749" t="str">
        <f>_xlfn.XLOOKUP(B7749,
[1]sales_teams!$A$2:$A$100,
[1]sales_teams!$B$2:$B$100)</f>
        <v>Celia Rouche</v>
      </c>
      <c r="D7749" t="str">
        <f>_xlfn.XLOOKUP($B7749,sales_teams!$A$2:$A$36,sales_teams!C$2:C$36)</f>
        <v>West</v>
      </c>
      <c r="E7749" t="s">
        <v>20</v>
      </c>
      <c r="G7749" t="s">
        <v>40</v>
      </c>
      <c r="H7749" s="1">
        <v>43030</v>
      </c>
    </row>
    <row r="7750" spans="1:10" x14ac:dyDescent="0.3">
      <c r="A7750" t="s">
        <v>7881</v>
      </c>
      <c r="B7750" t="s">
        <v>57</v>
      </c>
      <c r="C7750" t="str">
        <f>_xlfn.XLOOKUP(B7750,
[1]sales_teams!$A$2:$A$100,
[1]sales_teams!$B$2:$B$100)</f>
        <v>Celia Rouche</v>
      </c>
      <c r="D7750" t="str">
        <f>_xlfn.XLOOKUP($B7750,sales_teams!$A$2:$A$36,sales_teams!C$2:C$36)</f>
        <v>West</v>
      </c>
      <c r="E7750" t="s">
        <v>18</v>
      </c>
      <c r="F7750" t="s">
        <v>122</v>
      </c>
      <c r="G7750" t="s">
        <v>46</v>
      </c>
      <c r="H7750" s="1">
        <v>43030</v>
      </c>
      <c r="I7750" s="1">
        <v>43037</v>
      </c>
      <c r="J7750">
        <v>0</v>
      </c>
    </row>
    <row r="7751" spans="1:10" x14ac:dyDescent="0.3">
      <c r="A7751" t="s">
        <v>7882</v>
      </c>
      <c r="B7751" t="s">
        <v>88</v>
      </c>
      <c r="C7751" t="str">
        <f>_xlfn.XLOOKUP(B7751,
[1]sales_teams!$A$2:$A$100,
[1]sales_teams!$B$2:$B$100)</f>
        <v>Cara Losch</v>
      </c>
      <c r="D7751" t="str">
        <f>_xlfn.XLOOKUP($B7751,sales_teams!$A$2:$A$36,sales_teams!C$2:C$36)</f>
        <v>East</v>
      </c>
      <c r="E7751" t="s">
        <v>10</v>
      </c>
      <c r="F7751" t="s">
        <v>189</v>
      </c>
      <c r="G7751" t="s">
        <v>46</v>
      </c>
      <c r="H7751" s="1">
        <v>43030</v>
      </c>
      <c r="I7751" s="1">
        <v>43075</v>
      </c>
      <c r="J7751">
        <v>0</v>
      </c>
    </row>
    <row r="7752" spans="1:10" x14ac:dyDescent="0.3">
      <c r="A7752" t="s">
        <v>7883</v>
      </c>
      <c r="B7752" t="s">
        <v>29</v>
      </c>
      <c r="C7752" t="str">
        <f>_xlfn.XLOOKUP(B7752,
[1]sales_teams!$A$2:$A$100,
[1]sales_teams!$B$2:$B$100)</f>
        <v>Celia Rouche</v>
      </c>
      <c r="D7752" t="str">
        <f>_xlfn.XLOOKUP($B7752,sales_teams!$A$2:$A$36,sales_teams!C$2:C$36)</f>
        <v>West</v>
      </c>
      <c r="E7752" t="s">
        <v>15</v>
      </c>
      <c r="F7752" t="s">
        <v>24</v>
      </c>
      <c r="G7752" t="s">
        <v>12</v>
      </c>
      <c r="H7752" s="1">
        <v>43030</v>
      </c>
      <c r="I7752" s="1">
        <v>43036</v>
      </c>
      <c r="J7752">
        <v>5190</v>
      </c>
    </row>
    <row r="7753" spans="1:10" x14ac:dyDescent="0.3">
      <c r="A7753" t="s">
        <v>7884</v>
      </c>
      <c r="B7753" t="s">
        <v>118</v>
      </c>
      <c r="C7753" t="str">
        <f>_xlfn.XLOOKUP(B7753,
[1]sales_teams!$A$2:$A$100,
[1]sales_teams!$B$2:$B$100)</f>
        <v>Rocco Neubert</v>
      </c>
      <c r="D7753" t="str">
        <f>_xlfn.XLOOKUP($B7753,sales_teams!$A$2:$A$36,sales_teams!C$2:C$36)</f>
        <v>East</v>
      </c>
      <c r="E7753" t="s">
        <v>39</v>
      </c>
      <c r="F7753" t="s">
        <v>240</v>
      </c>
      <c r="G7753" t="s">
        <v>46</v>
      </c>
      <c r="H7753" s="1">
        <v>43031</v>
      </c>
      <c r="I7753" s="1">
        <v>43033</v>
      </c>
      <c r="J7753">
        <v>0</v>
      </c>
    </row>
    <row r="7754" spans="1:10" x14ac:dyDescent="0.3">
      <c r="A7754" t="s">
        <v>7885</v>
      </c>
      <c r="B7754" t="s">
        <v>118</v>
      </c>
      <c r="C7754" t="str">
        <f>_xlfn.XLOOKUP(B7754,
[1]sales_teams!$A$2:$A$100,
[1]sales_teams!$B$2:$B$100)</f>
        <v>Rocco Neubert</v>
      </c>
      <c r="D7754" t="str">
        <f>_xlfn.XLOOKUP($B7754,sales_teams!$A$2:$A$36,sales_teams!C$2:C$36)</f>
        <v>East</v>
      </c>
      <c r="E7754" t="s">
        <v>10</v>
      </c>
      <c r="F7754" t="s">
        <v>237</v>
      </c>
      <c r="G7754" t="s">
        <v>12</v>
      </c>
      <c r="H7754" s="1">
        <v>43031</v>
      </c>
      <c r="I7754" s="1">
        <v>43040</v>
      </c>
      <c r="J7754">
        <v>1027</v>
      </c>
    </row>
    <row r="7755" spans="1:10" x14ac:dyDescent="0.3">
      <c r="A7755" t="s">
        <v>7886</v>
      </c>
      <c r="B7755" t="s">
        <v>14</v>
      </c>
      <c r="C7755" t="str">
        <f>_xlfn.XLOOKUP(B7755,
[1]sales_teams!$A$2:$A$100,
[1]sales_teams!$B$2:$B$100)</f>
        <v>Melvin Marxen</v>
      </c>
      <c r="D7755" t="str">
        <f>_xlfn.XLOOKUP($B7755,sales_teams!$A$2:$A$36,sales_teams!C$2:C$36)</f>
        <v>Central</v>
      </c>
      <c r="E7755" t="s">
        <v>10</v>
      </c>
      <c r="F7755" t="s">
        <v>197</v>
      </c>
      <c r="G7755" t="s">
        <v>12</v>
      </c>
      <c r="H7755" s="1">
        <v>43031</v>
      </c>
      <c r="I7755" s="1">
        <v>43039</v>
      </c>
      <c r="J7755">
        <v>1237</v>
      </c>
    </row>
    <row r="7756" spans="1:10" x14ac:dyDescent="0.3">
      <c r="A7756" t="s">
        <v>7887</v>
      </c>
      <c r="B7756" t="s">
        <v>14</v>
      </c>
      <c r="C7756" t="str">
        <f>_xlfn.XLOOKUP(B7756,
[1]sales_teams!$A$2:$A$100,
[1]sales_teams!$B$2:$B$100)</f>
        <v>Melvin Marxen</v>
      </c>
      <c r="D7756" t="str">
        <f>_xlfn.XLOOKUP($B7756,sales_teams!$A$2:$A$36,sales_teams!C$2:C$36)</f>
        <v>Central</v>
      </c>
      <c r="E7756" t="s">
        <v>10</v>
      </c>
      <c r="F7756" t="s">
        <v>492</v>
      </c>
      <c r="G7756" t="s">
        <v>12</v>
      </c>
      <c r="H7756" s="1">
        <v>43031</v>
      </c>
      <c r="I7756" s="1">
        <v>43037</v>
      </c>
      <c r="J7756">
        <v>965</v>
      </c>
    </row>
    <row r="7757" spans="1:10" x14ac:dyDescent="0.3">
      <c r="A7757" t="s">
        <v>7888</v>
      </c>
      <c r="B7757" t="s">
        <v>14</v>
      </c>
      <c r="C7757" t="str">
        <f>_xlfn.XLOOKUP(B7757,
[1]sales_teams!$A$2:$A$100,
[1]sales_teams!$B$2:$B$100)</f>
        <v>Melvin Marxen</v>
      </c>
      <c r="D7757" t="str">
        <f>_xlfn.XLOOKUP($B7757,sales_teams!$A$2:$A$36,sales_teams!C$2:C$36)</f>
        <v>Central</v>
      </c>
      <c r="E7757" t="s">
        <v>15</v>
      </c>
      <c r="F7757" t="s">
        <v>318</v>
      </c>
      <c r="G7757" t="s">
        <v>12</v>
      </c>
      <c r="H7757" s="1">
        <v>43031</v>
      </c>
      <c r="I7757" s="1">
        <v>43042</v>
      </c>
      <c r="J7757">
        <v>5729</v>
      </c>
    </row>
    <row r="7758" spans="1:10" x14ac:dyDescent="0.3">
      <c r="A7758" t="s">
        <v>7889</v>
      </c>
      <c r="B7758" t="s">
        <v>14</v>
      </c>
      <c r="C7758" t="str">
        <f>_xlfn.XLOOKUP(B7758,
[1]sales_teams!$A$2:$A$100,
[1]sales_teams!$B$2:$B$100)</f>
        <v>Melvin Marxen</v>
      </c>
      <c r="D7758" t="str">
        <f>_xlfn.XLOOKUP($B7758,sales_teams!$A$2:$A$36,sales_teams!C$2:C$36)</f>
        <v>Central</v>
      </c>
      <c r="E7758" t="s">
        <v>15</v>
      </c>
      <c r="F7758" t="s">
        <v>16</v>
      </c>
      <c r="G7758" t="s">
        <v>12</v>
      </c>
      <c r="H7758" s="1">
        <v>43031</v>
      </c>
      <c r="I7758" s="1">
        <v>43032</v>
      </c>
      <c r="J7758">
        <v>5685</v>
      </c>
    </row>
    <row r="7759" spans="1:10" x14ac:dyDescent="0.3">
      <c r="A7759" t="s">
        <v>7890</v>
      </c>
      <c r="B7759" t="s">
        <v>14</v>
      </c>
      <c r="C7759" t="str">
        <f>_xlfn.XLOOKUP(B7759,
[1]sales_teams!$A$2:$A$100,
[1]sales_teams!$B$2:$B$100)</f>
        <v>Melvin Marxen</v>
      </c>
      <c r="D7759" t="str">
        <f>_xlfn.XLOOKUP($B7759,sales_teams!$A$2:$A$36,sales_teams!C$2:C$36)</f>
        <v>Central</v>
      </c>
      <c r="E7759" t="s">
        <v>15</v>
      </c>
      <c r="F7759" t="s">
        <v>126</v>
      </c>
      <c r="G7759" t="s">
        <v>12</v>
      </c>
      <c r="H7759" s="1">
        <v>43031</v>
      </c>
      <c r="I7759" s="1">
        <v>43034</v>
      </c>
      <c r="J7759">
        <v>4024</v>
      </c>
    </row>
    <row r="7760" spans="1:10" x14ac:dyDescent="0.3">
      <c r="A7760" t="s">
        <v>7891</v>
      </c>
      <c r="B7760" t="s">
        <v>142</v>
      </c>
      <c r="C7760" t="str">
        <f>_xlfn.XLOOKUP(B7760,
[1]sales_teams!$A$2:$A$100,
[1]sales_teams!$B$2:$B$100)</f>
        <v>Rocco Neubert</v>
      </c>
      <c r="D7760" t="str">
        <f>_xlfn.XLOOKUP($B7760,sales_teams!$A$2:$A$36,sales_teams!C$2:C$36)</f>
        <v>East</v>
      </c>
      <c r="E7760" t="s">
        <v>20</v>
      </c>
      <c r="F7760" t="s">
        <v>143</v>
      </c>
      <c r="G7760" t="s">
        <v>12</v>
      </c>
      <c r="H7760" s="1">
        <v>43031</v>
      </c>
      <c r="I7760" s="1">
        <v>43081</v>
      </c>
      <c r="J7760">
        <v>511</v>
      </c>
    </row>
    <row r="7761" spans="1:10" x14ac:dyDescent="0.3">
      <c r="A7761" t="s">
        <v>7892</v>
      </c>
      <c r="B7761" t="s">
        <v>67</v>
      </c>
      <c r="C7761" t="str">
        <f>_xlfn.XLOOKUP(B7761,
[1]sales_teams!$A$2:$A$100,
[1]sales_teams!$B$2:$B$100)</f>
        <v>Celia Rouche</v>
      </c>
      <c r="D7761" t="str">
        <f>_xlfn.XLOOKUP($B7761,sales_teams!$A$2:$A$36,sales_teams!C$2:C$36)</f>
        <v>West</v>
      </c>
      <c r="E7761" t="s">
        <v>48</v>
      </c>
      <c r="F7761" t="s">
        <v>52</v>
      </c>
      <c r="G7761" t="s">
        <v>46</v>
      </c>
      <c r="H7761" s="1">
        <v>43031</v>
      </c>
      <c r="I7761" s="1">
        <v>43038</v>
      </c>
      <c r="J7761">
        <v>0</v>
      </c>
    </row>
    <row r="7762" spans="1:10" x14ac:dyDescent="0.3">
      <c r="A7762" t="s">
        <v>7893</v>
      </c>
      <c r="B7762" t="s">
        <v>105</v>
      </c>
      <c r="C7762" t="str">
        <f>_xlfn.XLOOKUP(B7762,
[1]sales_teams!$A$2:$A$100,
[1]sales_teams!$B$2:$B$100)</f>
        <v>Cara Losch</v>
      </c>
      <c r="D7762" t="str">
        <f>_xlfn.XLOOKUP($B7762,sales_teams!$A$2:$A$36,sales_teams!C$2:C$36)</f>
        <v>East</v>
      </c>
      <c r="E7762" t="s">
        <v>15</v>
      </c>
      <c r="F7762" t="s">
        <v>177</v>
      </c>
      <c r="G7762" t="s">
        <v>46</v>
      </c>
      <c r="H7762" s="1">
        <v>43031</v>
      </c>
      <c r="I7762" s="1">
        <v>43043</v>
      </c>
      <c r="J7762">
        <v>0</v>
      </c>
    </row>
    <row r="7763" spans="1:10" x14ac:dyDescent="0.3">
      <c r="A7763" t="s">
        <v>7894</v>
      </c>
      <c r="B7763" t="s">
        <v>44</v>
      </c>
      <c r="C7763" t="str">
        <f>_xlfn.XLOOKUP(B7763,
[1]sales_teams!$A$2:$A$100,
[1]sales_teams!$B$2:$B$100)</f>
        <v>Melvin Marxen</v>
      </c>
      <c r="D7763" t="str">
        <f>_xlfn.XLOOKUP($B7763,sales_teams!$A$2:$A$36,sales_teams!C$2:C$36)</f>
        <v>Central</v>
      </c>
      <c r="E7763" t="s">
        <v>39</v>
      </c>
      <c r="F7763" t="s">
        <v>111</v>
      </c>
      <c r="G7763" t="s">
        <v>46</v>
      </c>
      <c r="H7763" s="1">
        <v>43031</v>
      </c>
      <c r="I7763" s="1">
        <v>43032</v>
      </c>
      <c r="J7763">
        <v>0</v>
      </c>
    </row>
    <row r="7764" spans="1:10" x14ac:dyDescent="0.3">
      <c r="A7764" t="s">
        <v>7895</v>
      </c>
      <c r="B7764" t="s">
        <v>95</v>
      </c>
      <c r="C7764" t="str">
        <f>_xlfn.XLOOKUP(B7764,
[1]sales_teams!$A$2:$A$100,
[1]sales_teams!$B$2:$B$100)</f>
        <v>Summer Sewald</v>
      </c>
      <c r="D7764" t="str">
        <f>_xlfn.XLOOKUP($B7764,sales_teams!$A$2:$A$36,sales_teams!C$2:C$36)</f>
        <v>West</v>
      </c>
      <c r="E7764" t="s">
        <v>48</v>
      </c>
      <c r="F7764" t="s">
        <v>151</v>
      </c>
      <c r="G7764" t="s">
        <v>40</v>
      </c>
      <c r="H7764" s="1">
        <v>43031</v>
      </c>
    </row>
    <row r="7765" spans="1:10" x14ac:dyDescent="0.3">
      <c r="A7765" t="s">
        <v>7896</v>
      </c>
      <c r="B7765" t="s">
        <v>95</v>
      </c>
      <c r="C7765" t="str">
        <f>_xlfn.XLOOKUP(B7765,
[1]sales_teams!$A$2:$A$100,
[1]sales_teams!$B$2:$B$100)</f>
        <v>Summer Sewald</v>
      </c>
      <c r="D7765" t="str">
        <f>_xlfn.XLOOKUP($B7765,sales_teams!$A$2:$A$36,sales_teams!C$2:C$36)</f>
        <v>West</v>
      </c>
      <c r="E7765" t="s">
        <v>15</v>
      </c>
      <c r="F7765" t="s">
        <v>159</v>
      </c>
      <c r="G7765" t="s">
        <v>12</v>
      </c>
      <c r="H7765" s="1">
        <v>43031</v>
      </c>
      <c r="I7765" s="1">
        <v>43044</v>
      </c>
      <c r="J7765">
        <v>4382</v>
      </c>
    </row>
    <row r="7766" spans="1:10" x14ac:dyDescent="0.3">
      <c r="A7766" t="s">
        <v>7897</v>
      </c>
      <c r="B7766" t="s">
        <v>116</v>
      </c>
      <c r="C7766" t="str">
        <f>_xlfn.XLOOKUP(B7766,
[1]sales_teams!$A$2:$A$100,
[1]sales_teams!$B$2:$B$100)</f>
        <v>Melvin Marxen</v>
      </c>
      <c r="D7766" t="str">
        <f>_xlfn.XLOOKUP($B7766,sales_teams!$A$2:$A$36,sales_teams!C$2:C$36)</f>
        <v>Central</v>
      </c>
      <c r="E7766" t="s">
        <v>10</v>
      </c>
      <c r="F7766" t="s">
        <v>135</v>
      </c>
      <c r="G7766" t="s">
        <v>46</v>
      </c>
      <c r="H7766" s="1">
        <v>43031</v>
      </c>
      <c r="I7766" s="1">
        <v>43058</v>
      </c>
      <c r="J7766">
        <v>0</v>
      </c>
    </row>
    <row r="7767" spans="1:10" x14ac:dyDescent="0.3">
      <c r="A7767" t="s">
        <v>7898</v>
      </c>
      <c r="B7767" t="s">
        <v>116</v>
      </c>
      <c r="C7767" t="str">
        <f>_xlfn.XLOOKUP(B7767,
[1]sales_teams!$A$2:$A$100,
[1]sales_teams!$B$2:$B$100)</f>
        <v>Melvin Marxen</v>
      </c>
      <c r="D7767" t="str">
        <f>_xlfn.XLOOKUP($B7767,sales_teams!$A$2:$A$36,sales_teams!C$2:C$36)</f>
        <v>Central</v>
      </c>
      <c r="E7767" t="s">
        <v>48</v>
      </c>
      <c r="F7767" t="s">
        <v>62</v>
      </c>
      <c r="G7767" t="s">
        <v>12</v>
      </c>
      <c r="H7767" s="1">
        <v>43031</v>
      </c>
      <c r="I7767" s="1">
        <v>43038</v>
      </c>
      <c r="J7767">
        <v>5516</v>
      </c>
    </row>
    <row r="7768" spans="1:10" x14ac:dyDescent="0.3">
      <c r="A7768" t="s">
        <v>7899</v>
      </c>
      <c r="B7768" t="s">
        <v>61</v>
      </c>
      <c r="C7768" t="str">
        <f>_xlfn.XLOOKUP(B7768,
[1]sales_teams!$A$2:$A$100,
[1]sales_teams!$B$2:$B$100)</f>
        <v>Dustin Brinkmann</v>
      </c>
      <c r="D7768" t="str">
        <f>_xlfn.XLOOKUP($B7768,sales_teams!$A$2:$A$36,sales_teams!C$2:C$36)</f>
        <v>Central</v>
      </c>
      <c r="E7768" t="s">
        <v>48</v>
      </c>
      <c r="F7768" t="s">
        <v>129</v>
      </c>
      <c r="G7768" t="s">
        <v>46</v>
      </c>
      <c r="H7768" s="1">
        <v>43031</v>
      </c>
      <c r="I7768" s="1">
        <v>43045</v>
      </c>
      <c r="J7768">
        <v>0</v>
      </c>
    </row>
    <row r="7769" spans="1:10" x14ac:dyDescent="0.3">
      <c r="A7769" t="s">
        <v>7900</v>
      </c>
      <c r="B7769" t="s">
        <v>29</v>
      </c>
      <c r="C7769" t="str">
        <f>_xlfn.XLOOKUP(B7769,
[1]sales_teams!$A$2:$A$100,
[1]sales_teams!$B$2:$B$100)</f>
        <v>Celia Rouche</v>
      </c>
      <c r="D7769" t="str">
        <f>_xlfn.XLOOKUP($B7769,sales_teams!$A$2:$A$36,sales_teams!C$2:C$36)</f>
        <v>West</v>
      </c>
      <c r="E7769" t="s">
        <v>48</v>
      </c>
      <c r="G7769" t="s">
        <v>40</v>
      </c>
      <c r="H7769" s="1">
        <v>43031</v>
      </c>
    </row>
    <row r="7770" spans="1:10" x14ac:dyDescent="0.3">
      <c r="A7770" t="s">
        <v>7901</v>
      </c>
      <c r="B7770" t="s">
        <v>29</v>
      </c>
      <c r="C7770" t="str">
        <f>_xlfn.XLOOKUP(B7770,
[1]sales_teams!$A$2:$A$100,
[1]sales_teams!$B$2:$B$100)</f>
        <v>Celia Rouche</v>
      </c>
      <c r="D7770" t="str">
        <f>_xlfn.XLOOKUP($B7770,sales_teams!$A$2:$A$36,sales_teams!C$2:C$36)</f>
        <v>West</v>
      </c>
      <c r="E7770" t="s">
        <v>15</v>
      </c>
      <c r="F7770" t="s">
        <v>68</v>
      </c>
      <c r="G7770" t="s">
        <v>46</v>
      </c>
      <c r="H7770" s="1">
        <v>43031</v>
      </c>
      <c r="I7770" s="1">
        <v>43032</v>
      </c>
      <c r="J7770">
        <v>0</v>
      </c>
    </row>
    <row r="7771" spans="1:10" x14ac:dyDescent="0.3">
      <c r="A7771" t="s">
        <v>7902</v>
      </c>
      <c r="B7771" t="s">
        <v>29</v>
      </c>
      <c r="C7771" t="str">
        <f>_xlfn.XLOOKUP(B7771,
[1]sales_teams!$A$2:$A$100,
[1]sales_teams!$B$2:$B$100)</f>
        <v>Celia Rouche</v>
      </c>
      <c r="D7771" t="str">
        <f>_xlfn.XLOOKUP($B7771,sales_teams!$A$2:$A$36,sales_teams!C$2:C$36)</f>
        <v>West</v>
      </c>
      <c r="E7771" t="s">
        <v>18</v>
      </c>
      <c r="F7771" t="s">
        <v>218</v>
      </c>
      <c r="G7771" t="s">
        <v>12</v>
      </c>
      <c r="H7771" s="1">
        <v>43031</v>
      </c>
      <c r="I7771" s="1">
        <v>43097</v>
      </c>
      <c r="J7771">
        <v>51</v>
      </c>
    </row>
    <row r="7772" spans="1:10" x14ac:dyDescent="0.3">
      <c r="A7772" t="s">
        <v>7903</v>
      </c>
      <c r="B7772" t="s">
        <v>23</v>
      </c>
      <c r="C7772" t="str">
        <f>_xlfn.XLOOKUP(B7772,
[1]sales_teams!$A$2:$A$100,
[1]sales_teams!$B$2:$B$100)</f>
        <v>Summer Sewald</v>
      </c>
      <c r="D7772" t="str">
        <f>_xlfn.XLOOKUP($B7772,sales_teams!$A$2:$A$36,sales_teams!C$2:C$36)</f>
        <v>West</v>
      </c>
      <c r="E7772" t="s">
        <v>10</v>
      </c>
      <c r="F7772" t="s">
        <v>398</v>
      </c>
      <c r="G7772" t="s">
        <v>46</v>
      </c>
      <c r="H7772" s="1">
        <v>43031</v>
      </c>
      <c r="I7772" s="1">
        <v>43036</v>
      </c>
      <c r="J7772">
        <v>0</v>
      </c>
    </row>
    <row r="7773" spans="1:10" x14ac:dyDescent="0.3">
      <c r="A7773" t="s">
        <v>7904</v>
      </c>
      <c r="B7773" t="s">
        <v>23</v>
      </c>
      <c r="C7773" t="str">
        <f>_xlfn.XLOOKUP(B7773,
[1]sales_teams!$A$2:$A$100,
[1]sales_teams!$B$2:$B$100)</f>
        <v>Summer Sewald</v>
      </c>
      <c r="D7773" t="str">
        <f>_xlfn.XLOOKUP($B7773,sales_teams!$A$2:$A$36,sales_teams!C$2:C$36)</f>
        <v>West</v>
      </c>
      <c r="E7773" t="s">
        <v>10</v>
      </c>
      <c r="F7773" t="s">
        <v>155</v>
      </c>
      <c r="G7773" t="s">
        <v>12</v>
      </c>
      <c r="H7773" s="1">
        <v>43031</v>
      </c>
      <c r="I7773" s="1">
        <v>43039</v>
      </c>
      <c r="J7773">
        <v>1195</v>
      </c>
    </row>
    <row r="7774" spans="1:10" x14ac:dyDescent="0.3">
      <c r="A7774" t="s">
        <v>7905</v>
      </c>
      <c r="B7774" t="s">
        <v>139</v>
      </c>
      <c r="C7774" t="str">
        <f>_xlfn.XLOOKUP(B7774,
[1]sales_teams!$A$2:$A$100,
[1]sales_teams!$B$2:$B$100)</f>
        <v>Rocco Neubert</v>
      </c>
      <c r="D7774" t="str">
        <f>_xlfn.XLOOKUP($B7774,sales_teams!$A$2:$A$36,sales_teams!C$2:C$36)</f>
        <v>East</v>
      </c>
      <c r="E7774" t="s">
        <v>10</v>
      </c>
      <c r="F7774" t="s">
        <v>106</v>
      </c>
      <c r="G7774" t="s">
        <v>46</v>
      </c>
      <c r="H7774" s="1">
        <v>43032</v>
      </c>
      <c r="I7774" s="1">
        <v>43034</v>
      </c>
      <c r="J7774">
        <v>0</v>
      </c>
    </row>
    <row r="7775" spans="1:10" x14ac:dyDescent="0.3">
      <c r="A7775" t="s">
        <v>7906</v>
      </c>
      <c r="B7775" t="s">
        <v>118</v>
      </c>
      <c r="C7775" t="str">
        <f>_xlfn.XLOOKUP(B7775,
[1]sales_teams!$A$2:$A$100,
[1]sales_teams!$B$2:$B$100)</f>
        <v>Rocco Neubert</v>
      </c>
      <c r="D7775" t="str">
        <f>_xlfn.XLOOKUP($B7775,sales_teams!$A$2:$A$36,sales_teams!C$2:C$36)</f>
        <v>East</v>
      </c>
      <c r="E7775" t="s">
        <v>48</v>
      </c>
      <c r="F7775" t="s">
        <v>143</v>
      </c>
      <c r="G7775" t="s">
        <v>46</v>
      </c>
      <c r="H7775" s="1">
        <v>43032</v>
      </c>
      <c r="I7775" s="1">
        <v>43033</v>
      </c>
      <c r="J7775">
        <v>0</v>
      </c>
    </row>
    <row r="7776" spans="1:10" x14ac:dyDescent="0.3">
      <c r="A7776" t="s">
        <v>7907</v>
      </c>
      <c r="B7776" t="s">
        <v>118</v>
      </c>
      <c r="C7776" t="str">
        <f>_xlfn.XLOOKUP(B7776,
[1]sales_teams!$A$2:$A$100,
[1]sales_teams!$B$2:$B$100)</f>
        <v>Rocco Neubert</v>
      </c>
      <c r="D7776" t="str">
        <f>_xlfn.XLOOKUP($B7776,sales_teams!$A$2:$A$36,sales_teams!C$2:C$36)</f>
        <v>East</v>
      </c>
      <c r="E7776" t="s">
        <v>39</v>
      </c>
      <c r="F7776" t="s">
        <v>179</v>
      </c>
      <c r="G7776" t="s">
        <v>12</v>
      </c>
      <c r="H7776" s="1">
        <v>43032</v>
      </c>
      <c r="I7776" s="1">
        <v>43041</v>
      </c>
      <c r="J7776">
        <v>3588</v>
      </c>
    </row>
    <row r="7777" spans="1:10" x14ac:dyDescent="0.3">
      <c r="A7777" t="s">
        <v>7908</v>
      </c>
      <c r="B7777" t="s">
        <v>164</v>
      </c>
      <c r="C7777" t="str">
        <f>_xlfn.XLOOKUP(B7777,
[1]sales_teams!$A$2:$A$100,
[1]sales_teams!$B$2:$B$100)</f>
        <v>Cara Losch</v>
      </c>
      <c r="D7777" t="str">
        <f>_xlfn.XLOOKUP($B7777,sales_teams!$A$2:$A$36,sales_teams!C$2:C$36)</f>
        <v>East</v>
      </c>
      <c r="E7777" t="s">
        <v>18</v>
      </c>
      <c r="G7777" t="s">
        <v>40</v>
      </c>
      <c r="H7777" s="1">
        <v>43032</v>
      </c>
    </row>
    <row r="7778" spans="1:10" x14ac:dyDescent="0.3">
      <c r="A7778" t="s">
        <v>7909</v>
      </c>
      <c r="B7778" t="s">
        <v>64</v>
      </c>
      <c r="C7778" t="str">
        <f>_xlfn.XLOOKUP(B7778,
[1]sales_teams!$A$2:$A$100,
[1]sales_teams!$B$2:$B$100)</f>
        <v>Rocco Neubert</v>
      </c>
      <c r="D7778" t="str">
        <f>_xlfn.XLOOKUP($B7778,sales_teams!$A$2:$A$36,sales_teams!C$2:C$36)</f>
        <v>East</v>
      </c>
      <c r="E7778" t="s">
        <v>10</v>
      </c>
      <c r="F7778" t="s">
        <v>222</v>
      </c>
      <c r="G7778" t="s">
        <v>46</v>
      </c>
      <c r="H7778" s="1">
        <v>43032</v>
      </c>
      <c r="I7778" s="1">
        <v>43037</v>
      </c>
      <c r="J7778">
        <v>0</v>
      </c>
    </row>
    <row r="7779" spans="1:10" x14ac:dyDescent="0.3">
      <c r="A7779" t="s">
        <v>7910</v>
      </c>
      <c r="B7779" t="s">
        <v>14</v>
      </c>
      <c r="C7779" t="str">
        <f>_xlfn.XLOOKUP(B7779,
[1]sales_teams!$A$2:$A$100,
[1]sales_teams!$B$2:$B$100)</f>
        <v>Melvin Marxen</v>
      </c>
      <c r="D7779" t="str">
        <f>_xlfn.XLOOKUP($B7779,sales_teams!$A$2:$A$36,sales_teams!C$2:C$36)</f>
        <v>Central</v>
      </c>
      <c r="E7779" t="s">
        <v>10</v>
      </c>
      <c r="F7779" t="s">
        <v>21</v>
      </c>
      <c r="G7779" t="s">
        <v>46</v>
      </c>
      <c r="H7779" s="1">
        <v>43032</v>
      </c>
      <c r="I7779" s="1">
        <v>43047</v>
      </c>
      <c r="J7779">
        <v>0</v>
      </c>
    </row>
    <row r="7780" spans="1:10" x14ac:dyDescent="0.3">
      <c r="A7780" t="s">
        <v>7911</v>
      </c>
      <c r="B7780" t="s">
        <v>14</v>
      </c>
      <c r="C7780" t="str">
        <f>_xlfn.XLOOKUP(B7780,
[1]sales_teams!$A$2:$A$100,
[1]sales_teams!$B$2:$B$100)</f>
        <v>Melvin Marxen</v>
      </c>
      <c r="D7780" t="str">
        <f>_xlfn.XLOOKUP($B7780,sales_teams!$A$2:$A$36,sales_teams!C$2:C$36)</f>
        <v>Central</v>
      </c>
      <c r="E7780" t="s">
        <v>15</v>
      </c>
      <c r="F7780" t="s">
        <v>111</v>
      </c>
      <c r="G7780" t="s">
        <v>12</v>
      </c>
      <c r="H7780" s="1">
        <v>43032</v>
      </c>
      <c r="I7780" s="1">
        <v>43070</v>
      </c>
      <c r="J7780">
        <v>5542</v>
      </c>
    </row>
    <row r="7781" spans="1:10" x14ac:dyDescent="0.3">
      <c r="A7781" t="s">
        <v>7912</v>
      </c>
      <c r="B7781" t="s">
        <v>38</v>
      </c>
      <c r="C7781" t="str">
        <f>_xlfn.XLOOKUP(B7781,
[1]sales_teams!$A$2:$A$100,
[1]sales_teams!$B$2:$B$100)</f>
        <v>Summer Sewald</v>
      </c>
      <c r="D7781" t="str">
        <f>_xlfn.XLOOKUP($B7781,sales_teams!$A$2:$A$36,sales_teams!C$2:C$36)</f>
        <v>West</v>
      </c>
      <c r="E7781" t="s">
        <v>39</v>
      </c>
      <c r="F7781" t="s">
        <v>55</v>
      </c>
      <c r="G7781" t="s">
        <v>12</v>
      </c>
      <c r="H7781" s="1">
        <v>43032</v>
      </c>
      <c r="I7781" s="1">
        <v>43100</v>
      </c>
      <c r="J7781">
        <v>3296</v>
      </c>
    </row>
    <row r="7782" spans="1:10" x14ac:dyDescent="0.3">
      <c r="A7782" t="s">
        <v>7913</v>
      </c>
      <c r="B7782" t="s">
        <v>252</v>
      </c>
      <c r="C7782" t="str">
        <f>_xlfn.XLOOKUP(B7782,
[1]sales_teams!$A$2:$A$100,
[1]sales_teams!$B$2:$B$100)</f>
        <v>Melvin Marxen</v>
      </c>
      <c r="D7782" t="str">
        <f>_xlfn.XLOOKUP($B7782,sales_teams!$A$2:$A$36,sales_teams!C$2:C$36)</f>
        <v>Central</v>
      </c>
      <c r="E7782" t="s">
        <v>10</v>
      </c>
      <c r="F7782" t="s">
        <v>207</v>
      </c>
      <c r="G7782" t="s">
        <v>46</v>
      </c>
      <c r="H7782" s="1">
        <v>43032</v>
      </c>
      <c r="I7782" s="1">
        <v>43033</v>
      </c>
      <c r="J7782">
        <v>0</v>
      </c>
    </row>
    <row r="7783" spans="1:10" x14ac:dyDescent="0.3">
      <c r="A7783" t="s">
        <v>7914</v>
      </c>
      <c r="B7783" t="s">
        <v>252</v>
      </c>
      <c r="C7783" t="str">
        <f>_xlfn.XLOOKUP(B7783,
[1]sales_teams!$A$2:$A$100,
[1]sales_teams!$B$2:$B$100)</f>
        <v>Melvin Marxen</v>
      </c>
      <c r="D7783" t="str">
        <f>_xlfn.XLOOKUP($B7783,sales_teams!$A$2:$A$36,sales_teams!C$2:C$36)</f>
        <v>Central</v>
      </c>
      <c r="E7783" t="s">
        <v>20</v>
      </c>
      <c r="F7783" t="s">
        <v>303</v>
      </c>
      <c r="G7783" t="s">
        <v>12</v>
      </c>
      <c r="H7783" s="1">
        <v>43032</v>
      </c>
      <c r="I7783" s="1">
        <v>43037</v>
      </c>
      <c r="J7783">
        <v>519</v>
      </c>
    </row>
    <row r="7784" spans="1:10" x14ac:dyDescent="0.3">
      <c r="A7784" t="s">
        <v>7915</v>
      </c>
      <c r="B7784" t="s">
        <v>252</v>
      </c>
      <c r="C7784" t="str">
        <f>_xlfn.XLOOKUP(B7784,
[1]sales_teams!$A$2:$A$100,
[1]sales_teams!$B$2:$B$100)</f>
        <v>Melvin Marxen</v>
      </c>
      <c r="D7784" t="str">
        <f>_xlfn.XLOOKUP($B7784,sales_teams!$A$2:$A$36,sales_teams!C$2:C$36)</f>
        <v>Central</v>
      </c>
      <c r="E7784" t="s">
        <v>10</v>
      </c>
      <c r="F7784" t="s">
        <v>303</v>
      </c>
      <c r="G7784" t="s">
        <v>12</v>
      </c>
      <c r="H7784" s="1">
        <v>43032</v>
      </c>
      <c r="I7784" s="1">
        <v>43033</v>
      </c>
      <c r="J7784">
        <v>1243</v>
      </c>
    </row>
    <row r="7785" spans="1:10" x14ac:dyDescent="0.3">
      <c r="A7785" t="s">
        <v>7916</v>
      </c>
      <c r="B7785" t="s">
        <v>78</v>
      </c>
      <c r="C7785" t="str">
        <f>_xlfn.XLOOKUP(B7785,
[1]sales_teams!$A$2:$A$100,
[1]sales_teams!$B$2:$B$100)</f>
        <v>Summer Sewald</v>
      </c>
      <c r="D7785" t="str">
        <f>_xlfn.XLOOKUP($B7785,sales_teams!$A$2:$A$36,sales_teams!C$2:C$36)</f>
        <v>West</v>
      </c>
      <c r="E7785" t="s">
        <v>39</v>
      </c>
      <c r="F7785" t="s">
        <v>70</v>
      </c>
      <c r="G7785" t="s">
        <v>46</v>
      </c>
      <c r="H7785" s="1">
        <v>43032</v>
      </c>
      <c r="I7785" s="1">
        <v>43034</v>
      </c>
      <c r="J7785">
        <v>0</v>
      </c>
    </row>
    <row r="7786" spans="1:10" x14ac:dyDescent="0.3">
      <c r="A7786" t="s">
        <v>7917</v>
      </c>
      <c r="B7786" t="s">
        <v>133</v>
      </c>
      <c r="C7786" t="str">
        <f>_xlfn.XLOOKUP(B7786,
[1]sales_teams!$A$2:$A$100,
[1]sales_teams!$B$2:$B$100)</f>
        <v>Dustin Brinkmann</v>
      </c>
      <c r="D7786" t="str">
        <f>_xlfn.XLOOKUP($B7786,sales_teams!$A$2:$A$36,sales_teams!C$2:C$36)</f>
        <v>Central</v>
      </c>
      <c r="E7786" t="s">
        <v>10</v>
      </c>
      <c r="F7786" t="s">
        <v>27</v>
      </c>
      <c r="G7786" t="s">
        <v>12</v>
      </c>
      <c r="H7786" s="1">
        <v>43032</v>
      </c>
      <c r="I7786" s="1">
        <v>43039</v>
      </c>
      <c r="J7786">
        <v>1133</v>
      </c>
    </row>
    <row r="7787" spans="1:10" x14ac:dyDescent="0.3">
      <c r="A7787" t="s">
        <v>7918</v>
      </c>
      <c r="B7787" t="s">
        <v>116</v>
      </c>
      <c r="C7787" t="str">
        <f>_xlfn.XLOOKUP(B7787,
[1]sales_teams!$A$2:$A$100,
[1]sales_teams!$B$2:$B$100)</f>
        <v>Melvin Marxen</v>
      </c>
      <c r="D7787" t="str">
        <f>_xlfn.XLOOKUP($B7787,sales_teams!$A$2:$A$36,sales_teams!C$2:C$36)</f>
        <v>Central</v>
      </c>
      <c r="E7787" t="s">
        <v>20</v>
      </c>
      <c r="F7787" t="s">
        <v>315</v>
      </c>
      <c r="G7787" t="s">
        <v>46</v>
      </c>
      <c r="H7787" s="1">
        <v>43032</v>
      </c>
      <c r="I7787" s="1">
        <v>43093</v>
      </c>
      <c r="J7787">
        <v>0</v>
      </c>
    </row>
    <row r="7788" spans="1:10" x14ac:dyDescent="0.3">
      <c r="A7788" t="s">
        <v>7919</v>
      </c>
      <c r="B7788" t="s">
        <v>116</v>
      </c>
      <c r="C7788" t="str">
        <f>_xlfn.XLOOKUP(B7788,
[1]sales_teams!$A$2:$A$100,
[1]sales_teams!$B$2:$B$100)</f>
        <v>Melvin Marxen</v>
      </c>
      <c r="D7788" t="str">
        <f>_xlfn.XLOOKUP($B7788,sales_teams!$A$2:$A$36,sales_teams!C$2:C$36)</f>
        <v>Central</v>
      </c>
      <c r="E7788" t="s">
        <v>39</v>
      </c>
      <c r="F7788" t="s">
        <v>45</v>
      </c>
      <c r="G7788" t="s">
        <v>46</v>
      </c>
      <c r="H7788" s="1">
        <v>43032</v>
      </c>
      <c r="I7788" s="1">
        <v>43098</v>
      </c>
      <c r="J7788">
        <v>0</v>
      </c>
    </row>
    <row r="7789" spans="1:10" x14ac:dyDescent="0.3">
      <c r="A7789" t="s">
        <v>7920</v>
      </c>
      <c r="B7789" t="s">
        <v>51</v>
      </c>
      <c r="C7789" t="str">
        <f>_xlfn.XLOOKUP(B7789,
[1]sales_teams!$A$2:$A$100,
[1]sales_teams!$B$2:$B$100)</f>
        <v>Summer Sewald</v>
      </c>
      <c r="D7789" t="str">
        <f>_xlfn.XLOOKUP($B7789,sales_teams!$A$2:$A$36,sales_teams!C$2:C$36)</f>
        <v>West</v>
      </c>
      <c r="E7789" t="s">
        <v>48</v>
      </c>
      <c r="F7789" t="s">
        <v>174</v>
      </c>
      <c r="G7789" t="s">
        <v>12</v>
      </c>
      <c r="H7789" s="1">
        <v>43032</v>
      </c>
      <c r="I7789" s="1">
        <v>43049</v>
      </c>
      <c r="J7789">
        <v>4945</v>
      </c>
    </row>
    <row r="7790" spans="1:10" x14ac:dyDescent="0.3">
      <c r="A7790" t="s">
        <v>7921</v>
      </c>
      <c r="B7790" t="s">
        <v>61</v>
      </c>
      <c r="C7790" t="str">
        <f>_xlfn.XLOOKUP(B7790,
[1]sales_teams!$A$2:$A$100,
[1]sales_teams!$B$2:$B$100)</f>
        <v>Dustin Brinkmann</v>
      </c>
      <c r="D7790" t="str">
        <f>_xlfn.XLOOKUP($B7790,sales_teams!$A$2:$A$36,sales_teams!C$2:C$36)</f>
        <v>Central</v>
      </c>
      <c r="E7790" t="s">
        <v>39</v>
      </c>
      <c r="F7790" t="s">
        <v>62</v>
      </c>
      <c r="G7790" t="s">
        <v>46</v>
      </c>
      <c r="H7790" s="1">
        <v>43032</v>
      </c>
      <c r="I7790" s="1">
        <v>43038</v>
      </c>
      <c r="J7790">
        <v>0</v>
      </c>
    </row>
    <row r="7791" spans="1:10" x14ac:dyDescent="0.3">
      <c r="A7791" t="s">
        <v>7922</v>
      </c>
      <c r="B7791" t="s">
        <v>29</v>
      </c>
      <c r="C7791" t="str">
        <f>_xlfn.XLOOKUP(B7791,
[1]sales_teams!$A$2:$A$100,
[1]sales_teams!$B$2:$B$100)</f>
        <v>Celia Rouche</v>
      </c>
      <c r="D7791" t="str">
        <f>_xlfn.XLOOKUP($B7791,sales_teams!$A$2:$A$36,sales_teams!C$2:C$36)</f>
        <v>West</v>
      </c>
      <c r="E7791" t="s">
        <v>20</v>
      </c>
      <c r="F7791" t="s">
        <v>33</v>
      </c>
      <c r="G7791" t="s">
        <v>12</v>
      </c>
      <c r="H7791" s="1">
        <v>43032</v>
      </c>
      <c r="I7791" s="1">
        <v>43034</v>
      </c>
      <c r="J7791">
        <v>535</v>
      </c>
    </row>
    <row r="7792" spans="1:10" x14ac:dyDescent="0.3">
      <c r="A7792" t="s">
        <v>7923</v>
      </c>
      <c r="B7792" t="s">
        <v>102</v>
      </c>
      <c r="C7792" t="str">
        <f>_xlfn.XLOOKUP(B7792,
[1]sales_teams!$A$2:$A$100,
[1]sales_teams!$B$2:$B$100)</f>
        <v>Cara Losch</v>
      </c>
      <c r="D7792" t="str">
        <f>_xlfn.XLOOKUP($B7792,sales_teams!$A$2:$A$36,sales_teams!C$2:C$36)</f>
        <v>East</v>
      </c>
      <c r="E7792" t="s">
        <v>20</v>
      </c>
      <c r="G7792" t="s">
        <v>40</v>
      </c>
      <c r="H7792" s="1">
        <v>43032</v>
      </c>
    </row>
    <row r="7793" spans="1:10" x14ac:dyDescent="0.3">
      <c r="A7793" t="s">
        <v>7924</v>
      </c>
      <c r="B7793" t="s">
        <v>23</v>
      </c>
      <c r="C7793" t="str">
        <f>_xlfn.XLOOKUP(B7793,
[1]sales_teams!$A$2:$A$100,
[1]sales_teams!$B$2:$B$100)</f>
        <v>Summer Sewald</v>
      </c>
      <c r="D7793" t="str">
        <f>_xlfn.XLOOKUP($B7793,sales_teams!$A$2:$A$36,sales_teams!C$2:C$36)</f>
        <v>West</v>
      </c>
      <c r="E7793" t="s">
        <v>39</v>
      </c>
      <c r="F7793" t="s">
        <v>79</v>
      </c>
      <c r="G7793" t="s">
        <v>46</v>
      </c>
      <c r="H7793" s="1">
        <v>43032</v>
      </c>
      <c r="I7793" s="1">
        <v>43046</v>
      </c>
      <c r="J7793">
        <v>0</v>
      </c>
    </row>
    <row r="7794" spans="1:10" x14ac:dyDescent="0.3">
      <c r="A7794" t="s">
        <v>7925</v>
      </c>
      <c r="B7794" t="s">
        <v>26</v>
      </c>
      <c r="C7794" t="str">
        <f>_xlfn.XLOOKUP(B7794,
[1]sales_teams!$A$2:$A$100,
[1]sales_teams!$B$2:$B$100)</f>
        <v>Dustin Brinkmann</v>
      </c>
      <c r="D7794" t="str">
        <f>_xlfn.XLOOKUP($B7794,sales_teams!$A$2:$A$36,sales_teams!C$2:C$36)</f>
        <v>Central</v>
      </c>
      <c r="E7794" t="s">
        <v>18</v>
      </c>
      <c r="F7794" t="s">
        <v>11</v>
      </c>
      <c r="G7794" t="s">
        <v>12</v>
      </c>
      <c r="H7794" s="1">
        <v>43033</v>
      </c>
      <c r="I7794" s="1">
        <v>43065</v>
      </c>
      <c r="J7794">
        <v>59</v>
      </c>
    </row>
    <row r="7795" spans="1:10" x14ac:dyDescent="0.3">
      <c r="A7795" t="s">
        <v>7926</v>
      </c>
      <c r="B7795" t="s">
        <v>164</v>
      </c>
      <c r="C7795" t="str">
        <f>_xlfn.XLOOKUP(B7795,
[1]sales_teams!$A$2:$A$100,
[1]sales_teams!$B$2:$B$100)</f>
        <v>Cara Losch</v>
      </c>
      <c r="D7795" t="str">
        <f>_xlfn.XLOOKUP($B7795,sales_teams!$A$2:$A$36,sales_teams!C$2:C$36)</f>
        <v>East</v>
      </c>
      <c r="E7795" t="s">
        <v>20</v>
      </c>
      <c r="G7795" t="s">
        <v>40</v>
      </c>
      <c r="H7795" s="1">
        <v>43033</v>
      </c>
    </row>
    <row r="7796" spans="1:10" x14ac:dyDescent="0.3">
      <c r="A7796" t="s">
        <v>7927</v>
      </c>
      <c r="B7796" t="s">
        <v>64</v>
      </c>
      <c r="C7796" t="str">
        <f>_xlfn.XLOOKUP(B7796,
[1]sales_teams!$A$2:$A$100,
[1]sales_teams!$B$2:$B$100)</f>
        <v>Rocco Neubert</v>
      </c>
      <c r="D7796" t="str">
        <f>_xlfn.XLOOKUP($B7796,sales_teams!$A$2:$A$36,sales_teams!C$2:C$36)</f>
        <v>East</v>
      </c>
      <c r="E7796" t="s">
        <v>20</v>
      </c>
      <c r="F7796" t="s">
        <v>218</v>
      </c>
      <c r="G7796" t="s">
        <v>12</v>
      </c>
      <c r="H7796" s="1">
        <v>43033</v>
      </c>
      <c r="I7796" s="1">
        <v>43035</v>
      </c>
      <c r="J7796">
        <v>526</v>
      </c>
    </row>
    <row r="7797" spans="1:10" x14ac:dyDescent="0.3">
      <c r="A7797" t="s">
        <v>7928</v>
      </c>
      <c r="B7797" t="s">
        <v>142</v>
      </c>
      <c r="C7797" t="str">
        <f>_xlfn.XLOOKUP(B7797,
[1]sales_teams!$A$2:$A$100,
[1]sales_teams!$B$2:$B$100)</f>
        <v>Rocco Neubert</v>
      </c>
      <c r="D7797" t="str">
        <f>_xlfn.XLOOKUP($B7797,sales_teams!$A$2:$A$36,sales_teams!C$2:C$36)</f>
        <v>East</v>
      </c>
      <c r="E7797" t="s">
        <v>20</v>
      </c>
      <c r="F7797" t="s">
        <v>98</v>
      </c>
      <c r="G7797" t="s">
        <v>12</v>
      </c>
      <c r="H7797" s="1">
        <v>43033</v>
      </c>
      <c r="I7797" s="1">
        <v>43044</v>
      </c>
      <c r="J7797">
        <v>586</v>
      </c>
    </row>
    <row r="7798" spans="1:10" x14ac:dyDescent="0.3">
      <c r="A7798" t="s">
        <v>7929</v>
      </c>
      <c r="B7798" t="s">
        <v>44</v>
      </c>
      <c r="C7798" t="str">
        <f>_xlfn.XLOOKUP(B7798,
[1]sales_teams!$A$2:$A$100,
[1]sales_teams!$B$2:$B$100)</f>
        <v>Melvin Marxen</v>
      </c>
      <c r="D7798" t="str">
        <f>_xlfn.XLOOKUP($B7798,sales_teams!$A$2:$A$36,sales_teams!C$2:C$36)</f>
        <v>Central</v>
      </c>
      <c r="E7798" t="s">
        <v>39</v>
      </c>
      <c r="F7798" t="s">
        <v>231</v>
      </c>
      <c r="G7798" t="s">
        <v>46</v>
      </c>
      <c r="H7798" s="1">
        <v>43033</v>
      </c>
      <c r="I7798" s="1">
        <v>43035</v>
      </c>
      <c r="J7798">
        <v>0</v>
      </c>
    </row>
    <row r="7799" spans="1:10" x14ac:dyDescent="0.3">
      <c r="A7799" t="s">
        <v>7930</v>
      </c>
      <c r="B7799" t="s">
        <v>252</v>
      </c>
      <c r="C7799" t="str">
        <f>_xlfn.XLOOKUP(B7799,
[1]sales_teams!$A$2:$A$100,
[1]sales_teams!$B$2:$B$100)</f>
        <v>Melvin Marxen</v>
      </c>
      <c r="D7799" t="str">
        <f>_xlfn.XLOOKUP($B7799,sales_teams!$A$2:$A$36,sales_teams!C$2:C$36)</f>
        <v>Central</v>
      </c>
      <c r="E7799" t="s">
        <v>15</v>
      </c>
      <c r="F7799" t="s">
        <v>126</v>
      </c>
      <c r="G7799" t="s">
        <v>12</v>
      </c>
      <c r="H7799" s="1">
        <v>43033</v>
      </c>
      <c r="I7799" s="1">
        <v>43049</v>
      </c>
      <c r="J7799">
        <v>4356</v>
      </c>
    </row>
    <row r="7800" spans="1:10" x14ac:dyDescent="0.3">
      <c r="A7800" t="s">
        <v>7931</v>
      </c>
      <c r="B7800" t="s">
        <v>32</v>
      </c>
      <c r="C7800" t="str">
        <f>_xlfn.XLOOKUP(B7800,
[1]sales_teams!$A$2:$A$100,
[1]sales_teams!$B$2:$B$100)</f>
        <v>Celia Rouche</v>
      </c>
      <c r="D7800" t="str">
        <f>_xlfn.XLOOKUP($B7800,sales_teams!$A$2:$A$36,sales_teams!C$2:C$36)</f>
        <v>West</v>
      </c>
      <c r="E7800" t="s">
        <v>20</v>
      </c>
      <c r="F7800" t="s">
        <v>218</v>
      </c>
      <c r="G7800" t="s">
        <v>12</v>
      </c>
      <c r="H7800" s="1">
        <v>43033</v>
      </c>
      <c r="I7800" s="1">
        <v>43034</v>
      </c>
      <c r="J7800">
        <v>566</v>
      </c>
    </row>
    <row r="7801" spans="1:10" x14ac:dyDescent="0.3">
      <c r="A7801" t="s">
        <v>7932</v>
      </c>
      <c r="B7801" t="s">
        <v>51</v>
      </c>
      <c r="C7801" t="str">
        <f>_xlfn.XLOOKUP(B7801,
[1]sales_teams!$A$2:$A$100,
[1]sales_teams!$B$2:$B$100)</f>
        <v>Summer Sewald</v>
      </c>
      <c r="D7801" t="str">
        <f>_xlfn.XLOOKUP($B7801,sales_teams!$A$2:$A$36,sales_teams!C$2:C$36)</f>
        <v>West</v>
      </c>
      <c r="E7801" t="s">
        <v>39</v>
      </c>
      <c r="G7801" t="s">
        <v>40</v>
      </c>
      <c r="H7801" s="1">
        <v>43033</v>
      </c>
    </row>
    <row r="7802" spans="1:10" x14ac:dyDescent="0.3">
      <c r="A7802" t="s">
        <v>7933</v>
      </c>
      <c r="B7802" t="s">
        <v>9</v>
      </c>
      <c r="C7802" t="str">
        <f>_xlfn.XLOOKUP(B7802,
[1]sales_teams!$A$2:$A$100,
[1]sales_teams!$B$2:$B$100)</f>
        <v>Dustin Brinkmann</v>
      </c>
      <c r="D7802" t="str">
        <f>_xlfn.XLOOKUP($B7802,sales_teams!$A$2:$A$36,sales_teams!C$2:C$36)</f>
        <v>Central</v>
      </c>
      <c r="E7802" t="s">
        <v>20</v>
      </c>
      <c r="F7802" t="s">
        <v>315</v>
      </c>
      <c r="G7802" t="s">
        <v>12</v>
      </c>
      <c r="H7802" s="1">
        <v>43033</v>
      </c>
      <c r="I7802" s="1">
        <v>43099</v>
      </c>
      <c r="J7802">
        <v>537</v>
      </c>
    </row>
    <row r="7803" spans="1:10" x14ac:dyDescent="0.3">
      <c r="A7803" t="s">
        <v>7934</v>
      </c>
      <c r="B7803" t="s">
        <v>73</v>
      </c>
      <c r="C7803" t="str">
        <f>_xlfn.XLOOKUP(B7803,
[1]sales_teams!$A$2:$A$100,
[1]sales_teams!$B$2:$B$100)</f>
        <v>Cara Losch</v>
      </c>
      <c r="D7803" t="str">
        <f>_xlfn.XLOOKUP($B7803,sales_teams!$A$2:$A$36,sales_teams!C$2:C$36)</f>
        <v>East</v>
      </c>
      <c r="E7803" t="s">
        <v>18</v>
      </c>
      <c r="F7803" t="s">
        <v>103</v>
      </c>
      <c r="G7803" t="s">
        <v>12</v>
      </c>
      <c r="H7803" s="1">
        <v>43033</v>
      </c>
      <c r="I7803" s="1">
        <v>43090</v>
      </c>
      <c r="J7803">
        <v>47</v>
      </c>
    </row>
    <row r="7804" spans="1:10" x14ac:dyDescent="0.3">
      <c r="A7804" t="s">
        <v>7935</v>
      </c>
      <c r="B7804" t="s">
        <v>23</v>
      </c>
      <c r="C7804" t="str">
        <f>_xlfn.XLOOKUP(B7804,
[1]sales_teams!$A$2:$A$100,
[1]sales_teams!$B$2:$B$100)</f>
        <v>Summer Sewald</v>
      </c>
      <c r="D7804" t="str">
        <f>_xlfn.XLOOKUP($B7804,sales_teams!$A$2:$A$36,sales_teams!C$2:C$36)</f>
        <v>West</v>
      </c>
      <c r="E7804" t="s">
        <v>20</v>
      </c>
      <c r="F7804" t="s">
        <v>218</v>
      </c>
      <c r="G7804" t="s">
        <v>12</v>
      </c>
      <c r="H7804" s="1">
        <v>43033</v>
      </c>
      <c r="I7804" s="1">
        <v>43042</v>
      </c>
      <c r="J7804">
        <v>447</v>
      </c>
    </row>
    <row r="7805" spans="1:10" x14ac:dyDescent="0.3">
      <c r="A7805" t="s">
        <v>7936</v>
      </c>
      <c r="B7805" t="s">
        <v>26</v>
      </c>
      <c r="C7805" t="str">
        <f>_xlfn.XLOOKUP(B7805,
[1]sales_teams!$A$2:$A$100,
[1]sales_teams!$B$2:$B$100)</f>
        <v>Dustin Brinkmann</v>
      </c>
      <c r="D7805" t="str">
        <f>_xlfn.XLOOKUP($B7805,sales_teams!$A$2:$A$36,sales_teams!C$2:C$36)</f>
        <v>Central</v>
      </c>
      <c r="E7805" t="s">
        <v>10</v>
      </c>
      <c r="F7805" t="s">
        <v>207</v>
      </c>
      <c r="G7805" t="s">
        <v>12</v>
      </c>
      <c r="H7805" s="1">
        <v>43034</v>
      </c>
      <c r="I7805" s="1">
        <v>43035</v>
      </c>
      <c r="J7805">
        <v>1103</v>
      </c>
    </row>
    <row r="7806" spans="1:10" x14ac:dyDescent="0.3">
      <c r="A7806" t="s">
        <v>7937</v>
      </c>
      <c r="B7806" t="s">
        <v>26</v>
      </c>
      <c r="C7806" t="str">
        <f>_xlfn.XLOOKUP(B7806,
[1]sales_teams!$A$2:$A$100,
[1]sales_teams!$B$2:$B$100)</f>
        <v>Dustin Brinkmann</v>
      </c>
      <c r="D7806" t="str">
        <f>_xlfn.XLOOKUP($B7806,sales_teams!$A$2:$A$36,sales_teams!C$2:C$36)</f>
        <v>Central</v>
      </c>
      <c r="E7806" t="s">
        <v>18</v>
      </c>
      <c r="F7806" t="s">
        <v>129</v>
      </c>
      <c r="G7806" t="s">
        <v>12</v>
      </c>
      <c r="H7806" s="1">
        <v>43034</v>
      </c>
      <c r="I7806" s="1">
        <v>43097</v>
      </c>
      <c r="J7806">
        <v>57</v>
      </c>
    </row>
    <row r="7807" spans="1:10" x14ac:dyDescent="0.3">
      <c r="A7807" t="s">
        <v>7938</v>
      </c>
      <c r="B7807" t="s">
        <v>118</v>
      </c>
      <c r="C7807" t="str">
        <f>_xlfn.XLOOKUP(B7807,
[1]sales_teams!$A$2:$A$100,
[1]sales_teams!$B$2:$B$100)</f>
        <v>Rocco Neubert</v>
      </c>
      <c r="D7807" t="str">
        <f>_xlfn.XLOOKUP($B7807,sales_teams!$A$2:$A$36,sales_teams!C$2:C$36)</f>
        <v>East</v>
      </c>
      <c r="E7807" t="s">
        <v>20</v>
      </c>
      <c r="F7807" t="s">
        <v>204</v>
      </c>
      <c r="G7807" t="s">
        <v>46</v>
      </c>
      <c r="H7807" s="1">
        <v>43034</v>
      </c>
      <c r="I7807" s="1">
        <v>43045</v>
      </c>
      <c r="J7807">
        <v>0</v>
      </c>
    </row>
    <row r="7808" spans="1:10" x14ac:dyDescent="0.3">
      <c r="A7808" t="s">
        <v>7939</v>
      </c>
      <c r="B7808" t="s">
        <v>202</v>
      </c>
      <c r="C7808" t="str">
        <f>_xlfn.XLOOKUP(B7808,
[1]sales_teams!$A$2:$A$100,
[1]sales_teams!$B$2:$B$100)</f>
        <v>Dustin Brinkmann</v>
      </c>
      <c r="D7808" t="str">
        <f>_xlfn.XLOOKUP($B7808,sales_teams!$A$2:$A$36,sales_teams!C$2:C$36)</f>
        <v>Central</v>
      </c>
      <c r="E7808" t="s">
        <v>48</v>
      </c>
      <c r="F7808" t="s">
        <v>315</v>
      </c>
      <c r="G7808" t="s">
        <v>46</v>
      </c>
      <c r="H7808" s="1">
        <v>43034</v>
      </c>
      <c r="I7808" s="1">
        <v>43063</v>
      </c>
      <c r="J7808">
        <v>0</v>
      </c>
    </row>
    <row r="7809" spans="1:10" x14ac:dyDescent="0.3">
      <c r="A7809" t="s">
        <v>7940</v>
      </c>
      <c r="B7809" t="s">
        <v>164</v>
      </c>
      <c r="C7809" t="str">
        <f>_xlfn.XLOOKUP(B7809,
[1]sales_teams!$A$2:$A$100,
[1]sales_teams!$B$2:$B$100)</f>
        <v>Cara Losch</v>
      </c>
      <c r="D7809" t="str">
        <f>_xlfn.XLOOKUP($B7809,sales_teams!$A$2:$A$36,sales_teams!C$2:C$36)</f>
        <v>East</v>
      </c>
      <c r="E7809" t="s">
        <v>15</v>
      </c>
      <c r="F7809" t="s">
        <v>177</v>
      </c>
      <c r="G7809" t="s">
        <v>12</v>
      </c>
      <c r="H7809" s="1">
        <v>43034</v>
      </c>
      <c r="I7809" s="1">
        <v>43043</v>
      </c>
      <c r="J7809">
        <v>4525</v>
      </c>
    </row>
    <row r="7810" spans="1:10" x14ac:dyDescent="0.3">
      <c r="A7810" t="s">
        <v>7941</v>
      </c>
      <c r="B7810" t="s">
        <v>14</v>
      </c>
      <c r="C7810" t="str">
        <f>_xlfn.XLOOKUP(B7810,
[1]sales_teams!$A$2:$A$100,
[1]sales_teams!$B$2:$B$100)</f>
        <v>Melvin Marxen</v>
      </c>
      <c r="D7810" t="str">
        <f>_xlfn.XLOOKUP($B7810,sales_teams!$A$2:$A$36,sales_teams!C$2:C$36)</f>
        <v>Central</v>
      </c>
      <c r="E7810" t="s">
        <v>15</v>
      </c>
      <c r="F7810" t="s">
        <v>16</v>
      </c>
      <c r="G7810" t="s">
        <v>46</v>
      </c>
      <c r="H7810" s="1">
        <v>43034</v>
      </c>
      <c r="I7810" s="1">
        <v>43038</v>
      </c>
      <c r="J7810">
        <v>0</v>
      </c>
    </row>
    <row r="7811" spans="1:10" x14ac:dyDescent="0.3">
      <c r="A7811" t="s">
        <v>7942</v>
      </c>
      <c r="B7811" t="s">
        <v>14</v>
      </c>
      <c r="C7811" t="str">
        <f>_xlfn.XLOOKUP(B7811,
[1]sales_teams!$A$2:$A$100,
[1]sales_teams!$B$2:$B$100)</f>
        <v>Melvin Marxen</v>
      </c>
      <c r="D7811" t="str">
        <f>_xlfn.XLOOKUP($B7811,sales_teams!$A$2:$A$36,sales_teams!C$2:C$36)</f>
        <v>Central</v>
      </c>
      <c r="E7811" t="s">
        <v>15</v>
      </c>
      <c r="F7811" t="s">
        <v>36</v>
      </c>
      <c r="G7811" t="s">
        <v>46</v>
      </c>
      <c r="H7811" s="1">
        <v>43034</v>
      </c>
      <c r="I7811" s="1">
        <v>43035</v>
      </c>
      <c r="J7811">
        <v>0</v>
      </c>
    </row>
    <row r="7812" spans="1:10" x14ac:dyDescent="0.3">
      <c r="A7812" t="s">
        <v>7943</v>
      </c>
      <c r="B7812" t="s">
        <v>67</v>
      </c>
      <c r="C7812" t="str">
        <f>_xlfn.XLOOKUP(B7812,
[1]sales_teams!$A$2:$A$100,
[1]sales_teams!$B$2:$B$100)</f>
        <v>Celia Rouche</v>
      </c>
      <c r="D7812" t="str">
        <f>_xlfn.XLOOKUP($B7812,sales_teams!$A$2:$A$36,sales_teams!C$2:C$36)</f>
        <v>West</v>
      </c>
      <c r="E7812" t="s">
        <v>20</v>
      </c>
      <c r="F7812" t="s">
        <v>70</v>
      </c>
      <c r="G7812" t="s">
        <v>12</v>
      </c>
      <c r="H7812" s="1">
        <v>43034</v>
      </c>
      <c r="I7812" s="1">
        <v>43036</v>
      </c>
      <c r="J7812">
        <v>504</v>
      </c>
    </row>
    <row r="7813" spans="1:10" x14ac:dyDescent="0.3">
      <c r="A7813" t="s">
        <v>7944</v>
      </c>
      <c r="B7813" t="s">
        <v>44</v>
      </c>
      <c r="C7813" t="str">
        <f>_xlfn.XLOOKUP(B7813,
[1]sales_teams!$A$2:$A$100,
[1]sales_teams!$B$2:$B$100)</f>
        <v>Melvin Marxen</v>
      </c>
      <c r="D7813" t="str">
        <f>_xlfn.XLOOKUP($B7813,sales_teams!$A$2:$A$36,sales_teams!C$2:C$36)</f>
        <v>Central</v>
      </c>
      <c r="E7813" t="s">
        <v>15</v>
      </c>
      <c r="F7813" t="s">
        <v>197</v>
      </c>
      <c r="G7813" t="s">
        <v>46</v>
      </c>
      <c r="H7813" s="1">
        <v>43034</v>
      </c>
      <c r="I7813" s="1">
        <v>43035</v>
      </c>
      <c r="J7813">
        <v>0</v>
      </c>
    </row>
    <row r="7814" spans="1:10" x14ac:dyDescent="0.3">
      <c r="A7814" t="s">
        <v>7945</v>
      </c>
      <c r="B7814" t="s">
        <v>116</v>
      </c>
      <c r="C7814" t="str">
        <f>_xlfn.XLOOKUP(B7814,
[1]sales_teams!$A$2:$A$100,
[1]sales_teams!$B$2:$B$100)</f>
        <v>Melvin Marxen</v>
      </c>
      <c r="D7814" t="str">
        <f>_xlfn.XLOOKUP($B7814,sales_teams!$A$2:$A$36,sales_teams!C$2:C$36)</f>
        <v>Central</v>
      </c>
      <c r="E7814" t="s">
        <v>15</v>
      </c>
      <c r="F7814" t="s">
        <v>231</v>
      </c>
      <c r="G7814" t="s">
        <v>12</v>
      </c>
      <c r="H7814" s="1">
        <v>43034</v>
      </c>
      <c r="I7814" s="1">
        <v>43039</v>
      </c>
      <c r="J7814">
        <v>4377</v>
      </c>
    </row>
    <row r="7815" spans="1:10" x14ac:dyDescent="0.3">
      <c r="A7815" t="s">
        <v>7946</v>
      </c>
      <c r="B7815" t="s">
        <v>116</v>
      </c>
      <c r="C7815" t="str">
        <f>_xlfn.XLOOKUP(B7815,
[1]sales_teams!$A$2:$A$100,
[1]sales_teams!$B$2:$B$100)</f>
        <v>Melvin Marxen</v>
      </c>
      <c r="D7815" t="str">
        <f>_xlfn.XLOOKUP($B7815,sales_teams!$A$2:$A$36,sales_teams!C$2:C$36)</f>
        <v>Central</v>
      </c>
      <c r="E7815" t="s">
        <v>39</v>
      </c>
      <c r="F7815" t="s">
        <v>303</v>
      </c>
      <c r="G7815" t="s">
        <v>12</v>
      </c>
      <c r="H7815" s="1">
        <v>43034</v>
      </c>
      <c r="I7815" s="1">
        <v>43035</v>
      </c>
      <c r="J7815">
        <v>3353</v>
      </c>
    </row>
    <row r="7816" spans="1:10" x14ac:dyDescent="0.3">
      <c r="A7816" t="s">
        <v>7947</v>
      </c>
      <c r="B7816" t="s">
        <v>51</v>
      </c>
      <c r="C7816" t="str">
        <f>_xlfn.XLOOKUP(B7816,
[1]sales_teams!$A$2:$A$100,
[1]sales_teams!$B$2:$B$100)</f>
        <v>Summer Sewald</v>
      </c>
      <c r="D7816" t="str">
        <f>_xlfn.XLOOKUP($B7816,sales_teams!$A$2:$A$36,sales_teams!C$2:C$36)</f>
        <v>West</v>
      </c>
      <c r="E7816" t="s">
        <v>48</v>
      </c>
      <c r="F7816" t="s">
        <v>155</v>
      </c>
      <c r="G7816" t="s">
        <v>46</v>
      </c>
      <c r="H7816" s="1">
        <v>43034</v>
      </c>
      <c r="I7816" s="1">
        <v>43039</v>
      </c>
      <c r="J7816">
        <v>0</v>
      </c>
    </row>
    <row r="7817" spans="1:10" x14ac:dyDescent="0.3">
      <c r="A7817" t="s">
        <v>7948</v>
      </c>
      <c r="B7817" t="s">
        <v>51</v>
      </c>
      <c r="C7817" t="str">
        <f>_xlfn.XLOOKUP(B7817,
[1]sales_teams!$A$2:$A$100,
[1]sales_teams!$B$2:$B$100)</f>
        <v>Summer Sewald</v>
      </c>
      <c r="D7817" t="str">
        <f>_xlfn.XLOOKUP($B7817,sales_teams!$A$2:$A$36,sales_teams!C$2:C$36)</f>
        <v>West</v>
      </c>
      <c r="E7817" t="s">
        <v>18</v>
      </c>
      <c r="F7817" t="s">
        <v>70</v>
      </c>
      <c r="G7817" t="s">
        <v>12</v>
      </c>
      <c r="H7817" s="1">
        <v>43034</v>
      </c>
      <c r="I7817" s="1">
        <v>43042</v>
      </c>
      <c r="J7817">
        <v>50</v>
      </c>
    </row>
    <row r="7818" spans="1:10" x14ac:dyDescent="0.3">
      <c r="A7818" t="s">
        <v>7949</v>
      </c>
      <c r="B7818" t="s">
        <v>35</v>
      </c>
      <c r="C7818" t="str">
        <f>_xlfn.XLOOKUP(B7818,
[1]sales_teams!$A$2:$A$100,
[1]sales_teams!$B$2:$B$100)</f>
        <v>Melvin Marxen</v>
      </c>
      <c r="D7818" t="str">
        <f>_xlfn.XLOOKUP($B7818,sales_teams!$A$2:$A$36,sales_teams!C$2:C$36)</f>
        <v>Central</v>
      </c>
      <c r="E7818" t="s">
        <v>20</v>
      </c>
      <c r="F7818" t="s">
        <v>120</v>
      </c>
      <c r="G7818" t="s">
        <v>46</v>
      </c>
      <c r="H7818" s="1">
        <v>43034</v>
      </c>
      <c r="I7818" s="1">
        <v>43038</v>
      </c>
      <c r="J7818">
        <v>0</v>
      </c>
    </row>
    <row r="7819" spans="1:10" x14ac:dyDescent="0.3">
      <c r="A7819" t="s">
        <v>7950</v>
      </c>
      <c r="B7819" t="s">
        <v>29</v>
      </c>
      <c r="C7819" t="str">
        <f>_xlfn.XLOOKUP(B7819,
[1]sales_teams!$A$2:$A$100,
[1]sales_teams!$B$2:$B$100)</f>
        <v>Celia Rouche</v>
      </c>
      <c r="D7819" t="str">
        <f>_xlfn.XLOOKUP($B7819,sales_teams!$A$2:$A$36,sales_teams!C$2:C$36)</f>
        <v>West</v>
      </c>
      <c r="E7819" t="s">
        <v>20</v>
      </c>
      <c r="G7819" t="s">
        <v>40</v>
      </c>
      <c r="H7819" s="1">
        <v>43034</v>
      </c>
    </row>
    <row r="7820" spans="1:10" x14ac:dyDescent="0.3">
      <c r="A7820" t="s">
        <v>7951</v>
      </c>
      <c r="B7820" t="s">
        <v>29</v>
      </c>
      <c r="C7820" t="str">
        <f>_xlfn.XLOOKUP(B7820,
[1]sales_teams!$A$2:$A$100,
[1]sales_teams!$B$2:$B$100)</f>
        <v>Celia Rouche</v>
      </c>
      <c r="D7820" t="str">
        <f>_xlfn.XLOOKUP($B7820,sales_teams!$A$2:$A$36,sales_teams!C$2:C$36)</f>
        <v>West</v>
      </c>
      <c r="E7820" t="s">
        <v>20</v>
      </c>
      <c r="F7820" t="s">
        <v>313</v>
      </c>
      <c r="G7820" t="s">
        <v>46</v>
      </c>
      <c r="H7820" s="1">
        <v>43034</v>
      </c>
      <c r="I7820" s="1">
        <v>43036</v>
      </c>
      <c r="J7820">
        <v>0</v>
      </c>
    </row>
    <row r="7821" spans="1:10" x14ac:dyDescent="0.3">
      <c r="A7821" t="s">
        <v>7952</v>
      </c>
      <c r="B7821" t="s">
        <v>29</v>
      </c>
      <c r="C7821" t="str">
        <f>_xlfn.XLOOKUP(B7821,
[1]sales_teams!$A$2:$A$100,
[1]sales_teams!$B$2:$B$100)</f>
        <v>Celia Rouche</v>
      </c>
      <c r="D7821" t="str">
        <f>_xlfn.XLOOKUP($B7821,sales_teams!$A$2:$A$36,sales_teams!C$2:C$36)</f>
        <v>West</v>
      </c>
      <c r="E7821" t="s">
        <v>20</v>
      </c>
      <c r="F7821" t="s">
        <v>398</v>
      </c>
      <c r="G7821" t="s">
        <v>46</v>
      </c>
      <c r="H7821" s="1">
        <v>43034</v>
      </c>
      <c r="I7821" s="1">
        <v>43035</v>
      </c>
      <c r="J7821">
        <v>0</v>
      </c>
    </row>
    <row r="7822" spans="1:10" x14ac:dyDescent="0.3">
      <c r="A7822" t="s">
        <v>7953</v>
      </c>
      <c r="B7822" t="s">
        <v>29</v>
      </c>
      <c r="C7822" t="str">
        <f>_xlfn.XLOOKUP(B7822,
[1]sales_teams!$A$2:$A$100,
[1]sales_teams!$B$2:$B$100)</f>
        <v>Celia Rouche</v>
      </c>
      <c r="D7822" t="str">
        <f>_xlfn.XLOOKUP($B7822,sales_teams!$A$2:$A$36,sales_teams!C$2:C$36)</f>
        <v>West</v>
      </c>
      <c r="E7822" t="s">
        <v>39</v>
      </c>
      <c r="F7822" t="s">
        <v>49</v>
      </c>
      <c r="G7822" t="s">
        <v>46</v>
      </c>
      <c r="H7822" s="1">
        <v>43034</v>
      </c>
      <c r="I7822" s="1">
        <v>43043</v>
      </c>
      <c r="J7822">
        <v>0</v>
      </c>
    </row>
    <row r="7823" spans="1:10" x14ac:dyDescent="0.3">
      <c r="A7823" t="s">
        <v>7954</v>
      </c>
      <c r="B7823" t="s">
        <v>73</v>
      </c>
      <c r="C7823" t="str">
        <f>_xlfn.XLOOKUP(B7823,
[1]sales_teams!$A$2:$A$100,
[1]sales_teams!$B$2:$B$100)</f>
        <v>Cara Losch</v>
      </c>
      <c r="D7823" t="str">
        <f>_xlfn.XLOOKUP($B7823,sales_teams!$A$2:$A$36,sales_teams!C$2:C$36)</f>
        <v>East</v>
      </c>
      <c r="E7823" t="s">
        <v>20</v>
      </c>
      <c r="F7823" t="s">
        <v>81</v>
      </c>
      <c r="G7823" t="s">
        <v>46</v>
      </c>
      <c r="H7823" s="1">
        <v>43034</v>
      </c>
      <c r="I7823" s="1">
        <v>43039</v>
      </c>
      <c r="J7823">
        <v>0</v>
      </c>
    </row>
    <row r="7824" spans="1:10" x14ac:dyDescent="0.3">
      <c r="A7824" t="s">
        <v>7955</v>
      </c>
      <c r="B7824" t="s">
        <v>73</v>
      </c>
      <c r="C7824" t="str">
        <f>_xlfn.XLOOKUP(B7824,
[1]sales_teams!$A$2:$A$100,
[1]sales_teams!$B$2:$B$100)</f>
        <v>Cara Losch</v>
      </c>
      <c r="D7824" t="str">
        <f>_xlfn.XLOOKUP($B7824,sales_teams!$A$2:$A$36,sales_teams!C$2:C$36)</f>
        <v>East</v>
      </c>
      <c r="E7824" t="s">
        <v>20</v>
      </c>
      <c r="F7824" t="s">
        <v>373</v>
      </c>
      <c r="G7824" t="s">
        <v>46</v>
      </c>
      <c r="H7824" s="1">
        <v>43034</v>
      </c>
      <c r="I7824" s="1">
        <v>43036</v>
      </c>
      <c r="J7824">
        <v>0</v>
      </c>
    </row>
    <row r="7825" spans="1:10" x14ac:dyDescent="0.3">
      <c r="A7825" t="s">
        <v>7956</v>
      </c>
      <c r="B7825" t="s">
        <v>23</v>
      </c>
      <c r="C7825" t="str">
        <f>_xlfn.XLOOKUP(B7825,
[1]sales_teams!$A$2:$A$100,
[1]sales_teams!$B$2:$B$100)</f>
        <v>Summer Sewald</v>
      </c>
      <c r="D7825" t="str">
        <f>_xlfn.XLOOKUP($B7825,sales_teams!$A$2:$A$36,sales_teams!C$2:C$36)</f>
        <v>West</v>
      </c>
      <c r="E7825" t="s">
        <v>15</v>
      </c>
      <c r="F7825" t="s">
        <v>109</v>
      </c>
      <c r="G7825" t="s">
        <v>40</v>
      </c>
      <c r="H7825" s="1">
        <v>43034</v>
      </c>
    </row>
    <row r="7826" spans="1:10" x14ac:dyDescent="0.3">
      <c r="A7826" t="s">
        <v>7957</v>
      </c>
      <c r="B7826" t="s">
        <v>26</v>
      </c>
      <c r="C7826" t="str">
        <f>_xlfn.XLOOKUP(B7826,
[1]sales_teams!$A$2:$A$100,
[1]sales_teams!$B$2:$B$100)</f>
        <v>Dustin Brinkmann</v>
      </c>
      <c r="D7826" t="str">
        <f>_xlfn.XLOOKUP($B7826,sales_teams!$A$2:$A$36,sales_teams!C$2:C$36)</f>
        <v>Central</v>
      </c>
      <c r="E7826" t="s">
        <v>48</v>
      </c>
      <c r="F7826" t="s">
        <v>126</v>
      </c>
      <c r="G7826" t="s">
        <v>12</v>
      </c>
      <c r="H7826" s="1">
        <v>43035</v>
      </c>
      <c r="I7826" s="1">
        <v>43076</v>
      </c>
      <c r="J7826">
        <v>5269</v>
      </c>
    </row>
    <row r="7827" spans="1:10" x14ac:dyDescent="0.3">
      <c r="A7827" t="s">
        <v>7958</v>
      </c>
      <c r="B7827" t="s">
        <v>139</v>
      </c>
      <c r="C7827" t="str">
        <f>_xlfn.XLOOKUP(B7827,
[1]sales_teams!$A$2:$A$100,
[1]sales_teams!$B$2:$B$100)</f>
        <v>Rocco Neubert</v>
      </c>
      <c r="D7827" t="str">
        <f>_xlfn.XLOOKUP($B7827,sales_teams!$A$2:$A$36,sales_teams!C$2:C$36)</f>
        <v>East</v>
      </c>
      <c r="E7827" t="s">
        <v>15</v>
      </c>
      <c r="F7827" t="s">
        <v>165</v>
      </c>
      <c r="G7827" t="s">
        <v>12</v>
      </c>
      <c r="H7827" s="1">
        <v>43035</v>
      </c>
      <c r="I7827" s="1">
        <v>43036</v>
      </c>
      <c r="J7827">
        <v>5275</v>
      </c>
    </row>
    <row r="7828" spans="1:10" x14ac:dyDescent="0.3">
      <c r="A7828" t="s">
        <v>7959</v>
      </c>
      <c r="B7828" t="s">
        <v>118</v>
      </c>
      <c r="C7828" t="str">
        <f>_xlfn.XLOOKUP(B7828,
[1]sales_teams!$A$2:$A$100,
[1]sales_teams!$B$2:$B$100)</f>
        <v>Rocco Neubert</v>
      </c>
      <c r="D7828" t="str">
        <f>_xlfn.XLOOKUP($B7828,sales_teams!$A$2:$A$36,sales_teams!C$2:C$36)</f>
        <v>East</v>
      </c>
      <c r="E7828" t="s">
        <v>48</v>
      </c>
      <c r="F7828" t="s">
        <v>65</v>
      </c>
      <c r="G7828" t="s">
        <v>46</v>
      </c>
      <c r="H7828" s="1">
        <v>43035</v>
      </c>
      <c r="I7828" s="1">
        <v>43037</v>
      </c>
      <c r="J7828">
        <v>0</v>
      </c>
    </row>
    <row r="7829" spans="1:10" x14ac:dyDescent="0.3">
      <c r="A7829" t="s">
        <v>7960</v>
      </c>
      <c r="B7829" t="s">
        <v>202</v>
      </c>
      <c r="C7829" t="str">
        <f>_xlfn.XLOOKUP(B7829,
[1]sales_teams!$A$2:$A$100,
[1]sales_teams!$B$2:$B$100)</f>
        <v>Dustin Brinkmann</v>
      </c>
      <c r="D7829" t="str">
        <f>_xlfn.XLOOKUP($B7829,sales_teams!$A$2:$A$36,sales_teams!C$2:C$36)</f>
        <v>Central</v>
      </c>
      <c r="E7829" t="s">
        <v>39</v>
      </c>
      <c r="F7829" t="s">
        <v>120</v>
      </c>
      <c r="G7829" t="s">
        <v>46</v>
      </c>
      <c r="H7829" s="1">
        <v>43035</v>
      </c>
      <c r="I7829" s="1">
        <v>43046</v>
      </c>
      <c r="J7829">
        <v>0</v>
      </c>
    </row>
    <row r="7830" spans="1:10" x14ac:dyDescent="0.3">
      <c r="A7830" t="s">
        <v>7961</v>
      </c>
      <c r="B7830" t="s">
        <v>164</v>
      </c>
      <c r="C7830" t="str">
        <f>_xlfn.XLOOKUP(B7830,
[1]sales_teams!$A$2:$A$100,
[1]sales_teams!$B$2:$B$100)</f>
        <v>Cara Losch</v>
      </c>
      <c r="D7830" t="str">
        <f>_xlfn.XLOOKUP($B7830,sales_teams!$A$2:$A$36,sales_teams!C$2:C$36)</f>
        <v>East</v>
      </c>
      <c r="E7830" t="s">
        <v>20</v>
      </c>
      <c r="F7830" t="s">
        <v>106</v>
      </c>
      <c r="G7830" t="s">
        <v>12</v>
      </c>
      <c r="H7830" s="1">
        <v>43035</v>
      </c>
      <c r="I7830" s="1">
        <v>43037</v>
      </c>
      <c r="J7830">
        <v>601</v>
      </c>
    </row>
    <row r="7831" spans="1:10" x14ac:dyDescent="0.3">
      <c r="A7831" t="s">
        <v>7962</v>
      </c>
      <c r="B7831" t="s">
        <v>14</v>
      </c>
      <c r="C7831" t="str">
        <f>_xlfn.XLOOKUP(B7831,
[1]sales_teams!$A$2:$A$100,
[1]sales_teams!$B$2:$B$100)</f>
        <v>Melvin Marxen</v>
      </c>
      <c r="D7831" t="str">
        <f>_xlfn.XLOOKUP($B7831,sales_teams!$A$2:$A$36,sales_teams!C$2:C$36)</f>
        <v>Central</v>
      </c>
      <c r="E7831" t="s">
        <v>145</v>
      </c>
      <c r="F7831" t="s">
        <v>62</v>
      </c>
      <c r="G7831" t="s">
        <v>46</v>
      </c>
      <c r="H7831" s="1">
        <v>43035</v>
      </c>
      <c r="I7831" s="1">
        <v>43049</v>
      </c>
      <c r="J7831">
        <v>0</v>
      </c>
    </row>
    <row r="7832" spans="1:10" x14ac:dyDescent="0.3">
      <c r="A7832" t="s">
        <v>7963</v>
      </c>
      <c r="B7832" t="s">
        <v>14</v>
      </c>
      <c r="C7832" t="str">
        <f>_xlfn.XLOOKUP(B7832,
[1]sales_teams!$A$2:$A$100,
[1]sales_teams!$B$2:$B$100)</f>
        <v>Melvin Marxen</v>
      </c>
      <c r="D7832" t="str">
        <f>_xlfn.XLOOKUP($B7832,sales_teams!$A$2:$A$36,sales_teams!C$2:C$36)</f>
        <v>Central</v>
      </c>
      <c r="E7832" t="s">
        <v>18</v>
      </c>
      <c r="F7832" t="s">
        <v>129</v>
      </c>
      <c r="G7832" t="s">
        <v>12</v>
      </c>
      <c r="H7832" s="1">
        <v>43035</v>
      </c>
      <c r="I7832" s="1">
        <v>43098</v>
      </c>
      <c r="J7832">
        <v>53</v>
      </c>
    </row>
    <row r="7833" spans="1:10" x14ac:dyDescent="0.3">
      <c r="A7833" t="s">
        <v>7964</v>
      </c>
      <c r="B7833" t="s">
        <v>67</v>
      </c>
      <c r="C7833" t="str">
        <f>_xlfn.XLOOKUP(B7833,
[1]sales_teams!$A$2:$A$100,
[1]sales_teams!$B$2:$B$100)</f>
        <v>Celia Rouche</v>
      </c>
      <c r="D7833" t="str">
        <f>_xlfn.XLOOKUP($B7833,sales_teams!$A$2:$A$36,sales_teams!C$2:C$36)</f>
        <v>West</v>
      </c>
      <c r="E7833" t="s">
        <v>18</v>
      </c>
      <c r="F7833" t="s">
        <v>398</v>
      </c>
      <c r="G7833" t="s">
        <v>12</v>
      </c>
      <c r="H7833" s="1">
        <v>43035</v>
      </c>
      <c r="I7833" s="1">
        <v>43049</v>
      </c>
      <c r="J7833">
        <v>46</v>
      </c>
    </row>
    <row r="7834" spans="1:10" x14ac:dyDescent="0.3">
      <c r="A7834" t="s">
        <v>7965</v>
      </c>
      <c r="B7834" t="s">
        <v>38</v>
      </c>
      <c r="C7834" t="str">
        <f>_xlfn.XLOOKUP(B7834,
[1]sales_teams!$A$2:$A$100,
[1]sales_teams!$B$2:$B$100)</f>
        <v>Summer Sewald</v>
      </c>
      <c r="D7834" t="str">
        <f>_xlfn.XLOOKUP($B7834,sales_teams!$A$2:$A$36,sales_teams!C$2:C$36)</f>
        <v>West</v>
      </c>
      <c r="E7834" t="s">
        <v>15</v>
      </c>
      <c r="F7834" t="s">
        <v>24</v>
      </c>
      <c r="G7834" t="s">
        <v>46</v>
      </c>
      <c r="H7834" s="1">
        <v>43035</v>
      </c>
      <c r="I7834" s="1">
        <v>43037</v>
      </c>
      <c r="J7834">
        <v>0</v>
      </c>
    </row>
    <row r="7835" spans="1:10" x14ac:dyDescent="0.3">
      <c r="A7835" t="s">
        <v>7966</v>
      </c>
      <c r="B7835" t="s">
        <v>252</v>
      </c>
      <c r="C7835" t="str">
        <f>_xlfn.XLOOKUP(B7835,
[1]sales_teams!$A$2:$A$100,
[1]sales_teams!$B$2:$B$100)</f>
        <v>Melvin Marxen</v>
      </c>
      <c r="D7835" t="str">
        <f>_xlfn.XLOOKUP($B7835,sales_teams!$A$2:$A$36,sales_teams!C$2:C$36)</f>
        <v>Central</v>
      </c>
      <c r="E7835" t="s">
        <v>20</v>
      </c>
      <c r="F7835" t="s">
        <v>62</v>
      </c>
      <c r="G7835" t="s">
        <v>12</v>
      </c>
      <c r="H7835" s="1">
        <v>43035</v>
      </c>
      <c r="I7835" s="1">
        <v>43037</v>
      </c>
      <c r="J7835">
        <v>538</v>
      </c>
    </row>
    <row r="7836" spans="1:10" x14ac:dyDescent="0.3">
      <c r="A7836" t="s">
        <v>7967</v>
      </c>
      <c r="B7836" t="s">
        <v>78</v>
      </c>
      <c r="C7836" t="str">
        <f>_xlfn.XLOOKUP(B7836,
[1]sales_teams!$A$2:$A$100,
[1]sales_teams!$B$2:$B$100)</f>
        <v>Summer Sewald</v>
      </c>
      <c r="D7836" t="str">
        <f>_xlfn.XLOOKUP($B7836,sales_teams!$A$2:$A$36,sales_teams!C$2:C$36)</f>
        <v>West</v>
      </c>
      <c r="E7836" t="s">
        <v>18</v>
      </c>
      <c r="F7836" t="s">
        <v>124</v>
      </c>
      <c r="G7836" t="s">
        <v>12</v>
      </c>
      <c r="H7836" s="1">
        <v>43035</v>
      </c>
      <c r="I7836" s="1">
        <v>43084</v>
      </c>
      <c r="J7836">
        <v>53</v>
      </c>
    </row>
    <row r="7837" spans="1:10" x14ac:dyDescent="0.3">
      <c r="A7837" t="s">
        <v>7968</v>
      </c>
      <c r="B7837" t="s">
        <v>133</v>
      </c>
      <c r="C7837" t="str">
        <f>_xlfn.XLOOKUP(B7837,
[1]sales_teams!$A$2:$A$100,
[1]sales_teams!$B$2:$B$100)</f>
        <v>Dustin Brinkmann</v>
      </c>
      <c r="D7837" t="str">
        <f>_xlfn.XLOOKUP($B7837,sales_teams!$A$2:$A$36,sales_teams!C$2:C$36)</f>
        <v>Central</v>
      </c>
      <c r="E7837" t="s">
        <v>39</v>
      </c>
      <c r="F7837" t="s">
        <v>197</v>
      </c>
      <c r="G7837" t="s">
        <v>12</v>
      </c>
      <c r="H7837" s="1">
        <v>43035</v>
      </c>
      <c r="I7837" s="1">
        <v>43042</v>
      </c>
      <c r="J7837">
        <v>3296</v>
      </c>
    </row>
    <row r="7838" spans="1:10" x14ac:dyDescent="0.3">
      <c r="A7838" t="s">
        <v>7969</v>
      </c>
      <c r="B7838" t="s">
        <v>32</v>
      </c>
      <c r="C7838" t="str">
        <f>_xlfn.XLOOKUP(B7838,
[1]sales_teams!$A$2:$A$100,
[1]sales_teams!$B$2:$B$100)</f>
        <v>Celia Rouche</v>
      </c>
      <c r="D7838" t="str">
        <f>_xlfn.XLOOKUP($B7838,sales_teams!$A$2:$A$36,sales_teams!C$2:C$36)</f>
        <v>West</v>
      </c>
      <c r="E7838" t="s">
        <v>20</v>
      </c>
      <c r="F7838" t="s">
        <v>224</v>
      </c>
      <c r="G7838" t="s">
        <v>46</v>
      </c>
      <c r="H7838" s="1">
        <v>43035</v>
      </c>
      <c r="I7838" s="1">
        <v>43036</v>
      </c>
      <c r="J7838">
        <v>0</v>
      </c>
    </row>
    <row r="7839" spans="1:10" x14ac:dyDescent="0.3">
      <c r="A7839" t="s">
        <v>7970</v>
      </c>
      <c r="B7839" t="s">
        <v>116</v>
      </c>
      <c r="C7839" t="str">
        <f>_xlfn.XLOOKUP(B7839,
[1]sales_teams!$A$2:$A$100,
[1]sales_teams!$B$2:$B$100)</f>
        <v>Melvin Marxen</v>
      </c>
      <c r="D7839" t="str">
        <f>_xlfn.XLOOKUP($B7839,sales_teams!$A$2:$A$36,sales_teams!C$2:C$36)</f>
        <v>Central</v>
      </c>
      <c r="E7839" t="s">
        <v>39</v>
      </c>
      <c r="F7839" t="s">
        <v>16</v>
      </c>
      <c r="G7839" t="s">
        <v>12</v>
      </c>
      <c r="H7839" s="1">
        <v>43035</v>
      </c>
      <c r="I7839" s="1">
        <v>43046</v>
      </c>
      <c r="J7839">
        <v>3561</v>
      </c>
    </row>
    <row r="7840" spans="1:10" x14ac:dyDescent="0.3">
      <c r="A7840" t="s">
        <v>7971</v>
      </c>
      <c r="B7840" t="s">
        <v>51</v>
      </c>
      <c r="C7840" t="str">
        <f>_xlfn.XLOOKUP(B7840,
[1]sales_teams!$A$2:$A$100,
[1]sales_teams!$B$2:$B$100)</f>
        <v>Summer Sewald</v>
      </c>
      <c r="D7840" t="str">
        <f>_xlfn.XLOOKUP($B7840,sales_teams!$A$2:$A$36,sales_teams!C$2:C$36)</f>
        <v>West</v>
      </c>
      <c r="E7840" t="s">
        <v>48</v>
      </c>
      <c r="F7840" t="s">
        <v>273</v>
      </c>
      <c r="G7840" t="s">
        <v>12</v>
      </c>
      <c r="H7840" s="1">
        <v>43035</v>
      </c>
      <c r="I7840" s="1">
        <v>43045</v>
      </c>
      <c r="J7840">
        <v>5655</v>
      </c>
    </row>
    <row r="7841" spans="1:10" x14ac:dyDescent="0.3">
      <c r="A7841" t="s">
        <v>7972</v>
      </c>
      <c r="B7841" t="s">
        <v>9</v>
      </c>
      <c r="C7841" t="str">
        <f>_xlfn.XLOOKUP(B7841,
[1]sales_teams!$A$2:$A$100,
[1]sales_teams!$B$2:$B$100)</f>
        <v>Dustin Brinkmann</v>
      </c>
      <c r="D7841" t="str">
        <f>_xlfn.XLOOKUP($B7841,sales_teams!$A$2:$A$36,sales_teams!C$2:C$36)</f>
        <v>Central</v>
      </c>
      <c r="E7841" t="s">
        <v>20</v>
      </c>
      <c r="F7841" t="s">
        <v>207</v>
      </c>
      <c r="G7841" t="s">
        <v>12</v>
      </c>
      <c r="H7841" s="1">
        <v>43035</v>
      </c>
      <c r="I7841" s="1">
        <v>43083</v>
      </c>
      <c r="J7841">
        <v>656</v>
      </c>
    </row>
    <row r="7842" spans="1:10" x14ac:dyDescent="0.3">
      <c r="A7842" t="s">
        <v>7973</v>
      </c>
      <c r="B7842" t="s">
        <v>97</v>
      </c>
      <c r="C7842" t="str">
        <f>_xlfn.XLOOKUP(B7842,
[1]sales_teams!$A$2:$A$100,
[1]sales_teams!$B$2:$B$100)</f>
        <v>Rocco Neubert</v>
      </c>
      <c r="D7842" t="str">
        <f>_xlfn.XLOOKUP($B7842,sales_teams!$A$2:$A$36,sales_teams!C$2:C$36)</f>
        <v>East</v>
      </c>
      <c r="E7842" t="s">
        <v>39</v>
      </c>
      <c r="F7842" t="s">
        <v>209</v>
      </c>
      <c r="G7842" t="s">
        <v>12</v>
      </c>
      <c r="H7842" s="1">
        <v>43035</v>
      </c>
      <c r="I7842" s="1">
        <v>43044</v>
      </c>
      <c r="J7842">
        <v>3258</v>
      </c>
    </row>
    <row r="7843" spans="1:10" x14ac:dyDescent="0.3">
      <c r="A7843" t="s">
        <v>7974</v>
      </c>
      <c r="B7843" t="s">
        <v>57</v>
      </c>
      <c r="C7843" t="str">
        <f>_xlfn.XLOOKUP(B7843,
[1]sales_teams!$A$2:$A$100,
[1]sales_teams!$B$2:$B$100)</f>
        <v>Celia Rouche</v>
      </c>
      <c r="D7843" t="str">
        <f>_xlfn.XLOOKUP($B7843,sales_teams!$A$2:$A$36,sales_teams!C$2:C$36)</f>
        <v>West</v>
      </c>
      <c r="E7843" t="s">
        <v>20</v>
      </c>
      <c r="F7843" t="s">
        <v>148</v>
      </c>
      <c r="G7843" t="s">
        <v>12</v>
      </c>
      <c r="H7843" s="1">
        <v>43035</v>
      </c>
      <c r="I7843" s="1">
        <v>43051</v>
      </c>
      <c r="J7843">
        <v>577</v>
      </c>
    </row>
    <row r="7844" spans="1:10" x14ac:dyDescent="0.3">
      <c r="A7844" t="s">
        <v>7975</v>
      </c>
      <c r="B7844" t="s">
        <v>61</v>
      </c>
      <c r="C7844" t="str">
        <f>_xlfn.XLOOKUP(B7844,
[1]sales_teams!$A$2:$A$100,
[1]sales_teams!$B$2:$B$100)</f>
        <v>Dustin Brinkmann</v>
      </c>
      <c r="D7844" t="str">
        <f>_xlfn.XLOOKUP($B7844,sales_teams!$A$2:$A$36,sales_teams!C$2:C$36)</f>
        <v>Central</v>
      </c>
      <c r="E7844" t="s">
        <v>18</v>
      </c>
      <c r="F7844" t="s">
        <v>187</v>
      </c>
      <c r="G7844" t="s">
        <v>12</v>
      </c>
      <c r="H7844" s="1">
        <v>43035</v>
      </c>
      <c r="I7844" s="1">
        <v>43036</v>
      </c>
      <c r="J7844">
        <v>50</v>
      </c>
    </row>
    <row r="7845" spans="1:10" x14ac:dyDescent="0.3">
      <c r="A7845" t="s">
        <v>7976</v>
      </c>
      <c r="B7845" t="s">
        <v>29</v>
      </c>
      <c r="C7845" t="str">
        <f>_xlfn.XLOOKUP(B7845,
[1]sales_teams!$A$2:$A$100,
[1]sales_teams!$B$2:$B$100)</f>
        <v>Celia Rouche</v>
      </c>
      <c r="D7845" t="str">
        <f>_xlfn.XLOOKUP($B7845,sales_teams!$A$2:$A$36,sales_teams!C$2:C$36)</f>
        <v>West</v>
      </c>
      <c r="E7845" t="s">
        <v>20</v>
      </c>
      <c r="F7845" t="s">
        <v>184</v>
      </c>
      <c r="G7845" t="s">
        <v>46</v>
      </c>
      <c r="H7845" s="1">
        <v>43035</v>
      </c>
      <c r="I7845" s="1">
        <v>43037</v>
      </c>
      <c r="J7845">
        <v>0</v>
      </c>
    </row>
    <row r="7846" spans="1:10" x14ac:dyDescent="0.3">
      <c r="A7846" t="s">
        <v>7977</v>
      </c>
      <c r="B7846" t="s">
        <v>26</v>
      </c>
      <c r="C7846" t="str">
        <f>_xlfn.XLOOKUP(B7846,
[1]sales_teams!$A$2:$A$100,
[1]sales_teams!$B$2:$B$100)</f>
        <v>Dustin Brinkmann</v>
      </c>
      <c r="D7846" t="str">
        <f>_xlfn.XLOOKUP($B7846,sales_teams!$A$2:$A$36,sales_teams!C$2:C$36)</f>
        <v>Central</v>
      </c>
      <c r="E7846" t="s">
        <v>18</v>
      </c>
      <c r="F7846" t="s">
        <v>91</v>
      </c>
      <c r="G7846" t="s">
        <v>12</v>
      </c>
      <c r="H7846" s="1">
        <v>43036</v>
      </c>
      <c r="I7846" s="1">
        <v>43037</v>
      </c>
      <c r="J7846">
        <v>66</v>
      </c>
    </row>
    <row r="7847" spans="1:10" x14ac:dyDescent="0.3">
      <c r="A7847" t="s">
        <v>7978</v>
      </c>
      <c r="B7847" t="s">
        <v>164</v>
      </c>
      <c r="C7847" t="str">
        <f>_xlfn.XLOOKUP(B7847,
[1]sales_teams!$A$2:$A$100,
[1]sales_teams!$B$2:$B$100)</f>
        <v>Cara Losch</v>
      </c>
      <c r="D7847" t="str">
        <f>_xlfn.XLOOKUP($B7847,sales_teams!$A$2:$A$36,sales_teams!C$2:C$36)</f>
        <v>East</v>
      </c>
      <c r="E7847" t="s">
        <v>10</v>
      </c>
      <c r="F7847" t="s">
        <v>237</v>
      </c>
      <c r="G7847" t="s">
        <v>12</v>
      </c>
      <c r="H7847" s="1">
        <v>43036</v>
      </c>
      <c r="I7847" s="1">
        <v>43051</v>
      </c>
      <c r="J7847">
        <v>1079</v>
      </c>
    </row>
    <row r="7848" spans="1:10" x14ac:dyDescent="0.3">
      <c r="A7848" t="s">
        <v>7979</v>
      </c>
      <c r="B7848" t="s">
        <v>14</v>
      </c>
      <c r="C7848" t="str">
        <f>_xlfn.XLOOKUP(B7848,
[1]sales_teams!$A$2:$A$100,
[1]sales_teams!$B$2:$B$100)</f>
        <v>Melvin Marxen</v>
      </c>
      <c r="D7848" t="str">
        <f>_xlfn.XLOOKUP($B7848,sales_teams!$A$2:$A$36,sales_teams!C$2:C$36)</f>
        <v>Central</v>
      </c>
      <c r="E7848" t="s">
        <v>39</v>
      </c>
      <c r="F7848" t="s">
        <v>120</v>
      </c>
      <c r="G7848" t="s">
        <v>46</v>
      </c>
      <c r="H7848" s="1">
        <v>43036</v>
      </c>
      <c r="I7848" s="1">
        <v>43037</v>
      </c>
      <c r="J7848">
        <v>0</v>
      </c>
    </row>
    <row r="7849" spans="1:10" x14ac:dyDescent="0.3">
      <c r="A7849" t="s">
        <v>7980</v>
      </c>
      <c r="B7849" t="s">
        <v>142</v>
      </c>
      <c r="C7849" t="str">
        <f>_xlfn.XLOOKUP(B7849,
[1]sales_teams!$A$2:$A$100,
[1]sales_teams!$B$2:$B$100)</f>
        <v>Rocco Neubert</v>
      </c>
      <c r="D7849" t="str">
        <f>_xlfn.XLOOKUP($B7849,sales_teams!$A$2:$A$36,sales_teams!C$2:C$36)</f>
        <v>East</v>
      </c>
      <c r="E7849" t="s">
        <v>39</v>
      </c>
      <c r="F7849" t="s">
        <v>209</v>
      </c>
      <c r="G7849" t="s">
        <v>46</v>
      </c>
      <c r="H7849" s="1">
        <v>43036</v>
      </c>
      <c r="I7849" s="1">
        <v>43042</v>
      </c>
      <c r="J7849">
        <v>0</v>
      </c>
    </row>
    <row r="7850" spans="1:10" x14ac:dyDescent="0.3">
      <c r="A7850" t="s">
        <v>7981</v>
      </c>
      <c r="B7850" t="s">
        <v>67</v>
      </c>
      <c r="C7850" t="str">
        <f>_xlfn.XLOOKUP(B7850,
[1]sales_teams!$A$2:$A$100,
[1]sales_teams!$B$2:$B$100)</f>
        <v>Celia Rouche</v>
      </c>
      <c r="D7850" t="str">
        <f>_xlfn.XLOOKUP($B7850,sales_teams!$A$2:$A$36,sales_teams!C$2:C$36)</f>
        <v>West</v>
      </c>
      <c r="E7850" t="s">
        <v>145</v>
      </c>
      <c r="F7850" t="s">
        <v>33</v>
      </c>
      <c r="G7850" t="s">
        <v>12</v>
      </c>
      <c r="H7850" s="1">
        <v>43036</v>
      </c>
      <c r="I7850" s="1">
        <v>43037</v>
      </c>
      <c r="J7850">
        <v>27971</v>
      </c>
    </row>
    <row r="7851" spans="1:10" x14ac:dyDescent="0.3">
      <c r="A7851" t="s">
        <v>7982</v>
      </c>
      <c r="B7851" t="s">
        <v>78</v>
      </c>
      <c r="C7851" t="str">
        <f>_xlfn.XLOOKUP(B7851,
[1]sales_teams!$A$2:$A$100,
[1]sales_teams!$B$2:$B$100)</f>
        <v>Summer Sewald</v>
      </c>
      <c r="D7851" t="str">
        <f>_xlfn.XLOOKUP($B7851,sales_teams!$A$2:$A$36,sales_teams!C$2:C$36)</f>
        <v>West</v>
      </c>
      <c r="E7851" t="s">
        <v>48</v>
      </c>
      <c r="G7851" t="s">
        <v>40</v>
      </c>
      <c r="H7851" s="1">
        <v>43036</v>
      </c>
    </row>
    <row r="7852" spans="1:10" x14ac:dyDescent="0.3">
      <c r="A7852" t="s">
        <v>7983</v>
      </c>
      <c r="B7852" t="s">
        <v>95</v>
      </c>
      <c r="C7852" t="str">
        <f>_xlfn.XLOOKUP(B7852,
[1]sales_teams!$A$2:$A$100,
[1]sales_teams!$B$2:$B$100)</f>
        <v>Summer Sewald</v>
      </c>
      <c r="D7852" t="str">
        <f>_xlfn.XLOOKUP($B7852,sales_teams!$A$2:$A$36,sales_teams!C$2:C$36)</f>
        <v>West</v>
      </c>
      <c r="E7852" t="s">
        <v>20</v>
      </c>
      <c r="F7852" t="s">
        <v>93</v>
      </c>
      <c r="G7852" t="s">
        <v>40</v>
      </c>
      <c r="H7852" s="1">
        <v>43036</v>
      </c>
    </row>
    <row r="7853" spans="1:10" x14ac:dyDescent="0.3">
      <c r="A7853" t="s">
        <v>7984</v>
      </c>
      <c r="B7853" t="s">
        <v>32</v>
      </c>
      <c r="C7853" t="str">
        <f>_xlfn.XLOOKUP(B7853,
[1]sales_teams!$A$2:$A$100,
[1]sales_teams!$B$2:$B$100)</f>
        <v>Celia Rouche</v>
      </c>
      <c r="D7853" t="str">
        <f>_xlfn.XLOOKUP($B7853,sales_teams!$A$2:$A$36,sales_teams!C$2:C$36)</f>
        <v>West</v>
      </c>
      <c r="E7853" t="s">
        <v>20</v>
      </c>
      <c r="F7853" t="s">
        <v>159</v>
      </c>
      <c r="G7853" t="s">
        <v>12</v>
      </c>
      <c r="H7853" s="1">
        <v>43036</v>
      </c>
      <c r="I7853" s="1">
        <v>43050</v>
      </c>
      <c r="J7853">
        <v>598</v>
      </c>
    </row>
    <row r="7854" spans="1:10" x14ac:dyDescent="0.3">
      <c r="A7854" t="s">
        <v>7985</v>
      </c>
      <c r="B7854" t="s">
        <v>61</v>
      </c>
      <c r="C7854" t="str">
        <f>_xlfn.XLOOKUP(B7854,
[1]sales_teams!$A$2:$A$100,
[1]sales_teams!$B$2:$B$100)</f>
        <v>Dustin Brinkmann</v>
      </c>
      <c r="D7854" t="str">
        <f>_xlfn.XLOOKUP($B7854,sales_teams!$A$2:$A$36,sales_teams!C$2:C$36)</f>
        <v>Central</v>
      </c>
      <c r="E7854" t="s">
        <v>18</v>
      </c>
      <c r="F7854" t="s">
        <v>187</v>
      </c>
      <c r="G7854" t="s">
        <v>46</v>
      </c>
      <c r="H7854" s="1">
        <v>43036</v>
      </c>
      <c r="I7854" s="1">
        <v>43037</v>
      </c>
      <c r="J7854">
        <v>0</v>
      </c>
    </row>
    <row r="7855" spans="1:10" x14ac:dyDescent="0.3">
      <c r="A7855" t="s">
        <v>7986</v>
      </c>
      <c r="B7855" t="s">
        <v>29</v>
      </c>
      <c r="C7855" t="str">
        <f>_xlfn.XLOOKUP(B7855,
[1]sales_teams!$A$2:$A$100,
[1]sales_teams!$B$2:$B$100)</f>
        <v>Celia Rouche</v>
      </c>
      <c r="D7855" t="str">
        <f>_xlfn.XLOOKUP($B7855,sales_teams!$A$2:$A$36,sales_teams!C$2:C$36)</f>
        <v>West</v>
      </c>
      <c r="E7855" t="s">
        <v>15</v>
      </c>
      <c r="F7855" t="s">
        <v>30</v>
      </c>
      <c r="G7855" t="s">
        <v>46</v>
      </c>
      <c r="H7855" s="1">
        <v>43036</v>
      </c>
      <c r="I7855" s="1">
        <v>43037</v>
      </c>
      <c r="J7855">
        <v>0</v>
      </c>
    </row>
    <row r="7856" spans="1:10" x14ac:dyDescent="0.3">
      <c r="A7856" t="s">
        <v>7987</v>
      </c>
      <c r="B7856" t="s">
        <v>73</v>
      </c>
      <c r="C7856" t="str">
        <f>_xlfn.XLOOKUP(B7856,
[1]sales_teams!$A$2:$A$100,
[1]sales_teams!$B$2:$B$100)</f>
        <v>Cara Losch</v>
      </c>
      <c r="D7856" t="str">
        <f>_xlfn.XLOOKUP($B7856,sales_teams!$A$2:$A$36,sales_teams!C$2:C$36)</f>
        <v>East</v>
      </c>
      <c r="E7856" t="s">
        <v>18</v>
      </c>
      <c r="F7856" t="s">
        <v>745</v>
      </c>
      <c r="G7856" t="s">
        <v>12</v>
      </c>
      <c r="H7856" s="1">
        <v>43036</v>
      </c>
      <c r="I7856" s="1">
        <v>43053</v>
      </c>
      <c r="J7856">
        <v>61</v>
      </c>
    </row>
    <row r="7857" spans="1:10" x14ac:dyDescent="0.3">
      <c r="A7857" t="s">
        <v>7988</v>
      </c>
      <c r="B7857" t="s">
        <v>23</v>
      </c>
      <c r="C7857" t="str">
        <f>_xlfn.XLOOKUP(B7857,
[1]sales_teams!$A$2:$A$100,
[1]sales_teams!$B$2:$B$100)</f>
        <v>Summer Sewald</v>
      </c>
      <c r="D7857" t="str">
        <f>_xlfn.XLOOKUP($B7857,sales_teams!$A$2:$A$36,sales_teams!C$2:C$36)</f>
        <v>West</v>
      </c>
      <c r="E7857" t="s">
        <v>20</v>
      </c>
      <c r="F7857" t="s">
        <v>68</v>
      </c>
      <c r="G7857" t="s">
        <v>46</v>
      </c>
      <c r="H7857" s="1">
        <v>43036</v>
      </c>
      <c r="I7857" s="1">
        <v>43046</v>
      </c>
      <c r="J7857">
        <v>0</v>
      </c>
    </row>
    <row r="7858" spans="1:10" x14ac:dyDescent="0.3">
      <c r="A7858" t="s">
        <v>7989</v>
      </c>
      <c r="B7858" t="s">
        <v>23</v>
      </c>
      <c r="C7858" t="str">
        <f>_xlfn.XLOOKUP(B7858,
[1]sales_teams!$A$2:$A$100,
[1]sales_teams!$B$2:$B$100)</f>
        <v>Summer Sewald</v>
      </c>
      <c r="D7858" t="str">
        <f>_xlfn.XLOOKUP($B7858,sales_teams!$A$2:$A$36,sales_teams!C$2:C$36)</f>
        <v>West</v>
      </c>
      <c r="E7858" t="s">
        <v>39</v>
      </c>
      <c r="F7858" t="s">
        <v>168</v>
      </c>
      <c r="G7858" t="s">
        <v>12</v>
      </c>
      <c r="H7858" s="1">
        <v>43036</v>
      </c>
      <c r="I7858" s="1">
        <v>43051</v>
      </c>
      <c r="J7858">
        <v>3082</v>
      </c>
    </row>
    <row r="7859" spans="1:10" x14ac:dyDescent="0.3">
      <c r="A7859" t="s">
        <v>7990</v>
      </c>
      <c r="B7859" t="s">
        <v>118</v>
      </c>
      <c r="C7859" t="str">
        <f>_xlfn.XLOOKUP(B7859,
[1]sales_teams!$A$2:$A$100,
[1]sales_teams!$B$2:$B$100)</f>
        <v>Rocco Neubert</v>
      </c>
      <c r="D7859" t="str">
        <f>_xlfn.XLOOKUP($B7859,sales_teams!$A$2:$A$36,sales_teams!C$2:C$36)</f>
        <v>East</v>
      </c>
      <c r="E7859" t="s">
        <v>20</v>
      </c>
      <c r="F7859" t="s">
        <v>237</v>
      </c>
      <c r="G7859" t="s">
        <v>46</v>
      </c>
      <c r="H7859" s="1">
        <v>43037</v>
      </c>
      <c r="I7859" s="1">
        <v>43051</v>
      </c>
      <c r="J7859">
        <v>0</v>
      </c>
    </row>
    <row r="7860" spans="1:10" x14ac:dyDescent="0.3">
      <c r="A7860" t="s">
        <v>7991</v>
      </c>
      <c r="B7860" t="s">
        <v>164</v>
      </c>
      <c r="C7860" t="str">
        <f>_xlfn.XLOOKUP(B7860,
[1]sales_teams!$A$2:$A$100,
[1]sales_teams!$B$2:$B$100)</f>
        <v>Cara Losch</v>
      </c>
      <c r="D7860" t="str">
        <f>_xlfn.XLOOKUP($B7860,sales_teams!$A$2:$A$36,sales_teams!C$2:C$36)</f>
        <v>East</v>
      </c>
      <c r="E7860" t="s">
        <v>48</v>
      </c>
      <c r="F7860" t="s">
        <v>177</v>
      </c>
      <c r="G7860" t="s">
        <v>12</v>
      </c>
      <c r="H7860" s="1">
        <v>43037</v>
      </c>
      <c r="I7860" s="1">
        <v>43050</v>
      </c>
      <c r="J7860">
        <v>5646</v>
      </c>
    </row>
    <row r="7861" spans="1:10" x14ac:dyDescent="0.3">
      <c r="A7861" t="s">
        <v>7992</v>
      </c>
      <c r="B7861" t="s">
        <v>14</v>
      </c>
      <c r="C7861" t="str">
        <f>_xlfn.XLOOKUP(B7861,
[1]sales_teams!$A$2:$A$100,
[1]sales_teams!$B$2:$B$100)</f>
        <v>Melvin Marxen</v>
      </c>
      <c r="D7861" t="str">
        <f>_xlfn.XLOOKUP($B7861,sales_teams!$A$2:$A$36,sales_teams!C$2:C$36)</f>
        <v>Central</v>
      </c>
      <c r="E7861" t="s">
        <v>39</v>
      </c>
      <c r="F7861" t="s">
        <v>21</v>
      </c>
      <c r="G7861" t="s">
        <v>46</v>
      </c>
      <c r="H7861" s="1">
        <v>43037</v>
      </c>
      <c r="I7861" s="1">
        <v>43043</v>
      </c>
      <c r="J7861">
        <v>0</v>
      </c>
    </row>
    <row r="7862" spans="1:10" x14ac:dyDescent="0.3">
      <c r="A7862" t="s">
        <v>7993</v>
      </c>
      <c r="B7862" t="s">
        <v>14</v>
      </c>
      <c r="C7862" t="str">
        <f>_xlfn.XLOOKUP(B7862,
[1]sales_teams!$A$2:$A$100,
[1]sales_teams!$B$2:$B$100)</f>
        <v>Melvin Marxen</v>
      </c>
      <c r="D7862" t="str">
        <f>_xlfn.XLOOKUP($B7862,sales_teams!$A$2:$A$36,sales_teams!C$2:C$36)</f>
        <v>Central</v>
      </c>
      <c r="E7862" t="s">
        <v>15</v>
      </c>
      <c r="F7862" t="s">
        <v>21</v>
      </c>
      <c r="G7862" t="s">
        <v>12</v>
      </c>
      <c r="H7862" s="1">
        <v>43037</v>
      </c>
      <c r="I7862" s="1">
        <v>43038</v>
      </c>
      <c r="J7862">
        <v>4733</v>
      </c>
    </row>
    <row r="7863" spans="1:10" x14ac:dyDescent="0.3">
      <c r="A7863" t="s">
        <v>7994</v>
      </c>
      <c r="B7863" t="s">
        <v>44</v>
      </c>
      <c r="C7863" t="str">
        <f>_xlfn.XLOOKUP(B7863,
[1]sales_teams!$A$2:$A$100,
[1]sales_teams!$B$2:$B$100)</f>
        <v>Melvin Marxen</v>
      </c>
      <c r="D7863" t="str">
        <f>_xlfn.XLOOKUP($B7863,sales_teams!$A$2:$A$36,sales_teams!C$2:C$36)</f>
        <v>Central</v>
      </c>
      <c r="E7863" t="s">
        <v>39</v>
      </c>
      <c r="F7863" t="s">
        <v>11</v>
      </c>
      <c r="G7863" t="s">
        <v>12</v>
      </c>
      <c r="H7863" s="1">
        <v>43037</v>
      </c>
      <c r="I7863" s="1">
        <v>43099</v>
      </c>
      <c r="J7863">
        <v>2931</v>
      </c>
    </row>
    <row r="7864" spans="1:10" x14ac:dyDescent="0.3">
      <c r="A7864" t="s">
        <v>7995</v>
      </c>
      <c r="B7864" t="s">
        <v>252</v>
      </c>
      <c r="C7864" t="str">
        <f>_xlfn.XLOOKUP(B7864,
[1]sales_teams!$A$2:$A$100,
[1]sales_teams!$B$2:$B$100)</f>
        <v>Melvin Marxen</v>
      </c>
      <c r="D7864" t="str">
        <f>_xlfn.XLOOKUP($B7864,sales_teams!$A$2:$A$36,sales_teams!C$2:C$36)</f>
        <v>Central</v>
      </c>
      <c r="E7864" t="s">
        <v>18</v>
      </c>
      <c r="F7864" t="s">
        <v>42</v>
      </c>
      <c r="G7864" t="s">
        <v>12</v>
      </c>
      <c r="H7864" s="1">
        <v>43037</v>
      </c>
      <c r="I7864" s="1">
        <v>43039</v>
      </c>
      <c r="J7864">
        <v>62</v>
      </c>
    </row>
    <row r="7865" spans="1:10" x14ac:dyDescent="0.3">
      <c r="A7865" t="s">
        <v>7996</v>
      </c>
      <c r="B7865" t="s">
        <v>88</v>
      </c>
      <c r="C7865" t="str">
        <f>_xlfn.XLOOKUP(B7865,
[1]sales_teams!$A$2:$A$100,
[1]sales_teams!$B$2:$B$100)</f>
        <v>Cara Losch</v>
      </c>
      <c r="D7865" t="str">
        <f>_xlfn.XLOOKUP($B7865,sales_teams!$A$2:$A$36,sales_teams!C$2:C$36)</f>
        <v>East</v>
      </c>
      <c r="E7865" t="s">
        <v>39</v>
      </c>
      <c r="F7865" t="s">
        <v>199</v>
      </c>
      <c r="G7865" t="s">
        <v>46</v>
      </c>
      <c r="H7865" s="1">
        <v>43037</v>
      </c>
      <c r="I7865" s="1">
        <v>43042</v>
      </c>
      <c r="J7865">
        <v>0</v>
      </c>
    </row>
    <row r="7866" spans="1:10" x14ac:dyDescent="0.3">
      <c r="A7866" t="s">
        <v>7997</v>
      </c>
      <c r="B7866" t="s">
        <v>23</v>
      </c>
      <c r="C7866" t="str">
        <f>_xlfn.XLOOKUP(B7866,
[1]sales_teams!$A$2:$A$100,
[1]sales_teams!$B$2:$B$100)</f>
        <v>Summer Sewald</v>
      </c>
      <c r="D7866" t="str">
        <f>_xlfn.XLOOKUP($B7866,sales_teams!$A$2:$A$36,sales_teams!C$2:C$36)</f>
        <v>West</v>
      </c>
      <c r="E7866" t="s">
        <v>15</v>
      </c>
      <c r="F7866" t="s">
        <v>100</v>
      </c>
      <c r="G7866" t="s">
        <v>12</v>
      </c>
      <c r="H7866" s="1">
        <v>43037</v>
      </c>
      <c r="I7866" s="1">
        <v>43039</v>
      </c>
      <c r="J7866">
        <v>4178</v>
      </c>
    </row>
    <row r="7867" spans="1:10" x14ac:dyDescent="0.3">
      <c r="A7867" t="s">
        <v>7998</v>
      </c>
      <c r="B7867" t="s">
        <v>118</v>
      </c>
      <c r="C7867" t="str">
        <f>_xlfn.XLOOKUP(B7867,
[1]sales_teams!$A$2:$A$100,
[1]sales_teams!$B$2:$B$100)</f>
        <v>Rocco Neubert</v>
      </c>
      <c r="D7867" t="str">
        <f>_xlfn.XLOOKUP($B7867,sales_teams!$A$2:$A$36,sales_teams!C$2:C$36)</f>
        <v>East</v>
      </c>
      <c r="E7867" t="s">
        <v>15</v>
      </c>
      <c r="F7867" t="s">
        <v>179</v>
      </c>
      <c r="G7867" t="s">
        <v>12</v>
      </c>
      <c r="H7867" s="1">
        <v>43038</v>
      </c>
      <c r="I7867" s="1">
        <v>43043</v>
      </c>
      <c r="J7867">
        <v>5239</v>
      </c>
    </row>
    <row r="7868" spans="1:10" x14ac:dyDescent="0.3">
      <c r="A7868" t="s">
        <v>7999</v>
      </c>
      <c r="B7868" t="s">
        <v>64</v>
      </c>
      <c r="C7868" t="str">
        <f>_xlfn.XLOOKUP(B7868,
[1]sales_teams!$A$2:$A$100,
[1]sales_teams!$B$2:$B$100)</f>
        <v>Rocco Neubert</v>
      </c>
      <c r="D7868" t="str">
        <f>_xlfn.XLOOKUP($B7868,sales_teams!$A$2:$A$36,sales_teams!C$2:C$36)</f>
        <v>East</v>
      </c>
      <c r="E7868" t="s">
        <v>10</v>
      </c>
      <c r="F7868" t="s">
        <v>98</v>
      </c>
      <c r="G7868" t="s">
        <v>40</v>
      </c>
      <c r="H7868" s="1">
        <v>43038</v>
      </c>
    </row>
    <row r="7869" spans="1:10" x14ac:dyDescent="0.3">
      <c r="A7869" t="s">
        <v>8000</v>
      </c>
      <c r="B7869" t="s">
        <v>44</v>
      </c>
      <c r="C7869" t="str">
        <f>_xlfn.XLOOKUP(B7869,
[1]sales_teams!$A$2:$A$100,
[1]sales_teams!$B$2:$B$100)</f>
        <v>Melvin Marxen</v>
      </c>
      <c r="D7869" t="str">
        <f>_xlfn.XLOOKUP($B7869,sales_teams!$A$2:$A$36,sales_teams!C$2:C$36)</f>
        <v>Central</v>
      </c>
      <c r="E7869" t="s">
        <v>20</v>
      </c>
      <c r="F7869" t="s">
        <v>62</v>
      </c>
      <c r="G7869" t="s">
        <v>12</v>
      </c>
      <c r="H7869" s="1">
        <v>43038</v>
      </c>
      <c r="I7869" s="1">
        <v>43050</v>
      </c>
      <c r="J7869">
        <v>539</v>
      </c>
    </row>
    <row r="7870" spans="1:10" x14ac:dyDescent="0.3">
      <c r="A7870" t="s">
        <v>8001</v>
      </c>
      <c r="B7870" t="s">
        <v>54</v>
      </c>
      <c r="C7870" t="str">
        <f>_xlfn.XLOOKUP(B7870,
[1]sales_teams!$A$2:$A$100,
[1]sales_teams!$B$2:$B$100)</f>
        <v>Celia Rouche</v>
      </c>
      <c r="D7870" t="str">
        <f>_xlfn.XLOOKUP($B7870,sales_teams!$A$2:$A$36,sales_teams!C$2:C$36)</f>
        <v>West</v>
      </c>
      <c r="E7870" t="s">
        <v>18</v>
      </c>
      <c r="G7870" t="s">
        <v>40</v>
      </c>
      <c r="H7870" s="1">
        <v>43038</v>
      </c>
    </row>
    <row r="7871" spans="1:10" x14ac:dyDescent="0.3">
      <c r="A7871" t="s">
        <v>8002</v>
      </c>
      <c r="B7871" t="s">
        <v>252</v>
      </c>
      <c r="C7871" t="str">
        <f>_xlfn.XLOOKUP(B7871,
[1]sales_teams!$A$2:$A$100,
[1]sales_teams!$B$2:$B$100)</f>
        <v>Melvin Marxen</v>
      </c>
      <c r="D7871" t="str">
        <f>_xlfn.XLOOKUP($B7871,sales_teams!$A$2:$A$36,sales_teams!C$2:C$36)</f>
        <v>Central</v>
      </c>
      <c r="E7871" t="s">
        <v>10</v>
      </c>
      <c r="F7871" t="s">
        <v>151</v>
      </c>
      <c r="G7871" t="s">
        <v>12</v>
      </c>
      <c r="H7871" s="1">
        <v>43038</v>
      </c>
      <c r="I7871" s="1">
        <v>43039</v>
      </c>
      <c r="J7871">
        <v>973</v>
      </c>
    </row>
    <row r="7872" spans="1:10" x14ac:dyDescent="0.3">
      <c r="A7872" t="s">
        <v>8003</v>
      </c>
      <c r="B7872" t="s">
        <v>133</v>
      </c>
      <c r="C7872" t="str">
        <f>_xlfn.XLOOKUP(B7872,
[1]sales_teams!$A$2:$A$100,
[1]sales_teams!$B$2:$B$100)</f>
        <v>Dustin Brinkmann</v>
      </c>
      <c r="D7872" t="str">
        <f>_xlfn.XLOOKUP($B7872,sales_teams!$A$2:$A$36,sales_teams!C$2:C$36)</f>
        <v>Central</v>
      </c>
      <c r="E7872" t="s">
        <v>18</v>
      </c>
      <c r="F7872" t="s">
        <v>187</v>
      </c>
      <c r="G7872" t="s">
        <v>46</v>
      </c>
      <c r="H7872" s="1">
        <v>43038</v>
      </c>
      <c r="I7872" s="1">
        <v>43039</v>
      </c>
      <c r="J7872">
        <v>0</v>
      </c>
    </row>
    <row r="7873" spans="1:10" x14ac:dyDescent="0.3">
      <c r="A7873" t="s">
        <v>8004</v>
      </c>
      <c r="B7873" t="s">
        <v>97</v>
      </c>
      <c r="C7873" t="str">
        <f>_xlfn.XLOOKUP(B7873,
[1]sales_teams!$A$2:$A$100,
[1]sales_teams!$B$2:$B$100)</f>
        <v>Rocco Neubert</v>
      </c>
      <c r="D7873" t="str">
        <f>_xlfn.XLOOKUP($B7873,sales_teams!$A$2:$A$36,sales_teams!C$2:C$36)</f>
        <v>East</v>
      </c>
      <c r="E7873" t="s">
        <v>48</v>
      </c>
      <c r="F7873" t="s">
        <v>81</v>
      </c>
      <c r="G7873" t="s">
        <v>46</v>
      </c>
      <c r="H7873" s="1">
        <v>43038</v>
      </c>
      <c r="I7873" s="1">
        <v>43039</v>
      </c>
      <c r="J7873">
        <v>0</v>
      </c>
    </row>
    <row r="7874" spans="1:10" x14ac:dyDescent="0.3">
      <c r="A7874" t="s">
        <v>8005</v>
      </c>
      <c r="B7874" t="s">
        <v>29</v>
      </c>
      <c r="C7874" t="str">
        <f>_xlfn.XLOOKUP(B7874,
[1]sales_teams!$A$2:$A$100,
[1]sales_teams!$B$2:$B$100)</f>
        <v>Celia Rouche</v>
      </c>
      <c r="D7874" t="str">
        <f>_xlfn.XLOOKUP($B7874,sales_teams!$A$2:$A$36,sales_teams!C$2:C$36)</f>
        <v>West</v>
      </c>
      <c r="E7874" t="s">
        <v>20</v>
      </c>
      <c r="F7874" t="s">
        <v>199</v>
      </c>
      <c r="G7874" t="s">
        <v>12</v>
      </c>
      <c r="H7874" s="1">
        <v>43038</v>
      </c>
      <c r="I7874" s="1">
        <v>43043</v>
      </c>
      <c r="J7874">
        <v>622</v>
      </c>
    </row>
    <row r="7875" spans="1:10" x14ac:dyDescent="0.3">
      <c r="A7875" t="s">
        <v>8006</v>
      </c>
      <c r="B7875" t="s">
        <v>23</v>
      </c>
      <c r="C7875" t="str">
        <f>_xlfn.XLOOKUP(B7875,
[1]sales_teams!$A$2:$A$100,
[1]sales_teams!$B$2:$B$100)</f>
        <v>Summer Sewald</v>
      </c>
      <c r="D7875" t="str">
        <f>_xlfn.XLOOKUP($B7875,sales_teams!$A$2:$A$36,sales_teams!C$2:C$36)</f>
        <v>West</v>
      </c>
      <c r="E7875" t="s">
        <v>10</v>
      </c>
      <c r="F7875" t="s">
        <v>49</v>
      </c>
      <c r="G7875" t="s">
        <v>46</v>
      </c>
      <c r="H7875" s="1">
        <v>43038</v>
      </c>
      <c r="I7875" s="1">
        <v>43054</v>
      </c>
      <c r="J7875">
        <v>0</v>
      </c>
    </row>
    <row r="7876" spans="1:10" x14ac:dyDescent="0.3">
      <c r="A7876" t="s">
        <v>8007</v>
      </c>
      <c r="B7876" t="s">
        <v>26</v>
      </c>
      <c r="C7876" t="str">
        <f>_xlfn.XLOOKUP(B7876,
[1]sales_teams!$A$2:$A$100,
[1]sales_teams!$B$2:$B$100)</f>
        <v>Dustin Brinkmann</v>
      </c>
      <c r="D7876" t="str">
        <f>_xlfn.XLOOKUP($B7876,sales_teams!$A$2:$A$36,sales_teams!C$2:C$36)</f>
        <v>Central</v>
      </c>
      <c r="E7876" t="s">
        <v>18</v>
      </c>
      <c r="F7876" t="s">
        <v>16</v>
      </c>
      <c r="G7876" t="s">
        <v>46</v>
      </c>
      <c r="H7876" s="1">
        <v>43039</v>
      </c>
      <c r="I7876" s="1">
        <v>43049</v>
      </c>
      <c r="J7876">
        <v>0</v>
      </c>
    </row>
    <row r="7877" spans="1:10" x14ac:dyDescent="0.3">
      <c r="A7877" t="s">
        <v>8008</v>
      </c>
      <c r="B7877" t="s">
        <v>139</v>
      </c>
      <c r="C7877" t="str">
        <f>_xlfn.XLOOKUP(B7877,
[1]sales_teams!$A$2:$A$100,
[1]sales_teams!$B$2:$B$100)</f>
        <v>Rocco Neubert</v>
      </c>
      <c r="D7877" t="str">
        <f>_xlfn.XLOOKUP($B7877,sales_teams!$A$2:$A$36,sales_teams!C$2:C$36)</f>
        <v>East</v>
      </c>
      <c r="E7877" t="s">
        <v>39</v>
      </c>
      <c r="F7877" t="s">
        <v>218</v>
      </c>
      <c r="G7877" t="s">
        <v>12</v>
      </c>
      <c r="H7877" s="1">
        <v>43039</v>
      </c>
      <c r="I7877" s="1">
        <v>43046</v>
      </c>
      <c r="J7877">
        <v>4172</v>
      </c>
    </row>
    <row r="7878" spans="1:10" x14ac:dyDescent="0.3">
      <c r="A7878" t="s">
        <v>8009</v>
      </c>
      <c r="B7878" t="s">
        <v>118</v>
      </c>
      <c r="C7878" t="str">
        <f>_xlfn.XLOOKUP(B7878,
[1]sales_teams!$A$2:$A$100,
[1]sales_teams!$B$2:$B$100)</f>
        <v>Rocco Neubert</v>
      </c>
      <c r="D7878" t="str">
        <f>_xlfn.XLOOKUP($B7878,sales_teams!$A$2:$A$36,sales_teams!C$2:C$36)</f>
        <v>East</v>
      </c>
      <c r="E7878" t="s">
        <v>15</v>
      </c>
      <c r="F7878" t="s">
        <v>189</v>
      </c>
      <c r="G7878" t="s">
        <v>12</v>
      </c>
      <c r="H7878" s="1">
        <v>43039</v>
      </c>
      <c r="I7878" s="1">
        <v>43053</v>
      </c>
      <c r="J7878">
        <v>4529</v>
      </c>
    </row>
    <row r="7879" spans="1:10" x14ac:dyDescent="0.3">
      <c r="A7879" t="s">
        <v>8010</v>
      </c>
      <c r="B7879" t="s">
        <v>118</v>
      </c>
      <c r="C7879" t="str">
        <f>_xlfn.XLOOKUP(B7879,
[1]sales_teams!$A$2:$A$100,
[1]sales_teams!$B$2:$B$100)</f>
        <v>Rocco Neubert</v>
      </c>
      <c r="D7879" t="str">
        <f>_xlfn.XLOOKUP($B7879,sales_teams!$A$2:$A$36,sales_teams!C$2:C$36)</f>
        <v>East</v>
      </c>
      <c r="E7879" t="s">
        <v>39</v>
      </c>
      <c r="F7879" t="s">
        <v>199</v>
      </c>
      <c r="G7879" t="s">
        <v>12</v>
      </c>
      <c r="H7879" s="1">
        <v>43039</v>
      </c>
      <c r="I7879" s="1">
        <v>43079</v>
      </c>
      <c r="J7879">
        <v>2695</v>
      </c>
    </row>
    <row r="7880" spans="1:10" x14ac:dyDescent="0.3">
      <c r="A7880" t="s">
        <v>8011</v>
      </c>
      <c r="B7880" t="s">
        <v>14</v>
      </c>
      <c r="C7880" t="str">
        <f>_xlfn.XLOOKUP(B7880,
[1]sales_teams!$A$2:$A$100,
[1]sales_teams!$B$2:$B$100)</f>
        <v>Melvin Marxen</v>
      </c>
      <c r="D7880" t="str">
        <f>_xlfn.XLOOKUP($B7880,sales_teams!$A$2:$A$36,sales_teams!C$2:C$36)</f>
        <v>Central</v>
      </c>
      <c r="E7880" t="s">
        <v>15</v>
      </c>
      <c r="F7880" t="s">
        <v>11</v>
      </c>
      <c r="G7880" t="s">
        <v>46</v>
      </c>
      <c r="H7880" s="1">
        <v>43039</v>
      </c>
      <c r="I7880" s="1">
        <v>43091</v>
      </c>
      <c r="J7880">
        <v>0</v>
      </c>
    </row>
    <row r="7881" spans="1:10" x14ac:dyDescent="0.3">
      <c r="A7881" t="s">
        <v>8012</v>
      </c>
      <c r="B7881" t="s">
        <v>14</v>
      </c>
      <c r="C7881" t="str">
        <f>_xlfn.XLOOKUP(B7881,
[1]sales_teams!$A$2:$A$100,
[1]sales_teams!$B$2:$B$100)</f>
        <v>Melvin Marxen</v>
      </c>
      <c r="D7881" t="str">
        <f>_xlfn.XLOOKUP($B7881,sales_teams!$A$2:$A$36,sales_teams!C$2:C$36)</f>
        <v>Central</v>
      </c>
      <c r="E7881" t="s">
        <v>15</v>
      </c>
      <c r="F7881" t="s">
        <v>120</v>
      </c>
      <c r="G7881" t="s">
        <v>46</v>
      </c>
      <c r="H7881" s="1">
        <v>43039</v>
      </c>
      <c r="I7881" s="1">
        <v>43049</v>
      </c>
      <c r="J7881">
        <v>0</v>
      </c>
    </row>
    <row r="7882" spans="1:10" x14ac:dyDescent="0.3">
      <c r="A7882" t="s">
        <v>8013</v>
      </c>
      <c r="B7882" t="s">
        <v>142</v>
      </c>
      <c r="C7882" t="str">
        <f>_xlfn.XLOOKUP(B7882,
[1]sales_teams!$A$2:$A$100,
[1]sales_teams!$B$2:$B$100)</f>
        <v>Rocco Neubert</v>
      </c>
      <c r="D7882" t="str">
        <f>_xlfn.XLOOKUP($B7882,sales_teams!$A$2:$A$36,sales_teams!C$2:C$36)</f>
        <v>East</v>
      </c>
      <c r="E7882" t="s">
        <v>20</v>
      </c>
      <c r="F7882" t="s">
        <v>81</v>
      </c>
      <c r="G7882" t="s">
        <v>12</v>
      </c>
      <c r="H7882" s="1">
        <v>43039</v>
      </c>
      <c r="I7882" s="1">
        <v>43048</v>
      </c>
      <c r="J7882">
        <v>486</v>
      </c>
    </row>
    <row r="7883" spans="1:10" x14ac:dyDescent="0.3">
      <c r="A7883" t="s">
        <v>8014</v>
      </c>
      <c r="B7883" t="s">
        <v>142</v>
      </c>
      <c r="C7883" t="str">
        <f>_xlfn.XLOOKUP(B7883,
[1]sales_teams!$A$2:$A$100,
[1]sales_teams!$B$2:$B$100)</f>
        <v>Rocco Neubert</v>
      </c>
      <c r="D7883" t="str">
        <f>_xlfn.XLOOKUP($B7883,sales_teams!$A$2:$A$36,sales_teams!C$2:C$36)</f>
        <v>East</v>
      </c>
      <c r="E7883" t="s">
        <v>20</v>
      </c>
      <c r="F7883" t="s">
        <v>215</v>
      </c>
      <c r="G7883" t="s">
        <v>12</v>
      </c>
      <c r="H7883" s="1">
        <v>43039</v>
      </c>
      <c r="I7883" s="1">
        <v>43047</v>
      </c>
      <c r="J7883">
        <v>450</v>
      </c>
    </row>
    <row r="7884" spans="1:10" x14ac:dyDescent="0.3">
      <c r="A7884" t="s">
        <v>8015</v>
      </c>
      <c r="B7884" t="s">
        <v>67</v>
      </c>
      <c r="C7884" t="str">
        <f>_xlfn.XLOOKUP(B7884,
[1]sales_teams!$A$2:$A$100,
[1]sales_teams!$B$2:$B$100)</f>
        <v>Celia Rouche</v>
      </c>
      <c r="D7884" t="str">
        <f>_xlfn.XLOOKUP($B7884,sales_teams!$A$2:$A$36,sales_teams!C$2:C$36)</f>
        <v>West</v>
      </c>
      <c r="E7884" t="s">
        <v>18</v>
      </c>
      <c r="G7884" t="s">
        <v>40</v>
      </c>
      <c r="H7884" s="1">
        <v>43039</v>
      </c>
    </row>
    <row r="7885" spans="1:10" x14ac:dyDescent="0.3">
      <c r="A7885" t="s">
        <v>8016</v>
      </c>
      <c r="B7885" t="s">
        <v>67</v>
      </c>
      <c r="C7885" t="str">
        <f>_xlfn.XLOOKUP(B7885,
[1]sales_teams!$A$2:$A$100,
[1]sales_teams!$B$2:$B$100)</f>
        <v>Celia Rouche</v>
      </c>
      <c r="D7885" t="str">
        <f>_xlfn.XLOOKUP($B7885,sales_teams!$A$2:$A$36,sales_teams!C$2:C$36)</f>
        <v>West</v>
      </c>
      <c r="E7885" t="s">
        <v>18</v>
      </c>
      <c r="F7885" t="s">
        <v>55</v>
      </c>
      <c r="G7885" t="s">
        <v>46</v>
      </c>
      <c r="H7885" s="1">
        <v>43039</v>
      </c>
      <c r="I7885" s="1">
        <v>43048</v>
      </c>
      <c r="J7885">
        <v>0</v>
      </c>
    </row>
    <row r="7886" spans="1:10" x14ac:dyDescent="0.3">
      <c r="A7886" t="s">
        <v>8017</v>
      </c>
      <c r="B7886" t="s">
        <v>105</v>
      </c>
      <c r="C7886" t="str">
        <f>_xlfn.XLOOKUP(B7886,
[1]sales_teams!$A$2:$A$100,
[1]sales_teams!$B$2:$B$100)</f>
        <v>Cara Losch</v>
      </c>
      <c r="D7886" t="str">
        <f>_xlfn.XLOOKUP($B7886,sales_teams!$A$2:$A$36,sales_teams!C$2:C$36)</f>
        <v>East</v>
      </c>
      <c r="E7886" t="s">
        <v>48</v>
      </c>
      <c r="F7886" t="s">
        <v>177</v>
      </c>
      <c r="G7886" t="s">
        <v>12</v>
      </c>
      <c r="H7886" s="1">
        <v>43039</v>
      </c>
      <c r="I7886" s="1">
        <v>43047</v>
      </c>
      <c r="J7886">
        <v>6818</v>
      </c>
    </row>
    <row r="7887" spans="1:10" x14ac:dyDescent="0.3">
      <c r="A7887" t="s">
        <v>8018</v>
      </c>
      <c r="B7887" t="s">
        <v>44</v>
      </c>
      <c r="C7887" t="str">
        <f>_xlfn.XLOOKUP(B7887,
[1]sales_teams!$A$2:$A$100,
[1]sales_teams!$B$2:$B$100)</f>
        <v>Melvin Marxen</v>
      </c>
      <c r="D7887" t="str">
        <f>_xlfn.XLOOKUP($B7887,sales_teams!$A$2:$A$36,sales_teams!C$2:C$36)</f>
        <v>Central</v>
      </c>
      <c r="E7887" t="s">
        <v>39</v>
      </c>
      <c r="F7887" t="s">
        <v>218</v>
      </c>
      <c r="G7887" t="s">
        <v>12</v>
      </c>
      <c r="H7887" s="1">
        <v>43039</v>
      </c>
      <c r="I7887" s="1">
        <v>43090</v>
      </c>
      <c r="J7887">
        <v>3298</v>
      </c>
    </row>
    <row r="7888" spans="1:10" x14ac:dyDescent="0.3">
      <c r="A7888" t="s">
        <v>8019</v>
      </c>
      <c r="B7888" t="s">
        <v>38</v>
      </c>
      <c r="C7888" t="str">
        <f>_xlfn.XLOOKUP(B7888,
[1]sales_teams!$A$2:$A$100,
[1]sales_teams!$B$2:$B$100)</f>
        <v>Summer Sewald</v>
      </c>
      <c r="D7888" t="str">
        <f>_xlfn.XLOOKUP($B7888,sales_teams!$A$2:$A$36,sales_teams!C$2:C$36)</f>
        <v>West</v>
      </c>
      <c r="E7888" t="s">
        <v>15</v>
      </c>
      <c r="G7888" t="s">
        <v>40</v>
      </c>
      <c r="H7888" s="1">
        <v>43039</v>
      </c>
    </row>
    <row r="7889" spans="1:10" x14ac:dyDescent="0.3">
      <c r="A7889" t="s">
        <v>8020</v>
      </c>
      <c r="B7889" t="s">
        <v>78</v>
      </c>
      <c r="C7889" t="str">
        <f>_xlfn.XLOOKUP(B7889,
[1]sales_teams!$A$2:$A$100,
[1]sales_teams!$B$2:$B$100)</f>
        <v>Summer Sewald</v>
      </c>
      <c r="D7889" t="str">
        <f>_xlfn.XLOOKUP($B7889,sales_teams!$A$2:$A$36,sales_teams!C$2:C$36)</f>
        <v>West</v>
      </c>
      <c r="E7889" t="s">
        <v>48</v>
      </c>
      <c r="F7889" t="s">
        <v>148</v>
      </c>
      <c r="G7889" t="s">
        <v>12</v>
      </c>
      <c r="H7889" s="1">
        <v>43039</v>
      </c>
      <c r="I7889" s="1">
        <v>43048</v>
      </c>
      <c r="J7889">
        <v>5512</v>
      </c>
    </row>
    <row r="7890" spans="1:10" x14ac:dyDescent="0.3">
      <c r="A7890" t="s">
        <v>8021</v>
      </c>
      <c r="B7890" t="s">
        <v>78</v>
      </c>
      <c r="C7890" t="str">
        <f>_xlfn.XLOOKUP(B7890,
[1]sales_teams!$A$2:$A$100,
[1]sales_teams!$B$2:$B$100)</f>
        <v>Summer Sewald</v>
      </c>
      <c r="D7890" t="str">
        <f>_xlfn.XLOOKUP($B7890,sales_teams!$A$2:$A$36,sales_teams!C$2:C$36)</f>
        <v>West</v>
      </c>
      <c r="E7890" t="s">
        <v>48</v>
      </c>
      <c r="F7890" t="s">
        <v>155</v>
      </c>
      <c r="G7890" t="s">
        <v>12</v>
      </c>
      <c r="H7890" s="1">
        <v>43039</v>
      </c>
      <c r="I7890" s="1">
        <v>43046</v>
      </c>
      <c r="J7890">
        <v>4742</v>
      </c>
    </row>
    <row r="7891" spans="1:10" x14ac:dyDescent="0.3">
      <c r="A7891" t="s">
        <v>8022</v>
      </c>
      <c r="B7891" t="s">
        <v>95</v>
      </c>
      <c r="C7891" t="str">
        <f>_xlfn.XLOOKUP(B7891,
[1]sales_teams!$A$2:$A$100,
[1]sales_teams!$B$2:$B$100)</f>
        <v>Summer Sewald</v>
      </c>
      <c r="D7891" t="str">
        <f>_xlfn.XLOOKUP($B7891,sales_teams!$A$2:$A$36,sales_teams!C$2:C$36)</f>
        <v>West</v>
      </c>
      <c r="E7891" t="s">
        <v>20</v>
      </c>
      <c r="F7891" t="s">
        <v>159</v>
      </c>
      <c r="G7891" t="s">
        <v>12</v>
      </c>
      <c r="H7891" s="1">
        <v>43039</v>
      </c>
      <c r="I7891" s="1">
        <v>43041</v>
      </c>
      <c r="J7891">
        <v>653</v>
      </c>
    </row>
    <row r="7892" spans="1:10" x14ac:dyDescent="0.3">
      <c r="A7892" t="s">
        <v>8023</v>
      </c>
      <c r="B7892" t="s">
        <v>133</v>
      </c>
      <c r="C7892" t="str">
        <f>_xlfn.XLOOKUP(B7892,
[1]sales_teams!$A$2:$A$100,
[1]sales_teams!$B$2:$B$100)</f>
        <v>Dustin Brinkmann</v>
      </c>
      <c r="D7892" t="str">
        <f>_xlfn.XLOOKUP($B7892,sales_teams!$A$2:$A$36,sales_teams!C$2:C$36)</f>
        <v>Central</v>
      </c>
      <c r="E7892" t="s">
        <v>10</v>
      </c>
      <c r="F7892" t="s">
        <v>120</v>
      </c>
      <c r="G7892" t="s">
        <v>46</v>
      </c>
      <c r="H7892" s="1">
        <v>43039</v>
      </c>
      <c r="I7892" s="1">
        <v>43049</v>
      </c>
      <c r="J7892">
        <v>0</v>
      </c>
    </row>
    <row r="7893" spans="1:10" x14ac:dyDescent="0.3">
      <c r="A7893" t="s">
        <v>8024</v>
      </c>
      <c r="B7893" t="s">
        <v>32</v>
      </c>
      <c r="C7893" t="str">
        <f>_xlfn.XLOOKUP(B7893,
[1]sales_teams!$A$2:$A$100,
[1]sales_teams!$B$2:$B$100)</f>
        <v>Celia Rouche</v>
      </c>
      <c r="D7893" t="str">
        <f>_xlfn.XLOOKUP($B7893,sales_teams!$A$2:$A$36,sales_teams!C$2:C$36)</f>
        <v>West</v>
      </c>
      <c r="E7893" t="s">
        <v>39</v>
      </c>
      <c r="F7893" t="s">
        <v>174</v>
      </c>
      <c r="G7893" t="s">
        <v>12</v>
      </c>
      <c r="H7893" s="1">
        <v>43039</v>
      </c>
      <c r="I7893" s="1">
        <v>43050</v>
      </c>
      <c r="J7893">
        <v>4058</v>
      </c>
    </row>
    <row r="7894" spans="1:10" x14ac:dyDescent="0.3">
      <c r="A7894" t="s">
        <v>8025</v>
      </c>
      <c r="B7894" t="s">
        <v>97</v>
      </c>
      <c r="C7894" t="str">
        <f>_xlfn.XLOOKUP(B7894,
[1]sales_teams!$A$2:$A$100,
[1]sales_teams!$B$2:$B$100)</f>
        <v>Rocco Neubert</v>
      </c>
      <c r="D7894" t="str">
        <f>_xlfn.XLOOKUP($B7894,sales_teams!$A$2:$A$36,sales_teams!C$2:C$36)</f>
        <v>East</v>
      </c>
      <c r="E7894" t="s">
        <v>20</v>
      </c>
      <c r="F7894" t="s">
        <v>218</v>
      </c>
      <c r="G7894" t="s">
        <v>12</v>
      </c>
      <c r="H7894" s="1">
        <v>43039</v>
      </c>
      <c r="I7894" s="1">
        <v>43040</v>
      </c>
      <c r="J7894">
        <v>553</v>
      </c>
    </row>
    <row r="7895" spans="1:10" x14ac:dyDescent="0.3">
      <c r="A7895" t="s">
        <v>8026</v>
      </c>
      <c r="B7895" t="s">
        <v>88</v>
      </c>
      <c r="C7895" t="str">
        <f>_xlfn.XLOOKUP(B7895,
[1]sales_teams!$A$2:$A$100,
[1]sales_teams!$B$2:$B$100)</f>
        <v>Cara Losch</v>
      </c>
      <c r="D7895" t="str">
        <f>_xlfn.XLOOKUP($B7895,sales_teams!$A$2:$A$36,sales_teams!C$2:C$36)</f>
        <v>East</v>
      </c>
      <c r="E7895" t="s">
        <v>48</v>
      </c>
      <c r="F7895" t="s">
        <v>65</v>
      </c>
      <c r="G7895" t="s">
        <v>46</v>
      </c>
      <c r="H7895" s="1">
        <v>43039</v>
      </c>
      <c r="I7895" s="1">
        <v>43046</v>
      </c>
      <c r="J7895">
        <v>0</v>
      </c>
    </row>
    <row r="7896" spans="1:10" x14ac:dyDescent="0.3">
      <c r="A7896" t="s">
        <v>8027</v>
      </c>
      <c r="B7896" t="s">
        <v>29</v>
      </c>
      <c r="C7896" t="str">
        <f>_xlfn.XLOOKUP(B7896,
[1]sales_teams!$A$2:$A$100,
[1]sales_teams!$B$2:$B$100)</f>
        <v>Celia Rouche</v>
      </c>
      <c r="D7896" t="str">
        <f>_xlfn.XLOOKUP($B7896,sales_teams!$A$2:$A$36,sales_teams!C$2:C$36)</f>
        <v>West</v>
      </c>
      <c r="E7896" t="s">
        <v>18</v>
      </c>
      <c r="F7896" t="s">
        <v>155</v>
      </c>
      <c r="G7896" t="s">
        <v>46</v>
      </c>
      <c r="H7896" s="1">
        <v>43039</v>
      </c>
      <c r="I7896" s="1">
        <v>43042</v>
      </c>
      <c r="J7896">
        <v>0</v>
      </c>
    </row>
    <row r="7897" spans="1:10" x14ac:dyDescent="0.3">
      <c r="A7897" t="s">
        <v>8028</v>
      </c>
      <c r="B7897" t="s">
        <v>102</v>
      </c>
      <c r="C7897" t="str">
        <f>_xlfn.XLOOKUP(B7897,
[1]sales_teams!$A$2:$A$100,
[1]sales_teams!$B$2:$B$100)</f>
        <v>Cara Losch</v>
      </c>
      <c r="D7897" t="str">
        <f>_xlfn.XLOOKUP($B7897,sales_teams!$A$2:$A$36,sales_teams!C$2:C$36)</f>
        <v>East</v>
      </c>
      <c r="E7897" t="s">
        <v>48</v>
      </c>
      <c r="G7897" t="s">
        <v>40</v>
      </c>
      <c r="H7897" s="1">
        <v>43039</v>
      </c>
    </row>
    <row r="7898" spans="1:10" x14ac:dyDescent="0.3">
      <c r="A7898" t="s">
        <v>8029</v>
      </c>
      <c r="B7898" t="s">
        <v>118</v>
      </c>
      <c r="C7898" t="str">
        <f>_xlfn.XLOOKUP(B7898,
[1]sales_teams!$A$2:$A$100,
[1]sales_teams!$B$2:$B$100)</f>
        <v>Rocco Neubert</v>
      </c>
      <c r="D7898" t="str">
        <f>_xlfn.XLOOKUP($B7898,sales_teams!$A$2:$A$36,sales_teams!C$2:C$36)</f>
        <v>East</v>
      </c>
      <c r="E7898" t="s">
        <v>10</v>
      </c>
      <c r="F7898" t="s">
        <v>155</v>
      </c>
      <c r="G7898" t="s">
        <v>46</v>
      </c>
      <c r="H7898" s="1">
        <v>43040</v>
      </c>
      <c r="I7898" s="1">
        <v>43052</v>
      </c>
      <c r="J7898">
        <v>0</v>
      </c>
    </row>
    <row r="7899" spans="1:10" x14ac:dyDescent="0.3">
      <c r="A7899" t="s">
        <v>8030</v>
      </c>
      <c r="B7899" t="s">
        <v>202</v>
      </c>
      <c r="C7899" t="str">
        <f>_xlfn.XLOOKUP(B7899,
[1]sales_teams!$A$2:$A$100,
[1]sales_teams!$B$2:$B$100)</f>
        <v>Dustin Brinkmann</v>
      </c>
      <c r="D7899" t="str">
        <f>_xlfn.XLOOKUP($B7899,sales_teams!$A$2:$A$36,sales_teams!C$2:C$36)</f>
        <v>Central</v>
      </c>
      <c r="E7899" t="s">
        <v>48</v>
      </c>
      <c r="F7899" t="s">
        <v>213</v>
      </c>
      <c r="G7899" t="s">
        <v>46</v>
      </c>
      <c r="H7899" s="1">
        <v>43040</v>
      </c>
      <c r="I7899" s="1">
        <v>43054</v>
      </c>
      <c r="J7899">
        <v>0</v>
      </c>
    </row>
    <row r="7900" spans="1:10" x14ac:dyDescent="0.3">
      <c r="A7900" t="s">
        <v>8031</v>
      </c>
      <c r="B7900" t="s">
        <v>202</v>
      </c>
      <c r="C7900" t="str">
        <f>_xlfn.XLOOKUP(B7900,
[1]sales_teams!$A$2:$A$100,
[1]sales_teams!$B$2:$B$100)</f>
        <v>Dustin Brinkmann</v>
      </c>
      <c r="D7900" t="str">
        <f>_xlfn.XLOOKUP($B7900,sales_teams!$A$2:$A$36,sales_teams!C$2:C$36)</f>
        <v>Central</v>
      </c>
      <c r="E7900" t="s">
        <v>48</v>
      </c>
      <c r="F7900" t="s">
        <v>16</v>
      </c>
      <c r="G7900" t="s">
        <v>12</v>
      </c>
      <c r="H7900" s="1">
        <v>43040</v>
      </c>
      <c r="I7900" s="1">
        <v>43091</v>
      </c>
      <c r="J7900">
        <v>5504</v>
      </c>
    </row>
    <row r="7901" spans="1:10" x14ac:dyDescent="0.3">
      <c r="A7901" t="s">
        <v>8032</v>
      </c>
      <c r="B7901" t="s">
        <v>44</v>
      </c>
      <c r="C7901" t="str">
        <f>_xlfn.XLOOKUP(B7901,
[1]sales_teams!$A$2:$A$100,
[1]sales_teams!$B$2:$B$100)</f>
        <v>Melvin Marxen</v>
      </c>
      <c r="D7901" t="str">
        <f>_xlfn.XLOOKUP($B7901,sales_teams!$A$2:$A$36,sales_teams!C$2:C$36)</f>
        <v>Central</v>
      </c>
      <c r="E7901" t="s">
        <v>18</v>
      </c>
      <c r="F7901" t="s">
        <v>303</v>
      </c>
      <c r="G7901" t="s">
        <v>12</v>
      </c>
      <c r="H7901" s="1">
        <v>43040</v>
      </c>
      <c r="I7901" s="1">
        <v>43044</v>
      </c>
      <c r="J7901">
        <v>53</v>
      </c>
    </row>
    <row r="7902" spans="1:10" x14ac:dyDescent="0.3">
      <c r="A7902" t="s">
        <v>8033</v>
      </c>
      <c r="B7902" t="s">
        <v>252</v>
      </c>
      <c r="C7902" t="str">
        <f>_xlfn.XLOOKUP(B7902,
[1]sales_teams!$A$2:$A$100,
[1]sales_teams!$B$2:$B$100)</f>
        <v>Melvin Marxen</v>
      </c>
      <c r="D7902" t="str">
        <f>_xlfn.XLOOKUP($B7902,sales_teams!$A$2:$A$36,sales_teams!C$2:C$36)</f>
        <v>Central</v>
      </c>
      <c r="E7902" t="s">
        <v>20</v>
      </c>
      <c r="F7902" t="s">
        <v>62</v>
      </c>
      <c r="G7902" t="s">
        <v>46</v>
      </c>
      <c r="H7902" s="1">
        <v>43040</v>
      </c>
      <c r="I7902" s="1">
        <v>43056</v>
      </c>
      <c r="J7902">
        <v>0</v>
      </c>
    </row>
    <row r="7903" spans="1:10" x14ac:dyDescent="0.3">
      <c r="A7903" t="s">
        <v>8034</v>
      </c>
      <c r="B7903" t="s">
        <v>78</v>
      </c>
      <c r="C7903" t="str">
        <f>_xlfn.XLOOKUP(B7903,
[1]sales_teams!$A$2:$A$100,
[1]sales_teams!$B$2:$B$100)</f>
        <v>Summer Sewald</v>
      </c>
      <c r="D7903" t="str">
        <f>_xlfn.XLOOKUP($B7903,sales_teams!$A$2:$A$36,sales_teams!C$2:C$36)</f>
        <v>West</v>
      </c>
      <c r="E7903" t="s">
        <v>39</v>
      </c>
      <c r="F7903" t="s">
        <v>70</v>
      </c>
      <c r="G7903" t="s">
        <v>12</v>
      </c>
      <c r="H7903" s="1">
        <v>43040</v>
      </c>
      <c r="I7903" s="1">
        <v>43045</v>
      </c>
      <c r="J7903">
        <v>3064</v>
      </c>
    </row>
    <row r="7904" spans="1:10" x14ac:dyDescent="0.3">
      <c r="A7904" t="s">
        <v>8035</v>
      </c>
      <c r="B7904" t="s">
        <v>51</v>
      </c>
      <c r="C7904" t="str">
        <f>_xlfn.XLOOKUP(B7904,
[1]sales_teams!$A$2:$A$100,
[1]sales_teams!$B$2:$B$100)</f>
        <v>Summer Sewald</v>
      </c>
      <c r="D7904" t="str">
        <f>_xlfn.XLOOKUP($B7904,sales_teams!$A$2:$A$36,sales_teams!C$2:C$36)</f>
        <v>West</v>
      </c>
      <c r="E7904" t="s">
        <v>39</v>
      </c>
      <c r="F7904" t="s">
        <v>68</v>
      </c>
      <c r="G7904" t="s">
        <v>12</v>
      </c>
      <c r="H7904" s="1">
        <v>43040</v>
      </c>
      <c r="I7904" s="1">
        <v>43053</v>
      </c>
      <c r="J7904">
        <v>2866</v>
      </c>
    </row>
    <row r="7905" spans="1:10" x14ac:dyDescent="0.3">
      <c r="A7905" t="s">
        <v>8036</v>
      </c>
      <c r="B7905" t="s">
        <v>29</v>
      </c>
      <c r="C7905" t="str">
        <f>_xlfn.XLOOKUP(B7905,
[1]sales_teams!$A$2:$A$100,
[1]sales_teams!$B$2:$B$100)</f>
        <v>Celia Rouche</v>
      </c>
      <c r="D7905" t="str">
        <f>_xlfn.XLOOKUP($B7905,sales_teams!$A$2:$A$36,sales_teams!C$2:C$36)</f>
        <v>West</v>
      </c>
      <c r="E7905" t="s">
        <v>20</v>
      </c>
      <c r="F7905" t="s">
        <v>148</v>
      </c>
      <c r="G7905" t="s">
        <v>46</v>
      </c>
      <c r="H7905" s="1">
        <v>43040</v>
      </c>
      <c r="I7905" s="1">
        <v>43045</v>
      </c>
      <c r="J7905">
        <v>0</v>
      </c>
    </row>
    <row r="7906" spans="1:10" x14ac:dyDescent="0.3">
      <c r="A7906" t="s">
        <v>8037</v>
      </c>
      <c r="B7906" t="s">
        <v>29</v>
      </c>
      <c r="C7906" t="str">
        <f>_xlfn.XLOOKUP(B7906,
[1]sales_teams!$A$2:$A$100,
[1]sales_teams!$B$2:$B$100)</f>
        <v>Celia Rouche</v>
      </c>
      <c r="D7906" t="str">
        <f>_xlfn.XLOOKUP($B7906,sales_teams!$A$2:$A$36,sales_teams!C$2:C$36)</f>
        <v>West</v>
      </c>
      <c r="E7906" t="s">
        <v>48</v>
      </c>
      <c r="F7906" t="s">
        <v>93</v>
      </c>
      <c r="G7906" t="s">
        <v>46</v>
      </c>
      <c r="H7906" s="1">
        <v>43040</v>
      </c>
      <c r="I7906" s="1">
        <v>43049</v>
      </c>
      <c r="J7906">
        <v>0</v>
      </c>
    </row>
    <row r="7907" spans="1:10" x14ac:dyDescent="0.3">
      <c r="A7907" t="s">
        <v>8038</v>
      </c>
      <c r="B7907" t="s">
        <v>29</v>
      </c>
      <c r="C7907" t="str">
        <f>_xlfn.XLOOKUP(B7907,
[1]sales_teams!$A$2:$A$100,
[1]sales_teams!$B$2:$B$100)</f>
        <v>Celia Rouche</v>
      </c>
      <c r="D7907" t="str">
        <f>_xlfn.XLOOKUP($B7907,sales_teams!$A$2:$A$36,sales_teams!C$2:C$36)</f>
        <v>West</v>
      </c>
      <c r="E7907" t="s">
        <v>10</v>
      </c>
      <c r="F7907" t="s">
        <v>184</v>
      </c>
      <c r="G7907" t="s">
        <v>12</v>
      </c>
      <c r="H7907" s="1">
        <v>43040</v>
      </c>
      <c r="I7907" s="1">
        <v>43049</v>
      </c>
      <c r="J7907">
        <v>960</v>
      </c>
    </row>
    <row r="7908" spans="1:10" x14ac:dyDescent="0.3">
      <c r="A7908" t="s">
        <v>8039</v>
      </c>
      <c r="B7908" t="s">
        <v>29</v>
      </c>
      <c r="C7908" t="str">
        <f>_xlfn.XLOOKUP(B7908,
[1]sales_teams!$A$2:$A$100,
[1]sales_teams!$B$2:$B$100)</f>
        <v>Celia Rouche</v>
      </c>
      <c r="D7908" t="str">
        <f>_xlfn.XLOOKUP($B7908,sales_teams!$A$2:$A$36,sales_teams!C$2:C$36)</f>
        <v>West</v>
      </c>
      <c r="E7908" t="s">
        <v>18</v>
      </c>
      <c r="F7908" t="s">
        <v>157</v>
      </c>
      <c r="G7908" t="s">
        <v>12</v>
      </c>
      <c r="H7908" s="1">
        <v>43040</v>
      </c>
      <c r="I7908" s="1">
        <v>43041</v>
      </c>
      <c r="J7908">
        <v>55</v>
      </c>
    </row>
    <row r="7909" spans="1:10" x14ac:dyDescent="0.3">
      <c r="A7909" t="s">
        <v>8040</v>
      </c>
      <c r="B7909" t="s">
        <v>73</v>
      </c>
      <c r="C7909" t="str">
        <f>_xlfn.XLOOKUP(B7909,
[1]sales_teams!$A$2:$A$100,
[1]sales_teams!$B$2:$B$100)</f>
        <v>Cara Losch</v>
      </c>
      <c r="D7909" t="str">
        <f>_xlfn.XLOOKUP($B7909,sales_teams!$A$2:$A$36,sales_teams!C$2:C$36)</f>
        <v>East</v>
      </c>
      <c r="E7909" t="s">
        <v>18</v>
      </c>
      <c r="G7909" t="s">
        <v>40</v>
      </c>
      <c r="H7909" s="1">
        <v>43040</v>
      </c>
    </row>
    <row r="7910" spans="1:10" x14ac:dyDescent="0.3">
      <c r="A7910" t="s">
        <v>8041</v>
      </c>
      <c r="B7910" t="s">
        <v>139</v>
      </c>
      <c r="C7910" t="str">
        <f>_xlfn.XLOOKUP(B7910,
[1]sales_teams!$A$2:$A$100,
[1]sales_teams!$B$2:$B$100)</f>
        <v>Rocco Neubert</v>
      </c>
      <c r="D7910" t="str">
        <f>_xlfn.XLOOKUP($B7910,sales_teams!$A$2:$A$36,sales_teams!C$2:C$36)</f>
        <v>East</v>
      </c>
      <c r="E7910" t="s">
        <v>15</v>
      </c>
      <c r="F7910" t="s">
        <v>209</v>
      </c>
      <c r="G7910" t="s">
        <v>12</v>
      </c>
      <c r="H7910" s="1">
        <v>43041</v>
      </c>
      <c r="I7910" s="1">
        <v>43046</v>
      </c>
      <c r="J7910">
        <v>4155</v>
      </c>
    </row>
    <row r="7911" spans="1:10" x14ac:dyDescent="0.3">
      <c r="A7911" t="s">
        <v>8042</v>
      </c>
      <c r="B7911" t="s">
        <v>164</v>
      </c>
      <c r="C7911" t="str">
        <f>_xlfn.XLOOKUP(B7911,
[1]sales_teams!$A$2:$A$100,
[1]sales_teams!$B$2:$B$100)</f>
        <v>Cara Losch</v>
      </c>
      <c r="D7911" t="str">
        <f>_xlfn.XLOOKUP($B7911,sales_teams!$A$2:$A$36,sales_teams!C$2:C$36)</f>
        <v>East</v>
      </c>
      <c r="E7911" t="s">
        <v>18</v>
      </c>
      <c r="G7911" t="s">
        <v>40</v>
      </c>
      <c r="H7911" s="1">
        <v>43041</v>
      </c>
    </row>
    <row r="7912" spans="1:10" x14ac:dyDescent="0.3">
      <c r="A7912" t="s">
        <v>8043</v>
      </c>
      <c r="B7912" t="s">
        <v>64</v>
      </c>
      <c r="C7912" t="str">
        <f>_xlfn.XLOOKUP(B7912,
[1]sales_teams!$A$2:$A$100,
[1]sales_teams!$B$2:$B$100)</f>
        <v>Rocco Neubert</v>
      </c>
      <c r="D7912" t="str">
        <f>_xlfn.XLOOKUP($B7912,sales_teams!$A$2:$A$36,sales_teams!C$2:C$36)</f>
        <v>East</v>
      </c>
      <c r="E7912" t="s">
        <v>10</v>
      </c>
      <c r="F7912" t="s">
        <v>218</v>
      </c>
      <c r="G7912" t="s">
        <v>46</v>
      </c>
      <c r="H7912" s="1">
        <v>43041</v>
      </c>
      <c r="I7912" s="1">
        <v>43044</v>
      </c>
      <c r="J7912">
        <v>0</v>
      </c>
    </row>
    <row r="7913" spans="1:10" x14ac:dyDescent="0.3">
      <c r="A7913" t="s">
        <v>8044</v>
      </c>
      <c r="B7913" t="s">
        <v>142</v>
      </c>
      <c r="C7913" t="str">
        <f>_xlfn.XLOOKUP(B7913,
[1]sales_teams!$A$2:$A$100,
[1]sales_teams!$B$2:$B$100)</f>
        <v>Rocco Neubert</v>
      </c>
      <c r="D7913" t="str">
        <f>_xlfn.XLOOKUP($B7913,sales_teams!$A$2:$A$36,sales_teams!C$2:C$36)</f>
        <v>East</v>
      </c>
      <c r="E7913" t="s">
        <v>20</v>
      </c>
      <c r="F7913" t="s">
        <v>192</v>
      </c>
      <c r="G7913" t="s">
        <v>12</v>
      </c>
      <c r="H7913" s="1">
        <v>43041</v>
      </c>
      <c r="I7913" s="1">
        <v>43067</v>
      </c>
      <c r="J7913">
        <v>532</v>
      </c>
    </row>
    <row r="7914" spans="1:10" x14ac:dyDescent="0.3">
      <c r="A7914" t="s">
        <v>8045</v>
      </c>
      <c r="B7914" t="s">
        <v>252</v>
      </c>
      <c r="C7914" t="str">
        <f>_xlfn.XLOOKUP(B7914,
[1]sales_teams!$A$2:$A$100,
[1]sales_teams!$B$2:$B$100)</f>
        <v>Melvin Marxen</v>
      </c>
      <c r="D7914" t="str">
        <f>_xlfn.XLOOKUP($B7914,sales_teams!$A$2:$A$36,sales_teams!C$2:C$36)</f>
        <v>Central</v>
      </c>
      <c r="E7914" t="s">
        <v>20</v>
      </c>
      <c r="F7914" t="s">
        <v>11</v>
      </c>
      <c r="G7914" t="s">
        <v>12</v>
      </c>
      <c r="H7914" s="1">
        <v>43041</v>
      </c>
      <c r="I7914" s="1">
        <v>43042</v>
      </c>
      <c r="J7914">
        <v>479</v>
      </c>
    </row>
    <row r="7915" spans="1:10" x14ac:dyDescent="0.3">
      <c r="A7915" t="s">
        <v>8046</v>
      </c>
      <c r="B7915" t="s">
        <v>78</v>
      </c>
      <c r="C7915" t="str">
        <f>_xlfn.XLOOKUP(B7915,
[1]sales_teams!$A$2:$A$100,
[1]sales_teams!$B$2:$B$100)</f>
        <v>Summer Sewald</v>
      </c>
      <c r="D7915" t="str">
        <f>_xlfn.XLOOKUP($B7915,sales_teams!$A$2:$A$36,sales_teams!C$2:C$36)</f>
        <v>West</v>
      </c>
      <c r="E7915" t="s">
        <v>20</v>
      </c>
      <c r="F7915" t="s">
        <v>93</v>
      </c>
      <c r="G7915" t="s">
        <v>46</v>
      </c>
      <c r="H7915" s="1">
        <v>43041</v>
      </c>
      <c r="I7915" s="1">
        <v>43046</v>
      </c>
      <c r="J7915">
        <v>0</v>
      </c>
    </row>
    <row r="7916" spans="1:10" x14ac:dyDescent="0.3">
      <c r="A7916" t="s">
        <v>8047</v>
      </c>
      <c r="B7916" t="s">
        <v>32</v>
      </c>
      <c r="C7916" t="str">
        <f>_xlfn.XLOOKUP(B7916,
[1]sales_teams!$A$2:$A$100,
[1]sales_teams!$B$2:$B$100)</f>
        <v>Celia Rouche</v>
      </c>
      <c r="D7916" t="str">
        <f>_xlfn.XLOOKUP($B7916,sales_teams!$A$2:$A$36,sales_teams!C$2:C$36)</f>
        <v>West</v>
      </c>
      <c r="E7916" t="s">
        <v>15</v>
      </c>
      <c r="G7916" t="s">
        <v>40</v>
      </c>
      <c r="H7916" s="1">
        <v>43041</v>
      </c>
    </row>
    <row r="7917" spans="1:10" x14ac:dyDescent="0.3">
      <c r="A7917" t="s">
        <v>8048</v>
      </c>
      <c r="B7917" t="s">
        <v>32</v>
      </c>
      <c r="C7917" t="str">
        <f>_xlfn.XLOOKUP(B7917,
[1]sales_teams!$A$2:$A$100,
[1]sales_teams!$B$2:$B$100)</f>
        <v>Celia Rouche</v>
      </c>
      <c r="D7917" t="str">
        <f>_xlfn.XLOOKUP($B7917,sales_teams!$A$2:$A$36,sales_teams!C$2:C$36)</f>
        <v>West</v>
      </c>
      <c r="E7917" t="s">
        <v>15</v>
      </c>
      <c r="F7917" t="s">
        <v>93</v>
      </c>
      <c r="G7917" t="s">
        <v>12</v>
      </c>
      <c r="H7917" s="1">
        <v>43041</v>
      </c>
      <c r="I7917" s="1">
        <v>43068</v>
      </c>
      <c r="J7917">
        <v>4521</v>
      </c>
    </row>
    <row r="7918" spans="1:10" x14ac:dyDescent="0.3">
      <c r="A7918" t="s">
        <v>8049</v>
      </c>
      <c r="B7918" t="s">
        <v>97</v>
      </c>
      <c r="C7918" t="str">
        <f>_xlfn.XLOOKUP(B7918,
[1]sales_teams!$A$2:$A$100,
[1]sales_teams!$B$2:$B$100)</f>
        <v>Rocco Neubert</v>
      </c>
      <c r="D7918" t="str">
        <f>_xlfn.XLOOKUP($B7918,sales_teams!$A$2:$A$36,sales_teams!C$2:C$36)</f>
        <v>East</v>
      </c>
      <c r="E7918" t="s">
        <v>20</v>
      </c>
      <c r="F7918" t="s">
        <v>81</v>
      </c>
      <c r="G7918" t="s">
        <v>12</v>
      </c>
      <c r="H7918" s="1">
        <v>43041</v>
      </c>
      <c r="I7918" s="1">
        <v>43055</v>
      </c>
      <c r="J7918">
        <v>585</v>
      </c>
    </row>
    <row r="7919" spans="1:10" x14ac:dyDescent="0.3">
      <c r="A7919" t="s">
        <v>8050</v>
      </c>
      <c r="B7919" t="s">
        <v>29</v>
      </c>
      <c r="C7919" t="str">
        <f>_xlfn.XLOOKUP(B7919,
[1]sales_teams!$A$2:$A$100,
[1]sales_teams!$B$2:$B$100)</f>
        <v>Celia Rouche</v>
      </c>
      <c r="D7919" t="str">
        <f>_xlfn.XLOOKUP($B7919,sales_teams!$A$2:$A$36,sales_teams!C$2:C$36)</f>
        <v>West</v>
      </c>
      <c r="E7919" t="s">
        <v>20</v>
      </c>
      <c r="F7919" t="s">
        <v>49</v>
      </c>
      <c r="G7919" t="s">
        <v>46</v>
      </c>
      <c r="H7919" s="1">
        <v>43041</v>
      </c>
      <c r="I7919" s="1">
        <v>43046</v>
      </c>
      <c r="J7919">
        <v>0</v>
      </c>
    </row>
    <row r="7920" spans="1:10" x14ac:dyDescent="0.3">
      <c r="A7920" t="s">
        <v>8051</v>
      </c>
      <c r="B7920" t="s">
        <v>29</v>
      </c>
      <c r="C7920" t="str">
        <f>_xlfn.XLOOKUP(B7920,
[1]sales_teams!$A$2:$A$100,
[1]sales_teams!$B$2:$B$100)</f>
        <v>Celia Rouche</v>
      </c>
      <c r="D7920" t="str">
        <f>_xlfn.XLOOKUP($B7920,sales_teams!$A$2:$A$36,sales_teams!C$2:C$36)</f>
        <v>West</v>
      </c>
      <c r="E7920" t="s">
        <v>20</v>
      </c>
      <c r="F7920" t="s">
        <v>52</v>
      </c>
      <c r="G7920" t="s">
        <v>12</v>
      </c>
      <c r="H7920" s="1">
        <v>43041</v>
      </c>
      <c r="I7920" s="1">
        <v>43045</v>
      </c>
      <c r="J7920">
        <v>430</v>
      </c>
    </row>
    <row r="7921" spans="1:10" x14ac:dyDescent="0.3">
      <c r="A7921" t="s">
        <v>8052</v>
      </c>
      <c r="B7921" t="s">
        <v>14</v>
      </c>
      <c r="C7921" t="str">
        <f>_xlfn.XLOOKUP(B7921,
[1]sales_teams!$A$2:$A$100,
[1]sales_teams!$B$2:$B$100)</f>
        <v>Melvin Marxen</v>
      </c>
      <c r="D7921" t="str">
        <f>_xlfn.XLOOKUP($B7921,sales_teams!$A$2:$A$36,sales_teams!C$2:C$36)</f>
        <v>Central</v>
      </c>
      <c r="E7921" t="s">
        <v>15</v>
      </c>
      <c r="F7921" t="s">
        <v>21</v>
      </c>
      <c r="G7921" t="s">
        <v>46</v>
      </c>
      <c r="H7921" s="1">
        <v>43042</v>
      </c>
      <c r="I7921" s="1">
        <v>43048</v>
      </c>
      <c r="J7921">
        <v>0</v>
      </c>
    </row>
    <row r="7922" spans="1:10" x14ac:dyDescent="0.3">
      <c r="A7922" t="s">
        <v>8053</v>
      </c>
      <c r="B7922" t="s">
        <v>252</v>
      </c>
      <c r="C7922" t="str">
        <f>_xlfn.XLOOKUP(B7922,
[1]sales_teams!$A$2:$A$100,
[1]sales_teams!$B$2:$B$100)</f>
        <v>Melvin Marxen</v>
      </c>
      <c r="D7922" t="str">
        <f>_xlfn.XLOOKUP($B7922,sales_teams!$A$2:$A$36,sales_teams!C$2:C$36)</f>
        <v>Central</v>
      </c>
      <c r="E7922" t="s">
        <v>20</v>
      </c>
      <c r="F7922" t="s">
        <v>45</v>
      </c>
      <c r="G7922" t="s">
        <v>12</v>
      </c>
      <c r="H7922" s="1">
        <v>43042</v>
      </c>
      <c r="I7922" s="1">
        <v>43071</v>
      </c>
      <c r="J7922">
        <v>577</v>
      </c>
    </row>
    <row r="7923" spans="1:10" x14ac:dyDescent="0.3">
      <c r="A7923" t="s">
        <v>8054</v>
      </c>
      <c r="B7923" t="s">
        <v>78</v>
      </c>
      <c r="C7923" t="str">
        <f>_xlfn.XLOOKUP(B7923,
[1]sales_teams!$A$2:$A$100,
[1]sales_teams!$B$2:$B$100)</f>
        <v>Summer Sewald</v>
      </c>
      <c r="D7923" t="str">
        <f>_xlfn.XLOOKUP($B7923,sales_teams!$A$2:$A$36,sales_teams!C$2:C$36)</f>
        <v>West</v>
      </c>
      <c r="E7923" t="s">
        <v>20</v>
      </c>
      <c r="G7923" t="s">
        <v>40</v>
      </c>
      <c r="H7923" s="1">
        <v>43042</v>
      </c>
    </row>
    <row r="7924" spans="1:10" x14ac:dyDescent="0.3">
      <c r="A7924" t="s">
        <v>8055</v>
      </c>
      <c r="B7924" t="s">
        <v>32</v>
      </c>
      <c r="C7924" t="str">
        <f>_xlfn.XLOOKUP(B7924,
[1]sales_teams!$A$2:$A$100,
[1]sales_teams!$B$2:$B$100)</f>
        <v>Celia Rouche</v>
      </c>
      <c r="D7924" t="str">
        <f>_xlfn.XLOOKUP($B7924,sales_teams!$A$2:$A$36,sales_teams!C$2:C$36)</f>
        <v>West</v>
      </c>
      <c r="E7924" t="s">
        <v>10</v>
      </c>
      <c r="F7924" t="s">
        <v>79</v>
      </c>
      <c r="G7924" t="s">
        <v>40</v>
      </c>
      <c r="H7924" s="1">
        <v>43042</v>
      </c>
    </row>
    <row r="7925" spans="1:10" x14ac:dyDescent="0.3">
      <c r="A7925" t="s">
        <v>8056</v>
      </c>
      <c r="B7925" t="s">
        <v>116</v>
      </c>
      <c r="C7925" t="str">
        <f>_xlfn.XLOOKUP(B7925,
[1]sales_teams!$A$2:$A$100,
[1]sales_teams!$B$2:$B$100)</f>
        <v>Melvin Marxen</v>
      </c>
      <c r="D7925" t="str">
        <f>_xlfn.XLOOKUP($B7925,sales_teams!$A$2:$A$36,sales_teams!C$2:C$36)</f>
        <v>Central</v>
      </c>
      <c r="E7925" t="s">
        <v>15</v>
      </c>
      <c r="F7925" t="s">
        <v>62</v>
      </c>
      <c r="G7925" t="s">
        <v>12</v>
      </c>
      <c r="H7925" s="1">
        <v>43042</v>
      </c>
      <c r="I7925" s="1">
        <v>43087</v>
      </c>
      <c r="J7925">
        <v>4591</v>
      </c>
    </row>
    <row r="7926" spans="1:10" x14ac:dyDescent="0.3">
      <c r="A7926" t="s">
        <v>8057</v>
      </c>
      <c r="B7926" t="s">
        <v>51</v>
      </c>
      <c r="C7926" t="str">
        <f>_xlfn.XLOOKUP(B7926,
[1]sales_teams!$A$2:$A$100,
[1]sales_teams!$B$2:$B$100)</f>
        <v>Summer Sewald</v>
      </c>
      <c r="D7926" t="str">
        <f>_xlfn.XLOOKUP($B7926,sales_teams!$A$2:$A$36,sales_teams!C$2:C$36)</f>
        <v>West</v>
      </c>
      <c r="E7926" t="s">
        <v>20</v>
      </c>
      <c r="F7926" t="s">
        <v>398</v>
      </c>
      <c r="G7926" t="s">
        <v>12</v>
      </c>
      <c r="H7926" s="1">
        <v>43042</v>
      </c>
      <c r="I7926" s="1">
        <v>43057</v>
      </c>
      <c r="J7926">
        <v>662</v>
      </c>
    </row>
    <row r="7927" spans="1:10" x14ac:dyDescent="0.3">
      <c r="A7927" t="s">
        <v>8058</v>
      </c>
      <c r="B7927" t="s">
        <v>51</v>
      </c>
      <c r="C7927" t="str">
        <f>_xlfn.XLOOKUP(B7927,
[1]sales_teams!$A$2:$A$100,
[1]sales_teams!$B$2:$B$100)</f>
        <v>Summer Sewald</v>
      </c>
      <c r="D7927" t="str">
        <f>_xlfn.XLOOKUP($B7927,sales_teams!$A$2:$A$36,sales_teams!C$2:C$36)</f>
        <v>West</v>
      </c>
      <c r="E7927" t="s">
        <v>48</v>
      </c>
      <c r="F7927" t="s">
        <v>168</v>
      </c>
      <c r="G7927" t="s">
        <v>12</v>
      </c>
      <c r="H7927" s="1">
        <v>43042</v>
      </c>
      <c r="I7927" s="1">
        <v>43100</v>
      </c>
      <c r="J7927">
        <v>5091</v>
      </c>
    </row>
    <row r="7928" spans="1:10" x14ac:dyDescent="0.3">
      <c r="A7928" t="s">
        <v>8059</v>
      </c>
      <c r="B7928" t="s">
        <v>139</v>
      </c>
      <c r="C7928" t="str">
        <f>_xlfn.XLOOKUP(B7928,
[1]sales_teams!$A$2:$A$100,
[1]sales_teams!$B$2:$B$100)</f>
        <v>Rocco Neubert</v>
      </c>
      <c r="D7928" t="str">
        <f>_xlfn.XLOOKUP($B7928,sales_teams!$A$2:$A$36,sales_teams!C$2:C$36)</f>
        <v>East</v>
      </c>
      <c r="E7928" t="s">
        <v>48</v>
      </c>
      <c r="F7928" t="s">
        <v>215</v>
      </c>
      <c r="G7928" t="s">
        <v>12</v>
      </c>
      <c r="H7928" s="1">
        <v>43043</v>
      </c>
      <c r="I7928" s="1">
        <v>43077</v>
      </c>
      <c r="J7928">
        <v>5737</v>
      </c>
    </row>
    <row r="7929" spans="1:10" x14ac:dyDescent="0.3">
      <c r="A7929" t="s">
        <v>8060</v>
      </c>
      <c r="B7929" t="s">
        <v>118</v>
      </c>
      <c r="C7929" t="str">
        <f>_xlfn.XLOOKUP(B7929,
[1]sales_teams!$A$2:$A$100,
[1]sales_teams!$B$2:$B$100)</f>
        <v>Rocco Neubert</v>
      </c>
      <c r="D7929" t="str">
        <f>_xlfn.XLOOKUP($B7929,sales_teams!$A$2:$A$36,sales_teams!C$2:C$36)</f>
        <v>East</v>
      </c>
      <c r="E7929" t="s">
        <v>15</v>
      </c>
      <c r="F7929" t="s">
        <v>318</v>
      </c>
      <c r="G7929" t="s">
        <v>40</v>
      </c>
      <c r="H7929" s="1">
        <v>43043</v>
      </c>
    </row>
    <row r="7930" spans="1:10" x14ac:dyDescent="0.3">
      <c r="A7930" t="s">
        <v>8061</v>
      </c>
      <c r="B7930" t="s">
        <v>118</v>
      </c>
      <c r="C7930" t="str">
        <f>_xlfn.XLOOKUP(B7930,
[1]sales_teams!$A$2:$A$100,
[1]sales_teams!$B$2:$B$100)</f>
        <v>Rocco Neubert</v>
      </c>
      <c r="D7930" t="str">
        <f>_xlfn.XLOOKUP($B7930,sales_teams!$A$2:$A$36,sales_teams!C$2:C$36)</f>
        <v>East</v>
      </c>
      <c r="E7930" t="s">
        <v>20</v>
      </c>
      <c r="F7930" t="s">
        <v>209</v>
      </c>
      <c r="G7930" t="s">
        <v>12</v>
      </c>
      <c r="H7930" s="1">
        <v>43043</v>
      </c>
      <c r="I7930" s="1">
        <v>43045</v>
      </c>
      <c r="J7930">
        <v>583</v>
      </c>
    </row>
    <row r="7931" spans="1:10" x14ac:dyDescent="0.3">
      <c r="A7931" t="s">
        <v>8062</v>
      </c>
      <c r="B7931" t="s">
        <v>14</v>
      </c>
      <c r="C7931" t="str">
        <f>_xlfn.XLOOKUP(B7931,
[1]sales_teams!$A$2:$A$100,
[1]sales_teams!$B$2:$B$100)</f>
        <v>Melvin Marxen</v>
      </c>
      <c r="D7931" t="str">
        <f>_xlfn.XLOOKUP($B7931,sales_teams!$A$2:$A$36,sales_teams!C$2:C$36)</f>
        <v>Central</v>
      </c>
      <c r="E7931" t="s">
        <v>15</v>
      </c>
      <c r="F7931" t="s">
        <v>315</v>
      </c>
      <c r="G7931" t="s">
        <v>46</v>
      </c>
      <c r="H7931" s="1">
        <v>43043</v>
      </c>
      <c r="I7931" s="1">
        <v>43047</v>
      </c>
      <c r="J7931">
        <v>0</v>
      </c>
    </row>
    <row r="7932" spans="1:10" x14ac:dyDescent="0.3">
      <c r="A7932" t="s">
        <v>8063</v>
      </c>
      <c r="B7932" t="s">
        <v>38</v>
      </c>
      <c r="C7932" t="str">
        <f>_xlfn.XLOOKUP(B7932,
[1]sales_teams!$A$2:$A$100,
[1]sales_teams!$B$2:$B$100)</f>
        <v>Summer Sewald</v>
      </c>
      <c r="D7932" t="str">
        <f>_xlfn.XLOOKUP($B7932,sales_teams!$A$2:$A$36,sales_teams!C$2:C$36)</f>
        <v>West</v>
      </c>
      <c r="E7932" t="s">
        <v>48</v>
      </c>
      <c r="F7932" t="s">
        <v>49</v>
      </c>
      <c r="G7932" t="s">
        <v>12</v>
      </c>
      <c r="H7932" s="1">
        <v>43043</v>
      </c>
      <c r="I7932" s="1">
        <v>43049</v>
      </c>
      <c r="J7932">
        <v>5031</v>
      </c>
    </row>
    <row r="7933" spans="1:10" x14ac:dyDescent="0.3">
      <c r="A7933" t="s">
        <v>8064</v>
      </c>
      <c r="B7933" t="s">
        <v>95</v>
      </c>
      <c r="C7933" t="str">
        <f>_xlfn.XLOOKUP(B7933,
[1]sales_teams!$A$2:$A$100,
[1]sales_teams!$B$2:$B$100)</f>
        <v>Summer Sewald</v>
      </c>
      <c r="D7933" t="str">
        <f>_xlfn.XLOOKUP($B7933,sales_teams!$A$2:$A$36,sales_teams!C$2:C$36)</f>
        <v>West</v>
      </c>
      <c r="E7933" t="s">
        <v>15</v>
      </c>
      <c r="F7933" t="s">
        <v>373</v>
      </c>
      <c r="G7933" t="s">
        <v>40</v>
      </c>
      <c r="H7933" s="1">
        <v>43043</v>
      </c>
    </row>
    <row r="7934" spans="1:10" x14ac:dyDescent="0.3">
      <c r="A7934" t="s">
        <v>8065</v>
      </c>
      <c r="B7934" t="s">
        <v>32</v>
      </c>
      <c r="C7934" t="str">
        <f>_xlfn.XLOOKUP(B7934,
[1]sales_teams!$A$2:$A$100,
[1]sales_teams!$B$2:$B$100)</f>
        <v>Celia Rouche</v>
      </c>
      <c r="D7934" t="str">
        <f>_xlfn.XLOOKUP($B7934,sales_teams!$A$2:$A$36,sales_teams!C$2:C$36)</f>
        <v>West</v>
      </c>
      <c r="E7934" t="s">
        <v>15</v>
      </c>
      <c r="G7934" t="s">
        <v>40</v>
      </c>
      <c r="H7934" s="1">
        <v>43043</v>
      </c>
    </row>
    <row r="7935" spans="1:10" x14ac:dyDescent="0.3">
      <c r="A7935" t="s">
        <v>8066</v>
      </c>
      <c r="B7935" t="s">
        <v>116</v>
      </c>
      <c r="C7935" t="str">
        <f>_xlfn.XLOOKUP(B7935,
[1]sales_teams!$A$2:$A$100,
[1]sales_teams!$B$2:$B$100)</f>
        <v>Melvin Marxen</v>
      </c>
      <c r="D7935" t="str">
        <f>_xlfn.XLOOKUP($B7935,sales_teams!$A$2:$A$36,sales_teams!C$2:C$36)</f>
        <v>Central</v>
      </c>
      <c r="E7935" t="s">
        <v>15</v>
      </c>
      <c r="F7935" t="s">
        <v>151</v>
      </c>
      <c r="G7935" t="s">
        <v>46</v>
      </c>
      <c r="H7935" s="1">
        <v>43043</v>
      </c>
      <c r="I7935" s="1">
        <v>43044</v>
      </c>
      <c r="J7935">
        <v>0</v>
      </c>
    </row>
    <row r="7936" spans="1:10" x14ac:dyDescent="0.3">
      <c r="A7936" t="s">
        <v>8067</v>
      </c>
      <c r="B7936" t="s">
        <v>51</v>
      </c>
      <c r="C7936" t="str">
        <f>_xlfn.XLOOKUP(B7936,
[1]sales_teams!$A$2:$A$100,
[1]sales_teams!$B$2:$B$100)</f>
        <v>Summer Sewald</v>
      </c>
      <c r="D7936" t="str">
        <f>_xlfn.XLOOKUP($B7936,sales_teams!$A$2:$A$36,sales_teams!C$2:C$36)</f>
        <v>West</v>
      </c>
      <c r="E7936" t="s">
        <v>48</v>
      </c>
      <c r="G7936" t="s">
        <v>40</v>
      </c>
      <c r="H7936" s="1">
        <v>43043</v>
      </c>
    </row>
    <row r="7937" spans="1:10" x14ac:dyDescent="0.3">
      <c r="A7937" t="s">
        <v>8068</v>
      </c>
      <c r="B7937" t="s">
        <v>97</v>
      </c>
      <c r="C7937" t="str">
        <f>_xlfn.XLOOKUP(B7937,
[1]sales_teams!$A$2:$A$100,
[1]sales_teams!$B$2:$B$100)</f>
        <v>Rocco Neubert</v>
      </c>
      <c r="D7937" t="str">
        <f>_xlfn.XLOOKUP($B7937,sales_teams!$A$2:$A$36,sales_teams!C$2:C$36)</f>
        <v>East</v>
      </c>
      <c r="E7937" t="s">
        <v>15</v>
      </c>
      <c r="F7937" t="s">
        <v>215</v>
      </c>
      <c r="G7937" t="s">
        <v>12</v>
      </c>
      <c r="H7937" s="1">
        <v>43043</v>
      </c>
      <c r="I7937" s="1">
        <v>43060</v>
      </c>
      <c r="J7937">
        <v>4237</v>
      </c>
    </row>
    <row r="7938" spans="1:10" x14ac:dyDescent="0.3">
      <c r="A7938" t="s">
        <v>8069</v>
      </c>
      <c r="B7938" t="s">
        <v>88</v>
      </c>
      <c r="C7938" t="str">
        <f>_xlfn.XLOOKUP(B7938,
[1]sales_teams!$A$2:$A$100,
[1]sales_teams!$B$2:$B$100)</f>
        <v>Cara Losch</v>
      </c>
      <c r="D7938" t="str">
        <f>_xlfn.XLOOKUP($B7938,sales_teams!$A$2:$A$36,sales_teams!C$2:C$36)</f>
        <v>East</v>
      </c>
      <c r="E7938" t="s">
        <v>48</v>
      </c>
      <c r="F7938" t="s">
        <v>199</v>
      </c>
      <c r="G7938" t="s">
        <v>46</v>
      </c>
      <c r="H7938" s="1">
        <v>43043</v>
      </c>
      <c r="I7938" s="1">
        <v>43053</v>
      </c>
      <c r="J7938">
        <v>0</v>
      </c>
    </row>
    <row r="7939" spans="1:10" x14ac:dyDescent="0.3">
      <c r="A7939" t="s">
        <v>8070</v>
      </c>
      <c r="B7939" t="s">
        <v>23</v>
      </c>
      <c r="C7939" t="str">
        <f>_xlfn.XLOOKUP(B7939,
[1]sales_teams!$A$2:$A$100,
[1]sales_teams!$B$2:$B$100)</f>
        <v>Summer Sewald</v>
      </c>
      <c r="D7939" t="str">
        <f>_xlfn.XLOOKUP($B7939,sales_teams!$A$2:$A$36,sales_teams!C$2:C$36)</f>
        <v>West</v>
      </c>
      <c r="E7939" t="s">
        <v>20</v>
      </c>
      <c r="G7939" t="s">
        <v>40</v>
      </c>
      <c r="H7939" s="1">
        <v>43043</v>
      </c>
    </row>
    <row r="7940" spans="1:10" x14ac:dyDescent="0.3">
      <c r="A7940" t="s">
        <v>8071</v>
      </c>
      <c r="B7940" t="s">
        <v>23</v>
      </c>
      <c r="C7940" t="str">
        <f>_xlfn.XLOOKUP(B7940,
[1]sales_teams!$A$2:$A$100,
[1]sales_teams!$B$2:$B$100)</f>
        <v>Summer Sewald</v>
      </c>
      <c r="D7940" t="str">
        <f>_xlfn.XLOOKUP($B7940,sales_teams!$A$2:$A$36,sales_teams!C$2:C$36)</f>
        <v>West</v>
      </c>
      <c r="E7940" t="s">
        <v>20</v>
      </c>
      <c r="F7940" t="s">
        <v>70</v>
      </c>
      <c r="G7940" t="s">
        <v>12</v>
      </c>
      <c r="H7940" s="1">
        <v>43043</v>
      </c>
      <c r="I7940" s="1">
        <v>43081</v>
      </c>
      <c r="J7940">
        <v>481</v>
      </c>
    </row>
    <row r="7941" spans="1:10" x14ac:dyDescent="0.3">
      <c r="A7941" t="s">
        <v>8072</v>
      </c>
      <c r="B7941" t="s">
        <v>26</v>
      </c>
      <c r="C7941" t="str">
        <f>_xlfn.XLOOKUP(B7941,
[1]sales_teams!$A$2:$A$100,
[1]sales_teams!$B$2:$B$100)</f>
        <v>Dustin Brinkmann</v>
      </c>
      <c r="D7941" t="str">
        <f>_xlfn.XLOOKUP($B7941,sales_teams!$A$2:$A$36,sales_teams!C$2:C$36)</f>
        <v>Central</v>
      </c>
      <c r="E7941" t="s">
        <v>20</v>
      </c>
      <c r="F7941" t="s">
        <v>303</v>
      </c>
      <c r="G7941" t="s">
        <v>12</v>
      </c>
      <c r="H7941" s="1">
        <v>43044</v>
      </c>
      <c r="I7941" s="1">
        <v>43048</v>
      </c>
      <c r="J7941">
        <v>480</v>
      </c>
    </row>
    <row r="7942" spans="1:10" x14ac:dyDescent="0.3">
      <c r="A7942" t="s">
        <v>8073</v>
      </c>
      <c r="B7942" t="s">
        <v>118</v>
      </c>
      <c r="C7942" t="str">
        <f>_xlfn.XLOOKUP(B7942,
[1]sales_teams!$A$2:$A$100,
[1]sales_teams!$B$2:$B$100)</f>
        <v>Rocco Neubert</v>
      </c>
      <c r="D7942" t="str">
        <f>_xlfn.XLOOKUP($B7942,sales_teams!$A$2:$A$36,sales_teams!C$2:C$36)</f>
        <v>East</v>
      </c>
      <c r="E7942" t="s">
        <v>18</v>
      </c>
      <c r="G7942" t="s">
        <v>40</v>
      </c>
      <c r="H7942" s="1">
        <v>43044</v>
      </c>
    </row>
    <row r="7943" spans="1:10" x14ac:dyDescent="0.3">
      <c r="A7943" t="s">
        <v>8074</v>
      </c>
      <c r="B7943" t="s">
        <v>164</v>
      </c>
      <c r="C7943" t="str">
        <f>_xlfn.XLOOKUP(B7943,
[1]sales_teams!$A$2:$A$100,
[1]sales_teams!$B$2:$B$100)</f>
        <v>Cara Losch</v>
      </c>
      <c r="D7943" t="str">
        <f>_xlfn.XLOOKUP($B7943,sales_teams!$A$2:$A$36,sales_teams!C$2:C$36)</f>
        <v>East</v>
      </c>
      <c r="E7943" t="s">
        <v>39</v>
      </c>
      <c r="G7943" t="s">
        <v>40</v>
      </c>
      <c r="H7943" s="1">
        <v>43044</v>
      </c>
    </row>
    <row r="7944" spans="1:10" x14ac:dyDescent="0.3">
      <c r="A7944" t="s">
        <v>8075</v>
      </c>
      <c r="B7944" t="s">
        <v>64</v>
      </c>
      <c r="C7944" t="str">
        <f>_xlfn.XLOOKUP(B7944,
[1]sales_teams!$A$2:$A$100,
[1]sales_teams!$B$2:$B$100)</f>
        <v>Rocco Neubert</v>
      </c>
      <c r="D7944" t="str">
        <f>_xlfn.XLOOKUP($B7944,sales_teams!$A$2:$A$36,sales_teams!C$2:C$36)</f>
        <v>East</v>
      </c>
      <c r="E7944" t="s">
        <v>20</v>
      </c>
      <c r="F7944" t="s">
        <v>518</v>
      </c>
      <c r="G7944" t="s">
        <v>40</v>
      </c>
      <c r="H7944" s="1">
        <v>43044</v>
      </c>
    </row>
    <row r="7945" spans="1:10" x14ac:dyDescent="0.3">
      <c r="A7945" t="s">
        <v>8076</v>
      </c>
      <c r="B7945" t="s">
        <v>67</v>
      </c>
      <c r="C7945" t="str">
        <f>_xlfn.XLOOKUP(B7945,
[1]sales_teams!$A$2:$A$100,
[1]sales_teams!$B$2:$B$100)</f>
        <v>Celia Rouche</v>
      </c>
      <c r="D7945" t="str">
        <f>_xlfn.XLOOKUP($B7945,sales_teams!$A$2:$A$36,sales_teams!C$2:C$36)</f>
        <v>West</v>
      </c>
      <c r="E7945" t="s">
        <v>18</v>
      </c>
      <c r="F7945" t="s">
        <v>157</v>
      </c>
      <c r="G7945" t="s">
        <v>12</v>
      </c>
      <c r="H7945" s="1">
        <v>43044</v>
      </c>
      <c r="I7945" s="1">
        <v>43055</v>
      </c>
      <c r="J7945">
        <v>51</v>
      </c>
    </row>
    <row r="7946" spans="1:10" x14ac:dyDescent="0.3">
      <c r="A7946" t="s">
        <v>8077</v>
      </c>
      <c r="B7946" t="s">
        <v>44</v>
      </c>
      <c r="C7946" t="str">
        <f>_xlfn.XLOOKUP(B7946,
[1]sales_teams!$A$2:$A$100,
[1]sales_teams!$B$2:$B$100)</f>
        <v>Melvin Marxen</v>
      </c>
      <c r="D7946" t="str">
        <f>_xlfn.XLOOKUP($B7946,sales_teams!$A$2:$A$36,sales_teams!C$2:C$36)</f>
        <v>Central</v>
      </c>
      <c r="E7946" t="s">
        <v>20</v>
      </c>
      <c r="F7946" t="s">
        <v>11</v>
      </c>
      <c r="G7946" t="s">
        <v>46</v>
      </c>
      <c r="H7946" s="1">
        <v>43044</v>
      </c>
      <c r="I7946" s="1">
        <v>43055</v>
      </c>
      <c r="J7946">
        <v>0</v>
      </c>
    </row>
    <row r="7947" spans="1:10" x14ac:dyDescent="0.3">
      <c r="A7947" t="s">
        <v>8078</v>
      </c>
      <c r="B7947" t="s">
        <v>44</v>
      </c>
      <c r="C7947" t="str">
        <f>_xlfn.XLOOKUP(B7947,
[1]sales_teams!$A$2:$A$100,
[1]sales_teams!$B$2:$B$100)</f>
        <v>Melvin Marxen</v>
      </c>
      <c r="D7947" t="str">
        <f>_xlfn.XLOOKUP($B7947,sales_teams!$A$2:$A$36,sales_teams!C$2:C$36)</f>
        <v>Central</v>
      </c>
      <c r="E7947" t="s">
        <v>18</v>
      </c>
      <c r="F7947" t="s">
        <v>109</v>
      </c>
      <c r="G7947" t="s">
        <v>12</v>
      </c>
      <c r="H7947" s="1">
        <v>43044</v>
      </c>
      <c r="I7947" s="1">
        <v>43100</v>
      </c>
      <c r="J7947">
        <v>52</v>
      </c>
    </row>
    <row r="7948" spans="1:10" x14ac:dyDescent="0.3">
      <c r="A7948" t="s">
        <v>8079</v>
      </c>
      <c r="B7948" t="s">
        <v>38</v>
      </c>
      <c r="C7948" t="str">
        <f>_xlfn.XLOOKUP(B7948,
[1]sales_teams!$A$2:$A$100,
[1]sales_teams!$B$2:$B$100)</f>
        <v>Summer Sewald</v>
      </c>
      <c r="D7948" t="str">
        <f>_xlfn.XLOOKUP($B7948,sales_teams!$A$2:$A$36,sales_teams!C$2:C$36)</f>
        <v>West</v>
      </c>
      <c r="E7948" t="s">
        <v>48</v>
      </c>
      <c r="G7948" t="s">
        <v>40</v>
      </c>
      <c r="H7948" s="1">
        <v>43044</v>
      </c>
    </row>
    <row r="7949" spans="1:10" x14ac:dyDescent="0.3">
      <c r="A7949" t="s">
        <v>8080</v>
      </c>
      <c r="B7949" t="s">
        <v>38</v>
      </c>
      <c r="C7949" t="str">
        <f>_xlfn.XLOOKUP(B7949,
[1]sales_teams!$A$2:$A$100,
[1]sales_teams!$B$2:$B$100)</f>
        <v>Summer Sewald</v>
      </c>
      <c r="D7949" t="str">
        <f>_xlfn.XLOOKUP($B7949,sales_teams!$A$2:$A$36,sales_teams!C$2:C$36)</f>
        <v>West</v>
      </c>
      <c r="E7949" t="s">
        <v>10</v>
      </c>
      <c r="F7949" t="s">
        <v>49</v>
      </c>
      <c r="G7949" t="s">
        <v>12</v>
      </c>
      <c r="H7949" s="1">
        <v>43044</v>
      </c>
      <c r="I7949" s="1">
        <v>43061</v>
      </c>
      <c r="J7949">
        <v>1218</v>
      </c>
    </row>
    <row r="7950" spans="1:10" x14ac:dyDescent="0.3">
      <c r="A7950" t="s">
        <v>8081</v>
      </c>
      <c r="B7950" t="s">
        <v>95</v>
      </c>
      <c r="C7950" t="str">
        <f>_xlfn.XLOOKUP(B7950,
[1]sales_teams!$A$2:$A$100,
[1]sales_teams!$B$2:$B$100)</f>
        <v>Summer Sewald</v>
      </c>
      <c r="D7950" t="str">
        <f>_xlfn.XLOOKUP($B7950,sales_teams!$A$2:$A$36,sales_teams!C$2:C$36)</f>
        <v>West</v>
      </c>
      <c r="E7950" t="s">
        <v>48</v>
      </c>
      <c r="F7950" t="s">
        <v>168</v>
      </c>
      <c r="G7950" t="s">
        <v>12</v>
      </c>
      <c r="H7950" s="1">
        <v>43044</v>
      </c>
      <c r="I7950" s="1">
        <v>43051</v>
      </c>
      <c r="J7950">
        <v>5681</v>
      </c>
    </row>
    <row r="7951" spans="1:10" x14ac:dyDescent="0.3">
      <c r="A7951" t="s">
        <v>8082</v>
      </c>
      <c r="B7951" t="s">
        <v>116</v>
      </c>
      <c r="C7951" t="str">
        <f>_xlfn.XLOOKUP(B7951,
[1]sales_teams!$A$2:$A$100,
[1]sales_teams!$B$2:$B$100)</f>
        <v>Melvin Marxen</v>
      </c>
      <c r="D7951" t="str">
        <f>_xlfn.XLOOKUP($B7951,sales_teams!$A$2:$A$36,sales_teams!C$2:C$36)</f>
        <v>Central</v>
      </c>
      <c r="E7951" t="s">
        <v>39</v>
      </c>
      <c r="F7951" t="s">
        <v>197</v>
      </c>
      <c r="G7951" t="s">
        <v>46</v>
      </c>
      <c r="H7951" s="1">
        <v>43044</v>
      </c>
      <c r="I7951" s="1">
        <v>43056</v>
      </c>
      <c r="J7951">
        <v>0</v>
      </c>
    </row>
    <row r="7952" spans="1:10" x14ac:dyDescent="0.3">
      <c r="A7952" t="s">
        <v>8083</v>
      </c>
      <c r="B7952" t="s">
        <v>97</v>
      </c>
      <c r="C7952" t="str">
        <f>_xlfn.XLOOKUP(B7952,
[1]sales_teams!$A$2:$A$100,
[1]sales_teams!$B$2:$B$100)</f>
        <v>Rocco Neubert</v>
      </c>
      <c r="D7952" t="str">
        <f>_xlfn.XLOOKUP($B7952,sales_teams!$A$2:$A$36,sales_teams!C$2:C$36)</f>
        <v>East</v>
      </c>
      <c r="E7952" t="s">
        <v>18</v>
      </c>
      <c r="F7952" t="s">
        <v>222</v>
      </c>
      <c r="G7952" t="s">
        <v>46</v>
      </c>
      <c r="H7952" s="1">
        <v>43044</v>
      </c>
      <c r="I7952" s="1">
        <v>43056</v>
      </c>
      <c r="J7952">
        <v>0</v>
      </c>
    </row>
    <row r="7953" spans="1:10" x14ac:dyDescent="0.3">
      <c r="A7953" t="s">
        <v>8084</v>
      </c>
      <c r="B7953" t="s">
        <v>97</v>
      </c>
      <c r="C7953" t="str">
        <f>_xlfn.XLOOKUP(B7953,
[1]sales_teams!$A$2:$A$100,
[1]sales_teams!$B$2:$B$100)</f>
        <v>Rocco Neubert</v>
      </c>
      <c r="D7953" t="str">
        <f>_xlfn.XLOOKUP($B7953,sales_teams!$A$2:$A$36,sales_teams!C$2:C$36)</f>
        <v>East</v>
      </c>
      <c r="E7953" t="s">
        <v>48</v>
      </c>
      <c r="F7953" t="s">
        <v>199</v>
      </c>
      <c r="G7953" t="s">
        <v>12</v>
      </c>
      <c r="H7953" s="1">
        <v>43044</v>
      </c>
      <c r="I7953" s="1">
        <v>43046</v>
      </c>
      <c r="J7953">
        <v>6767</v>
      </c>
    </row>
    <row r="7954" spans="1:10" x14ac:dyDescent="0.3">
      <c r="A7954" t="s">
        <v>8085</v>
      </c>
      <c r="B7954" t="s">
        <v>88</v>
      </c>
      <c r="C7954" t="str">
        <f>_xlfn.XLOOKUP(B7954,
[1]sales_teams!$A$2:$A$100,
[1]sales_teams!$B$2:$B$100)</f>
        <v>Cara Losch</v>
      </c>
      <c r="D7954" t="str">
        <f>_xlfn.XLOOKUP($B7954,sales_teams!$A$2:$A$36,sales_teams!C$2:C$36)</f>
        <v>East</v>
      </c>
      <c r="E7954" t="s">
        <v>15</v>
      </c>
      <c r="G7954" t="s">
        <v>40</v>
      </c>
      <c r="H7954" s="1">
        <v>43044</v>
      </c>
    </row>
    <row r="7955" spans="1:10" x14ac:dyDescent="0.3">
      <c r="A7955" t="s">
        <v>8086</v>
      </c>
      <c r="B7955" t="s">
        <v>61</v>
      </c>
      <c r="C7955" t="str">
        <f>_xlfn.XLOOKUP(B7955,
[1]sales_teams!$A$2:$A$100,
[1]sales_teams!$B$2:$B$100)</f>
        <v>Dustin Brinkmann</v>
      </c>
      <c r="D7955" t="str">
        <f>_xlfn.XLOOKUP($B7955,sales_teams!$A$2:$A$36,sales_teams!C$2:C$36)</f>
        <v>Central</v>
      </c>
      <c r="E7955" t="s">
        <v>18</v>
      </c>
      <c r="F7955" t="s">
        <v>11</v>
      </c>
      <c r="G7955" t="s">
        <v>12</v>
      </c>
      <c r="H7955" s="1">
        <v>43044</v>
      </c>
      <c r="I7955" s="1">
        <v>43050</v>
      </c>
      <c r="J7955">
        <v>61</v>
      </c>
    </row>
    <row r="7956" spans="1:10" x14ac:dyDescent="0.3">
      <c r="A7956" t="s">
        <v>8087</v>
      </c>
      <c r="B7956" t="s">
        <v>73</v>
      </c>
      <c r="C7956" t="str">
        <f>_xlfn.XLOOKUP(B7956,
[1]sales_teams!$A$2:$A$100,
[1]sales_teams!$B$2:$B$100)</f>
        <v>Cara Losch</v>
      </c>
      <c r="D7956" t="str">
        <f>_xlfn.XLOOKUP($B7956,sales_teams!$A$2:$A$36,sales_teams!C$2:C$36)</f>
        <v>East</v>
      </c>
      <c r="E7956" t="s">
        <v>18</v>
      </c>
      <c r="F7956" t="s">
        <v>140</v>
      </c>
      <c r="G7956" t="s">
        <v>46</v>
      </c>
      <c r="H7956" s="1">
        <v>43044</v>
      </c>
      <c r="I7956" s="1">
        <v>43060</v>
      </c>
      <c r="J7956">
        <v>0</v>
      </c>
    </row>
    <row r="7957" spans="1:10" x14ac:dyDescent="0.3">
      <c r="A7957" t="s">
        <v>8088</v>
      </c>
      <c r="B7957" t="s">
        <v>23</v>
      </c>
      <c r="C7957" t="str">
        <f>_xlfn.XLOOKUP(B7957,
[1]sales_teams!$A$2:$A$100,
[1]sales_teams!$B$2:$B$100)</f>
        <v>Summer Sewald</v>
      </c>
      <c r="D7957" t="str">
        <f>_xlfn.XLOOKUP($B7957,sales_teams!$A$2:$A$36,sales_teams!C$2:C$36)</f>
        <v>West</v>
      </c>
      <c r="E7957" t="s">
        <v>18</v>
      </c>
      <c r="F7957" t="s">
        <v>59</v>
      </c>
      <c r="G7957" t="s">
        <v>12</v>
      </c>
      <c r="H7957" s="1">
        <v>43044</v>
      </c>
      <c r="I7957" s="1">
        <v>43056</v>
      </c>
      <c r="J7957">
        <v>62</v>
      </c>
    </row>
    <row r="7958" spans="1:10" x14ac:dyDescent="0.3">
      <c r="A7958" t="s">
        <v>8089</v>
      </c>
      <c r="B7958" t="s">
        <v>139</v>
      </c>
      <c r="C7958" t="str">
        <f>_xlfn.XLOOKUP(B7958,
[1]sales_teams!$A$2:$A$100,
[1]sales_teams!$B$2:$B$100)</f>
        <v>Rocco Neubert</v>
      </c>
      <c r="D7958" t="str">
        <f>_xlfn.XLOOKUP($B7958,sales_teams!$A$2:$A$36,sales_teams!C$2:C$36)</f>
        <v>East</v>
      </c>
      <c r="E7958" t="s">
        <v>48</v>
      </c>
      <c r="F7958" t="s">
        <v>745</v>
      </c>
      <c r="G7958" t="s">
        <v>40</v>
      </c>
      <c r="H7958" s="1">
        <v>43045</v>
      </c>
    </row>
    <row r="7959" spans="1:10" x14ac:dyDescent="0.3">
      <c r="A7959" t="s">
        <v>8090</v>
      </c>
      <c r="B7959" t="s">
        <v>14</v>
      </c>
      <c r="C7959" t="str">
        <f>_xlfn.XLOOKUP(B7959,
[1]sales_teams!$A$2:$A$100,
[1]sales_teams!$B$2:$B$100)</f>
        <v>Melvin Marxen</v>
      </c>
      <c r="D7959" t="str">
        <f>_xlfn.XLOOKUP($B7959,sales_teams!$A$2:$A$36,sales_teams!C$2:C$36)</f>
        <v>Central</v>
      </c>
      <c r="E7959" t="s">
        <v>15</v>
      </c>
      <c r="F7959" t="s">
        <v>303</v>
      </c>
      <c r="G7959" t="s">
        <v>46</v>
      </c>
      <c r="H7959" s="1">
        <v>43045</v>
      </c>
      <c r="I7959" s="1">
        <v>43046</v>
      </c>
      <c r="J7959">
        <v>0</v>
      </c>
    </row>
    <row r="7960" spans="1:10" x14ac:dyDescent="0.3">
      <c r="A7960" t="s">
        <v>8091</v>
      </c>
      <c r="B7960" t="s">
        <v>67</v>
      </c>
      <c r="C7960" t="str">
        <f>_xlfn.XLOOKUP(B7960,
[1]sales_teams!$A$2:$A$100,
[1]sales_teams!$B$2:$B$100)</f>
        <v>Celia Rouche</v>
      </c>
      <c r="D7960" t="str">
        <f>_xlfn.XLOOKUP($B7960,sales_teams!$A$2:$A$36,sales_teams!C$2:C$36)</f>
        <v>West</v>
      </c>
      <c r="E7960" t="s">
        <v>10</v>
      </c>
      <c r="F7960" t="s">
        <v>194</v>
      </c>
      <c r="G7960" t="s">
        <v>46</v>
      </c>
      <c r="H7960" s="1">
        <v>43045</v>
      </c>
      <c r="I7960" s="1">
        <v>43046</v>
      </c>
      <c r="J7960">
        <v>0</v>
      </c>
    </row>
    <row r="7961" spans="1:10" x14ac:dyDescent="0.3">
      <c r="A7961" t="s">
        <v>8092</v>
      </c>
      <c r="B7961" t="s">
        <v>44</v>
      </c>
      <c r="C7961" t="str">
        <f>_xlfn.XLOOKUP(B7961,
[1]sales_teams!$A$2:$A$100,
[1]sales_teams!$B$2:$B$100)</f>
        <v>Melvin Marxen</v>
      </c>
      <c r="D7961" t="str">
        <f>_xlfn.XLOOKUP($B7961,sales_teams!$A$2:$A$36,sales_teams!C$2:C$36)</f>
        <v>Central</v>
      </c>
      <c r="E7961" t="s">
        <v>18</v>
      </c>
      <c r="F7961" t="s">
        <v>113</v>
      </c>
      <c r="G7961" t="s">
        <v>12</v>
      </c>
      <c r="H7961" s="1">
        <v>43045</v>
      </c>
      <c r="I7961" s="1">
        <v>43088</v>
      </c>
      <c r="J7961">
        <v>48</v>
      </c>
    </row>
    <row r="7962" spans="1:10" x14ac:dyDescent="0.3">
      <c r="A7962" t="s">
        <v>8093</v>
      </c>
      <c r="B7962" t="s">
        <v>95</v>
      </c>
      <c r="C7962" t="str">
        <f>_xlfn.XLOOKUP(B7962,
[1]sales_teams!$A$2:$A$100,
[1]sales_teams!$B$2:$B$100)</f>
        <v>Summer Sewald</v>
      </c>
      <c r="D7962" t="str">
        <f>_xlfn.XLOOKUP($B7962,sales_teams!$A$2:$A$36,sales_teams!C$2:C$36)</f>
        <v>West</v>
      </c>
      <c r="E7962" t="s">
        <v>20</v>
      </c>
      <c r="F7962" t="s">
        <v>122</v>
      </c>
      <c r="G7962" t="s">
        <v>40</v>
      </c>
      <c r="H7962" s="1">
        <v>43045</v>
      </c>
    </row>
    <row r="7963" spans="1:10" x14ac:dyDescent="0.3">
      <c r="A7963" t="s">
        <v>8094</v>
      </c>
      <c r="B7963" t="s">
        <v>35</v>
      </c>
      <c r="C7963" t="str">
        <f>_xlfn.XLOOKUP(B7963,
[1]sales_teams!$A$2:$A$100,
[1]sales_teams!$B$2:$B$100)</f>
        <v>Melvin Marxen</v>
      </c>
      <c r="D7963" t="str">
        <f>_xlfn.XLOOKUP($B7963,sales_teams!$A$2:$A$36,sales_teams!C$2:C$36)</f>
        <v>Central</v>
      </c>
      <c r="E7963" t="s">
        <v>15</v>
      </c>
      <c r="F7963" t="s">
        <v>135</v>
      </c>
      <c r="G7963" t="s">
        <v>46</v>
      </c>
      <c r="H7963" s="1">
        <v>43045</v>
      </c>
      <c r="I7963" s="1">
        <v>43052</v>
      </c>
      <c r="J7963">
        <v>0</v>
      </c>
    </row>
    <row r="7964" spans="1:10" x14ac:dyDescent="0.3">
      <c r="A7964" t="s">
        <v>8095</v>
      </c>
      <c r="B7964" t="s">
        <v>73</v>
      </c>
      <c r="C7964" t="str">
        <f>_xlfn.XLOOKUP(B7964,
[1]sales_teams!$A$2:$A$100,
[1]sales_teams!$B$2:$B$100)</f>
        <v>Cara Losch</v>
      </c>
      <c r="D7964" t="str">
        <f>_xlfn.XLOOKUP($B7964,sales_teams!$A$2:$A$36,sales_teams!C$2:C$36)</f>
        <v>East</v>
      </c>
      <c r="E7964" t="s">
        <v>18</v>
      </c>
      <c r="G7964" t="s">
        <v>40</v>
      </c>
      <c r="H7964" s="1">
        <v>43045</v>
      </c>
    </row>
    <row r="7965" spans="1:10" x14ac:dyDescent="0.3">
      <c r="A7965" t="s">
        <v>8096</v>
      </c>
      <c r="B7965" t="s">
        <v>202</v>
      </c>
      <c r="C7965" t="str">
        <f>_xlfn.XLOOKUP(B7965,
[1]sales_teams!$A$2:$A$100,
[1]sales_teams!$B$2:$B$100)</f>
        <v>Dustin Brinkmann</v>
      </c>
      <c r="D7965" t="str">
        <f>_xlfn.XLOOKUP($B7965,sales_teams!$A$2:$A$36,sales_teams!C$2:C$36)</f>
        <v>Central</v>
      </c>
      <c r="E7965" t="s">
        <v>10</v>
      </c>
      <c r="F7965" t="s">
        <v>111</v>
      </c>
      <c r="G7965" t="s">
        <v>12</v>
      </c>
      <c r="H7965" s="1">
        <v>43046</v>
      </c>
      <c r="I7965" s="1">
        <v>43057</v>
      </c>
      <c r="J7965">
        <v>1059</v>
      </c>
    </row>
    <row r="7966" spans="1:10" x14ac:dyDescent="0.3">
      <c r="A7966" t="s">
        <v>8097</v>
      </c>
      <c r="B7966" t="s">
        <v>164</v>
      </c>
      <c r="C7966" t="str">
        <f>_xlfn.XLOOKUP(B7966,
[1]sales_teams!$A$2:$A$100,
[1]sales_teams!$B$2:$B$100)</f>
        <v>Cara Losch</v>
      </c>
      <c r="D7966" t="str">
        <f>_xlfn.XLOOKUP($B7966,sales_teams!$A$2:$A$36,sales_teams!C$2:C$36)</f>
        <v>East</v>
      </c>
      <c r="E7966" t="s">
        <v>15</v>
      </c>
      <c r="G7966" t="s">
        <v>40</v>
      </c>
      <c r="H7966" s="1">
        <v>43046</v>
      </c>
    </row>
    <row r="7967" spans="1:10" x14ac:dyDescent="0.3">
      <c r="A7967" t="s">
        <v>8098</v>
      </c>
      <c r="B7967" t="s">
        <v>14</v>
      </c>
      <c r="C7967" t="str">
        <f>_xlfn.XLOOKUP(B7967,
[1]sales_teams!$A$2:$A$100,
[1]sales_teams!$B$2:$B$100)</f>
        <v>Melvin Marxen</v>
      </c>
      <c r="D7967" t="str">
        <f>_xlfn.XLOOKUP($B7967,sales_teams!$A$2:$A$36,sales_teams!C$2:C$36)</f>
        <v>Central</v>
      </c>
      <c r="E7967" t="s">
        <v>15</v>
      </c>
      <c r="F7967" t="s">
        <v>113</v>
      </c>
      <c r="G7967" t="s">
        <v>12</v>
      </c>
      <c r="H7967" s="1">
        <v>43046</v>
      </c>
      <c r="I7967" s="1">
        <v>43089</v>
      </c>
      <c r="J7967">
        <v>5031</v>
      </c>
    </row>
    <row r="7968" spans="1:10" x14ac:dyDescent="0.3">
      <c r="A7968" t="s">
        <v>8099</v>
      </c>
      <c r="B7968" t="s">
        <v>133</v>
      </c>
      <c r="C7968" t="str">
        <f>_xlfn.XLOOKUP(B7968,
[1]sales_teams!$A$2:$A$100,
[1]sales_teams!$B$2:$B$100)</f>
        <v>Dustin Brinkmann</v>
      </c>
      <c r="D7968" t="str">
        <f>_xlfn.XLOOKUP($B7968,sales_teams!$A$2:$A$36,sales_teams!C$2:C$36)</f>
        <v>Central</v>
      </c>
      <c r="E7968" t="s">
        <v>20</v>
      </c>
      <c r="F7968" t="s">
        <v>91</v>
      </c>
      <c r="G7968" t="s">
        <v>12</v>
      </c>
      <c r="H7968" s="1">
        <v>43046</v>
      </c>
      <c r="I7968" s="1">
        <v>43091</v>
      </c>
      <c r="J7968">
        <v>557</v>
      </c>
    </row>
    <row r="7969" spans="1:10" x14ac:dyDescent="0.3">
      <c r="A7969" t="s">
        <v>8100</v>
      </c>
      <c r="B7969" t="s">
        <v>88</v>
      </c>
      <c r="C7969" t="str">
        <f>_xlfn.XLOOKUP(B7969,
[1]sales_teams!$A$2:$A$100,
[1]sales_teams!$B$2:$B$100)</f>
        <v>Cara Losch</v>
      </c>
      <c r="D7969" t="str">
        <f>_xlfn.XLOOKUP($B7969,sales_teams!$A$2:$A$36,sales_teams!C$2:C$36)</f>
        <v>East</v>
      </c>
      <c r="E7969" t="s">
        <v>39</v>
      </c>
      <c r="F7969" t="s">
        <v>745</v>
      </c>
      <c r="G7969" t="s">
        <v>12</v>
      </c>
      <c r="H7969" s="1">
        <v>43046</v>
      </c>
      <c r="I7969" s="1">
        <v>43053</v>
      </c>
      <c r="J7969">
        <v>3426</v>
      </c>
    </row>
    <row r="7970" spans="1:10" x14ac:dyDescent="0.3">
      <c r="A7970" t="s">
        <v>8101</v>
      </c>
      <c r="B7970" t="s">
        <v>202</v>
      </c>
      <c r="C7970" t="str">
        <f>_xlfn.XLOOKUP(B7970,
[1]sales_teams!$A$2:$A$100,
[1]sales_teams!$B$2:$B$100)</f>
        <v>Dustin Brinkmann</v>
      </c>
      <c r="D7970" t="str">
        <f>_xlfn.XLOOKUP($B7970,sales_teams!$A$2:$A$36,sales_teams!C$2:C$36)</f>
        <v>Central</v>
      </c>
      <c r="E7970" t="s">
        <v>39</v>
      </c>
      <c r="F7970" t="s">
        <v>135</v>
      </c>
      <c r="G7970" t="s">
        <v>12</v>
      </c>
      <c r="H7970" s="1">
        <v>43047</v>
      </c>
      <c r="I7970" s="1">
        <v>43065</v>
      </c>
      <c r="J7970">
        <v>2968</v>
      </c>
    </row>
    <row r="7971" spans="1:10" x14ac:dyDescent="0.3">
      <c r="A7971" t="s">
        <v>8102</v>
      </c>
      <c r="B7971" t="s">
        <v>44</v>
      </c>
      <c r="C7971" t="str">
        <f>_xlfn.XLOOKUP(B7971,
[1]sales_teams!$A$2:$A$100,
[1]sales_teams!$B$2:$B$100)</f>
        <v>Melvin Marxen</v>
      </c>
      <c r="D7971" t="str">
        <f>_xlfn.XLOOKUP($B7971,sales_teams!$A$2:$A$36,sales_teams!C$2:C$36)</f>
        <v>Central</v>
      </c>
      <c r="E7971" t="s">
        <v>10</v>
      </c>
      <c r="F7971" t="s">
        <v>45</v>
      </c>
      <c r="G7971" t="s">
        <v>12</v>
      </c>
      <c r="H7971" s="1">
        <v>43047</v>
      </c>
      <c r="I7971" s="1">
        <v>43058</v>
      </c>
      <c r="J7971">
        <v>1071</v>
      </c>
    </row>
    <row r="7972" spans="1:10" x14ac:dyDescent="0.3">
      <c r="A7972" t="s">
        <v>8103</v>
      </c>
      <c r="B7972" t="s">
        <v>252</v>
      </c>
      <c r="C7972" t="str">
        <f>_xlfn.XLOOKUP(B7972,
[1]sales_teams!$A$2:$A$100,
[1]sales_teams!$B$2:$B$100)</f>
        <v>Melvin Marxen</v>
      </c>
      <c r="D7972" t="str">
        <f>_xlfn.XLOOKUP($B7972,sales_teams!$A$2:$A$36,sales_teams!C$2:C$36)</f>
        <v>Central</v>
      </c>
      <c r="E7972" t="s">
        <v>15</v>
      </c>
      <c r="F7972" t="s">
        <v>62</v>
      </c>
      <c r="G7972" t="s">
        <v>46</v>
      </c>
      <c r="H7972" s="1">
        <v>43047</v>
      </c>
      <c r="I7972" s="1">
        <v>43055</v>
      </c>
      <c r="J7972">
        <v>0</v>
      </c>
    </row>
    <row r="7973" spans="1:10" x14ac:dyDescent="0.3">
      <c r="A7973" t="s">
        <v>8104</v>
      </c>
      <c r="B7973" t="s">
        <v>78</v>
      </c>
      <c r="C7973" t="str">
        <f>_xlfn.XLOOKUP(B7973,
[1]sales_teams!$A$2:$A$100,
[1]sales_teams!$B$2:$B$100)</f>
        <v>Summer Sewald</v>
      </c>
      <c r="D7973" t="str">
        <f>_xlfn.XLOOKUP($B7973,sales_teams!$A$2:$A$36,sales_teams!C$2:C$36)</f>
        <v>West</v>
      </c>
      <c r="E7973" t="s">
        <v>48</v>
      </c>
      <c r="F7973" t="s">
        <v>49</v>
      </c>
      <c r="G7973" t="s">
        <v>46</v>
      </c>
      <c r="H7973" s="1">
        <v>43047</v>
      </c>
      <c r="I7973" s="1">
        <v>43065</v>
      </c>
      <c r="J7973">
        <v>0</v>
      </c>
    </row>
    <row r="7974" spans="1:10" x14ac:dyDescent="0.3">
      <c r="A7974" t="s">
        <v>8105</v>
      </c>
      <c r="B7974" t="s">
        <v>78</v>
      </c>
      <c r="C7974" t="str">
        <f>_xlfn.XLOOKUP(B7974,
[1]sales_teams!$A$2:$A$100,
[1]sales_teams!$B$2:$B$100)</f>
        <v>Summer Sewald</v>
      </c>
      <c r="D7974" t="str">
        <f>_xlfn.XLOOKUP($B7974,sales_teams!$A$2:$A$36,sales_teams!C$2:C$36)</f>
        <v>West</v>
      </c>
      <c r="E7974" t="s">
        <v>10</v>
      </c>
      <c r="F7974" t="s">
        <v>168</v>
      </c>
      <c r="G7974" t="s">
        <v>12</v>
      </c>
      <c r="H7974" s="1">
        <v>43047</v>
      </c>
      <c r="I7974" s="1">
        <v>43073</v>
      </c>
      <c r="J7974">
        <v>1082</v>
      </c>
    </row>
    <row r="7975" spans="1:10" x14ac:dyDescent="0.3">
      <c r="A7975" t="s">
        <v>8106</v>
      </c>
      <c r="B7975" t="s">
        <v>95</v>
      </c>
      <c r="C7975" t="str">
        <f>_xlfn.XLOOKUP(B7975,
[1]sales_teams!$A$2:$A$100,
[1]sales_teams!$B$2:$B$100)</f>
        <v>Summer Sewald</v>
      </c>
      <c r="D7975" t="str">
        <f>_xlfn.XLOOKUP($B7975,sales_teams!$A$2:$A$36,sales_teams!C$2:C$36)</f>
        <v>West</v>
      </c>
      <c r="E7975" t="s">
        <v>10</v>
      </c>
      <c r="F7975" t="s">
        <v>124</v>
      </c>
      <c r="G7975" t="s">
        <v>12</v>
      </c>
      <c r="H7975" s="1">
        <v>43047</v>
      </c>
      <c r="I7975" s="1">
        <v>43050</v>
      </c>
      <c r="J7975">
        <v>1203</v>
      </c>
    </row>
    <row r="7976" spans="1:10" x14ac:dyDescent="0.3">
      <c r="A7976" t="s">
        <v>8107</v>
      </c>
      <c r="B7976" t="s">
        <v>133</v>
      </c>
      <c r="C7976" t="str">
        <f>_xlfn.XLOOKUP(B7976,
[1]sales_teams!$A$2:$A$100,
[1]sales_teams!$B$2:$B$100)</f>
        <v>Dustin Brinkmann</v>
      </c>
      <c r="D7976" t="str">
        <f>_xlfn.XLOOKUP($B7976,sales_teams!$A$2:$A$36,sales_teams!C$2:C$36)</f>
        <v>Central</v>
      </c>
      <c r="E7976" t="s">
        <v>18</v>
      </c>
      <c r="F7976" t="s">
        <v>113</v>
      </c>
      <c r="G7976" t="s">
        <v>46</v>
      </c>
      <c r="H7976" s="1">
        <v>43047</v>
      </c>
      <c r="I7976" s="1">
        <v>43099</v>
      </c>
      <c r="J7976">
        <v>0</v>
      </c>
    </row>
    <row r="7977" spans="1:10" x14ac:dyDescent="0.3">
      <c r="A7977" t="s">
        <v>8108</v>
      </c>
      <c r="B7977" t="s">
        <v>116</v>
      </c>
      <c r="C7977" t="str">
        <f>_xlfn.XLOOKUP(B7977,
[1]sales_teams!$A$2:$A$100,
[1]sales_teams!$B$2:$B$100)</f>
        <v>Melvin Marxen</v>
      </c>
      <c r="D7977" t="str">
        <f>_xlfn.XLOOKUP($B7977,sales_teams!$A$2:$A$36,sales_teams!C$2:C$36)</f>
        <v>Central</v>
      </c>
      <c r="E7977" t="s">
        <v>10</v>
      </c>
      <c r="F7977" t="s">
        <v>76</v>
      </c>
      <c r="G7977" t="s">
        <v>12</v>
      </c>
      <c r="H7977" s="1">
        <v>43047</v>
      </c>
      <c r="I7977" s="1">
        <v>43056</v>
      </c>
      <c r="J7977">
        <v>985</v>
      </c>
    </row>
    <row r="7978" spans="1:10" x14ac:dyDescent="0.3">
      <c r="A7978" t="s">
        <v>8109</v>
      </c>
      <c r="B7978" t="s">
        <v>35</v>
      </c>
      <c r="C7978" t="str">
        <f>_xlfn.XLOOKUP(B7978,
[1]sales_teams!$A$2:$A$100,
[1]sales_teams!$B$2:$B$100)</f>
        <v>Melvin Marxen</v>
      </c>
      <c r="D7978" t="str">
        <f>_xlfn.XLOOKUP($B7978,sales_teams!$A$2:$A$36,sales_teams!C$2:C$36)</f>
        <v>Central</v>
      </c>
      <c r="E7978" t="s">
        <v>10</v>
      </c>
      <c r="F7978" t="s">
        <v>231</v>
      </c>
      <c r="G7978" t="s">
        <v>12</v>
      </c>
      <c r="H7978" s="1">
        <v>43047</v>
      </c>
      <c r="I7978" s="1">
        <v>43059</v>
      </c>
      <c r="J7978">
        <v>1133</v>
      </c>
    </row>
    <row r="7979" spans="1:10" x14ac:dyDescent="0.3">
      <c r="A7979" t="s">
        <v>8110</v>
      </c>
      <c r="B7979" t="s">
        <v>73</v>
      </c>
      <c r="C7979" t="str">
        <f>_xlfn.XLOOKUP(B7979,
[1]sales_teams!$A$2:$A$100,
[1]sales_teams!$B$2:$B$100)</f>
        <v>Cara Losch</v>
      </c>
      <c r="D7979" t="str">
        <f>_xlfn.XLOOKUP($B7979,sales_teams!$A$2:$A$36,sales_teams!C$2:C$36)</f>
        <v>East</v>
      </c>
      <c r="E7979" t="s">
        <v>18</v>
      </c>
      <c r="F7979" t="s">
        <v>192</v>
      </c>
      <c r="G7979" t="s">
        <v>12</v>
      </c>
      <c r="H7979" s="1">
        <v>43047</v>
      </c>
      <c r="I7979" s="1">
        <v>43096</v>
      </c>
      <c r="J7979">
        <v>56</v>
      </c>
    </row>
    <row r="7980" spans="1:10" x14ac:dyDescent="0.3">
      <c r="A7980" t="s">
        <v>8111</v>
      </c>
      <c r="B7980" t="s">
        <v>102</v>
      </c>
      <c r="C7980" t="str">
        <f>_xlfn.XLOOKUP(B7980,
[1]sales_teams!$A$2:$A$100,
[1]sales_teams!$B$2:$B$100)</f>
        <v>Cara Losch</v>
      </c>
      <c r="D7980" t="str">
        <f>_xlfn.XLOOKUP($B7980,sales_teams!$A$2:$A$36,sales_teams!C$2:C$36)</f>
        <v>East</v>
      </c>
      <c r="E7980" t="s">
        <v>10</v>
      </c>
      <c r="G7980" t="s">
        <v>40</v>
      </c>
      <c r="H7980" s="1">
        <v>43047</v>
      </c>
    </row>
    <row r="7981" spans="1:10" x14ac:dyDescent="0.3">
      <c r="A7981" t="s">
        <v>8112</v>
      </c>
      <c r="B7981" t="s">
        <v>139</v>
      </c>
      <c r="C7981" t="str">
        <f>_xlfn.XLOOKUP(B7981,
[1]sales_teams!$A$2:$A$100,
[1]sales_teams!$B$2:$B$100)</f>
        <v>Rocco Neubert</v>
      </c>
      <c r="D7981" t="str">
        <f>_xlfn.XLOOKUP($B7981,sales_teams!$A$2:$A$36,sales_teams!C$2:C$36)</f>
        <v>East</v>
      </c>
      <c r="E7981" t="s">
        <v>20</v>
      </c>
      <c r="G7981" t="s">
        <v>40</v>
      </c>
      <c r="H7981" s="1">
        <v>43048</v>
      </c>
    </row>
    <row r="7982" spans="1:10" x14ac:dyDescent="0.3">
      <c r="A7982" t="s">
        <v>8113</v>
      </c>
      <c r="B7982" t="s">
        <v>142</v>
      </c>
      <c r="C7982" t="str">
        <f>_xlfn.XLOOKUP(B7982,
[1]sales_teams!$A$2:$A$100,
[1]sales_teams!$B$2:$B$100)</f>
        <v>Rocco Neubert</v>
      </c>
      <c r="D7982" t="str">
        <f>_xlfn.XLOOKUP($B7982,sales_teams!$A$2:$A$36,sales_teams!C$2:C$36)</f>
        <v>East</v>
      </c>
      <c r="E7982" t="s">
        <v>20</v>
      </c>
      <c r="F7982" t="s">
        <v>373</v>
      </c>
      <c r="G7982" t="s">
        <v>46</v>
      </c>
      <c r="H7982" s="1">
        <v>43048</v>
      </c>
      <c r="I7982" s="1">
        <v>43052</v>
      </c>
      <c r="J7982">
        <v>0</v>
      </c>
    </row>
    <row r="7983" spans="1:10" x14ac:dyDescent="0.3">
      <c r="A7983" t="s">
        <v>8114</v>
      </c>
      <c r="B7983" t="s">
        <v>105</v>
      </c>
      <c r="C7983" t="str">
        <f>_xlfn.XLOOKUP(B7983,
[1]sales_teams!$A$2:$A$100,
[1]sales_teams!$B$2:$B$100)</f>
        <v>Cara Losch</v>
      </c>
      <c r="D7983" t="str">
        <f>_xlfn.XLOOKUP($B7983,sales_teams!$A$2:$A$36,sales_teams!C$2:C$36)</f>
        <v>East</v>
      </c>
      <c r="E7983" t="s">
        <v>48</v>
      </c>
      <c r="F7983" t="s">
        <v>329</v>
      </c>
      <c r="G7983" t="s">
        <v>12</v>
      </c>
      <c r="H7983" s="1">
        <v>43048</v>
      </c>
      <c r="I7983" s="1">
        <v>43066</v>
      </c>
      <c r="J7983">
        <v>4884</v>
      </c>
    </row>
    <row r="7984" spans="1:10" x14ac:dyDescent="0.3">
      <c r="A7984" t="s">
        <v>8115</v>
      </c>
      <c r="B7984" t="s">
        <v>38</v>
      </c>
      <c r="C7984" t="str">
        <f>_xlfn.XLOOKUP(B7984,
[1]sales_teams!$A$2:$A$100,
[1]sales_teams!$B$2:$B$100)</f>
        <v>Summer Sewald</v>
      </c>
      <c r="D7984" t="str">
        <f>_xlfn.XLOOKUP($B7984,sales_teams!$A$2:$A$36,sales_teams!C$2:C$36)</f>
        <v>West</v>
      </c>
      <c r="E7984" t="s">
        <v>20</v>
      </c>
      <c r="F7984" t="s">
        <v>155</v>
      </c>
      <c r="G7984" t="s">
        <v>12</v>
      </c>
      <c r="H7984" s="1">
        <v>43048</v>
      </c>
      <c r="I7984" s="1">
        <v>43061</v>
      </c>
      <c r="J7984">
        <v>443</v>
      </c>
    </row>
    <row r="7985" spans="1:10" x14ac:dyDescent="0.3">
      <c r="A7985" t="s">
        <v>8116</v>
      </c>
      <c r="B7985" t="s">
        <v>78</v>
      </c>
      <c r="C7985" t="str">
        <f>_xlfn.XLOOKUP(B7985,
[1]sales_teams!$A$2:$A$100,
[1]sales_teams!$B$2:$B$100)</f>
        <v>Summer Sewald</v>
      </c>
      <c r="D7985" t="str">
        <f>_xlfn.XLOOKUP($B7985,sales_teams!$A$2:$A$36,sales_teams!C$2:C$36)</f>
        <v>West</v>
      </c>
      <c r="E7985" t="s">
        <v>20</v>
      </c>
      <c r="F7985" t="s">
        <v>148</v>
      </c>
      <c r="G7985" t="s">
        <v>12</v>
      </c>
      <c r="H7985" s="1">
        <v>43048</v>
      </c>
      <c r="I7985" s="1">
        <v>43062</v>
      </c>
      <c r="J7985">
        <v>562</v>
      </c>
    </row>
    <row r="7986" spans="1:10" x14ac:dyDescent="0.3">
      <c r="A7986" t="s">
        <v>8117</v>
      </c>
      <c r="B7986" t="s">
        <v>78</v>
      </c>
      <c r="C7986" t="str">
        <f>_xlfn.XLOOKUP(B7986,
[1]sales_teams!$A$2:$A$100,
[1]sales_teams!$B$2:$B$100)</f>
        <v>Summer Sewald</v>
      </c>
      <c r="D7986" t="str">
        <f>_xlfn.XLOOKUP($B7986,sales_teams!$A$2:$A$36,sales_teams!C$2:C$36)</f>
        <v>West</v>
      </c>
      <c r="E7986" t="s">
        <v>20</v>
      </c>
      <c r="F7986" t="s">
        <v>398</v>
      </c>
      <c r="G7986" t="s">
        <v>12</v>
      </c>
      <c r="H7986" s="1">
        <v>43048</v>
      </c>
      <c r="I7986" s="1">
        <v>43060</v>
      </c>
      <c r="J7986">
        <v>437</v>
      </c>
    </row>
    <row r="7987" spans="1:10" x14ac:dyDescent="0.3">
      <c r="A7987" t="s">
        <v>8118</v>
      </c>
      <c r="B7987" t="s">
        <v>95</v>
      </c>
      <c r="C7987" t="str">
        <f>_xlfn.XLOOKUP(B7987,
[1]sales_teams!$A$2:$A$100,
[1]sales_teams!$B$2:$B$100)</f>
        <v>Summer Sewald</v>
      </c>
      <c r="D7987" t="str">
        <f>_xlfn.XLOOKUP($B7987,sales_teams!$A$2:$A$36,sales_teams!C$2:C$36)</f>
        <v>West</v>
      </c>
      <c r="E7987" t="s">
        <v>39</v>
      </c>
      <c r="F7987" t="s">
        <v>68</v>
      </c>
      <c r="G7987" t="s">
        <v>46</v>
      </c>
      <c r="H7987" s="1">
        <v>43048</v>
      </c>
      <c r="I7987" s="1">
        <v>43062</v>
      </c>
      <c r="J7987">
        <v>0</v>
      </c>
    </row>
    <row r="7988" spans="1:10" x14ac:dyDescent="0.3">
      <c r="A7988" t="s">
        <v>8119</v>
      </c>
      <c r="B7988" t="s">
        <v>95</v>
      </c>
      <c r="C7988" t="str">
        <f>_xlfn.XLOOKUP(B7988,
[1]sales_teams!$A$2:$A$100,
[1]sales_teams!$B$2:$B$100)</f>
        <v>Summer Sewald</v>
      </c>
      <c r="D7988" t="str">
        <f>_xlfn.XLOOKUP($B7988,sales_teams!$A$2:$A$36,sales_teams!C$2:C$36)</f>
        <v>West</v>
      </c>
      <c r="E7988" t="s">
        <v>20</v>
      </c>
      <c r="F7988" t="s">
        <v>155</v>
      </c>
      <c r="G7988" t="s">
        <v>12</v>
      </c>
      <c r="H7988" s="1">
        <v>43048</v>
      </c>
      <c r="I7988" s="1">
        <v>43053</v>
      </c>
      <c r="J7988">
        <v>606</v>
      </c>
    </row>
    <row r="7989" spans="1:10" x14ac:dyDescent="0.3">
      <c r="A7989" t="s">
        <v>8120</v>
      </c>
      <c r="B7989" t="s">
        <v>32</v>
      </c>
      <c r="C7989" t="str">
        <f>_xlfn.XLOOKUP(B7989,
[1]sales_teams!$A$2:$A$100,
[1]sales_teams!$B$2:$B$100)</f>
        <v>Celia Rouche</v>
      </c>
      <c r="D7989" t="str">
        <f>_xlfn.XLOOKUP($B7989,sales_teams!$A$2:$A$36,sales_teams!C$2:C$36)</f>
        <v>West</v>
      </c>
      <c r="E7989" t="s">
        <v>18</v>
      </c>
      <c r="F7989" t="s">
        <v>52</v>
      </c>
      <c r="G7989" t="s">
        <v>12</v>
      </c>
      <c r="H7989" s="1">
        <v>43048</v>
      </c>
      <c r="I7989" s="1">
        <v>43079</v>
      </c>
      <c r="J7989">
        <v>56</v>
      </c>
    </row>
    <row r="7990" spans="1:10" x14ac:dyDescent="0.3">
      <c r="A7990" t="s">
        <v>8121</v>
      </c>
      <c r="B7990" t="s">
        <v>51</v>
      </c>
      <c r="C7990" t="str">
        <f>_xlfn.XLOOKUP(B7990,
[1]sales_teams!$A$2:$A$100,
[1]sales_teams!$B$2:$B$100)</f>
        <v>Summer Sewald</v>
      </c>
      <c r="D7990" t="str">
        <f>_xlfn.XLOOKUP($B7990,sales_teams!$A$2:$A$36,sales_teams!C$2:C$36)</f>
        <v>West</v>
      </c>
      <c r="E7990" t="s">
        <v>39</v>
      </c>
      <c r="F7990" t="s">
        <v>49</v>
      </c>
      <c r="G7990" t="s">
        <v>46</v>
      </c>
      <c r="H7990" s="1">
        <v>43048</v>
      </c>
      <c r="I7990" s="1">
        <v>43066</v>
      </c>
      <c r="J7990">
        <v>0</v>
      </c>
    </row>
    <row r="7991" spans="1:10" x14ac:dyDescent="0.3">
      <c r="A7991" t="s">
        <v>8122</v>
      </c>
      <c r="B7991" t="s">
        <v>9</v>
      </c>
      <c r="C7991" t="str">
        <f>_xlfn.XLOOKUP(B7991,
[1]sales_teams!$A$2:$A$100,
[1]sales_teams!$B$2:$B$100)</f>
        <v>Dustin Brinkmann</v>
      </c>
      <c r="D7991" t="str">
        <f>_xlfn.XLOOKUP($B7991,sales_teams!$A$2:$A$36,sales_teams!C$2:C$36)</f>
        <v>Central</v>
      </c>
      <c r="E7991" t="s">
        <v>18</v>
      </c>
      <c r="F7991" t="s">
        <v>76</v>
      </c>
      <c r="G7991" t="s">
        <v>12</v>
      </c>
      <c r="H7991" s="1">
        <v>43048</v>
      </c>
      <c r="I7991" s="1">
        <v>43060</v>
      </c>
      <c r="J7991">
        <v>54</v>
      </c>
    </row>
    <row r="7992" spans="1:10" x14ac:dyDescent="0.3">
      <c r="A7992" t="s">
        <v>8123</v>
      </c>
      <c r="B7992" t="s">
        <v>29</v>
      </c>
      <c r="C7992" t="str">
        <f>_xlfn.XLOOKUP(B7992,
[1]sales_teams!$A$2:$A$100,
[1]sales_teams!$B$2:$B$100)</f>
        <v>Celia Rouche</v>
      </c>
      <c r="D7992" t="str">
        <f>_xlfn.XLOOKUP($B7992,sales_teams!$A$2:$A$36,sales_teams!C$2:C$36)</f>
        <v>West</v>
      </c>
      <c r="E7992" t="s">
        <v>15</v>
      </c>
      <c r="G7992" t="s">
        <v>40</v>
      </c>
      <c r="H7992" s="1">
        <v>43048</v>
      </c>
    </row>
    <row r="7993" spans="1:10" x14ac:dyDescent="0.3">
      <c r="A7993" t="s">
        <v>8124</v>
      </c>
      <c r="B7993" t="s">
        <v>102</v>
      </c>
      <c r="C7993" t="str">
        <f>_xlfn.XLOOKUP(B7993,
[1]sales_teams!$A$2:$A$100,
[1]sales_teams!$B$2:$B$100)</f>
        <v>Cara Losch</v>
      </c>
      <c r="D7993" t="str">
        <f>_xlfn.XLOOKUP($B7993,sales_teams!$A$2:$A$36,sales_teams!C$2:C$36)</f>
        <v>East</v>
      </c>
      <c r="E7993" t="s">
        <v>15</v>
      </c>
      <c r="F7993" t="s">
        <v>98</v>
      </c>
      <c r="G7993" t="s">
        <v>46</v>
      </c>
      <c r="H7993" s="1">
        <v>43048</v>
      </c>
      <c r="I7993" s="1">
        <v>43062</v>
      </c>
      <c r="J7993">
        <v>0</v>
      </c>
    </row>
    <row r="7994" spans="1:10" x14ac:dyDescent="0.3">
      <c r="A7994" t="s">
        <v>8125</v>
      </c>
      <c r="B7994" t="s">
        <v>164</v>
      </c>
      <c r="C7994" t="str">
        <f>_xlfn.XLOOKUP(B7994,
[1]sales_teams!$A$2:$A$100,
[1]sales_teams!$B$2:$B$100)</f>
        <v>Cara Losch</v>
      </c>
      <c r="D7994" t="str">
        <f>_xlfn.XLOOKUP($B7994,sales_teams!$A$2:$A$36,sales_teams!C$2:C$36)</f>
        <v>East</v>
      </c>
      <c r="E7994" t="s">
        <v>20</v>
      </c>
      <c r="F7994" t="s">
        <v>98</v>
      </c>
      <c r="G7994" t="s">
        <v>12</v>
      </c>
      <c r="H7994" s="1">
        <v>43049</v>
      </c>
      <c r="I7994" s="1">
        <v>43057</v>
      </c>
      <c r="J7994">
        <v>577</v>
      </c>
    </row>
    <row r="7995" spans="1:10" x14ac:dyDescent="0.3">
      <c r="A7995" t="s">
        <v>8126</v>
      </c>
      <c r="B7995" t="s">
        <v>64</v>
      </c>
      <c r="C7995" t="str">
        <f>_xlfn.XLOOKUP(B7995,
[1]sales_teams!$A$2:$A$100,
[1]sales_teams!$B$2:$B$100)</f>
        <v>Rocco Neubert</v>
      </c>
      <c r="D7995" t="str">
        <f>_xlfn.XLOOKUP($B7995,sales_teams!$A$2:$A$36,sales_teams!C$2:C$36)</f>
        <v>East</v>
      </c>
      <c r="E7995" t="s">
        <v>10</v>
      </c>
      <c r="F7995" t="s">
        <v>222</v>
      </c>
      <c r="G7995" t="s">
        <v>46</v>
      </c>
      <c r="H7995" s="1">
        <v>43049</v>
      </c>
      <c r="I7995" s="1">
        <v>43055</v>
      </c>
      <c r="J7995">
        <v>0</v>
      </c>
    </row>
    <row r="7996" spans="1:10" x14ac:dyDescent="0.3">
      <c r="A7996" t="s">
        <v>8127</v>
      </c>
      <c r="B7996" t="s">
        <v>14</v>
      </c>
      <c r="C7996" t="str">
        <f>_xlfn.XLOOKUP(B7996,
[1]sales_teams!$A$2:$A$100,
[1]sales_teams!$B$2:$B$100)</f>
        <v>Melvin Marxen</v>
      </c>
      <c r="D7996" t="str">
        <f>_xlfn.XLOOKUP($B7996,sales_teams!$A$2:$A$36,sales_teams!C$2:C$36)</f>
        <v>Central</v>
      </c>
      <c r="E7996" t="s">
        <v>15</v>
      </c>
      <c r="F7996" t="s">
        <v>27</v>
      </c>
      <c r="G7996" t="s">
        <v>12</v>
      </c>
      <c r="H7996" s="1">
        <v>43049</v>
      </c>
      <c r="I7996" s="1">
        <v>43059</v>
      </c>
      <c r="J7996">
        <v>4480</v>
      </c>
    </row>
    <row r="7997" spans="1:10" x14ac:dyDescent="0.3">
      <c r="A7997" t="s">
        <v>8128</v>
      </c>
      <c r="B7997" t="s">
        <v>95</v>
      </c>
      <c r="C7997" t="str">
        <f>_xlfn.XLOOKUP(B7997,
[1]sales_teams!$A$2:$A$100,
[1]sales_teams!$B$2:$B$100)</f>
        <v>Summer Sewald</v>
      </c>
      <c r="D7997" t="str">
        <f>_xlfn.XLOOKUP($B7997,sales_teams!$A$2:$A$36,sales_teams!C$2:C$36)</f>
        <v>West</v>
      </c>
      <c r="E7997" t="s">
        <v>48</v>
      </c>
      <c r="F7997" t="s">
        <v>184</v>
      </c>
      <c r="G7997" t="s">
        <v>12</v>
      </c>
      <c r="H7997" s="1">
        <v>43049</v>
      </c>
      <c r="I7997" s="1">
        <v>43091</v>
      </c>
      <c r="J7997">
        <v>6299</v>
      </c>
    </row>
    <row r="7998" spans="1:10" x14ac:dyDescent="0.3">
      <c r="A7998" t="s">
        <v>8129</v>
      </c>
      <c r="B7998" t="s">
        <v>95</v>
      </c>
      <c r="C7998" t="str">
        <f>_xlfn.XLOOKUP(B7998,
[1]sales_teams!$A$2:$A$100,
[1]sales_teams!$B$2:$B$100)</f>
        <v>Summer Sewald</v>
      </c>
      <c r="D7998" t="str">
        <f>_xlfn.XLOOKUP($B7998,sales_teams!$A$2:$A$36,sales_teams!C$2:C$36)</f>
        <v>West</v>
      </c>
      <c r="E7998" t="s">
        <v>15</v>
      </c>
      <c r="F7998" t="s">
        <v>218</v>
      </c>
      <c r="G7998" t="s">
        <v>12</v>
      </c>
      <c r="H7998" s="1">
        <v>43049</v>
      </c>
      <c r="I7998" s="1">
        <v>43070</v>
      </c>
      <c r="J7998">
        <v>4673</v>
      </c>
    </row>
    <row r="7999" spans="1:10" x14ac:dyDescent="0.3">
      <c r="A7999" t="s">
        <v>8130</v>
      </c>
      <c r="B7999" t="s">
        <v>32</v>
      </c>
      <c r="C7999" t="str">
        <f>_xlfn.XLOOKUP(B7999,
[1]sales_teams!$A$2:$A$100,
[1]sales_teams!$B$2:$B$100)</f>
        <v>Celia Rouche</v>
      </c>
      <c r="D7999" t="str">
        <f>_xlfn.XLOOKUP($B7999,sales_teams!$A$2:$A$36,sales_teams!C$2:C$36)</f>
        <v>West</v>
      </c>
      <c r="E7999" t="s">
        <v>145</v>
      </c>
      <c r="F7999" t="s">
        <v>93</v>
      </c>
      <c r="G7999" t="s">
        <v>46</v>
      </c>
      <c r="H7999" s="1">
        <v>43049</v>
      </c>
      <c r="I7999" s="1">
        <v>43065</v>
      </c>
      <c r="J7999">
        <v>0</v>
      </c>
    </row>
    <row r="8000" spans="1:10" x14ac:dyDescent="0.3">
      <c r="A8000" t="s">
        <v>8131</v>
      </c>
      <c r="B8000" t="s">
        <v>97</v>
      </c>
      <c r="C8000" t="str">
        <f>_xlfn.XLOOKUP(B8000,
[1]sales_teams!$A$2:$A$100,
[1]sales_teams!$B$2:$B$100)</f>
        <v>Rocco Neubert</v>
      </c>
      <c r="D8000" t="str">
        <f>_xlfn.XLOOKUP($B8000,sales_teams!$A$2:$A$36,sales_teams!C$2:C$36)</f>
        <v>East</v>
      </c>
      <c r="E8000" t="s">
        <v>48</v>
      </c>
      <c r="F8000" t="s">
        <v>300</v>
      </c>
      <c r="G8000" t="s">
        <v>12</v>
      </c>
      <c r="H8000" s="1">
        <v>43049</v>
      </c>
      <c r="I8000" s="1">
        <v>43098</v>
      </c>
      <c r="J8000">
        <v>4659</v>
      </c>
    </row>
    <row r="8001" spans="1:10" x14ac:dyDescent="0.3">
      <c r="A8001" t="s">
        <v>8132</v>
      </c>
      <c r="B8001" t="s">
        <v>57</v>
      </c>
      <c r="C8001" t="str">
        <f>_xlfn.XLOOKUP(B8001,
[1]sales_teams!$A$2:$A$100,
[1]sales_teams!$B$2:$B$100)</f>
        <v>Celia Rouche</v>
      </c>
      <c r="D8001" t="str">
        <f>_xlfn.XLOOKUP($B8001,sales_teams!$A$2:$A$36,sales_teams!C$2:C$36)</f>
        <v>West</v>
      </c>
      <c r="E8001" t="s">
        <v>18</v>
      </c>
      <c r="G8001" t="s">
        <v>40</v>
      </c>
      <c r="H8001" s="1">
        <v>43049</v>
      </c>
    </row>
    <row r="8002" spans="1:10" x14ac:dyDescent="0.3">
      <c r="A8002" t="s">
        <v>8133</v>
      </c>
      <c r="B8002" t="s">
        <v>164</v>
      </c>
      <c r="C8002" t="str">
        <f>_xlfn.XLOOKUP(B8002,
[1]sales_teams!$A$2:$A$100,
[1]sales_teams!$B$2:$B$100)</f>
        <v>Cara Losch</v>
      </c>
      <c r="D8002" t="str">
        <f>_xlfn.XLOOKUP($B8002,sales_teams!$A$2:$A$36,sales_teams!C$2:C$36)</f>
        <v>East</v>
      </c>
      <c r="E8002" t="s">
        <v>10</v>
      </c>
      <c r="F8002" t="s">
        <v>179</v>
      </c>
      <c r="G8002" t="s">
        <v>12</v>
      </c>
      <c r="H8002" s="1">
        <v>43050</v>
      </c>
      <c r="I8002" s="1">
        <v>43059</v>
      </c>
      <c r="J8002">
        <v>1180</v>
      </c>
    </row>
    <row r="8003" spans="1:10" x14ac:dyDescent="0.3">
      <c r="A8003" t="s">
        <v>8134</v>
      </c>
      <c r="B8003" t="s">
        <v>14</v>
      </c>
      <c r="C8003" t="str">
        <f>_xlfn.XLOOKUP(B8003,
[1]sales_teams!$A$2:$A$100,
[1]sales_teams!$B$2:$B$100)</f>
        <v>Melvin Marxen</v>
      </c>
      <c r="D8003" t="str">
        <f>_xlfn.XLOOKUP($B8003,sales_teams!$A$2:$A$36,sales_teams!C$2:C$36)</f>
        <v>Central</v>
      </c>
      <c r="E8003" t="s">
        <v>48</v>
      </c>
      <c r="F8003" t="s">
        <v>303</v>
      </c>
      <c r="G8003" t="s">
        <v>46</v>
      </c>
      <c r="H8003" s="1">
        <v>43050</v>
      </c>
      <c r="I8003" s="1">
        <v>43053</v>
      </c>
      <c r="J8003">
        <v>0</v>
      </c>
    </row>
    <row r="8004" spans="1:10" x14ac:dyDescent="0.3">
      <c r="A8004" t="s">
        <v>8135</v>
      </c>
      <c r="B8004" t="s">
        <v>142</v>
      </c>
      <c r="C8004" t="str">
        <f>_xlfn.XLOOKUP(B8004,
[1]sales_teams!$A$2:$A$100,
[1]sales_teams!$B$2:$B$100)</f>
        <v>Rocco Neubert</v>
      </c>
      <c r="D8004" t="str">
        <f>_xlfn.XLOOKUP($B8004,sales_teams!$A$2:$A$36,sales_teams!C$2:C$36)</f>
        <v>East</v>
      </c>
      <c r="E8004" t="s">
        <v>10</v>
      </c>
      <c r="F8004" t="s">
        <v>140</v>
      </c>
      <c r="G8004" t="s">
        <v>46</v>
      </c>
      <c r="H8004" s="1">
        <v>43050</v>
      </c>
      <c r="I8004" s="1">
        <v>43057</v>
      </c>
      <c r="J8004">
        <v>0</v>
      </c>
    </row>
    <row r="8005" spans="1:10" x14ac:dyDescent="0.3">
      <c r="A8005" t="s">
        <v>8136</v>
      </c>
      <c r="B8005" t="s">
        <v>252</v>
      </c>
      <c r="C8005" t="str">
        <f>_xlfn.XLOOKUP(B8005,
[1]sales_teams!$A$2:$A$100,
[1]sales_teams!$B$2:$B$100)</f>
        <v>Melvin Marxen</v>
      </c>
      <c r="D8005" t="str">
        <f>_xlfn.XLOOKUP($B8005,sales_teams!$A$2:$A$36,sales_teams!C$2:C$36)</f>
        <v>Central</v>
      </c>
      <c r="E8005" t="s">
        <v>18</v>
      </c>
      <c r="F8005" t="s">
        <v>62</v>
      </c>
      <c r="G8005" t="s">
        <v>12</v>
      </c>
      <c r="H8005" s="1">
        <v>43050</v>
      </c>
      <c r="I8005" s="1">
        <v>43073</v>
      </c>
      <c r="J8005">
        <v>57</v>
      </c>
    </row>
    <row r="8006" spans="1:10" x14ac:dyDescent="0.3">
      <c r="A8006" t="s">
        <v>8137</v>
      </c>
      <c r="B8006" t="s">
        <v>116</v>
      </c>
      <c r="C8006" t="str">
        <f>_xlfn.XLOOKUP(B8006,
[1]sales_teams!$A$2:$A$100,
[1]sales_teams!$B$2:$B$100)</f>
        <v>Melvin Marxen</v>
      </c>
      <c r="D8006" t="str">
        <f>_xlfn.XLOOKUP($B8006,sales_teams!$A$2:$A$36,sales_teams!C$2:C$36)</f>
        <v>Central</v>
      </c>
      <c r="E8006" t="s">
        <v>48</v>
      </c>
      <c r="F8006" t="s">
        <v>170</v>
      </c>
      <c r="G8006" t="s">
        <v>46</v>
      </c>
      <c r="H8006" s="1">
        <v>43050</v>
      </c>
      <c r="I8006" s="1">
        <v>43061</v>
      </c>
      <c r="J8006">
        <v>0</v>
      </c>
    </row>
    <row r="8007" spans="1:10" x14ac:dyDescent="0.3">
      <c r="A8007" t="s">
        <v>8138</v>
      </c>
      <c r="B8007" t="s">
        <v>35</v>
      </c>
      <c r="C8007" t="str">
        <f>_xlfn.XLOOKUP(B8007,
[1]sales_teams!$A$2:$A$100,
[1]sales_teams!$B$2:$B$100)</f>
        <v>Melvin Marxen</v>
      </c>
      <c r="D8007" t="str">
        <f>_xlfn.XLOOKUP($B8007,sales_teams!$A$2:$A$36,sales_teams!C$2:C$36)</f>
        <v>Central</v>
      </c>
      <c r="E8007" t="s">
        <v>10</v>
      </c>
      <c r="F8007" t="s">
        <v>45</v>
      </c>
      <c r="G8007" t="s">
        <v>46</v>
      </c>
      <c r="H8007" s="1">
        <v>43050</v>
      </c>
      <c r="I8007" s="1">
        <v>43061</v>
      </c>
      <c r="J8007">
        <v>0</v>
      </c>
    </row>
    <row r="8008" spans="1:10" x14ac:dyDescent="0.3">
      <c r="A8008" t="s">
        <v>8139</v>
      </c>
      <c r="B8008" t="s">
        <v>61</v>
      </c>
      <c r="C8008" t="str">
        <f>_xlfn.XLOOKUP(B8008,
[1]sales_teams!$A$2:$A$100,
[1]sales_teams!$B$2:$B$100)</f>
        <v>Dustin Brinkmann</v>
      </c>
      <c r="D8008" t="str">
        <f>_xlfn.XLOOKUP($B8008,sales_teams!$A$2:$A$36,sales_teams!C$2:C$36)</f>
        <v>Central</v>
      </c>
      <c r="E8008" t="s">
        <v>18</v>
      </c>
      <c r="F8008" t="s">
        <v>21</v>
      </c>
      <c r="G8008" t="s">
        <v>12</v>
      </c>
      <c r="H8008" s="1">
        <v>43050</v>
      </c>
      <c r="I8008" s="1">
        <v>43089</v>
      </c>
      <c r="J8008">
        <v>48</v>
      </c>
    </row>
    <row r="8009" spans="1:10" x14ac:dyDescent="0.3">
      <c r="A8009" t="s">
        <v>8140</v>
      </c>
      <c r="B8009" t="s">
        <v>73</v>
      </c>
      <c r="C8009" t="str">
        <f>_xlfn.XLOOKUP(B8009,
[1]sales_teams!$A$2:$A$100,
[1]sales_teams!$B$2:$B$100)</f>
        <v>Cara Losch</v>
      </c>
      <c r="D8009" t="str">
        <f>_xlfn.XLOOKUP($B8009,sales_teams!$A$2:$A$36,sales_teams!C$2:C$36)</f>
        <v>East</v>
      </c>
      <c r="E8009" t="s">
        <v>18</v>
      </c>
      <c r="F8009" t="s">
        <v>165</v>
      </c>
      <c r="G8009" t="s">
        <v>12</v>
      </c>
      <c r="H8009" s="1">
        <v>43050</v>
      </c>
      <c r="I8009" s="1">
        <v>43052</v>
      </c>
      <c r="J8009">
        <v>51</v>
      </c>
    </row>
    <row r="8010" spans="1:10" x14ac:dyDescent="0.3">
      <c r="A8010" t="s">
        <v>8141</v>
      </c>
      <c r="B8010" t="s">
        <v>26</v>
      </c>
      <c r="C8010" t="str">
        <f>_xlfn.XLOOKUP(B8010,
[1]sales_teams!$A$2:$A$100,
[1]sales_teams!$B$2:$B$100)</f>
        <v>Dustin Brinkmann</v>
      </c>
      <c r="D8010" t="str">
        <f>_xlfn.XLOOKUP($B8010,sales_teams!$A$2:$A$36,sales_teams!C$2:C$36)</f>
        <v>Central</v>
      </c>
      <c r="E8010" t="s">
        <v>18</v>
      </c>
      <c r="F8010" t="s">
        <v>318</v>
      </c>
      <c r="G8010" t="s">
        <v>46</v>
      </c>
      <c r="H8010" s="1">
        <v>43051</v>
      </c>
      <c r="I8010" s="1">
        <v>43064</v>
      </c>
      <c r="J8010">
        <v>0</v>
      </c>
    </row>
    <row r="8011" spans="1:10" x14ac:dyDescent="0.3">
      <c r="A8011" t="s">
        <v>8142</v>
      </c>
      <c r="B8011" t="s">
        <v>164</v>
      </c>
      <c r="C8011" t="str">
        <f>_xlfn.XLOOKUP(B8011,
[1]sales_teams!$A$2:$A$100,
[1]sales_teams!$B$2:$B$100)</f>
        <v>Cara Losch</v>
      </c>
      <c r="D8011" t="str">
        <f>_xlfn.XLOOKUP($B8011,sales_teams!$A$2:$A$36,sales_teams!C$2:C$36)</f>
        <v>East</v>
      </c>
      <c r="E8011" t="s">
        <v>10</v>
      </c>
      <c r="F8011" t="s">
        <v>189</v>
      </c>
      <c r="G8011" t="s">
        <v>12</v>
      </c>
      <c r="H8011" s="1">
        <v>43051</v>
      </c>
      <c r="I8011" s="1">
        <v>43052</v>
      </c>
      <c r="J8011">
        <v>1138</v>
      </c>
    </row>
    <row r="8012" spans="1:10" x14ac:dyDescent="0.3">
      <c r="A8012" t="s">
        <v>8143</v>
      </c>
      <c r="B8012" t="s">
        <v>14</v>
      </c>
      <c r="C8012" t="str">
        <f>_xlfn.XLOOKUP(B8012,
[1]sales_teams!$A$2:$A$100,
[1]sales_teams!$B$2:$B$100)</f>
        <v>Melvin Marxen</v>
      </c>
      <c r="D8012" t="str">
        <f>_xlfn.XLOOKUP($B8012,sales_teams!$A$2:$A$36,sales_teams!C$2:C$36)</f>
        <v>Central</v>
      </c>
      <c r="E8012" t="s">
        <v>18</v>
      </c>
      <c r="F8012" t="s">
        <v>492</v>
      </c>
      <c r="G8012" t="s">
        <v>12</v>
      </c>
      <c r="H8012" s="1">
        <v>43051</v>
      </c>
      <c r="I8012" s="1">
        <v>43090</v>
      </c>
      <c r="J8012">
        <v>49</v>
      </c>
    </row>
    <row r="8013" spans="1:10" x14ac:dyDescent="0.3">
      <c r="A8013" t="s">
        <v>8144</v>
      </c>
      <c r="B8013" t="s">
        <v>105</v>
      </c>
      <c r="C8013" t="str">
        <f>_xlfn.XLOOKUP(B8013,
[1]sales_teams!$A$2:$A$100,
[1]sales_teams!$B$2:$B$100)</f>
        <v>Cara Losch</v>
      </c>
      <c r="D8013" t="str">
        <f>_xlfn.XLOOKUP($B8013,sales_teams!$A$2:$A$36,sales_teams!C$2:C$36)</f>
        <v>East</v>
      </c>
      <c r="E8013" t="s">
        <v>39</v>
      </c>
      <c r="F8013" t="s">
        <v>329</v>
      </c>
      <c r="G8013" t="s">
        <v>46</v>
      </c>
      <c r="H8013" s="1">
        <v>43051</v>
      </c>
      <c r="I8013" s="1">
        <v>43060</v>
      </c>
      <c r="J8013">
        <v>0</v>
      </c>
    </row>
    <row r="8014" spans="1:10" x14ac:dyDescent="0.3">
      <c r="A8014" t="s">
        <v>8145</v>
      </c>
      <c r="B8014" t="s">
        <v>44</v>
      </c>
      <c r="C8014" t="str">
        <f>_xlfn.XLOOKUP(B8014,
[1]sales_teams!$A$2:$A$100,
[1]sales_teams!$B$2:$B$100)</f>
        <v>Melvin Marxen</v>
      </c>
      <c r="D8014" t="str">
        <f>_xlfn.XLOOKUP($B8014,sales_teams!$A$2:$A$36,sales_teams!C$2:C$36)</f>
        <v>Central</v>
      </c>
      <c r="E8014" t="s">
        <v>20</v>
      </c>
      <c r="F8014" t="s">
        <v>45</v>
      </c>
      <c r="G8014" t="s">
        <v>12</v>
      </c>
      <c r="H8014" s="1">
        <v>43051</v>
      </c>
      <c r="I8014" s="1">
        <v>43097</v>
      </c>
      <c r="J8014">
        <v>650</v>
      </c>
    </row>
    <row r="8015" spans="1:10" x14ac:dyDescent="0.3">
      <c r="A8015" t="s">
        <v>8146</v>
      </c>
      <c r="B8015" t="s">
        <v>95</v>
      </c>
      <c r="C8015" t="str">
        <f>_xlfn.XLOOKUP(B8015,
[1]sales_teams!$A$2:$A$100,
[1]sales_teams!$B$2:$B$100)</f>
        <v>Summer Sewald</v>
      </c>
      <c r="D8015" t="str">
        <f>_xlfn.XLOOKUP($B8015,sales_teams!$A$2:$A$36,sales_teams!C$2:C$36)</f>
        <v>West</v>
      </c>
      <c r="E8015" t="s">
        <v>20</v>
      </c>
      <c r="F8015" t="s">
        <v>184</v>
      </c>
      <c r="G8015" t="s">
        <v>12</v>
      </c>
      <c r="H8015" s="1">
        <v>43051</v>
      </c>
      <c r="I8015" s="1">
        <v>43098</v>
      </c>
      <c r="J8015">
        <v>470</v>
      </c>
    </row>
    <row r="8016" spans="1:10" x14ac:dyDescent="0.3">
      <c r="A8016" t="s">
        <v>8147</v>
      </c>
      <c r="B8016" t="s">
        <v>133</v>
      </c>
      <c r="C8016" t="str">
        <f>_xlfn.XLOOKUP(B8016,
[1]sales_teams!$A$2:$A$100,
[1]sales_teams!$B$2:$B$100)</f>
        <v>Dustin Brinkmann</v>
      </c>
      <c r="D8016" t="str">
        <f>_xlfn.XLOOKUP($B8016,sales_teams!$A$2:$A$36,sales_teams!C$2:C$36)</f>
        <v>Central</v>
      </c>
      <c r="E8016" t="s">
        <v>20</v>
      </c>
      <c r="F8016" t="s">
        <v>16</v>
      </c>
      <c r="G8016" t="s">
        <v>12</v>
      </c>
      <c r="H8016" s="1">
        <v>43051</v>
      </c>
      <c r="I8016" s="1">
        <v>43100</v>
      </c>
      <c r="J8016">
        <v>567</v>
      </c>
    </row>
    <row r="8017" spans="1:10" x14ac:dyDescent="0.3">
      <c r="A8017" t="s">
        <v>8148</v>
      </c>
      <c r="B8017" t="s">
        <v>32</v>
      </c>
      <c r="C8017" t="str">
        <f>_xlfn.XLOOKUP(B8017,
[1]sales_teams!$A$2:$A$100,
[1]sales_teams!$B$2:$B$100)</f>
        <v>Celia Rouche</v>
      </c>
      <c r="D8017" t="str">
        <f>_xlfn.XLOOKUP($B8017,sales_teams!$A$2:$A$36,sales_teams!C$2:C$36)</f>
        <v>West</v>
      </c>
      <c r="E8017" t="s">
        <v>39</v>
      </c>
      <c r="F8017" t="s">
        <v>555</v>
      </c>
      <c r="G8017" t="s">
        <v>12</v>
      </c>
      <c r="H8017" s="1">
        <v>43051</v>
      </c>
      <c r="I8017" s="1">
        <v>43094</v>
      </c>
      <c r="J8017">
        <v>3836</v>
      </c>
    </row>
    <row r="8018" spans="1:10" x14ac:dyDescent="0.3">
      <c r="A8018" t="s">
        <v>8149</v>
      </c>
      <c r="B8018" t="s">
        <v>116</v>
      </c>
      <c r="C8018" t="str">
        <f>_xlfn.XLOOKUP(B8018,
[1]sales_teams!$A$2:$A$100,
[1]sales_teams!$B$2:$B$100)</f>
        <v>Melvin Marxen</v>
      </c>
      <c r="D8018" t="str">
        <f>_xlfn.XLOOKUP($B8018,sales_teams!$A$2:$A$36,sales_teams!C$2:C$36)</f>
        <v>Central</v>
      </c>
      <c r="E8018" t="s">
        <v>48</v>
      </c>
      <c r="F8018" t="s">
        <v>151</v>
      </c>
      <c r="G8018" t="s">
        <v>12</v>
      </c>
      <c r="H8018" s="1">
        <v>43051</v>
      </c>
      <c r="I8018" s="1">
        <v>43053</v>
      </c>
      <c r="J8018">
        <v>5916</v>
      </c>
    </row>
    <row r="8019" spans="1:10" x14ac:dyDescent="0.3">
      <c r="A8019" t="s">
        <v>8150</v>
      </c>
      <c r="B8019" t="s">
        <v>51</v>
      </c>
      <c r="C8019" t="str">
        <f>_xlfn.XLOOKUP(B8019,
[1]sales_teams!$A$2:$A$100,
[1]sales_teams!$B$2:$B$100)</f>
        <v>Summer Sewald</v>
      </c>
      <c r="D8019" t="str">
        <f>_xlfn.XLOOKUP($B8019,sales_teams!$A$2:$A$36,sales_teams!C$2:C$36)</f>
        <v>West</v>
      </c>
      <c r="E8019" t="s">
        <v>10</v>
      </c>
      <c r="F8019" t="s">
        <v>33</v>
      </c>
      <c r="G8019" t="s">
        <v>12</v>
      </c>
      <c r="H8019" s="1">
        <v>43051</v>
      </c>
      <c r="I8019" s="1">
        <v>43061</v>
      </c>
      <c r="J8019">
        <v>938</v>
      </c>
    </row>
    <row r="8020" spans="1:10" x14ac:dyDescent="0.3">
      <c r="A8020" t="s">
        <v>8151</v>
      </c>
      <c r="B8020" t="s">
        <v>51</v>
      </c>
      <c r="C8020" t="str">
        <f>_xlfn.XLOOKUP(B8020,
[1]sales_teams!$A$2:$A$100,
[1]sales_teams!$B$2:$B$100)</f>
        <v>Summer Sewald</v>
      </c>
      <c r="D8020" t="str">
        <f>_xlfn.XLOOKUP($B8020,sales_teams!$A$2:$A$36,sales_teams!C$2:C$36)</f>
        <v>West</v>
      </c>
      <c r="E8020" t="s">
        <v>10</v>
      </c>
      <c r="F8020" t="s">
        <v>155</v>
      </c>
      <c r="G8020" t="s">
        <v>12</v>
      </c>
      <c r="H8020" s="1">
        <v>43051</v>
      </c>
      <c r="I8020" s="1">
        <v>43054</v>
      </c>
      <c r="J8020">
        <v>1124</v>
      </c>
    </row>
    <row r="8021" spans="1:10" x14ac:dyDescent="0.3">
      <c r="A8021" t="s">
        <v>8152</v>
      </c>
      <c r="B8021" t="s">
        <v>61</v>
      </c>
      <c r="C8021" t="str">
        <f>_xlfn.XLOOKUP(B8021,
[1]sales_teams!$A$2:$A$100,
[1]sales_teams!$B$2:$B$100)</f>
        <v>Dustin Brinkmann</v>
      </c>
      <c r="D8021" t="str">
        <f>_xlfn.XLOOKUP($B8021,sales_teams!$A$2:$A$36,sales_teams!C$2:C$36)</f>
        <v>Central</v>
      </c>
      <c r="E8021" t="s">
        <v>18</v>
      </c>
      <c r="F8021" t="s">
        <v>109</v>
      </c>
      <c r="G8021" t="s">
        <v>12</v>
      </c>
      <c r="H8021" s="1">
        <v>43051</v>
      </c>
      <c r="I8021" s="1">
        <v>43070</v>
      </c>
      <c r="J8021">
        <v>61</v>
      </c>
    </row>
    <row r="8022" spans="1:10" x14ac:dyDescent="0.3">
      <c r="A8022" t="s">
        <v>8153</v>
      </c>
      <c r="B8022" t="s">
        <v>29</v>
      </c>
      <c r="C8022" t="str">
        <f>_xlfn.XLOOKUP(B8022,
[1]sales_teams!$A$2:$A$100,
[1]sales_teams!$B$2:$B$100)</f>
        <v>Celia Rouche</v>
      </c>
      <c r="D8022" t="str">
        <f>_xlfn.XLOOKUP($B8022,sales_teams!$A$2:$A$36,sales_teams!C$2:C$36)</f>
        <v>West</v>
      </c>
      <c r="E8022" t="s">
        <v>18</v>
      </c>
      <c r="F8022" t="s">
        <v>194</v>
      </c>
      <c r="G8022" t="s">
        <v>46</v>
      </c>
      <c r="H8022" s="1">
        <v>43051</v>
      </c>
      <c r="I8022" s="1">
        <v>43093</v>
      </c>
      <c r="J8022">
        <v>0</v>
      </c>
    </row>
    <row r="8023" spans="1:10" x14ac:dyDescent="0.3">
      <c r="A8023" t="s">
        <v>8154</v>
      </c>
      <c r="B8023" t="s">
        <v>102</v>
      </c>
      <c r="C8023" t="str">
        <f>_xlfn.XLOOKUP(B8023,
[1]sales_teams!$A$2:$A$100,
[1]sales_teams!$B$2:$B$100)</f>
        <v>Cara Losch</v>
      </c>
      <c r="D8023" t="str">
        <f>_xlfn.XLOOKUP($B8023,sales_teams!$A$2:$A$36,sales_teams!C$2:C$36)</f>
        <v>East</v>
      </c>
      <c r="E8023" t="s">
        <v>39</v>
      </c>
      <c r="F8023" t="s">
        <v>106</v>
      </c>
      <c r="G8023" t="s">
        <v>12</v>
      </c>
      <c r="H8023" s="1">
        <v>43051</v>
      </c>
      <c r="I8023" s="1">
        <v>43058</v>
      </c>
      <c r="J8023">
        <v>4011</v>
      </c>
    </row>
    <row r="8024" spans="1:10" x14ac:dyDescent="0.3">
      <c r="A8024" t="s">
        <v>8155</v>
      </c>
      <c r="B8024" t="s">
        <v>23</v>
      </c>
      <c r="C8024" t="str">
        <f>_xlfn.XLOOKUP(B8024,
[1]sales_teams!$A$2:$A$100,
[1]sales_teams!$B$2:$B$100)</f>
        <v>Summer Sewald</v>
      </c>
      <c r="D8024" t="str">
        <f>_xlfn.XLOOKUP($B8024,sales_teams!$A$2:$A$36,sales_teams!C$2:C$36)</f>
        <v>West</v>
      </c>
      <c r="E8024" t="s">
        <v>10</v>
      </c>
      <c r="F8024" t="s">
        <v>24</v>
      </c>
      <c r="G8024" t="s">
        <v>46</v>
      </c>
      <c r="H8024" s="1">
        <v>43051</v>
      </c>
      <c r="I8024" s="1">
        <v>43054</v>
      </c>
      <c r="J8024">
        <v>0</v>
      </c>
    </row>
    <row r="8025" spans="1:10" x14ac:dyDescent="0.3">
      <c r="A8025" t="s">
        <v>8156</v>
      </c>
      <c r="B8025" t="s">
        <v>23</v>
      </c>
      <c r="C8025" t="str">
        <f>_xlfn.XLOOKUP(B8025,
[1]sales_teams!$A$2:$A$100,
[1]sales_teams!$B$2:$B$100)</f>
        <v>Summer Sewald</v>
      </c>
      <c r="D8025" t="str">
        <f>_xlfn.XLOOKUP($B8025,sales_teams!$A$2:$A$36,sales_teams!C$2:C$36)</f>
        <v>West</v>
      </c>
      <c r="E8025" t="s">
        <v>15</v>
      </c>
      <c r="F8025" t="s">
        <v>168</v>
      </c>
      <c r="G8025" t="s">
        <v>12</v>
      </c>
      <c r="H8025" s="1">
        <v>43051</v>
      </c>
      <c r="I8025" s="1">
        <v>43056</v>
      </c>
      <c r="J8025">
        <v>5144</v>
      </c>
    </row>
    <row r="8026" spans="1:10" x14ac:dyDescent="0.3">
      <c r="A8026" t="s">
        <v>8157</v>
      </c>
      <c r="B8026" t="s">
        <v>139</v>
      </c>
      <c r="C8026" t="str">
        <f>_xlfn.XLOOKUP(B8026,
[1]sales_teams!$A$2:$A$100,
[1]sales_teams!$B$2:$B$100)</f>
        <v>Rocco Neubert</v>
      </c>
      <c r="D8026" t="str">
        <f>_xlfn.XLOOKUP($B8026,sales_teams!$A$2:$A$36,sales_teams!C$2:C$36)</f>
        <v>East</v>
      </c>
      <c r="E8026" t="s">
        <v>20</v>
      </c>
      <c r="F8026" t="s">
        <v>89</v>
      </c>
      <c r="G8026" t="s">
        <v>12</v>
      </c>
      <c r="H8026" s="1">
        <v>43052</v>
      </c>
      <c r="I8026" s="1">
        <v>43063</v>
      </c>
      <c r="J8026">
        <v>493</v>
      </c>
    </row>
    <row r="8027" spans="1:10" x14ac:dyDescent="0.3">
      <c r="A8027" t="s">
        <v>8158</v>
      </c>
      <c r="B8027" t="s">
        <v>118</v>
      </c>
      <c r="C8027" t="str">
        <f>_xlfn.XLOOKUP(B8027,
[1]sales_teams!$A$2:$A$100,
[1]sales_teams!$B$2:$B$100)</f>
        <v>Rocco Neubert</v>
      </c>
      <c r="D8027" t="str">
        <f>_xlfn.XLOOKUP($B8027,sales_teams!$A$2:$A$36,sales_teams!C$2:C$36)</f>
        <v>East</v>
      </c>
      <c r="E8027" t="s">
        <v>20</v>
      </c>
      <c r="F8027" t="s">
        <v>179</v>
      </c>
      <c r="G8027" t="s">
        <v>46</v>
      </c>
      <c r="H8027" s="1">
        <v>43052</v>
      </c>
      <c r="I8027" s="1">
        <v>43062</v>
      </c>
      <c r="J8027">
        <v>0</v>
      </c>
    </row>
    <row r="8028" spans="1:10" x14ac:dyDescent="0.3">
      <c r="A8028" t="s">
        <v>8159</v>
      </c>
      <c r="B8028" t="s">
        <v>64</v>
      </c>
      <c r="C8028" t="str">
        <f>_xlfn.XLOOKUP(B8028,
[1]sales_teams!$A$2:$A$100,
[1]sales_teams!$B$2:$B$100)</f>
        <v>Rocco Neubert</v>
      </c>
      <c r="D8028" t="str">
        <f>_xlfn.XLOOKUP($B8028,sales_teams!$A$2:$A$36,sales_teams!C$2:C$36)</f>
        <v>East</v>
      </c>
      <c r="E8028" t="s">
        <v>10</v>
      </c>
      <c r="F8028" t="s">
        <v>179</v>
      </c>
      <c r="G8028" t="s">
        <v>12</v>
      </c>
      <c r="H8028" s="1">
        <v>43052</v>
      </c>
      <c r="I8028" s="1">
        <v>43059</v>
      </c>
      <c r="J8028">
        <v>1224</v>
      </c>
    </row>
    <row r="8029" spans="1:10" x14ac:dyDescent="0.3">
      <c r="A8029" t="s">
        <v>8160</v>
      </c>
      <c r="B8029" t="s">
        <v>252</v>
      </c>
      <c r="C8029" t="str">
        <f>_xlfn.XLOOKUP(B8029,
[1]sales_teams!$A$2:$A$100,
[1]sales_teams!$B$2:$B$100)</f>
        <v>Melvin Marxen</v>
      </c>
      <c r="D8029" t="str">
        <f>_xlfn.XLOOKUP($B8029,sales_teams!$A$2:$A$36,sales_teams!C$2:C$36)</f>
        <v>Central</v>
      </c>
      <c r="E8029" t="s">
        <v>20</v>
      </c>
      <c r="F8029" t="s">
        <v>16</v>
      </c>
      <c r="G8029" t="s">
        <v>46</v>
      </c>
      <c r="H8029" s="1">
        <v>43052</v>
      </c>
      <c r="I8029" s="1">
        <v>43060</v>
      </c>
      <c r="J8029">
        <v>0</v>
      </c>
    </row>
    <row r="8030" spans="1:10" x14ac:dyDescent="0.3">
      <c r="A8030" t="s">
        <v>8161</v>
      </c>
      <c r="B8030" t="s">
        <v>78</v>
      </c>
      <c r="C8030" t="str">
        <f>_xlfn.XLOOKUP(B8030,
[1]sales_teams!$A$2:$A$100,
[1]sales_teams!$B$2:$B$100)</f>
        <v>Summer Sewald</v>
      </c>
      <c r="D8030" t="str">
        <f>_xlfn.XLOOKUP($B8030,sales_teams!$A$2:$A$36,sales_teams!C$2:C$36)</f>
        <v>West</v>
      </c>
      <c r="E8030" t="s">
        <v>20</v>
      </c>
      <c r="F8030" t="s">
        <v>199</v>
      </c>
      <c r="G8030" t="s">
        <v>46</v>
      </c>
      <c r="H8030" s="1">
        <v>43052</v>
      </c>
      <c r="I8030" s="1">
        <v>43053</v>
      </c>
      <c r="J8030">
        <v>0</v>
      </c>
    </row>
    <row r="8031" spans="1:10" x14ac:dyDescent="0.3">
      <c r="A8031" t="s">
        <v>8162</v>
      </c>
      <c r="B8031" t="s">
        <v>78</v>
      </c>
      <c r="C8031" t="str">
        <f>_xlfn.XLOOKUP(B8031,
[1]sales_teams!$A$2:$A$100,
[1]sales_teams!$B$2:$B$100)</f>
        <v>Summer Sewald</v>
      </c>
      <c r="D8031" t="str">
        <f>_xlfn.XLOOKUP($B8031,sales_teams!$A$2:$A$36,sales_teams!C$2:C$36)</f>
        <v>West</v>
      </c>
      <c r="E8031" t="s">
        <v>15</v>
      </c>
      <c r="F8031" t="s">
        <v>315</v>
      </c>
      <c r="G8031" t="s">
        <v>46</v>
      </c>
      <c r="H8031" s="1">
        <v>43052</v>
      </c>
      <c r="I8031" s="1">
        <v>43069</v>
      </c>
      <c r="J8031">
        <v>0</v>
      </c>
    </row>
    <row r="8032" spans="1:10" x14ac:dyDescent="0.3">
      <c r="A8032" t="s">
        <v>8163</v>
      </c>
      <c r="B8032" t="s">
        <v>133</v>
      </c>
      <c r="C8032" t="str">
        <f>_xlfn.XLOOKUP(B8032,
[1]sales_teams!$A$2:$A$100,
[1]sales_teams!$B$2:$B$100)</f>
        <v>Dustin Brinkmann</v>
      </c>
      <c r="D8032" t="str">
        <f>_xlfn.XLOOKUP($B8032,sales_teams!$A$2:$A$36,sales_teams!C$2:C$36)</f>
        <v>Central</v>
      </c>
      <c r="E8032" t="s">
        <v>20</v>
      </c>
      <c r="F8032" t="s">
        <v>492</v>
      </c>
      <c r="G8032" t="s">
        <v>46</v>
      </c>
      <c r="H8032" s="1">
        <v>43052</v>
      </c>
      <c r="I8032" s="1">
        <v>43058</v>
      </c>
      <c r="J8032">
        <v>0</v>
      </c>
    </row>
    <row r="8033" spans="1:10" x14ac:dyDescent="0.3">
      <c r="A8033" t="s">
        <v>8164</v>
      </c>
      <c r="B8033" t="s">
        <v>51</v>
      </c>
      <c r="C8033" t="str">
        <f>_xlfn.XLOOKUP(B8033,
[1]sales_teams!$A$2:$A$100,
[1]sales_teams!$B$2:$B$100)</f>
        <v>Summer Sewald</v>
      </c>
      <c r="D8033" t="str">
        <f>_xlfn.XLOOKUP($B8033,sales_teams!$A$2:$A$36,sales_teams!C$2:C$36)</f>
        <v>West</v>
      </c>
      <c r="E8033" t="s">
        <v>10</v>
      </c>
      <c r="G8033" t="s">
        <v>40</v>
      </c>
      <c r="H8033" s="1">
        <v>43052</v>
      </c>
    </row>
    <row r="8034" spans="1:10" x14ac:dyDescent="0.3">
      <c r="A8034" t="s">
        <v>8165</v>
      </c>
      <c r="B8034" t="s">
        <v>26</v>
      </c>
      <c r="C8034" t="str">
        <f>_xlfn.XLOOKUP(B8034,
[1]sales_teams!$A$2:$A$100,
[1]sales_teams!$B$2:$B$100)</f>
        <v>Dustin Brinkmann</v>
      </c>
      <c r="D8034" t="str">
        <f>_xlfn.XLOOKUP($B8034,sales_teams!$A$2:$A$36,sales_teams!C$2:C$36)</f>
        <v>Central</v>
      </c>
      <c r="E8034" t="s">
        <v>48</v>
      </c>
      <c r="F8034" t="s">
        <v>62</v>
      </c>
      <c r="G8034" t="s">
        <v>12</v>
      </c>
      <c r="H8034" s="1">
        <v>43053</v>
      </c>
      <c r="I8034" s="1">
        <v>43054</v>
      </c>
      <c r="J8034">
        <v>5276</v>
      </c>
    </row>
    <row r="8035" spans="1:10" x14ac:dyDescent="0.3">
      <c r="A8035" t="s">
        <v>8166</v>
      </c>
      <c r="B8035" t="s">
        <v>64</v>
      </c>
      <c r="C8035" t="str">
        <f>_xlfn.XLOOKUP(B8035,
[1]sales_teams!$A$2:$A$100,
[1]sales_teams!$B$2:$B$100)</f>
        <v>Rocco Neubert</v>
      </c>
      <c r="D8035" t="str">
        <f>_xlfn.XLOOKUP($B8035,sales_teams!$A$2:$A$36,sales_teams!C$2:C$36)</f>
        <v>East</v>
      </c>
      <c r="E8035" t="s">
        <v>10</v>
      </c>
      <c r="F8035" t="s">
        <v>11</v>
      </c>
      <c r="G8035" t="s">
        <v>40</v>
      </c>
      <c r="H8035" s="1">
        <v>43053</v>
      </c>
    </row>
    <row r="8036" spans="1:10" x14ac:dyDescent="0.3">
      <c r="A8036" t="s">
        <v>8167</v>
      </c>
      <c r="B8036" t="s">
        <v>105</v>
      </c>
      <c r="C8036" t="str">
        <f>_xlfn.XLOOKUP(B8036,
[1]sales_teams!$A$2:$A$100,
[1]sales_teams!$B$2:$B$100)</f>
        <v>Cara Losch</v>
      </c>
      <c r="D8036" t="str">
        <f>_xlfn.XLOOKUP($B8036,sales_teams!$A$2:$A$36,sales_teams!C$2:C$36)</f>
        <v>East</v>
      </c>
      <c r="E8036" t="s">
        <v>48</v>
      </c>
      <c r="F8036" t="s">
        <v>165</v>
      </c>
      <c r="G8036" t="s">
        <v>46</v>
      </c>
      <c r="H8036" s="1">
        <v>43053</v>
      </c>
      <c r="I8036" s="1">
        <v>43067</v>
      </c>
      <c r="J8036">
        <v>0</v>
      </c>
    </row>
    <row r="8037" spans="1:10" x14ac:dyDescent="0.3">
      <c r="A8037" t="s">
        <v>8168</v>
      </c>
      <c r="B8037" t="s">
        <v>44</v>
      </c>
      <c r="C8037" t="str">
        <f>_xlfn.XLOOKUP(B8037,
[1]sales_teams!$A$2:$A$100,
[1]sales_teams!$B$2:$B$100)</f>
        <v>Melvin Marxen</v>
      </c>
      <c r="D8037" t="str">
        <f>_xlfn.XLOOKUP($B8037,sales_teams!$A$2:$A$36,sales_teams!C$2:C$36)</f>
        <v>Central</v>
      </c>
      <c r="E8037" t="s">
        <v>10</v>
      </c>
      <c r="F8037" t="s">
        <v>113</v>
      </c>
      <c r="G8037" t="s">
        <v>46</v>
      </c>
      <c r="H8037" s="1">
        <v>43053</v>
      </c>
      <c r="I8037" s="1">
        <v>43059</v>
      </c>
      <c r="J8037">
        <v>0</v>
      </c>
    </row>
    <row r="8038" spans="1:10" x14ac:dyDescent="0.3">
      <c r="A8038" t="s">
        <v>8169</v>
      </c>
      <c r="B8038" t="s">
        <v>54</v>
      </c>
      <c r="C8038" t="str">
        <f>_xlfn.XLOOKUP(B8038,
[1]sales_teams!$A$2:$A$100,
[1]sales_teams!$B$2:$B$100)</f>
        <v>Celia Rouche</v>
      </c>
      <c r="D8038" t="str">
        <f>_xlfn.XLOOKUP($B8038,sales_teams!$A$2:$A$36,sales_teams!C$2:C$36)</f>
        <v>West</v>
      </c>
      <c r="E8038" t="s">
        <v>39</v>
      </c>
      <c r="F8038" t="s">
        <v>59</v>
      </c>
      <c r="G8038" t="s">
        <v>46</v>
      </c>
      <c r="H8038" s="1">
        <v>43053</v>
      </c>
      <c r="I8038" s="1">
        <v>43062</v>
      </c>
      <c r="J8038">
        <v>0</v>
      </c>
    </row>
    <row r="8039" spans="1:10" x14ac:dyDescent="0.3">
      <c r="A8039" t="s">
        <v>8170</v>
      </c>
      <c r="B8039" t="s">
        <v>38</v>
      </c>
      <c r="C8039" t="str">
        <f>_xlfn.XLOOKUP(B8039,
[1]sales_teams!$A$2:$A$100,
[1]sales_teams!$B$2:$B$100)</f>
        <v>Summer Sewald</v>
      </c>
      <c r="D8039" t="str">
        <f>_xlfn.XLOOKUP($B8039,sales_teams!$A$2:$A$36,sales_teams!C$2:C$36)</f>
        <v>West</v>
      </c>
      <c r="E8039" t="s">
        <v>20</v>
      </c>
      <c r="F8039" t="s">
        <v>159</v>
      </c>
      <c r="G8039" t="s">
        <v>46</v>
      </c>
      <c r="H8039" s="1">
        <v>43053</v>
      </c>
      <c r="I8039" s="1">
        <v>43055</v>
      </c>
      <c r="J8039">
        <v>0</v>
      </c>
    </row>
    <row r="8040" spans="1:10" x14ac:dyDescent="0.3">
      <c r="A8040" t="s">
        <v>8171</v>
      </c>
      <c r="B8040" t="s">
        <v>116</v>
      </c>
      <c r="C8040" t="str">
        <f>_xlfn.XLOOKUP(B8040,
[1]sales_teams!$A$2:$A$100,
[1]sales_teams!$B$2:$B$100)</f>
        <v>Melvin Marxen</v>
      </c>
      <c r="D8040" t="str">
        <f>_xlfn.XLOOKUP($B8040,sales_teams!$A$2:$A$36,sales_teams!C$2:C$36)</f>
        <v>Central</v>
      </c>
      <c r="E8040" t="s">
        <v>10</v>
      </c>
      <c r="F8040" t="s">
        <v>27</v>
      </c>
      <c r="G8040" t="s">
        <v>12</v>
      </c>
      <c r="H8040" s="1">
        <v>43053</v>
      </c>
      <c r="I8040" s="1">
        <v>43062</v>
      </c>
      <c r="J8040">
        <v>947</v>
      </c>
    </row>
    <row r="8041" spans="1:10" x14ac:dyDescent="0.3">
      <c r="A8041" t="s">
        <v>8172</v>
      </c>
      <c r="B8041" t="s">
        <v>97</v>
      </c>
      <c r="C8041" t="str">
        <f>_xlfn.XLOOKUP(B8041,
[1]sales_teams!$A$2:$A$100,
[1]sales_teams!$B$2:$B$100)</f>
        <v>Rocco Neubert</v>
      </c>
      <c r="D8041" t="str">
        <f>_xlfn.XLOOKUP($B8041,sales_teams!$A$2:$A$36,sales_teams!C$2:C$36)</f>
        <v>East</v>
      </c>
      <c r="E8041" t="s">
        <v>48</v>
      </c>
      <c r="F8041" t="s">
        <v>199</v>
      </c>
      <c r="G8041" t="s">
        <v>46</v>
      </c>
      <c r="H8041" s="1">
        <v>43053</v>
      </c>
      <c r="I8041" s="1">
        <v>43062</v>
      </c>
      <c r="J8041">
        <v>0</v>
      </c>
    </row>
    <row r="8042" spans="1:10" x14ac:dyDescent="0.3">
      <c r="A8042" t="s">
        <v>8173</v>
      </c>
      <c r="B8042" t="s">
        <v>73</v>
      </c>
      <c r="C8042" t="str">
        <f>_xlfn.XLOOKUP(B8042,
[1]sales_teams!$A$2:$A$100,
[1]sales_teams!$B$2:$B$100)</f>
        <v>Cara Losch</v>
      </c>
      <c r="D8042" t="str">
        <f>_xlfn.XLOOKUP($B8042,sales_teams!$A$2:$A$36,sales_teams!C$2:C$36)</f>
        <v>East</v>
      </c>
      <c r="E8042" t="s">
        <v>39</v>
      </c>
      <c r="F8042" t="s">
        <v>179</v>
      </c>
      <c r="G8042" t="s">
        <v>12</v>
      </c>
      <c r="H8042" s="1">
        <v>43053</v>
      </c>
      <c r="I8042" s="1">
        <v>43068</v>
      </c>
      <c r="J8042">
        <v>3342</v>
      </c>
    </row>
    <row r="8043" spans="1:10" x14ac:dyDescent="0.3">
      <c r="A8043" t="s">
        <v>8174</v>
      </c>
      <c r="B8043" t="s">
        <v>139</v>
      </c>
      <c r="C8043" t="str">
        <f>_xlfn.XLOOKUP(B8043,
[1]sales_teams!$A$2:$A$100,
[1]sales_teams!$B$2:$B$100)</f>
        <v>Rocco Neubert</v>
      </c>
      <c r="D8043" t="str">
        <f>_xlfn.XLOOKUP($B8043,sales_teams!$A$2:$A$36,sales_teams!C$2:C$36)</f>
        <v>East</v>
      </c>
      <c r="E8043" t="s">
        <v>48</v>
      </c>
      <c r="F8043" t="s">
        <v>81</v>
      </c>
      <c r="G8043" t="s">
        <v>12</v>
      </c>
      <c r="H8043" s="1">
        <v>43054</v>
      </c>
      <c r="I8043" s="1">
        <v>43099</v>
      </c>
      <c r="J8043">
        <v>5610</v>
      </c>
    </row>
    <row r="8044" spans="1:10" x14ac:dyDescent="0.3">
      <c r="A8044" t="s">
        <v>8175</v>
      </c>
      <c r="B8044" t="s">
        <v>118</v>
      </c>
      <c r="C8044" t="str">
        <f>_xlfn.XLOOKUP(B8044,
[1]sales_teams!$A$2:$A$100,
[1]sales_teams!$B$2:$B$100)</f>
        <v>Rocco Neubert</v>
      </c>
      <c r="D8044" t="str">
        <f>_xlfn.XLOOKUP($B8044,sales_teams!$A$2:$A$36,sales_teams!C$2:C$36)</f>
        <v>East</v>
      </c>
      <c r="E8044" t="s">
        <v>39</v>
      </c>
      <c r="F8044" t="s">
        <v>218</v>
      </c>
      <c r="G8044" t="s">
        <v>46</v>
      </c>
      <c r="H8044" s="1">
        <v>43054</v>
      </c>
      <c r="I8044" s="1">
        <v>43084</v>
      </c>
      <c r="J8044">
        <v>0</v>
      </c>
    </row>
    <row r="8045" spans="1:10" x14ac:dyDescent="0.3">
      <c r="A8045" t="s">
        <v>8176</v>
      </c>
      <c r="B8045" t="s">
        <v>118</v>
      </c>
      <c r="C8045" t="str">
        <f>_xlfn.XLOOKUP(B8045,
[1]sales_teams!$A$2:$A$100,
[1]sales_teams!$B$2:$B$100)</f>
        <v>Rocco Neubert</v>
      </c>
      <c r="D8045" t="str">
        <f>_xlfn.XLOOKUP($B8045,sales_teams!$A$2:$A$36,sales_teams!C$2:C$36)</f>
        <v>East</v>
      </c>
      <c r="E8045" t="s">
        <v>20</v>
      </c>
      <c r="F8045" t="s">
        <v>209</v>
      </c>
      <c r="G8045" t="s">
        <v>12</v>
      </c>
      <c r="H8045" s="1">
        <v>43054</v>
      </c>
      <c r="I8045" s="1">
        <v>43069</v>
      </c>
      <c r="J8045">
        <v>557</v>
      </c>
    </row>
    <row r="8046" spans="1:10" x14ac:dyDescent="0.3">
      <c r="A8046" t="s">
        <v>8177</v>
      </c>
      <c r="B8046" t="s">
        <v>14</v>
      </c>
      <c r="C8046" t="str">
        <f>_xlfn.XLOOKUP(B8046,
[1]sales_teams!$A$2:$A$100,
[1]sales_teams!$B$2:$B$100)</f>
        <v>Melvin Marxen</v>
      </c>
      <c r="D8046" t="str">
        <f>_xlfn.XLOOKUP($B8046,sales_teams!$A$2:$A$36,sales_teams!C$2:C$36)</f>
        <v>Central</v>
      </c>
      <c r="E8046" t="s">
        <v>15</v>
      </c>
      <c r="F8046" t="s">
        <v>76</v>
      </c>
      <c r="G8046" t="s">
        <v>46</v>
      </c>
      <c r="H8046" s="1">
        <v>43054</v>
      </c>
      <c r="I8046" s="1">
        <v>43059</v>
      </c>
      <c r="J8046">
        <v>0</v>
      </c>
    </row>
    <row r="8047" spans="1:10" x14ac:dyDescent="0.3">
      <c r="A8047" t="s">
        <v>8178</v>
      </c>
      <c r="B8047" t="s">
        <v>14</v>
      </c>
      <c r="C8047" t="str">
        <f>_xlfn.XLOOKUP(B8047,
[1]sales_teams!$A$2:$A$100,
[1]sales_teams!$B$2:$B$100)</f>
        <v>Melvin Marxen</v>
      </c>
      <c r="D8047" t="str">
        <f>_xlfn.XLOOKUP($B8047,sales_teams!$A$2:$A$36,sales_teams!C$2:C$36)</f>
        <v>Central</v>
      </c>
      <c r="E8047" t="s">
        <v>15</v>
      </c>
      <c r="F8047" t="s">
        <v>91</v>
      </c>
      <c r="G8047" t="s">
        <v>12</v>
      </c>
      <c r="H8047" s="1">
        <v>43054</v>
      </c>
      <c r="I8047" s="1">
        <v>43069</v>
      </c>
      <c r="J8047">
        <v>5600</v>
      </c>
    </row>
    <row r="8048" spans="1:10" x14ac:dyDescent="0.3">
      <c r="A8048" t="s">
        <v>8179</v>
      </c>
      <c r="B8048" t="s">
        <v>142</v>
      </c>
      <c r="C8048" t="str">
        <f>_xlfn.XLOOKUP(B8048,
[1]sales_teams!$A$2:$A$100,
[1]sales_teams!$B$2:$B$100)</f>
        <v>Rocco Neubert</v>
      </c>
      <c r="D8048" t="str">
        <f>_xlfn.XLOOKUP($B8048,sales_teams!$A$2:$A$36,sales_teams!C$2:C$36)</f>
        <v>East</v>
      </c>
      <c r="E8048" t="s">
        <v>15</v>
      </c>
      <c r="F8048" t="s">
        <v>98</v>
      </c>
      <c r="G8048" t="s">
        <v>12</v>
      </c>
      <c r="H8048" s="1">
        <v>43054</v>
      </c>
      <c r="I8048" s="1">
        <v>43096</v>
      </c>
      <c r="J8048">
        <v>4980</v>
      </c>
    </row>
    <row r="8049" spans="1:10" x14ac:dyDescent="0.3">
      <c r="A8049" t="s">
        <v>8180</v>
      </c>
      <c r="B8049" t="s">
        <v>78</v>
      </c>
      <c r="C8049" t="str">
        <f>_xlfn.XLOOKUP(B8049,
[1]sales_teams!$A$2:$A$100,
[1]sales_teams!$B$2:$B$100)</f>
        <v>Summer Sewald</v>
      </c>
      <c r="D8049" t="str">
        <f>_xlfn.XLOOKUP($B8049,sales_teams!$A$2:$A$36,sales_teams!C$2:C$36)</f>
        <v>West</v>
      </c>
      <c r="E8049" t="s">
        <v>18</v>
      </c>
      <c r="F8049" t="s">
        <v>59</v>
      </c>
      <c r="G8049" t="s">
        <v>40</v>
      </c>
      <c r="H8049" s="1">
        <v>43054</v>
      </c>
    </row>
    <row r="8050" spans="1:10" x14ac:dyDescent="0.3">
      <c r="A8050" t="s">
        <v>8181</v>
      </c>
      <c r="B8050" t="s">
        <v>78</v>
      </c>
      <c r="C8050" t="str">
        <f>_xlfn.XLOOKUP(B8050,
[1]sales_teams!$A$2:$A$100,
[1]sales_teams!$B$2:$B$100)</f>
        <v>Summer Sewald</v>
      </c>
      <c r="D8050" t="str">
        <f>_xlfn.XLOOKUP($B8050,sales_teams!$A$2:$A$36,sales_teams!C$2:C$36)</f>
        <v>West</v>
      </c>
      <c r="E8050" t="s">
        <v>15</v>
      </c>
      <c r="F8050" t="s">
        <v>155</v>
      </c>
      <c r="G8050" t="s">
        <v>46</v>
      </c>
      <c r="H8050" s="1">
        <v>43054</v>
      </c>
      <c r="I8050" s="1">
        <v>43061</v>
      </c>
      <c r="J8050">
        <v>0</v>
      </c>
    </row>
    <row r="8051" spans="1:10" x14ac:dyDescent="0.3">
      <c r="A8051" t="s">
        <v>8182</v>
      </c>
      <c r="B8051" t="s">
        <v>95</v>
      </c>
      <c r="C8051" t="str">
        <f>_xlfn.XLOOKUP(B8051,
[1]sales_teams!$A$2:$A$100,
[1]sales_teams!$B$2:$B$100)</f>
        <v>Summer Sewald</v>
      </c>
      <c r="D8051" t="str">
        <f>_xlfn.XLOOKUP($B8051,sales_teams!$A$2:$A$36,sales_teams!C$2:C$36)</f>
        <v>West</v>
      </c>
      <c r="E8051" t="s">
        <v>20</v>
      </c>
      <c r="F8051" t="s">
        <v>199</v>
      </c>
      <c r="G8051" t="s">
        <v>46</v>
      </c>
      <c r="H8051" s="1">
        <v>43054</v>
      </c>
      <c r="I8051" s="1">
        <v>43067</v>
      </c>
      <c r="J8051">
        <v>0</v>
      </c>
    </row>
    <row r="8052" spans="1:10" x14ac:dyDescent="0.3">
      <c r="A8052" t="s">
        <v>8183</v>
      </c>
      <c r="B8052" t="s">
        <v>23</v>
      </c>
      <c r="C8052" t="str">
        <f>_xlfn.XLOOKUP(B8052,
[1]sales_teams!$A$2:$A$100,
[1]sales_teams!$B$2:$B$100)</f>
        <v>Summer Sewald</v>
      </c>
      <c r="D8052" t="str">
        <f>_xlfn.XLOOKUP($B8052,sales_teams!$A$2:$A$36,sales_teams!C$2:C$36)</f>
        <v>West</v>
      </c>
      <c r="E8052" t="s">
        <v>20</v>
      </c>
      <c r="F8052" t="s">
        <v>155</v>
      </c>
      <c r="G8052" t="s">
        <v>12</v>
      </c>
      <c r="H8052" s="1">
        <v>43054</v>
      </c>
      <c r="I8052" s="1">
        <v>43064</v>
      </c>
      <c r="J8052">
        <v>530</v>
      </c>
    </row>
    <row r="8053" spans="1:10" x14ac:dyDescent="0.3">
      <c r="A8053" t="s">
        <v>8184</v>
      </c>
      <c r="B8053" t="s">
        <v>26</v>
      </c>
      <c r="C8053" t="str">
        <f>_xlfn.XLOOKUP(B8053,
[1]sales_teams!$A$2:$A$100,
[1]sales_teams!$B$2:$B$100)</f>
        <v>Dustin Brinkmann</v>
      </c>
      <c r="D8053" t="str">
        <f>_xlfn.XLOOKUP($B8053,sales_teams!$A$2:$A$36,sales_teams!C$2:C$36)</f>
        <v>Central</v>
      </c>
      <c r="E8053" t="s">
        <v>39</v>
      </c>
      <c r="F8053" t="s">
        <v>315</v>
      </c>
      <c r="G8053" t="s">
        <v>12</v>
      </c>
      <c r="H8053" s="1">
        <v>43055</v>
      </c>
      <c r="I8053" s="1">
        <v>43100</v>
      </c>
      <c r="J8053">
        <v>3300</v>
      </c>
    </row>
    <row r="8054" spans="1:10" x14ac:dyDescent="0.3">
      <c r="A8054" t="s">
        <v>8185</v>
      </c>
      <c r="B8054" t="s">
        <v>139</v>
      </c>
      <c r="C8054" t="str">
        <f>_xlfn.XLOOKUP(B8054,
[1]sales_teams!$A$2:$A$100,
[1]sales_teams!$B$2:$B$100)</f>
        <v>Rocco Neubert</v>
      </c>
      <c r="D8054" t="str">
        <f>_xlfn.XLOOKUP($B8054,sales_teams!$A$2:$A$36,sales_teams!C$2:C$36)</f>
        <v>East</v>
      </c>
      <c r="E8054" t="s">
        <v>39</v>
      </c>
      <c r="G8054" t="s">
        <v>40</v>
      </c>
      <c r="H8054" s="1">
        <v>43055</v>
      </c>
    </row>
    <row r="8055" spans="1:10" x14ac:dyDescent="0.3">
      <c r="A8055" t="s">
        <v>8186</v>
      </c>
      <c r="B8055" t="s">
        <v>54</v>
      </c>
      <c r="C8055" t="str">
        <f>_xlfn.XLOOKUP(B8055,
[1]sales_teams!$A$2:$A$100,
[1]sales_teams!$B$2:$B$100)</f>
        <v>Celia Rouche</v>
      </c>
      <c r="D8055" t="str">
        <f>_xlfn.XLOOKUP($B8055,sales_teams!$A$2:$A$36,sales_teams!C$2:C$36)</f>
        <v>West</v>
      </c>
      <c r="E8055" t="s">
        <v>39</v>
      </c>
      <c r="F8055" t="s">
        <v>199</v>
      </c>
      <c r="G8055" t="s">
        <v>12</v>
      </c>
      <c r="H8055" s="1">
        <v>43055</v>
      </c>
      <c r="I8055" s="1">
        <v>43059</v>
      </c>
      <c r="J8055">
        <v>3664</v>
      </c>
    </row>
    <row r="8056" spans="1:10" x14ac:dyDescent="0.3">
      <c r="A8056" t="s">
        <v>8187</v>
      </c>
      <c r="B8056" t="s">
        <v>38</v>
      </c>
      <c r="C8056" t="str">
        <f>_xlfn.XLOOKUP(B8056,
[1]sales_teams!$A$2:$A$100,
[1]sales_teams!$B$2:$B$100)</f>
        <v>Summer Sewald</v>
      </c>
      <c r="D8056" t="str">
        <f>_xlfn.XLOOKUP($B8056,sales_teams!$A$2:$A$36,sales_teams!C$2:C$36)</f>
        <v>West</v>
      </c>
      <c r="E8056" t="s">
        <v>48</v>
      </c>
      <c r="F8056" t="s">
        <v>199</v>
      </c>
      <c r="G8056" t="s">
        <v>46</v>
      </c>
      <c r="H8056" s="1">
        <v>43055</v>
      </c>
      <c r="I8056" s="1">
        <v>43059</v>
      </c>
      <c r="J8056">
        <v>0</v>
      </c>
    </row>
    <row r="8057" spans="1:10" x14ac:dyDescent="0.3">
      <c r="A8057" t="s">
        <v>8188</v>
      </c>
      <c r="B8057" t="s">
        <v>252</v>
      </c>
      <c r="C8057" t="str">
        <f>_xlfn.XLOOKUP(B8057,
[1]sales_teams!$A$2:$A$100,
[1]sales_teams!$B$2:$B$100)</f>
        <v>Melvin Marxen</v>
      </c>
      <c r="D8057" t="str">
        <f>_xlfn.XLOOKUP($B8057,sales_teams!$A$2:$A$36,sales_teams!C$2:C$36)</f>
        <v>Central</v>
      </c>
      <c r="E8057" t="s">
        <v>20</v>
      </c>
      <c r="F8057" t="s">
        <v>111</v>
      </c>
      <c r="G8057" t="s">
        <v>12</v>
      </c>
      <c r="H8057" s="1">
        <v>43055</v>
      </c>
      <c r="I8057" s="1">
        <v>43061</v>
      </c>
      <c r="J8057">
        <v>575</v>
      </c>
    </row>
    <row r="8058" spans="1:10" x14ac:dyDescent="0.3">
      <c r="A8058" t="s">
        <v>8189</v>
      </c>
      <c r="B8058" t="s">
        <v>32</v>
      </c>
      <c r="C8058" t="str">
        <f>_xlfn.XLOOKUP(B8058,
[1]sales_teams!$A$2:$A$100,
[1]sales_teams!$B$2:$B$100)</f>
        <v>Celia Rouche</v>
      </c>
      <c r="D8058" t="str">
        <f>_xlfn.XLOOKUP($B8058,sales_teams!$A$2:$A$36,sales_teams!C$2:C$36)</f>
        <v>West</v>
      </c>
      <c r="E8058" t="s">
        <v>18</v>
      </c>
      <c r="F8058" t="s">
        <v>313</v>
      </c>
      <c r="G8058" t="s">
        <v>46</v>
      </c>
      <c r="H8058" s="1">
        <v>43055</v>
      </c>
      <c r="I8058" s="1">
        <v>43062</v>
      </c>
      <c r="J8058">
        <v>0</v>
      </c>
    </row>
    <row r="8059" spans="1:10" x14ac:dyDescent="0.3">
      <c r="A8059" t="s">
        <v>8190</v>
      </c>
      <c r="B8059" t="s">
        <v>51</v>
      </c>
      <c r="C8059" t="str">
        <f>_xlfn.XLOOKUP(B8059,
[1]sales_teams!$A$2:$A$100,
[1]sales_teams!$B$2:$B$100)</f>
        <v>Summer Sewald</v>
      </c>
      <c r="D8059" t="str">
        <f>_xlfn.XLOOKUP($B8059,sales_teams!$A$2:$A$36,sales_teams!C$2:C$36)</f>
        <v>West</v>
      </c>
      <c r="E8059" t="s">
        <v>10</v>
      </c>
      <c r="G8059" t="s">
        <v>40</v>
      </c>
      <c r="H8059" s="1">
        <v>43055</v>
      </c>
    </row>
    <row r="8060" spans="1:10" x14ac:dyDescent="0.3">
      <c r="A8060" t="s">
        <v>8191</v>
      </c>
      <c r="B8060" t="s">
        <v>51</v>
      </c>
      <c r="C8060" t="str">
        <f>_xlfn.XLOOKUP(B8060,
[1]sales_teams!$A$2:$A$100,
[1]sales_teams!$B$2:$B$100)</f>
        <v>Summer Sewald</v>
      </c>
      <c r="D8060" t="str">
        <f>_xlfn.XLOOKUP($B8060,sales_teams!$A$2:$A$36,sales_teams!C$2:C$36)</f>
        <v>West</v>
      </c>
      <c r="E8060" t="s">
        <v>39</v>
      </c>
      <c r="F8060" t="s">
        <v>30</v>
      </c>
      <c r="G8060" t="s">
        <v>12</v>
      </c>
      <c r="H8060" s="1">
        <v>43055</v>
      </c>
      <c r="I8060" s="1">
        <v>43070</v>
      </c>
      <c r="J8060">
        <v>3271</v>
      </c>
    </row>
    <row r="8061" spans="1:10" x14ac:dyDescent="0.3">
      <c r="A8061" t="s">
        <v>8192</v>
      </c>
      <c r="B8061" t="s">
        <v>9</v>
      </c>
      <c r="C8061" t="str">
        <f>_xlfn.XLOOKUP(B8061,
[1]sales_teams!$A$2:$A$100,
[1]sales_teams!$B$2:$B$100)</f>
        <v>Dustin Brinkmann</v>
      </c>
      <c r="D8061" t="str">
        <f>_xlfn.XLOOKUP($B8061,sales_teams!$A$2:$A$36,sales_teams!C$2:C$36)</f>
        <v>Central</v>
      </c>
      <c r="E8061" t="s">
        <v>48</v>
      </c>
      <c r="F8061" t="s">
        <v>42</v>
      </c>
      <c r="G8061" t="s">
        <v>46</v>
      </c>
      <c r="H8061" s="1">
        <v>43055</v>
      </c>
      <c r="I8061" s="1">
        <v>43056</v>
      </c>
      <c r="J8061">
        <v>0</v>
      </c>
    </row>
    <row r="8062" spans="1:10" x14ac:dyDescent="0.3">
      <c r="A8062" t="s">
        <v>8193</v>
      </c>
      <c r="B8062" t="s">
        <v>35</v>
      </c>
      <c r="C8062" t="str">
        <f>_xlfn.XLOOKUP(B8062,
[1]sales_teams!$A$2:$A$100,
[1]sales_teams!$B$2:$B$100)</f>
        <v>Melvin Marxen</v>
      </c>
      <c r="D8062" t="str">
        <f>_xlfn.XLOOKUP($B8062,sales_teams!$A$2:$A$36,sales_teams!C$2:C$36)</f>
        <v>Central</v>
      </c>
      <c r="E8062" t="s">
        <v>10</v>
      </c>
      <c r="F8062" t="s">
        <v>11</v>
      </c>
      <c r="G8062" t="s">
        <v>46</v>
      </c>
      <c r="H8062" s="1">
        <v>43055</v>
      </c>
      <c r="I8062" s="1">
        <v>43065</v>
      </c>
      <c r="J8062">
        <v>0</v>
      </c>
    </row>
    <row r="8063" spans="1:10" x14ac:dyDescent="0.3">
      <c r="A8063" t="s">
        <v>8194</v>
      </c>
      <c r="B8063" t="s">
        <v>97</v>
      </c>
      <c r="C8063" t="str">
        <f>_xlfn.XLOOKUP(B8063,
[1]sales_teams!$A$2:$A$100,
[1]sales_teams!$B$2:$B$100)</f>
        <v>Rocco Neubert</v>
      </c>
      <c r="D8063" t="str">
        <f>_xlfn.XLOOKUP($B8063,sales_teams!$A$2:$A$36,sales_teams!C$2:C$36)</f>
        <v>East</v>
      </c>
      <c r="E8063" t="s">
        <v>10</v>
      </c>
      <c r="F8063" t="s">
        <v>106</v>
      </c>
      <c r="G8063" t="s">
        <v>12</v>
      </c>
      <c r="H8063" s="1">
        <v>43055</v>
      </c>
      <c r="I8063" s="1">
        <v>43063</v>
      </c>
      <c r="J8063">
        <v>1035</v>
      </c>
    </row>
    <row r="8064" spans="1:10" x14ac:dyDescent="0.3">
      <c r="A8064" t="s">
        <v>8195</v>
      </c>
      <c r="B8064" t="s">
        <v>139</v>
      </c>
      <c r="C8064" t="str">
        <f>_xlfn.XLOOKUP(B8064,
[1]sales_teams!$A$2:$A$100,
[1]sales_teams!$B$2:$B$100)</f>
        <v>Rocco Neubert</v>
      </c>
      <c r="D8064" t="str">
        <f>_xlfn.XLOOKUP($B8064,sales_teams!$A$2:$A$36,sales_teams!C$2:C$36)</f>
        <v>East</v>
      </c>
      <c r="E8064" t="s">
        <v>18</v>
      </c>
      <c r="F8064" t="s">
        <v>215</v>
      </c>
      <c r="G8064" t="s">
        <v>46</v>
      </c>
      <c r="H8064" s="1">
        <v>43056</v>
      </c>
      <c r="I8064" s="1">
        <v>43073</v>
      </c>
      <c r="J8064">
        <v>0</v>
      </c>
    </row>
    <row r="8065" spans="1:10" x14ac:dyDescent="0.3">
      <c r="A8065" t="s">
        <v>8196</v>
      </c>
      <c r="B8065" t="s">
        <v>14</v>
      </c>
      <c r="C8065" t="str">
        <f>_xlfn.XLOOKUP(B8065,
[1]sales_teams!$A$2:$A$100,
[1]sales_teams!$B$2:$B$100)</f>
        <v>Melvin Marxen</v>
      </c>
      <c r="D8065" t="str">
        <f>_xlfn.XLOOKUP($B8065,sales_teams!$A$2:$A$36,sales_teams!C$2:C$36)</f>
        <v>Central</v>
      </c>
      <c r="E8065" t="s">
        <v>48</v>
      </c>
      <c r="F8065" t="s">
        <v>318</v>
      </c>
      <c r="G8065" t="s">
        <v>12</v>
      </c>
      <c r="H8065" s="1">
        <v>43056</v>
      </c>
      <c r="I8065" s="1">
        <v>43063</v>
      </c>
      <c r="J8065">
        <v>4880</v>
      </c>
    </row>
    <row r="8066" spans="1:10" x14ac:dyDescent="0.3">
      <c r="A8066" t="s">
        <v>8197</v>
      </c>
      <c r="B8066" t="s">
        <v>142</v>
      </c>
      <c r="C8066" t="str">
        <f>_xlfn.XLOOKUP(B8066,
[1]sales_teams!$A$2:$A$100,
[1]sales_teams!$B$2:$B$100)</f>
        <v>Rocco Neubert</v>
      </c>
      <c r="D8066" t="str">
        <f>_xlfn.XLOOKUP($B8066,sales_teams!$A$2:$A$36,sales_teams!C$2:C$36)</f>
        <v>East</v>
      </c>
      <c r="E8066" t="s">
        <v>39</v>
      </c>
      <c r="F8066" t="s">
        <v>278</v>
      </c>
      <c r="G8066" t="s">
        <v>12</v>
      </c>
      <c r="H8066" s="1">
        <v>43056</v>
      </c>
      <c r="I8066" s="1">
        <v>43068</v>
      </c>
      <c r="J8066">
        <v>3644</v>
      </c>
    </row>
    <row r="8067" spans="1:10" x14ac:dyDescent="0.3">
      <c r="A8067" t="s">
        <v>8198</v>
      </c>
      <c r="B8067" t="s">
        <v>67</v>
      </c>
      <c r="C8067" t="str">
        <f>_xlfn.XLOOKUP(B8067,
[1]sales_teams!$A$2:$A$100,
[1]sales_teams!$B$2:$B$100)</f>
        <v>Celia Rouche</v>
      </c>
      <c r="D8067" t="str">
        <f>_xlfn.XLOOKUP($B8067,sales_teams!$A$2:$A$36,sales_teams!C$2:C$36)</f>
        <v>West</v>
      </c>
      <c r="E8067" t="s">
        <v>39</v>
      </c>
      <c r="F8067" t="s">
        <v>168</v>
      </c>
      <c r="G8067" t="s">
        <v>12</v>
      </c>
      <c r="H8067" s="1">
        <v>43056</v>
      </c>
      <c r="I8067" s="1">
        <v>43082</v>
      </c>
      <c r="J8067">
        <v>3538</v>
      </c>
    </row>
    <row r="8068" spans="1:10" x14ac:dyDescent="0.3">
      <c r="A8068" t="s">
        <v>8199</v>
      </c>
      <c r="B8068" t="s">
        <v>78</v>
      </c>
      <c r="C8068" t="str">
        <f>_xlfn.XLOOKUP(B8068,
[1]sales_teams!$A$2:$A$100,
[1]sales_teams!$B$2:$B$100)</f>
        <v>Summer Sewald</v>
      </c>
      <c r="D8068" t="str">
        <f>_xlfn.XLOOKUP($B8068,sales_teams!$A$2:$A$36,sales_teams!C$2:C$36)</f>
        <v>West</v>
      </c>
      <c r="E8068" t="s">
        <v>10</v>
      </c>
      <c r="F8068" t="s">
        <v>33</v>
      </c>
      <c r="G8068" t="s">
        <v>46</v>
      </c>
      <c r="H8068" s="1">
        <v>43056</v>
      </c>
      <c r="I8068" s="1">
        <v>43066</v>
      </c>
      <c r="J8068">
        <v>0</v>
      </c>
    </row>
    <row r="8069" spans="1:10" x14ac:dyDescent="0.3">
      <c r="A8069" t="s">
        <v>8200</v>
      </c>
      <c r="B8069" t="s">
        <v>95</v>
      </c>
      <c r="C8069" t="str">
        <f>_xlfn.XLOOKUP(B8069,
[1]sales_teams!$A$2:$A$100,
[1]sales_teams!$B$2:$B$100)</f>
        <v>Summer Sewald</v>
      </c>
      <c r="D8069" t="str">
        <f>_xlfn.XLOOKUP($B8069,sales_teams!$A$2:$A$36,sales_teams!C$2:C$36)</f>
        <v>West</v>
      </c>
      <c r="E8069" t="s">
        <v>20</v>
      </c>
      <c r="F8069" t="s">
        <v>148</v>
      </c>
      <c r="G8069" t="s">
        <v>46</v>
      </c>
      <c r="H8069" s="1">
        <v>43056</v>
      </c>
      <c r="I8069" s="1">
        <v>43066</v>
      </c>
      <c r="J8069">
        <v>0</v>
      </c>
    </row>
    <row r="8070" spans="1:10" x14ac:dyDescent="0.3">
      <c r="A8070" t="s">
        <v>8201</v>
      </c>
      <c r="B8070" t="s">
        <v>97</v>
      </c>
      <c r="C8070" t="str">
        <f>_xlfn.XLOOKUP(B8070,
[1]sales_teams!$A$2:$A$100,
[1]sales_teams!$B$2:$B$100)</f>
        <v>Rocco Neubert</v>
      </c>
      <c r="D8070" t="str">
        <f>_xlfn.XLOOKUP($B8070,sales_teams!$A$2:$A$36,sales_teams!C$2:C$36)</f>
        <v>East</v>
      </c>
      <c r="E8070" t="s">
        <v>15</v>
      </c>
      <c r="F8070" t="s">
        <v>192</v>
      </c>
      <c r="G8070" t="s">
        <v>12</v>
      </c>
      <c r="H8070" s="1">
        <v>43056</v>
      </c>
      <c r="I8070" s="1">
        <v>43075</v>
      </c>
      <c r="J8070">
        <v>4154</v>
      </c>
    </row>
    <row r="8071" spans="1:10" x14ac:dyDescent="0.3">
      <c r="A8071" t="s">
        <v>8202</v>
      </c>
      <c r="B8071" t="s">
        <v>88</v>
      </c>
      <c r="C8071" t="str">
        <f>_xlfn.XLOOKUP(B8071,
[1]sales_teams!$A$2:$A$100,
[1]sales_teams!$B$2:$B$100)</f>
        <v>Cara Losch</v>
      </c>
      <c r="D8071" t="str">
        <f>_xlfn.XLOOKUP($B8071,sales_teams!$A$2:$A$36,sales_teams!C$2:C$36)</f>
        <v>East</v>
      </c>
      <c r="E8071" t="s">
        <v>15</v>
      </c>
      <c r="F8071" t="s">
        <v>410</v>
      </c>
      <c r="G8071" t="s">
        <v>12</v>
      </c>
      <c r="H8071" s="1">
        <v>43056</v>
      </c>
      <c r="I8071" s="1">
        <v>43065</v>
      </c>
      <c r="J8071">
        <v>4620</v>
      </c>
    </row>
    <row r="8072" spans="1:10" x14ac:dyDescent="0.3">
      <c r="A8072" t="s">
        <v>8203</v>
      </c>
      <c r="B8072" t="s">
        <v>61</v>
      </c>
      <c r="C8072" t="str">
        <f>_xlfn.XLOOKUP(B8072,
[1]sales_teams!$A$2:$A$100,
[1]sales_teams!$B$2:$B$100)</f>
        <v>Dustin Brinkmann</v>
      </c>
      <c r="D8072" t="str">
        <f>_xlfn.XLOOKUP($B8072,sales_teams!$A$2:$A$36,sales_teams!C$2:C$36)</f>
        <v>Central</v>
      </c>
      <c r="E8072" t="s">
        <v>48</v>
      </c>
      <c r="F8072" t="s">
        <v>207</v>
      </c>
      <c r="G8072" t="s">
        <v>12</v>
      </c>
      <c r="H8072" s="1">
        <v>43056</v>
      </c>
      <c r="I8072" s="1">
        <v>43057</v>
      </c>
      <c r="J8072">
        <v>5653</v>
      </c>
    </row>
    <row r="8073" spans="1:10" x14ac:dyDescent="0.3">
      <c r="A8073" t="s">
        <v>8204</v>
      </c>
      <c r="B8073" t="s">
        <v>73</v>
      </c>
      <c r="C8073" t="str">
        <f>_xlfn.XLOOKUP(B8073,
[1]sales_teams!$A$2:$A$100,
[1]sales_teams!$B$2:$B$100)</f>
        <v>Cara Losch</v>
      </c>
      <c r="D8073" t="str">
        <f>_xlfn.XLOOKUP($B8073,sales_teams!$A$2:$A$36,sales_teams!C$2:C$36)</f>
        <v>East</v>
      </c>
      <c r="E8073" t="s">
        <v>18</v>
      </c>
      <c r="F8073" t="s">
        <v>165</v>
      </c>
      <c r="G8073" t="s">
        <v>46</v>
      </c>
      <c r="H8073" s="1">
        <v>43056</v>
      </c>
      <c r="I8073" s="1">
        <v>43064</v>
      </c>
      <c r="J8073">
        <v>0</v>
      </c>
    </row>
    <row r="8074" spans="1:10" x14ac:dyDescent="0.3">
      <c r="A8074" t="s">
        <v>8205</v>
      </c>
      <c r="B8074" t="s">
        <v>73</v>
      </c>
      <c r="C8074" t="str">
        <f>_xlfn.XLOOKUP(B8074,
[1]sales_teams!$A$2:$A$100,
[1]sales_teams!$B$2:$B$100)</f>
        <v>Cara Losch</v>
      </c>
      <c r="D8074" t="str">
        <f>_xlfn.XLOOKUP($B8074,sales_teams!$A$2:$A$36,sales_teams!C$2:C$36)</f>
        <v>East</v>
      </c>
      <c r="E8074" t="s">
        <v>18</v>
      </c>
      <c r="F8074" t="s">
        <v>209</v>
      </c>
      <c r="G8074" t="s">
        <v>12</v>
      </c>
      <c r="H8074" s="1">
        <v>43056</v>
      </c>
      <c r="I8074" s="1">
        <v>43065</v>
      </c>
      <c r="J8074">
        <v>65</v>
      </c>
    </row>
    <row r="8075" spans="1:10" x14ac:dyDescent="0.3">
      <c r="A8075" t="s">
        <v>8206</v>
      </c>
      <c r="B8075" t="s">
        <v>23</v>
      </c>
      <c r="C8075" t="str">
        <f>_xlfn.XLOOKUP(B8075,
[1]sales_teams!$A$2:$A$100,
[1]sales_teams!$B$2:$B$100)</f>
        <v>Summer Sewald</v>
      </c>
      <c r="D8075" t="str">
        <f>_xlfn.XLOOKUP($B8075,sales_teams!$A$2:$A$36,sales_teams!C$2:C$36)</f>
        <v>West</v>
      </c>
      <c r="E8075" t="s">
        <v>20</v>
      </c>
      <c r="F8075" t="s">
        <v>555</v>
      </c>
      <c r="G8075" t="s">
        <v>12</v>
      </c>
      <c r="H8075" s="1">
        <v>43056</v>
      </c>
      <c r="I8075" s="1">
        <v>43074</v>
      </c>
      <c r="J8075">
        <v>497</v>
      </c>
    </row>
    <row r="8076" spans="1:10" x14ac:dyDescent="0.3">
      <c r="A8076" t="s">
        <v>8207</v>
      </c>
      <c r="B8076" t="s">
        <v>139</v>
      </c>
      <c r="C8076" t="str">
        <f>_xlfn.XLOOKUP(B8076,
[1]sales_teams!$A$2:$A$100,
[1]sales_teams!$B$2:$B$100)</f>
        <v>Rocco Neubert</v>
      </c>
      <c r="D8076" t="str">
        <f>_xlfn.XLOOKUP($B8076,sales_teams!$A$2:$A$36,sales_teams!C$2:C$36)</f>
        <v>East</v>
      </c>
      <c r="E8076" t="s">
        <v>15</v>
      </c>
      <c r="F8076" t="s">
        <v>329</v>
      </c>
      <c r="G8076" t="s">
        <v>12</v>
      </c>
      <c r="H8076" s="1">
        <v>43057</v>
      </c>
      <c r="I8076" s="1">
        <v>43076</v>
      </c>
      <c r="J8076">
        <v>4645</v>
      </c>
    </row>
    <row r="8077" spans="1:10" x14ac:dyDescent="0.3">
      <c r="A8077" t="s">
        <v>8208</v>
      </c>
      <c r="B8077" t="s">
        <v>118</v>
      </c>
      <c r="C8077" t="str">
        <f>_xlfn.XLOOKUP(B8077,
[1]sales_teams!$A$2:$A$100,
[1]sales_teams!$B$2:$B$100)</f>
        <v>Rocco Neubert</v>
      </c>
      <c r="D8077" t="str">
        <f>_xlfn.XLOOKUP($B8077,sales_teams!$A$2:$A$36,sales_teams!C$2:C$36)</f>
        <v>East</v>
      </c>
      <c r="E8077" t="s">
        <v>15</v>
      </c>
      <c r="F8077" t="s">
        <v>222</v>
      </c>
      <c r="G8077" t="s">
        <v>12</v>
      </c>
      <c r="H8077" s="1">
        <v>43057</v>
      </c>
      <c r="I8077" s="1">
        <v>43060</v>
      </c>
      <c r="J8077">
        <v>4243</v>
      </c>
    </row>
    <row r="8078" spans="1:10" x14ac:dyDescent="0.3">
      <c r="A8078" t="s">
        <v>8209</v>
      </c>
      <c r="B8078" t="s">
        <v>64</v>
      </c>
      <c r="C8078" t="str">
        <f>_xlfn.XLOOKUP(B8078,
[1]sales_teams!$A$2:$A$100,
[1]sales_teams!$B$2:$B$100)</f>
        <v>Rocco Neubert</v>
      </c>
      <c r="D8078" t="str">
        <f>_xlfn.XLOOKUP($B8078,sales_teams!$A$2:$A$36,sales_teams!C$2:C$36)</f>
        <v>East</v>
      </c>
      <c r="E8078" t="s">
        <v>10</v>
      </c>
      <c r="F8078" t="s">
        <v>140</v>
      </c>
      <c r="G8078" t="s">
        <v>46</v>
      </c>
      <c r="H8078" s="1">
        <v>43057</v>
      </c>
      <c r="I8078" s="1">
        <v>43075</v>
      </c>
      <c r="J8078">
        <v>0</v>
      </c>
    </row>
    <row r="8079" spans="1:10" x14ac:dyDescent="0.3">
      <c r="A8079" t="s">
        <v>8210</v>
      </c>
      <c r="B8079" t="s">
        <v>14</v>
      </c>
      <c r="C8079" t="str">
        <f>_xlfn.XLOOKUP(B8079,
[1]sales_teams!$A$2:$A$100,
[1]sales_teams!$B$2:$B$100)</f>
        <v>Melvin Marxen</v>
      </c>
      <c r="D8079" t="str">
        <f>_xlfn.XLOOKUP($B8079,sales_teams!$A$2:$A$36,sales_teams!C$2:C$36)</f>
        <v>Central</v>
      </c>
      <c r="E8079" t="s">
        <v>15</v>
      </c>
      <c r="F8079" t="s">
        <v>11</v>
      </c>
      <c r="G8079" t="s">
        <v>12</v>
      </c>
      <c r="H8079" s="1">
        <v>43057</v>
      </c>
      <c r="I8079" s="1">
        <v>43068</v>
      </c>
      <c r="J8079">
        <v>4617</v>
      </c>
    </row>
    <row r="8080" spans="1:10" x14ac:dyDescent="0.3">
      <c r="A8080" t="s">
        <v>8211</v>
      </c>
      <c r="B8080" t="s">
        <v>67</v>
      </c>
      <c r="C8080" t="str">
        <f>_xlfn.XLOOKUP(B8080,
[1]sales_teams!$A$2:$A$100,
[1]sales_teams!$B$2:$B$100)</f>
        <v>Celia Rouche</v>
      </c>
      <c r="D8080" t="str">
        <f>_xlfn.XLOOKUP($B8080,sales_teams!$A$2:$A$36,sales_teams!C$2:C$36)</f>
        <v>West</v>
      </c>
      <c r="E8080" t="s">
        <v>145</v>
      </c>
      <c r="F8080" t="s">
        <v>93</v>
      </c>
      <c r="G8080" t="s">
        <v>12</v>
      </c>
      <c r="H8080" s="1">
        <v>43057</v>
      </c>
      <c r="I8080" s="1">
        <v>43073</v>
      </c>
      <c r="J8080">
        <v>29220</v>
      </c>
    </row>
    <row r="8081" spans="1:10" x14ac:dyDescent="0.3">
      <c r="A8081" t="s">
        <v>8212</v>
      </c>
      <c r="B8081" t="s">
        <v>252</v>
      </c>
      <c r="C8081" t="str">
        <f>_xlfn.XLOOKUP(B8081,
[1]sales_teams!$A$2:$A$100,
[1]sales_teams!$B$2:$B$100)</f>
        <v>Melvin Marxen</v>
      </c>
      <c r="D8081" t="str">
        <f>_xlfn.XLOOKUP($B8081,sales_teams!$A$2:$A$36,sales_teams!C$2:C$36)</f>
        <v>Central</v>
      </c>
      <c r="E8081" t="s">
        <v>10</v>
      </c>
      <c r="F8081" t="s">
        <v>135</v>
      </c>
      <c r="G8081" t="s">
        <v>46</v>
      </c>
      <c r="H8081" s="1">
        <v>43057</v>
      </c>
      <c r="I8081" s="1">
        <v>43069</v>
      </c>
      <c r="J8081">
        <v>0</v>
      </c>
    </row>
    <row r="8082" spans="1:10" x14ac:dyDescent="0.3">
      <c r="A8082" t="s">
        <v>8213</v>
      </c>
      <c r="B8082" t="s">
        <v>78</v>
      </c>
      <c r="C8082" t="str">
        <f>_xlfn.XLOOKUP(B8082,
[1]sales_teams!$A$2:$A$100,
[1]sales_teams!$B$2:$B$100)</f>
        <v>Summer Sewald</v>
      </c>
      <c r="D8082" t="str">
        <f>_xlfn.XLOOKUP($B8082,sales_teams!$A$2:$A$36,sales_teams!C$2:C$36)</f>
        <v>West</v>
      </c>
      <c r="E8082" t="s">
        <v>20</v>
      </c>
      <c r="F8082" t="s">
        <v>199</v>
      </c>
      <c r="G8082" t="s">
        <v>12</v>
      </c>
      <c r="H8082" s="1">
        <v>43057</v>
      </c>
      <c r="I8082" s="1">
        <v>43073</v>
      </c>
      <c r="J8082">
        <v>643</v>
      </c>
    </row>
    <row r="8083" spans="1:10" x14ac:dyDescent="0.3">
      <c r="A8083" t="s">
        <v>8214</v>
      </c>
      <c r="B8083" t="s">
        <v>95</v>
      </c>
      <c r="C8083" t="str">
        <f>_xlfn.XLOOKUP(B8083,
[1]sales_teams!$A$2:$A$100,
[1]sales_teams!$B$2:$B$100)</f>
        <v>Summer Sewald</v>
      </c>
      <c r="D8083" t="str">
        <f>_xlfn.XLOOKUP($B8083,sales_teams!$A$2:$A$36,sales_teams!C$2:C$36)</f>
        <v>West</v>
      </c>
      <c r="E8083" t="s">
        <v>20</v>
      </c>
      <c r="F8083" t="s">
        <v>59</v>
      </c>
      <c r="G8083" t="s">
        <v>46</v>
      </c>
      <c r="H8083" s="1">
        <v>43057</v>
      </c>
      <c r="I8083" s="1">
        <v>43060</v>
      </c>
      <c r="J8083">
        <v>0</v>
      </c>
    </row>
    <row r="8084" spans="1:10" x14ac:dyDescent="0.3">
      <c r="A8084" t="s">
        <v>8215</v>
      </c>
      <c r="B8084" t="s">
        <v>51</v>
      </c>
      <c r="C8084" t="str">
        <f>_xlfn.XLOOKUP(B8084,
[1]sales_teams!$A$2:$A$100,
[1]sales_teams!$B$2:$B$100)</f>
        <v>Summer Sewald</v>
      </c>
      <c r="D8084" t="str">
        <f>_xlfn.XLOOKUP($B8084,sales_teams!$A$2:$A$36,sales_teams!C$2:C$36)</f>
        <v>West</v>
      </c>
      <c r="E8084" t="s">
        <v>48</v>
      </c>
      <c r="F8084" t="s">
        <v>313</v>
      </c>
      <c r="G8084" t="s">
        <v>46</v>
      </c>
      <c r="H8084" s="1">
        <v>43057</v>
      </c>
      <c r="I8084" s="1">
        <v>43074</v>
      </c>
      <c r="J8084">
        <v>0</v>
      </c>
    </row>
    <row r="8085" spans="1:10" x14ac:dyDescent="0.3">
      <c r="A8085" t="s">
        <v>8216</v>
      </c>
      <c r="B8085" t="s">
        <v>9</v>
      </c>
      <c r="C8085" t="str">
        <f>_xlfn.XLOOKUP(B8085,
[1]sales_teams!$A$2:$A$100,
[1]sales_teams!$B$2:$B$100)</f>
        <v>Dustin Brinkmann</v>
      </c>
      <c r="D8085" t="str">
        <f>_xlfn.XLOOKUP($B8085,sales_teams!$A$2:$A$36,sales_teams!C$2:C$36)</f>
        <v>Central</v>
      </c>
      <c r="E8085" t="s">
        <v>18</v>
      </c>
      <c r="F8085" t="s">
        <v>135</v>
      </c>
      <c r="G8085" t="s">
        <v>46</v>
      </c>
      <c r="H8085" s="1">
        <v>43057</v>
      </c>
      <c r="I8085" s="1">
        <v>43067</v>
      </c>
      <c r="J8085">
        <v>0</v>
      </c>
    </row>
    <row r="8086" spans="1:10" x14ac:dyDescent="0.3">
      <c r="A8086" t="s">
        <v>8217</v>
      </c>
      <c r="B8086" t="s">
        <v>139</v>
      </c>
      <c r="C8086" t="str">
        <f>_xlfn.XLOOKUP(B8086,
[1]sales_teams!$A$2:$A$100,
[1]sales_teams!$B$2:$B$100)</f>
        <v>Rocco Neubert</v>
      </c>
      <c r="D8086" t="str">
        <f>_xlfn.XLOOKUP($B8086,sales_teams!$A$2:$A$36,sales_teams!C$2:C$36)</f>
        <v>East</v>
      </c>
      <c r="E8086" t="s">
        <v>10</v>
      </c>
      <c r="F8086" t="s">
        <v>106</v>
      </c>
      <c r="G8086" t="s">
        <v>12</v>
      </c>
      <c r="H8086" s="1">
        <v>43058</v>
      </c>
      <c r="I8086" s="1">
        <v>43059</v>
      </c>
      <c r="J8086">
        <v>886</v>
      </c>
    </row>
    <row r="8087" spans="1:10" x14ac:dyDescent="0.3">
      <c r="A8087" t="s">
        <v>8218</v>
      </c>
      <c r="B8087" t="s">
        <v>202</v>
      </c>
      <c r="C8087" t="str">
        <f>_xlfn.XLOOKUP(B8087,
[1]sales_teams!$A$2:$A$100,
[1]sales_teams!$B$2:$B$100)</f>
        <v>Dustin Brinkmann</v>
      </c>
      <c r="D8087" t="str">
        <f>_xlfn.XLOOKUP($B8087,sales_teams!$A$2:$A$36,sales_teams!C$2:C$36)</f>
        <v>Central</v>
      </c>
      <c r="E8087" t="s">
        <v>39</v>
      </c>
      <c r="F8087" t="s">
        <v>151</v>
      </c>
      <c r="G8087" t="s">
        <v>12</v>
      </c>
      <c r="H8087" s="1">
        <v>43058</v>
      </c>
      <c r="I8087" s="1">
        <v>43067</v>
      </c>
      <c r="J8087">
        <v>3206</v>
      </c>
    </row>
    <row r="8088" spans="1:10" x14ac:dyDescent="0.3">
      <c r="A8088" t="s">
        <v>8219</v>
      </c>
      <c r="B8088" t="s">
        <v>64</v>
      </c>
      <c r="C8088" t="str">
        <f>_xlfn.XLOOKUP(B8088,
[1]sales_teams!$A$2:$A$100,
[1]sales_teams!$B$2:$B$100)</f>
        <v>Rocco Neubert</v>
      </c>
      <c r="D8088" t="str">
        <f>_xlfn.XLOOKUP($B8088,sales_teams!$A$2:$A$36,sales_teams!C$2:C$36)</f>
        <v>East</v>
      </c>
      <c r="E8088" t="s">
        <v>20</v>
      </c>
      <c r="F8088" t="s">
        <v>237</v>
      </c>
      <c r="G8088" t="s">
        <v>12</v>
      </c>
      <c r="H8088" s="1">
        <v>43058</v>
      </c>
      <c r="I8088" s="1">
        <v>43059</v>
      </c>
      <c r="J8088">
        <v>678</v>
      </c>
    </row>
    <row r="8089" spans="1:10" x14ac:dyDescent="0.3">
      <c r="A8089" t="s">
        <v>8220</v>
      </c>
      <c r="B8089" t="s">
        <v>14</v>
      </c>
      <c r="C8089" t="str">
        <f>_xlfn.XLOOKUP(B8089,
[1]sales_teams!$A$2:$A$100,
[1]sales_teams!$B$2:$B$100)</f>
        <v>Melvin Marxen</v>
      </c>
      <c r="D8089" t="str">
        <f>_xlfn.XLOOKUP($B8089,sales_teams!$A$2:$A$36,sales_teams!C$2:C$36)</f>
        <v>Central</v>
      </c>
      <c r="E8089" t="s">
        <v>20</v>
      </c>
      <c r="F8089" t="s">
        <v>135</v>
      </c>
      <c r="G8089" t="s">
        <v>12</v>
      </c>
      <c r="H8089" s="1">
        <v>43058</v>
      </c>
      <c r="I8089" s="1">
        <v>43059</v>
      </c>
      <c r="J8089">
        <v>549</v>
      </c>
    </row>
    <row r="8090" spans="1:10" x14ac:dyDescent="0.3">
      <c r="A8090" t="s">
        <v>8221</v>
      </c>
      <c r="B8090" t="s">
        <v>142</v>
      </c>
      <c r="C8090" t="str">
        <f>_xlfn.XLOOKUP(B8090,
[1]sales_teams!$A$2:$A$100,
[1]sales_teams!$B$2:$B$100)</f>
        <v>Rocco Neubert</v>
      </c>
      <c r="D8090" t="str">
        <f>_xlfn.XLOOKUP($B8090,sales_teams!$A$2:$A$36,sales_teams!C$2:C$36)</f>
        <v>East</v>
      </c>
      <c r="E8090" t="s">
        <v>48</v>
      </c>
      <c r="F8090" t="s">
        <v>155</v>
      </c>
      <c r="G8090" t="s">
        <v>12</v>
      </c>
      <c r="H8090" s="1">
        <v>43058</v>
      </c>
      <c r="I8090" s="1">
        <v>43067</v>
      </c>
      <c r="J8090">
        <v>6540</v>
      </c>
    </row>
    <row r="8091" spans="1:10" x14ac:dyDescent="0.3">
      <c r="A8091" t="s">
        <v>8222</v>
      </c>
      <c r="B8091" t="s">
        <v>252</v>
      </c>
      <c r="C8091" t="str">
        <f>_xlfn.XLOOKUP(B8091,
[1]sales_teams!$A$2:$A$100,
[1]sales_teams!$B$2:$B$100)</f>
        <v>Melvin Marxen</v>
      </c>
      <c r="D8091" t="str">
        <f>_xlfn.XLOOKUP($B8091,sales_teams!$A$2:$A$36,sales_teams!C$2:C$36)</f>
        <v>Central</v>
      </c>
      <c r="E8091" t="s">
        <v>20</v>
      </c>
      <c r="F8091" t="s">
        <v>170</v>
      </c>
      <c r="G8091" t="s">
        <v>46</v>
      </c>
      <c r="H8091" s="1">
        <v>43058</v>
      </c>
      <c r="I8091" s="1">
        <v>43060</v>
      </c>
      <c r="J8091">
        <v>0</v>
      </c>
    </row>
    <row r="8092" spans="1:10" x14ac:dyDescent="0.3">
      <c r="A8092" t="s">
        <v>8223</v>
      </c>
      <c r="B8092" t="s">
        <v>51</v>
      </c>
      <c r="C8092" t="str">
        <f>_xlfn.XLOOKUP(B8092,
[1]sales_teams!$A$2:$A$100,
[1]sales_teams!$B$2:$B$100)</f>
        <v>Summer Sewald</v>
      </c>
      <c r="D8092" t="str">
        <f>_xlfn.XLOOKUP($B8092,sales_teams!$A$2:$A$36,sales_teams!C$2:C$36)</f>
        <v>West</v>
      </c>
      <c r="E8092" t="s">
        <v>39</v>
      </c>
      <c r="F8092" t="s">
        <v>184</v>
      </c>
      <c r="G8092" t="s">
        <v>46</v>
      </c>
      <c r="H8092" s="1">
        <v>43058</v>
      </c>
      <c r="I8092" s="1">
        <v>43073</v>
      </c>
      <c r="J8092">
        <v>0</v>
      </c>
    </row>
    <row r="8093" spans="1:10" x14ac:dyDescent="0.3">
      <c r="A8093" t="s">
        <v>8224</v>
      </c>
      <c r="B8093" t="s">
        <v>35</v>
      </c>
      <c r="C8093" t="str">
        <f>_xlfn.XLOOKUP(B8093,
[1]sales_teams!$A$2:$A$100,
[1]sales_teams!$B$2:$B$100)</f>
        <v>Melvin Marxen</v>
      </c>
      <c r="D8093" t="str">
        <f>_xlfn.XLOOKUP($B8093,sales_teams!$A$2:$A$36,sales_teams!C$2:C$36)</f>
        <v>Central</v>
      </c>
      <c r="E8093" t="s">
        <v>20</v>
      </c>
      <c r="F8093" t="s">
        <v>16</v>
      </c>
      <c r="G8093" t="s">
        <v>12</v>
      </c>
      <c r="H8093" s="1">
        <v>43058</v>
      </c>
      <c r="I8093" s="1">
        <v>43067</v>
      </c>
      <c r="J8093">
        <v>662</v>
      </c>
    </row>
    <row r="8094" spans="1:10" x14ac:dyDescent="0.3">
      <c r="A8094" t="s">
        <v>8225</v>
      </c>
      <c r="B8094" t="s">
        <v>29</v>
      </c>
      <c r="C8094" t="str">
        <f>_xlfn.XLOOKUP(B8094,
[1]sales_teams!$A$2:$A$100,
[1]sales_teams!$B$2:$B$100)</f>
        <v>Celia Rouche</v>
      </c>
      <c r="D8094" t="str">
        <f>_xlfn.XLOOKUP($B8094,sales_teams!$A$2:$A$36,sales_teams!C$2:C$36)</f>
        <v>West</v>
      </c>
      <c r="E8094" t="s">
        <v>15</v>
      </c>
      <c r="F8094" t="s">
        <v>55</v>
      </c>
      <c r="G8094" t="s">
        <v>12</v>
      </c>
      <c r="H8094" s="1">
        <v>43058</v>
      </c>
      <c r="I8094" s="1">
        <v>43063</v>
      </c>
      <c r="J8094">
        <v>4540</v>
      </c>
    </row>
    <row r="8095" spans="1:10" x14ac:dyDescent="0.3">
      <c r="A8095" t="s">
        <v>8226</v>
      </c>
      <c r="B8095" t="s">
        <v>26</v>
      </c>
      <c r="C8095" t="str">
        <f>_xlfn.XLOOKUP(B8095,
[1]sales_teams!$A$2:$A$100,
[1]sales_teams!$B$2:$B$100)</f>
        <v>Dustin Brinkmann</v>
      </c>
      <c r="D8095" t="str">
        <f>_xlfn.XLOOKUP($B8095,sales_teams!$A$2:$A$36,sales_teams!C$2:C$36)</f>
        <v>Central</v>
      </c>
      <c r="E8095" t="s">
        <v>18</v>
      </c>
      <c r="F8095" t="s">
        <v>126</v>
      </c>
      <c r="G8095" t="s">
        <v>12</v>
      </c>
      <c r="H8095" s="1">
        <v>43059</v>
      </c>
      <c r="I8095" s="1">
        <v>43068</v>
      </c>
      <c r="J8095">
        <v>52</v>
      </c>
    </row>
    <row r="8096" spans="1:10" x14ac:dyDescent="0.3">
      <c r="A8096" t="s">
        <v>8227</v>
      </c>
      <c r="B8096" t="s">
        <v>118</v>
      </c>
      <c r="C8096" t="str">
        <f>_xlfn.XLOOKUP(B8096,
[1]sales_teams!$A$2:$A$100,
[1]sales_teams!$B$2:$B$100)</f>
        <v>Rocco Neubert</v>
      </c>
      <c r="D8096" t="str">
        <f>_xlfn.XLOOKUP($B8096,sales_teams!$A$2:$A$36,sales_teams!C$2:C$36)</f>
        <v>East</v>
      </c>
      <c r="E8096" t="s">
        <v>10</v>
      </c>
      <c r="G8096" t="s">
        <v>40</v>
      </c>
      <c r="H8096" s="1">
        <v>43059</v>
      </c>
    </row>
    <row r="8097" spans="1:10" x14ac:dyDescent="0.3">
      <c r="A8097" t="s">
        <v>8228</v>
      </c>
      <c r="B8097" t="s">
        <v>164</v>
      </c>
      <c r="C8097" t="str">
        <f>_xlfn.XLOOKUP(B8097,
[1]sales_teams!$A$2:$A$100,
[1]sales_teams!$B$2:$B$100)</f>
        <v>Cara Losch</v>
      </c>
      <c r="D8097" t="str">
        <f>_xlfn.XLOOKUP($B8097,sales_teams!$A$2:$A$36,sales_teams!C$2:C$36)</f>
        <v>East</v>
      </c>
      <c r="E8097" t="s">
        <v>15</v>
      </c>
      <c r="F8097" t="s">
        <v>278</v>
      </c>
      <c r="G8097" t="s">
        <v>46</v>
      </c>
      <c r="H8097" s="1">
        <v>43059</v>
      </c>
      <c r="I8097" s="1">
        <v>43066</v>
      </c>
      <c r="J8097">
        <v>0</v>
      </c>
    </row>
    <row r="8098" spans="1:10" x14ac:dyDescent="0.3">
      <c r="A8098" t="s">
        <v>8229</v>
      </c>
      <c r="B8098" t="s">
        <v>78</v>
      </c>
      <c r="C8098" t="str">
        <f>_xlfn.XLOOKUP(B8098,
[1]sales_teams!$A$2:$A$100,
[1]sales_teams!$B$2:$B$100)</f>
        <v>Summer Sewald</v>
      </c>
      <c r="D8098" t="str">
        <f>_xlfn.XLOOKUP($B8098,sales_teams!$A$2:$A$36,sales_teams!C$2:C$36)</f>
        <v>West</v>
      </c>
      <c r="E8098" t="s">
        <v>20</v>
      </c>
      <c r="F8098" t="s">
        <v>148</v>
      </c>
      <c r="G8098" t="s">
        <v>12</v>
      </c>
      <c r="H8098" s="1">
        <v>43059</v>
      </c>
      <c r="I8098" s="1">
        <v>43077</v>
      </c>
      <c r="J8098">
        <v>504</v>
      </c>
    </row>
    <row r="8099" spans="1:10" x14ac:dyDescent="0.3">
      <c r="A8099" t="s">
        <v>8230</v>
      </c>
      <c r="B8099" t="s">
        <v>95</v>
      </c>
      <c r="C8099" t="str">
        <f>_xlfn.XLOOKUP(B8099,
[1]sales_teams!$A$2:$A$100,
[1]sales_teams!$B$2:$B$100)</f>
        <v>Summer Sewald</v>
      </c>
      <c r="D8099" t="str">
        <f>_xlfn.XLOOKUP($B8099,sales_teams!$A$2:$A$36,sales_teams!C$2:C$36)</f>
        <v>West</v>
      </c>
      <c r="E8099" t="s">
        <v>20</v>
      </c>
      <c r="F8099" t="s">
        <v>155</v>
      </c>
      <c r="G8099" t="s">
        <v>12</v>
      </c>
      <c r="H8099" s="1">
        <v>43059</v>
      </c>
      <c r="I8099" s="1">
        <v>43073</v>
      </c>
      <c r="J8099">
        <v>589</v>
      </c>
    </row>
    <row r="8100" spans="1:10" x14ac:dyDescent="0.3">
      <c r="A8100" t="s">
        <v>8231</v>
      </c>
      <c r="B8100" t="s">
        <v>9</v>
      </c>
      <c r="C8100" t="str">
        <f>_xlfn.XLOOKUP(B8100,
[1]sales_teams!$A$2:$A$100,
[1]sales_teams!$B$2:$B$100)</f>
        <v>Dustin Brinkmann</v>
      </c>
      <c r="D8100" t="str">
        <f>_xlfn.XLOOKUP($B8100,sales_teams!$A$2:$A$36,sales_teams!C$2:C$36)</f>
        <v>Central</v>
      </c>
      <c r="E8100" t="s">
        <v>48</v>
      </c>
      <c r="F8100" t="s">
        <v>111</v>
      </c>
      <c r="G8100" t="s">
        <v>12</v>
      </c>
      <c r="H8100" s="1">
        <v>43059</v>
      </c>
      <c r="I8100" s="1">
        <v>43078</v>
      </c>
      <c r="J8100">
        <v>5756</v>
      </c>
    </row>
    <row r="8101" spans="1:10" x14ac:dyDescent="0.3">
      <c r="A8101" t="s">
        <v>8232</v>
      </c>
      <c r="B8101" t="s">
        <v>9</v>
      </c>
      <c r="C8101" t="str">
        <f>_xlfn.XLOOKUP(B8101,
[1]sales_teams!$A$2:$A$100,
[1]sales_teams!$B$2:$B$100)</f>
        <v>Dustin Brinkmann</v>
      </c>
      <c r="D8101" t="str">
        <f>_xlfn.XLOOKUP($B8101,sales_teams!$A$2:$A$36,sales_teams!C$2:C$36)</f>
        <v>Central</v>
      </c>
      <c r="E8101" t="s">
        <v>39</v>
      </c>
      <c r="F8101" t="s">
        <v>492</v>
      </c>
      <c r="G8101" t="s">
        <v>12</v>
      </c>
      <c r="H8101" s="1">
        <v>43059</v>
      </c>
      <c r="I8101" s="1">
        <v>43062</v>
      </c>
      <c r="J8101">
        <v>3161</v>
      </c>
    </row>
    <row r="8102" spans="1:10" x14ac:dyDescent="0.3">
      <c r="A8102" t="s">
        <v>8233</v>
      </c>
      <c r="B8102" t="s">
        <v>73</v>
      </c>
      <c r="C8102" t="str">
        <f>_xlfn.XLOOKUP(B8102,
[1]sales_teams!$A$2:$A$100,
[1]sales_teams!$B$2:$B$100)</f>
        <v>Cara Losch</v>
      </c>
      <c r="D8102" t="str">
        <f>_xlfn.XLOOKUP($B8102,sales_teams!$A$2:$A$36,sales_teams!C$2:C$36)</f>
        <v>East</v>
      </c>
      <c r="E8102" t="s">
        <v>18</v>
      </c>
      <c r="G8102" t="s">
        <v>40</v>
      </c>
      <c r="H8102" s="1">
        <v>43059</v>
      </c>
    </row>
    <row r="8103" spans="1:10" x14ac:dyDescent="0.3">
      <c r="A8103" t="s">
        <v>8234</v>
      </c>
      <c r="B8103" t="s">
        <v>102</v>
      </c>
      <c r="C8103" t="str">
        <f>_xlfn.XLOOKUP(B8103,
[1]sales_teams!$A$2:$A$100,
[1]sales_teams!$B$2:$B$100)</f>
        <v>Cara Losch</v>
      </c>
      <c r="D8103" t="str">
        <f>_xlfn.XLOOKUP($B8103,sales_teams!$A$2:$A$36,sales_teams!C$2:C$36)</f>
        <v>East</v>
      </c>
      <c r="E8103" t="s">
        <v>48</v>
      </c>
      <c r="F8103" t="s">
        <v>189</v>
      </c>
      <c r="G8103" t="s">
        <v>12</v>
      </c>
      <c r="H8103" s="1">
        <v>43059</v>
      </c>
      <c r="I8103" s="1">
        <v>43077</v>
      </c>
      <c r="J8103">
        <v>5209</v>
      </c>
    </row>
    <row r="8104" spans="1:10" x14ac:dyDescent="0.3">
      <c r="A8104" t="s">
        <v>8235</v>
      </c>
      <c r="B8104" t="s">
        <v>118</v>
      </c>
      <c r="C8104" t="str">
        <f>_xlfn.XLOOKUP(B8104,
[1]sales_teams!$A$2:$A$100,
[1]sales_teams!$B$2:$B$100)</f>
        <v>Rocco Neubert</v>
      </c>
      <c r="D8104" t="str">
        <f>_xlfn.XLOOKUP($B8104,sales_teams!$A$2:$A$36,sales_teams!C$2:C$36)</f>
        <v>East</v>
      </c>
      <c r="E8104" t="s">
        <v>39</v>
      </c>
      <c r="F8104" t="s">
        <v>155</v>
      </c>
      <c r="G8104" t="s">
        <v>46</v>
      </c>
      <c r="H8104" s="1">
        <v>43060</v>
      </c>
      <c r="I8104" s="1">
        <v>43064</v>
      </c>
      <c r="J8104">
        <v>0</v>
      </c>
    </row>
    <row r="8105" spans="1:10" x14ac:dyDescent="0.3">
      <c r="A8105" t="s">
        <v>8236</v>
      </c>
      <c r="B8105" t="s">
        <v>202</v>
      </c>
      <c r="C8105" t="str">
        <f>_xlfn.XLOOKUP(B8105,
[1]sales_teams!$A$2:$A$100,
[1]sales_teams!$B$2:$B$100)</f>
        <v>Dustin Brinkmann</v>
      </c>
      <c r="D8105" t="str">
        <f>_xlfn.XLOOKUP($B8105,sales_teams!$A$2:$A$36,sales_teams!C$2:C$36)</f>
        <v>Central</v>
      </c>
      <c r="E8105" t="s">
        <v>18</v>
      </c>
      <c r="F8105" t="s">
        <v>91</v>
      </c>
      <c r="G8105" t="s">
        <v>12</v>
      </c>
      <c r="H8105" s="1">
        <v>43060</v>
      </c>
      <c r="I8105" s="1">
        <v>43077</v>
      </c>
      <c r="J8105">
        <v>58</v>
      </c>
    </row>
    <row r="8106" spans="1:10" x14ac:dyDescent="0.3">
      <c r="A8106" t="s">
        <v>8237</v>
      </c>
      <c r="B8106" t="s">
        <v>164</v>
      </c>
      <c r="C8106" t="str">
        <f>_xlfn.XLOOKUP(B8106,
[1]sales_teams!$A$2:$A$100,
[1]sales_teams!$B$2:$B$100)</f>
        <v>Cara Losch</v>
      </c>
      <c r="D8106" t="str">
        <f>_xlfn.XLOOKUP($B8106,sales_teams!$A$2:$A$36,sales_teams!C$2:C$36)</f>
        <v>East</v>
      </c>
      <c r="E8106" t="s">
        <v>18</v>
      </c>
      <c r="F8106" t="s">
        <v>222</v>
      </c>
      <c r="G8106" t="s">
        <v>12</v>
      </c>
      <c r="H8106" s="1">
        <v>43060</v>
      </c>
      <c r="I8106" s="1">
        <v>43090</v>
      </c>
      <c r="J8106">
        <v>57</v>
      </c>
    </row>
    <row r="8107" spans="1:10" x14ac:dyDescent="0.3">
      <c r="A8107" t="s">
        <v>8238</v>
      </c>
      <c r="B8107" t="s">
        <v>142</v>
      </c>
      <c r="C8107" t="str">
        <f>_xlfn.XLOOKUP(B8107,
[1]sales_teams!$A$2:$A$100,
[1]sales_teams!$B$2:$B$100)</f>
        <v>Rocco Neubert</v>
      </c>
      <c r="D8107" t="str">
        <f>_xlfn.XLOOKUP($B8107,sales_teams!$A$2:$A$36,sales_teams!C$2:C$36)</f>
        <v>East</v>
      </c>
      <c r="E8107" t="s">
        <v>15</v>
      </c>
      <c r="F8107" t="s">
        <v>192</v>
      </c>
      <c r="G8107" t="s">
        <v>12</v>
      </c>
      <c r="H8107" s="1">
        <v>43060</v>
      </c>
      <c r="I8107" s="1">
        <v>43079</v>
      </c>
      <c r="J8107">
        <v>5466</v>
      </c>
    </row>
    <row r="8108" spans="1:10" x14ac:dyDescent="0.3">
      <c r="A8108" t="s">
        <v>8239</v>
      </c>
      <c r="B8108" t="s">
        <v>44</v>
      </c>
      <c r="C8108" t="str">
        <f>_xlfn.XLOOKUP(B8108,
[1]sales_teams!$A$2:$A$100,
[1]sales_teams!$B$2:$B$100)</f>
        <v>Melvin Marxen</v>
      </c>
      <c r="D8108" t="str">
        <f>_xlfn.XLOOKUP($B8108,sales_teams!$A$2:$A$36,sales_teams!C$2:C$36)</f>
        <v>Central</v>
      </c>
      <c r="E8108" t="s">
        <v>48</v>
      </c>
      <c r="F8108" t="s">
        <v>207</v>
      </c>
      <c r="G8108" t="s">
        <v>46</v>
      </c>
      <c r="H8108" s="1">
        <v>43060</v>
      </c>
      <c r="I8108" s="1">
        <v>43063</v>
      </c>
      <c r="J8108">
        <v>0</v>
      </c>
    </row>
    <row r="8109" spans="1:10" x14ac:dyDescent="0.3">
      <c r="A8109" t="s">
        <v>8240</v>
      </c>
      <c r="B8109" t="s">
        <v>38</v>
      </c>
      <c r="C8109" t="str">
        <f>_xlfn.XLOOKUP(B8109,
[1]sales_teams!$A$2:$A$100,
[1]sales_teams!$B$2:$B$100)</f>
        <v>Summer Sewald</v>
      </c>
      <c r="D8109" t="str">
        <f>_xlfn.XLOOKUP($B8109,sales_teams!$A$2:$A$36,sales_teams!C$2:C$36)</f>
        <v>West</v>
      </c>
      <c r="E8109" t="s">
        <v>48</v>
      </c>
      <c r="F8109" t="s">
        <v>184</v>
      </c>
      <c r="G8109" t="s">
        <v>12</v>
      </c>
      <c r="H8109" s="1">
        <v>43060</v>
      </c>
      <c r="I8109" s="1">
        <v>43064</v>
      </c>
      <c r="J8109">
        <v>6932</v>
      </c>
    </row>
    <row r="8110" spans="1:10" x14ac:dyDescent="0.3">
      <c r="A8110" t="s">
        <v>8241</v>
      </c>
      <c r="B8110" t="s">
        <v>95</v>
      </c>
      <c r="C8110" t="str">
        <f>_xlfn.XLOOKUP(B8110,
[1]sales_teams!$A$2:$A$100,
[1]sales_teams!$B$2:$B$100)</f>
        <v>Summer Sewald</v>
      </c>
      <c r="D8110" t="str">
        <f>_xlfn.XLOOKUP($B8110,sales_teams!$A$2:$A$36,sales_teams!C$2:C$36)</f>
        <v>West</v>
      </c>
      <c r="E8110" t="s">
        <v>20</v>
      </c>
      <c r="F8110" t="s">
        <v>555</v>
      </c>
      <c r="G8110" t="s">
        <v>12</v>
      </c>
      <c r="H8110" s="1">
        <v>43060</v>
      </c>
      <c r="I8110" s="1">
        <v>43091</v>
      </c>
      <c r="J8110">
        <v>597</v>
      </c>
    </row>
    <row r="8111" spans="1:10" x14ac:dyDescent="0.3">
      <c r="A8111" t="s">
        <v>8242</v>
      </c>
      <c r="B8111" t="s">
        <v>32</v>
      </c>
      <c r="C8111" t="str">
        <f>_xlfn.XLOOKUP(B8111,
[1]sales_teams!$A$2:$A$100,
[1]sales_teams!$B$2:$B$100)</f>
        <v>Celia Rouche</v>
      </c>
      <c r="D8111" t="str">
        <f>_xlfn.XLOOKUP($B8111,sales_teams!$A$2:$A$36,sales_teams!C$2:C$36)</f>
        <v>West</v>
      </c>
      <c r="E8111" t="s">
        <v>39</v>
      </c>
      <c r="F8111" t="s">
        <v>100</v>
      </c>
      <c r="G8111" t="s">
        <v>46</v>
      </c>
      <c r="H8111" s="1">
        <v>43060</v>
      </c>
      <c r="I8111" s="1">
        <v>43066</v>
      </c>
      <c r="J8111">
        <v>0</v>
      </c>
    </row>
    <row r="8112" spans="1:10" x14ac:dyDescent="0.3">
      <c r="A8112" t="s">
        <v>8243</v>
      </c>
      <c r="B8112" t="s">
        <v>51</v>
      </c>
      <c r="C8112" t="str">
        <f>_xlfn.XLOOKUP(B8112,
[1]sales_teams!$A$2:$A$100,
[1]sales_teams!$B$2:$B$100)</f>
        <v>Summer Sewald</v>
      </c>
      <c r="D8112" t="str">
        <f>_xlfn.XLOOKUP($B8112,sales_teams!$A$2:$A$36,sales_teams!C$2:C$36)</f>
        <v>West</v>
      </c>
      <c r="E8112" t="s">
        <v>20</v>
      </c>
      <c r="F8112" t="s">
        <v>33</v>
      </c>
      <c r="G8112" t="s">
        <v>12</v>
      </c>
      <c r="H8112" s="1">
        <v>43060</v>
      </c>
      <c r="I8112" s="1">
        <v>43098</v>
      </c>
      <c r="J8112">
        <v>619</v>
      </c>
    </row>
    <row r="8113" spans="1:10" x14ac:dyDescent="0.3">
      <c r="A8113" t="s">
        <v>8244</v>
      </c>
      <c r="B8113" t="s">
        <v>29</v>
      </c>
      <c r="C8113" t="str">
        <f>_xlfn.XLOOKUP(B8113,
[1]sales_teams!$A$2:$A$100,
[1]sales_teams!$B$2:$B$100)</f>
        <v>Celia Rouche</v>
      </c>
      <c r="D8113" t="str">
        <f>_xlfn.XLOOKUP($B8113,sales_teams!$A$2:$A$36,sales_teams!C$2:C$36)</f>
        <v>West</v>
      </c>
      <c r="E8113" t="s">
        <v>39</v>
      </c>
      <c r="F8113" t="s">
        <v>194</v>
      </c>
      <c r="G8113" t="s">
        <v>12</v>
      </c>
      <c r="H8113" s="1">
        <v>43060</v>
      </c>
      <c r="I8113" s="1">
        <v>43070</v>
      </c>
      <c r="J8113">
        <v>2590</v>
      </c>
    </row>
    <row r="8114" spans="1:10" x14ac:dyDescent="0.3">
      <c r="A8114" t="s">
        <v>8245</v>
      </c>
      <c r="B8114" t="s">
        <v>102</v>
      </c>
      <c r="C8114" t="str">
        <f>_xlfn.XLOOKUP(B8114,
[1]sales_teams!$A$2:$A$100,
[1]sales_teams!$B$2:$B$100)</f>
        <v>Cara Losch</v>
      </c>
      <c r="D8114" t="str">
        <f>_xlfn.XLOOKUP($B8114,sales_teams!$A$2:$A$36,sales_teams!C$2:C$36)</f>
        <v>East</v>
      </c>
      <c r="E8114" t="s">
        <v>15</v>
      </c>
      <c r="F8114" t="s">
        <v>329</v>
      </c>
      <c r="G8114" t="s">
        <v>46</v>
      </c>
      <c r="H8114" s="1">
        <v>43060</v>
      </c>
      <c r="I8114" s="1">
        <v>43065</v>
      </c>
      <c r="J8114">
        <v>0</v>
      </c>
    </row>
    <row r="8115" spans="1:10" x14ac:dyDescent="0.3">
      <c r="A8115" t="s">
        <v>8246</v>
      </c>
      <c r="B8115" t="s">
        <v>118</v>
      </c>
      <c r="C8115" t="str">
        <f>_xlfn.XLOOKUP(B8115,
[1]sales_teams!$A$2:$A$100,
[1]sales_teams!$B$2:$B$100)</f>
        <v>Rocco Neubert</v>
      </c>
      <c r="D8115" t="str">
        <f>_xlfn.XLOOKUP($B8115,sales_teams!$A$2:$A$36,sales_teams!C$2:C$36)</f>
        <v>East</v>
      </c>
      <c r="E8115" t="s">
        <v>20</v>
      </c>
      <c r="F8115" t="s">
        <v>278</v>
      </c>
      <c r="G8115" t="s">
        <v>12</v>
      </c>
      <c r="H8115" s="1">
        <v>43061</v>
      </c>
      <c r="I8115" s="1">
        <v>43076</v>
      </c>
      <c r="J8115">
        <v>609</v>
      </c>
    </row>
    <row r="8116" spans="1:10" x14ac:dyDescent="0.3">
      <c r="A8116" t="s">
        <v>8247</v>
      </c>
      <c r="B8116" t="s">
        <v>164</v>
      </c>
      <c r="C8116" t="str">
        <f>_xlfn.XLOOKUP(B8116,
[1]sales_teams!$A$2:$A$100,
[1]sales_teams!$B$2:$B$100)</f>
        <v>Cara Losch</v>
      </c>
      <c r="D8116" t="str">
        <f>_xlfn.XLOOKUP($B8116,sales_teams!$A$2:$A$36,sales_teams!C$2:C$36)</f>
        <v>East</v>
      </c>
      <c r="E8116" t="s">
        <v>15</v>
      </c>
      <c r="F8116" t="s">
        <v>199</v>
      </c>
      <c r="G8116" t="s">
        <v>12</v>
      </c>
      <c r="H8116" s="1">
        <v>43061</v>
      </c>
      <c r="I8116" s="1">
        <v>43075</v>
      </c>
      <c r="J8116">
        <v>4492</v>
      </c>
    </row>
    <row r="8117" spans="1:10" x14ac:dyDescent="0.3">
      <c r="A8117" t="s">
        <v>8248</v>
      </c>
      <c r="B8117" t="s">
        <v>51</v>
      </c>
      <c r="C8117" t="str">
        <f>_xlfn.XLOOKUP(B8117,
[1]sales_teams!$A$2:$A$100,
[1]sales_teams!$B$2:$B$100)</f>
        <v>Summer Sewald</v>
      </c>
      <c r="D8117" t="str">
        <f>_xlfn.XLOOKUP($B8117,sales_teams!$A$2:$A$36,sales_teams!C$2:C$36)</f>
        <v>West</v>
      </c>
      <c r="E8117" t="s">
        <v>10</v>
      </c>
      <c r="F8117" t="s">
        <v>68</v>
      </c>
      <c r="G8117" t="s">
        <v>46</v>
      </c>
      <c r="H8117" s="1">
        <v>43061</v>
      </c>
      <c r="I8117" s="1">
        <v>43066</v>
      </c>
      <c r="J8117">
        <v>0</v>
      </c>
    </row>
    <row r="8118" spans="1:10" x14ac:dyDescent="0.3">
      <c r="A8118" t="s">
        <v>8249</v>
      </c>
      <c r="B8118" t="s">
        <v>97</v>
      </c>
      <c r="C8118" t="str">
        <f>_xlfn.XLOOKUP(B8118,
[1]sales_teams!$A$2:$A$100,
[1]sales_teams!$B$2:$B$100)</f>
        <v>Rocco Neubert</v>
      </c>
      <c r="D8118" t="str">
        <f>_xlfn.XLOOKUP($B8118,sales_teams!$A$2:$A$36,sales_teams!C$2:C$36)</f>
        <v>East</v>
      </c>
      <c r="E8118" t="s">
        <v>15</v>
      </c>
      <c r="F8118" t="s">
        <v>278</v>
      </c>
      <c r="G8118" t="s">
        <v>46</v>
      </c>
      <c r="H8118" s="1">
        <v>43061</v>
      </c>
      <c r="I8118" s="1">
        <v>43075</v>
      </c>
      <c r="J8118">
        <v>0</v>
      </c>
    </row>
    <row r="8119" spans="1:10" x14ac:dyDescent="0.3">
      <c r="A8119" t="s">
        <v>8250</v>
      </c>
      <c r="B8119" t="s">
        <v>73</v>
      </c>
      <c r="C8119" t="str">
        <f>_xlfn.XLOOKUP(B8119,
[1]sales_teams!$A$2:$A$100,
[1]sales_teams!$B$2:$B$100)</f>
        <v>Cara Losch</v>
      </c>
      <c r="D8119" t="str">
        <f>_xlfn.XLOOKUP($B8119,sales_teams!$A$2:$A$36,sales_teams!C$2:C$36)</f>
        <v>East</v>
      </c>
      <c r="E8119" t="s">
        <v>18</v>
      </c>
      <c r="F8119" t="s">
        <v>155</v>
      </c>
      <c r="G8119" t="s">
        <v>12</v>
      </c>
      <c r="H8119" s="1">
        <v>43061</v>
      </c>
      <c r="I8119" s="1">
        <v>43074</v>
      </c>
      <c r="J8119">
        <v>47</v>
      </c>
    </row>
    <row r="8120" spans="1:10" x14ac:dyDescent="0.3">
      <c r="A8120" t="s">
        <v>8251</v>
      </c>
      <c r="B8120" t="s">
        <v>23</v>
      </c>
      <c r="C8120" t="str">
        <f>_xlfn.XLOOKUP(B8120,
[1]sales_teams!$A$2:$A$100,
[1]sales_teams!$B$2:$B$100)</f>
        <v>Summer Sewald</v>
      </c>
      <c r="D8120" t="str">
        <f>_xlfn.XLOOKUP($B8120,sales_teams!$A$2:$A$36,sales_teams!C$2:C$36)</f>
        <v>West</v>
      </c>
      <c r="E8120" t="s">
        <v>20</v>
      </c>
      <c r="F8120" t="s">
        <v>148</v>
      </c>
      <c r="G8120" t="s">
        <v>40</v>
      </c>
      <c r="H8120" s="1">
        <v>43061</v>
      </c>
    </row>
    <row r="8121" spans="1:10" x14ac:dyDescent="0.3">
      <c r="A8121" t="s">
        <v>8252</v>
      </c>
      <c r="B8121" t="s">
        <v>164</v>
      </c>
      <c r="C8121" t="str">
        <f>_xlfn.XLOOKUP(B8121,
[1]sales_teams!$A$2:$A$100,
[1]sales_teams!$B$2:$B$100)</f>
        <v>Cara Losch</v>
      </c>
      <c r="D8121" t="str">
        <f>_xlfn.XLOOKUP($B8121,sales_teams!$A$2:$A$36,sales_teams!C$2:C$36)</f>
        <v>East</v>
      </c>
      <c r="E8121" t="s">
        <v>20</v>
      </c>
      <c r="F8121" t="s">
        <v>209</v>
      </c>
      <c r="G8121" t="s">
        <v>46</v>
      </c>
      <c r="H8121" s="1">
        <v>43062</v>
      </c>
      <c r="I8121" s="1">
        <v>43071</v>
      </c>
      <c r="J8121">
        <v>0</v>
      </c>
    </row>
    <row r="8122" spans="1:10" x14ac:dyDescent="0.3">
      <c r="A8122" t="s">
        <v>8253</v>
      </c>
      <c r="B8122" t="s">
        <v>95</v>
      </c>
      <c r="C8122" t="str">
        <f>_xlfn.XLOOKUP(B8122,
[1]sales_teams!$A$2:$A$100,
[1]sales_teams!$B$2:$B$100)</f>
        <v>Summer Sewald</v>
      </c>
      <c r="D8122" t="str">
        <f>_xlfn.XLOOKUP($B8122,sales_teams!$A$2:$A$36,sales_teams!C$2:C$36)</f>
        <v>West</v>
      </c>
      <c r="E8122" t="s">
        <v>10</v>
      </c>
      <c r="F8122" t="s">
        <v>76</v>
      </c>
      <c r="G8122" t="s">
        <v>40</v>
      </c>
      <c r="H8122" s="1">
        <v>43062</v>
      </c>
    </row>
    <row r="8123" spans="1:10" x14ac:dyDescent="0.3">
      <c r="A8123" t="s">
        <v>8254</v>
      </c>
      <c r="B8123" t="s">
        <v>95</v>
      </c>
      <c r="C8123" t="str">
        <f>_xlfn.XLOOKUP(B8123,
[1]sales_teams!$A$2:$A$100,
[1]sales_teams!$B$2:$B$100)</f>
        <v>Summer Sewald</v>
      </c>
      <c r="D8123" t="str">
        <f>_xlfn.XLOOKUP($B8123,sales_teams!$A$2:$A$36,sales_teams!C$2:C$36)</f>
        <v>West</v>
      </c>
      <c r="E8123" t="s">
        <v>20</v>
      </c>
      <c r="F8123" t="s">
        <v>52</v>
      </c>
      <c r="G8123" t="s">
        <v>12</v>
      </c>
      <c r="H8123" s="1">
        <v>43062</v>
      </c>
      <c r="I8123" s="1">
        <v>43077</v>
      </c>
      <c r="J8123">
        <v>484</v>
      </c>
    </row>
    <row r="8124" spans="1:10" x14ac:dyDescent="0.3">
      <c r="A8124" t="s">
        <v>8255</v>
      </c>
      <c r="B8124" t="s">
        <v>116</v>
      </c>
      <c r="C8124" t="str">
        <f>_xlfn.XLOOKUP(B8124,
[1]sales_teams!$A$2:$A$100,
[1]sales_teams!$B$2:$B$100)</f>
        <v>Melvin Marxen</v>
      </c>
      <c r="D8124" t="str">
        <f>_xlfn.XLOOKUP($B8124,sales_teams!$A$2:$A$36,sales_teams!C$2:C$36)</f>
        <v>Central</v>
      </c>
      <c r="E8124" t="s">
        <v>39</v>
      </c>
      <c r="F8124" t="s">
        <v>27</v>
      </c>
      <c r="G8124" t="s">
        <v>46</v>
      </c>
      <c r="H8124" s="1">
        <v>43062</v>
      </c>
      <c r="I8124" s="1">
        <v>43064</v>
      </c>
      <c r="J8124">
        <v>0</v>
      </c>
    </row>
    <row r="8125" spans="1:10" x14ac:dyDescent="0.3">
      <c r="A8125" t="s">
        <v>8256</v>
      </c>
      <c r="B8125" t="s">
        <v>35</v>
      </c>
      <c r="C8125" t="str">
        <f>_xlfn.XLOOKUP(B8125,
[1]sales_teams!$A$2:$A$100,
[1]sales_teams!$B$2:$B$100)</f>
        <v>Melvin Marxen</v>
      </c>
      <c r="D8125" t="str">
        <f>_xlfn.XLOOKUP($B8125,sales_teams!$A$2:$A$36,sales_teams!C$2:C$36)</f>
        <v>Central</v>
      </c>
      <c r="E8125" t="s">
        <v>18</v>
      </c>
      <c r="F8125" t="s">
        <v>170</v>
      </c>
      <c r="G8125" t="s">
        <v>46</v>
      </c>
      <c r="H8125" s="1">
        <v>43062</v>
      </c>
      <c r="I8125" s="1">
        <v>43067</v>
      </c>
      <c r="J8125">
        <v>0</v>
      </c>
    </row>
    <row r="8126" spans="1:10" x14ac:dyDescent="0.3">
      <c r="A8126" t="s">
        <v>8257</v>
      </c>
      <c r="B8126" t="s">
        <v>57</v>
      </c>
      <c r="C8126" t="str">
        <f>_xlfn.XLOOKUP(B8126,
[1]sales_teams!$A$2:$A$100,
[1]sales_teams!$B$2:$B$100)</f>
        <v>Celia Rouche</v>
      </c>
      <c r="D8126" t="str">
        <f>_xlfn.XLOOKUP($B8126,sales_teams!$A$2:$A$36,sales_teams!C$2:C$36)</f>
        <v>West</v>
      </c>
      <c r="E8126" t="s">
        <v>18</v>
      </c>
      <c r="F8126" t="s">
        <v>174</v>
      </c>
      <c r="G8126" t="s">
        <v>12</v>
      </c>
      <c r="H8126" s="1">
        <v>43062</v>
      </c>
      <c r="I8126" s="1">
        <v>43076</v>
      </c>
      <c r="J8126">
        <v>49</v>
      </c>
    </row>
    <row r="8127" spans="1:10" x14ac:dyDescent="0.3">
      <c r="A8127" t="s">
        <v>8258</v>
      </c>
      <c r="B8127" t="s">
        <v>29</v>
      </c>
      <c r="C8127" t="str">
        <f>_xlfn.XLOOKUP(B8127,
[1]sales_teams!$A$2:$A$100,
[1]sales_teams!$B$2:$B$100)</f>
        <v>Celia Rouche</v>
      </c>
      <c r="D8127" t="str">
        <f>_xlfn.XLOOKUP($B8127,sales_teams!$A$2:$A$36,sales_teams!C$2:C$36)</f>
        <v>West</v>
      </c>
      <c r="E8127" t="s">
        <v>18</v>
      </c>
      <c r="G8127" t="s">
        <v>40</v>
      </c>
      <c r="H8127" s="1">
        <v>43062</v>
      </c>
    </row>
    <row r="8128" spans="1:10" x14ac:dyDescent="0.3">
      <c r="A8128" t="s">
        <v>8259</v>
      </c>
      <c r="B8128" t="s">
        <v>73</v>
      </c>
      <c r="C8128" t="str">
        <f>_xlfn.XLOOKUP(B8128,
[1]sales_teams!$A$2:$A$100,
[1]sales_teams!$B$2:$B$100)</f>
        <v>Cara Losch</v>
      </c>
      <c r="D8128" t="str">
        <f>_xlfn.XLOOKUP($B8128,sales_teams!$A$2:$A$36,sales_teams!C$2:C$36)</f>
        <v>East</v>
      </c>
      <c r="E8128" t="s">
        <v>18</v>
      </c>
      <c r="F8128" t="s">
        <v>155</v>
      </c>
      <c r="G8128" t="s">
        <v>40</v>
      </c>
      <c r="H8128" s="1">
        <v>43062</v>
      </c>
    </row>
    <row r="8129" spans="1:10" x14ac:dyDescent="0.3">
      <c r="A8129" t="s">
        <v>8260</v>
      </c>
      <c r="B8129" t="s">
        <v>118</v>
      </c>
      <c r="C8129" t="str">
        <f>_xlfn.XLOOKUP(B8129,
[1]sales_teams!$A$2:$A$100,
[1]sales_teams!$B$2:$B$100)</f>
        <v>Rocco Neubert</v>
      </c>
      <c r="D8129" t="str">
        <f>_xlfn.XLOOKUP($B8129,sales_teams!$A$2:$A$36,sales_teams!C$2:C$36)</f>
        <v>East</v>
      </c>
      <c r="E8129" t="s">
        <v>10</v>
      </c>
      <c r="F8129" t="s">
        <v>81</v>
      </c>
      <c r="G8129" t="s">
        <v>12</v>
      </c>
      <c r="H8129" s="1">
        <v>43063</v>
      </c>
      <c r="I8129" s="1">
        <v>43074</v>
      </c>
      <c r="J8129">
        <v>927</v>
      </c>
    </row>
    <row r="8130" spans="1:10" x14ac:dyDescent="0.3">
      <c r="A8130" t="s">
        <v>8261</v>
      </c>
      <c r="B8130" t="s">
        <v>64</v>
      </c>
      <c r="C8130" t="str">
        <f>_xlfn.XLOOKUP(B8130,
[1]sales_teams!$A$2:$A$100,
[1]sales_teams!$B$2:$B$100)</f>
        <v>Rocco Neubert</v>
      </c>
      <c r="D8130" t="str">
        <f>_xlfn.XLOOKUP($B8130,sales_teams!$A$2:$A$36,sales_teams!C$2:C$36)</f>
        <v>East</v>
      </c>
      <c r="E8130" t="s">
        <v>15</v>
      </c>
      <c r="F8130" t="s">
        <v>98</v>
      </c>
      <c r="G8130" t="s">
        <v>12</v>
      </c>
      <c r="H8130" s="1">
        <v>43063</v>
      </c>
      <c r="I8130" s="1">
        <v>43078</v>
      </c>
      <c r="J8130">
        <v>4445</v>
      </c>
    </row>
    <row r="8131" spans="1:10" x14ac:dyDescent="0.3">
      <c r="A8131" t="s">
        <v>8262</v>
      </c>
      <c r="B8131" t="s">
        <v>14</v>
      </c>
      <c r="C8131" t="str">
        <f>_xlfn.XLOOKUP(B8131,
[1]sales_teams!$A$2:$A$100,
[1]sales_teams!$B$2:$B$100)</f>
        <v>Melvin Marxen</v>
      </c>
      <c r="D8131" t="str">
        <f>_xlfn.XLOOKUP($B8131,sales_teams!$A$2:$A$36,sales_teams!C$2:C$36)</f>
        <v>Central</v>
      </c>
      <c r="E8131" t="s">
        <v>15</v>
      </c>
      <c r="F8131" t="s">
        <v>21</v>
      </c>
      <c r="G8131" t="s">
        <v>12</v>
      </c>
      <c r="H8131" s="1">
        <v>43063</v>
      </c>
      <c r="I8131" s="1">
        <v>43073</v>
      </c>
      <c r="J8131">
        <v>5110</v>
      </c>
    </row>
    <row r="8132" spans="1:10" x14ac:dyDescent="0.3">
      <c r="A8132" t="s">
        <v>8263</v>
      </c>
      <c r="B8132" t="s">
        <v>67</v>
      </c>
      <c r="C8132" t="str">
        <f>_xlfn.XLOOKUP(B8132,
[1]sales_teams!$A$2:$A$100,
[1]sales_teams!$B$2:$B$100)</f>
        <v>Celia Rouche</v>
      </c>
      <c r="D8132" t="str">
        <f>_xlfn.XLOOKUP($B8132,sales_teams!$A$2:$A$36,sales_teams!C$2:C$36)</f>
        <v>West</v>
      </c>
      <c r="E8132" t="s">
        <v>18</v>
      </c>
      <c r="F8132" t="s">
        <v>313</v>
      </c>
      <c r="G8132" t="s">
        <v>12</v>
      </c>
      <c r="H8132" s="1">
        <v>43063</v>
      </c>
      <c r="I8132" s="1">
        <v>43087</v>
      </c>
      <c r="J8132">
        <v>62</v>
      </c>
    </row>
    <row r="8133" spans="1:10" x14ac:dyDescent="0.3">
      <c r="A8133" t="s">
        <v>8264</v>
      </c>
      <c r="B8133" t="s">
        <v>38</v>
      </c>
      <c r="C8133" t="str">
        <f>_xlfn.XLOOKUP(B8133,
[1]sales_teams!$A$2:$A$100,
[1]sales_teams!$B$2:$B$100)</f>
        <v>Summer Sewald</v>
      </c>
      <c r="D8133" t="str">
        <f>_xlfn.XLOOKUP($B8133,sales_teams!$A$2:$A$36,sales_teams!C$2:C$36)</f>
        <v>West</v>
      </c>
      <c r="E8133" t="s">
        <v>10</v>
      </c>
      <c r="F8133" t="s">
        <v>199</v>
      </c>
      <c r="G8133" t="s">
        <v>12</v>
      </c>
      <c r="H8133" s="1">
        <v>43063</v>
      </c>
      <c r="I8133" s="1">
        <v>43080</v>
      </c>
      <c r="J8133">
        <v>1049</v>
      </c>
    </row>
    <row r="8134" spans="1:10" x14ac:dyDescent="0.3">
      <c r="A8134" t="s">
        <v>8265</v>
      </c>
      <c r="B8134" t="s">
        <v>78</v>
      </c>
      <c r="C8134" t="str">
        <f>_xlfn.XLOOKUP(B8134,
[1]sales_teams!$A$2:$A$100,
[1]sales_teams!$B$2:$B$100)</f>
        <v>Summer Sewald</v>
      </c>
      <c r="D8134" t="str">
        <f>_xlfn.XLOOKUP($B8134,sales_teams!$A$2:$A$36,sales_teams!C$2:C$36)</f>
        <v>West</v>
      </c>
      <c r="E8134" t="s">
        <v>10</v>
      </c>
      <c r="F8134" t="s">
        <v>86</v>
      </c>
      <c r="G8134" t="s">
        <v>12</v>
      </c>
      <c r="H8134" s="1">
        <v>43063</v>
      </c>
      <c r="I8134" s="1">
        <v>43074</v>
      </c>
      <c r="J8134">
        <v>885</v>
      </c>
    </row>
    <row r="8135" spans="1:10" x14ac:dyDescent="0.3">
      <c r="A8135" t="s">
        <v>8266</v>
      </c>
      <c r="B8135" t="s">
        <v>95</v>
      </c>
      <c r="C8135" t="str">
        <f>_xlfn.XLOOKUP(B8135,
[1]sales_teams!$A$2:$A$100,
[1]sales_teams!$B$2:$B$100)</f>
        <v>Summer Sewald</v>
      </c>
      <c r="D8135" t="str">
        <f>_xlfn.XLOOKUP($B8135,sales_teams!$A$2:$A$36,sales_teams!C$2:C$36)</f>
        <v>West</v>
      </c>
      <c r="E8135" t="s">
        <v>15</v>
      </c>
      <c r="F8135" t="s">
        <v>555</v>
      </c>
      <c r="G8135" t="s">
        <v>40</v>
      </c>
      <c r="H8135" s="1">
        <v>43063</v>
      </c>
    </row>
    <row r="8136" spans="1:10" x14ac:dyDescent="0.3">
      <c r="A8136" t="s">
        <v>8267</v>
      </c>
      <c r="B8136" t="s">
        <v>32</v>
      </c>
      <c r="C8136" t="str">
        <f>_xlfn.XLOOKUP(B8136,
[1]sales_teams!$A$2:$A$100,
[1]sales_teams!$B$2:$B$100)</f>
        <v>Celia Rouche</v>
      </c>
      <c r="D8136" t="str">
        <f>_xlfn.XLOOKUP($B8136,sales_teams!$A$2:$A$36,sales_teams!C$2:C$36)</f>
        <v>West</v>
      </c>
      <c r="E8136" t="s">
        <v>39</v>
      </c>
      <c r="F8136" t="s">
        <v>122</v>
      </c>
      <c r="G8136" t="s">
        <v>46</v>
      </c>
      <c r="H8136" s="1">
        <v>43063</v>
      </c>
      <c r="I8136" s="1">
        <v>43068</v>
      </c>
      <c r="J8136">
        <v>0</v>
      </c>
    </row>
    <row r="8137" spans="1:10" x14ac:dyDescent="0.3">
      <c r="A8137" t="s">
        <v>8268</v>
      </c>
      <c r="B8137" t="s">
        <v>73</v>
      </c>
      <c r="C8137" t="str">
        <f>_xlfn.XLOOKUP(B8137,
[1]sales_teams!$A$2:$A$100,
[1]sales_teams!$B$2:$B$100)</f>
        <v>Cara Losch</v>
      </c>
      <c r="D8137" t="str">
        <f>_xlfn.XLOOKUP($B8137,sales_teams!$A$2:$A$36,sales_teams!C$2:C$36)</f>
        <v>East</v>
      </c>
      <c r="E8137" t="s">
        <v>39</v>
      </c>
      <c r="F8137" t="s">
        <v>237</v>
      </c>
      <c r="G8137" t="s">
        <v>12</v>
      </c>
      <c r="H8137" s="1">
        <v>43063</v>
      </c>
      <c r="I8137" s="1">
        <v>43074</v>
      </c>
      <c r="J8137">
        <v>3612</v>
      </c>
    </row>
    <row r="8138" spans="1:10" x14ac:dyDescent="0.3">
      <c r="A8138" t="s">
        <v>8269</v>
      </c>
      <c r="B8138" t="s">
        <v>102</v>
      </c>
      <c r="C8138" t="str">
        <f>_xlfn.XLOOKUP(B8138,
[1]sales_teams!$A$2:$A$100,
[1]sales_teams!$B$2:$B$100)</f>
        <v>Cara Losch</v>
      </c>
      <c r="D8138" t="str">
        <f>_xlfn.XLOOKUP($B8138,sales_teams!$A$2:$A$36,sales_teams!C$2:C$36)</f>
        <v>East</v>
      </c>
      <c r="E8138" t="s">
        <v>15</v>
      </c>
      <c r="F8138" t="s">
        <v>373</v>
      </c>
      <c r="G8138" t="s">
        <v>12</v>
      </c>
      <c r="H8138" s="1">
        <v>43063</v>
      </c>
      <c r="I8138" s="1">
        <v>43068</v>
      </c>
      <c r="J8138">
        <v>5106</v>
      </c>
    </row>
    <row r="8139" spans="1:10" x14ac:dyDescent="0.3">
      <c r="A8139" t="s">
        <v>8270</v>
      </c>
      <c r="B8139" t="s">
        <v>26</v>
      </c>
      <c r="C8139" t="str">
        <f>_xlfn.XLOOKUP(B8139,
[1]sales_teams!$A$2:$A$100,
[1]sales_teams!$B$2:$B$100)</f>
        <v>Dustin Brinkmann</v>
      </c>
      <c r="D8139" t="str">
        <f>_xlfn.XLOOKUP($B8139,sales_teams!$A$2:$A$36,sales_teams!C$2:C$36)</f>
        <v>Central</v>
      </c>
      <c r="E8139" t="s">
        <v>39</v>
      </c>
      <c r="F8139" t="s">
        <v>45</v>
      </c>
      <c r="G8139" t="s">
        <v>12</v>
      </c>
      <c r="H8139" s="1">
        <v>43064</v>
      </c>
      <c r="I8139" s="1">
        <v>43097</v>
      </c>
      <c r="J8139">
        <v>2477</v>
      </c>
    </row>
    <row r="8140" spans="1:10" x14ac:dyDescent="0.3">
      <c r="A8140" t="s">
        <v>8271</v>
      </c>
      <c r="B8140" t="s">
        <v>118</v>
      </c>
      <c r="C8140" t="str">
        <f>_xlfn.XLOOKUP(B8140,
[1]sales_teams!$A$2:$A$100,
[1]sales_teams!$B$2:$B$100)</f>
        <v>Rocco Neubert</v>
      </c>
      <c r="D8140" t="str">
        <f>_xlfn.XLOOKUP($B8140,sales_teams!$A$2:$A$36,sales_teams!C$2:C$36)</f>
        <v>East</v>
      </c>
      <c r="E8140" t="s">
        <v>18</v>
      </c>
      <c r="F8140" t="s">
        <v>209</v>
      </c>
      <c r="G8140" t="s">
        <v>46</v>
      </c>
      <c r="H8140" s="1">
        <v>43064</v>
      </c>
      <c r="I8140" s="1">
        <v>43079</v>
      </c>
      <c r="J8140">
        <v>0</v>
      </c>
    </row>
    <row r="8141" spans="1:10" x14ac:dyDescent="0.3">
      <c r="A8141" t="s">
        <v>8272</v>
      </c>
      <c r="B8141" t="s">
        <v>14</v>
      </c>
      <c r="C8141" t="str">
        <f>_xlfn.XLOOKUP(B8141,
[1]sales_teams!$A$2:$A$100,
[1]sales_teams!$B$2:$B$100)</f>
        <v>Melvin Marxen</v>
      </c>
      <c r="D8141" t="str">
        <f>_xlfn.XLOOKUP($B8141,sales_teams!$A$2:$A$36,sales_teams!C$2:C$36)</f>
        <v>Central</v>
      </c>
      <c r="E8141" t="s">
        <v>20</v>
      </c>
      <c r="F8141" t="s">
        <v>76</v>
      </c>
      <c r="G8141" t="s">
        <v>12</v>
      </c>
      <c r="H8141" s="1">
        <v>43064</v>
      </c>
      <c r="I8141" s="1">
        <v>43080</v>
      </c>
      <c r="J8141">
        <v>537</v>
      </c>
    </row>
    <row r="8142" spans="1:10" x14ac:dyDescent="0.3">
      <c r="A8142" t="s">
        <v>8273</v>
      </c>
      <c r="B8142" t="s">
        <v>38</v>
      </c>
      <c r="C8142" t="str">
        <f>_xlfn.XLOOKUP(B8142,
[1]sales_teams!$A$2:$A$100,
[1]sales_teams!$B$2:$B$100)</f>
        <v>Summer Sewald</v>
      </c>
      <c r="D8142" t="str">
        <f>_xlfn.XLOOKUP($B8142,sales_teams!$A$2:$A$36,sales_teams!C$2:C$36)</f>
        <v>West</v>
      </c>
      <c r="E8142" t="s">
        <v>48</v>
      </c>
      <c r="F8142" t="s">
        <v>24</v>
      </c>
      <c r="G8142" t="s">
        <v>12</v>
      </c>
      <c r="H8142" s="1">
        <v>43064</v>
      </c>
      <c r="I8142" s="1">
        <v>43079</v>
      </c>
      <c r="J8142">
        <v>5547</v>
      </c>
    </row>
    <row r="8143" spans="1:10" x14ac:dyDescent="0.3">
      <c r="A8143" t="s">
        <v>8274</v>
      </c>
      <c r="B8143" t="s">
        <v>9</v>
      </c>
      <c r="C8143" t="str">
        <f>_xlfn.XLOOKUP(B8143,
[1]sales_teams!$A$2:$A$100,
[1]sales_teams!$B$2:$B$100)</f>
        <v>Dustin Brinkmann</v>
      </c>
      <c r="D8143" t="str">
        <f>_xlfn.XLOOKUP($B8143,sales_teams!$A$2:$A$36,sales_teams!C$2:C$36)</f>
        <v>Central</v>
      </c>
      <c r="E8143" t="s">
        <v>10</v>
      </c>
      <c r="F8143" t="s">
        <v>113</v>
      </c>
      <c r="G8143" t="s">
        <v>12</v>
      </c>
      <c r="H8143" s="1">
        <v>43064</v>
      </c>
      <c r="I8143" s="1">
        <v>43068</v>
      </c>
      <c r="J8143">
        <v>1001</v>
      </c>
    </row>
    <row r="8144" spans="1:10" x14ac:dyDescent="0.3">
      <c r="A8144" t="s">
        <v>8275</v>
      </c>
      <c r="B8144" t="s">
        <v>29</v>
      </c>
      <c r="C8144" t="str">
        <f>_xlfn.XLOOKUP(B8144,
[1]sales_teams!$A$2:$A$100,
[1]sales_teams!$B$2:$B$100)</f>
        <v>Celia Rouche</v>
      </c>
      <c r="D8144" t="str">
        <f>_xlfn.XLOOKUP($B8144,sales_teams!$A$2:$A$36,sales_teams!C$2:C$36)</f>
        <v>West</v>
      </c>
      <c r="E8144" t="s">
        <v>48</v>
      </c>
      <c r="F8144" t="s">
        <v>155</v>
      </c>
      <c r="G8144" t="s">
        <v>46</v>
      </c>
      <c r="H8144" s="1">
        <v>43064</v>
      </c>
      <c r="I8144" s="1">
        <v>43074</v>
      </c>
      <c r="J8144">
        <v>0</v>
      </c>
    </row>
    <row r="8145" spans="1:10" x14ac:dyDescent="0.3">
      <c r="A8145" t="s">
        <v>8276</v>
      </c>
      <c r="B8145" t="s">
        <v>73</v>
      </c>
      <c r="C8145" t="str">
        <f>_xlfn.XLOOKUP(B8145,
[1]sales_teams!$A$2:$A$100,
[1]sales_teams!$B$2:$B$100)</f>
        <v>Cara Losch</v>
      </c>
      <c r="D8145" t="str">
        <f>_xlfn.XLOOKUP($B8145,sales_teams!$A$2:$A$36,sales_teams!C$2:C$36)</f>
        <v>East</v>
      </c>
      <c r="E8145" t="s">
        <v>10</v>
      </c>
      <c r="F8145" t="s">
        <v>278</v>
      </c>
      <c r="G8145" t="s">
        <v>46</v>
      </c>
      <c r="H8145" s="1">
        <v>43064</v>
      </c>
      <c r="I8145" s="1">
        <v>43068</v>
      </c>
      <c r="J8145">
        <v>0</v>
      </c>
    </row>
    <row r="8146" spans="1:10" x14ac:dyDescent="0.3">
      <c r="A8146" t="s">
        <v>8277</v>
      </c>
      <c r="B8146" t="s">
        <v>102</v>
      </c>
      <c r="C8146" t="str">
        <f>_xlfn.XLOOKUP(B8146,
[1]sales_teams!$A$2:$A$100,
[1]sales_teams!$B$2:$B$100)</f>
        <v>Cara Losch</v>
      </c>
      <c r="D8146" t="str">
        <f>_xlfn.XLOOKUP($B8146,sales_teams!$A$2:$A$36,sales_teams!C$2:C$36)</f>
        <v>East</v>
      </c>
      <c r="E8146" t="s">
        <v>15</v>
      </c>
      <c r="F8146" t="s">
        <v>189</v>
      </c>
      <c r="G8146" t="s">
        <v>12</v>
      </c>
      <c r="H8146" s="1">
        <v>43064</v>
      </c>
      <c r="I8146" s="1">
        <v>43068</v>
      </c>
      <c r="J8146">
        <v>5077</v>
      </c>
    </row>
    <row r="8147" spans="1:10" x14ac:dyDescent="0.3">
      <c r="A8147" t="s">
        <v>8278</v>
      </c>
      <c r="B8147" t="s">
        <v>26</v>
      </c>
      <c r="C8147" t="str">
        <f>_xlfn.XLOOKUP(B8147,
[1]sales_teams!$A$2:$A$100,
[1]sales_teams!$B$2:$B$100)</f>
        <v>Dustin Brinkmann</v>
      </c>
      <c r="D8147" t="str">
        <f>_xlfn.XLOOKUP($B8147,sales_teams!$A$2:$A$36,sales_teams!C$2:C$36)</f>
        <v>Central</v>
      </c>
      <c r="E8147" t="s">
        <v>39</v>
      </c>
      <c r="F8147" t="s">
        <v>91</v>
      </c>
      <c r="G8147" t="s">
        <v>12</v>
      </c>
      <c r="H8147" s="1">
        <v>43065</v>
      </c>
      <c r="I8147" s="1">
        <v>43076</v>
      </c>
      <c r="J8147">
        <v>3844</v>
      </c>
    </row>
    <row r="8148" spans="1:10" x14ac:dyDescent="0.3">
      <c r="A8148" t="s">
        <v>8279</v>
      </c>
      <c r="B8148" t="s">
        <v>164</v>
      </c>
      <c r="C8148" t="str">
        <f>_xlfn.XLOOKUP(B8148,
[1]sales_teams!$A$2:$A$100,
[1]sales_teams!$B$2:$B$100)</f>
        <v>Cara Losch</v>
      </c>
      <c r="D8148" t="str">
        <f>_xlfn.XLOOKUP($B8148,sales_teams!$A$2:$A$36,sales_teams!C$2:C$36)</f>
        <v>East</v>
      </c>
      <c r="E8148" t="s">
        <v>48</v>
      </c>
      <c r="F8148" t="s">
        <v>329</v>
      </c>
      <c r="G8148" t="s">
        <v>46</v>
      </c>
      <c r="H8148" s="1">
        <v>43065</v>
      </c>
      <c r="I8148" s="1">
        <v>43079</v>
      </c>
      <c r="J8148">
        <v>0</v>
      </c>
    </row>
    <row r="8149" spans="1:10" x14ac:dyDescent="0.3">
      <c r="A8149" t="s">
        <v>8280</v>
      </c>
      <c r="B8149" t="s">
        <v>164</v>
      </c>
      <c r="C8149" t="str">
        <f>_xlfn.XLOOKUP(B8149,
[1]sales_teams!$A$2:$A$100,
[1]sales_teams!$B$2:$B$100)</f>
        <v>Cara Losch</v>
      </c>
      <c r="D8149" t="str">
        <f>_xlfn.XLOOKUP($B8149,sales_teams!$A$2:$A$36,sales_teams!C$2:C$36)</f>
        <v>East</v>
      </c>
      <c r="E8149" t="s">
        <v>10</v>
      </c>
      <c r="F8149" t="s">
        <v>140</v>
      </c>
      <c r="G8149" t="s">
        <v>12</v>
      </c>
      <c r="H8149" s="1">
        <v>43065</v>
      </c>
      <c r="I8149" s="1">
        <v>43083</v>
      </c>
      <c r="J8149">
        <v>1204</v>
      </c>
    </row>
    <row r="8150" spans="1:10" x14ac:dyDescent="0.3">
      <c r="A8150" t="s">
        <v>8281</v>
      </c>
      <c r="B8150" t="s">
        <v>14</v>
      </c>
      <c r="C8150" t="str">
        <f>_xlfn.XLOOKUP(B8150,
[1]sales_teams!$A$2:$A$100,
[1]sales_teams!$B$2:$B$100)</f>
        <v>Melvin Marxen</v>
      </c>
      <c r="D8150" t="str">
        <f>_xlfn.XLOOKUP($B8150,sales_teams!$A$2:$A$36,sales_teams!C$2:C$36)</f>
        <v>Central</v>
      </c>
      <c r="E8150" t="s">
        <v>39</v>
      </c>
      <c r="F8150" t="s">
        <v>16</v>
      </c>
      <c r="G8150" t="s">
        <v>46</v>
      </c>
      <c r="H8150" s="1">
        <v>43065</v>
      </c>
      <c r="I8150" s="1">
        <v>43080</v>
      </c>
      <c r="J8150">
        <v>0</v>
      </c>
    </row>
    <row r="8151" spans="1:10" x14ac:dyDescent="0.3">
      <c r="A8151" t="s">
        <v>8282</v>
      </c>
      <c r="B8151" t="s">
        <v>44</v>
      </c>
      <c r="C8151" t="str">
        <f>_xlfn.XLOOKUP(B8151,
[1]sales_teams!$A$2:$A$100,
[1]sales_teams!$B$2:$B$100)</f>
        <v>Melvin Marxen</v>
      </c>
      <c r="D8151" t="str">
        <f>_xlfn.XLOOKUP($B8151,sales_teams!$A$2:$A$36,sales_teams!C$2:C$36)</f>
        <v>Central</v>
      </c>
      <c r="E8151" t="s">
        <v>20</v>
      </c>
      <c r="F8151" t="s">
        <v>111</v>
      </c>
      <c r="G8151" t="s">
        <v>12</v>
      </c>
      <c r="H8151" s="1">
        <v>43065</v>
      </c>
      <c r="I8151" s="1">
        <v>43076</v>
      </c>
      <c r="J8151">
        <v>562</v>
      </c>
    </row>
    <row r="8152" spans="1:10" x14ac:dyDescent="0.3">
      <c r="A8152" t="s">
        <v>8283</v>
      </c>
      <c r="B8152" t="s">
        <v>78</v>
      </c>
      <c r="C8152" t="str">
        <f>_xlfn.XLOOKUP(B8152,
[1]sales_teams!$A$2:$A$100,
[1]sales_teams!$B$2:$B$100)</f>
        <v>Summer Sewald</v>
      </c>
      <c r="D8152" t="str">
        <f>_xlfn.XLOOKUP($B8152,sales_teams!$A$2:$A$36,sales_teams!C$2:C$36)</f>
        <v>West</v>
      </c>
      <c r="E8152" t="s">
        <v>10</v>
      </c>
      <c r="F8152" t="s">
        <v>194</v>
      </c>
      <c r="G8152" t="s">
        <v>46</v>
      </c>
      <c r="H8152" s="1">
        <v>43065</v>
      </c>
      <c r="I8152" s="1">
        <v>43094</v>
      </c>
      <c r="J8152">
        <v>0</v>
      </c>
    </row>
    <row r="8153" spans="1:10" x14ac:dyDescent="0.3">
      <c r="A8153" t="s">
        <v>8284</v>
      </c>
      <c r="B8153" t="s">
        <v>78</v>
      </c>
      <c r="C8153" t="str">
        <f>_xlfn.XLOOKUP(B8153,
[1]sales_teams!$A$2:$A$100,
[1]sales_teams!$B$2:$B$100)</f>
        <v>Summer Sewald</v>
      </c>
      <c r="D8153" t="str">
        <f>_xlfn.XLOOKUP($B8153,sales_teams!$A$2:$A$36,sales_teams!C$2:C$36)</f>
        <v>West</v>
      </c>
      <c r="E8153" t="s">
        <v>20</v>
      </c>
      <c r="F8153" t="s">
        <v>49</v>
      </c>
      <c r="G8153" t="s">
        <v>12</v>
      </c>
      <c r="H8153" s="1">
        <v>43065</v>
      </c>
      <c r="I8153" s="1">
        <v>43070</v>
      </c>
      <c r="J8153">
        <v>460</v>
      </c>
    </row>
    <row r="8154" spans="1:10" x14ac:dyDescent="0.3">
      <c r="A8154" t="s">
        <v>8285</v>
      </c>
      <c r="B8154" t="s">
        <v>61</v>
      </c>
      <c r="C8154" t="str">
        <f>_xlfn.XLOOKUP(B8154,
[1]sales_teams!$A$2:$A$100,
[1]sales_teams!$B$2:$B$100)</f>
        <v>Dustin Brinkmann</v>
      </c>
      <c r="D8154" t="str">
        <f>_xlfn.XLOOKUP($B8154,sales_teams!$A$2:$A$36,sales_teams!C$2:C$36)</f>
        <v>Central</v>
      </c>
      <c r="E8154" t="s">
        <v>18</v>
      </c>
      <c r="F8154" t="s">
        <v>126</v>
      </c>
      <c r="G8154" t="s">
        <v>12</v>
      </c>
      <c r="H8154" s="1">
        <v>43065</v>
      </c>
      <c r="I8154" s="1">
        <v>43080</v>
      </c>
      <c r="J8154">
        <v>66</v>
      </c>
    </row>
    <row r="8155" spans="1:10" x14ac:dyDescent="0.3">
      <c r="A8155" t="s">
        <v>8286</v>
      </c>
      <c r="B8155" t="s">
        <v>61</v>
      </c>
      <c r="C8155" t="str">
        <f>_xlfn.XLOOKUP(B8155,
[1]sales_teams!$A$2:$A$100,
[1]sales_teams!$B$2:$B$100)</f>
        <v>Dustin Brinkmann</v>
      </c>
      <c r="D8155" t="str">
        <f>_xlfn.XLOOKUP($B8155,sales_teams!$A$2:$A$36,sales_teams!C$2:C$36)</f>
        <v>Central</v>
      </c>
      <c r="E8155" t="s">
        <v>39</v>
      </c>
      <c r="F8155" t="s">
        <v>11</v>
      </c>
      <c r="G8155" t="s">
        <v>12</v>
      </c>
      <c r="H8155" s="1">
        <v>43065</v>
      </c>
      <c r="I8155" s="1">
        <v>43081</v>
      </c>
      <c r="J8155">
        <v>3309</v>
      </c>
    </row>
    <row r="8156" spans="1:10" x14ac:dyDescent="0.3">
      <c r="A8156" t="s">
        <v>8287</v>
      </c>
      <c r="B8156" t="s">
        <v>73</v>
      </c>
      <c r="C8156" t="str">
        <f>_xlfn.XLOOKUP(B8156,
[1]sales_teams!$A$2:$A$100,
[1]sales_teams!$B$2:$B$100)</f>
        <v>Cara Losch</v>
      </c>
      <c r="D8156" t="str">
        <f>_xlfn.XLOOKUP($B8156,sales_teams!$A$2:$A$36,sales_teams!C$2:C$36)</f>
        <v>East</v>
      </c>
      <c r="E8156" t="s">
        <v>39</v>
      </c>
      <c r="F8156" t="s">
        <v>222</v>
      </c>
      <c r="G8156" t="s">
        <v>46</v>
      </c>
      <c r="H8156" s="1">
        <v>43065</v>
      </c>
      <c r="I8156" s="1">
        <v>43066</v>
      </c>
      <c r="J8156">
        <v>0</v>
      </c>
    </row>
    <row r="8157" spans="1:10" x14ac:dyDescent="0.3">
      <c r="A8157" t="s">
        <v>8288</v>
      </c>
      <c r="B8157" t="s">
        <v>14</v>
      </c>
      <c r="C8157" t="str">
        <f>_xlfn.XLOOKUP(B8157,
[1]sales_teams!$A$2:$A$100,
[1]sales_teams!$B$2:$B$100)</f>
        <v>Melvin Marxen</v>
      </c>
      <c r="D8157" t="str">
        <f>_xlfn.XLOOKUP($B8157,sales_teams!$A$2:$A$36,sales_teams!C$2:C$36)</f>
        <v>Central</v>
      </c>
      <c r="E8157" t="s">
        <v>15</v>
      </c>
      <c r="F8157" t="s">
        <v>45</v>
      </c>
      <c r="G8157" t="s">
        <v>12</v>
      </c>
      <c r="H8157" s="1">
        <v>43066</v>
      </c>
      <c r="I8157" s="1">
        <v>43069</v>
      </c>
      <c r="J8157">
        <v>4888</v>
      </c>
    </row>
    <row r="8158" spans="1:10" x14ac:dyDescent="0.3">
      <c r="A8158" t="s">
        <v>8289</v>
      </c>
      <c r="B8158" t="s">
        <v>54</v>
      </c>
      <c r="C8158" t="str">
        <f>_xlfn.XLOOKUP(B8158,
[1]sales_teams!$A$2:$A$100,
[1]sales_teams!$B$2:$B$100)</f>
        <v>Celia Rouche</v>
      </c>
      <c r="D8158" t="str">
        <f>_xlfn.XLOOKUP($B8158,sales_teams!$A$2:$A$36,sales_teams!C$2:C$36)</f>
        <v>West</v>
      </c>
      <c r="E8158" t="s">
        <v>10</v>
      </c>
      <c r="F8158" t="s">
        <v>30</v>
      </c>
      <c r="G8158" t="s">
        <v>12</v>
      </c>
      <c r="H8158" s="1">
        <v>43066</v>
      </c>
      <c r="I8158" s="1">
        <v>43081</v>
      </c>
      <c r="J8158">
        <v>1192</v>
      </c>
    </row>
    <row r="8159" spans="1:10" x14ac:dyDescent="0.3">
      <c r="A8159" t="s">
        <v>8290</v>
      </c>
      <c r="B8159" t="s">
        <v>97</v>
      </c>
      <c r="C8159" t="str">
        <f>_xlfn.XLOOKUP(B8159,
[1]sales_teams!$A$2:$A$100,
[1]sales_teams!$B$2:$B$100)</f>
        <v>Rocco Neubert</v>
      </c>
      <c r="D8159" t="str">
        <f>_xlfn.XLOOKUP($B8159,sales_teams!$A$2:$A$36,sales_teams!C$2:C$36)</f>
        <v>East</v>
      </c>
      <c r="E8159" t="s">
        <v>39</v>
      </c>
      <c r="F8159" t="s">
        <v>745</v>
      </c>
      <c r="G8159" t="s">
        <v>46</v>
      </c>
      <c r="H8159" s="1">
        <v>43066</v>
      </c>
      <c r="I8159" s="1">
        <v>43081</v>
      </c>
      <c r="J8159">
        <v>0</v>
      </c>
    </row>
    <row r="8160" spans="1:10" x14ac:dyDescent="0.3">
      <c r="A8160" t="s">
        <v>8291</v>
      </c>
      <c r="B8160" t="s">
        <v>57</v>
      </c>
      <c r="C8160" t="str">
        <f>_xlfn.XLOOKUP(B8160,
[1]sales_teams!$A$2:$A$100,
[1]sales_teams!$B$2:$B$100)</f>
        <v>Celia Rouche</v>
      </c>
      <c r="D8160" t="str">
        <f>_xlfn.XLOOKUP($B8160,sales_teams!$A$2:$A$36,sales_teams!C$2:C$36)</f>
        <v>West</v>
      </c>
      <c r="E8160" t="s">
        <v>18</v>
      </c>
      <c r="G8160" t="s">
        <v>40</v>
      </c>
      <c r="H8160" s="1">
        <v>43066</v>
      </c>
    </row>
    <row r="8161" spans="1:10" x14ac:dyDescent="0.3">
      <c r="A8161" t="s">
        <v>8292</v>
      </c>
      <c r="B8161" t="s">
        <v>23</v>
      </c>
      <c r="C8161" t="str">
        <f>_xlfn.XLOOKUP(B8161,
[1]sales_teams!$A$2:$A$100,
[1]sales_teams!$B$2:$B$100)</f>
        <v>Summer Sewald</v>
      </c>
      <c r="D8161" t="str">
        <f>_xlfn.XLOOKUP($B8161,sales_teams!$A$2:$A$36,sales_teams!C$2:C$36)</f>
        <v>West</v>
      </c>
      <c r="E8161" t="s">
        <v>20</v>
      </c>
      <c r="F8161" t="s">
        <v>318</v>
      </c>
      <c r="G8161" t="s">
        <v>40</v>
      </c>
      <c r="H8161" s="1">
        <v>43066</v>
      </c>
    </row>
    <row r="8162" spans="1:10" x14ac:dyDescent="0.3">
      <c r="A8162" t="s">
        <v>8293</v>
      </c>
      <c r="B8162" t="s">
        <v>142</v>
      </c>
      <c r="C8162" t="str">
        <f>_xlfn.XLOOKUP(B8162,
[1]sales_teams!$A$2:$A$100,
[1]sales_teams!$B$2:$B$100)</f>
        <v>Rocco Neubert</v>
      </c>
      <c r="D8162" t="str">
        <f>_xlfn.XLOOKUP($B8162,sales_teams!$A$2:$A$36,sales_teams!C$2:C$36)</f>
        <v>East</v>
      </c>
      <c r="E8162" t="s">
        <v>10</v>
      </c>
      <c r="F8162" t="s">
        <v>237</v>
      </c>
      <c r="G8162" t="s">
        <v>12</v>
      </c>
      <c r="H8162" s="1">
        <v>43067</v>
      </c>
      <c r="I8162" s="1">
        <v>43078</v>
      </c>
      <c r="J8162">
        <v>1131</v>
      </c>
    </row>
    <row r="8163" spans="1:10" x14ac:dyDescent="0.3">
      <c r="A8163" t="s">
        <v>8294</v>
      </c>
      <c r="B8163" t="s">
        <v>54</v>
      </c>
      <c r="C8163" t="str">
        <f>_xlfn.XLOOKUP(B8163,
[1]sales_teams!$A$2:$A$100,
[1]sales_teams!$B$2:$B$100)</f>
        <v>Celia Rouche</v>
      </c>
      <c r="D8163" t="str">
        <f>_xlfn.XLOOKUP($B8163,sales_teams!$A$2:$A$36,sales_teams!C$2:C$36)</f>
        <v>West</v>
      </c>
      <c r="E8163" t="s">
        <v>48</v>
      </c>
      <c r="F8163" t="s">
        <v>148</v>
      </c>
      <c r="G8163" t="s">
        <v>12</v>
      </c>
      <c r="H8163" s="1">
        <v>43067</v>
      </c>
      <c r="I8163" s="1">
        <v>43081</v>
      </c>
      <c r="J8163">
        <v>5702</v>
      </c>
    </row>
    <row r="8164" spans="1:10" x14ac:dyDescent="0.3">
      <c r="A8164" t="s">
        <v>8295</v>
      </c>
      <c r="B8164" t="s">
        <v>78</v>
      </c>
      <c r="C8164" t="str">
        <f>_xlfn.XLOOKUP(B8164,
[1]sales_teams!$A$2:$A$100,
[1]sales_teams!$B$2:$B$100)</f>
        <v>Summer Sewald</v>
      </c>
      <c r="D8164" t="str">
        <f>_xlfn.XLOOKUP($B8164,sales_teams!$A$2:$A$36,sales_teams!C$2:C$36)</f>
        <v>West</v>
      </c>
      <c r="E8164" t="s">
        <v>20</v>
      </c>
      <c r="F8164" t="s">
        <v>33</v>
      </c>
      <c r="G8164" t="s">
        <v>12</v>
      </c>
      <c r="H8164" s="1">
        <v>43067</v>
      </c>
      <c r="I8164" s="1">
        <v>43082</v>
      </c>
      <c r="J8164">
        <v>563</v>
      </c>
    </row>
    <row r="8165" spans="1:10" x14ac:dyDescent="0.3">
      <c r="A8165" t="s">
        <v>8296</v>
      </c>
      <c r="B8165" t="s">
        <v>51</v>
      </c>
      <c r="C8165" t="str">
        <f>_xlfn.XLOOKUP(B8165,
[1]sales_teams!$A$2:$A$100,
[1]sales_teams!$B$2:$B$100)</f>
        <v>Summer Sewald</v>
      </c>
      <c r="D8165" t="str">
        <f>_xlfn.XLOOKUP($B8165,sales_teams!$A$2:$A$36,sales_teams!C$2:C$36)</f>
        <v>West</v>
      </c>
      <c r="E8165" t="s">
        <v>48</v>
      </c>
      <c r="F8165" t="s">
        <v>93</v>
      </c>
      <c r="G8165" t="s">
        <v>12</v>
      </c>
      <c r="H8165" s="1">
        <v>43067</v>
      </c>
      <c r="I8165" s="1">
        <v>43080</v>
      </c>
      <c r="J8165">
        <v>5886</v>
      </c>
    </row>
    <row r="8166" spans="1:10" x14ac:dyDescent="0.3">
      <c r="A8166" t="s">
        <v>8297</v>
      </c>
      <c r="B8166" t="s">
        <v>35</v>
      </c>
      <c r="C8166" t="str">
        <f>_xlfn.XLOOKUP(B8166,
[1]sales_teams!$A$2:$A$100,
[1]sales_teams!$B$2:$B$100)</f>
        <v>Melvin Marxen</v>
      </c>
      <c r="D8166" t="str">
        <f>_xlfn.XLOOKUP($B8166,sales_teams!$A$2:$A$36,sales_teams!C$2:C$36)</f>
        <v>Central</v>
      </c>
      <c r="E8166" t="s">
        <v>20</v>
      </c>
      <c r="F8166" t="s">
        <v>207</v>
      </c>
      <c r="G8166" t="s">
        <v>46</v>
      </c>
      <c r="H8166" s="1">
        <v>43067</v>
      </c>
      <c r="I8166" s="1">
        <v>43074</v>
      </c>
      <c r="J8166">
        <v>0</v>
      </c>
    </row>
    <row r="8167" spans="1:10" x14ac:dyDescent="0.3">
      <c r="A8167" t="s">
        <v>8298</v>
      </c>
      <c r="B8167" t="s">
        <v>29</v>
      </c>
      <c r="C8167" t="str">
        <f>_xlfn.XLOOKUP(B8167,
[1]sales_teams!$A$2:$A$100,
[1]sales_teams!$B$2:$B$100)</f>
        <v>Celia Rouche</v>
      </c>
      <c r="D8167" t="str">
        <f>_xlfn.XLOOKUP($B8167,sales_teams!$A$2:$A$36,sales_teams!C$2:C$36)</f>
        <v>West</v>
      </c>
      <c r="E8167" t="s">
        <v>39</v>
      </c>
      <c r="F8167" t="s">
        <v>24</v>
      </c>
      <c r="G8167" t="s">
        <v>46</v>
      </c>
      <c r="H8167" s="1">
        <v>43067</v>
      </c>
      <c r="I8167" s="1">
        <v>43071</v>
      </c>
      <c r="J8167">
        <v>0</v>
      </c>
    </row>
    <row r="8168" spans="1:10" x14ac:dyDescent="0.3">
      <c r="A8168" t="s">
        <v>8299</v>
      </c>
      <c r="B8168" t="s">
        <v>23</v>
      </c>
      <c r="C8168" t="str">
        <f>_xlfn.XLOOKUP(B8168,
[1]sales_teams!$A$2:$A$100,
[1]sales_teams!$B$2:$B$100)</f>
        <v>Summer Sewald</v>
      </c>
      <c r="D8168" t="str">
        <f>_xlfn.XLOOKUP($B8168,sales_teams!$A$2:$A$36,sales_teams!C$2:C$36)</f>
        <v>West</v>
      </c>
      <c r="E8168" t="s">
        <v>10</v>
      </c>
      <c r="G8168" t="s">
        <v>40</v>
      </c>
      <c r="H8168" s="1">
        <v>43067</v>
      </c>
    </row>
    <row r="8169" spans="1:10" x14ac:dyDescent="0.3">
      <c r="A8169" t="s">
        <v>8300</v>
      </c>
      <c r="B8169" t="s">
        <v>23</v>
      </c>
      <c r="C8169" t="str">
        <f>_xlfn.XLOOKUP(B8169,
[1]sales_teams!$A$2:$A$100,
[1]sales_teams!$B$2:$B$100)</f>
        <v>Summer Sewald</v>
      </c>
      <c r="D8169" t="str">
        <f>_xlfn.XLOOKUP($B8169,sales_teams!$A$2:$A$36,sales_teams!C$2:C$36)</f>
        <v>West</v>
      </c>
      <c r="E8169" t="s">
        <v>20</v>
      </c>
      <c r="F8169" t="s">
        <v>68</v>
      </c>
      <c r="G8169" t="s">
        <v>12</v>
      </c>
      <c r="H8169" s="1">
        <v>43067</v>
      </c>
      <c r="I8169" s="1">
        <v>43073</v>
      </c>
      <c r="J8169">
        <v>601</v>
      </c>
    </row>
    <row r="8170" spans="1:10" x14ac:dyDescent="0.3">
      <c r="A8170" t="s">
        <v>8301</v>
      </c>
      <c r="B8170" t="s">
        <v>67</v>
      </c>
      <c r="C8170" t="str">
        <f>_xlfn.XLOOKUP(B8170,
[1]sales_teams!$A$2:$A$100,
[1]sales_teams!$B$2:$B$100)</f>
        <v>Celia Rouche</v>
      </c>
      <c r="D8170" t="str">
        <f>_xlfn.XLOOKUP($B8170,sales_teams!$A$2:$A$36,sales_teams!C$2:C$36)</f>
        <v>West</v>
      </c>
      <c r="E8170" t="s">
        <v>18</v>
      </c>
      <c r="F8170" t="s">
        <v>52</v>
      </c>
      <c r="G8170" t="s">
        <v>12</v>
      </c>
      <c r="H8170" s="1">
        <v>43068</v>
      </c>
      <c r="I8170" s="1">
        <v>43087</v>
      </c>
      <c r="J8170">
        <v>58</v>
      </c>
    </row>
    <row r="8171" spans="1:10" x14ac:dyDescent="0.3">
      <c r="A8171" t="s">
        <v>8302</v>
      </c>
      <c r="B8171" t="s">
        <v>54</v>
      </c>
      <c r="C8171" t="str">
        <f>_xlfn.XLOOKUP(B8171,
[1]sales_teams!$A$2:$A$100,
[1]sales_teams!$B$2:$B$100)</f>
        <v>Celia Rouche</v>
      </c>
      <c r="D8171" t="str">
        <f>_xlfn.XLOOKUP($B8171,sales_teams!$A$2:$A$36,sales_teams!C$2:C$36)</f>
        <v>West</v>
      </c>
      <c r="E8171" t="s">
        <v>18</v>
      </c>
      <c r="F8171" t="s">
        <v>313</v>
      </c>
      <c r="G8171" t="s">
        <v>12</v>
      </c>
      <c r="H8171" s="1">
        <v>43068</v>
      </c>
      <c r="I8171" s="1">
        <v>43083</v>
      </c>
      <c r="J8171">
        <v>58</v>
      </c>
    </row>
    <row r="8172" spans="1:10" x14ac:dyDescent="0.3">
      <c r="A8172" t="s">
        <v>8303</v>
      </c>
      <c r="B8172" t="s">
        <v>54</v>
      </c>
      <c r="C8172" t="str">
        <f>_xlfn.XLOOKUP(B8172,
[1]sales_teams!$A$2:$A$100,
[1]sales_teams!$B$2:$B$100)</f>
        <v>Celia Rouche</v>
      </c>
      <c r="D8172" t="str">
        <f>_xlfn.XLOOKUP($B8172,sales_teams!$A$2:$A$36,sales_teams!C$2:C$36)</f>
        <v>West</v>
      </c>
      <c r="E8172" t="s">
        <v>39</v>
      </c>
      <c r="F8172" t="s">
        <v>55</v>
      </c>
      <c r="G8172" t="s">
        <v>12</v>
      </c>
      <c r="H8172" s="1">
        <v>43068</v>
      </c>
      <c r="I8172" s="1">
        <v>43083</v>
      </c>
      <c r="J8172">
        <v>3285</v>
      </c>
    </row>
    <row r="8173" spans="1:10" x14ac:dyDescent="0.3">
      <c r="A8173" t="s">
        <v>8304</v>
      </c>
      <c r="B8173" t="s">
        <v>97</v>
      </c>
      <c r="C8173" t="str">
        <f>_xlfn.XLOOKUP(B8173,
[1]sales_teams!$A$2:$A$100,
[1]sales_teams!$B$2:$B$100)</f>
        <v>Rocco Neubert</v>
      </c>
      <c r="D8173" t="str">
        <f>_xlfn.XLOOKUP($B8173,sales_teams!$A$2:$A$36,sales_teams!C$2:C$36)</f>
        <v>East</v>
      </c>
      <c r="E8173" t="s">
        <v>39</v>
      </c>
      <c r="F8173" t="s">
        <v>215</v>
      </c>
      <c r="G8173" t="s">
        <v>12</v>
      </c>
      <c r="H8173" s="1">
        <v>43068</v>
      </c>
      <c r="I8173" s="1">
        <v>43077</v>
      </c>
      <c r="J8173">
        <v>3494</v>
      </c>
    </row>
    <row r="8174" spans="1:10" x14ac:dyDescent="0.3">
      <c r="A8174" t="s">
        <v>8305</v>
      </c>
      <c r="B8174" t="s">
        <v>164</v>
      </c>
      <c r="C8174" t="str">
        <f>_xlfn.XLOOKUP(B8174,
[1]sales_teams!$A$2:$A$100,
[1]sales_teams!$B$2:$B$100)</f>
        <v>Cara Losch</v>
      </c>
      <c r="D8174" t="str">
        <f>_xlfn.XLOOKUP($B8174,sales_teams!$A$2:$A$36,sales_teams!C$2:C$36)</f>
        <v>East</v>
      </c>
      <c r="E8174" t="s">
        <v>48</v>
      </c>
      <c r="G8174" t="s">
        <v>40</v>
      </c>
      <c r="H8174" s="1">
        <v>43069</v>
      </c>
    </row>
    <row r="8175" spans="1:10" x14ac:dyDescent="0.3">
      <c r="A8175" t="s">
        <v>8306</v>
      </c>
      <c r="B8175" t="s">
        <v>14</v>
      </c>
      <c r="C8175" t="str">
        <f>_xlfn.XLOOKUP(B8175,
[1]sales_teams!$A$2:$A$100,
[1]sales_teams!$B$2:$B$100)</f>
        <v>Melvin Marxen</v>
      </c>
      <c r="D8175" t="str">
        <f>_xlfn.XLOOKUP($B8175,sales_teams!$A$2:$A$36,sales_teams!C$2:C$36)</f>
        <v>Central</v>
      </c>
      <c r="E8175" t="s">
        <v>39</v>
      </c>
      <c r="F8175" t="s">
        <v>129</v>
      </c>
      <c r="G8175" t="s">
        <v>46</v>
      </c>
      <c r="H8175" s="1">
        <v>43069</v>
      </c>
      <c r="I8175" s="1">
        <v>43083</v>
      </c>
      <c r="J8175">
        <v>0</v>
      </c>
    </row>
    <row r="8176" spans="1:10" x14ac:dyDescent="0.3">
      <c r="A8176" t="s">
        <v>8307</v>
      </c>
      <c r="B8176" t="s">
        <v>142</v>
      </c>
      <c r="C8176" t="str">
        <f>_xlfn.XLOOKUP(B8176,
[1]sales_teams!$A$2:$A$100,
[1]sales_teams!$B$2:$B$100)</f>
        <v>Rocco Neubert</v>
      </c>
      <c r="D8176" t="str">
        <f>_xlfn.XLOOKUP($B8176,sales_teams!$A$2:$A$36,sales_teams!C$2:C$36)</f>
        <v>East</v>
      </c>
      <c r="E8176" t="s">
        <v>48</v>
      </c>
      <c r="F8176" t="s">
        <v>240</v>
      </c>
      <c r="G8176" t="s">
        <v>12</v>
      </c>
      <c r="H8176" s="1">
        <v>43069</v>
      </c>
      <c r="I8176" s="1">
        <v>43083</v>
      </c>
      <c r="J8176">
        <v>5204</v>
      </c>
    </row>
    <row r="8177" spans="1:10" x14ac:dyDescent="0.3">
      <c r="A8177" t="s">
        <v>8308</v>
      </c>
      <c r="B8177" t="s">
        <v>105</v>
      </c>
      <c r="C8177" t="str">
        <f>_xlfn.XLOOKUP(B8177,
[1]sales_teams!$A$2:$A$100,
[1]sales_teams!$B$2:$B$100)</f>
        <v>Cara Losch</v>
      </c>
      <c r="D8177" t="str">
        <f>_xlfn.XLOOKUP($B8177,sales_teams!$A$2:$A$36,sales_teams!C$2:C$36)</f>
        <v>East</v>
      </c>
      <c r="E8177" t="s">
        <v>20</v>
      </c>
      <c r="F8177" t="s">
        <v>103</v>
      </c>
      <c r="G8177" t="s">
        <v>12</v>
      </c>
      <c r="H8177" s="1">
        <v>43069</v>
      </c>
      <c r="I8177" s="1">
        <v>43084</v>
      </c>
      <c r="J8177">
        <v>579</v>
      </c>
    </row>
    <row r="8178" spans="1:10" x14ac:dyDescent="0.3">
      <c r="A8178" t="s">
        <v>8309</v>
      </c>
      <c r="B8178" t="s">
        <v>95</v>
      </c>
      <c r="C8178" t="str">
        <f>_xlfn.XLOOKUP(B8178,
[1]sales_teams!$A$2:$A$100,
[1]sales_teams!$B$2:$B$100)</f>
        <v>Summer Sewald</v>
      </c>
      <c r="D8178" t="str">
        <f>_xlfn.XLOOKUP($B8178,sales_teams!$A$2:$A$36,sales_teams!C$2:C$36)</f>
        <v>West</v>
      </c>
      <c r="E8178" t="s">
        <v>10</v>
      </c>
      <c r="F8178" t="s">
        <v>33</v>
      </c>
      <c r="G8178" t="s">
        <v>12</v>
      </c>
      <c r="H8178" s="1">
        <v>43069</v>
      </c>
      <c r="I8178" s="1">
        <v>43083</v>
      </c>
      <c r="J8178">
        <v>1195</v>
      </c>
    </row>
    <row r="8179" spans="1:10" x14ac:dyDescent="0.3">
      <c r="A8179" t="s">
        <v>8310</v>
      </c>
      <c r="B8179" t="s">
        <v>133</v>
      </c>
      <c r="C8179" t="str">
        <f>_xlfn.XLOOKUP(B8179,
[1]sales_teams!$A$2:$A$100,
[1]sales_teams!$B$2:$B$100)</f>
        <v>Dustin Brinkmann</v>
      </c>
      <c r="D8179" t="str">
        <f>_xlfn.XLOOKUP($B8179,sales_teams!$A$2:$A$36,sales_teams!C$2:C$36)</f>
        <v>Central</v>
      </c>
      <c r="E8179" t="s">
        <v>48</v>
      </c>
      <c r="F8179" t="s">
        <v>492</v>
      </c>
      <c r="G8179" t="s">
        <v>12</v>
      </c>
      <c r="H8179" s="1">
        <v>43069</v>
      </c>
      <c r="I8179" s="1">
        <v>43098</v>
      </c>
      <c r="J8179">
        <v>6340</v>
      </c>
    </row>
    <row r="8180" spans="1:10" x14ac:dyDescent="0.3">
      <c r="A8180" t="s">
        <v>8311</v>
      </c>
      <c r="B8180" t="s">
        <v>102</v>
      </c>
      <c r="C8180" t="str">
        <f>_xlfn.XLOOKUP(B8180,
[1]sales_teams!$A$2:$A$100,
[1]sales_teams!$B$2:$B$100)</f>
        <v>Cara Losch</v>
      </c>
      <c r="D8180" t="str">
        <f>_xlfn.XLOOKUP($B8180,sales_teams!$A$2:$A$36,sales_teams!C$2:C$36)</f>
        <v>East</v>
      </c>
      <c r="E8180" t="s">
        <v>10</v>
      </c>
      <c r="F8180" t="s">
        <v>300</v>
      </c>
      <c r="G8180" t="s">
        <v>12</v>
      </c>
      <c r="H8180" s="1">
        <v>43069</v>
      </c>
      <c r="I8180" s="1">
        <v>43088</v>
      </c>
      <c r="J8180">
        <v>1179</v>
      </c>
    </row>
    <row r="8181" spans="1:10" x14ac:dyDescent="0.3">
      <c r="A8181" t="s">
        <v>8312</v>
      </c>
      <c r="B8181" t="s">
        <v>26</v>
      </c>
      <c r="C8181" t="str">
        <f>_xlfn.XLOOKUP(B8181,
[1]sales_teams!$A$2:$A$100,
[1]sales_teams!$B$2:$B$100)</f>
        <v>Dustin Brinkmann</v>
      </c>
      <c r="D8181" t="str">
        <f>_xlfn.XLOOKUP($B8181,sales_teams!$A$2:$A$36,sales_teams!C$2:C$36)</f>
        <v>Central</v>
      </c>
      <c r="E8181" t="s">
        <v>10</v>
      </c>
      <c r="F8181" t="s">
        <v>218</v>
      </c>
      <c r="G8181" t="s">
        <v>12</v>
      </c>
      <c r="H8181" s="1">
        <v>43070</v>
      </c>
      <c r="I8181" s="1">
        <v>43091</v>
      </c>
      <c r="J8181">
        <v>1243</v>
      </c>
    </row>
    <row r="8182" spans="1:10" x14ac:dyDescent="0.3">
      <c r="A8182" t="s">
        <v>8313</v>
      </c>
      <c r="B8182" t="s">
        <v>67</v>
      </c>
      <c r="C8182" t="str">
        <f>_xlfn.XLOOKUP(B8182,
[1]sales_teams!$A$2:$A$100,
[1]sales_teams!$B$2:$B$100)</f>
        <v>Celia Rouche</v>
      </c>
      <c r="D8182" t="str">
        <f>_xlfn.XLOOKUP($B8182,sales_teams!$A$2:$A$36,sales_teams!C$2:C$36)</f>
        <v>West</v>
      </c>
      <c r="E8182" t="s">
        <v>10</v>
      </c>
      <c r="F8182" t="s">
        <v>79</v>
      </c>
      <c r="G8182" t="s">
        <v>12</v>
      </c>
      <c r="H8182" s="1">
        <v>43070</v>
      </c>
      <c r="I8182" s="1">
        <v>43084</v>
      </c>
      <c r="J8182">
        <v>953</v>
      </c>
    </row>
    <row r="8183" spans="1:10" x14ac:dyDescent="0.3">
      <c r="A8183" t="s">
        <v>8314</v>
      </c>
      <c r="B8183" t="s">
        <v>78</v>
      </c>
      <c r="C8183" t="str">
        <f>_xlfn.XLOOKUP(B8183,
[1]sales_teams!$A$2:$A$100,
[1]sales_teams!$B$2:$B$100)</f>
        <v>Summer Sewald</v>
      </c>
      <c r="D8183" t="str">
        <f>_xlfn.XLOOKUP($B8183,sales_teams!$A$2:$A$36,sales_teams!C$2:C$36)</f>
        <v>West</v>
      </c>
      <c r="E8183" t="s">
        <v>20</v>
      </c>
      <c r="G8183" t="s">
        <v>40</v>
      </c>
      <c r="H8183" s="1">
        <v>43070</v>
      </c>
    </row>
    <row r="8184" spans="1:10" x14ac:dyDescent="0.3">
      <c r="A8184" t="s">
        <v>8315</v>
      </c>
      <c r="B8184" t="s">
        <v>9</v>
      </c>
      <c r="C8184" t="str">
        <f>_xlfn.XLOOKUP(B8184,
[1]sales_teams!$A$2:$A$100,
[1]sales_teams!$B$2:$B$100)</f>
        <v>Dustin Brinkmann</v>
      </c>
      <c r="D8184" t="str">
        <f>_xlfn.XLOOKUP($B8184,sales_teams!$A$2:$A$36,sales_teams!C$2:C$36)</f>
        <v>Central</v>
      </c>
      <c r="E8184" t="s">
        <v>48</v>
      </c>
      <c r="F8184" t="s">
        <v>45</v>
      </c>
      <c r="G8184" t="s">
        <v>12</v>
      </c>
      <c r="H8184" s="1">
        <v>43070</v>
      </c>
      <c r="I8184" s="1">
        <v>43078</v>
      </c>
      <c r="J8184">
        <v>5619</v>
      </c>
    </row>
    <row r="8185" spans="1:10" x14ac:dyDescent="0.3">
      <c r="A8185" t="s">
        <v>8316</v>
      </c>
      <c r="B8185" t="s">
        <v>142</v>
      </c>
      <c r="C8185" t="str">
        <f>_xlfn.XLOOKUP(B8185,
[1]sales_teams!$A$2:$A$100,
[1]sales_teams!$B$2:$B$100)</f>
        <v>Rocco Neubert</v>
      </c>
      <c r="D8185" t="str">
        <f>_xlfn.XLOOKUP($B8185,sales_teams!$A$2:$A$36,sales_teams!C$2:C$36)</f>
        <v>East</v>
      </c>
      <c r="E8185" t="s">
        <v>10</v>
      </c>
      <c r="F8185" t="s">
        <v>204</v>
      </c>
      <c r="G8185" t="s">
        <v>46</v>
      </c>
      <c r="H8185" s="1">
        <v>43071</v>
      </c>
      <c r="I8185" s="1">
        <v>43081</v>
      </c>
      <c r="J8185">
        <v>0</v>
      </c>
    </row>
    <row r="8186" spans="1:10" x14ac:dyDescent="0.3">
      <c r="A8186" t="s">
        <v>8317</v>
      </c>
      <c r="B8186" t="s">
        <v>142</v>
      </c>
      <c r="C8186" t="str">
        <f>_xlfn.XLOOKUP(B8186,
[1]sales_teams!$A$2:$A$100,
[1]sales_teams!$B$2:$B$100)</f>
        <v>Rocco Neubert</v>
      </c>
      <c r="D8186" t="str">
        <f>_xlfn.XLOOKUP($B8186,sales_teams!$A$2:$A$36,sales_teams!C$2:C$36)</f>
        <v>East</v>
      </c>
      <c r="E8186" t="s">
        <v>10</v>
      </c>
      <c r="F8186" t="s">
        <v>410</v>
      </c>
      <c r="G8186" t="s">
        <v>46</v>
      </c>
      <c r="H8186" s="1">
        <v>43071</v>
      </c>
      <c r="I8186" s="1">
        <v>43080</v>
      </c>
      <c r="J8186">
        <v>0</v>
      </c>
    </row>
    <row r="8187" spans="1:10" x14ac:dyDescent="0.3">
      <c r="A8187" t="s">
        <v>8318</v>
      </c>
      <c r="B8187" t="s">
        <v>54</v>
      </c>
      <c r="C8187" t="str">
        <f>_xlfn.XLOOKUP(B8187,
[1]sales_teams!$A$2:$A$100,
[1]sales_teams!$B$2:$B$100)</f>
        <v>Celia Rouche</v>
      </c>
      <c r="D8187" t="str">
        <f>_xlfn.XLOOKUP($B8187,sales_teams!$A$2:$A$36,sales_teams!C$2:C$36)</f>
        <v>West</v>
      </c>
      <c r="E8187" t="s">
        <v>39</v>
      </c>
      <c r="F8187" t="s">
        <v>124</v>
      </c>
      <c r="G8187" t="s">
        <v>12</v>
      </c>
      <c r="H8187" s="1">
        <v>43071</v>
      </c>
      <c r="I8187" s="1">
        <v>43089</v>
      </c>
      <c r="J8187">
        <v>3547</v>
      </c>
    </row>
    <row r="8188" spans="1:10" x14ac:dyDescent="0.3">
      <c r="A8188" t="s">
        <v>8319</v>
      </c>
      <c r="B8188" t="s">
        <v>78</v>
      </c>
      <c r="C8188" t="str">
        <f>_xlfn.XLOOKUP(B8188,
[1]sales_teams!$A$2:$A$100,
[1]sales_teams!$B$2:$B$100)</f>
        <v>Summer Sewald</v>
      </c>
      <c r="D8188" t="str">
        <f>_xlfn.XLOOKUP($B8188,sales_teams!$A$2:$A$36,sales_teams!C$2:C$36)</f>
        <v>West</v>
      </c>
      <c r="E8188" t="s">
        <v>15</v>
      </c>
      <c r="F8188" t="s">
        <v>100</v>
      </c>
      <c r="G8188" t="s">
        <v>12</v>
      </c>
      <c r="H8188" s="1">
        <v>43071</v>
      </c>
      <c r="I8188" s="1">
        <v>43084</v>
      </c>
      <c r="J8188">
        <v>4899</v>
      </c>
    </row>
    <row r="8189" spans="1:10" x14ac:dyDescent="0.3">
      <c r="A8189" t="s">
        <v>8320</v>
      </c>
      <c r="B8189" t="s">
        <v>95</v>
      </c>
      <c r="C8189" t="str">
        <f>_xlfn.XLOOKUP(B8189,
[1]sales_teams!$A$2:$A$100,
[1]sales_teams!$B$2:$B$100)</f>
        <v>Summer Sewald</v>
      </c>
      <c r="D8189" t="str">
        <f>_xlfn.XLOOKUP($B8189,sales_teams!$A$2:$A$36,sales_teams!C$2:C$36)</f>
        <v>West</v>
      </c>
      <c r="E8189" t="s">
        <v>10</v>
      </c>
      <c r="F8189" t="s">
        <v>273</v>
      </c>
      <c r="G8189" t="s">
        <v>12</v>
      </c>
      <c r="H8189" s="1">
        <v>43071</v>
      </c>
      <c r="I8189" s="1">
        <v>43089</v>
      </c>
      <c r="J8189">
        <v>993</v>
      </c>
    </row>
    <row r="8190" spans="1:10" x14ac:dyDescent="0.3">
      <c r="A8190" t="s">
        <v>8321</v>
      </c>
      <c r="B8190" t="s">
        <v>38</v>
      </c>
      <c r="C8190" t="str">
        <f>_xlfn.XLOOKUP(B8190,
[1]sales_teams!$A$2:$A$100,
[1]sales_teams!$B$2:$B$100)</f>
        <v>Summer Sewald</v>
      </c>
      <c r="D8190" t="str">
        <f>_xlfn.XLOOKUP($B8190,sales_teams!$A$2:$A$36,sales_teams!C$2:C$36)</f>
        <v>West</v>
      </c>
      <c r="E8190" t="s">
        <v>18</v>
      </c>
      <c r="F8190" t="s">
        <v>224</v>
      </c>
      <c r="G8190" t="s">
        <v>12</v>
      </c>
      <c r="H8190" s="1">
        <v>43072</v>
      </c>
      <c r="I8190" s="1">
        <v>43079</v>
      </c>
      <c r="J8190">
        <v>54</v>
      </c>
    </row>
    <row r="8191" spans="1:10" x14ac:dyDescent="0.3">
      <c r="A8191" t="s">
        <v>8322</v>
      </c>
      <c r="B8191" t="s">
        <v>252</v>
      </c>
      <c r="C8191" t="str">
        <f>_xlfn.XLOOKUP(B8191,
[1]sales_teams!$A$2:$A$100,
[1]sales_teams!$B$2:$B$100)</f>
        <v>Melvin Marxen</v>
      </c>
      <c r="D8191" t="str">
        <f>_xlfn.XLOOKUP($B8191,sales_teams!$A$2:$A$36,sales_teams!C$2:C$36)</f>
        <v>Central</v>
      </c>
      <c r="E8191" t="s">
        <v>10</v>
      </c>
      <c r="F8191" t="s">
        <v>21</v>
      </c>
      <c r="G8191" t="s">
        <v>46</v>
      </c>
      <c r="H8191" s="1">
        <v>43072</v>
      </c>
      <c r="I8191" s="1">
        <v>43089</v>
      </c>
      <c r="J8191">
        <v>0</v>
      </c>
    </row>
    <row r="8192" spans="1:10" x14ac:dyDescent="0.3">
      <c r="A8192" t="s">
        <v>8323</v>
      </c>
      <c r="B8192" t="s">
        <v>88</v>
      </c>
      <c r="C8192" t="str">
        <f>_xlfn.XLOOKUP(B8192,
[1]sales_teams!$A$2:$A$100,
[1]sales_teams!$B$2:$B$100)</f>
        <v>Cara Losch</v>
      </c>
      <c r="D8192" t="str">
        <f>_xlfn.XLOOKUP($B8192,sales_teams!$A$2:$A$36,sales_teams!C$2:C$36)</f>
        <v>East</v>
      </c>
      <c r="E8192" t="s">
        <v>18</v>
      </c>
      <c r="F8192" t="s">
        <v>240</v>
      </c>
      <c r="G8192" t="s">
        <v>12</v>
      </c>
      <c r="H8192" s="1">
        <v>43072</v>
      </c>
      <c r="I8192" s="1">
        <v>43093</v>
      </c>
      <c r="J8192">
        <v>58</v>
      </c>
    </row>
    <row r="8193" spans="1:10" x14ac:dyDescent="0.3">
      <c r="A8193" t="s">
        <v>8324</v>
      </c>
      <c r="B8193" t="s">
        <v>26</v>
      </c>
      <c r="C8193" t="str">
        <f>_xlfn.XLOOKUP(B8193,
[1]sales_teams!$A$2:$A$100,
[1]sales_teams!$B$2:$B$100)</f>
        <v>Dustin Brinkmann</v>
      </c>
      <c r="D8193" t="str">
        <f>_xlfn.XLOOKUP($B8193,sales_teams!$A$2:$A$36,sales_teams!C$2:C$36)</f>
        <v>Central</v>
      </c>
      <c r="E8193" t="s">
        <v>18</v>
      </c>
      <c r="F8193" t="s">
        <v>315</v>
      </c>
      <c r="G8193" t="s">
        <v>12</v>
      </c>
      <c r="H8193" s="1">
        <v>43073</v>
      </c>
      <c r="I8193" s="1">
        <v>43082</v>
      </c>
      <c r="J8193">
        <v>57</v>
      </c>
    </row>
    <row r="8194" spans="1:10" x14ac:dyDescent="0.3">
      <c r="A8194" t="s">
        <v>8325</v>
      </c>
      <c r="B8194" t="s">
        <v>44</v>
      </c>
      <c r="C8194" t="str">
        <f>_xlfn.XLOOKUP(B8194,
[1]sales_teams!$A$2:$A$100,
[1]sales_teams!$B$2:$B$100)</f>
        <v>Melvin Marxen</v>
      </c>
      <c r="D8194" t="str">
        <f>_xlfn.XLOOKUP($B8194,sales_teams!$A$2:$A$36,sales_teams!C$2:C$36)</f>
        <v>Central</v>
      </c>
      <c r="E8194" t="s">
        <v>18</v>
      </c>
      <c r="F8194" t="s">
        <v>492</v>
      </c>
      <c r="G8194" t="s">
        <v>46</v>
      </c>
      <c r="H8194" s="1">
        <v>43073</v>
      </c>
      <c r="I8194" s="1">
        <v>43093</v>
      </c>
      <c r="J8194">
        <v>0</v>
      </c>
    </row>
    <row r="8195" spans="1:10" x14ac:dyDescent="0.3">
      <c r="A8195" t="s">
        <v>8326</v>
      </c>
      <c r="B8195" t="s">
        <v>44</v>
      </c>
      <c r="C8195" t="str">
        <f>_xlfn.XLOOKUP(B8195,
[1]sales_teams!$A$2:$A$100,
[1]sales_teams!$B$2:$B$100)</f>
        <v>Melvin Marxen</v>
      </c>
      <c r="D8195" t="str">
        <f>_xlfn.XLOOKUP($B8195,sales_teams!$A$2:$A$36,sales_teams!C$2:C$36)</f>
        <v>Central</v>
      </c>
      <c r="E8195" t="s">
        <v>10</v>
      </c>
      <c r="F8195" t="s">
        <v>318</v>
      </c>
      <c r="G8195" t="s">
        <v>12</v>
      </c>
      <c r="H8195" s="1">
        <v>43073</v>
      </c>
      <c r="I8195" s="1">
        <v>43080</v>
      </c>
      <c r="J8195">
        <v>1110</v>
      </c>
    </row>
    <row r="8196" spans="1:10" x14ac:dyDescent="0.3">
      <c r="A8196" t="s">
        <v>8327</v>
      </c>
      <c r="B8196" t="s">
        <v>61</v>
      </c>
      <c r="C8196" t="str">
        <f>_xlfn.XLOOKUP(B8196,
[1]sales_teams!$A$2:$A$100,
[1]sales_teams!$B$2:$B$100)</f>
        <v>Dustin Brinkmann</v>
      </c>
      <c r="D8196" t="str">
        <f>_xlfn.XLOOKUP($B8196,sales_teams!$A$2:$A$36,sales_teams!C$2:C$36)</f>
        <v>Central</v>
      </c>
      <c r="E8196" t="s">
        <v>18</v>
      </c>
      <c r="F8196" t="s">
        <v>126</v>
      </c>
      <c r="G8196" t="s">
        <v>12</v>
      </c>
      <c r="H8196" s="1">
        <v>43073</v>
      </c>
      <c r="I8196" s="1">
        <v>43077</v>
      </c>
      <c r="J8196">
        <v>57</v>
      </c>
    </row>
    <row r="8197" spans="1:10" x14ac:dyDescent="0.3">
      <c r="A8197" t="s">
        <v>8328</v>
      </c>
      <c r="B8197" t="s">
        <v>23</v>
      </c>
      <c r="C8197" t="str">
        <f>_xlfn.XLOOKUP(B8197,
[1]sales_teams!$A$2:$A$100,
[1]sales_teams!$B$2:$B$100)</f>
        <v>Summer Sewald</v>
      </c>
      <c r="D8197" t="str">
        <f>_xlfn.XLOOKUP($B8197,sales_teams!$A$2:$A$36,sales_teams!C$2:C$36)</f>
        <v>West</v>
      </c>
      <c r="E8197" t="s">
        <v>15</v>
      </c>
      <c r="F8197" t="s">
        <v>55</v>
      </c>
      <c r="G8197" t="s">
        <v>46</v>
      </c>
      <c r="H8197" s="1">
        <v>43073</v>
      </c>
      <c r="I8197" s="1">
        <v>43089</v>
      </c>
      <c r="J8197">
        <v>0</v>
      </c>
    </row>
    <row r="8198" spans="1:10" x14ac:dyDescent="0.3">
      <c r="A8198" t="s">
        <v>8329</v>
      </c>
      <c r="B8198" t="s">
        <v>23</v>
      </c>
      <c r="C8198" t="str">
        <f>_xlfn.XLOOKUP(B8198,
[1]sales_teams!$A$2:$A$100,
[1]sales_teams!$B$2:$B$100)</f>
        <v>Summer Sewald</v>
      </c>
      <c r="D8198" t="str">
        <f>_xlfn.XLOOKUP($B8198,sales_teams!$A$2:$A$36,sales_teams!C$2:C$36)</f>
        <v>West</v>
      </c>
      <c r="E8198" t="s">
        <v>18</v>
      </c>
      <c r="F8198" t="s">
        <v>157</v>
      </c>
      <c r="G8198" t="s">
        <v>12</v>
      </c>
      <c r="H8198" s="1">
        <v>43073</v>
      </c>
      <c r="I8198" s="1">
        <v>43084</v>
      </c>
      <c r="J8198">
        <v>64</v>
      </c>
    </row>
    <row r="8199" spans="1:10" x14ac:dyDescent="0.3">
      <c r="A8199" t="s">
        <v>8330</v>
      </c>
      <c r="B8199" t="s">
        <v>139</v>
      </c>
      <c r="C8199" t="str">
        <f>_xlfn.XLOOKUP(B8199,
[1]sales_teams!$A$2:$A$100,
[1]sales_teams!$B$2:$B$100)</f>
        <v>Rocco Neubert</v>
      </c>
      <c r="D8199" t="str">
        <f>_xlfn.XLOOKUP($B8199,sales_teams!$A$2:$A$36,sales_teams!C$2:C$36)</f>
        <v>East</v>
      </c>
      <c r="E8199" t="s">
        <v>48</v>
      </c>
      <c r="F8199" t="s">
        <v>89</v>
      </c>
      <c r="G8199" t="s">
        <v>12</v>
      </c>
      <c r="H8199" s="1">
        <v>43074</v>
      </c>
      <c r="I8199" s="1">
        <v>43076</v>
      </c>
      <c r="J8199">
        <v>5172</v>
      </c>
    </row>
    <row r="8200" spans="1:10" x14ac:dyDescent="0.3">
      <c r="A8200" t="s">
        <v>8331</v>
      </c>
      <c r="B8200" t="s">
        <v>164</v>
      </c>
      <c r="C8200" t="str">
        <f>_xlfn.XLOOKUP(B8200,
[1]sales_teams!$A$2:$A$100,
[1]sales_teams!$B$2:$B$100)</f>
        <v>Cara Losch</v>
      </c>
      <c r="D8200" t="str">
        <f>_xlfn.XLOOKUP($B8200,sales_teams!$A$2:$A$36,sales_teams!C$2:C$36)</f>
        <v>East</v>
      </c>
      <c r="E8200" t="s">
        <v>10</v>
      </c>
      <c r="F8200" t="s">
        <v>89</v>
      </c>
      <c r="G8200" t="s">
        <v>46</v>
      </c>
      <c r="H8200" s="1">
        <v>43074</v>
      </c>
      <c r="I8200" s="1">
        <v>43096</v>
      </c>
      <c r="J8200">
        <v>0</v>
      </c>
    </row>
    <row r="8201" spans="1:10" x14ac:dyDescent="0.3">
      <c r="A8201" t="s">
        <v>8332</v>
      </c>
      <c r="B8201" t="s">
        <v>95</v>
      </c>
      <c r="C8201" t="str">
        <f>_xlfn.XLOOKUP(B8201,
[1]sales_teams!$A$2:$A$100,
[1]sales_teams!$B$2:$B$100)</f>
        <v>Summer Sewald</v>
      </c>
      <c r="D8201" t="str">
        <f>_xlfn.XLOOKUP($B8201,sales_teams!$A$2:$A$36,sales_teams!C$2:C$36)</f>
        <v>West</v>
      </c>
      <c r="E8201" t="s">
        <v>20</v>
      </c>
      <c r="F8201" t="s">
        <v>122</v>
      </c>
      <c r="G8201" t="s">
        <v>46</v>
      </c>
      <c r="H8201" s="1">
        <v>43074</v>
      </c>
      <c r="I8201" s="1">
        <v>43094</v>
      </c>
      <c r="J8201">
        <v>0</v>
      </c>
    </row>
    <row r="8202" spans="1:10" x14ac:dyDescent="0.3">
      <c r="A8202" t="s">
        <v>8333</v>
      </c>
      <c r="B8202" t="s">
        <v>32</v>
      </c>
      <c r="C8202" t="str">
        <f>_xlfn.XLOOKUP(B8202,
[1]sales_teams!$A$2:$A$100,
[1]sales_teams!$B$2:$B$100)</f>
        <v>Celia Rouche</v>
      </c>
      <c r="D8202" t="str">
        <f>_xlfn.XLOOKUP($B8202,sales_teams!$A$2:$A$36,sales_teams!C$2:C$36)</f>
        <v>West</v>
      </c>
      <c r="E8202" t="s">
        <v>18</v>
      </c>
      <c r="F8202" t="s">
        <v>194</v>
      </c>
      <c r="G8202" t="s">
        <v>46</v>
      </c>
      <c r="H8202" s="1">
        <v>43074</v>
      </c>
      <c r="I8202" s="1">
        <v>43088</v>
      </c>
      <c r="J8202">
        <v>0</v>
      </c>
    </row>
    <row r="8203" spans="1:10" x14ac:dyDescent="0.3">
      <c r="A8203" t="s">
        <v>8334</v>
      </c>
      <c r="B8203" t="s">
        <v>35</v>
      </c>
      <c r="C8203" t="str">
        <f>_xlfn.XLOOKUP(B8203,
[1]sales_teams!$A$2:$A$100,
[1]sales_teams!$B$2:$B$100)</f>
        <v>Melvin Marxen</v>
      </c>
      <c r="D8203" t="str">
        <f>_xlfn.XLOOKUP($B8203,sales_teams!$A$2:$A$36,sales_teams!C$2:C$36)</f>
        <v>Central</v>
      </c>
      <c r="E8203" t="s">
        <v>48</v>
      </c>
      <c r="F8203" t="s">
        <v>135</v>
      </c>
      <c r="G8203" t="s">
        <v>12</v>
      </c>
      <c r="H8203" s="1">
        <v>43074</v>
      </c>
      <c r="I8203" s="1">
        <v>43088</v>
      </c>
      <c r="J8203">
        <v>6141</v>
      </c>
    </row>
    <row r="8204" spans="1:10" x14ac:dyDescent="0.3">
      <c r="A8204" t="s">
        <v>8335</v>
      </c>
      <c r="B8204" t="s">
        <v>73</v>
      </c>
      <c r="C8204" t="str">
        <f>_xlfn.XLOOKUP(B8204,
[1]sales_teams!$A$2:$A$100,
[1]sales_teams!$B$2:$B$100)</f>
        <v>Cara Losch</v>
      </c>
      <c r="D8204" t="str">
        <f>_xlfn.XLOOKUP($B8204,sales_teams!$A$2:$A$36,sales_teams!C$2:C$36)</f>
        <v>East</v>
      </c>
      <c r="E8204" t="s">
        <v>18</v>
      </c>
      <c r="G8204" t="s">
        <v>40</v>
      </c>
      <c r="H8204" s="1">
        <v>43074</v>
      </c>
    </row>
    <row r="8205" spans="1:10" x14ac:dyDescent="0.3">
      <c r="A8205" t="s">
        <v>8336</v>
      </c>
      <c r="B8205" t="s">
        <v>26</v>
      </c>
      <c r="C8205" t="str">
        <f>_xlfn.XLOOKUP(B8205,
[1]sales_teams!$A$2:$A$100,
[1]sales_teams!$B$2:$B$100)</f>
        <v>Dustin Brinkmann</v>
      </c>
      <c r="D8205" t="str">
        <f>_xlfn.XLOOKUP($B8205,sales_teams!$A$2:$A$36,sales_teams!C$2:C$36)</f>
        <v>Central</v>
      </c>
      <c r="E8205" t="s">
        <v>18</v>
      </c>
      <c r="F8205" t="s">
        <v>187</v>
      </c>
      <c r="G8205" t="s">
        <v>12</v>
      </c>
      <c r="H8205" s="1">
        <v>43075</v>
      </c>
      <c r="I8205" s="1">
        <v>43083</v>
      </c>
      <c r="J8205">
        <v>56</v>
      </c>
    </row>
    <row r="8206" spans="1:10" x14ac:dyDescent="0.3">
      <c r="A8206" t="s">
        <v>8337</v>
      </c>
      <c r="B8206" t="s">
        <v>202</v>
      </c>
      <c r="C8206" t="str">
        <f>_xlfn.XLOOKUP(B8206,
[1]sales_teams!$A$2:$A$100,
[1]sales_teams!$B$2:$B$100)</f>
        <v>Dustin Brinkmann</v>
      </c>
      <c r="D8206" t="str">
        <f>_xlfn.XLOOKUP($B8206,sales_teams!$A$2:$A$36,sales_teams!C$2:C$36)</f>
        <v>Central</v>
      </c>
      <c r="E8206" t="s">
        <v>20</v>
      </c>
      <c r="F8206" t="s">
        <v>197</v>
      </c>
      <c r="G8206" t="s">
        <v>12</v>
      </c>
      <c r="H8206" s="1">
        <v>43075</v>
      </c>
      <c r="I8206" s="1">
        <v>43081</v>
      </c>
      <c r="J8206">
        <v>515</v>
      </c>
    </row>
    <row r="8207" spans="1:10" x14ac:dyDescent="0.3">
      <c r="A8207" t="s">
        <v>8338</v>
      </c>
      <c r="B8207" t="s">
        <v>142</v>
      </c>
      <c r="C8207" t="str">
        <f>_xlfn.XLOOKUP(B8207,
[1]sales_teams!$A$2:$A$100,
[1]sales_teams!$B$2:$B$100)</f>
        <v>Rocco Neubert</v>
      </c>
      <c r="D8207" t="str">
        <f>_xlfn.XLOOKUP($B8207,sales_teams!$A$2:$A$36,sales_teams!C$2:C$36)</f>
        <v>East</v>
      </c>
      <c r="E8207" t="s">
        <v>20</v>
      </c>
      <c r="F8207" t="s">
        <v>410</v>
      </c>
      <c r="G8207" t="s">
        <v>12</v>
      </c>
      <c r="H8207" s="1">
        <v>43075</v>
      </c>
      <c r="I8207" s="1">
        <v>43092</v>
      </c>
      <c r="J8207">
        <v>698</v>
      </c>
    </row>
    <row r="8208" spans="1:10" x14ac:dyDescent="0.3">
      <c r="A8208" t="s">
        <v>8339</v>
      </c>
      <c r="B8208" t="s">
        <v>142</v>
      </c>
      <c r="C8208" t="str">
        <f>_xlfn.XLOOKUP(B8208,
[1]sales_teams!$A$2:$A$100,
[1]sales_teams!$B$2:$B$100)</f>
        <v>Rocco Neubert</v>
      </c>
      <c r="D8208" t="str">
        <f>_xlfn.XLOOKUP($B8208,sales_teams!$A$2:$A$36,sales_teams!C$2:C$36)</f>
        <v>East</v>
      </c>
      <c r="E8208" t="s">
        <v>20</v>
      </c>
      <c r="F8208" t="s">
        <v>278</v>
      </c>
      <c r="G8208" t="s">
        <v>12</v>
      </c>
      <c r="H8208" s="1">
        <v>43075</v>
      </c>
      <c r="I8208" s="1">
        <v>43099</v>
      </c>
      <c r="J8208">
        <v>481</v>
      </c>
    </row>
    <row r="8209" spans="1:10" x14ac:dyDescent="0.3">
      <c r="A8209" t="s">
        <v>8340</v>
      </c>
      <c r="B8209" t="s">
        <v>95</v>
      </c>
      <c r="C8209" t="str">
        <f>_xlfn.XLOOKUP(B8209,
[1]sales_teams!$A$2:$A$100,
[1]sales_teams!$B$2:$B$100)</f>
        <v>Summer Sewald</v>
      </c>
      <c r="D8209" t="str">
        <f>_xlfn.XLOOKUP($B8209,sales_teams!$A$2:$A$36,sales_teams!C$2:C$36)</f>
        <v>West</v>
      </c>
      <c r="E8209" t="s">
        <v>15</v>
      </c>
      <c r="F8209" t="s">
        <v>194</v>
      </c>
      <c r="G8209" t="s">
        <v>46</v>
      </c>
      <c r="H8209" s="1">
        <v>43075</v>
      </c>
      <c r="I8209" s="1">
        <v>43091</v>
      </c>
      <c r="J8209">
        <v>0</v>
      </c>
    </row>
    <row r="8210" spans="1:10" x14ac:dyDescent="0.3">
      <c r="A8210" t="s">
        <v>8341</v>
      </c>
      <c r="B8210" t="s">
        <v>61</v>
      </c>
      <c r="C8210" t="str">
        <f>_xlfn.XLOOKUP(B8210,
[1]sales_teams!$A$2:$A$100,
[1]sales_teams!$B$2:$B$100)</f>
        <v>Dustin Brinkmann</v>
      </c>
      <c r="D8210" t="str">
        <f>_xlfn.XLOOKUP($B8210,sales_teams!$A$2:$A$36,sales_teams!C$2:C$36)</f>
        <v>Central</v>
      </c>
      <c r="E8210" t="s">
        <v>18</v>
      </c>
      <c r="F8210" t="s">
        <v>151</v>
      </c>
      <c r="G8210" t="s">
        <v>12</v>
      </c>
      <c r="H8210" s="1">
        <v>43075</v>
      </c>
      <c r="I8210" s="1">
        <v>43083</v>
      </c>
      <c r="J8210">
        <v>49</v>
      </c>
    </row>
    <row r="8211" spans="1:10" x14ac:dyDescent="0.3">
      <c r="A8211" t="s">
        <v>8342</v>
      </c>
      <c r="B8211" t="s">
        <v>95</v>
      </c>
      <c r="C8211" t="str">
        <f>_xlfn.XLOOKUP(B8211,
[1]sales_teams!$A$2:$A$100,
[1]sales_teams!$B$2:$B$100)</f>
        <v>Summer Sewald</v>
      </c>
      <c r="D8211" t="str">
        <f>_xlfn.XLOOKUP($B8211,sales_teams!$A$2:$A$36,sales_teams!C$2:C$36)</f>
        <v>West</v>
      </c>
      <c r="E8211" t="s">
        <v>10</v>
      </c>
      <c r="F8211" t="s">
        <v>93</v>
      </c>
      <c r="G8211" t="s">
        <v>12</v>
      </c>
      <c r="H8211" s="1">
        <v>43076</v>
      </c>
      <c r="I8211" s="1">
        <v>43087</v>
      </c>
      <c r="J8211">
        <v>1111</v>
      </c>
    </row>
    <row r="8212" spans="1:10" x14ac:dyDescent="0.3">
      <c r="A8212" t="s">
        <v>8343</v>
      </c>
      <c r="B8212" t="s">
        <v>116</v>
      </c>
      <c r="C8212" t="str">
        <f>_xlfn.XLOOKUP(B8212,
[1]sales_teams!$A$2:$A$100,
[1]sales_teams!$B$2:$B$100)</f>
        <v>Melvin Marxen</v>
      </c>
      <c r="D8212" t="str">
        <f>_xlfn.XLOOKUP($B8212,sales_teams!$A$2:$A$36,sales_teams!C$2:C$36)</f>
        <v>Central</v>
      </c>
      <c r="E8212" t="s">
        <v>48</v>
      </c>
      <c r="F8212" t="s">
        <v>170</v>
      </c>
      <c r="G8212" t="s">
        <v>12</v>
      </c>
      <c r="H8212" s="1">
        <v>43076</v>
      </c>
      <c r="I8212" s="1">
        <v>43097</v>
      </c>
      <c r="J8212">
        <v>5862</v>
      </c>
    </row>
    <row r="8213" spans="1:10" x14ac:dyDescent="0.3">
      <c r="A8213" t="s">
        <v>8344</v>
      </c>
      <c r="B8213" t="s">
        <v>57</v>
      </c>
      <c r="C8213" t="str">
        <f>_xlfn.XLOOKUP(B8213,
[1]sales_teams!$A$2:$A$100,
[1]sales_teams!$B$2:$B$100)</f>
        <v>Celia Rouche</v>
      </c>
      <c r="D8213" t="str">
        <f>_xlfn.XLOOKUP($B8213,sales_teams!$A$2:$A$36,sales_teams!C$2:C$36)</f>
        <v>West</v>
      </c>
      <c r="E8213" t="s">
        <v>18</v>
      </c>
      <c r="F8213" t="s">
        <v>30</v>
      </c>
      <c r="G8213" t="s">
        <v>12</v>
      </c>
      <c r="H8213" s="1">
        <v>43076</v>
      </c>
      <c r="I8213" s="1">
        <v>43085</v>
      </c>
      <c r="J8213">
        <v>54</v>
      </c>
    </row>
    <row r="8214" spans="1:10" x14ac:dyDescent="0.3">
      <c r="A8214" t="s">
        <v>8345</v>
      </c>
      <c r="B8214" t="s">
        <v>23</v>
      </c>
      <c r="C8214" t="str">
        <f>_xlfn.XLOOKUP(B8214,
[1]sales_teams!$A$2:$A$100,
[1]sales_teams!$B$2:$B$100)</f>
        <v>Summer Sewald</v>
      </c>
      <c r="D8214" t="str">
        <f>_xlfn.XLOOKUP($B8214,sales_teams!$A$2:$A$36,sales_teams!C$2:C$36)</f>
        <v>West</v>
      </c>
      <c r="E8214" t="s">
        <v>10</v>
      </c>
      <c r="G8214" t="s">
        <v>40</v>
      </c>
      <c r="H8214" s="1">
        <v>43076</v>
      </c>
    </row>
    <row r="8215" spans="1:10" x14ac:dyDescent="0.3">
      <c r="A8215" t="s">
        <v>8346</v>
      </c>
      <c r="B8215" t="s">
        <v>26</v>
      </c>
      <c r="C8215" t="str">
        <f>_xlfn.XLOOKUP(B8215,
[1]sales_teams!$A$2:$A$100,
[1]sales_teams!$B$2:$B$100)</f>
        <v>Dustin Brinkmann</v>
      </c>
      <c r="D8215" t="str">
        <f>_xlfn.XLOOKUP($B8215,sales_teams!$A$2:$A$36,sales_teams!C$2:C$36)</f>
        <v>Central</v>
      </c>
      <c r="E8215" t="s">
        <v>18</v>
      </c>
      <c r="F8215" t="s">
        <v>11</v>
      </c>
      <c r="G8215" t="s">
        <v>12</v>
      </c>
      <c r="H8215" s="1">
        <v>43077</v>
      </c>
      <c r="I8215" s="1">
        <v>43087</v>
      </c>
      <c r="J8215">
        <v>60</v>
      </c>
    </row>
    <row r="8216" spans="1:10" x14ac:dyDescent="0.3">
      <c r="A8216" t="s">
        <v>8347</v>
      </c>
      <c r="B8216" t="s">
        <v>142</v>
      </c>
      <c r="C8216" t="str">
        <f>_xlfn.XLOOKUP(B8216,
[1]sales_teams!$A$2:$A$100,
[1]sales_teams!$B$2:$B$100)</f>
        <v>Rocco Neubert</v>
      </c>
      <c r="D8216" t="str">
        <f>_xlfn.XLOOKUP($B8216,sales_teams!$A$2:$A$36,sales_teams!C$2:C$36)</f>
        <v>East</v>
      </c>
      <c r="E8216" t="s">
        <v>15</v>
      </c>
      <c r="F8216" t="s">
        <v>215</v>
      </c>
      <c r="G8216" t="s">
        <v>46</v>
      </c>
      <c r="H8216" s="1">
        <v>43077</v>
      </c>
      <c r="I8216" s="1">
        <v>43091</v>
      </c>
      <c r="J8216">
        <v>0</v>
      </c>
    </row>
    <row r="8217" spans="1:10" x14ac:dyDescent="0.3">
      <c r="A8217" t="s">
        <v>8348</v>
      </c>
      <c r="B8217" t="s">
        <v>95</v>
      </c>
      <c r="C8217" t="str">
        <f>_xlfn.XLOOKUP(B8217,
[1]sales_teams!$A$2:$A$100,
[1]sales_teams!$B$2:$B$100)</f>
        <v>Summer Sewald</v>
      </c>
      <c r="D8217" t="str">
        <f>_xlfn.XLOOKUP($B8217,sales_teams!$A$2:$A$36,sales_teams!C$2:C$36)</f>
        <v>West</v>
      </c>
      <c r="E8217" t="s">
        <v>10</v>
      </c>
      <c r="G8217" t="s">
        <v>40</v>
      </c>
      <c r="H8217" s="1">
        <v>43077</v>
      </c>
    </row>
    <row r="8218" spans="1:10" x14ac:dyDescent="0.3">
      <c r="A8218" t="s">
        <v>8349</v>
      </c>
      <c r="B8218" t="s">
        <v>95</v>
      </c>
      <c r="C8218" t="str">
        <f>_xlfn.XLOOKUP(B8218,
[1]sales_teams!$A$2:$A$100,
[1]sales_teams!$B$2:$B$100)</f>
        <v>Summer Sewald</v>
      </c>
      <c r="D8218" t="str">
        <f>_xlfn.XLOOKUP($B8218,sales_teams!$A$2:$A$36,sales_teams!C$2:C$36)</f>
        <v>West</v>
      </c>
      <c r="E8218" t="s">
        <v>10</v>
      </c>
      <c r="F8218" t="s">
        <v>122</v>
      </c>
      <c r="G8218" t="s">
        <v>12</v>
      </c>
      <c r="H8218" s="1">
        <v>43077</v>
      </c>
      <c r="I8218" s="1">
        <v>43098</v>
      </c>
      <c r="J8218">
        <v>1168</v>
      </c>
    </row>
    <row r="8219" spans="1:10" x14ac:dyDescent="0.3">
      <c r="A8219" t="s">
        <v>8350</v>
      </c>
      <c r="B8219" t="s">
        <v>73</v>
      </c>
      <c r="C8219" t="str">
        <f>_xlfn.XLOOKUP(B8219,
[1]sales_teams!$A$2:$A$100,
[1]sales_teams!$B$2:$B$100)</f>
        <v>Cara Losch</v>
      </c>
      <c r="D8219" t="str">
        <f>_xlfn.XLOOKUP($B8219,sales_teams!$A$2:$A$36,sales_teams!C$2:C$36)</f>
        <v>East</v>
      </c>
      <c r="E8219" t="s">
        <v>18</v>
      </c>
      <c r="F8219" t="s">
        <v>237</v>
      </c>
      <c r="G8219" t="s">
        <v>12</v>
      </c>
      <c r="H8219" s="1">
        <v>43077</v>
      </c>
      <c r="I8219" s="1">
        <v>43087</v>
      </c>
      <c r="J8219">
        <v>48</v>
      </c>
    </row>
    <row r="8220" spans="1:10" x14ac:dyDescent="0.3">
      <c r="A8220" t="s">
        <v>8351</v>
      </c>
      <c r="B8220" t="s">
        <v>202</v>
      </c>
      <c r="C8220" t="str">
        <f>_xlfn.XLOOKUP(B8220,
[1]sales_teams!$A$2:$A$100,
[1]sales_teams!$B$2:$B$100)</f>
        <v>Dustin Brinkmann</v>
      </c>
      <c r="D8220" t="str">
        <f>_xlfn.XLOOKUP($B8220,sales_teams!$A$2:$A$36,sales_teams!C$2:C$36)</f>
        <v>Central</v>
      </c>
      <c r="E8220" t="s">
        <v>10</v>
      </c>
      <c r="F8220" t="s">
        <v>11</v>
      </c>
      <c r="G8220" t="s">
        <v>12</v>
      </c>
      <c r="H8220" s="1">
        <v>43078</v>
      </c>
      <c r="I8220" s="1">
        <v>43093</v>
      </c>
      <c r="J8220">
        <v>986</v>
      </c>
    </row>
    <row r="8221" spans="1:10" x14ac:dyDescent="0.3">
      <c r="A8221" t="s">
        <v>8352</v>
      </c>
      <c r="B8221" t="s">
        <v>202</v>
      </c>
      <c r="C8221" t="str">
        <f>_xlfn.XLOOKUP(B8221,
[1]sales_teams!$A$2:$A$100,
[1]sales_teams!$B$2:$B$100)</f>
        <v>Dustin Brinkmann</v>
      </c>
      <c r="D8221" t="str">
        <f>_xlfn.XLOOKUP($B8221,sales_teams!$A$2:$A$36,sales_teams!C$2:C$36)</f>
        <v>Central</v>
      </c>
      <c r="E8221" t="s">
        <v>39</v>
      </c>
      <c r="F8221" t="s">
        <v>170</v>
      </c>
      <c r="G8221" t="s">
        <v>12</v>
      </c>
      <c r="H8221" s="1">
        <v>43078</v>
      </c>
      <c r="I8221" s="1">
        <v>43085</v>
      </c>
      <c r="J8221">
        <v>3843</v>
      </c>
    </row>
    <row r="8222" spans="1:10" x14ac:dyDescent="0.3">
      <c r="A8222" t="s">
        <v>8353</v>
      </c>
      <c r="B8222" t="s">
        <v>164</v>
      </c>
      <c r="C8222" t="str">
        <f>_xlfn.XLOOKUP(B8222,
[1]sales_teams!$A$2:$A$100,
[1]sales_teams!$B$2:$B$100)</f>
        <v>Cara Losch</v>
      </c>
      <c r="D8222" t="str">
        <f>_xlfn.XLOOKUP($B8222,sales_teams!$A$2:$A$36,sales_teams!C$2:C$36)</f>
        <v>East</v>
      </c>
      <c r="E8222" t="s">
        <v>48</v>
      </c>
      <c r="F8222" t="s">
        <v>237</v>
      </c>
      <c r="G8222" t="s">
        <v>12</v>
      </c>
      <c r="H8222" s="1">
        <v>43078</v>
      </c>
      <c r="I8222" s="1">
        <v>43086</v>
      </c>
      <c r="J8222">
        <v>5143</v>
      </c>
    </row>
    <row r="8223" spans="1:10" x14ac:dyDescent="0.3">
      <c r="A8223" t="s">
        <v>8354</v>
      </c>
      <c r="B8223" t="s">
        <v>44</v>
      </c>
      <c r="C8223" t="str">
        <f>_xlfn.XLOOKUP(B8223,
[1]sales_teams!$A$2:$A$100,
[1]sales_teams!$B$2:$B$100)</f>
        <v>Melvin Marxen</v>
      </c>
      <c r="D8223" t="str">
        <f>_xlfn.XLOOKUP($B8223,sales_teams!$A$2:$A$36,sales_teams!C$2:C$36)</f>
        <v>Central</v>
      </c>
      <c r="E8223" t="s">
        <v>18</v>
      </c>
      <c r="F8223" t="s">
        <v>21</v>
      </c>
      <c r="G8223" t="s">
        <v>12</v>
      </c>
      <c r="H8223" s="1">
        <v>43078</v>
      </c>
      <c r="I8223" s="1">
        <v>43093</v>
      </c>
      <c r="J8223">
        <v>52</v>
      </c>
    </row>
    <row r="8224" spans="1:10" x14ac:dyDescent="0.3">
      <c r="A8224" t="s">
        <v>8355</v>
      </c>
      <c r="B8224" t="s">
        <v>38</v>
      </c>
      <c r="C8224" t="str">
        <f>_xlfn.XLOOKUP(B8224,
[1]sales_teams!$A$2:$A$100,
[1]sales_teams!$B$2:$B$100)</f>
        <v>Summer Sewald</v>
      </c>
      <c r="D8224" t="str">
        <f>_xlfn.XLOOKUP($B8224,sales_teams!$A$2:$A$36,sales_teams!C$2:C$36)</f>
        <v>West</v>
      </c>
      <c r="E8224" t="s">
        <v>48</v>
      </c>
      <c r="F8224" t="s">
        <v>59</v>
      </c>
      <c r="G8224" t="s">
        <v>12</v>
      </c>
      <c r="H8224" s="1">
        <v>43078</v>
      </c>
      <c r="I8224" s="1">
        <v>43092</v>
      </c>
      <c r="J8224">
        <v>5576</v>
      </c>
    </row>
    <row r="8225" spans="1:10" x14ac:dyDescent="0.3">
      <c r="A8225" t="s">
        <v>8356</v>
      </c>
      <c r="B8225" t="s">
        <v>78</v>
      </c>
      <c r="C8225" t="str">
        <f>_xlfn.XLOOKUP(B8225,
[1]sales_teams!$A$2:$A$100,
[1]sales_teams!$B$2:$B$100)</f>
        <v>Summer Sewald</v>
      </c>
      <c r="D8225" t="str">
        <f>_xlfn.XLOOKUP($B8225,sales_teams!$A$2:$A$36,sales_teams!C$2:C$36)</f>
        <v>West</v>
      </c>
      <c r="E8225" t="s">
        <v>18</v>
      </c>
      <c r="F8225" t="s">
        <v>49</v>
      </c>
      <c r="G8225" t="s">
        <v>12</v>
      </c>
      <c r="H8225" s="1">
        <v>43078</v>
      </c>
      <c r="I8225" s="1">
        <v>43087</v>
      </c>
      <c r="J8225">
        <v>59</v>
      </c>
    </row>
    <row r="8226" spans="1:10" x14ac:dyDescent="0.3">
      <c r="A8226" t="s">
        <v>8357</v>
      </c>
      <c r="B8226" t="s">
        <v>95</v>
      </c>
      <c r="C8226" t="str">
        <f>_xlfn.XLOOKUP(B8226,
[1]sales_teams!$A$2:$A$100,
[1]sales_teams!$B$2:$B$100)</f>
        <v>Summer Sewald</v>
      </c>
      <c r="D8226" t="str">
        <f>_xlfn.XLOOKUP($B8226,sales_teams!$A$2:$A$36,sales_teams!C$2:C$36)</f>
        <v>West</v>
      </c>
      <c r="E8226" t="s">
        <v>15</v>
      </c>
      <c r="F8226" t="s">
        <v>30</v>
      </c>
      <c r="G8226" t="s">
        <v>12</v>
      </c>
      <c r="H8226" s="1">
        <v>43078</v>
      </c>
      <c r="I8226" s="1">
        <v>43096</v>
      </c>
      <c r="J8226">
        <v>4178</v>
      </c>
    </row>
    <row r="8227" spans="1:10" x14ac:dyDescent="0.3">
      <c r="A8227" t="s">
        <v>8358</v>
      </c>
      <c r="B8227" t="s">
        <v>32</v>
      </c>
      <c r="C8227" t="str">
        <f>_xlfn.XLOOKUP(B8227,
[1]sales_teams!$A$2:$A$100,
[1]sales_teams!$B$2:$B$100)</f>
        <v>Celia Rouche</v>
      </c>
      <c r="D8227" t="str">
        <f>_xlfn.XLOOKUP($B8227,sales_teams!$A$2:$A$36,sales_teams!C$2:C$36)</f>
        <v>West</v>
      </c>
      <c r="E8227" t="s">
        <v>10</v>
      </c>
      <c r="F8227" t="s">
        <v>184</v>
      </c>
      <c r="G8227" t="s">
        <v>12</v>
      </c>
      <c r="H8227" s="1">
        <v>43078</v>
      </c>
      <c r="I8227" s="1">
        <v>43094</v>
      </c>
      <c r="J8227">
        <v>1192</v>
      </c>
    </row>
    <row r="8228" spans="1:10" x14ac:dyDescent="0.3">
      <c r="A8228" t="s">
        <v>8359</v>
      </c>
      <c r="B8228" t="s">
        <v>51</v>
      </c>
      <c r="C8228" t="str">
        <f>_xlfn.XLOOKUP(B8228,
[1]sales_teams!$A$2:$A$100,
[1]sales_teams!$B$2:$B$100)</f>
        <v>Summer Sewald</v>
      </c>
      <c r="D8228" t="str">
        <f>_xlfn.XLOOKUP($B8228,sales_teams!$A$2:$A$36,sales_teams!C$2:C$36)</f>
        <v>West</v>
      </c>
      <c r="E8228" t="s">
        <v>20</v>
      </c>
      <c r="G8228" t="s">
        <v>40</v>
      </c>
      <c r="H8228" s="1">
        <v>43078</v>
      </c>
    </row>
    <row r="8229" spans="1:10" x14ac:dyDescent="0.3">
      <c r="A8229" t="s">
        <v>8360</v>
      </c>
      <c r="B8229" t="s">
        <v>35</v>
      </c>
      <c r="C8229" t="str">
        <f>_xlfn.XLOOKUP(B8229,
[1]sales_teams!$A$2:$A$100,
[1]sales_teams!$B$2:$B$100)</f>
        <v>Melvin Marxen</v>
      </c>
      <c r="D8229" t="str">
        <f>_xlfn.XLOOKUP($B8229,sales_teams!$A$2:$A$36,sales_teams!C$2:C$36)</f>
        <v>Central</v>
      </c>
      <c r="E8229" t="s">
        <v>10</v>
      </c>
      <c r="F8229" t="s">
        <v>120</v>
      </c>
      <c r="G8229" t="s">
        <v>12</v>
      </c>
      <c r="H8229" s="1">
        <v>43078</v>
      </c>
      <c r="I8229" s="1">
        <v>43093</v>
      </c>
      <c r="J8229">
        <v>1047</v>
      </c>
    </row>
    <row r="8230" spans="1:10" x14ac:dyDescent="0.3">
      <c r="A8230" t="s">
        <v>8361</v>
      </c>
      <c r="B8230" t="s">
        <v>97</v>
      </c>
      <c r="C8230" t="str">
        <f>_xlfn.XLOOKUP(B8230,
[1]sales_teams!$A$2:$A$100,
[1]sales_teams!$B$2:$B$100)</f>
        <v>Rocco Neubert</v>
      </c>
      <c r="D8230" t="str">
        <f>_xlfn.XLOOKUP($B8230,sales_teams!$A$2:$A$36,sales_teams!C$2:C$36)</f>
        <v>East</v>
      </c>
      <c r="E8230" t="s">
        <v>48</v>
      </c>
      <c r="F8230" t="s">
        <v>155</v>
      </c>
      <c r="G8230" t="s">
        <v>12</v>
      </c>
      <c r="H8230" s="1">
        <v>43078</v>
      </c>
      <c r="I8230" s="1">
        <v>43086</v>
      </c>
      <c r="J8230">
        <v>6456</v>
      </c>
    </row>
    <row r="8231" spans="1:10" x14ac:dyDescent="0.3">
      <c r="A8231" t="s">
        <v>8362</v>
      </c>
      <c r="B8231" t="s">
        <v>88</v>
      </c>
      <c r="C8231" t="str">
        <f>_xlfn.XLOOKUP(B8231,
[1]sales_teams!$A$2:$A$100,
[1]sales_teams!$B$2:$B$100)</f>
        <v>Cara Losch</v>
      </c>
      <c r="D8231" t="str">
        <f>_xlfn.XLOOKUP($B8231,sales_teams!$A$2:$A$36,sales_teams!C$2:C$36)</f>
        <v>East</v>
      </c>
      <c r="E8231" t="s">
        <v>15</v>
      </c>
      <c r="F8231" t="s">
        <v>65</v>
      </c>
      <c r="G8231" t="s">
        <v>46</v>
      </c>
      <c r="H8231" s="1">
        <v>43078</v>
      </c>
      <c r="I8231" s="1">
        <v>43098</v>
      </c>
      <c r="J8231">
        <v>0</v>
      </c>
    </row>
    <row r="8232" spans="1:10" x14ac:dyDescent="0.3">
      <c r="A8232" t="s">
        <v>8363</v>
      </c>
      <c r="B8232" t="s">
        <v>26</v>
      </c>
      <c r="C8232" t="str">
        <f>_xlfn.XLOOKUP(B8232,
[1]sales_teams!$A$2:$A$100,
[1]sales_teams!$B$2:$B$100)</f>
        <v>Dustin Brinkmann</v>
      </c>
      <c r="D8232" t="str">
        <f>_xlfn.XLOOKUP($B8232,sales_teams!$A$2:$A$36,sales_teams!C$2:C$36)</f>
        <v>Central</v>
      </c>
      <c r="E8232" t="s">
        <v>20</v>
      </c>
      <c r="F8232" t="s">
        <v>27</v>
      </c>
      <c r="G8232" t="s">
        <v>46</v>
      </c>
      <c r="H8232" s="1">
        <v>43079</v>
      </c>
      <c r="I8232" s="1">
        <v>43088</v>
      </c>
      <c r="J8232">
        <v>0</v>
      </c>
    </row>
    <row r="8233" spans="1:10" x14ac:dyDescent="0.3">
      <c r="A8233" t="s">
        <v>8364</v>
      </c>
      <c r="B8233" t="s">
        <v>14</v>
      </c>
      <c r="C8233" t="str">
        <f>_xlfn.XLOOKUP(B8233,
[1]sales_teams!$A$2:$A$100,
[1]sales_teams!$B$2:$B$100)</f>
        <v>Melvin Marxen</v>
      </c>
      <c r="D8233" t="str">
        <f>_xlfn.XLOOKUP($B8233,sales_teams!$A$2:$A$36,sales_teams!C$2:C$36)</f>
        <v>Central</v>
      </c>
      <c r="E8233" t="s">
        <v>15</v>
      </c>
      <c r="F8233" t="s">
        <v>318</v>
      </c>
      <c r="G8233" t="s">
        <v>12</v>
      </c>
      <c r="H8233" s="1">
        <v>43079</v>
      </c>
      <c r="I8233" s="1">
        <v>43086</v>
      </c>
      <c r="J8233">
        <v>4755</v>
      </c>
    </row>
    <row r="8234" spans="1:10" x14ac:dyDescent="0.3">
      <c r="A8234" t="s">
        <v>8365</v>
      </c>
      <c r="B8234" t="s">
        <v>51</v>
      </c>
      <c r="C8234" t="str">
        <f>_xlfn.XLOOKUP(B8234,
[1]sales_teams!$A$2:$A$100,
[1]sales_teams!$B$2:$B$100)</f>
        <v>Summer Sewald</v>
      </c>
      <c r="D8234" t="str">
        <f>_xlfn.XLOOKUP($B8234,sales_teams!$A$2:$A$36,sales_teams!C$2:C$36)</f>
        <v>West</v>
      </c>
      <c r="E8234" t="s">
        <v>18</v>
      </c>
      <c r="F8234" t="s">
        <v>159</v>
      </c>
      <c r="G8234" t="s">
        <v>12</v>
      </c>
      <c r="H8234" s="1">
        <v>43079</v>
      </c>
      <c r="I8234" s="1">
        <v>43094</v>
      </c>
      <c r="J8234">
        <v>55</v>
      </c>
    </row>
    <row r="8235" spans="1:10" x14ac:dyDescent="0.3">
      <c r="A8235" t="s">
        <v>8366</v>
      </c>
      <c r="B8235" t="s">
        <v>29</v>
      </c>
      <c r="C8235" t="str">
        <f>_xlfn.XLOOKUP(B8235,
[1]sales_teams!$A$2:$A$100,
[1]sales_teams!$B$2:$B$100)</f>
        <v>Celia Rouche</v>
      </c>
      <c r="D8235" t="str">
        <f>_xlfn.XLOOKUP($B8235,sales_teams!$A$2:$A$36,sales_teams!C$2:C$36)</f>
        <v>West</v>
      </c>
      <c r="E8235" t="s">
        <v>39</v>
      </c>
      <c r="F8235" t="s">
        <v>194</v>
      </c>
      <c r="G8235" t="s">
        <v>12</v>
      </c>
      <c r="H8235" s="1">
        <v>43079</v>
      </c>
      <c r="I8235" s="1">
        <v>43087</v>
      </c>
      <c r="J8235">
        <v>3078</v>
      </c>
    </row>
    <row r="8236" spans="1:10" x14ac:dyDescent="0.3">
      <c r="A8236" t="s">
        <v>8367</v>
      </c>
      <c r="B8236" t="s">
        <v>23</v>
      </c>
      <c r="C8236" t="str">
        <f>_xlfn.XLOOKUP(B8236,
[1]sales_teams!$A$2:$A$100,
[1]sales_teams!$B$2:$B$100)</f>
        <v>Summer Sewald</v>
      </c>
      <c r="D8236" t="str">
        <f>_xlfn.XLOOKUP($B8236,sales_teams!$A$2:$A$36,sales_teams!C$2:C$36)</f>
        <v>West</v>
      </c>
      <c r="E8236" t="s">
        <v>48</v>
      </c>
      <c r="F8236" t="s">
        <v>103</v>
      </c>
      <c r="G8236" t="s">
        <v>40</v>
      </c>
      <c r="H8236" s="1">
        <v>43079</v>
      </c>
    </row>
    <row r="8237" spans="1:10" x14ac:dyDescent="0.3">
      <c r="A8237" t="s">
        <v>8368</v>
      </c>
      <c r="B8237" t="s">
        <v>26</v>
      </c>
      <c r="C8237" t="str">
        <f>_xlfn.XLOOKUP(B8237,
[1]sales_teams!$A$2:$A$100,
[1]sales_teams!$B$2:$B$100)</f>
        <v>Dustin Brinkmann</v>
      </c>
      <c r="D8237" t="str">
        <f>_xlfn.XLOOKUP($B8237,sales_teams!$A$2:$A$36,sales_teams!C$2:C$36)</f>
        <v>Central</v>
      </c>
      <c r="E8237" t="s">
        <v>20</v>
      </c>
      <c r="F8237" t="s">
        <v>21</v>
      </c>
      <c r="G8237" t="s">
        <v>12</v>
      </c>
      <c r="H8237" s="1">
        <v>43080</v>
      </c>
      <c r="I8237" s="1">
        <v>43097</v>
      </c>
      <c r="J8237">
        <v>537</v>
      </c>
    </row>
    <row r="8238" spans="1:10" x14ac:dyDescent="0.3">
      <c r="A8238" t="s">
        <v>8369</v>
      </c>
      <c r="B8238" t="s">
        <v>44</v>
      </c>
      <c r="C8238" t="str">
        <f>_xlfn.XLOOKUP(B8238,
[1]sales_teams!$A$2:$A$100,
[1]sales_teams!$B$2:$B$100)</f>
        <v>Melvin Marxen</v>
      </c>
      <c r="D8238" t="str">
        <f>_xlfn.XLOOKUP($B8238,sales_teams!$A$2:$A$36,sales_teams!C$2:C$36)</f>
        <v>Central</v>
      </c>
      <c r="E8238" t="s">
        <v>10</v>
      </c>
      <c r="F8238" t="s">
        <v>315</v>
      </c>
      <c r="G8238" t="s">
        <v>12</v>
      </c>
      <c r="H8238" s="1">
        <v>43080</v>
      </c>
      <c r="I8238" s="1">
        <v>43087</v>
      </c>
      <c r="J8238">
        <v>1220</v>
      </c>
    </row>
    <row r="8239" spans="1:10" x14ac:dyDescent="0.3">
      <c r="A8239" t="s">
        <v>8370</v>
      </c>
      <c r="B8239" t="s">
        <v>32</v>
      </c>
      <c r="C8239" t="str">
        <f>_xlfn.XLOOKUP(B8239,
[1]sales_teams!$A$2:$A$100,
[1]sales_teams!$B$2:$B$100)</f>
        <v>Celia Rouche</v>
      </c>
      <c r="D8239" t="str">
        <f>_xlfn.XLOOKUP($B8239,sales_teams!$A$2:$A$36,sales_teams!C$2:C$36)</f>
        <v>West</v>
      </c>
      <c r="E8239" t="s">
        <v>18</v>
      </c>
      <c r="F8239" t="s">
        <v>55</v>
      </c>
      <c r="G8239" t="s">
        <v>12</v>
      </c>
      <c r="H8239" s="1">
        <v>43080</v>
      </c>
      <c r="I8239" s="1">
        <v>43090</v>
      </c>
      <c r="J8239">
        <v>53</v>
      </c>
    </row>
    <row r="8240" spans="1:10" x14ac:dyDescent="0.3">
      <c r="A8240" t="s">
        <v>8371</v>
      </c>
      <c r="B8240" t="s">
        <v>61</v>
      </c>
      <c r="C8240" t="str">
        <f>_xlfn.XLOOKUP(B8240,
[1]sales_teams!$A$2:$A$100,
[1]sales_teams!$B$2:$B$100)</f>
        <v>Dustin Brinkmann</v>
      </c>
      <c r="D8240" t="str">
        <f>_xlfn.XLOOKUP($B8240,sales_teams!$A$2:$A$36,sales_teams!C$2:C$36)</f>
        <v>Central</v>
      </c>
      <c r="E8240" t="s">
        <v>18</v>
      </c>
      <c r="F8240" t="s">
        <v>231</v>
      </c>
      <c r="G8240" t="s">
        <v>12</v>
      </c>
      <c r="H8240" s="1">
        <v>43080</v>
      </c>
      <c r="I8240" s="1">
        <v>43087</v>
      </c>
      <c r="J8240">
        <v>60</v>
      </c>
    </row>
    <row r="8241" spans="1:10" x14ac:dyDescent="0.3">
      <c r="A8241" t="s">
        <v>8372</v>
      </c>
      <c r="B8241" t="s">
        <v>29</v>
      </c>
      <c r="C8241" t="str">
        <f>_xlfn.XLOOKUP(B8241,
[1]sales_teams!$A$2:$A$100,
[1]sales_teams!$B$2:$B$100)</f>
        <v>Celia Rouche</v>
      </c>
      <c r="D8241" t="str">
        <f>_xlfn.XLOOKUP($B8241,sales_teams!$A$2:$A$36,sales_teams!C$2:C$36)</f>
        <v>West</v>
      </c>
      <c r="E8241" t="s">
        <v>20</v>
      </c>
      <c r="F8241" t="s">
        <v>315</v>
      </c>
      <c r="G8241" t="s">
        <v>12</v>
      </c>
      <c r="H8241" s="1">
        <v>43080</v>
      </c>
      <c r="I8241" s="1">
        <v>43098</v>
      </c>
      <c r="J8241">
        <v>494</v>
      </c>
    </row>
    <row r="8242" spans="1:10" x14ac:dyDescent="0.3">
      <c r="A8242" t="s">
        <v>8373</v>
      </c>
      <c r="B8242" t="s">
        <v>252</v>
      </c>
      <c r="C8242" t="str">
        <f>_xlfn.XLOOKUP(B8242,
[1]sales_teams!$A$2:$A$100,
[1]sales_teams!$B$2:$B$100)</f>
        <v>Melvin Marxen</v>
      </c>
      <c r="D8242" t="str">
        <f>_xlfn.XLOOKUP($B8242,sales_teams!$A$2:$A$36,sales_teams!C$2:C$36)</f>
        <v>Central</v>
      </c>
      <c r="E8242" t="s">
        <v>20</v>
      </c>
      <c r="F8242" t="s">
        <v>45</v>
      </c>
      <c r="G8242" t="s">
        <v>12</v>
      </c>
      <c r="H8242" s="1">
        <v>43081</v>
      </c>
      <c r="I8242" s="1">
        <v>43087</v>
      </c>
      <c r="J8242">
        <v>480</v>
      </c>
    </row>
    <row r="8243" spans="1:10" x14ac:dyDescent="0.3">
      <c r="A8243" t="s">
        <v>8374</v>
      </c>
      <c r="B8243" t="s">
        <v>78</v>
      </c>
      <c r="C8243" t="str">
        <f>_xlfn.XLOOKUP(B8243,
[1]sales_teams!$A$2:$A$100,
[1]sales_teams!$B$2:$B$100)</f>
        <v>Summer Sewald</v>
      </c>
      <c r="D8243" t="str">
        <f>_xlfn.XLOOKUP($B8243,sales_teams!$A$2:$A$36,sales_teams!C$2:C$36)</f>
        <v>West</v>
      </c>
      <c r="E8243" t="s">
        <v>20</v>
      </c>
      <c r="F8243" t="s">
        <v>33</v>
      </c>
      <c r="G8243" t="s">
        <v>46</v>
      </c>
      <c r="H8243" s="1">
        <v>43081</v>
      </c>
      <c r="I8243" s="1">
        <v>43098</v>
      </c>
      <c r="J8243">
        <v>0</v>
      </c>
    </row>
    <row r="8244" spans="1:10" x14ac:dyDescent="0.3">
      <c r="A8244" t="s">
        <v>8375</v>
      </c>
      <c r="B8244" t="s">
        <v>133</v>
      </c>
      <c r="C8244" t="str">
        <f>_xlfn.XLOOKUP(B8244,
[1]sales_teams!$A$2:$A$100,
[1]sales_teams!$B$2:$B$100)</f>
        <v>Dustin Brinkmann</v>
      </c>
      <c r="D8244" t="str">
        <f>_xlfn.XLOOKUP($B8244,sales_teams!$A$2:$A$36,sales_teams!C$2:C$36)</f>
        <v>Central</v>
      </c>
      <c r="E8244" t="s">
        <v>20</v>
      </c>
      <c r="F8244" t="s">
        <v>170</v>
      </c>
      <c r="G8244" t="s">
        <v>46</v>
      </c>
      <c r="H8244" s="1">
        <v>43081</v>
      </c>
      <c r="I8244" s="1">
        <v>43084</v>
      </c>
      <c r="J8244">
        <v>0</v>
      </c>
    </row>
    <row r="8245" spans="1:10" x14ac:dyDescent="0.3">
      <c r="A8245" t="s">
        <v>8376</v>
      </c>
      <c r="B8245" t="s">
        <v>51</v>
      </c>
      <c r="C8245" t="str">
        <f>_xlfn.XLOOKUP(B8245,
[1]sales_teams!$A$2:$A$100,
[1]sales_teams!$B$2:$B$100)</f>
        <v>Summer Sewald</v>
      </c>
      <c r="D8245" t="str">
        <f>_xlfn.XLOOKUP($B8245,sales_teams!$A$2:$A$36,sales_teams!C$2:C$36)</f>
        <v>West</v>
      </c>
      <c r="E8245" t="s">
        <v>10</v>
      </c>
      <c r="F8245" t="s">
        <v>315</v>
      </c>
      <c r="G8245" t="s">
        <v>12</v>
      </c>
      <c r="H8245" s="1">
        <v>43081</v>
      </c>
      <c r="I8245" s="1">
        <v>43095</v>
      </c>
      <c r="J8245">
        <v>1075</v>
      </c>
    </row>
    <row r="8246" spans="1:10" x14ac:dyDescent="0.3">
      <c r="A8246" t="s">
        <v>8377</v>
      </c>
      <c r="B8246" t="s">
        <v>97</v>
      </c>
      <c r="C8246" t="str">
        <f>_xlfn.XLOOKUP(B8246,
[1]sales_teams!$A$2:$A$100,
[1]sales_teams!$B$2:$B$100)</f>
        <v>Rocco Neubert</v>
      </c>
      <c r="D8246" t="str">
        <f>_xlfn.XLOOKUP($B8246,sales_teams!$A$2:$A$36,sales_teams!C$2:C$36)</f>
        <v>East</v>
      </c>
      <c r="E8246" t="s">
        <v>10</v>
      </c>
      <c r="F8246" t="s">
        <v>81</v>
      </c>
      <c r="G8246" t="s">
        <v>46</v>
      </c>
      <c r="H8246" s="1">
        <v>43081</v>
      </c>
      <c r="I8246" s="1">
        <v>43094</v>
      </c>
      <c r="J8246">
        <v>0</v>
      </c>
    </row>
    <row r="8247" spans="1:10" x14ac:dyDescent="0.3">
      <c r="A8247" t="s">
        <v>8378</v>
      </c>
      <c r="B8247" t="s">
        <v>118</v>
      </c>
      <c r="C8247" t="str">
        <f>_xlfn.XLOOKUP(B8247,
[1]sales_teams!$A$2:$A$100,
[1]sales_teams!$B$2:$B$100)</f>
        <v>Rocco Neubert</v>
      </c>
      <c r="D8247" t="str">
        <f>_xlfn.XLOOKUP($B8247,sales_teams!$A$2:$A$36,sales_teams!C$2:C$36)</f>
        <v>East</v>
      </c>
      <c r="E8247" t="s">
        <v>10</v>
      </c>
      <c r="F8247" t="s">
        <v>93</v>
      </c>
      <c r="G8247" t="s">
        <v>40</v>
      </c>
      <c r="H8247" s="1">
        <v>43082</v>
      </c>
    </row>
    <row r="8248" spans="1:10" x14ac:dyDescent="0.3">
      <c r="A8248" t="s">
        <v>8379</v>
      </c>
      <c r="B8248" t="s">
        <v>67</v>
      </c>
      <c r="C8248" t="str">
        <f>_xlfn.XLOOKUP(B8248,
[1]sales_teams!$A$2:$A$100,
[1]sales_teams!$B$2:$B$100)</f>
        <v>Celia Rouche</v>
      </c>
      <c r="D8248" t="str">
        <f>_xlfn.XLOOKUP($B8248,sales_teams!$A$2:$A$36,sales_teams!C$2:C$36)</f>
        <v>West</v>
      </c>
      <c r="E8248" t="s">
        <v>10</v>
      </c>
      <c r="G8248" t="s">
        <v>40</v>
      </c>
      <c r="H8248" s="1">
        <v>43082</v>
      </c>
    </row>
    <row r="8249" spans="1:10" x14ac:dyDescent="0.3">
      <c r="A8249" t="s">
        <v>8380</v>
      </c>
      <c r="B8249" t="s">
        <v>252</v>
      </c>
      <c r="C8249" t="str">
        <f>_xlfn.XLOOKUP(B8249,
[1]sales_teams!$A$2:$A$100,
[1]sales_teams!$B$2:$B$100)</f>
        <v>Melvin Marxen</v>
      </c>
      <c r="D8249" t="str">
        <f>_xlfn.XLOOKUP($B8249,sales_teams!$A$2:$A$36,sales_teams!C$2:C$36)</f>
        <v>Central</v>
      </c>
      <c r="E8249" t="s">
        <v>10</v>
      </c>
      <c r="F8249" t="s">
        <v>120</v>
      </c>
      <c r="G8249" t="s">
        <v>12</v>
      </c>
      <c r="H8249" s="1">
        <v>43082</v>
      </c>
      <c r="I8249" s="1">
        <v>43097</v>
      </c>
      <c r="J8249">
        <v>1166</v>
      </c>
    </row>
    <row r="8250" spans="1:10" x14ac:dyDescent="0.3">
      <c r="A8250" t="s">
        <v>8381</v>
      </c>
      <c r="B8250" t="s">
        <v>95</v>
      </c>
      <c r="C8250" t="str">
        <f>_xlfn.XLOOKUP(B8250,
[1]sales_teams!$A$2:$A$100,
[1]sales_teams!$B$2:$B$100)</f>
        <v>Summer Sewald</v>
      </c>
      <c r="D8250" t="str">
        <f>_xlfn.XLOOKUP($B8250,sales_teams!$A$2:$A$36,sales_teams!C$2:C$36)</f>
        <v>West</v>
      </c>
      <c r="E8250" t="s">
        <v>10</v>
      </c>
      <c r="F8250" t="s">
        <v>24</v>
      </c>
      <c r="G8250" t="s">
        <v>12</v>
      </c>
      <c r="H8250" s="1">
        <v>43082</v>
      </c>
      <c r="I8250" s="1">
        <v>43095</v>
      </c>
      <c r="J8250">
        <v>921</v>
      </c>
    </row>
    <row r="8251" spans="1:10" x14ac:dyDescent="0.3">
      <c r="A8251" t="s">
        <v>8382</v>
      </c>
      <c r="B8251" t="s">
        <v>32</v>
      </c>
      <c r="C8251" t="str">
        <f>_xlfn.XLOOKUP(B8251,
[1]sales_teams!$A$2:$A$100,
[1]sales_teams!$B$2:$B$100)</f>
        <v>Celia Rouche</v>
      </c>
      <c r="D8251" t="str">
        <f>_xlfn.XLOOKUP($B8251,sales_teams!$A$2:$A$36,sales_teams!C$2:C$36)</f>
        <v>West</v>
      </c>
      <c r="E8251" t="s">
        <v>39</v>
      </c>
      <c r="F8251" t="s">
        <v>184</v>
      </c>
      <c r="G8251" t="s">
        <v>40</v>
      </c>
      <c r="H8251" s="1">
        <v>43082</v>
      </c>
    </row>
    <row r="8252" spans="1:10" x14ac:dyDescent="0.3">
      <c r="A8252" t="s">
        <v>8383</v>
      </c>
      <c r="B8252" t="s">
        <v>32</v>
      </c>
      <c r="C8252" t="str">
        <f>_xlfn.XLOOKUP(B8252,
[1]sales_teams!$A$2:$A$100,
[1]sales_teams!$B$2:$B$100)</f>
        <v>Celia Rouche</v>
      </c>
      <c r="D8252" t="str">
        <f>_xlfn.XLOOKUP($B8252,sales_teams!$A$2:$A$36,sales_teams!C$2:C$36)</f>
        <v>West</v>
      </c>
      <c r="E8252" t="s">
        <v>39</v>
      </c>
      <c r="F8252" t="s">
        <v>194</v>
      </c>
      <c r="G8252" t="s">
        <v>12</v>
      </c>
      <c r="H8252" s="1">
        <v>43082</v>
      </c>
      <c r="I8252" s="1">
        <v>43096</v>
      </c>
      <c r="J8252">
        <v>3442</v>
      </c>
    </row>
    <row r="8253" spans="1:10" x14ac:dyDescent="0.3">
      <c r="A8253" t="s">
        <v>8384</v>
      </c>
      <c r="B8253" t="s">
        <v>61</v>
      </c>
      <c r="C8253" t="str">
        <f>_xlfn.XLOOKUP(B8253,
[1]sales_teams!$A$2:$A$100,
[1]sales_teams!$B$2:$B$100)</f>
        <v>Dustin Brinkmann</v>
      </c>
      <c r="D8253" t="str">
        <f>_xlfn.XLOOKUP($B8253,sales_teams!$A$2:$A$36,sales_teams!C$2:C$36)</f>
        <v>Central</v>
      </c>
      <c r="E8253" t="s">
        <v>39</v>
      </c>
      <c r="F8253" t="s">
        <v>36</v>
      </c>
      <c r="G8253" t="s">
        <v>12</v>
      </c>
      <c r="H8253" s="1">
        <v>43082</v>
      </c>
      <c r="I8253" s="1">
        <v>43096</v>
      </c>
      <c r="J8253">
        <v>3735</v>
      </c>
    </row>
    <row r="8254" spans="1:10" x14ac:dyDescent="0.3">
      <c r="A8254" t="s">
        <v>8385</v>
      </c>
      <c r="B8254" t="s">
        <v>29</v>
      </c>
      <c r="C8254" t="str">
        <f>_xlfn.XLOOKUP(B8254,
[1]sales_teams!$A$2:$A$100,
[1]sales_teams!$B$2:$B$100)</f>
        <v>Celia Rouche</v>
      </c>
      <c r="D8254" t="str">
        <f>_xlfn.XLOOKUP($B8254,sales_teams!$A$2:$A$36,sales_teams!C$2:C$36)</f>
        <v>West</v>
      </c>
      <c r="E8254" t="s">
        <v>18</v>
      </c>
      <c r="F8254" t="s">
        <v>55</v>
      </c>
      <c r="G8254" t="s">
        <v>12</v>
      </c>
      <c r="H8254" s="1">
        <v>43082</v>
      </c>
      <c r="I8254" s="1">
        <v>43086</v>
      </c>
      <c r="J8254">
        <v>50</v>
      </c>
    </row>
    <row r="8255" spans="1:10" x14ac:dyDescent="0.3">
      <c r="A8255" t="s">
        <v>8386</v>
      </c>
      <c r="B8255" t="s">
        <v>14</v>
      </c>
      <c r="C8255" t="str">
        <f>_xlfn.XLOOKUP(B8255,
[1]sales_teams!$A$2:$A$100,
[1]sales_teams!$B$2:$B$100)</f>
        <v>Melvin Marxen</v>
      </c>
      <c r="D8255" t="str">
        <f>_xlfn.XLOOKUP($B8255,sales_teams!$A$2:$A$36,sales_teams!C$2:C$36)</f>
        <v>Central</v>
      </c>
      <c r="E8255" t="s">
        <v>15</v>
      </c>
      <c r="F8255" t="s">
        <v>207</v>
      </c>
      <c r="G8255" t="s">
        <v>12</v>
      </c>
      <c r="H8255" s="1">
        <v>43083</v>
      </c>
      <c r="I8255" s="1">
        <v>43088</v>
      </c>
      <c r="J8255">
        <v>5052</v>
      </c>
    </row>
    <row r="8256" spans="1:10" x14ac:dyDescent="0.3">
      <c r="A8256" t="s">
        <v>8387</v>
      </c>
      <c r="B8256" t="s">
        <v>95</v>
      </c>
      <c r="C8256" t="str">
        <f>_xlfn.XLOOKUP(B8256,
[1]sales_teams!$A$2:$A$100,
[1]sales_teams!$B$2:$B$100)</f>
        <v>Summer Sewald</v>
      </c>
      <c r="D8256" t="str">
        <f>_xlfn.XLOOKUP($B8256,sales_teams!$A$2:$A$36,sales_teams!C$2:C$36)</f>
        <v>West</v>
      </c>
      <c r="E8256" t="s">
        <v>20</v>
      </c>
      <c r="F8256" t="s">
        <v>33</v>
      </c>
      <c r="G8256" t="s">
        <v>46</v>
      </c>
      <c r="H8256" s="1">
        <v>43083</v>
      </c>
      <c r="I8256" s="1">
        <v>43098</v>
      </c>
      <c r="J8256">
        <v>0</v>
      </c>
    </row>
    <row r="8257" spans="1:10" x14ac:dyDescent="0.3">
      <c r="A8257" t="s">
        <v>8388</v>
      </c>
      <c r="B8257" t="s">
        <v>95</v>
      </c>
      <c r="C8257" t="str">
        <f>_xlfn.XLOOKUP(B8257,
[1]sales_teams!$A$2:$A$100,
[1]sales_teams!$B$2:$B$100)</f>
        <v>Summer Sewald</v>
      </c>
      <c r="D8257" t="str">
        <f>_xlfn.XLOOKUP($B8257,sales_teams!$A$2:$A$36,sales_teams!C$2:C$36)</f>
        <v>West</v>
      </c>
      <c r="E8257" t="s">
        <v>18</v>
      </c>
      <c r="F8257" t="s">
        <v>24</v>
      </c>
      <c r="G8257" t="s">
        <v>12</v>
      </c>
      <c r="H8257" s="1">
        <v>43083</v>
      </c>
      <c r="I8257" s="1">
        <v>43099</v>
      </c>
      <c r="J8257">
        <v>44</v>
      </c>
    </row>
    <row r="8258" spans="1:10" x14ac:dyDescent="0.3">
      <c r="A8258" t="s">
        <v>8389</v>
      </c>
      <c r="B8258" t="s">
        <v>29</v>
      </c>
      <c r="C8258" t="str">
        <f>_xlfn.XLOOKUP(B8258,
[1]sales_teams!$A$2:$A$100,
[1]sales_teams!$B$2:$B$100)</f>
        <v>Celia Rouche</v>
      </c>
      <c r="D8258" t="str">
        <f>_xlfn.XLOOKUP($B8258,sales_teams!$A$2:$A$36,sales_teams!C$2:C$36)</f>
        <v>West</v>
      </c>
      <c r="E8258" t="s">
        <v>18</v>
      </c>
      <c r="F8258" t="s">
        <v>224</v>
      </c>
      <c r="G8258" t="s">
        <v>46</v>
      </c>
      <c r="H8258" s="1">
        <v>43083</v>
      </c>
      <c r="I8258" s="1">
        <v>43091</v>
      </c>
      <c r="J8258">
        <v>0</v>
      </c>
    </row>
    <row r="8259" spans="1:10" x14ac:dyDescent="0.3">
      <c r="A8259" t="s">
        <v>8390</v>
      </c>
      <c r="B8259" t="s">
        <v>73</v>
      </c>
      <c r="C8259" t="str">
        <f>_xlfn.XLOOKUP(B8259,
[1]sales_teams!$A$2:$A$100,
[1]sales_teams!$B$2:$B$100)</f>
        <v>Cara Losch</v>
      </c>
      <c r="D8259" t="str">
        <f>_xlfn.XLOOKUP($B8259,sales_teams!$A$2:$A$36,sales_teams!C$2:C$36)</f>
        <v>East</v>
      </c>
      <c r="E8259" t="s">
        <v>10</v>
      </c>
      <c r="F8259" t="s">
        <v>222</v>
      </c>
      <c r="G8259" t="s">
        <v>12</v>
      </c>
      <c r="H8259" s="1">
        <v>43083</v>
      </c>
      <c r="I8259" s="1">
        <v>43085</v>
      </c>
      <c r="J8259">
        <v>960</v>
      </c>
    </row>
    <row r="8260" spans="1:10" x14ac:dyDescent="0.3">
      <c r="A8260" t="s">
        <v>8391</v>
      </c>
      <c r="B8260" t="s">
        <v>139</v>
      </c>
      <c r="C8260" t="str">
        <f>_xlfn.XLOOKUP(B8260,
[1]sales_teams!$A$2:$A$100,
[1]sales_teams!$B$2:$B$100)</f>
        <v>Rocco Neubert</v>
      </c>
      <c r="D8260" t="str">
        <f>_xlfn.XLOOKUP($B8260,sales_teams!$A$2:$A$36,sales_teams!C$2:C$36)</f>
        <v>East</v>
      </c>
      <c r="E8260" t="s">
        <v>48</v>
      </c>
      <c r="F8260" t="s">
        <v>89</v>
      </c>
      <c r="G8260" t="s">
        <v>12</v>
      </c>
      <c r="H8260" s="1">
        <v>43084</v>
      </c>
      <c r="I8260" s="1">
        <v>43099</v>
      </c>
      <c r="J8260">
        <v>6469</v>
      </c>
    </row>
    <row r="8261" spans="1:10" x14ac:dyDescent="0.3">
      <c r="A8261" t="s">
        <v>8392</v>
      </c>
      <c r="B8261" t="s">
        <v>64</v>
      </c>
      <c r="C8261" t="str">
        <f>_xlfn.XLOOKUP(B8261,
[1]sales_teams!$A$2:$A$100,
[1]sales_teams!$B$2:$B$100)</f>
        <v>Rocco Neubert</v>
      </c>
      <c r="D8261" t="str">
        <f>_xlfn.XLOOKUP($B8261,sales_teams!$A$2:$A$36,sales_teams!C$2:C$36)</f>
        <v>East</v>
      </c>
      <c r="E8261" t="s">
        <v>10</v>
      </c>
      <c r="F8261" t="s">
        <v>42</v>
      </c>
      <c r="G8261" t="s">
        <v>40</v>
      </c>
      <c r="H8261" s="1">
        <v>43084</v>
      </c>
    </row>
    <row r="8262" spans="1:10" x14ac:dyDescent="0.3">
      <c r="A8262" t="s">
        <v>8393</v>
      </c>
      <c r="B8262" t="s">
        <v>51</v>
      </c>
      <c r="C8262" t="str">
        <f>_xlfn.XLOOKUP(B8262,
[1]sales_teams!$A$2:$A$100,
[1]sales_teams!$B$2:$B$100)</f>
        <v>Summer Sewald</v>
      </c>
      <c r="D8262" t="str">
        <f>_xlfn.XLOOKUP($B8262,sales_teams!$A$2:$A$36,sales_teams!C$2:C$36)</f>
        <v>West</v>
      </c>
      <c r="E8262" t="s">
        <v>10</v>
      </c>
      <c r="F8262" t="s">
        <v>33</v>
      </c>
      <c r="G8262" t="s">
        <v>12</v>
      </c>
      <c r="H8262" s="1">
        <v>43084</v>
      </c>
      <c r="I8262" s="1">
        <v>43088</v>
      </c>
      <c r="J8262">
        <v>914</v>
      </c>
    </row>
    <row r="8263" spans="1:10" x14ac:dyDescent="0.3">
      <c r="A8263" t="s">
        <v>8394</v>
      </c>
      <c r="B8263" t="s">
        <v>61</v>
      </c>
      <c r="C8263" t="str">
        <f>_xlfn.XLOOKUP(B8263,
[1]sales_teams!$A$2:$A$100,
[1]sales_teams!$B$2:$B$100)</f>
        <v>Dustin Brinkmann</v>
      </c>
      <c r="D8263" t="str">
        <f>_xlfn.XLOOKUP($B8263,sales_teams!$A$2:$A$36,sales_teams!C$2:C$36)</f>
        <v>Central</v>
      </c>
      <c r="E8263" t="s">
        <v>39</v>
      </c>
      <c r="F8263" t="s">
        <v>135</v>
      </c>
      <c r="G8263" t="s">
        <v>46</v>
      </c>
      <c r="H8263" s="1">
        <v>43084</v>
      </c>
      <c r="I8263" s="1">
        <v>43095</v>
      </c>
      <c r="J8263">
        <v>0</v>
      </c>
    </row>
    <row r="8264" spans="1:10" x14ac:dyDescent="0.3">
      <c r="A8264" t="s">
        <v>8395</v>
      </c>
      <c r="B8264" t="s">
        <v>23</v>
      </c>
      <c r="C8264" t="str">
        <f>_xlfn.XLOOKUP(B8264,
[1]sales_teams!$A$2:$A$100,
[1]sales_teams!$B$2:$B$100)</f>
        <v>Summer Sewald</v>
      </c>
      <c r="D8264" t="str">
        <f>_xlfn.XLOOKUP($B8264,sales_teams!$A$2:$A$36,sales_teams!C$2:C$36)</f>
        <v>West</v>
      </c>
      <c r="E8264" t="s">
        <v>20</v>
      </c>
      <c r="F8264" t="s">
        <v>165</v>
      </c>
      <c r="G8264" t="s">
        <v>40</v>
      </c>
      <c r="H8264" s="1">
        <v>43084</v>
      </c>
    </row>
    <row r="8265" spans="1:10" x14ac:dyDescent="0.3">
      <c r="A8265" t="s">
        <v>8396</v>
      </c>
      <c r="B8265" t="s">
        <v>57</v>
      </c>
      <c r="C8265" t="str">
        <f>_xlfn.XLOOKUP(B8265,
[1]sales_teams!$A$2:$A$100,
[1]sales_teams!$B$2:$B$100)</f>
        <v>Celia Rouche</v>
      </c>
      <c r="D8265" t="str">
        <f>_xlfn.XLOOKUP($B8265,sales_teams!$A$2:$A$36,sales_teams!C$2:C$36)</f>
        <v>West</v>
      </c>
      <c r="E8265" t="s">
        <v>18</v>
      </c>
      <c r="F8265" t="s">
        <v>555</v>
      </c>
      <c r="G8265" t="s">
        <v>46</v>
      </c>
      <c r="H8265" s="1">
        <v>43085</v>
      </c>
      <c r="I8265" s="1">
        <v>43090</v>
      </c>
      <c r="J8265">
        <v>0</v>
      </c>
    </row>
    <row r="8266" spans="1:10" x14ac:dyDescent="0.3">
      <c r="A8266" t="s">
        <v>8397</v>
      </c>
      <c r="B8266" t="s">
        <v>57</v>
      </c>
      <c r="C8266" t="str">
        <f>_xlfn.XLOOKUP(B8266,
[1]sales_teams!$A$2:$A$100,
[1]sales_teams!$B$2:$B$100)</f>
        <v>Celia Rouche</v>
      </c>
      <c r="D8266" t="str">
        <f>_xlfn.XLOOKUP($B8266,sales_teams!$A$2:$A$36,sales_teams!C$2:C$36)</f>
        <v>West</v>
      </c>
      <c r="E8266" t="s">
        <v>39</v>
      </c>
      <c r="F8266" t="s">
        <v>30</v>
      </c>
      <c r="G8266" t="s">
        <v>12</v>
      </c>
      <c r="H8266" s="1">
        <v>43085</v>
      </c>
      <c r="I8266" s="1">
        <v>43093</v>
      </c>
      <c r="J8266">
        <v>3379</v>
      </c>
    </row>
    <row r="8267" spans="1:10" x14ac:dyDescent="0.3">
      <c r="A8267" t="s">
        <v>8398</v>
      </c>
      <c r="B8267" t="s">
        <v>26</v>
      </c>
      <c r="C8267" t="str">
        <f>_xlfn.XLOOKUP(B8267,
[1]sales_teams!$A$2:$A$100,
[1]sales_teams!$B$2:$B$100)</f>
        <v>Dustin Brinkmann</v>
      </c>
      <c r="D8267" t="str">
        <f>_xlfn.XLOOKUP($B8267,sales_teams!$A$2:$A$36,sales_teams!C$2:C$36)</f>
        <v>Central</v>
      </c>
      <c r="E8267" t="s">
        <v>39</v>
      </c>
      <c r="F8267" t="s">
        <v>207</v>
      </c>
      <c r="G8267" t="s">
        <v>12</v>
      </c>
      <c r="H8267" s="1">
        <v>43086</v>
      </c>
      <c r="I8267" s="1">
        <v>43095</v>
      </c>
      <c r="J8267">
        <v>3240</v>
      </c>
    </row>
    <row r="8268" spans="1:10" x14ac:dyDescent="0.3">
      <c r="A8268" t="s">
        <v>8399</v>
      </c>
      <c r="B8268" t="s">
        <v>38</v>
      </c>
      <c r="C8268" t="str">
        <f>_xlfn.XLOOKUP(B8268,
[1]sales_teams!$A$2:$A$100,
[1]sales_teams!$B$2:$B$100)</f>
        <v>Summer Sewald</v>
      </c>
      <c r="D8268" t="str">
        <f>_xlfn.XLOOKUP($B8268,sales_teams!$A$2:$A$36,sales_teams!C$2:C$36)</f>
        <v>West</v>
      </c>
      <c r="E8268" t="s">
        <v>10</v>
      </c>
      <c r="F8268" t="s">
        <v>33</v>
      </c>
      <c r="G8268" t="s">
        <v>12</v>
      </c>
      <c r="H8268" s="1">
        <v>43086</v>
      </c>
      <c r="I8268" s="1">
        <v>43100</v>
      </c>
      <c r="J8268">
        <v>1007</v>
      </c>
    </row>
    <row r="8269" spans="1:10" x14ac:dyDescent="0.3">
      <c r="A8269" t="s">
        <v>8400</v>
      </c>
      <c r="B8269" t="s">
        <v>95</v>
      </c>
      <c r="C8269" t="str">
        <f>_xlfn.XLOOKUP(B8269,
[1]sales_teams!$A$2:$A$100,
[1]sales_teams!$B$2:$B$100)</f>
        <v>Summer Sewald</v>
      </c>
      <c r="D8269" t="str">
        <f>_xlfn.XLOOKUP($B8269,sales_teams!$A$2:$A$36,sales_teams!C$2:C$36)</f>
        <v>West</v>
      </c>
      <c r="E8269" t="s">
        <v>15</v>
      </c>
      <c r="F8269" t="s">
        <v>120</v>
      </c>
      <c r="G8269" t="s">
        <v>40</v>
      </c>
      <c r="H8269" s="1">
        <v>43086</v>
      </c>
    </row>
    <row r="8270" spans="1:10" x14ac:dyDescent="0.3">
      <c r="A8270" t="s">
        <v>8401</v>
      </c>
      <c r="B8270" t="s">
        <v>32</v>
      </c>
      <c r="C8270" t="str">
        <f>_xlfn.XLOOKUP(B8270,
[1]sales_teams!$A$2:$A$100,
[1]sales_teams!$B$2:$B$100)</f>
        <v>Celia Rouche</v>
      </c>
      <c r="D8270" t="str">
        <f>_xlfn.XLOOKUP($B8270,sales_teams!$A$2:$A$36,sales_teams!C$2:C$36)</f>
        <v>West</v>
      </c>
      <c r="E8270" t="s">
        <v>18</v>
      </c>
      <c r="F8270" t="s">
        <v>30</v>
      </c>
      <c r="G8270" t="s">
        <v>12</v>
      </c>
      <c r="H8270" s="1">
        <v>43086</v>
      </c>
      <c r="I8270" s="1">
        <v>43097</v>
      </c>
      <c r="J8270">
        <v>54</v>
      </c>
    </row>
    <row r="8271" spans="1:10" x14ac:dyDescent="0.3">
      <c r="A8271" t="s">
        <v>8402</v>
      </c>
      <c r="B8271" t="s">
        <v>57</v>
      </c>
      <c r="C8271" t="str">
        <f>_xlfn.XLOOKUP(B8271,
[1]sales_teams!$A$2:$A$100,
[1]sales_teams!$B$2:$B$100)</f>
        <v>Celia Rouche</v>
      </c>
      <c r="D8271" t="str">
        <f>_xlfn.XLOOKUP($B8271,sales_teams!$A$2:$A$36,sales_teams!C$2:C$36)</f>
        <v>West</v>
      </c>
      <c r="E8271" t="s">
        <v>18</v>
      </c>
      <c r="F8271" t="s">
        <v>122</v>
      </c>
      <c r="G8271" t="s">
        <v>12</v>
      </c>
      <c r="H8271" s="1">
        <v>43086</v>
      </c>
      <c r="I8271" s="1">
        <v>43094</v>
      </c>
      <c r="J8271">
        <v>49</v>
      </c>
    </row>
    <row r="8272" spans="1:10" x14ac:dyDescent="0.3">
      <c r="A8272" t="s">
        <v>8403</v>
      </c>
      <c r="B8272" t="s">
        <v>29</v>
      </c>
      <c r="C8272" t="str">
        <f>_xlfn.XLOOKUP(B8272,
[1]sales_teams!$A$2:$A$100,
[1]sales_teams!$B$2:$B$100)</f>
        <v>Celia Rouche</v>
      </c>
      <c r="D8272" t="str">
        <f>_xlfn.XLOOKUP($B8272,sales_teams!$A$2:$A$36,sales_teams!C$2:C$36)</f>
        <v>West</v>
      </c>
      <c r="E8272" t="s">
        <v>10</v>
      </c>
      <c r="F8272" t="s">
        <v>52</v>
      </c>
      <c r="G8272" t="s">
        <v>46</v>
      </c>
      <c r="H8272" s="1">
        <v>43086</v>
      </c>
      <c r="I8272" s="1">
        <v>43100</v>
      </c>
      <c r="J8272">
        <v>0</v>
      </c>
    </row>
    <row r="8273" spans="1:10" x14ac:dyDescent="0.3">
      <c r="A8273" t="s">
        <v>8404</v>
      </c>
      <c r="B8273" t="s">
        <v>73</v>
      </c>
      <c r="C8273" t="str">
        <f>_xlfn.XLOOKUP(B8273,
[1]sales_teams!$A$2:$A$100,
[1]sales_teams!$B$2:$B$100)</f>
        <v>Cara Losch</v>
      </c>
      <c r="D8273" t="str">
        <f>_xlfn.XLOOKUP($B8273,sales_teams!$A$2:$A$36,sales_teams!C$2:C$36)</f>
        <v>East</v>
      </c>
      <c r="E8273" t="s">
        <v>18</v>
      </c>
      <c r="G8273" t="s">
        <v>40</v>
      </c>
      <c r="H8273" s="1">
        <v>43086</v>
      </c>
    </row>
    <row r="8274" spans="1:10" x14ac:dyDescent="0.3">
      <c r="A8274" t="s">
        <v>8405</v>
      </c>
      <c r="B8274" t="s">
        <v>73</v>
      </c>
      <c r="C8274" t="str">
        <f>_xlfn.XLOOKUP(B8274,
[1]sales_teams!$A$2:$A$100,
[1]sales_teams!$B$2:$B$100)</f>
        <v>Cara Losch</v>
      </c>
      <c r="D8274" t="str">
        <f>_xlfn.XLOOKUP($B8274,sales_teams!$A$2:$A$36,sales_teams!C$2:C$36)</f>
        <v>East</v>
      </c>
      <c r="E8274" t="s">
        <v>18</v>
      </c>
      <c r="F8274" t="s">
        <v>199</v>
      </c>
      <c r="G8274" t="s">
        <v>12</v>
      </c>
      <c r="H8274" s="1">
        <v>43086</v>
      </c>
      <c r="I8274" s="1">
        <v>43093</v>
      </c>
      <c r="J8274">
        <v>55</v>
      </c>
    </row>
    <row r="8275" spans="1:10" x14ac:dyDescent="0.3">
      <c r="A8275" t="s">
        <v>8406</v>
      </c>
      <c r="B8275" t="s">
        <v>23</v>
      </c>
      <c r="C8275" t="str">
        <f>_xlfn.XLOOKUP(B8275,
[1]sales_teams!$A$2:$A$100,
[1]sales_teams!$B$2:$B$100)</f>
        <v>Summer Sewald</v>
      </c>
      <c r="D8275" t="str">
        <f>_xlfn.XLOOKUP($B8275,sales_teams!$A$2:$A$36,sales_teams!C$2:C$36)</f>
        <v>West</v>
      </c>
      <c r="E8275" t="s">
        <v>15</v>
      </c>
      <c r="F8275" t="s">
        <v>313</v>
      </c>
      <c r="G8275" t="s">
        <v>12</v>
      </c>
      <c r="H8275" s="1">
        <v>43086</v>
      </c>
      <c r="I8275" s="1">
        <v>43095</v>
      </c>
      <c r="J8275">
        <v>5196</v>
      </c>
    </row>
    <row r="8276" spans="1:10" x14ac:dyDescent="0.3">
      <c r="A8276" t="s">
        <v>8407</v>
      </c>
      <c r="B8276" t="s">
        <v>26</v>
      </c>
      <c r="C8276" t="str">
        <f>_xlfn.XLOOKUP(B8276,
[1]sales_teams!$A$2:$A$100,
[1]sales_teams!$B$2:$B$100)</f>
        <v>Dustin Brinkmann</v>
      </c>
      <c r="D8276" t="str">
        <f>_xlfn.XLOOKUP($B8276,sales_teams!$A$2:$A$36,sales_teams!C$2:C$36)</f>
        <v>Central</v>
      </c>
      <c r="E8276" t="s">
        <v>18</v>
      </c>
      <c r="F8276" t="s">
        <v>126</v>
      </c>
      <c r="G8276" t="s">
        <v>12</v>
      </c>
      <c r="H8276" s="1">
        <v>43087</v>
      </c>
      <c r="I8276" s="1">
        <v>43100</v>
      </c>
      <c r="J8276">
        <v>54</v>
      </c>
    </row>
    <row r="8277" spans="1:10" x14ac:dyDescent="0.3">
      <c r="A8277" t="s">
        <v>8408</v>
      </c>
      <c r="B8277" t="s">
        <v>67</v>
      </c>
      <c r="C8277" t="str">
        <f>_xlfn.XLOOKUP(B8277,
[1]sales_teams!$A$2:$A$100,
[1]sales_teams!$B$2:$B$100)</f>
        <v>Celia Rouche</v>
      </c>
      <c r="D8277" t="str">
        <f>_xlfn.XLOOKUP($B8277,sales_teams!$A$2:$A$36,sales_teams!C$2:C$36)</f>
        <v>West</v>
      </c>
      <c r="E8277" t="s">
        <v>15</v>
      </c>
      <c r="F8277" t="s">
        <v>224</v>
      </c>
      <c r="G8277" t="s">
        <v>12</v>
      </c>
      <c r="H8277" s="1">
        <v>43087</v>
      </c>
      <c r="I8277" s="1">
        <v>43095</v>
      </c>
      <c r="J8277">
        <v>4953</v>
      </c>
    </row>
    <row r="8278" spans="1:10" x14ac:dyDescent="0.3">
      <c r="A8278" t="s">
        <v>8409</v>
      </c>
      <c r="B8278" t="s">
        <v>102</v>
      </c>
      <c r="C8278" t="str">
        <f>_xlfn.XLOOKUP(B8278,
[1]sales_teams!$A$2:$A$100,
[1]sales_teams!$B$2:$B$100)</f>
        <v>Cara Losch</v>
      </c>
      <c r="D8278" t="str">
        <f>_xlfn.XLOOKUP($B8278,sales_teams!$A$2:$A$36,sales_teams!C$2:C$36)</f>
        <v>East</v>
      </c>
      <c r="E8278" t="s">
        <v>39</v>
      </c>
      <c r="F8278" t="s">
        <v>89</v>
      </c>
      <c r="G8278" t="s">
        <v>12</v>
      </c>
      <c r="H8278" s="1">
        <v>43087</v>
      </c>
      <c r="I8278" s="1">
        <v>43093</v>
      </c>
      <c r="J8278">
        <v>3155</v>
      </c>
    </row>
    <row r="8279" spans="1:10" x14ac:dyDescent="0.3">
      <c r="A8279" t="s">
        <v>8410</v>
      </c>
      <c r="B8279" t="s">
        <v>139</v>
      </c>
      <c r="C8279" t="str">
        <f>_xlfn.XLOOKUP(B8279,
[1]sales_teams!$A$2:$A$100,
[1]sales_teams!$B$2:$B$100)</f>
        <v>Rocco Neubert</v>
      </c>
      <c r="D8279" t="str">
        <f>_xlfn.XLOOKUP($B8279,sales_teams!$A$2:$A$36,sales_teams!C$2:C$36)</f>
        <v>East</v>
      </c>
      <c r="E8279" t="s">
        <v>15</v>
      </c>
      <c r="G8279" t="s">
        <v>40</v>
      </c>
      <c r="H8279" s="1">
        <v>43088</v>
      </c>
    </row>
    <row r="8280" spans="1:10" x14ac:dyDescent="0.3">
      <c r="A8280" t="s">
        <v>8411</v>
      </c>
      <c r="B8280" t="s">
        <v>14</v>
      </c>
      <c r="C8280" t="str">
        <f>_xlfn.XLOOKUP(B8280,
[1]sales_teams!$A$2:$A$100,
[1]sales_teams!$B$2:$B$100)</f>
        <v>Melvin Marxen</v>
      </c>
      <c r="D8280" t="str">
        <f>_xlfn.XLOOKUP($B8280,sales_teams!$A$2:$A$36,sales_teams!C$2:C$36)</f>
        <v>Central</v>
      </c>
      <c r="E8280" t="s">
        <v>15</v>
      </c>
      <c r="F8280" t="s">
        <v>42</v>
      </c>
      <c r="G8280" t="s">
        <v>46</v>
      </c>
      <c r="H8280" s="1">
        <v>43088</v>
      </c>
      <c r="I8280" s="1">
        <v>43099</v>
      </c>
      <c r="J8280">
        <v>0</v>
      </c>
    </row>
    <row r="8281" spans="1:10" x14ac:dyDescent="0.3">
      <c r="A8281" t="s">
        <v>8412</v>
      </c>
      <c r="B8281" t="s">
        <v>88</v>
      </c>
      <c r="C8281" t="str">
        <f>_xlfn.XLOOKUP(B8281,
[1]sales_teams!$A$2:$A$100,
[1]sales_teams!$B$2:$B$100)</f>
        <v>Cara Losch</v>
      </c>
      <c r="D8281" t="str">
        <f>_xlfn.XLOOKUP($B8281,sales_teams!$A$2:$A$36,sales_teams!C$2:C$36)</f>
        <v>East</v>
      </c>
      <c r="E8281" t="s">
        <v>15</v>
      </c>
      <c r="F8281" t="s">
        <v>215</v>
      </c>
      <c r="G8281" t="s">
        <v>12</v>
      </c>
      <c r="H8281" s="1">
        <v>43088</v>
      </c>
      <c r="I8281" s="1">
        <v>43099</v>
      </c>
      <c r="J8281">
        <v>4566</v>
      </c>
    </row>
    <row r="8282" spans="1:10" x14ac:dyDescent="0.3">
      <c r="A8282" t="s">
        <v>8413</v>
      </c>
      <c r="B8282" t="s">
        <v>61</v>
      </c>
      <c r="C8282" t="str">
        <f>_xlfn.XLOOKUP(B8282,
[1]sales_teams!$A$2:$A$100,
[1]sales_teams!$B$2:$B$100)</f>
        <v>Dustin Brinkmann</v>
      </c>
      <c r="D8282" t="str">
        <f>_xlfn.XLOOKUP($B8282,sales_teams!$A$2:$A$36,sales_teams!C$2:C$36)</f>
        <v>Central</v>
      </c>
      <c r="E8282" t="s">
        <v>18</v>
      </c>
      <c r="F8282" t="s">
        <v>42</v>
      </c>
      <c r="G8282" t="s">
        <v>12</v>
      </c>
      <c r="H8282" s="1">
        <v>43088</v>
      </c>
      <c r="I8282" s="1">
        <v>43097</v>
      </c>
      <c r="J8282">
        <v>58</v>
      </c>
    </row>
    <row r="8283" spans="1:10" x14ac:dyDescent="0.3">
      <c r="A8283" t="s">
        <v>8414</v>
      </c>
      <c r="B8283" t="s">
        <v>102</v>
      </c>
      <c r="C8283" t="str">
        <f>_xlfn.XLOOKUP(B8283,
[1]sales_teams!$A$2:$A$100,
[1]sales_teams!$B$2:$B$100)</f>
        <v>Cara Losch</v>
      </c>
      <c r="D8283" t="str">
        <f>_xlfn.XLOOKUP($B8283,sales_teams!$A$2:$A$36,sales_teams!C$2:C$36)</f>
        <v>East</v>
      </c>
      <c r="E8283" t="s">
        <v>15</v>
      </c>
      <c r="F8283" t="s">
        <v>189</v>
      </c>
      <c r="G8283" t="s">
        <v>12</v>
      </c>
      <c r="H8283" s="1">
        <v>43088</v>
      </c>
      <c r="I8283" s="1">
        <v>43097</v>
      </c>
      <c r="J8283">
        <v>4315</v>
      </c>
    </row>
    <row r="8284" spans="1:10" x14ac:dyDescent="0.3">
      <c r="A8284" t="s">
        <v>8415</v>
      </c>
      <c r="B8284" t="s">
        <v>142</v>
      </c>
      <c r="C8284" t="str">
        <f>_xlfn.XLOOKUP(B8284,
[1]sales_teams!$A$2:$A$100,
[1]sales_teams!$B$2:$B$100)</f>
        <v>Rocco Neubert</v>
      </c>
      <c r="D8284" t="str">
        <f>_xlfn.XLOOKUP($B8284,sales_teams!$A$2:$A$36,sales_teams!C$2:C$36)</f>
        <v>East</v>
      </c>
      <c r="E8284" t="s">
        <v>39</v>
      </c>
      <c r="F8284" t="s">
        <v>65</v>
      </c>
      <c r="G8284" t="s">
        <v>46</v>
      </c>
      <c r="H8284" s="1">
        <v>43089</v>
      </c>
      <c r="I8284" s="1">
        <v>43097</v>
      </c>
      <c r="J8284">
        <v>0</v>
      </c>
    </row>
    <row r="8285" spans="1:10" x14ac:dyDescent="0.3">
      <c r="A8285" t="s">
        <v>8416</v>
      </c>
      <c r="B8285" t="s">
        <v>54</v>
      </c>
      <c r="C8285" t="str">
        <f>_xlfn.XLOOKUP(B8285,
[1]sales_teams!$A$2:$A$100,
[1]sales_teams!$B$2:$B$100)</f>
        <v>Celia Rouche</v>
      </c>
      <c r="D8285" t="str">
        <f>_xlfn.XLOOKUP($B8285,sales_teams!$A$2:$A$36,sales_teams!C$2:C$36)</f>
        <v>West</v>
      </c>
      <c r="E8285" t="s">
        <v>18</v>
      </c>
      <c r="F8285" t="s">
        <v>143</v>
      </c>
      <c r="G8285" t="s">
        <v>40</v>
      </c>
      <c r="H8285" s="1">
        <v>43089</v>
      </c>
    </row>
    <row r="8286" spans="1:10" x14ac:dyDescent="0.3">
      <c r="A8286" t="s">
        <v>8417</v>
      </c>
      <c r="B8286" t="s">
        <v>88</v>
      </c>
      <c r="C8286" t="str">
        <f>_xlfn.XLOOKUP(B8286,
[1]sales_teams!$A$2:$A$100,
[1]sales_teams!$B$2:$B$100)</f>
        <v>Cara Losch</v>
      </c>
      <c r="D8286" t="str">
        <f>_xlfn.XLOOKUP($B8286,sales_teams!$A$2:$A$36,sales_teams!C$2:C$36)</f>
        <v>East</v>
      </c>
      <c r="E8286" t="s">
        <v>15</v>
      </c>
      <c r="F8286" t="s">
        <v>74</v>
      </c>
      <c r="G8286" t="s">
        <v>12</v>
      </c>
      <c r="H8286" s="1">
        <v>43089</v>
      </c>
      <c r="I8286" s="1">
        <v>43098</v>
      </c>
      <c r="J8286">
        <v>5574</v>
      </c>
    </row>
    <row r="8287" spans="1:10" x14ac:dyDescent="0.3">
      <c r="A8287" t="s">
        <v>8418</v>
      </c>
      <c r="B8287" t="s">
        <v>102</v>
      </c>
      <c r="C8287" t="str">
        <f>_xlfn.XLOOKUP(B8287,
[1]sales_teams!$A$2:$A$100,
[1]sales_teams!$B$2:$B$100)</f>
        <v>Cara Losch</v>
      </c>
      <c r="D8287" t="str">
        <f>_xlfn.XLOOKUP($B8287,sales_teams!$A$2:$A$36,sales_teams!C$2:C$36)</f>
        <v>East</v>
      </c>
      <c r="E8287" t="s">
        <v>10</v>
      </c>
      <c r="G8287" t="s">
        <v>40</v>
      </c>
      <c r="H8287" s="1">
        <v>43089</v>
      </c>
    </row>
    <row r="8288" spans="1:10" x14ac:dyDescent="0.3">
      <c r="A8288" t="s">
        <v>8419</v>
      </c>
      <c r="B8288" t="s">
        <v>118</v>
      </c>
      <c r="C8288" t="str">
        <f>_xlfn.XLOOKUP(B8288,
[1]sales_teams!$A$2:$A$100,
[1]sales_teams!$B$2:$B$100)</f>
        <v>Rocco Neubert</v>
      </c>
      <c r="D8288" t="str">
        <f>_xlfn.XLOOKUP($B8288,sales_teams!$A$2:$A$36,sales_teams!C$2:C$36)</f>
        <v>East</v>
      </c>
      <c r="E8288" t="s">
        <v>48</v>
      </c>
      <c r="G8288" t="s">
        <v>40</v>
      </c>
      <c r="H8288" s="1">
        <v>43090</v>
      </c>
    </row>
    <row r="8289" spans="1:10" x14ac:dyDescent="0.3">
      <c r="A8289" t="s">
        <v>8420</v>
      </c>
      <c r="B8289" t="s">
        <v>44</v>
      </c>
      <c r="C8289" t="str">
        <f>_xlfn.XLOOKUP(B8289,
[1]sales_teams!$A$2:$A$100,
[1]sales_teams!$B$2:$B$100)</f>
        <v>Melvin Marxen</v>
      </c>
      <c r="D8289" t="str">
        <f>_xlfn.XLOOKUP($B8289,sales_teams!$A$2:$A$36,sales_teams!C$2:C$36)</f>
        <v>Central</v>
      </c>
      <c r="E8289" t="s">
        <v>39</v>
      </c>
      <c r="F8289" t="s">
        <v>45</v>
      </c>
      <c r="G8289" t="s">
        <v>12</v>
      </c>
      <c r="H8289" s="1">
        <v>43090</v>
      </c>
      <c r="I8289" s="1">
        <v>43099</v>
      </c>
      <c r="J8289">
        <v>3494</v>
      </c>
    </row>
    <row r="8290" spans="1:10" x14ac:dyDescent="0.3">
      <c r="A8290" t="s">
        <v>8421</v>
      </c>
      <c r="B8290" t="s">
        <v>78</v>
      </c>
      <c r="C8290" t="str">
        <f>_xlfn.XLOOKUP(B8290,
[1]sales_teams!$A$2:$A$100,
[1]sales_teams!$B$2:$B$100)</f>
        <v>Summer Sewald</v>
      </c>
      <c r="D8290" t="str">
        <f>_xlfn.XLOOKUP($B8290,sales_teams!$A$2:$A$36,sales_teams!C$2:C$36)</f>
        <v>West</v>
      </c>
      <c r="E8290" t="s">
        <v>18</v>
      </c>
      <c r="F8290" t="s">
        <v>224</v>
      </c>
      <c r="G8290" t="s">
        <v>12</v>
      </c>
      <c r="H8290" s="1">
        <v>43090</v>
      </c>
      <c r="I8290" s="1">
        <v>43097</v>
      </c>
      <c r="J8290">
        <v>50</v>
      </c>
    </row>
    <row r="8291" spans="1:10" x14ac:dyDescent="0.3">
      <c r="A8291" t="s">
        <v>8422</v>
      </c>
      <c r="B8291" t="s">
        <v>29</v>
      </c>
      <c r="C8291" t="str">
        <f>_xlfn.XLOOKUP(B8291,
[1]sales_teams!$A$2:$A$100,
[1]sales_teams!$B$2:$B$100)</f>
        <v>Celia Rouche</v>
      </c>
      <c r="D8291" t="str">
        <f>_xlfn.XLOOKUP($B8291,sales_teams!$A$2:$A$36,sales_teams!C$2:C$36)</f>
        <v>West</v>
      </c>
      <c r="E8291" t="s">
        <v>18</v>
      </c>
      <c r="F8291" t="s">
        <v>315</v>
      </c>
      <c r="G8291" t="s">
        <v>12</v>
      </c>
      <c r="H8291" s="1">
        <v>43090</v>
      </c>
      <c r="I8291" s="1">
        <v>43097</v>
      </c>
      <c r="J8291">
        <v>61</v>
      </c>
    </row>
    <row r="8292" spans="1:10" x14ac:dyDescent="0.3">
      <c r="A8292" t="s">
        <v>8423</v>
      </c>
      <c r="B8292" t="s">
        <v>67</v>
      </c>
      <c r="C8292" t="str">
        <f>_xlfn.XLOOKUP(B8292,
[1]sales_teams!$A$2:$A$100,
[1]sales_teams!$B$2:$B$100)</f>
        <v>Celia Rouche</v>
      </c>
      <c r="D8292" t="str">
        <f>_xlfn.XLOOKUP($B8292,sales_teams!$A$2:$A$36,sales_teams!C$2:C$36)</f>
        <v>West</v>
      </c>
      <c r="E8292" t="s">
        <v>18</v>
      </c>
      <c r="G8292" t="s">
        <v>40</v>
      </c>
      <c r="H8292" s="1">
        <v>43091</v>
      </c>
    </row>
    <row r="8293" spans="1:10" x14ac:dyDescent="0.3">
      <c r="A8293" t="s">
        <v>8424</v>
      </c>
      <c r="B8293" t="s">
        <v>95</v>
      </c>
      <c r="C8293" t="str">
        <f>_xlfn.XLOOKUP(B8293,
[1]sales_teams!$A$2:$A$100,
[1]sales_teams!$B$2:$B$100)</f>
        <v>Summer Sewald</v>
      </c>
      <c r="D8293" t="str">
        <f>_xlfn.XLOOKUP($B8293,sales_teams!$A$2:$A$36,sales_teams!C$2:C$36)</f>
        <v>West</v>
      </c>
      <c r="E8293" t="s">
        <v>18</v>
      </c>
      <c r="F8293" t="s">
        <v>49</v>
      </c>
      <c r="G8293" t="s">
        <v>46</v>
      </c>
      <c r="H8293" s="1">
        <v>43091</v>
      </c>
      <c r="I8293" s="1">
        <v>43100</v>
      </c>
      <c r="J8293">
        <v>0</v>
      </c>
    </row>
    <row r="8294" spans="1:10" x14ac:dyDescent="0.3">
      <c r="A8294" t="s">
        <v>8425</v>
      </c>
      <c r="B8294" t="s">
        <v>73</v>
      </c>
      <c r="C8294" t="str">
        <f>_xlfn.XLOOKUP(B8294,
[1]sales_teams!$A$2:$A$100,
[1]sales_teams!$B$2:$B$100)</f>
        <v>Cara Losch</v>
      </c>
      <c r="D8294" t="str">
        <f>_xlfn.XLOOKUP($B8294,sales_teams!$A$2:$A$36,sales_teams!C$2:C$36)</f>
        <v>East</v>
      </c>
      <c r="E8294" t="s">
        <v>39</v>
      </c>
      <c r="F8294" t="s">
        <v>204</v>
      </c>
      <c r="G8294" t="s">
        <v>12</v>
      </c>
      <c r="H8294" s="1">
        <v>43091</v>
      </c>
      <c r="I8294" s="1">
        <v>43097</v>
      </c>
      <c r="J8294">
        <v>3673</v>
      </c>
    </row>
    <row r="8295" spans="1:10" x14ac:dyDescent="0.3">
      <c r="A8295" t="s">
        <v>8426</v>
      </c>
      <c r="B8295" t="s">
        <v>118</v>
      </c>
      <c r="C8295" t="str">
        <f>_xlfn.XLOOKUP(B8295,
[1]sales_teams!$A$2:$A$100,
[1]sales_teams!$B$2:$B$100)</f>
        <v>Rocco Neubert</v>
      </c>
      <c r="D8295" t="str">
        <f>_xlfn.XLOOKUP($B8295,sales_teams!$A$2:$A$36,sales_teams!C$2:C$36)</f>
        <v>East</v>
      </c>
      <c r="E8295" t="s">
        <v>20</v>
      </c>
      <c r="F8295" t="s">
        <v>81</v>
      </c>
      <c r="G8295" t="s">
        <v>12</v>
      </c>
      <c r="H8295" s="1">
        <v>43092</v>
      </c>
      <c r="I8295" s="1">
        <v>43100</v>
      </c>
      <c r="J8295">
        <v>576</v>
      </c>
    </row>
    <row r="8296" spans="1:10" x14ac:dyDescent="0.3">
      <c r="A8296" t="s">
        <v>8427</v>
      </c>
      <c r="B8296" t="s">
        <v>38</v>
      </c>
      <c r="C8296" t="str">
        <f>_xlfn.XLOOKUP(B8296,
[1]sales_teams!$A$2:$A$100,
[1]sales_teams!$B$2:$B$100)</f>
        <v>Summer Sewald</v>
      </c>
      <c r="D8296" t="str">
        <f>_xlfn.XLOOKUP($B8296,sales_teams!$A$2:$A$36,sales_teams!C$2:C$36)</f>
        <v>West</v>
      </c>
      <c r="E8296" t="s">
        <v>20</v>
      </c>
      <c r="F8296" t="s">
        <v>273</v>
      </c>
      <c r="G8296" t="s">
        <v>12</v>
      </c>
      <c r="H8296" s="1">
        <v>43093</v>
      </c>
      <c r="I8296" s="1">
        <v>43095</v>
      </c>
      <c r="J8296">
        <v>538</v>
      </c>
    </row>
    <row r="8297" spans="1:10" x14ac:dyDescent="0.3">
      <c r="A8297" t="s">
        <v>8428</v>
      </c>
      <c r="B8297" t="s">
        <v>133</v>
      </c>
      <c r="C8297" t="str">
        <f>_xlfn.XLOOKUP(B8297,
[1]sales_teams!$A$2:$A$100,
[1]sales_teams!$B$2:$B$100)</f>
        <v>Dustin Brinkmann</v>
      </c>
      <c r="D8297" t="str">
        <f>_xlfn.XLOOKUP($B8297,sales_teams!$A$2:$A$36,sales_teams!C$2:C$36)</f>
        <v>Central</v>
      </c>
      <c r="E8297" t="s">
        <v>20</v>
      </c>
      <c r="F8297" t="s">
        <v>120</v>
      </c>
      <c r="G8297" t="s">
        <v>12</v>
      </c>
      <c r="H8297" s="1">
        <v>43093</v>
      </c>
      <c r="I8297" s="1">
        <v>43095</v>
      </c>
      <c r="J8297">
        <v>622</v>
      </c>
    </row>
    <row r="8298" spans="1:10" x14ac:dyDescent="0.3">
      <c r="A8298" t="s">
        <v>8429</v>
      </c>
      <c r="B8298" t="s">
        <v>73</v>
      </c>
      <c r="C8298" t="str">
        <f>_xlfn.XLOOKUP(B8298,
[1]sales_teams!$A$2:$A$100,
[1]sales_teams!$B$2:$B$100)</f>
        <v>Cara Losch</v>
      </c>
      <c r="D8298" t="str">
        <f>_xlfn.XLOOKUP($B8298,sales_teams!$A$2:$A$36,sales_teams!C$2:C$36)</f>
        <v>East</v>
      </c>
      <c r="E8298" t="s">
        <v>10</v>
      </c>
      <c r="F8298" t="s">
        <v>745</v>
      </c>
      <c r="G8298" t="s">
        <v>12</v>
      </c>
      <c r="H8298" s="1">
        <v>43093</v>
      </c>
      <c r="I8298" s="1">
        <v>43099</v>
      </c>
      <c r="J8298">
        <v>1093</v>
      </c>
    </row>
    <row r="8299" spans="1:10" x14ac:dyDescent="0.3">
      <c r="A8299" t="s">
        <v>8430</v>
      </c>
      <c r="B8299" t="s">
        <v>51</v>
      </c>
      <c r="C8299" t="str">
        <f>_xlfn.XLOOKUP(B8299,
[1]sales_teams!$A$2:$A$100,
[1]sales_teams!$B$2:$B$100)</f>
        <v>Summer Sewald</v>
      </c>
      <c r="D8299" t="str">
        <f>_xlfn.XLOOKUP($B8299,sales_teams!$A$2:$A$36,sales_teams!C$2:C$36)</f>
        <v>West</v>
      </c>
      <c r="E8299" t="s">
        <v>15</v>
      </c>
      <c r="F8299" t="s">
        <v>315</v>
      </c>
      <c r="G8299" t="s">
        <v>12</v>
      </c>
      <c r="H8299" s="1">
        <v>43095</v>
      </c>
      <c r="I8299" s="1">
        <v>43098</v>
      </c>
      <c r="J8299">
        <v>4433</v>
      </c>
    </row>
    <row r="8300" spans="1:10" x14ac:dyDescent="0.3">
      <c r="A8300" t="s">
        <v>8431</v>
      </c>
      <c r="B8300" t="s">
        <v>44</v>
      </c>
      <c r="C8300" t="str">
        <f>_xlfn.XLOOKUP(B8300,
[1]sales_teams!$A$2:$A$100,
[1]sales_teams!$B$2:$B$100)</f>
        <v>Melvin Marxen</v>
      </c>
      <c r="D8300" t="str">
        <f>_xlfn.XLOOKUP($B8300,sales_teams!$A$2:$A$36,sales_teams!C$2:C$36)</f>
        <v>Central</v>
      </c>
      <c r="E8300" t="s">
        <v>10</v>
      </c>
      <c r="F8300" t="s">
        <v>318</v>
      </c>
      <c r="G8300" t="s">
        <v>12</v>
      </c>
      <c r="H8300" s="1">
        <v>43096</v>
      </c>
      <c r="I8300" s="1">
        <v>43099</v>
      </c>
      <c r="J8300">
        <v>1052</v>
      </c>
    </row>
    <row r="8301" spans="1:10" x14ac:dyDescent="0.3">
      <c r="A8301" t="s">
        <v>8432</v>
      </c>
      <c r="B8301" t="s">
        <v>44</v>
      </c>
      <c r="C8301" t="str">
        <f>_xlfn.XLOOKUP(B8301,
[1]sales_teams!$A$2:$A$100,
[1]sales_teams!$B$2:$B$100)</f>
        <v>Melvin Marxen</v>
      </c>
      <c r="D8301" t="str">
        <f>_xlfn.XLOOKUP($B8301,sales_teams!$A$2:$A$36,sales_teams!C$2:C$36)</f>
        <v>Central</v>
      </c>
      <c r="E8301" t="s">
        <v>18</v>
      </c>
      <c r="F8301" t="s">
        <v>303</v>
      </c>
      <c r="G8301" t="s">
        <v>12</v>
      </c>
      <c r="H8301" s="1">
        <v>43096</v>
      </c>
      <c r="I8301" s="1">
        <v>43098</v>
      </c>
      <c r="J8301">
        <v>67</v>
      </c>
    </row>
    <row r="8302" spans="1:10" x14ac:dyDescent="0.3">
      <c r="A8302" t="s">
        <v>8433</v>
      </c>
      <c r="B8302" t="s">
        <v>26</v>
      </c>
      <c r="C8302" t="str">
        <f>_xlfn.XLOOKUP(B8302,
[1]sales_teams!$A$2:$A$100,
[1]sales_teams!$B$2:$B$100)</f>
        <v>Dustin Brinkmann</v>
      </c>
      <c r="D8302" t="str">
        <f>_xlfn.XLOOKUP($B8302,sales_teams!$A$2:$A$36,sales_teams!C$2:C$36)</f>
        <v>Central</v>
      </c>
      <c r="E8302" t="s">
        <v>20</v>
      </c>
      <c r="F8302" t="s">
        <v>100</v>
      </c>
      <c r="G8302" t="s">
        <v>8434</v>
      </c>
    </row>
    <row r="8303" spans="1:10" x14ac:dyDescent="0.3">
      <c r="A8303" t="s">
        <v>8435</v>
      </c>
      <c r="B8303" t="s">
        <v>26</v>
      </c>
      <c r="C8303" t="str">
        <f>_xlfn.XLOOKUP(B8303,
[1]sales_teams!$A$2:$A$100,
[1]sales_teams!$B$2:$B$100)</f>
        <v>Dustin Brinkmann</v>
      </c>
      <c r="D8303" t="str">
        <f>_xlfn.XLOOKUP($B8303,sales_teams!$A$2:$A$36,sales_teams!C$2:C$36)</f>
        <v>Central</v>
      </c>
      <c r="E8303" t="s">
        <v>20</v>
      </c>
      <c r="G8303" t="s">
        <v>8434</v>
      </c>
    </row>
    <row r="8304" spans="1:10" x14ac:dyDescent="0.3">
      <c r="A8304" t="s">
        <v>8436</v>
      </c>
      <c r="B8304" t="s">
        <v>26</v>
      </c>
      <c r="C8304" t="str">
        <f>_xlfn.XLOOKUP(B8304,
[1]sales_teams!$A$2:$A$100,
[1]sales_teams!$B$2:$B$100)</f>
        <v>Dustin Brinkmann</v>
      </c>
      <c r="D8304" t="str">
        <f>_xlfn.XLOOKUP($B8304,sales_teams!$A$2:$A$36,sales_teams!C$2:C$36)</f>
        <v>Central</v>
      </c>
      <c r="E8304" t="s">
        <v>20</v>
      </c>
      <c r="G8304" t="s">
        <v>8434</v>
      </c>
    </row>
    <row r="8305" spans="1:7" x14ac:dyDescent="0.3">
      <c r="A8305" t="s">
        <v>8437</v>
      </c>
      <c r="B8305" t="s">
        <v>26</v>
      </c>
      <c r="C8305" t="str">
        <f>_xlfn.XLOOKUP(B8305,
[1]sales_teams!$A$2:$A$100,
[1]sales_teams!$B$2:$B$100)</f>
        <v>Dustin Brinkmann</v>
      </c>
      <c r="D8305" t="str">
        <f>_xlfn.XLOOKUP($B8305,sales_teams!$A$2:$A$36,sales_teams!C$2:C$36)</f>
        <v>Central</v>
      </c>
      <c r="E8305" t="s">
        <v>20</v>
      </c>
      <c r="G8305" t="s">
        <v>8434</v>
      </c>
    </row>
    <row r="8306" spans="1:7" x14ac:dyDescent="0.3">
      <c r="A8306" t="s">
        <v>8438</v>
      </c>
      <c r="B8306" t="s">
        <v>26</v>
      </c>
      <c r="C8306" t="str">
        <f>_xlfn.XLOOKUP(B8306,
[1]sales_teams!$A$2:$A$100,
[1]sales_teams!$B$2:$B$100)</f>
        <v>Dustin Brinkmann</v>
      </c>
      <c r="D8306" t="str">
        <f>_xlfn.XLOOKUP($B8306,sales_teams!$A$2:$A$36,sales_teams!C$2:C$36)</f>
        <v>Central</v>
      </c>
      <c r="E8306" t="s">
        <v>20</v>
      </c>
      <c r="G8306" t="s">
        <v>8434</v>
      </c>
    </row>
    <row r="8307" spans="1:7" x14ac:dyDescent="0.3">
      <c r="A8307" t="s">
        <v>8439</v>
      </c>
      <c r="B8307" t="s">
        <v>26</v>
      </c>
      <c r="C8307" t="str">
        <f>_xlfn.XLOOKUP(B8307,
[1]sales_teams!$A$2:$A$100,
[1]sales_teams!$B$2:$B$100)</f>
        <v>Dustin Brinkmann</v>
      </c>
      <c r="D8307" t="str">
        <f>_xlfn.XLOOKUP($B8307,sales_teams!$A$2:$A$36,sales_teams!C$2:C$36)</f>
        <v>Central</v>
      </c>
      <c r="E8307" t="s">
        <v>20</v>
      </c>
      <c r="G8307" t="s">
        <v>8434</v>
      </c>
    </row>
    <row r="8308" spans="1:7" x14ac:dyDescent="0.3">
      <c r="A8308" t="s">
        <v>8440</v>
      </c>
      <c r="B8308" t="s">
        <v>26</v>
      </c>
      <c r="C8308" t="str">
        <f>_xlfn.XLOOKUP(B8308,
[1]sales_teams!$A$2:$A$100,
[1]sales_teams!$B$2:$B$100)</f>
        <v>Dustin Brinkmann</v>
      </c>
      <c r="D8308" t="str">
        <f>_xlfn.XLOOKUP($B8308,sales_teams!$A$2:$A$36,sales_teams!C$2:C$36)</f>
        <v>Central</v>
      </c>
      <c r="E8308" t="s">
        <v>20</v>
      </c>
      <c r="G8308" t="s">
        <v>8434</v>
      </c>
    </row>
    <row r="8309" spans="1:7" x14ac:dyDescent="0.3">
      <c r="A8309" t="s">
        <v>8441</v>
      </c>
      <c r="B8309" t="s">
        <v>26</v>
      </c>
      <c r="C8309" t="str">
        <f>_xlfn.XLOOKUP(B8309,
[1]sales_teams!$A$2:$A$100,
[1]sales_teams!$B$2:$B$100)</f>
        <v>Dustin Brinkmann</v>
      </c>
      <c r="D8309" t="str">
        <f>_xlfn.XLOOKUP($B8309,sales_teams!$A$2:$A$36,sales_teams!C$2:C$36)</f>
        <v>Central</v>
      </c>
      <c r="E8309" t="s">
        <v>10</v>
      </c>
      <c r="F8309" t="s">
        <v>168</v>
      </c>
      <c r="G8309" t="s">
        <v>8434</v>
      </c>
    </row>
    <row r="8310" spans="1:7" x14ac:dyDescent="0.3">
      <c r="A8310" t="s">
        <v>8442</v>
      </c>
      <c r="B8310" t="s">
        <v>26</v>
      </c>
      <c r="C8310" t="str">
        <f>_xlfn.XLOOKUP(B8310,
[1]sales_teams!$A$2:$A$100,
[1]sales_teams!$B$2:$B$100)</f>
        <v>Dustin Brinkmann</v>
      </c>
      <c r="D8310" t="str">
        <f>_xlfn.XLOOKUP($B8310,sales_teams!$A$2:$A$36,sales_teams!C$2:C$36)</f>
        <v>Central</v>
      </c>
      <c r="E8310" t="s">
        <v>10</v>
      </c>
      <c r="F8310" t="s">
        <v>36</v>
      </c>
      <c r="G8310" t="s">
        <v>8434</v>
      </c>
    </row>
    <row r="8311" spans="1:7" x14ac:dyDescent="0.3">
      <c r="A8311" t="s">
        <v>8443</v>
      </c>
      <c r="B8311" t="s">
        <v>26</v>
      </c>
      <c r="C8311" t="str">
        <f>_xlfn.XLOOKUP(B8311,
[1]sales_teams!$A$2:$A$100,
[1]sales_teams!$B$2:$B$100)</f>
        <v>Dustin Brinkmann</v>
      </c>
      <c r="D8311" t="str">
        <f>_xlfn.XLOOKUP($B8311,sales_teams!$A$2:$A$36,sales_teams!C$2:C$36)</f>
        <v>Central</v>
      </c>
      <c r="E8311" t="s">
        <v>10</v>
      </c>
      <c r="G8311" t="s">
        <v>8434</v>
      </c>
    </row>
    <row r="8312" spans="1:7" x14ac:dyDescent="0.3">
      <c r="A8312" t="s">
        <v>8444</v>
      </c>
      <c r="B8312" t="s">
        <v>26</v>
      </c>
      <c r="C8312" t="str">
        <f>_xlfn.XLOOKUP(B8312,
[1]sales_teams!$A$2:$A$100,
[1]sales_teams!$B$2:$B$100)</f>
        <v>Dustin Brinkmann</v>
      </c>
      <c r="D8312" t="str">
        <f>_xlfn.XLOOKUP($B8312,sales_teams!$A$2:$A$36,sales_teams!C$2:C$36)</f>
        <v>Central</v>
      </c>
      <c r="E8312" t="s">
        <v>10</v>
      </c>
      <c r="G8312" t="s">
        <v>8434</v>
      </c>
    </row>
    <row r="8313" spans="1:7" x14ac:dyDescent="0.3">
      <c r="A8313" t="s">
        <v>8445</v>
      </c>
      <c r="B8313" t="s">
        <v>26</v>
      </c>
      <c r="C8313" t="str">
        <f>_xlfn.XLOOKUP(B8313,
[1]sales_teams!$A$2:$A$100,
[1]sales_teams!$B$2:$B$100)</f>
        <v>Dustin Brinkmann</v>
      </c>
      <c r="D8313" t="str">
        <f>_xlfn.XLOOKUP($B8313,sales_teams!$A$2:$A$36,sales_teams!C$2:C$36)</f>
        <v>Central</v>
      </c>
      <c r="E8313" t="s">
        <v>48</v>
      </c>
      <c r="F8313" t="s">
        <v>24</v>
      </c>
      <c r="G8313" t="s">
        <v>8434</v>
      </c>
    </row>
    <row r="8314" spans="1:7" x14ac:dyDescent="0.3">
      <c r="A8314" t="s">
        <v>8446</v>
      </c>
      <c r="B8314" t="s">
        <v>26</v>
      </c>
      <c r="C8314" t="str">
        <f>_xlfn.XLOOKUP(B8314,
[1]sales_teams!$A$2:$A$100,
[1]sales_teams!$B$2:$B$100)</f>
        <v>Dustin Brinkmann</v>
      </c>
      <c r="D8314" t="str">
        <f>_xlfn.XLOOKUP($B8314,sales_teams!$A$2:$A$36,sales_teams!C$2:C$36)</f>
        <v>Central</v>
      </c>
      <c r="E8314" t="s">
        <v>48</v>
      </c>
      <c r="F8314" t="s">
        <v>329</v>
      </c>
      <c r="G8314" t="s">
        <v>8434</v>
      </c>
    </row>
    <row r="8315" spans="1:7" x14ac:dyDescent="0.3">
      <c r="A8315" t="s">
        <v>8447</v>
      </c>
      <c r="B8315" t="s">
        <v>26</v>
      </c>
      <c r="C8315" t="str">
        <f>_xlfn.XLOOKUP(B8315,
[1]sales_teams!$A$2:$A$100,
[1]sales_teams!$B$2:$B$100)</f>
        <v>Dustin Brinkmann</v>
      </c>
      <c r="D8315" t="str">
        <f>_xlfn.XLOOKUP($B8315,sales_teams!$A$2:$A$36,sales_teams!C$2:C$36)</f>
        <v>Central</v>
      </c>
      <c r="E8315" t="s">
        <v>48</v>
      </c>
      <c r="G8315" t="s">
        <v>8434</v>
      </c>
    </row>
    <row r="8316" spans="1:7" x14ac:dyDescent="0.3">
      <c r="A8316" t="s">
        <v>8448</v>
      </c>
      <c r="B8316" t="s">
        <v>26</v>
      </c>
      <c r="C8316" t="str">
        <f>_xlfn.XLOOKUP(B8316,
[1]sales_teams!$A$2:$A$100,
[1]sales_teams!$B$2:$B$100)</f>
        <v>Dustin Brinkmann</v>
      </c>
      <c r="D8316" t="str">
        <f>_xlfn.XLOOKUP($B8316,sales_teams!$A$2:$A$36,sales_teams!C$2:C$36)</f>
        <v>Central</v>
      </c>
      <c r="E8316" t="s">
        <v>48</v>
      </c>
      <c r="G8316" t="s">
        <v>8434</v>
      </c>
    </row>
    <row r="8317" spans="1:7" x14ac:dyDescent="0.3">
      <c r="A8317" t="s">
        <v>8449</v>
      </c>
      <c r="B8317" t="s">
        <v>26</v>
      </c>
      <c r="C8317" t="str">
        <f>_xlfn.XLOOKUP(B8317,
[1]sales_teams!$A$2:$A$100,
[1]sales_teams!$B$2:$B$100)</f>
        <v>Dustin Brinkmann</v>
      </c>
      <c r="D8317" t="str">
        <f>_xlfn.XLOOKUP($B8317,sales_teams!$A$2:$A$36,sales_teams!C$2:C$36)</f>
        <v>Central</v>
      </c>
      <c r="E8317" t="s">
        <v>48</v>
      </c>
      <c r="G8317" t="s">
        <v>8434</v>
      </c>
    </row>
    <row r="8318" spans="1:7" x14ac:dyDescent="0.3">
      <c r="A8318" t="s">
        <v>8450</v>
      </c>
      <c r="B8318" t="s">
        <v>26</v>
      </c>
      <c r="C8318" t="str">
        <f>_xlfn.XLOOKUP(B8318,
[1]sales_teams!$A$2:$A$100,
[1]sales_teams!$B$2:$B$100)</f>
        <v>Dustin Brinkmann</v>
      </c>
      <c r="D8318" t="str">
        <f>_xlfn.XLOOKUP($B8318,sales_teams!$A$2:$A$36,sales_teams!C$2:C$36)</f>
        <v>Central</v>
      </c>
      <c r="E8318" t="s">
        <v>18</v>
      </c>
      <c r="F8318" t="s">
        <v>120</v>
      </c>
      <c r="G8318" t="s">
        <v>8434</v>
      </c>
    </row>
    <row r="8319" spans="1:7" x14ac:dyDescent="0.3">
      <c r="A8319" t="s">
        <v>8451</v>
      </c>
      <c r="B8319" t="s">
        <v>26</v>
      </c>
      <c r="C8319" t="str">
        <f>_xlfn.XLOOKUP(B8319,
[1]sales_teams!$A$2:$A$100,
[1]sales_teams!$B$2:$B$100)</f>
        <v>Dustin Brinkmann</v>
      </c>
      <c r="D8319" t="str">
        <f>_xlfn.XLOOKUP($B8319,sales_teams!$A$2:$A$36,sales_teams!C$2:C$36)</f>
        <v>Central</v>
      </c>
      <c r="E8319" t="s">
        <v>18</v>
      </c>
      <c r="F8319" t="s">
        <v>197</v>
      </c>
      <c r="G8319" t="s">
        <v>8434</v>
      </c>
    </row>
    <row r="8320" spans="1:7" x14ac:dyDescent="0.3">
      <c r="A8320" t="s">
        <v>8452</v>
      </c>
      <c r="B8320" t="s">
        <v>26</v>
      </c>
      <c r="C8320" t="str">
        <f>_xlfn.XLOOKUP(B8320,
[1]sales_teams!$A$2:$A$100,
[1]sales_teams!$B$2:$B$100)</f>
        <v>Dustin Brinkmann</v>
      </c>
      <c r="D8320" t="str">
        <f>_xlfn.XLOOKUP($B8320,sales_teams!$A$2:$A$36,sales_teams!C$2:C$36)</f>
        <v>Central</v>
      </c>
      <c r="E8320" t="s">
        <v>18</v>
      </c>
      <c r="F8320" t="s">
        <v>129</v>
      </c>
      <c r="G8320" t="s">
        <v>8434</v>
      </c>
    </row>
    <row r="8321" spans="1:7" x14ac:dyDescent="0.3">
      <c r="A8321" t="s">
        <v>8453</v>
      </c>
      <c r="B8321" t="s">
        <v>26</v>
      </c>
      <c r="C8321" t="str">
        <f>_xlfn.XLOOKUP(B8321,
[1]sales_teams!$A$2:$A$100,
[1]sales_teams!$B$2:$B$100)</f>
        <v>Dustin Brinkmann</v>
      </c>
      <c r="D8321" t="str">
        <f>_xlfn.XLOOKUP($B8321,sales_teams!$A$2:$A$36,sales_teams!C$2:C$36)</f>
        <v>Central</v>
      </c>
      <c r="E8321" t="s">
        <v>18</v>
      </c>
      <c r="F8321" t="s">
        <v>81</v>
      </c>
      <c r="G8321" t="s">
        <v>8434</v>
      </c>
    </row>
    <row r="8322" spans="1:7" x14ac:dyDescent="0.3">
      <c r="A8322" t="s">
        <v>8454</v>
      </c>
      <c r="B8322" t="s">
        <v>26</v>
      </c>
      <c r="C8322" t="str">
        <f>_xlfn.XLOOKUP(B8322,
[1]sales_teams!$A$2:$A$100,
[1]sales_teams!$B$2:$B$100)</f>
        <v>Dustin Brinkmann</v>
      </c>
      <c r="D8322" t="str">
        <f>_xlfn.XLOOKUP($B8322,sales_teams!$A$2:$A$36,sales_teams!C$2:C$36)</f>
        <v>Central</v>
      </c>
      <c r="E8322" t="s">
        <v>18</v>
      </c>
      <c r="F8322" t="s">
        <v>100</v>
      </c>
      <c r="G8322" t="s">
        <v>8434</v>
      </c>
    </row>
    <row r="8323" spans="1:7" x14ac:dyDescent="0.3">
      <c r="A8323" t="s">
        <v>8455</v>
      </c>
      <c r="B8323" t="s">
        <v>26</v>
      </c>
      <c r="C8323" t="str">
        <f>_xlfn.XLOOKUP(B8323,
[1]sales_teams!$A$2:$A$100,
[1]sales_teams!$B$2:$B$100)</f>
        <v>Dustin Brinkmann</v>
      </c>
      <c r="D8323" t="str">
        <f>_xlfn.XLOOKUP($B8323,sales_teams!$A$2:$A$36,sales_teams!C$2:C$36)</f>
        <v>Central</v>
      </c>
      <c r="E8323" t="s">
        <v>18</v>
      </c>
      <c r="F8323" t="s">
        <v>30</v>
      </c>
      <c r="G8323" t="s">
        <v>8434</v>
      </c>
    </row>
    <row r="8324" spans="1:7" x14ac:dyDescent="0.3">
      <c r="A8324" t="s">
        <v>8456</v>
      </c>
      <c r="B8324" t="s">
        <v>26</v>
      </c>
      <c r="C8324" t="str">
        <f>_xlfn.XLOOKUP(B8324,
[1]sales_teams!$A$2:$A$100,
[1]sales_teams!$B$2:$B$100)</f>
        <v>Dustin Brinkmann</v>
      </c>
      <c r="D8324" t="str">
        <f>_xlfn.XLOOKUP($B8324,sales_teams!$A$2:$A$36,sales_teams!C$2:C$36)</f>
        <v>Central</v>
      </c>
      <c r="E8324" t="s">
        <v>18</v>
      </c>
      <c r="F8324" t="s">
        <v>86</v>
      </c>
      <c r="G8324" t="s">
        <v>8434</v>
      </c>
    </row>
    <row r="8325" spans="1:7" x14ac:dyDescent="0.3">
      <c r="A8325" t="s">
        <v>8457</v>
      </c>
      <c r="B8325" t="s">
        <v>26</v>
      </c>
      <c r="C8325" t="str">
        <f>_xlfn.XLOOKUP(B8325,
[1]sales_teams!$A$2:$A$100,
[1]sales_teams!$B$2:$B$100)</f>
        <v>Dustin Brinkmann</v>
      </c>
      <c r="D8325" t="str">
        <f>_xlfn.XLOOKUP($B8325,sales_teams!$A$2:$A$36,sales_teams!C$2:C$36)</f>
        <v>Central</v>
      </c>
      <c r="E8325" t="s">
        <v>18</v>
      </c>
      <c r="F8325" t="s">
        <v>157</v>
      </c>
      <c r="G8325" t="s">
        <v>8434</v>
      </c>
    </row>
    <row r="8326" spans="1:7" x14ac:dyDescent="0.3">
      <c r="A8326" t="s">
        <v>8458</v>
      </c>
      <c r="B8326" t="s">
        <v>26</v>
      </c>
      <c r="C8326" t="str">
        <f>_xlfn.XLOOKUP(B8326,
[1]sales_teams!$A$2:$A$100,
[1]sales_teams!$B$2:$B$100)</f>
        <v>Dustin Brinkmann</v>
      </c>
      <c r="D8326" t="str">
        <f>_xlfn.XLOOKUP($B8326,sales_teams!$A$2:$A$36,sales_teams!C$2:C$36)</f>
        <v>Central</v>
      </c>
      <c r="E8326" t="s">
        <v>18</v>
      </c>
      <c r="F8326" t="s">
        <v>215</v>
      </c>
      <c r="G8326" t="s">
        <v>8434</v>
      </c>
    </row>
    <row r="8327" spans="1:7" x14ac:dyDescent="0.3">
      <c r="A8327" t="s">
        <v>8459</v>
      </c>
      <c r="B8327" t="s">
        <v>26</v>
      </c>
      <c r="C8327" t="str">
        <f>_xlfn.XLOOKUP(B8327,
[1]sales_teams!$A$2:$A$100,
[1]sales_teams!$B$2:$B$100)</f>
        <v>Dustin Brinkmann</v>
      </c>
      <c r="D8327" t="str">
        <f>_xlfn.XLOOKUP($B8327,sales_teams!$A$2:$A$36,sales_teams!C$2:C$36)</f>
        <v>Central</v>
      </c>
      <c r="E8327" t="s">
        <v>18</v>
      </c>
      <c r="F8327" t="s">
        <v>215</v>
      </c>
      <c r="G8327" t="s">
        <v>8434</v>
      </c>
    </row>
    <row r="8328" spans="1:7" x14ac:dyDescent="0.3">
      <c r="A8328" t="s">
        <v>8460</v>
      </c>
      <c r="B8328" t="s">
        <v>26</v>
      </c>
      <c r="C8328" t="str">
        <f>_xlfn.XLOOKUP(B8328,
[1]sales_teams!$A$2:$A$100,
[1]sales_teams!$B$2:$B$100)</f>
        <v>Dustin Brinkmann</v>
      </c>
      <c r="D8328" t="str">
        <f>_xlfn.XLOOKUP($B8328,sales_teams!$A$2:$A$36,sales_teams!C$2:C$36)</f>
        <v>Central</v>
      </c>
      <c r="E8328" t="s">
        <v>18</v>
      </c>
      <c r="F8328" t="s">
        <v>59</v>
      </c>
      <c r="G8328" t="s">
        <v>8434</v>
      </c>
    </row>
    <row r="8329" spans="1:7" x14ac:dyDescent="0.3">
      <c r="A8329" t="s">
        <v>8461</v>
      </c>
      <c r="B8329" t="s">
        <v>26</v>
      </c>
      <c r="C8329" t="str">
        <f>_xlfn.XLOOKUP(B8329,
[1]sales_teams!$A$2:$A$100,
[1]sales_teams!$B$2:$B$100)</f>
        <v>Dustin Brinkmann</v>
      </c>
      <c r="D8329" t="str">
        <f>_xlfn.XLOOKUP($B8329,sales_teams!$A$2:$A$36,sales_teams!C$2:C$36)</f>
        <v>Central</v>
      </c>
      <c r="E8329" t="s">
        <v>18</v>
      </c>
      <c r="F8329" t="s">
        <v>52</v>
      </c>
      <c r="G8329" t="s">
        <v>8434</v>
      </c>
    </row>
    <row r="8330" spans="1:7" x14ac:dyDescent="0.3">
      <c r="A8330" t="s">
        <v>8462</v>
      </c>
      <c r="B8330" t="s">
        <v>26</v>
      </c>
      <c r="C8330" t="str">
        <f>_xlfn.XLOOKUP(B8330,
[1]sales_teams!$A$2:$A$100,
[1]sales_teams!$B$2:$B$100)</f>
        <v>Dustin Brinkmann</v>
      </c>
      <c r="D8330" t="str">
        <f>_xlfn.XLOOKUP($B8330,sales_teams!$A$2:$A$36,sales_teams!C$2:C$36)</f>
        <v>Central</v>
      </c>
      <c r="E8330" t="s">
        <v>18</v>
      </c>
      <c r="F8330" t="s">
        <v>74</v>
      </c>
      <c r="G8330" t="s">
        <v>8434</v>
      </c>
    </row>
    <row r="8331" spans="1:7" x14ac:dyDescent="0.3">
      <c r="A8331" t="s">
        <v>8463</v>
      </c>
      <c r="B8331" t="s">
        <v>26</v>
      </c>
      <c r="C8331" t="str">
        <f>_xlfn.XLOOKUP(B8331,
[1]sales_teams!$A$2:$A$100,
[1]sales_teams!$B$2:$B$100)</f>
        <v>Dustin Brinkmann</v>
      </c>
      <c r="D8331" t="str">
        <f>_xlfn.XLOOKUP($B8331,sales_teams!$A$2:$A$36,sales_teams!C$2:C$36)</f>
        <v>Central</v>
      </c>
      <c r="E8331" t="s">
        <v>18</v>
      </c>
      <c r="F8331" t="s">
        <v>79</v>
      </c>
      <c r="G8331" t="s">
        <v>8434</v>
      </c>
    </row>
    <row r="8332" spans="1:7" x14ac:dyDescent="0.3">
      <c r="A8332" t="s">
        <v>8464</v>
      </c>
      <c r="B8332" t="s">
        <v>26</v>
      </c>
      <c r="C8332" t="str">
        <f>_xlfn.XLOOKUP(B8332,
[1]sales_teams!$A$2:$A$100,
[1]sales_teams!$B$2:$B$100)</f>
        <v>Dustin Brinkmann</v>
      </c>
      <c r="D8332" t="str">
        <f>_xlfn.XLOOKUP($B8332,sales_teams!$A$2:$A$36,sales_teams!C$2:C$36)</f>
        <v>Central</v>
      </c>
      <c r="E8332" t="s">
        <v>18</v>
      </c>
      <c r="G8332" t="s">
        <v>8434</v>
      </c>
    </row>
    <row r="8333" spans="1:7" x14ac:dyDescent="0.3">
      <c r="A8333" t="s">
        <v>8465</v>
      </c>
      <c r="B8333" t="s">
        <v>26</v>
      </c>
      <c r="C8333" t="str">
        <f>_xlfn.XLOOKUP(B8333,
[1]sales_teams!$A$2:$A$100,
[1]sales_teams!$B$2:$B$100)</f>
        <v>Dustin Brinkmann</v>
      </c>
      <c r="D8333" t="str">
        <f>_xlfn.XLOOKUP($B8333,sales_teams!$A$2:$A$36,sales_teams!C$2:C$36)</f>
        <v>Central</v>
      </c>
      <c r="E8333" t="s">
        <v>18</v>
      </c>
      <c r="G8333" t="s">
        <v>8434</v>
      </c>
    </row>
    <row r="8334" spans="1:7" x14ac:dyDescent="0.3">
      <c r="A8334" t="s">
        <v>8466</v>
      </c>
      <c r="B8334" t="s">
        <v>26</v>
      </c>
      <c r="C8334" t="str">
        <f>_xlfn.XLOOKUP(B8334,
[1]sales_teams!$A$2:$A$100,
[1]sales_teams!$B$2:$B$100)</f>
        <v>Dustin Brinkmann</v>
      </c>
      <c r="D8334" t="str">
        <f>_xlfn.XLOOKUP($B8334,sales_teams!$A$2:$A$36,sales_teams!C$2:C$36)</f>
        <v>Central</v>
      </c>
      <c r="E8334" t="s">
        <v>18</v>
      </c>
      <c r="G8334" t="s">
        <v>8434</v>
      </c>
    </row>
    <row r="8335" spans="1:7" x14ac:dyDescent="0.3">
      <c r="A8335" t="s">
        <v>8467</v>
      </c>
      <c r="B8335" t="s">
        <v>26</v>
      </c>
      <c r="C8335" t="str">
        <f>_xlfn.XLOOKUP(B8335,
[1]sales_teams!$A$2:$A$100,
[1]sales_teams!$B$2:$B$100)</f>
        <v>Dustin Brinkmann</v>
      </c>
      <c r="D8335" t="str">
        <f>_xlfn.XLOOKUP($B8335,sales_teams!$A$2:$A$36,sales_teams!C$2:C$36)</f>
        <v>Central</v>
      </c>
      <c r="E8335" t="s">
        <v>18</v>
      </c>
      <c r="G8335" t="s">
        <v>8434</v>
      </c>
    </row>
    <row r="8336" spans="1:7" x14ac:dyDescent="0.3">
      <c r="A8336" t="s">
        <v>8468</v>
      </c>
      <c r="B8336" t="s">
        <v>26</v>
      </c>
      <c r="C8336" t="str">
        <f>_xlfn.XLOOKUP(B8336,
[1]sales_teams!$A$2:$A$100,
[1]sales_teams!$B$2:$B$100)</f>
        <v>Dustin Brinkmann</v>
      </c>
      <c r="D8336" t="str">
        <f>_xlfn.XLOOKUP($B8336,sales_teams!$A$2:$A$36,sales_teams!C$2:C$36)</f>
        <v>Central</v>
      </c>
      <c r="E8336" t="s">
        <v>18</v>
      </c>
      <c r="G8336" t="s">
        <v>8434</v>
      </c>
    </row>
    <row r="8337" spans="1:7" x14ac:dyDescent="0.3">
      <c r="A8337" t="s">
        <v>8469</v>
      </c>
      <c r="B8337" t="s">
        <v>26</v>
      </c>
      <c r="C8337" t="str">
        <f>_xlfn.XLOOKUP(B8337,
[1]sales_teams!$A$2:$A$100,
[1]sales_teams!$B$2:$B$100)</f>
        <v>Dustin Brinkmann</v>
      </c>
      <c r="D8337" t="str">
        <f>_xlfn.XLOOKUP($B8337,sales_teams!$A$2:$A$36,sales_teams!C$2:C$36)</f>
        <v>Central</v>
      </c>
      <c r="E8337" t="s">
        <v>18</v>
      </c>
      <c r="G8337" t="s">
        <v>8434</v>
      </c>
    </row>
    <row r="8338" spans="1:7" x14ac:dyDescent="0.3">
      <c r="A8338" t="s">
        <v>8470</v>
      </c>
      <c r="B8338" t="s">
        <v>26</v>
      </c>
      <c r="C8338" t="str">
        <f>_xlfn.XLOOKUP(B8338,
[1]sales_teams!$A$2:$A$100,
[1]sales_teams!$B$2:$B$100)</f>
        <v>Dustin Brinkmann</v>
      </c>
      <c r="D8338" t="str">
        <f>_xlfn.XLOOKUP($B8338,sales_teams!$A$2:$A$36,sales_teams!C$2:C$36)</f>
        <v>Central</v>
      </c>
      <c r="E8338" t="s">
        <v>18</v>
      </c>
      <c r="G8338" t="s">
        <v>8434</v>
      </c>
    </row>
    <row r="8339" spans="1:7" x14ac:dyDescent="0.3">
      <c r="A8339" t="s">
        <v>8471</v>
      </c>
      <c r="B8339" t="s">
        <v>26</v>
      </c>
      <c r="C8339" t="str">
        <f>_xlfn.XLOOKUP(B8339,
[1]sales_teams!$A$2:$A$100,
[1]sales_teams!$B$2:$B$100)</f>
        <v>Dustin Brinkmann</v>
      </c>
      <c r="D8339" t="str">
        <f>_xlfn.XLOOKUP($B8339,sales_teams!$A$2:$A$36,sales_teams!C$2:C$36)</f>
        <v>Central</v>
      </c>
      <c r="E8339" t="s">
        <v>18</v>
      </c>
      <c r="G8339" t="s">
        <v>8434</v>
      </c>
    </row>
    <row r="8340" spans="1:7" x14ac:dyDescent="0.3">
      <c r="A8340" t="s">
        <v>8472</v>
      </c>
      <c r="B8340" t="s">
        <v>26</v>
      </c>
      <c r="C8340" t="str">
        <f>_xlfn.XLOOKUP(B8340,
[1]sales_teams!$A$2:$A$100,
[1]sales_teams!$B$2:$B$100)</f>
        <v>Dustin Brinkmann</v>
      </c>
      <c r="D8340" t="str">
        <f>_xlfn.XLOOKUP($B8340,sales_teams!$A$2:$A$36,sales_teams!C$2:C$36)</f>
        <v>Central</v>
      </c>
      <c r="E8340" t="s">
        <v>18</v>
      </c>
      <c r="G8340" t="s">
        <v>8434</v>
      </c>
    </row>
    <row r="8341" spans="1:7" x14ac:dyDescent="0.3">
      <c r="A8341" t="s">
        <v>8473</v>
      </c>
      <c r="B8341" t="s">
        <v>26</v>
      </c>
      <c r="C8341" t="str">
        <f>_xlfn.XLOOKUP(B8341,
[1]sales_teams!$A$2:$A$100,
[1]sales_teams!$B$2:$B$100)</f>
        <v>Dustin Brinkmann</v>
      </c>
      <c r="D8341" t="str">
        <f>_xlfn.XLOOKUP($B8341,sales_teams!$A$2:$A$36,sales_teams!C$2:C$36)</f>
        <v>Central</v>
      </c>
      <c r="E8341" t="s">
        <v>18</v>
      </c>
      <c r="G8341" t="s">
        <v>8434</v>
      </c>
    </row>
    <row r="8342" spans="1:7" x14ac:dyDescent="0.3">
      <c r="A8342" t="s">
        <v>8474</v>
      </c>
      <c r="B8342" t="s">
        <v>26</v>
      </c>
      <c r="C8342" t="str">
        <f>_xlfn.XLOOKUP(B8342,
[1]sales_teams!$A$2:$A$100,
[1]sales_teams!$B$2:$B$100)</f>
        <v>Dustin Brinkmann</v>
      </c>
      <c r="D8342" t="str">
        <f>_xlfn.XLOOKUP($B8342,sales_teams!$A$2:$A$36,sales_teams!C$2:C$36)</f>
        <v>Central</v>
      </c>
      <c r="E8342" t="s">
        <v>18</v>
      </c>
      <c r="G8342" t="s">
        <v>8434</v>
      </c>
    </row>
    <row r="8343" spans="1:7" x14ac:dyDescent="0.3">
      <c r="A8343" t="s">
        <v>8475</v>
      </c>
      <c r="B8343" t="s">
        <v>26</v>
      </c>
      <c r="C8343" t="str">
        <f>_xlfn.XLOOKUP(B8343,
[1]sales_teams!$A$2:$A$100,
[1]sales_teams!$B$2:$B$100)</f>
        <v>Dustin Brinkmann</v>
      </c>
      <c r="D8343" t="str">
        <f>_xlfn.XLOOKUP($B8343,sales_teams!$A$2:$A$36,sales_teams!C$2:C$36)</f>
        <v>Central</v>
      </c>
      <c r="E8343" t="s">
        <v>18</v>
      </c>
      <c r="G8343" t="s">
        <v>8434</v>
      </c>
    </row>
    <row r="8344" spans="1:7" x14ac:dyDescent="0.3">
      <c r="A8344" t="s">
        <v>8476</v>
      </c>
      <c r="B8344" t="s">
        <v>26</v>
      </c>
      <c r="C8344" t="str">
        <f>_xlfn.XLOOKUP(B8344,
[1]sales_teams!$A$2:$A$100,
[1]sales_teams!$B$2:$B$100)</f>
        <v>Dustin Brinkmann</v>
      </c>
      <c r="D8344" t="str">
        <f>_xlfn.XLOOKUP($B8344,sales_teams!$A$2:$A$36,sales_teams!C$2:C$36)</f>
        <v>Central</v>
      </c>
      <c r="E8344" t="s">
        <v>18</v>
      </c>
      <c r="G8344" t="s">
        <v>8434</v>
      </c>
    </row>
    <row r="8345" spans="1:7" x14ac:dyDescent="0.3">
      <c r="A8345" t="s">
        <v>8477</v>
      </c>
      <c r="B8345" t="s">
        <v>26</v>
      </c>
      <c r="C8345" t="str">
        <f>_xlfn.XLOOKUP(B8345,
[1]sales_teams!$A$2:$A$100,
[1]sales_teams!$B$2:$B$100)</f>
        <v>Dustin Brinkmann</v>
      </c>
      <c r="D8345" t="str">
        <f>_xlfn.XLOOKUP($B8345,sales_teams!$A$2:$A$36,sales_teams!C$2:C$36)</f>
        <v>Central</v>
      </c>
      <c r="E8345" t="s">
        <v>39</v>
      </c>
      <c r="F8345" t="s">
        <v>204</v>
      </c>
      <c r="G8345" t="s">
        <v>8434</v>
      </c>
    </row>
    <row r="8346" spans="1:7" x14ac:dyDescent="0.3">
      <c r="A8346" t="s">
        <v>8478</v>
      </c>
      <c r="B8346" t="s">
        <v>26</v>
      </c>
      <c r="C8346" t="str">
        <f>_xlfn.XLOOKUP(B8346,
[1]sales_teams!$A$2:$A$100,
[1]sales_teams!$B$2:$B$100)</f>
        <v>Dustin Brinkmann</v>
      </c>
      <c r="D8346" t="str">
        <f>_xlfn.XLOOKUP($B8346,sales_teams!$A$2:$A$36,sales_teams!C$2:C$36)</f>
        <v>Central</v>
      </c>
      <c r="E8346" t="s">
        <v>39</v>
      </c>
      <c r="F8346" t="s">
        <v>165</v>
      </c>
      <c r="G8346" t="s">
        <v>8434</v>
      </c>
    </row>
    <row r="8347" spans="1:7" x14ac:dyDescent="0.3">
      <c r="A8347" t="s">
        <v>8479</v>
      </c>
      <c r="B8347" t="s">
        <v>26</v>
      </c>
      <c r="C8347" t="str">
        <f>_xlfn.XLOOKUP(B8347,
[1]sales_teams!$A$2:$A$100,
[1]sales_teams!$B$2:$B$100)</f>
        <v>Dustin Brinkmann</v>
      </c>
      <c r="D8347" t="str">
        <f>_xlfn.XLOOKUP($B8347,sales_teams!$A$2:$A$36,sales_teams!C$2:C$36)</f>
        <v>Central</v>
      </c>
      <c r="E8347" t="s">
        <v>39</v>
      </c>
      <c r="F8347" t="s">
        <v>70</v>
      </c>
      <c r="G8347" t="s">
        <v>8434</v>
      </c>
    </row>
    <row r="8348" spans="1:7" x14ac:dyDescent="0.3">
      <c r="A8348" t="s">
        <v>8480</v>
      </c>
      <c r="B8348" t="s">
        <v>26</v>
      </c>
      <c r="C8348" t="str">
        <f>_xlfn.XLOOKUP(B8348,
[1]sales_teams!$A$2:$A$100,
[1]sales_teams!$B$2:$B$100)</f>
        <v>Dustin Brinkmann</v>
      </c>
      <c r="D8348" t="str">
        <f>_xlfn.XLOOKUP($B8348,sales_teams!$A$2:$A$36,sales_teams!C$2:C$36)</f>
        <v>Central</v>
      </c>
      <c r="E8348" t="s">
        <v>39</v>
      </c>
      <c r="F8348" t="s">
        <v>318</v>
      </c>
      <c r="G8348" t="s">
        <v>8434</v>
      </c>
    </row>
    <row r="8349" spans="1:7" x14ac:dyDescent="0.3">
      <c r="A8349" t="s">
        <v>8481</v>
      </c>
      <c r="B8349" t="s">
        <v>26</v>
      </c>
      <c r="C8349" t="str">
        <f>_xlfn.XLOOKUP(B8349,
[1]sales_teams!$A$2:$A$100,
[1]sales_teams!$B$2:$B$100)</f>
        <v>Dustin Brinkmann</v>
      </c>
      <c r="D8349" t="str">
        <f>_xlfn.XLOOKUP($B8349,sales_teams!$A$2:$A$36,sales_teams!C$2:C$36)</f>
        <v>Central</v>
      </c>
      <c r="E8349" t="s">
        <v>39</v>
      </c>
      <c r="F8349" t="s">
        <v>492</v>
      </c>
      <c r="G8349" t="s">
        <v>8434</v>
      </c>
    </row>
    <row r="8350" spans="1:7" x14ac:dyDescent="0.3">
      <c r="A8350" t="s">
        <v>8482</v>
      </c>
      <c r="B8350" t="s">
        <v>26</v>
      </c>
      <c r="C8350" t="str">
        <f>_xlfn.XLOOKUP(B8350,
[1]sales_teams!$A$2:$A$100,
[1]sales_teams!$B$2:$B$100)</f>
        <v>Dustin Brinkmann</v>
      </c>
      <c r="D8350" t="str">
        <f>_xlfn.XLOOKUP($B8350,sales_teams!$A$2:$A$36,sales_teams!C$2:C$36)</f>
        <v>Central</v>
      </c>
      <c r="E8350" t="s">
        <v>39</v>
      </c>
      <c r="G8350" t="s">
        <v>8434</v>
      </c>
    </row>
    <row r="8351" spans="1:7" x14ac:dyDescent="0.3">
      <c r="A8351" t="s">
        <v>8483</v>
      </c>
      <c r="B8351" t="s">
        <v>26</v>
      </c>
      <c r="C8351" t="str">
        <f>_xlfn.XLOOKUP(B8351,
[1]sales_teams!$A$2:$A$100,
[1]sales_teams!$B$2:$B$100)</f>
        <v>Dustin Brinkmann</v>
      </c>
      <c r="D8351" t="str">
        <f>_xlfn.XLOOKUP($B8351,sales_teams!$A$2:$A$36,sales_teams!C$2:C$36)</f>
        <v>Central</v>
      </c>
      <c r="E8351" t="s">
        <v>39</v>
      </c>
      <c r="G8351" t="s">
        <v>8434</v>
      </c>
    </row>
    <row r="8352" spans="1:7" x14ac:dyDescent="0.3">
      <c r="A8352" t="s">
        <v>8484</v>
      </c>
      <c r="B8352" t="s">
        <v>26</v>
      </c>
      <c r="C8352" t="str">
        <f>_xlfn.XLOOKUP(B8352,
[1]sales_teams!$A$2:$A$100,
[1]sales_teams!$B$2:$B$100)</f>
        <v>Dustin Brinkmann</v>
      </c>
      <c r="D8352" t="str">
        <f>_xlfn.XLOOKUP($B8352,sales_teams!$A$2:$A$36,sales_teams!C$2:C$36)</f>
        <v>Central</v>
      </c>
      <c r="E8352" t="s">
        <v>39</v>
      </c>
      <c r="G8352" t="s">
        <v>8434</v>
      </c>
    </row>
    <row r="8353" spans="1:7" x14ac:dyDescent="0.3">
      <c r="A8353" t="s">
        <v>8485</v>
      </c>
      <c r="B8353" t="s">
        <v>26</v>
      </c>
      <c r="C8353" t="str">
        <f>_xlfn.XLOOKUP(B8353,
[1]sales_teams!$A$2:$A$100,
[1]sales_teams!$B$2:$B$100)</f>
        <v>Dustin Brinkmann</v>
      </c>
      <c r="D8353" t="str">
        <f>_xlfn.XLOOKUP($B8353,sales_teams!$A$2:$A$36,sales_teams!C$2:C$36)</f>
        <v>Central</v>
      </c>
      <c r="E8353" t="s">
        <v>39</v>
      </c>
      <c r="G8353" t="s">
        <v>8434</v>
      </c>
    </row>
    <row r="8354" spans="1:7" x14ac:dyDescent="0.3">
      <c r="A8354" t="s">
        <v>8486</v>
      </c>
      <c r="B8354" t="s">
        <v>26</v>
      </c>
      <c r="C8354" t="str">
        <f>_xlfn.XLOOKUP(B8354,
[1]sales_teams!$A$2:$A$100,
[1]sales_teams!$B$2:$B$100)</f>
        <v>Dustin Brinkmann</v>
      </c>
      <c r="D8354" t="str">
        <f>_xlfn.XLOOKUP($B8354,sales_teams!$A$2:$A$36,sales_teams!C$2:C$36)</f>
        <v>Central</v>
      </c>
      <c r="E8354" t="s">
        <v>39</v>
      </c>
      <c r="G8354" t="s">
        <v>8434</v>
      </c>
    </row>
    <row r="8355" spans="1:7" x14ac:dyDescent="0.3">
      <c r="A8355" t="s">
        <v>8487</v>
      </c>
      <c r="B8355" t="s">
        <v>26</v>
      </c>
      <c r="C8355" t="str">
        <f>_xlfn.XLOOKUP(B8355,
[1]sales_teams!$A$2:$A$100,
[1]sales_teams!$B$2:$B$100)</f>
        <v>Dustin Brinkmann</v>
      </c>
      <c r="D8355" t="str">
        <f>_xlfn.XLOOKUP($B8355,sales_teams!$A$2:$A$36,sales_teams!C$2:C$36)</f>
        <v>Central</v>
      </c>
      <c r="E8355" t="s">
        <v>39</v>
      </c>
      <c r="G8355" t="s">
        <v>8434</v>
      </c>
    </row>
    <row r="8356" spans="1:7" x14ac:dyDescent="0.3">
      <c r="A8356" t="s">
        <v>8488</v>
      </c>
      <c r="B8356" t="s">
        <v>26</v>
      </c>
      <c r="C8356" t="str">
        <f>_xlfn.XLOOKUP(B8356,
[1]sales_teams!$A$2:$A$100,
[1]sales_teams!$B$2:$B$100)</f>
        <v>Dustin Brinkmann</v>
      </c>
      <c r="D8356" t="str">
        <f>_xlfn.XLOOKUP($B8356,sales_teams!$A$2:$A$36,sales_teams!C$2:C$36)</f>
        <v>Central</v>
      </c>
      <c r="E8356" t="s">
        <v>39</v>
      </c>
      <c r="G8356" t="s">
        <v>8434</v>
      </c>
    </row>
    <row r="8357" spans="1:7" x14ac:dyDescent="0.3">
      <c r="A8357" t="s">
        <v>8489</v>
      </c>
      <c r="B8357" t="s">
        <v>202</v>
      </c>
      <c r="C8357" t="str">
        <f>_xlfn.XLOOKUP(B8357,
[1]sales_teams!$A$2:$A$100,
[1]sales_teams!$B$2:$B$100)</f>
        <v>Dustin Brinkmann</v>
      </c>
      <c r="D8357" t="str">
        <f>_xlfn.XLOOKUP($B8357,sales_teams!$A$2:$A$36,sales_teams!C$2:C$36)</f>
        <v>Central</v>
      </c>
      <c r="E8357" t="s">
        <v>20</v>
      </c>
      <c r="F8357" t="s">
        <v>70</v>
      </c>
      <c r="G8357" t="s">
        <v>8434</v>
      </c>
    </row>
    <row r="8358" spans="1:7" x14ac:dyDescent="0.3">
      <c r="A8358" t="s">
        <v>8490</v>
      </c>
      <c r="B8358" t="s">
        <v>202</v>
      </c>
      <c r="C8358" t="str">
        <f>_xlfn.XLOOKUP(B8358,
[1]sales_teams!$A$2:$A$100,
[1]sales_teams!$B$2:$B$100)</f>
        <v>Dustin Brinkmann</v>
      </c>
      <c r="D8358" t="str">
        <f>_xlfn.XLOOKUP($B8358,sales_teams!$A$2:$A$36,sales_teams!C$2:C$36)</f>
        <v>Central</v>
      </c>
      <c r="E8358" t="s">
        <v>20</v>
      </c>
      <c r="G8358" t="s">
        <v>8434</v>
      </c>
    </row>
    <row r="8359" spans="1:7" x14ac:dyDescent="0.3">
      <c r="A8359" t="s">
        <v>8491</v>
      </c>
      <c r="B8359" t="s">
        <v>202</v>
      </c>
      <c r="C8359" t="str">
        <f>_xlfn.XLOOKUP(B8359,
[1]sales_teams!$A$2:$A$100,
[1]sales_teams!$B$2:$B$100)</f>
        <v>Dustin Brinkmann</v>
      </c>
      <c r="D8359" t="str">
        <f>_xlfn.XLOOKUP($B8359,sales_teams!$A$2:$A$36,sales_teams!C$2:C$36)</f>
        <v>Central</v>
      </c>
      <c r="E8359" t="s">
        <v>10</v>
      </c>
      <c r="G8359" t="s">
        <v>8434</v>
      </c>
    </row>
    <row r="8360" spans="1:7" x14ac:dyDescent="0.3">
      <c r="A8360" t="s">
        <v>8492</v>
      </c>
      <c r="B8360" t="s">
        <v>202</v>
      </c>
      <c r="C8360" t="str">
        <f>_xlfn.XLOOKUP(B8360,
[1]sales_teams!$A$2:$A$100,
[1]sales_teams!$B$2:$B$100)</f>
        <v>Dustin Brinkmann</v>
      </c>
      <c r="D8360" t="str">
        <f>_xlfn.XLOOKUP($B8360,sales_teams!$A$2:$A$36,sales_teams!C$2:C$36)</f>
        <v>Central</v>
      </c>
      <c r="E8360" t="s">
        <v>10</v>
      </c>
      <c r="G8360" t="s">
        <v>8434</v>
      </c>
    </row>
    <row r="8361" spans="1:7" x14ac:dyDescent="0.3">
      <c r="A8361" t="s">
        <v>8493</v>
      </c>
      <c r="B8361" t="s">
        <v>202</v>
      </c>
      <c r="C8361" t="str">
        <f>_xlfn.XLOOKUP(B8361,
[1]sales_teams!$A$2:$A$100,
[1]sales_teams!$B$2:$B$100)</f>
        <v>Dustin Brinkmann</v>
      </c>
      <c r="D8361" t="str">
        <f>_xlfn.XLOOKUP($B8361,sales_teams!$A$2:$A$36,sales_teams!C$2:C$36)</f>
        <v>Central</v>
      </c>
      <c r="E8361" t="s">
        <v>10</v>
      </c>
      <c r="G8361" t="s">
        <v>8434</v>
      </c>
    </row>
    <row r="8362" spans="1:7" x14ac:dyDescent="0.3">
      <c r="A8362" t="s">
        <v>8494</v>
      </c>
      <c r="B8362" t="s">
        <v>202</v>
      </c>
      <c r="C8362" t="str">
        <f>_xlfn.XLOOKUP(B8362,
[1]sales_teams!$A$2:$A$100,
[1]sales_teams!$B$2:$B$100)</f>
        <v>Dustin Brinkmann</v>
      </c>
      <c r="D8362" t="str">
        <f>_xlfn.XLOOKUP($B8362,sales_teams!$A$2:$A$36,sales_teams!C$2:C$36)</f>
        <v>Central</v>
      </c>
      <c r="E8362" t="s">
        <v>48</v>
      </c>
      <c r="F8362" t="s">
        <v>49</v>
      </c>
      <c r="G8362" t="s">
        <v>8434</v>
      </c>
    </row>
    <row r="8363" spans="1:7" x14ac:dyDescent="0.3">
      <c r="A8363" t="s">
        <v>8495</v>
      </c>
      <c r="B8363" t="s">
        <v>202</v>
      </c>
      <c r="C8363" t="str">
        <f>_xlfn.XLOOKUP(B8363,
[1]sales_teams!$A$2:$A$100,
[1]sales_teams!$B$2:$B$100)</f>
        <v>Dustin Brinkmann</v>
      </c>
      <c r="D8363" t="str">
        <f>_xlfn.XLOOKUP($B8363,sales_teams!$A$2:$A$36,sales_teams!C$2:C$36)</f>
        <v>Central</v>
      </c>
      <c r="E8363" t="s">
        <v>48</v>
      </c>
      <c r="G8363" t="s">
        <v>8434</v>
      </c>
    </row>
    <row r="8364" spans="1:7" x14ac:dyDescent="0.3">
      <c r="A8364" t="s">
        <v>8496</v>
      </c>
      <c r="B8364" t="s">
        <v>202</v>
      </c>
      <c r="C8364" t="str">
        <f>_xlfn.XLOOKUP(B8364,
[1]sales_teams!$A$2:$A$100,
[1]sales_teams!$B$2:$B$100)</f>
        <v>Dustin Brinkmann</v>
      </c>
      <c r="D8364" t="str">
        <f>_xlfn.XLOOKUP($B8364,sales_teams!$A$2:$A$36,sales_teams!C$2:C$36)</f>
        <v>Central</v>
      </c>
      <c r="E8364" t="s">
        <v>48</v>
      </c>
      <c r="G8364" t="s">
        <v>8434</v>
      </c>
    </row>
    <row r="8365" spans="1:7" x14ac:dyDescent="0.3">
      <c r="A8365" t="s">
        <v>8497</v>
      </c>
      <c r="B8365" t="s">
        <v>202</v>
      </c>
      <c r="C8365" t="str">
        <f>_xlfn.XLOOKUP(B8365,
[1]sales_teams!$A$2:$A$100,
[1]sales_teams!$B$2:$B$100)</f>
        <v>Dustin Brinkmann</v>
      </c>
      <c r="D8365" t="str">
        <f>_xlfn.XLOOKUP($B8365,sales_teams!$A$2:$A$36,sales_teams!C$2:C$36)</f>
        <v>Central</v>
      </c>
      <c r="E8365" t="s">
        <v>48</v>
      </c>
      <c r="G8365" t="s">
        <v>8434</v>
      </c>
    </row>
    <row r="8366" spans="1:7" x14ac:dyDescent="0.3">
      <c r="A8366" t="s">
        <v>8498</v>
      </c>
      <c r="B8366" t="s">
        <v>202</v>
      </c>
      <c r="C8366" t="str">
        <f>_xlfn.XLOOKUP(B8366,
[1]sales_teams!$A$2:$A$100,
[1]sales_teams!$B$2:$B$100)</f>
        <v>Dustin Brinkmann</v>
      </c>
      <c r="D8366" t="str">
        <f>_xlfn.XLOOKUP($B8366,sales_teams!$A$2:$A$36,sales_teams!C$2:C$36)</f>
        <v>Central</v>
      </c>
      <c r="E8366" t="s">
        <v>18</v>
      </c>
      <c r="F8366" t="s">
        <v>303</v>
      </c>
      <c r="G8366" t="s">
        <v>8434</v>
      </c>
    </row>
    <row r="8367" spans="1:7" x14ac:dyDescent="0.3">
      <c r="A8367" t="s">
        <v>8499</v>
      </c>
      <c r="B8367" t="s">
        <v>202</v>
      </c>
      <c r="C8367" t="str">
        <f>_xlfn.XLOOKUP(B8367,
[1]sales_teams!$A$2:$A$100,
[1]sales_teams!$B$2:$B$100)</f>
        <v>Dustin Brinkmann</v>
      </c>
      <c r="D8367" t="str">
        <f>_xlfn.XLOOKUP($B8367,sales_teams!$A$2:$A$36,sales_teams!C$2:C$36)</f>
        <v>Central</v>
      </c>
      <c r="E8367" t="s">
        <v>18</v>
      </c>
      <c r="F8367" t="s">
        <v>120</v>
      </c>
      <c r="G8367" t="s">
        <v>8434</v>
      </c>
    </row>
    <row r="8368" spans="1:7" x14ac:dyDescent="0.3">
      <c r="A8368" t="s">
        <v>8500</v>
      </c>
      <c r="B8368" t="s">
        <v>202</v>
      </c>
      <c r="C8368" t="str">
        <f>_xlfn.XLOOKUP(B8368,
[1]sales_teams!$A$2:$A$100,
[1]sales_teams!$B$2:$B$100)</f>
        <v>Dustin Brinkmann</v>
      </c>
      <c r="D8368" t="str">
        <f>_xlfn.XLOOKUP($B8368,sales_teams!$A$2:$A$36,sales_teams!C$2:C$36)</f>
        <v>Central</v>
      </c>
      <c r="E8368" t="s">
        <v>18</v>
      </c>
      <c r="F8368" t="s">
        <v>148</v>
      </c>
      <c r="G8368" t="s">
        <v>8434</v>
      </c>
    </row>
    <row r="8369" spans="1:7" x14ac:dyDescent="0.3">
      <c r="A8369" t="s">
        <v>8501</v>
      </c>
      <c r="B8369" t="s">
        <v>202</v>
      </c>
      <c r="C8369" t="str">
        <f>_xlfn.XLOOKUP(B8369,
[1]sales_teams!$A$2:$A$100,
[1]sales_teams!$B$2:$B$100)</f>
        <v>Dustin Brinkmann</v>
      </c>
      <c r="D8369" t="str">
        <f>_xlfn.XLOOKUP($B8369,sales_teams!$A$2:$A$36,sales_teams!C$2:C$36)</f>
        <v>Central</v>
      </c>
      <c r="E8369" t="s">
        <v>18</v>
      </c>
      <c r="F8369" t="s">
        <v>329</v>
      </c>
      <c r="G8369" t="s">
        <v>8434</v>
      </c>
    </row>
    <row r="8370" spans="1:7" x14ac:dyDescent="0.3">
      <c r="A8370" t="s">
        <v>8502</v>
      </c>
      <c r="B8370" t="s">
        <v>202</v>
      </c>
      <c r="C8370" t="str">
        <f>_xlfn.XLOOKUP(B8370,
[1]sales_teams!$A$2:$A$100,
[1]sales_teams!$B$2:$B$100)</f>
        <v>Dustin Brinkmann</v>
      </c>
      <c r="D8370" t="str">
        <f>_xlfn.XLOOKUP($B8370,sales_teams!$A$2:$A$36,sales_teams!C$2:C$36)</f>
        <v>Central</v>
      </c>
      <c r="E8370" t="s">
        <v>18</v>
      </c>
      <c r="G8370" t="s">
        <v>8434</v>
      </c>
    </row>
    <row r="8371" spans="1:7" x14ac:dyDescent="0.3">
      <c r="A8371" t="s">
        <v>8503</v>
      </c>
      <c r="B8371" t="s">
        <v>202</v>
      </c>
      <c r="C8371" t="str">
        <f>_xlfn.XLOOKUP(B8371,
[1]sales_teams!$A$2:$A$100,
[1]sales_teams!$B$2:$B$100)</f>
        <v>Dustin Brinkmann</v>
      </c>
      <c r="D8371" t="str">
        <f>_xlfn.XLOOKUP($B8371,sales_teams!$A$2:$A$36,sales_teams!C$2:C$36)</f>
        <v>Central</v>
      </c>
      <c r="E8371" t="s">
        <v>18</v>
      </c>
      <c r="G8371" t="s">
        <v>8434</v>
      </c>
    </row>
    <row r="8372" spans="1:7" x14ac:dyDescent="0.3">
      <c r="A8372" t="s">
        <v>8504</v>
      </c>
      <c r="B8372" t="s">
        <v>202</v>
      </c>
      <c r="C8372" t="str">
        <f>_xlfn.XLOOKUP(B8372,
[1]sales_teams!$A$2:$A$100,
[1]sales_teams!$B$2:$B$100)</f>
        <v>Dustin Brinkmann</v>
      </c>
      <c r="D8372" t="str">
        <f>_xlfn.XLOOKUP($B8372,sales_teams!$A$2:$A$36,sales_teams!C$2:C$36)</f>
        <v>Central</v>
      </c>
      <c r="E8372" t="s">
        <v>39</v>
      </c>
      <c r="F8372" t="s">
        <v>273</v>
      </c>
      <c r="G8372" t="s">
        <v>8434</v>
      </c>
    </row>
    <row r="8373" spans="1:7" x14ac:dyDescent="0.3">
      <c r="A8373" t="s">
        <v>8505</v>
      </c>
      <c r="B8373" t="s">
        <v>202</v>
      </c>
      <c r="C8373" t="str">
        <f>_xlfn.XLOOKUP(B8373,
[1]sales_teams!$A$2:$A$100,
[1]sales_teams!$B$2:$B$100)</f>
        <v>Dustin Brinkmann</v>
      </c>
      <c r="D8373" t="str">
        <f>_xlfn.XLOOKUP($B8373,sales_teams!$A$2:$A$36,sales_teams!C$2:C$36)</f>
        <v>Central</v>
      </c>
      <c r="E8373" t="s">
        <v>39</v>
      </c>
      <c r="G8373" t="s">
        <v>8434</v>
      </c>
    </row>
    <row r="8374" spans="1:7" x14ac:dyDescent="0.3">
      <c r="A8374" t="s">
        <v>8506</v>
      </c>
      <c r="B8374" t="s">
        <v>202</v>
      </c>
      <c r="C8374" t="str">
        <f>_xlfn.XLOOKUP(B8374,
[1]sales_teams!$A$2:$A$100,
[1]sales_teams!$B$2:$B$100)</f>
        <v>Dustin Brinkmann</v>
      </c>
      <c r="D8374" t="str">
        <f>_xlfn.XLOOKUP($B8374,sales_teams!$A$2:$A$36,sales_teams!C$2:C$36)</f>
        <v>Central</v>
      </c>
      <c r="E8374" t="s">
        <v>39</v>
      </c>
      <c r="G8374" t="s">
        <v>8434</v>
      </c>
    </row>
    <row r="8375" spans="1:7" x14ac:dyDescent="0.3">
      <c r="A8375" t="s">
        <v>8507</v>
      </c>
      <c r="B8375" t="s">
        <v>202</v>
      </c>
      <c r="C8375" t="str">
        <f>_xlfn.XLOOKUP(B8375,
[1]sales_teams!$A$2:$A$100,
[1]sales_teams!$B$2:$B$100)</f>
        <v>Dustin Brinkmann</v>
      </c>
      <c r="D8375" t="str">
        <f>_xlfn.XLOOKUP($B8375,sales_teams!$A$2:$A$36,sales_teams!C$2:C$36)</f>
        <v>Central</v>
      </c>
      <c r="E8375" t="s">
        <v>39</v>
      </c>
      <c r="G8375" t="s">
        <v>8434</v>
      </c>
    </row>
    <row r="8376" spans="1:7" x14ac:dyDescent="0.3">
      <c r="A8376" t="s">
        <v>8508</v>
      </c>
      <c r="B8376" t="s">
        <v>202</v>
      </c>
      <c r="C8376" t="str">
        <f>_xlfn.XLOOKUP(B8376,
[1]sales_teams!$A$2:$A$100,
[1]sales_teams!$B$2:$B$100)</f>
        <v>Dustin Brinkmann</v>
      </c>
      <c r="D8376" t="str">
        <f>_xlfn.XLOOKUP($B8376,sales_teams!$A$2:$A$36,sales_teams!C$2:C$36)</f>
        <v>Central</v>
      </c>
      <c r="E8376" t="s">
        <v>39</v>
      </c>
      <c r="G8376" t="s">
        <v>8434</v>
      </c>
    </row>
    <row r="8377" spans="1:7" x14ac:dyDescent="0.3">
      <c r="A8377" t="s">
        <v>8509</v>
      </c>
      <c r="B8377" t="s">
        <v>202</v>
      </c>
      <c r="C8377" t="str">
        <f>_xlfn.XLOOKUP(B8377,
[1]sales_teams!$A$2:$A$100,
[1]sales_teams!$B$2:$B$100)</f>
        <v>Dustin Brinkmann</v>
      </c>
      <c r="D8377" t="str">
        <f>_xlfn.XLOOKUP($B8377,sales_teams!$A$2:$A$36,sales_teams!C$2:C$36)</f>
        <v>Central</v>
      </c>
      <c r="E8377" t="s">
        <v>39</v>
      </c>
      <c r="G8377" t="s">
        <v>8434</v>
      </c>
    </row>
    <row r="8378" spans="1:7" x14ac:dyDescent="0.3">
      <c r="A8378" t="s">
        <v>8510</v>
      </c>
      <c r="B8378" t="s">
        <v>202</v>
      </c>
      <c r="C8378" t="str">
        <f>_xlfn.XLOOKUP(B8378,
[1]sales_teams!$A$2:$A$100,
[1]sales_teams!$B$2:$B$100)</f>
        <v>Dustin Brinkmann</v>
      </c>
      <c r="D8378" t="str">
        <f>_xlfn.XLOOKUP($B8378,sales_teams!$A$2:$A$36,sales_teams!C$2:C$36)</f>
        <v>Central</v>
      </c>
      <c r="E8378" t="s">
        <v>39</v>
      </c>
      <c r="G8378" t="s">
        <v>8434</v>
      </c>
    </row>
    <row r="8379" spans="1:7" x14ac:dyDescent="0.3">
      <c r="A8379" t="s">
        <v>8511</v>
      </c>
      <c r="B8379" t="s">
        <v>202</v>
      </c>
      <c r="C8379" t="str">
        <f>_xlfn.XLOOKUP(B8379,
[1]sales_teams!$A$2:$A$100,
[1]sales_teams!$B$2:$B$100)</f>
        <v>Dustin Brinkmann</v>
      </c>
      <c r="D8379" t="str">
        <f>_xlfn.XLOOKUP($B8379,sales_teams!$A$2:$A$36,sales_teams!C$2:C$36)</f>
        <v>Central</v>
      </c>
      <c r="E8379" t="s">
        <v>39</v>
      </c>
      <c r="G8379" t="s">
        <v>8434</v>
      </c>
    </row>
    <row r="8380" spans="1:7" x14ac:dyDescent="0.3">
      <c r="A8380" t="s">
        <v>8512</v>
      </c>
      <c r="B8380" t="s">
        <v>202</v>
      </c>
      <c r="C8380" t="str">
        <f>_xlfn.XLOOKUP(B8380,
[1]sales_teams!$A$2:$A$100,
[1]sales_teams!$B$2:$B$100)</f>
        <v>Dustin Brinkmann</v>
      </c>
      <c r="D8380" t="str">
        <f>_xlfn.XLOOKUP($B8380,sales_teams!$A$2:$A$36,sales_teams!C$2:C$36)</f>
        <v>Central</v>
      </c>
      <c r="E8380" t="s">
        <v>39</v>
      </c>
      <c r="G8380" t="s">
        <v>8434</v>
      </c>
    </row>
    <row r="8381" spans="1:7" x14ac:dyDescent="0.3">
      <c r="A8381" t="s">
        <v>8513</v>
      </c>
      <c r="B8381" t="s">
        <v>14</v>
      </c>
      <c r="C8381" t="str">
        <f>_xlfn.XLOOKUP(B8381,
[1]sales_teams!$A$2:$A$100,
[1]sales_teams!$B$2:$B$100)</f>
        <v>Melvin Marxen</v>
      </c>
      <c r="D8381" t="str">
        <f>_xlfn.XLOOKUP($B8381,sales_teams!$A$2:$A$36,sales_teams!C$2:C$36)</f>
        <v>Central</v>
      </c>
      <c r="E8381" t="s">
        <v>20</v>
      </c>
      <c r="F8381" t="s">
        <v>209</v>
      </c>
      <c r="G8381" t="s">
        <v>8434</v>
      </c>
    </row>
    <row r="8382" spans="1:7" x14ac:dyDescent="0.3">
      <c r="A8382" t="s">
        <v>8514</v>
      </c>
      <c r="B8382" t="s">
        <v>14</v>
      </c>
      <c r="C8382" t="str">
        <f>_xlfn.XLOOKUP(B8382,
[1]sales_teams!$A$2:$A$100,
[1]sales_teams!$B$2:$B$100)</f>
        <v>Melvin Marxen</v>
      </c>
      <c r="D8382" t="str">
        <f>_xlfn.XLOOKUP($B8382,sales_teams!$A$2:$A$36,sales_teams!C$2:C$36)</f>
        <v>Central</v>
      </c>
      <c r="E8382" t="s">
        <v>20</v>
      </c>
      <c r="F8382" t="s">
        <v>179</v>
      </c>
      <c r="G8382" t="s">
        <v>8434</v>
      </c>
    </row>
    <row r="8383" spans="1:7" x14ac:dyDescent="0.3">
      <c r="A8383" t="s">
        <v>8515</v>
      </c>
      <c r="B8383" t="s">
        <v>14</v>
      </c>
      <c r="C8383" t="str">
        <f>_xlfn.XLOOKUP(B8383,
[1]sales_teams!$A$2:$A$100,
[1]sales_teams!$B$2:$B$100)</f>
        <v>Melvin Marxen</v>
      </c>
      <c r="D8383" t="str">
        <f>_xlfn.XLOOKUP($B8383,sales_teams!$A$2:$A$36,sales_teams!C$2:C$36)</f>
        <v>Central</v>
      </c>
      <c r="E8383" t="s">
        <v>20</v>
      </c>
      <c r="F8383" t="s">
        <v>113</v>
      </c>
      <c r="G8383" t="s">
        <v>8434</v>
      </c>
    </row>
    <row r="8384" spans="1:7" x14ac:dyDescent="0.3">
      <c r="A8384" t="s">
        <v>8516</v>
      </c>
      <c r="B8384" t="s">
        <v>14</v>
      </c>
      <c r="C8384" t="str">
        <f>_xlfn.XLOOKUP(B8384,
[1]sales_teams!$A$2:$A$100,
[1]sales_teams!$B$2:$B$100)</f>
        <v>Melvin Marxen</v>
      </c>
      <c r="D8384" t="str">
        <f>_xlfn.XLOOKUP($B8384,sales_teams!$A$2:$A$36,sales_teams!C$2:C$36)</f>
        <v>Central</v>
      </c>
      <c r="E8384" t="s">
        <v>20</v>
      </c>
      <c r="G8384" t="s">
        <v>8434</v>
      </c>
    </row>
    <row r="8385" spans="1:7" x14ac:dyDescent="0.3">
      <c r="A8385" t="s">
        <v>8517</v>
      </c>
      <c r="B8385" t="s">
        <v>14</v>
      </c>
      <c r="C8385" t="str">
        <f>_xlfn.XLOOKUP(B8385,
[1]sales_teams!$A$2:$A$100,
[1]sales_teams!$B$2:$B$100)</f>
        <v>Melvin Marxen</v>
      </c>
      <c r="D8385" t="str">
        <f>_xlfn.XLOOKUP($B8385,sales_teams!$A$2:$A$36,sales_teams!C$2:C$36)</f>
        <v>Central</v>
      </c>
      <c r="E8385" t="s">
        <v>20</v>
      </c>
      <c r="G8385" t="s">
        <v>8434</v>
      </c>
    </row>
    <row r="8386" spans="1:7" x14ac:dyDescent="0.3">
      <c r="A8386" t="s">
        <v>8518</v>
      </c>
      <c r="B8386" t="s">
        <v>14</v>
      </c>
      <c r="C8386" t="str">
        <f>_xlfn.XLOOKUP(B8386,
[1]sales_teams!$A$2:$A$100,
[1]sales_teams!$B$2:$B$100)</f>
        <v>Melvin Marxen</v>
      </c>
      <c r="D8386" t="str">
        <f>_xlfn.XLOOKUP($B8386,sales_teams!$A$2:$A$36,sales_teams!C$2:C$36)</f>
        <v>Central</v>
      </c>
      <c r="E8386" t="s">
        <v>20</v>
      </c>
      <c r="G8386" t="s">
        <v>8434</v>
      </c>
    </row>
    <row r="8387" spans="1:7" x14ac:dyDescent="0.3">
      <c r="A8387" t="s">
        <v>8519</v>
      </c>
      <c r="B8387" t="s">
        <v>14</v>
      </c>
      <c r="C8387" t="str">
        <f>_xlfn.XLOOKUP(B8387,
[1]sales_teams!$A$2:$A$100,
[1]sales_teams!$B$2:$B$100)</f>
        <v>Melvin Marxen</v>
      </c>
      <c r="D8387" t="str">
        <f>_xlfn.XLOOKUP($B8387,sales_teams!$A$2:$A$36,sales_teams!C$2:C$36)</f>
        <v>Central</v>
      </c>
      <c r="E8387" t="s">
        <v>20</v>
      </c>
      <c r="G8387" t="s">
        <v>8434</v>
      </c>
    </row>
    <row r="8388" spans="1:7" x14ac:dyDescent="0.3">
      <c r="A8388" t="s">
        <v>8520</v>
      </c>
      <c r="B8388" t="s">
        <v>14</v>
      </c>
      <c r="C8388" t="str">
        <f>_xlfn.XLOOKUP(B8388,
[1]sales_teams!$A$2:$A$100,
[1]sales_teams!$B$2:$B$100)</f>
        <v>Melvin Marxen</v>
      </c>
      <c r="D8388" t="str">
        <f>_xlfn.XLOOKUP($B8388,sales_teams!$A$2:$A$36,sales_teams!C$2:C$36)</f>
        <v>Central</v>
      </c>
      <c r="E8388" t="s">
        <v>20</v>
      </c>
      <c r="G8388" t="s">
        <v>8434</v>
      </c>
    </row>
    <row r="8389" spans="1:7" x14ac:dyDescent="0.3">
      <c r="A8389" t="s">
        <v>8521</v>
      </c>
      <c r="B8389" t="s">
        <v>14</v>
      </c>
      <c r="C8389" t="str">
        <f>_xlfn.XLOOKUP(B8389,
[1]sales_teams!$A$2:$A$100,
[1]sales_teams!$B$2:$B$100)</f>
        <v>Melvin Marxen</v>
      </c>
      <c r="D8389" t="str">
        <f>_xlfn.XLOOKUP($B8389,sales_teams!$A$2:$A$36,sales_teams!C$2:C$36)</f>
        <v>Central</v>
      </c>
      <c r="E8389" t="s">
        <v>20</v>
      </c>
      <c r="G8389" t="s">
        <v>8434</v>
      </c>
    </row>
    <row r="8390" spans="1:7" x14ac:dyDescent="0.3">
      <c r="A8390" t="s">
        <v>8522</v>
      </c>
      <c r="B8390" t="s">
        <v>14</v>
      </c>
      <c r="C8390" t="str">
        <f>_xlfn.XLOOKUP(B8390,
[1]sales_teams!$A$2:$A$100,
[1]sales_teams!$B$2:$B$100)</f>
        <v>Melvin Marxen</v>
      </c>
      <c r="D8390" t="str">
        <f>_xlfn.XLOOKUP($B8390,sales_teams!$A$2:$A$36,sales_teams!C$2:C$36)</f>
        <v>Central</v>
      </c>
      <c r="E8390" t="s">
        <v>10</v>
      </c>
      <c r="F8390" t="s">
        <v>98</v>
      </c>
      <c r="G8390" t="s">
        <v>8434</v>
      </c>
    </row>
    <row r="8391" spans="1:7" x14ac:dyDescent="0.3">
      <c r="A8391" t="s">
        <v>8523</v>
      </c>
      <c r="B8391" t="s">
        <v>14</v>
      </c>
      <c r="C8391" t="str">
        <f>_xlfn.XLOOKUP(B8391,
[1]sales_teams!$A$2:$A$100,
[1]sales_teams!$B$2:$B$100)</f>
        <v>Melvin Marxen</v>
      </c>
      <c r="D8391" t="str">
        <f>_xlfn.XLOOKUP($B8391,sales_teams!$A$2:$A$36,sales_teams!C$2:C$36)</f>
        <v>Central</v>
      </c>
      <c r="E8391" t="s">
        <v>10</v>
      </c>
      <c r="F8391" t="s">
        <v>194</v>
      </c>
      <c r="G8391" t="s">
        <v>8434</v>
      </c>
    </row>
    <row r="8392" spans="1:7" x14ac:dyDescent="0.3">
      <c r="A8392" t="s">
        <v>8524</v>
      </c>
      <c r="B8392" t="s">
        <v>14</v>
      </c>
      <c r="C8392" t="str">
        <f>_xlfn.XLOOKUP(B8392,
[1]sales_teams!$A$2:$A$100,
[1]sales_teams!$B$2:$B$100)</f>
        <v>Melvin Marxen</v>
      </c>
      <c r="D8392" t="str">
        <f>_xlfn.XLOOKUP($B8392,sales_teams!$A$2:$A$36,sales_teams!C$2:C$36)</f>
        <v>Central</v>
      </c>
      <c r="E8392" t="s">
        <v>10</v>
      </c>
      <c r="F8392" t="s">
        <v>278</v>
      </c>
      <c r="G8392" t="s">
        <v>8434</v>
      </c>
    </row>
    <row r="8393" spans="1:7" x14ac:dyDescent="0.3">
      <c r="A8393" t="s">
        <v>8525</v>
      </c>
      <c r="B8393" t="s">
        <v>14</v>
      </c>
      <c r="C8393" t="str">
        <f>_xlfn.XLOOKUP(B8393,
[1]sales_teams!$A$2:$A$100,
[1]sales_teams!$B$2:$B$100)</f>
        <v>Melvin Marxen</v>
      </c>
      <c r="D8393" t="str">
        <f>_xlfn.XLOOKUP($B8393,sales_teams!$A$2:$A$36,sales_teams!C$2:C$36)</f>
        <v>Central</v>
      </c>
      <c r="E8393" t="s">
        <v>10</v>
      </c>
      <c r="G8393" t="s">
        <v>8434</v>
      </c>
    </row>
    <row r="8394" spans="1:7" x14ac:dyDescent="0.3">
      <c r="A8394" t="s">
        <v>8526</v>
      </c>
      <c r="B8394" t="s">
        <v>14</v>
      </c>
      <c r="C8394" t="str">
        <f>_xlfn.XLOOKUP(B8394,
[1]sales_teams!$A$2:$A$100,
[1]sales_teams!$B$2:$B$100)</f>
        <v>Melvin Marxen</v>
      </c>
      <c r="D8394" t="str">
        <f>_xlfn.XLOOKUP($B8394,sales_teams!$A$2:$A$36,sales_teams!C$2:C$36)</f>
        <v>Central</v>
      </c>
      <c r="E8394" t="s">
        <v>10</v>
      </c>
      <c r="G8394" t="s">
        <v>8434</v>
      </c>
    </row>
    <row r="8395" spans="1:7" x14ac:dyDescent="0.3">
      <c r="A8395" t="s">
        <v>8527</v>
      </c>
      <c r="B8395" t="s">
        <v>14</v>
      </c>
      <c r="C8395" t="str">
        <f>_xlfn.XLOOKUP(B8395,
[1]sales_teams!$A$2:$A$100,
[1]sales_teams!$B$2:$B$100)</f>
        <v>Melvin Marxen</v>
      </c>
      <c r="D8395" t="str">
        <f>_xlfn.XLOOKUP($B8395,sales_teams!$A$2:$A$36,sales_teams!C$2:C$36)</f>
        <v>Central</v>
      </c>
      <c r="E8395" t="s">
        <v>10</v>
      </c>
      <c r="G8395" t="s">
        <v>8434</v>
      </c>
    </row>
    <row r="8396" spans="1:7" x14ac:dyDescent="0.3">
      <c r="A8396" t="s">
        <v>8528</v>
      </c>
      <c r="B8396" t="s">
        <v>14</v>
      </c>
      <c r="C8396" t="str">
        <f>_xlfn.XLOOKUP(B8396,
[1]sales_teams!$A$2:$A$100,
[1]sales_teams!$B$2:$B$100)</f>
        <v>Melvin Marxen</v>
      </c>
      <c r="D8396" t="str">
        <f>_xlfn.XLOOKUP($B8396,sales_teams!$A$2:$A$36,sales_teams!C$2:C$36)</f>
        <v>Central</v>
      </c>
      <c r="E8396" t="s">
        <v>10</v>
      </c>
      <c r="G8396" t="s">
        <v>8434</v>
      </c>
    </row>
    <row r="8397" spans="1:7" x14ac:dyDescent="0.3">
      <c r="A8397" t="s">
        <v>8529</v>
      </c>
      <c r="B8397" t="s">
        <v>14</v>
      </c>
      <c r="C8397" t="str">
        <f>_xlfn.XLOOKUP(B8397,
[1]sales_teams!$A$2:$A$100,
[1]sales_teams!$B$2:$B$100)</f>
        <v>Melvin Marxen</v>
      </c>
      <c r="D8397" t="str">
        <f>_xlfn.XLOOKUP($B8397,sales_teams!$A$2:$A$36,sales_teams!C$2:C$36)</f>
        <v>Central</v>
      </c>
      <c r="E8397" t="s">
        <v>10</v>
      </c>
      <c r="G8397" t="s">
        <v>8434</v>
      </c>
    </row>
    <row r="8398" spans="1:7" x14ac:dyDescent="0.3">
      <c r="A8398" t="s">
        <v>8530</v>
      </c>
      <c r="B8398" t="s">
        <v>14</v>
      </c>
      <c r="C8398" t="str">
        <f>_xlfn.XLOOKUP(B8398,
[1]sales_teams!$A$2:$A$100,
[1]sales_teams!$B$2:$B$100)</f>
        <v>Melvin Marxen</v>
      </c>
      <c r="D8398" t="str">
        <f>_xlfn.XLOOKUP($B8398,sales_teams!$A$2:$A$36,sales_teams!C$2:C$36)</f>
        <v>Central</v>
      </c>
      <c r="E8398" t="s">
        <v>10</v>
      </c>
      <c r="G8398" t="s">
        <v>8434</v>
      </c>
    </row>
    <row r="8399" spans="1:7" x14ac:dyDescent="0.3">
      <c r="A8399" t="s">
        <v>8531</v>
      </c>
      <c r="B8399" t="s">
        <v>14</v>
      </c>
      <c r="C8399" t="str">
        <f>_xlfn.XLOOKUP(B8399,
[1]sales_teams!$A$2:$A$100,
[1]sales_teams!$B$2:$B$100)</f>
        <v>Melvin Marxen</v>
      </c>
      <c r="D8399" t="str">
        <f>_xlfn.XLOOKUP($B8399,sales_teams!$A$2:$A$36,sales_teams!C$2:C$36)</f>
        <v>Central</v>
      </c>
      <c r="E8399" t="s">
        <v>10</v>
      </c>
      <c r="G8399" t="s">
        <v>8434</v>
      </c>
    </row>
    <row r="8400" spans="1:7" x14ac:dyDescent="0.3">
      <c r="A8400" t="s">
        <v>8532</v>
      </c>
      <c r="B8400" t="s">
        <v>14</v>
      </c>
      <c r="C8400" t="str">
        <f>_xlfn.XLOOKUP(B8400,
[1]sales_teams!$A$2:$A$100,
[1]sales_teams!$B$2:$B$100)</f>
        <v>Melvin Marxen</v>
      </c>
      <c r="D8400" t="str">
        <f>_xlfn.XLOOKUP($B8400,sales_teams!$A$2:$A$36,sales_teams!C$2:C$36)</f>
        <v>Central</v>
      </c>
      <c r="E8400" t="s">
        <v>10</v>
      </c>
      <c r="G8400" t="s">
        <v>8434</v>
      </c>
    </row>
    <row r="8401" spans="1:7" x14ac:dyDescent="0.3">
      <c r="A8401" t="s">
        <v>8533</v>
      </c>
      <c r="B8401" t="s">
        <v>14</v>
      </c>
      <c r="C8401" t="str">
        <f>_xlfn.XLOOKUP(B8401,
[1]sales_teams!$A$2:$A$100,
[1]sales_teams!$B$2:$B$100)</f>
        <v>Melvin Marxen</v>
      </c>
      <c r="D8401" t="str">
        <f>_xlfn.XLOOKUP($B8401,sales_teams!$A$2:$A$36,sales_teams!C$2:C$36)</f>
        <v>Central</v>
      </c>
      <c r="E8401" t="s">
        <v>10</v>
      </c>
      <c r="G8401" t="s">
        <v>8434</v>
      </c>
    </row>
    <row r="8402" spans="1:7" x14ac:dyDescent="0.3">
      <c r="A8402" t="s">
        <v>8534</v>
      </c>
      <c r="B8402" t="s">
        <v>14</v>
      </c>
      <c r="C8402" t="str">
        <f>_xlfn.XLOOKUP(B8402,
[1]sales_teams!$A$2:$A$100,
[1]sales_teams!$B$2:$B$100)</f>
        <v>Melvin Marxen</v>
      </c>
      <c r="D8402" t="str">
        <f>_xlfn.XLOOKUP($B8402,sales_teams!$A$2:$A$36,sales_teams!C$2:C$36)</f>
        <v>Central</v>
      </c>
      <c r="E8402" t="s">
        <v>10</v>
      </c>
      <c r="G8402" t="s">
        <v>8434</v>
      </c>
    </row>
    <row r="8403" spans="1:7" x14ac:dyDescent="0.3">
      <c r="A8403" t="s">
        <v>8535</v>
      </c>
      <c r="B8403" t="s">
        <v>14</v>
      </c>
      <c r="C8403" t="str">
        <f>_xlfn.XLOOKUP(B8403,
[1]sales_teams!$A$2:$A$100,
[1]sales_teams!$B$2:$B$100)</f>
        <v>Melvin Marxen</v>
      </c>
      <c r="D8403" t="str">
        <f>_xlfn.XLOOKUP($B8403,sales_teams!$A$2:$A$36,sales_teams!C$2:C$36)</f>
        <v>Central</v>
      </c>
      <c r="E8403" t="s">
        <v>10</v>
      </c>
      <c r="G8403" t="s">
        <v>8434</v>
      </c>
    </row>
    <row r="8404" spans="1:7" x14ac:dyDescent="0.3">
      <c r="A8404" t="s">
        <v>8536</v>
      </c>
      <c r="B8404" t="s">
        <v>14</v>
      </c>
      <c r="C8404" t="str">
        <f>_xlfn.XLOOKUP(B8404,
[1]sales_teams!$A$2:$A$100,
[1]sales_teams!$B$2:$B$100)</f>
        <v>Melvin Marxen</v>
      </c>
      <c r="D8404" t="str">
        <f>_xlfn.XLOOKUP($B8404,sales_teams!$A$2:$A$36,sales_teams!C$2:C$36)</f>
        <v>Central</v>
      </c>
      <c r="E8404" t="s">
        <v>10</v>
      </c>
      <c r="G8404" t="s">
        <v>8434</v>
      </c>
    </row>
    <row r="8405" spans="1:7" x14ac:dyDescent="0.3">
      <c r="A8405" t="s">
        <v>8537</v>
      </c>
      <c r="B8405" t="s">
        <v>14</v>
      </c>
      <c r="C8405" t="str">
        <f>_xlfn.XLOOKUP(B8405,
[1]sales_teams!$A$2:$A$100,
[1]sales_teams!$B$2:$B$100)</f>
        <v>Melvin Marxen</v>
      </c>
      <c r="D8405" t="str">
        <f>_xlfn.XLOOKUP($B8405,sales_teams!$A$2:$A$36,sales_teams!C$2:C$36)</f>
        <v>Central</v>
      </c>
      <c r="E8405" t="s">
        <v>10</v>
      </c>
      <c r="G8405" t="s">
        <v>8434</v>
      </c>
    </row>
    <row r="8406" spans="1:7" x14ac:dyDescent="0.3">
      <c r="A8406" t="s">
        <v>8538</v>
      </c>
      <c r="B8406" t="s">
        <v>14</v>
      </c>
      <c r="C8406" t="str">
        <f>_xlfn.XLOOKUP(B8406,
[1]sales_teams!$A$2:$A$100,
[1]sales_teams!$B$2:$B$100)</f>
        <v>Melvin Marxen</v>
      </c>
      <c r="D8406" t="str">
        <f>_xlfn.XLOOKUP($B8406,sales_teams!$A$2:$A$36,sales_teams!C$2:C$36)</f>
        <v>Central</v>
      </c>
      <c r="E8406" t="s">
        <v>10</v>
      </c>
      <c r="G8406" t="s">
        <v>8434</v>
      </c>
    </row>
    <row r="8407" spans="1:7" x14ac:dyDescent="0.3">
      <c r="A8407" t="s">
        <v>8539</v>
      </c>
      <c r="B8407" t="s">
        <v>14</v>
      </c>
      <c r="C8407" t="str">
        <f>_xlfn.XLOOKUP(B8407,
[1]sales_teams!$A$2:$A$100,
[1]sales_teams!$B$2:$B$100)</f>
        <v>Melvin Marxen</v>
      </c>
      <c r="D8407" t="str">
        <f>_xlfn.XLOOKUP($B8407,sales_teams!$A$2:$A$36,sales_teams!C$2:C$36)</f>
        <v>Central</v>
      </c>
      <c r="E8407" t="s">
        <v>10</v>
      </c>
      <c r="G8407" t="s">
        <v>8434</v>
      </c>
    </row>
    <row r="8408" spans="1:7" x14ac:dyDescent="0.3">
      <c r="A8408" t="s">
        <v>8540</v>
      </c>
      <c r="B8408" t="s">
        <v>14</v>
      </c>
      <c r="C8408" t="str">
        <f>_xlfn.XLOOKUP(B8408,
[1]sales_teams!$A$2:$A$100,
[1]sales_teams!$B$2:$B$100)</f>
        <v>Melvin Marxen</v>
      </c>
      <c r="D8408" t="str">
        <f>_xlfn.XLOOKUP($B8408,sales_teams!$A$2:$A$36,sales_teams!C$2:C$36)</f>
        <v>Central</v>
      </c>
      <c r="E8408" t="s">
        <v>10</v>
      </c>
      <c r="G8408" t="s">
        <v>8434</v>
      </c>
    </row>
    <row r="8409" spans="1:7" x14ac:dyDescent="0.3">
      <c r="A8409" t="s">
        <v>8541</v>
      </c>
      <c r="B8409" t="s">
        <v>14</v>
      </c>
      <c r="C8409" t="str">
        <f>_xlfn.XLOOKUP(B8409,
[1]sales_teams!$A$2:$A$100,
[1]sales_teams!$B$2:$B$100)</f>
        <v>Melvin Marxen</v>
      </c>
      <c r="D8409" t="str">
        <f>_xlfn.XLOOKUP($B8409,sales_teams!$A$2:$A$36,sales_teams!C$2:C$36)</f>
        <v>Central</v>
      </c>
      <c r="E8409" t="s">
        <v>10</v>
      </c>
      <c r="G8409" t="s">
        <v>8434</v>
      </c>
    </row>
    <row r="8410" spans="1:7" x14ac:dyDescent="0.3">
      <c r="A8410" t="s">
        <v>8542</v>
      </c>
      <c r="B8410" t="s">
        <v>14</v>
      </c>
      <c r="C8410" t="str">
        <f>_xlfn.XLOOKUP(B8410,
[1]sales_teams!$A$2:$A$100,
[1]sales_teams!$B$2:$B$100)</f>
        <v>Melvin Marxen</v>
      </c>
      <c r="D8410" t="str">
        <f>_xlfn.XLOOKUP($B8410,sales_teams!$A$2:$A$36,sales_teams!C$2:C$36)</f>
        <v>Central</v>
      </c>
      <c r="E8410" t="s">
        <v>10</v>
      </c>
      <c r="G8410" t="s">
        <v>8434</v>
      </c>
    </row>
    <row r="8411" spans="1:7" x14ac:dyDescent="0.3">
      <c r="A8411" t="s">
        <v>8543</v>
      </c>
      <c r="B8411" t="s">
        <v>14</v>
      </c>
      <c r="C8411" t="str">
        <f>_xlfn.XLOOKUP(B8411,
[1]sales_teams!$A$2:$A$100,
[1]sales_teams!$B$2:$B$100)</f>
        <v>Melvin Marxen</v>
      </c>
      <c r="D8411" t="str">
        <f>_xlfn.XLOOKUP($B8411,sales_teams!$A$2:$A$36,sales_teams!C$2:C$36)</f>
        <v>Central</v>
      </c>
      <c r="E8411" t="s">
        <v>48</v>
      </c>
      <c r="F8411" t="s">
        <v>55</v>
      </c>
      <c r="G8411" t="s">
        <v>8434</v>
      </c>
    </row>
    <row r="8412" spans="1:7" x14ac:dyDescent="0.3">
      <c r="A8412" t="s">
        <v>8544</v>
      </c>
      <c r="B8412" t="s">
        <v>14</v>
      </c>
      <c r="C8412" t="str">
        <f>_xlfn.XLOOKUP(B8412,
[1]sales_teams!$A$2:$A$100,
[1]sales_teams!$B$2:$B$100)</f>
        <v>Melvin Marxen</v>
      </c>
      <c r="D8412" t="str">
        <f>_xlfn.XLOOKUP($B8412,sales_teams!$A$2:$A$36,sales_teams!C$2:C$36)</f>
        <v>Central</v>
      </c>
      <c r="E8412" t="s">
        <v>48</v>
      </c>
      <c r="F8412" t="s">
        <v>100</v>
      </c>
      <c r="G8412" t="s">
        <v>8434</v>
      </c>
    </row>
    <row r="8413" spans="1:7" x14ac:dyDescent="0.3">
      <c r="A8413" t="s">
        <v>8545</v>
      </c>
      <c r="B8413" t="s">
        <v>14</v>
      </c>
      <c r="C8413" t="str">
        <f>_xlfn.XLOOKUP(B8413,
[1]sales_teams!$A$2:$A$100,
[1]sales_teams!$B$2:$B$100)</f>
        <v>Melvin Marxen</v>
      </c>
      <c r="D8413" t="str">
        <f>_xlfn.XLOOKUP($B8413,sales_teams!$A$2:$A$36,sales_teams!C$2:C$36)</f>
        <v>Central</v>
      </c>
      <c r="E8413" t="s">
        <v>48</v>
      </c>
      <c r="F8413" t="s">
        <v>24</v>
      </c>
      <c r="G8413" t="s">
        <v>8434</v>
      </c>
    </row>
    <row r="8414" spans="1:7" x14ac:dyDescent="0.3">
      <c r="A8414" t="s">
        <v>8546</v>
      </c>
      <c r="B8414" t="s">
        <v>14</v>
      </c>
      <c r="C8414" t="str">
        <f>_xlfn.XLOOKUP(B8414,
[1]sales_teams!$A$2:$A$100,
[1]sales_teams!$B$2:$B$100)</f>
        <v>Melvin Marxen</v>
      </c>
      <c r="D8414" t="str">
        <f>_xlfn.XLOOKUP($B8414,sales_teams!$A$2:$A$36,sales_teams!C$2:C$36)</f>
        <v>Central</v>
      </c>
      <c r="E8414" t="s">
        <v>48</v>
      </c>
      <c r="F8414" t="s">
        <v>300</v>
      </c>
      <c r="G8414" t="s">
        <v>8434</v>
      </c>
    </row>
    <row r="8415" spans="1:7" x14ac:dyDescent="0.3">
      <c r="A8415" t="s">
        <v>8547</v>
      </c>
      <c r="B8415" t="s">
        <v>14</v>
      </c>
      <c r="C8415" t="str">
        <f>_xlfn.XLOOKUP(B8415,
[1]sales_teams!$A$2:$A$100,
[1]sales_teams!$B$2:$B$100)</f>
        <v>Melvin Marxen</v>
      </c>
      <c r="D8415" t="str">
        <f>_xlfn.XLOOKUP($B8415,sales_teams!$A$2:$A$36,sales_teams!C$2:C$36)</f>
        <v>Central</v>
      </c>
      <c r="E8415" t="s">
        <v>48</v>
      </c>
      <c r="G8415" t="s">
        <v>8434</v>
      </c>
    </row>
    <row r="8416" spans="1:7" x14ac:dyDescent="0.3">
      <c r="A8416" t="s">
        <v>8548</v>
      </c>
      <c r="B8416" t="s">
        <v>14</v>
      </c>
      <c r="C8416" t="str">
        <f>_xlfn.XLOOKUP(B8416,
[1]sales_teams!$A$2:$A$100,
[1]sales_teams!$B$2:$B$100)</f>
        <v>Melvin Marxen</v>
      </c>
      <c r="D8416" t="str">
        <f>_xlfn.XLOOKUP($B8416,sales_teams!$A$2:$A$36,sales_teams!C$2:C$36)</f>
        <v>Central</v>
      </c>
      <c r="E8416" t="s">
        <v>48</v>
      </c>
      <c r="G8416" t="s">
        <v>8434</v>
      </c>
    </row>
    <row r="8417" spans="1:7" x14ac:dyDescent="0.3">
      <c r="A8417" t="s">
        <v>8549</v>
      </c>
      <c r="B8417" t="s">
        <v>14</v>
      </c>
      <c r="C8417" t="str">
        <f>_xlfn.XLOOKUP(B8417,
[1]sales_teams!$A$2:$A$100,
[1]sales_teams!$B$2:$B$100)</f>
        <v>Melvin Marxen</v>
      </c>
      <c r="D8417" t="str">
        <f>_xlfn.XLOOKUP($B8417,sales_teams!$A$2:$A$36,sales_teams!C$2:C$36)</f>
        <v>Central</v>
      </c>
      <c r="E8417" t="s">
        <v>48</v>
      </c>
      <c r="G8417" t="s">
        <v>8434</v>
      </c>
    </row>
    <row r="8418" spans="1:7" x14ac:dyDescent="0.3">
      <c r="A8418" t="s">
        <v>8550</v>
      </c>
      <c r="B8418" t="s">
        <v>14</v>
      </c>
      <c r="C8418" t="str">
        <f>_xlfn.XLOOKUP(B8418,
[1]sales_teams!$A$2:$A$100,
[1]sales_teams!$B$2:$B$100)</f>
        <v>Melvin Marxen</v>
      </c>
      <c r="D8418" t="str">
        <f>_xlfn.XLOOKUP($B8418,sales_teams!$A$2:$A$36,sales_teams!C$2:C$36)</f>
        <v>Central</v>
      </c>
      <c r="E8418" t="s">
        <v>48</v>
      </c>
      <c r="G8418" t="s">
        <v>8434</v>
      </c>
    </row>
    <row r="8419" spans="1:7" x14ac:dyDescent="0.3">
      <c r="A8419" t="s">
        <v>8551</v>
      </c>
      <c r="B8419" t="s">
        <v>14</v>
      </c>
      <c r="C8419" t="str">
        <f>_xlfn.XLOOKUP(B8419,
[1]sales_teams!$A$2:$A$100,
[1]sales_teams!$B$2:$B$100)</f>
        <v>Melvin Marxen</v>
      </c>
      <c r="D8419" t="str">
        <f>_xlfn.XLOOKUP($B8419,sales_teams!$A$2:$A$36,sales_teams!C$2:C$36)</f>
        <v>Central</v>
      </c>
      <c r="E8419" t="s">
        <v>48</v>
      </c>
      <c r="G8419" t="s">
        <v>8434</v>
      </c>
    </row>
    <row r="8420" spans="1:7" x14ac:dyDescent="0.3">
      <c r="A8420" t="s">
        <v>8552</v>
      </c>
      <c r="B8420" t="s">
        <v>14</v>
      </c>
      <c r="C8420" t="str">
        <f>_xlfn.XLOOKUP(B8420,
[1]sales_teams!$A$2:$A$100,
[1]sales_teams!$B$2:$B$100)</f>
        <v>Melvin Marxen</v>
      </c>
      <c r="D8420" t="str">
        <f>_xlfn.XLOOKUP($B8420,sales_teams!$A$2:$A$36,sales_teams!C$2:C$36)</f>
        <v>Central</v>
      </c>
      <c r="E8420" t="s">
        <v>48</v>
      </c>
      <c r="G8420" t="s">
        <v>8434</v>
      </c>
    </row>
    <row r="8421" spans="1:7" x14ac:dyDescent="0.3">
      <c r="A8421" t="s">
        <v>8553</v>
      </c>
      <c r="B8421" t="s">
        <v>14</v>
      </c>
      <c r="C8421" t="str">
        <f>_xlfn.XLOOKUP(B8421,
[1]sales_teams!$A$2:$A$100,
[1]sales_teams!$B$2:$B$100)</f>
        <v>Melvin Marxen</v>
      </c>
      <c r="D8421" t="str">
        <f>_xlfn.XLOOKUP($B8421,sales_teams!$A$2:$A$36,sales_teams!C$2:C$36)</f>
        <v>Central</v>
      </c>
      <c r="E8421" t="s">
        <v>48</v>
      </c>
      <c r="G8421" t="s">
        <v>8434</v>
      </c>
    </row>
    <row r="8422" spans="1:7" x14ac:dyDescent="0.3">
      <c r="A8422" t="s">
        <v>8554</v>
      </c>
      <c r="B8422" t="s">
        <v>14</v>
      </c>
      <c r="C8422" t="str">
        <f>_xlfn.XLOOKUP(B8422,
[1]sales_teams!$A$2:$A$100,
[1]sales_teams!$B$2:$B$100)</f>
        <v>Melvin Marxen</v>
      </c>
      <c r="D8422" t="str">
        <f>_xlfn.XLOOKUP($B8422,sales_teams!$A$2:$A$36,sales_teams!C$2:C$36)</f>
        <v>Central</v>
      </c>
      <c r="E8422" t="s">
        <v>48</v>
      </c>
      <c r="G8422" t="s">
        <v>8434</v>
      </c>
    </row>
    <row r="8423" spans="1:7" x14ac:dyDescent="0.3">
      <c r="A8423" t="s">
        <v>8555</v>
      </c>
      <c r="B8423" t="s">
        <v>14</v>
      </c>
      <c r="C8423" t="str">
        <f>_xlfn.XLOOKUP(B8423,
[1]sales_teams!$A$2:$A$100,
[1]sales_teams!$B$2:$B$100)</f>
        <v>Melvin Marxen</v>
      </c>
      <c r="D8423" t="str">
        <f>_xlfn.XLOOKUP($B8423,sales_teams!$A$2:$A$36,sales_teams!C$2:C$36)</f>
        <v>Central</v>
      </c>
      <c r="E8423" t="s">
        <v>48</v>
      </c>
      <c r="G8423" t="s">
        <v>8434</v>
      </c>
    </row>
    <row r="8424" spans="1:7" x14ac:dyDescent="0.3">
      <c r="A8424" t="s">
        <v>8556</v>
      </c>
      <c r="B8424" t="s">
        <v>14</v>
      </c>
      <c r="C8424" t="str">
        <f>_xlfn.XLOOKUP(B8424,
[1]sales_teams!$A$2:$A$100,
[1]sales_teams!$B$2:$B$100)</f>
        <v>Melvin Marxen</v>
      </c>
      <c r="D8424" t="str">
        <f>_xlfn.XLOOKUP($B8424,sales_teams!$A$2:$A$36,sales_teams!C$2:C$36)</f>
        <v>Central</v>
      </c>
      <c r="E8424" t="s">
        <v>15</v>
      </c>
      <c r="F8424" t="s">
        <v>42</v>
      </c>
      <c r="G8424" t="s">
        <v>8434</v>
      </c>
    </row>
    <row r="8425" spans="1:7" x14ac:dyDescent="0.3">
      <c r="A8425" t="s">
        <v>8557</v>
      </c>
      <c r="B8425" t="s">
        <v>14</v>
      </c>
      <c r="C8425" t="str">
        <f>_xlfn.XLOOKUP(B8425,
[1]sales_teams!$A$2:$A$100,
[1]sales_teams!$B$2:$B$100)</f>
        <v>Melvin Marxen</v>
      </c>
      <c r="D8425" t="str">
        <f>_xlfn.XLOOKUP($B8425,sales_teams!$A$2:$A$36,sales_teams!C$2:C$36)</f>
        <v>Central</v>
      </c>
      <c r="E8425" t="s">
        <v>15</v>
      </c>
      <c r="F8425" t="s">
        <v>313</v>
      </c>
      <c r="G8425" t="s">
        <v>8434</v>
      </c>
    </row>
    <row r="8426" spans="1:7" x14ac:dyDescent="0.3">
      <c r="A8426" t="s">
        <v>8558</v>
      </c>
      <c r="B8426" t="s">
        <v>14</v>
      </c>
      <c r="C8426" t="str">
        <f>_xlfn.XLOOKUP(B8426,
[1]sales_teams!$A$2:$A$100,
[1]sales_teams!$B$2:$B$100)</f>
        <v>Melvin Marxen</v>
      </c>
      <c r="D8426" t="str">
        <f>_xlfn.XLOOKUP($B8426,sales_teams!$A$2:$A$36,sales_teams!C$2:C$36)</f>
        <v>Central</v>
      </c>
      <c r="E8426" t="s">
        <v>15</v>
      </c>
      <c r="F8426" t="s">
        <v>745</v>
      </c>
      <c r="G8426" t="s">
        <v>8434</v>
      </c>
    </row>
    <row r="8427" spans="1:7" x14ac:dyDescent="0.3">
      <c r="A8427" t="s">
        <v>8559</v>
      </c>
      <c r="B8427" t="s">
        <v>14</v>
      </c>
      <c r="C8427" t="str">
        <f>_xlfn.XLOOKUP(B8427,
[1]sales_teams!$A$2:$A$100,
[1]sales_teams!$B$2:$B$100)</f>
        <v>Melvin Marxen</v>
      </c>
      <c r="D8427" t="str">
        <f>_xlfn.XLOOKUP($B8427,sales_teams!$A$2:$A$36,sales_teams!C$2:C$36)</f>
        <v>Central</v>
      </c>
      <c r="E8427" t="s">
        <v>15</v>
      </c>
      <c r="F8427" t="s">
        <v>218</v>
      </c>
      <c r="G8427" t="s">
        <v>8434</v>
      </c>
    </row>
    <row r="8428" spans="1:7" x14ac:dyDescent="0.3">
      <c r="A8428" t="s">
        <v>8560</v>
      </c>
      <c r="B8428" t="s">
        <v>14</v>
      </c>
      <c r="C8428" t="str">
        <f>_xlfn.XLOOKUP(B8428,
[1]sales_teams!$A$2:$A$100,
[1]sales_teams!$B$2:$B$100)</f>
        <v>Melvin Marxen</v>
      </c>
      <c r="D8428" t="str">
        <f>_xlfn.XLOOKUP($B8428,sales_teams!$A$2:$A$36,sales_teams!C$2:C$36)</f>
        <v>Central</v>
      </c>
      <c r="E8428" t="s">
        <v>15</v>
      </c>
      <c r="F8428" t="s">
        <v>218</v>
      </c>
      <c r="G8428" t="s">
        <v>8434</v>
      </c>
    </row>
    <row r="8429" spans="1:7" x14ac:dyDescent="0.3">
      <c r="A8429" t="s">
        <v>8561</v>
      </c>
      <c r="B8429" t="s">
        <v>14</v>
      </c>
      <c r="C8429" t="str">
        <f>_xlfn.XLOOKUP(B8429,
[1]sales_teams!$A$2:$A$100,
[1]sales_teams!$B$2:$B$100)</f>
        <v>Melvin Marxen</v>
      </c>
      <c r="D8429" t="str">
        <f>_xlfn.XLOOKUP($B8429,sales_teams!$A$2:$A$36,sales_teams!C$2:C$36)</f>
        <v>Central</v>
      </c>
      <c r="E8429" t="s">
        <v>15</v>
      </c>
      <c r="F8429" t="s">
        <v>209</v>
      </c>
      <c r="G8429" t="s">
        <v>8434</v>
      </c>
    </row>
    <row r="8430" spans="1:7" x14ac:dyDescent="0.3">
      <c r="A8430" t="s">
        <v>8562</v>
      </c>
      <c r="B8430" t="s">
        <v>14</v>
      </c>
      <c r="C8430" t="str">
        <f>_xlfn.XLOOKUP(B8430,
[1]sales_teams!$A$2:$A$100,
[1]sales_teams!$B$2:$B$100)</f>
        <v>Melvin Marxen</v>
      </c>
      <c r="D8430" t="str">
        <f>_xlfn.XLOOKUP($B8430,sales_teams!$A$2:$A$36,sales_teams!C$2:C$36)</f>
        <v>Central</v>
      </c>
      <c r="E8430" t="s">
        <v>15</v>
      </c>
      <c r="F8430" t="s">
        <v>197</v>
      </c>
      <c r="G8430" t="s">
        <v>8434</v>
      </c>
    </row>
    <row r="8431" spans="1:7" x14ac:dyDescent="0.3">
      <c r="A8431" t="s">
        <v>8563</v>
      </c>
      <c r="B8431" t="s">
        <v>14</v>
      </c>
      <c r="C8431" t="str">
        <f>_xlfn.XLOOKUP(B8431,
[1]sales_teams!$A$2:$A$100,
[1]sales_teams!$B$2:$B$100)</f>
        <v>Melvin Marxen</v>
      </c>
      <c r="D8431" t="str">
        <f>_xlfn.XLOOKUP($B8431,sales_teams!$A$2:$A$36,sales_teams!C$2:C$36)</f>
        <v>Central</v>
      </c>
      <c r="E8431" t="s">
        <v>15</v>
      </c>
      <c r="F8431" t="s">
        <v>194</v>
      </c>
      <c r="G8431" t="s">
        <v>8434</v>
      </c>
    </row>
    <row r="8432" spans="1:7" x14ac:dyDescent="0.3">
      <c r="A8432" t="s">
        <v>8564</v>
      </c>
      <c r="B8432" t="s">
        <v>14</v>
      </c>
      <c r="C8432" t="str">
        <f>_xlfn.XLOOKUP(B8432,
[1]sales_teams!$A$2:$A$100,
[1]sales_teams!$B$2:$B$100)</f>
        <v>Melvin Marxen</v>
      </c>
      <c r="D8432" t="str">
        <f>_xlfn.XLOOKUP($B8432,sales_teams!$A$2:$A$36,sales_teams!C$2:C$36)</f>
        <v>Central</v>
      </c>
      <c r="E8432" t="s">
        <v>15</v>
      </c>
      <c r="F8432" t="s">
        <v>194</v>
      </c>
      <c r="G8432" t="s">
        <v>8434</v>
      </c>
    </row>
    <row r="8433" spans="1:7" x14ac:dyDescent="0.3">
      <c r="A8433" t="s">
        <v>8565</v>
      </c>
      <c r="B8433" t="s">
        <v>14</v>
      </c>
      <c r="C8433" t="str">
        <f>_xlfn.XLOOKUP(B8433,
[1]sales_teams!$A$2:$A$100,
[1]sales_teams!$B$2:$B$100)</f>
        <v>Melvin Marxen</v>
      </c>
      <c r="D8433" t="str">
        <f>_xlfn.XLOOKUP($B8433,sales_teams!$A$2:$A$36,sales_teams!C$2:C$36)</f>
        <v>Central</v>
      </c>
      <c r="E8433" t="s">
        <v>15</v>
      </c>
      <c r="F8433" t="s">
        <v>55</v>
      </c>
      <c r="G8433" t="s">
        <v>8434</v>
      </c>
    </row>
    <row r="8434" spans="1:7" x14ac:dyDescent="0.3">
      <c r="A8434" t="s">
        <v>8566</v>
      </c>
      <c r="B8434" t="s">
        <v>14</v>
      </c>
      <c r="C8434" t="str">
        <f>_xlfn.XLOOKUP(B8434,
[1]sales_teams!$A$2:$A$100,
[1]sales_teams!$B$2:$B$100)</f>
        <v>Melvin Marxen</v>
      </c>
      <c r="D8434" t="str">
        <f>_xlfn.XLOOKUP($B8434,sales_teams!$A$2:$A$36,sales_teams!C$2:C$36)</f>
        <v>Central</v>
      </c>
      <c r="E8434" t="s">
        <v>15</v>
      </c>
      <c r="F8434" t="s">
        <v>240</v>
      </c>
      <c r="G8434" t="s">
        <v>8434</v>
      </c>
    </row>
    <row r="8435" spans="1:7" x14ac:dyDescent="0.3">
      <c r="A8435" t="s">
        <v>8567</v>
      </c>
      <c r="B8435" t="s">
        <v>14</v>
      </c>
      <c r="C8435" t="str">
        <f>_xlfn.XLOOKUP(B8435,
[1]sales_teams!$A$2:$A$100,
[1]sales_teams!$B$2:$B$100)</f>
        <v>Melvin Marxen</v>
      </c>
      <c r="D8435" t="str">
        <f>_xlfn.XLOOKUP($B8435,sales_teams!$A$2:$A$36,sales_teams!C$2:C$36)</f>
        <v>Central</v>
      </c>
      <c r="E8435" t="s">
        <v>15</v>
      </c>
      <c r="F8435" t="s">
        <v>318</v>
      </c>
      <c r="G8435" t="s">
        <v>8434</v>
      </c>
    </row>
    <row r="8436" spans="1:7" x14ac:dyDescent="0.3">
      <c r="A8436" t="s">
        <v>8568</v>
      </c>
      <c r="B8436" t="s">
        <v>14</v>
      </c>
      <c r="C8436" t="str">
        <f>_xlfn.XLOOKUP(B8436,
[1]sales_teams!$A$2:$A$100,
[1]sales_teams!$B$2:$B$100)</f>
        <v>Melvin Marxen</v>
      </c>
      <c r="D8436" t="str">
        <f>_xlfn.XLOOKUP($B8436,sales_teams!$A$2:$A$36,sales_teams!C$2:C$36)</f>
        <v>Central</v>
      </c>
      <c r="E8436" t="s">
        <v>15</v>
      </c>
      <c r="F8436" t="s">
        <v>518</v>
      </c>
      <c r="G8436" t="s">
        <v>8434</v>
      </c>
    </row>
    <row r="8437" spans="1:7" x14ac:dyDescent="0.3">
      <c r="A8437" t="s">
        <v>8569</v>
      </c>
      <c r="B8437" t="s">
        <v>14</v>
      </c>
      <c r="C8437" t="str">
        <f>_xlfn.XLOOKUP(B8437,
[1]sales_teams!$A$2:$A$100,
[1]sales_teams!$B$2:$B$100)</f>
        <v>Melvin Marxen</v>
      </c>
      <c r="D8437" t="str">
        <f>_xlfn.XLOOKUP($B8437,sales_teams!$A$2:$A$36,sales_teams!C$2:C$36)</f>
        <v>Central</v>
      </c>
      <c r="E8437" t="s">
        <v>15</v>
      </c>
      <c r="F8437" t="s">
        <v>140</v>
      </c>
      <c r="G8437" t="s">
        <v>8434</v>
      </c>
    </row>
    <row r="8438" spans="1:7" x14ac:dyDescent="0.3">
      <c r="A8438" t="s">
        <v>8570</v>
      </c>
      <c r="B8438" t="s">
        <v>14</v>
      </c>
      <c r="C8438" t="str">
        <f>_xlfn.XLOOKUP(B8438,
[1]sales_teams!$A$2:$A$100,
[1]sales_teams!$B$2:$B$100)</f>
        <v>Melvin Marxen</v>
      </c>
      <c r="D8438" t="str">
        <f>_xlfn.XLOOKUP($B8438,sales_teams!$A$2:$A$36,sales_teams!C$2:C$36)</f>
        <v>Central</v>
      </c>
      <c r="E8438" t="s">
        <v>15</v>
      </c>
      <c r="F8438" t="s">
        <v>168</v>
      </c>
      <c r="G8438" t="s">
        <v>8434</v>
      </c>
    </row>
    <row r="8439" spans="1:7" x14ac:dyDescent="0.3">
      <c r="A8439" t="s">
        <v>8571</v>
      </c>
      <c r="B8439" t="s">
        <v>14</v>
      </c>
      <c r="C8439" t="str">
        <f>_xlfn.XLOOKUP(B8439,
[1]sales_teams!$A$2:$A$100,
[1]sales_teams!$B$2:$B$100)</f>
        <v>Melvin Marxen</v>
      </c>
      <c r="D8439" t="str">
        <f>_xlfn.XLOOKUP($B8439,sales_teams!$A$2:$A$36,sales_teams!C$2:C$36)</f>
        <v>Central</v>
      </c>
      <c r="E8439" t="s">
        <v>15</v>
      </c>
      <c r="F8439" t="s">
        <v>27</v>
      </c>
      <c r="G8439" t="s">
        <v>8434</v>
      </c>
    </row>
    <row r="8440" spans="1:7" x14ac:dyDescent="0.3">
      <c r="A8440" t="s">
        <v>8572</v>
      </c>
      <c r="B8440" t="s">
        <v>14</v>
      </c>
      <c r="C8440" t="str">
        <f>_xlfn.XLOOKUP(B8440,
[1]sales_teams!$A$2:$A$100,
[1]sales_teams!$B$2:$B$100)</f>
        <v>Melvin Marxen</v>
      </c>
      <c r="D8440" t="str">
        <f>_xlfn.XLOOKUP($B8440,sales_teams!$A$2:$A$36,sales_teams!C$2:C$36)</f>
        <v>Central</v>
      </c>
      <c r="E8440" t="s">
        <v>15</v>
      </c>
      <c r="F8440" t="s">
        <v>27</v>
      </c>
      <c r="G8440" t="s">
        <v>8434</v>
      </c>
    </row>
    <row r="8441" spans="1:7" x14ac:dyDescent="0.3">
      <c r="A8441" t="s">
        <v>8573</v>
      </c>
      <c r="B8441" t="s">
        <v>14</v>
      </c>
      <c r="C8441" t="str">
        <f>_xlfn.XLOOKUP(B8441,
[1]sales_teams!$A$2:$A$100,
[1]sales_teams!$B$2:$B$100)</f>
        <v>Melvin Marxen</v>
      </c>
      <c r="D8441" t="str">
        <f>_xlfn.XLOOKUP($B8441,sales_teams!$A$2:$A$36,sales_teams!C$2:C$36)</f>
        <v>Central</v>
      </c>
      <c r="E8441" t="s">
        <v>15</v>
      </c>
      <c r="F8441" t="s">
        <v>126</v>
      </c>
      <c r="G8441" t="s">
        <v>8434</v>
      </c>
    </row>
    <row r="8442" spans="1:7" x14ac:dyDescent="0.3">
      <c r="A8442" t="s">
        <v>8574</v>
      </c>
      <c r="B8442" t="s">
        <v>14</v>
      </c>
      <c r="C8442" t="str">
        <f>_xlfn.XLOOKUP(B8442,
[1]sales_teams!$A$2:$A$100,
[1]sales_teams!$B$2:$B$100)</f>
        <v>Melvin Marxen</v>
      </c>
      <c r="D8442" t="str">
        <f>_xlfn.XLOOKUP($B8442,sales_teams!$A$2:$A$36,sales_teams!C$2:C$36)</f>
        <v>Central</v>
      </c>
      <c r="E8442" t="s">
        <v>15</v>
      </c>
      <c r="F8442" t="s">
        <v>126</v>
      </c>
      <c r="G8442" t="s">
        <v>8434</v>
      </c>
    </row>
    <row r="8443" spans="1:7" x14ac:dyDescent="0.3">
      <c r="A8443" t="s">
        <v>8575</v>
      </c>
      <c r="B8443" t="s">
        <v>14</v>
      </c>
      <c r="C8443" t="str">
        <f>_xlfn.XLOOKUP(B8443,
[1]sales_teams!$A$2:$A$100,
[1]sales_teams!$B$2:$B$100)</f>
        <v>Melvin Marxen</v>
      </c>
      <c r="D8443" t="str">
        <f>_xlfn.XLOOKUP($B8443,sales_teams!$A$2:$A$36,sales_teams!C$2:C$36)</f>
        <v>Central</v>
      </c>
      <c r="E8443" t="s">
        <v>15</v>
      </c>
      <c r="F8443" t="s">
        <v>76</v>
      </c>
      <c r="G8443" t="s">
        <v>8434</v>
      </c>
    </row>
    <row r="8444" spans="1:7" x14ac:dyDescent="0.3">
      <c r="A8444" t="s">
        <v>8576</v>
      </c>
      <c r="B8444" t="s">
        <v>14</v>
      </c>
      <c r="C8444" t="str">
        <f>_xlfn.XLOOKUP(B8444,
[1]sales_teams!$A$2:$A$100,
[1]sales_teams!$B$2:$B$100)</f>
        <v>Melvin Marxen</v>
      </c>
      <c r="D8444" t="str">
        <f>_xlfn.XLOOKUP($B8444,sales_teams!$A$2:$A$36,sales_teams!C$2:C$36)</f>
        <v>Central</v>
      </c>
      <c r="E8444" t="s">
        <v>15</v>
      </c>
      <c r="F8444" t="s">
        <v>65</v>
      </c>
      <c r="G8444" t="s">
        <v>8434</v>
      </c>
    </row>
    <row r="8445" spans="1:7" x14ac:dyDescent="0.3">
      <c r="A8445" t="s">
        <v>8577</v>
      </c>
      <c r="B8445" t="s">
        <v>14</v>
      </c>
      <c r="C8445" t="str">
        <f>_xlfn.XLOOKUP(B8445,
[1]sales_teams!$A$2:$A$100,
[1]sales_teams!$B$2:$B$100)</f>
        <v>Melvin Marxen</v>
      </c>
      <c r="D8445" t="str">
        <f>_xlfn.XLOOKUP($B8445,sales_teams!$A$2:$A$36,sales_teams!C$2:C$36)</f>
        <v>Central</v>
      </c>
      <c r="E8445" t="s">
        <v>15</v>
      </c>
      <c r="F8445" t="s">
        <v>278</v>
      </c>
      <c r="G8445" t="s">
        <v>8434</v>
      </c>
    </row>
    <row r="8446" spans="1:7" x14ac:dyDescent="0.3">
      <c r="A8446" t="s">
        <v>8578</v>
      </c>
      <c r="B8446" t="s">
        <v>14</v>
      </c>
      <c r="C8446" t="str">
        <f>_xlfn.XLOOKUP(B8446,
[1]sales_teams!$A$2:$A$100,
[1]sales_teams!$B$2:$B$100)</f>
        <v>Melvin Marxen</v>
      </c>
      <c r="D8446" t="str">
        <f>_xlfn.XLOOKUP($B8446,sales_teams!$A$2:$A$36,sales_teams!C$2:C$36)</f>
        <v>Central</v>
      </c>
      <c r="E8446" t="s">
        <v>15</v>
      </c>
      <c r="F8446" t="s">
        <v>300</v>
      </c>
      <c r="G8446" t="s">
        <v>8434</v>
      </c>
    </row>
    <row r="8447" spans="1:7" x14ac:dyDescent="0.3">
      <c r="A8447" t="s">
        <v>8579</v>
      </c>
      <c r="B8447" t="s">
        <v>14</v>
      </c>
      <c r="C8447" t="str">
        <f>_xlfn.XLOOKUP(B8447,
[1]sales_teams!$A$2:$A$100,
[1]sales_teams!$B$2:$B$100)</f>
        <v>Melvin Marxen</v>
      </c>
      <c r="D8447" t="str">
        <f>_xlfn.XLOOKUP($B8447,sales_teams!$A$2:$A$36,sales_teams!C$2:C$36)</f>
        <v>Central</v>
      </c>
      <c r="E8447" t="s">
        <v>15</v>
      </c>
      <c r="F8447" t="s">
        <v>373</v>
      </c>
      <c r="G8447" t="s">
        <v>8434</v>
      </c>
    </row>
    <row r="8448" spans="1:7" x14ac:dyDescent="0.3">
      <c r="A8448" t="s">
        <v>8580</v>
      </c>
      <c r="B8448" t="s">
        <v>14</v>
      </c>
      <c r="C8448" t="str">
        <f>_xlfn.XLOOKUP(B8448,
[1]sales_teams!$A$2:$A$100,
[1]sales_teams!$B$2:$B$100)</f>
        <v>Melvin Marxen</v>
      </c>
      <c r="D8448" t="str">
        <f>_xlfn.XLOOKUP($B8448,sales_teams!$A$2:$A$36,sales_teams!C$2:C$36)</f>
        <v>Central</v>
      </c>
      <c r="E8448" t="s">
        <v>15</v>
      </c>
      <c r="F8448" t="s">
        <v>36</v>
      </c>
      <c r="G8448" t="s">
        <v>8434</v>
      </c>
    </row>
    <row r="8449" spans="1:7" x14ac:dyDescent="0.3">
      <c r="A8449" t="s">
        <v>8581</v>
      </c>
      <c r="B8449" t="s">
        <v>14</v>
      </c>
      <c r="C8449" t="str">
        <f>_xlfn.XLOOKUP(B8449,
[1]sales_teams!$A$2:$A$100,
[1]sales_teams!$B$2:$B$100)</f>
        <v>Melvin Marxen</v>
      </c>
      <c r="D8449" t="str">
        <f>_xlfn.XLOOKUP($B8449,sales_teams!$A$2:$A$36,sales_teams!C$2:C$36)</f>
        <v>Central</v>
      </c>
      <c r="E8449" t="s">
        <v>15</v>
      </c>
      <c r="G8449" t="s">
        <v>8434</v>
      </c>
    </row>
    <row r="8450" spans="1:7" x14ac:dyDescent="0.3">
      <c r="A8450" t="s">
        <v>8582</v>
      </c>
      <c r="B8450" t="s">
        <v>14</v>
      </c>
      <c r="C8450" t="str">
        <f>_xlfn.XLOOKUP(B8450,
[1]sales_teams!$A$2:$A$100,
[1]sales_teams!$B$2:$B$100)</f>
        <v>Melvin Marxen</v>
      </c>
      <c r="D8450" t="str">
        <f>_xlfn.XLOOKUP($B8450,sales_teams!$A$2:$A$36,sales_teams!C$2:C$36)</f>
        <v>Central</v>
      </c>
      <c r="E8450" t="s">
        <v>15</v>
      </c>
      <c r="G8450" t="s">
        <v>8434</v>
      </c>
    </row>
    <row r="8451" spans="1:7" x14ac:dyDescent="0.3">
      <c r="A8451" t="s">
        <v>8583</v>
      </c>
      <c r="B8451" t="s">
        <v>14</v>
      </c>
      <c r="C8451" t="str">
        <f>_xlfn.XLOOKUP(B8451,
[1]sales_teams!$A$2:$A$100,
[1]sales_teams!$B$2:$B$100)</f>
        <v>Melvin Marxen</v>
      </c>
      <c r="D8451" t="str">
        <f>_xlfn.XLOOKUP($B8451,sales_teams!$A$2:$A$36,sales_teams!C$2:C$36)</f>
        <v>Central</v>
      </c>
      <c r="E8451" t="s">
        <v>15</v>
      </c>
      <c r="G8451" t="s">
        <v>8434</v>
      </c>
    </row>
    <row r="8452" spans="1:7" x14ac:dyDescent="0.3">
      <c r="A8452" t="s">
        <v>8584</v>
      </c>
      <c r="B8452" t="s">
        <v>14</v>
      </c>
      <c r="C8452" t="str">
        <f>_xlfn.XLOOKUP(B8452,
[1]sales_teams!$A$2:$A$100,
[1]sales_teams!$B$2:$B$100)</f>
        <v>Melvin Marxen</v>
      </c>
      <c r="D8452" t="str">
        <f>_xlfn.XLOOKUP($B8452,sales_teams!$A$2:$A$36,sales_teams!C$2:C$36)</f>
        <v>Central</v>
      </c>
      <c r="E8452" t="s">
        <v>15</v>
      </c>
      <c r="G8452" t="s">
        <v>8434</v>
      </c>
    </row>
    <row r="8453" spans="1:7" x14ac:dyDescent="0.3">
      <c r="A8453" t="s">
        <v>8585</v>
      </c>
      <c r="B8453" t="s">
        <v>14</v>
      </c>
      <c r="C8453" t="str">
        <f>_xlfn.XLOOKUP(B8453,
[1]sales_teams!$A$2:$A$100,
[1]sales_teams!$B$2:$B$100)</f>
        <v>Melvin Marxen</v>
      </c>
      <c r="D8453" t="str">
        <f>_xlfn.XLOOKUP($B8453,sales_teams!$A$2:$A$36,sales_teams!C$2:C$36)</f>
        <v>Central</v>
      </c>
      <c r="E8453" t="s">
        <v>15</v>
      </c>
      <c r="G8453" t="s">
        <v>8434</v>
      </c>
    </row>
    <row r="8454" spans="1:7" x14ac:dyDescent="0.3">
      <c r="A8454" t="s">
        <v>8586</v>
      </c>
      <c r="B8454" t="s">
        <v>14</v>
      </c>
      <c r="C8454" t="str">
        <f>_xlfn.XLOOKUP(B8454,
[1]sales_teams!$A$2:$A$100,
[1]sales_teams!$B$2:$B$100)</f>
        <v>Melvin Marxen</v>
      </c>
      <c r="D8454" t="str">
        <f>_xlfn.XLOOKUP($B8454,sales_teams!$A$2:$A$36,sales_teams!C$2:C$36)</f>
        <v>Central</v>
      </c>
      <c r="E8454" t="s">
        <v>15</v>
      </c>
      <c r="G8454" t="s">
        <v>8434</v>
      </c>
    </row>
    <row r="8455" spans="1:7" x14ac:dyDescent="0.3">
      <c r="A8455" t="s">
        <v>8587</v>
      </c>
      <c r="B8455" t="s">
        <v>14</v>
      </c>
      <c r="C8455" t="str">
        <f>_xlfn.XLOOKUP(B8455,
[1]sales_teams!$A$2:$A$100,
[1]sales_teams!$B$2:$B$100)</f>
        <v>Melvin Marxen</v>
      </c>
      <c r="D8455" t="str">
        <f>_xlfn.XLOOKUP($B8455,sales_teams!$A$2:$A$36,sales_teams!C$2:C$36)</f>
        <v>Central</v>
      </c>
      <c r="E8455" t="s">
        <v>15</v>
      </c>
      <c r="G8455" t="s">
        <v>8434</v>
      </c>
    </row>
    <row r="8456" spans="1:7" x14ac:dyDescent="0.3">
      <c r="A8456" t="s">
        <v>8588</v>
      </c>
      <c r="B8456" t="s">
        <v>14</v>
      </c>
      <c r="C8456" t="str">
        <f>_xlfn.XLOOKUP(B8456,
[1]sales_teams!$A$2:$A$100,
[1]sales_teams!$B$2:$B$100)</f>
        <v>Melvin Marxen</v>
      </c>
      <c r="D8456" t="str">
        <f>_xlfn.XLOOKUP($B8456,sales_teams!$A$2:$A$36,sales_teams!C$2:C$36)</f>
        <v>Central</v>
      </c>
      <c r="E8456" t="s">
        <v>15</v>
      </c>
      <c r="G8456" t="s">
        <v>8434</v>
      </c>
    </row>
    <row r="8457" spans="1:7" x14ac:dyDescent="0.3">
      <c r="A8457" t="s">
        <v>8589</v>
      </c>
      <c r="B8457" t="s">
        <v>14</v>
      </c>
      <c r="C8457" t="str">
        <f>_xlfn.XLOOKUP(B8457,
[1]sales_teams!$A$2:$A$100,
[1]sales_teams!$B$2:$B$100)</f>
        <v>Melvin Marxen</v>
      </c>
      <c r="D8457" t="str">
        <f>_xlfn.XLOOKUP($B8457,sales_teams!$A$2:$A$36,sales_teams!C$2:C$36)</f>
        <v>Central</v>
      </c>
      <c r="E8457" t="s">
        <v>15</v>
      </c>
      <c r="G8457" t="s">
        <v>8434</v>
      </c>
    </row>
    <row r="8458" spans="1:7" x14ac:dyDescent="0.3">
      <c r="A8458" t="s">
        <v>8590</v>
      </c>
      <c r="B8458" t="s">
        <v>14</v>
      </c>
      <c r="C8458" t="str">
        <f>_xlfn.XLOOKUP(B8458,
[1]sales_teams!$A$2:$A$100,
[1]sales_teams!$B$2:$B$100)</f>
        <v>Melvin Marxen</v>
      </c>
      <c r="D8458" t="str">
        <f>_xlfn.XLOOKUP($B8458,sales_teams!$A$2:$A$36,sales_teams!C$2:C$36)</f>
        <v>Central</v>
      </c>
      <c r="E8458" t="s">
        <v>15</v>
      </c>
      <c r="G8458" t="s">
        <v>8434</v>
      </c>
    </row>
    <row r="8459" spans="1:7" x14ac:dyDescent="0.3">
      <c r="A8459" t="s">
        <v>8591</v>
      </c>
      <c r="B8459" t="s">
        <v>14</v>
      </c>
      <c r="C8459" t="str">
        <f>_xlfn.XLOOKUP(B8459,
[1]sales_teams!$A$2:$A$100,
[1]sales_teams!$B$2:$B$100)</f>
        <v>Melvin Marxen</v>
      </c>
      <c r="D8459" t="str">
        <f>_xlfn.XLOOKUP($B8459,sales_teams!$A$2:$A$36,sales_teams!C$2:C$36)</f>
        <v>Central</v>
      </c>
      <c r="E8459" t="s">
        <v>15</v>
      </c>
      <c r="G8459" t="s">
        <v>8434</v>
      </c>
    </row>
    <row r="8460" spans="1:7" x14ac:dyDescent="0.3">
      <c r="A8460" t="s">
        <v>8592</v>
      </c>
      <c r="B8460" t="s">
        <v>14</v>
      </c>
      <c r="C8460" t="str">
        <f>_xlfn.XLOOKUP(B8460,
[1]sales_teams!$A$2:$A$100,
[1]sales_teams!$B$2:$B$100)</f>
        <v>Melvin Marxen</v>
      </c>
      <c r="D8460" t="str">
        <f>_xlfn.XLOOKUP($B8460,sales_teams!$A$2:$A$36,sales_teams!C$2:C$36)</f>
        <v>Central</v>
      </c>
      <c r="E8460" t="s">
        <v>15</v>
      </c>
      <c r="G8460" t="s">
        <v>8434</v>
      </c>
    </row>
    <row r="8461" spans="1:7" x14ac:dyDescent="0.3">
      <c r="A8461" t="s">
        <v>8593</v>
      </c>
      <c r="B8461" t="s">
        <v>14</v>
      </c>
      <c r="C8461" t="str">
        <f>_xlfn.XLOOKUP(B8461,
[1]sales_teams!$A$2:$A$100,
[1]sales_teams!$B$2:$B$100)</f>
        <v>Melvin Marxen</v>
      </c>
      <c r="D8461" t="str">
        <f>_xlfn.XLOOKUP($B8461,sales_teams!$A$2:$A$36,sales_teams!C$2:C$36)</f>
        <v>Central</v>
      </c>
      <c r="E8461" t="s">
        <v>15</v>
      </c>
      <c r="G8461" t="s">
        <v>8434</v>
      </c>
    </row>
    <row r="8462" spans="1:7" x14ac:dyDescent="0.3">
      <c r="A8462" t="s">
        <v>8594</v>
      </c>
      <c r="B8462" t="s">
        <v>14</v>
      </c>
      <c r="C8462" t="str">
        <f>_xlfn.XLOOKUP(B8462,
[1]sales_teams!$A$2:$A$100,
[1]sales_teams!$B$2:$B$100)</f>
        <v>Melvin Marxen</v>
      </c>
      <c r="D8462" t="str">
        <f>_xlfn.XLOOKUP($B8462,sales_teams!$A$2:$A$36,sales_teams!C$2:C$36)</f>
        <v>Central</v>
      </c>
      <c r="E8462" t="s">
        <v>15</v>
      </c>
      <c r="G8462" t="s">
        <v>8434</v>
      </c>
    </row>
    <row r="8463" spans="1:7" x14ac:dyDescent="0.3">
      <c r="A8463" t="s">
        <v>8595</v>
      </c>
      <c r="B8463" t="s">
        <v>14</v>
      </c>
      <c r="C8463" t="str">
        <f>_xlfn.XLOOKUP(B8463,
[1]sales_teams!$A$2:$A$100,
[1]sales_teams!$B$2:$B$100)</f>
        <v>Melvin Marxen</v>
      </c>
      <c r="D8463" t="str">
        <f>_xlfn.XLOOKUP($B8463,sales_teams!$A$2:$A$36,sales_teams!C$2:C$36)</f>
        <v>Central</v>
      </c>
      <c r="E8463" t="s">
        <v>15</v>
      </c>
      <c r="G8463" t="s">
        <v>8434</v>
      </c>
    </row>
    <row r="8464" spans="1:7" x14ac:dyDescent="0.3">
      <c r="A8464" t="s">
        <v>8596</v>
      </c>
      <c r="B8464" t="s">
        <v>14</v>
      </c>
      <c r="C8464" t="str">
        <f>_xlfn.XLOOKUP(B8464,
[1]sales_teams!$A$2:$A$100,
[1]sales_teams!$B$2:$B$100)</f>
        <v>Melvin Marxen</v>
      </c>
      <c r="D8464" t="str">
        <f>_xlfn.XLOOKUP($B8464,sales_teams!$A$2:$A$36,sales_teams!C$2:C$36)</f>
        <v>Central</v>
      </c>
      <c r="E8464" t="s">
        <v>15</v>
      </c>
      <c r="G8464" t="s">
        <v>8434</v>
      </c>
    </row>
    <row r="8465" spans="1:7" x14ac:dyDescent="0.3">
      <c r="A8465" t="s">
        <v>8597</v>
      </c>
      <c r="B8465" t="s">
        <v>14</v>
      </c>
      <c r="C8465" t="str">
        <f>_xlfn.XLOOKUP(B8465,
[1]sales_teams!$A$2:$A$100,
[1]sales_teams!$B$2:$B$100)</f>
        <v>Melvin Marxen</v>
      </c>
      <c r="D8465" t="str">
        <f>_xlfn.XLOOKUP($B8465,sales_teams!$A$2:$A$36,sales_teams!C$2:C$36)</f>
        <v>Central</v>
      </c>
      <c r="E8465" t="s">
        <v>15</v>
      </c>
      <c r="G8465" t="s">
        <v>8434</v>
      </c>
    </row>
    <row r="8466" spans="1:7" x14ac:dyDescent="0.3">
      <c r="A8466" t="s">
        <v>8598</v>
      </c>
      <c r="B8466" t="s">
        <v>14</v>
      </c>
      <c r="C8466" t="str">
        <f>_xlfn.XLOOKUP(B8466,
[1]sales_teams!$A$2:$A$100,
[1]sales_teams!$B$2:$B$100)</f>
        <v>Melvin Marxen</v>
      </c>
      <c r="D8466" t="str">
        <f>_xlfn.XLOOKUP($B8466,sales_teams!$A$2:$A$36,sales_teams!C$2:C$36)</f>
        <v>Central</v>
      </c>
      <c r="E8466" t="s">
        <v>15</v>
      </c>
      <c r="G8466" t="s">
        <v>8434</v>
      </c>
    </row>
    <row r="8467" spans="1:7" x14ac:dyDescent="0.3">
      <c r="A8467" t="s">
        <v>8599</v>
      </c>
      <c r="B8467" t="s">
        <v>14</v>
      </c>
      <c r="C8467" t="str">
        <f>_xlfn.XLOOKUP(B8467,
[1]sales_teams!$A$2:$A$100,
[1]sales_teams!$B$2:$B$100)</f>
        <v>Melvin Marxen</v>
      </c>
      <c r="D8467" t="str">
        <f>_xlfn.XLOOKUP($B8467,sales_teams!$A$2:$A$36,sales_teams!C$2:C$36)</f>
        <v>Central</v>
      </c>
      <c r="E8467" t="s">
        <v>15</v>
      </c>
      <c r="G8467" t="s">
        <v>8434</v>
      </c>
    </row>
    <row r="8468" spans="1:7" x14ac:dyDescent="0.3">
      <c r="A8468" t="s">
        <v>8600</v>
      </c>
      <c r="B8468" t="s">
        <v>14</v>
      </c>
      <c r="C8468" t="str">
        <f>_xlfn.XLOOKUP(B8468,
[1]sales_teams!$A$2:$A$100,
[1]sales_teams!$B$2:$B$100)</f>
        <v>Melvin Marxen</v>
      </c>
      <c r="D8468" t="str">
        <f>_xlfn.XLOOKUP($B8468,sales_teams!$A$2:$A$36,sales_teams!C$2:C$36)</f>
        <v>Central</v>
      </c>
      <c r="E8468" t="s">
        <v>15</v>
      </c>
      <c r="G8468" t="s">
        <v>8434</v>
      </c>
    </row>
    <row r="8469" spans="1:7" x14ac:dyDescent="0.3">
      <c r="A8469" t="s">
        <v>8601</v>
      </c>
      <c r="B8469" t="s">
        <v>14</v>
      </c>
      <c r="C8469" t="str">
        <f>_xlfn.XLOOKUP(B8469,
[1]sales_teams!$A$2:$A$100,
[1]sales_teams!$B$2:$B$100)</f>
        <v>Melvin Marxen</v>
      </c>
      <c r="D8469" t="str">
        <f>_xlfn.XLOOKUP($B8469,sales_teams!$A$2:$A$36,sales_teams!C$2:C$36)</f>
        <v>Central</v>
      </c>
      <c r="E8469" t="s">
        <v>15</v>
      </c>
      <c r="G8469" t="s">
        <v>8434</v>
      </c>
    </row>
    <row r="8470" spans="1:7" x14ac:dyDescent="0.3">
      <c r="A8470" t="s">
        <v>8602</v>
      </c>
      <c r="B8470" t="s">
        <v>14</v>
      </c>
      <c r="C8470" t="str">
        <f>_xlfn.XLOOKUP(B8470,
[1]sales_teams!$A$2:$A$100,
[1]sales_teams!$B$2:$B$100)</f>
        <v>Melvin Marxen</v>
      </c>
      <c r="D8470" t="str">
        <f>_xlfn.XLOOKUP($B8470,sales_teams!$A$2:$A$36,sales_teams!C$2:C$36)</f>
        <v>Central</v>
      </c>
      <c r="E8470" t="s">
        <v>15</v>
      </c>
      <c r="G8470" t="s">
        <v>8434</v>
      </c>
    </row>
    <row r="8471" spans="1:7" x14ac:dyDescent="0.3">
      <c r="A8471" t="s">
        <v>8603</v>
      </c>
      <c r="B8471" t="s">
        <v>14</v>
      </c>
      <c r="C8471" t="str">
        <f>_xlfn.XLOOKUP(B8471,
[1]sales_teams!$A$2:$A$100,
[1]sales_teams!$B$2:$B$100)</f>
        <v>Melvin Marxen</v>
      </c>
      <c r="D8471" t="str">
        <f>_xlfn.XLOOKUP($B8471,sales_teams!$A$2:$A$36,sales_teams!C$2:C$36)</f>
        <v>Central</v>
      </c>
      <c r="E8471" t="s">
        <v>15</v>
      </c>
      <c r="G8471" t="s">
        <v>8434</v>
      </c>
    </row>
    <row r="8472" spans="1:7" x14ac:dyDescent="0.3">
      <c r="A8472" t="s">
        <v>8604</v>
      </c>
      <c r="B8472" t="s">
        <v>14</v>
      </c>
      <c r="C8472" t="str">
        <f>_xlfn.XLOOKUP(B8472,
[1]sales_teams!$A$2:$A$100,
[1]sales_teams!$B$2:$B$100)</f>
        <v>Melvin Marxen</v>
      </c>
      <c r="D8472" t="str">
        <f>_xlfn.XLOOKUP($B8472,sales_teams!$A$2:$A$36,sales_teams!C$2:C$36)</f>
        <v>Central</v>
      </c>
      <c r="E8472" t="s">
        <v>15</v>
      </c>
      <c r="G8472" t="s">
        <v>8434</v>
      </c>
    </row>
    <row r="8473" spans="1:7" x14ac:dyDescent="0.3">
      <c r="A8473" t="s">
        <v>8605</v>
      </c>
      <c r="B8473" t="s">
        <v>14</v>
      </c>
      <c r="C8473" t="str">
        <f>_xlfn.XLOOKUP(B8473,
[1]sales_teams!$A$2:$A$100,
[1]sales_teams!$B$2:$B$100)</f>
        <v>Melvin Marxen</v>
      </c>
      <c r="D8473" t="str">
        <f>_xlfn.XLOOKUP($B8473,sales_teams!$A$2:$A$36,sales_teams!C$2:C$36)</f>
        <v>Central</v>
      </c>
      <c r="E8473" t="s">
        <v>15</v>
      </c>
      <c r="G8473" t="s">
        <v>8434</v>
      </c>
    </row>
    <row r="8474" spans="1:7" x14ac:dyDescent="0.3">
      <c r="A8474" t="s">
        <v>8606</v>
      </c>
      <c r="B8474" t="s">
        <v>14</v>
      </c>
      <c r="C8474" t="str">
        <f>_xlfn.XLOOKUP(B8474,
[1]sales_teams!$A$2:$A$100,
[1]sales_teams!$B$2:$B$100)</f>
        <v>Melvin Marxen</v>
      </c>
      <c r="D8474" t="str">
        <f>_xlfn.XLOOKUP($B8474,sales_teams!$A$2:$A$36,sales_teams!C$2:C$36)</f>
        <v>Central</v>
      </c>
      <c r="E8474" t="s">
        <v>15</v>
      </c>
      <c r="G8474" t="s">
        <v>8434</v>
      </c>
    </row>
    <row r="8475" spans="1:7" x14ac:dyDescent="0.3">
      <c r="A8475" t="s">
        <v>8607</v>
      </c>
      <c r="B8475" t="s">
        <v>14</v>
      </c>
      <c r="C8475" t="str">
        <f>_xlfn.XLOOKUP(B8475,
[1]sales_teams!$A$2:$A$100,
[1]sales_teams!$B$2:$B$100)</f>
        <v>Melvin Marxen</v>
      </c>
      <c r="D8475" t="str">
        <f>_xlfn.XLOOKUP($B8475,sales_teams!$A$2:$A$36,sales_teams!C$2:C$36)</f>
        <v>Central</v>
      </c>
      <c r="E8475" t="s">
        <v>15</v>
      </c>
      <c r="G8475" t="s">
        <v>8434</v>
      </c>
    </row>
    <row r="8476" spans="1:7" x14ac:dyDescent="0.3">
      <c r="A8476" t="s">
        <v>8608</v>
      </c>
      <c r="B8476" t="s">
        <v>14</v>
      </c>
      <c r="C8476" t="str">
        <f>_xlfn.XLOOKUP(B8476,
[1]sales_teams!$A$2:$A$100,
[1]sales_teams!$B$2:$B$100)</f>
        <v>Melvin Marxen</v>
      </c>
      <c r="D8476" t="str">
        <f>_xlfn.XLOOKUP($B8476,sales_teams!$A$2:$A$36,sales_teams!C$2:C$36)</f>
        <v>Central</v>
      </c>
      <c r="E8476" t="s">
        <v>15</v>
      </c>
      <c r="G8476" t="s">
        <v>8434</v>
      </c>
    </row>
    <row r="8477" spans="1:7" x14ac:dyDescent="0.3">
      <c r="A8477" t="s">
        <v>8609</v>
      </c>
      <c r="B8477" t="s">
        <v>14</v>
      </c>
      <c r="C8477" t="str">
        <f>_xlfn.XLOOKUP(B8477,
[1]sales_teams!$A$2:$A$100,
[1]sales_teams!$B$2:$B$100)</f>
        <v>Melvin Marxen</v>
      </c>
      <c r="D8477" t="str">
        <f>_xlfn.XLOOKUP($B8477,sales_teams!$A$2:$A$36,sales_teams!C$2:C$36)</f>
        <v>Central</v>
      </c>
      <c r="E8477" t="s">
        <v>18</v>
      </c>
      <c r="G8477" t="s">
        <v>8434</v>
      </c>
    </row>
    <row r="8478" spans="1:7" x14ac:dyDescent="0.3">
      <c r="A8478" t="s">
        <v>8610</v>
      </c>
      <c r="B8478" t="s">
        <v>14</v>
      </c>
      <c r="C8478" t="str">
        <f>_xlfn.XLOOKUP(B8478,
[1]sales_teams!$A$2:$A$100,
[1]sales_teams!$B$2:$B$100)</f>
        <v>Melvin Marxen</v>
      </c>
      <c r="D8478" t="str">
        <f>_xlfn.XLOOKUP($B8478,sales_teams!$A$2:$A$36,sales_teams!C$2:C$36)</f>
        <v>Central</v>
      </c>
      <c r="E8478" t="s">
        <v>18</v>
      </c>
      <c r="G8478" t="s">
        <v>8434</v>
      </c>
    </row>
    <row r="8479" spans="1:7" x14ac:dyDescent="0.3">
      <c r="A8479" t="s">
        <v>8611</v>
      </c>
      <c r="B8479" t="s">
        <v>14</v>
      </c>
      <c r="C8479" t="str">
        <f>_xlfn.XLOOKUP(B8479,
[1]sales_teams!$A$2:$A$100,
[1]sales_teams!$B$2:$B$100)</f>
        <v>Melvin Marxen</v>
      </c>
      <c r="D8479" t="str">
        <f>_xlfn.XLOOKUP($B8479,sales_teams!$A$2:$A$36,sales_teams!C$2:C$36)</f>
        <v>Central</v>
      </c>
      <c r="E8479" t="s">
        <v>18</v>
      </c>
      <c r="G8479" t="s">
        <v>8434</v>
      </c>
    </row>
    <row r="8480" spans="1:7" x14ac:dyDescent="0.3">
      <c r="A8480" t="s">
        <v>8612</v>
      </c>
      <c r="B8480" t="s">
        <v>14</v>
      </c>
      <c r="C8480" t="str">
        <f>_xlfn.XLOOKUP(B8480,
[1]sales_teams!$A$2:$A$100,
[1]sales_teams!$B$2:$B$100)</f>
        <v>Melvin Marxen</v>
      </c>
      <c r="D8480" t="str">
        <f>_xlfn.XLOOKUP($B8480,sales_teams!$A$2:$A$36,sales_teams!C$2:C$36)</f>
        <v>Central</v>
      </c>
      <c r="E8480" t="s">
        <v>18</v>
      </c>
      <c r="G8480" t="s">
        <v>8434</v>
      </c>
    </row>
    <row r="8481" spans="1:7" x14ac:dyDescent="0.3">
      <c r="A8481" t="s">
        <v>8613</v>
      </c>
      <c r="B8481" t="s">
        <v>14</v>
      </c>
      <c r="C8481" t="str">
        <f>_xlfn.XLOOKUP(B8481,
[1]sales_teams!$A$2:$A$100,
[1]sales_teams!$B$2:$B$100)</f>
        <v>Melvin Marxen</v>
      </c>
      <c r="D8481" t="str">
        <f>_xlfn.XLOOKUP($B8481,sales_teams!$A$2:$A$36,sales_teams!C$2:C$36)</f>
        <v>Central</v>
      </c>
      <c r="E8481" t="s">
        <v>18</v>
      </c>
      <c r="G8481" t="s">
        <v>8434</v>
      </c>
    </row>
    <row r="8482" spans="1:7" x14ac:dyDescent="0.3">
      <c r="A8482" t="s">
        <v>8614</v>
      </c>
      <c r="B8482" t="s">
        <v>14</v>
      </c>
      <c r="C8482" t="str">
        <f>_xlfn.XLOOKUP(B8482,
[1]sales_teams!$A$2:$A$100,
[1]sales_teams!$B$2:$B$100)</f>
        <v>Melvin Marxen</v>
      </c>
      <c r="D8482" t="str">
        <f>_xlfn.XLOOKUP($B8482,sales_teams!$A$2:$A$36,sales_teams!C$2:C$36)</f>
        <v>Central</v>
      </c>
      <c r="E8482" t="s">
        <v>18</v>
      </c>
      <c r="G8482" t="s">
        <v>8434</v>
      </c>
    </row>
    <row r="8483" spans="1:7" x14ac:dyDescent="0.3">
      <c r="A8483" t="s">
        <v>8615</v>
      </c>
      <c r="B8483" t="s">
        <v>14</v>
      </c>
      <c r="C8483" t="str">
        <f>_xlfn.XLOOKUP(B8483,
[1]sales_teams!$A$2:$A$100,
[1]sales_teams!$B$2:$B$100)</f>
        <v>Melvin Marxen</v>
      </c>
      <c r="D8483" t="str">
        <f>_xlfn.XLOOKUP($B8483,sales_teams!$A$2:$A$36,sales_teams!C$2:C$36)</f>
        <v>Central</v>
      </c>
      <c r="E8483" t="s">
        <v>18</v>
      </c>
      <c r="G8483" t="s">
        <v>8434</v>
      </c>
    </row>
    <row r="8484" spans="1:7" x14ac:dyDescent="0.3">
      <c r="A8484" t="s">
        <v>8616</v>
      </c>
      <c r="B8484" t="s">
        <v>14</v>
      </c>
      <c r="C8484" t="str">
        <f>_xlfn.XLOOKUP(B8484,
[1]sales_teams!$A$2:$A$100,
[1]sales_teams!$B$2:$B$100)</f>
        <v>Melvin Marxen</v>
      </c>
      <c r="D8484" t="str">
        <f>_xlfn.XLOOKUP($B8484,sales_teams!$A$2:$A$36,sales_teams!C$2:C$36)</f>
        <v>Central</v>
      </c>
      <c r="E8484" t="s">
        <v>39</v>
      </c>
      <c r="F8484" t="s">
        <v>192</v>
      </c>
      <c r="G8484" t="s">
        <v>8434</v>
      </c>
    </row>
    <row r="8485" spans="1:7" x14ac:dyDescent="0.3">
      <c r="A8485" t="s">
        <v>8617</v>
      </c>
      <c r="B8485" t="s">
        <v>14</v>
      </c>
      <c r="C8485" t="str">
        <f>_xlfn.XLOOKUP(B8485,
[1]sales_teams!$A$2:$A$100,
[1]sales_teams!$B$2:$B$100)</f>
        <v>Melvin Marxen</v>
      </c>
      <c r="D8485" t="str">
        <f>_xlfn.XLOOKUP($B8485,sales_teams!$A$2:$A$36,sales_teams!C$2:C$36)</f>
        <v>Central</v>
      </c>
      <c r="E8485" t="s">
        <v>39</v>
      </c>
      <c r="F8485" t="s">
        <v>209</v>
      </c>
      <c r="G8485" t="s">
        <v>8434</v>
      </c>
    </row>
    <row r="8486" spans="1:7" x14ac:dyDescent="0.3">
      <c r="A8486" t="s">
        <v>8618</v>
      </c>
      <c r="B8486" t="s">
        <v>14</v>
      </c>
      <c r="C8486" t="str">
        <f>_xlfn.XLOOKUP(B8486,
[1]sales_teams!$A$2:$A$100,
[1]sales_teams!$B$2:$B$100)</f>
        <v>Melvin Marxen</v>
      </c>
      <c r="D8486" t="str">
        <f>_xlfn.XLOOKUP($B8486,sales_teams!$A$2:$A$36,sales_teams!C$2:C$36)</f>
        <v>Central</v>
      </c>
      <c r="E8486" t="s">
        <v>39</v>
      </c>
      <c r="G8486" t="s">
        <v>8434</v>
      </c>
    </row>
    <row r="8487" spans="1:7" x14ac:dyDescent="0.3">
      <c r="A8487" t="s">
        <v>8619</v>
      </c>
      <c r="B8487" t="s">
        <v>14</v>
      </c>
      <c r="C8487" t="str">
        <f>_xlfn.XLOOKUP(B8487,
[1]sales_teams!$A$2:$A$100,
[1]sales_teams!$B$2:$B$100)</f>
        <v>Melvin Marxen</v>
      </c>
      <c r="D8487" t="str">
        <f>_xlfn.XLOOKUP($B8487,sales_teams!$A$2:$A$36,sales_teams!C$2:C$36)</f>
        <v>Central</v>
      </c>
      <c r="E8487" t="s">
        <v>39</v>
      </c>
      <c r="G8487" t="s">
        <v>8434</v>
      </c>
    </row>
    <row r="8488" spans="1:7" x14ac:dyDescent="0.3">
      <c r="A8488" t="s">
        <v>8620</v>
      </c>
      <c r="B8488" t="s">
        <v>14</v>
      </c>
      <c r="C8488" t="str">
        <f>_xlfn.XLOOKUP(B8488,
[1]sales_teams!$A$2:$A$100,
[1]sales_teams!$B$2:$B$100)</f>
        <v>Melvin Marxen</v>
      </c>
      <c r="D8488" t="str">
        <f>_xlfn.XLOOKUP($B8488,sales_teams!$A$2:$A$36,sales_teams!C$2:C$36)</f>
        <v>Central</v>
      </c>
      <c r="E8488" t="s">
        <v>39</v>
      </c>
      <c r="G8488" t="s">
        <v>8434</v>
      </c>
    </row>
    <row r="8489" spans="1:7" x14ac:dyDescent="0.3">
      <c r="A8489" t="s">
        <v>8621</v>
      </c>
      <c r="B8489" t="s">
        <v>14</v>
      </c>
      <c r="C8489" t="str">
        <f>_xlfn.XLOOKUP(B8489,
[1]sales_teams!$A$2:$A$100,
[1]sales_teams!$B$2:$B$100)</f>
        <v>Melvin Marxen</v>
      </c>
      <c r="D8489" t="str">
        <f>_xlfn.XLOOKUP($B8489,sales_teams!$A$2:$A$36,sales_teams!C$2:C$36)</f>
        <v>Central</v>
      </c>
      <c r="E8489" t="s">
        <v>39</v>
      </c>
      <c r="G8489" t="s">
        <v>8434</v>
      </c>
    </row>
    <row r="8490" spans="1:7" x14ac:dyDescent="0.3">
      <c r="A8490" t="s">
        <v>8622</v>
      </c>
      <c r="B8490" t="s">
        <v>14</v>
      </c>
      <c r="C8490" t="str">
        <f>_xlfn.XLOOKUP(B8490,
[1]sales_teams!$A$2:$A$100,
[1]sales_teams!$B$2:$B$100)</f>
        <v>Melvin Marxen</v>
      </c>
      <c r="D8490" t="str">
        <f>_xlfn.XLOOKUP($B8490,sales_teams!$A$2:$A$36,sales_teams!C$2:C$36)</f>
        <v>Central</v>
      </c>
      <c r="E8490" t="s">
        <v>39</v>
      </c>
      <c r="G8490" t="s">
        <v>8434</v>
      </c>
    </row>
    <row r="8491" spans="1:7" x14ac:dyDescent="0.3">
      <c r="A8491" t="s">
        <v>8623</v>
      </c>
      <c r="B8491" t="s">
        <v>14</v>
      </c>
      <c r="C8491" t="str">
        <f>_xlfn.XLOOKUP(B8491,
[1]sales_teams!$A$2:$A$100,
[1]sales_teams!$B$2:$B$100)</f>
        <v>Melvin Marxen</v>
      </c>
      <c r="D8491" t="str">
        <f>_xlfn.XLOOKUP($B8491,sales_teams!$A$2:$A$36,sales_teams!C$2:C$36)</f>
        <v>Central</v>
      </c>
      <c r="E8491" t="s">
        <v>39</v>
      </c>
      <c r="G8491" t="s">
        <v>8434</v>
      </c>
    </row>
    <row r="8492" spans="1:7" x14ac:dyDescent="0.3">
      <c r="A8492" t="s">
        <v>8624</v>
      </c>
      <c r="B8492" t="s">
        <v>44</v>
      </c>
      <c r="C8492" t="str">
        <f>_xlfn.XLOOKUP(B8492,
[1]sales_teams!$A$2:$A$100,
[1]sales_teams!$B$2:$B$100)</f>
        <v>Melvin Marxen</v>
      </c>
      <c r="D8492" t="str">
        <f>_xlfn.XLOOKUP($B8492,sales_teams!$A$2:$A$36,sales_teams!C$2:C$36)</f>
        <v>Central</v>
      </c>
      <c r="E8492" t="s">
        <v>20</v>
      </c>
      <c r="F8492" t="s">
        <v>315</v>
      </c>
      <c r="G8492" t="s">
        <v>8434</v>
      </c>
    </row>
    <row r="8493" spans="1:7" x14ac:dyDescent="0.3">
      <c r="A8493" t="s">
        <v>8625</v>
      </c>
      <c r="B8493" t="s">
        <v>44</v>
      </c>
      <c r="C8493" t="str">
        <f>_xlfn.XLOOKUP(B8493,
[1]sales_teams!$A$2:$A$100,
[1]sales_teams!$B$2:$B$100)</f>
        <v>Melvin Marxen</v>
      </c>
      <c r="D8493" t="str">
        <f>_xlfn.XLOOKUP($B8493,sales_teams!$A$2:$A$36,sales_teams!C$2:C$36)</f>
        <v>Central</v>
      </c>
      <c r="E8493" t="s">
        <v>20</v>
      </c>
      <c r="G8493" t="s">
        <v>8434</v>
      </c>
    </row>
    <row r="8494" spans="1:7" x14ac:dyDescent="0.3">
      <c r="A8494" t="s">
        <v>8626</v>
      </c>
      <c r="B8494" t="s">
        <v>44</v>
      </c>
      <c r="C8494" t="str">
        <f>_xlfn.XLOOKUP(B8494,
[1]sales_teams!$A$2:$A$100,
[1]sales_teams!$B$2:$B$100)</f>
        <v>Melvin Marxen</v>
      </c>
      <c r="D8494" t="str">
        <f>_xlfn.XLOOKUP($B8494,sales_teams!$A$2:$A$36,sales_teams!C$2:C$36)</f>
        <v>Central</v>
      </c>
      <c r="E8494" t="s">
        <v>20</v>
      </c>
      <c r="G8494" t="s">
        <v>8434</v>
      </c>
    </row>
    <row r="8495" spans="1:7" x14ac:dyDescent="0.3">
      <c r="A8495" t="s">
        <v>8627</v>
      </c>
      <c r="B8495" t="s">
        <v>44</v>
      </c>
      <c r="C8495" t="str">
        <f>_xlfn.XLOOKUP(B8495,
[1]sales_teams!$A$2:$A$100,
[1]sales_teams!$B$2:$B$100)</f>
        <v>Melvin Marxen</v>
      </c>
      <c r="D8495" t="str">
        <f>_xlfn.XLOOKUP($B8495,sales_teams!$A$2:$A$36,sales_teams!C$2:C$36)</f>
        <v>Central</v>
      </c>
      <c r="E8495" t="s">
        <v>20</v>
      </c>
      <c r="G8495" t="s">
        <v>8434</v>
      </c>
    </row>
    <row r="8496" spans="1:7" x14ac:dyDescent="0.3">
      <c r="A8496" t="s">
        <v>8628</v>
      </c>
      <c r="B8496" t="s">
        <v>44</v>
      </c>
      <c r="C8496" t="str">
        <f>_xlfn.XLOOKUP(B8496,
[1]sales_teams!$A$2:$A$100,
[1]sales_teams!$B$2:$B$100)</f>
        <v>Melvin Marxen</v>
      </c>
      <c r="D8496" t="str">
        <f>_xlfn.XLOOKUP($B8496,sales_teams!$A$2:$A$36,sales_teams!C$2:C$36)</f>
        <v>Central</v>
      </c>
      <c r="E8496" t="s">
        <v>10</v>
      </c>
      <c r="F8496" t="s">
        <v>518</v>
      </c>
      <c r="G8496" t="s">
        <v>8434</v>
      </c>
    </row>
    <row r="8497" spans="1:7" x14ac:dyDescent="0.3">
      <c r="A8497" t="s">
        <v>8629</v>
      </c>
      <c r="B8497" t="s">
        <v>44</v>
      </c>
      <c r="C8497" t="str">
        <f>_xlfn.XLOOKUP(B8497,
[1]sales_teams!$A$2:$A$100,
[1]sales_teams!$B$2:$B$100)</f>
        <v>Melvin Marxen</v>
      </c>
      <c r="D8497" t="str">
        <f>_xlfn.XLOOKUP($B8497,sales_teams!$A$2:$A$36,sales_teams!C$2:C$36)</f>
        <v>Central</v>
      </c>
      <c r="E8497" t="s">
        <v>10</v>
      </c>
      <c r="F8497" t="s">
        <v>124</v>
      </c>
      <c r="G8497" t="s">
        <v>8434</v>
      </c>
    </row>
    <row r="8498" spans="1:7" x14ac:dyDescent="0.3">
      <c r="A8498" t="s">
        <v>8630</v>
      </c>
      <c r="B8498" t="s">
        <v>44</v>
      </c>
      <c r="C8498" t="str">
        <f>_xlfn.XLOOKUP(B8498,
[1]sales_teams!$A$2:$A$100,
[1]sales_teams!$B$2:$B$100)</f>
        <v>Melvin Marxen</v>
      </c>
      <c r="D8498" t="str">
        <f>_xlfn.XLOOKUP($B8498,sales_teams!$A$2:$A$36,sales_teams!C$2:C$36)</f>
        <v>Central</v>
      </c>
      <c r="E8498" t="s">
        <v>10</v>
      </c>
      <c r="G8498" t="s">
        <v>8434</v>
      </c>
    </row>
    <row r="8499" spans="1:7" x14ac:dyDescent="0.3">
      <c r="A8499" t="s">
        <v>8631</v>
      </c>
      <c r="B8499" t="s">
        <v>44</v>
      </c>
      <c r="C8499" t="str">
        <f>_xlfn.XLOOKUP(B8499,
[1]sales_teams!$A$2:$A$100,
[1]sales_teams!$B$2:$B$100)</f>
        <v>Melvin Marxen</v>
      </c>
      <c r="D8499" t="str">
        <f>_xlfn.XLOOKUP($B8499,sales_teams!$A$2:$A$36,sales_teams!C$2:C$36)</f>
        <v>Central</v>
      </c>
      <c r="E8499" t="s">
        <v>10</v>
      </c>
      <c r="G8499" t="s">
        <v>8434</v>
      </c>
    </row>
    <row r="8500" spans="1:7" x14ac:dyDescent="0.3">
      <c r="A8500" t="s">
        <v>8632</v>
      </c>
      <c r="B8500" t="s">
        <v>44</v>
      </c>
      <c r="C8500" t="str">
        <f>_xlfn.XLOOKUP(B8500,
[1]sales_teams!$A$2:$A$100,
[1]sales_teams!$B$2:$B$100)</f>
        <v>Melvin Marxen</v>
      </c>
      <c r="D8500" t="str">
        <f>_xlfn.XLOOKUP($B8500,sales_teams!$A$2:$A$36,sales_teams!C$2:C$36)</f>
        <v>Central</v>
      </c>
      <c r="E8500" t="s">
        <v>10</v>
      </c>
      <c r="G8500" t="s">
        <v>8434</v>
      </c>
    </row>
    <row r="8501" spans="1:7" x14ac:dyDescent="0.3">
      <c r="A8501" t="s">
        <v>8633</v>
      </c>
      <c r="B8501" t="s">
        <v>44</v>
      </c>
      <c r="C8501" t="str">
        <f>_xlfn.XLOOKUP(B8501,
[1]sales_teams!$A$2:$A$100,
[1]sales_teams!$B$2:$B$100)</f>
        <v>Melvin Marxen</v>
      </c>
      <c r="D8501" t="str">
        <f>_xlfn.XLOOKUP($B8501,sales_teams!$A$2:$A$36,sales_teams!C$2:C$36)</f>
        <v>Central</v>
      </c>
      <c r="E8501" t="s">
        <v>10</v>
      </c>
      <c r="G8501" t="s">
        <v>8434</v>
      </c>
    </row>
    <row r="8502" spans="1:7" x14ac:dyDescent="0.3">
      <c r="A8502" t="s">
        <v>8634</v>
      </c>
      <c r="B8502" t="s">
        <v>44</v>
      </c>
      <c r="C8502" t="str">
        <f>_xlfn.XLOOKUP(B8502,
[1]sales_teams!$A$2:$A$100,
[1]sales_teams!$B$2:$B$100)</f>
        <v>Melvin Marxen</v>
      </c>
      <c r="D8502" t="str">
        <f>_xlfn.XLOOKUP($B8502,sales_teams!$A$2:$A$36,sales_teams!C$2:C$36)</f>
        <v>Central</v>
      </c>
      <c r="E8502" t="s">
        <v>10</v>
      </c>
      <c r="G8502" t="s">
        <v>8434</v>
      </c>
    </row>
    <row r="8503" spans="1:7" x14ac:dyDescent="0.3">
      <c r="A8503" t="s">
        <v>8635</v>
      </c>
      <c r="B8503" t="s">
        <v>44</v>
      </c>
      <c r="C8503" t="str">
        <f>_xlfn.XLOOKUP(B8503,
[1]sales_teams!$A$2:$A$100,
[1]sales_teams!$B$2:$B$100)</f>
        <v>Melvin Marxen</v>
      </c>
      <c r="D8503" t="str">
        <f>_xlfn.XLOOKUP($B8503,sales_teams!$A$2:$A$36,sales_teams!C$2:C$36)</f>
        <v>Central</v>
      </c>
      <c r="E8503" t="s">
        <v>10</v>
      </c>
      <c r="G8503" t="s">
        <v>8434</v>
      </c>
    </row>
    <row r="8504" spans="1:7" x14ac:dyDescent="0.3">
      <c r="A8504" t="s">
        <v>8636</v>
      </c>
      <c r="B8504" t="s">
        <v>44</v>
      </c>
      <c r="C8504" t="str">
        <f>_xlfn.XLOOKUP(B8504,
[1]sales_teams!$A$2:$A$100,
[1]sales_teams!$B$2:$B$100)</f>
        <v>Melvin Marxen</v>
      </c>
      <c r="D8504" t="str">
        <f>_xlfn.XLOOKUP($B8504,sales_teams!$A$2:$A$36,sales_teams!C$2:C$36)</f>
        <v>Central</v>
      </c>
      <c r="E8504" t="s">
        <v>10</v>
      </c>
      <c r="G8504" t="s">
        <v>8434</v>
      </c>
    </row>
    <row r="8505" spans="1:7" x14ac:dyDescent="0.3">
      <c r="A8505" t="s">
        <v>8637</v>
      </c>
      <c r="B8505" t="s">
        <v>44</v>
      </c>
      <c r="C8505" t="str">
        <f>_xlfn.XLOOKUP(B8505,
[1]sales_teams!$A$2:$A$100,
[1]sales_teams!$B$2:$B$100)</f>
        <v>Melvin Marxen</v>
      </c>
      <c r="D8505" t="str">
        <f>_xlfn.XLOOKUP($B8505,sales_teams!$A$2:$A$36,sales_teams!C$2:C$36)</f>
        <v>Central</v>
      </c>
      <c r="E8505" t="s">
        <v>48</v>
      </c>
      <c r="F8505" t="s">
        <v>155</v>
      </c>
      <c r="G8505" t="s">
        <v>8434</v>
      </c>
    </row>
    <row r="8506" spans="1:7" x14ac:dyDescent="0.3">
      <c r="A8506" t="s">
        <v>8638</v>
      </c>
      <c r="B8506" t="s">
        <v>44</v>
      </c>
      <c r="C8506" t="str">
        <f>_xlfn.XLOOKUP(B8506,
[1]sales_teams!$A$2:$A$100,
[1]sales_teams!$B$2:$B$100)</f>
        <v>Melvin Marxen</v>
      </c>
      <c r="D8506" t="str">
        <f>_xlfn.XLOOKUP($B8506,sales_teams!$A$2:$A$36,sales_teams!C$2:C$36)</f>
        <v>Central</v>
      </c>
      <c r="E8506" t="s">
        <v>48</v>
      </c>
      <c r="F8506" t="s">
        <v>215</v>
      </c>
      <c r="G8506" t="s">
        <v>8434</v>
      </c>
    </row>
    <row r="8507" spans="1:7" x14ac:dyDescent="0.3">
      <c r="A8507" t="s">
        <v>8639</v>
      </c>
      <c r="B8507" t="s">
        <v>44</v>
      </c>
      <c r="C8507" t="str">
        <f>_xlfn.XLOOKUP(B8507,
[1]sales_teams!$A$2:$A$100,
[1]sales_teams!$B$2:$B$100)</f>
        <v>Melvin Marxen</v>
      </c>
      <c r="D8507" t="str">
        <f>_xlfn.XLOOKUP($B8507,sales_teams!$A$2:$A$36,sales_teams!C$2:C$36)</f>
        <v>Central</v>
      </c>
      <c r="E8507" t="s">
        <v>48</v>
      </c>
      <c r="F8507" t="s">
        <v>74</v>
      </c>
      <c r="G8507" t="s">
        <v>8434</v>
      </c>
    </row>
    <row r="8508" spans="1:7" x14ac:dyDescent="0.3">
      <c r="A8508" t="s">
        <v>8640</v>
      </c>
      <c r="B8508" t="s">
        <v>44</v>
      </c>
      <c r="C8508" t="str">
        <f>_xlfn.XLOOKUP(B8508,
[1]sales_teams!$A$2:$A$100,
[1]sales_teams!$B$2:$B$100)</f>
        <v>Melvin Marxen</v>
      </c>
      <c r="D8508" t="str">
        <f>_xlfn.XLOOKUP($B8508,sales_teams!$A$2:$A$36,sales_teams!C$2:C$36)</f>
        <v>Central</v>
      </c>
      <c r="E8508" t="s">
        <v>48</v>
      </c>
      <c r="G8508" t="s">
        <v>8434</v>
      </c>
    </row>
    <row r="8509" spans="1:7" x14ac:dyDescent="0.3">
      <c r="A8509" t="s">
        <v>8641</v>
      </c>
      <c r="B8509" t="s">
        <v>44</v>
      </c>
      <c r="C8509" t="str">
        <f>_xlfn.XLOOKUP(B8509,
[1]sales_teams!$A$2:$A$100,
[1]sales_teams!$B$2:$B$100)</f>
        <v>Melvin Marxen</v>
      </c>
      <c r="D8509" t="str">
        <f>_xlfn.XLOOKUP($B8509,sales_teams!$A$2:$A$36,sales_teams!C$2:C$36)</f>
        <v>Central</v>
      </c>
      <c r="E8509" t="s">
        <v>48</v>
      </c>
      <c r="G8509" t="s">
        <v>8434</v>
      </c>
    </row>
    <row r="8510" spans="1:7" x14ac:dyDescent="0.3">
      <c r="A8510" t="s">
        <v>8642</v>
      </c>
      <c r="B8510" t="s">
        <v>44</v>
      </c>
      <c r="C8510" t="str">
        <f>_xlfn.XLOOKUP(B8510,
[1]sales_teams!$A$2:$A$100,
[1]sales_teams!$B$2:$B$100)</f>
        <v>Melvin Marxen</v>
      </c>
      <c r="D8510" t="str">
        <f>_xlfn.XLOOKUP($B8510,sales_teams!$A$2:$A$36,sales_teams!C$2:C$36)</f>
        <v>Central</v>
      </c>
      <c r="E8510" t="s">
        <v>48</v>
      </c>
      <c r="G8510" t="s">
        <v>8434</v>
      </c>
    </row>
    <row r="8511" spans="1:7" x14ac:dyDescent="0.3">
      <c r="A8511" t="s">
        <v>8643</v>
      </c>
      <c r="B8511" t="s">
        <v>44</v>
      </c>
      <c r="C8511" t="str">
        <f>_xlfn.XLOOKUP(B8511,
[1]sales_teams!$A$2:$A$100,
[1]sales_teams!$B$2:$B$100)</f>
        <v>Melvin Marxen</v>
      </c>
      <c r="D8511" t="str">
        <f>_xlfn.XLOOKUP($B8511,sales_teams!$A$2:$A$36,sales_teams!C$2:C$36)</f>
        <v>Central</v>
      </c>
      <c r="E8511" t="s">
        <v>48</v>
      </c>
      <c r="G8511" t="s">
        <v>8434</v>
      </c>
    </row>
    <row r="8512" spans="1:7" x14ac:dyDescent="0.3">
      <c r="A8512" t="s">
        <v>8644</v>
      </c>
      <c r="B8512" t="s">
        <v>44</v>
      </c>
      <c r="C8512" t="str">
        <f>_xlfn.XLOOKUP(B8512,
[1]sales_teams!$A$2:$A$100,
[1]sales_teams!$B$2:$B$100)</f>
        <v>Melvin Marxen</v>
      </c>
      <c r="D8512" t="str">
        <f>_xlfn.XLOOKUP($B8512,sales_teams!$A$2:$A$36,sales_teams!C$2:C$36)</f>
        <v>Central</v>
      </c>
      <c r="E8512" t="s">
        <v>48</v>
      </c>
      <c r="G8512" t="s">
        <v>8434</v>
      </c>
    </row>
    <row r="8513" spans="1:7" x14ac:dyDescent="0.3">
      <c r="A8513" t="s">
        <v>8645</v>
      </c>
      <c r="B8513" t="s">
        <v>44</v>
      </c>
      <c r="C8513" t="str">
        <f>_xlfn.XLOOKUP(B8513,
[1]sales_teams!$A$2:$A$100,
[1]sales_teams!$B$2:$B$100)</f>
        <v>Melvin Marxen</v>
      </c>
      <c r="D8513" t="str">
        <f>_xlfn.XLOOKUP($B8513,sales_teams!$A$2:$A$36,sales_teams!C$2:C$36)</f>
        <v>Central</v>
      </c>
      <c r="E8513" t="s">
        <v>48</v>
      </c>
      <c r="G8513" t="s">
        <v>8434</v>
      </c>
    </row>
    <row r="8514" spans="1:7" x14ac:dyDescent="0.3">
      <c r="A8514" t="s">
        <v>8646</v>
      </c>
      <c r="B8514" t="s">
        <v>44</v>
      </c>
      <c r="C8514" t="str">
        <f>_xlfn.XLOOKUP(B8514,
[1]sales_teams!$A$2:$A$100,
[1]sales_teams!$B$2:$B$100)</f>
        <v>Melvin Marxen</v>
      </c>
      <c r="D8514" t="str">
        <f>_xlfn.XLOOKUP($B8514,sales_teams!$A$2:$A$36,sales_teams!C$2:C$36)</f>
        <v>Central</v>
      </c>
      <c r="E8514" t="s">
        <v>15</v>
      </c>
      <c r="F8514" t="s">
        <v>42</v>
      </c>
      <c r="G8514" t="s">
        <v>8434</v>
      </c>
    </row>
    <row r="8515" spans="1:7" x14ac:dyDescent="0.3">
      <c r="A8515" t="s">
        <v>8647</v>
      </c>
      <c r="B8515" t="s">
        <v>44</v>
      </c>
      <c r="C8515" t="str">
        <f>_xlfn.XLOOKUP(B8515,
[1]sales_teams!$A$2:$A$100,
[1]sales_teams!$B$2:$B$100)</f>
        <v>Melvin Marxen</v>
      </c>
      <c r="D8515" t="str">
        <f>_xlfn.XLOOKUP($B8515,sales_teams!$A$2:$A$36,sales_teams!C$2:C$36)</f>
        <v>Central</v>
      </c>
      <c r="E8515" t="s">
        <v>15</v>
      </c>
      <c r="F8515" t="s">
        <v>45</v>
      </c>
      <c r="G8515" t="s">
        <v>8434</v>
      </c>
    </row>
    <row r="8516" spans="1:7" x14ac:dyDescent="0.3">
      <c r="A8516" t="s">
        <v>8648</v>
      </c>
      <c r="B8516" t="s">
        <v>44</v>
      </c>
      <c r="C8516" t="str">
        <f>_xlfn.XLOOKUP(B8516,
[1]sales_teams!$A$2:$A$100,
[1]sales_teams!$B$2:$B$100)</f>
        <v>Melvin Marxen</v>
      </c>
      <c r="D8516" t="str">
        <f>_xlfn.XLOOKUP($B8516,sales_teams!$A$2:$A$36,sales_teams!C$2:C$36)</f>
        <v>Central</v>
      </c>
      <c r="E8516" t="s">
        <v>15</v>
      </c>
      <c r="F8516" t="s">
        <v>62</v>
      </c>
      <c r="G8516" t="s">
        <v>8434</v>
      </c>
    </row>
    <row r="8517" spans="1:7" x14ac:dyDescent="0.3">
      <c r="A8517" t="s">
        <v>8649</v>
      </c>
      <c r="B8517" t="s">
        <v>44</v>
      </c>
      <c r="C8517" t="str">
        <f>_xlfn.XLOOKUP(B8517,
[1]sales_teams!$A$2:$A$100,
[1]sales_teams!$B$2:$B$100)</f>
        <v>Melvin Marxen</v>
      </c>
      <c r="D8517" t="str">
        <f>_xlfn.XLOOKUP($B8517,sales_teams!$A$2:$A$36,sales_teams!C$2:C$36)</f>
        <v>Central</v>
      </c>
      <c r="E8517" t="s">
        <v>15</v>
      </c>
      <c r="G8517" t="s">
        <v>8434</v>
      </c>
    </row>
    <row r="8518" spans="1:7" x14ac:dyDescent="0.3">
      <c r="A8518" t="s">
        <v>8650</v>
      </c>
      <c r="B8518" t="s">
        <v>44</v>
      </c>
      <c r="C8518" t="str">
        <f>_xlfn.XLOOKUP(B8518,
[1]sales_teams!$A$2:$A$100,
[1]sales_teams!$B$2:$B$100)</f>
        <v>Melvin Marxen</v>
      </c>
      <c r="D8518" t="str">
        <f>_xlfn.XLOOKUP($B8518,sales_teams!$A$2:$A$36,sales_teams!C$2:C$36)</f>
        <v>Central</v>
      </c>
      <c r="E8518" t="s">
        <v>15</v>
      </c>
      <c r="G8518" t="s">
        <v>8434</v>
      </c>
    </row>
    <row r="8519" spans="1:7" x14ac:dyDescent="0.3">
      <c r="A8519" t="s">
        <v>8651</v>
      </c>
      <c r="B8519" t="s">
        <v>44</v>
      </c>
      <c r="C8519" t="str">
        <f>_xlfn.XLOOKUP(B8519,
[1]sales_teams!$A$2:$A$100,
[1]sales_teams!$B$2:$B$100)</f>
        <v>Melvin Marxen</v>
      </c>
      <c r="D8519" t="str">
        <f>_xlfn.XLOOKUP($B8519,sales_teams!$A$2:$A$36,sales_teams!C$2:C$36)</f>
        <v>Central</v>
      </c>
      <c r="E8519" t="s">
        <v>15</v>
      </c>
      <c r="G8519" t="s">
        <v>8434</v>
      </c>
    </row>
    <row r="8520" spans="1:7" x14ac:dyDescent="0.3">
      <c r="A8520" t="s">
        <v>8652</v>
      </c>
      <c r="B8520" t="s">
        <v>44</v>
      </c>
      <c r="C8520" t="str">
        <f>_xlfn.XLOOKUP(B8520,
[1]sales_teams!$A$2:$A$100,
[1]sales_teams!$B$2:$B$100)</f>
        <v>Melvin Marxen</v>
      </c>
      <c r="D8520" t="str">
        <f>_xlfn.XLOOKUP($B8520,sales_teams!$A$2:$A$36,sales_teams!C$2:C$36)</f>
        <v>Central</v>
      </c>
      <c r="E8520" t="s">
        <v>15</v>
      </c>
      <c r="G8520" t="s">
        <v>8434</v>
      </c>
    </row>
    <row r="8521" spans="1:7" x14ac:dyDescent="0.3">
      <c r="A8521" t="s">
        <v>8653</v>
      </c>
      <c r="B8521" t="s">
        <v>44</v>
      </c>
      <c r="C8521" t="str">
        <f>_xlfn.XLOOKUP(B8521,
[1]sales_teams!$A$2:$A$100,
[1]sales_teams!$B$2:$B$100)</f>
        <v>Melvin Marxen</v>
      </c>
      <c r="D8521" t="str">
        <f>_xlfn.XLOOKUP($B8521,sales_teams!$A$2:$A$36,sales_teams!C$2:C$36)</f>
        <v>Central</v>
      </c>
      <c r="E8521" t="s">
        <v>18</v>
      </c>
      <c r="F8521" t="s">
        <v>21</v>
      </c>
      <c r="G8521" t="s">
        <v>8434</v>
      </c>
    </row>
    <row r="8522" spans="1:7" x14ac:dyDescent="0.3">
      <c r="A8522" t="s">
        <v>8654</v>
      </c>
      <c r="B8522" t="s">
        <v>44</v>
      </c>
      <c r="C8522" t="str">
        <f>_xlfn.XLOOKUP(B8522,
[1]sales_teams!$A$2:$A$100,
[1]sales_teams!$B$2:$B$100)</f>
        <v>Melvin Marxen</v>
      </c>
      <c r="D8522" t="str">
        <f>_xlfn.XLOOKUP($B8522,sales_teams!$A$2:$A$36,sales_teams!C$2:C$36)</f>
        <v>Central</v>
      </c>
      <c r="E8522" t="s">
        <v>18</v>
      </c>
      <c r="F8522" t="s">
        <v>124</v>
      </c>
      <c r="G8522" t="s">
        <v>8434</v>
      </c>
    </row>
    <row r="8523" spans="1:7" x14ac:dyDescent="0.3">
      <c r="A8523" t="s">
        <v>8655</v>
      </c>
      <c r="B8523" t="s">
        <v>44</v>
      </c>
      <c r="C8523" t="str">
        <f>_xlfn.XLOOKUP(B8523,
[1]sales_teams!$A$2:$A$100,
[1]sales_teams!$B$2:$B$100)</f>
        <v>Melvin Marxen</v>
      </c>
      <c r="D8523" t="str">
        <f>_xlfn.XLOOKUP($B8523,sales_teams!$A$2:$A$36,sales_teams!C$2:C$36)</f>
        <v>Central</v>
      </c>
      <c r="E8523" t="s">
        <v>18</v>
      </c>
      <c r="F8523" t="s">
        <v>126</v>
      </c>
      <c r="G8523" t="s">
        <v>8434</v>
      </c>
    </row>
    <row r="8524" spans="1:7" x14ac:dyDescent="0.3">
      <c r="A8524" t="s">
        <v>8656</v>
      </c>
      <c r="B8524" t="s">
        <v>44</v>
      </c>
      <c r="C8524" t="str">
        <f>_xlfn.XLOOKUP(B8524,
[1]sales_teams!$A$2:$A$100,
[1]sales_teams!$B$2:$B$100)</f>
        <v>Melvin Marxen</v>
      </c>
      <c r="D8524" t="str">
        <f>_xlfn.XLOOKUP($B8524,sales_teams!$A$2:$A$36,sales_teams!C$2:C$36)</f>
        <v>Central</v>
      </c>
      <c r="E8524" t="s">
        <v>18</v>
      </c>
      <c r="F8524" t="s">
        <v>103</v>
      </c>
      <c r="G8524" t="s">
        <v>8434</v>
      </c>
    </row>
    <row r="8525" spans="1:7" x14ac:dyDescent="0.3">
      <c r="A8525" t="s">
        <v>8657</v>
      </c>
      <c r="B8525" t="s">
        <v>44</v>
      </c>
      <c r="C8525" t="str">
        <f>_xlfn.XLOOKUP(B8525,
[1]sales_teams!$A$2:$A$100,
[1]sales_teams!$B$2:$B$100)</f>
        <v>Melvin Marxen</v>
      </c>
      <c r="D8525" t="str">
        <f>_xlfn.XLOOKUP($B8525,sales_teams!$A$2:$A$36,sales_teams!C$2:C$36)</f>
        <v>Central</v>
      </c>
      <c r="E8525" t="s">
        <v>18</v>
      </c>
      <c r="F8525" t="s">
        <v>278</v>
      </c>
      <c r="G8525" t="s">
        <v>8434</v>
      </c>
    </row>
    <row r="8526" spans="1:7" x14ac:dyDescent="0.3">
      <c r="A8526" t="s">
        <v>8658</v>
      </c>
      <c r="B8526" t="s">
        <v>44</v>
      </c>
      <c r="C8526" t="str">
        <f>_xlfn.XLOOKUP(B8526,
[1]sales_teams!$A$2:$A$100,
[1]sales_teams!$B$2:$B$100)</f>
        <v>Melvin Marxen</v>
      </c>
      <c r="D8526" t="str">
        <f>_xlfn.XLOOKUP($B8526,sales_teams!$A$2:$A$36,sales_teams!C$2:C$36)</f>
        <v>Central</v>
      </c>
      <c r="E8526" t="s">
        <v>18</v>
      </c>
      <c r="G8526" t="s">
        <v>8434</v>
      </c>
    </row>
    <row r="8527" spans="1:7" x14ac:dyDescent="0.3">
      <c r="A8527" t="s">
        <v>8659</v>
      </c>
      <c r="B8527" t="s">
        <v>44</v>
      </c>
      <c r="C8527" t="str">
        <f>_xlfn.XLOOKUP(B8527,
[1]sales_teams!$A$2:$A$100,
[1]sales_teams!$B$2:$B$100)</f>
        <v>Melvin Marxen</v>
      </c>
      <c r="D8527" t="str">
        <f>_xlfn.XLOOKUP($B8527,sales_teams!$A$2:$A$36,sales_teams!C$2:C$36)</f>
        <v>Central</v>
      </c>
      <c r="E8527" t="s">
        <v>18</v>
      </c>
      <c r="G8527" t="s">
        <v>8434</v>
      </c>
    </row>
    <row r="8528" spans="1:7" x14ac:dyDescent="0.3">
      <c r="A8528" t="s">
        <v>8660</v>
      </c>
      <c r="B8528" t="s">
        <v>44</v>
      </c>
      <c r="C8528" t="str">
        <f>_xlfn.XLOOKUP(B8528,
[1]sales_teams!$A$2:$A$100,
[1]sales_teams!$B$2:$B$100)</f>
        <v>Melvin Marxen</v>
      </c>
      <c r="D8528" t="str">
        <f>_xlfn.XLOOKUP($B8528,sales_teams!$A$2:$A$36,sales_teams!C$2:C$36)</f>
        <v>Central</v>
      </c>
      <c r="E8528" t="s">
        <v>18</v>
      </c>
      <c r="G8528" t="s">
        <v>8434</v>
      </c>
    </row>
    <row r="8529" spans="1:7" x14ac:dyDescent="0.3">
      <c r="A8529" t="s">
        <v>8661</v>
      </c>
      <c r="B8529" t="s">
        <v>44</v>
      </c>
      <c r="C8529" t="str">
        <f>_xlfn.XLOOKUP(B8529,
[1]sales_teams!$A$2:$A$100,
[1]sales_teams!$B$2:$B$100)</f>
        <v>Melvin Marxen</v>
      </c>
      <c r="D8529" t="str">
        <f>_xlfn.XLOOKUP($B8529,sales_teams!$A$2:$A$36,sales_teams!C$2:C$36)</f>
        <v>Central</v>
      </c>
      <c r="E8529" t="s">
        <v>18</v>
      </c>
      <c r="G8529" t="s">
        <v>8434</v>
      </c>
    </row>
    <row r="8530" spans="1:7" x14ac:dyDescent="0.3">
      <c r="A8530" t="s">
        <v>8662</v>
      </c>
      <c r="B8530" t="s">
        <v>44</v>
      </c>
      <c r="C8530" t="str">
        <f>_xlfn.XLOOKUP(B8530,
[1]sales_teams!$A$2:$A$100,
[1]sales_teams!$B$2:$B$100)</f>
        <v>Melvin Marxen</v>
      </c>
      <c r="D8530" t="str">
        <f>_xlfn.XLOOKUP($B8530,sales_teams!$A$2:$A$36,sales_teams!C$2:C$36)</f>
        <v>Central</v>
      </c>
      <c r="E8530" t="s">
        <v>18</v>
      </c>
      <c r="G8530" t="s">
        <v>8434</v>
      </c>
    </row>
    <row r="8531" spans="1:7" x14ac:dyDescent="0.3">
      <c r="A8531" t="s">
        <v>8663</v>
      </c>
      <c r="B8531" t="s">
        <v>44</v>
      </c>
      <c r="C8531" t="str">
        <f>_xlfn.XLOOKUP(B8531,
[1]sales_teams!$A$2:$A$100,
[1]sales_teams!$B$2:$B$100)</f>
        <v>Melvin Marxen</v>
      </c>
      <c r="D8531" t="str">
        <f>_xlfn.XLOOKUP($B8531,sales_teams!$A$2:$A$36,sales_teams!C$2:C$36)</f>
        <v>Central</v>
      </c>
      <c r="E8531" t="s">
        <v>39</v>
      </c>
      <c r="F8531" t="s">
        <v>11</v>
      </c>
      <c r="G8531" t="s">
        <v>8434</v>
      </c>
    </row>
    <row r="8532" spans="1:7" x14ac:dyDescent="0.3">
      <c r="A8532" t="s">
        <v>8664</v>
      </c>
      <c r="B8532" t="s">
        <v>44</v>
      </c>
      <c r="C8532" t="str">
        <f>_xlfn.XLOOKUP(B8532,
[1]sales_teams!$A$2:$A$100,
[1]sales_teams!$B$2:$B$100)</f>
        <v>Melvin Marxen</v>
      </c>
      <c r="D8532" t="str">
        <f>_xlfn.XLOOKUP($B8532,sales_teams!$A$2:$A$36,sales_teams!C$2:C$36)</f>
        <v>Central</v>
      </c>
      <c r="E8532" t="s">
        <v>39</v>
      </c>
      <c r="F8532" t="s">
        <v>168</v>
      </c>
      <c r="G8532" t="s">
        <v>8434</v>
      </c>
    </row>
    <row r="8533" spans="1:7" x14ac:dyDescent="0.3">
      <c r="A8533" t="s">
        <v>8665</v>
      </c>
      <c r="B8533" t="s">
        <v>44</v>
      </c>
      <c r="C8533" t="str">
        <f>_xlfn.XLOOKUP(B8533,
[1]sales_teams!$A$2:$A$100,
[1]sales_teams!$B$2:$B$100)</f>
        <v>Melvin Marxen</v>
      </c>
      <c r="D8533" t="str">
        <f>_xlfn.XLOOKUP($B8533,sales_teams!$A$2:$A$36,sales_teams!C$2:C$36)</f>
        <v>Central</v>
      </c>
      <c r="E8533" t="s">
        <v>39</v>
      </c>
      <c r="F8533" t="s">
        <v>27</v>
      </c>
      <c r="G8533" t="s">
        <v>8434</v>
      </c>
    </row>
    <row r="8534" spans="1:7" x14ac:dyDescent="0.3">
      <c r="A8534" t="s">
        <v>8666</v>
      </c>
      <c r="B8534" t="s">
        <v>44</v>
      </c>
      <c r="C8534" t="str">
        <f>_xlfn.XLOOKUP(B8534,
[1]sales_teams!$A$2:$A$100,
[1]sales_teams!$B$2:$B$100)</f>
        <v>Melvin Marxen</v>
      </c>
      <c r="D8534" t="str">
        <f>_xlfn.XLOOKUP($B8534,sales_teams!$A$2:$A$36,sales_teams!C$2:C$36)</f>
        <v>Central</v>
      </c>
      <c r="E8534" t="s">
        <v>39</v>
      </c>
      <c r="F8534" t="s">
        <v>65</v>
      </c>
      <c r="G8534" t="s">
        <v>8434</v>
      </c>
    </row>
    <row r="8535" spans="1:7" x14ac:dyDescent="0.3">
      <c r="A8535" t="s">
        <v>8667</v>
      </c>
      <c r="B8535" t="s">
        <v>44</v>
      </c>
      <c r="C8535" t="str">
        <f>_xlfn.XLOOKUP(B8535,
[1]sales_teams!$A$2:$A$100,
[1]sales_teams!$B$2:$B$100)</f>
        <v>Melvin Marxen</v>
      </c>
      <c r="D8535" t="str">
        <f>_xlfn.XLOOKUP($B8535,sales_teams!$A$2:$A$36,sales_teams!C$2:C$36)</f>
        <v>Central</v>
      </c>
      <c r="E8535" t="s">
        <v>39</v>
      </c>
      <c r="G8535" t="s">
        <v>8434</v>
      </c>
    </row>
    <row r="8536" spans="1:7" x14ac:dyDescent="0.3">
      <c r="A8536" t="s">
        <v>8668</v>
      </c>
      <c r="B8536" t="s">
        <v>44</v>
      </c>
      <c r="C8536" t="str">
        <f>_xlfn.XLOOKUP(B8536,
[1]sales_teams!$A$2:$A$100,
[1]sales_teams!$B$2:$B$100)</f>
        <v>Melvin Marxen</v>
      </c>
      <c r="D8536" t="str">
        <f>_xlfn.XLOOKUP($B8536,sales_teams!$A$2:$A$36,sales_teams!C$2:C$36)</f>
        <v>Central</v>
      </c>
      <c r="E8536" t="s">
        <v>39</v>
      </c>
      <c r="G8536" t="s">
        <v>8434</v>
      </c>
    </row>
    <row r="8537" spans="1:7" x14ac:dyDescent="0.3">
      <c r="A8537" t="s">
        <v>8669</v>
      </c>
      <c r="B8537" t="s">
        <v>44</v>
      </c>
      <c r="C8537" t="str">
        <f>_xlfn.XLOOKUP(B8537,
[1]sales_teams!$A$2:$A$100,
[1]sales_teams!$B$2:$B$100)</f>
        <v>Melvin Marxen</v>
      </c>
      <c r="D8537" t="str">
        <f>_xlfn.XLOOKUP($B8537,sales_teams!$A$2:$A$36,sales_teams!C$2:C$36)</f>
        <v>Central</v>
      </c>
      <c r="E8537" t="s">
        <v>39</v>
      </c>
      <c r="G8537" t="s">
        <v>8434</v>
      </c>
    </row>
    <row r="8538" spans="1:7" x14ac:dyDescent="0.3">
      <c r="A8538" t="s">
        <v>8670</v>
      </c>
      <c r="B8538" t="s">
        <v>44</v>
      </c>
      <c r="C8538" t="str">
        <f>_xlfn.XLOOKUP(B8538,
[1]sales_teams!$A$2:$A$100,
[1]sales_teams!$B$2:$B$100)</f>
        <v>Melvin Marxen</v>
      </c>
      <c r="D8538" t="str">
        <f>_xlfn.XLOOKUP($B8538,sales_teams!$A$2:$A$36,sales_teams!C$2:C$36)</f>
        <v>Central</v>
      </c>
      <c r="E8538" t="s">
        <v>39</v>
      </c>
      <c r="G8538" t="s">
        <v>8434</v>
      </c>
    </row>
    <row r="8539" spans="1:7" x14ac:dyDescent="0.3">
      <c r="A8539" t="s">
        <v>8671</v>
      </c>
      <c r="B8539" t="s">
        <v>44</v>
      </c>
      <c r="C8539" t="str">
        <f>_xlfn.XLOOKUP(B8539,
[1]sales_teams!$A$2:$A$100,
[1]sales_teams!$B$2:$B$100)</f>
        <v>Melvin Marxen</v>
      </c>
      <c r="D8539" t="str">
        <f>_xlfn.XLOOKUP($B8539,sales_teams!$A$2:$A$36,sales_teams!C$2:C$36)</f>
        <v>Central</v>
      </c>
      <c r="E8539" t="s">
        <v>39</v>
      </c>
      <c r="G8539" t="s">
        <v>8434</v>
      </c>
    </row>
    <row r="8540" spans="1:7" x14ac:dyDescent="0.3">
      <c r="A8540" t="s">
        <v>8672</v>
      </c>
      <c r="B8540" t="s">
        <v>44</v>
      </c>
      <c r="C8540" t="str">
        <f>_xlfn.XLOOKUP(B8540,
[1]sales_teams!$A$2:$A$100,
[1]sales_teams!$B$2:$B$100)</f>
        <v>Melvin Marxen</v>
      </c>
      <c r="D8540" t="str">
        <f>_xlfn.XLOOKUP($B8540,sales_teams!$A$2:$A$36,sales_teams!C$2:C$36)</f>
        <v>Central</v>
      </c>
      <c r="E8540" t="s">
        <v>39</v>
      </c>
      <c r="G8540" t="s">
        <v>8434</v>
      </c>
    </row>
    <row r="8541" spans="1:7" x14ac:dyDescent="0.3">
      <c r="A8541" t="s">
        <v>8673</v>
      </c>
      <c r="B8541" t="s">
        <v>252</v>
      </c>
      <c r="C8541" t="str">
        <f>_xlfn.XLOOKUP(B8541,
[1]sales_teams!$A$2:$A$100,
[1]sales_teams!$B$2:$B$100)</f>
        <v>Melvin Marxen</v>
      </c>
      <c r="D8541" t="str">
        <f>_xlfn.XLOOKUP($B8541,sales_teams!$A$2:$A$36,sales_teams!C$2:C$36)</f>
        <v>Central</v>
      </c>
      <c r="E8541" t="s">
        <v>20</v>
      </c>
      <c r="F8541" t="s">
        <v>745</v>
      </c>
      <c r="G8541" t="s">
        <v>8434</v>
      </c>
    </row>
    <row r="8542" spans="1:7" x14ac:dyDescent="0.3">
      <c r="A8542" t="s">
        <v>8674</v>
      </c>
      <c r="B8542" t="s">
        <v>252</v>
      </c>
      <c r="C8542" t="str">
        <f>_xlfn.XLOOKUP(B8542,
[1]sales_teams!$A$2:$A$100,
[1]sales_teams!$B$2:$B$100)</f>
        <v>Melvin Marxen</v>
      </c>
      <c r="D8542" t="str">
        <f>_xlfn.XLOOKUP($B8542,sales_teams!$A$2:$A$36,sales_teams!C$2:C$36)</f>
        <v>Central</v>
      </c>
      <c r="E8542" t="s">
        <v>20</v>
      </c>
      <c r="F8542" t="s">
        <v>120</v>
      </c>
      <c r="G8542" t="s">
        <v>8434</v>
      </c>
    </row>
    <row r="8543" spans="1:7" x14ac:dyDescent="0.3">
      <c r="A8543" t="s">
        <v>8675</v>
      </c>
      <c r="B8543" t="s">
        <v>252</v>
      </c>
      <c r="C8543" t="str">
        <f>_xlfn.XLOOKUP(B8543,
[1]sales_teams!$A$2:$A$100,
[1]sales_teams!$B$2:$B$100)</f>
        <v>Melvin Marxen</v>
      </c>
      <c r="D8543" t="str">
        <f>_xlfn.XLOOKUP($B8543,sales_teams!$A$2:$A$36,sales_teams!C$2:C$36)</f>
        <v>Central</v>
      </c>
      <c r="E8543" t="s">
        <v>20</v>
      </c>
      <c r="F8543" t="s">
        <v>197</v>
      </c>
      <c r="G8543" t="s">
        <v>8434</v>
      </c>
    </row>
    <row r="8544" spans="1:7" x14ac:dyDescent="0.3">
      <c r="A8544" t="s">
        <v>8676</v>
      </c>
      <c r="B8544" t="s">
        <v>252</v>
      </c>
      <c r="C8544" t="str">
        <f>_xlfn.XLOOKUP(B8544,
[1]sales_teams!$A$2:$A$100,
[1]sales_teams!$B$2:$B$100)</f>
        <v>Melvin Marxen</v>
      </c>
      <c r="D8544" t="str">
        <f>_xlfn.XLOOKUP($B8544,sales_teams!$A$2:$A$36,sales_teams!C$2:C$36)</f>
        <v>Central</v>
      </c>
      <c r="E8544" t="s">
        <v>20</v>
      </c>
      <c r="F8544" t="s">
        <v>109</v>
      </c>
      <c r="G8544" t="s">
        <v>8434</v>
      </c>
    </row>
    <row r="8545" spans="1:7" x14ac:dyDescent="0.3">
      <c r="A8545" t="s">
        <v>8677</v>
      </c>
      <c r="B8545" t="s">
        <v>252</v>
      </c>
      <c r="C8545" t="str">
        <f>_xlfn.XLOOKUP(B8545,
[1]sales_teams!$A$2:$A$100,
[1]sales_teams!$B$2:$B$100)</f>
        <v>Melvin Marxen</v>
      </c>
      <c r="D8545" t="str">
        <f>_xlfn.XLOOKUP($B8545,sales_teams!$A$2:$A$36,sales_teams!C$2:C$36)</f>
        <v>Central</v>
      </c>
      <c r="E8545" t="s">
        <v>20</v>
      </c>
      <c r="F8545" t="s">
        <v>398</v>
      </c>
      <c r="G8545" t="s">
        <v>8434</v>
      </c>
    </row>
    <row r="8546" spans="1:7" x14ac:dyDescent="0.3">
      <c r="A8546" t="s">
        <v>8678</v>
      </c>
      <c r="B8546" t="s">
        <v>252</v>
      </c>
      <c r="C8546" t="str">
        <f>_xlfn.XLOOKUP(B8546,
[1]sales_teams!$A$2:$A$100,
[1]sales_teams!$B$2:$B$100)</f>
        <v>Melvin Marxen</v>
      </c>
      <c r="D8546" t="str">
        <f>_xlfn.XLOOKUP($B8546,sales_teams!$A$2:$A$36,sales_teams!C$2:C$36)</f>
        <v>Central</v>
      </c>
      <c r="E8546" t="s">
        <v>20</v>
      </c>
      <c r="F8546" t="s">
        <v>184</v>
      </c>
      <c r="G8546" t="s">
        <v>8434</v>
      </c>
    </row>
    <row r="8547" spans="1:7" x14ac:dyDescent="0.3">
      <c r="A8547" t="s">
        <v>8679</v>
      </c>
      <c r="B8547" t="s">
        <v>252</v>
      </c>
      <c r="C8547" t="str">
        <f>_xlfn.XLOOKUP(B8547,
[1]sales_teams!$A$2:$A$100,
[1]sales_teams!$B$2:$B$100)</f>
        <v>Melvin Marxen</v>
      </c>
      <c r="D8547" t="str">
        <f>_xlfn.XLOOKUP($B8547,sales_teams!$A$2:$A$36,sales_teams!C$2:C$36)</f>
        <v>Central</v>
      </c>
      <c r="E8547" t="s">
        <v>20</v>
      </c>
      <c r="F8547" t="s">
        <v>74</v>
      </c>
      <c r="G8547" t="s">
        <v>8434</v>
      </c>
    </row>
    <row r="8548" spans="1:7" x14ac:dyDescent="0.3">
      <c r="A8548" t="s">
        <v>8680</v>
      </c>
      <c r="B8548" t="s">
        <v>252</v>
      </c>
      <c r="C8548" t="str">
        <f>_xlfn.XLOOKUP(B8548,
[1]sales_teams!$A$2:$A$100,
[1]sales_teams!$B$2:$B$100)</f>
        <v>Melvin Marxen</v>
      </c>
      <c r="D8548" t="str">
        <f>_xlfn.XLOOKUP($B8548,sales_teams!$A$2:$A$36,sales_teams!C$2:C$36)</f>
        <v>Central</v>
      </c>
      <c r="E8548" t="s">
        <v>20</v>
      </c>
      <c r="F8548" t="s">
        <v>65</v>
      </c>
      <c r="G8548" t="s">
        <v>8434</v>
      </c>
    </row>
    <row r="8549" spans="1:7" x14ac:dyDescent="0.3">
      <c r="A8549" t="s">
        <v>8681</v>
      </c>
      <c r="B8549" t="s">
        <v>252</v>
      </c>
      <c r="C8549" t="str">
        <f>_xlfn.XLOOKUP(B8549,
[1]sales_teams!$A$2:$A$100,
[1]sales_teams!$B$2:$B$100)</f>
        <v>Melvin Marxen</v>
      </c>
      <c r="D8549" t="str">
        <f>_xlfn.XLOOKUP($B8549,sales_teams!$A$2:$A$36,sales_teams!C$2:C$36)</f>
        <v>Central</v>
      </c>
      <c r="E8549" t="s">
        <v>20</v>
      </c>
      <c r="F8549" t="s">
        <v>373</v>
      </c>
      <c r="G8549" t="s">
        <v>8434</v>
      </c>
    </row>
    <row r="8550" spans="1:7" x14ac:dyDescent="0.3">
      <c r="A8550" t="s">
        <v>8682</v>
      </c>
      <c r="B8550" t="s">
        <v>252</v>
      </c>
      <c r="C8550" t="str">
        <f>_xlfn.XLOOKUP(B8550,
[1]sales_teams!$A$2:$A$100,
[1]sales_teams!$B$2:$B$100)</f>
        <v>Melvin Marxen</v>
      </c>
      <c r="D8550" t="str">
        <f>_xlfn.XLOOKUP($B8550,sales_teams!$A$2:$A$36,sales_teams!C$2:C$36)</f>
        <v>Central</v>
      </c>
      <c r="E8550" t="s">
        <v>20</v>
      </c>
      <c r="G8550" t="s">
        <v>8434</v>
      </c>
    </row>
    <row r="8551" spans="1:7" x14ac:dyDescent="0.3">
      <c r="A8551" t="s">
        <v>8683</v>
      </c>
      <c r="B8551" t="s">
        <v>252</v>
      </c>
      <c r="C8551" t="str">
        <f>_xlfn.XLOOKUP(B8551,
[1]sales_teams!$A$2:$A$100,
[1]sales_teams!$B$2:$B$100)</f>
        <v>Melvin Marxen</v>
      </c>
      <c r="D8551" t="str">
        <f>_xlfn.XLOOKUP($B8551,sales_teams!$A$2:$A$36,sales_teams!C$2:C$36)</f>
        <v>Central</v>
      </c>
      <c r="E8551" t="s">
        <v>20</v>
      </c>
      <c r="G8551" t="s">
        <v>8434</v>
      </c>
    </row>
    <row r="8552" spans="1:7" x14ac:dyDescent="0.3">
      <c r="A8552" t="s">
        <v>8684</v>
      </c>
      <c r="B8552" t="s">
        <v>252</v>
      </c>
      <c r="C8552" t="str">
        <f>_xlfn.XLOOKUP(B8552,
[1]sales_teams!$A$2:$A$100,
[1]sales_teams!$B$2:$B$100)</f>
        <v>Melvin Marxen</v>
      </c>
      <c r="D8552" t="str">
        <f>_xlfn.XLOOKUP($B8552,sales_teams!$A$2:$A$36,sales_teams!C$2:C$36)</f>
        <v>Central</v>
      </c>
      <c r="E8552" t="s">
        <v>20</v>
      </c>
      <c r="G8552" t="s">
        <v>8434</v>
      </c>
    </row>
    <row r="8553" spans="1:7" x14ac:dyDescent="0.3">
      <c r="A8553" t="s">
        <v>8685</v>
      </c>
      <c r="B8553" t="s">
        <v>252</v>
      </c>
      <c r="C8553" t="str">
        <f>_xlfn.XLOOKUP(B8553,
[1]sales_teams!$A$2:$A$100,
[1]sales_teams!$B$2:$B$100)</f>
        <v>Melvin Marxen</v>
      </c>
      <c r="D8553" t="str">
        <f>_xlfn.XLOOKUP($B8553,sales_teams!$A$2:$A$36,sales_teams!C$2:C$36)</f>
        <v>Central</v>
      </c>
      <c r="E8553" t="s">
        <v>20</v>
      </c>
      <c r="G8553" t="s">
        <v>8434</v>
      </c>
    </row>
    <row r="8554" spans="1:7" x14ac:dyDescent="0.3">
      <c r="A8554" t="s">
        <v>8686</v>
      </c>
      <c r="B8554" t="s">
        <v>252</v>
      </c>
      <c r="C8554" t="str">
        <f>_xlfn.XLOOKUP(B8554,
[1]sales_teams!$A$2:$A$100,
[1]sales_teams!$B$2:$B$100)</f>
        <v>Melvin Marxen</v>
      </c>
      <c r="D8554" t="str">
        <f>_xlfn.XLOOKUP($B8554,sales_teams!$A$2:$A$36,sales_teams!C$2:C$36)</f>
        <v>Central</v>
      </c>
      <c r="E8554" t="s">
        <v>20</v>
      </c>
      <c r="G8554" t="s">
        <v>8434</v>
      </c>
    </row>
    <row r="8555" spans="1:7" x14ac:dyDescent="0.3">
      <c r="A8555" t="s">
        <v>8687</v>
      </c>
      <c r="B8555" t="s">
        <v>252</v>
      </c>
      <c r="C8555" t="str">
        <f>_xlfn.XLOOKUP(B8555,
[1]sales_teams!$A$2:$A$100,
[1]sales_teams!$B$2:$B$100)</f>
        <v>Melvin Marxen</v>
      </c>
      <c r="D8555" t="str">
        <f>_xlfn.XLOOKUP($B8555,sales_teams!$A$2:$A$36,sales_teams!C$2:C$36)</f>
        <v>Central</v>
      </c>
      <c r="E8555" t="s">
        <v>20</v>
      </c>
      <c r="G8555" t="s">
        <v>8434</v>
      </c>
    </row>
    <row r="8556" spans="1:7" x14ac:dyDescent="0.3">
      <c r="A8556" t="s">
        <v>8688</v>
      </c>
      <c r="B8556" t="s">
        <v>252</v>
      </c>
      <c r="C8556" t="str">
        <f>_xlfn.XLOOKUP(B8556,
[1]sales_teams!$A$2:$A$100,
[1]sales_teams!$B$2:$B$100)</f>
        <v>Melvin Marxen</v>
      </c>
      <c r="D8556" t="str">
        <f>_xlfn.XLOOKUP($B8556,sales_teams!$A$2:$A$36,sales_teams!C$2:C$36)</f>
        <v>Central</v>
      </c>
      <c r="E8556" t="s">
        <v>20</v>
      </c>
      <c r="G8556" t="s">
        <v>8434</v>
      </c>
    </row>
    <row r="8557" spans="1:7" x14ac:dyDescent="0.3">
      <c r="A8557" t="s">
        <v>8689</v>
      </c>
      <c r="B8557" t="s">
        <v>252</v>
      </c>
      <c r="C8557" t="str">
        <f>_xlfn.XLOOKUP(B8557,
[1]sales_teams!$A$2:$A$100,
[1]sales_teams!$B$2:$B$100)</f>
        <v>Melvin Marxen</v>
      </c>
      <c r="D8557" t="str">
        <f>_xlfn.XLOOKUP($B8557,sales_teams!$A$2:$A$36,sales_teams!C$2:C$36)</f>
        <v>Central</v>
      </c>
      <c r="E8557" t="s">
        <v>20</v>
      </c>
      <c r="G8557" t="s">
        <v>8434</v>
      </c>
    </row>
    <row r="8558" spans="1:7" x14ac:dyDescent="0.3">
      <c r="A8558" t="s">
        <v>8690</v>
      </c>
      <c r="B8558" t="s">
        <v>252</v>
      </c>
      <c r="C8558" t="str">
        <f>_xlfn.XLOOKUP(B8558,
[1]sales_teams!$A$2:$A$100,
[1]sales_teams!$B$2:$B$100)</f>
        <v>Melvin Marxen</v>
      </c>
      <c r="D8558" t="str">
        <f>_xlfn.XLOOKUP($B8558,sales_teams!$A$2:$A$36,sales_teams!C$2:C$36)</f>
        <v>Central</v>
      </c>
      <c r="E8558" t="s">
        <v>20</v>
      </c>
      <c r="G8558" t="s">
        <v>8434</v>
      </c>
    </row>
    <row r="8559" spans="1:7" x14ac:dyDescent="0.3">
      <c r="A8559" t="s">
        <v>8691</v>
      </c>
      <c r="B8559" t="s">
        <v>252</v>
      </c>
      <c r="C8559" t="str">
        <f>_xlfn.XLOOKUP(B8559,
[1]sales_teams!$A$2:$A$100,
[1]sales_teams!$B$2:$B$100)</f>
        <v>Melvin Marxen</v>
      </c>
      <c r="D8559" t="str">
        <f>_xlfn.XLOOKUP($B8559,sales_teams!$A$2:$A$36,sales_teams!C$2:C$36)</f>
        <v>Central</v>
      </c>
      <c r="E8559" t="s">
        <v>20</v>
      </c>
      <c r="G8559" t="s">
        <v>8434</v>
      </c>
    </row>
    <row r="8560" spans="1:7" x14ac:dyDescent="0.3">
      <c r="A8560" t="s">
        <v>8692</v>
      </c>
      <c r="B8560" t="s">
        <v>252</v>
      </c>
      <c r="C8560" t="str">
        <f>_xlfn.XLOOKUP(B8560,
[1]sales_teams!$A$2:$A$100,
[1]sales_teams!$B$2:$B$100)</f>
        <v>Melvin Marxen</v>
      </c>
      <c r="D8560" t="str">
        <f>_xlfn.XLOOKUP($B8560,sales_teams!$A$2:$A$36,sales_teams!C$2:C$36)</f>
        <v>Central</v>
      </c>
      <c r="E8560" t="s">
        <v>20</v>
      </c>
      <c r="G8560" t="s">
        <v>8434</v>
      </c>
    </row>
    <row r="8561" spans="1:7" x14ac:dyDescent="0.3">
      <c r="A8561" t="s">
        <v>8693</v>
      </c>
      <c r="B8561" t="s">
        <v>252</v>
      </c>
      <c r="C8561" t="str">
        <f>_xlfn.XLOOKUP(B8561,
[1]sales_teams!$A$2:$A$100,
[1]sales_teams!$B$2:$B$100)</f>
        <v>Melvin Marxen</v>
      </c>
      <c r="D8561" t="str">
        <f>_xlfn.XLOOKUP($B8561,sales_teams!$A$2:$A$36,sales_teams!C$2:C$36)</f>
        <v>Central</v>
      </c>
      <c r="E8561" t="s">
        <v>20</v>
      </c>
      <c r="G8561" t="s">
        <v>8434</v>
      </c>
    </row>
    <row r="8562" spans="1:7" x14ac:dyDescent="0.3">
      <c r="A8562" t="s">
        <v>8694</v>
      </c>
      <c r="B8562" t="s">
        <v>252</v>
      </c>
      <c r="C8562" t="str">
        <f>_xlfn.XLOOKUP(B8562,
[1]sales_teams!$A$2:$A$100,
[1]sales_teams!$B$2:$B$100)</f>
        <v>Melvin Marxen</v>
      </c>
      <c r="D8562" t="str">
        <f>_xlfn.XLOOKUP($B8562,sales_teams!$A$2:$A$36,sales_teams!C$2:C$36)</f>
        <v>Central</v>
      </c>
      <c r="E8562" t="s">
        <v>20</v>
      </c>
      <c r="G8562" t="s">
        <v>8434</v>
      </c>
    </row>
    <row r="8563" spans="1:7" x14ac:dyDescent="0.3">
      <c r="A8563" t="s">
        <v>8695</v>
      </c>
      <c r="B8563" t="s">
        <v>252</v>
      </c>
      <c r="C8563" t="str">
        <f>_xlfn.XLOOKUP(B8563,
[1]sales_teams!$A$2:$A$100,
[1]sales_teams!$B$2:$B$100)</f>
        <v>Melvin Marxen</v>
      </c>
      <c r="D8563" t="str">
        <f>_xlfn.XLOOKUP($B8563,sales_teams!$A$2:$A$36,sales_teams!C$2:C$36)</f>
        <v>Central</v>
      </c>
      <c r="E8563" t="s">
        <v>10</v>
      </c>
      <c r="F8563" t="s">
        <v>213</v>
      </c>
      <c r="G8563" t="s">
        <v>8434</v>
      </c>
    </row>
    <row r="8564" spans="1:7" x14ac:dyDescent="0.3">
      <c r="A8564" t="s">
        <v>8696</v>
      </c>
      <c r="B8564" t="s">
        <v>252</v>
      </c>
      <c r="C8564" t="str">
        <f>_xlfn.XLOOKUP(B8564,
[1]sales_teams!$A$2:$A$100,
[1]sales_teams!$B$2:$B$100)</f>
        <v>Melvin Marxen</v>
      </c>
      <c r="D8564" t="str">
        <f>_xlfn.XLOOKUP($B8564,sales_teams!$A$2:$A$36,sales_teams!C$2:C$36)</f>
        <v>Central</v>
      </c>
      <c r="E8564" t="s">
        <v>10</v>
      </c>
      <c r="F8564" t="s">
        <v>16</v>
      </c>
      <c r="G8564" t="s">
        <v>8434</v>
      </c>
    </row>
    <row r="8565" spans="1:7" x14ac:dyDescent="0.3">
      <c r="A8565" t="s">
        <v>8697</v>
      </c>
      <c r="B8565" t="s">
        <v>252</v>
      </c>
      <c r="C8565" t="str">
        <f>_xlfn.XLOOKUP(B8565,
[1]sales_teams!$A$2:$A$100,
[1]sales_teams!$B$2:$B$100)</f>
        <v>Melvin Marxen</v>
      </c>
      <c r="D8565" t="str">
        <f>_xlfn.XLOOKUP($B8565,sales_teams!$A$2:$A$36,sales_teams!C$2:C$36)</f>
        <v>Central</v>
      </c>
      <c r="E8565" t="s">
        <v>10</v>
      </c>
      <c r="G8565" t="s">
        <v>8434</v>
      </c>
    </row>
    <row r="8566" spans="1:7" x14ac:dyDescent="0.3">
      <c r="A8566" t="s">
        <v>8698</v>
      </c>
      <c r="B8566" t="s">
        <v>252</v>
      </c>
      <c r="C8566" t="str">
        <f>_xlfn.XLOOKUP(B8566,
[1]sales_teams!$A$2:$A$100,
[1]sales_teams!$B$2:$B$100)</f>
        <v>Melvin Marxen</v>
      </c>
      <c r="D8566" t="str">
        <f>_xlfn.XLOOKUP($B8566,sales_teams!$A$2:$A$36,sales_teams!C$2:C$36)</f>
        <v>Central</v>
      </c>
      <c r="E8566" t="s">
        <v>10</v>
      </c>
      <c r="G8566" t="s">
        <v>8434</v>
      </c>
    </row>
    <row r="8567" spans="1:7" x14ac:dyDescent="0.3">
      <c r="A8567" t="s">
        <v>8699</v>
      </c>
      <c r="B8567" t="s">
        <v>252</v>
      </c>
      <c r="C8567" t="str">
        <f>_xlfn.XLOOKUP(B8567,
[1]sales_teams!$A$2:$A$100,
[1]sales_teams!$B$2:$B$100)</f>
        <v>Melvin Marxen</v>
      </c>
      <c r="D8567" t="str">
        <f>_xlfn.XLOOKUP($B8567,sales_teams!$A$2:$A$36,sales_teams!C$2:C$36)</f>
        <v>Central</v>
      </c>
      <c r="E8567" t="s">
        <v>10</v>
      </c>
      <c r="G8567" t="s">
        <v>8434</v>
      </c>
    </row>
    <row r="8568" spans="1:7" x14ac:dyDescent="0.3">
      <c r="A8568" t="s">
        <v>8700</v>
      </c>
      <c r="B8568" t="s">
        <v>252</v>
      </c>
      <c r="C8568" t="str">
        <f>_xlfn.XLOOKUP(B8568,
[1]sales_teams!$A$2:$A$100,
[1]sales_teams!$B$2:$B$100)</f>
        <v>Melvin Marxen</v>
      </c>
      <c r="D8568" t="str">
        <f>_xlfn.XLOOKUP($B8568,sales_teams!$A$2:$A$36,sales_teams!C$2:C$36)</f>
        <v>Central</v>
      </c>
      <c r="E8568" t="s">
        <v>10</v>
      </c>
      <c r="G8568" t="s">
        <v>8434</v>
      </c>
    </row>
    <row r="8569" spans="1:7" x14ac:dyDescent="0.3">
      <c r="A8569" t="s">
        <v>8701</v>
      </c>
      <c r="B8569" t="s">
        <v>252</v>
      </c>
      <c r="C8569" t="str">
        <f>_xlfn.XLOOKUP(B8569,
[1]sales_teams!$A$2:$A$100,
[1]sales_teams!$B$2:$B$100)</f>
        <v>Melvin Marxen</v>
      </c>
      <c r="D8569" t="str">
        <f>_xlfn.XLOOKUP($B8569,sales_teams!$A$2:$A$36,sales_teams!C$2:C$36)</f>
        <v>Central</v>
      </c>
      <c r="E8569" t="s">
        <v>48</v>
      </c>
      <c r="F8569" t="s">
        <v>33</v>
      </c>
      <c r="G8569" t="s">
        <v>8434</v>
      </c>
    </row>
    <row r="8570" spans="1:7" x14ac:dyDescent="0.3">
      <c r="A8570" t="s">
        <v>8702</v>
      </c>
      <c r="B8570" t="s">
        <v>252</v>
      </c>
      <c r="C8570" t="str">
        <f>_xlfn.XLOOKUP(B8570,
[1]sales_teams!$A$2:$A$100,
[1]sales_teams!$B$2:$B$100)</f>
        <v>Melvin Marxen</v>
      </c>
      <c r="D8570" t="str">
        <f>_xlfn.XLOOKUP($B8570,sales_teams!$A$2:$A$36,sales_teams!C$2:C$36)</f>
        <v>Central</v>
      </c>
      <c r="E8570" t="s">
        <v>48</v>
      </c>
      <c r="F8570" t="s">
        <v>143</v>
      </c>
      <c r="G8570" t="s">
        <v>8434</v>
      </c>
    </row>
    <row r="8571" spans="1:7" x14ac:dyDescent="0.3">
      <c r="A8571" t="s">
        <v>8703</v>
      </c>
      <c r="B8571" t="s">
        <v>252</v>
      </c>
      <c r="C8571" t="str">
        <f>_xlfn.XLOOKUP(B8571,
[1]sales_teams!$A$2:$A$100,
[1]sales_teams!$B$2:$B$100)</f>
        <v>Melvin Marxen</v>
      </c>
      <c r="D8571" t="str">
        <f>_xlfn.XLOOKUP($B8571,sales_teams!$A$2:$A$36,sales_teams!C$2:C$36)</f>
        <v>Central</v>
      </c>
      <c r="E8571" t="s">
        <v>48</v>
      </c>
      <c r="G8571" t="s">
        <v>8434</v>
      </c>
    </row>
    <row r="8572" spans="1:7" x14ac:dyDescent="0.3">
      <c r="A8572" t="s">
        <v>8704</v>
      </c>
      <c r="B8572" t="s">
        <v>252</v>
      </c>
      <c r="C8572" t="str">
        <f>_xlfn.XLOOKUP(B8572,
[1]sales_teams!$A$2:$A$100,
[1]sales_teams!$B$2:$B$100)</f>
        <v>Melvin Marxen</v>
      </c>
      <c r="D8572" t="str">
        <f>_xlfn.XLOOKUP($B8572,sales_teams!$A$2:$A$36,sales_teams!C$2:C$36)</f>
        <v>Central</v>
      </c>
      <c r="E8572" t="s">
        <v>48</v>
      </c>
      <c r="G8572" t="s">
        <v>8434</v>
      </c>
    </row>
    <row r="8573" spans="1:7" x14ac:dyDescent="0.3">
      <c r="A8573" t="s">
        <v>8705</v>
      </c>
      <c r="B8573" t="s">
        <v>252</v>
      </c>
      <c r="C8573" t="str">
        <f>_xlfn.XLOOKUP(B8573,
[1]sales_teams!$A$2:$A$100,
[1]sales_teams!$B$2:$B$100)</f>
        <v>Melvin Marxen</v>
      </c>
      <c r="D8573" t="str">
        <f>_xlfn.XLOOKUP($B8573,sales_teams!$A$2:$A$36,sales_teams!C$2:C$36)</f>
        <v>Central</v>
      </c>
      <c r="E8573" t="s">
        <v>15</v>
      </c>
      <c r="F8573" t="s">
        <v>240</v>
      </c>
      <c r="G8573" t="s">
        <v>8434</v>
      </c>
    </row>
    <row r="8574" spans="1:7" x14ac:dyDescent="0.3">
      <c r="A8574" t="s">
        <v>8706</v>
      </c>
      <c r="B8574" t="s">
        <v>252</v>
      </c>
      <c r="C8574" t="str">
        <f>_xlfn.XLOOKUP(B8574,
[1]sales_teams!$A$2:$A$100,
[1]sales_teams!$B$2:$B$100)</f>
        <v>Melvin Marxen</v>
      </c>
      <c r="D8574" t="str">
        <f>_xlfn.XLOOKUP($B8574,sales_teams!$A$2:$A$36,sales_teams!C$2:C$36)</f>
        <v>Central</v>
      </c>
      <c r="E8574" t="s">
        <v>15</v>
      </c>
      <c r="F8574" t="s">
        <v>124</v>
      </c>
      <c r="G8574" t="s">
        <v>8434</v>
      </c>
    </row>
    <row r="8575" spans="1:7" x14ac:dyDescent="0.3">
      <c r="A8575" t="s">
        <v>8707</v>
      </c>
      <c r="B8575" t="s">
        <v>252</v>
      </c>
      <c r="C8575" t="str">
        <f>_xlfn.XLOOKUP(B8575,
[1]sales_teams!$A$2:$A$100,
[1]sales_teams!$B$2:$B$100)</f>
        <v>Melvin Marxen</v>
      </c>
      <c r="D8575" t="str">
        <f>_xlfn.XLOOKUP($B8575,sales_teams!$A$2:$A$36,sales_teams!C$2:C$36)</f>
        <v>Central</v>
      </c>
      <c r="E8575" t="s">
        <v>15</v>
      </c>
      <c r="G8575" t="s">
        <v>8434</v>
      </c>
    </row>
    <row r="8576" spans="1:7" x14ac:dyDescent="0.3">
      <c r="A8576" t="s">
        <v>8708</v>
      </c>
      <c r="B8576" t="s">
        <v>252</v>
      </c>
      <c r="C8576" t="str">
        <f>_xlfn.XLOOKUP(B8576,
[1]sales_teams!$A$2:$A$100,
[1]sales_teams!$B$2:$B$100)</f>
        <v>Melvin Marxen</v>
      </c>
      <c r="D8576" t="str">
        <f>_xlfn.XLOOKUP($B8576,sales_teams!$A$2:$A$36,sales_teams!C$2:C$36)</f>
        <v>Central</v>
      </c>
      <c r="E8576" t="s">
        <v>15</v>
      </c>
      <c r="G8576" t="s">
        <v>8434</v>
      </c>
    </row>
    <row r="8577" spans="1:7" x14ac:dyDescent="0.3">
      <c r="A8577" t="s">
        <v>8709</v>
      </c>
      <c r="B8577" t="s">
        <v>252</v>
      </c>
      <c r="C8577" t="str">
        <f>_xlfn.XLOOKUP(B8577,
[1]sales_teams!$A$2:$A$100,
[1]sales_teams!$B$2:$B$100)</f>
        <v>Melvin Marxen</v>
      </c>
      <c r="D8577" t="str">
        <f>_xlfn.XLOOKUP($B8577,sales_teams!$A$2:$A$36,sales_teams!C$2:C$36)</f>
        <v>Central</v>
      </c>
      <c r="E8577" t="s">
        <v>15</v>
      </c>
      <c r="G8577" t="s">
        <v>8434</v>
      </c>
    </row>
    <row r="8578" spans="1:7" x14ac:dyDescent="0.3">
      <c r="A8578" t="s">
        <v>8710</v>
      </c>
      <c r="B8578" t="s">
        <v>252</v>
      </c>
      <c r="C8578" t="str">
        <f>_xlfn.XLOOKUP(B8578,
[1]sales_teams!$A$2:$A$100,
[1]sales_teams!$B$2:$B$100)</f>
        <v>Melvin Marxen</v>
      </c>
      <c r="D8578" t="str">
        <f>_xlfn.XLOOKUP($B8578,sales_teams!$A$2:$A$36,sales_teams!C$2:C$36)</f>
        <v>Central</v>
      </c>
      <c r="E8578" t="s">
        <v>15</v>
      </c>
      <c r="G8578" t="s">
        <v>8434</v>
      </c>
    </row>
    <row r="8579" spans="1:7" x14ac:dyDescent="0.3">
      <c r="A8579" t="s">
        <v>8711</v>
      </c>
      <c r="B8579" t="s">
        <v>252</v>
      </c>
      <c r="C8579" t="str">
        <f>_xlfn.XLOOKUP(B8579,
[1]sales_teams!$A$2:$A$100,
[1]sales_teams!$B$2:$B$100)</f>
        <v>Melvin Marxen</v>
      </c>
      <c r="D8579" t="str">
        <f>_xlfn.XLOOKUP($B8579,sales_teams!$A$2:$A$36,sales_teams!C$2:C$36)</f>
        <v>Central</v>
      </c>
      <c r="E8579" t="s">
        <v>15</v>
      </c>
      <c r="G8579" t="s">
        <v>8434</v>
      </c>
    </row>
    <row r="8580" spans="1:7" x14ac:dyDescent="0.3">
      <c r="A8580" t="s">
        <v>8712</v>
      </c>
      <c r="B8580" t="s">
        <v>252</v>
      </c>
      <c r="C8580" t="str">
        <f>_xlfn.XLOOKUP(B8580,
[1]sales_teams!$A$2:$A$100,
[1]sales_teams!$B$2:$B$100)</f>
        <v>Melvin Marxen</v>
      </c>
      <c r="D8580" t="str">
        <f>_xlfn.XLOOKUP($B8580,sales_teams!$A$2:$A$36,sales_teams!C$2:C$36)</f>
        <v>Central</v>
      </c>
      <c r="E8580" t="s">
        <v>15</v>
      </c>
      <c r="G8580" t="s">
        <v>8434</v>
      </c>
    </row>
    <row r="8581" spans="1:7" x14ac:dyDescent="0.3">
      <c r="A8581" t="s">
        <v>8713</v>
      </c>
      <c r="B8581" t="s">
        <v>252</v>
      </c>
      <c r="C8581" t="str">
        <f>_xlfn.XLOOKUP(B8581,
[1]sales_teams!$A$2:$A$100,
[1]sales_teams!$B$2:$B$100)</f>
        <v>Melvin Marxen</v>
      </c>
      <c r="D8581" t="str">
        <f>_xlfn.XLOOKUP($B8581,sales_teams!$A$2:$A$36,sales_teams!C$2:C$36)</f>
        <v>Central</v>
      </c>
      <c r="E8581" t="s">
        <v>15</v>
      </c>
      <c r="G8581" t="s">
        <v>8434</v>
      </c>
    </row>
    <row r="8582" spans="1:7" x14ac:dyDescent="0.3">
      <c r="A8582" t="s">
        <v>8714</v>
      </c>
      <c r="B8582" t="s">
        <v>252</v>
      </c>
      <c r="C8582" t="str">
        <f>_xlfn.XLOOKUP(B8582,
[1]sales_teams!$A$2:$A$100,
[1]sales_teams!$B$2:$B$100)</f>
        <v>Melvin Marxen</v>
      </c>
      <c r="D8582" t="str">
        <f>_xlfn.XLOOKUP($B8582,sales_teams!$A$2:$A$36,sales_teams!C$2:C$36)</f>
        <v>Central</v>
      </c>
      <c r="E8582" t="s">
        <v>18</v>
      </c>
      <c r="F8582" t="s">
        <v>313</v>
      </c>
      <c r="G8582" t="s">
        <v>8434</v>
      </c>
    </row>
    <row r="8583" spans="1:7" x14ac:dyDescent="0.3">
      <c r="A8583" t="s">
        <v>8715</v>
      </c>
      <c r="B8583" t="s">
        <v>252</v>
      </c>
      <c r="C8583" t="str">
        <f>_xlfn.XLOOKUP(B8583,
[1]sales_teams!$A$2:$A$100,
[1]sales_teams!$B$2:$B$100)</f>
        <v>Melvin Marxen</v>
      </c>
      <c r="D8583" t="str">
        <f>_xlfn.XLOOKUP($B8583,sales_teams!$A$2:$A$36,sales_teams!C$2:C$36)</f>
        <v>Central</v>
      </c>
      <c r="E8583" t="s">
        <v>18</v>
      </c>
      <c r="F8583" t="s">
        <v>745</v>
      </c>
      <c r="G8583" t="s">
        <v>8434</v>
      </c>
    </row>
    <row r="8584" spans="1:7" x14ac:dyDescent="0.3">
      <c r="A8584" t="s">
        <v>8716</v>
      </c>
      <c r="B8584" t="s">
        <v>252</v>
      </c>
      <c r="C8584" t="str">
        <f>_xlfn.XLOOKUP(B8584,
[1]sales_teams!$A$2:$A$100,
[1]sales_teams!$B$2:$B$100)</f>
        <v>Melvin Marxen</v>
      </c>
      <c r="D8584" t="str">
        <f>_xlfn.XLOOKUP($B8584,sales_teams!$A$2:$A$36,sales_teams!C$2:C$36)</f>
        <v>Central</v>
      </c>
      <c r="E8584" t="s">
        <v>18</v>
      </c>
      <c r="G8584" t="s">
        <v>8434</v>
      </c>
    </row>
    <row r="8585" spans="1:7" x14ac:dyDescent="0.3">
      <c r="A8585" t="s">
        <v>8717</v>
      </c>
      <c r="B8585" t="s">
        <v>252</v>
      </c>
      <c r="C8585" t="str">
        <f>_xlfn.XLOOKUP(B8585,
[1]sales_teams!$A$2:$A$100,
[1]sales_teams!$B$2:$B$100)</f>
        <v>Melvin Marxen</v>
      </c>
      <c r="D8585" t="str">
        <f>_xlfn.XLOOKUP($B8585,sales_teams!$A$2:$A$36,sales_teams!C$2:C$36)</f>
        <v>Central</v>
      </c>
      <c r="E8585" t="s">
        <v>18</v>
      </c>
      <c r="G8585" t="s">
        <v>8434</v>
      </c>
    </row>
    <row r="8586" spans="1:7" x14ac:dyDescent="0.3">
      <c r="A8586" t="s">
        <v>8718</v>
      </c>
      <c r="B8586" t="s">
        <v>252</v>
      </c>
      <c r="C8586" t="str">
        <f>_xlfn.XLOOKUP(B8586,
[1]sales_teams!$A$2:$A$100,
[1]sales_teams!$B$2:$B$100)</f>
        <v>Melvin Marxen</v>
      </c>
      <c r="D8586" t="str">
        <f>_xlfn.XLOOKUP($B8586,sales_teams!$A$2:$A$36,sales_teams!C$2:C$36)</f>
        <v>Central</v>
      </c>
      <c r="E8586" t="s">
        <v>18</v>
      </c>
      <c r="G8586" t="s">
        <v>8434</v>
      </c>
    </row>
    <row r="8587" spans="1:7" x14ac:dyDescent="0.3">
      <c r="A8587" t="s">
        <v>8719</v>
      </c>
      <c r="B8587" t="s">
        <v>252</v>
      </c>
      <c r="C8587" t="str">
        <f>_xlfn.XLOOKUP(B8587,
[1]sales_teams!$A$2:$A$100,
[1]sales_teams!$B$2:$B$100)</f>
        <v>Melvin Marxen</v>
      </c>
      <c r="D8587" t="str">
        <f>_xlfn.XLOOKUP($B8587,sales_teams!$A$2:$A$36,sales_teams!C$2:C$36)</f>
        <v>Central</v>
      </c>
      <c r="E8587" t="s">
        <v>18</v>
      </c>
      <c r="G8587" t="s">
        <v>8434</v>
      </c>
    </row>
    <row r="8588" spans="1:7" x14ac:dyDescent="0.3">
      <c r="A8588" t="s">
        <v>8720</v>
      </c>
      <c r="B8588" t="s">
        <v>252</v>
      </c>
      <c r="C8588" t="str">
        <f>_xlfn.XLOOKUP(B8588,
[1]sales_teams!$A$2:$A$100,
[1]sales_teams!$B$2:$B$100)</f>
        <v>Melvin Marxen</v>
      </c>
      <c r="D8588" t="str">
        <f>_xlfn.XLOOKUP($B8588,sales_teams!$A$2:$A$36,sales_teams!C$2:C$36)</f>
        <v>Central</v>
      </c>
      <c r="E8588" t="s">
        <v>39</v>
      </c>
      <c r="G8588" t="s">
        <v>8434</v>
      </c>
    </row>
    <row r="8589" spans="1:7" x14ac:dyDescent="0.3">
      <c r="A8589" t="s">
        <v>8721</v>
      </c>
      <c r="B8589" t="s">
        <v>133</v>
      </c>
      <c r="C8589" t="str">
        <f>_xlfn.XLOOKUP(B8589,
[1]sales_teams!$A$2:$A$100,
[1]sales_teams!$B$2:$B$100)</f>
        <v>Dustin Brinkmann</v>
      </c>
      <c r="D8589" t="str">
        <f>_xlfn.XLOOKUP($B8589,sales_teams!$A$2:$A$36,sales_teams!C$2:C$36)</f>
        <v>Central</v>
      </c>
      <c r="E8589" t="s">
        <v>20</v>
      </c>
      <c r="F8589" t="s">
        <v>745</v>
      </c>
      <c r="G8589" t="s">
        <v>8434</v>
      </c>
    </row>
    <row r="8590" spans="1:7" x14ac:dyDescent="0.3">
      <c r="A8590" t="s">
        <v>8722</v>
      </c>
      <c r="B8590" t="s">
        <v>133</v>
      </c>
      <c r="C8590" t="str">
        <f>_xlfn.XLOOKUP(B8590,
[1]sales_teams!$A$2:$A$100,
[1]sales_teams!$B$2:$B$100)</f>
        <v>Dustin Brinkmann</v>
      </c>
      <c r="D8590" t="str">
        <f>_xlfn.XLOOKUP($B8590,sales_teams!$A$2:$A$36,sales_teams!C$2:C$36)</f>
        <v>Central</v>
      </c>
      <c r="E8590" t="s">
        <v>20</v>
      </c>
      <c r="F8590" t="s">
        <v>199</v>
      </c>
      <c r="G8590" t="s">
        <v>8434</v>
      </c>
    </row>
    <row r="8591" spans="1:7" x14ac:dyDescent="0.3">
      <c r="A8591" t="s">
        <v>8723</v>
      </c>
      <c r="B8591" t="s">
        <v>133</v>
      </c>
      <c r="C8591" t="str">
        <f>_xlfn.XLOOKUP(B8591,
[1]sales_teams!$A$2:$A$100,
[1]sales_teams!$B$2:$B$100)</f>
        <v>Dustin Brinkmann</v>
      </c>
      <c r="D8591" t="str">
        <f>_xlfn.XLOOKUP($B8591,sales_teams!$A$2:$A$36,sales_teams!C$2:C$36)</f>
        <v>Central</v>
      </c>
      <c r="E8591" t="s">
        <v>20</v>
      </c>
      <c r="F8591" t="s">
        <v>187</v>
      </c>
      <c r="G8591" t="s">
        <v>8434</v>
      </c>
    </row>
    <row r="8592" spans="1:7" x14ac:dyDescent="0.3">
      <c r="A8592" t="s">
        <v>8724</v>
      </c>
      <c r="B8592" t="s">
        <v>133</v>
      </c>
      <c r="C8592" t="str">
        <f>_xlfn.XLOOKUP(B8592,
[1]sales_teams!$A$2:$A$100,
[1]sales_teams!$B$2:$B$100)</f>
        <v>Dustin Brinkmann</v>
      </c>
      <c r="D8592" t="str">
        <f>_xlfn.XLOOKUP($B8592,sales_teams!$A$2:$A$36,sales_teams!C$2:C$36)</f>
        <v>Central</v>
      </c>
      <c r="E8592" t="s">
        <v>20</v>
      </c>
      <c r="G8592" t="s">
        <v>8434</v>
      </c>
    </row>
    <row r="8593" spans="1:7" x14ac:dyDescent="0.3">
      <c r="A8593" t="s">
        <v>8725</v>
      </c>
      <c r="B8593" t="s">
        <v>133</v>
      </c>
      <c r="C8593" t="str">
        <f>_xlfn.XLOOKUP(B8593,
[1]sales_teams!$A$2:$A$100,
[1]sales_teams!$B$2:$B$100)</f>
        <v>Dustin Brinkmann</v>
      </c>
      <c r="D8593" t="str">
        <f>_xlfn.XLOOKUP($B8593,sales_teams!$A$2:$A$36,sales_teams!C$2:C$36)</f>
        <v>Central</v>
      </c>
      <c r="E8593" t="s">
        <v>20</v>
      </c>
      <c r="G8593" t="s">
        <v>8434</v>
      </c>
    </row>
    <row r="8594" spans="1:7" x14ac:dyDescent="0.3">
      <c r="A8594" t="s">
        <v>8726</v>
      </c>
      <c r="B8594" t="s">
        <v>133</v>
      </c>
      <c r="C8594" t="str">
        <f>_xlfn.XLOOKUP(B8594,
[1]sales_teams!$A$2:$A$100,
[1]sales_teams!$B$2:$B$100)</f>
        <v>Dustin Brinkmann</v>
      </c>
      <c r="D8594" t="str">
        <f>_xlfn.XLOOKUP($B8594,sales_teams!$A$2:$A$36,sales_teams!C$2:C$36)</f>
        <v>Central</v>
      </c>
      <c r="E8594" t="s">
        <v>20</v>
      </c>
      <c r="G8594" t="s">
        <v>8434</v>
      </c>
    </row>
    <row r="8595" spans="1:7" x14ac:dyDescent="0.3">
      <c r="A8595" t="s">
        <v>8727</v>
      </c>
      <c r="B8595" t="s">
        <v>133</v>
      </c>
      <c r="C8595" t="str">
        <f>_xlfn.XLOOKUP(B8595,
[1]sales_teams!$A$2:$A$100,
[1]sales_teams!$B$2:$B$100)</f>
        <v>Dustin Brinkmann</v>
      </c>
      <c r="D8595" t="str">
        <f>_xlfn.XLOOKUP($B8595,sales_teams!$A$2:$A$36,sales_teams!C$2:C$36)</f>
        <v>Central</v>
      </c>
      <c r="E8595" t="s">
        <v>20</v>
      </c>
      <c r="G8595" t="s">
        <v>8434</v>
      </c>
    </row>
    <row r="8596" spans="1:7" x14ac:dyDescent="0.3">
      <c r="A8596" t="s">
        <v>8728</v>
      </c>
      <c r="B8596" t="s">
        <v>133</v>
      </c>
      <c r="C8596" t="str">
        <f>_xlfn.XLOOKUP(B8596,
[1]sales_teams!$A$2:$A$100,
[1]sales_teams!$B$2:$B$100)</f>
        <v>Dustin Brinkmann</v>
      </c>
      <c r="D8596" t="str">
        <f>_xlfn.XLOOKUP($B8596,sales_teams!$A$2:$A$36,sales_teams!C$2:C$36)</f>
        <v>Central</v>
      </c>
      <c r="E8596" t="s">
        <v>20</v>
      </c>
      <c r="G8596" t="s">
        <v>8434</v>
      </c>
    </row>
    <row r="8597" spans="1:7" x14ac:dyDescent="0.3">
      <c r="A8597" t="s">
        <v>8729</v>
      </c>
      <c r="B8597" t="s">
        <v>133</v>
      </c>
      <c r="C8597" t="str">
        <f>_xlfn.XLOOKUP(B8597,
[1]sales_teams!$A$2:$A$100,
[1]sales_teams!$B$2:$B$100)</f>
        <v>Dustin Brinkmann</v>
      </c>
      <c r="D8597" t="str">
        <f>_xlfn.XLOOKUP($B8597,sales_teams!$A$2:$A$36,sales_teams!C$2:C$36)</f>
        <v>Central</v>
      </c>
      <c r="E8597" t="s">
        <v>20</v>
      </c>
      <c r="G8597" t="s">
        <v>8434</v>
      </c>
    </row>
    <row r="8598" spans="1:7" x14ac:dyDescent="0.3">
      <c r="A8598" t="s">
        <v>8730</v>
      </c>
      <c r="B8598" t="s">
        <v>133</v>
      </c>
      <c r="C8598" t="str">
        <f>_xlfn.XLOOKUP(B8598,
[1]sales_teams!$A$2:$A$100,
[1]sales_teams!$B$2:$B$100)</f>
        <v>Dustin Brinkmann</v>
      </c>
      <c r="D8598" t="str">
        <f>_xlfn.XLOOKUP($B8598,sales_teams!$A$2:$A$36,sales_teams!C$2:C$36)</f>
        <v>Central</v>
      </c>
      <c r="E8598" t="s">
        <v>20</v>
      </c>
      <c r="G8598" t="s">
        <v>8434</v>
      </c>
    </row>
    <row r="8599" spans="1:7" x14ac:dyDescent="0.3">
      <c r="A8599" t="s">
        <v>8731</v>
      </c>
      <c r="B8599" t="s">
        <v>133</v>
      </c>
      <c r="C8599" t="str">
        <f>_xlfn.XLOOKUP(B8599,
[1]sales_teams!$A$2:$A$100,
[1]sales_teams!$B$2:$B$100)</f>
        <v>Dustin Brinkmann</v>
      </c>
      <c r="D8599" t="str">
        <f>_xlfn.XLOOKUP($B8599,sales_teams!$A$2:$A$36,sales_teams!C$2:C$36)</f>
        <v>Central</v>
      </c>
      <c r="E8599" t="s">
        <v>20</v>
      </c>
      <c r="G8599" t="s">
        <v>8434</v>
      </c>
    </row>
    <row r="8600" spans="1:7" x14ac:dyDescent="0.3">
      <c r="A8600" t="s">
        <v>8732</v>
      </c>
      <c r="B8600" t="s">
        <v>133</v>
      </c>
      <c r="C8600" t="str">
        <f>_xlfn.XLOOKUP(B8600,
[1]sales_teams!$A$2:$A$100,
[1]sales_teams!$B$2:$B$100)</f>
        <v>Dustin Brinkmann</v>
      </c>
      <c r="D8600" t="str">
        <f>_xlfn.XLOOKUP($B8600,sales_teams!$A$2:$A$36,sales_teams!C$2:C$36)</f>
        <v>Central</v>
      </c>
      <c r="E8600" t="s">
        <v>20</v>
      </c>
      <c r="G8600" t="s">
        <v>8434</v>
      </c>
    </row>
    <row r="8601" spans="1:7" x14ac:dyDescent="0.3">
      <c r="A8601" t="s">
        <v>8733</v>
      </c>
      <c r="B8601" t="s">
        <v>133</v>
      </c>
      <c r="C8601" t="str">
        <f>_xlfn.XLOOKUP(B8601,
[1]sales_teams!$A$2:$A$100,
[1]sales_teams!$B$2:$B$100)</f>
        <v>Dustin Brinkmann</v>
      </c>
      <c r="D8601" t="str">
        <f>_xlfn.XLOOKUP($B8601,sales_teams!$A$2:$A$36,sales_teams!C$2:C$36)</f>
        <v>Central</v>
      </c>
      <c r="E8601" t="s">
        <v>20</v>
      </c>
      <c r="G8601" t="s">
        <v>8434</v>
      </c>
    </row>
    <row r="8602" spans="1:7" x14ac:dyDescent="0.3">
      <c r="A8602" t="s">
        <v>8734</v>
      </c>
      <c r="B8602" t="s">
        <v>133</v>
      </c>
      <c r="C8602" t="str">
        <f>_xlfn.XLOOKUP(B8602,
[1]sales_teams!$A$2:$A$100,
[1]sales_teams!$B$2:$B$100)</f>
        <v>Dustin Brinkmann</v>
      </c>
      <c r="D8602" t="str">
        <f>_xlfn.XLOOKUP($B8602,sales_teams!$A$2:$A$36,sales_teams!C$2:C$36)</f>
        <v>Central</v>
      </c>
      <c r="E8602" t="s">
        <v>20</v>
      </c>
      <c r="G8602" t="s">
        <v>8434</v>
      </c>
    </row>
    <row r="8603" spans="1:7" x14ac:dyDescent="0.3">
      <c r="A8603" t="s">
        <v>8735</v>
      </c>
      <c r="B8603" t="s">
        <v>133</v>
      </c>
      <c r="C8603" t="str">
        <f>_xlfn.XLOOKUP(B8603,
[1]sales_teams!$A$2:$A$100,
[1]sales_teams!$B$2:$B$100)</f>
        <v>Dustin Brinkmann</v>
      </c>
      <c r="D8603" t="str">
        <f>_xlfn.XLOOKUP($B8603,sales_teams!$A$2:$A$36,sales_teams!C$2:C$36)</f>
        <v>Central</v>
      </c>
      <c r="E8603" t="s">
        <v>10</v>
      </c>
      <c r="F8603" t="s">
        <v>174</v>
      </c>
      <c r="G8603" t="s">
        <v>8434</v>
      </c>
    </row>
    <row r="8604" spans="1:7" x14ac:dyDescent="0.3">
      <c r="A8604" t="s">
        <v>8736</v>
      </c>
      <c r="B8604" t="s">
        <v>133</v>
      </c>
      <c r="C8604" t="str">
        <f>_xlfn.XLOOKUP(B8604,
[1]sales_teams!$A$2:$A$100,
[1]sales_teams!$B$2:$B$100)</f>
        <v>Dustin Brinkmann</v>
      </c>
      <c r="D8604" t="str">
        <f>_xlfn.XLOOKUP($B8604,sales_teams!$A$2:$A$36,sales_teams!C$2:C$36)</f>
        <v>Central</v>
      </c>
      <c r="E8604" t="s">
        <v>10</v>
      </c>
      <c r="G8604" t="s">
        <v>8434</v>
      </c>
    </row>
    <row r="8605" spans="1:7" x14ac:dyDescent="0.3">
      <c r="A8605" t="s">
        <v>8737</v>
      </c>
      <c r="B8605" t="s">
        <v>133</v>
      </c>
      <c r="C8605" t="str">
        <f>_xlfn.XLOOKUP(B8605,
[1]sales_teams!$A$2:$A$100,
[1]sales_teams!$B$2:$B$100)</f>
        <v>Dustin Brinkmann</v>
      </c>
      <c r="D8605" t="str">
        <f>_xlfn.XLOOKUP($B8605,sales_teams!$A$2:$A$36,sales_teams!C$2:C$36)</f>
        <v>Central</v>
      </c>
      <c r="E8605" t="s">
        <v>10</v>
      </c>
      <c r="G8605" t="s">
        <v>8434</v>
      </c>
    </row>
    <row r="8606" spans="1:7" x14ac:dyDescent="0.3">
      <c r="A8606" t="s">
        <v>8738</v>
      </c>
      <c r="B8606" t="s">
        <v>133</v>
      </c>
      <c r="C8606" t="str">
        <f>_xlfn.XLOOKUP(B8606,
[1]sales_teams!$A$2:$A$100,
[1]sales_teams!$B$2:$B$100)</f>
        <v>Dustin Brinkmann</v>
      </c>
      <c r="D8606" t="str">
        <f>_xlfn.XLOOKUP($B8606,sales_teams!$A$2:$A$36,sales_teams!C$2:C$36)</f>
        <v>Central</v>
      </c>
      <c r="E8606" t="s">
        <v>10</v>
      </c>
      <c r="G8606" t="s">
        <v>8434</v>
      </c>
    </row>
    <row r="8607" spans="1:7" x14ac:dyDescent="0.3">
      <c r="A8607" t="s">
        <v>8739</v>
      </c>
      <c r="B8607" t="s">
        <v>133</v>
      </c>
      <c r="C8607" t="str">
        <f>_xlfn.XLOOKUP(B8607,
[1]sales_teams!$A$2:$A$100,
[1]sales_teams!$B$2:$B$100)</f>
        <v>Dustin Brinkmann</v>
      </c>
      <c r="D8607" t="str">
        <f>_xlfn.XLOOKUP($B8607,sales_teams!$A$2:$A$36,sales_teams!C$2:C$36)</f>
        <v>Central</v>
      </c>
      <c r="E8607" t="s">
        <v>10</v>
      </c>
      <c r="G8607" t="s">
        <v>8434</v>
      </c>
    </row>
    <row r="8608" spans="1:7" x14ac:dyDescent="0.3">
      <c r="A8608" t="s">
        <v>8740</v>
      </c>
      <c r="B8608" t="s">
        <v>133</v>
      </c>
      <c r="C8608" t="str">
        <f>_xlfn.XLOOKUP(B8608,
[1]sales_teams!$A$2:$A$100,
[1]sales_teams!$B$2:$B$100)</f>
        <v>Dustin Brinkmann</v>
      </c>
      <c r="D8608" t="str">
        <f>_xlfn.XLOOKUP($B8608,sales_teams!$A$2:$A$36,sales_teams!C$2:C$36)</f>
        <v>Central</v>
      </c>
      <c r="E8608" t="s">
        <v>10</v>
      </c>
      <c r="G8608" t="s">
        <v>8434</v>
      </c>
    </row>
    <row r="8609" spans="1:7" x14ac:dyDescent="0.3">
      <c r="A8609" t="s">
        <v>8741</v>
      </c>
      <c r="B8609" t="s">
        <v>133</v>
      </c>
      <c r="C8609" t="str">
        <f>_xlfn.XLOOKUP(B8609,
[1]sales_teams!$A$2:$A$100,
[1]sales_teams!$B$2:$B$100)</f>
        <v>Dustin Brinkmann</v>
      </c>
      <c r="D8609" t="str">
        <f>_xlfn.XLOOKUP($B8609,sales_teams!$A$2:$A$36,sales_teams!C$2:C$36)</f>
        <v>Central</v>
      </c>
      <c r="E8609" t="s">
        <v>48</v>
      </c>
      <c r="G8609" t="s">
        <v>8434</v>
      </c>
    </row>
    <row r="8610" spans="1:7" x14ac:dyDescent="0.3">
      <c r="A8610" t="s">
        <v>8742</v>
      </c>
      <c r="B8610" t="s">
        <v>133</v>
      </c>
      <c r="C8610" t="str">
        <f>_xlfn.XLOOKUP(B8610,
[1]sales_teams!$A$2:$A$100,
[1]sales_teams!$B$2:$B$100)</f>
        <v>Dustin Brinkmann</v>
      </c>
      <c r="D8610" t="str">
        <f>_xlfn.XLOOKUP($B8610,sales_teams!$A$2:$A$36,sales_teams!C$2:C$36)</f>
        <v>Central</v>
      </c>
      <c r="E8610" t="s">
        <v>18</v>
      </c>
      <c r="F8610" t="s">
        <v>165</v>
      </c>
      <c r="G8610" t="s">
        <v>8434</v>
      </c>
    </row>
    <row r="8611" spans="1:7" x14ac:dyDescent="0.3">
      <c r="A8611" t="s">
        <v>8743</v>
      </c>
      <c r="B8611" t="s">
        <v>133</v>
      </c>
      <c r="C8611" t="str">
        <f>_xlfn.XLOOKUP(B8611,
[1]sales_teams!$A$2:$A$100,
[1]sales_teams!$B$2:$B$100)</f>
        <v>Dustin Brinkmann</v>
      </c>
      <c r="D8611" t="str">
        <f>_xlfn.XLOOKUP($B8611,sales_teams!$A$2:$A$36,sales_teams!C$2:C$36)</f>
        <v>Central</v>
      </c>
      <c r="E8611" t="s">
        <v>18</v>
      </c>
      <c r="F8611" t="s">
        <v>21</v>
      </c>
      <c r="G8611" t="s">
        <v>8434</v>
      </c>
    </row>
    <row r="8612" spans="1:7" x14ac:dyDescent="0.3">
      <c r="A8612" t="s">
        <v>8744</v>
      </c>
      <c r="B8612" t="s">
        <v>133</v>
      </c>
      <c r="C8612" t="str">
        <f>_xlfn.XLOOKUP(B8612,
[1]sales_teams!$A$2:$A$100,
[1]sales_teams!$B$2:$B$100)</f>
        <v>Dustin Brinkmann</v>
      </c>
      <c r="D8612" t="str">
        <f>_xlfn.XLOOKUP($B8612,sales_teams!$A$2:$A$36,sales_teams!C$2:C$36)</f>
        <v>Central</v>
      </c>
      <c r="E8612" t="s">
        <v>18</v>
      </c>
      <c r="G8612" t="s">
        <v>8434</v>
      </c>
    </row>
    <row r="8613" spans="1:7" x14ac:dyDescent="0.3">
      <c r="A8613" t="s">
        <v>8745</v>
      </c>
      <c r="B8613" t="s">
        <v>133</v>
      </c>
      <c r="C8613" t="str">
        <f>_xlfn.XLOOKUP(B8613,
[1]sales_teams!$A$2:$A$100,
[1]sales_teams!$B$2:$B$100)</f>
        <v>Dustin Brinkmann</v>
      </c>
      <c r="D8613" t="str">
        <f>_xlfn.XLOOKUP($B8613,sales_teams!$A$2:$A$36,sales_teams!C$2:C$36)</f>
        <v>Central</v>
      </c>
      <c r="E8613" t="s">
        <v>18</v>
      </c>
      <c r="G8613" t="s">
        <v>8434</v>
      </c>
    </row>
    <row r="8614" spans="1:7" x14ac:dyDescent="0.3">
      <c r="A8614" t="s">
        <v>8746</v>
      </c>
      <c r="B8614" t="s">
        <v>133</v>
      </c>
      <c r="C8614" t="str">
        <f>_xlfn.XLOOKUP(B8614,
[1]sales_teams!$A$2:$A$100,
[1]sales_teams!$B$2:$B$100)</f>
        <v>Dustin Brinkmann</v>
      </c>
      <c r="D8614" t="str">
        <f>_xlfn.XLOOKUP($B8614,sales_teams!$A$2:$A$36,sales_teams!C$2:C$36)</f>
        <v>Central</v>
      </c>
      <c r="E8614" t="s">
        <v>18</v>
      </c>
      <c r="G8614" t="s">
        <v>8434</v>
      </c>
    </row>
    <row r="8615" spans="1:7" x14ac:dyDescent="0.3">
      <c r="A8615" t="s">
        <v>8747</v>
      </c>
      <c r="B8615" t="s">
        <v>133</v>
      </c>
      <c r="C8615" t="str">
        <f>_xlfn.XLOOKUP(B8615,
[1]sales_teams!$A$2:$A$100,
[1]sales_teams!$B$2:$B$100)</f>
        <v>Dustin Brinkmann</v>
      </c>
      <c r="D8615" t="str">
        <f>_xlfn.XLOOKUP($B8615,sales_teams!$A$2:$A$36,sales_teams!C$2:C$36)</f>
        <v>Central</v>
      </c>
      <c r="E8615" t="s">
        <v>18</v>
      </c>
      <c r="G8615" t="s">
        <v>8434</v>
      </c>
    </row>
    <row r="8616" spans="1:7" x14ac:dyDescent="0.3">
      <c r="A8616" t="s">
        <v>8748</v>
      </c>
      <c r="B8616" t="s">
        <v>133</v>
      </c>
      <c r="C8616" t="str">
        <f>_xlfn.XLOOKUP(B8616,
[1]sales_teams!$A$2:$A$100,
[1]sales_teams!$B$2:$B$100)</f>
        <v>Dustin Brinkmann</v>
      </c>
      <c r="D8616" t="str">
        <f>_xlfn.XLOOKUP($B8616,sales_teams!$A$2:$A$36,sales_teams!C$2:C$36)</f>
        <v>Central</v>
      </c>
      <c r="E8616" t="s">
        <v>18</v>
      </c>
      <c r="G8616" t="s">
        <v>8434</v>
      </c>
    </row>
    <row r="8617" spans="1:7" x14ac:dyDescent="0.3">
      <c r="A8617" t="s">
        <v>8749</v>
      </c>
      <c r="B8617" t="s">
        <v>133</v>
      </c>
      <c r="C8617" t="str">
        <f>_xlfn.XLOOKUP(B8617,
[1]sales_teams!$A$2:$A$100,
[1]sales_teams!$B$2:$B$100)</f>
        <v>Dustin Brinkmann</v>
      </c>
      <c r="D8617" t="str">
        <f>_xlfn.XLOOKUP($B8617,sales_teams!$A$2:$A$36,sales_teams!C$2:C$36)</f>
        <v>Central</v>
      </c>
      <c r="E8617" t="s">
        <v>18</v>
      </c>
      <c r="G8617" t="s">
        <v>8434</v>
      </c>
    </row>
    <row r="8618" spans="1:7" x14ac:dyDescent="0.3">
      <c r="A8618" t="s">
        <v>8750</v>
      </c>
      <c r="B8618" t="s">
        <v>133</v>
      </c>
      <c r="C8618" t="str">
        <f>_xlfn.XLOOKUP(B8618,
[1]sales_teams!$A$2:$A$100,
[1]sales_teams!$B$2:$B$100)</f>
        <v>Dustin Brinkmann</v>
      </c>
      <c r="D8618" t="str">
        <f>_xlfn.XLOOKUP($B8618,sales_teams!$A$2:$A$36,sales_teams!C$2:C$36)</f>
        <v>Central</v>
      </c>
      <c r="E8618" t="s">
        <v>39</v>
      </c>
      <c r="F8618" t="s">
        <v>55</v>
      </c>
      <c r="G8618" t="s">
        <v>8434</v>
      </c>
    </row>
    <row r="8619" spans="1:7" x14ac:dyDescent="0.3">
      <c r="A8619" t="s">
        <v>8751</v>
      </c>
      <c r="B8619" t="s">
        <v>133</v>
      </c>
      <c r="C8619" t="str">
        <f>_xlfn.XLOOKUP(B8619,
[1]sales_teams!$A$2:$A$100,
[1]sales_teams!$B$2:$B$100)</f>
        <v>Dustin Brinkmann</v>
      </c>
      <c r="D8619" t="str">
        <f>_xlfn.XLOOKUP($B8619,sales_teams!$A$2:$A$36,sales_teams!C$2:C$36)</f>
        <v>Central</v>
      </c>
      <c r="E8619" t="s">
        <v>39</v>
      </c>
      <c r="F8619" t="s">
        <v>179</v>
      </c>
      <c r="G8619" t="s">
        <v>8434</v>
      </c>
    </row>
    <row r="8620" spans="1:7" x14ac:dyDescent="0.3">
      <c r="A8620" t="s">
        <v>8752</v>
      </c>
      <c r="B8620" t="s">
        <v>133</v>
      </c>
      <c r="C8620" t="str">
        <f>_xlfn.XLOOKUP(B8620,
[1]sales_teams!$A$2:$A$100,
[1]sales_teams!$B$2:$B$100)</f>
        <v>Dustin Brinkmann</v>
      </c>
      <c r="D8620" t="str">
        <f>_xlfn.XLOOKUP($B8620,sales_teams!$A$2:$A$36,sales_teams!C$2:C$36)</f>
        <v>Central</v>
      </c>
      <c r="E8620" t="s">
        <v>39</v>
      </c>
      <c r="F8620" t="s">
        <v>151</v>
      </c>
      <c r="G8620" t="s">
        <v>8434</v>
      </c>
    </row>
    <row r="8621" spans="1:7" x14ac:dyDescent="0.3">
      <c r="A8621" t="s">
        <v>8753</v>
      </c>
      <c r="B8621" t="s">
        <v>133</v>
      </c>
      <c r="C8621" t="str">
        <f>_xlfn.XLOOKUP(B8621,
[1]sales_teams!$A$2:$A$100,
[1]sales_teams!$B$2:$B$100)</f>
        <v>Dustin Brinkmann</v>
      </c>
      <c r="D8621" t="str">
        <f>_xlfn.XLOOKUP($B8621,sales_teams!$A$2:$A$36,sales_teams!C$2:C$36)</f>
        <v>Central</v>
      </c>
      <c r="E8621" t="s">
        <v>39</v>
      </c>
      <c r="G8621" t="s">
        <v>8434</v>
      </c>
    </row>
    <row r="8622" spans="1:7" x14ac:dyDescent="0.3">
      <c r="A8622" t="s">
        <v>8754</v>
      </c>
      <c r="B8622" t="s">
        <v>133</v>
      </c>
      <c r="C8622" t="str">
        <f>_xlfn.XLOOKUP(B8622,
[1]sales_teams!$A$2:$A$100,
[1]sales_teams!$B$2:$B$100)</f>
        <v>Dustin Brinkmann</v>
      </c>
      <c r="D8622" t="str">
        <f>_xlfn.XLOOKUP($B8622,sales_teams!$A$2:$A$36,sales_teams!C$2:C$36)</f>
        <v>Central</v>
      </c>
      <c r="E8622" t="s">
        <v>39</v>
      </c>
      <c r="G8622" t="s">
        <v>8434</v>
      </c>
    </row>
    <row r="8623" spans="1:7" x14ac:dyDescent="0.3">
      <c r="A8623" t="s">
        <v>8755</v>
      </c>
      <c r="B8623" t="s">
        <v>133</v>
      </c>
      <c r="C8623" t="str">
        <f>_xlfn.XLOOKUP(B8623,
[1]sales_teams!$A$2:$A$100,
[1]sales_teams!$B$2:$B$100)</f>
        <v>Dustin Brinkmann</v>
      </c>
      <c r="D8623" t="str">
        <f>_xlfn.XLOOKUP($B8623,sales_teams!$A$2:$A$36,sales_teams!C$2:C$36)</f>
        <v>Central</v>
      </c>
      <c r="E8623" t="s">
        <v>39</v>
      </c>
      <c r="G8623" t="s">
        <v>8434</v>
      </c>
    </row>
    <row r="8624" spans="1:7" x14ac:dyDescent="0.3">
      <c r="A8624" t="s">
        <v>8756</v>
      </c>
      <c r="B8624" t="s">
        <v>133</v>
      </c>
      <c r="C8624" t="str">
        <f>_xlfn.XLOOKUP(B8624,
[1]sales_teams!$A$2:$A$100,
[1]sales_teams!$B$2:$B$100)</f>
        <v>Dustin Brinkmann</v>
      </c>
      <c r="D8624" t="str">
        <f>_xlfn.XLOOKUP($B8624,sales_teams!$A$2:$A$36,sales_teams!C$2:C$36)</f>
        <v>Central</v>
      </c>
      <c r="E8624" t="s">
        <v>39</v>
      </c>
      <c r="G8624" t="s">
        <v>8434</v>
      </c>
    </row>
    <row r="8625" spans="1:7" x14ac:dyDescent="0.3">
      <c r="A8625" t="s">
        <v>8757</v>
      </c>
      <c r="B8625" t="s">
        <v>133</v>
      </c>
      <c r="C8625" t="str">
        <f>_xlfn.XLOOKUP(B8625,
[1]sales_teams!$A$2:$A$100,
[1]sales_teams!$B$2:$B$100)</f>
        <v>Dustin Brinkmann</v>
      </c>
      <c r="D8625" t="str">
        <f>_xlfn.XLOOKUP($B8625,sales_teams!$A$2:$A$36,sales_teams!C$2:C$36)</f>
        <v>Central</v>
      </c>
      <c r="E8625" t="s">
        <v>39</v>
      </c>
      <c r="G8625" t="s">
        <v>8434</v>
      </c>
    </row>
    <row r="8626" spans="1:7" x14ac:dyDescent="0.3">
      <c r="A8626" t="s">
        <v>8758</v>
      </c>
      <c r="B8626" t="s">
        <v>133</v>
      </c>
      <c r="C8626" t="str">
        <f>_xlfn.XLOOKUP(B8626,
[1]sales_teams!$A$2:$A$100,
[1]sales_teams!$B$2:$B$100)</f>
        <v>Dustin Brinkmann</v>
      </c>
      <c r="D8626" t="str">
        <f>_xlfn.XLOOKUP($B8626,sales_teams!$A$2:$A$36,sales_teams!C$2:C$36)</f>
        <v>Central</v>
      </c>
      <c r="E8626" t="s">
        <v>39</v>
      </c>
      <c r="G8626" t="s">
        <v>8434</v>
      </c>
    </row>
    <row r="8627" spans="1:7" x14ac:dyDescent="0.3">
      <c r="A8627" t="s">
        <v>8759</v>
      </c>
      <c r="B8627" t="s">
        <v>133</v>
      </c>
      <c r="C8627" t="str">
        <f>_xlfn.XLOOKUP(B8627,
[1]sales_teams!$A$2:$A$100,
[1]sales_teams!$B$2:$B$100)</f>
        <v>Dustin Brinkmann</v>
      </c>
      <c r="D8627" t="str">
        <f>_xlfn.XLOOKUP($B8627,sales_teams!$A$2:$A$36,sales_teams!C$2:C$36)</f>
        <v>Central</v>
      </c>
      <c r="E8627" t="s">
        <v>39</v>
      </c>
      <c r="G8627" t="s">
        <v>8434</v>
      </c>
    </row>
    <row r="8628" spans="1:7" x14ac:dyDescent="0.3">
      <c r="A8628" t="s">
        <v>8760</v>
      </c>
      <c r="B8628" t="s">
        <v>133</v>
      </c>
      <c r="C8628" t="str">
        <f>_xlfn.XLOOKUP(B8628,
[1]sales_teams!$A$2:$A$100,
[1]sales_teams!$B$2:$B$100)</f>
        <v>Dustin Brinkmann</v>
      </c>
      <c r="D8628" t="str">
        <f>_xlfn.XLOOKUP($B8628,sales_teams!$A$2:$A$36,sales_teams!C$2:C$36)</f>
        <v>Central</v>
      </c>
      <c r="E8628" t="s">
        <v>39</v>
      </c>
      <c r="G8628" t="s">
        <v>8434</v>
      </c>
    </row>
    <row r="8629" spans="1:7" x14ac:dyDescent="0.3">
      <c r="A8629" t="s">
        <v>8761</v>
      </c>
      <c r="B8629" t="s">
        <v>116</v>
      </c>
      <c r="C8629" t="str">
        <f>_xlfn.XLOOKUP(B8629,
[1]sales_teams!$A$2:$A$100,
[1]sales_teams!$B$2:$B$100)</f>
        <v>Melvin Marxen</v>
      </c>
      <c r="D8629" t="str">
        <f>_xlfn.XLOOKUP($B8629,sales_teams!$A$2:$A$36,sales_teams!C$2:C$36)</f>
        <v>Central</v>
      </c>
      <c r="E8629" t="s">
        <v>20</v>
      </c>
      <c r="F8629" t="s">
        <v>124</v>
      </c>
      <c r="G8629" t="s">
        <v>8434</v>
      </c>
    </row>
    <row r="8630" spans="1:7" x14ac:dyDescent="0.3">
      <c r="A8630" t="s">
        <v>8762</v>
      </c>
      <c r="B8630" t="s">
        <v>116</v>
      </c>
      <c r="C8630" t="str">
        <f>_xlfn.XLOOKUP(B8630,
[1]sales_teams!$A$2:$A$100,
[1]sales_teams!$B$2:$B$100)</f>
        <v>Melvin Marxen</v>
      </c>
      <c r="D8630" t="str">
        <f>_xlfn.XLOOKUP($B8630,sales_teams!$A$2:$A$36,sales_teams!C$2:C$36)</f>
        <v>Central</v>
      </c>
      <c r="E8630" t="s">
        <v>20</v>
      </c>
      <c r="F8630" t="s">
        <v>111</v>
      </c>
      <c r="G8630" t="s">
        <v>8434</v>
      </c>
    </row>
    <row r="8631" spans="1:7" x14ac:dyDescent="0.3">
      <c r="A8631" t="s">
        <v>8763</v>
      </c>
      <c r="B8631" t="s">
        <v>116</v>
      </c>
      <c r="C8631" t="str">
        <f>_xlfn.XLOOKUP(B8631,
[1]sales_teams!$A$2:$A$100,
[1]sales_teams!$B$2:$B$100)</f>
        <v>Melvin Marxen</v>
      </c>
      <c r="D8631" t="str">
        <f>_xlfn.XLOOKUP($B8631,sales_teams!$A$2:$A$36,sales_teams!C$2:C$36)</f>
        <v>Central</v>
      </c>
      <c r="E8631" t="s">
        <v>20</v>
      </c>
      <c r="F8631" t="s">
        <v>65</v>
      </c>
      <c r="G8631" t="s">
        <v>8434</v>
      </c>
    </row>
    <row r="8632" spans="1:7" x14ac:dyDescent="0.3">
      <c r="A8632" t="s">
        <v>8764</v>
      </c>
      <c r="B8632" t="s">
        <v>116</v>
      </c>
      <c r="C8632" t="str">
        <f>_xlfn.XLOOKUP(B8632,
[1]sales_teams!$A$2:$A$100,
[1]sales_teams!$B$2:$B$100)</f>
        <v>Melvin Marxen</v>
      </c>
      <c r="D8632" t="str">
        <f>_xlfn.XLOOKUP($B8632,sales_teams!$A$2:$A$36,sales_teams!C$2:C$36)</f>
        <v>Central</v>
      </c>
      <c r="E8632" t="s">
        <v>20</v>
      </c>
      <c r="G8632" t="s">
        <v>8434</v>
      </c>
    </row>
    <row r="8633" spans="1:7" x14ac:dyDescent="0.3">
      <c r="A8633" t="s">
        <v>8765</v>
      </c>
      <c r="B8633" t="s">
        <v>116</v>
      </c>
      <c r="C8633" t="str">
        <f>_xlfn.XLOOKUP(B8633,
[1]sales_teams!$A$2:$A$100,
[1]sales_teams!$B$2:$B$100)</f>
        <v>Melvin Marxen</v>
      </c>
      <c r="D8633" t="str">
        <f>_xlfn.XLOOKUP($B8633,sales_teams!$A$2:$A$36,sales_teams!C$2:C$36)</f>
        <v>Central</v>
      </c>
      <c r="E8633" t="s">
        <v>20</v>
      </c>
      <c r="G8633" t="s">
        <v>8434</v>
      </c>
    </row>
    <row r="8634" spans="1:7" x14ac:dyDescent="0.3">
      <c r="A8634" t="s">
        <v>8766</v>
      </c>
      <c r="B8634" t="s">
        <v>116</v>
      </c>
      <c r="C8634" t="str">
        <f>_xlfn.XLOOKUP(B8634,
[1]sales_teams!$A$2:$A$100,
[1]sales_teams!$B$2:$B$100)</f>
        <v>Melvin Marxen</v>
      </c>
      <c r="D8634" t="str">
        <f>_xlfn.XLOOKUP($B8634,sales_teams!$A$2:$A$36,sales_teams!C$2:C$36)</f>
        <v>Central</v>
      </c>
      <c r="E8634" t="s">
        <v>20</v>
      </c>
      <c r="G8634" t="s">
        <v>8434</v>
      </c>
    </row>
    <row r="8635" spans="1:7" x14ac:dyDescent="0.3">
      <c r="A8635" t="s">
        <v>8767</v>
      </c>
      <c r="B8635" t="s">
        <v>116</v>
      </c>
      <c r="C8635" t="str">
        <f>_xlfn.XLOOKUP(B8635,
[1]sales_teams!$A$2:$A$100,
[1]sales_teams!$B$2:$B$100)</f>
        <v>Melvin Marxen</v>
      </c>
      <c r="D8635" t="str">
        <f>_xlfn.XLOOKUP($B8635,sales_teams!$A$2:$A$36,sales_teams!C$2:C$36)</f>
        <v>Central</v>
      </c>
      <c r="E8635" t="s">
        <v>20</v>
      </c>
      <c r="G8635" t="s">
        <v>8434</v>
      </c>
    </row>
    <row r="8636" spans="1:7" x14ac:dyDescent="0.3">
      <c r="A8636" t="s">
        <v>8768</v>
      </c>
      <c r="B8636" t="s">
        <v>116</v>
      </c>
      <c r="C8636" t="str">
        <f>_xlfn.XLOOKUP(B8636,
[1]sales_teams!$A$2:$A$100,
[1]sales_teams!$B$2:$B$100)</f>
        <v>Melvin Marxen</v>
      </c>
      <c r="D8636" t="str">
        <f>_xlfn.XLOOKUP($B8636,sales_teams!$A$2:$A$36,sales_teams!C$2:C$36)</f>
        <v>Central</v>
      </c>
      <c r="E8636" t="s">
        <v>20</v>
      </c>
      <c r="G8636" t="s">
        <v>8434</v>
      </c>
    </row>
    <row r="8637" spans="1:7" x14ac:dyDescent="0.3">
      <c r="A8637" t="s">
        <v>8769</v>
      </c>
      <c r="B8637" t="s">
        <v>116</v>
      </c>
      <c r="C8637" t="str">
        <f>_xlfn.XLOOKUP(B8637,
[1]sales_teams!$A$2:$A$100,
[1]sales_teams!$B$2:$B$100)</f>
        <v>Melvin Marxen</v>
      </c>
      <c r="D8637" t="str">
        <f>_xlfn.XLOOKUP($B8637,sales_teams!$A$2:$A$36,sales_teams!C$2:C$36)</f>
        <v>Central</v>
      </c>
      <c r="E8637" t="s">
        <v>20</v>
      </c>
      <c r="G8637" t="s">
        <v>8434</v>
      </c>
    </row>
    <row r="8638" spans="1:7" x14ac:dyDescent="0.3">
      <c r="A8638" t="s">
        <v>8770</v>
      </c>
      <c r="B8638" t="s">
        <v>116</v>
      </c>
      <c r="C8638" t="str">
        <f>_xlfn.XLOOKUP(B8638,
[1]sales_teams!$A$2:$A$100,
[1]sales_teams!$B$2:$B$100)</f>
        <v>Melvin Marxen</v>
      </c>
      <c r="D8638" t="str">
        <f>_xlfn.XLOOKUP($B8638,sales_teams!$A$2:$A$36,sales_teams!C$2:C$36)</f>
        <v>Central</v>
      </c>
      <c r="E8638" t="s">
        <v>10</v>
      </c>
      <c r="F8638" t="s">
        <v>204</v>
      </c>
      <c r="G8638" t="s">
        <v>8434</v>
      </c>
    </row>
    <row r="8639" spans="1:7" x14ac:dyDescent="0.3">
      <c r="A8639" t="s">
        <v>8771</v>
      </c>
      <c r="B8639" t="s">
        <v>116</v>
      </c>
      <c r="C8639" t="str">
        <f>_xlfn.XLOOKUP(B8639,
[1]sales_teams!$A$2:$A$100,
[1]sales_teams!$B$2:$B$100)</f>
        <v>Melvin Marxen</v>
      </c>
      <c r="D8639" t="str">
        <f>_xlfn.XLOOKUP($B8639,sales_teams!$A$2:$A$36,sales_teams!C$2:C$36)</f>
        <v>Central</v>
      </c>
      <c r="E8639" t="s">
        <v>10</v>
      </c>
      <c r="F8639" t="s">
        <v>209</v>
      </c>
      <c r="G8639" t="s">
        <v>8434</v>
      </c>
    </row>
    <row r="8640" spans="1:7" x14ac:dyDescent="0.3">
      <c r="A8640" t="s">
        <v>8772</v>
      </c>
      <c r="B8640" t="s">
        <v>116</v>
      </c>
      <c r="C8640" t="str">
        <f>_xlfn.XLOOKUP(B8640,
[1]sales_teams!$A$2:$A$100,
[1]sales_teams!$B$2:$B$100)</f>
        <v>Melvin Marxen</v>
      </c>
      <c r="D8640" t="str">
        <f>_xlfn.XLOOKUP($B8640,sales_teams!$A$2:$A$36,sales_teams!C$2:C$36)</f>
        <v>Central</v>
      </c>
      <c r="E8640" t="s">
        <v>10</v>
      </c>
      <c r="F8640" t="s">
        <v>215</v>
      </c>
      <c r="G8640" t="s">
        <v>8434</v>
      </c>
    </row>
    <row r="8641" spans="1:7" x14ac:dyDescent="0.3">
      <c r="A8641" t="s">
        <v>8773</v>
      </c>
      <c r="B8641" t="s">
        <v>116</v>
      </c>
      <c r="C8641" t="str">
        <f>_xlfn.XLOOKUP(B8641,
[1]sales_teams!$A$2:$A$100,
[1]sales_teams!$B$2:$B$100)</f>
        <v>Melvin Marxen</v>
      </c>
      <c r="D8641" t="str">
        <f>_xlfn.XLOOKUP($B8641,sales_teams!$A$2:$A$36,sales_teams!C$2:C$36)</f>
        <v>Central</v>
      </c>
      <c r="E8641" t="s">
        <v>10</v>
      </c>
      <c r="F8641" t="s">
        <v>143</v>
      </c>
      <c r="G8641" t="s">
        <v>8434</v>
      </c>
    </row>
    <row r="8642" spans="1:7" x14ac:dyDescent="0.3">
      <c r="A8642" t="s">
        <v>8774</v>
      </c>
      <c r="B8642" t="s">
        <v>116</v>
      </c>
      <c r="C8642" t="str">
        <f>_xlfn.XLOOKUP(B8642,
[1]sales_teams!$A$2:$A$100,
[1]sales_teams!$B$2:$B$100)</f>
        <v>Melvin Marxen</v>
      </c>
      <c r="D8642" t="str">
        <f>_xlfn.XLOOKUP($B8642,sales_teams!$A$2:$A$36,sales_teams!C$2:C$36)</f>
        <v>Central</v>
      </c>
      <c r="E8642" t="s">
        <v>10</v>
      </c>
      <c r="F8642" t="s">
        <v>170</v>
      </c>
      <c r="G8642" t="s">
        <v>8434</v>
      </c>
    </row>
    <row r="8643" spans="1:7" x14ac:dyDescent="0.3">
      <c r="A8643" t="s">
        <v>8775</v>
      </c>
      <c r="B8643" t="s">
        <v>116</v>
      </c>
      <c r="C8643" t="str">
        <f>_xlfn.XLOOKUP(B8643,
[1]sales_teams!$A$2:$A$100,
[1]sales_teams!$B$2:$B$100)</f>
        <v>Melvin Marxen</v>
      </c>
      <c r="D8643" t="str">
        <f>_xlfn.XLOOKUP($B8643,sales_teams!$A$2:$A$36,sales_teams!C$2:C$36)</f>
        <v>Central</v>
      </c>
      <c r="E8643" t="s">
        <v>10</v>
      </c>
      <c r="F8643" t="s">
        <v>36</v>
      </c>
      <c r="G8643" t="s">
        <v>8434</v>
      </c>
    </row>
    <row r="8644" spans="1:7" x14ac:dyDescent="0.3">
      <c r="A8644" t="s">
        <v>8776</v>
      </c>
      <c r="B8644" t="s">
        <v>116</v>
      </c>
      <c r="C8644" t="str">
        <f>_xlfn.XLOOKUP(B8644,
[1]sales_teams!$A$2:$A$100,
[1]sales_teams!$B$2:$B$100)</f>
        <v>Melvin Marxen</v>
      </c>
      <c r="D8644" t="str">
        <f>_xlfn.XLOOKUP($B8644,sales_teams!$A$2:$A$36,sales_teams!C$2:C$36)</f>
        <v>Central</v>
      </c>
      <c r="E8644" t="s">
        <v>10</v>
      </c>
      <c r="G8644" t="s">
        <v>8434</v>
      </c>
    </row>
    <row r="8645" spans="1:7" x14ac:dyDescent="0.3">
      <c r="A8645" t="s">
        <v>8777</v>
      </c>
      <c r="B8645" t="s">
        <v>116</v>
      </c>
      <c r="C8645" t="str">
        <f>_xlfn.XLOOKUP(B8645,
[1]sales_teams!$A$2:$A$100,
[1]sales_teams!$B$2:$B$100)</f>
        <v>Melvin Marxen</v>
      </c>
      <c r="D8645" t="str">
        <f>_xlfn.XLOOKUP($B8645,sales_teams!$A$2:$A$36,sales_teams!C$2:C$36)</f>
        <v>Central</v>
      </c>
      <c r="E8645" t="s">
        <v>10</v>
      </c>
      <c r="G8645" t="s">
        <v>8434</v>
      </c>
    </row>
    <row r="8646" spans="1:7" x14ac:dyDescent="0.3">
      <c r="A8646" t="s">
        <v>8778</v>
      </c>
      <c r="B8646" t="s">
        <v>116</v>
      </c>
      <c r="C8646" t="str">
        <f>_xlfn.XLOOKUP(B8646,
[1]sales_teams!$A$2:$A$100,
[1]sales_teams!$B$2:$B$100)</f>
        <v>Melvin Marxen</v>
      </c>
      <c r="D8646" t="str">
        <f>_xlfn.XLOOKUP($B8646,sales_teams!$A$2:$A$36,sales_teams!C$2:C$36)</f>
        <v>Central</v>
      </c>
      <c r="E8646" t="s">
        <v>10</v>
      </c>
      <c r="G8646" t="s">
        <v>8434</v>
      </c>
    </row>
    <row r="8647" spans="1:7" x14ac:dyDescent="0.3">
      <c r="A8647" t="s">
        <v>8779</v>
      </c>
      <c r="B8647" t="s">
        <v>116</v>
      </c>
      <c r="C8647" t="str">
        <f>_xlfn.XLOOKUP(B8647,
[1]sales_teams!$A$2:$A$100,
[1]sales_teams!$B$2:$B$100)</f>
        <v>Melvin Marxen</v>
      </c>
      <c r="D8647" t="str">
        <f>_xlfn.XLOOKUP($B8647,sales_teams!$A$2:$A$36,sales_teams!C$2:C$36)</f>
        <v>Central</v>
      </c>
      <c r="E8647" t="s">
        <v>10</v>
      </c>
      <c r="G8647" t="s">
        <v>8434</v>
      </c>
    </row>
    <row r="8648" spans="1:7" x14ac:dyDescent="0.3">
      <c r="A8648" t="s">
        <v>8780</v>
      </c>
      <c r="B8648" t="s">
        <v>116</v>
      </c>
      <c r="C8648" t="str">
        <f>_xlfn.XLOOKUP(B8648,
[1]sales_teams!$A$2:$A$100,
[1]sales_teams!$B$2:$B$100)</f>
        <v>Melvin Marxen</v>
      </c>
      <c r="D8648" t="str">
        <f>_xlfn.XLOOKUP($B8648,sales_teams!$A$2:$A$36,sales_teams!C$2:C$36)</f>
        <v>Central</v>
      </c>
      <c r="E8648" t="s">
        <v>10</v>
      </c>
      <c r="G8648" t="s">
        <v>8434</v>
      </c>
    </row>
    <row r="8649" spans="1:7" x14ac:dyDescent="0.3">
      <c r="A8649" t="s">
        <v>8781</v>
      </c>
      <c r="B8649" t="s">
        <v>116</v>
      </c>
      <c r="C8649" t="str">
        <f>_xlfn.XLOOKUP(B8649,
[1]sales_teams!$A$2:$A$100,
[1]sales_teams!$B$2:$B$100)</f>
        <v>Melvin Marxen</v>
      </c>
      <c r="D8649" t="str">
        <f>_xlfn.XLOOKUP($B8649,sales_teams!$A$2:$A$36,sales_teams!C$2:C$36)</f>
        <v>Central</v>
      </c>
      <c r="E8649" t="s">
        <v>10</v>
      </c>
      <c r="G8649" t="s">
        <v>8434</v>
      </c>
    </row>
    <row r="8650" spans="1:7" x14ac:dyDescent="0.3">
      <c r="A8650" t="s">
        <v>8782</v>
      </c>
      <c r="B8650" t="s">
        <v>116</v>
      </c>
      <c r="C8650" t="str">
        <f>_xlfn.XLOOKUP(B8650,
[1]sales_teams!$A$2:$A$100,
[1]sales_teams!$B$2:$B$100)</f>
        <v>Melvin Marxen</v>
      </c>
      <c r="D8650" t="str">
        <f>_xlfn.XLOOKUP($B8650,sales_teams!$A$2:$A$36,sales_teams!C$2:C$36)</f>
        <v>Central</v>
      </c>
      <c r="E8650" t="s">
        <v>10</v>
      </c>
      <c r="G8650" t="s">
        <v>8434</v>
      </c>
    </row>
    <row r="8651" spans="1:7" x14ac:dyDescent="0.3">
      <c r="A8651" t="s">
        <v>8783</v>
      </c>
      <c r="B8651" t="s">
        <v>116</v>
      </c>
      <c r="C8651" t="str">
        <f>_xlfn.XLOOKUP(B8651,
[1]sales_teams!$A$2:$A$100,
[1]sales_teams!$B$2:$B$100)</f>
        <v>Melvin Marxen</v>
      </c>
      <c r="D8651" t="str">
        <f>_xlfn.XLOOKUP($B8651,sales_teams!$A$2:$A$36,sales_teams!C$2:C$36)</f>
        <v>Central</v>
      </c>
      <c r="E8651" t="s">
        <v>10</v>
      </c>
      <c r="G8651" t="s">
        <v>8434</v>
      </c>
    </row>
    <row r="8652" spans="1:7" x14ac:dyDescent="0.3">
      <c r="A8652" t="s">
        <v>8784</v>
      </c>
      <c r="B8652" t="s">
        <v>116</v>
      </c>
      <c r="C8652" t="str">
        <f>_xlfn.XLOOKUP(B8652,
[1]sales_teams!$A$2:$A$100,
[1]sales_teams!$B$2:$B$100)</f>
        <v>Melvin Marxen</v>
      </c>
      <c r="D8652" t="str">
        <f>_xlfn.XLOOKUP($B8652,sales_teams!$A$2:$A$36,sales_teams!C$2:C$36)</f>
        <v>Central</v>
      </c>
      <c r="E8652" t="s">
        <v>48</v>
      </c>
      <c r="G8652" t="s">
        <v>8434</v>
      </c>
    </row>
    <row r="8653" spans="1:7" x14ac:dyDescent="0.3">
      <c r="A8653" t="s">
        <v>8785</v>
      </c>
      <c r="B8653" t="s">
        <v>116</v>
      </c>
      <c r="C8653" t="str">
        <f>_xlfn.XLOOKUP(B8653,
[1]sales_teams!$A$2:$A$100,
[1]sales_teams!$B$2:$B$100)</f>
        <v>Melvin Marxen</v>
      </c>
      <c r="D8653" t="str">
        <f>_xlfn.XLOOKUP($B8653,sales_teams!$A$2:$A$36,sales_teams!C$2:C$36)</f>
        <v>Central</v>
      </c>
      <c r="E8653" t="s">
        <v>48</v>
      </c>
      <c r="G8653" t="s">
        <v>8434</v>
      </c>
    </row>
    <row r="8654" spans="1:7" x14ac:dyDescent="0.3">
      <c r="A8654" t="s">
        <v>8786</v>
      </c>
      <c r="B8654" t="s">
        <v>116</v>
      </c>
      <c r="C8654" t="str">
        <f>_xlfn.XLOOKUP(B8654,
[1]sales_teams!$A$2:$A$100,
[1]sales_teams!$B$2:$B$100)</f>
        <v>Melvin Marxen</v>
      </c>
      <c r="D8654" t="str">
        <f>_xlfn.XLOOKUP($B8654,sales_teams!$A$2:$A$36,sales_teams!C$2:C$36)</f>
        <v>Central</v>
      </c>
      <c r="E8654" t="s">
        <v>48</v>
      </c>
      <c r="G8654" t="s">
        <v>8434</v>
      </c>
    </row>
    <row r="8655" spans="1:7" x14ac:dyDescent="0.3">
      <c r="A8655" t="s">
        <v>8787</v>
      </c>
      <c r="B8655" t="s">
        <v>116</v>
      </c>
      <c r="C8655" t="str">
        <f>_xlfn.XLOOKUP(B8655,
[1]sales_teams!$A$2:$A$100,
[1]sales_teams!$B$2:$B$100)</f>
        <v>Melvin Marxen</v>
      </c>
      <c r="D8655" t="str">
        <f>_xlfn.XLOOKUP($B8655,sales_teams!$A$2:$A$36,sales_teams!C$2:C$36)</f>
        <v>Central</v>
      </c>
      <c r="E8655" t="s">
        <v>48</v>
      </c>
      <c r="G8655" t="s">
        <v>8434</v>
      </c>
    </row>
    <row r="8656" spans="1:7" x14ac:dyDescent="0.3">
      <c r="A8656" t="s">
        <v>8788</v>
      </c>
      <c r="B8656" t="s">
        <v>116</v>
      </c>
      <c r="C8656" t="str">
        <f>_xlfn.XLOOKUP(B8656,
[1]sales_teams!$A$2:$A$100,
[1]sales_teams!$B$2:$B$100)</f>
        <v>Melvin Marxen</v>
      </c>
      <c r="D8656" t="str">
        <f>_xlfn.XLOOKUP($B8656,sales_teams!$A$2:$A$36,sales_teams!C$2:C$36)</f>
        <v>Central</v>
      </c>
      <c r="E8656" t="s">
        <v>48</v>
      </c>
      <c r="G8656" t="s">
        <v>8434</v>
      </c>
    </row>
    <row r="8657" spans="1:7" x14ac:dyDescent="0.3">
      <c r="A8657" t="s">
        <v>8789</v>
      </c>
      <c r="B8657" t="s">
        <v>116</v>
      </c>
      <c r="C8657" t="str">
        <f>_xlfn.XLOOKUP(B8657,
[1]sales_teams!$A$2:$A$100,
[1]sales_teams!$B$2:$B$100)</f>
        <v>Melvin Marxen</v>
      </c>
      <c r="D8657" t="str">
        <f>_xlfn.XLOOKUP($B8657,sales_teams!$A$2:$A$36,sales_teams!C$2:C$36)</f>
        <v>Central</v>
      </c>
      <c r="E8657" t="s">
        <v>15</v>
      </c>
      <c r="F8657" t="s">
        <v>410</v>
      </c>
      <c r="G8657" t="s">
        <v>8434</v>
      </c>
    </row>
    <row r="8658" spans="1:7" x14ac:dyDescent="0.3">
      <c r="A8658" t="s">
        <v>8790</v>
      </c>
      <c r="B8658" t="s">
        <v>116</v>
      </c>
      <c r="C8658" t="str">
        <f>_xlfn.XLOOKUP(B8658,
[1]sales_teams!$A$2:$A$100,
[1]sales_teams!$B$2:$B$100)</f>
        <v>Melvin Marxen</v>
      </c>
      <c r="D8658" t="str">
        <f>_xlfn.XLOOKUP($B8658,sales_teams!$A$2:$A$36,sales_teams!C$2:C$36)</f>
        <v>Central</v>
      </c>
      <c r="E8658" t="s">
        <v>15</v>
      </c>
      <c r="F8658" t="s">
        <v>129</v>
      </c>
      <c r="G8658" t="s">
        <v>8434</v>
      </c>
    </row>
    <row r="8659" spans="1:7" x14ac:dyDescent="0.3">
      <c r="A8659" t="s">
        <v>8791</v>
      </c>
      <c r="B8659" t="s">
        <v>116</v>
      </c>
      <c r="C8659" t="str">
        <f>_xlfn.XLOOKUP(B8659,
[1]sales_teams!$A$2:$A$100,
[1]sales_teams!$B$2:$B$100)</f>
        <v>Melvin Marxen</v>
      </c>
      <c r="D8659" t="str">
        <f>_xlfn.XLOOKUP($B8659,sales_teams!$A$2:$A$36,sales_teams!C$2:C$36)</f>
        <v>Central</v>
      </c>
      <c r="E8659" t="s">
        <v>15</v>
      </c>
      <c r="F8659" t="s">
        <v>113</v>
      </c>
      <c r="G8659" t="s">
        <v>8434</v>
      </c>
    </row>
    <row r="8660" spans="1:7" x14ac:dyDescent="0.3">
      <c r="A8660" t="s">
        <v>8792</v>
      </c>
      <c r="B8660" t="s">
        <v>116</v>
      </c>
      <c r="C8660" t="str">
        <f>_xlfn.XLOOKUP(B8660,
[1]sales_teams!$A$2:$A$100,
[1]sales_teams!$B$2:$B$100)</f>
        <v>Melvin Marxen</v>
      </c>
      <c r="D8660" t="str">
        <f>_xlfn.XLOOKUP($B8660,sales_teams!$A$2:$A$36,sales_teams!C$2:C$36)</f>
        <v>Central</v>
      </c>
      <c r="E8660" t="s">
        <v>15</v>
      </c>
      <c r="F8660" t="s">
        <v>168</v>
      </c>
      <c r="G8660" t="s">
        <v>8434</v>
      </c>
    </row>
    <row r="8661" spans="1:7" x14ac:dyDescent="0.3">
      <c r="A8661" t="s">
        <v>8793</v>
      </c>
      <c r="B8661" t="s">
        <v>116</v>
      </c>
      <c r="C8661" t="str">
        <f>_xlfn.XLOOKUP(B8661,
[1]sales_teams!$A$2:$A$100,
[1]sales_teams!$B$2:$B$100)</f>
        <v>Melvin Marxen</v>
      </c>
      <c r="D8661" t="str">
        <f>_xlfn.XLOOKUP($B8661,sales_teams!$A$2:$A$36,sales_teams!C$2:C$36)</f>
        <v>Central</v>
      </c>
      <c r="E8661" t="s">
        <v>15</v>
      </c>
      <c r="G8661" t="s">
        <v>8434</v>
      </c>
    </row>
    <row r="8662" spans="1:7" x14ac:dyDescent="0.3">
      <c r="A8662" t="s">
        <v>8794</v>
      </c>
      <c r="B8662" t="s">
        <v>116</v>
      </c>
      <c r="C8662" t="str">
        <f>_xlfn.XLOOKUP(B8662,
[1]sales_teams!$A$2:$A$100,
[1]sales_teams!$B$2:$B$100)</f>
        <v>Melvin Marxen</v>
      </c>
      <c r="D8662" t="str">
        <f>_xlfn.XLOOKUP($B8662,sales_teams!$A$2:$A$36,sales_teams!C$2:C$36)</f>
        <v>Central</v>
      </c>
      <c r="E8662" t="s">
        <v>15</v>
      </c>
      <c r="G8662" t="s">
        <v>8434</v>
      </c>
    </row>
    <row r="8663" spans="1:7" x14ac:dyDescent="0.3">
      <c r="A8663" t="s">
        <v>8795</v>
      </c>
      <c r="B8663" t="s">
        <v>116</v>
      </c>
      <c r="C8663" t="str">
        <f>_xlfn.XLOOKUP(B8663,
[1]sales_teams!$A$2:$A$100,
[1]sales_teams!$B$2:$B$100)</f>
        <v>Melvin Marxen</v>
      </c>
      <c r="D8663" t="str">
        <f>_xlfn.XLOOKUP($B8663,sales_teams!$A$2:$A$36,sales_teams!C$2:C$36)</f>
        <v>Central</v>
      </c>
      <c r="E8663" t="s">
        <v>15</v>
      </c>
      <c r="G8663" t="s">
        <v>8434</v>
      </c>
    </row>
    <row r="8664" spans="1:7" x14ac:dyDescent="0.3">
      <c r="A8664" t="s">
        <v>8796</v>
      </c>
      <c r="B8664" t="s">
        <v>116</v>
      </c>
      <c r="C8664" t="str">
        <f>_xlfn.XLOOKUP(B8664,
[1]sales_teams!$A$2:$A$100,
[1]sales_teams!$B$2:$B$100)</f>
        <v>Melvin Marxen</v>
      </c>
      <c r="D8664" t="str">
        <f>_xlfn.XLOOKUP($B8664,sales_teams!$A$2:$A$36,sales_teams!C$2:C$36)</f>
        <v>Central</v>
      </c>
      <c r="E8664" t="s">
        <v>15</v>
      </c>
      <c r="G8664" t="s">
        <v>8434</v>
      </c>
    </row>
    <row r="8665" spans="1:7" x14ac:dyDescent="0.3">
      <c r="A8665" t="s">
        <v>8797</v>
      </c>
      <c r="B8665" t="s">
        <v>116</v>
      </c>
      <c r="C8665" t="str">
        <f>_xlfn.XLOOKUP(B8665,
[1]sales_teams!$A$2:$A$100,
[1]sales_teams!$B$2:$B$100)</f>
        <v>Melvin Marxen</v>
      </c>
      <c r="D8665" t="str">
        <f>_xlfn.XLOOKUP($B8665,sales_teams!$A$2:$A$36,sales_teams!C$2:C$36)</f>
        <v>Central</v>
      </c>
      <c r="E8665" t="s">
        <v>18</v>
      </c>
      <c r="F8665" t="s">
        <v>224</v>
      </c>
      <c r="G8665" t="s">
        <v>8434</v>
      </c>
    </row>
    <row r="8666" spans="1:7" x14ac:dyDescent="0.3">
      <c r="A8666" t="s">
        <v>8798</v>
      </c>
      <c r="B8666" t="s">
        <v>116</v>
      </c>
      <c r="C8666" t="str">
        <f>_xlfn.XLOOKUP(B8666,
[1]sales_teams!$A$2:$A$100,
[1]sales_teams!$B$2:$B$100)</f>
        <v>Melvin Marxen</v>
      </c>
      <c r="D8666" t="str">
        <f>_xlfn.XLOOKUP($B8666,sales_teams!$A$2:$A$36,sales_teams!C$2:C$36)</f>
        <v>Central</v>
      </c>
      <c r="E8666" t="s">
        <v>18</v>
      </c>
      <c r="F8666" t="s">
        <v>194</v>
      </c>
      <c r="G8666" t="s">
        <v>8434</v>
      </c>
    </row>
    <row r="8667" spans="1:7" x14ac:dyDescent="0.3">
      <c r="A8667" t="s">
        <v>8799</v>
      </c>
      <c r="B8667" t="s">
        <v>116</v>
      </c>
      <c r="C8667" t="str">
        <f>_xlfn.XLOOKUP(B8667,
[1]sales_teams!$A$2:$A$100,
[1]sales_teams!$B$2:$B$100)</f>
        <v>Melvin Marxen</v>
      </c>
      <c r="D8667" t="str">
        <f>_xlfn.XLOOKUP($B8667,sales_teams!$A$2:$A$36,sales_teams!C$2:C$36)</f>
        <v>Central</v>
      </c>
      <c r="E8667" t="s">
        <v>18</v>
      </c>
      <c r="F8667" t="s">
        <v>213</v>
      </c>
      <c r="G8667" t="s">
        <v>8434</v>
      </c>
    </row>
    <row r="8668" spans="1:7" x14ac:dyDescent="0.3">
      <c r="A8668" t="s">
        <v>8800</v>
      </c>
      <c r="B8668" t="s">
        <v>116</v>
      </c>
      <c r="C8668" t="str">
        <f>_xlfn.XLOOKUP(B8668,
[1]sales_teams!$A$2:$A$100,
[1]sales_teams!$B$2:$B$100)</f>
        <v>Melvin Marxen</v>
      </c>
      <c r="D8668" t="str">
        <f>_xlfn.XLOOKUP($B8668,sales_teams!$A$2:$A$36,sales_teams!C$2:C$36)</f>
        <v>Central</v>
      </c>
      <c r="E8668" t="s">
        <v>18</v>
      </c>
      <c r="F8668" t="s">
        <v>151</v>
      </c>
      <c r="G8668" t="s">
        <v>8434</v>
      </c>
    </row>
    <row r="8669" spans="1:7" x14ac:dyDescent="0.3">
      <c r="A8669" t="s">
        <v>8801</v>
      </c>
      <c r="B8669" t="s">
        <v>116</v>
      </c>
      <c r="C8669" t="str">
        <f>_xlfn.XLOOKUP(B8669,
[1]sales_teams!$A$2:$A$100,
[1]sales_teams!$B$2:$B$100)</f>
        <v>Melvin Marxen</v>
      </c>
      <c r="D8669" t="str">
        <f>_xlfn.XLOOKUP($B8669,sales_teams!$A$2:$A$36,sales_teams!C$2:C$36)</f>
        <v>Central</v>
      </c>
      <c r="E8669" t="s">
        <v>18</v>
      </c>
      <c r="G8669" t="s">
        <v>8434</v>
      </c>
    </row>
    <row r="8670" spans="1:7" x14ac:dyDescent="0.3">
      <c r="A8670" t="s">
        <v>8802</v>
      </c>
      <c r="B8670" t="s">
        <v>116</v>
      </c>
      <c r="C8670" t="str">
        <f>_xlfn.XLOOKUP(B8670,
[1]sales_teams!$A$2:$A$100,
[1]sales_teams!$B$2:$B$100)</f>
        <v>Melvin Marxen</v>
      </c>
      <c r="D8670" t="str">
        <f>_xlfn.XLOOKUP($B8670,sales_teams!$A$2:$A$36,sales_teams!C$2:C$36)</f>
        <v>Central</v>
      </c>
      <c r="E8670" t="s">
        <v>18</v>
      </c>
      <c r="G8670" t="s">
        <v>8434</v>
      </c>
    </row>
    <row r="8671" spans="1:7" x14ac:dyDescent="0.3">
      <c r="A8671" t="s">
        <v>8803</v>
      </c>
      <c r="B8671" t="s">
        <v>116</v>
      </c>
      <c r="C8671" t="str">
        <f>_xlfn.XLOOKUP(B8671,
[1]sales_teams!$A$2:$A$100,
[1]sales_teams!$B$2:$B$100)</f>
        <v>Melvin Marxen</v>
      </c>
      <c r="D8671" t="str">
        <f>_xlfn.XLOOKUP($B8671,sales_teams!$A$2:$A$36,sales_teams!C$2:C$36)</f>
        <v>Central</v>
      </c>
      <c r="E8671" t="s">
        <v>18</v>
      </c>
      <c r="G8671" t="s">
        <v>8434</v>
      </c>
    </row>
    <row r="8672" spans="1:7" x14ac:dyDescent="0.3">
      <c r="A8672" t="s">
        <v>8804</v>
      </c>
      <c r="B8672" t="s">
        <v>116</v>
      </c>
      <c r="C8672" t="str">
        <f>_xlfn.XLOOKUP(B8672,
[1]sales_teams!$A$2:$A$100,
[1]sales_teams!$B$2:$B$100)</f>
        <v>Melvin Marxen</v>
      </c>
      <c r="D8672" t="str">
        <f>_xlfn.XLOOKUP($B8672,sales_teams!$A$2:$A$36,sales_teams!C$2:C$36)</f>
        <v>Central</v>
      </c>
      <c r="E8672" t="s">
        <v>18</v>
      </c>
      <c r="G8672" t="s">
        <v>8434</v>
      </c>
    </row>
    <row r="8673" spans="1:7" x14ac:dyDescent="0.3">
      <c r="A8673" t="s">
        <v>8805</v>
      </c>
      <c r="B8673" t="s">
        <v>116</v>
      </c>
      <c r="C8673" t="str">
        <f>_xlfn.XLOOKUP(B8673,
[1]sales_teams!$A$2:$A$100,
[1]sales_teams!$B$2:$B$100)</f>
        <v>Melvin Marxen</v>
      </c>
      <c r="D8673" t="str">
        <f>_xlfn.XLOOKUP($B8673,sales_teams!$A$2:$A$36,sales_teams!C$2:C$36)</f>
        <v>Central</v>
      </c>
      <c r="E8673" t="s">
        <v>39</v>
      </c>
      <c r="F8673" t="s">
        <v>98</v>
      </c>
      <c r="G8673" t="s">
        <v>8434</v>
      </c>
    </row>
    <row r="8674" spans="1:7" x14ac:dyDescent="0.3">
      <c r="A8674" t="s">
        <v>8806</v>
      </c>
      <c r="B8674" t="s">
        <v>116</v>
      </c>
      <c r="C8674" t="str">
        <f>_xlfn.XLOOKUP(B8674,
[1]sales_teams!$A$2:$A$100,
[1]sales_teams!$B$2:$B$100)</f>
        <v>Melvin Marxen</v>
      </c>
      <c r="D8674" t="str">
        <f>_xlfn.XLOOKUP($B8674,sales_teams!$A$2:$A$36,sales_teams!C$2:C$36)</f>
        <v>Central</v>
      </c>
      <c r="E8674" t="s">
        <v>39</v>
      </c>
      <c r="F8674" t="s">
        <v>218</v>
      </c>
      <c r="G8674" t="s">
        <v>8434</v>
      </c>
    </row>
    <row r="8675" spans="1:7" x14ac:dyDescent="0.3">
      <c r="A8675" t="s">
        <v>8807</v>
      </c>
      <c r="B8675" t="s">
        <v>116</v>
      </c>
      <c r="C8675" t="str">
        <f>_xlfn.XLOOKUP(B8675,
[1]sales_teams!$A$2:$A$100,
[1]sales_teams!$B$2:$B$100)</f>
        <v>Melvin Marxen</v>
      </c>
      <c r="D8675" t="str">
        <f>_xlfn.XLOOKUP($B8675,sales_teams!$A$2:$A$36,sales_teams!C$2:C$36)</f>
        <v>Central</v>
      </c>
      <c r="E8675" t="s">
        <v>39</v>
      </c>
      <c r="F8675" t="s">
        <v>55</v>
      </c>
      <c r="G8675" t="s">
        <v>8434</v>
      </c>
    </row>
    <row r="8676" spans="1:7" x14ac:dyDescent="0.3">
      <c r="A8676" t="s">
        <v>8808</v>
      </c>
      <c r="B8676" t="s">
        <v>116</v>
      </c>
      <c r="C8676" t="str">
        <f>_xlfn.XLOOKUP(B8676,
[1]sales_teams!$A$2:$A$100,
[1]sales_teams!$B$2:$B$100)</f>
        <v>Melvin Marxen</v>
      </c>
      <c r="D8676" t="str">
        <f>_xlfn.XLOOKUP($B8676,sales_teams!$A$2:$A$36,sales_teams!C$2:C$36)</f>
        <v>Central</v>
      </c>
      <c r="E8676" t="s">
        <v>39</v>
      </c>
      <c r="F8676" t="s">
        <v>518</v>
      </c>
      <c r="G8676" t="s">
        <v>8434</v>
      </c>
    </row>
    <row r="8677" spans="1:7" x14ac:dyDescent="0.3">
      <c r="A8677" t="s">
        <v>8809</v>
      </c>
      <c r="B8677" t="s">
        <v>116</v>
      </c>
      <c r="C8677" t="str">
        <f>_xlfn.XLOOKUP(B8677,
[1]sales_teams!$A$2:$A$100,
[1]sales_teams!$B$2:$B$100)</f>
        <v>Melvin Marxen</v>
      </c>
      <c r="D8677" t="str">
        <f>_xlfn.XLOOKUP($B8677,sales_teams!$A$2:$A$36,sales_teams!C$2:C$36)</f>
        <v>Central</v>
      </c>
      <c r="E8677" t="s">
        <v>39</v>
      </c>
      <c r="G8677" t="s">
        <v>8434</v>
      </c>
    </row>
    <row r="8678" spans="1:7" x14ac:dyDescent="0.3">
      <c r="A8678" t="s">
        <v>8810</v>
      </c>
      <c r="B8678" t="s">
        <v>116</v>
      </c>
      <c r="C8678" t="str">
        <f>_xlfn.XLOOKUP(B8678,
[1]sales_teams!$A$2:$A$100,
[1]sales_teams!$B$2:$B$100)</f>
        <v>Melvin Marxen</v>
      </c>
      <c r="D8678" t="str">
        <f>_xlfn.XLOOKUP($B8678,sales_teams!$A$2:$A$36,sales_teams!C$2:C$36)</f>
        <v>Central</v>
      </c>
      <c r="E8678" t="s">
        <v>39</v>
      </c>
      <c r="G8678" t="s">
        <v>8434</v>
      </c>
    </row>
    <row r="8679" spans="1:7" x14ac:dyDescent="0.3">
      <c r="A8679" t="s">
        <v>8811</v>
      </c>
      <c r="B8679" t="s">
        <v>116</v>
      </c>
      <c r="C8679" t="str">
        <f>_xlfn.XLOOKUP(B8679,
[1]sales_teams!$A$2:$A$100,
[1]sales_teams!$B$2:$B$100)</f>
        <v>Melvin Marxen</v>
      </c>
      <c r="D8679" t="str">
        <f>_xlfn.XLOOKUP($B8679,sales_teams!$A$2:$A$36,sales_teams!C$2:C$36)</f>
        <v>Central</v>
      </c>
      <c r="E8679" t="s">
        <v>39</v>
      </c>
      <c r="G8679" t="s">
        <v>8434</v>
      </c>
    </row>
    <row r="8680" spans="1:7" x14ac:dyDescent="0.3">
      <c r="A8680" t="s">
        <v>8812</v>
      </c>
      <c r="B8680" t="s">
        <v>116</v>
      </c>
      <c r="C8680" t="str">
        <f>_xlfn.XLOOKUP(B8680,
[1]sales_teams!$A$2:$A$100,
[1]sales_teams!$B$2:$B$100)</f>
        <v>Melvin Marxen</v>
      </c>
      <c r="D8680" t="str">
        <f>_xlfn.XLOOKUP($B8680,sales_teams!$A$2:$A$36,sales_teams!C$2:C$36)</f>
        <v>Central</v>
      </c>
      <c r="E8680" t="s">
        <v>39</v>
      </c>
      <c r="G8680" t="s">
        <v>8434</v>
      </c>
    </row>
    <row r="8681" spans="1:7" x14ac:dyDescent="0.3">
      <c r="A8681" t="s">
        <v>8813</v>
      </c>
      <c r="B8681" t="s">
        <v>116</v>
      </c>
      <c r="C8681" t="str">
        <f>_xlfn.XLOOKUP(B8681,
[1]sales_teams!$A$2:$A$100,
[1]sales_teams!$B$2:$B$100)</f>
        <v>Melvin Marxen</v>
      </c>
      <c r="D8681" t="str">
        <f>_xlfn.XLOOKUP($B8681,sales_teams!$A$2:$A$36,sales_teams!C$2:C$36)</f>
        <v>Central</v>
      </c>
      <c r="E8681" t="s">
        <v>39</v>
      </c>
      <c r="G8681" t="s">
        <v>8434</v>
      </c>
    </row>
    <row r="8682" spans="1:7" x14ac:dyDescent="0.3">
      <c r="A8682" t="s">
        <v>8814</v>
      </c>
      <c r="B8682" t="s">
        <v>116</v>
      </c>
      <c r="C8682" t="str">
        <f>_xlfn.XLOOKUP(B8682,
[1]sales_teams!$A$2:$A$100,
[1]sales_teams!$B$2:$B$100)</f>
        <v>Melvin Marxen</v>
      </c>
      <c r="D8682" t="str">
        <f>_xlfn.XLOOKUP($B8682,sales_teams!$A$2:$A$36,sales_teams!C$2:C$36)</f>
        <v>Central</v>
      </c>
      <c r="E8682" t="s">
        <v>39</v>
      </c>
      <c r="G8682" t="s">
        <v>8434</v>
      </c>
    </row>
    <row r="8683" spans="1:7" x14ac:dyDescent="0.3">
      <c r="A8683" t="s">
        <v>8815</v>
      </c>
      <c r="B8683" t="s">
        <v>9</v>
      </c>
      <c r="C8683" t="str">
        <f>_xlfn.XLOOKUP(B8683,
[1]sales_teams!$A$2:$A$100,
[1]sales_teams!$B$2:$B$100)</f>
        <v>Dustin Brinkmann</v>
      </c>
      <c r="D8683" t="str">
        <f>_xlfn.XLOOKUP($B8683,sales_teams!$A$2:$A$36,sales_teams!C$2:C$36)</f>
        <v>Central</v>
      </c>
      <c r="E8683" t="s">
        <v>20</v>
      </c>
      <c r="F8683" t="s">
        <v>168</v>
      </c>
      <c r="G8683" t="s">
        <v>8434</v>
      </c>
    </row>
    <row r="8684" spans="1:7" x14ac:dyDescent="0.3">
      <c r="A8684" t="s">
        <v>8816</v>
      </c>
      <c r="B8684" t="s">
        <v>9</v>
      </c>
      <c r="C8684" t="str">
        <f>_xlfn.XLOOKUP(B8684,
[1]sales_teams!$A$2:$A$100,
[1]sales_teams!$B$2:$B$100)</f>
        <v>Dustin Brinkmann</v>
      </c>
      <c r="D8684" t="str">
        <f>_xlfn.XLOOKUP($B8684,sales_teams!$A$2:$A$36,sales_teams!C$2:C$36)</f>
        <v>Central</v>
      </c>
      <c r="E8684" t="s">
        <v>20</v>
      </c>
      <c r="F8684" t="s">
        <v>111</v>
      </c>
      <c r="G8684" t="s">
        <v>8434</v>
      </c>
    </row>
    <row r="8685" spans="1:7" x14ac:dyDescent="0.3">
      <c r="A8685" t="s">
        <v>8817</v>
      </c>
      <c r="B8685" t="s">
        <v>9</v>
      </c>
      <c r="C8685" t="str">
        <f>_xlfn.XLOOKUP(B8685,
[1]sales_teams!$A$2:$A$100,
[1]sales_teams!$B$2:$B$100)</f>
        <v>Dustin Brinkmann</v>
      </c>
      <c r="D8685" t="str">
        <f>_xlfn.XLOOKUP($B8685,sales_teams!$A$2:$A$36,sales_teams!C$2:C$36)</f>
        <v>Central</v>
      </c>
      <c r="E8685" t="s">
        <v>20</v>
      </c>
      <c r="F8685" t="s">
        <v>373</v>
      </c>
      <c r="G8685" t="s">
        <v>8434</v>
      </c>
    </row>
    <row r="8686" spans="1:7" x14ac:dyDescent="0.3">
      <c r="A8686" t="s">
        <v>8818</v>
      </c>
      <c r="B8686" t="s">
        <v>9</v>
      </c>
      <c r="C8686" t="str">
        <f>_xlfn.XLOOKUP(B8686,
[1]sales_teams!$A$2:$A$100,
[1]sales_teams!$B$2:$B$100)</f>
        <v>Dustin Brinkmann</v>
      </c>
      <c r="D8686" t="str">
        <f>_xlfn.XLOOKUP($B8686,sales_teams!$A$2:$A$36,sales_teams!C$2:C$36)</f>
        <v>Central</v>
      </c>
      <c r="E8686" t="s">
        <v>20</v>
      </c>
      <c r="G8686" t="s">
        <v>8434</v>
      </c>
    </row>
    <row r="8687" spans="1:7" x14ac:dyDescent="0.3">
      <c r="A8687" t="s">
        <v>8819</v>
      </c>
      <c r="B8687" t="s">
        <v>9</v>
      </c>
      <c r="C8687" t="str">
        <f>_xlfn.XLOOKUP(B8687,
[1]sales_teams!$A$2:$A$100,
[1]sales_teams!$B$2:$B$100)</f>
        <v>Dustin Brinkmann</v>
      </c>
      <c r="D8687" t="str">
        <f>_xlfn.XLOOKUP($B8687,sales_teams!$A$2:$A$36,sales_teams!C$2:C$36)</f>
        <v>Central</v>
      </c>
      <c r="E8687" t="s">
        <v>20</v>
      </c>
      <c r="G8687" t="s">
        <v>8434</v>
      </c>
    </row>
    <row r="8688" spans="1:7" x14ac:dyDescent="0.3">
      <c r="A8688" t="s">
        <v>8820</v>
      </c>
      <c r="B8688" t="s">
        <v>9</v>
      </c>
      <c r="C8688" t="str">
        <f>_xlfn.XLOOKUP(B8688,
[1]sales_teams!$A$2:$A$100,
[1]sales_teams!$B$2:$B$100)</f>
        <v>Dustin Brinkmann</v>
      </c>
      <c r="D8688" t="str">
        <f>_xlfn.XLOOKUP($B8688,sales_teams!$A$2:$A$36,sales_teams!C$2:C$36)</f>
        <v>Central</v>
      </c>
      <c r="E8688" t="s">
        <v>20</v>
      </c>
      <c r="G8688" t="s">
        <v>8434</v>
      </c>
    </row>
    <row r="8689" spans="1:7" x14ac:dyDescent="0.3">
      <c r="A8689" t="s">
        <v>8821</v>
      </c>
      <c r="B8689" t="s">
        <v>9</v>
      </c>
      <c r="C8689" t="str">
        <f>_xlfn.XLOOKUP(B8689,
[1]sales_teams!$A$2:$A$100,
[1]sales_teams!$B$2:$B$100)</f>
        <v>Dustin Brinkmann</v>
      </c>
      <c r="D8689" t="str">
        <f>_xlfn.XLOOKUP($B8689,sales_teams!$A$2:$A$36,sales_teams!C$2:C$36)</f>
        <v>Central</v>
      </c>
      <c r="E8689" t="s">
        <v>20</v>
      </c>
      <c r="G8689" t="s">
        <v>8434</v>
      </c>
    </row>
    <row r="8690" spans="1:7" x14ac:dyDescent="0.3">
      <c r="A8690" t="s">
        <v>8822</v>
      </c>
      <c r="B8690" t="s">
        <v>9</v>
      </c>
      <c r="C8690" t="str">
        <f>_xlfn.XLOOKUP(B8690,
[1]sales_teams!$A$2:$A$100,
[1]sales_teams!$B$2:$B$100)</f>
        <v>Dustin Brinkmann</v>
      </c>
      <c r="D8690" t="str">
        <f>_xlfn.XLOOKUP($B8690,sales_teams!$A$2:$A$36,sales_teams!C$2:C$36)</f>
        <v>Central</v>
      </c>
      <c r="E8690" t="s">
        <v>20</v>
      </c>
      <c r="G8690" t="s">
        <v>8434</v>
      </c>
    </row>
    <row r="8691" spans="1:7" x14ac:dyDescent="0.3">
      <c r="A8691" t="s">
        <v>8823</v>
      </c>
      <c r="B8691" t="s">
        <v>9</v>
      </c>
      <c r="C8691" t="str">
        <f>_xlfn.XLOOKUP(B8691,
[1]sales_teams!$A$2:$A$100,
[1]sales_teams!$B$2:$B$100)</f>
        <v>Dustin Brinkmann</v>
      </c>
      <c r="D8691" t="str">
        <f>_xlfn.XLOOKUP($B8691,sales_teams!$A$2:$A$36,sales_teams!C$2:C$36)</f>
        <v>Central</v>
      </c>
      <c r="E8691" t="s">
        <v>10</v>
      </c>
      <c r="G8691" t="s">
        <v>8434</v>
      </c>
    </row>
    <row r="8692" spans="1:7" x14ac:dyDescent="0.3">
      <c r="A8692" t="s">
        <v>8824</v>
      </c>
      <c r="B8692" t="s">
        <v>9</v>
      </c>
      <c r="C8692" t="str">
        <f>_xlfn.XLOOKUP(B8692,
[1]sales_teams!$A$2:$A$100,
[1]sales_teams!$B$2:$B$100)</f>
        <v>Dustin Brinkmann</v>
      </c>
      <c r="D8692" t="str">
        <f>_xlfn.XLOOKUP($B8692,sales_teams!$A$2:$A$36,sales_teams!C$2:C$36)</f>
        <v>Central</v>
      </c>
      <c r="E8692" t="s">
        <v>10</v>
      </c>
      <c r="G8692" t="s">
        <v>8434</v>
      </c>
    </row>
    <row r="8693" spans="1:7" x14ac:dyDescent="0.3">
      <c r="A8693" t="s">
        <v>8825</v>
      </c>
      <c r="B8693" t="s">
        <v>9</v>
      </c>
      <c r="C8693" t="str">
        <f>_xlfn.XLOOKUP(B8693,
[1]sales_teams!$A$2:$A$100,
[1]sales_teams!$B$2:$B$100)</f>
        <v>Dustin Brinkmann</v>
      </c>
      <c r="D8693" t="str">
        <f>_xlfn.XLOOKUP($B8693,sales_teams!$A$2:$A$36,sales_teams!C$2:C$36)</f>
        <v>Central</v>
      </c>
      <c r="E8693" t="s">
        <v>10</v>
      </c>
      <c r="G8693" t="s">
        <v>8434</v>
      </c>
    </row>
    <row r="8694" spans="1:7" x14ac:dyDescent="0.3">
      <c r="A8694" t="s">
        <v>8826</v>
      </c>
      <c r="B8694" t="s">
        <v>9</v>
      </c>
      <c r="C8694" t="str">
        <f>_xlfn.XLOOKUP(B8694,
[1]sales_teams!$A$2:$A$100,
[1]sales_teams!$B$2:$B$100)</f>
        <v>Dustin Brinkmann</v>
      </c>
      <c r="D8694" t="str">
        <f>_xlfn.XLOOKUP($B8694,sales_teams!$A$2:$A$36,sales_teams!C$2:C$36)</f>
        <v>Central</v>
      </c>
      <c r="E8694" t="s">
        <v>48</v>
      </c>
      <c r="G8694" t="s">
        <v>8434</v>
      </c>
    </row>
    <row r="8695" spans="1:7" x14ac:dyDescent="0.3">
      <c r="A8695" t="s">
        <v>8827</v>
      </c>
      <c r="B8695" t="s">
        <v>9</v>
      </c>
      <c r="C8695" t="str">
        <f>_xlfn.XLOOKUP(B8695,
[1]sales_teams!$A$2:$A$100,
[1]sales_teams!$B$2:$B$100)</f>
        <v>Dustin Brinkmann</v>
      </c>
      <c r="D8695" t="str">
        <f>_xlfn.XLOOKUP($B8695,sales_teams!$A$2:$A$36,sales_teams!C$2:C$36)</f>
        <v>Central</v>
      </c>
      <c r="E8695" t="s">
        <v>18</v>
      </c>
      <c r="F8695" t="s">
        <v>278</v>
      </c>
      <c r="G8695" t="s">
        <v>8434</v>
      </c>
    </row>
    <row r="8696" spans="1:7" x14ac:dyDescent="0.3">
      <c r="A8696" t="s">
        <v>8828</v>
      </c>
      <c r="B8696" t="s">
        <v>9</v>
      </c>
      <c r="C8696" t="str">
        <f>_xlfn.XLOOKUP(B8696,
[1]sales_teams!$A$2:$A$100,
[1]sales_teams!$B$2:$B$100)</f>
        <v>Dustin Brinkmann</v>
      </c>
      <c r="D8696" t="str">
        <f>_xlfn.XLOOKUP($B8696,sales_teams!$A$2:$A$36,sales_teams!C$2:C$36)</f>
        <v>Central</v>
      </c>
      <c r="E8696" t="s">
        <v>18</v>
      </c>
      <c r="G8696" t="s">
        <v>8434</v>
      </c>
    </row>
    <row r="8697" spans="1:7" x14ac:dyDescent="0.3">
      <c r="A8697" t="s">
        <v>8829</v>
      </c>
      <c r="B8697" t="s">
        <v>9</v>
      </c>
      <c r="C8697" t="str">
        <f>_xlfn.XLOOKUP(B8697,
[1]sales_teams!$A$2:$A$100,
[1]sales_teams!$B$2:$B$100)</f>
        <v>Dustin Brinkmann</v>
      </c>
      <c r="D8697" t="str">
        <f>_xlfn.XLOOKUP($B8697,sales_teams!$A$2:$A$36,sales_teams!C$2:C$36)</f>
        <v>Central</v>
      </c>
      <c r="E8697" t="s">
        <v>18</v>
      </c>
      <c r="G8697" t="s">
        <v>8434</v>
      </c>
    </row>
    <row r="8698" spans="1:7" x14ac:dyDescent="0.3">
      <c r="A8698" t="s">
        <v>8830</v>
      </c>
      <c r="B8698" t="s">
        <v>9</v>
      </c>
      <c r="C8698" t="str">
        <f>_xlfn.XLOOKUP(B8698,
[1]sales_teams!$A$2:$A$100,
[1]sales_teams!$B$2:$B$100)</f>
        <v>Dustin Brinkmann</v>
      </c>
      <c r="D8698" t="str">
        <f>_xlfn.XLOOKUP($B8698,sales_teams!$A$2:$A$36,sales_teams!C$2:C$36)</f>
        <v>Central</v>
      </c>
      <c r="E8698" t="s">
        <v>18</v>
      </c>
      <c r="G8698" t="s">
        <v>8434</v>
      </c>
    </row>
    <row r="8699" spans="1:7" x14ac:dyDescent="0.3">
      <c r="A8699" t="s">
        <v>8831</v>
      </c>
      <c r="B8699" t="s">
        <v>9</v>
      </c>
      <c r="C8699" t="str">
        <f>_xlfn.XLOOKUP(B8699,
[1]sales_teams!$A$2:$A$100,
[1]sales_teams!$B$2:$B$100)</f>
        <v>Dustin Brinkmann</v>
      </c>
      <c r="D8699" t="str">
        <f>_xlfn.XLOOKUP($B8699,sales_teams!$A$2:$A$36,sales_teams!C$2:C$36)</f>
        <v>Central</v>
      </c>
      <c r="E8699" t="s">
        <v>18</v>
      </c>
      <c r="G8699" t="s">
        <v>8434</v>
      </c>
    </row>
    <row r="8700" spans="1:7" x14ac:dyDescent="0.3">
      <c r="A8700" t="s">
        <v>8832</v>
      </c>
      <c r="B8700" t="s">
        <v>9</v>
      </c>
      <c r="C8700" t="str">
        <f>_xlfn.XLOOKUP(B8700,
[1]sales_teams!$A$2:$A$100,
[1]sales_teams!$B$2:$B$100)</f>
        <v>Dustin Brinkmann</v>
      </c>
      <c r="D8700" t="str">
        <f>_xlfn.XLOOKUP($B8700,sales_teams!$A$2:$A$36,sales_teams!C$2:C$36)</f>
        <v>Central</v>
      </c>
      <c r="E8700" t="s">
        <v>18</v>
      </c>
      <c r="G8700" t="s">
        <v>8434</v>
      </c>
    </row>
    <row r="8701" spans="1:7" x14ac:dyDescent="0.3">
      <c r="A8701" t="s">
        <v>8833</v>
      </c>
      <c r="B8701" t="s">
        <v>9</v>
      </c>
      <c r="C8701" t="str">
        <f>_xlfn.XLOOKUP(B8701,
[1]sales_teams!$A$2:$A$100,
[1]sales_teams!$B$2:$B$100)</f>
        <v>Dustin Brinkmann</v>
      </c>
      <c r="D8701" t="str">
        <f>_xlfn.XLOOKUP($B8701,sales_teams!$A$2:$A$36,sales_teams!C$2:C$36)</f>
        <v>Central</v>
      </c>
      <c r="E8701" t="s">
        <v>39</v>
      </c>
      <c r="F8701" t="s">
        <v>174</v>
      </c>
      <c r="G8701" t="s">
        <v>8434</v>
      </c>
    </row>
    <row r="8702" spans="1:7" x14ac:dyDescent="0.3">
      <c r="A8702" t="s">
        <v>8834</v>
      </c>
      <c r="B8702" t="s">
        <v>9</v>
      </c>
      <c r="C8702" t="str">
        <f>_xlfn.XLOOKUP(B8702,
[1]sales_teams!$A$2:$A$100,
[1]sales_teams!$B$2:$B$100)</f>
        <v>Dustin Brinkmann</v>
      </c>
      <c r="D8702" t="str">
        <f>_xlfn.XLOOKUP($B8702,sales_teams!$A$2:$A$36,sales_teams!C$2:C$36)</f>
        <v>Central</v>
      </c>
      <c r="E8702" t="s">
        <v>39</v>
      </c>
      <c r="F8702" t="s">
        <v>209</v>
      </c>
      <c r="G8702" t="s">
        <v>8434</v>
      </c>
    </row>
    <row r="8703" spans="1:7" x14ac:dyDescent="0.3">
      <c r="A8703" t="s">
        <v>8835</v>
      </c>
      <c r="B8703" t="s">
        <v>9</v>
      </c>
      <c r="C8703" t="str">
        <f>_xlfn.XLOOKUP(B8703,
[1]sales_teams!$A$2:$A$100,
[1]sales_teams!$B$2:$B$100)</f>
        <v>Dustin Brinkmann</v>
      </c>
      <c r="D8703" t="str">
        <f>_xlfn.XLOOKUP($B8703,sales_teams!$A$2:$A$36,sales_teams!C$2:C$36)</f>
        <v>Central</v>
      </c>
      <c r="E8703" t="s">
        <v>39</v>
      </c>
      <c r="F8703" t="s">
        <v>135</v>
      </c>
      <c r="G8703" t="s">
        <v>8434</v>
      </c>
    </row>
    <row r="8704" spans="1:7" x14ac:dyDescent="0.3">
      <c r="A8704" t="s">
        <v>8836</v>
      </c>
      <c r="B8704" t="s">
        <v>9</v>
      </c>
      <c r="C8704" t="str">
        <f>_xlfn.XLOOKUP(B8704,
[1]sales_teams!$A$2:$A$100,
[1]sales_teams!$B$2:$B$100)</f>
        <v>Dustin Brinkmann</v>
      </c>
      <c r="D8704" t="str">
        <f>_xlfn.XLOOKUP($B8704,sales_teams!$A$2:$A$36,sales_teams!C$2:C$36)</f>
        <v>Central</v>
      </c>
      <c r="E8704" t="s">
        <v>39</v>
      </c>
      <c r="G8704" t="s">
        <v>8434</v>
      </c>
    </row>
    <row r="8705" spans="1:7" x14ac:dyDescent="0.3">
      <c r="A8705" t="s">
        <v>8837</v>
      </c>
      <c r="B8705" t="s">
        <v>9</v>
      </c>
      <c r="C8705" t="str">
        <f>_xlfn.XLOOKUP(B8705,
[1]sales_teams!$A$2:$A$100,
[1]sales_teams!$B$2:$B$100)</f>
        <v>Dustin Brinkmann</v>
      </c>
      <c r="D8705" t="str">
        <f>_xlfn.XLOOKUP($B8705,sales_teams!$A$2:$A$36,sales_teams!C$2:C$36)</f>
        <v>Central</v>
      </c>
      <c r="E8705" t="s">
        <v>39</v>
      </c>
      <c r="G8705" t="s">
        <v>8434</v>
      </c>
    </row>
    <row r="8706" spans="1:7" x14ac:dyDescent="0.3">
      <c r="A8706" t="s">
        <v>8838</v>
      </c>
      <c r="B8706" t="s">
        <v>9</v>
      </c>
      <c r="C8706" t="str">
        <f>_xlfn.XLOOKUP(B8706,
[1]sales_teams!$A$2:$A$100,
[1]sales_teams!$B$2:$B$100)</f>
        <v>Dustin Brinkmann</v>
      </c>
      <c r="D8706" t="str">
        <f>_xlfn.XLOOKUP($B8706,sales_teams!$A$2:$A$36,sales_teams!C$2:C$36)</f>
        <v>Central</v>
      </c>
      <c r="E8706" t="s">
        <v>39</v>
      </c>
      <c r="G8706" t="s">
        <v>8434</v>
      </c>
    </row>
    <row r="8707" spans="1:7" x14ac:dyDescent="0.3">
      <c r="A8707" t="s">
        <v>8839</v>
      </c>
      <c r="B8707" t="s">
        <v>9</v>
      </c>
      <c r="C8707" t="str">
        <f>_xlfn.XLOOKUP(B8707,
[1]sales_teams!$A$2:$A$100,
[1]sales_teams!$B$2:$B$100)</f>
        <v>Dustin Brinkmann</v>
      </c>
      <c r="D8707" t="str">
        <f>_xlfn.XLOOKUP($B8707,sales_teams!$A$2:$A$36,sales_teams!C$2:C$36)</f>
        <v>Central</v>
      </c>
      <c r="E8707" t="s">
        <v>39</v>
      </c>
      <c r="G8707" t="s">
        <v>8434</v>
      </c>
    </row>
    <row r="8708" spans="1:7" x14ac:dyDescent="0.3">
      <c r="A8708" t="s">
        <v>8840</v>
      </c>
      <c r="B8708" t="s">
        <v>9</v>
      </c>
      <c r="C8708" t="str">
        <f>_xlfn.XLOOKUP(B8708,
[1]sales_teams!$A$2:$A$100,
[1]sales_teams!$B$2:$B$100)</f>
        <v>Dustin Brinkmann</v>
      </c>
      <c r="D8708" t="str">
        <f>_xlfn.XLOOKUP($B8708,sales_teams!$A$2:$A$36,sales_teams!C$2:C$36)</f>
        <v>Central</v>
      </c>
      <c r="E8708" t="s">
        <v>39</v>
      </c>
      <c r="G8708" t="s">
        <v>8434</v>
      </c>
    </row>
    <row r="8709" spans="1:7" x14ac:dyDescent="0.3">
      <c r="A8709" t="s">
        <v>8841</v>
      </c>
      <c r="B8709" t="s">
        <v>9</v>
      </c>
      <c r="C8709" t="str">
        <f>_xlfn.XLOOKUP(B8709,
[1]sales_teams!$A$2:$A$100,
[1]sales_teams!$B$2:$B$100)</f>
        <v>Dustin Brinkmann</v>
      </c>
      <c r="D8709" t="str">
        <f>_xlfn.XLOOKUP($B8709,sales_teams!$A$2:$A$36,sales_teams!C$2:C$36)</f>
        <v>Central</v>
      </c>
      <c r="E8709" t="s">
        <v>39</v>
      </c>
      <c r="G8709" t="s">
        <v>8434</v>
      </c>
    </row>
    <row r="8710" spans="1:7" x14ac:dyDescent="0.3">
      <c r="A8710" t="s">
        <v>8842</v>
      </c>
      <c r="B8710" t="s">
        <v>9</v>
      </c>
      <c r="C8710" t="str">
        <f>_xlfn.XLOOKUP(B8710,
[1]sales_teams!$A$2:$A$100,
[1]sales_teams!$B$2:$B$100)</f>
        <v>Dustin Brinkmann</v>
      </c>
      <c r="D8710" t="str">
        <f>_xlfn.XLOOKUP($B8710,sales_teams!$A$2:$A$36,sales_teams!C$2:C$36)</f>
        <v>Central</v>
      </c>
      <c r="E8710" t="s">
        <v>39</v>
      </c>
      <c r="G8710" t="s">
        <v>8434</v>
      </c>
    </row>
    <row r="8711" spans="1:7" x14ac:dyDescent="0.3">
      <c r="A8711" t="s">
        <v>8843</v>
      </c>
      <c r="B8711" t="s">
        <v>9</v>
      </c>
      <c r="C8711" t="str">
        <f>_xlfn.XLOOKUP(B8711,
[1]sales_teams!$A$2:$A$100,
[1]sales_teams!$B$2:$B$100)</f>
        <v>Dustin Brinkmann</v>
      </c>
      <c r="D8711" t="str">
        <f>_xlfn.XLOOKUP($B8711,sales_teams!$A$2:$A$36,sales_teams!C$2:C$36)</f>
        <v>Central</v>
      </c>
      <c r="E8711" t="s">
        <v>39</v>
      </c>
      <c r="G8711" t="s">
        <v>8434</v>
      </c>
    </row>
    <row r="8712" spans="1:7" x14ac:dyDescent="0.3">
      <c r="A8712" t="s">
        <v>8844</v>
      </c>
      <c r="B8712" t="s">
        <v>9</v>
      </c>
      <c r="C8712" t="str">
        <f>_xlfn.XLOOKUP(B8712,
[1]sales_teams!$A$2:$A$100,
[1]sales_teams!$B$2:$B$100)</f>
        <v>Dustin Brinkmann</v>
      </c>
      <c r="D8712" t="str">
        <f>_xlfn.XLOOKUP($B8712,sales_teams!$A$2:$A$36,sales_teams!C$2:C$36)</f>
        <v>Central</v>
      </c>
      <c r="E8712" t="s">
        <v>39</v>
      </c>
      <c r="G8712" t="s">
        <v>8434</v>
      </c>
    </row>
    <row r="8713" spans="1:7" x14ac:dyDescent="0.3">
      <c r="A8713" t="s">
        <v>8845</v>
      </c>
      <c r="B8713" t="s">
        <v>9</v>
      </c>
      <c r="C8713" t="str">
        <f>_xlfn.XLOOKUP(B8713,
[1]sales_teams!$A$2:$A$100,
[1]sales_teams!$B$2:$B$100)</f>
        <v>Dustin Brinkmann</v>
      </c>
      <c r="D8713" t="str">
        <f>_xlfn.XLOOKUP($B8713,sales_teams!$A$2:$A$36,sales_teams!C$2:C$36)</f>
        <v>Central</v>
      </c>
      <c r="E8713" t="s">
        <v>39</v>
      </c>
      <c r="G8713" t="s">
        <v>8434</v>
      </c>
    </row>
    <row r="8714" spans="1:7" x14ac:dyDescent="0.3">
      <c r="A8714" t="s">
        <v>8846</v>
      </c>
      <c r="B8714" t="s">
        <v>35</v>
      </c>
      <c r="C8714" t="str">
        <f>_xlfn.XLOOKUP(B8714,
[1]sales_teams!$A$2:$A$100,
[1]sales_teams!$B$2:$B$100)</f>
        <v>Melvin Marxen</v>
      </c>
      <c r="D8714" t="str">
        <f>_xlfn.XLOOKUP($B8714,sales_teams!$A$2:$A$36,sales_teams!C$2:C$36)</f>
        <v>Central</v>
      </c>
      <c r="E8714" t="s">
        <v>20</v>
      </c>
      <c r="F8714" t="s">
        <v>398</v>
      </c>
      <c r="G8714" t="s">
        <v>8434</v>
      </c>
    </row>
    <row r="8715" spans="1:7" x14ac:dyDescent="0.3">
      <c r="A8715" t="s">
        <v>8847</v>
      </c>
      <c r="B8715" t="s">
        <v>35</v>
      </c>
      <c r="C8715" t="str">
        <f>_xlfn.XLOOKUP(B8715,
[1]sales_teams!$A$2:$A$100,
[1]sales_teams!$B$2:$B$100)</f>
        <v>Melvin Marxen</v>
      </c>
      <c r="D8715" t="str">
        <f>_xlfn.XLOOKUP($B8715,sales_teams!$A$2:$A$36,sales_teams!C$2:C$36)</f>
        <v>Central</v>
      </c>
      <c r="E8715" t="s">
        <v>20</v>
      </c>
      <c r="F8715" t="s">
        <v>215</v>
      </c>
      <c r="G8715" t="s">
        <v>8434</v>
      </c>
    </row>
    <row r="8716" spans="1:7" x14ac:dyDescent="0.3">
      <c r="A8716" t="s">
        <v>8848</v>
      </c>
      <c r="B8716" t="s">
        <v>35</v>
      </c>
      <c r="C8716" t="str">
        <f>_xlfn.XLOOKUP(B8716,
[1]sales_teams!$A$2:$A$100,
[1]sales_teams!$B$2:$B$100)</f>
        <v>Melvin Marxen</v>
      </c>
      <c r="D8716" t="str">
        <f>_xlfn.XLOOKUP($B8716,sales_teams!$A$2:$A$36,sales_teams!C$2:C$36)</f>
        <v>Central</v>
      </c>
      <c r="E8716" t="s">
        <v>20</v>
      </c>
      <c r="G8716" t="s">
        <v>8434</v>
      </c>
    </row>
    <row r="8717" spans="1:7" x14ac:dyDescent="0.3">
      <c r="A8717" t="s">
        <v>8849</v>
      </c>
      <c r="B8717" t="s">
        <v>35</v>
      </c>
      <c r="C8717" t="str">
        <f>_xlfn.XLOOKUP(B8717,
[1]sales_teams!$A$2:$A$100,
[1]sales_teams!$B$2:$B$100)</f>
        <v>Melvin Marxen</v>
      </c>
      <c r="D8717" t="str">
        <f>_xlfn.XLOOKUP($B8717,sales_teams!$A$2:$A$36,sales_teams!C$2:C$36)</f>
        <v>Central</v>
      </c>
      <c r="E8717" t="s">
        <v>20</v>
      </c>
      <c r="G8717" t="s">
        <v>8434</v>
      </c>
    </row>
    <row r="8718" spans="1:7" x14ac:dyDescent="0.3">
      <c r="A8718" t="s">
        <v>8850</v>
      </c>
      <c r="B8718" t="s">
        <v>35</v>
      </c>
      <c r="C8718" t="str">
        <f>_xlfn.XLOOKUP(B8718,
[1]sales_teams!$A$2:$A$100,
[1]sales_teams!$B$2:$B$100)</f>
        <v>Melvin Marxen</v>
      </c>
      <c r="D8718" t="str">
        <f>_xlfn.XLOOKUP($B8718,sales_teams!$A$2:$A$36,sales_teams!C$2:C$36)</f>
        <v>Central</v>
      </c>
      <c r="E8718" t="s">
        <v>20</v>
      </c>
      <c r="G8718" t="s">
        <v>8434</v>
      </c>
    </row>
    <row r="8719" spans="1:7" x14ac:dyDescent="0.3">
      <c r="A8719" t="s">
        <v>8851</v>
      </c>
      <c r="B8719" t="s">
        <v>35</v>
      </c>
      <c r="C8719" t="str">
        <f>_xlfn.XLOOKUP(B8719,
[1]sales_teams!$A$2:$A$100,
[1]sales_teams!$B$2:$B$100)</f>
        <v>Melvin Marxen</v>
      </c>
      <c r="D8719" t="str">
        <f>_xlfn.XLOOKUP($B8719,sales_teams!$A$2:$A$36,sales_teams!C$2:C$36)</f>
        <v>Central</v>
      </c>
      <c r="E8719" t="s">
        <v>20</v>
      </c>
      <c r="G8719" t="s">
        <v>8434</v>
      </c>
    </row>
    <row r="8720" spans="1:7" x14ac:dyDescent="0.3">
      <c r="A8720" t="s">
        <v>8852</v>
      </c>
      <c r="B8720" t="s">
        <v>35</v>
      </c>
      <c r="C8720" t="str">
        <f>_xlfn.XLOOKUP(B8720,
[1]sales_teams!$A$2:$A$100,
[1]sales_teams!$B$2:$B$100)</f>
        <v>Melvin Marxen</v>
      </c>
      <c r="D8720" t="str">
        <f>_xlfn.XLOOKUP($B8720,sales_teams!$A$2:$A$36,sales_teams!C$2:C$36)</f>
        <v>Central</v>
      </c>
      <c r="E8720" t="s">
        <v>20</v>
      </c>
      <c r="G8720" t="s">
        <v>8434</v>
      </c>
    </row>
    <row r="8721" spans="1:7" x14ac:dyDescent="0.3">
      <c r="A8721" t="s">
        <v>8853</v>
      </c>
      <c r="B8721" t="s">
        <v>35</v>
      </c>
      <c r="C8721" t="str">
        <f>_xlfn.XLOOKUP(B8721,
[1]sales_teams!$A$2:$A$100,
[1]sales_teams!$B$2:$B$100)</f>
        <v>Melvin Marxen</v>
      </c>
      <c r="D8721" t="str">
        <f>_xlfn.XLOOKUP($B8721,sales_teams!$A$2:$A$36,sales_teams!C$2:C$36)</f>
        <v>Central</v>
      </c>
      <c r="E8721" t="s">
        <v>20</v>
      </c>
      <c r="G8721" t="s">
        <v>8434</v>
      </c>
    </row>
    <row r="8722" spans="1:7" x14ac:dyDescent="0.3">
      <c r="A8722" t="s">
        <v>8854</v>
      </c>
      <c r="B8722" t="s">
        <v>35</v>
      </c>
      <c r="C8722" t="str">
        <f>_xlfn.XLOOKUP(B8722,
[1]sales_teams!$A$2:$A$100,
[1]sales_teams!$B$2:$B$100)</f>
        <v>Melvin Marxen</v>
      </c>
      <c r="D8722" t="str">
        <f>_xlfn.XLOOKUP($B8722,sales_teams!$A$2:$A$36,sales_teams!C$2:C$36)</f>
        <v>Central</v>
      </c>
      <c r="E8722" t="s">
        <v>20</v>
      </c>
      <c r="G8722" t="s">
        <v>8434</v>
      </c>
    </row>
    <row r="8723" spans="1:7" x14ac:dyDescent="0.3">
      <c r="A8723" t="s">
        <v>8855</v>
      </c>
      <c r="B8723" t="s">
        <v>35</v>
      </c>
      <c r="C8723" t="str">
        <f>_xlfn.XLOOKUP(B8723,
[1]sales_teams!$A$2:$A$100,
[1]sales_teams!$B$2:$B$100)</f>
        <v>Melvin Marxen</v>
      </c>
      <c r="D8723" t="str">
        <f>_xlfn.XLOOKUP($B8723,sales_teams!$A$2:$A$36,sales_teams!C$2:C$36)</f>
        <v>Central</v>
      </c>
      <c r="E8723" t="s">
        <v>20</v>
      </c>
      <c r="G8723" t="s">
        <v>8434</v>
      </c>
    </row>
    <row r="8724" spans="1:7" x14ac:dyDescent="0.3">
      <c r="A8724" t="s">
        <v>8856</v>
      </c>
      <c r="B8724" t="s">
        <v>35</v>
      </c>
      <c r="C8724" t="str">
        <f>_xlfn.XLOOKUP(B8724,
[1]sales_teams!$A$2:$A$100,
[1]sales_teams!$B$2:$B$100)</f>
        <v>Melvin Marxen</v>
      </c>
      <c r="D8724" t="str">
        <f>_xlfn.XLOOKUP($B8724,sales_teams!$A$2:$A$36,sales_teams!C$2:C$36)</f>
        <v>Central</v>
      </c>
      <c r="E8724" t="s">
        <v>20</v>
      </c>
      <c r="G8724" t="s">
        <v>8434</v>
      </c>
    </row>
    <row r="8725" spans="1:7" x14ac:dyDescent="0.3">
      <c r="A8725" t="s">
        <v>8857</v>
      </c>
      <c r="B8725" t="s">
        <v>35</v>
      </c>
      <c r="C8725" t="str">
        <f>_xlfn.XLOOKUP(B8725,
[1]sales_teams!$A$2:$A$100,
[1]sales_teams!$B$2:$B$100)</f>
        <v>Melvin Marxen</v>
      </c>
      <c r="D8725" t="str">
        <f>_xlfn.XLOOKUP($B8725,sales_teams!$A$2:$A$36,sales_teams!C$2:C$36)</f>
        <v>Central</v>
      </c>
      <c r="E8725" t="s">
        <v>10</v>
      </c>
      <c r="F8725" t="s">
        <v>157</v>
      </c>
      <c r="G8725" t="s">
        <v>8434</v>
      </c>
    </row>
    <row r="8726" spans="1:7" x14ac:dyDescent="0.3">
      <c r="A8726" t="s">
        <v>8858</v>
      </c>
      <c r="B8726" t="s">
        <v>35</v>
      </c>
      <c r="C8726" t="str">
        <f>_xlfn.XLOOKUP(B8726,
[1]sales_teams!$A$2:$A$100,
[1]sales_teams!$B$2:$B$100)</f>
        <v>Melvin Marxen</v>
      </c>
      <c r="D8726" t="str">
        <f>_xlfn.XLOOKUP($B8726,sales_teams!$A$2:$A$36,sales_teams!C$2:C$36)</f>
        <v>Central</v>
      </c>
      <c r="E8726" t="s">
        <v>10</v>
      </c>
      <c r="F8726" t="s">
        <v>492</v>
      </c>
      <c r="G8726" t="s">
        <v>8434</v>
      </c>
    </row>
    <row r="8727" spans="1:7" x14ac:dyDescent="0.3">
      <c r="A8727" t="s">
        <v>8859</v>
      </c>
      <c r="B8727" t="s">
        <v>35</v>
      </c>
      <c r="C8727" t="str">
        <f>_xlfn.XLOOKUP(B8727,
[1]sales_teams!$A$2:$A$100,
[1]sales_teams!$B$2:$B$100)</f>
        <v>Melvin Marxen</v>
      </c>
      <c r="D8727" t="str">
        <f>_xlfn.XLOOKUP($B8727,sales_teams!$A$2:$A$36,sales_teams!C$2:C$36)</f>
        <v>Central</v>
      </c>
      <c r="E8727" t="s">
        <v>10</v>
      </c>
      <c r="F8727" t="s">
        <v>79</v>
      </c>
      <c r="G8727" t="s">
        <v>8434</v>
      </c>
    </row>
    <row r="8728" spans="1:7" x14ac:dyDescent="0.3">
      <c r="A8728" t="s">
        <v>8860</v>
      </c>
      <c r="B8728" t="s">
        <v>35</v>
      </c>
      <c r="C8728" t="str">
        <f>_xlfn.XLOOKUP(B8728,
[1]sales_teams!$A$2:$A$100,
[1]sales_teams!$B$2:$B$100)</f>
        <v>Melvin Marxen</v>
      </c>
      <c r="D8728" t="str">
        <f>_xlfn.XLOOKUP($B8728,sales_teams!$A$2:$A$36,sales_teams!C$2:C$36)</f>
        <v>Central</v>
      </c>
      <c r="E8728" t="s">
        <v>10</v>
      </c>
      <c r="G8728" t="s">
        <v>8434</v>
      </c>
    </row>
    <row r="8729" spans="1:7" x14ac:dyDescent="0.3">
      <c r="A8729" t="s">
        <v>8861</v>
      </c>
      <c r="B8729" t="s">
        <v>35</v>
      </c>
      <c r="C8729" t="str">
        <f>_xlfn.XLOOKUP(B8729,
[1]sales_teams!$A$2:$A$100,
[1]sales_teams!$B$2:$B$100)</f>
        <v>Melvin Marxen</v>
      </c>
      <c r="D8729" t="str">
        <f>_xlfn.XLOOKUP($B8729,sales_teams!$A$2:$A$36,sales_teams!C$2:C$36)</f>
        <v>Central</v>
      </c>
      <c r="E8729" t="s">
        <v>10</v>
      </c>
      <c r="G8729" t="s">
        <v>8434</v>
      </c>
    </row>
    <row r="8730" spans="1:7" x14ac:dyDescent="0.3">
      <c r="A8730" t="s">
        <v>8862</v>
      </c>
      <c r="B8730" t="s">
        <v>35</v>
      </c>
      <c r="C8730" t="str">
        <f>_xlfn.XLOOKUP(B8730,
[1]sales_teams!$A$2:$A$100,
[1]sales_teams!$B$2:$B$100)</f>
        <v>Melvin Marxen</v>
      </c>
      <c r="D8730" t="str">
        <f>_xlfn.XLOOKUP($B8730,sales_teams!$A$2:$A$36,sales_teams!C$2:C$36)</f>
        <v>Central</v>
      </c>
      <c r="E8730" t="s">
        <v>10</v>
      </c>
      <c r="G8730" t="s">
        <v>8434</v>
      </c>
    </row>
    <row r="8731" spans="1:7" x14ac:dyDescent="0.3">
      <c r="A8731" t="s">
        <v>8863</v>
      </c>
      <c r="B8731" t="s">
        <v>35</v>
      </c>
      <c r="C8731" t="str">
        <f>_xlfn.XLOOKUP(B8731,
[1]sales_teams!$A$2:$A$100,
[1]sales_teams!$B$2:$B$100)</f>
        <v>Melvin Marxen</v>
      </c>
      <c r="D8731" t="str">
        <f>_xlfn.XLOOKUP($B8731,sales_teams!$A$2:$A$36,sales_teams!C$2:C$36)</f>
        <v>Central</v>
      </c>
      <c r="E8731" t="s">
        <v>48</v>
      </c>
      <c r="F8731" t="s">
        <v>199</v>
      </c>
      <c r="G8731" t="s">
        <v>8434</v>
      </c>
    </row>
    <row r="8732" spans="1:7" x14ac:dyDescent="0.3">
      <c r="A8732" t="s">
        <v>8864</v>
      </c>
      <c r="B8732" t="s">
        <v>35</v>
      </c>
      <c r="C8732" t="str">
        <f>_xlfn.XLOOKUP(B8732,
[1]sales_teams!$A$2:$A$100,
[1]sales_teams!$B$2:$B$100)</f>
        <v>Melvin Marxen</v>
      </c>
      <c r="D8732" t="str">
        <f>_xlfn.XLOOKUP($B8732,sales_teams!$A$2:$A$36,sales_teams!C$2:C$36)</f>
        <v>Central</v>
      </c>
      <c r="E8732" t="s">
        <v>48</v>
      </c>
      <c r="F8732" t="s">
        <v>373</v>
      </c>
      <c r="G8732" t="s">
        <v>8434</v>
      </c>
    </row>
    <row r="8733" spans="1:7" x14ac:dyDescent="0.3">
      <c r="A8733" t="s">
        <v>8865</v>
      </c>
      <c r="B8733" t="s">
        <v>35</v>
      </c>
      <c r="C8733" t="str">
        <f>_xlfn.XLOOKUP(B8733,
[1]sales_teams!$A$2:$A$100,
[1]sales_teams!$B$2:$B$100)</f>
        <v>Melvin Marxen</v>
      </c>
      <c r="D8733" t="str">
        <f>_xlfn.XLOOKUP($B8733,sales_teams!$A$2:$A$36,sales_teams!C$2:C$36)</f>
        <v>Central</v>
      </c>
      <c r="E8733" t="s">
        <v>48</v>
      </c>
      <c r="G8733" t="s">
        <v>8434</v>
      </c>
    </row>
    <row r="8734" spans="1:7" x14ac:dyDescent="0.3">
      <c r="A8734" t="s">
        <v>8866</v>
      </c>
      <c r="B8734" t="s">
        <v>35</v>
      </c>
      <c r="C8734" t="str">
        <f>_xlfn.XLOOKUP(B8734,
[1]sales_teams!$A$2:$A$100,
[1]sales_teams!$B$2:$B$100)</f>
        <v>Melvin Marxen</v>
      </c>
      <c r="D8734" t="str">
        <f>_xlfn.XLOOKUP($B8734,sales_teams!$A$2:$A$36,sales_teams!C$2:C$36)</f>
        <v>Central</v>
      </c>
      <c r="E8734" t="s">
        <v>15</v>
      </c>
      <c r="G8734" t="s">
        <v>8434</v>
      </c>
    </row>
    <row r="8735" spans="1:7" x14ac:dyDescent="0.3">
      <c r="A8735" t="s">
        <v>8867</v>
      </c>
      <c r="B8735" t="s">
        <v>35</v>
      </c>
      <c r="C8735" t="str">
        <f>_xlfn.XLOOKUP(B8735,
[1]sales_teams!$A$2:$A$100,
[1]sales_teams!$B$2:$B$100)</f>
        <v>Melvin Marxen</v>
      </c>
      <c r="D8735" t="str">
        <f>_xlfn.XLOOKUP($B8735,sales_teams!$A$2:$A$36,sales_teams!C$2:C$36)</f>
        <v>Central</v>
      </c>
      <c r="E8735" t="s">
        <v>15</v>
      </c>
      <c r="G8735" t="s">
        <v>8434</v>
      </c>
    </row>
    <row r="8736" spans="1:7" x14ac:dyDescent="0.3">
      <c r="A8736" t="s">
        <v>8868</v>
      </c>
      <c r="B8736" t="s">
        <v>35</v>
      </c>
      <c r="C8736" t="str">
        <f>_xlfn.XLOOKUP(B8736,
[1]sales_teams!$A$2:$A$100,
[1]sales_teams!$B$2:$B$100)</f>
        <v>Melvin Marxen</v>
      </c>
      <c r="D8736" t="str">
        <f>_xlfn.XLOOKUP($B8736,sales_teams!$A$2:$A$36,sales_teams!C$2:C$36)</f>
        <v>Central</v>
      </c>
      <c r="E8736" t="s">
        <v>15</v>
      </c>
      <c r="G8736" t="s">
        <v>8434</v>
      </c>
    </row>
    <row r="8737" spans="1:7" x14ac:dyDescent="0.3">
      <c r="A8737" t="s">
        <v>8869</v>
      </c>
      <c r="B8737" t="s">
        <v>35</v>
      </c>
      <c r="C8737" t="str">
        <f>_xlfn.XLOOKUP(B8737,
[1]sales_teams!$A$2:$A$100,
[1]sales_teams!$B$2:$B$100)</f>
        <v>Melvin Marxen</v>
      </c>
      <c r="D8737" t="str">
        <f>_xlfn.XLOOKUP($B8737,sales_teams!$A$2:$A$36,sales_teams!C$2:C$36)</f>
        <v>Central</v>
      </c>
      <c r="E8737" t="s">
        <v>18</v>
      </c>
      <c r="F8737" t="s">
        <v>315</v>
      </c>
      <c r="G8737" t="s">
        <v>8434</v>
      </c>
    </row>
    <row r="8738" spans="1:7" x14ac:dyDescent="0.3">
      <c r="A8738" t="s">
        <v>8870</v>
      </c>
      <c r="B8738" t="s">
        <v>35</v>
      </c>
      <c r="C8738" t="str">
        <f>_xlfn.XLOOKUP(B8738,
[1]sales_teams!$A$2:$A$100,
[1]sales_teams!$B$2:$B$100)</f>
        <v>Melvin Marxen</v>
      </c>
      <c r="D8738" t="str">
        <f>_xlfn.XLOOKUP($B8738,sales_teams!$A$2:$A$36,sales_teams!C$2:C$36)</f>
        <v>Central</v>
      </c>
      <c r="E8738" t="s">
        <v>18</v>
      </c>
      <c r="F8738" t="s">
        <v>199</v>
      </c>
      <c r="G8738" t="s">
        <v>8434</v>
      </c>
    </row>
    <row r="8739" spans="1:7" x14ac:dyDescent="0.3">
      <c r="A8739" t="s">
        <v>8871</v>
      </c>
      <c r="B8739" t="s">
        <v>35</v>
      </c>
      <c r="C8739" t="str">
        <f>_xlfn.XLOOKUP(B8739,
[1]sales_teams!$A$2:$A$100,
[1]sales_teams!$B$2:$B$100)</f>
        <v>Melvin Marxen</v>
      </c>
      <c r="D8739" t="str">
        <f>_xlfn.XLOOKUP($B8739,sales_teams!$A$2:$A$36,sales_teams!C$2:C$36)</f>
        <v>Central</v>
      </c>
      <c r="E8739" t="s">
        <v>18</v>
      </c>
      <c r="G8739" t="s">
        <v>8434</v>
      </c>
    </row>
    <row r="8740" spans="1:7" x14ac:dyDescent="0.3">
      <c r="A8740" t="s">
        <v>8872</v>
      </c>
      <c r="B8740" t="s">
        <v>35</v>
      </c>
      <c r="C8740" t="str">
        <f>_xlfn.XLOOKUP(B8740,
[1]sales_teams!$A$2:$A$100,
[1]sales_teams!$B$2:$B$100)</f>
        <v>Melvin Marxen</v>
      </c>
      <c r="D8740" t="str">
        <f>_xlfn.XLOOKUP($B8740,sales_teams!$A$2:$A$36,sales_teams!C$2:C$36)</f>
        <v>Central</v>
      </c>
      <c r="E8740" t="s">
        <v>18</v>
      </c>
      <c r="G8740" t="s">
        <v>8434</v>
      </c>
    </row>
    <row r="8741" spans="1:7" x14ac:dyDescent="0.3">
      <c r="A8741" t="s">
        <v>8873</v>
      </c>
      <c r="B8741" t="s">
        <v>35</v>
      </c>
      <c r="C8741" t="str">
        <f>_xlfn.XLOOKUP(B8741,
[1]sales_teams!$A$2:$A$100,
[1]sales_teams!$B$2:$B$100)</f>
        <v>Melvin Marxen</v>
      </c>
      <c r="D8741" t="str">
        <f>_xlfn.XLOOKUP($B8741,sales_teams!$A$2:$A$36,sales_teams!C$2:C$36)</f>
        <v>Central</v>
      </c>
      <c r="E8741" t="s">
        <v>18</v>
      </c>
      <c r="G8741" t="s">
        <v>8434</v>
      </c>
    </row>
    <row r="8742" spans="1:7" x14ac:dyDescent="0.3">
      <c r="A8742" t="s">
        <v>8874</v>
      </c>
      <c r="B8742" t="s">
        <v>35</v>
      </c>
      <c r="C8742" t="str">
        <f>_xlfn.XLOOKUP(B8742,
[1]sales_teams!$A$2:$A$100,
[1]sales_teams!$B$2:$B$100)</f>
        <v>Melvin Marxen</v>
      </c>
      <c r="D8742" t="str">
        <f>_xlfn.XLOOKUP($B8742,sales_teams!$A$2:$A$36,sales_teams!C$2:C$36)</f>
        <v>Central</v>
      </c>
      <c r="E8742" t="s">
        <v>18</v>
      </c>
      <c r="G8742" t="s">
        <v>8434</v>
      </c>
    </row>
    <row r="8743" spans="1:7" x14ac:dyDescent="0.3">
      <c r="A8743" t="s">
        <v>8875</v>
      </c>
      <c r="B8743" t="s">
        <v>35</v>
      </c>
      <c r="C8743" t="str">
        <f>_xlfn.XLOOKUP(B8743,
[1]sales_teams!$A$2:$A$100,
[1]sales_teams!$B$2:$B$100)</f>
        <v>Melvin Marxen</v>
      </c>
      <c r="D8743" t="str">
        <f>_xlfn.XLOOKUP($B8743,sales_teams!$A$2:$A$36,sales_teams!C$2:C$36)</f>
        <v>Central</v>
      </c>
      <c r="E8743" t="s">
        <v>18</v>
      </c>
      <c r="G8743" t="s">
        <v>8434</v>
      </c>
    </row>
    <row r="8744" spans="1:7" x14ac:dyDescent="0.3">
      <c r="A8744" t="s">
        <v>8876</v>
      </c>
      <c r="B8744" t="s">
        <v>35</v>
      </c>
      <c r="C8744" t="str">
        <f>_xlfn.XLOOKUP(B8744,
[1]sales_teams!$A$2:$A$100,
[1]sales_teams!$B$2:$B$100)</f>
        <v>Melvin Marxen</v>
      </c>
      <c r="D8744" t="str">
        <f>_xlfn.XLOOKUP($B8744,sales_teams!$A$2:$A$36,sales_teams!C$2:C$36)</f>
        <v>Central</v>
      </c>
      <c r="E8744" t="s">
        <v>18</v>
      </c>
      <c r="G8744" t="s">
        <v>8434</v>
      </c>
    </row>
    <row r="8745" spans="1:7" x14ac:dyDescent="0.3">
      <c r="A8745" t="s">
        <v>8877</v>
      </c>
      <c r="B8745" t="s">
        <v>35</v>
      </c>
      <c r="C8745" t="str">
        <f>_xlfn.XLOOKUP(B8745,
[1]sales_teams!$A$2:$A$100,
[1]sales_teams!$B$2:$B$100)</f>
        <v>Melvin Marxen</v>
      </c>
      <c r="D8745" t="str">
        <f>_xlfn.XLOOKUP($B8745,sales_teams!$A$2:$A$36,sales_teams!C$2:C$36)</f>
        <v>Central</v>
      </c>
      <c r="E8745" t="s">
        <v>18</v>
      </c>
      <c r="G8745" t="s">
        <v>8434</v>
      </c>
    </row>
    <row r="8746" spans="1:7" x14ac:dyDescent="0.3">
      <c r="A8746" t="s">
        <v>8878</v>
      </c>
      <c r="B8746" t="s">
        <v>35</v>
      </c>
      <c r="C8746" t="str">
        <f>_xlfn.XLOOKUP(B8746,
[1]sales_teams!$A$2:$A$100,
[1]sales_teams!$B$2:$B$100)</f>
        <v>Melvin Marxen</v>
      </c>
      <c r="D8746" t="str">
        <f>_xlfn.XLOOKUP($B8746,sales_teams!$A$2:$A$36,sales_teams!C$2:C$36)</f>
        <v>Central</v>
      </c>
      <c r="E8746" t="s">
        <v>39</v>
      </c>
      <c r="F8746" t="s">
        <v>194</v>
      </c>
      <c r="G8746" t="s">
        <v>8434</v>
      </c>
    </row>
    <row r="8747" spans="1:7" x14ac:dyDescent="0.3">
      <c r="A8747" t="s">
        <v>8879</v>
      </c>
      <c r="B8747" t="s">
        <v>35</v>
      </c>
      <c r="C8747" t="str">
        <f>_xlfn.XLOOKUP(B8747,
[1]sales_teams!$A$2:$A$100,
[1]sales_teams!$B$2:$B$100)</f>
        <v>Melvin Marxen</v>
      </c>
      <c r="D8747" t="str">
        <f>_xlfn.XLOOKUP($B8747,sales_teams!$A$2:$A$36,sales_teams!C$2:C$36)</f>
        <v>Central</v>
      </c>
      <c r="E8747" t="s">
        <v>39</v>
      </c>
      <c r="G8747" t="s">
        <v>8434</v>
      </c>
    </row>
    <row r="8748" spans="1:7" x14ac:dyDescent="0.3">
      <c r="A8748" t="s">
        <v>8880</v>
      </c>
      <c r="B8748" t="s">
        <v>61</v>
      </c>
      <c r="C8748" t="str">
        <f>_xlfn.XLOOKUP(B8748,
[1]sales_teams!$A$2:$A$100,
[1]sales_teams!$B$2:$B$100)</f>
        <v>Dustin Brinkmann</v>
      </c>
      <c r="D8748" t="str">
        <f>_xlfn.XLOOKUP($B8748,sales_teams!$A$2:$A$36,sales_teams!C$2:C$36)</f>
        <v>Central</v>
      </c>
      <c r="E8748" t="s">
        <v>20</v>
      </c>
      <c r="F8748" t="s">
        <v>318</v>
      </c>
      <c r="G8748" t="s">
        <v>8434</v>
      </c>
    </row>
    <row r="8749" spans="1:7" x14ac:dyDescent="0.3">
      <c r="A8749" t="s">
        <v>8881</v>
      </c>
      <c r="B8749" t="s">
        <v>61</v>
      </c>
      <c r="C8749" t="str">
        <f>_xlfn.XLOOKUP(B8749,
[1]sales_teams!$A$2:$A$100,
[1]sales_teams!$B$2:$B$100)</f>
        <v>Dustin Brinkmann</v>
      </c>
      <c r="D8749" t="str">
        <f>_xlfn.XLOOKUP($B8749,sales_teams!$A$2:$A$36,sales_teams!C$2:C$36)</f>
        <v>Central</v>
      </c>
      <c r="E8749" t="s">
        <v>20</v>
      </c>
      <c r="F8749" t="s">
        <v>184</v>
      </c>
      <c r="G8749" t="s">
        <v>8434</v>
      </c>
    </row>
    <row r="8750" spans="1:7" x14ac:dyDescent="0.3">
      <c r="A8750" t="s">
        <v>8882</v>
      </c>
      <c r="B8750" t="s">
        <v>61</v>
      </c>
      <c r="C8750" t="str">
        <f>_xlfn.XLOOKUP(B8750,
[1]sales_teams!$A$2:$A$100,
[1]sales_teams!$B$2:$B$100)</f>
        <v>Dustin Brinkmann</v>
      </c>
      <c r="D8750" t="str">
        <f>_xlfn.XLOOKUP($B8750,sales_teams!$A$2:$A$36,sales_teams!C$2:C$36)</f>
        <v>Central</v>
      </c>
      <c r="E8750" t="s">
        <v>20</v>
      </c>
      <c r="F8750" t="s">
        <v>231</v>
      </c>
      <c r="G8750" t="s">
        <v>8434</v>
      </c>
    </row>
    <row r="8751" spans="1:7" x14ac:dyDescent="0.3">
      <c r="A8751" t="s">
        <v>8883</v>
      </c>
      <c r="B8751" t="s">
        <v>61</v>
      </c>
      <c r="C8751" t="str">
        <f>_xlfn.XLOOKUP(B8751,
[1]sales_teams!$A$2:$A$100,
[1]sales_teams!$B$2:$B$100)</f>
        <v>Dustin Brinkmann</v>
      </c>
      <c r="D8751" t="str">
        <f>_xlfn.XLOOKUP($B8751,sales_teams!$A$2:$A$36,sales_teams!C$2:C$36)</f>
        <v>Central</v>
      </c>
      <c r="E8751" t="s">
        <v>20</v>
      </c>
      <c r="G8751" t="s">
        <v>8434</v>
      </c>
    </row>
    <row r="8752" spans="1:7" x14ac:dyDescent="0.3">
      <c r="A8752" t="s">
        <v>8884</v>
      </c>
      <c r="B8752" t="s">
        <v>61</v>
      </c>
      <c r="C8752" t="str">
        <f>_xlfn.XLOOKUP(B8752,
[1]sales_teams!$A$2:$A$100,
[1]sales_teams!$B$2:$B$100)</f>
        <v>Dustin Brinkmann</v>
      </c>
      <c r="D8752" t="str">
        <f>_xlfn.XLOOKUP($B8752,sales_teams!$A$2:$A$36,sales_teams!C$2:C$36)</f>
        <v>Central</v>
      </c>
      <c r="E8752" t="s">
        <v>20</v>
      </c>
      <c r="G8752" t="s">
        <v>8434</v>
      </c>
    </row>
    <row r="8753" spans="1:7" x14ac:dyDescent="0.3">
      <c r="A8753" t="s">
        <v>8885</v>
      </c>
      <c r="B8753" t="s">
        <v>61</v>
      </c>
      <c r="C8753" t="str">
        <f>_xlfn.XLOOKUP(B8753,
[1]sales_teams!$A$2:$A$100,
[1]sales_teams!$B$2:$B$100)</f>
        <v>Dustin Brinkmann</v>
      </c>
      <c r="D8753" t="str">
        <f>_xlfn.XLOOKUP($B8753,sales_teams!$A$2:$A$36,sales_teams!C$2:C$36)</f>
        <v>Central</v>
      </c>
      <c r="E8753" t="s">
        <v>20</v>
      </c>
      <c r="G8753" t="s">
        <v>8434</v>
      </c>
    </row>
    <row r="8754" spans="1:7" x14ac:dyDescent="0.3">
      <c r="A8754" t="s">
        <v>8886</v>
      </c>
      <c r="B8754" t="s">
        <v>61</v>
      </c>
      <c r="C8754" t="str">
        <f>_xlfn.XLOOKUP(B8754,
[1]sales_teams!$A$2:$A$100,
[1]sales_teams!$B$2:$B$100)</f>
        <v>Dustin Brinkmann</v>
      </c>
      <c r="D8754" t="str">
        <f>_xlfn.XLOOKUP($B8754,sales_teams!$A$2:$A$36,sales_teams!C$2:C$36)</f>
        <v>Central</v>
      </c>
      <c r="E8754" t="s">
        <v>20</v>
      </c>
      <c r="G8754" t="s">
        <v>8434</v>
      </c>
    </row>
    <row r="8755" spans="1:7" x14ac:dyDescent="0.3">
      <c r="A8755" t="s">
        <v>8887</v>
      </c>
      <c r="B8755" t="s">
        <v>61</v>
      </c>
      <c r="C8755" t="str">
        <f>_xlfn.XLOOKUP(B8755,
[1]sales_teams!$A$2:$A$100,
[1]sales_teams!$B$2:$B$100)</f>
        <v>Dustin Brinkmann</v>
      </c>
      <c r="D8755" t="str">
        <f>_xlfn.XLOOKUP($B8755,sales_teams!$A$2:$A$36,sales_teams!C$2:C$36)</f>
        <v>Central</v>
      </c>
      <c r="E8755" t="s">
        <v>10</v>
      </c>
      <c r="F8755" t="s">
        <v>329</v>
      </c>
      <c r="G8755" t="s">
        <v>8434</v>
      </c>
    </row>
    <row r="8756" spans="1:7" x14ac:dyDescent="0.3">
      <c r="A8756" t="s">
        <v>8888</v>
      </c>
      <c r="B8756" t="s">
        <v>61</v>
      </c>
      <c r="C8756" t="str">
        <f>_xlfn.XLOOKUP(B8756,
[1]sales_teams!$A$2:$A$100,
[1]sales_teams!$B$2:$B$100)</f>
        <v>Dustin Brinkmann</v>
      </c>
      <c r="D8756" t="str">
        <f>_xlfn.XLOOKUP($B8756,sales_teams!$A$2:$A$36,sales_teams!C$2:C$36)</f>
        <v>Central</v>
      </c>
      <c r="E8756" t="s">
        <v>10</v>
      </c>
      <c r="G8756" t="s">
        <v>8434</v>
      </c>
    </row>
    <row r="8757" spans="1:7" x14ac:dyDescent="0.3">
      <c r="A8757" t="s">
        <v>8889</v>
      </c>
      <c r="B8757" t="s">
        <v>61</v>
      </c>
      <c r="C8757" t="str">
        <f>_xlfn.XLOOKUP(B8757,
[1]sales_teams!$A$2:$A$100,
[1]sales_teams!$B$2:$B$100)</f>
        <v>Dustin Brinkmann</v>
      </c>
      <c r="D8757" t="str">
        <f>_xlfn.XLOOKUP($B8757,sales_teams!$A$2:$A$36,sales_teams!C$2:C$36)</f>
        <v>Central</v>
      </c>
      <c r="E8757" t="s">
        <v>48</v>
      </c>
      <c r="G8757" t="s">
        <v>8434</v>
      </c>
    </row>
    <row r="8758" spans="1:7" x14ac:dyDescent="0.3">
      <c r="A8758" t="s">
        <v>8890</v>
      </c>
      <c r="B8758" t="s">
        <v>61</v>
      </c>
      <c r="C8758" t="str">
        <f>_xlfn.XLOOKUP(B8758,
[1]sales_teams!$A$2:$A$100,
[1]sales_teams!$B$2:$B$100)</f>
        <v>Dustin Brinkmann</v>
      </c>
      <c r="D8758" t="str">
        <f>_xlfn.XLOOKUP($B8758,sales_teams!$A$2:$A$36,sales_teams!C$2:C$36)</f>
        <v>Central</v>
      </c>
      <c r="E8758" t="s">
        <v>48</v>
      </c>
      <c r="G8758" t="s">
        <v>8434</v>
      </c>
    </row>
    <row r="8759" spans="1:7" x14ac:dyDescent="0.3">
      <c r="A8759" t="s">
        <v>8891</v>
      </c>
      <c r="B8759" t="s">
        <v>61</v>
      </c>
      <c r="C8759" t="str">
        <f>_xlfn.XLOOKUP(B8759,
[1]sales_teams!$A$2:$A$100,
[1]sales_teams!$B$2:$B$100)</f>
        <v>Dustin Brinkmann</v>
      </c>
      <c r="D8759" t="str">
        <f>_xlfn.XLOOKUP($B8759,sales_teams!$A$2:$A$36,sales_teams!C$2:C$36)</f>
        <v>Central</v>
      </c>
      <c r="E8759" t="s">
        <v>18</v>
      </c>
      <c r="F8759" t="s">
        <v>313</v>
      </c>
      <c r="G8759" t="s">
        <v>8434</v>
      </c>
    </row>
    <row r="8760" spans="1:7" x14ac:dyDescent="0.3">
      <c r="A8760" t="s">
        <v>8892</v>
      </c>
      <c r="B8760" t="s">
        <v>61</v>
      </c>
      <c r="C8760" t="str">
        <f>_xlfn.XLOOKUP(B8760,
[1]sales_teams!$A$2:$A$100,
[1]sales_teams!$B$2:$B$100)</f>
        <v>Dustin Brinkmann</v>
      </c>
      <c r="D8760" t="str">
        <f>_xlfn.XLOOKUP($B8760,sales_teams!$A$2:$A$36,sales_teams!C$2:C$36)</f>
        <v>Central</v>
      </c>
      <c r="E8760" t="s">
        <v>18</v>
      </c>
      <c r="F8760" t="s">
        <v>224</v>
      </c>
      <c r="G8760" t="s">
        <v>8434</v>
      </c>
    </row>
    <row r="8761" spans="1:7" x14ac:dyDescent="0.3">
      <c r="A8761" t="s">
        <v>8893</v>
      </c>
      <c r="B8761" t="s">
        <v>61</v>
      </c>
      <c r="C8761" t="str">
        <f>_xlfn.XLOOKUP(B8761,
[1]sales_teams!$A$2:$A$100,
[1]sales_teams!$B$2:$B$100)</f>
        <v>Dustin Brinkmann</v>
      </c>
      <c r="D8761" t="str">
        <f>_xlfn.XLOOKUP($B8761,sales_teams!$A$2:$A$36,sales_teams!C$2:C$36)</f>
        <v>Central</v>
      </c>
      <c r="E8761" t="s">
        <v>18</v>
      </c>
      <c r="F8761" t="s">
        <v>122</v>
      </c>
      <c r="G8761" t="s">
        <v>8434</v>
      </c>
    </row>
    <row r="8762" spans="1:7" x14ac:dyDescent="0.3">
      <c r="A8762" t="s">
        <v>8894</v>
      </c>
      <c r="B8762" t="s">
        <v>61</v>
      </c>
      <c r="C8762" t="str">
        <f>_xlfn.XLOOKUP(B8762,
[1]sales_teams!$A$2:$A$100,
[1]sales_teams!$B$2:$B$100)</f>
        <v>Dustin Brinkmann</v>
      </c>
      <c r="D8762" t="str">
        <f>_xlfn.XLOOKUP($B8762,sales_teams!$A$2:$A$36,sales_teams!C$2:C$36)</f>
        <v>Central</v>
      </c>
      <c r="E8762" t="s">
        <v>18</v>
      </c>
      <c r="F8762" t="s">
        <v>148</v>
      </c>
      <c r="G8762" t="s">
        <v>8434</v>
      </c>
    </row>
    <row r="8763" spans="1:7" x14ac:dyDescent="0.3">
      <c r="A8763" t="s">
        <v>8895</v>
      </c>
      <c r="B8763" t="s">
        <v>61</v>
      </c>
      <c r="C8763" t="str">
        <f>_xlfn.XLOOKUP(B8763,
[1]sales_teams!$A$2:$A$100,
[1]sales_teams!$B$2:$B$100)</f>
        <v>Dustin Brinkmann</v>
      </c>
      <c r="D8763" t="str">
        <f>_xlfn.XLOOKUP($B8763,sales_teams!$A$2:$A$36,sales_teams!C$2:C$36)</f>
        <v>Central</v>
      </c>
      <c r="E8763" t="s">
        <v>18</v>
      </c>
      <c r="F8763" t="s">
        <v>113</v>
      </c>
      <c r="G8763" t="s">
        <v>8434</v>
      </c>
    </row>
    <row r="8764" spans="1:7" x14ac:dyDescent="0.3">
      <c r="A8764" t="s">
        <v>8896</v>
      </c>
      <c r="B8764" t="s">
        <v>61</v>
      </c>
      <c r="C8764" t="str">
        <f>_xlfn.XLOOKUP(B8764,
[1]sales_teams!$A$2:$A$100,
[1]sales_teams!$B$2:$B$100)</f>
        <v>Dustin Brinkmann</v>
      </c>
      <c r="D8764" t="str">
        <f>_xlfn.XLOOKUP($B8764,sales_teams!$A$2:$A$36,sales_teams!C$2:C$36)</f>
        <v>Central</v>
      </c>
      <c r="E8764" t="s">
        <v>18</v>
      </c>
      <c r="F8764" t="s">
        <v>140</v>
      </c>
      <c r="G8764" t="s">
        <v>8434</v>
      </c>
    </row>
    <row r="8765" spans="1:7" x14ac:dyDescent="0.3">
      <c r="A8765" t="s">
        <v>8897</v>
      </c>
      <c r="B8765" t="s">
        <v>61</v>
      </c>
      <c r="C8765" t="str">
        <f>_xlfn.XLOOKUP(B8765,
[1]sales_teams!$A$2:$A$100,
[1]sales_teams!$B$2:$B$100)</f>
        <v>Dustin Brinkmann</v>
      </c>
      <c r="D8765" t="str">
        <f>_xlfn.XLOOKUP($B8765,sales_teams!$A$2:$A$36,sales_teams!C$2:C$36)</f>
        <v>Central</v>
      </c>
      <c r="E8765" t="s">
        <v>18</v>
      </c>
      <c r="F8765" t="s">
        <v>126</v>
      </c>
      <c r="G8765" t="s">
        <v>8434</v>
      </c>
    </row>
    <row r="8766" spans="1:7" x14ac:dyDescent="0.3">
      <c r="A8766" t="s">
        <v>8898</v>
      </c>
      <c r="B8766" t="s">
        <v>61</v>
      </c>
      <c r="C8766" t="str">
        <f>_xlfn.XLOOKUP(B8766,
[1]sales_teams!$A$2:$A$100,
[1]sales_teams!$B$2:$B$100)</f>
        <v>Dustin Brinkmann</v>
      </c>
      <c r="D8766" t="str">
        <f>_xlfn.XLOOKUP($B8766,sales_teams!$A$2:$A$36,sales_teams!C$2:C$36)</f>
        <v>Central</v>
      </c>
      <c r="E8766" t="s">
        <v>18</v>
      </c>
      <c r="G8766" t="s">
        <v>8434</v>
      </c>
    </row>
    <row r="8767" spans="1:7" x14ac:dyDescent="0.3">
      <c r="A8767" t="s">
        <v>8899</v>
      </c>
      <c r="B8767" t="s">
        <v>61</v>
      </c>
      <c r="C8767" t="str">
        <f>_xlfn.XLOOKUP(B8767,
[1]sales_teams!$A$2:$A$100,
[1]sales_teams!$B$2:$B$100)</f>
        <v>Dustin Brinkmann</v>
      </c>
      <c r="D8767" t="str">
        <f>_xlfn.XLOOKUP($B8767,sales_teams!$A$2:$A$36,sales_teams!C$2:C$36)</f>
        <v>Central</v>
      </c>
      <c r="E8767" t="s">
        <v>18</v>
      </c>
      <c r="G8767" t="s">
        <v>8434</v>
      </c>
    </row>
    <row r="8768" spans="1:7" x14ac:dyDescent="0.3">
      <c r="A8768" t="s">
        <v>8900</v>
      </c>
      <c r="B8768" t="s">
        <v>61</v>
      </c>
      <c r="C8768" t="str">
        <f>_xlfn.XLOOKUP(B8768,
[1]sales_teams!$A$2:$A$100,
[1]sales_teams!$B$2:$B$100)</f>
        <v>Dustin Brinkmann</v>
      </c>
      <c r="D8768" t="str">
        <f>_xlfn.XLOOKUP($B8768,sales_teams!$A$2:$A$36,sales_teams!C$2:C$36)</f>
        <v>Central</v>
      </c>
      <c r="E8768" t="s">
        <v>18</v>
      </c>
      <c r="G8768" t="s">
        <v>8434</v>
      </c>
    </row>
    <row r="8769" spans="1:7" x14ac:dyDescent="0.3">
      <c r="A8769" t="s">
        <v>8901</v>
      </c>
      <c r="B8769" t="s">
        <v>61</v>
      </c>
      <c r="C8769" t="str">
        <f>_xlfn.XLOOKUP(B8769,
[1]sales_teams!$A$2:$A$100,
[1]sales_teams!$B$2:$B$100)</f>
        <v>Dustin Brinkmann</v>
      </c>
      <c r="D8769" t="str">
        <f>_xlfn.XLOOKUP($B8769,sales_teams!$A$2:$A$36,sales_teams!C$2:C$36)</f>
        <v>Central</v>
      </c>
      <c r="E8769" t="s">
        <v>18</v>
      </c>
      <c r="G8769" t="s">
        <v>8434</v>
      </c>
    </row>
    <row r="8770" spans="1:7" x14ac:dyDescent="0.3">
      <c r="A8770" t="s">
        <v>8902</v>
      </c>
      <c r="B8770" t="s">
        <v>61</v>
      </c>
      <c r="C8770" t="str">
        <f>_xlfn.XLOOKUP(B8770,
[1]sales_teams!$A$2:$A$100,
[1]sales_teams!$B$2:$B$100)</f>
        <v>Dustin Brinkmann</v>
      </c>
      <c r="D8770" t="str">
        <f>_xlfn.XLOOKUP($B8770,sales_teams!$A$2:$A$36,sales_teams!C$2:C$36)</f>
        <v>Central</v>
      </c>
      <c r="E8770" t="s">
        <v>18</v>
      </c>
      <c r="G8770" t="s">
        <v>8434</v>
      </c>
    </row>
    <row r="8771" spans="1:7" x14ac:dyDescent="0.3">
      <c r="A8771" t="s">
        <v>8903</v>
      </c>
      <c r="B8771" t="s">
        <v>61</v>
      </c>
      <c r="C8771" t="str">
        <f>_xlfn.XLOOKUP(B8771,
[1]sales_teams!$A$2:$A$100,
[1]sales_teams!$B$2:$B$100)</f>
        <v>Dustin Brinkmann</v>
      </c>
      <c r="D8771" t="str">
        <f>_xlfn.XLOOKUP($B8771,sales_teams!$A$2:$A$36,sales_teams!C$2:C$36)</f>
        <v>Central</v>
      </c>
      <c r="E8771" t="s">
        <v>18</v>
      </c>
      <c r="G8771" t="s">
        <v>8434</v>
      </c>
    </row>
    <row r="8772" spans="1:7" x14ac:dyDescent="0.3">
      <c r="A8772" t="s">
        <v>8904</v>
      </c>
      <c r="B8772" t="s">
        <v>61</v>
      </c>
      <c r="C8772" t="str">
        <f>_xlfn.XLOOKUP(B8772,
[1]sales_teams!$A$2:$A$100,
[1]sales_teams!$B$2:$B$100)</f>
        <v>Dustin Brinkmann</v>
      </c>
      <c r="D8772" t="str">
        <f>_xlfn.XLOOKUP($B8772,sales_teams!$A$2:$A$36,sales_teams!C$2:C$36)</f>
        <v>Central</v>
      </c>
      <c r="E8772" t="s">
        <v>18</v>
      </c>
      <c r="G8772" t="s">
        <v>8434</v>
      </c>
    </row>
    <row r="8773" spans="1:7" x14ac:dyDescent="0.3">
      <c r="A8773" t="s">
        <v>8905</v>
      </c>
      <c r="B8773" t="s">
        <v>61</v>
      </c>
      <c r="C8773" t="str">
        <f>_xlfn.XLOOKUP(B8773,
[1]sales_teams!$A$2:$A$100,
[1]sales_teams!$B$2:$B$100)</f>
        <v>Dustin Brinkmann</v>
      </c>
      <c r="D8773" t="str">
        <f>_xlfn.XLOOKUP($B8773,sales_teams!$A$2:$A$36,sales_teams!C$2:C$36)</f>
        <v>Central</v>
      </c>
      <c r="E8773" t="s">
        <v>18</v>
      </c>
      <c r="G8773" t="s">
        <v>8434</v>
      </c>
    </row>
    <row r="8774" spans="1:7" x14ac:dyDescent="0.3">
      <c r="A8774" t="s">
        <v>8906</v>
      </c>
      <c r="B8774" t="s">
        <v>61</v>
      </c>
      <c r="C8774" t="str">
        <f>_xlfn.XLOOKUP(B8774,
[1]sales_teams!$A$2:$A$100,
[1]sales_teams!$B$2:$B$100)</f>
        <v>Dustin Brinkmann</v>
      </c>
      <c r="D8774" t="str">
        <f>_xlfn.XLOOKUP($B8774,sales_teams!$A$2:$A$36,sales_teams!C$2:C$36)</f>
        <v>Central</v>
      </c>
      <c r="E8774" t="s">
        <v>18</v>
      </c>
      <c r="G8774" t="s">
        <v>8434</v>
      </c>
    </row>
    <row r="8775" spans="1:7" x14ac:dyDescent="0.3">
      <c r="A8775" t="s">
        <v>8907</v>
      </c>
      <c r="B8775" t="s">
        <v>61</v>
      </c>
      <c r="C8775" t="str">
        <f>_xlfn.XLOOKUP(B8775,
[1]sales_teams!$A$2:$A$100,
[1]sales_teams!$B$2:$B$100)</f>
        <v>Dustin Brinkmann</v>
      </c>
      <c r="D8775" t="str">
        <f>_xlfn.XLOOKUP($B8775,sales_teams!$A$2:$A$36,sales_teams!C$2:C$36)</f>
        <v>Central</v>
      </c>
      <c r="E8775" t="s">
        <v>18</v>
      </c>
      <c r="G8775" t="s">
        <v>8434</v>
      </c>
    </row>
    <row r="8776" spans="1:7" x14ac:dyDescent="0.3">
      <c r="A8776" t="s">
        <v>8908</v>
      </c>
      <c r="B8776" t="s">
        <v>61</v>
      </c>
      <c r="C8776" t="str">
        <f>_xlfn.XLOOKUP(B8776,
[1]sales_teams!$A$2:$A$100,
[1]sales_teams!$B$2:$B$100)</f>
        <v>Dustin Brinkmann</v>
      </c>
      <c r="D8776" t="str">
        <f>_xlfn.XLOOKUP($B8776,sales_teams!$A$2:$A$36,sales_teams!C$2:C$36)</f>
        <v>Central</v>
      </c>
      <c r="E8776" t="s">
        <v>18</v>
      </c>
      <c r="G8776" t="s">
        <v>8434</v>
      </c>
    </row>
    <row r="8777" spans="1:7" x14ac:dyDescent="0.3">
      <c r="A8777" t="s">
        <v>8909</v>
      </c>
      <c r="B8777" t="s">
        <v>61</v>
      </c>
      <c r="C8777" t="str">
        <f>_xlfn.XLOOKUP(B8777,
[1]sales_teams!$A$2:$A$100,
[1]sales_teams!$B$2:$B$100)</f>
        <v>Dustin Brinkmann</v>
      </c>
      <c r="D8777" t="str">
        <f>_xlfn.XLOOKUP($B8777,sales_teams!$A$2:$A$36,sales_teams!C$2:C$36)</f>
        <v>Central</v>
      </c>
      <c r="E8777" t="s">
        <v>18</v>
      </c>
      <c r="G8777" t="s">
        <v>8434</v>
      </c>
    </row>
    <row r="8778" spans="1:7" x14ac:dyDescent="0.3">
      <c r="A8778" t="s">
        <v>8910</v>
      </c>
      <c r="B8778" t="s">
        <v>61</v>
      </c>
      <c r="C8778" t="str">
        <f>_xlfn.XLOOKUP(B8778,
[1]sales_teams!$A$2:$A$100,
[1]sales_teams!$B$2:$B$100)</f>
        <v>Dustin Brinkmann</v>
      </c>
      <c r="D8778" t="str">
        <f>_xlfn.XLOOKUP($B8778,sales_teams!$A$2:$A$36,sales_teams!C$2:C$36)</f>
        <v>Central</v>
      </c>
      <c r="E8778" t="s">
        <v>18</v>
      </c>
      <c r="G8778" t="s">
        <v>8434</v>
      </c>
    </row>
    <row r="8779" spans="1:7" x14ac:dyDescent="0.3">
      <c r="A8779" t="s">
        <v>8911</v>
      </c>
      <c r="B8779" t="s">
        <v>61</v>
      </c>
      <c r="C8779" t="str">
        <f>_xlfn.XLOOKUP(B8779,
[1]sales_teams!$A$2:$A$100,
[1]sales_teams!$B$2:$B$100)</f>
        <v>Dustin Brinkmann</v>
      </c>
      <c r="D8779" t="str">
        <f>_xlfn.XLOOKUP($B8779,sales_teams!$A$2:$A$36,sales_teams!C$2:C$36)</f>
        <v>Central</v>
      </c>
      <c r="E8779" t="s">
        <v>18</v>
      </c>
      <c r="G8779" t="s">
        <v>8434</v>
      </c>
    </row>
    <row r="8780" spans="1:7" x14ac:dyDescent="0.3">
      <c r="A8780" t="s">
        <v>8912</v>
      </c>
      <c r="B8780" t="s">
        <v>61</v>
      </c>
      <c r="C8780" t="str">
        <f>_xlfn.XLOOKUP(B8780,
[1]sales_teams!$A$2:$A$100,
[1]sales_teams!$B$2:$B$100)</f>
        <v>Dustin Brinkmann</v>
      </c>
      <c r="D8780" t="str">
        <f>_xlfn.XLOOKUP($B8780,sales_teams!$A$2:$A$36,sales_teams!C$2:C$36)</f>
        <v>Central</v>
      </c>
      <c r="E8780" t="s">
        <v>18</v>
      </c>
      <c r="G8780" t="s">
        <v>8434</v>
      </c>
    </row>
    <row r="8781" spans="1:7" x14ac:dyDescent="0.3">
      <c r="A8781" t="s">
        <v>8913</v>
      </c>
      <c r="B8781" t="s">
        <v>61</v>
      </c>
      <c r="C8781" t="str">
        <f>_xlfn.XLOOKUP(B8781,
[1]sales_teams!$A$2:$A$100,
[1]sales_teams!$B$2:$B$100)</f>
        <v>Dustin Brinkmann</v>
      </c>
      <c r="D8781" t="str">
        <f>_xlfn.XLOOKUP($B8781,sales_teams!$A$2:$A$36,sales_teams!C$2:C$36)</f>
        <v>Central</v>
      </c>
      <c r="E8781" t="s">
        <v>18</v>
      </c>
      <c r="G8781" t="s">
        <v>8434</v>
      </c>
    </row>
    <row r="8782" spans="1:7" x14ac:dyDescent="0.3">
      <c r="A8782" t="s">
        <v>8914</v>
      </c>
      <c r="B8782" t="s">
        <v>61</v>
      </c>
      <c r="C8782" t="str">
        <f>_xlfn.XLOOKUP(B8782,
[1]sales_teams!$A$2:$A$100,
[1]sales_teams!$B$2:$B$100)</f>
        <v>Dustin Brinkmann</v>
      </c>
      <c r="D8782" t="str">
        <f>_xlfn.XLOOKUP($B8782,sales_teams!$A$2:$A$36,sales_teams!C$2:C$36)</f>
        <v>Central</v>
      </c>
      <c r="E8782" t="s">
        <v>18</v>
      </c>
      <c r="G8782" t="s">
        <v>8434</v>
      </c>
    </row>
    <row r="8783" spans="1:7" x14ac:dyDescent="0.3">
      <c r="A8783" t="s">
        <v>8915</v>
      </c>
      <c r="B8783" t="s">
        <v>61</v>
      </c>
      <c r="C8783" t="str">
        <f>_xlfn.XLOOKUP(B8783,
[1]sales_teams!$A$2:$A$100,
[1]sales_teams!$B$2:$B$100)</f>
        <v>Dustin Brinkmann</v>
      </c>
      <c r="D8783" t="str">
        <f>_xlfn.XLOOKUP($B8783,sales_teams!$A$2:$A$36,sales_teams!C$2:C$36)</f>
        <v>Central</v>
      </c>
      <c r="E8783" t="s">
        <v>18</v>
      </c>
      <c r="G8783" t="s">
        <v>8434</v>
      </c>
    </row>
    <row r="8784" spans="1:7" x14ac:dyDescent="0.3">
      <c r="A8784" t="s">
        <v>8916</v>
      </c>
      <c r="B8784" t="s">
        <v>61</v>
      </c>
      <c r="C8784" t="str">
        <f>_xlfn.XLOOKUP(B8784,
[1]sales_teams!$A$2:$A$100,
[1]sales_teams!$B$2:$B$100)</f>
        <v>Dustin Brinkmann</v>
      </c>
      <c r="D8784" t="str">
        <f>_xlfn.XLOOKUP($B8784,sales_teams!$A$2:$A$36,sales_teams!C$2:C$36)</f>
        <v>Central</v>
      </c>
      <c r="E8784" t="s">
        <v>18</v>
      </c>
      <c r="G8784" t="s">
        <v>8434</v>
      </c>
    </row>
    <row r="8785" spans="1:7" x14ac:dyDescent="0.3">
      <c r="A8785" t="s">
        <v>8917</v>
      </c>
      <c r="B8785" t="s">
        <v>61</v>
      </c>
      <c r="C8785" t="str">
        <f>_xlfn.XLOOKUP(B8785,
[1]sales_teams!$A$2:$A$100,
[1]sales_teams!$B$2:$B$100)</f>
        <v>Dustin Brinkmann</v>
      </c>
      <c r="D8785" t="str">
        <f>_xlfn.XLOOKUP($B8785,sales_teams!$A$2:$A$36,sales_teams!C$2:C$36)</f>
        <v>Central</v>
      </c>
      <c r="E8785" t="s">
        <v>18</v>
      </c>
      <c r="G8785" t="s">
        <v>8434</v>
      </c>
    </row>
    <row r="8786" spans="1:7" x14ac:dyDescent="0.3">
      <c r="A8786" t="s">
        <v>8918</v>
      </c>
      <c r="B8786" t="s">
        <v>61</v>
      </c>
      <c r="C8786" t="str">
        <f>_xlfn.XLOOKUP(B8786,
[1]sales_teams!$A$2:$A$100,
[1]sales_teams!$B$2:$B$100)</f>
        <v>Dustin Brinkmann</v>
      </c>
      <c r="D8786" t="str">
        <f>_xlfn.XLOOKUP($B8786,sales_teams!$A$2:$A$36,sales_teams!C$2:C$36)</f>
        <v>Central</v>
      </c>
      <c r="E8786" t="s">
        <v>18</v>
      </c>
      <c r="G8786" t="s">
        <v>8434</v>
      </c>
    </row>
    <row r="8787" spans="1:7" x14ac:dyDescent="0.3">
      <c r="A8787" t="s">
        <v>8919</v>
      </c>
      <c r="B8787" t="s">
        <v>61</v>
      </c>
      <c r="C8787" t="str">
        <f>_xlfn.XLOOKUP(B8787,
[1]sales_teams!$A$2:$A$100,
[1]sales_teams!$B$2:$B$100)</f>
        <v>Dustin Brinkmann</v>
      </c>
      <c r="D8787" t="str">
        <f>_xlfn.XLOOKUP($B8787,sales_teams!$A$2:$A$36,sales_teams!C$2:C$36)</f>
        <v>Central</v>
      </c>
      <c r="E8787" t="s">
        <v>18</v>
      </c>
      <c r="G8787" t="s">
        <v>8434</v>
      </c>
    </row>
    <row r="8788" spans="1:7" x14ac:dyDescent="0.3">
      <c r="A8788" t="s">
        <v>8920</v>
      </c>
      <c r="B8788" t="s">
        <v>61</v>
      </c>
      <c r="C8788" t="str">
        <f>_xlfn.XLOOKUP(B8788,
[1]sales_teams!$A$2:$A$100,
[1]sales_teams!$B$2:$B$100)</f>
        <v>Dustin Brinkmann</v>
      </c>
      <c r="D8788" t="str">
        <f>_xlfn.XLOOKUP($B8788,sales_teams!$A$2:$A$36,sales_teams!C$2:C$36)</f>
        <v>Central</v>
      </c>
      <c r="E8788" t="s">
        <v>18</v>
      </c>
      <c r="G8788" t="s">
        <v>8434</v>
      </c>
    </row>
    <row r="8789" spans="1:7" x14ac:dyDescent="0.3">
      <c r="A8789" t="s">
        <v>8921</v>
      </c>
      <c r="B8789" t="s">
        <v>61</v>
      </c>
      <c r="C8789" t="str">
        <f>_xlfn.XLOOKUP(B8789,
[1]sales_teams!$A$2:$A$100,
[1]sales_teams!$B$2:$B$100)</f>
        <v>Dustin Brinkmann</v>
      </c>
      <c r="D8789" t="str">
        <f>_xlfn.XLOOKUP($B8789,sales_teams!$A$2:$A$36,sales_teams!C$2:C$36)</f>
        <v>Central</v>
      </c>
      <c r="E8789" t="s">
        <v>18</v>
      </c>
      <c r="G8789" t="s">
        <v>8434</v>
      </c>
    </row>
    <row r="8790" spans="1:7" x14ac:dyDescent="0.3">
      <c r="A8790" t="s">
        <v>8922</v>
      </c>
      <c r="B8790" t="s">
        <v>61</v>
      </c>
      <c r="C8790" t="str">
        <f>_xlfn.XLOOKUP(B8790,
[1]sales_teams!$A$2:$A$100,
[1]sales_teams!$B$2:$B$100)</f>
        <v>Dustin Brinkmann</v>
      </c>
      <c r="D8790" t="str">
        <f>_xlfn.XLOOKUP($B8790,sales_teams!$A$2:$A$36,sales_teams!C$2:C$36)</f>
        <v>Central</v>
      </c>
      <c r="E8790" t="s">
        <v>18</v>
      </c>
      <c r="G8790" t="s">
        <v>8434</v>
      </c>
    </row>
    <row r="8791" spans="1:7" x14ac:dyDescent="0.3">
      <c r="A8791" t="s">
        <v>8923</v>
      </c>
      <c r="B8791" t="s">
        <v>61</v>
      </c>
      <c r="C8791" t="str">
        <f>_xlfn.XLOOKUP(B8791,
[1]sales_teams!$A$2:$A$100,
[1]sales_teams!$B$2:$B$100)</f>
        <v>Dustin Brinkmann</v>
      </c>
      <c r="D8791" t="str">
        <f>_xlfn.XLOOKUP($B8791,sales_teams!$A$2:$A$36,sales_teams!C$2:C$36)</f>
        <v>Central</v>
      </c>
      <c r="E8791" t="s">
        <v>18</v>
      </c>
      <c r="G8791" t="s">
        <v>8434</v>
      </c>
    </row>
    <row r="8792" spans="1:7" x14ac:dyDescent="0.3">
      <c r="A8792" t="s">
        <v>8924</v>
      </c>
      <c r="B8792" t="s">
        <v>61</v>
      </c>
      <c r="C8792" t="str">
        <f>_xlfn.XLOOKUP(B8792,
[1]sales_teams!$A$2:$A$100,
[1]sales_teams!$B$2:$B$100)</f>
        <v>Dustin Brinkmann</v>
      </c>
      <c r="D8792" t="str">
        <f>_xlfn.XLOOKUP($B8792,sales_teams!$A$2:$A$36,sales_teams!C$2:C$36)</f>
        <v>Central</v>
      </c>
      <c r="E8792" t="s">
        <v>39</v>
      </c>
      <c r="F8792" t="s">
        <v>81</v>
      </c>
      <c r="G8792" t="s">
        <v>8434</v>
      </c>
    </row>
    <row r="8793" spans="1:7" x14ac:dyDescent="0.3">
      <c r="A8793" t="s">
        <v>8925</v>
      </c>
      <c r="B8793" t="s">
        <v>61</v>
      </c>
      <c r="C8793" t="str">
        <f>_xlfn.XLOOKUP(B8793,
[1]sales_teams!$A$2:$A$100,
[1]sales_teams!$B$2:$B$100)</f>
        <v>Dustin Brinkmann</v>
      </c>
      <c r="D8793" t="str">
        <f>_xlfn.XLOOKUP($B8793,sales_teams!$A$2:$A$36,sales_teams!C$2:C$36)</f>
        <v>Central</v>
      </c>
      <c r="E8793" t="s">
        <v>39</v>
      </c>
      <c r="F8793" t="s">
        <v>143</v>
      </c>
      <c r="G8793" t="s">
        <v>8434</v>
      </c>
    </row>
    <row r="8794" spans="1:7" x14ac:dyDescent="0.3">
      <c r="A8794" t="s">
        <v>8926</v>
      </c>
      <c r="B8794" t="s">
        <v>61</v>
      </c>
      <c r="C8794" t="str">
        <f>_xlfn.XLOOKUP(B8794,
[1]sales_teams!$A$2:$A$100,
[1]sales_teams!$B$2:$B$100)</f>
        <v>Dustin Brinkmann</v>
      </c>
      <c r="D8794" t="str">
        <f>_xlfn.XLOOKUP($B8794,sales_teams!$A$2:$A$36,sales_teams!C$2:C$36)</f>
        <v>Central</v>
      </c>
      <c r="E8794" t="s">
        <v>39</v>
      </c>
      <c r="G8794" t="s">
        <v>8434</v>
      </c>
    </row>
    <row r="8795" spans="1:7" x14ac:dyDescent="0.3">
      <c r="A8795" t="s">
        <v>8927</v>
      </c>
      <c r="B8795" t="s">
        <v>61</v>
      </c>
      <c r="C8795" t="str">
        <f>_xlfn.XLOOKUP(B8795,
[1]sales_teams!$A$2:$A$100,
[1]sales_teams!$B$2:$B$100)</f>
        <v>Dustin Brinkmann</v>
      </c>
      <c r="D8795" t="str">
        <f>_xlfn.XLOOKUP($B8795,sales_teams!$A$2:$A$36,sales_teams!C$2:C$36)</f>
        <v>Central</v>
      </c>
      <c r="E8795" t="s">
        <v>39</v>
      </c>
      <c r="G8795" t="s">
        <v>8434</v>
      </c>
    </row>
    <row r="8796" spans="1:7" x14ac:dyDescent="0.3">
      <c r="A8796" t="s">
        <v>8928</v>
      </c>
      <c r="B8796" t="s">
        <v>61</v>
      </c>
      <c r="C8796" t="str">
        <f>_xlfn.XLOOKUP(B8796,
[1]sales_teams!$A$2:$A$100,
[1]sales_teams!$B$2:$B$100)</f>
        <v>Dustin Brinkmann</v>
      </c>
      <c r="D8796" t="str">
        <f>_xlfn.XLOOKUP($B8796,sales_teams!$A$2:$A$36,sales_teams!C$2:C$36)</f>
        <v>Central</v>
      </c>
      <c r="E8796" t="s">
        <v>39</v>
      </c>
      <c r="G8796" t="s">
        <v>8434</v>
      </c>
    </row>
    <row r="8797" spans="1:7" x14ac:dyDescent="0.3">
      <c r="A8797" t="s">
        <v>8929</v>
      </c>
      <c r="B8797" t="s">
        <v>61</v>
      </c>
      <c r="C8797" t="str">
        <f>_xlfn.XLOOKUP(B8797,
[1]sales_teams!$A$2:$A$100,
[1]sales_teams!$B$2:$B$100)</f>
        <v>Dustin Brinkmann</v>
      </c>
      <c r="D8797" t="str">
        <f>_xlfn.XLOOKUP($B8797,sales_teams!$A$2:$A$36,sales_teams!C$2:C$36)</f>
        <v>Central</v>
      </c>
      <c r="E8797" t="s">
        <v>39</v>
      </c>
      <c r="G8797" t="s">
        <v>8434</v>
      </c>
    </row>
    <row r="8798" spans="1:7" x14ac:dyDescent="0.3">
      <c r="A8798" t="s">
        <v>8930</v>
      </c>
      <c r="B8798" t="s">
        <v>61</v>
      </c>
      <c r="C8798" t="str">
        <f>_xlfn.XLOOKUP(B8798,
[1]sales_teams!$A$2:$A$100,
[1]sales_teams!$B$2:$B$100)</f>
        <v>Dustin Brinkmann</v>
      </c>
      <c r="D8798" t="str">
        <f>_xlfn.XLOOKUP($B8798,sales_teams!$A$2:$A$36,sales_teams!C$2:C$36)</f>
        <v>Central</v>
      </c>
      <c r="E8798" t="s">
        <v>39</v>
      </c>
      <c r="G8798" t="s">
        <v>8434</v>
      </c>
    </row>
    <row r="8799" spans="1:7" x14ac:dyDescent="0.3">
      <c r="A8799" t="s">
        <v>8931</v>
      </c>
      <c r="B8799" t="s">
        <v>61</v>
      </c>
      <c r="C8799" t="str">
        <f>_xlfn.XLOOKUP(B8799,
[1]sales_teams!$A$2:$A$100,
[1]sales_teams!$B$2:$B$100)</f>
        <v>Dustin Brinkmann</v>
      </c>
      <c r="D8799" t="str">
        <f>_xlfn.XLOOKUP($B8799,sales_teams!$A$2:$A$36,sales_teams!C$2:C$36)</f>
        <v>Central</v>
      </c>
      <c r="E8799" t="s">
        <v>39</v>
      </c>
      <c r="G8799" t="s">
        <v>8434</v>
      </c>
    </row>
    <row r="8800" spans="1:7" x14ac:dyDescent="0.3">
      <c r="A8800" t="s">
        <v>8932</v>
      </c>
      <c r="B8800" t="s">
        <v>61</v>
      </c>
      <c r="C8800" t="str">
        <f>_xlfn.XLOOKUP(B8800,
[1]sales_teams!$A$2:$A$100,
[1]sales_teams!$B$2:$B$100)</f>
        <v>Dustin Brinkmann</v>
      </c>
      <c r="D8800" t="str">
        <f>_xlfn.XLOOKUP($B8800,sales_teams!$A$2:$A$36,sales_teams!C$2:C$36)</f>
        <v>Central</v>
      </c>
      <c r="E8800" t="s">
        <v>39</v>
      </c>
      <c r="G8800" t="s">
        <v>8434</v>
      </c>
    </row>
    <row r="8801" spans="1:7" x14ac:dyDescent="0.3">
      <c r="A8801" t="s">
        <v>8933</v>
      </c>
      <c r="B8801" t="s">
        <v>61</v>
      </c>
      <c r="C8801" t="str">
        <f>_xlfn.XLOOKUP(B8801,
[1]sales_teams!$A$2:$A$100,
[1]sales_teams!$B$2:$B$100)</f>
        <v>Dustin Brinkmann</v>
      </c>
      <c r="D8801" t="str">
        <f>_xlfn.XLOOKUP($B8801,sales_teams!$A$2:$A$36,sales_teams!C$2:C$36)</f>
        <v>Central</v>
      </c>
      <c r="E8801" t="s">
        <v>39</v>
      </c>
      <c r="G8801" t="s">
        <v>8434</v>
      </c>
    </row>
  </sheetData>
  <autoFilter ref="A1:J1" xr:uid="{36C3C176-791E-432F-BFCE-F93DB7F0816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1DFD-8DA3-46DB-8BFA-99897FC2A0FF}">
  <dimension ref="A1:C36"/>
  <sheetViews>
    <sheetView workbookViewId="0">
      <selection activeCell="B3" sqref="B3"/>
    </sheetView>
  </sheetViews>
  <sheetFormatPr defaultRowHeight="14.4" x14ac:dyDescent="0.3"/>
  <cols>
    <col min="1" max="1" width="17.6640625" bestFit="1" customWidth="1"/>
    <col min="2" max="2" width="15.33203125" bestFit="1" customWidth="1"/>
    <col min="3" max="3" width="13.44140625" bestFit="1" customWidth="1"/>
  </cols>
  <sheetData>
    <row r="1" spans="1:3" x14ac:dyDescent="0.3">
      <c r="A1" t="s">
        <v>1</v>
      </c>
      <c r="B1" t="s">
        <v>8934</v>
      </c>
      <c r="C1" t="s">
        <v>8935</v>
      </c>
    </row>
    <row r="2" spans="1:3" x14ac:dyDescent="0.3">
      <c r="A2" t="s">
        <v>26</v>
      </c>
      <c r="B2" t="s">
        <v>8936</v>
      </c>
      <c r="C2" t="s">
        <v>8937</v>
      </c>
    </row>
    <row r="3" spans="1:3" x14ac:dyDescent="0.3">
      <c r="A3" t="s">
        <v>202</v>
      </c>
      <c r="B3" t="s">
        <v>8936</v>
      </c>
      <c r="C3" t="s">
        <v>8937</v>
      </c>
    </row>
    <row r="4" spans="1:3" x14ac:dyDescent="0.3">
      <c r="A4" t="s">
        <v>61</v>
      </c>
      <c r="B4" t="s">
        <v>8936</v>
      </c>
      <c r="C4" t="s">
        <v>8937</v>
      </c>
    </row>
    <row r="5" spans="1:3" x14ac:dyDescent="0.3">
      <c r="A5" t="s">
        <v>133</v>
      </c>
      <c r="B5" t="s">
        <v>8936</v>
      </c>
      <c r="C5" t="s">
        <v>8937</v>
      </c>
    </row>
    <row r="6" spans="1:3" x14ac:dyDescent="0.3">
      <c r="A6" t="s">
        <v>9</v>
      </c>
      <c r="B6" t="s">
        <v>8936</v>
      </c>
      <c r="C6" t="s">
        <v>8937</v>
      </c>
    </row>
    <row r="7" spans="1:3" x14ac:dyDescent="0.3">
      <c r="A7" t="s">
        <v>252</v>
      </c>
      <c r="B7" t="s">
        <v>8938</v>
      </c>
      <c r="C7" t="s">
        <v>8937</v>
      </c>
    </row>
    <row r="8" spans="1:3" x14ac:dyDescent="0.3">
      <c r="A8" t="s">
        <v>116</v>
      </c>
      <c r="B8" t="s">
        <v>8938</v>
      </c>
      <c r="C8" t="s">
        <v>8937</v>
      </c>
    </row>
    <row r="9" spans="1:3" x14ac:dyDescent="0.3">
      <c r="A9" t="s">
        <v>44</v>
      </c>
      <c r="B9" t="s">
        <v>8938</v>
      </c>
      <c r="C9" t="s">
        <v>8937</v>
      </c>
    </row>
    <row r="10" spans="1:3" x14ac:dyDescent="0.3">
      <c r="A10" t="s">
        <v>35</v>
      </c>
      <c r="B10" t="s">
        <v>8938</v>
      </c>
      <c r="C10" t="s">
        <v>8937</v>
      </c>
    </row>
    <row r="11" spans="1:3" x14ac:dyDescent="0.3">
      <c r="A11" t="s">
        <v>14</v>
      </c>
      <c r="B11" t="s">
        <v>8938</v>
      </c>
      <c r="C11" t="s">
        <v>8937</v>
      </c>
    </row>
    <row r="12" spans="1:3" x14ac:dyDescent="0.3">
      <c r="A12" t="s">
        <v>8939</v>
      </c>
      <c r="B12" t="s">
        <v>8938</v>
      </c>
      <c r="C12" t="s">
        <v>8937</v>
      </c>
    </row>
    <row r="13" spans="1:3" x14ac:dyDescent="0.3">
      <c r="A13" t="s">
        <v>73</v>
      </c>
      <c r="B13" t="s">
        <v>8940</v>
      </c>
      <c r="C13" t="s">
        <v>8941</v>
      </c>
    </row>
    <row r="14" spans="1:3" x14ac:dyDescent="0.3">
      <c r="A14" t="s">
        <v>164</v>
      </c>
      <c r="B14" t="s">
        <v>8940</v>
      </c>
      <c r="C14" t="s">
        <v>8941</v>
      </c>
    </row>
    <row r="15" spans="1:3" x14ac:dyDescent="0.3">
      <c r="A15" t="s">
        <v>88</v>
      </c>
      <c r="B15" t="s">
        <v>8940</v>
      </c>
      <c r="C15" t="s">
        <v>8941</v>
      </c>
    </row>
    <row r="16" spans="1:3" x14ac:dyDescent="0.3">
      <c r="A16" t="s">
        <v>105</v>
      </c>
      <c r="B16" t="s">
        <v>8940</v>
      </c>
      <c r="C16" t="s">
        <v>8941</v>
      </c>
    </row>
    <row r="17" spans="1:3" x14ac:dyDescent="0.3">
      <c r="A17" t="s">
        <v>102</v>
      </c>
      <c r="B17" t="s">
        <v>8940</v>
      </c>
      <c r="C17" t="s">
        <v>8941</v>
      </c>
    </row>
    <row r="18" spans="1:3" x14ac:dyDescent="0.3">
      <c r="A18" t="s">
        <v>8942</v>
      </c>
      <c r="B18" t="s">
        <v>8940</v>
      </c>
      <c r="C18" t="s">
        <v>8941</v>
      </c>
    </row>
    <row r="19" spans="1:3" x14ac:dyDescent="0.3">
      <c r="A19" t="s">
        <v>64</v>
      </c>
      <c r="B19" t="s">
        <v>8943</v>
      </c>
      <c r="C19" t="s">
        <v>8941</v>
      </c>
    </row>
    <row r="20" spans="1:3" x14ac:dyDescent="0.3">
      <c r="A20" t="s">
        <v>118</v>
      </c>
      <c r="B20" t="s">
        <v>8943</v>
      </c>
      <c r="C20" t="s">
        <v>8941</v>
      </c>
    </row>
    <row r="21" spans="1:3" x14ac:dyDescent="0.3">
      <c r="A21" t="s">
        <v>142</v>
      </c>
      <c r="B21" t="s">
        <v>8943</v>
      </c>
      <c r="C21" t="s">
        <v>8941</v>
      </c>
    </row>
    <row r="22" spans="1:3" x14ac:dyDescent="0.3">
      <c r="A22" t="s">
        <v>97</v>
      </c>
      <c r="B22" t="s">
        <v>8943</v>
      </c>
      <c r="C22" t="s">
        <v>8941</v>
      </c>
    </row>
    <row r="23" spans="1:3" x14ac:dyDescent="0.3">
      <c r="A23" t="s">
        <v>139</v>
      </c>
      <c r="B23" t="s">
        <v>8943</v>
      </c>
      <c r="C23" t="s">
        <v>8941</v>
      </c>
    </row>
    <row r="24" spans="1:3" x14ac:dyDescent="0.3">
      <c r="A24" t="s">
        <v>8944</v>
      </c>
      <c r="B24" t="s">
        <v>8943</v>
      </c>
      <c r="C24" t="s">
        <v>8941</v>
      </c>
    </row>
    <row r="25" spans="1:3" x14ac:dyDescent="0.3">
      <c r="A25" t="s">
        <v>29</v>
      </c>
      <c r="B25" t="s">
        <v>8945</v>
      </c>
      <c r="C25" t="s">
        <v>8946</v>
      </c>
    </row>
    <row r="26" spans="1:3" x14ac:dyDescent="0.3">
      <c r="A26" t="s">
        <v>57</v>
      </c>
      <c r="B26" t="s">
        <v>8945</v>
      </c>
      <c r="C26" t="s">
        <v>8946</v>
      </c>
    </row>
    <row r="27" spans="1:3" x14ac:dyDescent="0.3">
      <c r="A27" t="s">
        <v>54</v>
      </c>
      <c r="B27" t="s">
        <v>8945</v>
      </c>
      <c r="C27" t="s">
        <v>8946</v>
      </c>
    </row>
    <row r="28" spans="1:3" x14ac:dyDescent="0.3">
      <c r="A28" t="s">
        <v>32</v>
      </c>
      <c r="B28" t="s">
        <v>8945</v>
      </c>
      <c r="C28" t="s">
        <v>8946</v>
      </c>
    </row>
    <row r="29" spans="1:3" x14ac:dyDescent="0.3">
      <c r="A29" t="s">
        <v>67</v>
      </c>
      <c r="B29" t="s">
        <v>8945</v>
      </c>
      <c r="C29" t="s">
        <v>8946</v>
      </c>
    </row>
    <row r="30" spans="1:3" x14ac:dyDescent="0.3">
      <c r="A30" t="s">
        <v>8947</v>
      </c>
      <c r="B30" t="s">
        <v>8945</v>
      </c>
      <c r="C30" t="s">
        <v>8946</v>
      </c>
    </row>
    <row r="31" spans="1:3" x14ac:dyDescent="0.3">
      <c r="A31" t="s">
        <v>38</v>
      </c>
      <c r="B31" t="s">
        <v>8948</v>
      </c>
      <c r="C31" t="s">
        <v>8946</v>
      </c>
    </row>
    <row r="32" spans="1:3" x14ac:dyDescent="0.3">
      <c r="A32" t="s">
        <v>95</v>
      </c>
      <c r="B32" t="s">
        <v>8948</v>
      </c>
      <c r="C32" t="s">
        <v>8946</v>
      </c>
    </row>
    <row r="33" spans="1:3" x14ac:dyDescent="0.3">
      <c r="A33" t="s">
        <v>78</v>
      </c>
      <c r="B33" t="s">
        <v>8948</v>
      </c>
      <c r="C33" t="s">
        <v>8946</v>
      </c>
    </row>
    <row r="34" spans="1:3" x14ac:dyDescent="0.3">
      <c r="A34" t="s">
        <v>23</v>
      </c>
      <c r="B34" t="s">
        <v>8948</v>
      </c>
      <c r="C34" t="s">
        <v>8946</v>
      </c>
    </row>
    <row r="35" spans="1:3" x14ac:dyDescent="0.3">
      <c r="A35" t="s">
        <v>51</v>
      </c>
      <c r="B35" t="s">
        <v>8948</v>
      </c>
      <c r="C35" t="s">
        <v>8946</v>
      </c>
    </row>
    <row r="36" spans="1:3" x14ac:dyDescent="0.3">
      <c r="A36" t="s">
        <v>8949</v>
      </c>
      <c r="B36" t="s">
        <v>8948</v>
      </c>
      <c r="C36" t="s">
        <v>8946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Graphs</vt:lpstr>
      <vt:lpstr>pivot table </vt:lpstr>
      <vt:lpstr>sales_pipeline</vt:lpstr>
      <vt:lpstr>sales_teams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Mohamed Omar abdelmomen</cp:lastModifiedBy>
  <dcterms:created xsi:type="dcterms:W3CDTF">2026-02-12T01:18:00Z</dcterms:created>
  <dcterms:modified xsi:type="dcterms:W3CDTF">2026-02-15T23:55:01Z</dcterms:modified>
</cp:coreProperties>
</file>